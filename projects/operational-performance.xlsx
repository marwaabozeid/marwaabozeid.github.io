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never" defaultThemeVersion="166925"/>
  <mc:AlternateContent xmlns:mc="http://schemas.openxmlformats.org/markup-compatibility/2006">
    <mc:Choice Requires="x15">
      <x15ac:absPath xmlns:x15ac="http://schemas.microsoft.com/office/spreadsheetml/2010/11/ac" url="C:\Users\DSN.U2\Desktop\"/>
    </mc:Choice>
  </mc:AlternateContent>
  <xr:revisionPtr revIDLastSave="0" documentId="13_ncr:1_{7CCD57C8-DF83-4C28-A29B-6CE4DAFC0D7A}" xr6:coauthVersionLast="47" xr6:coauthVersionMax="47" xr10:uidLastSave="{00000000-0000-0000-0000-000000000000}"/>
  <bookViews>
    <workbookView xWindow="-120" yWindow="-120" windowWidth="20730" windowHeight="11160" firstSheet="3" activeTab="4" xr2:uid="{00000000-000D-0000-FFFF-FFFF00000000}"/>
  </bookViews>
  <sheets>
    <sheet name="Original Data" sheetId="2" r:id="rId1"/>
    <sheet name="Cleaned Data" sheetId="1" r:id="rId2"/>
    <sheet name="Data Dictionary" sheetId="4" r:id="rId3"/>
    <sheet name="Data Cleaning &amp; Transformation" sheetId="6" r:id="rId4"/>
    <sheet name="Operational Performance" sheetId="19" r:id="rId5"/>
    <sheet name="Oper. Perf. Analysis" sheetId="21" r:id="rId6"/>
  </sheets>
  <externalReferences>
    <externalReference r:id="rId7"/>
    <externalReference r:id="rId8"/>
    <externalReference r:id="rId9"/>
  </externalReferences>
  <definedNames>
    <definedName name="_xlnm._FilterDatabase" localSheetId="5" hidden="1">'Oper. Perf. Analysis'!$AG$23:$AJ$47</definedName>
    <definedName name="Customer_Satisfaction" localSheetId="5">'[1]Cleaned Data'!$AZ$2:$AZ$1001</definedName>
    <definedName name="Customer_Satisfaction">'[2]Cleaned Data'!$AZ$2:$AZ$1001</definedName>
    <definedName name="Dash1">#REF!</definedName>
    <definedName name="Dash2">#REF!</definedName>
    <definedName name="Dash3">#REF!</definedName>
    <definedName name="Dash4">#REF!</definedName>
    <definedName name="Dash5">#REF!</definedName>
    <definedName name="Purchase_Amount" localSheetId="5">'[1]Cleaned Data'!$AQ$2:$AQ$1001</definedName>
    <definedName name="Purchase_Amount">'[3]Cleaned Data'!$AQ$2:$AQ$1001</definedName>
    <definedName name="Return_Rate" localSheetId="5">'[1]Cleaned Data'!$AY$2:$AY$1001</definedName>
    <definedName name="Return_Rate">'[3]Cleaned Data'!$AY$2:$AY$1001</definedName>
    <definedName name="Slicer_Age_Category">#N/A</definedName>
    <definedName name="Time_to_Decision" localSheetId="5">'[1]Cleaned Data'!$BI$2:$BI$1001</definedName>
    <definedName name="Time_to_Decision">'[3]Cleaned Data'!$BI$2:$BI$1001</definedName>
  </definedNames>
  <calcPr calcId="191029"/>
  <pivotCaches>
    <pivotCache cacheId="1" r:id="rId10"/>
    <pivotCache cacheId="5"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J47" i="21" l="1"/>
  <c r="AJ46" i="21"/>
  <c r="AJ45" i="21"/>
  <c r="AJ44" i="21"/>
  <c r="AJ43" i="21"/>
  <c r="AJ42" i="21"/>
  <c r="AJ41" i="21"/>
  <c r="AJ40" i="21"/>
  <c r="AJ39" i="21"/>
  <c r="AJ38" i="21"/>
  <c r="AJ37" i="21"/>
  <c r="AJ36" i="21"/>
  <c r="AJ35" i="21"/>
  <c r="AJ34" i="21"/>
  <c r="AJ33" i="21"/>
  <c r="AJ32" i="21"/>
  <c r="AJ31" i="21"/>
  <c r="AJ30" i="21"/>
  <c r="AJ29" i="21"/>
  <c r="AJ28" i="21"/>
  <c r="AJ27" i="21"/>
  <c r="AJ26" i="21"/>
  <c r="AJ25" i="21"/>
  <c r="AJ24" i="21"/>
  <c r="CE8" i="21"/>
  <c r="CE7" i="21"/>
  <c r="CE6" i="21"/>
  <c r="CE5" i="21"/>
  <c r="CD2" i="21"/>
  <c r="BK999" i="1"/>
  <c r="AQ999" i="1"/>
  <c r="BI998" i="1"/>
  <c r="BH998" i="1"/>
  <c r="BG998" i="1"/>
  <c r="BF998" i="1"/>
  <c r="BE998" i="1"/>
  <c r="BD998" i="1"/>
  <c r="BC998" i="1"/>
  <c r="BB998" i="1"/>
  <c r="BA998" i="1"/>
  <c r="AZ998" i="1"/>
  <c r="AY998" i="1"/>
  <c r="AX998" i="1"/>
  <c r="AW998" i="1"/>
  <c r="AV998" i="1"/>
  <c r="AU998" i="1"/>
  <c r="AT998" i="1"/>
  <c r="AS998" i="1"/>
  <c r="AR998" i="1"/>
  <c r="AQ998" i="1"/>
  <c r="AP998" i="1"/>
  <c r="AM998" i="1"/>
  <c r="AL998" i="1"/>
  <c r="AK998" i="1"/>
  <c r="AJ998" i="1"/>
  <c r="AI998" i="1"/>
  <c r="AH998" i="1"/>
  <c r="AH998" i="1" a="1"/>
  <c r="AG998" i="1"/>
  <c r="AF998" i="1"/>
  <c r="BI997" i="1"/>
  <c r="BH997" i="1"/>
  <c r="BG997" i="1"/>
  <c r="BF997" i="1"/>
  <c r="BE997" i="1"/>
  <c r="BD997" i="1"/>
  <c r="BC997" i="1"/>
  <c r="BB997" i="1"/>
  <c r="BA997" i="1"/>
  <c r="AZ997" i="1"/>
  <c r="AY997" i="1"/>
  <c r="AX997" i="1"/>
  <c r="AW997" i="1"/>
  <c r="AV997" i="1"/>
  <c r="AU997" i="1"/>
  <c r="AT997" i="1"/>
  <c r="AS997" i="1"/>
  <c r="AR997" i="1"/>
  <c r="AQ997" i="1"/>
  <c r="AP997" i="1"/>
  <c r="AM997" i="1"/>
  <c r="AL997" i="1"/>
  <c r="AK997" i="1"/>
  <c r="AJ997" i="1"/>
  <c r="AI997" i="1"/>
  <c r="AH997" i="1"/>
  <c r="AH997" i="1" a="1"/>
  <c r="AG997" i="1"/>
  <c r="AF997" i="1"/>
  <c r="BI996" i="1"/>
  <c r="BH996" i="1"/>
  <c r="BG996" i="1"/>
  <c r="BF996" i="1"/>
  <c r="BE996" i="1"/>
  <c r="BD996" i="1"/>
  <c r="BC996" i="1"/>
  <c r="BB996" i="1"/>
  <c r="BA996" i="1"/>
  <c r="AZ996" i="1"/>
  <c r="AY996" i="1"/>
  <c r="AX996" i="1"/>
  <c r="AW996" i="1"/>
  <c r="AV996" i="1"/>
  <c r="AU996" i="1"/>
  <c r="AT996" i="1"/>
  <c r="AS996" i="1"/>
  <c r="AR996" i="1"/>
  <c r="AQ996" i="1"/>
  <c r="AP996" i="1"/>
  <c r="AM996" i="1"/>
  <c r="AL996" i="1"/>
  <c r="AK996" i="1"/>
  <c r="AJ996" i="1"/>
  <c r="AI996" i="1"/>
  <c r="AH996" i="1"/>
  <c r="AH996" i="1" a="1"/>
  <c r="AG996" i="1"/>
  <c r="AF996" i="1"/>
  <c r="BI995" i="1"/>
  <c r="BH995" i="1"/>
  <c r="BG995" i="1"/>
  <c r="BF995" i="1"/>
  <c r="BE995" i="1"/>
  <c r="BD995" i="1"/>
  <c r="BC995" i="1"/>
  <c r="BB995" i="1"/>
  <c r="BA995" i="1"/>
  <c r="AZ995" i="1"/>
  <c r="AY995" i="1"/>
  <c r="AX995" i="1"/>
  <c r="AW995" i="1"/>
  <c r="AV995" i="1"/>
  <c r="AU995" i="1"/>
  <c r="AT995" i="1"/>
  <c r="AS995" i="1"/>
  <c r="AR995" i="1"/>
  <c r="AQ995" i="1"/>
  <c r="AP995" i="1"/>
  <c r="AM995" i="1"/>
  <c r="AL995" i="1"/>
  <c r="AK995" i="1"/>
  <c r="AJ995" i="1"/>
  <c r="AI995" i="1"/>
  <c r="AH995" i="1"/>
  <c r="AH995" i="1" a="1"/>
  <c r="AG995" i="1"/>
  <c r="AF995" i="1"/>
  <c r="BI994" i="1"/>
  <c r="BH994" i="1"/>
  <c r="BG994" i="1"/>
  <c r="BF994" i="1"/>
  <c r="BE994" i="1"/>
  <c r="BD994" i="1"/>
  <c r="BC994" i="1"/>
  <c r="BB994" i="1"/>
  <c r="BA994" i="1"/>
  <c r="AZ994" i="1"/>
  <c r="AY994" i="1"/>
  <c r="AX994" i="1"/>
  <c r="AW994" i="1"/>
  <c r="AV994" i="1"/>
  <c r="AU994" i="1"/>
  <c r="AT994" i="1"/>
  <c r="AS994" i="1"/>
  <c r="AR994" i="1"/>
  <c r="AQ994" i="1"/>
  <c r="AP994" i="1"/>
  <c r="AM994" i="1"/>
  <c r="AL994" i="1"/>
  <c r="AK994" i="1"/>
  <c r="AJ994" i="1"/>
  <c r="AI994" i="1"/>
  <c r="AH994" i="1"/>
  <c r="AH994" i="1" a="1"/>
  <c r="AG994" i="1"/>
  <c r="AF994" i="1"/>
  <c r="BI993" i="1"/>
  <c r="BH993" i="1"/>
  <c r="BG993" i="1"/>
  <c r="BF993" i="1"/>
  <c r="BE993" i="1"/>
  <c r="BD993" i="1"/>
  <c r="BC993" i="1"/>
  <c r="BB993" i="1"/>
  <c r="BA993" i="1"/>
  <c r="AZ993" i="1"/>
  <c r="AY993" i="1"/>
  <c r="AX993" i="1"/>
  <c r="AW993" i="1"/>
  <c r="AV993" i="1"/>
  <c r="AU993" i="1"/>
  <c r="AT993" i="1"/>
  <c r="AS993" i="1"/>
  <c r="AR993" i="1"/>
  <c r="AQ993" i="1"/>
  <c r="AP993" i="1"/>
  <c r="AM993" i="1"/>
  <c r="AL993" i="1"/>
  <c r="AK993" i="1"/>
  <c r="AJ993" i="1"/>
  <c r="AI993" i="1"/>
  <c r="AH993" i="1"/>
  <c r="AH993" i="1" a="1"/>
  <c r="AG993" i="1"/>
  <c r="AF993" i="1"/>
  <c r="BI992" i="1"/>
  <c r="BH992" i="1"/>
  <c r="BG992" i="1"/>
  <c r="BF992" i="1"/>
  <c r="BE992" i="1"/>
  <c r="BD992" i="1"/>
  <c r="BC992" i="1"/>
  <c r="BB992" i="1"/>
  <c r="BA992" i="1"/>
  <c r="AZ992" i="1"/>
  <c r="AY992" i="1"/>
  <c r="AX992" i="1"/>
  <c r="AW992" i="1"/>
  <c r="AV992" i="1"/>
  <c r="AU992" i="1"/>
  <c r="AT992" i="1"/>
  <c r="AS992" i="1"/>
  <c r="AR992" i="1"/>
  <c r="AQ992" i="1"/>
  <c r="AP992" i="1"/>
  <c r="AM992" i="1"/>
  <c r="AL992" i="1"/>
  <c r="AK992" i="1"/>
  <c r="AJ992" i="1"/>
  <c r="AI992" i="1"/>
  <c r="AH992" i="1"/>
  <c r="AH992" i="1" a="1"/>
  <c r="AG992" i="1"/>
  <c r="AF992" i="1"/>
  <c r="BI991" i="1"/>
  <c r="BH991" i="1"/>
  <c r="BG991" i="1"/>
  <c r="BF991" i="1"/>
  <c r="BE991" i="1"/>
  <c r="BD991" i="1"/>
  <c r="BC991" i="1"/>
  <c r="BB991" i="1"/>
  <c r="BA991" i="1"/>
  <c r="AZ991" i="1"/>
  <c r="AY991" i="1"/>
  <c r="AX991" i="1"/>
  <c r="AW991" i="1"/>
  <c r="AV991" i="1"/>
  <c r="AU991" i="1"/>
  <c r="AT991" i="1"/>
  <c r="AS991" i="1"/>
  <c r="AR991" i="1"/>
  <c r="AQ991" i="1"/>
  <c r="AP991" i="1"/>
  <c r="AM991" i="1"/>
  <c r="AL991" i="1"/>
  <c r="AK991" i="1"/>
  <c r="AJ991" i="1"/>
  <c r="AI991" i="1"/>
  <c r="AH991" i="1"/>
  <c r="AH991" i="1" a="1"/>
  <c r="AG991" i="1"/>
  <c r="AF991" i="1"/>
  <c r="BI990" i="1"/>
  <c r="BH990" i="1"/>
  <c r="BG990" i="1"/>
  <c r="BF990" i="1"/>
  <c r="BE990" i="1"/>
  <c r="BD990" i="1"/>
  <c r="BC990" i="1"/>
  <c r="BB990" i="1"/>
  <c r="BA990" i="1"/>
  <c r="AZ990" i="1"/>
  <c r="AY990" i="1"/>
  <c r="AX990" i="1"/>
  <c r="AW990" i="1"/>
  <c r="AV990" i="1"/>
  <c r="AU990" i="1"/>
  <c r="AT990" i="1"/>
  <c r="AS990" i="1"/>
  <c r="AR990" i="1"/>
  <c r="AQ990" i="1"/>
  <c r="AP990" i="1"/>
  <c r="AM990" i="1"/>
  <c r="AL990" i="1"/>
  <c r="AK990" i="1"/>
  <c r="AJ990" i="1"/>
  <c r="AI990" i="1"/>
  <c r="AH990" i="1"/>
  <c r="AH990" i="1" a="1"/>
  <c r="AG990" i="1"/>
  <c r="AF990" i="1"/>
  <c r="BI989" i="1"/>
  <c r="BH989" i="1"/>
  <c r="BG989" i="1"/>
  <c r="BF989" i="1"/>
  <c r="BE989" i="1"/>
  <c r="BD989" i="1"/>
  <c r="BC989" i="1"/>
  <c r="BB989" i="1"/>
  <c r="BA989" i="1"/>
  <c r="AZ989" i="1"/>
  <c r="AY989" i="1"/>
  <c r="AX989" i="1"/>
  <c r="AW989" i="1"/>
  <c r="AV989" i="1"/>
  <c r="AU989" i="1"/>
  <c r="AT989" i="1"/>
  <c r="AS989" i="1"/>
  <c r="AR989" i="1"/>
  <c r="AQ989" i="1"/>
  <c r="AP989" i="1"/>
  <c r="AM989" i="1"/>
  <c r="AL989" i="1"/>
  <c r="AK989" i="1"/>
  <c r="AJ989" i="1"/>
  <c r="AI989" i="1"/>
  <c r="AH989" i="1"/>
  <c r="AH989" i="1" a="1"/>
  <c r="AG989" i="1"/>
  <c r="AF989" i="1"/>
  <c r="BI988" i="1"/>
  <c r="BH988" i="1"/>
  <c r="BG988" i="1"/>
  <c r="BF988" i="1"/>
  <c r="BE988" i="1"/>
  <c r="BD988" i="1"/>
  <c r="BC988" i="1"/>
  <c r="BB988" i="1"/>
  <c r="BA988" i="1"/>
  <c r="AZ988" i="1"/>
  <c r="AY988" i="1"/>
  <c r="AX988" i="1"/>
  <c r="AW988" i="1"/>
  <c r="AV988" i="1"/>
  <c r="AU988" i="1"/>
  <c r="AT988" i="1"/>
  <c r="AS988" i="1"/>
  <c r="AR988" i="1"/>
  <c r="AQ988" i="1"/>
  <c r="AP988" i="1"/>
  <c r="AM988" i="1"/>
  <c r="AL988" i="1"/>
  <c r="AK988" i="1"/>
  <c r="AJ988" i="1"/>
  <c r="AI988" i="1"/>
  <c r="AH988" i="1"/>
  <c r="AH988" i="1" a="1"/>
  <c r="AG988" i="1"/>
  <c r="AF988" i="1"/>
  <c r="BI987" i="1"/>
  <c r="BH987" i="1"/>
  <c r="BG987" i="1"/>
  <c r="BF987" i="1"/>
  <c r="BE987" i="1"/>
  <c r="BD987" i="1"/>
  <c r="BC987" i="1"/>
  <c r="BB987" i="1"/>
  <c r="BA987" i="1"/>
  <c r="AZ987" i="1"/>
  <c r="AY987" i="1"/>
  <c r="AX987" i="1"/>
  <c r="AW987" i="1"/>
  <c r="AV987" i="1"/>
  <c r="AU987" i="1"/>
  <c r="AT987" i="1"/>
  <c r="AS987" i="1"/>
  <c r="AR987" i="1"/>
  <c r="AQ987" i="1"/>
  <c r="AP987" i="1"/>
  <c r="AM987" i="1"/>
  <c r="AL987" i="1"/>
  <c r="AK987" i="1"/>
  <c r="AJ987" i="1"/>
  <c r="AI987" i="1"/>
  <c r="AH987" i="1"/>
  <c r="AH987" i="1" a="1"/>
  <c r="AG987" i="1"/>
  <c r="AF987" i="1"/>
  <c r="BI986" i="1"/>
  <c r="BH986" i="1"/>
  <c r="BG986" i="1"/>
  <c r="BF986" i="1"/>
  <c r="BE986" i="1"/>
  <c r="BD986" i="1"/>
  <c r="BC986" i="1"/>
  <c r="BB986" i="1"/>
  <c r="BA986" i="1"/>
  <c r="AZ986" i="1"/>
  <c r="AY986" i="1"/>
  <c r="AX986" i="1"/>
  <c r="AW986" i="1"/>
  <c r="AV986" i="1"/>
  <c r="AU986" i="1"/>
  <c r="AT986" i="1"/>
  <c r="AS986" i="1"/>
  <c r="AR986" i="1"/>
  <c r="AQ986" i="1"/>
  <c r="AP986" i="1"/>
  <c r="AM986" i="1"/>
  <c r="AL986" i="1"/>
  <c r="AK986" i="1"/>
  <c r="AJ986" i="1"/>
  <c r="AI986" i="1"/>
  <c r="AH986" i="1"/>
  <c r="AH986" i="1" a="1"/>
  <c r="AG986" i="1"/>
  <c r="AF986" i="1"/>
  <c r="BI985" i="1"/>
  <c r="BH985" i="1"/>
  <c r="BG985" i="1"/>
  <c r="BF985" i="1"/>
  <c r="BE985" i="1"/>
  <c r="BD985" i="1"/>
  <c r="BC985" i="1"/>
  <c r="BB985" i="1"/>
  <c r="BA985" i="1"/>
  <c r="AZ985" i="1"/>
  <c r="AY985" i="1"/>
  <c r="AX985" i="1"/>
  <c r="AW985" i="1"/>
  <c r="AV985" i="1"/>
  <c r="AU985" i="1"/>
  <c r="AT985" i="1"/>
  <c r="AS985" i="1"/>
  <c r="AR985" i="1"/>
  <c r="AQ985" i="1"/>
  <c r="AP985" i="1"/>
  <c r="AM985" i="1"/>
  <c r="AL985" i="1"/>
  <c r="AK985" i="1"/>
  <c r="AJ985" i="1"/>
  <c r="AI985" i="1"/>
  <c r="AH985" i="1"/>
  <c r="AH985" i="1" a="1"/>
  <c r="AG985" i="1"/>
  <c r="AF985" i="1"/>
  <c r="BI984" i="1"/>
  <c r="BH984" i="1"/>
  <c r="BG984" i="1"/>
  <c r="BF984" i="1"/>
  <c r="BE984" i="1"/>
  <c r="BD984" i="1"/>
  <c r="BC984" i="1"/>
  <c r="BB984" i="1"/>
  <c r="BA984" i="1"/>
  <c r="AZ984" i="1"/>
  <c r="AY984" i="1"/>
  <c r="AX984" i="1"/>
  <c r="AW984" i="1"/>
  <c r="AV984" i="1"/>
  <c r="AU984" i="1"/>
  <c r="AT984" i="1"/>
  <c r="AS984" i="1"/>
  <c r="AR984" i="1"/>
  <c r="AQ984" i="1"/>
  <c r="AP984" i="1"/>
  <c r="AM984" i="1"/>
  <c r="AL984" i="1"/>
  <c r="AK984" i="1"/>
  <c r="AJ984" i="1"/>
  <c r="AI984" i="1"/>
  <c r="AH984" i="1"/>
  <c r="AH984" i="1" a="1"/>
  <c r="AG984" i="1"/>
  <c r="AF984" i="1"/>
  <c r="BI983" i="1"/>
  <c r="BH983" i="1"/>
  <c r="BG983" i="1"/>
  <c r="BF983" i="1"/>
  <c r="BE983" i="1"/>
  <c r="BD983" i="1"/>
  <c r="BC983" i="1"/>
  <c r="BB983" i="1"/>
  <c r="BA983" i="1"/>
  <c r="AZ983" i="1"/>
  <c r="AY983" i="1"/>
  <c r="AX983" i="1"/>
  <c r="AW983" i="1"/>
  <c r="AV983" i="1"/>
  <c r="AU983" i="1"/>
  <c r="AT983" i="1"/>
  <c r="AS983" i="1"/>
  <c r="AR983" i="1"/>
  <c r="AQ983" i="1"/>
  <c r="AP983" i="1"/>
  <c r="AM983" i="1"/>
  <c r="AL983" i="1"/>
  <c r="AK983" i="1"/>
  <c r="AJ983" i="1"/>
  <c r="AI983" i="1"/>
  <c r="AH983" i="1"/>
  <c r="AH983" i="1" a="1"/>
  <c r="AG983" i="1"/>
  <c r="AF983" i="1"/>
  <c r="BI982" i="1"/>
  <c r="BH982" i="1"/>
  <c r="BG982" i="1"/>
  <c r="BF982" i="1"/>
  <c r="BE982" i="1"/>
  <c r="BD982" i="1"/>
  <c r="BC982" i="1"/>
  <c r="BB982" i="1"/>
  <c r="BA982" i="1"/>
  <c r="AZ982" i="1"/>
  <c r="AY982" i="1"/>
  <c r="AX982" i="1"/>
  <c r="AW982" i="1"/>
  <c r="AV982" i="1"/>
  <c r="AU982" i="1"/>
  <c r="AT982" i="1"/>
  <c r="AS982" i="1"/>
  <c r="AR982" i="1"/>
  <c r="AQ982" i="1"/>
  <c r="AP982" i="1"/>
  <c r="AM982" i="1"/>
  <c r="AL982" i="1"/>
  <c r="AK982" i="1"/>
  <c r="AJ982" i="1"/>
  <c r="AI982" i="1"/>
  <c r="AH982" i="1"/>
  <c r="AH982" i="1" a="1"/>
  <c r="AG982" i="1"/>
  <c r="AF982" i="1"/>
  <c r="BI981" i="1"/>
  <c r="BH981" i="1"/>
  <c r="BG981" i="1"/>
  <c r="BF981" i="1"/>
  <c r="BE981" i="1"/>
  <c r="BD981" i="1"/>
  <c r="BC981" i="1"/>
  <c r="BB981" i="1"/>
  <c r="BA981" i="1"/>
  <c r="AZ981" i="1"/>
  <c r="AY981" i="1"/>
  <c r="AX981" i="1"/>
  <c r="AW981" i="1"/>
  <c r="AV981" i="1"/>
  <c r="AU981" i="1"/>
  <c r="AT981" i="1"/>
  <c r="AS981" i="1"/>
  <c r="AR981" i="1"/>
  <c r="AQ981" i="1"/>
  <c r="AP981" i="1"/>
  <c r="AM981" i="1"/>
  <c r="AL981" i="1"/>
  <c r="AK981" i="1"/>
  <c r="AJ981" i="1"/>
  <c r="AI981" i="1"/>
  <c r="AH981" i="1"/>
  <c r="AH981" i="1" a="1"/>
  <c r="AG981" i="1"/>
  <c r="AF981" i="1"/>
  <c r="BI980" i="1"/>
  <c r="BH980" i="1"/>
  <c r="BG980" i="1"/>
  <c r="BF980" i="1"/>
  <c r="BE980" i="1"/>
  <c r="BD980" i="1"/>
  <c r="BC980" i="1"/>
  <c r="BB980" i="1"/>
  <c r="BA980" i="1"/>
  <c r="AZ980" i="1"/>
  <c r="AY980" i="1"/>
  <c r="AX980" i="1"/>
  <c r="AW980" i="1"/>
  <c r="AV980" i="1"/>
  <c r="AU980" i="1"/>
  <c r="AT980" i="1"/>
  <c r="AS980" i="1"/>
  <c r="AR980" i="1"/>
  <c r="AQ980" i="1"/>
  <c r="AP980" i="1"/>
  <c r="AM980" i="1"/>
  <c r="AL980" i="1"/>
  <c r="AK980" i="1"/>
  <c r="AJ980" i="1"/>
  <c r="AI980" i="1"/>
  <c r="AH980" i="1"/>
  <c r="AH980" i="1" a="1"/>
  <c r="AG980" i="1"/>
  <c r="AF980" i="1"/>
  <c r="BI979" i="1"/>
  <c r="BH979" i="1"/>
  <c r="BG979" i="1"/>
  <c r="BF979" i="1"/>
  <c r="BE979" i="1"/>
  <c r="BD979" i="1"/>
  <c r="BC979" i="1"/>
  <c r="BB979" i="1"/>
  <c r="BA979" i="1"/>
  <c r="AZ979" i="1"/>
  <c r="AY979" i="1"/>
  <c r="AX979" i="1"/>
  <c r="AW979" i="1"/>
  <c r="AV979" i="1"/>
  <c r="AU979" i="1"/>
  <c r="AT979" i="1"/>
  <c r="AS979" i="1"/>
  <c r="AR979" i="1"/>
  <c r="AQ979" i="1"/>
  <c r="AP979" i="1"/>
  <c r="AM979" i="1"/>
  <c r="AL979" i="1"/>
  <c r="AK979" i="1"/>
  <c r="AJ979" i="1"/>
  <c r="AI979" i="1"/>
  <c r="AH979" i="1"/>
  <c r="AH979" i="1" a="1"/>
  <c r="AG979" i="1"/>
  <c r="AF979" i="1"/>
  <c r="BI978" i="1"/>
  <c r="BH978" i="1"/>
  <c r="BG978" i="1"/>
  <c r="BF978" i="1"/>
  <c r="BE978" i="1"/>
  <c r="BD978" i="1"/>
  <c r="BC978" i="1"/>
  <c r="BB978" i="1"/>
  <c r="BA978" i="1"/>
  <c r="AZ978" i="1"/>
  <c r="AY978" i="1"/>
  <c r="AX978" i="1"/>
  <c r="AW978" i="1"/>
  <c r="AV978" i="1"/>
  <c r="AU978" i="1"/>
  <c r="AT978" i="1"/>
  <c r="AS978" i="1"/>
  <c r="AR978" i="1"/>
  <c r="AQ978" i="1"/>
  <c r="AP978" i="1"/>
  <c r="AM978" i="1"/>
  <c r="AL978" i="1"/>
  <c r="AK978" i="1"/>
  <c r="AJ978" i="1"/>
  <c r="AI978" i="1"/>
  <c r="AH978" i="1"/>
  <c r="AH978" i="1" a="1"/>
  <c r="AG978" i="1"/>
  <c r="AF978" i="1"/>
  <c r="BI977" i="1"/>
  <c r="BH977" i="1"/>
  <c r="BG977" i="1"/>
  <c r="BF977" i="1"/>
  <c r="BE977" i="1"/>
  <c r="BD977" i="1"/>
  <c r="BC977" i="1"/>
  <c r="BB977" i="1"/>
  <c r="BA977" i="1"/>
  <c r="AZ977" i="1"/>
  <c r="AY977" i="1"/>
  <c r="AX977" i="1"/>
  <c r="AW977" i="1"/>
  <c r="AV977" i="1"/>
  <c r="AU977" i="1"/>
  <c r="AT977" i="1"/>
  <c r="AS977" i="1"/>
  <c r="AR977" i="1"/>
  <c r="AQ977" i="1"/>
  <c r="AP977" i="1"/>
  <c r="AM977" i="1"/>
  <c r="AL977" i="1"/>
  <c r="AK977" i="1"/>
  <c r="AJ977" i="1"/>
  <c r="AI977" i="1"/>
  <c r="AH977" i="1"/>
  <c r="AH977" i="1" a="1"/>
  <c r="AG977" i="1"/>
  <c r="AF977" i="1"/>
  <c r="BI976" i="1"/>
  <c r="BH976" i="1"/>
  <c r="BG976" i="1"/>
  <c r="BF976" i="1"/>
  <c r="BE976" i="1"/>
  <c r="BD976" i="1"/>
  <c r="BC976" i="1"/>
  <c r="BB976" i="1"/>
  <c r="BA976" i="1"/>
  <c r="AZ976" i="1"/>
  <c r="AY976" i="1"/>
  <c r="AX976" i="1"/>
  <c r="AW976" i="1"/>
  <c r="AV976" i="1"/>
  <c r="AU976" i="1"/>
  <c r="AT976" i="1"/>
  <c r="AS976" i="1"/>
  <c r="AR976" i="1"/>
  <c r="AQ976" i="1"/>
  <c r="AP976" i="1"/>
  <c r="AM976" i="1"/>
  <c r="AL976" i="1"/>
  <c r="AK976" i="1"/>
  <c r="AJ976" i="1"/>
  <c r="AI976" i="1"/>
  <c r="AH976" i="1"/>
  <c r="AH976" i="1" a="1"/>
  <c r="AG976" i="1"/>
  <c r="AF976" i="1"/>
  <c r="BI975" i="1"/>
  <c r="BH975" i="1"/>
  <c r="BG975" i="1"/>
  <c r="BF975" i="1"/>
  <c r="BE975" i="1"/>
  <c r="BD975" i="1"/>
  <c r="BC975" i="1"/>
  <c r="BB975" i="1"/>
  <c r="BA975" i="1"/>
  <c r="AZ975" i="1"/>
  <c r="AY975" i="1"/>
  <c r="AX975" i="1"/>
  <c r="AW975" i="1"/>
  <c r="AV975" i="1"/>
  <c r="AU975" i="1"/>
  <c r="AT975" i="1"/>
  <c r="AS975" i="1"/>
  <c r="AR975" i="1"/>
  <c r="AQ975" i="1"/>
  <c r="AP975" i="1"/>
  <c r="AM975" i="1"/>
  <c r="AL975" i="1"/>
  <c r="AK975" i="1"/>
  <c r="AJ975" i="1"/>
  <c r="AI975" i="1"/>
  <c r="AH975" i="1"/>
  <c r="AH975" i="1" a="1"/>
  <c r="AG975" i="1"/>
  <c r="AF975" i="1"/>
  <c r="BI974" i="1"/>
  <c r="BH974" i="1"/>
  <c r="BG974" i="1"/>
  <c r="BF974" i="1"/>
  <c r="BE974" i="1"/>
  <c r="BD974" i="1"/>
  <c r="BC974" i="1"/>
  <c r="BB974" i="1"/>
  <c r="BA974" i="1"/>
  <c r="AZ974" i="1"/>
  <c r="AY974" i="1"/>
  <c r="AX974" i="1"/>
  <c r="AW974" i="1"/>
  <c r="AV974" i="1"/>
  <c r="AU974" i="1"/>
  <c r="AT974" i="1"/>
  <c r="AS974" i="1"/>
  <c r="AR974" i="1"/>
  <c r="AQ974" i="1"/>
  <c r="AP974" i="1"/>
  <c r="AM974" i="1"/>
  <c r="AL974" i="1"/>
  <c r="AK974" i="1"/>
  <c r="AJ974" i="1"/>
  <c r="AI974" i="1"/>
  <c r="AH974" i="1"/>
  <c r="AH974" i="1" a="1"/>
  <c r="AG974" i="1"/>
  <c r="AF974" i="1"/>
  <c r="BI973" i="1"/>
  <c r="BH973" i="1"/>
  <c r="BG973" i="1"/>
  <c r="BF973" i="1"/>
  <c r="BE973" i="1"/>
  <c r="BD973" i="1"/>
  <c r="BC973" i="1"/>
  <c r="BB973" i="1"/>
  <c r="BA973" i="1"/>
  <c r="AZ973" i="1"/>
  <c r="AY973" i="1"/>
  <c r="AX973" i="1"/>
  <c r="AW973" i="1"/>
  <c r="AV973" i="1"/>
  <c r="AU973" i="1"/>
  <c r="AT973" i="1"/>
  <c r="AS973" i="1"/>
  <c r="AR973" i="1"/>
  <c r="AQ973" i="1"/>
  <c r="AP973" i="1"/>
  <c r="AM973" i="1"/>
  <c r="AL973" i="1"/>
  <c r="AK973" i="1"/>
  <c r="AJ973" i="1"/>
  <c r="AI973" i="1"/>
  <c r="AH973" i="1"/>
  <c r="AH973" i="1" a="1"/>
  <c r="AG973" i="1"/>
  <c r="AF973" i="1"/>
  <c r="BI972" i="1"/>
  <c r="BH972" i="1"/>
  <c r="BG972" i="1"/>
  <c r="BF972" i="1"/>
  <c r="BE972" i="1"/>
  <c r="BD972" i="1"/>
  <c r="BC972" i="1"/>
  <c r="BB972" i="1"/>
  <c r="BA972" i="1"/>
  <c r="AZ972" i="1"/>
  <c r="AY972" i="1"/>
  <c r="AX972" i="1"/>
  <c r="AW972" i="1"/>
  <c r="AV972" i="1"/>
  <c r="AU972" i="1"/>
  <c r="AT972" i="1"/>
  <c r="AS972" i="1"/>
  <c r="AR972" i="1"/>
  <c r="AQ972" i="1"/>
  <c r="AP972" i="1"/>
  <c r="AM972" i="1"/>
  <c r="AL972" i="1"/>
  <c r="AK972" i="1"/>
  <c r="AJ972" i="1"/>
  <c r="AI972" i="1"/>
  <c r="AH972" i="1"/>
  <c r="AH972" i="1" a="1"/>
  <c r="AG972" i="1"/>
  <c r="AF972" i="1"/>
  <c r="BI971" i="1"/>
  <c r="BH971" i="1"/>
  <c r="BG971" i="1"/>
  <c r="BF971" i="1"/>
  <c r="BE971" i="1"/>
  <c r="BD971" i="1"/>
  <c r="BC971" i="1"/>
  <c r="BB971" i="1"/>
  <c r="BA971" i="1"/>
  <c r="AZ971" i="1"/>
  <c r="AY971" i="1"/>
  <c r="AX971" i="1"/>
  <c r="AW971" i="1"/>
  <c r="AV971" i="1"/>
  <c r="AU971" i="1"/>
  <c r="AT971" i="1"/>
  <c r="AS971" i="1"/>
  <c r="AR971" i="1"/>
  <c r="AQ971" i="1"/>
  <c r="AP971" i="1"/>
  <c r="AM971" i="1"/>
  <c r="AL971" i="1"/>
  <c r="AK971" i="1"/>
  <c r="AJ971" i="1"/>
  <c r="AI971" i="1"/>
  <c r="AH971" i="1"/>
  <c r="AH971" i="1" a="1"/>
  <c r="AG971" i="1"/>
  <c r="AF971" i="1"/>
  <c r="BI970" i="1"/>
  <c r="BH970" i="1"/>
  <c r="BG970" i="1"/>
  <c r="BF970" i="1"/>
  <c r="BE970" i="1"/>
  <c r="BD970" i="1"/>
  <c r="BC970" i="1"/>
  <c r="BB970" i="1"/>
  <c r="BA970" i="1"/>
  <c r="AZ970" i="1"/>
  <c r="AY970" i="1"/>
  <c r="AX970" i="1"/>
  <c r="AW970" i="1"/>
  <c r="AV970" i="1"/>
  <c r="AU970" i="1"/>
  <c r="AT970" i="1"/>
  <c r="AS970" i="1"/>
  <c r="AR970" i="1"/>
  <c r="AQ970" i="1"/>
  <c r="AP970" i="1"/>
  <c r="AM970" i="1"/>
  <c r="AL970" i="1"/>
  <c r="AK970" i="1"/>
  <c r="AJ970" i="1"/>
  <c r="AI970" i="1"/>
  <c r="AH970" i="1"/>
  <c r="AH970" i="1" a="1"/>
  <c r="AG970" i="1"/>
  <c r="AF970" i="1"/>
  <c r="BI969" i="1"/>
  <c r="BH969" i="1"/>
  <c r="BG969" i="1"/>
  <c r="BF969" i="1"/>
  <c r="BE969" i="1"/>
  <c r="BD969" i="1"/>
  <c r="BC969" i="1"/>
  <c r="BB969" i="1"/>
  <c r="BA969" i="1"/>
  <c r="AZ969" i="1"/>
  <c r="AY969" i="1"/>
  <c r="AX969" i="1"/>
  <c r="AW969" i="1"/>
  <c r="AV969" i="1"/>
  <c r="AU969" i="1"/>
  <c r="AT969" i="1"/>
  <c r="AS969" i="1"/>
  <c r="AR969" i="1"/>
  <c r="AQ969" i="1"/>
  <c r="AP969" i="1"/>
  <c r="AM969" i="1"/>
  <c r="AL969" i="1"/>
  <c r="AK969" i="1"/>
  <c r="AJ969" i="1"/>
  <c r="AI969" i="1"/>
  <c r="AH969" i="1"/>
  <c r="AH969" i="1" a="1"/>
  <c r="AG969" i="1"/>
  <c r="AF969" i="1"/>
  <c r="BI968" i="1"/>
  <c r="BH968" i="1"/>
  <c r="BG968" i="1"/>
  <c r="BF968" i="1"/>
  <c r="BE968" i="1"/>
  <c r="BD968" i="1"/>
  <c r="BC968" i="1"/>
  <c r="BB968" i="1"/>
  <c r="BA968" i="1"/>
  <c r="AZ968" i="1"/>
  <c r="AY968" i="1"/>
  <c r="AX968" i="1"/>
  <c r="AW968" i="1"/>
  <c r="AV968" i="1"/>
  <c r="AU968" i="1"/>
  <c r="AT968" i="1"/>
  <c r="AS968" i="1"/>
  <c r="AR968" i="1"/>
  <c r="AQ968" i="1"/>
  <c r="AP968" i="1"/>
  <c r="AM968" i="1"/>
  <c r="AL968" i="1"/>
  <c r="AK968" i="1"/>
  <c r="AJ968" i="1"/>
  <c r="AI968" i="1"/>
  <c r="AH968" i="1"/>
  <c r="AH968" i="1" a="1"/>
  <c r="AG968" i="1"/>
  <c r="AF968" i="1"/>
  <c r="BI967" i="1"/>
  <c r="BH967" i="1"/>
  <c r="BG967" i="1"/>
  <c r="BF967" i="1"/>
  <c r="BE967" i="1"/>
  <c r="BD967" i="1"/>
  <c r="BC967" i="1"/>
  <c r="BB967" i="1"/>
  <c r="BA967" i="1"/>
  <c r="AZ967" i="1"/>
  <c r="AY967" i="1"/>
  <c r="AX967" i="1"/>
  <c r="AW967" i="1"/>
  <c r="AV967" i="1"/>
  <c r="AU967" i="1"/>
  <c r="AT967" i="1"/>
  <c r="AS967" i="1"/>
  <c r="AR967" i="1"/>
  <c r="AQ967" i="1"/>
  <c r="AP967" i="1"/>
  <c r="AM967" i="1"/>
  <c r="AL967" i="1"/>
  <c r="AK967" i="1"/>
  <c r="AJ967" i="1"/>
  <c r="AI967" i="1"/>
  <c r="AH967" i="1"/>
  <c r="AH967" i="1" a="1"/>
  <c r="AG967" i="1"/>
  <c r="AF967" i="1"/>
  <c r="BI966" i="1"/>
  <c r="BH966" i="1"/>
  <c r="BG966" i="1"/>
  <c r="BF966" i="1"/>
  <c r="BE966" i="1"/>
  <c r="BD966" i="1"/>
  <c r="BC966" i="1"/>
  <c r="BB966" i="1"/>
  <c r="BA966" i="1"/>
  <c r="AZ966" i="1"/>
  <c r="AY966" i="1"/>
  <c r="AX966" i="1"/>
  <c r="AW966" i="1"/>
  <c r="AV966" i="1"/>
  <c r="AU966" i="1"/>
  <c r="AT966" i="1"/>
  <c r="AS966" i="1"/>
  <c r="AR966" i="1"/>
  <c r="AQ966" i="1"/>
  <c r="AP966" i="1"/>
  <c r="AM966" i="1"/>
  <c r="AL966" i="1"/>
  <c r="AK966" i="1"/>
  <c r="AJ966" i="1"/>
  <c r="AI966" i="1"/>
  <c r="AH966" i="1"/>
  <c r="AH966" i="1" a="1"/>
  <c r="AG966" i="1"/>
  <c r="AF966" i="1"/>
  <c r="BI965" i="1"/>
  <c r="BH965" i="1"/>
  <c r="BG965" i="1"/>
  <c r="BF965" i="1"/>
  <c r="BE965" i="1"/>
  <c r="BD965" i="1"/>
  <c r="BC965" i="1"/>
  <c r="BB965" i="1"/>
  <c r="BA965" i="1"/>
  <c r="AZ965" i="1"/>
  <c r="AY965" i="1"/>
  <c r="AX965" i="1"/>
  <c r="AW965" i="1"/>
  <c r="AV965" i="1"/>
  <c r="AU965" i="1"/>
  <c r="AT965" i="1"/>
  <c r="AS965" i="1"/>
  <c r="AR965" i="1"/>
  <c r="AQ965" i="1"/>
  <c r="AP965" i="1"/>
  <c r="AM965" i="1"/>
  <c r="AL965" i="1"/>
  <c r="AK965" i="1"/>
  <c r="AJ965" i="1"/>
  <c r="AI965" i="1"/>
  <c r="AH965" i="1"/>
  <c r="AH965" i="1" a="1"/>
  <c r="AG965" i="1"/>
  <c r="AF965" i="1"/>
  <c r="BI964" i="1"/>
  <c r="BH964" i="1"/>
  <c r="BG964" i="1"/>
  <c r="BF964" i="1"/>
  <c r="BE964" i="1"/>
  <c r="BD964" i="1"/>
  <c r="BC964" i="1"/>
  <c r="BB964" i="1"/>
  <c r="BA964" i="1"/>
  <c r="AZ964" i="1"/>
  <c r="AY964" i="1"/>
  <c r="AX964" i="1"/>
  <c r="AW964" i="1"/>
  <c r="AV964" i="1"/>
  <c r="AU964" i="1"/>
  <c r="AT964" i="1"/>
  <c r="AS964" i="1"/>
  <c r="AR964" i="1"/>
  <c r="AQ964" i="1"/>
  <c r="AP964" i="1"/>
  <c r="AM964" i="1"/>
  <c r="AL964" i="1"/>
  <c r="AK964" i="1"/>
  <c r="AJ964" i="1"/>
  <c r="AI964" i="1"/>
  <c r="AH964" i="1"/>
  <c r="AH964" i="1" a="1"/>
  <c r="AG964" i="1"/>
  <c r="AF964" i="1"/>
  <c r="BI963" i="1"/>
  <c r="BH963" i="1"/>
  <c r="BG963" i="1"/>
  <c r="BF963" i="1"/>
  <c r="BE963" i="1"/>
  <c r="BD963" i="1"/>
  <c r="BC963" i="1"/>
  <c r="BB963" i="1"/>
  <c r="BA963" i="1"/>
  <c r="AZ963" i="1"/>
  <c r="AY963" i="1"/>
  <c r="AX963" i="1"/>
  <c r="AW963" i="1"/>
  <c r="AV963" i="1"/>
  <c r="AU963" i="1"/>
  <c r="AT963" i="1"/>
  <c r="AS963" i="1"/>
  <c r="AR963" i="1"/>
  <c r="AQ963" i="1"/>
  <c r="AP963" i="1"/>
  <c r="AM963" i="1"/>
  <c r="AL963" i="1"/>
  <c r="AK963" i="1"/>
  <c r="AJ963" i="1"/>
  <c r="AI963" i="1"/>
  <c r="AH963" i="1"/>
  <c r="AH963" i="1" a="1"/>
  <c r="AG963" i="1"/>
  <c r="AF963" i="1"/>
  <c r="BI962" i="1"/>
  <c r="BH962" i="1"/>
  <c r="BG962" i="1"/>
  <c r="BF962" i="1"/>
  <c r="BE962" i="1"/>
  <c r="BD962" i="1"/>
  <c r="BC962" i="1"/>
  <c r="BB962" i="1"/>
  <c r="BA962" i="1"/>
  <c r="AZ962" i="1"/>
  <c r="AY962" i="1"/>
  <c r="AX962" i="1"/>
  <c r="AW962" i="1"/>
  <c r="AV962" i="1"/>
  <c r="AU962" i="1"/>
  <c r="AT962" i="1"/>
  <c r="AS962" i="1"/>
  <c r="AR962" i="1"/>
  <c r="AQ962" i="1"/>
  <c r="AP962" i="1"/>
  <c r="AM962" i="1"/>
  <c r="AL962" i="1"/>
  <c r="AK962" i="1"/>
  <c r="AJ962" i="1"/>
  <c r="AI962" i="1"/>
  <c r="AH962" i="1"/>
  <c r="AH962" i="1" a="1"/>
  <c r="AG962" i="1"/>
  <c r="AF962" i="1"/>
  <c r="BI961" i="1"/>
  <c r="BH961" i="1"/>
  <c r="BG961" i="1"/>
  <c r="BF961" i="1"/>
  <c r="BE961" i="1"/>
  <c r="BD961" i="1"/>
  <c r="BC961" i="1"/>
  <c r="BB961" i="1"/>
  <c r="BA961" i="1"/>
  <c r="AZ961" i="1"/>
  <c r="AY961" i="1"/>
  <c r="AX961" i="1"/>
  <c r="AW961" i="1"/>
  <c r="AV961" i="1"/>
  <c r="AU961" i="1"/>
  <c r="AT961" i="1"/>
  <c r="AS961" i="1"/>
  <c r="AR961" i="1"/>
  <c r="AQ961" i="1"/>
  <c r="AP961" i="1"/>
  <c r="AM961" i="1"/>
  <c r="AL961" i="1"/>
  <c r="AK961" i="1"/>
  <c r="AJ961" i="1"/>
  <c r="AI961" i="1"/>
  <c r="AH961" i="1"/>
  <c r="AH961" i="1" a="1"/>
  <c r="AG961" i="1"/>
  <c r="AF961" i="1"/>
  <c r="BI960" i="1"/>
  <c r="BH960" i="1"/>
  <c r="BG960" i="1"/>
  <c r="BF960" i="1"/>
  <c r="BE960" i="1"/>
  <c r="BD960" i="1"/>
  <c r="BC960" i="1"/>
  <c r="BB960" i="1"/>
  <c r="BA960" i="1"/>
  <c r="AZ960" i="1"/>
  <c r="AY960" i="1"/>
  <c r="AX960" i="1"/>
  <c r="AW960" i="1"/>
  <c r="AV960" i="1"/>
  <c r="AU960" i="1"/>
  <c r="AT960" i="1"/>
  <c r="AS960" i="1"/>
  <c r="AR960" i="1"/>
  <c r="AQ960" i="1"/>
  <c r="AP960" i="1"/>
  <c r="AM960" i="1"/>
  <c r="AL960" i="1"/>
  <c r="AK960" i="1"/>
  <c r="AJ960" i="1"/>
  <c r="AI960" i="1"/>
  <c r="AH960" i="1"/>
  <c r="AH960" i="1" a="1"/>
  <c r="AG960" i="1"/>
  <c r="AF960" i="1"/>
  <c r="BI959" i="1"/>
  <c r="BH959" i="1"/>
  <c r="BG959" i="1"/>
  <c r="BF959" i="1"/>
  <c r="BE959" i="1"/>
  <c r="BD959" i="1"/>
  <c r="BC959" i="1"/>
  <c r="BB959" i="1"/>
  <c r="BA959" i="1"/>
  <c r="AZ959" i="1"/>
  <c r="AY959" i="1"/>
  <c r="AX959" i="1"/>
  <c r="AW959" i="1"/>
  <c r="AV959" i="1"/>
  <c r="AU959" i="1"/>
  <c r="AT959" i="1"/>
  <c r="AS959" i="1"/>
  <c r="AR959" i="1"/>
  <c r="AQ959" i="1"/>
  <c r="AP959" i="1"/>
  <c r="AM959" i="1"/>
  <c r="AL959" i="1"/>
  <c r="AK959" i="1"/>
  <c r="AJ959" i="1"/>
  <c r="AI959" i="1"/>
  <c r="AH959" i="1"/>
  <c r="AH959" i="1" a="1"/>
  <c r="AG959" i="1"/>
  <c r="AF959" i="1"/>
  <c r="BI958" i="1"/>
  <c r="BH958" i="1"/>
  <c r="BG958" i="1"/>
  <c r="BF958" i="1"/>
  <c r="BE958" i="1"/>
  <c r="BD958" i="1"/>
  <c r="BC958" i="1"/>
  <c r="BB958" i="1"/>
  <c r="BA958" i="1"/>
  <c r="AZ958" i="1"/>
  <c r="AY958" i="1"/>
  <c r="AX958" i="1"/>
  <c r="AW958" i="1"/>
  <c r="AV958" i="1"/>
  <c r="AU958" i="1"/>
  <c r="AT958" i="1"/>
  <c r="AS958" i="1"/>
  <c r="AR958" i="1"/>
  <c r="AQ958" i="1"/>
  <c r="AP958" i="1"/>
  <c r="AM958" i="1"/>
  <c r="AL958" i="1"/>
  <c r="AK958" i="1"/>
  <c r="AJ958" i="1"/>
  <c r="AI958" i="1"/>
  <c r="AH958" i="1"/>
  <c r="AH958" i="1" a="1"/>
  <c r="AG958" i="1"/>
  <c r="AF958" i="1"/>
  <c r="BI957" i="1"/>
  <c r="BH957" i="1"/>
  <c r="BG957" i="1"/>
  <c r="BF957" i="1"/>
  <c r="BE957" i="1"/>
  <c r="BD957" i="1"/>
  <c r="BC957" i="1"/>
  <c r="BB957" i="1"/>
  <c r="BA957" i="1"/>
  <c r="AZ957" i="1"/>
  <c r="AY957" i="1"/>
  <c r="AX957" i="1"/>
  <c r="AW957" i="1"/>
  <c r="AV957" i="1"/>
  <c r="AU957" i="1"/>
  <c r="AT957" i="1"/>
  <c r="AS957" i="1"/>
  <c r="AR957" i="1"/>
  <c r="AQ957" i="1"/>
  <c r="AP957" i="1"/>
  <c r="AM957" i="1"/>
  <c r="AL957" i="1"/>
  <c r="AK957" i="1"/>
  <c r="AJ957" i="1"/>
  <c r="AI957" i="1"/>
  <c r="AH957" i="1"/>
  <c r="AH957" i="1" a="1"/>
  <c r="AG957" i="1"/>
  <c r="AF957" i="1"/>
  <c r="BI956" i="1"/>
  <c r="BH956" i="1"/>
  <c r="BG956" i="1"/>
  <c r="BF956" i="1"/>
  <c r="BE956" i="1"/>
  <c r="BD956" i="1"/>
  <c r="BC956" i="1"/>
  <c r="BB956" i="1"/>
  <c r="BA956" i="1"/>
  <c r="AZ956" i="1"/>
  <c r="AY956" i="1"/>
  <c r="AX956" i="1"/>
  <c r="AW956" i="1"/>
  <c r="AV956" i="1"/>
  <c r="AU956" i="1"/>
  <c r="AT956" i="1"/>
  <c r="AS956" i="1"/>
  <c r="AR956" i="1"/>
  <c r="AQ956" i="1"/>
  <c r="AP956" i="1"/>
  <c r="AM956" i="1"/>
  <c r="AL956" i="1"/>
  <c r="AK956" i="1"/>
  <c r="AJ956" i="1"/>
  <c r="AI956" i="1"/>
  <c r="AH956" i="1"/>
  <c r="AH956" i="1" a="1"/>
  <c r="AG956" i="1"/>
  <c r="AF956" i="1"/>
  <c r="BI955" i="1"/>
  <c r="BH955" i="1"/>
  <c r="BG955" i="1"/>
  <c r="BF955" i="1"/>
  <c r="BE955" i="1"/>
  <c r="BD955" i="1"/>
  <c r="BC955" i="1"/>
  <c r="BB955" i="1"/>
  <c r="BA955" i="1"/>
  <c r="AZ955" i="1"/>
  <c r="AY955" i="1"/>
  <c r="AX955" i="1"/>
  <c r="AW955" i="1"/>
  <c r="AV955" i="1"/>
  <c r="AU955" i="1"/>
  <c r="AT955" i="1"/>
  <c r="AS955" i="1"/>
  <c r="AR955" i="1"/>
  <c r="AQ955" i="1"/>
  <c r="AP955" i="1"/>
  <c r="AM955" i="1"/>
  <c r="AL955" i="1"/>
  <c r="AK955" i="1"/>
  <c r="AJ955" i="1"/>
  <c r="AI955" i="1"/>
  <c r="AH955" i="1"/>
  <c r="AH955" i="1" a="1"/>
  <c r="AG955" i="1"/>
  <c r="AF955" i="1"/>
  <c r="BI954" i="1"/>
  <c r="BH954" i="1"/>
  <c r="BG954" i="1"/>
  <c r="BF954" i="1"/>
  <c r="BE954" i="1"/>
  <c r="BD954" i="1"/>
  <c r="BC954" i="1"/>
  <c r="BB954" i="1"/>
  <c r="BA954" i="1"/>
  <c r="AZ954" i="1"/>
  <c r="AY954" i="1"/>
  <c r="AX954" i="1"/>
  <c r="AW954" i="1"/>
  <c r="AV954" i="1"/>
  <c r="AU954" i="1"/>
  <c r="AT954" i="1"/>
  <c r="AS954" i="1"/>
  <c r="AR954" i="1"/>
  <c r="AQ954" i="1"/>
  <c r="AP954" i="1"/>
  <c r="AM954" i="1"/>
  <c r="AL954" i="1"/>
  <c r="AK954" i="1"/>
  <c r="AJ954" i="1"/>
  <c r="AI954" i="1"/>
  <c r="AH954" i="1"/>
  <c r="AH954" i="1" a="1"/>
  <c r="AG954" i="1"/>
  <c r="AF954" i="1"/>
  <c r="BI953" i="1"/>
  <c r="BH953" i="1"/>
  <c r="BG953" i="1"/>
  <c r="BF953" i="1"/>
  <c r="BE953" i="1"/>
  <c r="BD953" i="1"/>
  <c r="BC953" i="1"/>
  <c r="BB953" i="1"/>
  <c r="BA953" i="1"/>
  <c r="AZ953" i="1"/>
  <c r="AY953" i="1"/>
  <c r="AX953" i="1"/>
  <c r="AW953" i="1"/>
  <c r="AV953" i="1"/>
  <c r="AU953" i="1"/>
  <c r="AT953" i="1"/>
  <c r="AS953" i="1"/>
  <c r="AR953" i="1"/>
  <c r="AQ953" i="1"/>
  <c r="AP953" i="1"/>
  <c r="AM953" i="1"/>
  <c r="AL953" i="1"/>
  <c r="AK953" i="1"/>
  <c r="AJ953" i="1"/>
  <c r="AI953" i="1"/>
  <c r="AH953" i="1"/>
  <c r="AH953" i="1" a="1"/>
  <c r="AG953" i="1"/>
  <c r="AF953" i="1"/>
  <c r="BI952" i="1"/>
  <c r="BH952" i="1"/>
  <c r="BG952" i="1"/>
  <c r="BF952" i="1"/>
  <c r="BE952" i="1"/>
  <c r="BD952" i="1"/>
  <c r="BC952" i="1"/>
  <c r="BB952" i="1"/>
  <c r="BA952" i="1"/>
  <c r="AZ952" i="1"/>
  <c r="AY952" i="1"/>
  <c r="AX952" i="1"/>
  <c r="AW952" i="1"/>
  <c r="AV952" i="1"/>
  <c r="AU952" i="1"/>
  <c r="AT952" i="1"/>
  <c r="AS952" i="1"/>
  <c r="AR952" i="1"/>
  <c r="AQ952" i="1"/>
  <c r="AP952" i="1"/>
  <c r="AM952" i="1"/>
  <c r="AL952" i="1"/>
  <c r="AK952" i="1"/>
  <c r="AJ952" i="1"/>
  <c r="AI952" i="1"/>
  <c r="AH952" i="1"/>
  <c r="AH952" i="1" a="1"/>
  <c r="AG952" i="1"/>
  <c r="AF952" i="1"/>
  <c r="BI951" i="1"/>
  <c r="BH951" i="1"/>
  <c r="BG951" i="1"/>
  <c r="BF951" i="1"/>
  <c r="BE951" i="1"/>
  <c r="BD951" i="1"/>
  <c r="BC951" i="1"/>
  <c r="BB951" i="1"/>
  <c r="BA951" i="1"/>
  <c r="AZ951" i="1"/>
  <c r="AY951" i="1"/>
  <c r="AX951" i="1"/>
  <c r="AW951" i="1"/>
  <c r="AV951" i="1"/>
  <c r="AU951" i="1"/>
  <c r="AT951" i="1"/>
  <c r="AS951" i="1"/>
  <c r="AR951" i="1"/>
  <c r="AQ951" i="1"/>
  <c r="AP951" i="1"/>
  <c r="AM951" i="1"/>
  <c r="AL951" i="1"/>
  <c r="AK951" i="1"/>
  <c r="AJ951" i="1"/>
  <c r="AI951" i="1"/>
  <c r="AH951" i="1"/>
  <c r="AH951" i="1" a="1"/>
  <c r="AG951" i="1"/>
  <c r="AF951" i="1"/>
  <c r="BI950" i="1"/>
  <c r="BH950" i="1"/>
  <c r="BG950" i="1"/>
  <c r="BF950" i="1"/>
  <c r="BE950" i="1"/>
  <c r="BD950" i="1"/>
  <c r="BC950" i="1"/>
  <c r="BB950" i="1"/>
  <c r="BA950" i="1"/>
  <c r="AZ950" i="1"/>
  <c r="AY950" i="1"/>
  <c r="AX950" i="1"/>
  <c r="AW950" i="1"/>
  <c r="AV950" i="1"/>
  <c r="AU950" i="1"/>
  <c r="AT950" i="1"/>
  <c r="AS950" i="1"/>
  <c r="AR950" i="1"/>
  <c r="AQ950" i="1"/>
  <c r="AP950" i="1"/>
  <c r="AM950" i="1"/>
  <c r="AL950" i="1"/>
  <c r="AK950" i="1"/>
  <c r="AJ950" i="1"/>
  <c r="AI950" i="1"/>
  <c r="AH950" i="1"/>
  <c r="AH950" i="1" a="1"/>
  <c r="AG950" i="1"/>
  <c r="AF950" i="1"/>
  <c r="BI949" i="1"/>
  <c r="BH949" i="1"/>
  <c r="BG949" i="1"/>
  <c r="BF949" i="1"/>
  <c r="BE949" i="1"/>
  <c r="BD949" i="1"/>
  <c r="BC949" i="1"/>
  <c r="BB949" i="1"/>
  <c r="BA949" i="1"/>
  <c r="AZ949" i="1"/>
  <c r="AY949" i="1"/>
  <c r="AX949" i="1"/>
  <c r="AW949" i="1"/>
  <c r="AV949" i="1"/>
  <c r="AU949" i="1"/>
  <c r="AT949" i="1"/>
  <c r="AS949" i="1"/>
  <c r="AR949" i="1"/>
  <c r="AQ949" i="1"/>
  <c r="AP949" i="1"/>
  <c r="AM949" i="1"/>
  <c r="AL949" i="1"/>
  <c r="AK949" i="1"/>
  <c r="AJ949" i="1"/>
  <c r="AI949" i="1"/>
  <c r="AH949" i="1"/>
  <c r="AH949" i="1" a="1"/>
  <c r="AG949" i="1"/>
  <c r="AF949" i="1"/>
  <c r="BI948" i="1"/>
  <c r="BH948" i="1"/>
  <c r="BG948" i="1"/>
  <c r="BF948" i="1"/>
  <c r="BE948" i="1"/>
  <c r="BD948" i="1"/>
  <c r="BC948" i="1"/>
  <c r="BB948" i="1"/>
  <c r="BA948" i="1"/>
  <c r="AZ948" i="1"/>
  <c r="AY948" i="1"/>
  <c r="AX948" i="1"/>
  <c r="AW948" i="1"/>
  <c r="AV948" i="1"/>
  <c r="AU948" i="1"/>
  <c r="AT948" i="1"/>
  <c r="AS948" i="1"/>
  <c r="AR948" i="1"/>
  <c r="AQ948" i="1"/>
  <c r="AP948" i="1"/>
  <c r="AM948" i="1"/>
  <c r="AL948" i="1"/>
  <c r="AK948" i="1"/>
  <c r="AJ948" i="1"/>
  <c r="AI948" i="1"/>
  <c r="AH948" i="1"/>
  <c r="AH948" i="1" a="1"/>
  <c r="AG948" i="1"/>
  <c r="AF948" i="1"/>
  <c r="BI947" i="1"/>
  <c r="BH947" i="1"/>
  <c r="BG947" i="1"/>
  <c r="BF947" i="1"/>
  <c r="BE947" i="1"/>
  <c r="BD947" i="1"/>
  <c r="BC947" i="1"/>
  <c r="BB947" i="1"/>
  <c r="BA947" i="1"/>
  <c r="AZ947" i="1"/>
  <c r="AY947" i="1"/>
  <c r="AX947" i="1"/>
  <c r="AW947" i="1"/>
  <c r="AV947" i="1"/>
  <c r="AU947" i="1"/>
  <c r="AT947" i="1"/>
  <c r="AS947" i="1"/>
  <c r="AR947" i="1"/>
  <c r="AQ947" i="1"/>
  <c r="AP947" i="1"/>
  <c r="AM947" i="1"/>
  <c r="AL947" i="1"/>
  <c r="AK947" i="1"/>
  <c r="AJ947" i="1"/>
  <c r="AI947" i="1"/>
  <c r="AH947" i="1"/>
  <c r="AH947" i="1" a="1"/>
  <c r="AG947" i="1"/>
  <c r="AF947" i="1"/>
  <c r="BI946" i="1"/>
  <c r="BH946" i="1"/>
  <c r="BG946" i="1"/>
  <c r="BF946" i="1"/>
  <c r="BE946" i="1"/>
  <c r="BD946" i="1"/>
  <c r="BC946" i="1"/>
  <c r="BB946" i="1"/>
  <c r="BA946" i="1"/>
  <c r="AZ946" i="1"/>
  <c r="AY946" i="1"/>
  <c r="AX946" i="1"/>
  <c r="AW946" i="1"/>
  <c r="AV946" i="1"/>
  <c r="AU946" i="1"/>
  <c r="AT946" i="1"/>
  <c r="AS946" i="1"/>
  <c r="AR946" i="1"/>
  <c r="AQ946" i="1"/>
  <c r="AP946" i="1"/>
  <c r="AM946" i="1"/>
  <c r="AL946" i="1"/>
  <c r="AK946" i="1"/>
  <c r="AJ946" i="1"/>
  <c r="AI946" i="1"/>
  <c r="AH946" i="1"/>
  <c r="AH946" i="1" a="1"/>
  <c r="AG946" i="1"/>
  <c r="AF946" i="1"/>
  <c r="BI945" i="1"/>
  <c r="BH945" i="1"/>
  <c r="BG945" i="1"/>
  <c r="BF945" i="1"/>
  <c r="BE945" i="1"/>
  <c r="BD945" i="1"/>
  <c r="BC945" i="1"/>
  <c r="BB945" i="1"/>
  <c r="BA945" i="1"/>
  <c r="AZ945" i="1"/>
  <c r="AY945" i="1"/>
  <c r="AX945" i="1"/>
  <c r="AW945" i="1"/>
  <c r="AV945" i="1"/>
  <c r="AU945" i="1"/>
  <c r="AT945" i="1"/>
  <c r="AS945" i="1"/>
  <c r="AR945" i="1"/>
  <c r="AQ945" i="1"/>
  <c r="AP945" i="1"/>
  <c r="AM945" i="1"/>
  <c r="AL945" i="1"/>
  <c r="AK945" i="1"/>
  <c r="AJ945" i="1"/>
  <c r="AI945" i="1"/>
  <c r="AH945" i="1"/>
  <c r="AH945" i="1" a="1"/>
  <c r="AG945" i="1"/>
  <c r="AF945" i="1"/>
  <c r="BI944" i="1"/>
  <c r="BH944" i="1"/>
  <c r="BG944" i="1"/>
  <c r="BF944" i="1"/>
  <c r="BE944" i="1"/>
  <c r="BD944" i="1"/>
  <c r="BC944" i="1"/>
  <c r="BB944" i="1"/>
  <c r="BA944" i="1"/>
  <c r="AZ944" i="1"/>
  <c r="AY944" i="1"/>
  <c r="AX944" i="1"/>
  <c r="AW944" i="1"/>
  <c r="AV944" i="1"/>
  <c r="AU944" i="1"/>
  <c r="AT944" i="1"/>
  <c r="AS944" i="1"/>
  <c r="AR944" i="1"/>
  <c r="AQ944" i="1"/>
  <c r="AP944" i="1"/>
  <c r="AM944" i="1"/>
  <c r="AL944" i="1"/>
  <c r="AK944" i="1"/>
  <c r="AJ944" i="1"/>
  <c r="AI944" i="1"/>
  <c r="AH944" i="1"/>
  <c r="AH944" i="1" a="1"/>
  <c r="AG944" i="1"/>
  <c r="AF944" i="1"/>
  <c r="BI943" i="1"/>
  <c r="BH943" i="1"/>
  <c r="BG943" i="1"/>
  <c r="BF943" i="1"/>
  <c r="BE943" i="1"/>
  <c r="BD943" i="1"/>
  <c r="BC943" i="1"/>
  <c r="BB943" i="1"/>
  <c r="BA943" i="1"/>
  <c r="AZ943" i="1"/>
  <c r="AY943" i="1"/>
  <c r="AX943" i="1"/>
  <c r="AW943" i="1"/>
  <c r="AV943" i="1"/>
  <c r="AU943" i="1"/>
  <c r="AT943" i="1"/>
  <c r="AS943" i="1"/>
  <c r="AR943" i="1"/>
  <c r="AQ943" i="1"/>
  <c r="AP943" i="1"/>
  <c r="AM943" i="1"/>
  <c r="AL943" i="1"/>
  <c r="AK943" i="1"/>
  <c r="AJ943" i="1"/>
  <c r="AI943" i="1"/>
  <c r="AH943" i="1"/>
  <c r="AH943" i="1" a="1"/>
  <c r="AG943" i="1"/>
  <c r="AF943" i="1"/>
  <c r="BI942" i="1"/>
  <c r="BH942" i="1"/>
  <c r="BG942" i="1"/>
  <c r="BF942" i="1"/>
  <c r="BE942" i="1"/>
  <c r="BD942" i="1"/>
  <c r="BC942" i="1"/>
  <c r="BB942" i="1"/>
  <c r="BA942" i="1"/>
  <c r="AZ942" i="1"/>
  <c r="AY942" i="1"/>
  <c r="AX942" i="1"/>
  <c r="AW942" i="1"/>
  <c r="AV942" i="1"/>
  <c r="AU942" i="1"/>
  <c r="AT942" i="1"/>
  <c r="AS942" i="1"/>
  <c r="AR942" i="1"/>
  <c r="AQ942" i="1"/>
  <c r="AP942" i="1"/>
  <c r="AM942" i="1"/>
  <c r="AL942" i="1"/>
  <c r="AK942" i="1"/>
  <c r="AJ942" i="1"/>
  <c r="AI942" i="1"/>
  <c r="AH942" i="1"/>
  <c r="AH942" i="1" a="1"/>
  <c r="AG942" i="1"/>
  <c r="AF942" i="1"/>
  <c r="BI941" i="1"/>
  <c r="BH941" i="1"/>
  <c r="BG941" i="1"/>
  <c r="BF941" i="1"/>
  <c r="BE941" i="1"/>
  <c r="BD941" i="1"/>
  <c r="BC941" i="1"/>
  <c r="BB941" i="1"/>
  <c r="BA941" i="1"/>
  <c r="AZ941" i="1"/>
  <c r="AY941" i="1"/>
  <c r="AX941" i="1"/>
  <c r="AW941" i="1"/>
  <c r="AV941" i="1"/>
  <c r="AU941" i="1"/>
  <c r="AT941" i="1"/>
  <c r="AS941" i="1"/>
  <c r="AR941" i="1"/>
  <c r="AQ941" i="1"/>
  <c r="AP941" i="1"/>
  <c r="AM941" i="1"/>
  <c r="AL941" i="1"/>
  <c r="AK941" i="1"/>
  <c r="AJ941" i="1"/>
  <c r="AI941" i="1"/>
  <c r="AH941" i="1"/>
  <c r="AH941" i="1" a="1"/>
  <c r="AG941" i="1"/>
  <c r="AF941" i="1"/>
  <c r="BI940" i="1"/>
  <c r="BH940" i="1"/>
  <c r="BG940" i="1"/>
  <c r="BF940" i="1"/>
  <c r="BE940" i="1"/>
  <c r="BD940" i="1"/>
  <c r="BC940" i="1"/>
  <c r="BB940" i="1"/>
  <c r="BA940" i="1"/>
  <c r="AZ940" i="1"/>
  <c r="AY940" i="1"/>
  <c r="AX940" i="1"/>
  <c r="AW940" i="1"/>
  <c r="AV940" i="1"/>
  <c r="AU940" i="1"/>
  <c r="AT940" i="1"/>
  <c r="AS940" i="1"/>
  <c r="AR940" i="1"/>
  <c r="AQ940" i="1"/>
  <c r="AP940" i="1"/>
  <c r="AM940" i="1"/>
  <c r="AL940" i="1"/>
  <c r="AK940" i="1"/>
  <c r="AJ940" i="1"/>
  <c r="AI940" i="1"/>
  <c r="AH940" i="1"/>
  <c r="AH940" i="1" a="1"/>
  <c r="AG940" i="1"/>
  <c r="AF940" i="1"/>
  <c r="BI939" i="1"/>
  <c r="BH939" i="1"/>
  <c r="BG939" i="1"/>
  <c r="BF939" i="1"/>
  <c r="BE939" i="1"/>
  <c r="BD939" i="1"/>
  <c r="BC939" i="1"/>
  <c r="BB939" i="1"/>
  <c r="BA939" i="1"/>
  <c r="AZ939" i="1"/>
  <c r="AY939" i="1"/>
  <c r="AX939" i="1"/>
  <c r="AW939" i="1"/>
  <c r="AV939" i="1"/>
  <c r="AU939" i="1"/>
  <c r="AT939" i="1"/>
  <c r="AS939" i="1"/>
  <c r="AR939" i="1"/>
  <c r="AQ939" i="1"/>
  <c r="AP939" i="1"/>
  <c r="AM939" i="1"/>
  <c r="AL939" i="1"/>
  <c r="AK939" i="1"/>
  <c r="AJ939" i="1"/>
  <c r="AI939" i="1"/>
  <c r="AH939" i="1"/>
  <c r="AH939" i="1" a="1"/>
  <c r="AG939" i="1"/>
  <c r="AF939" i="1"/>
  <c r="BI938" i="1"/>
  <c r="BH938" i="1"/>
  <c r="BG938" i="1"/>
  <c r="BF938" i="1"/>
  <c r="BE938" i="1"/>
  <c r="BD938" i="1"/>
  <c r="BC938" i="1"/>
  <c r="BB938" i="1"/>
  <c r="BA938" i="1"/>
  <c r="AZ938" i="1"/>
  <c r="AY938" i="1"/>
  <c r="AX938" i="1"/>
  <c r="AW938" i="1"/>
  <c r="AV938" i="1"/>
  <c r="AU938" i="1"/>
  <c r="AT938" i="1"/>
  <c r="AS938" i="1"/>
  <c r="AR938" i="1"/>
  <c r="AQ938" i="1"/>
  <c r="AP938" i="1"/>
  <c r="AM938" i="1"/>
  <c r="AL938" i="1"/>
  <c r="AK938" i="1"/>
  <c r="AJ938" i="1"/>
  <c r="AI938" i="1"/>
  <c r="AH938" i="1"/>
  <c r="AH938" i="1" a="1"/>
  <c r="AG938" i="1"/>
  <c r="AF938" i="1"/>
  <c r="BI937" i="1"/>
  <c r="BH937" i="1"/>
  <c r="BG937" i="1"/>
  <c r="BF937" i="1"/>
  <c r="BE937" i="1"/>
  <c r="BD937" i="1"/>
  <c r="BC937" i="1"/>
  <c r="BB937" i="1"/>
  <c r="BA937" i="1"/>
  <c r="AZ937" i="1"/>
  <c r="AY937" i="1"/>
  <c r="AX937" i="1"/>
  <c r="AW937" i="1"/>
  <c r="AV937" i="1"/>
  <c r="AU937" i="1"/>
  <c r="AT937" i="1"/>
  <c r="AS937" i="1"/>
  <c r="AR937" i="1"/>
  <c r="AQ937" i="1"/>
  <c r="AP937" i="1"/>
  <c r="AM937" i="1"/>
  <c r="AL937" i="1"/>
  <c r="AK937" i="1"/>
  <c r="AJ937" i="1"/>
  <c r="AI937" i="1"/>
  <c r="AH937" i="1"/>
  <c r="AH937" i="1" a="1"/>
  <c r="AG937" i="1"/>
  <c r="AF937" i="1"/>
  <c r="BI936" i="1"/>
  <c r="BH936" i="1"/>
  <c r="BG936" i="1"/>
  <c r="BF936" i="1"/>
  <c r="BE936" i="1"/>
  <c r="BD936" i="1"/>
  <c r="BC936" i="1"/>
  <c r="BB936" i="1"/>
  <c r="BA936" i="1"/>
  <c r="AZ936" i="1"/>
  <c r="AY936" i="1"/>
  <c r="AX936" i="1"/>
  <c r="AW936" i="1"/>
  <c r="AV936" i="1"/>
  <c r="AU936" i="1"/>
  <c r="AT936" i="1"/>
  <c r="AS936" i="1"/>
  <c r="AR936" i="1"/>
  <c r="AQ936" i="1"/>
  <c r="AP936" i="1"/>
  <c r="AM936" i="1"/>
  <c r="AL936" i="1"/>
  <c r="AK936" i="1"/>
  <c r="AJ936" i="1"/>
  <c r="AI936" i="1"/>
  <c r="AH936" i="1"/>
  <c r="AH936" i="1" a="1"/>
  <c r="AG936" i="1"/>
  <c r="AF936" i="1"/>
  <c r="BI935" i="1"/>
  <c r="BH935" i="1"/>
  <c r="BG935" i="1"/>
  <c r="BF935" i="1"/>
  <c r="BE935" i="1"/>
  <c r="BD935" i="1"/>
  <c r="BC935" i="1"/>
  <c r="BB935" i="1"/>
  <c r="BA935" i="1"/>
  <c r="AZ935" i="1"/>
  <c r="AY935" i="1"/>
  <c r="AX935" i="1"/>
  <c r="AW935" i="1"/>
  <c r="AV935" i="1"/>
  <c r="AU935" i="1"/>
  <c r="AT935" i="1"/>
  <c r="AS935" i="1"/>
  <c r="AR935" i="1"/>
  <c r="AQ935" i="1"/>
  <c r="AP935" i="1"/>
  <c r="AM935" i="1"/>
  <c r="AL935" i="1"/>
  <c r="AK935" i="1"/>
  <c r="AJ935" i="1"/>
  <c r="AI935" i="1"/>
  <c r="AH935" i="1"/>
  <c r="AH935" i="1" a="1"/>
  <c r="AG935" i="1"/>
  <c r="AF935" i="1"/>
  <c r="BI934" i="1"/>
  <c r="BH934" i="1"/>
  <c r="BG934" i="1"/>
  <c r="BF934" i="1"/>
  <c r="BE934" i="1"/>
  <c r="BD934" i="1"/>
  <c r="BC934" i="1"/>
  <c r="BB934" i="1"/>
  <c r="BA934" i="1"/>
  <c r="AZ934" i="1"/>
  <c r="AY934" i="1"/>
  <c r="AX934" i="1"/>
  <c r="AW934" i="1"/>
  <c r="AV934" i="1"/>
  <c r="AU934" i="1"/>
  <c r="AT934" i="1"/>
  <c r="AS934" i="1"/>
  <c r="AR934" i="1"/>
  <c r="AQ934" i="1"/>
  <c r="AP934" i="1"/>
  <c r="AM934" i="1"/>
  <c r="AL934" i="1"/>
  <c r="AK934" i="1"/>
  <c r="AJ934" i="1"/>
  <c r="AI934" i="1"/>
  <c r="AH934" i="1"/>
  <c r="AH934" i="1" a="1"/>
  <c r="AG934" i="1"/>
  <c r="AF934" i="1"/>
  <c r="BI933" i="1"/>
  <c r="BH933" i="1"/>
  <c r="BG933" i="1"/>
  <c r="BF933" i="1"/>
  <c r="BE933" i="1"/>
  <c r="BD933" i="1"/>
  <c r="BC933" i="1"/>
  <c r="BB933" i="1"/>
  <c r="BA933" i="1"/>
  <c r="AZ933" i="1"/>
  <c r="AY933" i="1"/>
  <c r="AX933" i="1"/>
  <c r="AW933" i="1"/>
  <c r="AV933" i="1"/>
  <c r="AU933" i="1"/>
  <c r="AT933" i="1"/>
  <c r="AS933" i="1"/>
  <c r="AR933" i="1"/>
  <c r="AQ933" i="1"/>
  <c r="AP933" i="1"/>
  <c r="AM933" i="1"/>
  <c r="AL933" i="1"/>
  <c r="AK933" i="1"/>
  <c r="AJ933" i="1"/>
  <c r="AI933" i="1"/>
  <c r="AH933" i="1"/>
  <c r="AH933" i="1" a="1"/>
  <c r="AG933" i="1"/>
  <c r="AF933" i="1"/>
  <c r="BI932" i="1"/>
  <c r="BH932" i="1"/>
  <c r="BG932" i="1"/>
  <c r="BF932" i="1"/>
  <c r="BE932" i="1"/>
  <c r="BD932" i="1"/>
  <c r="BC932" i="1"/>
  <c r="BB932" i="1"/>
  <c r="BA932" i="1"/>
  <c r="AZ932" i="1"/>
  <c r="AY932" i="1"/>
  <c r="AX932" i="1"/>
  <c r="AW932" i="1"/>
  <c r="AV932" i="1"/>
  <c r="AU932" i="1"/>
  <c r="AT932" i="1"/>
  <c r="AS932" i="1"/>
  <c r="AR932" i="1"/>
  <c r="AQ932" i="1"/>
  <c r="AP932" i="1"/>
  <c r="AM932" i="1"/>
  <c r="AL932" i="1"/>
  <c r="AK932" i="1"/>
  <c r="AJ932" i="1"/>
  <c r="AI932" i="1"/>
  <c r="AH932" i="1"/>
  <c r="AH932" i="1" a="1"/>
  <c r="AG932" i="1"/>
  <c r="AF932" i="1"/>
  <c r="BI931" i="1"/>
  <c r="BH931" i="1"/>
  <c r="BG931" i="1"/>
  <c r="BF931" i="1"/>
  <c r="BE931" i="1"/>
  <c r="BD931" i="1"/>
  <c r="BC931" i="1"/>
  <c r="BB931" i="1"/>
  <c r="BA931" i="1"/>
  <c r="AZ931" i="1"/>
  <c r="AY931" i="1"/>
  <c r="AX931" i="1"/>
  <c r="AW931" i="1"/>
  <c r="AV931" i="1"/>
  <c r="AU931" i="1"/>
  <c r="AT931" i="1"/>
  <c r="AS931" i="1"/>
  <c r="AR931" i="1"/>
  <c r="AQ931" i="1"/>
  <c r="AP931" i="1"/>
  <c r="AM931" i="1"/>
  <c r="AL931" i="1"/>
  <c r="AK931" i="1"/>
  <c r="AJ931" i="1"/>
  <c r="AI931" i="1"/>
  <c r="AH931" i="1"/>
  <c r="AH931" i="1" a="1"/>
  <c r="AG931" i="1"/>
  <c r="AF931" i="1"/>
  <c r="BI930" i="1"/>
  <c r="BH930" i="1"/>
  <c r="BG930" i="1"/>
  <c r="BF930" i="1"/>
  <c r="BE930" i="1"/>
  <c r="BD930" i="1"/>
  <c r="BC930" i="1"/>
  <c r="BB930" i="1"/>
  <c r="BA930" i="1"/>
  <c r="AZ930" i="1"/>
  <c r="AY930" i="1"/>
  <c r="AX930" i="1"/>
  <c r="AW930" i="1"/>
  <c r="AV930" i="1"/>
  <c r="AU930" i="1"/>
  <c r="AT930" i="1"/>
  <c r="AS930" i="1"/>
  <c r="AR930" i="1"/>
  <c r="AQ930" i="1"/>
  <c r="AP930" i="1"/>
  <c r="AM930" i="1"/>
  <c r="AL930" i="1"/>
  <c r="AK930" i="1"/>
  <c r="AJ930" i="1"/>
  <c r="AI930" i="1"/>
  <c r="AH930" i="1"/>
  <c r="AH930" i="1" a="1"/>
  <c r="AG930" i="1"/>
  <c r="AF930" i="1"/>
  <c r="BI929" i="1"/>
  <c r="BH929" i="1"/>
  <c r="BG929" i="1"/>
  <c r="BF929" i="1"/>
  <c r="BE929" i="1"/>
  <c r="BD929" i="1"/>
  <c r="BC929" i="1"/>
  <c r="BB929" i="1"/>
  <c r="BA929" i="1"/>
  <c r="AZ929" i="1"/>
  <c r="AY929" i="1"/>
  <c r="AX929" i="1"/>
  <c r="AW929" i="1"/>
  <c r="AV929" i="1"/>
  <c r="AU929" i="1"/>
  <c r="AT929" i="1"/>
  <c r="AS929" i="1"/>
  <c r="AR929" i="1"/>
  <c r="AQ929" i="1"/>
  <c r="AP929" i="1"/>
  <c r="AM929" i="1"/>
  <c r="AL929" i="1"/>
  <c r="AK929" i="1"/>
  <c r="AJ929" i="1"/>
  <c r="AI929" i="1"/>
  <c r="AH929" i="1"/>
  <c r="AH929" i="1" a="1"/>
  <c r="AG929" i="1"/>
  <c r="AF929" i="1"/>
  <c r="BI928" i="1"/>
  <c r="BH928" i="1"/>
  <c r="BG928" i="1"/>
  <c r="BF928" i="1"/>
  <c r="BE928" i="1"/>
  <c r="BD928" i="1"/>
  <c r="BC928" i="1"/>
  <c r="BB928" i="1"/>
  <c r="BA928" i="1"/>
  <c r="AZ928" i="1"/>
  <c r="AY928" i="1"/>
  <c r="AX928" i="1"/>
  <c r="AW928" i="1"/>
  <c r="AV928" i="1"/>
  <c r="AU928" i="1"/>
  <c r="AT928" i="1"/>
  <c r="AS928" i="1"/>
  <c r="AR928" i="1"/>
  <c r="AQ928" i="1"/>
  <c r="AP928" i="1"/>
  <c r="AM928" i="1"/>
  <c r="AL928" i="1"/>
  <c r="AK928" i="1"/>
  <c r="AJ928" i="1"/>
  <c r="AI928" i="1"/>
  <c r="AH928" i="1"/>
  <c r="AH928" i="1" a="1"/>
  <c r="AG928" i="1"/>
  <c r="AF928" i="1"/>
  <c r="BI927" i="1"/>
  <c r="BH927" i="1"/>
  <c r="BG927" i="1"/>
  <c r="BF927" i="1"/>
  <c r="BE927" i="1"/>
  <c r="BD927" i="1"/>
  <c r="BC927" i="1"/>
  <c r="BB927" i="1"/>
  <c r="BA927" i="1"/>
  <c r="AZ927" i="1"/>
  <c r="AY927" i="1"/>
  <c r="AX927" i="1"/>
  <c r="AW927" i="1"/>
  <c r="AV927" i="1"/>
  <c r="AU927" i="1"/>
  <c r="AT927" i="1"/>
  <c r="AS927" i="1"/>
  <c r="AR927" i="1"/>
  <c r="AQ927" i="1"/>
  <c r="AP927" i="1"/>
  <c r="AM927" i="1"/>
  <c r="AL927" i="1"/>
  <c r="AK927" i="1"/>
  <c r="AJ927" i="1"/>
  <c r="AI927" i="1"/>
  <c r="AH927" i="1"/>
  <c r="AH927" i="1" a="1"/>
  <c r="AG927" i="1"/>
  <c r="AF927" i="1"/>
  <c r="BI926" i="1"/>
  <c r="BH926" i="1"/>
  <c r="BG926" i="1"/>
  <c r="BF926" i="1"/>
  <c r="BE926" i="1"/>
  <c r="BD926" i="1"/>
  <c r="BC926" i="1"/>
  <c r="BB926" i="1"/>
  <c r="BA926" i="1"/>
  <c r="AZ926" i="1"/>
  <c r="AY926" i="1"/>
  <c r="AX926" i="1"/>
  <c r="AW926" i="1"/>
  <c r="AV926" i="1"/>
  <c r="AU926" i="1"/>
  <c r="AT926" i="1"/>
  <c r="AS926" i="1"/>
  <c r="AR926" i="1"/>
  <c r="AQ926" i="1"/>
  <c r="AP926" i="1"/>
  <c r="AM926" i="1"/>
  <c r="AL926" i="1"/>
  <c r="AK926" i="1"/>
  <c r="AJ926" i="1"/>
  <c r="AI926" i="1"/>
  <c r="AH926" i="1"/>
  <c r="AH926" i="1" a="1"/>
  <c r="AG926" i="1"/>
  <c r="AF926" i="1"/>
  <c r="BI925" i="1"/>
  <c r="BH925" i="1"/>
  <c r="BG925" i="1"/>
  <c r="BF925" i="1"/>
  <c r="BE925" i="1"/>
  <c r="BD925" i="1"/>
  <c r="BC925" i="1"/>
  <c r="BB925" i="1"/>
  <c r="BA925" i="1"/>
  <c r="AZ925" i="1"/>
  <c r="AY925" i="1"/>
  <c r="AX925" i="1"/>
  <c r="AW925" i="1"/>
  <c r="AV925" i="1"/>
  <c r="AU925" i="1"/>
  <c r="AT925" i="1"/>
  <c r="AS925" i="1"/>
  <c r="AR925" i="1"/>
  <c r="AQ925" i="1"/>
  <c r="AP925" i="1"/>
  <c r="AM925" i="1"/>
  <c r="AL925" i="1"/>
  <c r="AK925" i="1"/>
  <c r="AJ925" i="1"/>
  <c r="AI925" i="1"/>
  <c r="AH925" i="1"/>
  <c r="AH925" i="1" a="1"/>
  <c r="AG925" i="1"/>
  <c r="AF925" i="1"/>
  <c r="BI924" i="1"/>
  <c r="BH924" i="1"/>
  <c r="BG924" i="1"/>
  <c r="BF924" i="1"/>
  <c r="BE924" i="1"/>
  <c r="BD924" i="1"/>
  <c r="BC924" i="1"/>
  <c r="BB924" i="1"/>
  <c r="BA924" i="1"/>
  <c r="AZ924" i="1"/>
  <c r="AY924" i="1"/>
  <c r="AX924" i="1"/>
  <c r="AW924" i="1"/>
  <c r="AV924" i="1"/>
  <c r="AU924" i="1"/>
  <c r="AT924" i="1"/>
  <c r="AS924" i="1"/>
  <c r="AR924" i="1"/>
  <c r="AQ924" i="1"/>
  <c r="AP924" i="1"/>
  <c r="AM924" i="1"/>
  <c r="AL924" i="1"/>
  <c r="AK924" i="1"/>
  <c r="AJ924" i="1"/>
  <c r="AI924" i="1"/>
  <c r="AH924" i="1"/>
  <c r="AH924" i="1" a="1"/>
  <c r="AG924" i="1"/>
  <c r="AF924" i="1"/>
  <c r="BI923" i="1"/>
  <c r="BH923" i="1"/>
  <c r="BG923" i="1"/>
  <c r="BF923" i="1"/>
  <c r="BE923" i="1"/>
  <c r="BD923" i="1"/>
  <c r="BC923" i="1"/>
  <c r="BB923" i="1"/>
  <c r="BA923" i="1"/>
  <c r="AZ923" i="1"/>
  <c r="AY923" i="1"/>
  <c r="AX923" i="1"/>
  <c r="AW923" i="1"/>
  <c r="AV923" i="1"/>
  <c r="AU923" i="1"/>
  <c r="AT923" i="1"/>
  <c r="AS923" i="1"/>
  <c r="AR923" i="1"/>
  <c r="AQ923" i="1"/>
  <c r="AP923" i="1"/>
  <c r="AM923" i="1"/>
  <c r="AL923" i="1"/>
  <c r="AK923" i="1"/>
  <c r="AJ923" i="1"/>
  <c r="AI923" i="1"/>
  <c r="AH923" i="1"/>
  <c r="AH923" i="1" a="1"/>
  <c r="AG923" i="1"/>
  <c r="AF923" i="1"/>
  <c r="BI922" i="1"/>
  <c r="BH922" i="1"/>
  <c r="BG922" i="1"/>
  <c r="BF922" i="1"/>
  <c r="BE922" i="1"/>
  <c r="BD922" i="1"/>
  <c r="BC922" i="1"/>
  <c r="BB922" i="1"/>
  <c r="BA922" i="1"/>
  <c r="AZ922" i="1"/>
  <c r="AY922" i="1"/>
  <c r="AX922" i="1"/>
  <c r="AW922" i="1"/>
  <c r="AV922" i="1"/>
  <c r="AU922" i="1"/>
  <c r="AT922" i="1"/>
  <c r="AS922" i="1"/>
  <c r="AR922" i="1"/>
  <c r="AQ922" i="1"/>
  <c r="AP922" i="1"/>
  <c r="AM922" i="1"/>
  <c r="AL922" i="1"/>
  <c r="AK922" i="1"/>
  <c r="AJ922" i="1"/>
  <c r="AI922" i="1"/>
  <c r="AH922" i="1"/>
  <c r="AH922" i="1" a="1"/>
  <c r="AG922" i="1"/>
  <c r="AF922" i="1"/>
  <c r="BI921" i="1"/>
  <c r="BH921" i="1"/>
  <c r="BG921" i="1"/>
  <c r="BF921" i="1"/>
  <c r="BE921" i="1"/>
  <c r="BD921" i="1"/>
  <c r="BC921" i="1"/>
  <c r="BB921" i="1"/>
  <c r="BA921" i="1"/>
  <c r="AZ921" i="1"/>
  <c r="AY921" i="1"/>
  <c r="AX921" i="1"/>
  <c r="AW921" i="1"/>
  <c r="AV921" i="1"/>
  <c r="AU921" i="1"/>
  <c r="AT921" i="1"/>
  <c r="AS921" i="1"/>
  <c r="AR921" i="1"/>
  <c r="AQ921" i="1"/>
  <c r="AP921" i="1"/>
  <c r="AM921" i="1"/>
  <c r="AL921" i="1"/>
  <c r="AK921" i="1"/>
  <c r="AJ921" i="1"/>
  <c r="AI921" i="1"/>
  <c r="AH921" i="1"/>
  <c r="AH921" i="1" a="1"/>
  <c r="AG921" i="1"/>
  <c r="AF921" i="1"/>
  <c r="BI920" i="1"/>
  <c r="BH920" i="1"/>
  <c r="BG920" i="1"/>
  <c r="BF920" i="1"/>
  <c r="BE920" i="1"/>
  <c r="BD920" i="1"/>
  <c r="BC920" i="1"/>
  <c r="BB920" i="1"/>
  <c r="BA920" i="1"/>
  <c r="AZ920" i="1"/>
  <c r="AY920" i="1"/>
  <c r="AX920" i="1"/>
  <c r="AW920" i="1"/>
  <c r="AV920" i="1"/>
  <c r="AU920" i="1"/>
  <c r="AT920" i="1"/>
  <c r="AS920" i="1"/>
  <c r="AR920" i="1"/>
  <c r="AQ920" i="1"/>
  <c r="AP920" i="1"/>
  <c r="AM920" i="1"/>
  <c r="AL920" i="1"/>
  <c r="AK920" i="1"/>
  <c r="AJ920" i="1"/>
  <c r="AI920" i="1"/>
  <c r="AH920" i="1"/>
  <c r="AH920" i="1" a="1"/>
  <c r="AG920" i="1"/>
  <c r="AF920" i="1"/>
  <c r="BI919" i="1"/>
  <c r="BH919" i="1"/>
  <c r="BG919" i="1"/>
  <c r="BF919" i="1"/>
  <c r="BE919" i="1"/>
  <c r="BD919" i="1"/>
  <c r="BC919" i="1"/>
  <c r="BB919" i="1"/>
  <c r="BA919" i="1"/>
  <c r="AZ919" i="1"/>
  <c r="AY919" i="1"/>
  <c r="AX919" i="1"/>
  <c r="AW919" i="1"/>
  <c r="AV919" i="1"/>
  <c r="AU919" i="1"/>
  <c r="AT919" i="1"/>
  <c r="AS919" i="1"/>
  <c r="AR919" i="1"/>
  <c r="AQ919" i="1"/>
  <c r="AP919" i="1"/>
  <c r="AM919" i="1"/>
  <c r="AL919" i="1"/>
  <c r="AK919" i="1"/>
  <c r="AJ919" i="1"/>
  <c r="AI919" i="1"/>
  <c r="AH919" i="1"/>
  <c r="AH919" i="1" a="1"/>
  <c r="AG919" i="1"/>
  <c r="AF919" i="1"/>
  <c r="BI918" i="1"/>
  <c r="BH918" i="1"/>
  <c r="BG918" i="1"/>
  <c r="BF918" i="1"/>
  <c r="BE918" i="1"/>
  <c r="BD918" i="1"/>
  <c r="BC918" i="1"/>
  <c r="BB918" i="1"/>
  <c r="BA918" i="1"/>
  <c r="AZ918" i="1"/>
  <c r="AY918" i="1"/>
  <c r="AX918" i="1"/>
  <c r="AW918" i="1"/>
  <c r="AV918" i="1"/>
  <c r="AU918" i="1"/>
  <c r="AT918" i="1"/>
  <c r="AS918" i="1"/>
  <c r="AR918" i="1"/>
  <c r="AQ918" i="1"/>
  <c r="AP918" i="1"/>
  <c r="AM918" i="1"/>
  <c r="AL918" i="1"/>
  <c r="AK918" i="1"/>
  <c r="AJ918" i="1"/>
  <c r="AI918" i="1"/>
  <c r="AH918" i="1"/>
  <c r="AH918" i="1" a="1"/>
  <c r="AG918" i="1"/>
  <c r="AF918" i="1"/>
  <c r="BI917" i="1"/>
  <c r="BH917" i="1"/>
  <c r="BG917" i="1"/>
  <c r="BF917" i="1"/>
  <c r="BE917" i="1"/>
  <c r="BD917" i="1"/>
  <c r="BC917" i="1"/>
  <c r="BB917" i="1"/>
  <c r="BA917" i="1"/>
  <c r="AZ917" i="1"/>
  <c r="AY917" i="1"/>
  <c r="AX917" i="1"/>
  <c r="AW917" i="1"/>
  <c r="AV917" i="1"/>
  <c r="AU917" i="1"/>
  <c r="AT917" i="1"/>
  <c r="AS917" i="1"/>
  <c r="AR917" i="1"/>
  <c r="AQ917" i="1"/>
  <c r="AP917" i="1"/>
  <c r="AM917" i="1"/>
  <c r="AL917" i="1"/>
  <c r="AK917" i="1"/>
  <c r="AJ917" i="1"/>
  <c r="AI917" i="1"/>
  <c r="AH917" i="1"/>
  <c r="AH917" i="1" a="1"/>
  <c r="AG917" i="1"/>
  <c r="AF917" i="1"/>
  <c r="BI916" i="1"/>
  <c r="BH916" i="1"/>
  <c r="BG916" i="1"/>
  <c r="BF916" i="1"/>
  <c r="BE916" i="1"/>
  <c r="BD916" i="1"/>
  <c r="BC916" i="1"/>
  <c r="BB916" i="1"/>
  <c r="BA916" i="1"/>
  <c r="AZ916" i="1"/>
  <c r="AY916" i="1"/>
  <c r="AX916" i="1"/>
  <c r="AW916" i="1"/>
  <c r="AV916" i="1"/>
  <c r="AU916" i="1"/>
  <c r="AT916" i="1"/>
  <c r="AS916" i="1"/>
  <c r="AR916" i="1"/>
  <c r="AQ916" i="1"/>
  <c r="AP916" i="1"/>
  <c r="AM916" i="1"/>
  <c r="AL916" i="1"/>
  <c r="AK916" i="1"/>
  <c r="AJ916" i="1"/>
  <c r="AI916" i="1"/>
  <c r="AH916" i="1"/>
  <c r="AH916" i="1" a="1"/>
  <c r="AG916" i="1"/>
  <c r="AF916" i="1"/>
  <c r="BI915" i="1"/>
  <c r="BH915" i="1"/>
  <c r="BG915" i="1"/>
  <c r="BF915" i="1"/>
  <c r="BE915" i="1"/>
  <c r="BD915" i="1"/>
  <c r="BC915" i="1"/>
  <c r="BB915" i="1"/>
  <c r="BA915" i="1"/>
  <c r="AZ915" i="1"/>
  <c r="AY915" i="1"/>
  <c r="AX915" i="1"/>
  <c r="AW915" i="1"/>
  <c r="AV915" i="1"/>
  <c r="AU915" i="1"/>
  <c r="AT915" i="1"/>
  <c r="AS915" i="1"/>
  <c r="AR915" i="1"/>
  <c r="AQ915" i="1"/>
  <c r="AP915" i="1"/>
  <c r="AM915" i="1"/>
  <c r="AL915" i="1"/>
  <c r="AK915" i="1"/>
  <c r="AJ915" i="1"/>
  <c r="AI915" i="1"/>
  <c r="AH915" i="1"/>
  <c r="AH915" i="1" a="1"/>
  <c r="AG915" i="1"/>
  <c r="AF915" i="1"/>
  <c r="BI914" i="1"/>
  <c r="BH914" i="1"/>
  <c r="BG914" i="1"/>
  <c r="BF914" i="1"/>
  <c r="BE914" i="1"/>
  <c r="BD914" i="1"/>
  <c r="BC914" i="1"/>
  <c r="BB914" i="1"/>
  <c r="BA914" i="1"/>
  <c r="AZ914" i="1"/>
  <c r="AY914" i="1"/>
  <c r="AX914" i="1"/>
  <c r="AW914" i="1"/>
  <c r="AV914" i="1"/>
  <c r="AU914" i="1"/>
  <c r="AT914" i="1"/>
  <c r="AS914" i="1"/>
  <c r="AR914" i="1"/>
  <c r="AQ914" i="1"/>
  <c r="AP914" i="1"/>
  <c r="AM914" i="1"/>
  <c r="AL914" i="1"/>
  <c r="AK914" i="1"/>
  <c r="AJ914" i="1"/>
  <c r="AI914" i="1"/>
  <c r="AH914" i="1"/>
  <c r="AH914" i="1" a="1"/>
  <c r="AG914" i="1"/>
  <c r="AF914" i="1"/>
  <c r="BI913" i="1"/>
  <c r="BH913" i="1"/>
  <c r="BG913" i="1"/>
  <c r="BF913" i="1"/>
  <c r="BE913" i="1"/>
  <c r="BD913" i="1"/>
  <c r="BC913" i="1"/>
  <c r="BB913" i="1"/>
  <c r="BA913" i="1"/>
  <c r="AZ913" i="1"/>
  <c r="AY913" i="1"/>
  <c r="AX913" i="1"/>
  <c r="AW913" i="1"/>
  <c r="AV913" i="1"/>
  <c r="AU913" i="1"/>
  <c r="AT913" i="1"/>
  <c r="AS913" i="1"/>
  <c r="AR913" i="1"/>
  <c r="AQ913" i="1"/>
  <c r="AP913" i="1"/>
  <c r="AM913" i="1"/>
  <c r="AL913" i="1"/>
  <c r="AK913" i="1"/>
  <c r="AJ913" i="1"/>
  <c r="AI913" i="1"/>
  <c r="AH913" i="1"/>
  <c r="AH913" i="1" a="1"/>
  <c r="AG913" i="1"/>
  <c r="AF913" i="1"/>
  <c r="BI912" i="1"/>
  <c r="BH912" i="1"/>
  <c r="BG912" i="1"/>
  <c r="BF912" i="1"/>
  <c r="BE912" i="1"/>
  <c r="BD912" i="1"/>
  <c r="BC912" i="1"/>
  <c r="BB912" i="1"/>
  <c r="BA912" i="1"/>
  <c r="AZ912" i="1"/>
  <c r="AY912" i="1"/>
  <c r="AX912" i="1"/>
  <c r="AW912" i="1"/>
  <c r="AV912" i="1"/>
  <c r="AU912" i="1"/>
  <c r="AT912" i="1"/>
  <c r="AS912" i="1"/>
  <c r="AR912" i="1"/>
  <c r="AQ912" i="1"/>
  <c r="AP912" i="1"/>
  <c r="AM912" i="1"/>
  <c r="AL912" i="1"/>
  <c r="AK912" i="1"/>
  <c r="AJ912" i="1"/>
  <c r="AI912" i="1"/>
  <c r="AH912" i="1"/>
  <c r="AH912" i="1" a="1"/>
  <c r="AG912" i="1"/>
  <c r="AF912" i="1"/>
  <c r="BI911" i="1"/>
  <c r="BH911" i="1"/>
  <c r="BG911" i="1"/>
  <c r="BF911" i="1"/>
  <c r="BE911" i="1"/>
  <c r="BD911" i="1"/>
  <c r="BC911" i="1"/>
  <c r="BB911" i="1"/>
  <c r="BA911" i="1"/>
  <c r="AZ911" i="1"/>
  <c r="AY911" i="1"/>
  <c r="AX911" i="1"/>
  <c r="AW911" i="1"/>
  <c r="AV911" i="1"/>
  <c r="AU911" i="1"/>
  <c r="AT911" i="1"/>
  <c r="AS911" i="1"/>
  <c r="AR911" i="1"/>
  <c r="AQ911" i="1"/>
  <c r="AP911" i="1"/>
  <c r="AM911" i="1"/>
  <c r="AL911" i="1"/>
  <c r="AK911" i="1"/>
  <c r="AJ911" i="1"/>
  <c r="AI911" i="1"/>
  <c r="AH911" i="1"/>
  <c r="AH911" i="1" a="1"/>
  <c r="AG911" i="1"/>
  <c r="AF911" i="1"/>
  <c r="BI910" i="1"/>
  <c r="BH910" i="1"/>
  <c r="BG910" i="1"/>
  <c r="BF910" i="1"/>
  <c r="BE910" i="1"/>
  <c r="BD910" i="1"/>
  <c r="BC910" i="1"/>
  <c r="BB910" i="1"/>
  <c r="BA910" i="1"/>
  <c r="AZ910" i="1"/>
  <c r="AY910" i="1"/>
  <c r="AX910" i="1"/>
  <c r="AW910" i="1"/>
  <c r="AV910" i="1"/>
  <c r="AU910" i="1"/>
  <c r="AT910" i="1"/>
  <c r="AS910" i="1"/>
  <c r="AR910" i="1"/>
  <c r="AQ910" i="1"/>
  <c r="AP910" i="1"/>
  <c r="AM910" i="1"/>
  <c r="AL910" i="1"/>
  <c r="AK910" i="1"/>
  <c r="AJ910" i="1"/>
  <c r="AI910" i="1"/>
  <c r="AH910" i="1"/>
  <c r="AH910" i="1" a="1"/>
  <c r="AG910" i="1"/>
  <c r="AF910" i="1"/>
  <c r="BI909" i="1"/>
  <c r="BH909" i="1"/>
  <c r="BG909" i="1"/>
  <c r="BF909" i="1"/>
  <c r="BE909" i="1"/>
  <c r="BD909" i="1"/>
  <c r="BC909" i="1"/>
  <c r="BB909" i="1"/>
  <c r="BA909" i="1"/>
  <c r="AZ909" i="1"/>
  <c r="AY909" i="1"/>
  <c r="AX909" i="1"/>
  <c r="AW909" i="1"/>
  <c r="AV909" i="1"/>
  <c r="AU909" i="1"/>
  <c r="AT909" i="1"/>
  <c r="AS909" i="1"/>
  <c r="AR909" i="1"/>
  <c r="AQ909" i="1"/>
  <c r="AP909" i="1"/>
  <c r="AM909" i="1"/>
  <c r="AL909" i="1"/>
  <c r="AK909" i="1"/>
  <c r="AJ909" i="1"/>
  <c r="AI909" i="1"/>
  <c r="AH909" i="1"/>
  <c r="AH909" i="1" a="1"/>
  <c r="AG909" i="1"/>
  <c r="AF909" i="1"/>
  <c r="BI908" i="1"/>
  <c r="BH908" i="1"/>
  <c r="BG908" i="1"/>
  <c r="BF908" i="1"/>
  <c r="BE908" i="1"/>
  <c r="BD908" i="1"/>
  <c r="BC908" i="1"/>
  <c r="BB908" i="1"/>
  <c r="BA908" i="1"/>
  <c r="AZ908" i="1"/>
  <c r="AY908" i="1"/>
  <c r="AX908" i="1"/>
  <c r="AW908" i="1"/>
  <c r="AV908" i="1"/>
  <c r="AU908" i="1"/>
  <c r="AT908" i="1"/>
  <c r="AS908" i="1"/>
  <c r="AR908" i="1"/>
  <c r="AQ908" i="1"/>
  <c r="AP908" i="1"/>
  <c r="AM908" i="1"/>
  <c r="AL908" i="1"/>
  <c r="AK908" i="1"/>
  <c r="AJ908" i="1"/>
  <c r="AI908" i="1"/>
  <c r="AH908" i="1"/>
  <c r="AH908" i="1" a="1"/>
  <c r="AG908" i="1"/>
  <c r="AF908" i="1"/>
  <c r="BI907" i="1"/>
  <c r="BH907" i="1"/>
  <c r="BG907" i="1"/>
  <c r="BF907" i="1"/>
  <c r="BE907" i="1"/>
  <c r="BD907" i="1"/>
  <c r="BC907" i="1"/>
  <c r="BB907" i="1"/>
  <c r="BA907" i="1"/>
  <c r="AZ907" i="1"/>
  <c r="AY907" i="1"/>
  <c r="AX907" i="1"/>
  <c r="AW907" i="1"/>
  <c r="AV907" i="1"/>
  <c r="AU907" i="1"/>
  <c r="AT907" i="1"/>
  <c r="AS907" i="1"/>
  <c r="AR907" i="1"/>
  <c r="AQ907" i="1"/>
  <c r="AP907" i="1"/>
  <c r="AM907" i="1"/>
  <c r="AL907" i="1"/>
  <c r="AK907" i="1"/>
  <c r="AJ907" i="1"/>
  <c r="AI907" i="1"/>
  <c r="AH907" i="1"/>
  <c r="AH907" i="1" a="1"/>
  <c r="AG907" i="1"/>
  <c r="AF907" i="1"/>
  <c r="BI906" i="1"/>
  <c r="BH906" i="1"/>
  <c r="BG906" i="1"/>
  <c r="BF906" i="1"/>
  <c r="BE906" i="1"/>
  <c r="BD906" i="1"/>
  <c r="BC906" i="1"/>
  <c r="BB906" i="1"/>
  <c r="BA906" i="1"/>
  <c r="AZ906" i="1"/>
  <c r="AY906" i="1"/>
  <c r="AX906" i="1"/>
  <c r="AW906" i="1"/>
  <c r="AV906" i="1"/>
  <c r="AU906" i="1"/>
  <c r="AT906" i="1"/>
  <c r="AS906" i="1"/>
  <c r="AR906" i="1"/>
  <c r="AQ906" i="1"/>
  <c r="AP906" i="1"/>
  <c r="AM906" i="1"/>
  <c r="AL906" i="1"/>
  <c r="AK906" i="1"/>
  <c r="AJ906" i="1"/>
  <c r="AI906" i="1"/>
  <c r="AH906" i="1"/>
  <c r="AH906" i="1" a="1"/>
  <c r="AG906" i="1"/>
  <c r="AF906" i="1"/>
  <c r="BI905" i="1"/>
  <c r="BH905" i="1"/>
  <c r="BG905" i="1"/>
  <c r="BF905" i="1"/>
  <c r="BE905" i="1"/>
  <c r="BD905" i="1"/>
  <c r="BC905" i="1"/>
  <c r="BB905" i="1"/>
  <c r="BA905" i="1"/>
  <c r="AZ905" i="1"/>
  <c r="AY905" i="1"/>
  <c r="AX905" i="1"/>
  <c r="AW905" i="1"/>
  <c r="AV905" i="1"/>
  <c r="AU905" i="1"/>
  <c r="AT905" i="1"/>
  <c r="AS905" i="1"/>
  <c r="AR905" i="1"/>
  <c r="AQ905" i="1"/>
  <c r="AP905" i="1"/>
  <c r="AM905" i="1"/>
  <c r="AL905" i="1"/>
  <c r="AK905" i="1"/>
  <c r="AJ905" i="1"/>
  <c r="AI905" i="1"/>
  <c r="AH905" i="1"/>
  <c r="AH905" i="1" a="1"/>
  <c r="AG905" i="1"/>
  <c r="AF905" i="1"/>
  <c r="BI904" i="1"/>
  <c r="BH904" i="1"/>
  <c r="BG904" i="1"/>
  <c r="BF904" i="1"/>
  <c r="BE904" i="1"/>
  <c r="BD904" i="1"/>
  <c r="BC904" i="1"/>
  <c r="BB904" i="1"/>
  <c r="BA904" i="1"/>
  <c r="AZ904" i="1"/>
  <c r="AY904" i="1"/>
  <c r="AX904" i="1"/>
  <c r="AW904" i="1"/>
  <c r="AV904" i="1"/>
  <c r="AU904" i="1"/>
  <c r="AT904" i="1"/>
  <c r="AS904" i="1"/>
  <c r="AR904" i="1"/>
  <c r="AQ904" i="1"/>
  <c r="AP904" i="1"/>
  <c r="AM904" i="1"/>
  <c r="AL904" i="1"/>
  <c r="AK904" i="1"/>
  <c r="AJ904" i="1"/>
  <c r="AI904" i="1"/>
  <c r="AH904" i="1"/>
  <c r="AH904" i="1" a="1"/>
  <c r="AG904" i="1"/>
  <c r="AF904" i="1"/>
  <c r="BI903" i="1"/>
  <c r="BH903" i="1"/>
  <c r="BG903" i="1"/>
  <c r="BF903" i="1"/>
  <c r="BE903" i="1"/>
  <c r="BD903" i="1"/>
  <c r="BC903" i="1"/>
  <c r="BB903" i="1"/>
  <c r="BA903" i="1"/>
  <c r="AZ903" i="1"/>
  <c r="AY903" i="1"/>
  <c r="AX903" i="1"/>
  <c r="AW903" i="1"/>
  <c r="AV903" i="1"/>
  <c r="AU903" i="1"/>
  <c r="AT903" i="1"/>
  <c r="AS903" i="1"/>
  <c r="AR903" i="1"/>
  <c r="AQ903" i="1"/>
  <c r="AP903" i="1"/>
  <c r="AM903" i="1"/>
  <c r="AL903" i="1"/>
  <c r="AK903" i="1"/>
  <c r="AJ903" i="1"/>
  <c r="AI903" i="1"/>
  <c r="AH903" i="1"/>
  <c r="AH903" i="1" a="1"/>
  <c r="AG903" i="1"/>
  <c r="AF903" i="1"/>
  <c r="BI902" i="1"/>
  <c r="BH902" i="1"/>
  <c r="BG902" i="1"/>
  <c r="BF902" i="1"/>
  <c r="BE902" i="1"/>
  <c r="BD902" i="1"/>
  <c r="BC902" i="1"/>
  <c r="BB902" i="1"/>
  <c r="BA902" i="1"/>
  <c r="AZ902" i="1"/>
  <c r="AY902" i="1"/>
  <c r="AX902" i="1"/>
  <c r="AW902" i="1"/>
  <c r="AV902" i="1"/>
  <c r="AU902" i="1"/>
  <c r="AT902" i="1"/>
  <c r="AS902" i="1"/>
  <c r="AR902" i="1"/>
  <c r="AQ902" i="1"/>
  <c r="AP902" i="1"/>
  <c r="AM902" i="1"/>
  <c r="AL902" i="1"/>
  <c r="AK902" i="1"/>
  <c r="AJ902" i="1"/>
  <c r="AI902" i="1"/>
  <c r="AH902" i="1"/>
  <c r="AH902" i="1" a="1"/>
  <c r="AG902" i="1"/>
  <c r="AF902" i="1"/>
  <c r="BI901" i="1"/>
  <c r="BH901" i="1"/>
  <c r="BG901" i="1"/>
  <c r="BF901" i="1"/>
  <c r="BE901" i="1"/>
  <c r="BD901" i="1"/>
  <c r="BC901" i="1"/>
  <c r="BB901" i="1"/>
  <c r="BA901" i="1"/>
  <c r="AZ901" i="1"/>
  <c r="AY901" i="1"/>
  <c r="AX901" i="1"/>
  <c r="AW901" i="1"/>
  <c r="AV901" i="1"/>
  <c r="AU901" i="1"/>
  <c r="AT901" i="1"/>
  <c r="AS901" i="1"/>
  <c r="AR901" i="1"/>
  <c r="AQ901" i="1"/>
  <c r="AP901" i="1"/>
  <c r="AM901" i="1"/>
  <c r="AL901" i="1"/>
  <c r="AK901" i="1"/>
  <c r="AJ901" i="1"/>
  <c r="AI901" i="1"/>
  <c r="AH901" i="1"/>
  <c r="AH901" i="1" a="1"/>
  <c r="AG901" i="1"/>
  <c r="AF901" i="1"/>
  <c r="BI900" i="1"/>
  <c r="BH900" i="1"/>
  <c r="BG900" i="1"/>
  <c r="BF900" i="1"/>
  <c r="BE900" i="1"/>
  <c r="BD900" i="1"/>
  <c r="BC900" i="1"/>
  <c r="BB900" i="1"/>
  <c r="BA900" i="1"/>
  <c r="AZ900" i="1"/>
  <c r="AY900" i="1"/>
  <c r="AX900" i="1"/>
  <c r="AW900" i="1"/>
  <c r="AV900" i="1"/>
  <c r="AU900" i="1"/>
  <c r="AT900" i="1"/>
  <c r="AS900" i="1"/>
  <c r="AR900" i="1"/>
  <c r="AQ900" i="1"/>
  <c r="AP900" i="1"/>
  <c r="AM900" i="1"/>
  <c r="AL900" i="1"/>
  <c r="AK900" i="1"/>
  <c r="AJ900" i="1"/>
  <c r="AI900" i="1"/>
  <c r="AH900" i="1"/>
  <c r="AH900" i="1" a="1"/>
  <c r="AG900" i="1"/>
  <c r="AF900" i="1"/>
  <c r="BI899" i="1"/>
  <c r="BH899" i="1"/>
  <c r="BG899" i="1"/>
  <c r="BF899" i="1"/>
  <c r="BE899" i="1"/>
  <c r="BD899" i="1"/>
  <c r="BC899" i="1"/>
  <c r="BB899" i="1"/>
  <c r="BA899" i="1"/>
  <c r="AZ899" i="1"/>
  <c r="AY899" i="1"/>
  <c r="AX899" i="1"/>
  <c r="AW899" i="1"/>
  <c r="AV899" i="1"/>
  <c r="AU899" i="1"/>
  <c r="AT899" i="1"/>
  <c r="AS899" i="1"/>
  <c r="AR899" i="1"/>
  <c r="AQ899" i="1"/>
  <c r="AP899" i="1"/>
  <c r="AM899" i="1"/>
  <c r="AL899" i="1"/>
  <c r="AK899" i="1"/>
  <c r="AJ899" i="1"/>
  <c r="AI899" i="1"/>
  <c r="AH899" i="1"/>
  <c r="AH899" i="1" a="1"/>
  <c r="AG899" i="1"/>
  <c r="AF899" i="1"/>
  <c r="BI898" i="1"/>
  <c r="BH898" i="1"/>
  <c r="BG898" i="1"/>
  <c r="BF898" i="1"/>
  <c r="BE898" i="1"/>
  <c r="BD898" i="1"/>
  <c r="BC898" i="1"/>
  <c r="BB898" i="1"/>
  <c r="BA898" i="1"/>
  <c r="AZ898" i="1"/>
  <c r="AY898" i="1"/>
  <c r="AX898" i="1"/>
  <c r="AW898" i="1"/>
  <c r="AV898" i="1"/>
  <c r="AU898" i="1"/>
  <c r="AT898" i="1"/>
  <c r="AS898" i="1"/>
  <c r="AR898" i="1"/>
  <c r="AQ898" i="1"/>
  <c r="AP898" i="1"/>
  <c r="AM898" i="1"/>
  <c r="AL898" i="1"/>
  <c r="AK898" i="1"/>
  <c r="AJ898" i="1"/>
  <c r="AI898" i="1"/>
  <c r="AH898" i="1"/>
  <c r="AH898" i="1" a="1"/>
  <c r="AG898" i="1"/>
  <c r="AF898" i="1"/>
  <c r="BI897" i="1"/>
  <c r="BH897" i="1"/>
  <c r="BG897" i="1"/>
  <c r="BF897" i="1"/>
  <c r="BE897" i="1"/>
  <c r="BD897" i="1"/>
  <c r="BC897" i="1"/>
  <c r="BB897" i="1"/>
  <c r="BA897" i="1"/>
  <c r="AZ897" i="1"/>
  <c r="AY897" i="1"/>
  <c r="AX897" i="1"/>
  <c r="AW897" i="1"/>
  <c r="AV897" i="1"/>
  <c r="AU897" i="1"/>
  <c r="AT897" i="1"/>
  <c r="AS897" i="1"/>
  <c r="AR897" i="1"/>
  <c r="AQ897" i="1"/>
  <c r="AP897" i="1"/>
  <c r="AM897" i="1"/>
  <c r="AL897" i="1"/>
  <c r="AK897" i="1"/>
  <c r="AJ897" i="1"/>
  <c r="AI897" i="1"/>
  <c r="AH897" i="1"/>
  <c r="AH897" i="1" a="1"/>
  <c r="AG897" i="1"/>
  <c r="AF897" i="1"/>
  <c r="BI896" i="1"/>
  <c r="BH896" i="1"/>
  <c r="BG896" i="1"/>
  <c r="BF896" i="1"/>
  <c r="BE896" i="1"/>
  <c r="BD896" i="1"/>
  <c r="BC896" i="1"/>
  <c r="BB896" i="1"/>
  <c r="BA896" i="1"/>
  <c r="AZ896" i="1"/>
  <c r="AY896" i="1"/>
  <c r="AX896" i="1"/>
  <c r="AW896" i="1"/>
  <c r="AV896" i="1"/>
  <c r="AU896" i="1"/>
  <c r="AT896" i="1"/>
  <c r="AS896" i="1"/>
  <c r="AR896" i="1"/>
  <c r="AQ896" i="1"/>
  <c r="AP896" i="1"/>
  <c r="AM896" i="1"/>
  <c r="AL896" i="1"/>
  <c r="AK896" i="1"/>
  <c r="AJ896" i="1"/>
  <c r="AI896" i="1"/>
  <c r="AH896" i="1"/>
  <c r="AH896" i="1" a="1"/>
  <c r="AG896" i="1"/>
  <c r="AF896" i="1"/>
  <c r="BI895" i="1"/>
  <c r="BH895" i="1"/>
  <c r="BG895" i="1"/>
  <c r="BF895" i="1"/>
  <c r="BE895" i="1"/>
  <c r="BD895" i="1"/>
  <c r="BC895" i="1"/>
  <c r="BB895" i="1"/>
  <c r="BA895" i="1"/>
  <c r="AZ895" i="1"/>
  <c r="AY895" i="1"/>
  <c r="AX895" i="1"/>
  <c r="AW895" i="1"/>
  <c r="AV895" i="1"/>
  <c r="AU895" i="1"/>
  <c r="AT895" i="1"/>
  <c r="AS895" i="1"/>
  <c r="AR895" i="1"/>
  <c r="AQ895" i="1"/>
  <c r="AP895" i="1"/>
  <c r="AM895" i="1"/>
  <c r="AL895" i="1"/>
  <c r="AK895" i="1"/>
  <c r="AJ895" i="1"/>
  <c r="AI895" i="1"/>
  <c r="AH895" i="1"/>
  <c r="AH895" i="1" a="1"/>
  <c r="AG895" i="1"/>
  <c r="AF895" i="1"/>
  <c r="BI894" i="1"/>
  <c r="BH894" i="1"/>
  <c r="BG894" i="1"/>
  <c r="BF894" i="1"/>
  <c r="BE894" i="1"/>
  <c r="BD894" i="1"/>
  <c r="BC894" i="1"/>
  <c r="BB894" i="1"/>
  <c r="BA894" i="1"/>
  <c r="AZ894" i="1"/>
  <c r="AY894" i="1"/>
  <c r="AX894" i="1"/>
  <c r="AW894" i="1"/>
  <c r="AV894" i="1"/>
  <c r="AU894" i="1"/>
  <c r="AT894" i="1"/>
  <c r="AS894" i="1"/>
  <c r="AR894" i="1"/>
  <c r="AQ894" i="1"/>
  <c r="AP894" i="1"/>
  <c r="AM894" i="1"/>
  <c r="AL894" i="1"/>
  <c r="AK894" i="1"/>
  <c r="AJ894" i="1"/>
  <c r="AI894" i="1"/>
  <c r="AH894" i="1"/>
  <c r="AH894" i="1" a="1"/>
  <c r="AG894" i="1"/>
  <c r="AF894" i="1"/>
  <c r="BI893" i="1"/>
  <c r="BH893" i="1"/>
  <c r="BG893" i="1"/>
  <c r="BF893" i="1"/>
  <c r="BE893" i="1"/>
  <c r="BD893" i="1"/>
  <c r="BC893" i="1"/>
  <c r="BB893" i="1"/>
  <c r="BA893" i="1"/>
  <c r="AZ893" i="1"/>
  <c r="AY893" i="1"/>
  <c r="AX893" i="1"/>
  <c r="AW893" i="1"/>
  <c r="AV893" i="1"/>
  <c r="AU893" i="1"/>
  <c r="AT893" i="1"/>
  <c r="AS893" i="1"/>
  <c r="AR893" i="1"/>
  <c r="AQ893" i="1"/>
  <c r="AP893" i="1"/>
  <c r="AM893" i="1"/>
  <c r="AL893" i="1"/>
  <c r="AK893" i="1"/>
  <c r="AJ893" i="1"/>
  <c r="AI893" i="1"/>
  <c r="AH893" i="1"/>
  <c r="AH893" i="1" a="1"/>
  <c r="AG893" i="1"/>
  <c r="AF893" i="1"/>
  <c r="BI892" i="1"/>
  <c r="BH892" i="1"/>
  <c r="BG892" i="1"/>
  <c r="BF892" i="1"/>
  <c r="BE892" i="1"/>
  <c r="BD892" i="1"/>
  <c r="BC892" i="1"/>
  <c r="BB892" i="1"/>
  <c r="BA892" i="1"/>
  <c r="AZ892" i="1"/>
  <c r="AY892" i="1"/>
  <c r="AX892" i="1"/>
  <c r="AW892" i="1"/>
  <c r="AV892" i="1"/>
  <c r="AU892" i="1"/>
  <c r="AT892" i="1"/>
  <c r="AS892" i="1"/>
  <c r="AR892" i="1"/>
  <c r="AQ892" i="1"/>
  <c r="AP892" i="1"/>
  <c r="AM892" i="1"/>
  <c r="AL892" i="1"/>
  <c r="AK892" i="1"/>
  <c r="AJ892" i="1"/>
  <c r="AI892" i="1"/>
  <c r="AH892" i="1"/>
  <c r="AH892" i="1" a="1"/>
  <c r="AG892" i="1"/>
  <c r="AF892" i="1"/>
  <c r="BI891" i="1"/>
  <c r="BH891" i="1"/>
  <c r="BG891" i="1"/>
  <c r="BF891" i="1"/>
  <c r="BE891" i="1"/>
  <c r="BD891" i="1"/>
  <c r="BC891" i="1"/>
  <c r="BB891" i="1"/>
  <c r="BA891" i="1"/>
  <c r="AZ891" i="1"/>
  <c r="AY891" i="1"/>
  <c r="AX891" i="1"/>
  <c r="AW891" i="1"/>
  <c r="AV891" i="1"/>
  <c r="AU891" i="1"/>
  <c r="AT891" i="1"/>
  <c r="AS891" i="1"/>
  <c r="AR891" i="1"/>
  <c r="AQ891" i="1"/>
  <c r="AP891" i="1"/>
  <c r="AM891" i="1"/>
  <c r="AL891" i="1"/>
  <c r="AK891" i="1"/>
  <c r="AJ891" i="1"/>
  <c r="AI891" i="1"/>
  <c r="AH891" i="1"/>
  <c r="AH891" i="1" a="1"/>
  <c r="AG891" i="1"/>
  <c r="AF891" i="1"/>
  <c r="BI890" i="1"/>
  <c r="BH890" i="1"/>
  <c r="BG890" i="1"/>
  <c r="BF890" i="1"/>
  <c r="BE890" i="1"/>
  <c r="BD890" i="1"/>
  <c r="BC890" i="1"/>
  <c r="BB890" i="1"/>
  <c r="BA890" i="1"/>
  <c r="AZ890" i="1"/>
  <c r="AY890" i="1"/>
  <c r="AX890" i="1"/>
  <c r="AW890" i="1"/>
  <c r="AV890" i="1"/>
  <c r="AU890" i="1"/>
  <c r="AT890" i="1"/>
  <c r="AS890" i="1"/>
  <c r="AR890" i="1"/>
  <c r="AQ890" i="1"/>
  <c r="AP890" i="1"/>
  <c r="AM890" i="1"/>
  <c r="AL890" i="1"/>
  <c r="AK890" i="1"/>
  <c r="AJ890" i="1"/>
  <c r="AI890" i="1"/>
  <c r="AH890" i="1"/>
  <c r="AH890" i="1" a="1"/>
  <c r="AG890" i="1"/>
  <c r="AF890" i="1"/>
  <c r="BI889" i="1"/>
  <c r="BH889" i="1"/>
  <c r="BG889" i="1"/>
  <c r="BF889" i="1"/>
  <c r="BE889" i="1"/>
  <c r="BD889" i="1"/>
  <c r="BC889" i="1"/>
  <c r="BB889" i="1"/>
  <c r="BA889" i="1"/>
  <c r="AZ889" i="1"/>
  <c r="AY889" i="1"/>
  <c r="AX889" i="1"/>
  <c r="AW889" i="1"/>
  <c r="AV889" i="1"/>
  <c r="AU889" i="1"/>
  <c r="AT889" i="1"/>
  <c r="AS889" i="1"/>
  <c r="AR889" i="1"/>
  <c r="AQ889" i="1"/>
  <c r="AP889" i="1"/>
  <c r="AM889" i="1"/>
  <c r="AL889" i="1"/>
  <c r="AK889" i="1"/>
  <c r="AJ889" i="1"/>
  <c r="AI889" i="1"/>
  <c r="AH889" i="1"/>
  <c r="AH889" i="1" a="1"/>
  <c r="AG889" i="1"/>
  <c r="AF889" i="1"/>
  <c r="BI888" i="1"/>
  <c r="BH888" i="1"/>
  <c r="BG888" i="1"/>
  <c r="BF888" i="1"/>
  <c r="BE888" i="1"/>
  <c r="BD888" i="1"/>
  <c r="BC888" i="1"/>
  <c r="BB888" i="1"/>
  <c r="BA888" i="1"/>
  <c r="AZ888" i="1"/>
  <c r="AY888" i="1"/>
  <c r="AX888" i="1"/>
  <c r="AW888" i="1"/>
  <c r="AV888" i="1"/>
  <c r="AU888" i="1"/>
  <c r="AT888" i="1"/>
  <c r="AS888" i="1"/>
  <c r="AR888" i="1"/>
  <c r="AQ888" i="1"/>
  <c r="AP888" i="1"/>
  <c r="AM888" i="1"/>
  <c r="AL888" i="1"/>
  <c r="AK888" i="1"/>
  <c r="AJ888" i="1"/>
  <c r="AI888" i="1"/>
  <c r="AH888" i="1"/>
  <c r="AH888" i="1" a="1"/>
  <c r="AG888" i="1"/>
  <c r="AF888" i="1"/>
  <c r="BI887" i="1"/>
  <c r="BH887" i="1"/>
  <c r="BG887" i="1"/>
  <c r="BF887" i="1"/>
  <c r="BE887" i="1"/>
  <c r="BD887" i="1"/>
  <c r="BC887" i="1"/>
  <c r="BB887" i="1"/>
  <c r="BA887" i="1"/>
  <c r="AZ887" i="1"/>
  <c r="AY887" i="1"/>
  <c r="AX887" i="1"/>
  <c r="AW887" i="1"/>
  <c r="AV887" i="1"/>
  <c r="AU887" i="1"/>
  <c r="AT887" i="1"/>
  <c r="AS887" i="1"/>
  <c r="AR887" i="1"/>
  <c r="AQ887" i="1"/>
  <c r="AP887" i="1"/>
  <c r="AM887" i="1"/>
  <c r="AL887" i="1"/>
  <c r="AK887" i="1"/>
  <c r="AJ887" i="1"/>
  <c r="AI887" i="1"/>
  <c r="AH887" i="1"/>
  <c r="AH887" i="1" a="1"/>
  <c r="AG887" i="1"/>
  <c r="AF887" i="1"/>
  <c r="BI886" i="1"/>
  <c r="BH886" i="1"/>
  <c r="BG886" i="1"/>
  <c r="BF886" i="1"/>
  <c r="BE886" i="1"/>
  <c r="BD886" i="1"/>
  <c r="BC886" i="1"/>
  <c r="BB886" i="1"/>
  <c r="BA886" i="1"/>
  <c r="AZ886" i="1"/>
  <c r="AY886" i="1"/>
  <c r="AX886" i="1"/>
  <c r="AW886" i="1"/>
  <c r="AV886" i="1"/>
  <c r="AU886" i="1"/>
  <c r="AT886" i="1"/>
  <c r="AS886" i="1"/>
  <c r="AR886" i="1"/>
  <c r="AQ886" i="1"/>
  <c r="AP886" i="1"/>
  <c r="AM886" i="1"/>
  <c r="AL886" i="1"/>
  <c r="AK886" i="1"/>
  <c r="AJ886" i="1"/>
  <c r="AI886" i="1"/>
  <c r="AH886" i="1"/>
  <c r="AH886" i="1" a="1"/>
  <c r="AG886" i="1"/>
  <c r="AF886" i="1"/>
  <c r="BI885" i="1"/>
  <c r="BH885" i="1"/>
  <c r="BG885" i="1"/>
  <c r="BF885" i="1"/>
  <c r="BE885" i="1"/>
  <c r="BD885" i="1"/>
  <c r="BC885" i="1"/>
  <c r="BB885" i="1"/>
  <c r="BA885" i="1"/>
  <c r="AZ885" i="1"/>
  <c r="AY885" i="1"/>
  <c r="AX885" i="1"/>
  <c r="AW885" i="1"/>
  <c r="AV885" i="1"/>
  <c r="AU885" i="1"/>
  <c r="AT885" i="1"/>
  <c r="AS885" i="1"/>
  <c r="AR885" i="1"/>
  <c r="AQ885" i="1"/>
  <c r="AP885" i="1"/>
  <c r="AM885" i="1"/>
  <c r="AL885" i="1"/>
  <c r="AK885" i="1"/>
  <c r="AJ885" i="1"/>
  <c r="AI885" i="1"/>
  <c r="AH885" i="1"/>
  <c r="AH885" i="1" a="1"/>
  <c r="AG885" i="1"/>
  <c r="AF885" i="1"/>
  <c r="BI884" i="1"/>
  <c r="BH884" i="1"/>
  <c r="BG884" i="1"/>
  <c r="BF884" i="1"/>
  <c r="BE884" i="1"/>
  <c r="BD884" i="1"/>
  <c r="BC884" i="1"/>
  <c r="BB884" i="1"/>
  <c r="BA884" i="1"/>
  <c r="AZ884" i="1"/>
  <c r="AY884" i="1"/>
  <c r="AX884" i="1"/>
  <c r="AW884" i="1"/>
  <c r="AV884" i="1"/>
  <c r="AU884" i="1"/>
  <c r="AT884" i="1"/>
  <c r="AS884" i="1"/>
  <c r="AR884" i="1"/>
  <c r="AQ884" i="1"/>
  <c r="AP884" i="1"/>
  <c r="AM884" i="1"/>
  <c r="AL884" i="1"/>
  <c r="AK884" i="1"/>
  <c r="AJ884" i="1"/>
  <c r="AI884" i="1"/>
  <c r="AH884" i="1"/>
  <c r="AH884" i="1" a="1"/>
  <c r="AG884" i="1"/>
  <c r="AF884" i="1"/>
  <c r="BI883" i="1"/>
  <c r="BH883" i="1"/>
  <c r="BG883" i="1"/>
  <c r="BF883" i="1"/>
  <c r="BE883" i="1"/>
  <c r="BD883" i="1"/>
  <c r="BC883" i="1"/>
  <c r="BB883" i="1"/>
  <c r="BA883" i="1"/>
  <c r="AZ883" i="1"/>
  <c r="AY883" i="1"/>
  <c r="AX883" i="1"/>
  <c r="AW883" i="1"/>
  <c r="AV883" i="1"/>
  <c r="AU883" i="1"/>
  <c r="AT883" i="1"/>
  <c r="AS883" i="1"/>
  <c r="AR883" i="1"/>
  <c r="AQ883" i="1"/>
  <c r="AP883" i="1"/>
  <c r="AM883" i="1"/>
  <c r="AL883" i="1"/>
  <c r="AK883" i="1"/>
  <c r="AJ883" i="1"/>
  <c r="AI883" i="1"/>
  <c r="AH883" i="1"/>
  <c r="AH883" i="1" a="1"/>
  <c r="AG883" i="1"/>
  <c r="AF883" i="1"/>
  <c r="BI882" i="1"/>
  <c r="BH882" i="1"/>
  <c r="BG882" i="1"/>
  <c r="BF882" i="1"/>
  <c r="BE882" i="1"/>
  <c r="BD882" i="1"/>
  <c r="BC882" i="1"/>
  <c r="BB882" i="1"/>
  <c r="BA882" i="1"/>
  <c r="AZ882" i="1"/>
  <c r="AY882" i="1"/>
  <c r="AX882" i="1"/>
  <c r="AW882" i="1"/>
  <c r="AV882" i="1"/>
  <c r="AU882" i="1"/>
  <c r="AT882" i="1"/>
  <c r="AS882" i="1"/>
  <c r="AR882" i="1"/>
  <c r="AQ882" i="1"/>
  <c r="AP882" i="1"/>
  <c r="AM882" i="1"/>
  <c r="AL882" i="1"/>
  <c r="AK882" i="1"/>
  <c r="AJ882" i="1"/>
  <c r="AI882" i="1"/>
  <c r="AH882" i="1"/>
  <c r="AH882" i="1" a="1"/>
  <c r="AG882" i="1"/>
  <c r="AF882" i="1"/>
  <c r="BI881" i="1"/>
  <c r="BH881" i="1"/>
  <c r="BG881" i="1"/>
  <c r="BF881" i="1"/>
  <c r="BE881" i="1"/>
  <c r="BD881" i="1"/>
  <c r="BC881" i="1"/>
  <c r="BB881" i="1"/>
  <c r="BA881" i="1"/>
  <c r="AZ881" i="1"/>
  <c r="AY881" i="1"/>
  <c r="AX881" i="1"/>
  <c r="AW881" i="1"/>
  <c r="AV881" i="1"/>
  <c r="AU881" i="1"/>
  <c r="AT881" i="1"/>
  <c r="AS881" i="1"/>
  <c r="AR881" i="1"/>
  <c r="AQ881" i="1"/>
  <c r="AP881" i="1"/>
  <c r="AM881" i="1"/>
  <c r="AL881" i="1"/>
  <c r="AK881" i="1"/>
  <c r="AJ881" i="1"/>
  <c r="AI881" i="1"/>
  <c r="AH881" i="1"/>
  <c r="AH881" i="1" a="1"/>
  <c r="AG881" i="1"/>
  <c r="AF881" i="1"/>
  <c r="BI880" i="1"/>
  <c r="BH880" i="1"/>
  <c r="BG880" i="1"/>
  <c r="BF880" i="1"/>
  <c r="BE880" i="1"/>
  <c r="BD880" i="1"/>
  <c r="BC880" i="1"/>
  <c r="BB880" i="1"/>
  <c r="BA880" i="1"/>
  <c r="AZ880" i="1"/>
  <c r="AY880" i="1"/>
  <c r="AX880" i="1"/>
  <c r="AW880" i="1"/>
  <c r="AV880" i="1"/>
  <c r="AU880" i="1"/>
  <c r="AT880" i="1"/>
  <c r="AS880" i="1"/>
  <c r="AR880" i="1"/>
  <c r="AQ880" i="1"/>
  <c r="AP880" i="1"/>
  <c r="AM880" i="1"/>
  <c r="AL880" i="1"/>
  <c r="AK880" i="1"/>
  <c r="AJ880" i="1"/>
  <c r="AI880" i="1"/>
  <c r="AH880" i="1"/>
  <c r="AH880" i="1" a="1"/>
  <c r="AG880" i="1"/>
  <c r="AF880" i="1"/>
  <c r="BI879" i="1"/>
  <c r="BH879" i="1"/>
  <c r="BG879" i="1"/>
  <c r="BF879" i="1"/>
  <c r="BE879" i="1"/>
  <c r="BD879" i="1"/>
  <c r="BC879" i="1"/>
  <c r="BB879" i="1"/>
  <c r="BA879" i="1"/>
  <c r="AZ879" i="1"/>
  <c r="AY879" i="1"/>
  <c r="AX879" i="1"/>
  <c r="AW879" i="1"/>
  <c r="AV879" i="1"/>
  <c r="AU879" i="1"/>
  <c r="AT879" i="1"/>
  <c r="AS879" i="1"/>
  <c r="AR879" i="1"/>
  <c r="AQ879" i="1"/>
  <c r="AP879" i="1"/>
  <c r="AM879" i="1"/>
  <c r="AL879" i="1"/>
  <c r="AK879" i="1"/>
  <c r="AJ879" i="1"/>
  <c r="AI879" i="1"/>
  <c r="AH879" i="1"/>
  <c r="AH879" i="1" a="1"/>
  <c r="AG879" i="1"/>
  <c r="AF879" i="1"/>
  <c r="BI878" i="1"/>
  <c r="BH878" i="1"/>
  <c r="BG878" i="1"/>
  <c r="BF878" i="1"/>
  <c r="BE878" i="1"/>
  <c r="BD878" i="1"/>
  <c r="BC878" i="1"/>
  <c r="BB878" i="1"/>
  <c r="BA878" i="1"/>
  <c r="AZ878" i="1"/>
  <c r="AY878" i="1"/>
  <c r="AX878" i="1"/>
  <c r="AW878" i="1"/>
  <c r="AV878" i="1"/>
  <c r="AU878" i="1"/>
  <c r="AT878" i="1"/>
  <c r="AS878" i="1"/>
  <c r="AR878" i="1"/>
  <c r="AQ878" i="1"/>
  <c r="AP878" i="1"/>
  <c r="AM878" i="1"/>
  <c r="AL878" i="1"/>
  <c r="AK878" i="1"/>
  <c r="AJ878" i="1"/>
  <c r="AI878" i="1"/>
  <c r="AH878" i="1"/>
  <c r="AH878" i="1" a="1"/>
  <c r="AG878" i="1"/>
  <c r="AF878" i="1"/>
  <c r="BI877" i="1"/>
  <c r="BH877" i="1"/>
  <c r="BG877" i="1"/>
  <c r="BF877" i="1"/>
  <c r="BE877" i="1"/>
  <c r="BD877" i="1"/>
  <c r="BC877" i="1"/>
  <c r="BB877" i="1"/>
  <c r="BA877" i="1"/>
  <c r="AZ877" i="1"/>
  <c r="AY877" i="1"/>
  <c r="AX877" i="1"/>
  <c r="AW877" i="1"/>
  <c r="AV877" i="1"/>
  <c r="AU877" i="1"/>
  <c r="AT877" i="1"/>
  <c r="AS877" i="1"/>
  <c r="AR877" i="1"/>
  <c r="AQ877" i="1"/>
  <c r="AP877" i="1"/>
  <c r="AM877" i="1"/>
  <c r="AL877" i="1"/>
  <c r="AK877" i="1"/>
  <c r="AJ877" i="1"/>
  <c r="AI877" i="1"/>
  <c r="AH877" i="1"/>
  <c r="AH877" i="1" a="1"/>
  <c r="AG877" i="1"/>
  <c r="AF877" i="1"/>
  <c r="BI876" i="1"/>
  <c r="BH876" i="1"/>
  <c r="BG876" i="1"/>
  <c r="BF876" i="1"/>
  <c r="BE876" i="1"/>
  <c r="BD876" i="1"/>
  <c r="BC876" i="1"/>
  <c r="BB876" i="1"/>
  <c r="BA876" i="1"/>
  <c r="AZ876" i="1"/>
  <c r="AY876" i="1"/>
  <c r="AX876" i="1"/>
  <c r="AW876" i="1"/>
  <c r="AV876" i="1"/>
  <c r="AU876" i="1"/>
  <c r="AT876" i="1"/>
  <c r="AS876" i="1"/>
  <c r="AR876" i="1"/>
  <c r="AQ876" i="1"/>
  <c r="AP876" i="1"/>
  <c r="AM876" i="1"/>
  <c r="AL876" i="1"/>
  <c r="AK876" i="1"/>
  <c r="AJ876" i="1"/>
  <c r="AI876" i="1"/>
  <c r="AH876" i="1"/>
  <c r="AH876" i="1" a="1"/>
  <c r="AG876" i="1"/>
  <c r="AF876" i="1"/>
  <c r="BI875" i="1"/>
  <c r="BH875" i="1"/>
  <c r="BG875" i="1"/>
  <c r="BF875" i="1"/>
  <c r="BE875" i="1"/>
  <c r="BD875" i="1"/>
  <c r="BC875" i="1"/>
  <c r="BB875" i="1"/>
  <c r="BA875" i="1"/>
  <c r="AZ875" i="1"/>
  <c r="AY875" i="1"/>
  <c r="AX875" i="1"/>
  <c r="AW875" i="1"/>
  <c r="AV875" i="1"/>
  <c r="AU875" i="1"/>
  <c r="AT875" i="1"/>
  <c r="AS875" i="1"/>
  <c r="AR875" i="1"/>
  <c r="AQ875" i="1"/>
  <c r="AP875" i="1"/>
  <c r="AM875" i="1"/>
  <c r="AL875" i="1"/>
  <c r="AK875" i="1"/>
  <c r="AJ875" i="1"/>
  <c r="AI875" i="1"/>
  <c r="AH875" i="1"/>
  <c r="AH875" i="1" a="1"/>
  <c r="AG875" i="1"/>
  <c r="AF875" i="1"/>
  <c r="BI874" i="1"/>
  <c r="BH874" i="1"/>
  <c r="BG874" i="1"/>
  <c r="BF874" i="1"/>
  <c r="BE874" i="1"/>
  <c r="BD874" i="1"/>
  <c r="BC874" i="1"/>
  <c r="BB874" i="1"/>
  <c r="BA874" i="1"/>
  <c r="AZ874" i="1"/>
  <c r="AY874" i="1"/>
  <c r="AX874" i="1"/>
  <c r="AW874" i="1"/>
  <c r="AV874" i="1"/>
  <c r="AU874" i="1"/>
  <c r="AT874" i="1"/>
  <c r="AS874" i="1"/>
  <c r="AR874" i="1"/>
  <c r="AQ874" i="1"/>
  <c r="AP874" i="1"/>
  <c r="AM874" i="1"/>
  <c r="AL874" i="1"/>
  <c r="AK874" i="1"/>
  <c r="AJ874" i="1"/>
  <c r="AI874" i="1"/>
  <c r="AH874" i="1"/>
  <c r="AH874" i="1" a="1"/>
  <c r="AG874" i="1"/>
  <c r="AF874" i="1"/>
  <c r="BI873" i="1"/>
  <c r="BH873" i="1"/>
  <c r="BG873" i="1"/>
  <c r="BF873" i="1"/>
  <c r="BE873" i="1"/>
  <c r="BD873" i="1"/>
  <c r="BC873" i="1"/>
  <c r="BB873" i="1"/>
  <c r="BA873" i="1"/>
  <c r="AZ873" i="1"/>
  <c r="AY873" i="1"/>
  <c r="AX873" i="1"/>
  <c r="AW873" i="1"/>
  <c r="AV873" i="1"/>
  <c r="AU873" i="1"/>
  <c r="AT873" i="1"/>
  <c r="AS873" i="1"/>
  <c r="AR873" i="1"/>
  <c r="AQ873" i="1"/>
  <c r="AP873" i="1"/>
  <c r="AM873" i="1"/>
  <c r="AL873" i="1"/>
  <c r="AK873" i="1"/>
  <c r="AJ873" i="1"/>
  <c r="AI873" i="1"/>
  <c r="AH873" i="1"/>
  <c r="AH873" i="1" a="1"/>
  <c r="AG873" i="1"/>
  <c r="AF873" i="1"/>
  <c r="BI872" i="1"/>
  <c r="BH872" i="1"/>
  <c r="BG872" i="1"/>
  <c r="BF872" i="1"/>
  <c r="BE872" i="1"/>
  <c r="BD872" i="1"/>
  <c r="BC872" i="1"/>
  <c r="BB872" i="1"/>
  <c r="BA872" i="1"/>
  <c r="AZ872" i="1"/>
  <c r="AY872" i="1"/>
  <c r="AX872" i="1"/>
  <c r="AW872" i="1"/>
  <c r="AV872" i="1"/>
  <c r="AU872" i="1"/>
  <c r="AT872" i="1"/>
  <c r="AS872" i="1"/>
  <c r="AR872" i="1"/>
  <c r="AQ872" i="1"/>
  <c r="AP872" i="1"/>
  <c r="AM872" i="1"/>
  <c r="AL872" i="1"/>
  <c r="AK872" i="1"/>
  <c r="AJ872" i="1"/>
  <c r="AI872" i="1"/>
  <c r="AH872" i="1"/>
  <c r="AH872" i="1" a="1"/>
  <c r="AG872" i="1"/>
  <c r="AF872" i="1"/>
  <c r="BI871" i="1"/>
  <c r="BH871" i="1"/>
  <c r="BG871" i="1"/>
  <c r="BF871" i="1"/>
  <c r="BE871" i="1"/>
  <c r="BD871" i="1"/>
  <c r="BC871" i="1"/>
  <c r="BB871" i="1"/>
  <c r="BA871" i="1"/>
  <c r="AZ871" i="1"/>
  <c r="AY871" i="1"/>
  <c r="AX871" i="1"/>
  <c r="AW871" i="1"/>
  <c r="AV871" i="1"/>
  <c r="AU871" i="1"/>
  <c r="AT871" i="1"/>
  <c r="AS871" i="1"/>
  <c r="AR871" i="1"/>
  <c r="AQ871" i="1"/>
  <c r="AP871" i="1"/>
  <c r="AM871" i="1"/>
  <c r="AL871" i="1"/>
  <c r="AK871" i="1"/>
  <c r="AJ871" i="1"/>
  <c r="AI871" i="1"/>
  <c r="AH871" i="1"/>
  <c r="AH871" i="1" a="1"/>
  <c r="AG871" i="1"/>
  <c r="AF871" i="1"/>
  <c r="BI870" i="1"/>
  <c r="BH870" i="1"/>
  <c r="BG870" i="1"/>
  <c r="BF870" i="1"/>
  <c r="BE870" i="1"/>
  <c r="BD870" i="1"/>
  <c r="BC870" i="1"/>
  <c r="BB870" i="1"/>
  <c r="BA870" i="1"/>
  <c r="AZ870" i="1"/>
  <c r="AY870" i="1"/>
  <c r="AX870" i="1"/>
  <c r="AW870" i="1"/>
  <c r="AV870" i="1"/>
  <c r="AU870" i="1"/>
  <c r="AT870" i="1"/>
  <c r="AS870" i="1"/>
  <c r="AR870" i="1"/>
  <c r="AQ870" i="1"/>
  <c r="AP870" i="1"/>
  <c r="AM870" i="1"/>
  <c r="AL870" i="1"/>
  <c r="AK870" i="1"/>
  <c r="AJ870" i="1"/>
  <c r="AI870" i="1"/>
  <c r="AH870" i="1"/>
  <c r="AH870" i="1" a="1"/>
  <c r="AG870" i="1"/>
  <c r="AF870" i="1"/>
  <c r="BI869" i="1"/>
  <c r="BH869" i="1"/>
  <c r="BG869" i="1"/>
  <c r="BF869" i="1"/>
  <c r="BE869" i="1"/>
  <c r="BD869" i="1"/>
  <c r="BC869" i="1"/>
  <c r="BB869" i="1"/>
  <c r="BA869" i="1"/>
  <c r="AZ869" i="1"/>
  <c r="AY869" i="1"/>
  <c r="AX869" i="1"/>
  <c r="AW869" i="1"/>
  <c r="AV869" i="1"/>
  <c r="AU869" i="1"/>
  <c r="AT869" i="1"/>
  <c r="AS869" i="1"/>
  <c r="AR869" i="1"/>
  <c r="AQ869" i="1"/>
  <c r="AP869" i="1"/>
  <c r="AM869" i="1"/>
  <c r="AL869" i="1"/>
  <c r="AK869" i="1"/>
  <c r="AJ869" i="1"/>
  <c r="AI869" i="1"/>
  <c r="AH869" i="1"/>
  <c r="AH869" i="1" a="1"/>
  <c r="AG869" i="1"/>
  <c r="AF869" i="1"/>
  <c r="BI868" i="1"/>
  <c r="BH868" i="1"/>
  <c r="BG868" i="1"/>
  <c r="BF868" i="1"/>
  <c r="BE868" i="1"/>
  <c r="BD868" i="1"/>
  <c r="BC868" i="1"/>
  <c r="BB868" i="1"/>
  <c r="BA868" i="1"/>
  <c r="AZ868" i="1"/>
  <c r="AY868" i="1"/>
  <c r="AX868" i="1"/>
  <c r="AW868" i="1"/>
  <c r="AV868" i="1"/>
  <c r="AU868" i="1"/>
  <c r="AT868" i="1"/>
  <c r="AS868" i="1"/>
  <c r="AR868" i="1"/>
  <c r="AQ868" i="1"/>
  <c r="AP868" i="1"/>
  <c r="AM868" i="1"/>
  <c r="AL868" i="1"/>
  <c r="AK868" i="1"/>
  <c r="AJ868" i="1"/>
  <c r="AI868" i="1"/>
  <c r="AH868" i="1"/>
  <c r="AH868" i="1" a="1"/>
  <c r="AG868" i="1"/>
  <c r="AF868" i="1"/>
  <c r="BI867" i="1"/>
  <c r="BH867" i="1"/>
  <c r="BG867" i="1"/>
  <c r="BF867" i="1"/>
  <c r="BE867" i="1"/>
  <c r="BD867" i="1"/>
  <c r="BC867" i="1"/>
  <c r="BB867" i="1"/>
  <c r="BA867" i="1"/>
  <c r="AZ867" i="1"/>
  <c r="AY867" i="1"/>
  <c r="AX867" i="1"/>
  <c r="AW867" i="1"/>
  <c r="AV867" i="1"/>
  <c r="AU867" i="1"/>
  <c r="AT867" i="1"/>
  <c r="AS867" i="1"/>
  <c r="AR867" i="1"/>
  <c r="AQ867" i="1"/>
  <c r="AP867" i="1"/>
  <c r="AM867" i="1"/>
  <c r="AL867" i="1"/>
  <c r="AK867" i="1"/>
  <c r="AJ867" i="1"/>
  <c r="AI867" i="1"/>
  <c r="AH867" i="1"/>
  <c r="AH867" i="1" a="1"/>
  <c r="AG867" i="1"/>
  <c r="AF867" i="1"/>
  <c r="BI866" i="1"/>
  <c r="BH866" i="1"/>
  <c r="BG866" i="1"/>
  <c r="BF866" i="1"/>
  <c r="BE866" i="1"/>
  <c r="BD866" i="1"/>
  <c r="BC866" i="1"/>
  <c r="BB866" i="1"/>
  <c r="BA866" i="1"/>
  <c r="AZ866" i="1"/>
  <c r="AY866" i="1"/>
  <c r="AX866" i="1"/>
  <c r="AW866" i="1"/>
  <c r="AV866" i="1"/>
  <c r="AU866" i="1"/>
  <c r="AT866" i="1"/>
  <c r="AS866" i="1"/>
  <c r="AR866" i="1"/>
  <c r="AQ866" i="1"/>
  <c r="AP866" i="1"/>
  <c r="AM866" i="1"/>
  <c r="AL866" i="1"/>
  <c r="AK866" i="1"/>
  <c r="AJ866" i="1"/>
  <c r="AI866" i="1"/>
  <c r="AH866" i="1"/>
  <c r="AH866" i="1" a="1"/>
  <c r="AG866" i="1"/>
  <c r="AF866" i="1"/>
  <c r="BI865" i="1"/>
  <c r="BH865" i="1"/>
  <c r="BG865" i="1"/>
  <c r="BF865" i="1"/>
  <c r="BE865" i="1"/>
  <c r="BD865" i="1"/>
  <c r="BC865" i="1"/>
  <c r="BB865" i="1"/>
  <c r="BA865" i="1"/>
  <c r="AZ865" i="1"/>
  <c r="AY865" i="1"/>
  <c r="AX865" i="1"/>
  <c r="AW865" i="1"/>
  <c r="AV865" i="1"/>
  <c r="AU865" i="1"/>
  <c r="AT865" i="1"/>
  <c r="AS865" i="1"/>
  <c r="AR865" i="1"/>
  <c r="AQ865" i="1"/>
  <c r="AP865" i="1"/>
  <c r="AM865" i="1"/>
  <c r="AL865" i="1"/>
  <c r="AK865" i="1"/>
  <c r="AJ865" i="1"/>
  <c r="AI865" i="1"/>
  <c r="AH865" i="1"/>
  <c r="AH865" i="1" a="1"/>
  <c r="AG865" i="1"/>
  <c r="AF865" i="1"/>
  <c r="BI864" i="1"/>
  <c r="BH864" i="1"/>
  <c r="BG864" i="1"/>
  <c r="BF864" i="1"/>
  <c r="BE864" i="1"/>
  <c r="BD864" i="1"/>
  <c r="BC864" i="1"/>
  <c r="BB864" i="1"/>
  <c r="BA864" i="1"/>
  <c r="AZ864" i="1"/>
  <c r="AY864" i="1"/>
  <c r="AX864" i="1"/>
  <c r="AW864" i="1"/>
  <c r="AV864" i="1"/>
  <c r="AU864" i="1"/>
  <c r="AT864" i="1"/>
  <c r="AS864" i="1"/>
  <c r="AR864" i="1"/>
  <c r="AQ864" i="1"/>
  <c r="AP864" i="1"/>
  <c r="AM864" i="1"/>
  <c r="AL864" i="1"/>
  <c r="AK864" i="1"/>
  <c r="AJ864" i="1"/>
  <c r="AI864" i="1"/>
  <c r="AH864" i="1"/>
  <c r="AH864" i="1" a="1"/>
  <c r="AG864" i="1"/>
  <c r="AF864" i="1"/>
  <c r="BI863" i="1"/>
  <c r="BH863" i="1"/>
  <c r="BG863" i="1"/>
  <c r="BF863" i="1"/>
  <c r="BE863" i="1"/>
  <c r="BD863" i="1"/>
  <c r="BC863" i="1"/>
  <c r="BB863" i="1"/>
  <c r="BA863" i="1"/>
  <c r="AZ863" i="1"/>
  <c r="AY863" i="1"/>
  <c r="AX863" i="1"/>
  <c r="AW863" i="1"/>
  <c r="AV863" i="1"/>
  <c r="AU863" i="1"/>
  <c r="AT863" i="1"/>
  <c r="AS863" i="1"/>
  <c r="AR863" i="1"/>
  <c r="AQ863" i="1"/>
  <c r="AP863" i="1"/>
  <c r="AM863" i="1"/>
  <c r="AL863" i="1"/>
  <c r="AK863" i="1"/>
  <c r="AJ863" i="1"/>
  <c r="AI863" i="1"/>
  <c r="AH863" i="1"/>
  <c r="AH863" i="1" a="1"/>
  <c r="AG863" i="1"/>
  <c r="AF863" i="1"/>
  <c r="BI862" i="1"/>
  <c r="BH862" i="1"/>
  <c r="BG862" i="1"/>
  <c r="BF862" i="1"/>
  <c r="BE862" i="1"/>
  <c r="BD862" i="1"/>
  <c r="BC862" i="1"/>
  <c r="BB862" i="1"/>
  <c r="BA862" i="1"/>
  <c r="AZ862" i="1"/>
  <c r="AY862" i="1"/>
  <c r="AX862" i="1"/>
  <c r="AW862" i="1"/>
  <c r="AV862" i="1"/>
  <c r="AU862" i="1"/>
  <c r="AT862" i="1"/>
  <c r="AS862" i="1"/>
  <c r="AR862" i="1"/>
  <c r="AQ862" i="1"/>
  <c r="AP862" i="1"/>
  <c r="AM862" i="1"/>
  <c r="AL862" i="1"/>
  <c r="AK862" i="1"/>
  <c r="AJ862" i="1"/>
  <c r="AI862" i="1"/>
  <c r="AH862" i="1"/>
  <c r="AH862" i="1" a="1"/>
  <c r="AG862" i="1"/>
  <c r="AF862" i="1"/>
  <c r="BI861" i="1"/>
  <c r="BH861" i="1"/>
  <c r="BG861" i="1"/>
  <c r="BF861" i="1"/>
  <c r="BE861" i="1"/>
  <c r="BD861" i="1"/>
  <c r="BC861" i="1"/>
  <c r="BB861" i="1"/>
  <c r="BA861" i="1"/>
  <c r="AZ861" i="1"/>
  <c r="AY861" i="1"/>
  <c r="AX861" i="1"/>
  <c r="AW861" i="1"/>
  <c r="AV861" i="1"/>
  <c r="AU861" i="1"/>
  <c r="AT861" i="1"/>
  <c r="AS861" i="1"/>
  <c r="AR861" i="1"/>
  <c r="AQ861" i="1"/>
  <c r="AP861" i="1"/>
  <c r="AM861" i="1"/>
  <c r="AL861" i="1"/>
  <c r="AK861" i="1"/>
  <c r="AJ861" i="1"/>
  <c r="AI861" i="1"/>
  <c r="AH861" i="1"/>
  <c r="AH861" i="1" a="1"/>
  <c r="AG861" i="1"/>
  <c r="AF861" i="1"/>
  <c r="BI860" i="1"/>
  <c r="BH860" i="1"/>
  <c r="BG860" i="1"/>
  <c r="BF860" i="1"/>
  <c r="BE860" i="1"/>
  <c r="BD860" i="1"/>
  <c r="BC860" i="1"/>
  <c r="BB860" i="1"/>
  <c r="BA860" i="1"/>
  <c r="AZ860" i="1"/>
  <c r="AY860" i="1"/>
  <c r="AX860" i="1"/>
  <c r="AW860" i="1"/>
  <c r="AV860" i="1"/>
  <c r="AU860" i="1"/>
  <c r="AT860" i="1"/>
  <c r="AS860" i="1"/>
  <c r="AR860" i="1"/>
  <c r="AQ860" i="1"/>
  <c r="AP860" i="1"/>
  <c r="AM860" i="1"/>
  <c r="AL860" i="1"/>
  <c r="AK860" i="1"/>
  <c r="AJ860" i="1"/>
  <c r="AI860" i="1"/>
  <c r="AH860" i="1"/>
  <c r="AH860" i="1" a="1"/>
  <c r="AG860" i="1"/>
  <c r="AF860" i="1"/>
  <c r="BI859" i="1"/>
  <c r="BH859" i="1"/>
  <c r="BG859" i="1"/>
  <c r="BF859" i="1"/>
  <c r="BE859" i="1"/>
  <c r="BD859" i="1"/>
  <c r="BC859" i="1"/>
  <c r="BB859" i="1"/>
  <c r="BA859" i="1"/>
  <c r="AZ859" i="1"/>
  <c r="AY859" i="1"/>
  <c r="AX859" i="1"/>
  <c r="AW859" i="1"/>
  <c r="AV859" i="1"/>
  <c r="AU859" i="1"/>
  <c r="AT859" i="1"/>
  <c r="AS859" i="1"/>
  <c r="AR859" i="1"/>
  <c r="AQ859" i="1"/>
  <c r="AP859" i="1"/>
  <c r="AM859" i="1"/>
  <c r="AL859" i="1"/>
  <c r="AK859" i="1"/>
  <c r="AJ859" i="1"/>
  <c r="AI859" i="1"/>
  <c r="AH859" i="1"/>
  <c r="AH859" i="1" a="1"/>
  <c r="AG859" i="1"/>
  <c r="AF859" i="1"/>
  <c r="BI858" i="1"/>
  <c r="BH858" i="1"/>
  <c r="BG858" i="1"/>
  <c r="BF858" i="1"/>
  <c r="BE858" i="1"/>
  <c r="BD858" i="1"/>
  <c r="BC858" i="1"/>
  <c r="BB858" i="1"/>
  <c r="BA858" i="1"/>
  <c r="AZ858" i="1"/>
  <c r="AY858" i="1"/>
  <c r="AX858" i="1"/>
  <c r="AW858" i="1"/>
  <c r="AV858" i="1"/>
  <c r="AU858" i="1"/>
  <c r="AT858" i="1"/>
  <c r="AS858" i="1"/>
  <c r="AR858" i="1"/>
  <c r="AQ858" i="1"/>
  <c r="AP858" i="1"/>
  <c r="AM858" i="1"/>
  <c r="AL858" i="1"/>
  <c r="AK858" i="1"/>
  <c r="AJ858" i="1"/>
  <c r="AI858" i="1"/>
  <c r="AH858" i="1"/>
  <c r="AH858" i="1" a="1"/>
  <c r="AG858" i="1"/>
  <c r="AF858" i="1"/>
  <c r="BI857" i="1"/>
  <c r="BH857" i="1"/>
  <c r="BG857" i="1"/>
  <c r="BF857" i="1"/>
  <c r="BE857" i="1"/>
  <c r="BD857" i="1"/>
  <c r="BC857" i="1"/>
  <c r="BB857" i="1"/>
  <c r="BA857" i="1"/>
  <c r="AZ857" i="1"/>
  <c r="AY857" i="1"/>
  <c r="AX857" i="1"/>
  <c r="AW857" i="1"/>
  <c r="AV857" i="1"/>
  <c r="AU857" i="1"/>
  <c r="AT857" i="1"/>
  <c r="AS857" i="1"/>
  <c r="AR857" i="1"/>
  <c r="AQ857" i="1"/>
  <c r="AP857" i="1"/>
  <c r="AM857" i="1"/>
  <c r="AL857" i="1"/>
  <c r="AK857" i="1"/>
  <c r="AJ857" i="1"/>
  <c r="AI857" i="1"/>
  <c r="AH857" i="1"/>
  <c r="AH857" i="1" a="1"/>
  <c r="AG857" i="1"/>
  <c r="AF857" i="1"/>
  <c r="BI856" i="1"/>
  <c r="BH856" i="1"/>
  <c r="BG856" i="1"/>
  <c r="BF856" i="1"/>
  <c r="BE856" i="1"/>
  <c r="BD856" i="1"/>
  <c r="BC856" i="1"/>
  <c r="BB856" i="1"/>
  <c r="BA856" i="1"/>
  <c r="AZ856" i="1"/>
  <c r="AY856" i="1"/>
  <c r="AX856" i="1"/>
  <c r="AW856" i="1"/>
  <c r="AV856" i="1"/>
  <c r="AU856" i="1"/>
  <c r="AT856" i="1"/>
  <c r="AS856" i="1"/>
  <c r="AR856" i="1"/>
  <c r="AQ856" i="1"/>
  <c r="AP856" i="1"/>
  <c r="AM856" i="1"/>
  <c r="AL856" i="1"/>
  <c r="AK856" i="1"/>
  <c r="AJ856" i="1"/>
  <c r="AI856" i="1"/>
  <c r="AH856" i="1"/>
  <c r="AH856" i="1" a="1"/>
  <c r="AG856" i="1"/>
  <c r="AF856" i="1"/>
  <c r="BI855" i="1"/>
  <c r="BH855" i="1"/>
  <c r="BG855" i="1"/>
  <c r="BF855" i="1"/>
  <c r="BE855" i="1"/>
  <c r="BD855" i="1"/>
  <c r="BC855" i="1"/>
  <c r="BB855" i="1"/>
  <c r="BA855" i="1"/>
  <c r="AZ855" i="1"/>
  <c r="AY855" i="1"/>
  <c r="AX855" i="1"/>
  <c r="AW855" i="1"/>
  <c r="AV855" i="1"/>
  <c r="AU855" i="1"/>
  <c r="AT855" i="1"/>
  <c r="AS855" i="1"/>
  <c r="AR855" i="1"/>
  <c r="AQ855" i="1"/>
  <c r="AP855" i="1"/>
  <c r="AM855" i="1"/>
  <c r="AL855" i="1"/>
  <c r="AK855" i="1"/>
  <c r="AJ855" i="1"/>
  <c r="AI855" i="1"/>
  <c r="AH855" i="1"/>
  <c r="AH855" i="1" a="1"/>
  <c r="AG855" i="1"/>
  <c r="AF855" i="1"/>
  <c r="BI854" i="1"/>
  <c r="BH854" i="1"/>
  <c r="BG854" i="1"/>
  <c r="BF854" i="1"/>
  <c r="BE854" i="1"/>
  <c r="BD854" i="1"/>
  <c r="BC854" i="1"/>
  <c r="BB854" i="1"/>
  <c r="BA854" i="1"/>
  <c r="AZ854" i="1"/>
  <c r="AY854" i="1"/>
  <c r="AX854" i="1"/>
  <c r="AW854" i="1"/>
  <c r="AV854" i="1"/>
  <c r="AU854" i="1"/>
  <c r="AT854" i="1"/>
  <c r="AS854" i="1"/>
  <c r="AR854" i="1"/>
  <c r="AQ854" i="1"/>
  <c r="AP854" i="1"/>
  <c r="AM854" i="1"/>
  <c r="AL854" i="1"/>
  <c r="AK854" i="1"/>
  <c r="AJ854" i="1"/>
  <c r="AI854" i="1"/>
  <c r="AH854" i="1"/>
  <c r="AH854" i="1" a="1"/>
  <c r="AG854" i="1"/>
  <c r="AF854" i="1"/>
  <c r="BI853" i="1"/>
  <c r="BH853" i="1"/>
  <c r="BG853" i="1"/>
  <c r="BF853" i="1"/>
  <c r="BE853" i="1"/>
  <c r="BD853" i="1"/>
  <c r="BC853" i="1"/>
  <c r="BB853" i="1"/>
  <c r="BA853" i="1"/>
  <c r="AZ853" i="1"/>
  <c r="AY853" i="1"/>
  <c r="AX853" i="1"/>
  <c r="AW853" i="1"/>
  <c r="AV853" i="1"/>
  <c r="AU853" i="1"/>
  <c r="AT853" i="1"/>
  <c r="AS853" i="1"/>
  <c r="AR853" i="1"/>
  <c r="AQ853" i="1"/>
  <c r="AP853" i="1"/>
  <c r="AM853" i="1"/>
  <c r="AL853" i="1"/>
  <c r="AK853" i="1"/>
  <c r="AJ853" i="1"/>
  <c r="AI853" i="1"/>
  <c r="AH853" i="1"/>
  <c r="AH853" i="1" a="1"/>
  <c r="AG853" i="1"/>
  <c r="AF853" i="1"/>
  <c r="BI852" i="1"/>
  <c r="BH852" i="1"/>
  <c r="BG852" i="1"/>
  <c r="BF852" i="1"/>
  <c r="BE852" i="1"/>
  <c r="BD852" i="1"/>
  <c r="BC852" i="1"/>
  <c r="BB852" i="1"/>
  <c r="BA852" i="1"/>
  <c r="AZ852" i="1"/>
  <c r="AY852" i="1"/>
  <c r="AX852" i="1"/>
  <c r="AW852" i="1"/>
  <c r="AV852" i="1"/>
  <c r="AU852" i="1"/>
  <c r="AT852" i="1"/>
  <c r="AS852" i="1"/>
  <c r="AR852" i="1"/>
  <c r="AQ852" i="1"/>
  <c r="AP852" i="1"/>
  <c r="AM852" i="1"/>
  <c r="AL852" i="1"/>
  <c r="AK852" i="1"/>
  <c r="AJ852" i="1"/>
  <c r="AI852" i="1"/>
  <c r="AH852" i="1"/>
  <c r="AH852" i="1" a="1"/>
  <c r="AG852" i="1"/>
  <c r="AF852" i="1"/>
  <c r="BI851" i="1"/>
  <c r="BH851" i="1"/>
  <c r="BG851" i="1"/>
  <c r="BF851" i="1"/>
  <c r="BE851" i="1"/>
  <c r="BD851" i="1"/>
  <c r="BC851" i="1"/>
  <c r="BB851" i="1"/>
  <c r="BA851" i="1"/>
  <c r="AZ851" i="1"/>
  <c r="AY851" i="1"/>
  <c r="AX851" i="1"/>
  <c r="AW851" i="1"/>
  <c r="AV851" i="1"/>
  <c r="AU851" i="1"/>
  <c r="AT851" i="1"/>
  <c r="AS851" i="1"/>
  <c r="AR851" i="1"/>
  <c r="AQ851" i="1"/>
  <c r="AP851" i="1"/>
  <c r="AM851" i="1"/>
  <c r="AL851" i="1"/>
  <c r="AK851" i="1"/>
  <c r="AJ851" i="1"/>
  <c r="AI851" i="1"/>
  <c r="AH851" i="1"/>
  <c r="AH851" i="1" a="1"/>
  <c r="AG851" i="1"/>
  <c r="AF851" i="1"/>
  <c r="BI850" i="1"/>
  <c r="BH850" i="1"/>
  <c r="BG850" i="1"/>
  <c r="BF850" i="1"/>
  <c r="BE850" i="1"/>
  <c r="BD850" i="1"/>
  <c r="BC850" i="1"/>
  <c r="BB850" i="1"/>
  <c r="BA850" i="1"/>
  <c r="AZ850" i="1"/>
  <c r="AY850" i="1"/>
  <c r="AX850" i="1"/>
  <c r="AW850" i="1"/>
  <c r="AV850" i="1"/>
  <c r="AU850" i="1"/>
  <c r="AT850" i="1"/>
  <c r="AS850" i="1"/>
  <c r="AR850" i="1"/>
  <c r="AQ850" i="1"/>
  <c r="AP850" i="1"/>
  <c r="AM850" i="1"/>
  <c r="AL850" i="1"/>
  <c r="AK850" i="1"/>
  <c r="AJ850" i="1"/>
  <c r="AI850" i="1"/>
  <c r="AH850" i="1"/>
  <c r="AH850" i="1" a="1"/>
  <c r="AG850" i="1"/>
  <c r="AF850" i="1"/>
  <c r="BI849" i="1"/>
  <c r="BH849" i="1"/>
  <c r="BG849" i="1"/>
  <c r="BF849" i="1"/>
  <c r="BE849" i="1"/>
  <c r="BD849" i="1"/>
  <c r="BC849" i="1"/>
  <c r="BB849" i="1"/>
  <c r="BA849" i="1"/>
  <c r="AZ849" i="1"/>
  <c r="AY849" i="1"/>
  <c r="AX849" i="1"/>
  <c r="AW849" i="1"/>
  <c r="AV849" i="1"/>
  <c r="AU849" i="1"/>
  <c r="AT849" i="1"/>
  <c r="AS849" i="1"/>
  <c r="AR849" i="1"/>
  <c r="AQ849" i="1"/>
  <c r="AP849" i="1"/>
  <c r="AM849" i="1"/>
  <c r="AL849" i="1"/>
  <c r="AK849" i="1"/>
  <c r="AJ849" i="1"/>
  <c r="AI849" i="1"/>
  <c r="AH849" i="1"/>
  <c r="AH849" i="1" a="1"/>
  <c r="AG849" i="1"/>
  <c r="AF849" i="1"/>
  <c r="BI848" i="1"/>
  <c r="BH848" i="1"/>
  <c r="BG848" i="1"/>
  <c r="BF848" i="1"/>
  <c r="BE848" i="1"/>
  <c r="BD848" i="1"/>
  <c r="BC848" i="1"/>
  <c r="BB848" i="1"/>
  <c r="BA848" i="1"/>
  <c r="AZ848" i="1"/>
  <c r="AY848" i="1"/>
  <c r="AX848" i="1"/>
  <c r="AW848" i="1"/>
  <c r="AV848" i="1"/>
  <c r="AU848" i="1"/>
  <c r="AT848" i="1"/>
  <c r="AS848" i="1"/>
  <c r="AR848" i="1"/>
  <c r="AQ848" i="1"/>
  <c r="AP848" i="1"/>
  <c r="AM848" i="1"/>
  <c r="AL848" i="1"/>
  <c r="AK848" i="1"/>
  <c r="AJ848" i="1"/>
  <c r="AI848" i="1"/>
  <c r="AH848" i="1"/>
  <c r="AH848" i="1" a="1"/>
  <c r="AG848" i="1"/>
  <c r="AF848" i="1"/>
  <c r="BI847" i="1"/>
  <c r="BH847" i="1"/>
  <c r="BG847" i="1"/>
  <c r="BF847" i="1"/>
  <c r="BE847" i="1"/>
  <c r="BD847" i="1"/>
  <c r="BC847" i="1"/>
  <c r="BB847" i="1"/>
  <c r="BA847" i="1"/>
  <c r="AZ847" i="1"/>
  <c r="AY847" i="1"/>
  <c r="AX847" i="1"/>
  <c r="AW847" i="1"/>
  <c r="AV847" i="1"/>
  <c r="AU847" i="1"/>
  <c r="AT847" i="1"/>
  <c r="AS847" i="1"/>
  <c r="AR847" i="1"/>
  <c r="AQ847" i="1"/>
  <c r="AP847" i="1"/>
  <c r="AM847" i="1"/>
  <c r="AL847" i="1"/>
  <c r="AK847" i="1"/>
  <c r="AJ847" i="1"/>
  <c r="AI847" i="1"/>
  <c r="AH847" i="1"/>
  <c r="AH847" i="1" a="1"/>
  <c r="AG847" i="1"/>
  <c r="AF847" i="1"/>
  <c r="BI846" i="1"/>
  <c r="BH846" i="1"/>
  <c r="BG846" i="1"/>
  <c r="BF846" i="1"/>
  <c r="BE846" i="1"/>
  <c r="BD846" i="1"/>
  <c r="BC846" i="1"/>
  <c r="BB846" i="1"/>
  <c r="BA846" i="1"/>
  <c r="AZ846" i="1"/>
  <c r="AY846" i="1"/>
  <c r="AX846" i="1"/>
  <c r="AW846" i="1"/>
  <c r="AV846" i="1"/>
  <c r="AU846" i="1"/>
  <c r="AT846" i="1"/>
  <c r="AS846" i="1"/>
  <c r="AR846" i="1"/>
  <c r="AQ846" i="1"/>
  <c r="AP846" i="1"/>
  <c r="AM846" i="1"/>
  <c r="AL846" i="1"/>
  <c r="AK846" i="1"/>
  <c r="AJ846" i="1"/>
  <c r="AI846" i="1"/>
  <c r="AH846" i="1"/>
  <c r="AH846" i="1" a="1"/>
  <c r="AG846" i="1"/>
  <c r="AF846" i="1"/>
  <c r="BI845" i="1"/>
  <c r="BH845" i="1"/>
  <c r="BG845" i="1"/>
  <c r="BF845" i="1"/>
  <c r="BE845" i="1"/>
  <c r="BD845" i="1"/>
  <c r="BC845" i="1"/>
  <c r="BB845" i="1"/>
  <c r="BA845" i="1"/>
  <c r="AZ845" i="1"/>
  <c r="AY845" i="1"/>
  <c r="AX845" i="1"/>
  <c r="AW845" i="1"/>
  <c r="AV845" i="1"/>
  <c r="AU845" i="1"/>
  <c r="AT845" i="1"/>
  <c r="AS845" i="1"/>
  <c r="AR845" i="1"/>
  <c r="AQ845" i="1"/>
  <c r="AP845" i="1"/>
  <c r="AM845" i="1"/>
  <c r="AL845" i="1"/>
  <c r="AK845" i="1"/>
  <c r="AJ845" i="1"/>
  <c r="AI845" i="1"/>
  <c r="AH845" i="1"/>
  <c r="AH845" i="1" a="1"/>
  <c r="AG845" i="1"/>
  <c r="AF845" i="1"/>
  <c r="BI844" i="1"/>
  <c r="BH844" i="1"/>
  <c r="BG844" i="1"/>
  <c r="BF844" i="1"/>
  <c r="BE844" i="1"/>
  <c r="BD844" i="1"/>
  <c r="BC844" i="1"/>
  <c r="BB844" i="1"/>
  <c r="BA844" i="1"/>
  <c r="AZ844" i="1"/>
  <c r="AY844" i="1"/>
  <c r="AX844" i="1"/>
  <c r="AW844" i="1"/>
  <c r="AV844" i="1"/>
  <c r="AU844" i="1"/>
  <c r="AT844" i="1"/>
  <c r="AS844" i="1"/>
  <c r="AR844" i="1"/>
  <c r="AQ844" i="1"/>
  <c r="AP844" i="1"/>
  <c r="AM844" i="1"/>
  <c r="AL844" i="1"/>
  <c r="AK844" i="1"/>
  <c r="AJ844" i="1"/>
  <c r="AI844" i="1"/>
  <c r="AH844" i="1"/>
  <c r="AH844" i="1" a="1"/>
  <c r="AG844" i="1"/>
  <c r="AF844" i="1"/>
  <c r="BI843" i="1"/>
  <c r="BH843" i="1"/>
  <c r="BG843" i="1"/>
  <c r="BF843" i="1"/>
  <c r="BE843" i="1"/>
  <c r="BD843" i="1"/>
  <c r="BC843" i="1"/>
  <c r="BB843" i="1"/>
  <c r="BA843" i="1"/>
  <c r="AZ843" i="1"/>
  <c r="AY843" i="1"/>
  <c r="AX843" i="1"/>
  <c r="AW843" i="1"/>
  <c r="AV843" i="1"/>
  <c r="AU843" i="1"/>
  <c r="AT843" i="1"/>
  <c r="AS843" i="1"/>
  <c r="AR843" i="1"/>
  <c r="AQ843" i="1"/>
  <c r="AP843" i="1"/>
  <c r="AM843" i="1"/>
  <c r="AL843" i="1"/>
  <c r="AK843" i="1"/>
  <c r="AJ843" i="1"/>
  <c r="AI843" i="1"/>
  <c r="AH843" i="1"/>
  <c r="AH843" i="1" a="1"/>
  <c r="AG843" i="1"/>
  <c r="AF843" i="1"/>
  <c r="BI842" i="1"/>
  <c r="BH842" i="1"/>
  <c r="BG842" i="1"/>
  <c r="BF842" i="1"/>
  <c r="BE842" i="1"/>
  <c r="BD842" i="1"/>
  <c r="BC842" i="1"/>
  <c r="BB842" i="1"/>
  <c r="BA842" i="1"/>
  <c r="AZ842" i="1"/>
  <c r="AY842" i="1"/>
  <c r="AX842" i="1"/>
  <c r="AW842" i="1"/>
  <c r="AV842" i="1"/>
  <c r="AU842" i="1"/>
  <c r="AT842" i="1"/>
  <c r="AS842" i="1"/>
  <c r="AR842" i="1"/>
  <c r="AQ842" i="1"/>
  <c r="AP842" i="1"/>
  <c r="AM842" i="1"/>
  <c r="AL842" i="1"/>
  <c r="AK842" i="1"/>
  <c r="AJ842" i="1"/>
  <c r="AI842" i="1"/>
  <c r="AH842" i="1"/>
  <c r="AH842" i="1" a="1"/>
  <c r="AG842" i="1"/>
  <c r="AF842" i="1"/>
  <c r="BI841" i="1"/>
  <c r="BH841" i="1"/>
  <c r="BG841" i="1"/>
  <c r="BF841" i="1"/>
  <c r="BE841" i="1"/>
  <c r="BD841" i="1"/>
  <c r="BC841" i="1"/>
  <c r="BB841" i="1"/>
  <c r="BA841" i="1"/>
  <c r="AZ841" i="1"/>
  <c r="AY841" i="1"/>
  <c r="AX841" i="1"/>
  <c r="AW841" i="1"/>
  <c r="AV841" i="1"/>
  <c r="AU841" i="1"/>
  <c r="AT841" i="1"/>
  <c r="AS841" i="1"/>
  <c r="AR841" i="1"/>
  <c r="AQ841" i="1"/>
  <c r="AP841" i="1"/>
  <c r="AM841" i="1"/>
  <c r="AL841" i="1"/>
  <c r="AK841" i="1"/>
  <c r="AJ841" i="1"/>
  <c r="AI841" i="1"/>
  <c r="AH841" i="1"/>
  <c r="AH841" i="1" a="1"/>
  <c r="AG841" i="1"/>
  <c r="AF841" i="1"/>
  <c r="BI840" i="1"/>
  <c r="BH840" i="1"/>
  <c r="BG840" i="1"/>
  <c r="BF840" i="1"/>
  <c r="BE840" i="1"/>
  <c r="BD840" i="1"/>
  <c r="BC840" i="1"/>
  <c r="BB840" i="1"/>
  <c r="BA840" i="1"/>
  <c r="AZ840" i="1"/>
  <c r="AY840" i="1"/>
  <c r="AX840" i="1"/>
  <c r="AW840" i="1"/>
  <c r="AV840" i="1"/>
  <c r="AU840" i="1"/>
  <c r="AT840" i="1"/>
  <c r="AS840" i="1"/>
  <c r="AR840" i="1"/>
  <c r="AQ840" i="1"/>
  <c r="AP840" i="1"/>
  <c r="AM840" i="1"/>
  <c r="AL840" i="1"/>
  <c r="AK840" i="1"/>
  <c r="AJ840" i="1"/>
  <c r="AI840" i="1"/>
  <c r="AH840" i="1"/>
  <c r="AH840" i="1" a="1"/>
  <c r="AG840" i="1"/>
  <c r="AF840" i="1"/>
  <c r="BI839" i="1"/>
  <c r="BH839" i="1"/>
  <c r="BG839" i="1"/>
  <c r="BF839" i="1"/>
  <c r="BE839" i="1"/>
  <c r="BD839" i="1"/>
  <c r="BC839" i="1"/>
  <c r="BB839" i="1"/>
  <c r="BA839" i="1"/>
  <c r="AZ839" i="1"/>
  <c r="AY839" i="1"/>
  <c r="AX839" i="1"/>
  <c r="AW839" i="1"/>
  <c r="AV839" i="1"/>
  <c r="AU839" i="1"/>
  <c r="AT839" i="1"/>
  <c r="AS839" i="1"/>
  <c r="AR839" i="1"/>
  <c r="AQ839" i="1"/>
  <c r="AP839" i="1"/>
  <c r="AM839" i="1"/>
  <c r="AL839" i="1"/>
  <c r="AK839" i="1"/>
  <c r="AJ839" i="1"/>
  <c r="AI839" i="1"/>
  <c r="AH839" i="1"/>
  <c r="AH839" i="1" a="1"/>
  <c r="AG839" i="1"/>
  <c r="AF839" i="1"/>
  <c r="BI838" i="1"/>
  <c r="BH838" i="1"/>
  <c r="BG838" i="1"/>
  <c r="BF838" i="1"/>
  <c r="BE838" i="1"/>
  <c r="BD838" i="1"/>
  <c r="BC838" i="1"/>
  <c r="BB838" i="1"/>
  <c r="BA838" i="1"/>
  <c r="AZ838" i="1"/>
  <c r="AY838" i="1"/>
  <c r="AX838" i="1"/>
  <c r="AW838" i="1"/>
  <c r="AV838" i="1"/>
  <c r="AU838" i="1"/>
  <c r="AT838" i="1"/>
  <c r="AS838" i="1"/>
  <c r="AR838" i="1"/>
  <c r="AQ838" i="1"/>
  <c r="AP838" i="1"/>
  <c r="AM838" i="1"/>
  <c r="AL838" i="1"/>
  <c r="AK838" i="1"/>
  <c r="AJ838" i="1"/>
  <c r="AI838" i="1"/>
  <c r="AH838" i="1"/>
  <c r="AH838" i="1" a="1"/>
  <c r="AG838" i="1"/>
  <c r="AF838" i="1"/>
  <c r="BI837" i="1"/>
  <c r="BH837" i="1"/>
  <c r="BG837" i="1"/>
  <c r="BF837" i="1"/>
  <c r="BE837" i="1"/>
  <c r="BD837" i="1"/>
  <c r="BC837" i="1"/>
  <c r="BB837" i="1"/>
  <c r="BA837" i="1"/>
  <c r="AZ837" i="1"/>
  <c r="AY837" i="1"/>
  <c r="AX837" i="1"/>
  <c r="AW837" i="1"/>
  <c r="AV837" i="1"/>
  <c r="AU837" i="1"/>
  <c r="AT837" i="1"/>
  <c r="AS837" i="1"/>
  <c r="AR837" i="1"/>
  <c r="AQ837" i="1"/>
  <c r="AP837" i="1"/>
  <c r="AM837" i="1"/>
  <c r="AL837" i="1"/>
  <c r="AK837" i="1"/>
  <c r="AJ837" i="1"/>
  <c r="AI837" i="1"/>
  <c r="AH837" i="1"/>
  <c r="AH837" i="1" a="1"/>
  <c r="AG837" i="1"/>
  <c r="AF837" i="1"/>
  <c r="BI836" i="1"/>
  <c r="BH836" i="1"/>
  <c r="BG836" i="1"/>
  <c r="BF836" i="1"/>
  <c r="BE836" i="1"/>
  <c r="BD836" i="1"/>
  <c r="BC836" i="1"/>
  <c r="BB836" i="1"/>
  <c r="BA836" i="1"/>
  <c r="AZ836" i="1"/>
  <c r="AY836" i="1"/>
  <c r="AX836" i="1"/>
  <c r="AW836" i="1"/>
  <c r="AV836" i="1"/>
  <c r="AU836" i="1"/>
  <c r="AT836" i="1"/>
  <c r="AS836" i="1"/>
  <c r="AR836" i="1"/>
  <c r="AQ836" i="1"/>
  <c r="AP836" i="1"/>
  <c r="AM836" i="1"/>
  <c r="AL836" i="1"/>
  <c r="AK836" i="1"/>
  <c r="AJ836" i="1"/>
  <c r="AI836" i="1"/>
  <c r="AH836" i="1"/>
  <c r="AH836" i="1" a="1"/>
  <c r="AG836" i="1"/>
  <c r="AF836" i="1"/>
  <c r="BI835" i="1"/>
  <c r="BH835" i="1"/>
  <c r="BG835" i="1"/>
  <c r="BF835" i="1"/>
  <c r="BE835" i="1"/>
  <c r="BD835" i="1"/>
  <c r="BC835" i="1"/>
  <c r="BB835" i="1"/>
  <c r="BA835" i="1"/>
  <c r="AZ835" i="1"/>
  <c r="AY835" i="1"/>
  <c r="AX835" i="1"/>
  <c r="AW835" i="1"/>
  <c r="AV835" i="1"/>
  <c r="AU835" i="1"/>
  <c r="AT835" i="1"/>
  <c r="AS835" i="1"/>
  <c r="AR835" i="1"/>
  <c r="AQ835" i="1"/>
  <c r="AP835" i="1"/>
  <c r="AM835" i="1"/>
  <c r="AL835" i="1"/>
  <c r="AK835" i="1"/>
  <c r="AJ835" i="1"/>
  <c r="AI835" i="1"/>
  <c r="AH835" i="1"/>
  <c r="AH835" i="1" a="1"/>
  <c r="AG835" i="1"/>
  <c r="AF835" i="1"/>
  <c r="BI834" i="1"/>
  <c r="BH834" i="1"/>
  <c r="BG834" i="1"/>
  <c r="BF834" i="1"/>
  <c r="BE834" i="1"/>
  <c r="BD834" i="1"/>
  <c r="BC834" i="1"/>
  <c r="BB834" i="1"/>
  <c r="BA834" i="1"/>
  <c r="AZ834" i="1"/>
  <c r="AY834" i="1"/>
  <c r="AX834" i="1"/>
  <c r="AW834" i="1"/>
  <c r="AV834" i="1"/>
  <c r="AU834" i="1"/>
  <c r="AT834" i="1"/>
  <c r="AS834" i="1"/>
  <c r="AR834" i="1"/>
  <c r="AQ834" i="1"/>
  <c r="AP834" i="1"/>
  <c r="AM834" i="1"/>
  <c r="AL834" i="1"/>
  <c r="AK834" i="1"/>
  <c r="AJ834" i="1"/>
  <c r="AI834" i="1"/>
  <c r="AH834" i="1"/>
  <c r="AH834" i="1" a="1"/>
  <c r="AG834" i="1"/>
  <c r="AF834" i="1"/>
  <c r="BI833" i="1"/>
  <c r="BH833" i="1"/>
  <c r="BG833" i="1"/>
  <c r="BF833" i="1"/>
  <c r="BE833" i="1"/>
  <c r="BD833" i="1"/>
  <c r="BC833" i="1"/>
  <c r="BB833" i="1"/>
  <c r="BA833" i="1"/>
  <c r="AZ833" i="1"/>
  <c r="AY833" i="1"/>
  <c r="AX833" i="1"/>
  <c r="AW833" i="1"/>
  <c r="AV833" i="1"/>
  <c r="AU833" i="1"/>
  <c r="AT833" i="1"/>
  <c r="AS833" i="1"/>
  <c r="AR833" i="1"/>
  <c r="AQ833" i="1"/>
  <c r="AP833" i="1"/>
  <c r="AM833" i="1"/>
  <c r="AL833" i="1"/>
  <c r="AK833" i="1"/>
  <c r="AJ833" i="1"/>
  <c r="AI833" i="1"/>
  <c r="AH833" i="1"/>
  <c r="AH833" i="1" a="1"/>
  <c r="AG833" i="1"/>
  <c r="AF833" i="1"/>
  <c r="BI832" i="1"/>
  <c r="BH832" i="1"/>
  <c r="BG832" i="1"/>
  <c r="BF832" i="1"/>
  <c r="BE832" i="1"/>
  <c r="BD832" i="1"/>
  <c r="BC832" i="1"/>
  <c r="BB832" i="1"/>
  <c r="BA832" i="1"/>
  <c r="AZ832" i="1"/>
  <c r="AY832" i="1"/>
  <c r="AX832" i="1"/>
  <c r="AW832" i="1"/>
  <c r="AV832" i="1"/>
  <c r="AU832" i="1"/>
  <c r="AT832" i="1"/>
  <c r="AS832" i="1"/>
  <c r="AR832" i="1"/>
  <c r="AQ832" i="1"/>
  <c r="AP832" i="1"/>
  <c r="AM832" i="1"/>
  <c r="AL832" i="1"/>
  <c r="AK832" i="1"/>
  <c r="AJ832" i="1"/>
  <c r="AI832" i="1"/>
  <c r="AH832" i="1"/>
  <c r="AH832" i="1" a="1"/>
  <c r="AG832" i="1"/>
  <c r="AF832" i="1"/>
  <c r="BI831" i="1"/>
  <c r="BH831" i="1"/>
  <c r="BG831" i="1"/>
  <c r="BF831" i="1"/>
  <c r="BE831" i="1"/>
  <c r="BD831" i="1"/>
  <c r="BC831" i="1"/>
  <c r="BB831" i="1"/>
  <c r="BA831" i="1"/>
  <c r="AZ831" i="1"/>
  <c r="AY831" i="1"/>
  <c r="AX831" i="1"/>
  <c r="AW831" i="1"/>
  <c r="AV831" i="1"/>
  <c r="AU831" i="1"/>
  <c r="AT831" i="1"/>
  <c r="AS831" i="1"/>
  <c r="AR831" i="1"/>
  <c r="AQ831" i="1"/>
  <c r="AP831" i="1"/>
  <c r="AM831" i="1"/>
  <c r="AL831" i="1"/>
  <c r="AK831" i="1"/>
  <c r="AJ831" i="1"/>
  <c r="AI831" i="1"/>
  <c r="AH831" i="1"/>
  <c r="AH831" i="1" a="1"/>
  <c r="AG831" i="1"/>
  <c r="AF831" i="1"/>
  <c r="BI830" i="1"/>
  <c r="BH830" i="1"/>
  <c r="BG830" i="1"/>
  <c r="BF830" i="1"/>
  <c r="BE830" i="1"/>
  <c r="BD830" i="1"/>
  <c r="BC830" i="1"/>
  <c r="BB830" i="1"/>
  <c r="BA830" i="1"/>
  <c r="AZ830" i="1"/>
  <c r="AY830" i="1"/>
  <c r="AX830" i="1"/>
  <c r="AW830" i="1"/>
  <c r="AV830" i="1"/>
  <c r="AU830" i="1"/>
  <c r="AT830" i="1"/>
  <c r="AS830" i="1"/>
  <c r="AR830" i="1"/>
  <c r="AQ830" i="1"/>
  <c r="AP830" i="1"/>
  <c r="AM830" i="1"/>
  <c r="AL830" i="1"/>
  <c r="AK830" i="1"/>
  <c r="AJ830" i="1"/>
  <c r="AI830" i="1"/>
  <c r="AH830" i="1"/>
  <c r="AH830" i="1" a="1"/>
  <c r="AG830" i="1"/>
  <c r="AF830" i="1"/>
  <c r="BI829" i="1"/>
  <c r="BH829" i="1"/>
  <c r="BG829" i="1"/>
  <c r="BF829" i="1"/>
  <c r="BE829" i="1"/>
  <c r="BD829" i="1"/>
  <c r="BC829" i="1"/>
  <c r="BB829" i="1"/>
  <c r="BA829" i="1"/>
  <c r="AZ829" i="1"/>
  <c r="AY829" i="1"/>
  <c r="AX829" i="1"/>
  <c r="AW829" i="1"/>
  <c r="AV829" i="1"/>
  <c r="AU829" i="1"/>
  <c r="AT829" i="1"/>
  <c r="AS829" i="1"/>
  <c r="AR829" i="1"/>
  <c r="AQ829" i="1"/>
  <c r="AP829" i="1"/>
  <c r="AM829" i="1"/>
  <c r="AL829" i="1"/>
  <c r="AK829" i="1"/>
  <c r="AJ829" i="1"/>
  <c r="AI829" i="1"/>
  <c r="AH829" i="1"/>
  <c r="AH829" i="1" a="1"/>
  <c r="AG829" i="1"/>
  <c r="AF829" i="1"/>
  <c r="BI828" i="1"/>
  <c r="BH828" i="1"/>
  <c r="BG828" i="1"/>
  <c r="BF828" i="1"/>
  <c r="BE828" i="1"/>
  <c r="BD828" i="1"/>
  <c r="BC828" i="1"/>
  <c r="BB828" i="1"/>
  <c r="BA828" i="1"/>
  <c r="AZ828" i="1"/>
  <c r="AY828" i="1"/>
  <c r="AX828" i="1"/>
  <c r="AW828" i="1"/>
  <c r="AV828" i="1"/>
  <c r="AU828" i="1"/>
  <c r="AT828" i="1"/>
  <c r="AS828" i="1"/>
  <c r="AR828" i="1"/>
  <c r="AQ828" i="1"/>
  <c r="AP828" i="1"/>
  <c r="AM828" i="1"/>
  <c r="AL828" i="1"/>
  <c r="AK828" i="1"/>
  <c r="AJ828" i="1"/>
  <c r="AI828" i="1"/>
  <c r="AH828" i="1"/>
  <c r="AH828" i="1" a="1"/>
  <c r="AG828" i="1"/>
  <c r="AF828" i="1"/>
  <c r="BI827" i="1"/>
  <c r="BH827" i="1"/>
  <c r="BG827" i="1"/>
  <c r="BF827" i="1"/>
  <c r="BE827" i="1"/>
  <c r="BD827" i="1"/>
  <c r="BC827" i="1"/>
  <c r="BB827" i="1"/>
  <c r="BA827" i="1"/>
  <c r="AZ827" i="1"/>
  <c r="AY827" i="1"/>
  <c r="AX827" i="1"/>
  <c r="AW827" i="1"/>
  <c r="AV827" i="1"/>
  <c r="AU827" i="1"/>
  <c r="AT827" i="1"/>
  <c r="AS827" i="1"/>
  <c r="AR827" i="1"/>
  <c r="AQ827" i="1"/>
  <c r="AP827" i="1"/>
  <c r="AM827" i="1"/>
  <c r="AL827" i="1"/>
  <c r="AK827" i="1"/>
  <c r="AJ827" i="1"/>
  <c r="AI827" i="1"/>
  <c r="AH827" i="1"/>
  <c r="AH827" i="1" a="1"/>
  <c r="AG827" i="1"/>
  <c r="AF827" i="1"/>
  <c r="BI826" i="1"/>
  <c r="BH826" i="1"/>
  <c r="BG826" i="1"/>
  <c r="BF826" i="1"/>
  <c r="BE826" i="1"/>
  <c r="BD826" i="1"/>
  <c r="BC826" i="1"/>
  <c r="BB826" i="1"/>
  <c r="BA826" i="1"/>
  <c r="AZ826" i="1"/>
  <c r="AY826" i="1"/>
  <c r="AX826" i="1"/>
  <c r="AW826" i="1"/>
  <c r="AV826" i="1"/>
  <c r="AU826" i="1"/>
  <c r="AT826" i="1"/>
  <c r="AS826" i="1"/>
  <c r="AR826" i="1"/>
  <c r="AQ826" i="1"/>
  <c r="AP826" i="1"/>
  <c r="AM826" i="1"/>
  <c r="AL826" i="1"/>
  <c r="AK826" i="1"/>
  <c r="AJ826" i="1"/>
  <c r="AI826" i="1"/>
  <c r="AH826" i="1"/>
  <c r="AH826" i="1" a="1"/>
  <c r="AG826" i="1"/>
  <c r="AF826" i="1"/>
  <c r="BI825" i="1"/>
  <c r="BH825" i="1"/>
  <c r="BG825" i="1"/>
  <c r="BF825" i="1"/>
  <c r="BE825" i="1"/>
  <c r="BD825" i="1"/>
  <c r="BC825" i="1"/>
  <c r="BB825" i="1"/>
  <c r="BA825" i="1"/>
  <c r="AZ825" i="1"/>
  <c r="AY825" i="1"/>
  <c r="AX825" i="1"/>
  <c r="AW825" i="1"/>
  <c r="AV825" i="1"/>
  <c r="AU825" i="1"/>
  <c r="AT825" i="1"/>
  <c r="AS825" i="1"/>
  <c r="AR825" i="1"/>
  <c r="AQ825" i="1"/>
  <c r="AP825" i="1"/>
  <c r="AM825" i="1"/>
  <c r="AL825" i="1"/>
  <c r="AK825" i="1"/>
  <c r="AJ825" i="1"/>
  <c r="AI825" i="1"/>
  <c r="AH825" i="1"/>
  <c r="AH825" i="1" a="1"/>
  <c r="AG825" i="1"/>
  <c r="AF825" i="1"/>
  <c r="BI824" i="1"/>
  <c r="BH824" i="1"/>
  <c r="BG824" i="1"/>
  <c r="BF824" i="1"/>
  <c r="BE824" i="1"/>
  <c r="BD824" i="1"/>
  <c r="BC824" i="1"/>
  <c r="BB824" i="1"/>
  <c r="BA824" i="1"/>
  <c r="AZ824" i="1"/>
  <c r="AY824" i="1"/>
  <c r="AX824" i="1"/>
  <c r="AW824" i="1"/>
  <c r="AV824" i="1"/>
  <c r="AU824" i="1"/>
  <c r="AT824" i="1"/>
  <c r="AS824" i="1"/>
  <c r="AR824" i="1"/>
  <c r="AQ824" i="1"/>
  <c r="AP824" i="1"/>
  <c r="AM824" i="1"/>
  <c r="AL824" i="1"/>
  <c r="AK824" i="1"/>
  <c r="AJ824" i="1"/>
  <c r="AI824" i="1"/>
  <c r="AH824" i="1"/>
  <c r="AH824" i="1" a="1"/>
  <c r="AG824" i="1"/>
  <c r="AF824" i="1"/>
  <c r="BI823" i="1"/>
  <c r="BH823" i="1"/>
  <c r="BG823" i="1"/>
  <c r="BF823" i="1"/>
  <c r="BE823" i="1"/>
  <c r="BD823" i="1"/>
  <c r="BC823" i="1"/>
  <c r="BB823" i="1"/>
  <c r="BA823" i="1"/>
  <c r="AZ823" i="1"/>
  <c r="AY823" i="1"/>
  <c r="AX823" i="1"/>
  <c r="AW823" i="1"/>
  <c r="AV823" i="1"/>
  <c r="AU823" i="1"/>
  <c r="AT823" i="1"/>
  <c r="AS823" i="1"/>
  <c r="AR823" i="1"/>
  <c r="AQ823" i="1"/>
  <c r="AP823" i="1"/>
  <c r="AM823" i="1"/>
  <c r="AL823" i="1"/>
  <c r="AK823" i="1"/>
  <c r="AJ823" i="1"/>
  <c r="AI823" i="1"/>
  <c r="AH823" i="1"/>
  <c r="AH823" i="1" a="1"/>
  <c r="AG823" i="1"/>
  <c r="AF823" i="1"/>
  <c r="BI822" i="1"/>
  <c r="BH822" i="1"/>
  <c r="BG822" i="1"/>
  <c r="BF822" i="1"/>
  <c r="BE822" i="1"/>
  <c r="BD822" i="1"/>
  <c r="BC822" i="1"/>
  <c r="BB822" i="1"/>
  <c r="BA822" i="1"/>
  <c r="AZ822" i="1"/>
  <c r="AY822" i="1"/>
  <c r="AX822" i="1"/>
  <c r="AW822" i="1"/>
  <c r="AV822" i="1"/>
  <c r="AU822" i="1"/>
  <c r="AT822" i="1"/>
  <c r="AS822" i="1"/>
  <c r="AR822" i="1"/>
  <c r="AQ822" i="1"/>
  <c r="AP822" i="1"/>
  <c r="AM822" i="1"/>
  <c r="AL822" i="1"/>
  <c r="AK822" i="1"/>
  <c r="AJ822" i="1"/>
  <c r="AI822" i="1"/>
  <c r="AH822" i="1"/>
  <c r="AH822" i="1" a="1"/>
  <c r="AG822" i="1"/>
  <c r="AF822" i="1"/>
  <c r="BI821" i="1"/>
  <c r="BH821" i="1"/>
  <c r="BG821" i="1"/>
  <c r="BF821" i="1"/>
  <c r="BE821" i="1"/>
  <c r="BD821" i="1"/>
  <c r="BC821" i="1"/>
  <c r="BB821" i="1"/>
  <c r="BA821" i="1"/>
  <c r="AZ821" i="1"/>
  <c r="AY821" i="1"/>
  <c r="AX821" i="1"/>
  <c r="AW821" i="1"/>
  <c r="AV821" i="1"/>
  <c r="AU821" i="1"/>
  <c r="AT821" i="1"/>
  <c r="AS821" i="1"/>
  <c r="AR821" i="1"/>
  <c r="AQ821" i="1"/>
  <c r="AP821" i="1"/>
  <c r="AM821" i="1"/>
  <c r="AL821" i="1"/>
  <c r="AK821" i="1"/>
  <c r="AJ821" i="1"/>
  <c r="AI821" i="1"/>
  <c r="AH821" i="1"/>
  <c r="AH821" i="1" a="1"/>
  <c r="AG821" i="1"/>
  <c r="AF821" i="1"/>
  <c r="BI820" i="1"/>
  <c r="BH820" i="1"/>
  <c r="BG820" i="1"/>
  <c r="BF820" i="1"/>
  <c r="BE820" i="1"/>
  <c r="BD820" i="1"/>
  <c r="BC820" i="1"/>
  <c r="BB820" i="1"/>
  <c r="BA820" i="1"/>
  <c r="AZ820" i="1"/>
  <c r="AY820" i="1"/>
  <c r="AX820" i="1"/>
  <c r="AW820" i="1"/>
  <c r="AV820" i="1"/>
  <c r="AU820" i="1"/>
  <c r="AT820" i="1"/>
  <c r="AS820" i="1"/>
  <c r="AR820" i="1"/>
  <c r="AQ820" i="1"/>
  <c r="AP820" i="1"/>
  <c r="AM820" i="1"/>
  <c r="AL820" i="1"/>
  <c r="AK820" i="1"/>
  <c r="AJ820" i="1"/>
  <c r="AI820" i="1"/>
  <c r="AH820" i="1"/>
  <c r="AH820" i="1" a="1"/>
  <c r="AG820" i="1"/>
  <c r="AF820" i="1"/>
  <c r="BI819" i="1"/>
  <c r="BH819" i="1"/>
  <c r="BG819" i="1"/>
  <c r="BF819" i="1"/>
  <c r="BE819" i="1"/>
  <c r="BD819" i="1"/>
  <c r="BC819" i="1"/>
  <c r="BB819" i="1"/>
  <c r="BA819" i="1"/>
  <c r="AZ819" i="1"/>
  <c r="AY819" i="1"/>
  <c r="AX819" i="1"/>
  <c r="AW819" i="1"/>
  <c r="AV819" i="1"/>
  <c r="AU819" i="1"/>
  <c r="AT819" i="1"/>
  <c r="AS819" i="1"/>
  <c r="AR819" i="1"/>
  <c r="AQ819" i="1"/>
  <c r="AP819" i="1"/>
  <c r="AM819" i="1"/>
  <c r="AL819" i="1"/>
  <c r="AK819" i="1"/>
  <c r="AJ819" i="1"/>
  <c r="AI819" i="1"/>
  <c r="AH819" i="1"/>
  <c r="AH819" i="1" a="1"/>
  <c r="AG819" i="1"/>
  <c r="AF819" i="1"/>
  <c r="BI818" i="1"/>
  <c r="BH818" i="1"/>
  <c r="BG818" i="1"/>
  <c r="BF818" i="1"/>
  <c r="BE818" i="1"/>
  <c r="BD818" i="1"/>
  <c r="BC818" i="1"/>
  <c r="BB818" i="1"/>
  <c r="BA818" i="1"/>
  <c r="AZ818" i="1"/>
  <c r="AY818" i="1"/>
  <c r="AX818" i="1"/>
  <c r="AW818" i="1"/>
  <c r="AV818" i="1"/>
  <c r="AU818" i="1"/>
  <c r="AT818" i="1"/>
  <c r="AS818" i="1"/>
  <c r="AR818" i="1"/>
  <c r="AQ818" i="1"/>
  <c r="AP818" i="1"/>
  <c r="AM818" i="1"/>
  <c r="AL818" i="1"/>
  <c r="AK818" i="1"/>
  <c r="AJ818" i="1"/>
  <c r="AI818" i="1"/>
  <c r="AH818" i="1"/>
  <c r="AH818" i="1" a="1"/>
  <c r="AG818" i="1"/>
  <c r="AF818" i="1"/>
  <c r="BI817" i="1"/>
  <c r="BH817" i="1"/>
  <c r="BG817" i="1"/>
  <c r="BF817" i="1"/>
  <c r="BE817" i="1"/>
  <c r="BD817" i="1"/>
  <c r="BC817" i="1"/>
  <c r="BB817" i="1"/>
  <c r="BA817" i="1"/>
  <c r="AZ817" i="1"/>
  <c r="AY817" i="1"/>
  <c r="AX817" i="1"/>
  <c r="AW817" i="1"/>
  <c r="AV817" i="1"/>
  <c r="AU817" i="1"/>
  <c r="AT817" i="1"/>
  <c r="AS817" i="1"/>
  <c r="AR817" i="1"/>
  <c r="AQ817" i="1"/>
  <c r="AP817" i="1"/>
  <c r="AM817" i="1"/>
  <c r="AL817" i="1"/>
  <c r="AK817" i="1"/>
  <c r="AJ817" i="1"/>
  <c r="AI817" i="1"/>
  <c r="AH817" i="1"/>
  <c r="AH817" i="1" a="1"/>
  <c r="AG817" i="1"/>
  <c r="AF817" i="1"/>
  <c r="BI816" i="1"/>
  <c r="BH816" i="1"/>
  <c r="BG816" i="1"/>
  <c r="BF816" i="1"/>
  <c r="BE816" i="1"/>
  <c r="BD816" i="1"/>
  <c r="BC816" i="1"/>
  <c r="BB816" i="1"/>
  <c r="BA816" i="1"/>
  <c r="AZ816" i="1"/>
  <c r="AY816" i="1"/>
  <c r="AX816" i="1"/>
  <c r="AW816" i="1"/>
  <c r="AV816" i="1"/>
  <c r="AU816" i="1"/>
  <c r="AT816" i="1"/>
  <c r="AS816" i="1"/>
  <c r="AR816" i="1"/>
  <c r="AQ816" i="1"/>
  <c r="AP816" i="1"/>
  <c r="AM816" i="1"/>
  <c r="AL816" i="1"/>
  <c r="AK816" i="1"/>
  <c r="AJ816" i="1"/>
  <c r="AI816" i="1"/>
  <c r="AH816" i="1"/>
  <c r="AH816" i="1" a="1"/>
  <c r="AG816" i="1"/>
  <c r="AF816" i="1"/>
  <c r="BI815" i="1"/>
  <c r="BH815" i="1"/>
  <c r="BG815" i="1"/>
  <c r="BF815" i="1"/>
  <c r="BE815" i="1"/>
  <c r="BD815" i="1"/>
  <c r="BC815" i="1"/>
  <c r="BB815" i="1"/>
  <c r="BA815" i="1"/>
  <c r="AZ815" i="1"/>
  <c r="AY815" i="1"/>
  <c r="AX815" i="1"/>
  <c r="AW815" i="1"/>
  <c r="AV815" i="1"/>
  <c r="AU815" i="1"/>
  <c r="AT815" i="1"/>
  <c r="AS815" i="1"/>
  <c r="AR815" i="1"/>
  <c r="AQ815" i="1"/>
  <c r="AP815" i="1"/>
  <c r="AM815" i="1"/>
  <c r="AL815" i="1"/>
  <c r="AK815" i="1"/>
  <c r="AJ815" i="1"/>
  <c r="AI815" i="1"/>
  <c r="AH815" i="1"/>
  <c r="AH815" i="1" a="1"/>
  <c r="AG815" i="1"/>
  <c r="AF815" i="1"/>
  <c r="BI814" i="1"/>
  <c r="BH814" i="1"/>
  <c r="BG814" i="1"/>
  <c r="BF814" i="1"/>
  <c r="BE814" i="1"/>
  <c r="BD814" i="1"/>
  <c r="BC814" i="1"/>
  <c r="BB814" i="1"/>
  <c r="BA814" i="1"/>
  <c r="AZ814" i="1"/>
  <c r="AY814" i="1"/>
  <c r="AX814" i="1"/>
  <c r="AW814" i="1"/>
  <c r="AV814" i="1"/>
  <c r="AU814" i="1"/>
  <c r="AT814" i="1"/>
  <c r="AS814" i="1"/>
  <c r="AR814" i="1"/>
  <c r="AQ814" i="1"/>
  <c r="AP814" i="1"/>
  <c r="AM814" i="1"/>
  <c r="AL814" i="1"/>
  <c r="AK814" i="1"/>
  <c r="AJ814" i="1"/>
  <c r="AI814" i="1"/>
  <c r="AH814" i="1"/>
  <c r="AH814" i="1" a="1"/>
  <c r="AG814" i="1"/>
  <c r="AF814" i="1"/>
  <c r="BI813" i="1"/>
  <c r="BH813" i="1"/>
  <c r="BG813" i="1"/>
  <c r="BF813" i="1"/>
  <c r="BE813" i="1"/>
  <c r="BD813" i="1"/>
  <c r="BC813" i="1"/>
  <c r="BB813" i="1"/>
  <c r="BA813" i="1"/>
  <c r="AZ813" i="1"/>
  <c r="AY813" i="1"/>
  <c r="AX813" i="1"/>
  <c r="AW813" i="1"/>
  <c r="AV813" i="1"/>
  <c r="AU813" i="1"/>
  <c r="AT813" i="1"/>
  <c r="AS813" i="1"/>
  <c r="AR813" i="1"/>
  <c r="AQ813" i="1"/>
  <c r="AP813" i="1"/>
  <c r="AM813" i="1"/>
  <c r="AL813" i="1"/>
  <c r="AK813" i="1"/>
  <c r="AJ813" i="1"/>
  <c r="AI813" i="1"/>
  <c r="AH813" i="1"/>
  <c r="AH813" i="1" a="1"/>
  <c r="AG813" i="1"/>
  <c r="AF813" i="1"/>
  <c r="BI812" i="1"/>
  <c r="BH812" i="1"/>
  <c r="BG812" i="1"/>
  <c r="BF812" i="1"/>
  <c r="BE812" i="1"/>
  <c r="BD812" i="1"/>
  <c r="BC812" i="1"/>
  <c r="BB812" i="1"/>
  <c r="BA812" i="1"/>
  <c r="AZ812" i="1"/>
  <c r="AY812" i="1"/>
  <c r="AX812" i="1"/>
  <c r="AW812" i="1"/>
  <c r="AV812" i="1"/>
  <c r="AU812" i="1"/>
  <c r="AT812" i="1"/>
  <c r="AS812" i="1"/>
  <c r="AR812" i="1"/>
  <c r="AQ812" i="1"/>
  <c r="AP812" i="1"/>
  <c r="AM812" i="1"/>
  <c r="AL812" i="1"/>
  <c r="AK812" i="1"/>
  <c r="AJ812" i="1"/>
  <c r="AI812" i="1"/>
  <c r="AH812" i="1"/>
  <c r="AH812" i="1" a="1"/>
  <c r="AG812" i="1"/>
  <c r="AF812" i="1"/>
  <c r="BI811" i="1"/>
  <c r="BH811" i="1"/>
  <c r="BG811" i="1"/>
  <c r="BF811" i="1"/>
  <c r="BE811" i="1"/>
  <c r="BD811" i="1"/>
  <c r="BC811" i="1"/>
  <c r="BB811" i="1"/>
  <c r="BA811" i="1"/>
  <c r="AZ811" i="1"/>
  <c r="AY811" i="1"/>
  <c r="AX811" i="1"/>
  <c r="AW811" i="1"/>
  <c r="AV811" i="1"/>
  <c r="AU811" i="1"/>
  <c r="AT811" i="1"/>
  <c r="AS811" i="1"/>
  <c r="AR811" i="1"/>
  <c r="AQ811" i="1"/>
  <c r="AP811" i="1"/>
  <c r="AM811" i="1"/>
  <c r="AL811" i="1"/>
  <c r="AK811" i="1"/>
  <c r="AJ811" i="1"/>
  <c r="AI811" i="1"/>
  <c r="AH811" i="1"/>
  <c r="AH811" i="1" a="1"/>
  <c r="AG811" i="1"/>
  <c r="AF811" i="1"/>
  <c r="BI810" i="1"/>
  <c r="BH810" i="1"/>
  <c r="BG810" i="1"/>
  <c r="BF810" i="1"/>
  <c r="BE810" i="1"/>
  <c r="BD810" i="1"/>
  <c r="BC810" i="1"/>
  <c r="BB810" i="1"/>
  <c r="BA810" i="1"/>
  <c r="AZ810" i="1"/>
  <c r="AY810" i="1"/>
  <c r="AX810" i="1"/>
  <c r="AW810" i="1"/>
  <c r="AV810" i="1"/>
  <c r="AU810" i="1"/>
  <c r="AT810" i="1"/>
  <c r="AS810" i="1"/>
  <c r="AR810" i="1"/>
  <c r="AQ810" i="1"/>
  <c r="AP810" i="1"/>
  <c r="AM810" i="1"/>
  <c r="AL810" i="1"/>
  <c r="AK810" i="1"/>
  <c r="AJ810" i="1"/>
  <c r="AI810" i="1"/>
  <c r="AH810" i="1"/>
  <c r="AH810" i="1" a="1"/>
  <c r="AG810" i="1"/>
  <c r="AF810" i="1"/>
  <c r="BI809" i="1"/>
  <c r="BH809" i="1"/>
  <c r="BG809" i="1"/>
  <c r="BF809" i="1"/>
  <c r="BE809" i="1"/>
  <c r="BD809" i="1"/>
  <c r="BC809" i="1"/>
  <c r="BB809" i="1"/>
  <c r="BA809" i="1"/>
  <c r="AZ809" i="1"/>
  <c r="AY809" i="1"/>
  <c r="AX809" i="1"/>
  <c r="AW809" i="1"/>
  <c r="AV809" i="1"/>
  <c r="AU809" i="1"/>
  <c r="AT809" i="1"/>
  <c r="AS809" i="1"/>
  <c r="AR809" i="1"/>
  <c r="AQ809" i="1"/>
  <c r="AP809" i="1"/>
  <c r="AM809" i="1"/>
  <c r="AL809" i="1"/>
  <c r="AK809" i="1"/>
  <c r="AJ809" i="1"/>
  <c r="AI809" i="1"/>
  <c r="AH809" i="1"/>
  <c r="AH809" i="1" a="1"/>
  <c r="AG809" i="1"/>
  <c r="AF809" i="1"/>
  <c r="BI808" i="1"/>
  <c r="BH808" i="1"/>
  <c r="BG808" i="1"/>
  <c r="BF808" i="1"/>
  <c r="BE808" i="1"/>
  <c r="BD808" i="1"/>
  <c r="BC808" i="1"/>
  <c r="BB808" i="1"/>
  <c r="BA808" i="1"/>
  <c r="AZ808" i="1"/>
  <c r="AY808" i="1"/>
  <c r="AX808" i="1"/>
  <c r="AW808" i="1"/>
  <c r="AV808" i="1"/>
  <c r="AU808" i="1"/>
  <c r="AT808" i="1"/>
  <c r="AS808" i="1"/>
  <c r="AR808" i="1"/>
  <c r="AQ808" i="1"/>
  <c r="AP808" i="1"/>
  <c r="AM808" i="1"/>
  <c r="AL808" i="1"/>
  <c r="AK808" i="1"/>
  <c r="AJ808" i="1"/>
  <c r="AI808" i="1"/>
  <c r="AH808" i="1"/>
  <c r="AH808" i="1" a="1"/>
  <c r="AG808" i="1"/>
  <c r="AF808" i="1"/>
  <c r="BI807" i="1"/>
  <c r="BH807" i="1"/>
  <c r="BG807" i="1"/>
  <c r="BF807" i="1"/>
  <c r="BE807" i="1"/>
  <c r="BD807" i="1"/>
  <c r="BC807" i="1"/>
  <c r="BB807" i="1"/>
  <c r="BA807" i="1"/>
  <c r="AZ807" i="1"/>
  <c r="AY807" i="1"/>
  <c r="AX807" i="1"/>
  <c r="AW807" i="1"/>
  <c r="AV807" i="1"/>
  <c r="AU807" i="1"/>
  <c r="AT807" i="1"/>
  <c r="AS807" i="1"/>
  <c r="AR807" i="1"/>
  <c r="AQ807" i="1"/>
  <c r="AP807" i="1"/>
  <c r="AM807" i="1"/>
  <c r="AL807" i="1"/>
  <c r="AK807" i="1"/>
  <c r="AJ807" i="1"/>
  <c r="AI807" i="1"/>
  <c r="AH807" i="1"/>
  <c r="AH807" i="1" a="1"/>
  <c r="AG807" i="1"/>
  <c r="AF807" i="1"/>
  <c r="BI806" i="1"/>
  <c r="BH806" i="1"/>
  <c r="BG806" i="1"/>
  <c r="BF806" i="1"/>
  <c r="BE806" i="1"/>
  <c r="BD806" i="1"/>
  <c r="BC806" i="1"/>
  <c r="BB806" i="1"/>
  <c r="BA806" i="1"/>
  <c r="AZ806" i="1"/>
  <c r="AY806" i="1"/>
  <c r="AX806" i="1"/>
  <c r="AW806" i="1"/>
  <c r="AV806" i="1"/>
  <c r="AU806" i="1"/>
  <c r="AT806" i="1"/>
  <c r="AS806" i="1"/>
  <c r="AR806" i="1"/>
  <c r="AQ806" i="1"/>
  <c r="AP806" i="1"/>
  <c r="AM806" i="1"/>
  <c r="AL806" i="1"/>
  <c r="AK806" i="1"/>
  <c r="AJ806" i="1"/>
  <c r="AI806" i="1"/>
  <c r="AH806" i="1"/>
  <c r="AH806" i="1" a="1"/>
  <c r="AG806" i="1"/>
  <c r="AF806" i="1"/>
  <c r="BI805" i="1"/>
  <c r="BH805" i="1"/>
  <c r="BG805" i="1"/>
  <c r="BF805" i="1"/>
  <c r="BE805" i="1"/>
  <c r="BD805" i="1"/>
  <c r="BC805" i="1"/>
  <c r="BB805" i="1"/>
  <c r="BA805" i="1"/>
  <c r="AZ805" i="1"/>
  <c r="AY805" i="1"/>
  <c r="AX805" i="1"/>
  <c r="AW805" i="1"/>
  <c r="AV805" i="1"/>
  <c r="AU805" i="1"/>
  <c r="AT805" i="1"/>
  <c r="AS805" i="1"/>
  <c r="AR805" i="1"/>
  <c r="AQ805" i="1"/>
  <c r="AP805" i="1"/>
  <c r="AM805" i="1"/>
  <c r="AL805" i="1"/>
  <c r="AK805" i="1"/>
  <c r="AJ805" i="1"/>
  <c r="AI805" i="1"/>
  <c r="AH805" i="1"/>
  <c r="AH805" i="1" a="1"/>
  <c r="AG805" i="1"/>
  <c r="AF805" i="1"/>
  <c r="BI804" i="1"/>
  <c r="BH804" i="1"/>
  <c r="BG804" i="1"/>
  <c r="BF804" i="1"/>
  <c r="BE804" i="1"/>
  <c r="BD804" i="1"/>
  <c r="BC804" i="1"/>
  <c r="BB804" i="1"/>
  <c r="BA804" i="1"/>
  <c r="AZ804" i="1"/>
  <c r="AY804" i="1"/>
  <c r="AX804" i="1"/>
  <c r="AW804" i="1"/>
  <c r="AV804" i="1"/>
  <c r="AU804" i="1"/>
  <c r="AT804" i="1"/>
  <c r="AS804" i="1"/>
  <c r="AR804" i="1"/>
  <c r="AQ804" i="1"/>
  <c r="AP804" i="1"/>
  <c r="AM804" i="1"/>
  <c r="AL804" i="1"/>
  <c r="AK804" i="1"/>
  <c r="AJ804" i="1"/>
  <c r="AI804" i="1"/>
  <c r="AH804" i="1"/>
  <c r="AH804" i="1" a="1"/>
  <c r="AG804" i="1"/>
  <c r="AF804" i="1"/>
  <c r="BI803" i="1"/>
  <c r="BH803" i="1"/>
  <c r="BG803" i="1"/>
  <c r="BF803" i="1"/>
  <c r="BE803" i="1"/>
  <c r="BD803" i="1"/>
  <c r="BC803" i="1"/>
  <c r="BB803" i="1"/>
  <c r="BA803" i="1"/>
  <c r="AZ803" i="1"/>
  <c r="AY803" i="1"/>
  <c r="AX803" i="1"/>
  <c r="AW803" i="1"/>
  <c r="AV803" i="1"/>
  <c r="AU803" i="1"/>
  <c r="AT803" i="1"/>
  <c r="AS803" i="1"/>
  <c r="AR803" i="1"/>
  <c r="AQ803" i="1"/>
  <c r="AP803" i="1"/>
  <c r="AM803" i="1"/>
  <c r="AL803" i="1"/>
  <c r="AK803" i="1"/>
  <c r="AJ803" i="1"/>
  <c r="AI803" i="1"/>
  <c r="AH803" i="1"/>
  <c r="AH803" i="1" a="1"/>
  <c r="AG803" i="1"/>
  <c r="AF803" i="1"/>
  <c r="BI802" i="1"/>
  <c r="BH802" i="1"/>
  <c r="BG802" i="1"/>
  <c r="BF802" i="1"/>
  <c r="BE802" i="1"/>
  <c r="BD802" i="1"/>
  <c r="BC802" i="1"/>
  <c r="BB802" i="1"/>
  <c r="BA802" i="1"/>
  <c r="AZ802" i="1"/>
  <c r="AY802" i="1"/>
  <c r="AX802" i="1"/>
  <c r="AW802" i="1"/>
  <c r="AV802" i="1"/>
  <c r="AU802" i="1"/>
  <c r="AT802" i="1"/>
  <c r="AS802" i="1"/>
  <c r="AR802" i="1"/>
  <c r="AQ802" i="1"/>
  <c r="AP802" i="1"/>
  <c r="AM802" i="1"/>
  <c r="AL802" i="1"/>
  <c r="AK802" i="1"/>
  <c r="AJ802" i="1"/>
  <c r="AI802" i="1"/>
  <c r="AH802" i="1"/>
  <c r="AH802" i="1" a="1"/>
  <c r="AG802" i="1"/>
  <c r="AF802" i="1"/>
  <c r="BI801" i="1"/>
  <c r="BH801" i="1"/>
  <c r="BG801" i="1"/>
  <c r="BF801" i="1"/>
  <c r="BE801" i="1"/>
  <c r="BD801" i="1"/>
  <c r="BC801" i="1"/>
  <c r="BB801" i="1"/>
  <c r="BA801" i="1"/>
  <c r="AZ801" i="1"/>
  <c r="AY801" i="1"/>
  <c r="AX801" i="1"/>
  <c r="AW801" i="1"/>
  <c r="AV801" i="1"/>
  <c r="AU801" i="1"/>
  <c r="AT801" i="1"/>
  <c r="AS801" i="1"/>
  <c r="AR801" i="1"/>
  <c r="AQ801" i="1"/>
  <c r="AP801" i="1"/>
  <c r="AM801" i="1"/>
  <c r="AL801" i="1"/>
  <c r="AK801" i="1"/>
  <c r="AJ801" i="1"/>
  <c r="AI801" i="1"/>
  <c r="AH801" i="1"/>
  <c r="AH801" i="1" a="1"/>
  <c r="AG801" i="1"/>
  <c r="AF801" i="1"/>
  <c r="BI800" i="1"/>
  <c r="BH800" i="1"/>
  <c r="BG800" i="1"/>
  <c r="BF800" i="1"/>
  <c r="BE800" i="1"/>
  <c r="BD800" i="1"/>
  <c r="BC800" i="1"/>
  <c r="BB800" i="1"/>
  <c r="BA800" i="1"/>
  <c r="AZ800" i="1"/>
  <c r="AY800" i="1"/>
  <c r="AX800" i="1"/>
  <c r="AW800" i="1"/>
  <c r="AV800" i="1"/>
  <c r="AU800" i="1"/>
  <c r="AT800" i="1"/>
  <c r="AS800" i="1"/>
  <c r="AR800" i="1"/>
  <c r="AQ800" i="1"/>
  <c r="AP800" i="1"/>
  <c r="AM800" i="1"/>
  <c r="AL800" i="1"/>
  <c r="AK800" i="1"/>
  <c r="AJ800" i="1"/>
  <c r="AI800" i="1"/>
  <c r="AH800" i="1"/>
  <c r="AH800" i="1" a="1"/>
  <c r="AG800" i="1"/>
  <c r="AF800" i="1"/>
  <c r="BI799" i="1"/>
  <c r="BH799" i="1"/>
  <c r="BG799" i="1"/>
  <c r="BF799" i="1"/>
  <c r="BE799" i="1"/>
  <c r="BD799" i="1"/>
  <c r="BC799" i="1"/>
  <c r="BB799" i="1"/>
  <c r="BA799" i="1"/>
  <c r="AZ799" i="1"/>
  <c r="AY799" i="1"/>
  <c r="AX799" i="1"/>
  <c r="AW799" i="1"/>
  <c r="AV799" i="1"/>
  <c r="AU799" i="1"/>
  <c r="AT799" i="1"/>
  <c r="AS799" i="1"/>
  <c r="AR799" i="1"/>
  <c r="AQ799" i="1"/>
  <c r="AP799" i="1"/>
  <c r="AM799" i="1"/>
  <c r="AL799" i="1"/>
  <c r="AK799" i="1"/>
  <c r="AJ799" i="1"/>
  <c r="AI799" i="1"/>
  <c r="AH799" i="1"/>
  <c r="AH799" i="1" a="1"/>
  <c r="AG799" i="1"/>
  <c r="AF799" i="1"/>
  <c r="BI798" i="1"/>
  <c r="BH798" i="1"/>
  <c r="BG798" i="1"/>
  <c r="BF798" i="1"/>
  <c r="BE798" i="1"/>
  <c r="BD798" i="1"/>
  <c r="BC798" i="1"/>
  <c r="BB798" i="1"/>
  <c r="BA798" i="1"/>
  <c r="AZ798" i="1"/>
  <c r="AY798" i="1"/>
  <c r="AX798" i="1"/>
  <c r="AW798" i="1"/>
  <c r="AV798" i="1"/>
  <c r="AU798" i="1"/>
  <c r="AT798" i="1"/>
  <c r="AS798" i="1"/>
  <c r="AR798" i="1"/>
  <c r="AQ798" i="1"/>
  <c r="AP798" i="1"/>
  <c r="AM798" i="1"/>
  <c r="AL798" i="1"/>
  <c r="AK798" i="1"/>
  <c r="AJ798" i="1"/>
  <c r="AI798" i="1"/>
  <c r="AH798" i="1"/>
  <c r="AH798" i="1" a="1"/>
  <c r="AG798" i="1"/>
  <c r="AF798" i="1"/>
  <c r="BI797" i="1"/>
  <c r="BH797" i="1"/>
  <c r="BG797" i="1"/>
  <c r="BF797" i="1"/>
  <c r="BE797" i="1"/>
  <c r="BD797" i="1"/>
  <c r="BC797" i="1"/>
  <c r="BB797" i="1"/>
  <c r="BA797" i="1"/>
  <c r="AZ797" i="1"/>
  <c r="AY797" i="1"/>
  <c r="AX797" i="1"/>
  <c r="AW797" i="1"/>
  <c r="AV797" i="1"/>
  <c r="AU797" i="1"/>
  <c r="AT797" i="1"/>
  <c r="AS797" i="1"/>
  <c r="AR797" i="1"/>
  <c r="AQ797" i="1"/>
  <c r="AP797" i="1"/>
  <c r="AM797" i="1"/>
  <c r="AL797" i="1"/>
  <c r="AK797" i="1"/>
  <c r="AJ797" i="1"/>
  <c r="AI797" i="1"/>
  <c r="AH797" i="1"/>
  <c r="AH797" i="1" a="1"/>
  <c r="AG797" i="1"/>
  <c r="AF797" i="1"/>
  <c r="BI796" i="1"/>
  <c r="BH796" i="1"/>
  <c r="BG796" i="1"/>
  <c r="BF796" i="1"/>
  <c r="BE796" i="1"/>
  <c r="BD796" i="1"/>
  <c r="BC796" i="1"/>
  <c r="BB796" i="1"/>
  <c r="BA796" i="1"/>
  <c r="AZ796" i="1"/>
  <c r="AY796" i="1"/>
  <c r="AX796" i="1"/>
  <c r="AW796" i="1"/>
  <c r="AV796" i="1"/>
  <c r="AU796" i="1"/>
  <c r="AT796" i="1"/>
  <c r="AS796" i="1"/>
  <c r="AR796" i="1"/>
  <c r="AQ796" i="1"/>
  <c r="AP796" i="1"/>
  <c r="AM796" i="1"/>
  <c r="AL796" i="1"/>
  <c r="AK796" i="1"/>
  <c r="AJ796" i="1"/>
  <c r="AI796" i="1"/>
  <c r="AH796" i="1"/>
  <c r="AH796" i="1" a="1"/>
  <c r="AG796" i="1"/>
  <c r="AF796" i="1"/>
  <c r="BI795" i="1"/>
  <c r="BH795" i="1"/>
  <c r="BG795" i="1"/>
  <c r="BF795" i="1"/>
  <c r="BE795" i="1"/>
  <c r="BD795" i="1"/>
  <c r="BC795" i="1"/>
  <c r="BB795" i="1"/>
  <c r="BA795" i="1"/>
  <c r="AZ795" i="1"/>
  <c r="AY795" i="1"/>
  <c r="AX795" i="1"/>
  <c r="AW795" i="1"/>
  <c r="AV795" i="1"/>
  <c r="AU795" i="1"/>
  <c r="AT795" i="1"/>
  <c r="AS795" i="1"/>
  <c r="AR795" i="1"/>
  <c r="AQ795" i="1"/>
  <c r="AP795" i="1"/>
  <c r="AM795" i="1"/>
  <c r="AL795" i="1"/>
  <c r="AK795" i="1"/>
  <c r="AJ795" i="1"/>
  <c r="AI795" i="1"/>
  <c r="AH795" i="1"/>
  <c r="AH795" i="1" a="1"/>
  <c r="AG795" i="1"/>
  <c r="AF795" i="1"/>
  <c r="BI794" i="1"/>
  <c r="BH794" i="1"/>
  <c r="BG794" i="1"/>
  <c r="BF794" i="1"/>
  <c r="BE794" i="1"/>
  <c r="BD794" i="1"/>
  <c r="BC794" i="1"/>
  <c r="BB794" i="1"/>
  <c r="BA794" i="1"/>
  <c r="AZ794" i="1"/>
  <c r="AY794" i="1"/>
  <c r="AX794" i="1"/>
  <c r="AW794" i="1"/>
  <c r="AV794" i="1"/>
  <c r="AU794" i="1"/>
  <c r="AT794" i="1"/>
  <c r="AS794" i="1"/>
  <c r="AR794" i="1"/>
  <c r="AQ794" i="1"/>
  <c r="AP794" i="1"/>
  <c r="AM794" i="1"/>
  <c r="AL794" i="1"/>
  <c r="AK794" i="1"/>
  <c r="AJ794" i="1"/>
  <c r="AI794" i="1"/>
  <c r="AH794" i="1"/>
  <c r="AH794" i="1" a="1"/>
  <c r="AG794" i="1"/>
  <c r="AF794" i="1"/>
  <c r="BI793" i="1"/>
  <c r="BH793" i="1"/>
  <c r="BG793" i="1"/>
  <c r="BF793" i="1"/>
  <c r="BE793" i="1"/>
  <c r="BD793" i="1"/>
  <c r="BC793" i="1"/>
  <c r="BB793" i="1"/>
  <c r="BA793" i="1"/>
  <c r="AZ793" i="1"/>
  <c r="AY793" i="1"/>
  <c r="AX793" i="1"/>
  <c r="AW793" i="1"/>
  <c r="AV793" i="1"/>
  <c r="AU793" i="1"/>
  <c r="AT793" i="1"/>
  <c r="AS793" i="1"/>
  <c r="AR793" i="1"/>
  <c r="AQ793" i="1"/>
  <c r="AP793" i="1"/>
  <c r="AM793" i="1"/>
  <c r="AL793" i="1"/>
  <c r="AK793" i="1"/>
  <c r="AJ793" i="1"/>
  <c r="AI793" i="1"/>
  <c r="AH793" i="1"/>
  <c r="AH793" i="1" a="1"/>
  <c r="AG793" i="1"/>
  <c r="AF793" i="1"/>
  <c r="BI792" i="1"/>
  <c r="BH792" i="1"/>
  <c r="BG792" i="1"/>
  <c r="BF792" i="1"/>
  <c r="BE792" i="1"/>
  <c r="BD792" i="1"/>
  <c r="BC792" i="1"/>
  <c r="BB792" i="1"/>
  <c r="BA792" i="1"/>
  <c r="AZ792" i="1"/>
  <c r="AY792" i="1"/>
  <c r="AX792" i="1"/>
  <c r="AW792" i="1"/>
  <c r="AV792" i="1"/>
  <c r="AU792" i="1"/>
  <c r="AT792" i="1"/>
  <c r="AS792" i="1"/>
  <c r="AR792" i="1"/>
  <c r="AQ792" i="1"/>
  <c r="AP792" i="1"/>
  <c r="AM792" i="1"/>
  <c r="AL792" i="1"/>
  <c r="AK792" i="1"/>
  <c r="AJ792" i="1"/>
  <c r="AI792" i="1"/>
  <c r="AH792" i="1"/>
  <c r="AH792" i="1" a="1"/>
  <c r="AG792" i="1"/>
  <c r="AF792" i="1"/>
  <c r="BI791" i="1"/>
  <c r="BH791" i="1"/>
  <c r="BG791" i="1"/>
  <c r="BF791" i="1"/>
  <c r="BE791" i="1"/>
  <c r="BD791" i="1"/>
  <c r="BC791" i="1"/>
  <c r="BB791" i="1"/>
  <c r="BA791" i="1"/>
  <c r="AZ791" i="1"/>
  <c r="AY791" i="1"/>
  <c r="AX791" i="1"/>
  <c r="AW791" i="1"/>
  <c r="AV791" i="1"/>
  <c r="AU791" i="1"/>
  <c r="AT791" i="1"/>
  <c r="AS791" i="1"/>
  <c r="AR791" i="1"/>
  <c r="AQ791" i="1"/>
  <c r="AP791" i="1"/>
  <c r="AM791" i="1"/>
  <c r="AL791" i="1"/>
  <c r="AK791" i="1"/>
  <c r="AJ791" i="1"/>
  <c r="AI791" i="1"/>
  <c r="AH791" i="1"/>
  <c r="AH791" i="1" a="1"/>
  <c r="AG791" i="1"/>
  <c r="AF791" i="1"/>
  <c r="BI790" i="1"/>
  <c r="BH790" i="1"/>
  <c r="BG790" i="1"/>
  <c r="BF790" i="1"/>
  <c r="BE790" i="1"/>
  <c r="BD790" i="1"/>
  <c r="BC790" i="1"/>
  <c r="BB790" i="1"/>
  <c r="BA790" i="1"/>
  <c r="AZ790" i="1"/>
  <c r="AY790" i="1"/>
  <c r="AX790" i="1"/>
  <c r="AW790" i="1"/>
  <c r="AV790" i="1"/>
  <c r="AU790" i="1"/>
  <c r="AT790" i="1"/>
  <c r="AS790" i="1"/>
  <c r="AR790" i="1"/>
  <c r="AQ790" i="1"/>
  <c r="AP790" i="1"/>
  <c r="AM790" i="1"/>
  <c r="AL790" i="1"/>
  <c r="AK790" i="1"/>
  <c r="AJ790" i="1"/>
  <c r="AI790" i="1"/>
  <c r="AH790" i="1"/>
  <c r="AH790" i="1" a="1"/>
  <c r="AG790" i="1"/>
  <c r="AF790" i="1"/>
  <c r="BI789" i="1"/>
  <c r="BH789" i="1"/>
  <c r="BG789" i="1"/>
  <c r="BF789" i="1"/>
  <c r="BE789" i="1"/>
  <c r="BD789" i="1"/>
  <c r="BC789" i="1"/>
  <c r="BB789" i="1"/>
  <c r="BA789" i="1"/>
  <c r="AZ789" i="1"/>
  <c r="AY789" i="1"/>
  <c r="AX789" i="1"/>
  <c r="AW789" i="1"/>
  <c r="AV789" i="1"/>
  <c r="AU789" i="1"/>
  <c r="AT789" i="1"/>
  <c r="AS789" i="1"/>
  <c r="AR789" i="1"/>
  <c r="AQ789" i="1"/>
  <c r="AP789" i="1"/>
  <c r="AM789" i="1"/>
  <c r="AL789" i="1"/>
  <c r="AK789" i="1"/>
  <c r="AJ789" i="1"/>
  <c r="AI789" i="1"/>
  <c r="AH789" i="1"/>
  <c r="AH789" i="1" a="1"/>
  <c r="AG789" i="1"/>
  <c r="AF789" i="1"/>
  <c r="BI788" i="1"/>
  <c r="BH788" i="1"/>
  <c r="BG788" i="1"/>
  <c r="BF788" i="1"/>
  <c r="BE788" i="1"/>
  <c r="BD788" i="1"/>
  <c r="BC788" i="1"/>
  <c r="BB788" i="1"/>
  <c r="BA788" i="1"/>
  <c r="AZ788" i="1"/>
  <c r="AY788" i="1"/>
  <c r="AX788" i="1"/>
  <c r="AW788" i="1"/>
  <c r="AV788" i="1"/>
  <c r="AU788" i="1"/>
  <c r="AT788" i="1"/>
  <c r="AS788" i="1"/>
  <c r="AR788" i="1"/>
  <c r="AQ788" i="1"/>
  <c r="AP788" i="1"/>
  <c r="AM788" i="1"/>
  <c r="AL788" i="1"/>
  <c r="AK788" i="1"/>
  <c r="AJ788" i="1"/>
  <c r="AI788" i="1"/>
  <c r="AH788" i="1"/>
  <c r="AH788" i="1" a="1"/>
  <c r="AG788" i="1"/>
  <c r="AF788" i="1"/>
  <c r="BI787" i="1"/>
  <c r="BH787" i="1"/>
  <c r="BG787" i="1"/>
  <c r="BF787" i="1"/>
  <c r="BE787" i="1"/>
  <c r="BD787" i="1"/>
  <c r="BC787" i="1"/>
  <c r="BB787" i="1"/>
  <c r="BA787" i="1"/>
  <c r="AZ787" i="1"/>
  <c r="AY787" i="1"/>
  <c r="AX787" i="1"/>
  <c r="AW787" i="1"/>
  <c r="AV787" i="1"/>
  <c r="AU787" i="1"/>
  <c r="AT787" i="1"/>
  <c r="AS787" i="1"/>
  <c r="AR787" i="1"/>
  <c r="AQ787" i="1"/>
  <c r="AP787" i="1"/>
  <c r="AM787" i="1"/>
  <c r="AL787" i="1"/>
  <c r="AK787" i="1"/>
  <c r="AJ787" i="1"/>
  <c r="AI787" i="1"/>
  <c r="AH787" i="1"/>
  <c r="AH787" i="1" a="1"/>
  <c r="AG787" i="1"/>
  <c r="AF787" i="1"/>
  <c r="BI786" i="1"/>
  <c r="BH786" i="1"/>
  <c r="BG786" i="1"/>
  <c r="BF786" i="1"/>
  <c r="BE786" i="1"/>
  <c r="BD786" i="1"/>
  <c r="BC786" i="1"/>
  <c r="BB786" i="1"/>
  <c r="BA786" i="1"/>
  <c r="AZ786" i="1"/>
  <c r="AY786" i="1"/>
  <c r="AX786" i="1"/>
  <c r="AW786" i="1"/>
  <c r="AV786" i="1"/>
  <c r="AU786" i="1"/>
  <c r="AT786" i="1"/>
  <c r="AS786" i="1"/>
  <c r="AR786" i="1"/>
  <c r="AQ786" i="1"/>
  <c r="AP786" i="1"/>
  <c r="AM786" i="1"/>
  <c r="AL786" i="1"/>
  <c r="AK786" i="1"/>
  <c r="AJ786" i="1"/>
  <c r="AI786" i="1"/>
  <c r="AH786" i="1"/>
  <c r="AH786" i="1" a="1"/>
  <c r="AG786" i="1"/>
  <c r="AF786" i="1"/>
  <c r="BI785" i="1"/>
  <c r="BH785" i="1"/>
  <c r="BG785" i="1"/>
  <c r="BF785" i="1"/>
  <c r="BE785" i="1"/>
  <c r="BD785" i="1"/>
  <c r="BC785" i="1"/>
  <c r="BB785" i="1"/>
  <c r="BA785" i="1"/>
  <c r="AZ785" i="1"/>
  <c r="AY785" i="1"/>
  <c r="AX785" i="1"/>
  <c r="AW785" i="1"/>
  <c r="AV785" i="1"/>
  <c r="AU785" i="1"/>
  <c r="AT785" i="1"/>
  <c r="AS785" i="1"/>
  <c r="AR785" i="1"/>
  <c r="AQ785" i="1"/>
  <c r="AP785" i="1"/>
  <c r="AM785" i="1"/>
  <c r="AL785" i="1"/>
  <c r="AK785" i="1"/>
  <c r="AJ785" i="1"/>
  <c r="AI785" i="1"/>
  <c r="AH785" i="1"/>
  <c r="AH785" i="1" a="1"/>
  <c r="AG785" i="1"/>
  <c r="AF785" i="1"/>
  <c r="BI784" i="1"/>
  <c r="BH784" i="1"/>
  <c r="BG784" i="1"/>
  <c r="BF784" i="1"/>
  <c r="BE784" i="1"/>
  <c r="BD784" i="1"/>
  <c r="BC784" i="1"/>
  <c r="BB784" i="1"/>
  <c r="BA784" i="1"/>
  <c r="AZ784" i="1"/>
  <c r="AY784" i="1"/>
  <c r="AX784" i="1"/>
  <c r="AW784" i="1"/>
  <c r="AV784" i="1"/>
  <c r="AU784" i="1"/>
  <c r="AT784" i="1"/>
  <c r="AS784" i="1"/>
  <c r="AR784" i="1"/>
  <c r="AQ784" i="1"/>
  <c r="AP784" i="1"/>
  <c r="AM784" i="1"/>
  <c r="AL784" i="1"/>
  <c r="AK784" i="1"/>
  <c r="AJ784" i="1"/>
  <c r="AI784" i="1"/>
  <c r="AH784" i="1"/>
  <c r="AH784" i="1" a="1"/>
  <c r="AG784" i="1"/>
  <c r="AF784" i="1"/>
  <c r="BI783" i="1"/>
  <c r="BH783" i="1"/>
  <c r="BG783" i="1"/>
  <c r="BF783" i="1"/>
  <c r="BE783" i="1"/>
  <c r="BD783" i="1"/>
  <c r="BC783" i="1"/>
  <c r="BB783" i="1"/>
  <c r="BA783" i="1"/>
  <c r="AZ783" i="1"/>
  <c r="AY783" i="1"/>
  <c r="AX783" i="1"/>
  <c r="AW783" i="1"/>
  <c r="AV783" i="1"/>
  <c r="AU783" i="1"/>
  <c r="AT783" i="1"/>
  <c r="AS783" i="1"/>
  <c r="AR783" i="1"/>
  <c r="AQ783" i="1"/>
  <c r="AP783" i="1"/>
  <c r="AM783" i="1"/>
  <c r="AL783" i="1"/>
  <c r="AK783" i="1"/>
  <c r="AJ783" i="1"/>
  <c r="AI783" i="1"/>
  <c r="AH783" i="1"/>
  <c r="AH783" i="1" a="1"/>
  <c r="AG783" i="1"/>
  <c r="AF783" i="1"/>
  <c r="BI782" i="1"/>
  <c r="BH782" i="1"/>
  <c r="BG782" i="1"/>
  <c r="BF782" i="1"/>
  <c r="BE782" i="1"/>
  <c r="BD782" i="1"/>
  <c r="BC782" i="1"/>
  <c r="BB782" i="1"/>
  <c r="BA782" i="1"/>
  <c r="AZ782" i="1"/>
  <c r="AY782" i="1"/>
  <c r="AX782" i="1"/>
  <c r="AW782" i="1"/>
  <c r="AV782" i="1"/>
  <c r="AU782" i="1"/>
  <c r="AT782" i="1"/>
  <c r="AS782" i="1"/>
  <c r="AR782" i="1"/>
  <c r="AQ782" i="1"/>
  <c r="AP782" i="1"/>
  <c r="AM782" i="1"/>
  <c r="AL782" i="1"/>
  <c r="AK782" i="1"/>
  <c r="AJ782" i="1"/>
  <c r="AI782" i="1"/>
  <c r="AH782" i="1"/>
  <c r="AH782" i="1" a="1"/>
  <c r="AG782" i="1"/>
  <c r="AF782" i="1"/>
  <c r="BI781" i="1"/>
  <c r="BH781" i="1"/>
  <c r="BG781" i="1"/>
  <c r="BF781" i="1"/>
  <c r="BE781" i="1"/>
  <c r="BD781" i="1"/>
  <c r="BC781" i="1"/>
  <c r="BB781" i="1"/>
  <c r="BA781" i="1"/>
  <c r="AZ781" i="1"/>
  <c r="AY781" i="1"/>
  <c r="AX781" i="1"/>
  <c r="AW781" i="1"/>
  <c r="AV781" i="1"/>
  <c r="AU781" i="1"/>
  <c r="AT781" i="1"/>
  <c r="AS781" i="1"/>
  <c r="AR781" i="1"/>
  <c r="AQ781" i="1"/>
  <c r="AP781" i="1"/>
  <c r="AM781" i="1"/>
  <c r="AL781" i="1"/>
  <c r="AK781" i="1"/>
  <c r="AJ781" i="1"/>
  <c r="AI781" i="1"/>
  <c r="AH781" i="1"/>
  <c r="AH781" i="1" a="1"/>
  <c r="AG781" i="1"/>
  <c r="AF781" i="1"/>
  <c r="BI780" i="1"/>
  <c r="BH780" i="1"/>
  <c r="BG780" i="1"/>
  <c r="BF780" i="1"/>
  <c r="BE780" i="1"/>
  <c r="BD780" i="1"/>
  <c r="BC780" i="1"/>
  <c r="BB780" i="1"/>
  <c r="BA780" i="1"/>
  <c r="AZ780" i="1"/>
  <c r="AY780" i="1"/>
  <c r="AX780" i="1"/>
  <c r="AW780" i="1"/>
  <c r="AV780" i="1"/>
  <c r="AU780" i="1"/>
  <c r="AT780" i="1"/>
  <c r="AS780" i="1"/>
  <c r="AR780" i="1"/>
  <c r="AQ780" i="1"/>
  <c r="AP780" i="1"/>
  <c r="AM780" i="1"/>
  <c r="AL780" i="1"/>
  <c r="AK780" i="1"/>
  <c r="AJ780" i="1"/>
  <c r="AI780" i="1"/>
  <c r="AH780" i="1"/>
  <c r="AH780" i="1" a="1"/>
  <c r="AG780" i="1"/>
  <c r="AF780" i="1"/>
  <c r="BI779" i="1"/>
  <c r="BH779" i="1"/>
  <c r="BG779" i="1"/>
  <c r="BF779" i="1"/>
  <c r="BE779" i="1"/>
  <c r="BD779" i="1"/>
  <c r="BC779" i="1"/>
  <c r="BB779" i="1"/>
  <c r="BA779" i="1"/>
  <c r="AZ779" i="1"/>
  <c r="AY779" i="1"/>
  <c r="AX779" i="1"/>
  <c r="AW779" i="1"/>
  <c r="AV779" i="1"/>
  <c r="AU779" i="1"/>
  <c r="AT779" i="1"/>
  <c r="AS779" i="1"/>
  <c r="AR779" i="1"/>
  <c r="AQ779" i="1"/>
  <c r="AP779" i="1"/>
  <c r="AM779" i="1"/>
  <c r="AL779" i="1"/>
  <c r="AK779" i="1"/>
  <c r="AJ779" i="1"/>
  <c r="AI779" i="1"/>
  <c r="AH779" i="1"/>
  <c r="AH779" i="1" a="1"/>
  <c r="AG779" i="1"/>
  <c r="AF779" i="1"/>
  <c r="BI778" i="1"/>
  <c r="BH778" i="1"/>
  <c r="BG778" i="1"/>
  <c r="BF778" i="1"/>
  <c r="BE778" i="1"/>
  <c r="BD778" i="1"/>
  <c r="BC778" i="1"/>
  <c r="BB778" i="1"/>
  <c r="BA778" i="1"/>
  <c r="AZ778" i="1"/>
  <c r="AY778" i="1"/>
  <c r="AX778" i="1"/>
  <c r="AW778" i="1"/>
  <c r="AV778" i="1"/>
  <c r="AU778" i="1"/>
  <c r="AT778" i="1"/>
  <c r="AS778" i="1"/>
  <c r="AR778" i="1"/>
  <c r="AQ778" i="1"/>
  <c r="AP778" i="1"/>
  <c r="AM778" i="1"/>
  <c r="AL778" i="1"/>
  <c r="AK778" i="1"/>
  <c r="AJ778" i="1"/>
  <c r="AI778" i="1"/>
  <c r="AH778" i="1"/>
  <c r="AH778" i="1" a="1"/>
  <c r="AG778" i="1"/>
  <c r="AF778" i="1"/>
  <c r="BI777" i="1"/>
  <c r="BH777" i="1"/>
  <c r="BG777" i="1"/>
  <c r="BF777" i="1"/>
  <c r="BE777" i="1"/>
  <c r="BD777" i="1"/>
  <c r="BC777" i="1"/>
  <c r="BB777" i="1"/>
  <c r="BA777" i="1"/>
  <c r="AZ777" i="1"/>
  <c r="AY777" i="1"/>
  <c r="AX777" i="1"/>
  <c r="AW777" i="1"/>
  <c r="AV777" i="1"/>
  <c r="AU777" i="1"/>
  <c r="AT777" i="1"/>
  <c r="AS777" i="1"/>
  <c r="AR777" i="1"/>
  <c r="AQ777" i="1"/>
  <c r="AP777" i="1"/>
  <c r="AM777" i="1"/>
  <c r="AL777" i="1"/>
  <c r="AK777" i="1"/>
  <c r="AJ777" i="1"/>
  <c r="AI777" i="1"/>
  <c r="AH777" i="1"/>
  <c r="AH777" i="1" a="1"/>
  <c r="AG777" i="1"/>
  <c r="AF777" i="1"/>
  <c r="BI776" i="1"/>
  <c r="BH776" i="1"/>
  <c r="BG776" i="1"/>
  <c r="BF776" i="1"/>
  <c r="BE776" i="1"/>
  <c r="BD776" i="1"/>
  <c r="BC776" i="1"/>
  <c r="BB776" i="1"/>
  <c r="BA776" i="1"/>
  <c r="AZ776" i="1"/>
  <c r="AY776" i="1"/>
  <c r="AX776" i="1"/>
  <c r="AW776" i="1"/>
  <c r="AV776" i="1"/>
  <c r="AU776" i="1"/>
  <c r="AT776" i="1"/>
  <c r="AS776" i="1"/>
  <c r="AR776" i="1"/>
  <c r="AQ776" i="1"/>
  <c r="AP776" i="1"/>
  <c r="AM776" i="1"/>
  <c r="AL776" i="1"/>
  <c r="AK776" i="1"/>
  <c r="AJ776" i="1"/>
  <c r="AI776" i="1"/>
  <c r="AH776" i="1"/>
  <c r="AH776" i="1" a="1"/>
  <c r="AG776" i="1"/>
  <c r="AF776" i="1"/>
  <c r="BI775" i="1"/>
  <c r="BH775" i="1"/>
  <c r="BG775" i="1"/>
  <c r="BF775" i="1"/>
  <c r="BE775" i="1"/>
  <c r="BD775" i="1"/>
  <c r="BC775" i="1"/>
  <c r="BB775" i="1"/>
  <c r="BA775" i="1"/>
  <c r="AZ775" i="1"/>
  <c r="AY775" i="1"/>
  <c r="AX775" i="1"/>
  <c r="AW775" i="1"/>
  <c r="AV775" i="1"/>
  <c r="AU775" i="1"/>
  <c r="AT775" i="1"/>
  <c r="AS775" i="1"/>
  <c r="AR775" i="1"/>
  <c r="AQ775" i="1"/>
  <c r="AP775" i="1"/>
  <c r="AM775" i="1"/>
  <c r="AL775" i="1"/>
  <c r="AK775" i="1"/>
  <c r="AJ775" i="1"/>
  <c r="AI775" i="1"/>
  <c r="AH775" i="1"/>
  <c r="AH775" i="1" a="1"/>
  <c r="AG775" i="1"/>
  <c r="AF775" i="1"/>
  <c r="BI774" i="1"/>
  <c r="BH774" i="1"/>
  <c r="BG774" i="1"/>
  <c r="BF774" i="1"/>
  <c r="BE774" i="1"/>
  <c r="BD774" i="1"/>
  <c r="BC774" i="1"/>
  <c r="BB774" i="1"/>
  <c r="BA774" i="1"/>
  <c r="AZ774" i="1"/>
  <c r="AY774" i="1"/>
  <c r="AX774" i="1"/>
  <c r="AW774" i="1"/>
  <c r="AV774" i="1"/>
  <c r="AU774" i="1"/>
  <c r="AT774" i="1"/>
  <c r="AS774" i="1"/>
  <c r="AR774" i="1"/>
  <c r="AQ774" i="1"/>
  <c r="AP774" i="1"/>
  <c r="AM774" i="1"/>
  <c r="AL774" i="1"/>
  <c r="AK774" i="1"/>
  <c r="AJ774" i="1"/>
  <c r="AI774" i="1"/>
  <c r="AH774" i="1"/>
  <c r="AH774" i="1" a="1"/>
  <c r="AG774" i="1"/>
  <c r="AF774" i="1"/>
  <c r="BI773" i="1"/>
  <c r="BH773" i="1"/>
  <c r="BG773" i="1"/>
  <c r="BF773" i="1"/>
  <c r="BE773" i="1"/>
  <c r="BD773" i="1"/>
  <c r="BC773" i="1"/>
  <c r="BB773" i="1"/>
  <c r="BA773" i="1"/>
  <c r="AZ773" i="1"/>
  <c r="AY773" i="1"/>
  <c r="AX773" i="1"/>
  <c r="AW773" i="1"/>
  <c r="AV773" i="1"/>
  <c r="AU773" i="1"/>
  <c r="AT773" i="1"/>
  <c r="AS773" i="1"/>
  <c r="AR773" i="1"/>
  <c r="AQ773" i="1"/>
  <c r="AP773" i="1"/>
  <c r="AM773" i="1"/>
  <c r="AL773" i="1"/>
  <c r="AK773" i="1"/>
  <c r="AJ773" i="1"/>
  <c r="AI773" i="1"/>
  <c r="AH773" i="1"/>
  <c r="AH773" i="1" a="1"/>
  <c r="AG773" i="1"/>
  <c r="AF773" i="1"/>
  <c r="BI772" i="1"/>
  <c r="BH772" i="1"/>
  <c r="BG772" i="1"/>
  <c r="BF772" i="1"/>
  <c r="BE772" i="1"/>
  <c r="BD772" i="1"/>
  <c r="BC772" i="1"/>
  <c r="BB772" i="1"/>
  <c r="BA772" i="1"/>
  <c r="AZ772" i="1"/>
  <c r="AY772" i="1"/>
  <c r="AX772" i="1"/>
  <c r="AW772" i="1"/>
  <c r="AV772" i="1"/>
  <c r="AU772" i="1"/>
  <c r="AT772" i="1"/>
  <c r="AS772" i="1"/>
  <c r="AR772" i="1"/>
  <c r="AQ772" i="1"/>
  <c r="AP772" i="1"/>
  <c r="AM772" i="1"/>
  <c r="AL772" i="1"/>
  <c r="AK772" i="1"/>
  <c r="AJ772" i="1"/>
  <c r="AI772" i="1"/>
  <c r="AH772" i="1"/>
  <c r="AH772" i="1" a="1"/>
  <c r="AG772" i="1"/>
  <c r="AF772" i="1"/>
  <c r="BI771" i="1"/>
  <c r="BH771" i="1"/>
  <c r="BG771" i="1"/>
  <c r="BF771" i="1"/>
  <c r="BE771" i="1"/>
  <c r="BD771" i="1"/>
  <c r="BC771" i="1"/>
  <c r="BB771" i="1"/>
  <c r="BA771" i="1"/>
  <c r="AZ771" i="1"/>
  <c r="AY771" i="1"/>
  <c r="AX771" i="1"/>
  <c r="AW771" i="1"/>
  <c r="AV771" i="1"/>
  <c r="AU771" i="1"/>
  <c r="AT771" i="1"/>
  <c r="AS771" i="1"/>
  <c r="AR771" i="1"/>
  <c r="AQ771" i="1"/>
  <c r="AP771" i="1"/>
  <c r="AM771" i="1"/>
  <c r="AL771" i="1"/>
  <c r="AK771" i="1"/>
  <c r="AJ771" i="1"/>
  <c r="AI771" i="1"/>
  <c r="AH771" i="1"/>
  <c r="AH771" i="1" a="1"/>
  <c r="AG771" i="1"/>
  <c r="AF771" i="1"/>
  <c r="BI770" i="1"/>
  <c r="BH770" i="1"/>
  <c r="BG770" i="1"/>
  <c r="BF770" i="1"/>
  <c r="BE770" i="1"/>
  <c r="BD770" i="1"/>
  <c r="BC770" i="1"/>
  <c r="BB770" i="1"/>
  <c r="BA770" i="1"/>
  <c r="AZ770" i="1"/>
  <c r="AY770" i="1"/>
  <c r="AX770" i="1"/>
  <c r="AW770" i="1"/>
  <c r="AV770" i="1"/>
  <c r="AU770" i="1"/>
  <c r="AT770" i="1"/>
  <c r="AS770" i="1"/>
  <c r="AR770" i="1"/>
  <c r="AQ770" i="1"/>
  <c r="AP770" i="1"/>
  <c r="AM770" i="1"/>
  <c r="AL770" i="1"/>
  <c r="AK770" i="1"/>
  <c r="AJ770" i="1"/>
  <c r="AI770" i="1"/>
  <c r="AH770" i="1"/>
  <c r="AH770" i="1" a="1"/>
  <c r="AG770" i="1"/>
  <c r="AF770" i="1"/>
  <c r="BI769" i="1"/>
  <c r="BH769" i="1"/>
  <c r="BG769" i="1"/>
  <c r="BF769" i="1"/>
  <c r="BE769" i="1"/>
  <c r="BD769" i="1"/>
  <c r="BC769" i="1"/>
  <c r="BB769" i="1"/>
  <c r="BA769" i="1"/>
  <c r="AZ769" i="1"/>
  <c r="AY769" i="1"/>
  <c r="AX769" i="1"/>
  <c r="AW769" i="1"/>
  <c r="AV769" i="1"/>
  <c r="AU769" i="1"/>
  <c r="AT769" i="1"/>
  <c r="AS769" i="1"/>
  <c r="AR769" i="1"/>
  <c r="AQ769" i="1"/>
  <c r="AP769" i="1"/>
  <c r="AM769" i="1"/>
  <c r="AL769" i="1"/>
  <c r="AK769" i="1"/>
  <c r="AJ769" i="1"/>
  <c r="AI769" i="1"/>
  <c r="AH769" i="1"/>
  <c r="AH769" i="1" a="1"/>
  <c r="AG769" i="1"/>
  <c r="AF769" i="1"/>
  <c r="BI768" i="1"/>
  <c r="BH768" i="1"/>
  <c r="BG768" i="1"/>
  <c r="BF768" i="1"/>
  <c r="BE768" i="1"/>
  <c r="BD768" i="1"/>
  <c r="BC768" i="1"/>
  <c r="BB768" i="1"/>
  <c r="BA768" i="1"/>
  <c r="AZ768" i="1"/>
  <c r="AY768" i="1"/>
  <c r="AX768" i="1"/>
  <c r="AW768" i="1"/>
  <c r="AV768" i="1"/>
  <c r="AU768" i="1"/>
  <c r="AT768" i="1"/>
  <c r="AS768" i="1"/>
  <c r="AR768" i="1"/>
  <c r="AQ768" i="1"/>
  <c r="AP768" i="1"/>
  <c r="AM768" i="1"/>
  <c r="AL768" i="1"/>
  <c r="AK768" i="1"/>
  <c r="AJ768" i="1"/>
  <c r="AI768" i="1"/>
  <c r="AH768" i="1"/>
  <c r="AH768" i="1" a="1"/>
  <c r="AG768" i="1"/>
  <c r="AF768" i="1"/>
  <c r="BI767" i="1"/>
  <c r="BH767" i="1"/>
  <c r="BG767" i="1"/>
  <c r="BF767" i="1"/>
  <c r="BE767" i="1"/>
  <c r="BD767" i="1"/>
  <c r="BC767" i="1"/>
  <c r="BB767" i="1"/>
  <c r="BA767" i="1"/>
  <c r="AZ767" i="1"/>
  <c r="AY767" i="1"/>
  <c r="AX767" i="1"/>
  <c r="AW767" i="1"/>
  <c r="AV767" i="1"/>
  <c r="AU767" i="1"/>
  <c r="AT767" i="1"/>
  <c r="AS767" i="1"/>
  <c r="AR767" i="1"/>
  <c r="AQ767" i="1"/>
  <c r="AP767" i="1"/>
  <c r="AM767" i="1"/>
  <c r="AL767" i="1"/>
  <c r="AK767" i="1"/>
  <c r="AJ767" i="1"/>
  <c r="AI767" i="1"/>
  <c r="AH767" i="1"/>
  <c r="AH767" i="1" a="1"/>
  <c r="AG767" i="1"/>
  <c r="AF767" i="1"/>
  <c r="BI766" i="1"/>
  <c r="BH766" i="1"/>
  <c r="BG766" i="1"/>
  <c r="BF766" i="1"/>
  <c r="BE766" i="1"/>
  <c r="BD766" i="1"/>
  <c r="BC766" i="1"/>
  <c r="BB766" i="1"/>
  <c r="BA766" i="1"/>
  <c r="AZ766" i="1"/>
  <c r="AY766" i="1"/>
  <c r="AX766" i="1"/>
  <c r="AW766" i="1"/>
  <c r="AV766" i="1"/>
  <c r="AU766" i="1"/>
  <c r="AT766" i="1"/>
  <c r="AS766" i="1"/>
  <c r="AR766" i="1"/>
  <c r="AQ766" i="1"/>
  <c r="AP766" i="1"/>
  <c r="AM766" i="1"/>
  <c r="AL766" i="1"/>
  <c r="AK766" i="1"/>
  <c r="AJ766" i="1"/>
  <c r="AI766" i="1"/>
  <c r="AH766" i="1"/>
  <c r="AH766" i="1" a="1"/>
  <c r="AG766" i="1"/>
  <c r="AF766" i="1"/>
  <c r="BI765" i="1"/>
  <c r="BH765" i="1"/>
  <c r="BG765" i="1"/>
  <c r="BF765" i="1"/>
  <c r="BE765" i="1"/>
  <c r="BD765" i="1"/>
  <c r="BC765" i="1"/>
  <c r="BB765" i="1"/>
  <c r="BA765" i="1"/>
  <c r="AZ765" i="1"/>
  <c r="AY765" i="1"/>
  <c r="AX765" i="1"/>
  <c r="AW765" i="1"/>
  <c r="AV765" i="1"/>
  <c r="AU765" i="1"/>
  <c r="AT765" i="1"/>
  <c r="AS765" i="1"/>
  <c r="AR765" i="1"/>
  <c r="AQ765" i="1"/>
  <c r="AP765" i="1"/>
  <c r="AM765" i="1"/>
  <c r="AL765" i="1"/>
  <c r="AK765" i="1"/>
  <c r="AJ765" i="1"/>
  <c r="AI765" i="1"/>
  <c r="AH765" i="1"/>
  <c r="AH765" i="1" a="1"/>
  <c r="AG765" i="1"/>
  <c r="AF765" i="1"/>
  <c r="BI764" i="1"/>
  <c r="BH764" i="1"/>
  <c r="BG764" i="1"/>
  <c r="BF764" i="1"/>
  <c r="BE764" i="1"/>
  <c r="BD764" i="1"/>
  <c r="BC764" i="1"/>
  <c r="BB764" i="1"/>
  <c r="BA764" i="1"/>
  <c r="AZ764" i="1"/>
  <c r="AY764" i="1"/>
  <c r="AX764" i="1"/>
  <c r="AW764" i="1"/>
  <c r="AV764" i="1"/>
  <c r="AU764" i="1"/>
  <c r="AT764" i="1"/>
  <c r="AS764" i="1"/>
  <c r="AR764" i="1"/>
  <c r="AQ764" i="1"/>
  <c r="AP764" i="1"/>
  <c r="AM764" i="1"/>
  <c r="AL764" i="1"/>
  <c r="AK764" i="1"/>
  <c r="AJ764" i="1"/>
  <c r="AI764" i="1"/>
  <c r="AH764" i="1"/>
  <c r="AH764" i="1" a="1"/>
  <c r="AG764" i="1"/>
  <c r="AF764" i="1"/>
  <c r="BI763" i="1"/>
  <c r="BH763" i="1"/>
  <c r="BG763" i="1"/>
  <c r="BF763" i="1"/>
  <c r="BE763" i="1"/>
  <c r="BD763" i="1"/>
  <c r="BC763" i="1"/>
  <c r="BB763" i="1"/>
  <c r="BA763" i="1"/>
  <c r="AZ763" i="1"/>
  <c r="AY763" i="1"/>
  <c r="AX763" i="1"/>
  <c r="AW763" i="1"/>
  <c r="AV763" i="1"/>
  <c r="AU763" i="1"/>
  <c r="AT763" i="1"/>
  <c r="AS763" i="1"/>
  <c r="AR763" i="1"/>
  <c r="AQ763" i="1"/>
  <c r="AP763" i="1"/>
  <c r="AM763" i="1"/>
  <c r="AL763" i="1"/>
  <c r="AK763" i="1"/>
  <c r="AJ763" i="1"/>
  <c r="AI763" i="1"/>
  <c r="AH763" i="1"/>
  <c r="AH763" i="1" a="1"/>
  <c r="AG763" i="1"/>
  <c r="AF763" i="1"/>
  <c r="BI762" i="1"/>
  <c r="BH762" i="1"/>
  <c r="BG762" i="1"/>
  <c r="BF762" i="1"/>
  <c r="BE762" i="1"/>
  <c r="BD762" i="1"/>
  <c r="BC762" i="1"/>
  <c r="BB762" i="1"/>
  <c r="BA762" i="1"/>
  <c r="AZ762" i="1"/>
  <c r="AY762" i="1"/>
  <c r="AX762" i="1"/>
  <c r="AW762" i="1"/>
  <c r="AV762" i="1"/>
  <c r="AU762" i="1"/>
  <c r="AT762" i="1"/>
  <c r="AS762" i="1"/>
  <c r="AR762" i="1"/>
  <c r="AQ762" i="1"/>
  <c r="AP762" i="1"/>
  <c r="AM762" i="1"/>
  <c r="AL762" i="1"/>
  <c r="AK762" i="1"/>
  <c r="AJ762" i="1"/>
  <c r="AI762" i="1"/>
  <c r="AH762" i="1"/>
  <c r="AH762" i="1" a="1"/>
  <c r="AG762" i="1"/>
  <c r="AF762" i="1"/>
  <c r="BI761" i="1"/>
  <c r="BH761" i="1"/>
  <c r="BG761" i="1"/>
  <c r="BF761" i="1"/>
  <c r="BE761" i="1"/>
  <c r="BD761" i="1"/>
  <c r="BC761" i="1"/>
  <c r="BB761" i="1"/>
  <c r="BA761" i="1"/>
  <c r="AZ761" i="1"/>
  <c r="AY761" i="1"/>
  <c r="AX761" i="1"/>
  <c r="AW761" i="1"/>
  <c r="AV761" i="1"/>
  <c r="AU761" i="1"/>
  <c r="AT761" i="1"/>
  <c r="AS761" i="1"/>
  <c r="AR761" i="1"/>
  <c r="AQ761" i="1"/>
  <c r="AP761" i="1"/>
  <c r="AM761" i="1"/>
  <c r="AL761" i="1"/>
  <c r="AK761" i="1"/>
  <c r="AJ761" i="1"/>
  <c r="AI761" i="1"/>
  <c r="AH761" i="1"/>
  <c r="AH761" i="1" a="1"/>
  <c r="AG761" i="1"/>
  <c r="AF761" i="1"/>
  <c r="BI760" i="1"/>
  <c r="BH760" i="1"/>
  <c r="BG760" i="1"/>
  <c r="BF760" i="1"/>
  <c r="BE760" i="1"/>
  <c r="BD760" i="1"/>
  <c r="BC760" i="1"/>
  <c r="BB760" i="1"/>
  <c r="BA760" i="1"/>
  <c r="AZ760" i="1"/>
  <c r="AY760" i="1"/>
  <c r="AX760" i="1"/>
  <c r="AW760" i="1"/>
  <c r="AV760" i="1"/>
  <c r="AU760" i="1"/>
  <c r="AT760" i="1"/>
  <c r="AS760" i="1"/>
  <c r="AR760" i="1"/>
  <c r="AQ760" i="1"/>
  <c r="AP760" i="1"/>
  <c r="AM760" i="1"/>
  <c r="AL760" i="1"/>
  <c r="AK760" i="1"/>
  <c r="AJ760" i="1"/>
  <c r="AI760" i="1"/>
  <c r="AH760" i="1"/>
  <c r="AH760" i="1" a="1"/>
  <c r="AG760" i="1"/>
  <c r="AF760" i="1"/>
  <c r="BI759" i="1"/>
  <c r="BH759" i="1"/>
  <c r="BG759" i="1"/>
  <c r="BF759" i="1"/>
  <c r="BE759" i="1"/>
  <c r="BD759" i="1"/>
  <c r="BC759" i="1"/>
  <c r="BB759" i="1"/>
  <c r="BA759" i="1"/>
  <c r="AZ759" i="1"/>
  <c r="AY759" i="1"/>
  <c r="AX759" i="1"/>
  <c r="AW759" i="1"/>
  <c r="AV759" i="1"/>
  <c r="AU759" i="1"/>
  <c r="AT759" i="1"/>
  <c r="AS759" i="1"/>
  <c r="AR759" i="1"/>
  <c r="AQ759" i="1"/>
  <c r="AP759" i="1"/>
  <c r="AM759" i="1"/>
  <c r="AL759" i="1"/>
  <c r="AK759" i="1"/>
  <c r="AJ759" i="1"/>
  <c r="AI759" i="1"/>
  <c r="AH759" i="1"/>
  <c r="AH759" i="1" a="1"/>
  <c r="AG759" i="1"/>
  <c r="AF759" i="1"/>
  <c r="BI758" i="1"/>
  <c r="BH758" i="1"/>
  <c r="BG758" i="1"/>
  <c r="BF758" i="1"/>
  <c r="BE758" i="1"/>
  <c r="BD758" i="1"/>
  <c r="BC758" i="1"/>
  <c r="BB758" i="1"/>
  <c r="BA758" i="1"/>
  <c r="AZ758" i="1"/>
  <c r="AY758" i="1"/>
  <c r="AX758" i="1"/>
  <c r="AW758" i="1"/>
  <c r="AV758" i="1"/>
  <c r="AU758" i="1"/>
  <c r="AT758" i="1"/>
  <c r="AS758" i="1"/>
  <c r="AR758" i="1"/>
  <c r="AQ758" i="1"/>
  <c r="AP758" i="1"/>
  <c r="AM758" i="1"/>
  <c r="AL758" i="1"/>
  <c r="AK758" i="1"/>
  <c r="AJ758" i="1"/>
  <c r="AI758" i="1"/>
  <c r="AH758" i="1"/>
  <c r="AH758" i="1" a="1"/>
  <c r="AG758" i="1"/>
  <c r="AF758" i="1"/>
  <c r="BI757" i="1"/>
  <c r="BH757" i="1"/>
  <c r="BG757" i="1"/>
  <c r="BF757" i="1"/>
  <c r="BE757" i="1"/>
  <c r="BD757" i="1"/>
  <c r="BC757" i="1"/>
  <c r="BB757" i="1"/>
  <c r="BA757" i="1"/>
  <c r="AZ757" i="1"/>
  <c r="AY757" i="1"/>
  <c r="AX757" i="1"/>
  <c r="AW757" i="1"/>
  <c r="AV757" i="1"/>
  <c r="AU757" i="1"/>
  <c r="AT757" i="1"/>
  <c r="AS757" i="1"/>
  <c r="AR757" i="1"/>
  <c r="AQ757" i="1"/>
  <c r="AP757" i="1"/>
  <c r="AM757" i="1"/>
  <c r="AL757" i="1"/>
  <c r="AK757" i="1"/>
  <c r="AJ757" i="1"/>
  <c r="AI757" i="1"/>
  <c r="AH757" i="1"/>
  <c r="AH757" i="1" a="1"/>
  <c r="AG757" i="1"/>
  <c r="AF757" i="1"/>
  <c r="BI756" i="1"/>
  <c r="BH756" i="1"/>
  <c r="BG756" i="1"/>
  <c r="BF756" i="1"/>
  <c r="BE756" i="1"/>
  <c r="BD756" i="1"/>
  <c r="BC756" i="1"/>
  <c r="BB756" i="1"/>
  <c r="BA756" i="1"/>
  <c r="AZ756" i="1"/>
  <c r="AY756" i="1"/>
  <c r="AX756" i="1"/>
  <c r="AW756" i="1"/>
  <c r="AV756" i="1"/>
  <c r="AU756" i="1"/>
  <c r="AT756" i="1"/>
  <c r="AS756" i="1"/>
  <c r="AR756" i="1"/>
  <c r="AQ756" i="1"/>
  <c r="AP756" i="1"/>
  <c r="AM756" i="1"/>
  <c r="AL756" i="1"/>
  <c r="AK756" i="1"/>
  <c r="AJ756" i="1"/>
  <c r="AI756" i="1"/>
  <c r="AH756" i="1"/>
  <c r="AH756" i="1" a="1"/>
  <c r="AG756" i="1"/>
  <c r="AF756" i="1"/>
  <c r="BI755" i="1"/>
  <c r="BH755" i="1"/>
  <c r="BG755" i="1"/>
  <c r="BF755" i="1"/>
  <c r="BE755" i="1"/>
  <c r="BD755" i="1"/>
  <c r="BC755" i="1"/>
  <c r="BB755" i="1"/>
  <c r="BA755" i="1"/>
  <c r="AZ755" i="1"/>
  <c r="AY755" i="1"/>
  <c r="AX755" i="1"/>
  <c r="AW755" i="1"/>
  <c r="AV755" i="1"/>
  <c r="AU755" i="1"/>
  <c r="AT755" i="1"/>
  <c r="AS755" i="1"/>
  <c r="AR755" i="1"/>
  <c r="AQ755" i="1"/>
  <c r="AP755" i="1"/>
  <c r="AM755" i="1"/>
  <c r="AL755" i="1"/>
  <c r="AK755" i="1"/>
  <c r="AJ755" i="1"/>
  <c r="AI755" i="1"/>
  <c r="AH755" i="1"/>
  <c r="AH755" i="1" a="1"/>
  <c r="AG755" i="1"/>
  <c r="AF755" i="1"/>
  <c r="BI754" i="1"/>
  <c r="BH754" i="1"/>
  <c r="BG754" i="1"/>
  <c r="BF754" i="1"/>
  <c r="BE754" i="1"/>
  <c r="BD754" i="1"/>
  <c r="BC754" i="1"/>
  <c r="BB754" i="1"/>
  <c r="BA754" i="1"/>
  <c r="AZ754" i="1"/>
  <c r="AY754" i="1"/>
  <c r="AX754" i="1"/>
  <c r="AW754" i="1"/>
  <c r="AV754" i="1"/>
  <c r="AU754" i="1"/>
  <c r="AT754" i="1"/>
  <c r="AS754" i="1"/>
  <c r="AR754" i="1"/>
  <c r="AQ754" i="1"/>
  <c r="AP754" i="1"/>
  <c r="AM754" i="1"/>
  <c r="AL754" i="1"/>
  <c r="AK754" i="1"/>
  <c r="AJ754" i="1"/>
  <c r="AI754" i="1"/>
  <c r="AH754" i="1"/>
  <c r="AH754" i="1" a="1"/>
  <c r="AG754" i="1"/>
  <c r="AF754" i="1"/>
  <c r="BI753" i="1"/>
  <c r="BH753" i="1"/>
  <c r="BG753" i="1"/>
  <c r="BF753" i="1"/>
  <c r="BE753" i="1"/>
  <c r="BD753" i="1"/>
  <c r="BC753" i="1"/>
  <c r="BB753" i="1"/>
  <c r="BA753" i="1"/>
  <c r="AZ753" i="1"/>
  <c r="AY753" i="1"/>
  <c r="AX753" i="1"/>
  <c r="AW753" i="1"/>
  <c r="AV753" i="1"/>
  <c r="AU753" i="1"/>
  <c r="AT753" i="1"/>
  <c r="AS753" i="1"/>
  <c r="AR753" i="1"/>
  <c r="AQ753" i="1"/>
  <c r="AP753" i="1"/>
  <c r="AM753" i="1"/>
  <c r="AL753" i="1"/>
  <c r="AK753" i="1"/>
  <c r="AJ753" i="1"/>
  <c r="AI753" i="1"/>
  <c r="AH753" i="1"/>
  <c r="AH753" i="1" a="1"/>
  <c r="AG753" i="1"/>
  <c r="AF753" i="1"/>
  <c r="BI752" i="1"/>
  <c r="BH752" i="1"/>
  <c r="BG752" i="1"/>
  <c r="BF752" i="1"/>
  <c r="BE752" i="1"/>
  <c r="BD752" i="1"/>
  <c r="BC752" i="1"/>
  <c r="BB752" i="1"/>
  <c r="BA752" i="1"/>
  <c r="AZ752" i="1"/>
  <c r="AY752" i="1"/>
  <c r="AX752" i="1"/>
  <c r="AW752" i="1"/>
  <c r="AV752" i="1"/>
  <c r="AU752" i="1"/>
  <c r="AT752" i="1"/>
  <c r="AS752" i="1"/>
  <c r="AR752" i="1"/>
  <c r="AQ752" i="1"/>
  <c r="AP752" i="1"/>
  <c r="AM752" i="1"/>
  <c r="AL752" i="1"/>
  <c r="AK752" i="1"/>
  <c r="AJ752" i="1"/>
  <c r="AI752" i="1"/>
  <c r="AH752" i="1"/>
  <c r="AH752" i="1" a="1"/>
  <c r="AG752" i="1"/>
  <c r="AF752" i="1"/>
  <c r="BI751" i="1"/>
  <c r="BH751" i="1"/>
  <c r="BG751" i="1"/>
  <c r="BF751" i="1"/>
  <c r="BE751" i="1"/>
  <c r="BD751" i="1"/>
  <c r="BC751" i="1"/>
  <c r="BB751" i="1"/>
  <c r="BA751" i="1"/>
  <c r="AZ751" i="1"/>
  <c r="AY751" i="1"/>
  <c r="AX751" i="1"/>
  <c r="AW751" i="1"/>
  <c r="AV751" i="1"/>
  <c r="AU751" i="1"/>
  <c r="AT751" i="1"/>
  <c r="AS751" i="1"/>
  <c r="AR751" i="1"/>
  <c r="AQ751" i="1"/>
  <c r="AP751" i="1"/>
  <c r="AM751" i="1"/>
  <c r="AL751" i="1"/>
  <c r="AK751" i="1"/>
  <c r="AJ751" i="1"/>
  <c r="AI751" i="1"/>
  <c r="AH751" i="1"/>
  <c r="AH751" i="1" a="1"/>
  <c r="AG751" i="1"/>
  <c r="AF751" i="1"/>
  <c r="BI750" i="1"/>
  <c r="BH750" i="1"/>
  <c r="BG750" i="1"/>
  <c r="BF750" i="1"/>
  <c r="BE750" i="1"/>
  <c r="BD750" i="1"/>
  <c r="BC750" i="1"/>
  <c r="BB750" i="1"/>
  <c r="BA750" i="1"/>
  <c r="AZ750" i="1"/>
  <c r="AY750" i="1"/>
  <c r="AX750" i="1"/>
  <c r="AW750" i="1"/>
  <c r="AV750" i="1"/>
  <c r="AU750" i="1"/>
  <c r="AT750" i="1"/>
  <c r="AS750" i="1"/>
  <c r="AR750" i="1"/>
  <c r="AQ750" i="1"/>
  <c r="AP750" i="1"/>
  <c r="AM750" i="1"/>
  <c r="AL750" i="1"/>
  <c r="AK750" i="1"/>
  <c r="AJ750" i="1"/>
  <c r="AI750" i="1"/>
  <c r="AH750" i="1"/>
  <c r="AH750" i="1" a="1"/>
  <c r="AG750" i="1"/>
  <c r="AF750" i="1"/>
  <c r="BI749" i="1"/>
  <c r="BH749" i="1"/>
  <c r="BG749" i="1"/>
  <c r="BF749" i="1"/>
  <c r="BE749" i="1"/>
  <c r="BD749" i="1"/>
  <c r="BC749" i="1"/>
  <c r="BB749" i="1"/>
  <c r="BA749" i="1"/>
  <c r="AZ749" i="1"/>
  <c r="AY749" i="1"/>
  <c r="AX749" i="1"/>
  <c r="AW749" i="1"/>
  <c r="AV749" i="1"/>
  <c r="AU749" i="1"/>
  <c r="AT749" i="1"/>
  <c r="AS749" i="1"/>
  <c r="AR749" i="1"/>
  <c r="AQ749" i="1"/>
  <c r="AP749" i="1"/>
  <c r="AM749" i="1"/>
  <c r="AL749" i="1"/>
  <c r="AK749" i="1"/>
  <c r="AJ749" i="1"/>
  <c r="AI749" i="1"/>
  <c r="AH749" i="1"/>
  <c r="AH749" i="1" a="1"/>
  <c r="AG749" i="1"/>
  <c r="AF749" i="1"/>
  <c r="BI748" i="1"/>
  <c r="BH748" i="1"/>
  <c r="BG748" i="1"/>
  <c r="BF748" i="1"/>
  <c r="BE748" i="1"/>
  <c r="BD748" i="1"/>
  <c r="BC748" i="1"/>
  <c r="BB748" i="1"/>
  <c r="BA748" i="1"/>
  <c r="AZ748" i="1"/>
  <c r="AY748" i="1"/>
  <c r="AX748" i="1"/>
  <c r="AW748" i="1"/>
  <c r="AV748" i="1"/>
  <c r="AU748" i="1"/>
  <c r="AT748" i="1"/>
  <c r="AS748" i="1"/>
  <c r="AR748" i="1"/>
  <c r="AQ748" i="1"/>
  <c r="AP748" i="1"/>
  <c r="AM748" i="1"/>
  <c r="AL748" i="1"/>
  <c r="AK748" i="1"/>
  <c r="AJ748" i="1"/>
  <c r="AI748" i="1"/>
  <c r="AH748" i="1"/>
  <c r="AH748" i="1" a="1"/>
  <c r="AG748" i="1"/>
  <c r="AF748" i="1"/>
  <c r="BI747" i="1"/>
  <c r="BH747" i="1"/>
  <c r="BG747" i="1"/>
  <c r="BF747" i="1"/>
  <c r="BE747" i="1"/>
  <c r="BD747" i="1"/>
  <c r="BC747" i="1"/>
  <c r="BB747" i="1"/>
  <c r="BA747" i="1"/>
  <c r="AZ747" i="1"/>
  <c r="AY747" i="1"/>
  <c r="AX747" i="1"/>
  <c r="AW747" i="1"/>
  <c r="AV747" i="1"/>
  <c r="AU747" i="1"/>
  <c r="AT747" i="1"/>
  <c r="AS747" i="1"/>
  <c r="AR747" i="1"/>
  <c r="AQ747" i="1"/>
  <c r="AP747" i="1"/>
  <c r="AM747" i="1"/>
  <c r="AL747" i="1"/>
  <c r="AK747" i="1"/>
  <c r="AJ747" i="1"/>
  <c r="AI747" i="1"/>
  <c r="AH747" i="1"/>
  <c r="AH747" i="1" a="1"/>
  <c r="AG747" i="1"/>
  <c r="AF747" i="1"/>
  <c r="BI746" i="1"/>
  <c r="BH746" i="1"/>
  <c r="BG746" i="1"/>
  <c r="BF746" i="1"/>
  <c r="BE746" i="1"/>
  <c r="BD746" i="1"/>
  <c r="BC746" i="1"/>
  <c r="BB746" i="1"/>
  <c r="BA746" i="1"/>
  <c r="AZ746" i="1"/>
  <c r="AY746" i="1"/>
  <c r="AX746" i="1"/>
  <c r="AW746" i="1"/>
  <c r="AV746" i="1"/>
  <c r="AU746" i="1"/>
  <c r="AT746" i="1"/>
  <c r="AS746" i="1"/>
  <c r="AR746" i="1"/>
  <c r="AQ746" i="1"/>
  <c r="AP746" i="1"/>
  <c r="AM746" i="1"/>
  <c r="AL746" i="1"/>
  <c r="AK746" i="1"/>
  <c r="AJ746" i="1"/>
  <c r="AI746" i="1"/>
  <c r="AH746" i="1"/>
  <c r="AH746" i="1" a="1"/>
  <c r="AG746" i="1"/>
  <c r="AF746" i="1"/>
  <c r="BI745" i="1"/>
  <c r="BH745" i="1"/>
  <c r="BG745" i="1"/>
  <c r="BF745" i="1"/>
  <c r="BE745" i="1"/>
  <c r="BD745" i="1"/>
  <c r="BC745" i="1"/>
  <c r="BB745" i="1"/>
  <c r="BA745" i="1"/>
  <c r="AZ745" i="1"/>
  <c r="AY745" i="1"/>
  <c r="AX745" i="1"/>
  <c r="AW745" i="1"/>
  <c r="AV745" i="1"/>
  <c r="AU745" i="1"/>
  <c r="AT745" i="1"/>
  <c r="AS745" i="1"/>
  <c r="AR745" i="1"/>
  <c r="AQ745" i="1"/>
  <c r="AP745" i="1"/>
  <c r="AM745" i="1"/>
  <c r="AL745" i="1"/>
  <c r="AK745" i="1"/>
  <c r="AJ745" i="1"/>
  <c r="AI745" i="1"/>
  <c r="AH745" i="1"/>
  <c r="AH745" i="1" a="1"/>
  <c r="AG745" i="1"/>
  <c r="AF745" i="1"/>
  <c r="BI744" i="1"/>
  <c r="BH744" i="1"/>
  <c r="BG744" i="1"/>
  <c r="BF744" i="1"/>
  <c r="BE744" i="1"/>
  <c r="BD744" i="1"/>
  <c r="BC744" i="1"/>
  <c r="BB744" i="1"/>
  <c r="BA744" i="1"/>
  <c r="AZ744" i="1"/>
  <c r="AY744" i="1"/>
  <c r="AX744" i="1"/>
  <c r="AW744" i="1"/>
  <c r="AV744" i="1"/>
  <c r="AU744" i="1"/>
  <c r="AT744" i="1"/>
  <c r="AS744" i="1"/>
  <c r="AR744" i="1"/>
  <c r="AQ744" i="1"/>
  <c r="AP744" i="1"/>
  <c r="AM744" i="1"/>
  <c r="AL744" i="1"/>
  <c r="AK744" i="1"/>
  <c r="AJ744" i="1"/>
  <c r="AI744" i="1"/>
  <c r="AH744" i="1"/>
  <c r="AH744" i="1" a="1"/>
  <c r="AG744" i="1"/>
  <c r="AF744" i="1"/>
  <c r="BI743" i="1"/>
  <c r="BH743" i="1"/>
  <c r="BG743" i="1"/>
  <c r="BF743" i="1"/>
  <c r="BE743" i="1"/>
  <c r="BD743" i="1"/>
  <c r="BC743" i="1"/>
  <c r="BB743" i="1"/>
  <c r="BA743" i="1"/>
  <c r="AZ743" i="1"/>
  <c r="AY743" i="1"/>
  <c r="AX743" i="1"/>
  <c r="AW743" i="1"/>
  <c r="AV743" i="1"/>
  <c r="AU743" i="1"/>
  <c r="AT743" i="1"/>
  <c r="AS743" i="1"/>
  <c r="AR743" i="1"/>
  <c r="AQ743" i="1"/>
  <c r="AP743" i="1"/>
  <c r="AM743" i="1"/>
  <c r="AL743" i="1"/>
  <c r="AK743" i="1"/>
  <c r="AJ743" i="1"/>
  <c r="AI743" i="1"/>
  <c r="AH743" i="1"/>
  <c r="AH743" i="1" a="1"/>
  <c r="AG743" i="1"/>
  <c r="AF743" i="1"/>
  <c r="BI742" i="1"/>
  <c r="BH742" i="1"/>
  <c r="BG742" i="1"/>
  <c r="BF742" i="1"/>
  <c r="BE742" i="1"/>
  <c r="BD742" i="1"/>
  <c r="BC742" i="1"/>
  <c r="BB742" i="1"/>
  <c r="BA742" i="1"/>
  <c r="AZ742" i="1"/>
  <c r="AY742" i="1"/>
  <c r="AX742" i="1"/>
  <c r="AW742" i="1"/>
  <c r="AV742" i="1"/>
  <c r="AU742" i="1"/>
  <c r="AT742" i="1"/>
  <c r="AS742" i="1"/>
  <c r="AR742" i="1"/>
  <c r="AQ742" i="1"/>
  <c r="AP742" i="1"/>
  <c r="AM742" i="1"/>
  <c r="AL742" i="1"/>
  <c r="AK742" i="1"/>
  <c r="AJ742" i="1"/>
  <c r="AI742" i="1"/>
  <c r="AH742" i="1"/>
  <c r="AH742" i="1" a="1"/>
  <c r="AG742" i="1"/>
  <c r="AF742" i="1"/>
  <c r="BI741" i="1"/>
  <c r="BH741" i="1"/>
  <c r="BG741" i="1"/>
  <c r="BF741" i="1"/>
  <c r="BE741" i="1"/>
  <c r="BD741" i="1"/>
  <c r="BC741" i="1"/>
  <c r="BB741" i="1"/>
  <c r="BA741" i="1"/>
  <c r="AZ741" i="1"/>
  <c r="AY741" i="1"/>
  <c r="AX741" i="1"/>
  <c r="AW741" i="1"/>
  <c r="AV741" i="1"/>
  <c r="AU741" i="1"/>
  <c r="AT741" i="1"/>
  <c r="AS741" i="1"/>
  <c r="AR741" i="1"/>
  <c r="AQ741" i="1"/>
  <c r="AP741" i="1"/>
  <c r="AM741" i="1"/>
  <c r="AL741" i="1"/>
  <c r="AK741" i="1"/>
  <c r="AJ741" i="1"/>
  <c r="AI741" i="1"/>
  <c r="AH741" i="1"/>
  <c r="AH741" i="1" a="1"/>
  <c r="AG741" i="1"/>
  <c r="AF741" i="1"/>
  <c r="BI740" i="1"/>
  <c r="BH740" i="1"/>
  <c r="BG740" i="1"/>
  <c r="BF740" i="1"/>
  <c r="BE740" i="1"/>
  <c r="BD740" i="1"/>
  <c r="BC740" i="1"/>
  <c r="BB740" i="1"/>
  <c r="BA740" i="1"/>
  <c r="AZ740" i="1"/>
  <c r="AY740" i="1"/>
  <c r="AX740" i="1"/>
  <c r="AW740" i="1"/>
  <c r="AV740" i="1"/>
  <c r="AU740" i="1"/>
  <c r="AT740" i="1"/>
  <c r="AS740" i="1"/>
  <c r="AR740" i="1"/>
  <c r="AQ740" i="1"/>
  <c r="AP740" i="1"/>
  <c r="AM740" i="1"/>
  <c r="AL740" i="1"/>
  <c r="AK740" i="1"/>
  <c r="AJ740" i="1"/>
  <c r="AI740" i="1"/>
  <c r="AH740" i="1"/>
  <c r="AH740" i="1" a="1"/>
  <c r="AG740" i="1"/>
  <c r="AF740" i="1"/>
  <c r="BI739" i="1"/>
  <c r="BH739" i="1"/>
  <c r="BG739" i="1"/>
  <c r="BF739" i="1"/>
  <c r="BE739" i="1"/>
  <c r="BD739" i="1"/>
  <c r="BC739" i="1"/>
  <c r="BB739" i="1"/>
  <c r="BA739" i="1"/>
  <c r="AZ739" i="1"/>
  <c r="AY739" i="1"/>
  <c r="AX739" i="1"/>
  <c r="AW739" i="1"/>
  <c r="AV739" i="1"/>
  <c r="AU739" i="1"/>
  <c r="AT739" i="1"/>
  <c r="AS739" i="1"/>
  <c r="AR739" i="1"/>
  <c r="AQ739" i="1"/>
  <c r="AP739" i="1"/>
  <c r="AM739" i="1"/>
  <c r="AL739" i="1"/>
  <c r="AK739" i="1"/>
  <c r="AJ739" i="1"/>
  <c r="AI739" i="1"/>
  <c r="AH739" i="1"/>
  <c r="AH739" i="1" a="1"/>
  <c r="AG739" i="1"/>
  <c r="AF739" i="1"/>
  <c r="BI738" i="1"/>
  <c r="BH738" i="1"/>
  <c r="BG738" i="1"/>
  <c r="BF738" i="1"/>
  <c r="BE738" i="1"/>
  <c r="BD738" i="1"/>
  <c r="BC738" i="1"/>
  <c r="BB738" i="1"/>
  <c r="BA738" i="1"/>
  <c r="AZ738" i="1"/>
  <c r="AY738" i="1"/>
  <c r="AX738" i="1"/>
  <c r="AW738" i="1"/>
  <c r="AV738" i="1"/>
  <c r="AU738" i="1"/>
  <c r="AT738" i="1"/>
  <c r="AS738" i="1"/>
  <c r="AR738" i="1"/>
  <c r="AQ738" i="1"/>
  <c r="AP738" i="1"/>
  <c r="AM738" i="1"/>
  <c r="AL738" i="1"/>
  <c r="AK738" i="1"/>
  <c r="AJ738" i="1"/>
  <c r="AI738" i="1"/>
  <c r="AH738" i="1"/>
  <c r="AH738" i="1" a="1"/>
  <c r="AG738" i="1"/>
  <c r="AF738" i="1"/>
  <c r="BI737" i="1"/>
  <c r="BH737" i="1"/>
  <c r="BG737" i="1"/>
  <c r="BF737" i="1"/>
  <c r="BE737" i="1"/>
  <c r="BD737" i="1"/>
  <c r="BC737" i="1"/>
  <c r="BB737" i="1"/>
  <c r="BA737" i="1"/>
  <c r="AZ737" i="1"/>
  <c r="AY737" i="1"/>
  <c r="AX737" i="1"/>
  <c r="AW737" i="1"/>
  <c r="AV737" i="1"/>
  <c r="AU737" i="1"/>
  <c r="AT737" i="1"/>
  <c r="AS737" i="1"/>
  <c r="AR737" i="1"/>
  <c r="AQ737" i="1"/>
  <c r="AP737" i="1"/>
  <c r="AM737" i="1"/>
  <c r="AL737" i="1"/>
  <c r="AK737" i="1"/>
  <c r="AJ737" i="1"/>
  <c r="AI737" i="1"/>
  <c r="AH737" i="1"/>
  <c r="AH737" i="1" a="1"/>
  <c r="AG737" i="1"/>
  <c r="AF737" i="1"/>
  <c r="BI736" i="1"/>
  <c r="BH736" i="1"/>
  <c r="BG736" i="1"/>
  <c r="BF736" i="1"/>
  <c r="BE736" i="1"/>
  <c r="BD736" i="1"/>
  <c r="BC736" i="1"/>
  <c r="BB736" i="1"/>
  <c r="BA736" i="1"/>
  <c r="AZ736" i="1"/>
  <c r="AY736" i="1"/>
  <c r="AX736" i="1"/>
  <c r="AW736" i="1"/>
  <c r="AV736" i="1"/>
  <c r="AU736" i="1"/>
  <c r="AT736" i="1"/>
  <c r="AS736" i="1"/>
  <c r="AR736" i="1"/>
  <c r="AQ736" i="1"/>
  <c r="AP736" i="1"/>
  <c r="AM736" i="1"/>
  <c r="AL736" i="1"/>
  <c r="AK736" i="1"/>
  <c r="AJ736" i="1"/>
  <c r="AI736" i="1"/>
  <c r="AH736" i="1"/>
  <c r="AH736" i="1" a="1"/>
  <c r="AG736" i="1"/>
  <c r="AF736" i="1"/>
  <c r="BI735" i="1"/>
  <c r="BH735" i="1"/>
  <c r="BG735" i="1"/>
  <c r="BF735" i="1"/>
  <c r="BE735" i="1"/>
  <c r="BD735" i="1"/>
  <c r="BC735" i="1"/>
  <c r="BB735" i="1"/>
  <c r="BA735" i="1"/>
  <c r="AZ735" i="1"/>
  <c r="AY735" i="1"/>
  <c r="AX735" i="1"/>
  <c r="AW735" i="1"/>
  <c r="AV735" i="1"/>
  <c r="AU735" i="1"/>
  <c r="AT735" i="1"/>
  <c r="AS735" i="1"/>
  <c r="AR735" i="1"/>
  <c r="AQ735" i="1"/>
  <c r="AP735" i="1"/>
  <c r="AM735" i="1"/>
  <c r="AL735" i="1"/>
  <c r="AK735" i="1"/>
  <c r="AJ735" i="1"/>
  <c r="AI735" i="1"/>
  <c r="AH735" i="1"/>
  <c r="AH735" i="1" a="1"/>
  <c r="AG735" i="1"/>
  <c r="AF735" i="1"/>
  <c r="BI734" i="1"/>
  <c r="BH734" i="1"/>
  <c r="BG734" i="1"/>
  <c r="BF734" i="1"/>
  <c r="BE734" i="1"/>
  <c r="BD734" i="1"/>
  <c r="BC734" i="1"/>
  <c r="BB734" i="1"/>
  <c r="BA734" i="1"/>
  <c r="AZ734" i="1"/>
  <c r="AY734" i="1"/>
  <c r="AX734" i="1"/>
  <c r="AW734" i="1"/>
  <c r="AV734" i="1"/>
  <c r="AU734" i="1"/>
  <c r="AT734" i="1"/>
  <c r="AS734" i="1"/>
  <c r="AR734" i="1"/>
  <c r="AQ734" i="1"/>
  <c r="AP734" i="1"/>
  <c r="AM734" i="1"/>
  <c r="AL734" i="1"/>
  <c r="AK734" i="1"/>
  <c r="AJ734" i="1"/>
  <c r="AI734" i="1"/>
  <c r="AH734" i="1"/>
  <c r="AH734" i="1" a="1"/>
  <c r="AG734" i="1"/>
  <c r="AF734" i="1"/>
  <c r="BI733" i="1"/>
  <c r="BH733" i="1"/>
  <c r="BG733" i="1"/>
  <c r="BF733" i="1"/>
  <c r="BE733" i="1"/>
  <c r="BD733" i="1"/>
  <c r="BC733" i="1"/>
  <c r="BB733" i="1"/>
  <c r="BA733" i="1"/>
  <c r="AZ733" i="1"/>
  <c r="AY733" i="1"/>
  <c r="AX733" i="1"/>
  <c r="AW733" i="1"/>
  <c r="AV733" i="1"/>
  <c r="AU733" i="1"/>
  <c r="AT733" i="1"/>
  <c r="AS733" i="1"/>
  <c r="AR733" i="1"/>
  <c r="AQ733" i="1"/>
  <c r="AP733" i="1"/>
  <c r="AM733" i="1"/>
  <c r="AL733" i="1"/>
  <c r="AK733" i="1"/>
  <c r="AJ733" i="1"/>
  <c r="AI733" i="1"/>
  <c r="AH733" i="1"/>
  <c r="AH733" i="1" a="1"/>
  <c r="AG733" i="1"/>
  <c r="AF733" i="1"/>
  <c r="BI732" i="1"/>
  <c r="BH732" i="1"/>
  <c r="BG732" i="1"/>
  <c r="BF732" i="1"/>
  <c r="BE732" i="1"/>
  <c r="BD732" i="1"/>
  <c r="BC732" i="1"/>
  <c r="BB732" i="1"/>
  <c r="BA732" i="1"/>
  <c r="AZ732" i="1"/>
  <c r="AY732" i="1"/>
  <c r="AX732" i="1"/>
  <c r="AW732" i="1"/>
  <c r="AV732" i="1"/>
  <c r="AU732" i="1"/>
  <c r="AT732" i="1"/>
  <c r="AS732" i="1"/>
  <c r="AR732" i="1"/>
  <c r="AQ732" i="1"/>
  <c r="AP732" i="1"/>
  <c r="AM732" i="1"/>
  <c r="AL732" i="1"/>
  <c r="AK732" i="1"/>
  <c r="AJ732" i="1"/>
  <c r="AI732" i="1"/>
  <c r="AH732" i="1"/>
  <c r="AH732" i="1" a="1"/>
  <c r="AG732" i="1"/>
  <c r="AF732" i="1"/>
  <c r="BI731" i="1"/>
  <c r="BH731" i="1"/>
  <c r="BG731" i="1"/>
  <c r="BF731" i="1"/>
  <c r="BE731" i="1"/>
  <c r="BD731" i="1"/>
  <c r="BC731" i="1"/>
  <c r="BB731" i="1"/>
  <c r="BA731" i="1"/>
  <c r="AZ731" i="1"/>
  <c r="AY731" i="1"/>
  <c r="AX731" i="1"/>
  <c r="AW731" i="1"/>
  <c r="AV731" i="1"/>
  <c r="AU731" i="1"/>
  <c r="AT731" i="1"/>
  <c r="AS731" i="1"/>
  <c r="AR731" i="1"/>
  <c r="AQ731" i="1"/>
  <c r="AP731" i="1"/>
  <c r="AM731" i="1"/>
  <c r="AL731" i="1"/>
  <c r="AK731" i="1"/>
  <c r="AJ731" i="1"/>
  <c r="AI731" i="1"/>
  <c r="AH731" i="1"/>
  <c r="AH731" i="1" a="1"/>
  <c r="AG731" i="1"/>
  <c r="AF731" i="1"/>
  <c r="BI730" i="1"/>
  <c r="BH730" i="1"/>
  <c r="BG730" i="1"/>
  <c r="BF730" i="1"/>
  <c r="BE730" i="1"/>
  <c r="BD730" i="1"/>
  <c r="BC730" i="1"/>
  <c r="BB730" i="1"/>
  <c r="BA730" i="1"/>
  <c r="AZ730" i="1"/>
  <c r="AY730" i="1"/>
  <c r="AX730" i="1"/>
  <c r="AW730" i="1"/>
  <c r="AV730" i="1"/>
  <c r="AU730" i="1"/>
  <c r="AT730" i="1"/>
  <c r="AS730" i="1"/>
  <c r="AR730" i="1"/>
  <c r="AQ730" i="1"/>
  <c r="AP730" i="1"/>
  <c r="AM730" i="1"/>
  <c r="AL730" i="1"/>
  <c r="AK730" i="1"/>
  <c r="AJ730" i="1"/>
  <c r="AI730" i="1"/>
  <c r="AH730" i="1"/>
  <c r="AH730" i="1" a="1"/>
  <c r="AG730" i="1"/>
  <c r="AF730" i="1"/>
  <c r="BI729" i="1"/>
  <c r="BH729" i="1"/>
  <c r="BG729" i="1"/>
  <c r="BF729" i="1"/>
  <c r="BE729" i="1"/>
  <c r="BD729" i="1"/>
  <c r="BC729" i="1"/>
  <c r="BB729" i="1"/>
  <c r="BA729" i="1"/>
  <c r="AZ729" i="1"/>
  <c r="AY729" i="1"/>
  <c r="AX729" i="1"/>
  <c r="AW729" i="1"/>
  <c r="AV729" i="1"/>
  <c r="AU729" i="1"/>
  <c r="AT729" i="1"/>
  <c r="AS729" i="1"/>
  <c r="AR729" i="1"/>
  <c r="AQ729" i="1"/>
  <c r="AP729" i="1"/>
  <c r="AM729" i="1"/>
  <c r="AL729" i="1"/>
  <c r="AK729" i="1"/>
  <c r="AJ729" i="1"/>
  <c r="AI729" i="1"/>
  <c r="AH729" i="1"/>
  <c r="AH729" i="1" a="1"/>
  <c r="AG729" i="1"/>
  <c r="AF729" i="1"/>
  <c r="BI728" i="1"/>
  <c r="BH728" i="1"/>
  <c r="BG728" i="1"/>
  <c r="BF728" i="1"/>
  <c r="BE728" i="1"/>
  <c r="BD728" i="1"/>
  <c r="BC728" i="1"/>
  <c r="BB728" i="1"/>
  <c r="BA728" i="1"/>
  <c r="AZ728" i="1"/>
  <c r="AY728" i="1"/>
  <c r="AX728" i="1"/>
  <c r="AW728" i="1"/>
  <c r="AV728" i="1"/>
  <c r="AU728" i="1"/>
  <c r="AT728" i="1"/>
  <c r="AS728" i="1"/>
  <c r="AR728" i="1"/>
  <c r="AQ728" i="1"/>
  <c r="AP728" i="1"/>
  <c r="AM728" i="1"/>
  <c r="AL728" i="1"/>
  <c r="AK728" i="1"/>
  <c r="AJ728" i="1"/>
  <c r="AI728" i="1"/>
  <c r="AH728" i="1"/>
  <c r="AH728" i="1" a="1"/>
  <c r="AG728" i="1"/>
  <c r="AF728" i="1"/>
  <c r="BI727" i="1"/>
  <c r="BH727" i="1"/>
  <c r="BG727" i="1"/>
  <c r="BF727" i="1"/>
  <c r="BE727" i="1"/>
  <c r="BD727" i="1"/>
  <c r="BC727" i="1"/>
  <c r="BB727" i="1"/>
  <c r="BA727" i="1"/>
  <c r="AZ727" i="1"/>
  <c r="AY727" i="1"/>
  <c r="AX727" i="1"/>
  <c r="AW727" i="1"/>
  <c r="AV727" i="1"/>
  <c r="AU727" i="1"/>
  <c r="AT727" i="1"/>
  <c r="AS727" i="1"/>
  <c r="AR727" i="1"/>
  <c r="AQ727" i="1"/>
  <c r="AP727" i="1"/>
  <c r="AM727" i="1"/>
  <c r="AL727" i="1"/>
  <c r="AK727" i="1"/>
  <c r="AJ727" i="1"/>
  <c r="AI727" i="1"/>
  <c r="AH727" i="1"/>
  <c r="AH727" i="1" a="1"/>
  <c r="AG727" i="1"/>
  <c r="AF727" i="1"/>
  <c r="BI726" i="1"/>
  <c r="BH726" i="1"/>
  <c r="BG726" i="1"/>
  <c r="BF726" i="1"/>
  <c r="BE726" i="1"/>
  <c r="BD726" i="1"/>
  <c r="BC726" i="1"/>
  <c r="BB726" i="1"/>
  <c r="BA726" i="1"/>
  <c r="AZ726" i="1"/>
  <c r="AY726" i="1"/>
  <c r="AX726" i="1"/>
  <c r="AW726" i="1"/>
  <c r="AV726" i="1"/>
  <c r="AU726" i="1"/>
  <c r="AT726" i="1"/>
  <c r="AS726" i="1"/>
  <c r="AR726" i="1"/>
  <c r="AQ726" i="1"/>
  <c r="AP726" i="1"/>
  <c r="AM726" i="1"/>
  <c r="AL726" i="1"/>
  <c r="AK726" i="1"/>
  <c r="AJ726" i="1"/>
  <c r="AI726" i="1"/>
  <c r="AH726" i="1"/>
  <c r="AH726" i="1" a="1"/>
  <c r="AG726" i="1"/>
  <c r="AF726" i="1"/>
  <c r="BI725" i="1"/>
  <c r="BH725" i="1"/>
  <c r="BG725" i="1"/>
  <c r="BF725" i="1"/>
  <c r="BE725" i="1"/>
  <c r="BD725" i="1"/>
  <c r="BC725" i="1"/>
  <c r="BB725" i="1"/>
  <c r="BA725" i="1"/>
  <c r="AZ725" i="1"/>
  <c r="AY725" i="1"/>
  <c r="AX725" i="1"/>
  <c r="AW725" i="1"/>
  <c r="AV725" i="1"/>
  <c r="AU725" i="1"/>
  <c r="AT725" i="1"/>
  <c r="AS725" i="1"/>
  <c r="AR725" i="1"/>
  <c r="AQ725" i="1"/>
  <c r="AP725" i="1"/>
  <c r="AM725" i="1"/>
  <c r="AL725" i="1"/>
  <c r="AK725" i="1"/>
  <c r="AJ725" i="1"/>
  <c r="AI725" i="1"/>
  <c r="AH725" i="1"/>
  <c r="AH725" i="1" a="1"/>
  <c r="AG725" i="1"/>
  <c r="AF725" i="1"/>
  <c r="BI724" i="1"/>
  <c r="BH724" i="1"/>
  <c r="BG724" i="1"/>
  <c r="BF724" i="1"/>
  <c r="BE724" i="1"/>
  <c r="BD724" i="1"/>
  <c r="BC724" i="1"/>
  <c r="BB724" i="1"/>
  <c r="BA724" i="1"/>
  <c r="AZ724" i="1"/>
  <c r="AY724" i="1"/>
  <c r="AX724" i="1"/>
  <c r="AW724" i="1"/>
  <c r="AV724" i="1"/>
  <c r="AU724" i="1"/>
  <c r="AT724" i="1"/>
  <c r="AS724" i="1"/>
  <c r="AR724" i="1"/>
  <c r="AQ724" i="1"/>
  <c r="AP724" i="1"/>
  <c r="AM724" i="1"/>
  <c r="AL724" i="1"/>
  <c r="AK724" i="1"/>
  <c r="AJ724" i="1"/>
  <c r="AI724" i="1"/>
  <c r="AH724" i="1"/>
  <c r="AH724" i="1" a="1"/>
  <c r="AG724" i="1"/>
  <c r="AF724" i="1"/>
  <c r="BI723" i="1"/>
  <c r="BH723" i="1"/>
  <c r="BG723" i="1"/>
  <c r="BF723" i="1"/>
  <c r="BE723" i="1"/>
  <c r="BD723" i="1"/>
  <c r="BC723" i="1"/>
  <c r="BB723" i="1"/>
  <c r="BA723" i="1"/>
  <c r="AZ723" i="1"/>
  <c r="AY723" i="1"/>
  <c r="AX723" i="1"/>
  <c r="AW723" i="1"/>
  <c r="AV723" i="1"/>
  <c r="AU723" i="1"/>
  <c r="AT723" i="1"/>
  <c r="AS723" i="1"/>
  <c r="AR723" i="1"/>
  <c r="AQ723" i="1"/>
  <c r="AP723" i="1"/>
  <c r="AM723" i="1"/>
  <c r="AL723" i="1"/>
  <c r="AK723" i="1"/>
  <c r="AJ723" i="1"/>
  <c r="AI723" i="1"/>
  <c r="AH723" i="1"/>
  <c r="AH723" i="1" a="1"/>
  <c r="AG723" i="1"/>
  <c r="AF723" i="1"/>
  <c r="BI722" i="1"/>
  <c r="BH722" i="1"/>
  <c r="BG722" i="1"/>
  <c r="BF722" i="1"/>
  <c r="BE722" i="1"/>
  <c r="BD722" i="1"/>
  <c r="BC722" i="1"/>
  <c r="BB722" i="1"/>
  <c r="BA722" i="1"/>
  <c r="AZ722" i="1"/>
  <c r="AY722" i="1"/>
  <c r="AX722" i="1"/>
  <c r="AW722" i="1"/>
  <c r="AV722" i="1"/>
  <c r="AU722" i="1"/>
  <c r="AT722" i="1"/>
  <c r="AS722" i="1"/>
  <c r="AR722" i="1"/>
  <c r="AQ722" i="1"/>
  <c r="AP722" i="1"/>
  <c r="AM722" i="1"/>
  <c r="AL722" i="1"/>
  <c r="AK722" i="1"/>
  <c r="AJ722" i="1"/>
  <c r="AI722" i="1"/>
  <c r="AH722" i="1"/>
  <c r="AH722" i="1" a="1"/>
  <c r="AG722" i="1"/>
  <c r="AF722" i="1"/>
  <c r="BI721" i="1"/>
  <c r="BH721" i="1"/>
  <c r="BG721" i="1"/>
  <c r="BF721" i="1"/>
  <c r="BE721" i="1"/>
  <c r="BD721" i="1"/>
  <c r="BC721" i="1"/>
  <c r="BB721" i="1"/>
  <c r="BA721" i="1"/>
  <c r="AZ721" i="1"/>
  <c r="AY721" i="1"/>
  <c r="AX721" i="1"/>
  <c r="AW721" i="1"/>
  <c r="AV721" i="1"/>
  <c r="AU721" i="1"/>
  <c r="AT721" i="1"/>
  <c r="AS721" i="1"/>
  <c r="AR721" i="1"/>
  <c r="AQ721" i="1"/>
  <c r="AP721" i="1"/>
  <c r="AM721" i="1"/>
  <c r="AL721" i="1"/>
  <c r="AK721" i="1"/>
  <c r="AJ721" i="1"/>
  <c r="AI721" i="1"/>
  <c r="AH721" i="1"/>
  <c r="AH721" i="1" a="1"/>
  <c r="AG721" i="1"/>
  <c r="AF721" i="1"/>
  <c r="BI720" i="1"/>
  <c r="BH720" i="1"/>
  <c r="BG720" i="1"/>
  <c r="BF720" i="1"/>
  <c r="BE720" i="1"/>
  <c r="BD720" i="1"/>
  <c r="BC720" i="1"/>
  <c r="BB720" i="1"/>
  <c r="BA720" i="1"/>
  <c r="AZ720" i="1"/>
  <c r="AY720" i="1"/>
  <c r="AX720" i="1"/>
  <c r="AW720" i="1"/>
  <c r="AV720" i="1"/>
  <c r="AU720" i="1"/>
  <c r="AT720" i="1"/>
  <c r="AS720" i="1"/>
  <c r="AR720" i="1"/>
  <c r="AQ720" i="1"/>
  <c r="AP720" i="1"/>
  <c r="AM720" i="1"/>
  <c r="AL720" i="1"/>
  <c r="AK720" i="1"/>
  <c r="AJ720" i="1"/>
  <c r="AI720" i="1"/>
  <c r="AH720" i="1"/>
  <c r="AH720" i="1" a="1"/>
  <c r="AG720" i="1"/>
  <c r="AF720" i="1"/>
  <c r="BI719" i="1"/>
  <c r="BH719" i="1"/>
  <c r="BG719" i="1"/>
  <c r="BF719" i="1"/>
  <c r="BE719" i="1"/>
  <c r="BD719" i="1"/>
  <c r="BC719" i="1"/>
  <c r="BB719" i="1"/>
  <c r="BA719" i="1"/>
  <c r="AZ719" i="1"/>
  <c r="AY719" i="1"/>
  <c r="AX719" i="1"/>
  <c r="AW719" i="1"/>
  <c r="AV719" i="1"/>
  <c r="AU719" i="1"/>
  <c r="AT719" i="1"/>
  <c r="AS719" i="1"/>
  <c r="AR719" i="1"/>
  <c r="AQ719" i="1"/>
  <c r="AP719" i="1"/>
  <c r="AM719" i="1"/>
  <c r="AL719" i="1"/>
  <c r="AK719" i="1"/>
  <c r="AJ719" i="1"/>
  <c r="AI719" i="1"/>
  <c r="AH719" i="1"/>
  <c r="AH719" i="1" a="1"/>
  <c r="AG719" i="1"/>
  <c r="AF719" i="1"/>
  <c r="BI718" i="1"/>
  <c r="BH718" i="1"/>
  <c r="BG718" i="1"/>
  <c r="BF718" i="1"/>
  <c r="BE718" i="1"/>
  <c r="BD718" i="1"/>
  <c r="BC718" i="1"/>
  <c r="BB718" i="1"/>
  <c r="BA718" i="1"/>
  <c r="AZ718" i="1"/>
  <c r="AY718" i="1"/>
  <c r="AX718" i="1"/>
  <c r="AW718" i="1"/>
  <c r="AV718" i="1"/>
  <c r="AU718" i="1"/>
  <c r="AT718" i="1"/>
  <c r="AS718" i="1"/>
  <c r="AR718" i="1"/>
  <c r="AQ718" i="1"/>
  <c r="AP718" i="1"/>
  <c r="AM718" i="1"/>
  <c r="AL718" i="1"/>
  <c r="AK718" i="1"/>
  <c r="AJ718" i="1"/>
  <c r="AI718" i="1"/>
  <c r="AH718" i="1"/>
  <c r="AH718" i="1" a="1"/>
  <c r="AG718" i="1"/>
  <c r="AF718" i="1"/>
  <c r="BI717" i="1"/>
  <c r="BH717" i="1"/>
  <c r="BG717" i="1"/>
  <c r="BF717" i="1"/>
  <c r="BE717" i="1"/>
  <c r="BD717" i="1"/>
  <c r="BC717" i="1"/>
  <c r="BB717" i="1"/>
  <c r="BA717" i="1"/>
  <c r="AZ717" i="1"/>
  <c r="AY717" i="1"/>
  <c r="AX717" i="1"/>
  <c r="AW717" i="1"/>
  <c r="AV717" i="1"/>
  <c r="AU717" i="1"/>
  <c r="AT717" i="1"/>
  <c r="AS717" i="1"/>
  <c r="AR717" i="1"/>
  <c r="AQ717" i="1"/>
  <c r="AP717" i="1"/>
  <c r="AM717" i="1"/>
  <c r="AL717" i="1"/>
  <c r="AK717" i="1"/>
  <c r="AJ717" i="1"/>
  <c r="AI717" i="1"/>
  <c r="AH717" i="1"/>
  <c r="AH717" i="1" a="1"/>
  <c r="AG717" i="1"/>
  <c r="AF717" i="1"/>
  <c r="BI716" i="1"/>
  <c r="BH716" i="1"/>
  <c r="BG716" i="1"/>
  <c r="BF716" i="1"/>
  <c r="BE716" i="1"/>
  <c r="BD716" i="1"/>
  <c r="BC716" i="1"/>
  <c r="BB716" i="1"/>
  <c r="BA716" i="1"/>
  <c r="AZ716" i="1"/>
  <c r="AY716" i="1"/>
  <c r="AX716" i="1"/>
  <c r="AW716" i="1"/>
  <c r="AV716" i="1"/>
  <c r="AU716" i="1"/>
  <c r="AT716" i="1"/>
  <c r="AS716" i="1"/>
  <c r="AR716" i="1"/>
  <c r="AQ716" i="1"/>
  <c r="AP716" i="1"/>
  <c r="AM716" i="1"/>
  <c r="AL716" i="1"/>
  <c r="AK716" i="1"/>
  <c r="AJ716" i="1"/>
  <c r="AI716" i="1"/>
  <c r="AH716" i="1"/>
  <c r="AH716" i="1" a="1"/>
  <c r="AG716" i="1"/>
  <c r="AF716" i="1"/>
  <c r="BI715" i="1"/>
  <c r="BH715" i="1"/>
  <c r="BG715" i="1"/>
  <c r="BF715" i="1"/>
  <c r="BE715" i="1"/>
  <c r="BD715" i="1"/>
  <c r="BC715" i="1"/>
  <c r="BB715" i="1"/>
  <c r="BA715" i="1"/>
  <c r="AZ715" i="1"/>
  <c r="AY715" i="1"/>
  <c r="AX715" i="1"/>
  <c r="AW715" i="1"/>
  <c r="AV715" i="1"/>
  <c r="AU715" i="1"/>
  <c r="AT715" i="1"/>
  <c r="AS715" i="1"/>
  <c r="AR715" i="1"/>
  <c r="AQ715" i="1"/>
  <c r="AP715" i="1"/>
  <c r="AM715" i="1"/>
  <c r="AL715" i="1"/>
  <c r="AK715" i="1"/>
  <c r="AJ715" i="1"/>
  <c r="AI715" i="1"/>
  <c r="AH715" i="1"/>
  <c r="AH715" i="1" a="1"/>
  <c r="AG715" i="1"/>
  <c r="AF715" i="1"/>
  <c r="BI714" i="1"/>
  <c r="BH714" i="1"/>
  <c r="BG714" i="1"/>
  <c r="BF714" i="1"/>
  <c r="BE714" i="1"/>
  <c r="BD714" i="1"/>
  <c r="BC714" i="1"/>
  <c r="BB714" i="1"/>
  <c r="BA714" i="1"/>
  <c r="AZ714" i="1"/>
  <c r="AY714" i="1"/>
  <c r="AX714" i="1"/>
  <c r="AW714" i="1"/>
  <c r="AV714" i="1"/>
  <c r="AU714" i="1"/>
  <c r="AT714" i="1"/>
  <c r="AS714" i="1"/>
  <c r="AR714" i="1"/>
  <c r="AQ714" i="1"/>
  <c r="AP714" i="1"/>
  <c r="AM714" i="1"/>
  <c r="AL714" i="1"/>
  <c r="AK714" i="1"/>
  <c r="AJ714" i="1"/>
  <c r="AI714" i="1"/>
  <c r="AH714" i="1"/>
  <c r="AH714" i="1" a="1"/>
  <c r="AG714" i="1"/>
  <c r="AF714" i="1"/>
  <c r="BI713" i="1"/>
  <c r="BH713" i="1"/>
  <c r="BG713" i="1"/>
  <c r="BF713" i="1"/>
  <c r="BE713" i="1"/>
  <c r="BD713" i="1"/>
  <c r="BC713" i="1"/>
  <c r="BB713" i="1"/>
  <c r="BA713" i="1"/>
  <c r="AZ713" i="1"/>
  <c r="AY713" i="1"/>
  <c r="AX713" i="1"/>
  <c r="AW713" i="1"/>
  <c r="AV713" i="1"/>
  <c r="AU713" i="1"/>
  <c r="AT713" i="1"/>
  <c r="AS713" i="1"/>
  <c r="AR713" i="1"/>
  <c r="AQ713" i="1"/>
  <c r="AP713" i="1"/>
  <c r="AM713" i="1"/>
  <c r="AL713" i="1"/>
  <c r="AK713" i="1"/>
  <c r="AJ713" i="1"/>
  <c r="AI713" i="1"/>
  <c r="AH713" i="1"/>
  <c r="AH713" i="1" a="1"/>
  <c r="AG713" i="1"/>
  <c r="AF713" i="1"/>
  <c r="BI712" i="1"/>
  <c r="BH712" i="1"/>
  <c r="BG712" i="1"/>
  <c r="BF712" i="1"/>
  <c r="BE712" i="1"/>
  <c r="BD712" i="1"/>
  <c r="BC712" i="1"/>
  <c r="BB712" i="1"/>
  <c r="BA712" i="1"/>
  <c r="AZ712" i="1"/>
  <c r="AY712" i="1"/>
  <c r="AX712" i="1"/>
  <c r="AW712" i="1"/>
  <c r="AV712" i="1"/>
  <c r="AU712" i="1"/>
  <c r="AT712" i="1"/>
  <c r="AS712" i="1"/>
  <c r="AR712" i="1"/>
  <c r="AQ712" i="1"/>
  <c r="AP712" i="1"/>
  <c r="AM712" i="1"/>
  <c r="AL712" i="1"/>
  <c r="AK712" i="1"/>
  <c r="AJ712" i="1"/>
  <c r="AI712" i="1"/>
  <c r="AH712" i="1"/>
  <c r="AH712" i="1" a="1"/>
  <c r="AG712" i="1"/>
  <c r="AF712" i="1"/>
  <c r="BI711" i="1"/>
  <c r="BH711" i="1"/>
  <c r="BG711" i="1"/>
  <c r="BF711" i="1"/>
  <c r="BE711" i="1"/>
  <c r="BD711" i="1"/>
  <c r="BC711" i="1"/>
  <c r="BB711" i="1"/>
  <c r="BA711" i="1"/>
  <c r="AZ711" i="1"/>
  <c r="AY711" i="1"/>
  <c r="AX711" i="1"/>
  <c r="AW711" i="1"/>
  <c r="AV711" i="1"/>
  <c r="AU711" i="1"/>
  <c r="AT711" i="1"/>
  <c r="AS711" i="1"/>
  <c r="AR711" i="1"/>
  <c r="AQ711" i="1"/>
  <c r="AP711" i="1"/>
  <c r="AM711" i="1"/>
  <c r="AL711" i="1"/>
  <c r="AK711" i="1"/>
  <c r="AJ711" i="1"/>
  <c r="AI711" i="1"/>
  <c r="AH711" i="1"/>
  <c r="AH711" i="1" a="1"/>
  <c r="AG711" i="1"/>
  <c r="AF711" i="1"/>
  <c r="BI710" i="1"/>
  <c r="BH710" i="1"/>
  <c r="BG710" i="1"/>
  <c r="BF710" i="1"/>
  <c r="BE710" i="1"/>
  <c r="BD710" i="1"/>
  <c r="BC710" i="1"/>
  <c r="BB710" i="1"/>
  <c r="BA710" i="1"/>
  <c r="AZ710" i="1"/>
  <c r="AY710" i="1"/>
  <c r="AX710" i="1"/>
  <c r="AW710" i="1"/>
  <c r="AV710" i="1"/>
  <c r="AU710" i="1"/>
  <c r="AT710" i="1"/>
  <c r="AS710" i="1"/>
  <c r="AR710" i="1"/>
  <c r="AQ710" i="1"/>
  <c r="AP710" i="1"/>
  <c r="AM710" i="1"/>
  <c r="AL710" i="1"/>
  <c r="AK710" i="1"/>
  <c r="AJ710" i="1"/>
  <c r="AI710" i="1"/>
  <c r="AH710" i="1"/>
  <c r="AH710" i="1" a="1"/>
  <c r="AG710" i="1"/>
  <c r="AF710" i="1"/>
  <c r="BI709" i="1"/>
  <c r="BH709" i="1"/>
  <c r="BG709" i="1"/>
  <c r="BF709" i="1"/>
  <c r="BE709" i="1"/>
  <c r="BD709" i="1"/>
  <c r="BC709" i="1"/>
  <c r="BB709" i="1"/>
  <c r="BA709" i="1"/>
  <c r="AZ709" i="1"/>
  <c r="AY709" i="1"/>
  <c r="AX709" i="1"/>
  <c r="AW709" i="1"/>
  <c r="AV709" i="1"/>
  <c r="AU709" i="1"/>
  <c r="AT709" i="1"/>
  <c r="AS709" i="1"/>
  <c r="AR709" i="1"/>
  <c r="AQ709" i="1"/>
  <c r="AP709" i="1"/>
  <c r="AM709" i="1"/>
  <c r="AL709" i="1"/>
  <c r="AK709" i="1"/>
  <c r="AJ709" i="1"/>
  <c r="AI709" i="1"/>
  <c r="AH709" i="1"/>
  <c r="AH709" i="1" a="1"/>
  <c r="AG709" i="1"/>
  <c r="AF709" i="1"/>
  <c r="BI708" i="1"/>
  <c r="BH708" i="1"/>
  <c r="BG708" i="1"/>
  <c r="BF708" i="1"/>
  <c r="BE708" i="1"/>
  <c r="BD708" i="1"/>
  <c r="BC708" i="1"/>
  <c r="BB708" i="1"/>
  <c r="BA708" i="1"/>
  <c r="AZ708" i="1"/>
  <c r="AY708" i="1"/>
  <c r="AX708" i="1"/>
  <c r="AW708" i="1"/>
  <c r="AV708" i="1"/>
  <c r="AU708" i="1"/>
  <c r="AT708" i="1"/>
  <c r="AS708" i="1"/>
  <c r="AR708" i="1"/>
  <c r="AQ708" i="1"/>
  <c r="AP708" i="1"/>
  <c r="AM708" i="1"/>
  <c r="AL708" i="1"/>
  <c r="AK708" i="1"/>
  <c r="AJ708" i="1"/>
  <c r="AI708" i="1"/>
  <c r="AH708" i="1"/>
  <c r="AH708" i="1" a="1"/>
  <c r="AG708" i="1"/>
  <c r="AF708" i="1"/>
  <c r="BI707" i="1"/>
  <c r="BH707" i="1"/>
  <c r="BG707" i="1"/>
  <c r="BF707" i="1"/>
  <c r="BE707" i="1"/>
  <c r="BD707" i="1"/>
  <c r="BC707" i="1"/>
  <c r="BB707" i="1"/>
  <c r="BA707" i="1"/>
  <c r="AZ707" i="1"/>
  <c r="AY707" i="1"/>
  <c r="AX707" i="1"/>
  <c r="AW707" i="1"/>
  <c r="AV707" i="1"/>
  <c r="AU707" i="1"/>
  <c r="AT707" i="1"/>
  <c r="AS707" i="1"/>
  <c r="AR707" i="1"/>
  <c r="AQ707" i="1"/>
  <c r="AP707" i="1"/>
  <c r="AM707" i="1"/>
  <c r="AL707" i="1"/>
  <c r="AK707" i="1"/>
  <c r="AJ707" i="1"/>
  <c r="AI707" i="1"/>
  <c r="AH707" i="1"/>
  <c r="AH707" i="1" a="1"/>
  <c r="AG707" i="1"/>
  <c r="AF707" i="1"/>
  <c r="BI706" i="1"/>
  <c r="BH706" i="1"/>
  <c r="BG706" i="1"/>
  <c r="BF706" i="1"/>
  <c r="BE706" i="1"/>
  <c r="BD706" i="1"/>
  <c r="BC706" i="1"/>
  <c r="BB706" i="1"/>
  <c r="BA706" i="1"/>
  <c r="AZ706" i="1"/>
  <c r="AY706" i="1"/>
  <c r="AX706" i="1"/>
  <c r="AW706" i="1"/>
  <c r="AV706" i="1"/>
  <c r="AU706" i="1"/>
  <c r="AT706" i="1"/>
  <c r="AS706" i="1"/>
  <c r="AR706" i="1"/>
  <c r="AQ706" i="1"/>
  <c r="AP706" i="1"/>
  <c r="AM706" i="1"/>
  <c r="AL706" i="1"/>
  <c r="AK706" i="1"/>
  <c r="AJ706" i="1"/>
  <c r="AI706" i="1"/>
  <c r="AH706" i="1"/>
  <c r="AH706" i="1" a="1"/>
  <c r="AG706" i="1"/>
  <c r="AF706" i="1"/>
  <c r="BI705" i="1"/>
  <c r="BH705" i="1"/>
  <c r="BG705" i="1"/>
  <c r="BF705" i="1"/>
  <c r="BE705" i="1"/>
  <c r="BD705" i="1"/>
  <c r="BC705" i="1"/>
  <c r="BB705" i="1"/>
  <c r="BA705" i="1"/>
  <c r="AZ705" i="1"/>
  <c r="AY705" i="1"/>
  <c r="AX705" i="1"/>
  <c r="AW705" i="1"/>
  <c r="AV705" i="1"/>
  <c r="AU705" i="1"/>
  <c r="AT705" i="1"/>
  <c r="AS705" i="1"/>
  <c r="AR705" i="1"/>
  <c r="AQ705" i="1"/>
  <c r="AP705" i="1"/>
  <c r="AM705" i="1"/>
  <c r="AL705" i="1"/>
  <c r="AK705" i="1"/>
  <c r="AJ705" i="1"/>
  <c r="AI705" i="1"/>
  <c r="AH705" i="1"/>
  <c r="AH705" i="1" a="1"/>
  <c r="AG705" i="1"/>
  <c r="AF705" i="1"/>
  <c r="BI704" i="1"/>
  <c r="BH704" i="1"/>
  <c r="BG704" i="1"/>
  <c r="BF704" i="1"/>
  <c r="BE704" i="1"/>
  <c r="BD704" i="1"/>
  <c r="BC704" i="1"/>
  <c r="BB704" i="1"/>
  <c r="BA704" i="1"/>
  <c r="AZ704" i="1"/>
  <c r="AY704" i="1"/>
  <c r="AX704" i="1"/>
  <c r="AW704" i="1"/>
  <c r="AV704" i="1"/>
  <c r="AU704" i="1"/>
  <c r="AT704" i="1"/>
  <c r="AS704" i="1"/>
  <c r="AR704" i="1"/>
  <c r="AQ704" i="1"/>
  <c r="AP704" i="1"/>
  <c r="AM704" i="1"/>
  <c r="AL704" i="1"/>
  <c r="AK704" i="1"/>
  <c r="AJ704" i="1"/>
  <c r="AI704" i="1"/>
  <c r="AH704" i="1"/>
  <c r="AH704" i="1" a="1"/>
  <c r="AG704" i="1"/>
  <c r="AF704" i="1"/>
  <c r="BI703" i="1"/>
  <c r="BH703" i="1"/>
  <c r="BG703" i="1"/>
  <c r="BF703" i="1"/>
  <c r="BE703" i="1"/>
  <c r="BD703" i="1"/>
  <c r="BC703" i="1"/>
  <c r="BB703" i="1"/>
  <c r="BA703" i="1"/>
  <c r="AZ703" i="1"/>
  <c r="AY703" i="1"/>
  <c r="AX703" i="1"/>
  <c r="AW703" i="1"/>
  <c r="AV703" i="1"/>
  <c r="AU703" i="1"/>
  <c r="AT703" i="1"/>
  <c r="AS703" i="1"/>
  <c r="AR703" i="1"/>
  <c r="AQ703" i="1"/>
  <c r="AP703" i="1"/>
  <c r="AM703" i="1"/>
  <c r="AL703" i="1"/>
  <c r="AK703" i="1"/>
  <c r="AJ703" i="1"/>
  <c r="AI703" i="1"/>
  <c r="AH703" i="1"/>
  <c r="AH703" i="1" a="1"/>
  <c r="AG703" i="1"/>
  <c r="AF703" i="1"/>
  <c r="BI702" i="1"/>
  <c r="BH702" i="1"/>
  <c r="BG702" i="1"/>
  <c r="BF702" i="1"/>
  <c r="BE702" i="1"/>
  <c r="BD702" i="1"/>
  <c r="BC702" i="1"/>
  <c r="BB702" i="1"/>
  <c r="BA702" i="1"/>
  <c r="AZ702" i="1"/>
  <c r="AY702" i="1"/>
  <c r="AX702" i="1"/>
  <c r="AW702" i="1"/>
  <c r="AV702" i="1"/>
  <c r="AU702" i="1"/>
  <c r="AT702" i="1"/>
  <c r="AS702" i="1"/>
  <c r="AR702" i="1"/>
  <c r="AQ702" i="1"/>
  <c r="AP702" i="1"/>
  <c r="AM702" i="1"/>
  <c r="AL702" i="1"/>
  <c r="AK702" i="1"/>
  <c r="AJ702" i="1"/>
  <c r="AI702" i="1"/>
  <c r="AH702" i="1"/>
  <c r="AH702" i="1" a="1"/>
  <c r="AG702" i="1"/>
  <c r="AF702" i="1"/>
  <c r="BI701" i="1"/>
  <c r="BH701" i="1"/>
  <c r="BG701" i="1"/>
  <c r="BF701" i="1"/>
  <c r="BE701" i="1"/>
  <c r="BD701" i="1"/>
  <c r="BC701" i="1"/>
  <c r="BB701" i="1"/>
  <c r="BA701" i="1"/>
  <c r="AZ701" i="1"/>
  <c r="AY701" i="1"/>
  <c r="AX701" i="1"/>
  <c r="AW701" i="1"/>
  <c r="AV701" i="1"/>
  <c r="AU701" i="1"/>
  <c r="AT701" i="1"/>
  <c r="AS701" i="1"/>
  <c r="AR701" i="1"/>
  <c r="AQ701" i="1"/>
  <c r="AP701" i="1"/>
  <c r="AM701" i="1"/>
  <c r="AL701" i="1"/>
  <c r="AK701" i="1"/>
  <c r="AJ701" i="1"/>
  <c r="AI701" i="1"/>
  <c r="AH701" i="1"/>
  <c r="AH701" i="1" a="1"/>
  <c r="AG701" i="1"/>
  <c r="AF701" i="1"/>
  <c r="BI700" i="1"/>
  <c r="BH700" i="1"/>
  <c r="BG700" i="1"/>
  <c r="BF700" i="1"/>
  <c r="BE700" i="1"/>
  <c r="BD700" i="1"/>
  <c r="BC700" i="1"/>
  <c r="BB700" i="1"/>
  <c r="BA700" i="1"/>
  <c r="AZ700" i="1"/>
  <c r="AY700" i="1"/>
  <c r="AX700" i="1"/>
  <c r="AW700" i="1"/>
  <c r="AV700" i="1"/>
  <c r="AU700" i="1"/>
  <c r="AT700" i="1"/>
  <c r="AS700" i="1"/>
  <c r="AR700" i="1"/>
  <c r="AQ700" i="1"/>
  <c r="AP700" i="1"/>
  <c r="AM700" i="1"/>
  <c r="AL700" i="1"/>
  <c r="AK700" i="1"/>
  <c r="AJ700" i="1"/>
  <c r="AI700" i="1"/>
  <c r="AH700" i="1"/>
  <c r="AH700" i="1" a="1"/>
  <c r="AG700" i="1"/>
  <c r="AF700" i="1"/>
  <c r="BI699" i="1"/>
  <c r="BH699" i="1"/>
  <c r="BG699" i="1"/>
  <c r="BF699" i="1"/>
  <c r="BE699" i="1"/>
  <c r="BD699" i="1"/>
  <c r="BC699" i="1"/>
  <c r="BB699" i="1"/>
  <c r="BA699" i="1"/>
  <c r="AZ699" i="1"/>
  <c r="AY699" i="1"/>
  <c r="AX699" i="1"/>
  <c r="AW699" i="1"/>
  <c r="AV699" i="1"/>
  <c r="AU699" i="1"/>
  <c r="AT699" i="1"/>
  <c r="AS699" i="1"/>
  <c r="AR699" i="1"/>
  <c r="AQ699" i="1"/>
  <c r="AP699" i="1"/>
  <c r="AM699" i="1"/>
  <c r="AL699" i="1"/>
  <c r="AK699" i="1"/>
  <c r="AJ699" i="1"/>
  <c r="AI699" i="1"/>
  <c r="AH699" i="1"/>
  <c r="AH699" i="1" a="1"/>
  <c r="AG699" i="1"/>
  <c r="AF699" i="1"/>
  <c r="BI698" i="1"/>
  <c r="BH698" i="1"/>
  <c r="BG698" i="1"/>
  <c r="BF698" i="1"/>
  <c r="BE698" i="1"/>
  <c r="BD698" i="1"/>
  <c r="BC698" i="1"/>
  <c r="BB698" i="1"/>
  <c r="BA698" i="1"/>
  <c r="AZ698" i="1"/>
  <c r="AY698" i="1"/>
  <c r="AX698" i="1"/>
  <c r="AW698" i="1"/>
  <c r="AV698" i="1"/>
  <c r="AU698" i="1"/>
  <c r="AT698" i="1"/>
  <c r="AS698" i="1"/>
  <c r="AR698" i="1"/>
  <c r="AQ698" i="1"/>
  <c r="AP698" i="1"/>
  <c r="AM698" i="1"/>
  <c r="AL698" i="1"/>
  <c r="AK698" i="1"/>
  <c r="AJ698" i="1"/>
  <c r="AI698" i="1"/>
  <c r="AH698" i="1"/>
  <c r="AH698" i="1" a="1"/>
  <c r="AG698" i="1"/>
  <c r="AF698" i="1"/>
  <c r="BI697" i="1"/>
  <c r="BH697" i="1"/>
  <c r="BG697" i="1"/>
  <c r="BF697" i="1"/>
  <c r="BE697" i="1"/>
  <c r="BD697" i="1"/>
  <c r="BC697" i="1"/>
  <c r="BB697" i="1"/>
  <c r="BA697" i="1"/>
  <c r="AZ697" i="1"/>
  <c r="AY697" i="1"/>
  <c r="AX697" i="1"/>
  <c r="AW697" i="1"/>
  <c r="AV697" i="1"/>
  <c r="AU697" i="1"/>
  <c r="AT697" i="1"/>
  <c r="AS697" i="1"/>
  <c r="AR697" i="1"/>
  <c r="AQ697" i="1"/>
  <c r="AP697" i="1"/>
  <c r="AM697" i="1"/>
  <c r="AL697" i="1"/>
  <c r="AK697" i="1"/>
  <c r="AJ697" i="1"/>
  <c r="AI697" i="1"/>
  <c r="AH697" i="1"/>
  <c r="AH697" i="1" a="1"/>
  <c r="AG697" i="1"/>
  <c r="AF697" i="1"/>
  <c r="BI696" i="1"/>
  <c r="BH696" i="1"/>
  <c r="BG696" i="1"/>
  <c r="BF696" i="1"/>
  <c r="BE696" i="1"/>
  <c r="BD696" i="1"/>
  <c r="BC696" i="1"/>
  <c r="BB696" i="1"/>
  <c r="BA696" i="1"/>
  <c r="AZ696" i="1"/>
  <c r="AY696" i="1"/>
  <c r="AX696" i="1"/>
  <c r="AW696" i="1"/>
  <c r="AV696" i="1"/>
  <c r="AU696" i="1"/>
  <c r="AT696" i="1"/>
  <c r="AS696" i="1"/>
  <c r="AR696" i="1"/>
  <c r="AQ696" i="1"/>
  <c r="AP696" i="1"/>
  <c r="AM696" i="1"/>
  <c r="AL696" i="1"/>
  <c r="AK696" i="1"/>
  <c r="AJ696" i="1"/>
  <c r="AI696" i="1"/>
  <c r="AH696" i="1"/>
  <c r="AH696" i="1" a="1"/>
  <c r="AG696" i="1"/>
  <c r="AF696" i="1"/>
  <c r="BI695" i="1"/>
  <c r="BH695" i="1"/>
  <c r="BG695" i="1"/>
  <c r="BF695" i="1"/>
  <c r="BE695" i="1"/>
  <c r="BD695" i="1"/>
  <c r="BC695" i="1"/>
  <c r="BB695" i="1"/>
  <c r="BA695" i="1"/>
  <c r="AZ695" i="1"/>
  <c r="AY695" i="1"/>
  <c r="AX695" i="1"/>
  <c r="AW695" i="1"/>
  <c r="AV695" i="1"/>
  <c r="AU695" i="1"/>
  <c r="AT695" i="1"/>
  <c r="AS695" i="1"/>
  <c r="AR695" i="1"/>
  <c r="AQ695" i="1"/>
  <c r="AP695" i="1"/>
  <c r="AM695" i="1"/>
  <c r="AL695" i="1"/>
  <c r="AK695" i="1"/>
  <c r="AJ695" i="1"/>
  <c r="AI695" i="1"/>
  <c r="AH695" i="1"/>
  <c r="AH695" i="1" a="1"/>
  <c r="AG695" i="1"/>
  <c r="AF695" i="1"/>
  <c r="BI694" i="1"/>
  <c r="BH694" i="1"/>
  <c r="BG694" i="1"/>
  <c r="BF694" i="1"/>
  <c r="BE694" i="1"/>
  <c r="BD694" i="1"/>
  <c r="BC694" i="1"/>
  <c r="BB694" i="1"/>
  <c r="BA694" i="1"/>
  <c r="AZ694" i="1"/>
  <c r="AY694" i="1"/>
  <c r="AX694" i="1"/>
  <c r="AW694" i="1"/>
  <c r="AV694" i="1"/>
  <c r="AU694" i="1"/>
  <c r="AT694" i="1"/>
  <c r="AS694" i="1"/>
  <c r="AR694" i="1"/>
  <c r="AQ694" i="1"/>
  <c r="AP694" i="1"/>
  <c r="AM694" i="1"/>
  <c r="AL694" i="1"/>
  <c r="AK694" i="1"/>
  <c r="AJ694" i="1"/>
  <c r="AI694" i="1"/>
  <c r="AH694" i="1"/>
  <c r="AH694" i="1" a="1"/>
  <c r="AG694" i="1"/>
  <c r="AF694" i="1"/>
  <c r="BI693" i="1"/>
  <c r="BH693" i="1"/>
  <c r="BG693" i="1"/>
  <c r="BF693" i="1"/>
  <c r="BE693" i="1"/>
  <c r="BD693" i="1"/>
  <c r="BC693" i="1"/>
  <c r="BB693" i="1"/>
  <c r="BA693" i="1"/>
  <c r="AZ693" i="1"/>
  <c r="AY693" i="1"/>
  <c r="AX693" i="1"/>
  <c r="AW693" i="1"/>
  <c r="AV693" i="1"/>
  <c r="AU693" i="1"/>
  <c r="AT693" i="1"/>
  <c r="AS693" i="1"/>
  <c r="AR693" i="1"/>
  <c r="AQ693" i="1"/>
  <c r="AP693" i="1"/>
  <c r="AM693" i="1"/>
  <c r="AL693" i="1"/>
  <c r="AK693" i="1"/>
  <c r="AJ693" i="1"/>
  <c r="AI693" i="1"/>
  <c r="AH693" i="1"/>
  <c r="AH693" i="1" a="1"/>
  <c r="AG693" i="1"/>
  <c r="AF693" i="1"/>
  <c r="BI692" i="1"/>
  <c r="BH692" i="1"/>
  <c r="BG692" i="1"/>
  <c r="BF692" i="1"/>
  <c r="BE692" i="1"/>
  <c r="BD692" i="1"/>
  <c r="BC692" i="1"/>
  <c r="BB692" i="1"/>
  <c r="BA692" i="1"/>
  <c r="AZ692" i="1"/>
  <c r="AY692" i="1"/>
  <c r="AX692" i="1"/>
  <c r="AW692" i="1"/>
  <c r="AV692" i="1"/>
  <c r="AU692" i="1"/>
  <c r="AT692" i="1"/>
  <c r="AS692" i="1"/>
  <c r="AR692" i="1"/>
  <c r="AQ692" i="1"/>
  <c r="AP692" i="1"/>
  <c r="AM692" i="1"/>
  <c r="AL692" i="1"/>
  <c r="AK692" i="1"/>
  <c r="AJ692" i="1"/>
  <c r="AI692" i="1"/>
  <c r="AH692" i="1"/>
  <c r="AH692" i="1" a="1"/>
  <c r="AG692" i="1"/>
  <c r="AF692" i="1"/>
  <c r="BI691" i="1"/>
  <c r="BH691" i="1"/>
  <c r="BG691" i="1"/>
  <c r="BF691" i="1"/>
  <c r="BE691" i="1"/>
  <c r="BD691" i="1"/>
  <c r="BC691" i="1"/>
  <c r="BB691" i="1"/>
  <c r="BA691" i="1"/>
  <c r="AZ691" i="1"/>
  <c r="AY691" i="1"/>
  <c r="AX691" i="1"/>
  <c r="AW691" i="1"/>
  <c r="AV691" i="1"/>
  <c r="AU691" i="1"/>
  <c r="AT691" i="1"/>
  <c r="AS691" i="1"/>
  <c r="AR691" i="1"/>
  <c r="AQ691" i="1"/>
  <c r="AP691" i="1"/>
  <c r="AM691" i="1"/>
  <c r="AL691" i="1"/>
  <c r="AK691" i="1"/>
  <c r="AJ691" i="1"/>
  <c r="AI691" i="1"/>
  <c r="AH691" i="1"/>
  <c r="AH691" i="1" a="1"/>
  <c r="AG691" i="1"/>
  <c r="AF691" i="1"/>
  <c r="BI690" i="1"/>
  <c r="BH690" i="1"/>
  <c r="BG690" i="1"/>
  <c r="BF690" i="1"/>
  <c r="BE690" i="1"/>
  <c r="BD690" i="1"/>
  <c r="BC690" i="1"/>
  <c r="BB690" i="1"/>
  <c r="BA690" i="1"/>
  <c r="AZ690" i="1"/>
  <c r="AY690" i="1"/>
  <c r="AX690" i="1"/>
  <c r="AW690" i="1"/>
  <c r="AV690" i="1"/>
  <c r="AU690" i="1"/>
  <c r="AT690" i="1"/>
  <c r="AS690" i="1"/>
  <c r="AR690" i="1"/>
  <c r="AQ690" i="1"/>
  <c r="AP690" i="1"/>
  <c r="AM690" i="1"/>
  <c r="AL690" i="1"/>
  <c r="AK690" i="1"/>
  <c r="AJ690" i="1"/>
  <c r="AI690" i="1"/>
  <c r="AH690" i="1"/>
  <c r="AH690" i="1" a="1"/>
  <c r="AG690" i="1"/>
  <c r="AF690" i="1"/>
  <c r="BI689" i="1"/>
  <c r="BH689" i="1"/>
  <c r="BG689" i="1"/>
  <c r="BF689" i="1"/>
  <c r="BE689" i="1"/>
  <c r="BD689" i="1"/>
  <c r="BC689" i="1"/>
  <c r="BB689" i="1"/>
  <c r="BA689" i="1"/>
  <c r="AZ689" i="1"/>
  <c r="AY689" i="1"/>
  <c r="AX689" i="1"/>
  <c r="AW689" i="1"/>
  <c r="AV689" i="1"/>
  <c r="AU689" i="1"/>
  <c r="AT689" i="1"/>
  <c r="AS689" i="1"/>
  <c r="AR689" i="1"/>
  <c r="AQ689" i="1"/>
  <c r="AP689" i="1"/>
  <c r="AM689" i="1"/>
  <c r="AL689" i="1"/>
  <c r="AK689" i="1"/>
  <c r="AJ689" i="1"/>
  <c r="AI689" i="1"/>
  <c r="AH689" i="1"/>
  <c r="AH689" i="1" a="1"/>
  <c r="AG689" i="1"/>
  <c r="AF689" i="1"/>
  <c r="BI688" i="1"/>
  <c r="BH688" i="1"/>
  <c r="BG688" i="1"/>
  <c r="BF688" i="1"/>
  <c r="BE688" i="1"/>
  <c r="BD688" i="1"/>
  <c r="BC688" i="1"/>
  <c r="BB688" i="1"/>
  <c r="BA688" i="1"/>
  <c r="AZ688" i="1"/>
  <c r="AY688" i="1"/>
  <c r="AX688" i="1"/>
  <c r="AW688" i="1"/>
  <c r="AV688" i="1"/>
  <c r="AU688" i="1"/>
  <c r="AT688" i="1"/>
  <c r="AS688" i="1"/>
  <c r="AR688" i="1"/>
  <c r="AQ688" i="1"/>
  <c r="AP688" i="1"/>
  <c r="AM688" i="1"/>
  <c r="AL688" i="1"/>
  <c r="AK688" i="1"/>
  <c r="AJ688" i="1"/>
  <c r="AI688" i="1"/>
  <c r="AH688" i="1"/>
  <c r="AH688" i="1" a="1"/>
  <c r="AG688" i="1"/>
  <c r="AF688" i="1"/>
  <c r="BI687" i="1"/>
  <c r="BH687" i="1"/>
  <c r="BG687" i="1"/>
  <c r="BF687" i="1"/>
  <c r="BE687" i="1"/>
  <c r="BD687" i="1"/>
  <c r="BC687" i="1"/>
  <c r="BB687" i="1"/>
  <c r="BA687" i="1"/>
  <c r="AZ687" i="1"/>
  <c r="AY687" i="1"/>
  <c r="AX687" i="1"/>
  <c r="AW687" i="1"/>
  <c r="AV687" i="1"/>
  <c r="AU687" i="1"/>
  <c r="AT687" i="1"/>
  <c r="AS687" i="1"/>
  <c r="AR687" i="1"/>
  <c r="AQ687" i="1"/>
  <c r="AP687" i="1"/>
  <c r="AM687" i="1"/>
  <c r="AL687" i="1"/>
  <c r="AK687" i="1"/>
  <c r="AJ687" i="1"/>
  <c r="AI687" i="1"/>
  <c r="AH687" i="1"/>
  <c r="AH687" i="1" a="1"/>
  <c r="AG687" i="1"/>
  <c r="AF687" i="1"/>
  <c r="BI686" i="1"/>
  <c r="BH686" i="1"/>
  <c r="BG686" i="1"/>
  <c r="BF686" i="1"/>
  <c r="BE686" i="1"/>
  <c r="BD686" i="1"/>
  <c r="BC686" i="1"/>
  <c r="BB686" i="1"/>
  <c r="BA686" i="1"/>
  <c r="AZ686" i="1"/>
  <c r="AY686" i="1"/>
  <c r="AX686" i="1"/>
  <c r="AW686" i="1"/>
  <c r="AV686" i="1"/>
  <c r="AU686" i="1"/>
  <c r="AT686" i="1"/>
  <c r="AS686" i="1"/>
  <c r="AR686" i="1"/>
  <c r="AQ686" i="1"/>
  <c r="AP686" i="1"/>
  <c r="AM686" i="1"/>
  <c r="AL686" i="1"/>
  <c r="AK686" i="1"/>
  <c r="AJ686" i="1"/>
  <c r="AI686" i="1"/>
  <c r="AH686" i="1"/>
  <c r="AH686" i="1" a="1"/>
  <c r="AG686" i="1"/>
  <c r="AF686" i="1"/>
  <c r="BI685" i="1"/>
  <c r="BH685" i="1"/>
  <c r="BG685" i="1"/>
  <c r="BF685" i="1"/>
  <c r="BE685" i="1"/>
  <c r="BD685" i="1"/>
  <c r="BC685" i="1"/>
  <c r="BB685" i="1"/>
  <c r="BA685" i="1"/>
  <c r="AZ685" i="1"/>
  <c r="AY685" i="1"/>
  <c r="AX685" i="1"/>
  <c r="AW685" i="1"/>
  <c r="AV685" i="1"/>
  <c r="AU685" i="1"/>
  <c r="AT685" i="1"/>
  <c r="AS685" i="1"/>
  <c r="AR685" i="1"/>
  <c r="AQ685" i="1"/>
  <c r="AP685" i="1"/>
  <c r="AM685" i="1"/>
  <c r="AL685" i="1"/>
  <c r="AK685" i="1"/>
  <c r="AJ685" i="1"/>
  <c r="AI685" i="1"/>
  <c r="AH685" i="1"/>
  <c r="AH685" i="1" a="1"/>
  <c r="AG685" i="1"/>
  <c r="AF685" i="1"/>
  <c r="BI684" i="1"/>
  <c r="BH684" i="1"/>
  <c r="BG684" i="1"/>
  <c r="BF684" i="1"/>
  <c r="BE684" i="1"/>
  <c r="BD684" i="1"/>
  <c r="BC684" i="1"/>
  <c r="BB684" i="1"/>
  <c r="BA684" i="1"/>
  <c r="AZ684" i="1"/>
  <c r="AY684" i="1"/>
  <c r="AX684" i="1"/>
  <c r="AW684" i="1"/>
  <c r="AV684" i="1"/>
  <c r="AU684" i="1"/>
  <c r="AT684" i="1"/>
  <c r="AS684" i="1"/>
  <c r="AR684" i="1"/>
  <c r="AQ684" i="1"/>
  <c r="AP684" i="1"/>
  <c r="AM684" i="1"/>
  <c r="AL684" i="1"/>
  <c r="AK684" i="1"/>
  <c r="AJ684" i="1"/>
  <c r="AI684" i="1"/>
  <c r="AH684" i="1"/>
  <c r="AH684" i="1" a="1"/>
  <c r="AG684" i="1"/>
  <c r="AF684" i="1"/>
  <c r="BI683" i="1"/>
  <c r="BH683" i="1"/>
  <c r="BG683" i="1"/>
  <c r="BF683" i="1"/>
  <c r="BE683" i="1"/>
  <c r="BD683" i="1"/>
  <c r="BC683" i="1"/>
  <c r="BB683" i="1"/>
  <c r="BA683" i="1"/>
  <c r="AZ683" i="1"/>
  <c r="AY683" i="1"/>
  <c r="AX683" i="1"/>
  <c r="AW683" i="1"/>
  <c r="AV683" i="1"/>
  <c r="AU683" i="1"/>
  <c r="AT683" i="1"/>
  <c r="AS683" i="1"/>
  <c r="AR683" i="1"/>
  <c r="AQ683" i="1"/>
  <c r="AP683" i="1"/>
  <c r="AM683" i="1"/>
  <c r="AL683" i="1"/>
  <c r="AK683" i="1"/>
  <c r="AJ683" i="1"/>
  <c r="AI683" i="1"/>
  <c r="AH683" i="1"/>
  <c r="AH683" i="1" a="1"/>
  <c r="AG683" i="1"/>
  <c r="AF683" i="1"/>
  <c r="BI682" i="1"/>
  <c r="BH682" i="1"/>
  <c r="BG682" i="1"/>
  <c r="BF682" i="1"/>
  <c r="BE682" i="1"/>
  <c r="BD682" i="1"/>
  <c r="BC682" i="1"/>
  <c r="BB682" i="1"/>
  <c r="BA682" i="1"/>
  <c r="AZ682" i="1"/>
  <c r="AY682" i="1"/>
  <c r="AX682" i="1"/>
  <c r="AW682" i="1"/>
  <c r="AV682" i="1"/>
  <c r="AU682" i="1"/>
  <c r="AT682" i="1"/>
  <c r="AS682" i="1"/>
  <c r="AR682" i="1"/>
  <c r="AQ682" i="1"/>
  <c r="AP682" i="1"/>
  <c r="AM682" i="1"/>
  <c r="AL682" i="1"/>
  <c r="AK682" i="1"/>
  <c r="AJ682" i="1"/>
  <c r="AI682" i="1"/>
  <c r="AH682" i="1"/>
  <c r="AH682" i="1" a="1"/>
  <c r="AG682" i="1"/>
  <c r="AF682" i="1"/>
  <c r="BI681" i="1"/>
  <c r="BH681" i="1"/>
  <c r="BG681" i="1"/>
  <c r="BF681" i="1"/>
  <c r="BE681" i="1"/>
  <c r="BD681" i="1"/>
  <c r="BC681" i="1"/>
  <c r="BB681" i="1"/>
  <c r="BA681" i="1"/>
  <c r="AZ681" i="1"/>
  <c r="AY681" i="1"/>
  <c r="AX681" i="1"/>
  <c r="AW681" i="1"/>
  <c r="AV681" i="1"/>
  <c r="AU681" i="1"/>
  <c r="AT681" i="1"/>
  <c r="AS681" i="1"/>
  <c r="AR681" i="1"/>
  <c r="AQ681" i="1"/>
  <c r="AP681" i="1"/>
  <c r="AM681" i="1"/>
  <c r="AL681" i="1"/>
  <c r="AK681" i="1"/>
  <c r="AJ681" i="1"/>
  <c r="AI681" i="1"/>
  <c r="AH681" i="1"/>
  <c r="AH681" i="1" a="1"/>
  <c r="AG681" i="1"/>
  <c r="AF681" i="1"/>
  <c r="BI680" i="1"/>
  <c r="BH680" i="1"/>
  <c r="BG680" i="1"/>
  <c r="BF680" i="1"/>
  <c r="BE680" i="1"/>
  <c r="BD680" i="1"/>
  <c r="BC680" i="1"/>
  <c r="BB680" i="1"/>
  <c r="BA680" i="1"/>
  <c r="AZ680" i="1"/>
  <c r="AY680" i="1"/>
  <c r="AX680" i="1"/>
  <c r="AW680" i="1"/>
  <c r="AV680" i="1"/>
  <c r="AU680" i="1"/>
  <c r="AT680" i="1"/>
  <c r="AS680" i="1"/>
  <c r="AR680" i="1"/>
  <c r="AQ680" i="1"/>
  <c r="AP680" i="1"/>
  <c r="AM680" i="1"/>
  <c r="AL680" i="1"/>
  <c r="AK680" i="1"/>
  <c r="AJ680" i="1"/>
  <c r="AI680" i="1"/>
  <c r="AH680" i="1"/>
  <c r="AH680" i="1" a="1"/>
  <c r="AG680" i="1"/>
  <c r="AF680" i="1"/>
  <c r="BI679" i="1"/>
  <c r="BH679" i="1"/>
  <c r="BG679" i="1"/>
  <c r="BF679" i="1"/>
  <c r="BE679" i="1"/>
  <c r="BD679" i="1"/>
  <c r="BC679" i="1"/>
  <c r="BB679" i="1"/>
  <c r="BA679" i="1"/>
  <c r="AZ679" i="1"/>
  <c r="AY679" i="1"/>
  <c r="AX679" i="1"/>
  <c r="AW679" i="1"/>
  <c r="AV679" i="1"/>
  <c r="AU679" i="1"/>
  <c r="AT679" i="1"/>
  <c r="AS679" i="1"/>
  <c r="AR679" i="1"/>
  <c r="AQ679" i="1"/>
  <c r="AP679" i="1"/>
  <c r="AM679" i="1"/>
  <c r="AL679" i="1"/>
  <c r="AK679" i="1"/>
  <c r="AJ679" i="1"/>
  <c r="AI679" i="1"/>
  <c r="AH679" i="1"/>
  <c r="AH679" i="1" a="1"/>
  <c r="AG679" i="1"/>
  <c r="AF679" i="1"/>
  <c r="BI678" i="1"/>
  <c r="BH678" i="1"/>
  <c r="BG678" i="1"/>
  <c r="BF678" i="1"/>
  <c r="BE678" i="1"/>
  <c r="BD678" i="1"/>
  <c r="BC678" i="1"/>
  <c r="BB678" i="1"/>
  <c r="BA678" i="1"/>
  <c r="AZ678" i="1"/>
  <c r="AY678" i="1"/>
  <c r="AX678" i="1"/>
  <c r="AW678" i="1"/>
  <c r="AV678" i="1"/>
  <c r="AU678" i="1"/>
  <c r="AT678" i="1"/>
  <c r="AS678" i="1"/>
  <c r="AR678" i="1"/>
  <c r="AQ678" i="1"/>
  <c r="AP678" i="1"/>
  <c r="AM678" i="1"/>
  <c r="AL678" i="1"/>
  <c r="AK678" i="1"/>
  <c r="AJ678" i="1"/>
  <c r="AI678" i="1"/>
  <c r="AH678" i="1"/>
  <c r="AH678" i="1" a="1"/>
  <c r="AG678" i="1"/>
  <c r="AF678" i="1"/>
  <c r="BI677" i="1"/>
  <c r="BH677" i="1"/>
  <c r="BG677" i="1"/>
  <c r="BF677" i="1"/>
  <c r="BE677" i="1"/>
  <c r="BD677" i="1"/>
  <c r="BC677" i="1"/>
  <c r="BB677" i="1"/>
  <c r="BA677" i="1"/>
  <c r="AZ677" i="1"/>
  <c r="AY677" i="1"/>
  <c r="AX677" i="1"/>
  <c r="AW677" i="1"/>
  <c r="AV677" i="1"/>
  <c r="AU677" i="1"/>
  <c r="AT677" i="1"/>
  <c r="AS677" i="1"/>
  <c r="AR677" i="1"/>
  <c r="AQ677" i="1"/>
  <c r="AP677" i="1"/>
  <c r="AM677" i="1"/>
  <c r="AL677" i="1"/>
  <c r="AK677" i="1"/>
  <c r="AJ677" i="1"/>
  <c r="AI677" i="1"/>
  <c r="AH677" i="1"/>
  <c r="AH677" i="1" a="1"/>
  <c r="AG677" i="1"/>
  <c r="AF677" i="1"/>
  <c r="BI676" i="1"/>
  <c r="BH676" i="1"/>
  <c r="BG676" i="1"/>
  <c r="BF676" i="1"/>
  <c r="BE676" i="1"/>
  <c r="BD676" i="1"/>
  <c r="BC676" i="1"/>
  <c r="BB676" i="1"/>
  <c r="BA676" i="1"/>
  <c r="AZ676" i="1"/>
  <c r="AY676" i="1"/>
  <c r="AX676" i="1"/>
  <c r="AW676" i="1"/>
  <c r="AV676" i="1"/>
  <c r="AU676" i="1"/>
  <c r="AT676" i="1"/>
  <c r="AS676" i="1"/>
  <c r="AR676" i="1"/>
  <c r="AQ676" i="1"/>
  <c r="AP676" i="1"/>
  <c r="AM676" i="1"/>
  <c r="AL676" i="1"/>
  <c r="AK676" i="1"/>
  <c r="AJ676" i="1"/>
  <c r="AI676" i="1"/>
  <c r="AH676" i="1"/>
  <c r="AH676" i="1" a="1"/>
  <c r="AG676" i="1"/>
  <c r="AF676" i="1"/>
  <c r="BI675" i="1"/>
  <c r="BH675" i="1"/>
  <c r="BG675" i="1"/>
  <c r="BF675" i="1"/>
  <c r="BE675" i="1"/>
  <c r="BD675" i="1"/>
  <c r="BC675" i="1"/>
  <c r="BB675" i="1"/>
  <c r="BA675" i="1"/>
  <c r="AZ675" i="1"/>
  <c r="AY675" i="1"/>
  <c r="AX675" i="1"/>
  <c r="AW675" i="1"/>
  <c r="AV675" i="1"/>
  <c r="AU675" i="1"/>
  <c r="AT675" i="1"/>
  <c r="AS675" i="1"/>
  <c r="AR675" i="1"/>
  <c r="AQ675" i="1"/>
  <c r="AP675" i="1"/>
  <c r="AM675" i="1"/>
  <c r="AL675" i="1"/>
  <c r="AK675" i="1"/>
  <c r="AJ675" i="1"/>
  <c r="AI675" i="1"/>
  <c r="AH675" i="1"/>
  <c r="AH675" i="1" a="1"/>
  <c r="AG675" i="1"/>
  <c r="AF675" i="1"/>
  <c r="BI674" i="1"/>
  <c r="BH674" i="1"/>
  <c r="BG674" i="1"/>
  <c r="BF674" i="1"/>
  <c r="BE674" i="1"/>
  <c r="BD674" i="1"/>
  <c r="BC674" i="1"/>
  <c r="BB674" i="1"/>
  <c r="BA674" i="1"/>
  <c r="AZ674" i="1"/>
  <c r="AY674" i="1"/>
  <c r="AX674" i="1"/>
  <c r="AW674" i="1"/>
  <c r="AV674" i="1"/>
  <c r="AU674" i="1"/>
  <c r="AT674" i="1"/>
  <c r="AS674" i="1"/>
  <c r="AR674" i="1"/>
  <c r="AQ674" i="1"/>
  <c r="AP674" i="1"/>
  <c r="AM674" i="1"/>
  <c r="AL674" i="1"/>
  <c r="AK674" i="1"/>
  <c r="AJ674" i="1"/>
  <c r="AI674" i="1"/>
  <c r="AH674" i="1"/>
  <c r="AH674" i="1" a="1"/>
  <c r="AG674" i="1"/>
  <c r="AF674" i="1"/>
  <c r="BI673" i="1"/>
  <c r="BH673" i="1"/>
  <c r="BG673" i="1"/>
  <c r="BF673" i="1"/>
  <c r="BE673" i="1"/>
  <c r="BD673" i="1"/>
  <c r="BC673" i="1"/>
  <c r="BB673" i="1"/>
  <c r="BA673" i="1"/>
  <c r="AZ673" i="1"/>
  <c r="AY673" i="1"/>
  <c r="AX673" i="1"/>
  <c r="AW673" i="1"/>
  <c r="AV673" i="1"/>
  <c r="AU673" i="1"/>
  <c r="AT673" i="1"/>
  <c r="AS673" i="1"/>
  <c r="AR673" i="1"/>
  <c r="AQ673" i="1"/>
  <c r="AP673" i="1"/>
  <c r="AM673" i="1"/>
  <c r="AL673" i="1"/>
  <c r="AK673" i="1"/>
  <c r="AJ673" i="1"/>
  <c r="AI673" i="1"/>
  <c r="AH673" i="1"/>
  <c r="AH673" i="1" a="1"/>
  <c r="AG673" i="1"/>
  <c r="AF673" i="1"/>
  <c r="BI672" i="1"/>
  <c r="BH672" i="1"/>
  <c r="BG672" i="1"/>
  <c r="BF672" i="1"/>
  <c r="BE672" i="1"/>
  <c r="BD672" i="1"/>
  <c r="BC672" i="1"/>
  <c r="BB672" i="1"/>
  <c r="BA672" i="1"/>
  <c r="AZ672" i="1"/>
  <c r="AY672" i="1"/>
  <c r="AX672" i="1"/>
  <c r="AW672" i="1"/>
  <c r="AV672" i="1"/>
  <c r="AU672" i="1"/>
  <c r="AT672" i="1"/>
  <c r="AS672" i="1"/>
  <c r="AR672" i="1"/>
  <c r="AQ672" i="1"/>
  <c r="AP672" i="1"/>
  <c r="AM672" i="1"/>
  <c r="AL672" i="1"/>
  <c r="AK672" i="1"/>
  <c r="AJ672" i="1"/>
  <c r="AI672" i="1"/>
  <c r="AH672" i="1"/>
  <c r="AH672" i="1" a="1"/>
  <c r="AG672" i="1"/>
  <c r="AF672" i="1"/>
  <c r="BI671" i="1"/>
  <c r="BH671" i="1"/>
  <c r="BG671" i="1"/>
  <c r="BF671" i="1"/>
  <c r="BE671" i="1"/>
  <c r="BD671" i="1"/>
  <c r="BC671" i="1"/>
  <c r="BB671" i="1"/>
  <c r="BA671" i="1"/>
  <c r="AZ671" i="1"/>
  <c r="AY671" i="1"/>
  <c r="AX671" i="1"/>
  <c r="AW671" i="1"/>
  <c r="AV671" i="1"/>
  <c r="AU671" i="1"/>
  <c r="AT671" i="1"/>
  <c r="AS671" i="1"/>
  <c r="AR671" i="1"/>
  <c r="AQ671" i="1"/>
  <c r="AP671" i="1"/>
  <c r="AM671" i="1"/>
  <c r="AL671" i="1"/>
  <c r="AK671" i="1"/>
  <c r="AJ671" i="1"/>
  <c r="AI671" i="1"/>
  <c r="AH671" i="1"/>
  <c r="AH671" i="1" a="1"/>
  <c r="AG671" i="1"/>
  <c r="AF671" i="1"/>
  <c r="BI670" i="1"/>
  <c r="BH670" i="1"/>
  <c r="BG670" i="1"/>
  <c r="BF670" i="1"/>
  <c r="BE670" i="1"/>
  <c r="BD670" i="1"/>
  <c r="BC670" i="1"/>
  <c r="BB670" i="1"/>
  <c r="BA670" i="1"/>
  <c r="AZ670" i="1"/>
  <c r="AY670" i="1"/>
  <c r="AX670" i="1"/>
  <c r="AW670" i="1"/>
  <c r="AV670" i="1"/>
  <c r="AU670" i="1"/>
  <c r="AT670" i="1"/>
  <c r="AS670" i="1"/>
  <c r="AR670" i="1"/>
  <c r="AQ670" i="1"/>
  <c r="AP670" i="1"/>
  <c r="AM670" i="1"/>
  <c r="AL670" i="1"/>
  <c r="AK670" i="1"/>
  <c r="AJ670" i="1"/>
  <c r="AI670" i="1"/>
  <c r="AH670" i="1"/>
  <c r="AH670" i="1" a="1"/>
  <c r="AG670" i="1"/>
  <c r="AF670" i="1"/>
  <c r="BI669" i="1"/>
  <c r="BH669" i="1"/>
  <c r="BG669" i="1"/>
  <c r="BF669" i="1"/>
  <c r="BE669" i="1"/>
  <c r="BD669" i="1"/>
  <c r="BC669" i="1"/>
  <c r="BB669" i="1"/>
  <c r="BA669" i="1"/>
  <c r="AZ669" i="1"/>
  <c r="AY669" i="1"/>
  <c r="AX669" i="1"/>
  <c r="AW669" i="1"/>
  <c r="AV669" i="1"/>
  <c r="AU669" i="1"/>
  <c r="AT669" i="1"/>
  <c r="AS669" i="1"/>
  <c r="AR669" i="1"/>
  <c r="AQ669" i="1"/>
  <c r="AP669" i="1"/>
  <c r="AM669" i="1"/>
  <c r="AL669" i="1"/>
  <c r="AK669" i="1"/>
  <c r="AJ669" i="1"/>
  <c r="AI669" i="1"/>
  <c r="AH669" i="1"/>
  <c r="AH669" i="1" a="1"/>
  <c r="AG669" i="1"/>
  <c r="AF669" i="1"/>
  <c r="BI668" i="1"/>
  <c r="BH668" i="1"/>
  <c r="BG668" i="1"/>
  <c r="BF668" i="1"/>
  <c r="BE668" i="1"/>
  <c r="BD668" i="1"/>
  <c r="BC668" i="1"/>
  <c r="BB668" i="1"/>
  <c r="BA668" i="1"/>
  <c r="AZ668" i="1"/>
  <c r="AY668" i="1"/>
  <c r="AX668" i="1"/>
  <c r="AW668" i="1"/>
  <c r="AV668" i="1"/>
  <c r="AU668" i="1"/>
  <c r="AT668" i="1"/>
  <c r="AS668" i="1"/>
  <c r="AR668" i="1"/>
  <c r="AQ668" i="1"/>
  <c r="AP668" i="1"/>
  <c r="AM668" i="1"/>
  <c r="AL668" i="1"/>
  <c r="AK668" i="1"/>
  <c r="AJ668" i="1"/>
  <c r="AI668" i="1"/>
  <c r="AH668" i="1"/>
  <c r="AH668" i="1" a="1"/>
  <c r="AG668" i="1"/>
  <c r="AF668" i="1"/>
  <c r="BI667" i="1"/>
  <c r="BH667" i="1"/>
  <c r="BG667" i="1"/>
  <c r="BF667" i="1"/>
  <c r="BE667" i="1"/>
  <c r="BD667" i="1"/>
  <c r="BC667" i="1"/>
  <c r="BB667" i="1"/>
  <c r="BA667" i="1"/>
  <c r="AZ667" i="1"/>
  <c r="AY667" i="1"/>
  <c r="AX667" i="1"/>
  <c r="AW667" i="1"/>
  <c r="AV667" i="1"/>
  <c r="AU667" i="1"/>
  <c r="AT667" i="1"/>
  <c r="AS667" i="1"/>
  <c r="AR667" i="1"/>
  <c r="AQ667" i="1"/>
  <c r="AP667" i="1"/>
  <c r="AM667" i="1"/>
  <c r="AL667" i="1"/>
  <c r="AK667" i="1"/>
  <c r="AJ667" i="1"/>
  <c r="AI667" i="1"/>
  <c r="AH667" i="1"/>
  <c r="AH667" i="1" a="1"/>
  <c r="AG667" i="1"/>
  <c r="AF667" i="1"/>
  <c r="BI666" i="1"/>
  <c r="BH666" i="1"/>
  <c r="BG666" i="1"/>
  <c r="BF666" i="1"/>
  <c r="BE666" i="1"/>
  <c r="BD666" i="1"/>
  <c r="BC666" i="1"/>
  <c r="BB666" i="1"/>
  <c r="BA666" i="1"/>
  <c r="AZ666" i="1"/>
  <c r="AY666" i="1"/>
  <c r="AX666" i="1"/>
  <c r="AW666" i="1"/>
  <c r="AV666" i="1"/>
  <c r="AU666" i="1"/>
  <c r="AT666" i="1"/>
  <c r="AS666" i="1"/>
  <c r="AR666" i="1"/>
  <c r="AQ666" i="1"/>
  <c r="AP666" i="1"/>
  <c r="AM666" i="1"/>
  <c r="AL666" i="1"/>
  <c r="AK666" i="1"/>
  <c r="AJ666" i="1"/>
  <c r="AI666" i="1"/>
  <c r="AH666" i="1"/>
  <c r="AH666" i="1" a="1"/>
  <c r="AG666" i="1"/>
  <c r="AF666" i="1"/>
  <c r="BI665" i="1"/>
  <c r="BH665" i="1"/>
  <c r="BG665" i="1"/>
  <c r="BF665" i="1"/>
  <c r="BE665" i="1"/>
  <c r="BD665" i="1"/>
  <c r="BC665" i="1"/>
  <c r="BB665" i="1"/>
  <c r="BA665" i="1"/>
  <c r="AZ665" i="1"/>
  <c r="AY665" i="1"/>
  <c r="AX665" i="1"/>
  <c r="AW665" i="1"/>
  <c r="AV665" i="1"/>
  <c r="AU665" i="1"/>
  <c r="AT665" i="1"/>
  <c r="AS665" i="1"/>
  <c r="AR665" i="1"/>
  <c r="AQ665" i="1"/>
  <c r="AP665" i="1"/>
  <c r="AM665" i="1"/>
  <c r="AL665" i="1"/>
  <c r="AK665" i="1"/>
  <c r="AJ665" i="1"/>
  <c r="AI665" i="1"/>
  <c r="AH665" i="1"/>
  <c r="AH665" i="1" a="1"/>
  <c r="AG665" i="1"/>
  <c r="AF665" i="1"/>
  <c r="BI664" i="1"/>
  <c r="BH664" i="1"/>
  <c r="BG664" i="1"/>
  <c r="BF664" i="1"/>
  <c r="BE664" i="1"/>
  <c r="BD664" i="1"/>
  <c r="BC664" i="1"/>
  <c r="BB664" i="1"/>
  <c r="BA664" i="1"/>
  <c r="AZ664" i="1"/>
  <c r="AY664" i="1"/>
  <c r="AX664" i="1"/>
  <c r="AW664" i="1"/>
  <c r="AV664" i="1"/>
  <c r="AU664" i="1"/>
  <c r="AT664" i="1"/>
  <c r="AS664" i="1"/>
  <c r="AR664" i="1"/>
  <c r="AQ664" i="1"/>
  <c r="AP664" i="1"/>
  <c r="AM664" i="1"/>
  <c r="AL664" i="1"/>
  <c r="AK664" i="1"/>
  <c r="AJ664" i="1"/>
  <c r="AI664" i="1"/>
  <c r="AH664" i="1"/>
  <c r="AH664" i="1" a="1"/>
  <c r="AG664" i="1"/>
  <c r="AF664" i="1"/>
  <c r="BI663" i="1"/>
  <c r="BH663" i="1"/>
  <c r="BG663" i="1"/>
  <c r="BF663" i="1"/>
  <c r="BE663" i="1"/>
  <c r="BD663" i="1"/>
  <c r="BC663" i="1"/>
  <c r="BB663" i="1"/>
  <c r="BA663" i="1"/>
  <c r="AZ663" i="1"/>
  <c r="AY663" i="1"/>
  <c r="AX663" i="1"/>
  <c r="AW663" i="1"/>
  <c r="AV663" i="1"/>
  <c r="AU663" i="1"/>
  <c r="AT663" i="1"/>
  <c r="AS663" i="1"/>
  <c r="AR663" i="1"/>
  <c r="AQ663" i="1"/>
  <c r="AP663" i="1"/>
  <c r="AM663" i="1"/>
  <c r="AL663" i="1"/>
  <c r="AK663" i="1"/>
  <c r="AJ663" i="1"/>
  <c r="AI663" i="1"/>
  <c r="AH663" i="1"/>
  <c r="AH663" i="1" a="1"/>
  <c r="AG663" i="1"/>
  <c r="AF663" i="1"/>
  <c r="BI662" i="1"/>
  <c r="BH662" i="1"/>
  <c r="BG662" i="1"/>
  <c r="BF662" i="1"/>
  <c r="BE662" i="1"/>
  <c r="BD662" i="1"/>
  <c r="BC662" i="1"/>
  <c r="BB662" i="1"/>
  <c r="BA662" i="1"/>
  <c r="AZ662" i="1"/>
  <c r="AY662" i="1"/>
  <c r="AX662" i="1"/>
  <c r="AW662" i="1"/>
  <c r="AV662" i="1"/>
  <c r="AU662" i="1"/>
  <c r="AT662" i="1"/>
  <c r="AS662" i="1"/>
  <c r="AR662" i="1"/>
  <c r="AQ662" i="1"/>
  <c r="AP662" i="1"/>
  <c r="AM662" i="1"/>
  <c r="AL662" i="1"/>
  <c r="AK662" i="1"/>
  <c r="AJ662" i="1"/>
  <c r="AI662" i="1"/>
  <c r="AH662" i="1"/>
  <c r="AH662" i="1" a="1"/>
  <c r="AG662" i="1"/>
  <c r="AF662" i="1"/>
  <c r="BI661" i="1"/>
  <c r="BH661" i="1"/>
  <c r="BG661" i="1"/>
  <c r="BF661" i="1"/>
  <c r="BE661" i="1"/>
  <c r="BD661" i="1"/>
  <c r="BC661" i="1"/>
  <c r="BB661" i="1"/>
  <c r="BA661" i="1"/>
  <c r="AZ661" i="1"/>
  <c r="AY661" i="1"/>
  <c r="AX661" i="1"/>
  <c r="AW661" i="1"/>
  <c r="AV661" i="1"/>
  <c r="AU661" i="1"/>
  <c r="AT661" i="1"/>
  <c r="AS661" i="1"/>
  <c r="AR661" i="1"/>
  <c r="AQ661" i="1"/>
  <c r="AP661" i="1"/>
  <c r="AM661" i="1"/>
  <c r="AL661" i="1"/>
  <c r="AK661" i="1"/>
  <c r="AJ661" i="1"/>
  <c r="AI661" i="1"/>
  <c r="AH661" i="1"/>
  <c r="AH661" i="1" a="1"/>
  <c r="AG661" i="1"/>
  <c r="AF661" i="1"/>
  <c r="BI660" i="1"/>
  <c r="BH660" i="1"/>
  <c r="BG660" i="1"/>
  <c r="BF660" i="1"/>
  <c r="BE660" i="1"/>
  <c r="BD660" i="1"/>
  <c r="BC660" i="1"/>
  <c r="BB660" i="1"/>
  <c r="BA660" i="1"/>
  <c r="AZ660" i="1"/>
  <c r="AY660" i="1"/>
  <c r="AX660" i="1"/>
  <c r="AW660" i="1"/>
  <c r="AV660" i="1"/>
  <c r="AU660" i="1"/>
  <c r="AT660" i="1"/>
  <c r="AS660" i="1"/>
  <c r="AR660" i="1"/>
  <c r="AQ660" i="1"/>
  <c r="AP660" i="1"/>
  <c r="AM660" i="1"/>
  <c r="AL660" i="1"/>
  <c r="AK660" i="1"/>
  <c r="AJ660" i="1"/>
  <c r="AI660" i="1"/>
  <c r="AH660" i="1"/>
  <c r="AH660" i="1" a="1"/>
  <c r="AG660" i="1"/>
  <c r="AF660" i="1"/>
  <c r="BI659" i="1"/>
  <c r="BH659" i="1"/>
  <c r="BG659" i="1"/>
  <c r="BF659" i="1"/>
  <c r="BE659" i="1"/>
  <c r="BD659" i="1"/>
  <c r="BC659" i="1"/>
  <c r="BB659" i="1"/>
  <c r="BA659" i="1"/>
  <c r="AZ659" i="1"/>
  <c r="AY659" i="1"/>
  <c r="AX659" i="1"/>
  <c r="AW659" i="1"/>
  <c r="AV659" i="1"/>
  <c r="AU659" i="1"/>
  <c r="AT659" i="1"/>
  <c r="AS659" i="1"/>
  <c r="AR659" i="1"/>
  <c r="AQ659" i="1"/>
  <c r="AP659" i="1"/>
  <c r="AM659" i="1"/>
  <c r="AL659" i="1"/>
  <c r="AK659" i="1"/>
  <c r="AJ659" i="1"/>
  <c r="AI659" i="1"/>
  <c r="AH659" i="1"/>
  <c r="AH659" i="1" a="1"/>
  <c r="AG659" i="1"/>
  <c r="AF659" i="1"/>
  <c r="BI658" i="1"/>
  <c r="BH658" i="1"/>
  <c r="BG658" i="1"/>
  <c r="BF658" i="1"/>
  <c r="BE658" i="1"/>
  <c r="BD658" i="1"/>
  <c r="BC658" i="1"/>
  <c r="BB658" i="1"/>
  <c r="BA658" i="1"/>
  <c r="AZ658" i="1"/>
  <c r="AY658" i="1"/>
  <c r="AX658" i="1"/>
  <c r="AW658" i="1"/>
  <c r="AV658" i="1"/>
  <c r="AU658" i="1"/>
  <c r="AT658" i="1"/>
  <c r="AS658" i="1"/>
  <c r="AR658" i="1"/>
  <c r="AQ658" i="1"/>
  <c r="AP658" i="1"/>
  <c r="AM658" i="1"/>
  <c r="AL658" i="1"/>
  <c r="AK658" i="1"/>
  <c r="AJ658" i="1"/>
  <c r="AI658" i="1"/>
  <c r="AH658" i="1"/>
  <c r="AH658" i="1" a="1"/>
  <c r="AG658" i="1"/>
  <c r="AF658" i="1"/>
  <c r="BI657" i="1"/>
  <c r="BH657" i="1"/>
  <c r="BG657" i="1"/>
  <c r="BF657" i="1"/>
  <c r="BE657" i="1"/>
  <c r="BD657" i="1"/>
  <c r="BC657" i="1"/>
  <c r="BB657" i="1"/>
  <c r="BA657" i="1"/>
  <c r="AZ657" i="1"/>
  <c r="AY657" i="1"/>
  <c r="AX657" i="1"/>
  <c r="AW657" i="1"/>
  <c r="AV657" i="1"/>
  <c r="AU657" i="1"/>
  <c r="AT657" i="1"/>
  <c r="AS657" i="1"/>
  <c r="AR657" i="1"/>
  <c r="AQ657" i="1"/>
  <c r="AP657" i="1"/>
  <c r="AM657" i="1"/>
  <c r="AL657" i="1"/>
  <c r="AK657" i="1"/>
  <c r="AJ657" i="1"/>
  <c r="AI657" i="1"/>
  <c r="AH657" i="1"/>
  <c r="AH657" i="1" a="1"/>
  <c r="AG657" i="1"/>
  <c r="AF657" i="1"/>
  <c r="BI656" i="1"/>
  <c r="BH656" i="1"/>
  <c r="BG656" i="1"/>
  <c r="BF656" i="1"/>
  <c r="BE656" i="1"/>
  <c r="BD656" i="1"/>
  <c r="BC656" i="1"/>
  <c r="BB656" i="1"/>
  <c r="BA656" i="1"/>
  <c r="AZ656" i="1"/>
  <c r="AY656" i="1"/>
  <c r="AX656" i="1"/>
  <c r="AW656" i="1"/>
  <c r="AV656" i="1"/>
  <c r="AU656" i="1"/>
  <c r="AT656" i="1"/>
  <c r="AS656" i="1"/>
  <c r="AR656" i="1"/>
  <c r="AQ656" i="1"/>
  <c r="AP656" i="1"/>
  <c r="AM656" i="1"/>
  <c r="AL656" i="1"/>
  <c r="AK656" i="1"/>
  <c r="AJ656" i="1"/>
  <c r="AI656" i="1"/>
  <c r="AH656" i="1"/>
  <c r="AH656" i="1" a="1"/>
  <c r="AG656" i="1"/>
  <c r="AF656" i="1"/>
  <c r="BI655" i="1"/>
  <c r="BH655" i="1"/>
  <c r="BG655" i="1"/>
  <c r="BF655" i="1"/>
  <c r="BE655" i="1"/>
  <c r="BD655" i="1"/>
  <c r="BC655" i="1"/>
  <c r="BB655" i="1"/>
  <c r="BA655" i="1"/>
  <c r="AZ655" i="1"/>
  <c r="AY655" i="1"/>
  <c r="AX655" i="1"/>
  <c r="AW655" i="1"/>
  <c r="AV655" i="1"/>
  <c r="AU655" i="1"/>
  <c r="AT655" i="1"/>
  <c r="AS655" i="1"/>
  <c r="AR655" i="1"/>
  <c r="AQ655" i="1"/>
  <c r="AP655" i="1"/>
  <c r="AM655" i="1"/>
  <c r="AL655" i="1"/>
  <c r="AK655" i="1"/>
  <c r="AJ655" i="1"/>
  <c r="AI655" i="1"/>
  <c r="AH655" i="1"/>
  <c r="AH655" i="1" a="1"/>
  <c r="AG655" i="1"/>
  <c r="AF655" i="1"/>
  <c r="BI654" i="1"/>
  <c r="BH654" i="1"/>
  <c r="BG654" i="1"/>
  <c r="BF654" i="1"/>
  <c r="BE654" i="1"/>
  <c r="BD654" i="1"/>
  <c r="BC654" i="1"/>
  <c r="BB654" i="1"/>
  <c r="BA654" i="1"/>
  <c r="AZ654" i="1"/>
  <c r="AY654" i="1"/>
  <c r="AX654" i="1"/>
  <c r="AW654" i="1"/>
  <c r="AV654" i="1"/>
  <c r="AU654" i="1"/>
  <c r="AT654" i="1"/>
  <c r="AS654" i="1"/>
  <c r="AR654" i="1"/>
  <c r="AQ654" i="1"/>
  <c r="AP654" i="1"/>
  <c r="AM654" i="1"/>
  <c r="AL654" i="1"/>
  <c r="AK654" i="1"/>
  <c r="AJ654" i="1"/>
  <c r="AI654" i="1"/>
  <c r="AH654" i="1"/>
  <c r="AH654" i="1" a="1"/>
  <c r="AG654" i="1"/>
  <c r="AF654" i="1"/>
  <c r="BI653" i="1"/>
  <c r="BH653" i="1"/>
  <c r="BG653" i="1"/>
  <c r="BF653" i="1"/>
  <c r="BE653" i="1"/>
  <c r="BD653" i="1"/>
  <c r="BC653" i="1"/>
  <c r="BB653" i="1"/>
  <c r="BA653" i="1"/>
  <c r="AZ653" i="1"/>
  <c r="AY653" i="1"/>
  <c r="AX653" i="1"/>
  <c r="AW653" i="1"/>
  <c r="AV653" i="1"/>
  <c r="AU653" i="1"/>
  <c r="AT653" i="1"/>
  <c r="AS653" i="1"/>
  <c r="AR653" i="1"/>
  <c r="AQ653" i="1"/>
  <c r="AP653" i="1"/>
  <c r="AM653" i="1"/>
  <c r="AL653" i="1"/>
  <c r="AK653" i="1"/>
  <c r="AJ653" i="1"/>
  <c r="AI653" i="1"/>
  <c r="AH653" i="1"/>
  <c r="AH653" i="1" a="1"/>
  <c r="AG653" i="1"/>
  <c r="AF653" i="1"/>
  <c r="BI652" i="1"/>
  <c r="BH652" i="1"/>
  <c r="BG652" i="1"/>
  <c r="BF652" i="1"/>
  <c r="BE652" i="1"/>
  <c r="BD652" i="1"/>
  <c r="BC652" i="1"/>
  <c r="BB652" i="1"/>
  <c r="BA652" i="1"/>
  <c r="AZ652" i="1"/>
  <c r="AY652" i="1"/>
  <c r="AX652" i="1"/>
  <c r="AW652" i="1"/>
  <c r="AV652" i="1"/>
  <c r="AU652" i="1"/>
  <c r="AT652" i="1"/>
  <c r="AS652" i="1"/>
  <c r="AR652" i="1"/>
  <c r="AQ652" i="1"/>
  <c r="AP652" i="1"/>
  <c r="AM652" i="1"/>
  <c r="AL652" i="1"/>
  <c r="AK652" i="1"/>
  <c r="AJ652" i="1"/>
  <c r="AI652" i="1"/>
  <c r="AH652" i="1"/>
  <c r="AH652" i="1" a="1"/>
  <c r="AG652" i="1"/>
  <c r="AF652" i="1"/>
  <c r="BI651" i="1"/>
  <c r="BH651" i="1"/>
  <c r="BG651" i="1"/>
  <c r="BF651" i="1"/>
  <c r="BE651" i="1"/>
  <c r="BD651" i="1"/>
  <c r="BC651" i="1"/>
  <c r="BB651" i="1"/>
  <c r="BA651" i="1"/>
  <c r="AZ651" i="1"/>
  <c r="AY651" i="1"/>
  <c r="AX651" i="1"/>
  <c r="AW651" i="1"/>
  <c r="AV651" i="1"/>
  <c r="AU651" i="1"/>
  <c r="AT651" i="1"/>
  <c r="AS651" i="1"/>
  <c r="AR651" i="1"/>
  <c r="AQ651" i="1"/>
  <c r="AP651" i="1"/>
  <c r="AM651" i="1"/>
  <c r="AL651" i="1"/>
  <c r="AK651" i="1"/>
  <c r="AJ651" i="1"/>
  <c r="AI651" i="1"/>
  <c r="AH651" i="1"/>
  <c r="AH651" i="1" a="1"/>
  <c r="AG651" i="1"/>
  <c r="AF651" i="1"/>
  <c r="BI650" i="1"/>
  <c r="BH650" i="1"/>
  <c r="BG650" i="1"/>
  <c r="BF650" i="1"/>
  <c r="BE650" i="1"/>
  <c r="BD650" i="1"/>
  <c r="BC650" i="1"/>
  <c r="BB650" i="1"/>
  <c r="BA650" i="1"/>
  <c r="AZ650" i="1"/>
  <c r="AY650" i="1"/>
  <c r="AX650" i="1"/>
  <c r="AW650" i="1"/>
  <c r="AV650" i="1"/>
  <c r="AU650" i="1"/>
  <c r="AT650" i="1"/>
  <c r="AS650" i="1"/>
  <c r="AR650" i="1"/>
  <c r="AQ650" i="1"/>
  <c r="AP650" i="1"/>
  <c r="AM650" i="1"/>
  <c r="AL650" i="1"/>
  <c r="AK650" i="1"/>
  <c r="AJ650" i="1"/>
  <c r="AI650" i="1"/>
  <c r="AH650" i="1"/>
  <c r="AH650" i="1" a="1"/>
  <c r="AG650" i="1"/>
  <c r="AF650" i="1"/>
  <c r="BI649" i="1"/>
  <c r="BH649" i="1"/>
  <c r="BG649" i="1"/>
  <c r="BF649" i="1"/>
  <c r="BE649" i="1"/>
  <c r="BD649" i="1"/>
  <c r="BC649" i="1"/>
  <c r="BB649" i="1"/>
  <c r="BA649" i="1"/>
  <c r="AZ649" i="1"/>
  <c r="AY649" i="1"/>
  <c r="AX649" i="1"/>
  <c r="AW649" i="1"/>
  <c r="AV649" i="1"/>
  <c r="AU649" i="1"/>
  <c r="AT649" i="1"/>
  <c r="AS649" i="1"/>
  <c r="AR649" i="1"/>
  <c r="AQ649" i="1"/>
  <c r="AP649" i="1"/>
  <c r="AM649" i="1"/>
  <c r="AL649" i="1"/>
  <c r="AK649" i="1"/>
  <c r="AJ649" i="1"/>
  <c r="AI649" i="1"/>
  <c r="AH649" i="1"/>
  <c r="AH649" i="1" a="1"/>
  <c r="AG649" i="1"/>
  <c r="AF649" i="1"/>
  <c r="BI648" i="1"/>
  <c r="BH648" i="1"/>
  <c r="BG648" i="1"/>
  <c r="BF648" i="1"/>
  <c r="BE648" i="1"/>
  <c r="BD648" i="1"/>
  <c r="BC648" i="1"/>
  <c r="BB648" i="1"/>
  <c r="BA648" i="1"/>
  <c r="AZ648" i="1"/>
  <c r="AY648" i="1"/>
  <c r="AX648" i="1"/>
  <c r="AW648" i="1"/>
  <c r="AV648" i="1"/>
  <c r="AU648" i="1"/>
  <c r="AT648" i="1"/>
  <c r="AS648" i="1"/>
  <c r="AR648" i="1"/>
  <c r="AQ648" i="1"/>
  <c r="AP648" i="1"/>
  <c r="AM648" i="1"/>
  <c r="AL648" i="1"/>
  <c r="AK648" i="1"/>
  <c r="AJ648" i="1"/>
  <c r="AI648" i="1"/>
  <c r="AH648" i="1"/>
  <c r="AH648" i="1" a="1"/>
  <c r="AG648" i="1"/>
  <c r="AF648" i="1"/>
  <c r="BI647" i="1"/>
  <c r="BH647" i="1"/>
  <c r="BG647" i="1"/>
  <c r="BF647" i="1"/>
  <c r="BE647" i="1"/>
  <c r="BD647" i="1"/>
  <c r="BC647" i="1"/>
  <c r="BB647" i="1"/>
  <c r="BA647" i="1"/>
  <c r="AZ647" i="1"/>
  <c r="AY647" i="1"/>
  <c r="AX647" i="1"/>
  <c r="AW647" i="1"/>
  <c r="AV647" i="1"/>
  <c r="AU647" i="1"/>
  <c r="AT647" i="1"/>
  <c r="AS647" i="1"/>
  <c r="AR647" i="1"/>
  <c r="AQ647" i="1"/>
  <c r="AP647" i="1"/>
  <c r="AM647" i="1"/>
  <c r="AL647" i="1"/>
  <c r="AK647" i="1"/>
  <c r="AJ647" i="1"/>
  <c r="AI647" i="1"/>
  <c r="AH647" i="1"/>
  <c r="AH647" i="1" a="1"/>
  <c r="AG647" i="1"/>
  <c r="AF647" i="1"/>
  <c r="BI646" i="1"/>
  <c r="BH646" i="1"/>
  <c r="BG646" i="1"/>
  <c r="BF646" i="1"/>
  <c r="BE646" i="1"/>
  <c r="BD646" i="1"/>
  <c r="BC646" i="1"/>
  <c r="BB646" i="1"/>
  <c r="BA646" i="1"/>
  <c r="AZ646" i="1"/>
  <c r="AY646" i="1"/>
  <c r="AX646" i="1"/>
  <c r="AW646" i="1"/>
  <c r="AV646" i="1"/>
  <c r="AU646" i="1"/>
  <c r="AT646" i="1"/>
  <c r="AS646" i="1"/>
  <c r="AR646" i="1"/>
  <c r="AQ646" i="1"/>
  <c r="AP646" i="1"/>
  <c r="AM646" i="1"/>
  <c r="AL646" i="1"/>
  <c r="AK646" i="1"/>
  <c r="AJ646" i="1"/>
  <c r="AI646" i="1"/>
  <c r="AH646" i="1"/>
  <c r="AH646" i="1" a="1"/>
  <c r="AG646" i="1"/>
  <c r="AF646" i="1"/>
  <c r="BI645" i="1"/>
  <c r="BH645" i="1"/>
  <c r="BG645" i="1"/>
  <c r="BF645" i="1"/>
  <c r="BE645" i="1"/>
  <c r="BD645" i="1"/>
  <c r="BC645" i="1"/>
  <c r="BB645" i="1"/>
  <c r="BA645" i="1"/>
  <c r="AZ645" i="1"/>
  <c r="AY645" i="1"/>
  <c r="AX645" i="1"/>
  <c r="AW645" i="1"/>
  <c r="AV645" i="1"/>
  <c r="AU645" i="1"/>
  <c r="AT645" i="1"/>
  <c r="AS645" i="1"/>
  <c r="AR645" i="1"/>
  <c r="AQ645" i="1"/>
  <c r="AP645" i="1"/>
  <c r="AM645" i="1"/>
  <c r="AL645" i="1"/>
  <c r="AK645" i="1"/>
  <c r="AJ645" i="1"/>
  <c r="AI645" i="1"/>
  <c r="AH645" i="1"/>
  <c r="AH645" i="1" a="1"/>
  <c r="AG645" i="1"/>
  <c r="AF645" i="1"/>
  <c r="BI644" i="1"/>
  <c r="BH644" i="1"/>
  <c r="BG644" i="1"/>
  <c r="BF644" i="1"/>
  <c r="BE644" i="1"/>
  <c r="BD644" i="1"/>
  <c r="BC644" i="1"/>
  <c r="BB644" i="1"/>
  <c r="BA644" i="1"/>
  <c r="AZ644" i="1"/>
  <c r="AY644" i="1"/>
  <c r="AX644" i="1"/>
  <c r="AW644" i="1"/>
  <c r="AV644" i="1"/>
  <c r="AU644" i="1"/>
  <c r="AT644" i="1"/>
  <c r="AS644" i="1"/>
  <c r="AR644" i="1"/>
  <c r="AQ644" i="1"/>
  <c r="AP644" i="1"/>
  <c r="AM644" i="1"/>
  <c r="AL644" i="1"/>
  <c r="AK644" i="1"/>
  <c r="AJ644" i="1"/>
  <c r="AI644" i="1"/>
  <c r="AH644" i="1"/>
  <c r="AH644" i="1" a="1"/>
  <c r="AG644" i="1"/>
  <c r="AF644" i="1"/>
  <c r="BI643" i="1"/>
  <c r="BH643" i="1"/>
  <c r="BG643" i="1"/>
  <c r="BF643" i="1"/>
  <c r="BE643" i="1"/>
  <c r="BD643" i="1"/>
  <c r="BC643" i="1"/>
  <c r="BB643" i="1"/>
  <c r="BA643" i="1"/>
  <c r="AZ643" i="1"/>
  <c r="AY643" i="1"/>
  <c r="AX643" i="1"/>
  <c r="AW643" i="1"/>
  <c r="AV643" i="1"/>
  <c r="AU643" i="1"/>
  <c r="AT643" i="1"/>
  <c r="AS643" i="1"/>
  <c r="AR643" i="1"/>
  <c r="AQ643" i="1"/>
  <c r="AP643" i="1"/>
  <c r="AM643" i="1"/>
  <c r="AL643" i="1"/>
  <c r="AK643" i="1"/>
  <c r="AJ643" i="1"/>
  <c r="AI643" i="1"/>
  <c r="AH643" i="1"/>
  <c r="AH643" i="1" a="1"/>
  <c r="AG643" i="1"/>
  <c r="AF643" i="1"/>
  <c r="BI642" i="1"/>
  <c r="BH642" i="1"/>
  <c r="BG642" i="1"/>
  <c r="BF642" i="1"/>
  <c r="BE642" i="1"/>
  <c r="BD642" i="1"/>
  <c r="BC642" i="1"/>
  <c r="BB642" i="1"/>
  <c r="BA642" i="1"/>
  <c r="AZ642" i="1"/>
  <c r="AY642" i="1"/>
  <c r="AX642" i="1"/>
  <c r="AW642" i="1"/>
  <c r="AV642" i="1"/>
  <c r="AU642" i="1"/>
  <c r="AT642" i="1"/>
  <c r="AS642" i="1"/>
  <c r="AR642" i="1"/>
  <c r="AQ642" i="1"/>
  <c r="AP642" i="1"/>
  <c r="AM642" i="1"/>
  <c r="AL642" i="1"/>
  <c r="AK642" i="1"/>
  <c r="AJ642" i="1"/>
  <c r="AI642" i="1"/>
  <c r="AH642" i="1"/>
  <c r="AH642" i="1" a="1"/>
  <c r="AG642" i="1"/>
  <c r="AF642" i="1"/>
  <c r="BI641" i="1"/>
  <c r="BH641" i="1"/>
  <c r="BG641" i="1"/>
  <c r="BF641" i="1"/>
  <c r="BE641" i="1"/>
  <c r="BD641" i="1"/>
  <c r="BC641" i="1"/>
  <c r="BB641" i="1"/>
  <c r="BA641" i="1"/>
  <c r="AZ641" i="1"/>
  <c r="AY641" i="1"/>
  <c r="AX641" i="1"/>
  <c r="AW641" i="1"/>
  <c r="AV641" i="1"/>
  <c r="AU641" i="1"/>
  <c r="AT641" i="1"/>
  <c r="AS641" i="1"/>
  <c r="AR641" i="1"/>
  <c r="AQ641" i="1"/>
  <c r="AP641" i="1"/>
  <c r="AM641" i="1"/>
  <c r="AL641" i="1"/>
  <c r="AK641" i="1"/>
  <c r="AJ641" i="1"/>
  <c r="AI641" i="1"/>
  <c r="AH641" i="1"/>
  <c r="AH641" i="1" a="1"/>
  <c r="AG641" i="1"/>
  <c r="AF641" i="1"/>
  <c r="BI640" i="1"/>
  <c r="BH640" i="1"/>
  <c r="BG640" i="1"/>
  <c r="BF640" i="1"/>
  <c r="BE640" i="1"/>
  <c r="BD640" i="1"/>
  <c r="BC640" i="1"/>
  <c r="BB640" i="1"/>
  <c r="BA640" i="1"/>
  <c r="AZ640" i="1"/>
  <c r="AY640" i="1"/>
  <c r="AX640" i="1"/>
  <c r="AW640" i="1"/>
  <c r="AV640" i="1"/>
  <c r="AU640" i="1"/>
  <c r="AT640" i="1"/>
  <c r="AS640" i="1"/>
  <c r="AR640" i="1"/>
  <c r="AQ640" i="1"/>
  <c r="AP640" i="1"/>
  <c r="AM640" i="1"/>
  <c r="AL640" i="1"/>
  <c r="AK640" i="1"/>
  <c r="AJ640" i="1"/>
  <c r="AI640" i="1"/>
  <c r="AH640" i="1"/>
  <c r="AH640" i="1" a="1"/>
  <c r="AG640" i="1"/>
  <c r="AF640" i="1"/>
  <c r="BI639" i="1"/>
  <c r="BH639" i="1"/>
  <c r="BG639" i="1"/>
  <c r="BF639" i="1"/>
  <c r="BE639" i="1"/>
  <c r="BD639" i="1"/>
  <c r="BC639" i="1"/>
  <c r="BB639" i="1"/>
  <c r="BA639" i="1"/>
  <c r="AZ639" i="1"/>
  <c r="AY639" i="1"/>
  <c r="AX639" i="1"/>
  <c r="AW639" i="1"/>
  <c r="AV639" i="1"/>
  <c r="AU639" i="1"/>
  <c r="AT639" i="1"/>
  <c r="AS639" i="1"/>
  <c r="AR639" i="1"/>
  <c r="AQ639" i="1"/>
  <c r="AP639" i="1"/>
  <c r="AM639" i="1"/>
  <c r="AL639" i="1"/>
  <c r="AK639" i="1"/>
  <c r="AJ639" i="1"/>
  <c r="AI639" i="1"/>
  <c r="AH639" i="1"/>
  <c r="AH639" i="1" a="1"/>
  <c r="AG639" i="1"/>
  <c r="AF639" i="1"/>
  <c r="BI638" i="1"/>
  <c r="BH638" i="1"/>
  <c r="BG638" i="1"/>
  <c r="BF638" i="1"/>
  <c r="BE638" i="1"/>
  <c r="BD638" i="1"/>
  <c r="BC638" i="1"/>
  <c r="BB638" i="1"/>
  <c r="BA638" i="1"/>
  <c r="AZ638" i="1"/>
  <c r="AY638" i="1"/>
  <c r="AX638" i="1"/>
  <c r="AW638" i="1"/>
  <c r="AV638" i="1"/>
  <c r="AU638" i="1"/>
  <c r="AT638" i="1"/>
  <c r="AS638" i="1"/>
  <c r="AR638" i="1"/>
  <c r="AQ638" i="1"/>
  <c r="AP638" i="1"/>
  <c r="AM638" i="1"/>
  <c r="AL638" i="1"/>
  <c r="AK638" i="1"/>
  <c r="AJ638" i="1"/>
  <c r="AI638" i="1"/>
  <c r="AH638" i="1"/>
  <c r="AH638" i="1" a="1"/>
  <c r="AG638" i="1"/>
  <c r="AF638" i="1"/>
  <c r="BI637" i="1"/>
  <c r="BH637" i="1"/>
  <c r="BG637" i="1"/>
  <c r="BF637" i="1"/>
  <c r="BE637" i="1"/>
  <c r="BD637" i="1"/>
  <c r="BC637" i="1"/>
  <c r="BB637" i="1"/>
  <c r="BA637" i="1"/>
  <c r="AZ637" i="1"/>
  <c r="AY637" i="1"/>
  <c r="AX637" i="1"/>
  <c r="AW637" i="1"/>
  <c r="AV637" i="1"/>
  <c r="AU637" i="1"/>
  <c r="AT637" i="1"/>
  <c r="AS637" i="1"/>
  <c r="AR637" i="1"/>
  <c r="AQ637" i="1"/>
  <c r="AP637" i="1"/>
  <c r="AM637" i="1"/>
  <c r="AL637" i="1"/>
  <c r="AK637" i="1"/>
  <c r="AJ637" i="1"/>
  <c r="AI637" i="1"/>
  <c r="AH637" i="1"/>
  <c r="AH637" i="1" a="1"/>
  <c r="AG637" i="1"/>
  <c r="AF637" i="1"/>
  <c r="BI636" i="1"/>
  <c r="BH636" i="1"/>
  <c r="BG636" i="1"/>
  <c r="BF636" i="1"/>
  <c r="BE636" i="1"/>
  <c r="BD636" i="1"/>
  <c r="BC636" i="1"/>
  <c r="BB636" i="1"/>
  <c r="BA636" i="1"/>
  <c r="AZ636" i="1"/>
  <c r="AY636" i="1"/>
  <c r="AX636" i="1"/>
  <c r="AW636" i="1"/>
  <c r="AV636" i="1"/>
  <c r="AU636" i="1"/>
  <c r="AT636" i="1"/>
  <c r="AS636" i="1"/>
  <c r="AR636" i="1"/>
  <c r="AQ636" i="1"/>
  <c r="AP636" i="1"/>
  <c r="AM636" i="1"/>
  <c r="AL636" i="1"/>
  <c r="AK636" i="1"/>
  <c r="AJ636" i="1"/>
  <c r="AI636" i="1"/>
  <c r="AH636" i="1"/>
  <c r="AH636" i="1" a="1"/>
  <c r="AG636" i="1"/>
  <c r="AF636" i="1"/>
  <c r="BI635" i="1"/>
  <c r="BH635" i="1"/>
  <c r="BG635" i="1"/>
  <c r="BF635" i="1"/>
  <c r="BE635" i="1"/>
  <c r="BD635" i="1"/>
  <c r="BC635" i="1"/>
  <c r="BB635" i="1"/>
  <c r="BA635" i="1"/>
  <c r="AZ635" i="1"/>
  <c r="AY635" i="1"/>
  <c r="AX635" i="1"/>
  <c r="AW635" i="1"/>
  <c r="AV635" i="1"/>
  <c r="AU635" i="1"/>
  <c r="AT635" i="1"/>
  <c r="AS635" i="1"/>
  <c r="AR635" i="1"/>
  <c r="AQ635" i="1"/>
  <c r="AP635" i="1"/>
  <c r="AM635" i="1"/>
  <c r="AL635" i="1"/>
  <c r="AK635" i="1"/>
  <c r="AJ635" i="1"/>
  <c r="AI635" i="1"/>
  <c r="AH635" i="1"/>
  <c r="AH635" i="1" a="1"/>
  <c r="AG635" i="1"/>
  <c r="AF635" i="1"/>
  <c r="BI634" i="1"/>
  <c r="BH634" i="1"/>
  <c r="BG634" i="1"/>
  <c r="BF634" i="1"/>
  <c r="BE634" i="1"/>
  <c r="BD634" i="1"/>
  <c r="BC634" i="1"/>
  <c r="BB634" i="1"/>
  <c r="BA634" i="1"/>
  <c r="AZ634" i="1"/>
  <c r="AY634" i="1"/>
  <c r="AX634" i="1"/>
  <c r="AW634" i="1"/>
  <c r="AV634" i="1"/>
  <c r="AU634" i="1"/>
  <c r="AT634" i="1"/>
  <c r="AS634" i="1"/>
  <c r="AR634" i="1"/>
  <c r="AQ634" i="1"/>
  <c r="AP634" i="1"/>
  <c r="AM634" i="1"/>
  <c r="AL634" i="1"/>
  <c r="AK634" i="1"/>
  <c r="AJ634" i="1"/>
  <c r="AI634" i="1"/>
  <c r="AH634" i="1"/>
  <c r="AH634" i="1" a="1"/>
  <c r="AG634" i="1"/>
  <c r="AF634" i="1"/>
  <c r="BI633" i="1"/>
  <c r="BH633" i="1"/>
  <c r="BG633" i="1"/>
  <c r="BF633" i="1"/>
  <c r="BE633" i="1"/>
  <c r="BD633" i="1"/>
  <c r="BC633" i="1"/>
  <c r="BB633" i="1"/>
  <c r="BA633" i="1"/>
  <c r="AZ633" i="1"/>
  <c r="AY633" i="1"/>
  <c r="AX633" i="1"/>
  <c r="AW633" i="1"/>
  <c r="AV633" i="1"/>
  <c r="AU633" i="1"/>
  <c r="AT633" i="1"/>
  <c r="AS633" i="1"/>
  <c r="AR633" i="1"/>
  <c r="AQ633" i="1"/>
  <c r="AP633" i="1"/>
  <c r="AM633" i="1"/>
  <c r="AL633" i="1"/>
  <c r="AK633" i="1"/>
  <c r="AJ633" i="1"/>
  <c r="AI633" i="1"/>
  <c r="AH633" i="1"/>
  <c r="AH633" i="1" a="1"/>
  <c r="AG633" i="1"/>
  <c r="AF633" i="1"/>
  <c r="BI632" i="1"/>
  <c r="BH632" i="1"/>
  <c r="BG632" i="1"/>
  <c r="BF632" i="1"/>
  <c r="BE632" i="1"/>
  <c r="BD632" i="1"/>
  <c r="BC632" i="1"/>
  <c r="BB632" i="1"/>
  <c r="BA632" i="1"/>
  <c r="AZ632" i="1"/>
  <c r="AY632" i="1"/>
  <c r="AX632" i="1"/>
  <c r="AW632" i="1"/>
  <c r="AV632" i="1"/>
  <c r="AU632" i="1"/>
  <c r="AT632" i="1"/>
  <c r="AS632" i="1"/>
  <c r="AR632" i="1"/>
  <c r="AQ632" i="1"/>
  <c r="AP632" i="1"/>
  <c r="AM632" i="1"/>
  <c r="AL632" i="1"/>
  <c r="AK632" i="1"/>
  <c r="AJ632" i="1"/>
  <c r="AI632" i="1"/>
  <c r="AH632" i="1"/>
  <c r="AH632" i="1" a="1"/>
  <c r="AG632" i="1"/>
  <c r="AF632" i="1"/>
  <c r="BI631" i="1"/>
  <c r="BH631" i="1"/>
  <c r="BG631" i="1"/>
  <c r="BF631" i="1"/>
  <c r="BE631" i="1"/>
  <c r="BD631" i="1"/>
  <c r="BC631" i="1"/>
  <c r="BB631" i="1"/>
  <c r="BA631" i="1"/>
  <c r="AZ631" i="1"/>
  <c r="AY631" i="1"/>
  <c r="AX631" i="1"/>
  <c r="AW631" i="1"/>
  <c r="AV631" i="1"/>
  <c r="AU631" i="1"/>
  <c r="AT631" i="1"/>
  <c r="AS631" i="1"/>
  <c r="AR631" i="1"/>
  <c r="AQ631" i="1"/>
  <c r="AP631" i="1"/>
  <c r="AM631" i="1"/>
  <c r="AL631" i="1"/>
  <c r="AK631" i="1"/>
  <c r="AJ631" i="1"/>
  <c r="AI631" i="1"/>
  <c r="AH631" i="1"/>
  <c r="AH631" i="1" a="1"/>
  <c r="AG631" i="1"/>
  <c r="AF631" i="1"/>
  <c r="BI630" i="1"/>
  <c r="BH630" i="1"/>
  <c r="BG630" i="1"/>
  <c r="BF630" i="1"/>
  <c r="BE630" i="1"/>
  <c r="BD630" i="1"/>
  <c r="BC630" i="1"/>
  <c r="BB630" i="1"/>
  <c r="BA630" i="1"/>
  <c r="AZ630" i="1"/>
  <c r="AY630" i="1"/>
  <c r="AX630" i="1"/>
  <c r="AW630" i="1"/>
  <c r="AV630" i="1"/>
  <c r="AU630" i="1"/>
  <c r="AT630" i="1"/>
  <c r="AS630" i="1"/>
  <c r="AR630" i="1"/>
  <c r="AQ630" i="1"/>
  <c r="AP630" i="1"/>
  <c r="AM630" i="1"/>
  <c r="AL630" i="1"/>
  <c r="AK630" i="1"/>
  <c r="AJ630" i="1"/>
  <c r="AI630" i="1"/>
  <c r="AH630" i="1"/>
  <c r="AH630" i="1" a="1"/>
  <c r="AG630" i="1"/>
  <c r="AF630" i="1"/>
  <c r="BI629" i="1"/>
  <c r="BH629" i="1"/>
  <c r="BG629" i="1"/>
  <c r="BF629" i="1"/>
  <c r="BE629" i="1"/>
  <c r="BD629" i="1"/>
  <c r="BC629" i="1"/>
  <c r="BB629" i="1"/>
  <c r="BA629" i="1"/>
  <c r="AZ629" i="1"/>
  <c r="AY629" i="1"/>
  <c r="AX629" i="1"/>
  <c r="AW629" i="1"/>
  <c r="AV629" i="1"/>
  <c r="AU629" i="1"/>
  <c r="AT629" i="1"/>
  <c r="AS629" i="1"/>
  <c r="AR629" i="1"/>
  <c r="AQ629" i="1"/>
  <c r="AP629" i="1"/>
  <c r="AM629" i="1"/>
  <c r="AL629" i="1"/>
  <c r="AK629" i="1"/>
  <c r="AJ629" i="1"/>
  <c r="AI629" i="1"/>
  <c r="AH629" i="1"/>
  <c r="AH629" i="1" a="1"/>
  <c r="AG629" i="1"/>
  <c r="AF629" i="1"/>
  <c r="BI628" i="1"/>
  <c r="BH628" i="1"/>
  <c r="BG628" i="1"/>
  <c r="BF628" i="1"/>
  <c r="BE628" i="1"/>
  <c r="BD628" i="1"/>
  <c r="BC628" i="1"/>
  <c r="BB628" i="1"/>
  <c r="BA628" i="1"/>
  <c r="AZ628" i="1"/>
  <c r="AY628" i="1"/>
  <c r="AX628" i="1"/>
  <c r="AW628" i="1"/>
  <c r="AV628" i="1"/>
  <c r="AU628" i="1"/>
  <c r="AT628" i="1"/>
  <c r="AS628" i="1"/>
  <c r="AR628" i="1"/>
  <c r="AQ628" i="1"/>
  <c r="AP628" i="1"/>
  <c r="AM628" i="1"/>
  <c r="AL628" i="1"/>
  <c r="AK628" i="1"/>
  <c r="AJ628" i="1"/>
  <c r="AI628" i="1"/>
  <c r="AH628" i="1"/>
  <c r="AH628" i="1" a="1"/>
  <c r="AG628" i="1"/>
  <c r="AF628" i="1"/>
  <c r="BI627" i="1"/>
  <c r="BH627" i="1"/>
  <c r="BG627" i="1"/>
  <c r="BF627" i="1"/>
  <c r="BE627" i="1"/>
  <c r="BD627" i="1"/>
  <c r="BC627" i="1"/>
  <c r="BB627" i="1"/>
  <c r="BA627" i="1"/>
  <c r="AZ627" i="1"/>
  <c r="AY627" i="1"/>
  <c r="AX627" i="1"/>
  <c r="AW627" i="1"/>
  <c r="AV627" i="1"/>
  <c r="AU627" i="1"/>
  <c r="AT627" i="1"/>
  <c r="AS627" i="1"/>
  <c r="AR627" i="1"/>
  <c r="AQ627" i="1"/>
  <c r="AP627" i="1"/>
  <c r="AM627" i="1"/>
  <c r="AL627" i="1"/>
  <c r="AK627" i="1"/>
  <c r="AJ627" i="1"/>
  <c r="AI627" i="1"/>
  <c r="AH627" i="1"/>
  <c r="AH627" i="1" a="1"/>
  <c r="AG627" i="1"/>
  <c r="AF627" i="1"/>
  <c r="BI626" i="1"/>
  <c r="BH626" i="1"/>
  <c r="BG626" i="1"/>
  <c r="BF626" i="1"/>
  <c r="BE626" i="1"/>
  <c r="BD626" i="1"/>
  <c r="BC626" i="1"/>
  <c r="BB626" i="1"/>
  <c r="BA626" i="1"/>
  <c r="AZ626" i="1"/>
  <c r="AY626" i="1"/>
  <c r="AX626" i="1"/>
  <c r="AW626" i="1"/>
  <c r="AV626" i="1"/>
  <c r="AU626" i="1"/>
  <c r="AT626" i="1"/>
  <c r="AS626" i="1"/>
  <c r="AR626" i="1"/>
  <c r="AQ626" i="1"/>
  <c r="AP626" i="1"/>
  <c r="AM626" i="1"/>
  <c r="AL626" i="1"/>
  <c r="AK626" i="1"/>
  <c r="AJ626" i="1"/>
  <c r="AI626" i="1"/>
  <c r="AH626" i="1"/>
  <c r="AH626" i="1" a="1"/>
  <c r="AG626" i="1"/>
  <c r="AF626" i="1"/>
  <c r="BI625" i="1"/>
  <c r="BH625" i="1"/>
  <c r="BG625" i="1"/>
  <c r="BF625" i="1"/>
  <c r="BE625" i="1"/>
  <c r="BD625" i="1"/>
  <c r="BC625" i="1"/>
  <c r="BB625" i="1"/>
  <c r="BA625" i="1"/>
  <c r="AZ625" i="1"/>
  <c r="AY625" i="1"/>
  <c r="AX625" i="1"/>
  <c r="AW625" i="1"/>
  <c r="AV625" i="1"/>
  <c r="AU625" i="1"/>
  <c r="AT625" i="1"/>
  <c r="AS625" i="1"/>
  <c r="AR625" i="1"/>
  <c r="AQ625" i="1"/>
  <c r="AP625" i="1"/>
  <c r="AM625" i="1"/>
  <c r="AL625" i="1"/>
  <c r="AK625" i="1"/>
  <c r="AJ625" i="1"/>
  <c r="AI625" i="1"/>
  <c r="AH625" i="1"/>
  <c r="AH625" i="1" a="1"/>
  <c r="AG625" i="1"/>
  <c r="AF625" i="1"/>
  <c r="BI624" i="1"/>
  <c r="BH624" i="1"/>
  <c r="BG624" i="1"/>
  <c r="BF624" i="1"/>
  <c r="BE624" i="1"/>
  <c r="BD624" i="1"/>
  <c r="BC624" i="1"/>
  <c r="BB624" i="1"/>
  <c r="BA624" i="1"/>
  <c r="AZ624" i="1"/>
  <c r="AY624" i="1"/>
  <c r="AX624" i="1"/>
  <c r="AW624" i="1"/>
  <c r="AV624" i="1"/>
  <c r="AU624" i="1"/>
  <c r="AT624" i="1"/>
  <c r="AS624" i="1"/>
  <c r="AR624" i="1"/>
  <c r="AQ624" i="1"/>
  <c r="AP624" i="1"/>
  <c r="AM624" i="1"/>
  <c r="AL624" i="1"/>
  <c r="AK624" i="1"/>
  <c r="AJ624" i="1"/>
  <c r="AI624" i="1"/>
  <c r="AH624" i="1"/>
  <c r="AH624" i="1" a="1"/>
  <c r="AG624" i="1"/>
  <c r="AF624" i="1"/>
  <c r="BI623" i="1"/>
  <c r="BH623" i="1"/>
  <c r="BG623" i="1"/>
  <c r="BF623" i="1"/>
  <c r="BE623" i="1"/>
  <c r="BD623" i="1"/>
  <c r="BC623" i="1"/>
  <c r="BB623" i="1"/>
  <c r="BA623" i="1"/>
  <c r="AZ623" i="1"/>
  <c r="AY623" i="1"/>
  <c r="AX623" i="1"/>
  <c r="AW623" i="1"/>
  <c r="AV623" i="1"/>
  <c r="AU623" i="1"/>
  <c r="AT623" i="1"/>
  <c r="AS623" i="1"/>
  <c r="AR623" i="1"/>
  <c r="AQ623" i="1"/>
  <c r="AP623" i="1"/>
  <c r="AM623" i="1"/>
  <c r="AL623" i="1"/>
  <c r="AK623" i="1"/>
  <c r="AJ623" i="1"/>
  <c r="AI623" i="1"/>
  <c r="AH623" i="1"/>
  <c r="AH623" i="1" a="1"/>
  <c r="AG623" i="1"/>
  <c r="AF623" i="1"/>
  <c r="BI622" i="1"/>
  <c r="BH622" i="1"/>
  <c r="BG622" i="1"/>
  <c r="BF622" i="1"/>
  <c r="BE622" i="1"/>
  <c r="BD622" i="1"/>
  <c r="BC622" i="1"/>
  <c r="BB622" i="1"/>
  <c r="BA622" i="1"/>
  <c r="AZ622" i="1"/>
  <c r="AY622" i="1"/>
  <c r="AX622" i="1"/>
  <c r="AW622" i="1"/>
  <c r="AV622" i="1"/>
  <c r="AU622" i="1"/>
  <c r="AT622" i="1"/>
  <c r="AS622" i="1"/>
  <c r="AR622" i="1"/>
  <c r="AQ622" i="1"/>
  <c r="AP622" i="1"/>
  <c r="AM622" i="1"/>
  <c r="AL622" i="1"/>
  <c r="AK622" i="1"/>
  <c r="AJ622" i="1"/>
  <c r="AI622" i="1"/>
  <c r="AH622" i="1"/>
  <c r="AH622" i="1" a="1"/>
  <c r="AG622" i="1"/>
  <c r="AF622" i="1"/>
  <c r="BI621" i="1"/>
  <c r="BH621" i="1"/>
  <c r="BG621" i="1"/>
  <c r="BF621" i="1"/>
  <c r="BE621" i="1"/>
  <c r="BD621" i="1"/>
  <c r="BC621" i="1"/>
  <c r="BB621" i="1"/>
  <c r="BA621" i="1"/>
  <c r="AZ621" i="1"/>
  <c r="AY621" i="1"/>
  <c r="AX621" i="1"/>
  <c r="AW621" i="1"/>
  <c r="AV621" i="1"/>
  <c r="AU621" i="1"/>
  <c r="AT621" i="1"/>
  <c r="AS621" i="1"/>
  <c r="AR621" i="1"/>
  <c r="AQ621" i="1"/>
  <c r="AP621" i="1"/>
  <c r="AM621" i="1"/>
  <c r="AL621" i="1"/>
  <c r="AK621" i="1"/>
  <c r="AJ621" i="1"/>
  <c r="AI621" i="1"/>
  <c r="AH621" i="1"/>
  <c r="AH621" i="1" a="1"/>
  <c r="AG621" i="1"/>
  <c r="AF621" i="1"/>
  <c r="BI620" i="1"/>
  <c r="BH620" i="1"/>
  <c r="BG620" i="1"/>
  <c r="BF620" i="1"/>
  <c r="BE620" i="1"/>
  <c r="BD620" i="1"/>
  <c r="BC620" i="1"/>
  <c r="BB620" i="1"/>
  <c r="BA620" i="1"/>
  <c r="AZ620" i="1"/>
  <c r="AY620" i="1"/>
  <c r="AX620" i="1"/>
  <c r="AW620" i="1"/>
  <c r="AV620" i="1"/>
  <c r="AU620" i="1"/>
  <c r="AT620" i="1"/>
  <c r="AS620" i="1"/>
  <c r="AR620" i="1"/>
  <c r="AQ620" i="1"/>
  <c r="AP620" i="1"/>
  <c r="AM620" i="1"/>
  <c r="AL620" i="1"/>
  <c r="AK620" i="1"/>
  <c r="AJ620" i="1"/>
  <c r="AI620" i="1"/>
  <c r="AH620" i="1"/>
  <c r="AH620" i="1" a="1"/>
  <c r="AG620" i="1"/>
  <c r="AF620" i="1"/>
  <c r="BI619" i="1"/>
  <c r="BH619" i="1"/>
  <c r="BG619" i="1"/>
  <c r="BF619" i="1"/>
  <c r="BE619" i="1"/>
  <c r="BD619" i="1"/>
  <c r="BC619" i="1"/>
  <c r="BB619" i="1"/>
  <c r="BA619" i="1"/>
  <c r="AZ619" i="1"/>
  <c r="AY619" i="1"/>
  <c r="AX619" i="1"/>
  <c r="AW619" i="1"/>
  <c r="AV619" i="1"/>
  <c r="AU619" i="1"/>
  <c r="AT619" i="1"/>
  <c r="AS619" i="1"/>
  <c r="AR619" i="1"/>
  <c r="AQ619" i="1"/>
  <c r="AP619" i="1"/>
  <c r="AM619" i="1"/>
  <c r="AL619" i="1"/>
  <c r="AK619" i="1"/>
  <c r="AJ619" i="1"/>
  <c r="AI619" i="1"/>
  <c r="AH619" i="1"/>
  <c r="AH619" i="1" a="1"/>
  <c r="AG619" i="1"/>
  <c r="AF619" i="1"/>
  <c r="BI618" i="1"/>
  <c r="BH618" i="1"/>
  <c r="BG618" i="1"/>
  <c r="BF618" i="1"/>
  <c r="BE618" i="1"/>
  <c r="BD618" i="1"/>
  <c r="BC618" i="1"/>
  <c r="BB618" i="1"/>
  <c r="BA618" i="1"/>
  <c r="AZ618" i="1"/>
  <c r="AY618" i="1"/>
  <c r="AX618" i="1"/>
  <c r="AW618" i="1"/>
  <c r="AV618" i="1"/>
  <c r="AU618" i="1"/>
  <c r="AT618" i="1"/>
  <c r="AS618" i="1"/>
  <c r="AR618" i="1"/>
  <c r="AQ618" i="1"/>
  <c r="AP618" i="1"/>
  <c r="AM618" i="1"/>
  <c r="AL618" i="1"/>
  <c r="AK618" i="1"/>
  <c r="AJ618" i="1"/>
  <c r="AI618" i="1"/>
  <c r="AH618" i="1"/>
  <c r="AH618" i="1" a="1"/>
  <c r="AG618" i="1"/>
  <c r="AF618" i="1"/>
  <c r="BI617" i="1"/>
  <c r="BH617" i="1"/>
  <c r="BG617" i="1"/>
  <c r="BF617" i="1"/>
  <c r="BE617" i="1"/>
  <c r="BD617" i="1"/>
  <c r="BC617" i="1"/>
  <c r="BB617" i="1"/>
  <c r="BA617" i="1"/>
  <c r="AZ617" i="1"/>
  <c r="AY617" i="1"/>
  <c r="AX617" i="1"/>
  <c r="AW617" i="1"/>
  <c r="AV617" i="1"/>
  <c r="AU617" i="1"/>
  <c r="AT617" i="1"/>
  <c r="AS617" i="1"/>
  <c r="AR617" i="1"/>
  <c r="AQ617" i="1"/>
  <c r="AP617" i="1"/>
  <c r="AM617" i="1"/>
  <c r="AL617" i="1"/>
  <c r="AK617" i="1"/>
  <c r="AJ617" i="1"/>
  <c r="AI617" i="1"/>
  <c r="AH617" i="1"/>
  <c r="AH617" i="1" a="1"/>
  <c r="AG617" i="1"/>
  <c r="AF617" i="1"/>
  <c r="BI616" i="1"/>
  <c r="BH616" i="1"/>
  <c r="BG616" i="1"/>
  <c r="BF616" i="1"/>
  <c r="BE616" i="1"/>
  <c r="BD616" i="1"/>
  <c r="BC616" i="1"/>
  <c r="BB616" i="1"/>
  <c r="BA616" i="1"/>
  <c r="AZ616" i="1"/>
  <c r="AY616" i="1"/>
  <c r="AX616" i="1"/>
  <c r="AW616" i="1"/>
  <c r="AV616" i="1"/>
  <c r="AU616" i="1"/>
  <c r="AT616" i="1"/>
  <c r="AS616" i="1"/>
  <c r="AR616" i="1"/>
  <c r="AQ616" i="1"/>
  <c r="AP616" i="1"/>
  <c r="AM616" i="1"/>
  <c r="AL616" i="1"/>
  <c r="AK616" i="1"/>
  <c r="AJ616" i="1"/>
  <c r="AI616" i="1"/>
  <c r="AH616" i="1"/>
  <c r="AH616" i="1" a="1"/>
  <c r="AG616" i="1"/>
  <c r="AF616" i="1"/>
  <c r="BI615" i="1"/>
  <c r="BH615" i="1"/>
  <c r="BG615" i="1"/>
  <c r="BF615" i="1"/>
  <c r="BE615" i="1"/>
  <c r="BD615" i="1"/>
  <c r="BC615" i="1"/>
  <c r="BB615" i="1"/>
  <c r="BA615" i="1"/>
  <c r="AZ615" i="1"/>
  <c r="AY615" i="1"/>
  <c r="AX615" i="1"/>
  <c r="AW615" i="1"/>
  <c r="AV615" i="1"/>
  <c r="AU615" i="1"/>
  <c r="AT615" i="1"/>
  <c r="AS615" i="1"/>
  <c r="AR615" i="1"/>
  <c r="AQ615" i="1"/>
  <c r="AP615" i="1"/>
  <c r="AM615" i="1"/>
  <c r="AL615" i="1"/>
  <c r="AK615" i="1"/>
  <c r="AJ615" i="1"/>
  <c r="AI615" i="1"/>
  <c r="AH615" i="1"/>
  <c r="AH615" i="1" a="1"/>
  <c r="AG615" i="1"/>
  <c r="AF615" i="1"/>
  <c r="BI614" i="1"/>
  <c r="BH614" i="1"/>
  <c r="BG614" i="1"/>
  <c r="BF614" i="1"/>
  <c r="BE614" i="1"/>
  <c r="BD614" i="1"/>
  <c r="BC614" i="1"/>
  <c r="BB614" i="1"/>
  <c r="BA614" i="1"/>
  <c r="AZ614" i="1"/>
  <c r="AY614" i="1"/>
  <c r="AX614" i="1"/>
  <c r="AW614" i="1"/>
  <c r="AV614" i="1"/>
  <c r="AU614" i="1"/>
  <c r="AT614" i="1"/>
  <c r="AS614" i="1"/>
  <c r="AR614" i="1"/>
  <c r="AQ614" i="1"/>
  <c r="AP614" i="1"/>
  <c r="AM614" i="1"/>
  <c r="AL614" i="1"/>
  <c r="AK614" i="1"/>
  <c r="AJ614" i="1"/>
  <c r="AI614" i="1"/>
  <c r="AH614" i="1"/>
  <c r="AH614" i="1" a="1"/>
  <c r="AG614" i="1"/>
  <c r="AF614" i="1"/>
  <c r="BI613" i="1"/>
  <c r="BH613" i="1"/>
  <c r="BG613" i="1"/>
  <c r="BF613" i="1"/>
  <c r="BE613" i="1"/>
  <c r="BD613" i="1"/>
  <c r="BC613" i="1"/>
  <c r="BB613" i="1"/>
  <c r="BA613" i="1"/>
  <c r="AZ613" i="1"/>
  <c r="AY613" i="1"/>
  <c r="AX613" i="1"/>
  <c r="AW613" i="1"/>
  <c r="AV613" i="1"/>
  <c r="AU613" i="1"/>
  <c r="AT613" i="1"/>
  <c r="AS613" i="1"/>
  <c r="AR613" i="1"/>
  <c r="AQ613" i="1"/>
  <c r="AP613" i="1"/>
  <c r="AM613" i="1"/>
  <c r="AL613" i="1"/>
  <c r="AK613" i="1"/>
  <c r="AJ613" i="1"/>
  <c r="AI613" i="1"/>
  <c r="AH613" i="1"/>
  <c r="AH613" i="1" a="1"/>
  <c r="AG613" i="1"/>
  <c r="AF613" i="1"/>
  <c r="BI612" i="1"/>
  <c r="BH612" i="1"/>
  <c r="BG612" i="1"/>
  <c r="BF612" i="1"/>
  <c r="BE612" i="1"/>
  <c r="BD612" i="1"/>
  <c r="BC612" i="1"/>
  <c r="BB612" i="1"/>
  <c r="BA612" i="1"/>
  <c r="AZ612" i="1"/>
  <c r="AY612" i="1"/>
  <c r="AX612" i="1"/>
  <c r="AW612" i="1"/>
  <c r="AV612" i="1"/>
  <c r="AU612" i="1"/>
  <c r="AT612" i="1"/>
  <c r="AS612" i="1"/>
  <c r="AR612" i="1"/>
  <c r="AQ612" i="1"/>
  <c r="AP612" i="1"/>
  <c r="AM612" i="1"/>
  <c r="AL612" i="1"/>
  <c r="AK612" i="1"/>
  <c r="AJ612" i="1"/>
  <c r="AI612" i="1"/>
  <c r="AH612" i="1"/>
  <c r="AH612" i="1" a="1"/>
  <c r="AG612" i="1"/>
  <c r="AF612" i="1"/>
  <c r="BI611" i="1"/>
  <c r="BH611" i="1"/>
  <c r="BG611" i="1"/>
  <c r="BF611" i="1"/>
  <c r="BE611" i="1"/>
  <c r="BD611" i="1"/>
  <c r="BC611" i="1"/>
  <c r="BB611" i="1"/>
  <c r="BA611" i="1"/>
  <c r="AZ611" i="1"/>
  <c r="AY611" i="1"/>
  <c r="AX611" i="1"/>
  <c r="AW611" i="1"/>
  <c r="AV611" i="1"/>
  <c r="AU611" i="1"/>
  <c r="AT611" i="1"/>
  <c r="AS611" i="1"/>
  <c r="AR611" i="1"/>
  <c r="AQ611" i="1"/>
  <c r="AP611" i="1"/>
  <c r="AM611" i="1"/>
  <c r="AL611" i="1"/>
  <c r="AK611" i="1"/>
  <c r="AJ611" i="1"/>
  <c r="AI611" i="1"/>
  <c r="AH611" i="1"/>
  <c r="AH611" i="1" a="1"/>
  <c r="AG611" i="1"/>
  <c r="AF611" i="1"/>
  <c r="BI610" i="1"/>
  <c r="BH610" i="1"/>
  <c r="BG610" i="1"/>
  <c r="BF610" i="1"/>
  <c r="BE610" i="1"/>
  <c r="BD610" i="1"/>
  <c r="BC610" i="1"/>
  <c r="BB610" i="1"/>
  <c r="BA610" i="1"/>
  <c r="AZ610" i="1"/>
  <c r="AY610" i="1"/>
  <c r="AX610" i="1"/>
  <c r="AW610" i="1"/>
  <c r="AV610" i="1"/>
  <c r="AU610" i="1"/>
  <c r="AT610" i="1"/>
  <c r="AS610" i="1"/>
  <c r="AR610" i="1"/>
  <c r="AQ610" i="1"/>
  <c r="AP610" i="1"/>
  <c r="AM610" i="1"/>
  <c r="AL610" i="1"/>
  <c r="AK610" i="1"/>
  <c r="AJ610" i="1"/>
  <c r="AI610" i="1"/>
  <c r="AH610" i="1"/>
  <c r="AH610" i="1" a="1"/>
  <c r="AG610" i="1"/>
  <c r="AF610" i="1"/>
  <c r="BI609" i="1"/>
  <c r="BH609" i="1"/>
  <c r="BG609" i="1"/>
  <c r="BF609" i="1"/>
  <c r="BE609" i="1"/>
  <c r="BD609" i="1"/>
  <c r="BC609" i="1"/>
  <c r="BB609" i="1"/>
  <c r="BA609" i="1"/>
  <c r="AZ609" i="1"/>
  <c r="AY609" i="1"/>
  <c r="AX609" i="1"/>
  <c r="AW609" i="1"/>
  <c r="AV609" i="1"/>
  <c r="AU609" i="1"/>
  <c r="AT609" i="1"/>
  <c r="AS609" i="1"/>
  <c r="AR609" i="1"/>
  <c r="AQ609" i="1"/>
  <c r="AP609" i="1"/>
  <c r="AM609" i="1"/>
  <c r="AL609" i="1"/>
  <c r="AK609" i="1"/>
  <c r="AJ609" i="1"/>
  <c r="AI609" i="1"/>
  <c r="AH609" i="1"/>
  <c r="AH609" i="1" a="1"/>
  <c r="AG609" i="1"/>
  <c r="AF609" i="1"/>
  <c r="BI608" i="1"/>
  <c r="BH608" i="1"/>
  <c r="BG608" i="1"/>
  <c r="BF608" i="1"/>
  <c r="BE608" i="1"/>
  <c r="BD608" i="1"/>
  <c r="BC608" i="1"/>
  <c r="BB608" i="1"/>
  <c r="BA608" i="1"/>
  <c r="AZ608" i="1"/>
  <c r="AY608" i="1"/>
  <c r="AX608" i="1"/>
  <c r="AW608" i="1"/>
  <c r="AV608" i="1"/>
  <c r="AU608" i="1"/>
  <c r="AT608" i="1"/>
  <c r="AS608" i="1"/>
  <c r="AR608" i="1"/>
  <c r="AQ608" i="1"/>
  <c r="AP608" i="1"/>
  <c r="AM608" i="1"/>
  <c r="AL608" i="1"/>
  <c r="AK608" i="1"/>
  <c r="AJ608" i="1"/>
  <c r="AI608" i="1"/>
  <c r="AH608" i="1"/>
  <c r="AH608" i="1" a="1"/>
  <c r="AG608" i="1"/>
  <c r="AF608" i="1"/>
  <c r="BI607" i="1"/>
  <c r="BH607" i="1"/>
  <c r="BG607" i="1"/>
  <c r="BF607" i="1"/>
  <c r="BE607" i="1"/>
  <c r="BD607" i="1"/>
  <c r="BC607" i="1"/>
  <c r="BB607" i="1"/>
  <c r="BA607" i="1"/>
  <c r="AZ607" i="1"/>
  <c r="AY607" i="1"/>
  <c r="AX607" i="1"/>
  <c r="AW607" i="1"/>
  <c r="AV607" i="1"/>
  <c r="AU607" i="1"/>
  <c r="AT607" i="1"/>
  <c r="AS607" i="1"/>
  <c r="AR607" i="1"/>
  <c r="AQ607" i="1"/>
  <c r="AP607" i="1"/>
  <c r="AM607" i="1"/>
  <c r="AL607" i="1"/>
  <c r="AK607" i="1"/>
  <c r="AJ607" i="1"/>
  <c r="AI607" i="1"/>
  <c r="AH607" i="1"/>
  <c r="AH607" i="1" a="1"/>
  <c r="AG607" i="1"/>
  <c r="AF607" i="1"/>
  <c r="BI606" i="1"/>
  <c r="BH606" i="1"/>
  <c r="BG606" i="1"/>
  <c r="BF606" i="1"/>
  <c r="BE606" i="1"/>
  <c r="BD606" i="1"/>
  <c r="BC606" i="1"/>
  <c r="BB606" i="1"/>
  <c r="BA606" i="1"/>
  <c r="AZ606" i="1"/>
  <c r="AY606" i="1"/>
  <c r="AX606" i="1"/>
  <c r="AW606" i="1"/>
  <c r="AV606" i="1"/>
  <c r="AU606" i="1"/>
  <c r="AT606" i="1"/>
  <c r="AS606" i="1"/>
  <c r="AR606" i="1"/>
  <c r="AQ606" i="1"/>
  <c r="AP606" i="1"/>
  <c r="AM606" i="1"/>
  <c r="AL606" i="1"/>
  <c r="AK606" i="1"/>
  <c r="AJ606" i="1"/>
  <c r="AI606" i="1"/>
  <c r="AH606" i="1"/>
  <c r="AH606" i="1" a="1"/>
  <c r="AG606" i="1"/>
  <c r="AF606" i="1"/>
  <c r="BI605" i="1"/>
  <c r="BH605" i="1"/>
  <c r="BG605" i="1"/>
  <c r="BF605" i="1"/>
  <c r="BE605" i="1"/>
  <c r="BD605" i="1"/>
  <c r="BC605" i="1"/>
  <c r="BB605" i="1"/>
  <c r="BA605" i="1"/>
  <c r="AZ605" i="1"/>
  <c r="AY605" i="1"/>
  <c r="AX605" i="1"/>
  <c r="AW605" i="1"/>
  <c r="AV605" i="1"/>
  <c r="AU605" i="1"/>
  <c r="AT605" i="1"/>
  <c r="AS605" i="1"/>
  <c r="AR605" i="1"/>
  <c r="AQ605" i="1"/>
  <c r="AP605" i="1"/>
  <c r="AM605" i="1"/>
  <c r="AL605" i="1"/>
  <c r="AK605" i="1"/>
  <c r="AJ605" i="1"/>
  <c r="AI605" i="1"/>
  <c r="AH605" i="1"/>
  <c r="AH605" i="1" a="1"/>
  <c r="AG605" i="1"/>
  <c r="AF605" i="1"/>
  <c r="BI604" i="1"/>
  <c r="BH604" i="1"/>
  <c r="BG604" i="1"/>
  <c r="BF604" i="1"/>
  <c r="BE604" i="1"/>
  <c r="BD604" i="1"/>
  <c r="BC604" i="1"/>
  <c r="BB604" i="1"/>
  <c r="BA604" i="1"/>
  <c r="AZ604" i="1"/>
  <c r="AY604" i="1"/>
  <c r="AX604" i="1"/>
  <c r="AW604" i="1"/>
  <c r="AV604" i="1"/>
  <c r="AU604" i="1"/>
  <c r="AT604" i="1"/>
  <c r="AS604" i="1"/>
  <c r="AR604" i="1"/>
  <c r="AQ604" i="1"/>
  <c r="AP604" i="1"/>
  <c r="AM604" i="1"/>
  <c r="AL604" i="1"/>
  <c r="AK604" i="1"/>
  <c r="AJ604" i="1"/>
  <c r="AI604" i="1"/>
  <c r="AH604" i="1"/>
  <c r="AH604" i="1" a="1"/>
  <c r="AG604" i="1"/>
  <c r="AF604" i="1"/>
  <c r="BI603" i="1"/>
  <c r="BH603" i="1"/>
  <c r="BG603" i="1"/>
  <c r="BF603" i="1"/>
  <c r="BE603" i="1"/>
  <c r="BD603" i="1"/>
  <c r="BC603" i="1"/>
  <c r="BB603" i="1"/>
  <c r="BA603" i="1"/>
  <c r="AZ603" i="1"/>
  <c r="AY603" i="1"/>
  <c r="AX603" i="1"/>
  <c r="AW603" i="1"/>
  <c r="AV603" i="1"/>
  <c r="AU603" i="1"/>
  <c r="AT603" i="1"/>
  <c r="AS603" i="1"/>
  <c r="AR603" i="1"/>
  <c r="AQ603" i="1"/>
  <c r="AP603" i="1"/>
  <c r="AM603" i="1"/>
  <c r="AL603" i="1"/>
  <c r="AK603" i="1"/>
  <c r="AJ603" i="1"/>
  <c r="AI603" i="1"/>
  <c r="AH603" i="1"/>
  <c r="AH603" i="1" a="1"/>
  <c r="AG603" i="1"/>
  <c r="AF603" i="1"/>
  <c r="BI602" i="1"/>
  <c r="BH602" i="1"/>
  <c r="BG602" i="1"/>
  <c r="BF602" i="1"/>
  <c r="BE602" i="1"/>
  <c r="BD602" i="1"/>
  <c r="BC602" i="1"/>
  <c r="BB602" i="1"/>
  <c r="BA602" i="1"/>
  <c r="AZ602" i="1"/>
  <c r="AY602" i="1"/>
  <c r="AX602" i="1"/>
  <c r="AW602" i="1"/>
  <c r="AV602" i="1"/>
  <c r="AU602" i="1"/>
  <c r="AT602" i="1"/>
  <c r="AS602" i="1"/>
  <c r="AR602" i="1"/>
  <c r="AQ602" i="1"/>
  <c r="AP602" i="1"/>
  <c r="AM602" i="1"/>
  <c r="AL602" i="1"/>
  <c r="AK602" i="1"/>
  <c r="AJ602" i="1"/>
  <c r="AI602" i="1"/>
  <c r="AH602" i="1"/>
  <c r="AH602" i="1" a="1"/>
  <c r="AG602" i="1"/>
  <c r="AF602" i="1"/>
  <c r="BI601" i="1"/>
  <c r="BH601" i="1"/>
  <c r="BG601" i="1"/>
  <c r="BF601" i="1"/>
  <c r="BE601" i="1"/>
  <c r="BD601" i="1"/>
  <c r="BC601" i="1"/>
  <c r="BB601" i="1"/>
  <c r="BA601" i="1"/>
  <c r="AZ601" i="1"/>
  <c r="AY601" i="1"/>
  <c r="AX601" i="1"/>
  <c r="AW601" i="1"/>
  <c r="AV601" i="1"/>
  <c r="AU601" i="1"/>
  <c r="AT601" i="1"/>
  <c r="AS601" i="1"/>
  <c r="AR601" i="1"/>
  <c r="AQ601" i="1"/>
  <c r="AP601" i="1"/>
  <c r="AM601" i="1"/>
  <c r="AL601" i="1"/>
  <c r="AK601" i="1"/>
  <c r="AJ601" i="1"/>
  <c r="AI601" i="1"/>
  <c r="AH601" i="1"/>
  <c r="AH601" i="1" a="1"/>
  <c r="AG601" i="1"/>
  <c r="AF601" i="1"/>
  <c r="BI600" i="1"/>
  <c r="BH600" i="1"/>
  <c r="BG600" i="1"/>
  <c r="BF600" i="1"/>
  <c r="BE600" i="1"/>
  <c r="BD600" i="1"/>
  <c r="BC600" i="1"/>
  <c r="BB600" i="1"/>
  <c r="BA600" i="1"/>
  <c r="AZ600" i="1"/>
  <c r="AY600" i="1"/>
  <c r="AX600" i="1"/>
  <c r="AW600" i="1"/>
  <c r="AV600" i="1"/>
  <c r="AU600" i="1"/>
  <c r="AT600" i="1"/>
  <c r="AS600" i="1"/>
  <c r="AR600" i="1"/>
  <c r="AQ600" i="1"/>
  <c r="AP600" i="1"/>
  <c r="AM600" i="1"/>
  <c r="AL600" i="1"/>
  <c r="AK600" i="1"/>
  <c r="AJ600" i="1"/>
  <c r="AI600" i="1"/>
  <c r="AH600" i="1"/>
  <c r="AH600" i="1" a="1"/>
  <c r="AG600" i="1"/>
  <c r="AF600" i="1"/>
  <c r="BI599" i="1"/>
  <c r="BH599" i="1"/>
  <c r="BG599" i="1"/>
  <c r="BF599" i="1"/>
  <c r="BE599" i="1"/>
  <c r="BD599" i="1"/>
  <c r="BC599" i="1"/>
  <c r="BB599" i="1"/>
  <c r="BA599" i="1"/>
  <c r="AZ599" i="1"/>
  <c r="AY599" i="1"/>
  <c r="AX599" i="1"/>
  <c r="AW599" i="1"/>
  <c r="AV599" i="1"/>
  <c r="AU599" i="1"/>
  <c r="AT599" i="1"/>
  <c r="AS599" i="1"/>
  <c r="AR599" i="1"/>
  <c r="AQ599" i="1"/>
  <c r="AP599" i="1"/>
  <c r="AM599" i="1"/>
  <c r="AL599" i="1"/>
  <c r="AK599" i="1"/>
  <c r="AJ599" i="1"/>
  <c r="AI599" i="1"/>
  <c r="AH599" i="1"/>
  <c r="AH599" i="1" a="1"/>
  <c r="AG599" i="1"/>
  <c r="AF599" i="1"/>
  <c r="BI598" i="1"/>
  <c r="BH598" i="1"/>
  <c r="BG598" i="1"/>
  <c r="BF598" i="1"/>
  <c r="BE598" i="1"/>
  <c r="BD598" i="1"/>
  <c r="BC598" i="1"/>
  <c r="BB598" i="1"/>
  <c r="BA598" i="1"/>
  <c r="AZ598" i="1"/>
  <c r="AY598" i="1"/>
  <c r="AX598" i="1"/>
  <c r="AW598" i="1"/>
  <c r="AV598" i="1"/>
  <c r="AU598" i="1"/>
  <c r="AT598" i="1"/>
  <c r="AS598" i="1"/>
  <c r="AR598" i="1"/>
  <c r="AQ598" i="1"/>
  <c r="AP598" i="1"/>
  <c r="AM598" i="1"/>
  <c r="AL598" i="1"/>
  <c r="AK598" i="1"/>
  <c r="AJ598" i="1"/>
  <c r="AI598" i="1"/>
  <c r="AH598" i="1"/>
  <c r="AH598" i="1" a="1"/>
  <c r="AG598" i="1"/>
  <c r="AF598" i="1"/>
  <c r="BI597" i="1"/>
  <c r="BH597" i="1"/>
  <c r="BG597" i="1"/>
  <c r="BF597" i="1"/>
  <c r="BE597" i="1"/>
  <c r="BD597" i="1"/>
  <c r="BC597" i="1"/>
  <c r="BB597" i="1"/>
  <c r="BA597" i="1"/>
  <c r="AZ597" i="1"/>
  <c r="AY597" i="1"/>
  <c r="AX597" i="1"/>
  <c r="AW597" i="1"/>
  <c r="AV597" i="1"/>
  <c r="AU597" i="1"/>
  <c r="AT597" i="1"/>
  <c r="AS597" i="1"/>
  <c r="AR597" i="1"/>
  <c r="AQ597" i="1"/>
  <c r="AP597" i="1"/>
  <c r="AM597" i="1"/>
  <c r="AL597" i="1"/>
  <c r="AK597" i="1"/>
  <c r="AJ597" i="1"/>
  <c r="AI597" i="1"/>
  <c r="AH597" i="1"/>
  <c r="AH597" i="1" a="1"/>
  <c r="AG597" i="1"/>
  <c r="AF597" i="1"/>
  <c r="BI596" i="1"/>
  <c r="BH596" i="1"/>
  <c r="BG596" i="1"/>
  <c r="BF596" i="1"/>
  <c r="BE596" i="1"/>
  <c r="BD596" i="1"/>
  <c r="BC596" i="1"/>
  <c r="BB596" i="1"/>
  <c r="BA596" i="1"/>
  <c r="AZ596" i="1"/>
  <c r="AY596" i="1"/>
  <c r="AX596" i="1"/>
  <c r="AW596" i="1"/>
  <c r="AV596" i="1"/>
  <c r="AU596" i="1"/>
  <c r="AT596" i="1"/>
  <c r="AS596" i="1"/>
  <c r="AR596" i="1"/>
  <c r="AQ596" i="1"/>
  <c r="AP596" i="1"/>
  <c r="AM596" i="1"/>
  <c r="AL596" i="1"/>
  <c r="AK596" i="1"/>
  <c r="AJ596" i="1"/>
  <c r="AI596" i="1"/>
  <c r="AH596" i="1"/>
  <c r="AH596" i="1" a="1"/>
  <c r="AG596" i="1"/>
  <c r="AF596" i="1"/>
  <c r="BI595" i="1"/>
  <c r="BH595" i="1"/>
  <c r="BG595" i="1"/>
  <c r="BF595" i="1"/>
  <c r="BE595" i="1"/>
  <c r="BD595" i="1"/>
  <c r="BC595" i="1"/>
  <c r="BB595" i="1"/>
  <c r="BA595" i="1"/>
  <c r="AZ595" i="1"/>
  <c r="AY595" i="1"/>
  <c r="AX595" i="1"/>
  <c r="AW595" i="1"/>
  <c r="AV595" i="1"/>
  <c r="AU595" i="1"/>
  <c r="AT595" i="1"/>
  <c r="AS595" i="1"/>
  <c r="AR595" i="1"/>
  <c r="AQ595" i="1"/>
  <c r="AP595" i="1"/>
  <c r="AM595" i="1"/>
  <c r="AL595" i="1"/>
  <c r="AK595" i="1"/>
  <c r="AJ595" i="1"/>
  <c r="AI595" i="1"/>
  <c r="AH595" i="1"/>
  <c r="AH595" i="1" a="1"/>
  <c r="AG595" i="1"/>
  <c r="AF595" i="1"/>
  <c r="BI594" i="1"/>
  <c r="BH594" i="1"/>
  <c r="BG594" i="1"/>
  <c r="BF594" i="1"/>
  <c r="BE594" i="1"/>
  <c r="BD594" i="1"/>
  <c r="BC594" i="1"/>
  <c r="BB594" i="1"/>
  <c r="BA594" i="1"/>
  <c r="AZ594" i="1"/>
  <c r="AY594" i="1"/>
  <c r="AX594" i="1"/>
  <c r="AW594" i="1"/>
  <c r="AV594" i="1"/>
  <c r="AU594" i="1"/>
  <c r="AT594" i="1"/>
  <c r="AS594" i="1"/>
  <c r="AR594" i="1"/>
  <c r="AQ594" i="1"/>
  <c r="AP594" i="1"/>
  <c r="AM594" i="1"/>
  <c r="AL594" i="1"/>
  <c r="AK594" i="1"/>
  <c r="AJ594" i="1"/>
  <c r="AI594" i="1"/>
  <c r="AH594" i="1"/>
  <c r="AH594" i="1" a="1"/>
  <c r="AG594" i="1"/>
  <c r="AF594" i="1"/>
  <c r="BI593" i="1"/>
  <c r="BH593" i="1"/>
  <c r="BG593" i="1"/>
  <c r="BF593" i="1"/>
  <c r="BE593" i="1"/>
  <c r="BD593" i="1"/>
  <c r="BC593" i="1"/>
  <c r="BB593" i="1"/>
  <c r="BA593" i="1"/>
  <c r="AZ593" i="1"/>
  <c r="AY593" i="1"/>
  <c r="AX593" i="1"/>
  <c r="AW593" i="1"/>
  <c r="AV593" i="1"/>
  <c r="AU593" i="1"/>
  <c r="AT593" i="1"/>
  <c r="AS593" i="1"/>
  <c r="AR593" i="1"/>
  <c r="AQ593" i="1"/>
  <c r="AP593" i="1"/>
  <c r="AM593" i="1"/>
  <c r="AL593" i="1"/>
  <c r="AK593" i="1"/>
  <c r="AJ593" i="1"/>
  <c r="AI593" i="1"/>
  <c r="AH593" i="1"/>
  <c r="AH593" i="1" a="1"/>
  <c r="AG593" i="1"/>
  <c r="AF593" i="1"/>
  <c r="BI592" i="1"/>
  <c r="BH592" i="1"/>
  <c r="BG592" i="1"/>
  <c r="BF592" i="1"/>
  <c r="BE592" i="1"/>
  <c r="BD592" i="1"/>
  <c r="BC592" i="1"/>
  <c r="BB592" i="1"/>
  <c r="BA592" i="1"/>
  <c r="AZ592" i="1"/>
  <c r="AY592" i="1"/>
  <c r="AX592" i="1"/>
  <c r="AW592" i="1"/>
  <c r="AV592" i="1"/>
  <c r="AU592" i="1"/>
  <c r="AT592" i="1"/>
  <c r="AS592" i="1"/>
  <c r="AR592" i="1"/>
  <c r="AQ592" i="1"/>
  <c r="AP592" i="1"/>
  <c r="AM592" i="1"/>
  <c r="AL592" i="1"/>
  <c r="AK592" i="1"/>
  <c r="AJ592" i="1"/>
  <c r="AI592" i="1"/>
  <c r="AH592" i="1"/>
  <c r="AH592" i="1" a="1"/>
  <c r="AG592" i="1"/>
  <c r="AF592" i="1"/>
  <c r="BI591" i="1"/>
  <c r="BH591" i="1"/>
  <c r="BG591" i="1"/>
  <c r="BF591" i="1"/>
  <c r="BE591" i="1"/>
  <c r="BD591" i="1"/>
  <c r="BC591" i="1"/>
  <c r="BB591" i="1"/>
  <c r="BA591" i="1"/>
  <c r="AZ591" i="1"/>
  <c r="AY591" i="1"/>
  <c r="AX591" i="1"/>
  <c r="AW591" i="1"/>
  <c r="AV591" i="1"/>
  <c r="AU591" i="1"/>
  <c r="AT591" i="1"/>
  <c r="AS591" i="1"/>
  <c r="AR591" i="1"/>
  <c r="AQ591" i="1"/>
  <c r="AP591" i="1"/>
  <c r="AM591" i="1"/>
  <c r="AL591" i="1"/>
  <c r="AK591" i="1"/>
  <c r="AJ591" i="1"/>
  <c r="AI591" i="1"/>
  <c r="AH591" i="1"/>
  <c r="AH591" i="1" a="1"/>
  <c r="AG591" i="1"/>
  <c r="AF591" i="1"/>
  <c r="BI590" i="1"/>
  <c r="BH590" i="1"/>
  <c r="BG590" i="1"/>
  <c r="BF590" i="1"/>
  <c r="BE590" i="1"/>
  <c r="BD590" i="1"/>
  <c r="BC590" i="1"/>
  <c r="BB590" i="1"/>
  <c r="BA590" i="1"/>
  <c r="AZ590" i="1"/>
  <c r="AY590" i="1"/>
  <c r="AX590" i="1"/>
  <c r="AW590" i="1"/>
  <c r="AV590" i="1"/>
  <c r="AU590" i="1"/>
  <c r="AT590" i="1"/>
  <c r="AS590" i="1"/>
  <c r="AR590" i="1"/>
  <c r="AQ590" i="1"/>
  <c r="AP590" i="1"/>
  <c r="AM590" i="1"/>
  <c r="AL590" i="1"/>
  <c r="AK590" i="1"/>
  <c r="AJ590" i="1"/>
  <c r="AI590" i="1"/>
  <c r="AH590" i="1"/>
  <c r="AH590" i="1" a="1"/>
  <c r="AG590" i="1"/>
  <c r="AF590" i="1"/>
  <c r="BI589" i="1"/>
  <c r="BH589" i="1"/>
  <c r="BG589" i="1"/>
  <c r="BF589" i="1"/>
  <c r="BE589" i="1"/>
  <c r="BD589" i="1"/>
  <c r="BC589" i="1"/>
  <c r="BB589" i="1"/>
  <c r="BA589" i="1"/>
  <c r="AZ589" i="1"/>
  <c r="AY589" i="1"/>
  <c r="AX589" i="1"/>
  <c r="AW589" i="1"/>
  <c r="AV589" i="1"/>
  <c r="AU589" i="1"/>
  <c r="AT589" i="1"/>
  <c r="AS589" i="1"/>
  <c r="AR589" i="1"/>
  <c r="AQ589" i="1"/>
  <c r="AP589" i="1"/>
  <c r="AM589" i="1"/>
  <c r="AL589" i="1"/>
  <c r="AK589" i="1"/>
  <c r="AJ589" i="1"/>
  <c r="AI589" i="1"/>
  <c r="AH589" i="1"/>
  <c r="AH589" i="1" a="1"/>
  <c r="AG589" i="1"/>
  <c r="AF589" i="1"/>
  <c r="BI588" i="1"/>
  <c r="BH588" i="1"/>
  <c r="BG588" i="1"/>
  <c r="BF588" i="1"/>
  <c r="BE588" i="1"/>
  <c r="BD588" i="1"/>
  <c r="BC588" i="1"/>
  <c r="BB588" i="1"/>
  <c r="BA588" i="1"/>
  <c r="AZ588" i="1"/>
  <c r="AY588" i="1"/>
  <c r="AX588" i="1"/>
  <c r="AW588" i="1"/>
  <c r="AV588" i="1"/>
  <c r="AU588" i="1"/>
  <c r="AT588" i="1"/>
  <c r="AS588" i="1"/>
  <c r="AR588" i="1"/>
  <c r="AQ588" i="1"/>
  <c r="AP588" i="1"/>
  <c r="AM588" i="1"/>
  <c r="AL588" i="1"/>
  <c r="AK588" i="1"/>
  <c r="AJ588" i="1"/>
  <c r="AI588" i="1"/>
  <c r="AH588" i="1"/>
  <c r="AH588" i="1" a="1"/>
  <c r="AG588" i="1"/>
  <c r="AF588" i="1"/>
  <c r="BI587" i="1"/>
  <c r="BH587" i="1"/>
  <c r="BG587" i="1"/>
  <c r="BF587" i="1"/>
  <c r="BE587" i="1"/>
  <c r="BD587" i="1"/>
  <c r="BC587" i="1"/>
  <c r="BB587" i="1"/>
  <c r="BA587" i="1"/>
  <c r="AZ587" i="1"/>
  <c r="AY587" i="1"/>
  <c r="AX587" i="1"/>
  <c r="AW587" i="1"/>
  <c r="AV587" i="1"/>
  <c r="AU587" i="1"/>
  <c r="AT587" i="1"/>
  <c r="AS587" i="1"/>
  <c r="AR587" i="1"/>
  <c r="AQ587" i="1"/>
  <c r="AP587" i="1"/>
  <c r="AM587" i="1"/>
  <c r="AL587" i="1"/>
  <c r="AK587" i="1"/>
  <c r="AJ587" i="1"/>
  <c r="AI587" i="1"/>
  <c r="AH587" i="1"/>
  <c r="AH587" i="1" a="1"/>
  <c r="AG587" i="1"/>
  <c r="AF587" i="1"/>
  <c r="BI586" i="1"/>
  <c r="BH586" i="1"/>
  <c r="BG586" i="1"/>
  <c r="BF586" i="1"/>
  <c r="BE586" i="1"/>
  <c r="BD586" i="1"/>
  <c r="BC586" i="1"/>
  <c r="BB586" i="1"/>
  <c r="BA586" i="1"/>
  <c r="AZ586" i="1"/>
  <c r="AY586" i="1"/>
  <c r="AX586" i="1"/>
  <c r="AW586" i="1"/>
  <c r="AV586" i="1"/>
  <c r="AU586" i="1"/>
  <c r="AT586" i="1"/>
  <c r="AS586" i="1"/>
  <c r="AR586" i="1"/>
  <c r="AQ586" i="1"/>
  <c r="AP586" i="1"/>
  <c r="AM586" i="1"/>
  <c r="AL586" i="1"/>
  <c r="AK586" i="1"/>
  <c r="AJ586" i="1"/>
  <c r="AI586" i="1"/>
  <c r="AH586" i="1"/>
  <c r="AH586" i="1" a="1"/>
  <c r="AG586" i="1"/>
  <c r="AF586" i="1"/>
  <c r="BI585" i="1"/>
  <c r="BH585" i="1"/>
  <c r="BG585" i="1"/>
  <c r="BF585" i="1"/>
  <c r="BE585" i="1"/>
  <c r="BD585" i="1"/>
  <c r="BC585" i="1"/>
  <c r="BB585" i="1"/>
  <c r="BA585" i="1"/>
  <c r="AZ585" i="1"/>
  <c r="AY585" i="1"/>
  <c r="AX585" i="1"/>
  <c r="AW585" i="1"/>
  <c r="AV585" i="1"/>
  <c r="AU585" i="1"/>
  <c r="AT585" i="1"/>
  <c r="AS585" i="1"/>
  <c r="AR585" i="1"/>
  <c r="AQ585" i="1"/>
  <c r="AP585" i="1"/>
  <c r="AM585" i="1"/>
  <c r="AL585" i="1"/>
  <c r="AK585" i="1"/>
  <c r="AJ585" i="1"/>
  <c r="AI585" i="1"/>
  <c r="AH585" i="1"/>
  <c r="AH585" i="1" a="1"/>
  <c r="AG585" i="1"/>
  <c r="AF585" i="1"/>
  <c r="BI584" i="1"/>
  <c r="BH584" i="1"/>
  <c r="BG584" i="1"/>
  <c r="BF584" i="1"/>
  <c r="BE584" i="1"/>
  <c r="BD584" i="1"/>
  <c r="BC584" i="1"/>
  <c r="BB584" i="1"/>
  <c r="BA584" i="1"/>
  <c r="AZ584" i="1"/>
  <c r="AY584" i="1"/>
  <c r="AX584" i="1"/>
  <c r="AW584" i="1"/>
  <c r="AV584" i="1"/>
  <c r="AU584" i="1"/>
  <c r="AT584" i="1"/>
  <c r="AS584" i="1"/>
  <c r="AR584" i="1"/>
  <c r="AQ584" i="1"/>
  <c r="AP584" i="1"/>
  <c r="AM584" i="1"/>
  <c r="AL584" i="1"/>
  <c r="AK584" i="1"/>
  <c r="AJ584" i="1"/>
  <c r="AI584" i="1"/>
  <c r="AH584" i="1"/>
  <c r="AH584" i="1" a="1"/>
  <c r="AG584" i="1"/>
  <c r="AF584" i="1"/>
  <c r="BI583" i="1"/>
  <c r="BH583" i="1"/>
  <c r="BG583" i="1"/>
  <c r="BF583" i="1"/>
  <c r="BE583" i="1"/>
  <c r="BD583" i="1"/>
  <c r="BC583" i="1"/>
  <c r="BB583" i="1"/>
  <c r="BA583" i="1"/>
  <c r="AZ583" i="1"/>
  <c r="AY583" i="1"/>
  <c r="AX583" i="1"/>
  <c r="AW583" i="1"/>
  <c r="AV583" i="1"/>
  <c r="AU583" i="1"/>
  <c r="AT583" i="1"/>
  <c r="AS583" i="1"/>
  <c r="AR583" i="1"/>
  <c r="AQ583" i="1"/>
  <c r="AP583" i="1"/>
  <c r="AM583" i="1"/>
  <c r="AL583" i="1"/>
  <c r="AK583" i="1"/>
  <c r="AJ583" i="1"/>
  <c r="AI583" i="1"/>
  <c r="AH583" i="1"/>
  <c r="AH583" i="1" a="1"/>
  <c r="AG583" i="1"/>
  <c r="AF583" i="1"/>
  <c r="BI582" i="1"/>
  <c r="BH582" i="1"/>
  <c r="BG582" i="1"/>
  <c r="BF582" i="1"/>
  <c r="BE582" i="1"/>
  <c r="BD582" i="1"/>
  <c r="BC582" i="1"/>
  <c r="BB582" i="1"/>
  <c r="BA582" i="1"/>
  <c r="AZ582" i="1"/>
  <c r="AY582" i="1"/>
  <c r="AX582" i="1"/>
  <c r="AW582" i="1"/>
  <c r="AV582" i="1"/>
  <c r="AU582" i="1"/>
  <c r="AT582" i="1"/>
  <c r="AS582" i="1"/>
  <c r="AR582" i="1"/>
  <c r="AQ582" i="1"/>
  <c r="AP582" i="1"/>
  <c r="AM582" i="1"/>
  <c r="AL582" i="1"/>
  <c r="AK582" i="1"/>
  <c r="AJ582" i="1"/>
  <c r="AI582" i="1"/>
  <c r="AH582" i="1"/>
  <c r="AH582" i="1" a="1"/>
  <c r="AG582" i="1"/>
  <c r="AF582" i="1"/>
  <c r="BI581" i="1"/>
  <c r="BH581" i="1"/>
  <c r="BG581" i="1"/>
  <c r="BF581" i="1"/>
  <c r="BE581" i="1"/>
  <c r="BD581" i="1"/>
  <c r="BC581" i="1"/>
  <c r="BB581" i="1"/>
  <c r="BA581" i="1"/>
  <c r="AZ581" i="1"/>
  <c r="AY581" i="1"/>
  <c r="AX581" i="1"/>
  <c r="AW581" i="1"/>
  <c r="AV581" i="1"/>
  <c r="AU581" i="1"/>
  <c r="AT581" i="1"/>
  <c r="AS581" i="1"/>
  <c r="AR581" i="1"/>
  <c r="AQ581" i="1"/>
  <c r="AP581" i="1"/>
  <c r="AM581" i="1"/>
  <c r="AL581" i="1"/>
  <c r="AK581" i="1"/>
  <c r="AJ581" i="1"/>
  <c r="AI581" i="1"/>
  <c r="AH581" i="1"/>
  <c r="AH581" i="1" a="1"/>
  <c r="AG581" i="1"/>
  <c r="AF581" i="1"/>
  <c r="BI580" i="1"/>
  <c r="BH580" i="1"/>
  <c r="BG580" i="1"/>
  <c r="BF580" i="1"/>
  <c r="BE580" i="1"/>
  <c r="BD580" i="1"/>
  <c r="BC580" i="1"/>
  <c r="BB580" i="1"/>
  <c r="BA580" i="1"/>
  <c r="AZ580" i="1"/>
  <c r="AY580" i="1"/>
  <c r="AX580" i="1"/>
  <c r="AW580" i="1"/>
  <c r="AV580" i="1"/>
  <c r="AU580" i="1"/>
  <c r="AT580" i="1"/>
  <c r="AS580" i="1"/>
  <c r="AR580" i="1"/>
  <c r="AQ580" i="1"/>
  <c r="AP580" i="1"/>
  <c r="AM580" i="1"/>
  <c r="AL580" i="1"/>
  <c r="AK580" i="1"/>
  <c r="AJ580" i="1"/>
  <c r="AI580" i="1"/>
  <c r="AH580" i="1"/>
  <c r="AH580" i="1" a="1"/>
  <c r="AG580" i="1"/>
  <c r="AF580" i="1"/>
  <c r="BI579" i="1"/>
  <c r="BH579" i="1"/>
  <c r="BG579" i="1"/>
  <c r="BF579" i="1"/>
  <c r="BE579" i="1"/>
  <c r="BD579" i="1"/>
  <c r="BC579" i="1"/>
  <c r="BB579" i="1"/>
  <c r="BA579" i="1"/>
  <c r="AZ579" i="1"/>
  <c r="AY579" i="1"/>
  <c r="AX579" i="1"/>
  <c r="AW579" i="1"/>
  <c r="AV579" i="1"/>
  <c r="AU579" i="1"/>
  <c r="AT579" i="1"/>
  <c r="AS579" i="1"/>
  <c r="AR579" i="1"/>
  <c r="AQ579" i="1"/>
  <c r="AP579" i="1"/>
  <c r="AM579" i="1"/>
  <c r="AL579" i="1"/>
  <c r="AK579" i="1"/>
  <c r="AJ579" i="1"/>
  <c r="AI579" i="1"/>
  <c r="AH579" i="1"/>
  <c r="AH579" i="1" a="1"/>
  <c r="AG579" i="1"/>
  <c r="AF579" i="1"/>
  <c r="BI578" i="1"/>
  <c r="BH578" i="1"/>
  <c r="BG578" i="1"/>
  <c r="BF578" i="1"/>
  <c r="BE578" i="1"/>
  <c r="BD578" i="1"/>
  <c r="BC578" i="1"/>
  <c r="BB578" i="1"/>
  <c r="BA578" i="1"/>
  <c r="AZ578" i="1"/>
  <c r="AY578" i="1"/>
  <c r="AX578" i="1"/>
  <c r="AW578" i="1"/>
  <c r="AV578" i="1"/>
  <c r="AU578" i="1"/>
  <c r="AT578" i="1"/>
  <c r="AS578" i="1"/>
  <c r="AR578" i="1"/>
  <c r="AQ578" i="1"/>
  <c r="AP578" i="1"/>
  <c r="AM578" i="1"/>
  <c r="AL578" i="1"/>
  <c r="AK578" i="1"/>
  <c r="AJ578" i="1"/>
  <c r="AI578" i="1"/>
  <c r="AH578" i="1"/>
  <c r="AH578" i="1" a="1"/>
  <c r="AG578" i="1"/>
  <c r="AF578" i="1"/>
  <c r="BI577" i="1"/>
  <c r="BH577" i="1"/>
  <c r="BG577" i="1"/>
  <c r="BF577" i="1"/>
  <c r="BE577" i="1"/>
  <c r="BD577" i="1"/>
  <c r="BC577" i="1"/>
  <c r="BB577" i="1"/>
  <c r="BA577" i="1"/>
  <c r="AZ577" i="1"/>
  <c r="AY577" i="1"/>
  <c r="AX577" i="1"/>
  <c r="AW577" i="1"/>
  <c r="AV577" i="1"/>
  <c r="AU577" i="1"/>
  <c r="AT577" i="1"/>
  <c r="AS577" i="1"/>
  <c r="AR577" i="1"/>
  <c r="AQ577" i="1"/>
  <c r="AP577" i="1"/>
  <c r="AM577" i="1"/>
  <c r="AL577" i="1"/>
  <c r="AK577" i="1"/>
  <c r="AJ577" i="1"/>
  <c r="AI577" i="1"/>
  <c r="AH577" i="1"/>
  <c r="AH577" i="1" a="1"/>
  <c r="AG577" i="1"/>
  <c r="AF577" i="1"/>
  <c r="BI576" i="1"/>
  <c r="BH576" i="1"/>
  <c r="BG576" i="1"/>
  <c r="BF576" i="1"/>
  <c r="BE576" i="1"/>
  <c r="BD576" i="1"/>
  <c r="BC576" i="1"/>
  <c r="BB576" i="1"/>
  <c r="BA576" i="1"/>
  <c r="AZ576" i="1"/>
  <c r="AY576" i="1"/>
  <c r="AX576" i="1"/>
  <c r="AW576" i="1"/>
  <c r="AV576" i="1"/>
  <c r="AU576" i="1"/>
  <c r="AT576" i="1"/>
  <c r="AS576" i="1"/>
  <c r="AR576" i="1"/>
  <c r="AQ576" i="1"/>
  <c r="AP576" i="1"/>
  <c r="AM576" i="1"/>
  <c r="AL576" i="1"/>
  <c r="AK576" i="1"/>
  <c r="AJ576" i="1"/>
  <c r="AI576" i="1"/>
  <c r="AH576" i="1"/>
  <c r="AH576" i="1" a="1"/>
  <c r="AG576" i="1"/>
  <c r="AF576" i="1"/>
  <c r="BI575" i="1"/>
  <c r="BH575" i="1"/>
  <c r="BG575" i="1"/>
  <c r="BF575" i="1"/>
  <c r="BE575" i="1"/>
  <c r="BD575" i="1"/>
  <c r="BC575" i="1"/>
  <c r="BB575" i="1"/>
  <c r="BA575" i="1"/>
  <c r="AZ575" i="1"/>
  <c r="AY575" i="1"/>
  <c r="AX575" i="1"/>
  <c r="AW575" i="1"/>
  <c r="AV575" i="1"/>
  <c r="AU575" i="1"/>
  <c r="AT575" i="1"/>
  <c r="AS575" i="1"/>
  <c r="AR575" i="1"/>
  <c r="AQ575" i="1"/>
  <c r="AP575" i="1"/>
  <c r="AM575" i="1"/>
  <c r="AL575" i="1"/>
  <c r="AK575" i="1"/>
  <c r="AJ575" i="1"/>
  <c r="AI575" i="1"/>
  <c r="AH575" i="1"/>
  <c r="AH575" i="1" a="1"/>
  <c r="AG575" i="1"/>
  <c r="AF575" i="1"/>
  <c r="BI574" i="1"/>
  <c r="BH574" i="1"/>
  <c r="BG574" i="1"/>
  <c r="BF574" i="1"/>
  <c r="BE574" i="1"/>
  <c r="BD574" i="1"/>
  <c r="BC574" i="1"/>
  <c r="BB574" i="1"/>
  <c r="BA574" i="1"/>
  <c r="AZ574" i="1"/>
  <c r="AY574" i="1"/>
  <c r="AX574" i="1"/>
  <c r="AW574" i="1"/>
  <c r="AV574" i="1"/>
  <c r="AU574" i="1"/>
  <c r="AT574" i="1"/>
  <c r="AS574" i="1"/>
  <c r="AR574" i="1"/>
  <c r="AQ574" i="1"/>
  <c r="AP574" i="1"/>
  <c r="AM574" i="1"/>
  <c r="AL574" i="1"/>
  <c r="AK574" i="1"/>
  <c r="AJ574" i="1"/>
  <c r="AI574" i="1"/>
  <c r="AH574" i="1"/>
  <c r="AH574" i="1" a="1"/>
  <c r="AG574" i="1"/>
  <c r="AF574" i="1"/>
  <c r="BI573" i="1"/>
  <c r="BH573" i="1"/>
  <c r="BG573" i="1"/>
  <c r="BF573" i="1"/>
  <c r="BE573" i="1"/>
  <c r="BD573" i="1"/>
  <c r="BC573" i="1"/>
  <c r="BB573" i="1"/>
  <c r="BA573" i="1"/>
  <c r="AZ573" i="1"/>
  <c r="AY573" i="1"/>
  <c r="AX573" i="1"/>
  <c r="AW573" i="1"/>
  <c r="AV573" i="1"/>
  <c r="AU573" i="1"/>
  <c r="AT573" i="1"/>
  <c r="AS573" i="1"/>
  <c r="AR573" i="1"/>
  <c r="AQ573" i="1"/>
  <c r="AP573" i="1"/>
  <c r="AM573" i="1"/>
  <c r="AL573" i="1"/>
  <c r="AK573" i="1"/>
  <c r="AJ573" i="1"/>
  <c r="AI573" i="1"/>
  <c r="AH573" i="1"/>
  <c r="AH573" i="1" a="1"/>
  <c r="AG573" i="1"/>
  <c r="AF573" i="1"/>
  <c r="BI572" i="1"/>
  <c r="BH572" i="1"/>
  <c r="BG572" i="1"/>
  <c r="BF572" i="1"/>
  <c r="BE572" i="1"/>
  <c r="BD572" i="1"/>
  <c r="BC572" i="1"/>
  <c r="BB572" i="1"/>
  <c r="BA572" i="1"/>
  <c r="AZ572" i="1"/>
  <c r="AY572" i="1"/>
  <c r="AX572" i="1"/>
  <c r="AW572" i="1"/>
  <c r="AV572" i="1"/>
  <c r="AU572" i="1"/>
  <c r="AT572" i="1"/>
  <c r="AS572" i="1"/>
  <c r="AR572" i="1"/>
  <c r="AQ572" i="1"/>
  <c r="AP572" i="1"/>
  <c r="AM572" i="1"/>
  <c r="AL572" i="1"/>
  <c r="AK572" i="1"/>
  <c r="AJ572" i="1"/>
  <c r="AI572" i="1"/>
  <c r="AH572" i="1"/>
  <c r="AH572" i="1" a="1"/>
  <c r="AG572" i="1"/>
  <c r="AF572" i="1"/>
  <c r="BI571" i="1"/>
  <c r="BH571" i="1"/>
  <c r="BG571" i="1"/>
  <c r="BF571" i="1"/>
  <c r="BE571" i="1"/>
  <c r="BD571" i="1"/>
  <c r="BC571" i="1"/>
  <c r="BB571" i="1"/>
  <c r="BA571" i="1"/>
  <c r="AZ571" i="1"/>
  <c r="AY571" i="1"/>
  <c r="AX571" i="1"/>
  <c r="AW571" i="1"/>
  <c r="AV571" i="1"/>
  <c r="AU571" i="1"/>
  <c r="AT571" i="1"/>
  <c r="AS571" i="1"/>
  <c r="AR571" i="1"/>
  <c r="AQ571" i="1"/>
  <c r="AP571" i="1"/>
  <c r="AM571" i="1"/>
  <c r="AL571" i="1"/>
  <c r="AK571" i="1"/>
  <c r="AJ571" i="1"/>
  <c r="AI571" i="1"/>
  <c r="AH571" i="1"/>
  <c r="AH571" i="1" a="1"/>
  <c r="AG571" i="1"/>
  <c r="AF571" i="1"/>
  <c r="BI570" i="1"/>
  <c r="BH570" i="1"/>
  <c r="BG570" i="1"/>
  <c r="BF570" i="1"/>
  <c r="BE570" i="1"/>
  <c r="BD570" i="1"/>
  <c r="BC570" i="1"/>
  <c r="BB570" i="1"/>
  <c r="BA570" i="1"/>
  <c r="AZ570" i="1"/>
  <c r="AY570" i="1"/>
  <c r="AX570" i="1"/>
  <c r="AW570" i="1"/>
  <c r="AV570" i="1"/>
  <c r="AU570" i="1"/>
  <c r="AT570" i="1"/>
  <c r="AS570" i="1"/>
  <c r="AR570" i="1"/>
  <c r="AQ570" i="1"/>
  <c r="AP570" i="1"/>
  <c r="AM570" i="1"/>
  <c r="AL570" i="1"/>
  <c r="AK570" i="1"/>
  <c r="AJ570" i="1"/>
  <c r="AI570" i="1"/>
  <c r="AH570" i="1"/>
  <c r="AH570" i="1" a="1"/>
  <c r="AG570" i="1"/>
  <c r="AF570" i="1"/>
  <c r="BI569" i="1"/>
  <c r="BH569" i="1"/>
  <c r="BG569" i="1"/>
  <c r="BF569" i="1"/>
  <c r="BE569" i="1"/>
  <c r="BD569" i="1"/>
  <c r="BC569" i="1"/>
  <c r="BB569" i="1"/>
  <c r="BA569" i="1"/>
  <c r="AZ569" i="1"/>
  <c r="AY569" i="1"/>
  <c r="AX569" i="1"/>
  <c r="AW569" i="1"/>
  <c r="AV569" i="1"/>
  <c r="AU569" i="1"/>
  <c r="AT569" i="1"/>
  <c r="AS569" i="1"/>
  <c r="AR569" i="1"/>
  <c r="AQ569" i="1"/>
  <c r="AP569" i="1"/>
  <c r="AM569" i="1"/>
  <c r="AL569" i="1"/>
  <c r="AK569" i="1"/>
  <c r="AJ569" i="1"/>
  <c r="AI569" i="1"/>
  <c r="AH569" i="1"/>
  <c r="AH569" i="1" a="1"/>
  <c r="AG569" i="1"/>
  <c r="AF569" i="1"/>
  <c r="BI568" i="1"/>
  <c r="BH568" i="1"/>
  <c r="BG568" i="1"/>
  <c r="BF568" i="1"/>
  <c r="BE568" i="1"/>
  <c r="BD568" i="1"/>
  <c r="BC568" i="1"/>
  <c r="BB568" i="1"/>
  <c r="BA568" i="1"/>
  <c r="AZ568" i="1"/>
  <c r="AY568" i="1"/>
  <c r="AX568" i="1"/>
  <c r="AW568" i="1"/>
  <c r="AV568" i="1"/>
  <c r="AU568" i="1"/>
  <c r="AT568" i="1"/>
  <c r="AS568" i="1"/>
  <c r="AR568" i="1"/>
  <c r="AQ568" i="1"/>
  <c r="AP568" i="1"/>
  <c r="AM568" i="1"/>
  <c r="AL568" i="1"/>
  <c r="AK568" i="1"/>
  <c r="AJ568" i="1"/>
  <c r="AI568" i="1"/>
  <c r="AH568" i="1"/>
  <c r="AH568" i="1" a="1"/>
  <c r="AG568" i="1"/>
  <c r="AF568" i="1"/>
  <c r="BI567" i="1"/>
  <c r="BH567" i="1"/>
  <c r="BG567" i="1"/>
  <c r="BF567" i="1"/>
  <c r="BE567" i="1"/>
  <c r="BD567" i="1"/>
  <c r="BC567" i="1"/>
  <c r="BB567" i="1"/>
  <c r="BA567" i="1"/>
  <c r="AZ567" i="1"/>
  <c r="AY567" i="1"/>
  <c r="AX567" i="1"/>
  <c r="AW567" i="1"/>
  <c r="AV567" i="1"/>
  <c r="AU567" i="1"/>
  <c r="AT567" i="1"/>
  <c r="AS567" i="1"/>
  <c r="AR567" i="1"/>
  <c r="AQ567" i="1"/>
  <c r="AP567" i="1"/>
  <c r="AM567" i="1"/>
  <c r="AL567" i="1"/>
  <c r="AK567" i="1"/>
  <c r="AJ567" i="1"/>
  <c r="AI567" i="1"/>
  <c r="AH567" i="1"/>
  <c r="AH567" i="1" a="1"/>
  <c r="AG567" i="1"/>
  <c r="AF567" i="1"/>
  <c r="BI566" i="1"/>
  <c r="BH566" i="1"/>
  <c r="BG566" i="1"/>
  <c r="BF566" i="1"/>
  <c r="BE566" i="1"/>
  <c r="BD566" i="1"/>
  <c r="BC566" i="1"/>
  <c r="BB566" i="1"/>
  <c r="BA566" i="1"/>
  <c r="AZ566" i="1"/>
  <c r="AY566" i="1"/>
  <c r="AX566" i="1"/>
  <c r="AW566" i="1"/>
  <c r="AV566" i="1"/>
  <c r="AU566" i="1"/>
  <c r="AT566" i="1"/>
  <c r="AS566" i="1"/>
  <c r="AR566" i="1"/>
  <c r="AQ566" i="1"/>
  <c r="AP566" i="1"/>
  <c r="AM566" i="1"/>
  <c r="AL566" i="1"/>
  <c r="AK566" i="1"/>
  <c r="AJ566" i="1"/>
  <c r="AI566" i="1"/>
  <c r="AH566" i="1"/>
  <c r="AH566" i="1" a="1"/>
  <c r="AG566" i="1"/>
  <c r="AF566" i="1"/>
  <c r="BI565" i="1"/>
  <c r="BH565" i="1"/>
  <c r="BG565" i="1"/>
  <c r="BF565" i="1"/>
  <c r="BE565" i="1"/>
  <c r="BD565" i="1"/>
  <c r="BC565" i="1"/>
  <c r="BB565" i="1"/>
  <c r="BA565" i="1"/>
  <c r="AZ565" i="1"/>
  <c r="AY565" i="1"/>
  <c r="AX565" i="1"/>
  <c r="AW565" i="1"/>
  <c r="AV565" i="1"/>
  <c r="AU565" i="1"/>
  <c r="AT565" i="1"/>
  <c r="AS565" i="1"/>
  <c r="AR565" i="1"/>
  <c r="AQ565" i="1"/>
  <c r="AP565" i="1"/>
  <c r="AM565" i="1"/>
  <c r="AL565" i="1"/>
  <c r="AK565" i="1"/>
  <c r="AJ565" i="1"/>
  <c r="AI565" i="1"/>
  <c r="AH565" i="1"/>
  <c r="AH565" i="1" a="1"/>
  <c r="AG565" i="1"/>
  <c r="AF565" i="1"/>
  <c r="BI564" i="1"/>
  <c r="BH564" i="1"/>
  <c r="BG564" i="1"/>
  <c r="BF564" i="1"/>
  <c r="BE564" i="1"/>
  <c r="BD564" i="1"/>
  <c r="BC564" i="1"/>
  <c r="BB564" i="1"/>
  <c r="BA564" i="1"/>
  <c r="AZ564" i="1"/>
  <c r="AY564" i="1"/>
  <c r="AX564" i="1"/>
  <c r="AW564" i="1"/>
  <c r="AV564" i="1"/>
  <c r="AU564" i="1"/>
  <c r="AT564" i="1"/>
  <c r="AS564" i="1"/>
  <c r="AR564" i="1"/>
  <c r="AQ564" i="1"/>
  <c r="AP564" i="1"/>
  <c r="AM564" i="1"/>
  <c r="AL564" i="1"/>
  <c r="AK564" i="1"/>
  <c r="AJ564" i="1"/>
  <c r="AI564" i="1"/>
  <c r="AH564" i="1"/>
  <c r="AH564" i="1" a="1"/>
  <c r="AG564" i="1"/>
  <c r="AF564" i="1"/>
  <c r="BI563" i="1"/>
  <c r="BH563" i="1"/>
  <c r="BG563" i="1"/>
  <c r="BF563" i="1"/>
  <c r="BE563" i="1"/>
  <c r="BD563" i="1"/>
  <c r="BC563" i="1"/>
  <c r="BB563" i="1"/>
  <c r="BA563" i="1"/>
  <c r="AZ563" i="1"/>
  <c r="AY563" i="1"/>
  <c r="AX563" i="1"/>
  <c r="AW563" i="1"/>
  <c r="AV563" i="1"/>
  <c r="AU563" i="1"/>
  <c r="AT563" i="1"/>
  <c r="AS563" i="1"/>
  <c r="AR563" i="1"/>
  <c r="AQ563" i="1"/>
  <c r="AP563" i="1"/>
  <c r="AM563" i="1"/>
  <c r="AL563" i="1"/>
  <c r="AK563" i="1"/>
  <c r="AJ563" i="1"/>
  <c r="AI563" i="1"/>
  <c r="AH563" i="1"/>
  <c r="AH563" i="1" a="1"/>
  <c r="AG563" i="1"/>
  <c r="AF563" i="1"/>
  <c r="BI562" i="1"/>
  <c r="BH562" i="1"/>
  <c r="BG562" i="1"/>
  <c r="BF562" i="1"/>
  <c r="BE562" i="1"/>
  <c r="BD562" i="1"/>
  <c r="BC562" i="1"/>
  <c r="BB562" i="1"/>
  <c r="BA562" i="1"/>
  <c r="AZ562" i="1"/>
  <c r="AY562" i="1"/>
  <c r="AX562" i="1"/>
  <c r="AW562" i="1"/>
  <c r="AV562" i="1"/>
  <c r="AU562" i="1"/>
  <c r="AT562" i="1"/>
  <c r="AS562" i="1"/>
  <c r="AR562" i="1"/>
  <c r="AQ562" i="1"/>
  <c r="AP562" i="1"/>
  <c r="AM562" i="1"/>
  <c r="AL562" i="1"/>
  <c r="AK562" i="1"/>
  <c r="AJ562" i="1"/>
  <c r="AI562" i="1"/>
  <c r="AH562" i="1"/>
  <c r="AH562" i="1" a="1"/>
  <c r="AG562" i="1"/>
  <c r="AF562" i="1"/>
  <c r="BI561" i="1"/>
  <c r="BH561" i="1"/>
  <c r="BG561" i="1"/>
  <c r="BF561" i="1"/>
  <c r="BE561" i="1"/>
  <c r="BD561" i="1"/>
  <c r="BC561" i="1"/>
  <c r="BB561" i="1"/>
  <c r="BA561" i="1"/>
  <c r="AZ561" i="1"/>
  <c r="AY561" i="1"/>
  <c r="AX561" i="1"/>
  <c r="AW561" i="1"/>
  <c r="AV561" i="1"/>
  <c r="AU561" i="1"/>
  <c r="AT561" i="1"/>
  <c r="AS561" i="1"/>
  <c r="AR561" i="1"/>
  <c r="AQ561" i="1"/>
  <c r="AP561" i="1"/>
  <c r="AM561" i="1"/>
  <c r="AL561" i="1"/>
  <c r="AK561" i="1"/>
  <c r="AJ561" i="1"/>
  <c r="AI561" i="1"/>
  <c r="AH561" i="1"/>
  <c r="AH561" i="1" a="1"/>
  <c r="AG561" i="1"/>
  <c r="AF561" i="1"/>
  <c r="BI560" i="1"/>
  <c r="BH560" i="1"/>
  <c r="BG560" i="1"/>
  <c r="BF560" i="1"/>
  <c r="BE560" i="1"/>
  <c r="BD560" i="1"/>
  <c r="BC560" i="1"/>
  <c r="BB560" i="1"/>
  <c r="BA560" i="1"/>
  <c r="AZ560" i="1"/>
  <c r="AY560" i="1"/>
  <c r="AX560" i="1"/>
  <c r="AW560" i="1"/>
  <c r="AV560" i="1"/>
  <c r="AU560" i="1"/>
  <c r="AT560" i="1"/>
  <c r="AS560" i="1"/>
  <c r="AR560" i="1"/>
  <c r="AQ560" i="1"/>
  <c r="AP560" i="1"/>
  <c r="AM560" i="1"/>
  <c r="AL560" i="1"/>
  <c r="AK560" i="1"/>
  <c r="AJ560" i="1"/>
  <c r="AI560" i="1"/>
  <c r="AH560" i="1"/>
  <c r="AH560" i="1" a="1"/>
  <c r="AG560" i="1"/>
  <c r="AF560" i="1"/>
  <c r="BI559" i="1"/>
  <c r="BH559" i="1"/>
  <c r="BG559" i="1"/>
  <c r="BF559" i="1"/>
  <c r="BE559" i="1"/>
  <c r="BD559" i="1"/>
  <c r="BC559" i="1"/>
  <c r="BB559" i="1"/>
  <c r="BA559" i="1"/>
  <c r="AZ559" i="1"/>
  <c r="AY559" i="1"/>
  <c r="AX559" i="1"/>
  <c r="AW559" i="1"/>
  <c r="AV559" i="1"/>
  <c r="AU559" i="1"/>
  <c r="AT559" i="1"/>
  <c r="AS559" i="1"/>
  <c r="AR559" i="1"/>
  <c r="AQ559" i="1"/>
  <c r="AP559" i="1"/>
  <c r="AM559" i="1"/>
  <c r="AL559" i="1"/>
  <c r="AK559" i="1"/>
  <c r="AJ559" i="1"/>
  <c r="AI559" i="1"/>
  <c r="AH559" i="1"/>
  <c r="AH559" i="1" a="1"/>
  <c r="AG559" i="1"/>
  <c r="AF559" i="1"/>
  <c r="BI558" i="1"/>
  <c r="BH558" i="1"/>
  <c r="BG558" i="1"/>
  <c r="BF558" i="1"/>
  <c r="BE558" i="1"/>
  <c r="BD558" i="1"/>
  <c r="BC558" i="1"/>
  <c r="BB558" i="1"/>
  <c r="BA558" i="1"/>
  <c r="AZ558" i="1"/>
  <c r="AY558" i="1"/>
  <c r="AX558" i="1"/>
  <c r="AW558" i="1"/>
  <c r="AV558" i="1"/>
  <c r="AU558" i="1"/>
  <c r="AT558" i="1"/>
  <c r="AS558" i="1"/>
  <c r="AR558" i="1"/>
  <c r="AQ558" i="1"/>
  <c r="AP558" i="1"/>
  <c r="AM558" i="1"/>
  <c r="AL558" i="1"/>
  <c r="AK558" i="1"/>
  <c r="AJ558" i="1"/>
  <c r="AI558" i="1"/>
  <c r="AH558" i="1"/>
  <c r="AH558" i="1" a="1"/>
  <c r="AG558" i="1"/>
  <c r="AF558" i="1"/>
  <c r="BI557" i="1"/>
  <c r="BH557" i="1"/>
  <c r="BG557" i="1"/>
  <c r="BF557" i="1"/>
  <c r="BE557" i="1"/>
  <c r="BD557" i="1"/>
  <c r="BC557" i="1"/>
  <c r="BB557" i="1"/>
  <c r="BA557" i="1"/>
  <c r="AZ557" i="1"/>
  <c r="AY557" i="1"/>
  <c r="AX557" i="1"/>
  <c r="AW557" i="1"/>
  <c r="AV557" i="1"/>
  <c r="AU557" i="1"/>
  <c r="AT557" i="1"/>
  <c r="AS557" i="1"/>
  <c r="AR557" i="1"/>
  <c r="AQ557" i="1"/>
  <c r="AP557" i="1"/>
  <c r="AM557" i="1"/>
  <c r="AL557" i="1"/>
  <c r="AK557" i="1"/>
  <c r="AJ557" i="1"/>
  <c r="AI557" i="1"/>
  <c r="AH557" i="1"/>
  <c r="AH557" i="1" a="1"/>
  <c r="AG557" i="1"/>
  <c r="AF557" i="1"/>
  <c r="BI556" i="1"/>
  <c r="BH556" i="1"/>
  <c r="BG556" i="1"/>
  <c r="BF556" i="1"/>
  <c r="BE556" i="1"/>
  <c r="BD556" i="1"/>
  <c r="BC556" i="1"/>
  <c r="BB556" i="1"/>
  <c r="BA556" i="1"/>
  <c r="AZ556" i="1"/>
  <c r="AY556" i="1"/>
  <c r="AX556" i="1"/>
  <c r="AW556" i="1"/>
  <c r="AV556" i="1"/>
  <c r="AU556" i="1"/>
  <c r="AT556" i="1"/>
  <c r="AS556" i="1"/>
  <c r="AR556" i="1"/>
  <c r="AQ556" i="1"/>
  <c r="AP556" i="1"/>
  <c r="AM556" i="1"/>
  <c r="AL556" i="1"/>
  <c r="AK556" i="1"/>
  <c r="AJ556" i="1"/>
  <c r="AI556" i="1"/>
  <c r="AH556" i="1"/>
  <c r="AH556" i="1" a="1"/>
  <c r="AG556" i="1"/>
  <c r="AF556" i="1"/>
  <c r="BI555" i="1"/>
  <c r="BH555" i="1"/>
  <c r="BG555" i="1"/>
  <c r="BF555" i="1"/>
  <c r="BE555" i="1"/>
  <c r="BD555" i="1"/>
  <c r="BC555" i="1"/>
  <c r="BB555" i="1"/>
  <c r="BA555" i="1"/>
  <c r="AZ555" i="1"/>
  <c r="AY555" i="1"/>
  <c r="AX555" i="1"/>
  <c r="AW555" i="1"/>
  <c r="AV555" i="1"/>
  <c r="AU555" i="1"/>
  <c r="AT555" i="1"/>
  <c r="AS555" i="1"/>
  <c r="AR555" i="1"/>
  <c r="AQ555" i="1"/>
  <c r="AP555" i="1"/>
  <c r="AM555" i="1"/>
  <c r="AL555" i="1"/>
  <c r="AK555" i="1"/>
  <c r="AJ555" i="1"/>
  <c r="AI555" i="1"/>
  <c r="AH555" i="1"/>
  <c r="AH555" i="1" a="1"/>
  <c r="AG555" i="1"/>
  <c r="AF555" i="1"/>
  <c r="BI554" i="1"/>
  <c r="BH554" i="1"/>
  <c r="BG554" i="1"/>
  <c r="BF554" i="1"/>
  <c r="BE554" i="1"/>
  <c r="BD554" i="1"/>
  <c r="BC554" i="1"/>
  <c r="BB554" i="1"/>
  <c r="BA554" i="1"/>
  <c r="AZ554" i="1"/>
  <c r="AY554" i="1"/>
  <c r="AX554" i="1"/>
  <c r="AW554" i="1"/>
  <c r="AV554" i="1"/>
  <c r="AU554" i="1"/>
  <c r="AT554" i="1"/>
  <c r="AS554" i="1"/>
  <c r="AR554" i="1"/>
  <c r="AQ554" i="1"/>
  <c r="AP554" i="1"/>
  <c r="AM554" i="1"/>
  <c r="AL554" i="1"/>
  <c r="AK554" i="1"/>
  <c r="AJ554" i="1"/>
  <c r="AI554" i="1"/>
  <c r="AH554" i="1"/>
  <c r="AH554" i="1" a="1"/>
  <c r="AG554" i="1"/>
  <c r="AF554" i="1"/>
  <c r="BI553" i="1"/>
  <c r="BH553" i="1"/>
  <c r="BG553" i="1"/>
  <c r="BF553" i="1"/>
  <c r="BE553" i="1"/>
  <c r="BD553" i="1"/>
  <c r="BC553" i="1"/>
  <c r="BB553" i="1"/>
  <c r="BA553" i="1"/>
  <c r="AZ553" i="1"/>
  <c r="AY553" i="1"/>
  <c r="AX553" i="1"/>
  <c r="AW553" i="1"/>
  <c r="AV553" i="1"/>
  <c r="AU553" i="1"/>
  <c r="AT553" i="1"/>
  <c r="AS553" i="1"/>
  <c r="AR553" i="1"/>
  <c r="AQ553" i="1"/>
  <c r="AP553" i="1"/>
  <c r="AM553" i="1"/>
  <c r="AL553" i="1"/>
  <c r="AK553" i="1"/>
  <c r="AJ553" i="1"/>
  <c r="AI553" i="1"/>
  <c r="AH553" i="1"/>
  <c r="AH553" i="1" a="1"/>
  <c r="AG553" i="1"/>
  <c r="AF553" i="1"/>
  <c r="BI552" i="1"/>
  <c r="BH552" i="1"/>
  <c r="BG552" i="1"/>
  <c r="BF552" i="1"/>
  <c r="BE552" i="1"/>
  <c r="BD552" i="1"/>
  <c r="BC552" i="1"/>
  <c r="BB552" i="1"/>
  <c r="BA552" i="1"/>
  <c r="AZ552" i="1"/>
  <c r="AY552" i="1"/>
  <c r="AX552" i="1"/>
  <c r="AW552" i="1"/>
  <c r="AV552" i="1"/>
  <c r="AU552" i="1"/>
  <c r="AT552" i="1"/>
  <c r="AS552" i="1"/>
  <c r="AR552" i="1"/>
  <c r="AQ552" i="1"/>
  <c r="AP552" i="1"/>
  <c r="AM552" i="1"/>
  <c r="AL552" i="1"/>
  <c r="AK552" i="1"/>
  <c r="AJ552" i="1"/>
  <c r="AI552" i="1"/>
  <c r="AH552" i="1"/>
  <c r="AH552" i="1" a="1"/>
  <c r="AG552" i="1"/>
  <c r="AF552" i="1"/>
  <c r="BI551" i="1"/>
  <c r="BH551" i="1"/>
  <c r="BG551" i="1"/>
  <c r="BF551" i="1"/>
  <c r="BE551" i="1"/>
  <c r="BD551" i="1"/>
  <c r="BC551" i="1"/>
  <c r="BB551" i="1"/>
  <c r="BA551" i="1"/>
  <c r="AZ551" i="1"/>
  <c r="AY551" i="1"/>
  <c r="AX551" i="1"/>
  <c r="AW551" i="1"/>
  <c r="AV551" i="1"/>
  <c r="AU551" i="1"/>
  <c r="AT551" i="1"/>
  <c r="AS551" i="1"/>
  <c r="AR551" i="1"/>
  <c r="AQ551" i="1"/>
  <c r="AP551" i="1"/>
  <c r="AM551" i="1"/>
  <c r="AL551" i="1"/>
  <c r="AK551" i="1"/>
  <c r="AJ551" i="1"/>
  <c r="AI551" i="1"/>
  <c r="AH551" i="1"/>
  <c r="AH551" i="1" a="1"/>
  <c r="AG551" i="1"/>
  <c r="AF551" i="1"/>
  <c r="BI550" i="1"/>
  <c r="BH550" i="1"/>
  <c r="BG550" i="1"/>
  <c r="BF550" i="1"/>
  <c r="BE550" i="1"/>
  <c r="BD550" i="1"/>
  <c r="BC550" i="1"/>
  <c r="BB550" i="1"/>
  <c r="BA550" i="1"/>
  <c r="AZ550" i="1"/>
  <c r="AY550" i="1"/>
  <c r="AX550" i="1"/>
  <c r="AW550" i="1"/>
  <c r="AV550" i="1"/>
  <c r="AU550" i="1"/>
  <c r="AT550" i="1"/>
  <c r="AS550" i="1"/>
  <c r="AR550" i="1"/>
  <c r="AQ550" i="1"/>
  <c r="AP550" i="1"/>
  <c r="AM550" i="1"/>
  <c r="AL550" i="1"/>
  <c r="AK550" i="1"/>
  <c r="AJ550" i="1"/>
  <c r="AI550" i="1"/>
  <c r="AH550" i="1"/>
  <c r="AH550" i="1" a="1"/>
  <c r="AG550" i="1"/>
  <c r="AF550" i="1"/>
  <c r="BI549" i="1"/>
  <c r="BH549" i="1"/>
  <c r="BG549" i="1"/>
  <c r="BF549" i="1"/>
  <c r="BE549" i="1"/>
  <c r="BD549" i="1"/>
  <c r="BC549" i="1"/>
  <c r="BB549" i="1"/>
  <c r="BA549" i="1"/>
  <c r="AZ549" i="1"/>
  <c r="AY549" i="1"/>
  <c r="AX549" i="1"/>
  <c r="AW549" i="1"/>
  <c r="AV549" i="1"/>
  <c r="AU549" i="1"/>
  <c r="AT549" i="1"/>
  <c r="AS549" i="1"/>
  <c r="AR549" i="1"/>
  <c r="AQ549" i="1"/>
  <c r="AP549" i="1"/>
  <c r="AM549" i="1"/>
  <c r="AL549" i="1"/>
  <c r="AK549" i="1"/>
  <c r="AJ549" i="1"/>
  <c r="AI549" i="1"/>
  <c r="AH549" i="1"/>
  <c r="AH549" i="1" a="1"/>
  <c r="AG549" i="1"/>
  <c r="AF549" i="1"/>
  <c r="BI548" i="1"/>
  <c r="BH548" i="1"/>
  <c r="BG548" i="1"/>
  <c r="BF548" i="1"/>
  <c r="BE548" i="1"/>
  <c r="BD548" i="1"/>
  <c r="BC548" i="1"/>
  <c r="BB548" i="1"/>
  <c r="BA548" i="1"/>
  <c r="AZ548" i="1"/>
  <c r="AY548" i="1"/>
  <c r="AX548" i="1"/>
  <c r="AW548" i="1"/>
  <c r="AV548" i="1"/>
  <c r="AU548" i="1"/>
  <c r="AT548" i="1"/>
  <c r="AS548" i="1"/>
  <c r="AR548" i="1"/>
  <c r="AQ548" i="1"/>
  <c r="AP548" i="1"/>
  <c r="AM548" i="1"/>
  <c r="AL548" i="1"/>
  <c r="AK548" i="1"/>
  <c r="AJ548" i="1"/>
  <c r="AI548" i="1"/>
  <c r="AH548" i="1"/>
  <c r="AH548" i="1" a="1"/>
  <c r="AG548" i="1"/>
  <c r="AF548" i="1"/>
  <c r="BI547" i="1"/>
  <c r="BH547" i="1"/>
  <c r="BG547" i="1"/>
  <c r="BF547" i="1"/>
  <c r="BE547" i="1"/>
  <c r="BD547" i="1"/>
  <c r="BC547" i="1"/>
  <c r="BB547" i="1"/>
  <c r="BA547" i="1"/>
  <c r="AZ547" i="1"/>
  <c r="AY547" i="1"/>
  <c r="AX547" i="1"/>
  <c r="AW547" i="1"/>
  <c r="AV547" i="1"/>
  <c r="AU547" i="1"/>
  <c r="AT547" i="1"/>
  <c r="AS547" i="1"/>
  <c r="AR547" i="1"/>
  <c r="AQ547" i="1"/>
  <c r="AP547" i="1"/>
  <c r="AM547" i="1"/>
  <c r="AL547" i="1"/>
  <c r="AK547" i="1"/>
  <c r="AJ547" i="1"/>
  <c r="AI547" i="1"/>
  <c r="AH547" i="1"/>
  <c r="AH547" i="1" a="1"/>
  <c r="AG547" i="1"/>
  <c r="AF547" i="1"/>
  <c r="BI546" i="1"/>
  <c r="BH546" i="1"/>
  <c r="BG546" i="1"/>
  <c r="BF546" i="1"/>
  <c r="BE546" i="1"/>
  <c r="BD546" i="1"/>
  <c r="BC546" i="1"/>
  <c r="BB546" i="1"/>
  <c r="BA546" i="1"/>
  <c r="AZ546" i="1"/>
  <c r="AY546" i="1"/>
  <c r="AX546" i="1"/>
  <c r="AW546" i="1"/>
  <c r="AV546" i="1"/>
  <c r="AU546" i="1"/>
  <c r="AT546" i="1"/>
  <c r="AS546" i="1"/>
  <c r="AR546" i="1"/>
  <c r="AQ546" i="1"/>
  <c r="AP546" i="1"/>
  <c r="AM546" i="1"/>
  <c r="AL546" i="1"/>
  <c r="AK546" i="1"/>
  <c r="AJ546" i="1"/>
  <c r="AI546" i="1"/>
  <c r="AH546" i="1"/>
  <c r="AH546" i="1" a="1"/>
  <c r="AG546" i="1"/>
  <c r="AF546" i="1"/>
  <c r="BI545" i="1"/>
  <c r="BH545" i="1"/>
  <c r="BG545" i="1"/>
  <c r="BF545" i="1"/>
  <c r="BE545" i="1"/>
  <c r="BD545" i="1"/>
  <c r="BC545" i="1"/>
  <c r="BB545" i="1"/>
  <c r="BA545" i="1"/>
  <c r="AZ545" i="1"/>
  <c r="AY545" i="1"/>
  <c r="AX545" i="1"/>
  <c r="AW545" i="1"/>
  <c r="AV545" i="1"/>
  <c r="AU545" i="1"/>
  <c r="AT545" i="1"/>
  <c r="AS545" i="1"/>
  <c r="AR545" i="1"/>
  <c r="AQ545" i="1"/>
  <c r="AP545" i="1"/>
  <c r="AM545" i="1"/>
  <c r="AL545" i="1"/>
  <c r="AK545" i="1"/>
  <c r="AJ545" i="1"/>
  <c r="AI545" i="1"/>
  <c r="AH545" i="1"/>
  <c r="AH545" i="1" a="1"/>
  <c r="AG545" i="1"/>
  <c r="AF545" i="1"/>
  <c r="BI544" i="1"/>
  <c r="BH544" i="1"/>
  <c r="BG544" i="1"/>
  <c r="BF544" i="1"/>
  <c r="BE544" i="1"/>
  <c r="BD544" i="1"/>
  <c r="BC544" i="1"/>
  <c r="BB544" i="1"/>
  <c r="BA544" i="1"/>
  <c r="AZ544" i="1"/>
  <c r="AY544" i="1"/>
  <c r="AX544" i="1"/>
  <c r="AW544" i="1"/>
  <c r="AV544" i="1"/>
  <c r="AU544" i="1"/>
  <c r="AT544" i="1"/>
  <c r="AS544" i="1"/>
  <c r="AR544" i="1"/>
  <c r="AQ544" i="1"/>
  <c r="AP544" i="1"/>
  <c r="AM544" i="1"/>
  <c r="AL544" i="1"/>
  <c r="AK544" i="1"/>
  <c r="AJ544" i="1"/>
  <c r="AI544" i="1"/>
  <c r="AH544" i="1"/>
  <c r="AH544" i="1" a="1"/>
  <c r="AG544" i="1"/>
  <c r="AF544" i="1"/>
  <c r="BI543" i="1"/>
  <c r="BH543" i="1"/>
  <c r="BG543" i="1"/>
  <c r="BF543" i="1"/>
  <c r="BE543" i="1"/>
  <c r="BD543" i="1"/>
  <c r="BC543" i="1"/>
  <c r="BB543" i="1"/>
  <c r="BA543" i="1"/>
  <c r="AZ543" i="1"/>
  <c r="AY543" i="1"/>
  <c r="AX543" i="1"/>
  <c r="AW543" i="1"/>
  <c r="AV543" i="1"/>
  <c r="AU543" i="1"/>
  <c r="AT543" i="1"/>
  <c r="AS543" i="1"/>
  <c r="AR543" i="1"/>
  <c r="AQ543" i="1"/>
  <c r="AP543" i="1"/>
  <c r="AM543" i="1"/>
  <c r="AL543" i="1"/>
  <c r="AK543" i="1"/>
  <c r="AJ543" i="1"/>
  <c r="AI543" i="1"/>
  <c r="AH543" i="1"/>
  <c r="AH543" i="1" a="1"/>
  <c r="AG543" i="1"/>
  <c r="AF543" i="1"/>
  <c r="BI542" i="1"/>
  <c r="BH542" i="1"/>
  <c r="BG542" i="1"/>
  <c r="BF542" i="1"/>
  <c r="BE542" i="1"/>
  <c r="BD542" i="1"/>
  <c r="BC542" i="1"/>
  <c r="BB542" i="1"/>
  <c r="BA542" i="1"/>
  <c r="AZ542" i="1"/>
  <c r="AY542" i="1"/>
  <c r="AX542" i="1"/>
  <c r="AW542" i="1"/>
  <c r="AV542" i="1"/>
  <c r="AU542" i="1"/>
  <c r="AT542" i="1"/>
  <c r="AS542" i="1"/>
  <c r="AR542" i="1"/>
  <c r="AQ542" i="1"/>
  <c r="AP542" i="1"/>
  <c r="AM542" i="1"/>
  <c r="AL542" i="1"/>
  <c r="AK542" i="1"/>
  <c r="AJ542" i="1"/>
  <c r="AI542" i="1"/>
  <c r="AH542" i="1"/>
  <c r="AH542" i="1" a="1"/>
  <c r="AG542" i="1"/>
  <c r="AF542" i="1"/>
  <c r="BI541" i="1"/>
  <c r="BH541" i="1"/>
  <c r="BG541" i="1"/>
  <c r="BF541" i="1"/>
  <c r="BE541" i="1"/>
  <c r="BD541" i="1"/>
  <c r="BC541" i="1"/>
  <c r="BB541" i="1"/>
  <c r="BA541" i="1"/>
  <c r="AZ541" i="1"/>
  <c r="AY541" i="1"/>
  <c r="AX541" i="1"/>
  <c r="AW541" i="1"/>
  <c r="AV541" i="1"/>
  <c r="AU541" i="1"/>
  <c r="AT541" i="1"/>
  <c r="AS541" i="1"/>
  <c r="AR541" i="1"/>
  <c r="AQ541" i="1"/>
  <c r="AP541" i="1"/>
  <c r="AM541" i="1"/>
  <c r="AL541" i="1"/>
  <c r="AK541" i="1"/>
  <c r="AJ541" i="1"/>
  <c r="AI541" i="1"/>
  <c r="AH541" i="1"/>
  <c r="AH541" i="1" a="1"/>
  <c r="AG541" i="1"/>
  <c r="AF541" i="1"/>
  <c r="BI540" i="1"/>
  <c r="BH540" i="1"/>
  <c r="BG540" i="1"/>
  <c r="BF540" i="1"/>
  <c r="BE540" i="1"/>
  <c r="BD540" i="1"/>
  <c r="BC540" i="1"/>
  <c r="BB540" i="1"/>
  <c r="BA540" i="1"/>
  <c r="AZ540" i="1"/>
  <c r="AY540" i="1"/>
  <c r="AX540" i="1"/>
  <c r="AW540" i="1"/>
  <c r="AV540" i="1"/>
  <c r="AU540" i="1"/>
  <c r="AT540" i="1"/>
  <c r="AS540" i="1"/>
  <c r="AR540" i="1"/>
  <c r="AQ540" i="1"/>
  <c r="AP540" i="1"/>
  <c r="AM540" i="1"/>
  <c r="AL540" i="1"/>
  <c r="AK540" i="1"/>
  <c r="AJ540" i="1"/>
  <c r="AI540" i="1"/>
  <c r="AH540" i="1"/>
  <c r="AH540" i="1" a="1"/>
  <c r="AG540" i="1"/>
  <c r="AF540" i="1"/>
  <c r="BI539" i="1"/>
  <c r="BH539" i="1"/>
  <c r="BG539" i="1"/>
  <c r="BF539" i="1"/>
  <c r="BE539" i="1"/>
  <c r="BD539" i="1"/>
  <c r="BC539" i="1"/>
  <c r="BB539" i="1"/>
  <c r="BA539" i="1"/>
  <c r="AZ539" i="1"/>
  <c r="AY539" i="1"/>
  <c r="AX539" i="1"/>
  <c r="AW539" i="1"/>
  <c r="AV539" i="1"/>
  <c r="AU539" i="1"/>
  <c r="AT539" i="1"/>
  <c r="AS539" i="1"/>
  <c r="AR539" i="1"/>
  <c r="AQ539" i="1"/>
  <c r="AP539" i="1"/>
  <c r="AM539" i="1"/>
  <c r="AL539" i="1"/>
  <c r="AK539" i="1"/>
  <c r="AJ539" i="1"/>
  <c r="AI539" i="1"/>
  <c r="AH539" i="1"/>
  <c r="AH539" i="1" a="1"/>
  <c r="AG539" i="1"/>
  <c r="AF539" i="1"/>
  <c r="BI538" i="1"/>
  <c r="BH538" i="1"/>
  <c r="BG538" i="1"/>
  <c r="BF538" i="1"/>
  <c r="BE538" i="1"/>
  <c r="BD538" i="1"/>
  <c r="BC538" i="1"/>
  <c r="BB538" i="1"/>
  <c r="BA538" i="1"/>
  <c r="AZ538" i="1"/>
  <c r="AY538" i="1"/>
  <c r="AX538" i="1"/>
  <c r="AW538" i="1"/>
  <c r="AV538" i="1"/>
  <c r="AU538" i="1"/>
  <c r="AT538" i="1"/>
  <c r="AS538" i="1"/>
  <c r="AR538" i="1"/>
  <c r="AQ538" i="1"/>
  <c r="AP538" i="1"/>
  <c r="AM538" i="1"/>
  <c r="AL538" i="1"/>
  <c r="AK538" i="1"/>
  <c r="AJ538" i="1"/>
  <c r="AI538" i="1"/>
  <c r="AH538" i="1"/>
  <c r="AH538" i="1" a="1"/>
  <c r="AG538" i="1"/>
  <c r="AF538" i="1"/>
  <c r="BI537" i="1"/>
  <c r="BH537" i="1"/>
  <c r="BG537" i="1"/>
  <c r="BF537" i="1"/>
  <c r="BE537" i="1"/>
  <c r="BD537" i="1"/>
  <c r="BC537" i="1"/>
  <c r="BB537" i="1"/>
  <c r="BA537" i="1"/>
  <c r="AZ537" i="1"/>
  <c r="AY537" i="1"/>
  <c r="AX537" i="1"/>
  <c r="AW537" i="1"/>
  <c r="AV537" i="1"/>
  <c r="AU537" i="1"/>
  <c r="AT537" i="1"/>
  <c r="AS537" i="1"/>
  <c r="AR537" i="1"/>
  <c r="AQ537" i="1"/>
  <c r="AP537" i="1"/>
  <c r="AM537" i="1"/>
  <c r="AL537" i="1"/>
  <c r="AK537" i="1"/>
  <c r="AJ537" i="1"/>
  <c r="AI537" i="1"/>
  <c r="AH537" i="1"/>
  <c r="AH537" i="1" a="1"/>
  <c r="AG537" i="1"/>
  <c r="AF537" i="1"/>
  <c r="BI536" i="1"/>
  <c r="BH536" i="1"/>
  <c r="BG536" i="1"/>
  <c r="BF536" i="1"/>
  <c r="BE536" i="1"/>
  <c r="BD536" i="1"/>
  <c r="BC536" i="1"/>
  <c r="BB536" i="1"/>
  <c r="BA536" i="1"/>
  <c r="AZ536" i="1"/>
  <c r="AY536" i="1"/>
  <c r="AX536" i="1"/>
  <c r="AW536" i="1"/>
  <c r="AV536" i="1"/>
  <c r="AU536" i="1"/>
  <c r="AT536" i="1"/>
  <c r="AS536" i="1"/>
  <c r="AR536" i="1"/>
  <c r="AQ536" i="1"/>
  <c r="AP536" i="1"/>
  <c r="AM536" i="1"/>
  <c r="AL536" i="1"/>
  <c r="AK536" i="1"/>
  <c r="AJ536" i="1"/>
  <c r="AI536" i="1"/>
  <c r="AH536" i="1"/>
  <c r="AH536" i="1" a="1"/>
  <c r="AG536" i="1"/>
  <c r="AF536" i="1"/>
  <c r="BI535" i="1"/>
  <c r="BH535" i="1"/>
  <c r="BG535" i="1"/>
  <c r="BF535" i="1"/>
  <c r="BE535" i="1"/>
  <c r="BD535" i="1"/>
  <c r="BC535" i="1"/>
  <c r="BB535" i="1"/>
  <c r="BA535" i="1"/>
  <c r="AZ535" i="1"/>
  <c r="AY535" i="1"/>
  <c r="AX535" i="1"/>
  <c r="AW535" i="1"/>
  <c r="AV535" i="1"/>
  <c r="AU535" i="1"/>
  <c r="AT535" i="1"/>
  <c r="AS535" i="1"/>
  <c r="AR535" i="1"/>
  <c r="AQ535" i="1"/>
  <c r="AP535" i="1"/>
  <c r="AM535" i="1"/>
  <c r="AL535" i="1"/>
  <c r="AK535" i="1"/>
  <c r="AJ535" i="1"/>
  <c r="AI535" i="1"/>
  <c r="AH535" i="1"/>
  <c r="AH535" i="1" a="1"/>
  <c r="AG535" i="1"/>
  <c r="AF535" i="1"/>
  <c r="BI534" i="1"/>
  <c r="BH534" i="1"/>
  <c r="BG534" i="1"/>
  <c r="BF534" i="1"/>
  <c r="BE534" i="1"/>
  <c r="BD534" i="1"/>
  <c r="BC534" i="1"/>
  <c r="BB534" i="1"/>
  <c r="BA534" i="1"/>
  <c r="AZ534" i="1"/>
  <c r="AY534" i="1"/>
  <c r="AX534" i="1"/>
  <c r="AW534" i="1"/>
  <c r="AV534" i="1"/>
  <c r="AU534" i="1"/>
  <c r="AT534" i="1"/>
  <c r="AS534" i="1"/>
  <c r="AR534" i="1"/>
  <c r="AQ534" i="1"/>
  <c r="AP534" i="1"/>
  <c r="AM534" i="1"/>
  <c r="AL534" i="1"/>
  <c r="AK534" i="1"/>
  <c r="AJ534" i="1"/>
  <c r="AI534" i="1"/>
  <c r="AH534" i="1"/>
  <c r="AH534" i="1" a="1"/>
  <c r="AG534" i="1"/>
  <c r="AF534" i="1"/>
  <c r="BI533" i="1"/>
  <c r="BH533" i="1"/>
  <c r="BG533" i="1"/>
  <c r="BF533" i="1"/>
  <c r="BE533" i="1"/>
  <c r="BD533" i="1"/>
  <c r="BC533" i="1"/>
  <c r="BB533" i="1"/>
  <c r="BA533" i="1"/>
  <c r="AZ533" i="1"/>
  <c r="AY533" i="1"/>
  <c r="AX533" i="1"/>
  <c r="AW533" i="1"/>
  <c r="AV533" i="1"/>
  <c r="AU533" i="1"/>
  <c r="AT533" i="1"/>
  <c r="AS533" i="1"/>
  <c r="AR533" i="1"/>
  <c r="AQ533" i="1"/>
  <c r="AP533" i="1"/>
  <c r="AM533" i="1"/>
  <c r="AL533" i="1"/>
  <c r="AK533" i="1"/>
  <c r="AJ533" i="1"/>
  <c r="AI533" i="1"/>
  <c r="AH533" i="1"/>
  <c r="AH533" i="1" a="1"/>
  <c r="AG533" i="1"/>
  <c r="AF533" i="1"/>
  <c r="BI532" i="1"/>
  <c r="BH532" i="1"/>
  <c r="BG532" i="1"/>
  <c r="BF532" i="1"/>
  <c r="BE532" i="1"/>
  <c r="BD532" i="1"/>
  <c r="BC532" i="1"/>
  <c r="BB532" i="1"/>
  <c r="BA532" i="1"/>
  <c r="AZ532" i="1"/>
  <c r="AY532" i="1"/>
  <c r="AX532" i="1"/>
  <c r="AW532" i="1"/>
  <c r="AV532" i="1"/>
  <c r="AU532" i="1"/>
  <c r="AT532" i="1"/>
  <c r="AS532" i="1"/>
  <c r="AR532" i="1"/>
  <c r="AQ532" i="1"/>
  <c r="AP532" i="1"/>
  <c r="AM532" i="1"/>
  <c r="AL532" i="1"/>
  <c r="AK532" i="1"/>
  <c r="AJ532" i="1"/>
  <c r="AI532" i="1"/>
  <c r="AH532" i="1"/>
  <c r="AH532" i="1" a="1"/>
  <c r="AG532" i="1"/>
  <c r="AF532" i="1"/>
  <c r="BI531" i="1"/>
  <c r="BH531" i="1"/>
  <c r="BG531" i="1"/>
  <c r="BF531" i="1"/>
  <c r="BE531" i="1"/>
  <c r="BD531" i="1"/>
  <c r="BC531" i="1"/>
  <c r="BB531" i="1"/>
  <c r="BA531" i="1"/>
  <c r="AZ531" i="1"/>
  <c r="AY531" i="1"/>
  <c r="AX531" i="1"/>
  <c r="AW531" i="1"/>
  <c r="AV531" i="1"/>
  <c r="AU531" i="1"/>
  <c r="AT531" i="1"/>
  <c r="AS531" i="1"/>
  <c r="AR531" i="1"/>
  <c r="AQ531" i="1"/>
  <c r="AP531" i="1"/>
  <c r="AM531" i="1"/>
  <c r="AL531" i="1"/>
  <c r="AK531" i="1"/>
  <c r="AJ531" i="1"/>
  <c r="AI531" i="1"/>
  <c r="AH531" i="1"/>
  <c r="AH531" i="1" a="1"/>
  <c r="AG531" i="1"/>
  <c r="AF531" i="1"/>
  <c r="BI530" i="1"/>
  <c r="BH530" i="1"/>
  <c r="BG530" i="1"/>
  <c r="BF530" i="1"/>
  <c r="BE530" i="1"/>
  <c r="BD530" i="1"/>
  <c r="BC530" i="1"/>
  <c r="BB530" i="1"/>
  <c r="BA530" i="1"/>
  <c r="AZ530" i="1"/>
  <c r="AY530" i="1"/>
  <c r="AX530" i="1"/>
  <c r="AW530" i="1"/>
  <c r="AV530" i="1"/>
  <c r="AU530" i="1"/>
  <c r="AT530" i="1"/>
  <c r="AS530" i="1"/>
  <c r="AR530" i="1"/>
  <c r="AQ530" i="1"/>
  <c r="AP530" i="1"/>
  <c r="AM530" i="1"/>
  <c r="AL530" i="1"/>
  <c r="AK530" i="1"/>
  <c r="AJ530" i="1"/>
  <c r="AI530" i="1"/>
  <c r="AH530" i="1"/>
  <c r="AH530" i="1" a="1"/>
  <c r="AG530" i="1"/>
  <c r="AF530" i="1"/>
  <c r="BI529" i="1"/>
  <c r="BH529" i="1"/>
  <c r="BG529" i="1"/>
  <c r="BF529" i="1"/>
  <c r="BE529" i="1"/>
  <c r="BD529" i="1"/>
  <c r="BC529" i="1"/>
  <c r="BB529" i="1"/>
  <c r="BA529" i="1"/>
  <c r="AZ529" i="1"/>
  <c r="AY529" i="1"/>
  <c r="AX529" i="1"/>
  <c r="AW529" i="1"/>
  <c r="AV529" i="1"/>
  <c r="AU529" i="1"/>
  <c r="AT529" i="1"/>
  <c r="AS529" i="1"/>
  <c r="AR529" i="1"/>
  <c r="AQ529" i="1"/>
  <c r="AP529" i="1"/>
  <c r="AM529" i="1"/>
  <c r="AL529" i="1"/>
  <c r="AK529" i="1"/>
  <c r="AJ529" i="1"/>
  <c r="AI529" i="1"/>
  <c r="AH529" i="1"/>
  <c r="AH529" i="1" a="1"/>
  <c r="AG529" i="1"/>
  <c r="AF529" i="1"/>
  <c r="BI528" i="1"/>
  <c r="BH528" i="1"/>
  <c r="BG528" i="1"/>
  <c r="BF528" i="1"/>
  <c r="BE528" i="1"/>
  <c r="BD528" i="1"/>
  <c r="BC528" i="1"/>
  <c r="BB528" i="1"/>
  <c r="BA528" i="1"/>
  <c r="AZ528" i="1"/>
  <c r="AY528" i="1"/>
  <c r="AX528" i="1"/>
  <c r="AW528" i="1"/>
  <c r="AV528" i="1"/>
  <c r="AU528" i="1"/>
  <c r="AT528" i="1"/>
  <c r="AS528" i="1"/>
  <c r="AR528" i="1"/>
  <c r="AQ528" i="1"/>
  <c r="AP528" i="1"/>
  <c r="AM528" i="1"/>
  <c r="AL528" i="1"/>
  <c r="AK528" i="1"/>
  <c r="AJ528" i="1"/>
  <c r="AI528" i="1"/>
  <c r="AH528" i="1"/>
  <c r="AH528" i="1" a="1"/>
  <c r="AG528" i="1"/>
  <c r="AF528" i="1"/>
  <c r="BI527" i="1"/>
  <c r="BH527" i="1"/>
  <c r="BG527" i="1"/>
  <c r="BF527" i="1"/>
  <c r="BE527" i="1"/>
  <c r="BD527" i="1"/>
  <c r="BC527" i="1"/>
  <c r="BB527" i="1"/>
  <c r="BA527" i="1"/>
  <c r="AZ527" i="1"/>
  <c r="AY527" i="1"/>
  <c r="AX527" i="1"/>
  <c r="AW527" i="1"/>
  <c r="AV527" i="1"/>
  <c r="AU527" i="1"/>
  <c r="AT527" i="1"/>
  <c r="AS527" i="1"/>
  <c r="AR527" i="1"/>
  <c r="AQ527" i="1"/>
  <c r="AP527" i="1"/>
  <c r="AM527" i="1"/>
  <c r="AL527" i="1"/>
  <c r="AK527" i="1"/>
  <c r="AJ527" i="1"/>
  <c r="AI527" i="1"/>
  <c r="AH527" i="1"/>
  <c r="AH527" i="1" a="1"/>
  <c r="AG527" i="1"/>
  <c r="AF527" i="1"/>
  <c r="BI526" i="1"/>
  <c r="BH526" i="1"/>
  <c r="BG526" i="1"/>
  <c r="BF526" i="1"/>
  <c r="BE526" i="1"/>
  <c r="BD526" i="1"/>
  <c r="BC526" i="1"/>
  <c r="BB526" i="1"/>
  <c r="BA526" i="1"/>
  <c r="AZ526" i="1"/>
  <c r="AY526" i="1"/>
  <c r="AX526" i="1"/>
  <c r="AW526" i="1"/>
  <c r="AV526" i="1"/>
  <c r="AU526" i="1"/>
  <c r="AT526" i="1"/>
  <c r="AS526" i="1"/>
  <c r="AR526" i="1"/>
  <c r="AQ526" i="1"/>
  <c r="AP526" i="1"/>
  <c r="AM526" i="1"/>
  <c r="AL526" i="1"/>
  <c r="AK526" i="1"/>
  <c r="AJ526" i="1"/>
  <c r="AI526" i="1"/>
  <c r="AH526" i="1"/>
  <c r="AH526" i="1" a="1"/>
  <c r="AG526" i="1"/>
  <c r="AF526" i="1"/>
  <c r="BI525" i="1"/>
  <c r="BH525" i="1"/>
  <c r="BG525" i="1"/>
  <c r="BF525" i="1"/>
  <c r="BE525" i="1"/>
  <c r="BD525" i="1"/>
  <c r="BC525" i="1"/>
  <c r="BB525" i="1"/>
  <c r="BA525" i="1"/>
  <c r="AZ525" i="1"/>
  <c r="AY525" i="1"/>
  <c r="AX525" i="1"/>
  <c r="AW525" i="1"/>
  <c r="AV525" i="1"/>
  <c r="AU525" i="1"/>
  <c r="AT525" i="1"/>
  <c r="AS525" i="1"/>
  <c r="AR525" i="1"/>
  <c r="AQ525" i="1"/>
  <c r="AP525" i="1"/>
  <c r="AM525" i="1"/>
  <c r="AL525" i="1"/>
  <c r="AK525" i="1"/>
  <c r="AJ525" i="1"/>
  <c r="AI525" i="1"/>
  <c r="AH525" i="1"/>
  <c r="AH525" i="1" a="1"/>
  <c r="AG525" i="1"/>
  <c r="AF525" i="1"/>
  <c r="BI524" i="1"/>
  <c r="BH524" i="1"/>
  <c r="BG524" i="1"/>
  <c r="BF524" i="1"/>
  <c r="BE524" i="1"/>
  <c r="BD524" i="1"/>
  <c r="BC524" i="1"/>
  <c r="BB524" i="1"/>
  <c r="BA524" i="1"/>
  <c r="AZ524" i="1"/>
  <c r="AY524" i="1"/>
  <c r="AX524" i="1"/>
  <c r="AW524" i="1"/>
  <c r="AV524" i="1"/>
  <c r="AU524" i="1"/>
  <c r="AT524" i="1"/>
  <c r="AS524" i="1"/>
  <c r="AR524" i="1"/>
  <c r="AQ524" i="1"/>
  <c r="AP524" i="1"/>
  <c r="AM524" i="1"/>
  <c r="AL524" i="1"/>
  <c r="AK524" i="1"/>
  <c r="AJ524" i="1"/>
  <c r="AI524" i="1"/>
  <c r="AH524" i="1"/>
  <c r="AH524" i="1" a="1"/>
  <c r="AG524" i="1"/>
  <c r="AF524" i="1"/>
  <c r="BI523" i="1"/>
  <c r="BH523" i="1"/>
  <c r="BG523" i="1"/>
  <c r="BF523" i="1"/>
  <c r="BE523" i="1"/>
  <c r="BD523" i="1"/>
  <c r="BC523" i="1"/>
  <c r="BB523" i="1"/>
  <c r="BA523" i="1"/>
  <c r="AZ523" i="1"/>
  <c r="AY523" i="1"/>
  <c r="AX523" i="1"/>
  <c r="AW523" i="1"/>
  <c r="AV523" i="1"/>
  <c r="AU523" i="1"/>
  <c r="AT523" i="1"/>
  <c r="AS523" i="1"/>
  <c r="AR523" i="1"/>
  <c r="AQ523" i="1"/>
  <c r="AP523" i="1"/>
  <c r="AM523" i="1"/>
  <c r="AL523" i="1"/>
  <c r="AK523" i="1"/>
  <c r="AJ523" i="1"/>
  <c r="AI523" i="1"/>
  <c r="AH523" i="1"/>
  <c r="AH523" i="1" a="1"/>
  <c r="AG523" i="1"/>
  <c r="AF523" i="1"/>
  <c r="BI522" i="1"/>
  <c r="BH522" i="1"/>
  <c r="BG522" i="1"/>
  <c r="BF522" i="1"/>
  <c r="BE522" i="1"/>
  <c r="BD522" i="1"/>
  <c r="BC522" i="1"/>
  <c r="BB522" i="1"/>
  <c r="BA522" i="1"/>
  <c r="AZ522" i="1"/>
  <c r="AY522" i="1"/>
  <c r="AX522" i="1"/>
  <c r="AW522" i="1"/>
  <c r="AV522" i="1"/>
  <c r="AU522" i="1"/>
  <c r="AT522" i="1"/>
  <c r="AS522" i="1"/>
  <c r="AR522" i="1"/>
  <c r="AQ522" i="1"/>
  <c r="AP522" i="1"/>
  <c r="AM522" i="1"/>
  <c r="AL522" i="1"/>
  <c r="AK522" i="1"/>
  <c r="AJ522" i="1"/>
  <c r="AI522" i="1"/>
  <c r="AH522" i="1"/>
  <c r="AH522" i="1" a="1"/>
  <c r="AG522" i="1"/>
  <c r="AF522" i="1"/>
  <c r="BI521" i="1"/>
  <c r="BH521" i="1"/>
  <c r="BG521" i="1"/>
  <c r="BF521" i="1"/>
  <c r="BE521" i="1"/>
  <c r="BD521" i="1"/>
  <c r="BC521" i="1"/>
  <c r="BB521" i="1"/>
  <c r="BA521" i="1"/>
  <c r="AZ521" i="1"/>
  <c r="AY521" i="1"/>
  <c r="AX521" i="1"/>
  <c r="AW521" i="1"/>
  <c r="AV521" i="1"/>
  <c r="AU521" i="1"/>
  <c r="AT521" i="1"/>
  <c r="AS521" i="1"/>
  <c r="AR521" i="1"/>
  <c r="AQ521" i="1"/>
  <c r="AP521" i="1"/>
  <c r="AM521" i="1"/>
  <c r="AL521" i="1"/>
  <c r="AK521" i="1"/>
  <c r="AJ521" i="1"/>
  <c r="AI521" i="1"/>
  <c r="AH521" i="1"/>
  <c r="AH521" i="1" a="1"/>
  <c r="AG521" i="1"/>
  <c r="AF521" i="1"/>
  <c r="BI520" i="1"/>
  <c r="BH520" i="1"/>
  <c r="BG520" i="1"/>
  <c r="BF520" i="1"/>
  <c r="BE520" i="1"/>
  <c r="BD520" i="1"/>
  <c r="BC520" i="1"/>
  <c r="BB520" i="1"/>
  <c r="BA520" i="1"/>
  <c r="AZ520" i="1"/>
  <c r="AY520" i="1"/>
  <c r="AX520" i="1"/>
  <c r="AW520" i="1"/>
  <c r="AV520" i="1"/>
  <c r="AU520" i="1"/>
  <c r="AT520" i="1"/>
  <c r="AS520" i="1"/>
  <c r="AR520" i="1"/>
  <c r="AQ520" i="1"/>
  <c r="AP520" i="1"/>
  <c r="AM520" i="1"/>
  <c r="AL520" i="1"/>
  <c r="AK520" i="1"/>
  <c r="AJ520" i="1"/>
  <c r="AI520" i="1"/>
  <c r="AH520" i="1"/>
  <c r="AH520" i="1" a="1"/>
  <c r="AG520" i="1"/>
  <c r="AF520" i="1"/>
  <c r="BI519" i="1"/>
  <c r="BH519" i="1"/>
  <c r="BG519" i="1"/>
  <c r="BF519" i="1"/>
  <c r="BE519" i="1"/>
  <c r="BD519" i="1"/>
  <c r="BC519" i="1"/>
  <c r="BB519" i="1"/>
  <c r="BA519" i="1"/>
  <c r="AZ519" i="1"/>
  <c r="AY519" i="1"/>
  <c r="AX519" i="1"/>
  <c r="AW519" i="1"/>
  <c r="AV519" i="1"/>
  <c r="AU519" i="1"/>
  <c r="AT519" i="1"/>
  <c r="AS519" i="1"/>
  <c r="AR519" i="1"/>
  <c r="AQ519" i="1"/>
  <c r="AP519" i="1"/>
  <c r="AM519" i="1"/>
  <c r="AL519" i="1"/>
  <c r="AK519" i="1"/>
  <c r="AJ519" i="1"/>
  <c r="AI519" i="1"/>
  <c r="AH519" i="1"/>
  <c r="AH519" i="1" a="1"/>
  <c r="AG519" i="1"/>
  <c r="AF519" i="1"/>
  <c r="BI518" i="1"/>
  <c r="BH518" i="1"/>
  <c r="BG518" i="1"/>
  <c r="BF518" i="1"/>
  <c r="BE518" i="1"/>
  <c r="BD518" i="1"/>
  <c r="BC518" i="1"/>
  <c r="BB518" i="1"/>
  <c r="BA518" i="1"/>
  <c r="AZ518" i="1"/>
  <c r="AY518" i="1"/>
  <c r="AX518" i="1"/>
  <c r="AW518" i="1"/>
  <c r="AV518" i="1"/>
  <c r="AU518" i="1"/>
  <c r="AT518" i="1"/>
  <c r="AS518" i="1"/>
  <c r="AR518" i="1"/>
  <c r="AQ518" i="1"/>
  <c r="AP518" i="1"/>
  <c r="AM518" i="1"/>
  <c r="AL518" i="1"/>
  <c r="AK518" i="1"/>
  <c r="AJ518" i="1"/>
  <c r="AI518" i="1"/>
  <c r="AH518" i="1"/>
  <c r="AH518" i="1" a="1"/>
  <c r="AG518" i="1"/>
  <c r="AF518" i="1"/>
  <c r="BI517" i="1"/>
  <c r="BH517" i="1"/>
  <c r="BG517" i="1"/>
  <c r="BF517" i="1"/>
  <c r="BE517" i="1"/>
  <c r="BD517" i="1"/>
  <c r="BC517" i="1"/>
  <c r="BB517" i="1"/>
  <c r="BA517" i="1"/>
  <c r="AZ517" i="1"/>
  <c r="AY517" i="1"/>
  <c r="AX517" i="1"/>
  <c r="AW517" i="1"/>
  <c r="AV517" i="1"/>
  <c r="AU517" i="1"/>
  <c r="AT517" i="1"/>
  <c r="AS517" i="1"/>
  <c r="AR517" i="1"/>
  <c r="AQ517" i="1"/>
  <c r="AP517" i="1"/>
  <c r="AM517" i="1"/>
  <c r="AL517" i="1"/>
  <c r="AK517" i="1"/>
  <c r="AJ517" i="1"/>
  <c r="AI517" i="1"/>
  <c r="AH517" i="1"/>
  <c r="AH517" i="1" a="1"/>
  <c r="AG517" i="1"/>
  <c r="AF517" i="1"/>
  <c r="BI516" i="1"/>
  <c r="BH516" i="1"/>
  <c r="BG516" i="1"/>
  <c r="BF516" i="1"/>
  <c r="BE516" i="1"/>
  <c r="BD516" i="1"/>
  <c r="BC516" i="1"/>
  <c r="BB516" i="1"/>
  <c r="BA516" i="1"/>
  <c r="AZ516" i="1"/>
  <c r="AY516" i="1"/>
  <c r="AX516" i="1"/>
  <c r="AW516" i="1"/>
  <c r="AV516" i="1"/>
  <c r="AU516" i="1"/>
  <c r="AT516" i="1"/>
  <c r="AS516" i="1"/>
  <c r="AR516" i="1"/>
  <c r="AQ516" i="1"/>
  <c r="AP516" i="1"/>
  <c r="AM516" i="1"/>
  <c r="AL516" i="1"/>
  <c r="AK516" i="1"/>
  <c r="AJ516" i="1"/>
  <c r="AI516" i="1"/>
  <c r="AH516" i="1"/>
  <c r="AH516" i="1" a="1"/>
  <c r="AG516" i="1"/>
  <c r="AF516" i="1"/>
  <c r="BI515" i="1"/>
  <c r="BH515" i="1"/>
  <c r="BG515" i="1"/>
  <c r="BF515" i="1"/>
  <c r="BE515" i="1"/>
  <c r="BD515" i="1"/>
  <c r="BC515" i="1"/>
  <c r="BB515" i="1"/>
  <c r="BA515" i="1"/>
  <c r="AZ515" i="1"/>
  <c r="AY515" i="1"/>
  <c r="AX515" i="1"/>
  <c r="AW515" i="1"/>
  <c r="AV515" i="1"/>
  <c r="AU515" i="1"/>
  <c r="AT515" i="1"/>
  <c r="AS515" i="1"/>
  <c r="AR515" i="1"/>
  <c r="AQ515" i="1"/>
  <c r="AP515" i="1"/>
  <c r="AM515" i="1"/>
  <c r="AL515" i="1"/>
  <c r="AK515" i="1"/>
  <c r="AJ515" i="1"/>
  <c r="AI515" i="1"/>
  <c r="AH515" i="1"/>
  <c r="AH515" i="1" a="1"/>
  <c r="AG515" i="1"/>
  <c r="AF515" i="1"/>
  <c r="BI514" i="1"/>
  <c r="BH514" i="1"/>
  <c r="BG514" i="1"/>
  <c r="BF514" i="1"/>
  <c r="BE514" i="1"/>
  <c r="BD514" i="1"/>
  <c r="BC514" i="1"/>
  <c r="BB514" i="1"/>
  <c r="BA514" i="1"/>
  <c r="AZ514" i="1"/>
  <c r="AY514" i="1"/>
  <c r="AX514" i="1"/>
  <c r="AW514" i="1"/>
  <c r="AV514" i="1"/>
  <c r="AU514" i="1"/>
  <c r="AT514" i="1"/>
  <c r="AS514" i="1"/>
  <c r="AR514" i="1"/>
  <c r="AQ514" i="1"/>
  <c r="AP514" i="1"/>
  <c r="AM514" i="1"/>
  <c r="AL514" i="1"/>
  <c r="AK514" i="1"/>
  <c r="AJ514" i="1"/>
  <c r="AI514" i="1"/>
  <c r="AH514" i="1"/>
  <c r="AH514" i="1" a="1"/>
  <c r="AG514" i="1"/>
  <c r="AF514" i="1"/>
  <c r="BI513" i="1"/>
  <c r="BH513" i="1"/>
  <c r="BG513" i="1"/>
  <c r="BF513" i="1"/>
  <c r="BE513" i="1"/>
  <c r="BD513" i="1"/>
  <c r="BC513" i="1"/>
  <c r="BB513" i="1"/>
  <c r="BA513" i="1"/>
  <c r="AZ513" i="1"/>
  <c r="AY513" i="1"/>
  <c r="AX513" i="1"/>
  <c r="AW513" i="1"/>
  <c r="AV513" i="1"/>
  <c r="AU513" i="1"/>
  <c r="AT513" i="1"/>
  <c r="AS513" i="1"/>
  <c r="AR513" i="1"/>
  <c r="AQ513" i="1"/>
  <c r="AP513" i="1"/>
  <c r="AM513" i="1"/>
  <c r="AL513" i="1"/>
  <c r="AK513" i="1"/>
  <c r="AJ513" i="1"/>
  <c r="AI513" i="1"/>
  <c r="AH513" i="1"/>
  <c r="AH513" i="1" a="1"/>
  <c r="AG513" i="1"/>
  <c r="AF513" i="1"/>
  <c r="BI512" i="1"/>
  <c r="BH512" i="1"/>
  <c r="BG512" i="1"/>
  <c r="BF512" i="1"/>
  <c r="BE512" i="1"/>
  <c r="BD512" i="1"/>
  <c r="BC512" i="1"/>
  <c r="BB512" i="1"/>
  <c r="BA512" i="1"/>
  <c r="AZ512" i="1"/>
  <c r="AY512" i="1"/>
  <c r="AX512" i="1"/>
  <c r="AW512" i="1"/>
  <c r="AV512" i="1"/>
  <c r="AU512" i="1"/>
  <c r="AT512" i="1"/>
  <c r="AS512" i="1"/>
  <c r="AR512" i="1"/>
  <c r="AQ512" i="1"/>
  <c r="AP512" i="1"/>
  <c r="AM512" i="1"/>
  <c r="AL512" i="1"/>
  <c r="AK512" i="1"/>
  <c r="AJ512" i="1"/>
  <c r="AI512" i="1"/>
  <c r="AH512" i="1"/>
  <c r="AH512" i="1" a="1"/>
  <c r="AG512" i="1"/>
  <c r="AF512" i="1"/>
  <c r="BI511" i="1"/>
  <c r="BH511" i="1"/>
  <c r="BG511" i="1"/>
  <c r="BF511" i="1"/>
  <c r="BE511" i="1"/>
  <c r="BD511" i="1"/>
  <c r="BC511" i="1"/>
  <c r="BB511" i="1"/>
  <c r="BA511" i="1"/>
  <c r="AZ511" i="1"/>
  <c r="AY511" i="1"/>
  <c r="AX511" i="1"/>
  <c r="AW511" i="1"/>
  <c r="AV511" i="1"/>
  <c r="AU511" i="1"/>
  <c r="AT511" i="1"/>
  <c r="AS511" i="1"/>
  <c r="AR511" i="1"/>
  <c r="AQ511" i="1"/>
  <c r="AP511" i="1"/>
  <c r="AM511" i="1"/>
  <c r="AL511" i="1"/>
  <c r="AK511" i="1"/>
  <c r="AJ511" i="1"/>
  <c r="AI511" i="1"/>
  <c r="AH511" i="1"/>
  <c r="AH511" i="1" a="1"/>
  <c r="AG511" i="1"/>
  <c r="AF511" i="1"/>
  <c r="BI510" i="1"/>
  <c r="BH510" i="1"/>
  <c r="BG510" i="1"/>
  <c r="BF510" i="1"/>
  <c r="BE510" i="1"/>
  <c r="BD510" i="1"/>
  <c r="BC510" i="1"/>
  <c r="BB510" i="1"/>
  <c r="BA510" i="1"/>
  <c r="AZ510" i="1"/>
  <c r="AY510" i="1"/>
  <c r="AX510" i="1"/>
  <c r="AW510" i="1"/>
  <c r="AV510" i="1"/>
  <c r="AU510" i="1"/>
  <c r="AT510" i="1"/>
  <c r="AS510" i="1"/>
  <c r="AR510" i="1"/>
  <c r="AQ510" i="1"/>
  <c r="AP510" i="1"/>
  <c r="AM510" i="1"/>
  <c r="AL510" i="1"/>
  <c r="AK510" i="1"/>
  <c r="AJ510" i="1"/>
  <c r="AI510" i="1"/>
  <c r="AH510" i="1"/>
  <c r="AH510" i="1" a="1"/>
  <c r="AG510" i="1"/>
  <c r="AF510" i="1"/>
  <c r="BI509" i="1"/>
  <c r="BH509" i="1"/>
  <c r="BG509" i="1"/>
  <c r="BF509" i="1"/>
  <c r="BE509" i="1"/>
  <c r="BD509" i="1"/>
  <c r="BC509" i="1"/>
  <c r="BB509" i="1"/>
  <c r="BA509" i="1"/>
  <c r="AZ509" i="1"/>
  <c r="AY509" i="1"/>
  <c r="AX509" i="1"/>
  <c r="AW509" i="1"/>
  <c r="AV509" i="1"/>
  <c r="AU509" i="1"/>
  <c r="AT509" i="1"/>
  <c r="AS509" i="1"/>
  <c r="AR509" i="1"/>
  <c r="AQ509" i="1"/>
  <c r="AP509" i="1"/>
  <c r="AM509" i="1"/>
  <c r="AL509" i="1"/>
  <c r="AK509" i="1"/>
  <c r="AJ509" i="1"/>
  <c r="AI509" i="1"/>
  <c r="AH509" i="1"/>
  <c r="AH509" i="1" a="1"/>
  <c r="AG509" i="1"/>
  <c r="AF509" i="1"/>
  <c r="BI508" i="1"/>
  <c r="BH508" i="1"/>
  <c r="BG508" i="1"/>
  <c r="BF508" i="1"/>
  <c r="BE508" i="1"/>
  <c r="BD508" i="1"/>
  <c r="BC508" i="1"/>
  <c r="BB508" i="1"/>
  <c r="BA508" i="1"/>
  <c r="AZ508" i="1"/>
  <c r="AY508" i="1"/>
  <c r="AX508" i="1"/>
  <c r="AW508" i="1"/>
  <c r="AV508" i="1"/>
  <c r="AU508" i="1"/>
  <c r="AT508" i="1"/>
  <c r="AS508" i="1"/>
  <c r="AR508" i="1"/>
  <c r="AQ508" i="1"/>
  <c r="AP508" i="1"/>
  <c r="AM508" i="1"/>
  <c r="AL508" i="1"/>
  <c r="AK508" i="1"/>
  <c r="AJ508" i="1"/>
  <c r="AI508" i="1"/>
  <c r="AH508" i="1"/>
  <c r="AH508" i="1" a="1"/>
  <c r="AG508" i="1"/>
  <c r="AF508" i="1"/>
  <c r="BI507" i="1"/>
  <c r="BH507" i="1"/>
  <c r="BG507" i="1"/>
  <c r="BF507" i="1"/>
  <c r="BE507" i="1"/>
  <c r="BD507" i="1"/>
  <c r="BC507" i="1"/>
  <c r="BB507" i="1"/>
  <c r="BA507" i="1"/>
  <c r="AZ507" i="1"/>
  <c r="AY507" i="1"/>
  <c r="AX507" i="1"/>
  <c r="AW507" i="1"/>
  <c r="AV507" i="1"/>
  <c r="AU507" i="1"/>
  <c r="AT507" i="1"/>
  <c r="AS507" i="1"/>
  <c r="AR507" i="1"/>
  <c r="AQ507" i="1"/>
  <c r="AP507" i="1"/>
  <c r="AM507" i="1"/>
  <c r="AL507" i="1"/>
  <c r="AK507" i="1"/>
  <c r="AJ507" i="1"/>
  <c r="AI507" i="1"/>
  <c r="AH507" i="1"/>
  <c r="AH507" i="1" a="1"/>
  <c r="AG507" i="1"/>
  <c r="AF507" i="1"/>
  <c r="BI506" i="1"/>
  <c r="BH506" i="1"/>
  <c r="BG506" i="1"/>
  <c r="BF506" i="1"/>
  <c r="BE506" i="1"/>
  <c r="BD506" i="1"/>
  <c r="BC506" i="1"/>
  <c r="BB506" i="1"/>
  <c r="BA506" i="1"/>
  <c r="AZ506" i="1"/>
  <c r="AY506" i="1"/>
  <c r="AX506" i="1"/>
  <c r="AW506" i="1"/>
  <c r="AV506" i="1"/>
  <c r="AU506" i="1"/>
  <c r="AT506" i="1"/>
  <c r="AS506" i="1"/>
  <c r="AR506" i="1"/>
  <c r="AQ506" i="1"/>
  <c r="AP506" i="1"/>
  <c r="AM506" i="1"/>
  <c r="AL506" i="1"/>
  <c r="AK506" i="1"/>
  <c r="AJ506" i="1"/>
  <c r="AI506" i="1"/>
  <c r="AH506" i="1"/>
  <c r="AH506" i="1" a="1"/>
  <c r="AG506" i="1"/>
  <c r="AF506" i="1"/>
  <c r="BI505" i="1"/>
  <c r="BH505" i="1"/>
  <c r="BG505" i="1"/>
  <c r="BF505" i="1"/>
  <c r="BE505" i="1"/>
  <c r="BD505" i="1"/>
  <c r="BC505" i="1"/>
  <c r="BB505" i="1"/>
  <c r="BA505" i="1"/>
  <c r="AZ505" i="1"/>
  <c r="AY505" i="1"/>
  <c r="AX505" i="1"/>
  <c r="AW505" i="1"/>
  <c r="AV505" i="1"/>
  <c r="AU505" i="1"/>
  <c r="AT505" i="1"/>
  <c r="AS505" i="1"/>
  <c r="AR505" i="1"/>
  <c r="AQ505" i="1"/>
  <c r="AP505" i="1"/>
  <c r="AM505" i="1"/>
  <c r="AL505" i="1"/>
  <c r="AK505" i="1"/>
  <c r="AJ505" i="1"/>
  <c r="AI505" i="1"/>
  <c r="AH505" i="1"/>
  <c r="AH505" i="1" a="1"/>
  <c r="AG505" i="1"/>
  <c r="AF505" i="1"/>
  <c r="BI504" i="1"/>
  <c r="BH504" i="1"/>
  <c r="BG504" i="1"/>
  <c r="BF504" i="1"/>
  <c r="BE504" i="1"/>
  <c r="BD504" i="1"/>
  <c r="BC504" i="1"/>
  <c r="BB504" i="1"/>
  <c r="BA504" i="1"/>
  <c r="AZ504" i="1"/>
  <c r="AY504" i="1"/>
  <c r="AX504" i="1"/>
  <c r="AW504" i="1"/>
  <c r="AV504" i="1"/>
  <c r="AU504" i="1"/>
  <c r="AT504" i="1"/>
  <c r="AS504" i="1"/>
  <c r="AR504" i="1"/>
  <c r="AQ504" i="1"/>
  <c r="AP504" i="1"/>
  <c r="AM504" i="1"/>
  <c r="AL504" i="1"/>
  <c r="AK504" i="1"/>
  <c r="AJ504" i="1"/>
  <c r="AI504" i="1"/>
  <c r="AH504" i="1"/>
  <c r="AH504" i="1" a="1"/>
  <c r="AG504" i="1"/>
  <c r="AF504" i="1"/>
  <c r="BI503" i="1"/>
  <c r="BH503" i="1"/>
  <c r="BG503" i="1"/>
  <c r="BF503" i="1"/>
  <c r="BE503" i="1"/>
  <c r="BD503" i="1"/>
  <c r="BC503" i="1"/>
  <c r="BB503" i="1"/>
  <c r="BA503" i="1"/>
  <c r="AZ503" i="1"/>
  <c r="AY503" i="1"/>
  <c r="AX503" i="1"/>
  <c r="AW503" i="1"/>
  <c r="AV503" i="1"/>
  <c r="AU503" i="1"/>
  <c r="AT503" i="1"/>
  <c r="AS503" i="1"/>
  <c r="AR503" i="1"/>
  <c r="AQ503" i="1"/>
  <c r="AP503" i="1"/>
  <c r="AM503" i="1"/>
  <c r="AL503" i="1"/>
  <c r="AK503" i="1"/>
  <c r="AJ503" i="1"/>
  <c r="AI503" i="1"/>
  <c r="AH503" i="1"/>
  <c r="AH503" i="1" a="1"/>
  <c r="AG503" i="1"/>
  <c r="AF503" i="1"/>
  <c r="BI502" i="1"/>
  <c r="BH502" i="1"/>
  <c r="BG502" i="1"/>
  <c r="BF502" i="1"/>
  <c r="BE502" i="1"/>
  <c r="BD502" i="1"/>
  <c r="BC502" i="1"/>
  <c r="BB502" i="1"/>
  <c r="BA502" i="1"/>
  <c r="AZ502" i="1"/>
  <c r="AY502" i="1"/>
  <c r="AX502" i="1"/>
  <c r="AW502" i="1"/>
  <c r="AV502" i="1"/>
  <c r="AU502" i="1"/>
  <c r="AT502" i="1"/>
  <c r="AS502" i="1"/>
  <c r="AR502" i="1"/>
  <c r="AQ502" i="1"/>
  <c r="AP502" i="1"/>
  <c r="AM502" i="1"/>
  <c r="AL502" i="1"/>
  <c r="AK502" i="1"/>
  <c r="AJ502" i="1"/>
  <c r="AI502" i="1"/>
  <c r="AH502" i="1"/>
  <c r="AH502" i="1" a="1"/>
  <c r="AG502" i="1"/>
  <c r="AF502" i="1"/>
  <c r="BI501" i="1"/>
  <c r="BH501" i="1"/>
  <c r="BG501" i="1"/>
  <c r="BF501" i="1"/>
  <c r="BE501" i="1"/>
  <c r="BD501" i="1"/>
  <c r="BC501" i="1"/>
  <c r="BB501" i="1"/>
  <c r="BA501" i="1"/>
  <c r="AZ501" i="1"/>
  <c r="AY501" i="1"/>
  <c r="AX501" i="1"/>
  <c r="AW501" i="1"/>
  <c r="AV501" i="1"/>
  <c r="AU501" i="1"/>
  <c r="AT501" i="1"/>
  <c r="AS501" i="1"/>
  <c r="AR501" i="1"/>
  <c r="AQ501" i="1"/>
  <c r="AP501" i="1"/>
  <c r="AM501" i="1"/>
  <c r="AL501" i="1"/>
  <c r="AK501" i="1"/>
  <c r="AJ501" i="1"/>
  <c r="AI501" i="1"/>
  <c r="AH501" i="1"/>
  <c r="AH501" i="1" a="1"/>
  <c r="AG501" i="1"/>
  <c r="AF501" i="1"/>
  <c r="BI500" i="1"/>
  <c r="BH500" i="1"/>
  <c r="BG500" i="1"/>
  <c r="BF500" i="1"/>
  <c r="BE500" i="1"/>
  <c r="BD500" i="1"/>
  <c r="BC500" i="1"/>
  <c r="BB500" i="1"/>
  <c r="BA500" i="1"/>
  <c r="AZ500" i="1"/>
  <c r="AY500" i="1"/>
  <c r="AX500" i="1"/>
  <c r="AW500" i="1"/>
  <c r="AV500" i="1"/>
  <c r="AU500" i="1"/>
  <c r="AT500" i="1"/>
  <c r="AS500" i="1"/>
  <c r="AR500" i="1"/>
  <c r="AQ500" i="1"/>
  <c r="AP500" i="1"/>
  <c r="AM500" i="1"/>
  <c r="AL500" i="1"/>
  <c r="AK500" i="1"/>
  <c r="AJ500" i="1"/>
  <c r="AI500" i="1"/>
  <c r="AH500" i="1"/>
  <c r="AH500" i="1" a="1"/>
  <c r="AG500" i="1"/>
  <c r="AF500" i="1"/>
  <c r="BI499" i="1"/>
  <c r="BH499" i="1"/>
  <c r="BG499" i="1"/>
  <c r="BF499" i="1"/>
  <c r="BE499" i="1"/>
  <c r="BD499" i="1"/>
  <c r="BC499" i="1"/>
  <c r="BB499" i="1"/>
  <c r="BA499" i="1"/>
  <c r="AZ499" i="1"/>
  <c r="AY499" i="1"/>
  <c r="AX499" i="1"/>
  <c r="AW499" i="1"/>
  <c r="AV499" i="1"/>
  <c r="AU499" i="1"/>
  <c r="AT499" i="1"/>
  <c r="AS499" i="1"/>
  <c r="AR499" i="1"/>
  <c r="AQ499" i="1"/>
  <c r="AP499" i="1"/>
  <c r="AM499" i="1"/>
  <c r="AL499" i="1"/>
  <c r="AK499" i="1"/>
  <c r="AJ499" i="1"/>
  <c r="AI499" i="1"/>
  <c r="AH499" i="1"/>
  <c r="AH499" i="1" a="1"/>
  <c r="AG499" i="1"/>
  <c r="AF499" i="1"/>
  <c r="BI498" i="1"/>
  <c r="BH498" i="1"/>
  <c r="BG498" i="1"/>
  <c r="BF498" i="1"/>
  <c r="BE498" i="1"/>
  <c r="BD498" i="1"/>
  <c r="BC498" i="1"/>
  <c r="BB498" i="1"/>
  <c r="BA498" i="1"/>
  <c r="AZ498" i="1"/>
  <c r="AY498" i="1"/>
  <c r="AX498" i="1"/>
  <c r="AW498" i="1"/>
  <c r="AV498" i="1"/>
  <c r="AU498" i="1"/>
  <c r="AT498" i="1"/>
  <c r="AS498" i="1"/>
  <c r="AR498" i="1"/>
  <c r="AQ498" i="1"/>
  <c r="AP498" i="1"/>
  <c r="AM498" i="1"/>
  <c r="AL498" i="1"/>
  <c r="AK498" i="1"/>
  <c r="AJ498" i="1"/>
  <c r="AI498" i="1"/>
  <c r="AH498" i="1"/>
  <c r="AH498" i="1" a="1"/>
  <c r="AG498" i="1"/>
  <c r="AF498" i="1"/>
  <c r="BI497" i="1"/>
  <c r="BH497" i="1"/>
  <c r="BG497" i="1"/>
  <c r="BF497" i="1"/>
  <c r="BE497" i="1"/>
  <c r="BD497" i="1"/>
  <c r="BC497" i="1"/>
  <c r="BB497" i="1"/>
  <c r="BA497" i="1"/>
  <c r="AZ497" i="1"/>
  <c r="AY497" i="1"/>
  <c r="AX497" i="1"/>
  <c r="AW497" i="1"/>
  <c r="AV497" i="1"/>
  <c r="AU497" i="1"/>
  <c r="AT497" i="1"/>
  <c r="AS497" i="1"/>
  <c r="AR497" i="1"/>
  <c r="AQ497" i="1"/>
  <c r="AP497" i="1"/>
  <c r="AM497" i="1"/>
  <c r="AL497" i="1"/>
  <c r="AK497" i="1"/>
  <c r="AJ497" i="1"/>
  <c r="AI497" i="1"/>
  <c r="AH497" i="1"/>
  <c r="AH497" i="1" a="1"/>
  <c r="AG497" i="1"/>
  <c r="AF497" i="1"/>
  <c r="BI496" i="1"/>
  <c r="BH496" i="1"/>
  <c r="BG496" i="1"/>
  <c r="BF496" i="1"/>
  <c r="BE496" i="1"/>
  <c r="BD496" i="1"/>
  <c r="BC496" i="1"/>
  <c r="BB496" i="1"/>
  <c r="BA496" i="1"/>
  <c r="AZ496" i="1"/>
  <c r="AY496" i="1"/>
  <c r="AX496" i="1"/>
  <c r="AW496" i="1"/>
  <c r="AV496" i="1"/>
  <c r="AU496" i="1"/>
  <c r="AT496" i="1"/>
  <c r="AS496" i="1"/>
  <c r="AR496" i="1"/>
  <c r="AQ496" i="1"/>
  <c r="AP496" i="1"/>
  <c r="AM496" i="1"/>
  <c r="AL496" i="1"/>
  <c r="AK496" i="1"/>
  <c r="AJ496" i="1"/>
  <c r="AI496" i="1"/>
  <c r="AH496" i="1"/>
  <c r="AH496" i="1" a="1"/>
  <c r="AG496" i="1"/>
  <c r="AF496" i="1"/>
  <c r="BI495" i="1"/>
  <c r="BH495" i="1"/>
  <c r="BG495" i="1"/>
  <c r="BF495" i="1"/>
  <c r="BE495" i="1"/>
  <c r="BD495" i="1"/>
  <c r="BC495" i="1"/>
  <c r="BB495" i="1"/>
  <c r="BA495" i="1"/>
  <c r="AZ495" i="1"/>
  <c r="AY495" i="1"/>
  <c r="AX495" i="1"/>
  <c r="AW495" i="1"/>
  <c r="AV495" i="1"/>
  <c r="AU495" i="1"/>
  <c r="AT495" i="1"/>
  <c r="AS495" i="1"/>
  <c r="AR495" i="1"/>
  <c r="AQ495" i="1"/>
  <c r="AP495" i="1"/>
  <c r="AM495" i="1"/>
  <c r="AL495" i="1"/>
  <c r="AK495" i="1"/>
  <c r="AJ495" i="1"/>
  <c r="AI495" i="1"/>
  <c r="AH495" i="1"/>
  <c r="AH495" i="1" a="1"/>
  <c r="AG495" i="1"/>
  <c r="AF495" i="1"/>
  <c r="BI494" i="1"/>
  <c r="BH494" i="1"/>
  <c r="BG494" i="1"/>
  <c r="BF494" i="1"/>
  <c r="BE494" i="1"/>
  <c r="BD494" i="1"/>
  <c r="BC494" i="1"/>
  <c r="BB494" i="1"/>
  <c r="BA494" i="1"/>
  <c r="AZ494" i="1"/>
  <c r="AY494" i="1"/>
  <c r="AX494" i="1"/>
  <c r="AW494" i="1"/>
  <c r="AV494" i="1"/>
  <c r="AU494" i="1"/>
  <c r="AT494" i="1"/>
  <c r="AS494" i="1"/>
  <c r="AR494" i="1"/>
  <c r="AQ494" i="1"/>
  <c r="AP494" i="1"/>
  <c r="AM494" i="1"/>
  <c r="AL494" i="1"/>
  <c r="AK494" i="1"/>
  <c r="AJ494" i="1"/>
  <c r="AI494" i="1"/>
  <c r="AH494" i="1"/>
  <c r="AH494" i="1" a="1"/>
  <c r="AG494" i="1"/>
  <c r="AF494" i="1"/>
  <c r="BI493" i="1"/>
  <c r="BH493" i="1"/>
  <c r="BG493" i="1"/>
  <c r="BF493" i="1"/>
  <c r="BE493" i="1"/>
  <c r="BD493" i="1"/>
  <c r="BC493" i="1"/>
  <c r="BB493" i="1"/>
  <c r="BA493" i="1"/>
  <c r="AZ493" i="1"/>
  <c r="AY493" i="1"/>
  <c r="AX493" i="1"/>
  <c r="AW493" i="1"/>
  <c r="AV493" i="1"/>
  <c r="AU493" i="1"/>
  <c r="AT493" i="1"/>
  <c r="AS493" i="1"/>
  <c r="AR493" i="1"/>
  <c r="AQ493" i="1"/>
  <c r="AP493" i="1"/>
  <c r="AM493" i="1"/>
  <c r="AL493" i="1"/>
  <c r="AK493" i="1"/>
  <c r="AJ493" i="1"/>
  <c r="AI493" i="1"/>
  <c r="AH493" i="1"/>
  <c r="AH493" i="1" a="1"/>
  <c r="AG493" i="1"/>
  <c r="AF493" i="1"/>
  <c r="BI492" i="1"/>
  <c r="BH492" i="1"/>
  <c r="BG492" i="1"/>
  <c r="BF492" i="1"/>
  <c r="BE492" i="1"/>
  <c r="BD492" i="1"/>
  <c r="BC492" i="1"/>
  <c r="BB492" i="1"/>
  <c r="BA492" i="1"/>
  <c r="AZ492" i="1"/>
  <c r="AY492" i="1"/>
  <c r="AX492" i="1"/>
  <c r="AW492" i="1"/>
  <c r="AV492" i="1"/>
  <c r="AU492" i="1"/>
  <c r="AT492" i="1"/>
  <c r="AS492" i="1"/>
  <c r="AR492" i="1"/>
  <c r="AQ492" i="1"/>
  <c r="AP492" i="1"/>
  <c r="AM492" i="1"/>
  <c r="AL492" i="1"/>
  <c r="AK492" i="1"/>
  <c r="AJ492" i="1"/>
  <c r="AI492" i="1"/>
  <c r="AH492" i="1"/>
  <c r="AH492" i="1" a="1"/>
  <c r="AG492" i="1"/>
  <c r="AF492" i="1"/>
  <c r="BI491" i="1"/>
  <c r="BH491" i="1"/>
  <c r="BG491" i="1"/>
  <c r="BF491" i="1"/>
  <c r="BE491" i="1"/>
  <c r="BD491" i="1"/>
  <c r="BC491" i="1"/>
  <c r="BB491" i="1"/>
  <c r="BA491" i="1"/>
  <c r="AZ491" i="1"/>
  <c r="AY491" i="1"/>
  <c r="AX491" i="1"/>
  <c r="AW491" i="1"/>
  <c r="AV491" i="1"/>
  <c r="AU491" i="1"/>
  <c r="AT491" i="1"/>
  <c r="AS491" i="1"/>
  <c r="AR491" i="1"/>
  <c r="AQ491" i="1"/>
  <c r="AP491" i="1"/>
  <c r="AM491" i="1"/>
  <c r="AL491" i="1"/>
  <c r="AK491" i="1"/>
  <c r="AJ491" i="1"/>
  <c r="AI491" i="1"/>
  <c r="AH491" i="1"/>
  <c r="AH491" i="1" a="1"/>
  <c r="AG491" i="1"/>
  <c r="AF491" i="1"/>
  <c r="BI490" i="1"/>
  <c r="BH490" i="1"/>
  <c r="BG490" i="1"/>
  <c r="BF490" i="1"/>
  <c r="BE490" i="1"/>
  <c r="BD490" i="1"/>
  <c r="BC490" i="1"/>
  <c r="BB490" i="1"/>
  <c r="BA490" i="1"/>
  <c r="AZ490" i="1"/>
  <c r="AY490" i="1"/>
  <c r="AX490" i="1"/>
  <c r="AW490" i="1"/>
  <c r="AV490" i="1"/>
  <c r="AU490" i="1"/>
  <c r="AT490" i="1"/>
  <c r="AS490" i="1"/>
  <c r="AR490" i="1"/>
  <c r="AQ490" i="1"/>
  <c r="AP490" i="1"/>
  <c r="AM490" i="1"/>
  <c r="AL490" i="1"/>
  <c r="AK490" i="1"/>
  <c r="AJ490" i="1"/>
  <c r="AI490" i="1"/>
  <c r="AH490" i="1"/>
  <c r="AH490" i="1" a="1"/>
  <c r="AG490" i="1"/>
  <c r="AF490" i="1"/>
  <c r="BI489" i="1"/>
  <c r="BH489" i="1"/>
  <c r="BG489" i="1"/>
  <c r="BF489" i="1"/>
  <c r="BE489" i="1"/>
  <c r="BD489" i="1"/>
  <c r="BC489" i="1"/>
  <c r="BB489" i="1"/>
  <c r="BA489" i="1"/>
  <c r="AZ489" i="1"/>
  <c r="AY489" i="1"/>
  <c r="AX489" i="1"/>
  <c r="AW489" i="1"/>
  <c r="AV489" i="1"/>
  <c r="AU489" i="1"/>
  <c r="AT489" i="1"/>
  <c r="AS489" i="1"/>
  <c r="AR489" i="1"/>
  <c r="AQ489" i="1"/>
  <c r="AP489" i="1"/>
  <c r="AM489" i="1"/>
  <c r="AL489" i="1"/>
  <c r="AK489" i="1"/>
  <c r="AJ489" i="1"/>
  <c r="AI489" i="1"/>
  <c r="AH489" i="1"/>
  <c r="AH489" i="1" a="1"/>
  <c r="AG489" i="1"/>
  <c r="AF489" i="1"/>
  <c r="BI488" i="1"/>
  <c r="BH488" i="1"/>
  <c r="BG488" i="1"/>
  <c r="BF488" i="1"/>
  <c r="BE488" i="1"/>
  <c r="BD488" i="1"/>
  <c r="BC488" i="1"/>
  <c r="BB488" i="1"/>
  <c r="BA488" i="1"/>
  <c r="AZ488" i="1"/>
  <c r="AY488" i="1"/>
  <c r="AX488" i="1"/>
  <c r="AW488" i="1"/>
  <c r="AV488" i="1"/>
  <c r="AU488" i="1"/>
  <c r="AT488" i="1"/>
  <c r="AS488" i="1"/>
  <c r="AR488" i="1"/>
  <c r="AQ488" i="1"/>
  <c r="AP488" i="1"/>
  <c r="AM488" i="1"/>
  <c r="AL488" i="1"/>
  <c r="AK488" i="1"/>
  <c r="AJ488" i="1"/>
  <c r="AI488" i="1"/>
  <c r="AH488" i="1"/>
  <c r="AH488" i="1" a="1"/>
  <c r="AG488" i="1"/>
  <c r="AF488" i="1"/>
  <c r="BI487" i="1"/>
  <c r="BH487" i="1"/>
  <c r="BG487" i="1"/>
  <c r="BF487" i="1"/>
  <c r="BE487" i="1"/>
  <c r="BD487" i="1"/>
  <c r="BC487" i="1"/>
  <c r="BB487" i="1"/>
  <c r="BA487" i="1"/>
  <c r="AZ487" i="1"/>
  <c r="AY487" i="1"/>
  <c r="AX487" i="1"/>
  <c r="AW487" i="1"/>
  <c r="AV487" i="1"/>
  <c r="AU487" i="1"/>
  <c r="AT487" i="1"/>
  <c r="AS487" i="1"/>
  <c r="AR487" i="1"/>
  <c r="AQ487" i="1"/>
  <c r="AP487" i="1"/>
  <c r="AM487" i="1"/>
  <c r="AL487" i="1"/>
  <c r="AK487" i="1"/>
  <c r="AJ487" i="1"/>
  <c r="AI487" i="1"/>
  <c r="AH487" i="1"/>
  <c r="AH487" i="1" a="1"/>
  <c r="AG487" i="1"/>
  <c r="AF487" i="1"/>
  <c r="BI486" i="1"/>
  <c r="BH486" i="1"/>
  <c r="BG486" i="1"/>
  <c r="BF486" i="1"/>
  <c r="BE486" i="1"/>
  <c r="BD486" i="1"/>
  <c r="BC486" i="1"/>
  <c r="BB486" i="1"/>
  <c r="BA486" i="1"/>
  <c r="AZ486" i="1"/>
  <c r="AY486" i="1"/>
  <c r="AX486" i="1"/>
  <c r="AW486" i="1"/>
  <c r="AV486" i="1"/>
  <c r="AU486" i="1"/>
  <c r="AT486" i="1"/>
  <c r="AS486" i="1"/>
  <c r="AR486" i="1"/>
  <c r="AQ486" i="1"/>
  <c r="AP486" i="1"/>
  <c r="AM486" i="1"/>
  <c r="AL486" i="1"/>
  <c r="AK486" i="1"/>
  <c r="AJ486" i="1"/>
  <c r="AI486" i="1"/>
  <c r="AH486" i="1"/>
  <c r="AH486" i="1" a="1"/>
  <c r="AG486" i="1"/>
  <c r="AF486" i="1"/>
  <c r="BI485" i="1"/>
  <c r="BH485" i="1"/>
  <c r="BG485" i="1"/>
  <c r="BF485" i="1"/>
  <c r="BE485" i="1"/>
  <c r="BD485" i="1"/>
  <c r="BC485" i="1"/>
  <c r="BB485" i="1"/>
  <c r="BA485" i="1"/>
  <c r="AZ485" i="1"/>
  <c r="AY485" i="1"/>
  <c r="AX485" i="1"/>
  <c r="AW485" i="1"/>
  <c r="AV485" i="1"/>
  <c r="AU485" i="1"/>
  <c r="AT485" i="1"/>
  <c r="AS485" i="1"/>
  <c r="AR485" i="1"/>
  <c r="AQ485" i="1"/>
  <c r="AP485" i="1"/>
  <c r="AM485" i="1"/>
  <c r="AL485" i="1"/>
  <c r="AK485" i="1"/>
  <c r="AJ485" i="1"/>
  <c r="AI485" i="1"/>
  <c r="AH485" i="1"/>
  <c r="AH485" i="1" a="1"/>
  <c r="AG485" i="1"/>
  <c r="AF485" i="1"/>
  <c r="BI484" i="1"/>
  <c r="BH484" i="1"/>
  <c r="BG484" i="1"/>
  <c r="BF484" i="1"/>
  <c r="BE484" i="1"/>
  <c r="BD484" i="1"/>
  <c r="BC484" i="1"/>
  <c r="BB484" i="1"/>
  <c r="BA484" i="1"/>
  <c r="AZ484" i="1"/>
  <c r="AY484" i="1"/>
  <c r="AX484" i="1"/>
  <c r="AW484" i="1"/>
  <c r="AV484" i="1"/>
  <c r="AU484" i="1"/>
  <c r="AT484" i="1"/>
  <c r="AS484" i="1"/>
  <c r="AR484" i="1"/>
  <c r="AQ484" i="1"/>
  <c r="AP484" i="1"/>
  <c r="AM484" i="1"/>
  <c r="AL484" i="1"/>
  <c r="AK484" i="1"/>
  <c r="AJ484" i="1"/>
  <c r="AI484" i="1"/>
  <c r="AH484" i="1"/>
  <c r="AH484" i="1" a="1"/>
  <c r="AG484" i="1"/>
  <c r="AF484" i="1"/>
  <c r="BI483" i="1"/>
  <c r="BH483" i="1"/>
  <c r="BG483" i="1"/>
  <c r="BF483" i="1"/>
  <c r="BE483" i="1"/>
  <c r="BD483" i="1"/>
  <c r="BC483" i="1"/>
  <c r="BB483" i="1"/>
  <c r="BA483" i="1"/>
  <c r="AZ483" i="1"/>
  <c r="AY483" i="1"/>
  <c r="AX483" i="1"/>
  <c r="AW483" i="1"/>
  <c r="AV483" i="1"/>
  <c r="AU483" i="1"/>
  <c r="AT483" i="1"/>
  <c r="AS483" i="1"/>
  <c r="AR483" i="1"/>
  <c r="AQ483" i="1"/>
  <c r="AP483" i="1"/>
  <c r="AM483" i="1"/>
  <c r="AL483" i="1"/>
  <c r="AK483" i="1"/>
  <c r="AJ483" i="1"/>
  <c r="AI483" i="1"/>
  <c r="AH483" i="1"/>
  <c r="AH483" i="1" a="1"/>
  <c r="AG483" i="1"/>
  <c r="AF483" i="1"/>
  <c r="BI482" i="1"/>
  <c r="BH482" i="1"/>
  <c r="BG482" i="1"/>
  <c r="BF482" i="1"/>
  <c r="BE482" i="1"/>
  <c r="BD482" i="1"/>
  <c r="BC482" i="1"/>
  <c r="BB482" i="1"/>
  <c r="BA482" i="1"/>
  <c r="AZ482" i="1"/>
  <c r="AY482" i="1"/>
  <c r="AX482" i="1"/>
  <c r="AW482" i="1"/>
  <c r="AV482" i="1"/>
  <c r="AU482" i="1"/>
  <c r="AT482" i="1"/>
  <c r="AS482" i="1"/>
  <c r="AR482" i="1"/>
  <c r="AQ482" i="1"/>
  <c r="AP482" i="1"/>
  <c r="AM482" i="1"/>
  <c r="AL482" i="1"/>
  <c r="AK482" i="1"/>
  <c r="AJ482" i="1"/>
  <c r="AI482" i="1"/>
  <c r="AH482" i="1"/>
  <c r="AH482" i="1" a="1"/>
  <c r="AG482" i="1"/>
  <c r="AF482" i="1"/>
  <c r="BI481" i="1"/>
  <c r="BH481" i="1"/>
  <c r="BG481" i="1"/>
  <c r="BF481" i="1"/>
  <c r="BE481" i="1"/>
  <c r="BD481" i="1"/>
  <c r="BC481" i="1"/>
  <c r="BB481" i="1"/>
  <c r="BA481" i="1"/>
  <c r="AZ481" i="1"/>
  <c r="AY481" i="1"/>
  <c r="AX481" i="1"/>
  <c r="AW481" i="1"/>
  <c r="AV481" i="1"/>
  <c r="AU481" i="1"/>
  <c r="AT481" i="1"/>
  <c r="AS481" i="1"/>
  <c r="AR481" i="1"/>
  <c r="AQ481" i="1"/>
  <c r="AP481" i="1"/>
  <c r="AM481" i="1"/>
  <c r="AL481" i="1"/>
  <c r="AK481" i="1"/>
  <c r="AJ481" i="1"/>
  <c r="AI481" i="1"/>
  <c r="AH481" i="1"/>
  <c r="AH481" i="1" a="1"/>
  <c r="AG481" i="1"/>
  <c r="AF481" i="1"/>
  <c r="BI480" i="1"/>
  <c r="BH480" i="1"/>
  <c r="BG480" i="1"/>
  <c r="BF480" i="1"/>
  <c r="BE480" i="1"/>
  <c r="BD480" i="1"/>
  <c r="BC480" i="1"/>
  <c r="BB480" i="1"/>
  <c r="BA480" i="1"/>
  <c r="AZ480" i="1"/>
  <c r="AY480" i="1"/>
  <c r="AX480" i="1"/>
  <c r="AW480" i="1"/>
  <c r="AV480" i="1"/>
  <c r="AU480" i="1"/>
  <c r="AT480" i="1"/>
  <c r="AS480" i="1"/>
  <c r="AR480" i="1"/>
  <c r="AQ480" i="1"/>
  <c r="AP480" i="1"/>
  <c r="AM480" i="1"/>
  <c r="AL480" i="1"/>
  <c r="AK480" i="1"/>
  <c r="AJ480" i="1"/>
  <c r="AI480" i="1"/>
  <c r="AH480" i="1"/>
  <c r="AH480" i="1" a="1"/>
  <c r="AG480" i="1"/>
  <c r="AF480" i="1"/>
  <c r="BI479" i="1"/>
  <c r="BH479" i="1"/>
  <c r="BG479" i="1"/>
  <c r="BF479" i="1"/>
  <c r="BE479" i="1"/>
  <c r="BD479" i="1"/>
  <c r="BC479" i="1"/>
  <c r="BB479" i="1"/>
  <c r="BA479" i="1"/>
  <c r="AZ479" i="1"/>
  <c r="AY479" i="1"/>
  <c r="AX479" i="1"/>
  <c r="AW479" i="1"/>
  <c r="AV479" i="1"/>
  <c r="AU479" i="1"/>
  <c r="AT479" i="1"/>
  <c r="AS479" i="1"/>
  <c r="AR479" i="1"/>
  <c r="AQ479" i="1"/>
  <c r="AP479" i="1"/>
  <c r="AM479" i="1"/>
  <c r="AL479" i="1"/>
  <c r="AK479" i="1"/>
  <c r="AJ479" i="1"/>
  <c r="AI479" i="1"/>
  <c r="AH479" i="1"/>
  <c r="AH479" i="1" a="1"/>
  <c r="AG479" i="1"/>
  <c r="AF479" i="1"/>
  <c r="BI478" i="1"/>
  <c r="BH478" i="1"/>
  <c r="BG478" i="1"/>
  <c r="BF478" i="1"/>
  <c r="BE478" i="1"/>
  <c r="BD478" i="1"/>
  <c r="BC478" i="1"/>
  <c r="BB478" i="1"/>
  <c r="BA478" i="1"/>
  <c r="AZ478" i="1"/>
  <c r="AY478" i="1"/>
  <c r="AX478" i="1"/>
  <c r="AW478" i="1"/>
  <c r="AV478" i="1"/>
  <c r="AU478" i="1"/>
  <c r="AT478" i="1"/>
  <c r="AS478" i="1"/>
  <c r="AR478" i="1"/>
  <c r="AQ478" i="1"/>
  <c r="AP478" i="1"/>
  <c r="AM478" i="1"/>
  <c r="AL478" i="1"/>
  <c r="AK478" i="1"/>
  <c r="AJ478" i="1"/>
  <c r="AI478" i="1"/>
  <c r="AH478" i="1"/>
  <c r="AH478" i="1" a="1"/>
  <c r="AG478" i="1"/>
  <c r="AF478" i="1"/>
  <c r="BI477" i="1"/>
  <c r="BH477" i="1"/>
  <c r="BG477" i="1"/>
  <c r="BF477" i="1"/>
  <c r="BE477" i="1"/>
  <c r="BD477" i="1"/>
  <c r="BC477" i="1"/>
  <c r="BB477" i="1"/>
  <c r="BA477" i="1"/>
  <c r="AZ477" i="1"/>
  <c r="AY477" i="1"/>
  <c r="AX477" i="1"/>
  <c r="AW477" i="1"/>
  <c r="AV477" i="1"/>
  <c r="AU477" i="1"/>
  <c r="AT477" i="1"/>
  <c r="AS477" i="1"/>
  <c r="AR477" i="1"/>
  <c r="AQ477" i="1"/>
  <c r="AP477" i="1"/>
  <c r="AM477" i="1"/>
  <c r="AL477" i="1"/>
  <c r="AK477" i="1"/>
  <c r="AJ477" i="1"/>
  <c r="AI477" i="1"/>
  <c r="AH477" i="1"/>
  <c r="AH477" i="1" a="1"/>
  <c r="AG477" i="1"/>
  <c r="AF477" i="1"/>
  <c r="BI476" i="1"/>
  <c r="BH476" i="1"/>
  <c r="BG476" i="1"/>
  <c r="BF476" i="1"/>
  <c r="BE476" i="1"/>
  <c r="BD476" i="1"/>
  <c r="BC476" i="1"/>
  <c r="BB476" i="1"/>
  <c r="BA476" i="1"/>
  <c r="AZ476" i="1"/>
  <c r="AY476" i="1"/>
  <c r="AX476" i="1"/>
  <c r="AW476" i="1"/>
  <c r="AV476" i="1"/>
  <c r="AU476" i="1"/>
  <c r="AT476" i="1"/>
  <c r="AS476" i="1"/>
  <c r="AR476" i="1"/>
  <c r="AQ476" i="1"/>
  <c r="AP476" i="1"/>
  <c r="AM476" i="1"/>
  <c r="AL476" i="1"/>
  <c r="AK476" i="1"/>
  <c r="AJ476" i="1"/>
  <c r="AI476" i="1"/>
  <c r="AH476" i="1"/>
  <c r="AH476" i="1" a="1"/>
  <c r="AG476" i="1"/>
  <c r="AF476" i="1"/>
  <c r="BI475" i="1"/>
  <c r="BH475" i="1"/>
  <c r="BG475" i="1"/>
  <c r="BF475" i="1"/>
  <c r="BE475" i="1"/>
  <c r="BD475" i="1"/>
  <c r="BC475" i="1"/>
  <c r="BB475" i="1"/>
  <c r="BA475" i="1"/>
  <c r="AZ475" i="1"/>
  <c r="AY475" i="1"/>
  <c r="AX475" i="1"/>
  <c r="AW475" i="1"/>
  <c r="AV475" i="1"/>
  <c r="AU475" i="1"/>
  <c r="AT475" i="1"/>
  <c r="AS475" i="1"/>
  <c r="AR475" i="1"/>
  <c r="AQ475" i="1"/>
  <c r="AP475" i="1"/>
  <c r="AM475" i="1"/>
  <c r="AL475" i="1"/>
  <c r="AK475" i="1"/>
  <c r="AJ475" i="1"/>
  <c r="AI475" i="1"/>
  <c r="AH475" i="1"/>
  <c r="AH475" i="1" a="1"/>
  <c r="AG475" i="1"/>
  <c r="AF475" i="1"/>
  <c r="BI474" i="1"/>
  <c r="BH474" i="1"/>
  <c r="BG474" i="1"/>
  <c r="BF474" i="1"/>
  <c r="BE474" i="1"/>
  <c r="BD474" i="1"/>
  <c r="BC474" i="1"/>
  <c r="BB474" i="1"/>
  <c r="BA474" i="1"/>
  <c r="AZ474" i="1"/>
  <c r="AY474" i="1"/>
  <c r="AX474" i="1"/>
  <c r="AW474" i="1"/>
  <c r="AV474" i="1"/>
  <c r="AU474" i="1"/>
  <c r="AT474" i="1"/>
  <c r="AS474" i="1"/>
  <c r="AR474" i="1"/>
  <c r="AQ474" i="1"/>
  <c r="AP474" i="1"/>
  <c r="AM474" i="1"/>
  <c r="AL474" i="1"/>
  <c r="AK474" i="1"/>
  <c r="AJ474" i="1"/>
  <c r="AI474" i="1"/>
  <c r="AH474" i="1"/>
  <c r="AH474" i="1" a="1"/>
  <c r="AG474" i="1"/>
  <c r="AF474" i="1"/>
  <c r="BI473" i="1"/>
  <c r="BH473" i="1"/>
  <c r="BG473" i="1"/>
  <c r="BF473" i="1"/>
  <c r="BE473" i="1"/>
  <c r="BD473" i="1"/>
  <c r="BC473" i="1"/>
  <c r="BB473" i="1"/>
  <c r="BA473" i="1"/>
  <c r="AZ473" i="1"/>
  <c r="AY473" i="1"/>
  <c r="AX473" i="1"/>
  <c r="AW473" i="1"/>
  <c r="AV473" i="1"/>
  <c r="AU473" i="1"/>
  <c r="AT473" i="1"/>
  <c r="AS473" i="1"/>
  <c r="AR473" i="1"/>
  <c r="AQ473" i="1"/>
  <c r="AP473" i="1"/>
  <c r="AM473" i="1"/>
  <c r="AL473" i="1"/>
  <c r="AK473" i="1"/>
  <c r="AJ473" i="1"/>
  <c r="AI473" i="1"/>
  <c r="AH473" i="1"/>
  <c r="AH473" i="1" a="1"/>
  <c r="AG473" i="1"/>
  <c r="AF473" i="1"/>
  <c r="BI472" i="1"/>
  <c r="BH472" i="1"/>
  <c r="BG472" i="1"/>
  <c r="BF472" i="1"/>
  <c r="BE472" i="1"/>
  <c r="BD472" i="1"/>
  <c r="BC472" i="1"/>
  <c r="BB472" i="1"/>
  <c r="BA472" i="1"/>
  <c r="AZ472" i="1"/>
  <c r="AY472" i="1"/>
  <c r="AX472" i="1"/>
  <c r="AW472" i="1"/>
  <c r="AV472" i="1"/>
  <c r="AU472" i="1"/>
  <c r="AT472" i="1"/>
  <c r="AS472" i="1"/>
  <c r="AR472" i="1"/>
  <c r="AQ472" i="1"/>
  <c r="AP472" i="1"/>
  <c r="AM472" i="1"/>
  <c r="AL472" i="1"/>
  <c r="AK472" i="1"/>
  <c r="AJ472" i="1"/>
  <c r="AI472" i="1"/>
  <c r="AH472" i="1"/>
  <c r="AH472" i="1" a="1"/>
  <c r="AG472" i="1"/>
  <c r="AF472" i="1"/>
  <c r="BI471" i="1"/>
  <c r="BH471" i="1"/>
  <c r="BG471" i="1"/>
  <c r="BF471" i="1"/>
  <c r="BE471" i="1"/>
  <c r="BD471" i="1"/>
  <c r="BC471" i="1"/>
  <c r="BB471" i="1"/>
  <c r="BA471" i="1"/>
  <c r="AZ471" i="1"/>
  <c r="AY471" i="1"/>
  <c r="AX471" i="1"/>
  <c r="AW471" i="1"/>
  <c r="AV471" i="1"/>
  <c r="AU471" i="1"/>
  <c r="AT471" i="1"/>
  <c r="AS471" i="1"/>
  <c r="AR471" i="1"/>
  <c r="AQ471" i="1"/>
  <c r="AP471" i="1"/>
  <c r="AM471" i="1"/>
  <c r="AL471" i="1"/>
  <c r="AK471" i="1"/>
  <c r="AJ471" i="1"/>
  <c r="AI471" i="1"/>
  <c r="AH471" i="1"/>
  <c r="AH471" i="1" a="1"/>
  <c r="AG471" i="1"/>
  <c r="AF471" i="1"/>
  <c r="BI470" i="1"/>
  <c r="BH470" i="1"/>
  <c r="BG470" i="1"/>
  <c r="BF470" i="1"/>
  <c r="BE470" i="1"/>
  <c r="BD470" i="1"/>
  <c r="BC470" i="1"/>
  <c r="BB470" i="1"/>
  <c r="BA470" i="1"/>
  <c r="AZ470" i="1"/>
  <c r="AY470" i="1"/>
  <c r="AX470" i="1"/>
  <c r="AW470" i="1"/>
  <c r="AV470" i="1"/>
  <c r="AU470" i="1"/>
  <c r="AT470" i="1"/>
  <c r="AS470" i="1"/>
  <c r="AR470" i="1"/>
  <c r="AQ470" i="1"/>
  <c r="AP470" i="1"/>
  <c r="AM470" i="1"/>
  <c r="AL470" i="1"/>
  <c r="AK470" i="1"/>
  <c r="AJ470" i="1"/>
  <c r="AI470" i="1"/>
  <c r="AH470" i="1"/>
  <c r="AH470" i="1" a="1"/>
  <c r="AG470" i="1"/>
  <c r="AF470" i="1"/>
  <c r="BI469" i="1"/>
  <c r="BH469" i="1"/>
  <c r="BG469" i="1"/>
  <c r="BF469" i="1"/>
  <c r="BE469" i="1"/>
  <c r="BD469" i="1"/>
  <c r="BC469" i="1"/>
  <c r="BB469" i="1"/>
  <c r="BA469" i="1"/>
  <c r="AZ469" i="1"/>
  <c r="AY469" i="1"/>
  <c r="AX469" i="1"/>
  <c r="AW469" i="1"/>
  <c r="AV469" i="1"/>
  <c r="AU469" i="1"/>
  <c r="AT469" i="1"/>
  <c r="AS469" i="1"/>
  <c r="AR469" i="1"/>
  <c r="AQ469" i="1"/>
  <c r="AP469" i="1"/>
  <c r="AM469" i="1"/>
  <c r="AL469" i="1"/>
  <c r="AK469" i="1"/>
  <c r="AJ469" i="1"/>
  <c r="AI469" i="1"/>
  <c r="AH469" i="1"/>
  <c r="AH469" i="1" a="1"/>
  <c r="AG469" i="1"/>
  <c r="AF469" i="1"/>
  <c r="BI468" i="1"/>
  <c r="BH468" i="1"/>
  <c r="BG468" i="1"/>
  <c r="BF468" i="1"/>
  <c r="BE468" i="1"/>
  <c r="BD468" i="1"/>
  <c r="BC468" i="1"/>
  <c r="BB468" i="1"/>
  <c r="BA468" i="1"/>
  <c r="AZ468" i="1"/>
  <c r="AY468" i="1"/>
  <c r="AX468" i="1"/>
  <c r="AW468" i="1"/>
  <c r="AV468" i="1"/>
  <c r="AU468" i="1"/>
  <c r="AT468" i="1"/>
  <c r="AS468" i="1"/>
  <c r="AR468" i="1"/>
  <c r="AQ468" i="1"/>
  <c r="AP468" i="1"/>
  <c r="AM468" i="1"/>
  <c r="AL468" i="1"/>
  <c r="AK468" i="1"/>
  <c r="AJ468" i="1"/>
  <c r="AI468" i="1"/>
  <c r="AH468" i="1"/>
  <c r="AH468" i="1" a="1"/>
  <c r="AG468" i="1"/>
  <c r="AF468" i="1"/>
  <c r="BI467" i="1"/>
  <c r="BH467" i="1"/>
  <c r="BG467" i="1"/>
  <c r="BF467" i="1"/>
  <c r="BE467" i="1"/>
  <c r="BD467" i="1"/>
  <c r="BC467" i="1"/>
  <c r="BB467" i="1"/>
  <c r="BA467" i="1"/>
  <c r="AZ467" i="1"/>
  <c r="AY467" i="1"/>
  <c r="AX467" i="1"/>
  <c r="AW467" i="1"/>
  <c r="AV467" i="1"/>
  <c r="AU467" i="1"/>
  <c r="AT467" i="1"/>
  <c r="AS467" i="1"/>
  <c r="AR467" i="1"/>
  <c r="AQ467" i="1"/>
  <c r="AP467" i="1"/>
  <c r="AM467" i="1"/>
  <c r="AL467" i="1"/>
  <c r="AK467" i="1"/>
  <c r="AJ467" i="1"/>
  <c r="AI467" i="1"/>
  <c r="AH467" i="1"/>
  <c r="AH467" i="1" a="1"/>
  <c r="AG467" i="1"/>
  <c r="AF467" i="1"/>
  <c r="BI466" i="1"/>
  <c r="BH466" i="1"/>
  <c r="BG466" i="1"/>
  <c r="BF466" i="1"/>
  <c r="BE466" i="1"/>
  <c r="BD466" i="1"/>
  <c r="BC466" i="1"/>
  <c r="BB466" i="1"/>
  <c r="BA466" i="1"/>
  <c r="AZ466" i="1"/>
  <c r="AY466" i="1"/>
  <c r="AX466" i="1"/>
  <c r="AW466" i="1"/>
  <c r="AV466" i="1"/>
  <c r="AU466" i="1"/>
  <c r="AT466" i="1"/>
  <c r="AS466" i="1"/>
  <c r="AR466" i="1"/>
  <c r="AQ466" i="1"/>
  <c r="AP466" i="1"/>
  <c r="AM466" i="1"/>
  <c r="AL466" i="1"/>
  <c r="AK466" i="1"/>
  <c r="AJ466" i="1"/>
  <c r="AI466" i="1"/>
  <c r="AH466" i="1"/>
  <c r="AH466" i="1" a="1"/>
  <c r="AG466" i="1"/>
  <c r="AF466" i="1"/>
  <c r="BI465" i="1"/>
  <c r="BH465" i="1"/>
  <c r="BG465" i="1"/>
  <c r="BF465" i="1"/>
  <c r="BE465" i="1"/>
  <c r="BD465" i="1"/>
  <c r="BC465" i="1"/>
  <c r="BB465" i="1"/>
  <c r="BA465" i="1"/>
  <c r="AZ465" i="1"/>
  <c r="AY465" i="1"/>
  <c r="AX465" i="1"/>
  <c r="AW465" i="1"/>
  <c r="AV465" i="1"/>
  <c r="AU465" i="1"/>
  <c r="AT465" i="1"/>
  <c r="AS465" i="1"/>
  <c r="AR465" i="1"/>
  <c r="AQ465" i="1"/>
  <c r="AP465" i="1"/>
  <c r="AM465" i="1"/>
  <c r="AL465" i="1"/>
  <c r="AK465" i="1"/>
  <c r="AJ465" i="1"/>
  <c r="AI465" i="1"/>
  <c r="AH465" i="1"/>
  <c r="AH465" i="1" a="1"/>
  <c r="AG465" i="1"/>
  <c r="AF465" i="1"/>
  <c r="BI464" i="1"/>
  <c r="BH464" i="1"/>
  <c r="BG464" i="1"/>
  <c r="BF464" i="1"/>
  <c r="BE464" i="1"/>
  <c r="BD464" i="1"/>
  <c r="BC464" i="1"/>
  <c r="BB464" i="1"/>
  <c r="BA464" i="1"/>
  <c r="AZ464" i="1"/>
  <c r="AY464" i="1"/>
  <c r="AX464" i="1"/>
  <c r="AW464" i="1"/>
  <c r="AV464" i="1"/>
  <c r="AU464" i="1"/>
  <c r="AT464" i="1"/>
  <c r="AS464" i="1"/>
  <c r="AR464" i="1"/>
  <c r="AQ464" i="1"/>
  <c r="AP464" i="1"/>
  <c r="AM464" i="1"/>
  <c r="AL464" i="1"/>
  <c r="AK464" i="1"/>
  <c r="AJ464" i="1"/>
  <c r="AI464" i="1"/>
  <c r="AH464" i="1"/>
  <c r="AH464" i="1" a="1"/>
  <c r="AG464" i="1"/>
  <c r="AF464" i="1"/>
  <c r="BI463" i="1"/>
  <c r="BH463" i="1"/>
  <c r="BG463" i="1"/>
  <c r="BF463" i="1"/>
  <c r="BE463" i="1"/>
  <c r="BD463" i="1"/>
  <c r="BC463" i="1"/>
  <c r="BB463" i="1"/>
  <c r="BA463" i="1"/>
  <c r="AZ463" i="1"/>
  <c r="AY463" i="1"/>
  <c r="AX463" i="1"/>
  <c r="AW463" i="1"/>
  <c r="AV463" i="1"/>
  <c r="AU463" i="1"/>
  <c r="AT463" i="1"/>
  <c r="AS463" i="1"/>
  <c r="AR463" i="1"/>
  <c r="AQ463" i="1"/>
  <c r="AP463" i="1"/>
  <c r="AM463" i="1"/>
  <c r="AL463" i="1"/>
  <c r="AK463" i="1"/>
  <c r="AJ463" i="1"/>
  <c r="AI463" i="1"/>
  <c r="AH463" i="1"/>
  <c r="AH463" i="1" a="1"/>
  <c r="AG463" i="1"/>
  <c r="AF463" i="1"/>
  <c r="BI462" i="1"/>
  <c r="BH462" i="1"/>
  <c r="BG462" i="1"/>
  <c r="BF462" i="1"/>
  <c r="BE462" i="1"/>
  <c r="BD462" i="1"/>
  <c r="BC462" i="1"/>
  <c r="BB462" i="1"/>
  <c r="BA462" i="1"/>
  <c r="AZ462" i="1"/>
  <c r="AY462" i="1"/>
  <c r="AX462" i="1"/>
  <c r="AW462" i="1"/>
  <c r="AV462" i="1"/>
  <c r="AU462" i="1"/>
  <c r="AT462" i="1"/>
  <c r="AS462" i="1"/>
  <c r="AR462" i="1"/>
  <c r="AQ462" i="1"/>
  <c r="AP462" i="1"/>
  <c r="AM462" i="1"/>
  <c r="AL462" i="1"/>
  <c r="AK462" i="1"/>
  <c r="AJ462" i="1"/>
  <c r="AI462" i="1"/>
  <c r="AH462" i="1"/>
  <c r="AH462" i="1" a="1"/>
  <c r="AG462" i="1"/>
  <c r="AF462" i="1"/>
  <c r="BI461" i="1"/>
  <c r="BH461" i="1"/>
  <c r="BG461" i="1"/>
  <c r="BF461" i="1"/>
  <c r="BE461" i="1"/>
  <c r="BD461" i="1"/>
  <c r="BC461" i="1"/>
  <c r="BB461" i="1"/>
  <c r="BA461" i="1"/>
  <c r="AZ461" i="1"/>
  <c r="AY461" i="1"/>
  <c r="AX461" i="1"/>
  <c r="AW461" i="1"/>
  <c r="AV461" i="1"/>
  <c r="AU461" i="1"/>
  <c r="AT461" i="1"/>
  <c r="AS461" i="1"/>
  <c r="AR461" i="1"/>
  <c r="AQ461" i="1"/>
  <c r="AP461" i="1"/>
  <c r="AM461" i="1"/>
  <c r="AL461" i="1"/>
  <c r="AK461" i="1"/>
  <c r="AJ461" i="1"/>
  <c r="AI461" i="1"/>
  <c r="AH461" i="1"/>
  <c r="AH461" i="1" a="1"/>
  <c r="AG461" i="1"/>
  <c r="AF461" i="1"/>
  <c r="BI460" i="1"/>
  <c r="BH460" i="1"/>
  <c r="BG460" i="1"/>
  <c r="BF460" i="1"/>
  <c r="BE460" i="1"/>
  <c r="BD460" i="1"/>
  <c r="BC460" i="1"/>
  <c r="BB460" i="1"/>
  <c r="BA460" i="1"/>
  <c r="AZ460" i="1"/>
  <c r="AY460" i="1"/>
  <c r="AX460" i="1"/>
  <c r="AW460" i="1"/>
  <c r="AV460" i="1"/>
  <c r="AU460" i="1"/>
  <c r="AT460" i="1"/>
  <c r="AS460" i="1"/>
  <c r="AR460" i="1"/>
  <c r="AQ460" i="1"/>
  <c r="AP460" i="1"/>
  <c r="AM460" i="1"/>
  <c r="AL460" i="1"/>
  <c r="AK460" i="1"/>
  <c r="AJ460" i="1"/>
  <c r="AI460" i="1"/>
  <c r="AH460" i="1"/>
  <c r="AH460" i="1" a="1"/>
  <c r="AG460" i="1"/>
  <c r="AF460" i="1"/>
  <c r="BI459" i="1"/>
  <c r="BH459" i="1"/>
  <c r="BG459" i="1"/>
  <c r="BF459" i="1"/>
  <c r="BE459" i="1"/>
  <c r="BD459" i="1"/>
  <c r="BC459" i="1"/>
  <c r="BB459" i="1"/>
  <c r="BA459" i="1"/>
  <c r="AZ459" i="1"/>
  <c r="AY459" i="1"/>
  <c r="AX459" i="1"/>
  <c r="AW459" i="1"/>
  <c r="AV459" i="1"/>
  <c r="AU459" i="1"/>
  <c r="AT459" i="1"/>
  <c r="AS459" i="1"/>
  <c r="AR459" i="1"/>
  <c r="AQ459" i="1"/>
  <c r="AP459" i="1"/>
  <c r="AM459" i="1"/>
  <c r="AL459" i="1"/>
  <c r="AK459" i="1"/>
  <c r="AJ459" i="1"/>
  <c r="AI459" i="1"/>
  <c r="AH459" i="1"/>
  <c r="AH459" i="1" a="1"/>
  <c r="AG459" i="1"/>
  <c r="AF459" i="1"/>
  <c r="BI458" i="1"/>
  <c r="BH458" i="1"/>
  <c r="BG458" i="1"/>
  <c r="BF458" i="1"/>
  <c r="BE458" i="1"/>
  <c r="BD458" i="1"/>
  <c r="BC458" i="1"/>
  <c r="BB458" i="1"/>
  <c r="BA458" i="1"/>
  <c r="AZ458" i="1"/>
  <c r="AY458" i="1"/>
  <c r="AX458" i="1"/>
  <c r="AW458" i="1"/>
  <c r="AV458" i="1"/>
  <c r="AU458" i="1"/>
  <c r="AT458" i="1"/>
  <c r="AS458" i="1"/>
  <c r="AR458" i="1"/>
  <c r="AQ458" i="1"/>
  <c r="AP458" i="1"/>
  <c r="AM458" i="1"/>
  <c r="AL458" i="1"/>
  <c r="AK458" i="1"/>
  <c r="AJ458" i="1"/>
  <c r="AI458" i="1"/>
  <c r="AH458" i="1"/>
  <c r="AH458" i="1" a="1"/>
  <c r="AG458" i="1"/>
  <c r="AF458" i="1"/>
  <c r="BI457" i="1"/>
  <c r="BH457" i="1"/>
  <c r="BG457" i="1"/>
  <c r="BF457" i="1"/>
  <c r="BE457" i="1"/>
  <c r="BD457" i="1"/>
  <c r="BC457" i="1"/>
  <c r="BB457" i="1"/>
  <c r="BA457" i="1"/>
  <c r="AZ457" i="1"/>
  <c r="AY457" i="1"/>
  <c r="AX457" i="1"/>
  <c r="AW457" i="1"/>
  <c r="AV457" i="1"/>
  <c r="AU457" i="1"/>
  <c r="AT457" i="1"/>
  <c r="AS457" i="1"/>
  <c r="AR457" i="1"/>
  <c r="AQ457" i="1"/>
  <c r="AP457" i="1"/>
  <c r="AM457" i="1"/>
  <c r="AL457" i="1"/>
  <c r="AK457" i="1"/>
  <c r="AJ457" i="1"/>
  <c r="AI457" i="1"/>
  <c r="AH457" i="1"/>
  <c r="AH457" i="1" a="1"/>
  <c r="AG457" i="1"/>
  <c r="AF457" i="1"/>
  <c r="BI456" i="1"/>
  <c r="BH456" i="1"/>
  <c r="BG456" i="1"/>
  <c r="BF456" i="1"/>
  <c r="BE456" i="1"/>
  <c r="BD456" i="1"/>
  <c r="BC456" i="1"/>
  <c r="BB456" i="1"/>
  <c r="BA456" i="1"/>
  <c r="AZ456" i="1"/>
  <c r="AY456" i="1"/>
  <c r="AX456" i="1"/>
  <c r="AW456" i="1"/>
  <c r="AV456" i="1"/>
  <c r="AU456" i="1"/>
  <c r="AT456" i="1"/>
  <c r="AS456" i="1"/>
  <c r="AR456" i="1"/>
  <c r="AQ456" i="1"/>
  <c r="AP456" i="1"/>
  <c r="AM456" i="1"/>
  <c r="AL456" i="1"/>
  <c r="AK456" i="1"/>
  <c r="AJ456" i="1"/>
  <c r="AI456" i="1"/>
  <c r="AH456" i="1"/>
  <c r="AH456" i="1" a="1"/>
  <c r="AG456" i="1"/>
  <c r="AF456" i="1"/>
  <c r="BI455" i="1"/>
  <c r="BH455" i="1"/>
  <c r="BG455" i="1"/>
  <c r="BF455" i="1"/>
  <c r="BE455" i="1"/>
  <c r="BD455" i="1"/>
  <c r="BC455" i="1"/>
  <c r="BB455" i="1"/>
  <c r="BA455" i="1"/>
  <c r="AZ455" i="1"/>
  <c r="AY455" i="1"/>
  <c r="AX455" i="1"/>
  <c r="AW455" i="1"/>
  <c r="AV455" i="1"/>
  <c r="AU455" i="1"/>
  <c r="AT455" i="1"/>
  <c r="AS455" i="1"/>
  <c r="AR455" i="1"/>
  <c r="AQ455" i="1"/>
  <c r="AP455" i="1"/>
  <c r="AM455" i="1"/>
  <c r="AL455" i="1"/>
  <c r="AK455" i="1"/>
  <c r="AJ455" i="1"/>
  <c r="AI455" i="1"/>
  <c r="AH455" i="1"/>
  <c r="AH455" i="1" a="1"/>
  <c r="AG455" i="1"/>
  <c r="AF455" i="1"/>
  <c r="BI454" i="1"/>
  <c r="BH454" i="1"/>
  <c r="BG454" i="1"/>
  <c r="BF454" i="1"/>
  <c r="BE454" i="1"/>
  <c r="BD454" i="1"/>
  <c r="BC454" i="1"/>
  <c r="BB454" i="1"/>
  <c r="BA454" i="1"/>
  <c r="AZ454" i="1"/>
  <c r="AY454" i="1"/>
  <c r="AX454" i="1"/>
  <c r="AW454" i="1"/>
  <c r="AV454" i="1"/>
  <c r="AU454" i="1"/>
  <c r="AT454" i="1"/>
  <c r="AS454" i="1"/>
  <c r="AR454" i="1"/>
  <c r="AQ454" i="1"/>
  <c r="AP454" i="1"/>
  <c r="AM454" i="1"/>
  <c r="AL454" i="1"/>
  <c r="AK454" i="1"/>
  <c r="AJ454" i="1"/>
  <c r="AI454" i="1"/>
  <c r="AH454" i="1"/>
  <c r="AH454" i="1" a="1"/>
  <c r="AG454" i="1"/>
  <c r="AF454" i="1"/>
  <c r="BI453" i="1"/>
  <c r="BH453" i="1"/>
  <c r="BG453" i="1"/>
  <c r="BF453" i="1"/>
  <c r="BE453" i="1"/>
  <c r="BD453" i="1"/>
  <c r="BC453" i="1"/>
  <c r="BB453" i="1"/>
  <c r="BA453" i="1"/>
  <c r="AZ453" i="1"/>
  <c r="AY453" i="1"/>
  <c r="AX453" i="1"/>
  <c r="AW453" i="1"/>
  <c r="AV453" i="1"/>
  <c r="AU453" i="1"/>
  <c r="AT453" i="1"/>
  <c r="AS453" i="1"/>
  <c r="AR453" i="1"/>
  <c r="AQ453" i="1"/>
  <c r="AP453" i="1"/>
  <c r="AM453" i="1"/>
  <c r="AL453" i="1"/>
  <c r="AK453" i="1"/>
  <c r="AJ453" i="1"/>
  <c r="AI453" i="1"/>
  <c r="AH453" i="1"/>
  <c r="AH453" i="1" a="1"/>
  <c r="AG453" i="1"/>
  <c r="AF453" i="1"/>
  <c r="BI452" i="1"/>
  <c r="BH452" i="1"/>
  <c r="BG452" i="1"/>
  <c r="BF452" i="1"/>
  <c r="BE452" i="1"/>
  <c r="BD452" i="1"/>
  <c r="BC452" i="1"/>
  <c r="BB452" i="1"/>
  <c r="BA452" i="1"/>
  <c r="AZ452" i="1"/>
  <c r="AY452" i="1"/>
  <c r="AX452" i="1"/>
  <c r="AW452" i="1"/>
  <c r="AV452" i="1"/>
  <c r="AU452" i="1"/>
  <c r="AT452" i="1"/>
  <c r="AS452" i="1"/>
  <c r="AR452" i="1"/>
  <c r="AQ452" i="1"/>
  <c r="AP452" i="1"/>
  <c r="AM452" i="1"/>
  <c r="AL452" i="1"/>
  <c r="AK452" i="1"/>
  <c r="AJ452" i="1"/>
  <c r="AI452" i="1"/>
  <c r="AH452" i="1"/>
  <c r="AH452" i="1" a="1"/>
  <c r="AG452" i="1"/>
  <c r="AF452" i="1"/>
  <c r="BI451" i="1"/>
  <c r="BH451" i="1"/>
  <c r="BG451" i="1"/>
  <c r="BF451" i="1"/>
  <c r="BE451" i="1"/>
  <c r="BD451" i="1"/>
  <c r="BC451" i="1"/>
  <c r="BB451" i="1"/>
  <c r="BA451" i="1"/>
  <c r="AZ451" i="1"/>
  <c r="AY451" i="1"/>
  <c r="AX451" i="1"/>
  <c r="AW451" i="1"/>
  <c r="AV451" i="1"/>
  <c r="AU451" i="1"/>
  <c r="AT451" i="1"/>
  <c r="AS451" i="1"/>
  <c r="AR451" i="1"/>
  <c r="AQ451" i="1"/>
  <c r="AP451" i="1"/>
  <c r="AM451" i="1"/>
  <c r="AL451" i="1"/>
  <c r="AK451" i="1"/>
  <c r="AJ451" i="1"/>
  <c r="AI451" i="1"/>
  <c r="AH451" i="1"/>
  <c r="AH451" i="1" a="1"/>
  <c r="AG451" i="1"/>
  <c r="AF451" i="1"/>
  <c r="BI450" i="1"/>
  <c r="BH450" i="1"/>
  <c r="BG450" i="1"/>
  <c r="BF450" i="1"/>
  <c r="BE450" i="1"/>
  <c r="BD450" i="1"/>
  <c r="BC450" i="1"/>
  <c r="BB450" i="1"/>
  <c r="BA450" i="1"/>
  <c r="AZ450" i="1"/>
  <c r="AY450" i="1"/>
  <c r="AX450" i="1"/>
  <c r="AW450" i="1"/>
  <c r="AV450" i="1"/>
  <c r="AU450" i="1"/>
  <c r="AT450" i="1"/>
  <c r="AS450" i="1"/>
  <c r="AR450" i="1"/>
  <c r="AQ450" i="1"/>
  <c r="AP450" i="1"/>
  <c r="AM450" i="1"/>
  <c r="AL450" i="1"/>
  <c r="AK450" i="1"/>
  <c r="AJ450" i="1"/>
  <c r="AI450" i="1"/>
  <c r="AH450" i="1"/>
  <c r="AH450" i="1" a="1"/>
  <c r="AG450" i="1"/>
  <c r="AF450" i="1"/>
  <c r="BI449" i="1"/>
  <c r="BH449" i="1"/>
  <c r="BG449" i="1"/>
  <c r="BF449" i="1"/>
  <c r="BE449" i="1"/>
  <c r="BD449" i="1"/>
  <c r="BC449" i="1"/>
  <c r="BB449" i="1"/>
  <c r="BA449" i="1"/>
  <c r="AZ449" i="1"/>
  <c r="AY449" i="1"/>
  <c r="AX449" i="1"/>
  <c r="AW449" i="1"/>
  <c r="AV449" i="1"/>
  <c r="AU449" i="1"/>
  <c r="AT449" i="1"/>
  <c r="AS449" i="1"/>
  <c r="AR449" i="1"/>
  <c r="AQ449" i="1"/>
  <c r="AP449" i="1"/>
  <c r="AM449" i="1"/>
  <c r="AL449" i="1"/>
  <c r="AK449" i="1"/>
  <c r="AJ449" i="1"/>
  <c r="AI449" i="1"/>
  <c r="AH449" i="1"/>
  <c r="AH449" i="1" a="1"/>
  <c r="AG449" i="1"/>
  <c r="AF449" i="1"/>
  <c r="BI448" i="1"/>
  <c r="BH448" i="1"/>
  <c r="BG448" i="1"/>
  <c r="BF448" i="1"/>
  <c r="BE448" i="1"/>
  <c r="BD448" i="1"/>
  <c r="BC448" i="1"/>
  <c r="BB448" i="1"/>
  <c r="BA448" i="1"/>
  <c r="AZ448" i="1"/>
  <c r="AY448" i="1"/>
  <c r="AX448" i="1"/>
  <c r="AW448" i="1"/>
  <c r="AV448" i="1"/>
  <c r="AU448" i="1"/>
  <c r="AT448" i="1"/>
  <c r="AS448" i="1"/>
  <c r="AR448" i="1"/>
  <c r="AQ448" i="1"/>
  <c r="AP448" i="1"/>
  <c r="AM448" i="1"/>
  <c r="AL448" i="1"/>
  <c r="AK448" i="1"/>
  <c r="AJ448" i="1"/>
  <c r="AI448" i="1"/>
  <c r="AH448" i="1"/>
  <c r="AH448" i="1" a="1"/>
  <c r="AG448" i="1"/>
  <c r="AF448" i="1"/>
  <c r="BI447" i="1"/>
  <c r="BH447" i="1"/>
  <c r="BG447" i="1"/>
  <c r="BF447" i="1"/>
  <c r="BE447" i="1"/>
  <c r="BD447" i="1"/>
  <c r="BC447" i="1"/>
  <c r="BB447" i="1"/>
  <c r="BA447" i="1"/>
  <c r="AZ447" i="1"/>
  <c r="AY447" i="1"/>
  <c r="AX447" i="1"/>
  <c r="AW447" i="1"/>
  <c r="AV447" i="1"/>
  <c r="AU447" i="1"/>
  <c r="AT447" i="1"/>
  <c r="AS447" i="1"/>
  <c r="AR447" i="1"/>
  <c r="AQ447" i="1"/>
  <c r="AP447" i="1"/>
  <c r="AM447" i="1"/>
  <c r="AL447" i="1"/>
  <c r="AK447" i="1"/>
  <c r="AJ447" i="1"/>
  <c r="AI447" i="1"/>
  <c r="AH447" i="1"/>
  <c r="AH447" i="1" a="1"/>
  <c r="AG447" i="1"/>
  <c r="AF447" i="1"/>
  <c r="BI446" i="1"/>
  <c r="BH446" i="1"/>
  <c r="BG446" i="1"/>
  <c r="BF446" i="1"/>
  <c r="BE446" i="1"/>
  <c r="BD446" i="1"/>
  <c r="BC446" i="1"/>
  <c r="BB446" i="1"/>
  <c r="BA446" i="1"/>
  <c r="AZ446" i="1"/>
  <c r="AY446" i="1"/>
  <c r="AX446" i="1"/>
  <c r="AW446" i="1"/>
  <c r="AV446" i="1"/>
  <c r="AU446" i="1"/>
  <c r="AT446" i="1"/>
  <c r="AS446" i="1"/>
  <c r="AR446" i="1"/>
  <c r="AQ446" i="1"/>
  <c r="AP446" i="1"/>
  <c r="AM446" i="1"/>
  <c r="AL446" i="1"/>
  <c r="AK446" i="1"/>
  <c r="AJ446" i="1"/>
  <c r="AI446" i="1"/>
  <c r="AH446" i="1"/>
  <c r="AH446" i="1" a="1"/>
  <c r="AG446" i="1"/>
  <c r="AF446" i="1"/>
  <c r="BI445" i="1"/>
  <c r="BH445" i="1"/>
  <c r="BG445" i="1"/>
  <c r="BF445" i="1"/>
  <c r="BE445" i="1"/>
  <c r="BD445" i="1"/>
  <c r="BC445" i="1"/>
  <c r="BB445" i="1"/>
  <c r="BA445" i="1"/>
  <c r="AZ445" i="1"/>
  <c r="AY445" i="1"/>
  <c r="AX445" i="1"/>
  <c r="AW445" i="1"/>
  <c r="AV445" i="1"/>
  <c r="AU445" i="1"/>
  <c r="AT445" i="1"/>
  <c r="AS445" i="1"/>
  <c r="AR445" i="1"/>
  <c r="AQ445" i="1"/>
  <c r="AP445" i="1"/>
  <c r="AM445" i="1"/>
  <c r="AL445" i="1"/>
  <c r="AK445" i="1"/>
  <c r="AJ445" i="1"/>
  <c r="AI445" i="1"/>
  <c r="AH445" i="1"/>
  <c r="AH445" i="1" a="1"/>
  <c r="AG445" i="1"/>
  <c r="AF445" i="1"/>
  <c r="BI444" i="1"/>
  <c r="BH444" i="1"/>
  <c r="BG444" i="1"/>
  <c r="BF444" i="1"/>
  <c r="BE444" i="1"/>
  <c r="BD444" i="1"/>
  <c r="BC444" i="1"/>
  <c r="BB444" i="1"/>
  <c r="BA444" i="1"/>
  <c r="AZ444" i="1"/>
  <c r="AY444" i="1"/>
  <c r="AX444" i="1"/>
  <c r="AW444" i="1"/>
  <c r="AV444" i="1"/>
  <c r="AU444" i="1"/>
  <c r="AT444" i="1"/>
  <c r="AS444" i="1"/>
  <c r="AR444" i="1"/>
  <c r="AQ444" i="1"/>
  <c r="AP444" i="1"/>
  <c r="AM444" i="1"/>
  <c r="AL444" i="1"/>
  <c r="AK444" i="1"/>
  <c r="AJ444" i="1"/>
  <c r="AI444" i="1"/>
  <c r="AH444" i="1"/>
  <c r="AH444" i="1" a="1"/>
  <c r="AG444" i="1"/>
  <c r="AF444" i="1"/>
  <c r="BI443" i="1"/>
  <c r="BH443" i="1"/>
  <c r="BG443" i="1"/>
  <c r="BF443" i="1"/>
  <c r="BE443" i="1"/>
  <c r="BD443" i="1"/>
  <c r="BC443" i="1"/>
  <c r="BB443" i="1"/>
  <c r="BA443" i="1"/>
  <c r="AZ443" i="1"/>
  <c r="AY443" i="1"/>
  <c r="AX443" i="1"/>
  <c r="AW443" i="1"/>
  <c r="AV443" i="1"/>
  <c r="AU443" i="1"/>
  <c r="AT443" i="1"/>
  <c r="AS443" i="1"/>
  <c r="AR443" i="1"/>
  <c r="AQ443" i="1"/>
  <c r="AP443" i="1"/>
  <c r="AM443" i="1"/>
  <c r="AL443" i="1"/>
  <c r="AK443" i="1"/>
  <c r="AJ443" i="1"/>
  <c r="AI443" i="1"/>
  <c r="AH443" i="1"/>
  <c r="AH443" i="1" a="1"/>
  <c r="AG443" i="1"/>
  <c r="AF443" i="1"/>
  <c r="BI442" i="1"/>
  <c r="BH442" i="1"/>
  <c r="BG442" i="1"/>
  <c r="BF442" i="1"/>
  <c r="BE442" i="1"/>
  <c r="BD442" i="1"/>
  <c r="BC442" i="1"/>
  <c r="BB442" i="1"/>
  <c r="BA442" i="1"/>
  <c r="AZ442" i="1"/>
  <c r="AY442" i="1"/>
  <c r="AX442" i="1"/>
  <c r="AW442" i="1"/>
  <c r="AV442" i="1"/>
  <c r="AU442" i="1"/>
  <c r="AT442" i="1"/>
  <c r="AS442" i="1"/>
  <c r="AR442" i="1"/>
  <c r="AQ442" i="1"/>
  <c r="AP442" i="1"/>
  <c r="AM442" i="1"/>
  <c r="AL442" i="1"/>
  <c r="AK442" i="1"/>
  <c r="AJ442" i="1"/>
  <c r="AI442" i="1"/>
  <c r="AH442" i="1"/>
  <c r="AH442" i="1" a="1"/>
  <c r="AG442" i="1"/>
  <c r="AF442" i="1"/>
  <c r="BI441" i="1"/>
  <c r="BH441" i="1"/>
  <c r="BG441" i="1"/>
  <c r="BF441" i="1"/>
  <c r="BE441" i="1"/>
  <c r="BD441" i="1"/>
  <c r="BC441" i="1"/>
  <c r="BB441" i="1"/>
  <c r="BA441" i="1"/>
  <c r="AZ441" i="1"/>
  <c r="AY441" i="1"/>
  <c r="AX441" i="1"/>
  <c r="AW441" i="1"/>
  <c r="AV441" i="1"/>
  <c r="AU441" i="1"/>
  <c r="AT441" i="1"/>
  <c r="AS441" i="1"/>
  <c r="AR441" i="1"/>
  <c r="AQ441" i="1"/>
  <c r="AP441" i="1"/>
  <c r="AM441" i="1"/>
  <c r="AL441" i="1"/>
  <c r="AK441" i="1"/>
  <c r="AJ441" i="1"/>
  <c r="AI441" i="1"/>
  <c r="AH441" i="1"/>
  <c r="AH441" i="1" a="1"/>
  <c r="AG441" i="1"/>
  <c r="AF441" i="1"/>
  <c r="BI440" i="1"/>
  <c r="BH440" i="1"/>
  <c r="BG440" i="1"/>
  <c r="BF440" i="1"/>
  <c r="BE440" i="1"/>
  <c r="BD440" i="1"/>
  <c r="BC440" i="1"/>
  <c r="BB440" i="1"/>
  <c r="BA440" i="1"/>
  <c r="AZ440" i="1"/>
  <c r="AY440" i="1"/>
  <c r="AX440" i="1"/>
  <c r="AW440" i="1"/>
  <c r="AV440" i="1"/>
  <c r="AU440" i="1"/>
  <c r="AT440" i="1"/>
  <c r="AS440" i="1"/>
  <c r="AR440" i="1"/>
  <c r="AQ440" i="1"/>
  <c r="AP440" i="1"/>
  <c r="AM440" i="1"/>
  <c r="AL440" i="1"/>
  <c r="AK440" i="1"/>
  <c r="AJ440" i="1"/>
  <c r="AI440" i="1"/>
  <c r="AH440" i="1"/>
  <c r="AH440" i="1" a="1"/>
  <c r="AG440" i="1"/>
  <c r="AF440" i="1"/>
  <c r="BI439" i="1"/>
  <c r="BH439" i="1"/>
  <c r="BG439" i="1"/>
  <c r="BF439" i="1"/>
  <c r="BE439" i="1"/>
  <c r="BD439" i="1"/>
  <c r="BC439" i="1"/>
  <c r="BB439" i="1"/>
  <c r="BA439" i="1"/>
  <c r="AZ439" i="1"/>
  <c r="AY439" i="1"/>
  <c r="AX439" i="1"/>
  <c r="AW439" i="1"/>
  <c r="AV439" i="1"/>
  <c r="AU439" i="1"/>
  <c r="AT439" i="1"/>
  <c r="AS439" i="1"/>
  <c r="AR439" i="1"/>
  <c r="AQ439" i="1"/>
  <c r="AP439" i="1"/>
  <c r="AM439" i="1"/>
  <c r="AL439" i="1"/>
  <c r="AK439" i="1"/>
  <c r="AJ439" i="1"/>
  <c r="AI439" i="1"/>
  <c r="AH439" i="1"/>
  <c r="AH439" i="1" a="1"/>
  <c r="AG439" i="1"/>
  <c r="AF439" i="1"/>
  <c r="BI438" i="1"/>
  <c r="BH438" i="1"/>
  <c r="BG438" i="1"/>
  <c r="BF438" i="1"/>
  <c r="BE438" i="1"/>
  <c r="BD438" i="1"/>
  <c r="BC438" i="1"/>
  <c r="BB438" i="1"/>
  <c r="BA438" i="1"/>
  <c r="AZ438" i="1"/>
  <c r="AY438" i="1"/>
  <c r="AX438" i="1"/>
  <c r="AW438" i="1"/>
  <c r="AV438" i="1"/>
  <c r="AU438" i="1"/>
  <c r="AT438" i="1"/>
  <c r="AS438" i="1"/>
  <c r="AR438" i="1"/>
  <c r="AQ438" i="1"/>
  <c r="AP438" i="1"/>
  <c r="AM438" i="1"/>
  <c r="AL438" i="1"/>
  <c r="AK438" i="1"/>
  <c r="AJ438" i="1"/>
  <c r="AI438" i="1"/>
  <c r="AH438" i="1"/>
  <c r="AH438" i="1" a="1"/>
  <c r="AG438" i="1"/>
  <c r="AF438" i="1"/>
  <c r="BI437" i="1"/>
  <c r="BH437" i="1"/>
  <c r="BG437" i="1"/>
  <c r="BF437" i="1"/>
  <c r="BE437" i="1"/>
  <c r="BD437" i="1"/>
  <c r="BC437" i="1"/>
  <c r="BB437" i="1"/>
  <c r="BA437" i="1"/>
  <c r="AZ437" i="1"/>
  <c r="AY437" i="1"/>
  <c r="AX437" i="1"/>
  <c r="AW437" i="1"/>
  <c r="AV437" i="1"/>
  <c r="AU437" i="1"/>
  <c r="AT437" i="1"/>
  <c r="AS437" i="1"/>
  <c r="AR437" i="1"/>
  <c r="AQ437" i="1"/>
  <c r="AP437" i="1"/>
  <c r="AM437" i="1"/>
  <c r="AL437" i="1"/>
  <c r="AK437" i="1"/>
  <c r="AJ437" i="1"/>
  <c r="AI437" i="1"/>
  <c r="AH437" i="1"/>
  <c r="AH437" i="1" a="1"/>
  <c r="AG437" i="1"/>
  <c r="AF437" i="1"/>
  <c r="BI436" i="1"/>
  <c r="BH436" i="1"/>
  <c r="BG436" i="1"/>
  <c r="BF436" i="1"/>
  <c r="BE436" i="1"/>
  <c r="BD436" i="1"/>
  <c r="BC436" i="1"/>
  <c r="BB436" i="1"/>
  <c r="BA436" i="1"/>
  <c r="AZ436" i="1"/>
  <c r="AY436" i="1"/>
  <c r="AX436" i="1"/>
  <c r="AW436" i="1"/>
  <c r="AV436" i="1"/>
  <c r="AU436" i="1"/>
  <c r="AT436" i="1"/>
  <c r="AS436" i="1"/>
  <c r="AR436" i="1"/>
  <c r="AQ436" i="1"/>
  <c r="AP436" i="1"/>
  <c r="AM436" i="1"/>
  <c r="AL436" i="1"/>
  <c r="AK436" i="1"/>
  <c r="AJ436" i="1"/>
  <c r="AI436" i="1"/>
  <c r="AH436" i="1"/>
  <c r="AH436" i="1" a="1"/>
  <c r="AG436" i="1"/>
  <c r="AF436" i="1"/>
  <c r="BI435" i="1"/>
  <c r="BH435" i="1"/>
  <c r="BG435" i="1"/>
  <c r="BF435" i="1"/>
  <c r="BE435" i="1"/>
  <c r="BD435" i="1"/>
  <c r="BC435" i="1"/>
  <c r="BB435" i="1"/>
  <c r="BA435" i="1"/>
  <c r="AZ435" i="1"/>
  <c r="AY435" i="1"/>
  <c r="AX435" i="1"/>
  <c r="AW435" i="1"/>
  <c r="AV435" i="1"/>
  <c r="AU435" i="1"/>
  <c r="AT435" i="1"/>
  <c r="AS435" i="1"/>
  <c r="AR435" i="1"/>
  <c r="AQ435" i="1"/>
  <c r="AP435" i="1"/>
  <c r="AM435" i="1"/>
  <c r="AL435" i="1"/>
  <c r="AK435" i="1"/>
  <c r="AJ435" i="1"/>
  <c r="AI435" i="1"/>
  <c r="AH435" i="1"/>
  <c r="AH435" i="1" a="1"/>
  <c r="AG435" i="1"/>
  <c r="AF435" i="1"/>
  <c r="BI434" i="1"/>
  <c r="BH434" i="1"/>
  <c r="BG434" i="1"/>
  <c r="BF434" i="1"/>
  <c r="BE434" i="1"/>
  <c r="BD434" i="1"/>
  <c r="BC434" i="1"/>
  <c r="BB434" i="1"/>
  <c r="BA434" i="1"/>
  <c r="AZ434" i="1"/>
  <c r="AY434" i="1"/>
  <c r="AX434" i="1"/>
  <c r="AW434" i="1"/>
  <c r="AV434" i="1"/>
  <c r="AU434" i="1"/>
  <c r="AT434" i="1"/>
  <c r="AS434" i="1"/>
  <c r="AR434" i="1"/>
  <c r="AQ434" i="1"/>
  <c r="AP434" i="1"/>
  <c r="AM434" i="1"/>
  <c r="AL434" i="1"/>
  <c r="AK434" i="1"/>
  <c r="AJ434" i="1"/>
  <c r="AI434" i="1"/>
  <c r="AH434" i="1"/>
  <c r="AH434" i="1" a="1"/>
  <c r="AG434" i="1"/>
  <c r="AF434" i="1"/>
  <c r="BI433" i="1"/>
  <c r="BH433" i="1"/>
  <c r="BG433" i="1"/>
  <c r="BF433" i="1"/>
  <c r="BE433" i="1"/>
  <c r="BD433" i="1"/>
  <c r="BC433" i="1"/>
  <c r="BB433" i="1"/>
  <c r="BA433" i="1"/>
  <c r="AZ433" i="1"/>
  <c r="AY433" i="1"/>
  <c r="AX433" i="1"/>
  <c r="AW433" i="1"/>
  <c r="AV433" i="1"/>
  <c r="AU433" i="1"/>
  <c r="AT433" i="1"/>
  <c r="AS433" i="1"/>
  <c r="AR433" i="1"/>
  <c r="AQ433" i="1"/>
  <c r="AP433" i="1"/>
  <c r="AM433" i="1"/>
  <c r="AL433" i="1"/>
  <c r="AK433" i="1"/>
  <c r="AJ433" i="1"/>
  <c r="AI433" i="1"/>
  <c r="AH433" i="1"/>
  <c r="AH433" i="1" a="1"/>
  <c r="AG433" i="1"/>
  <c r="AF433" i="1"/>
  <c r="BI432" i="1"/>
  <c r="BH432" i="1"/>
  <c r="BG432" i="1"/>
  <c r="BF432" i="1"/>
  <c r="BE432" i="1"/>
  <c r="BD432" i="1"/>
  <c r="BC432" i="1"/>
  <c r="BB432" i="1"/>
  <c r="BA432" i="1"/>
  <c r="AZ432" i="1"/>
  <c r="AY432" i="1"/>
  <c r="AX432" i="1"/>
  <c r="AW432" i="1"/>
  <c r="AV432" i="1"/>
  <c r="AU432" i="1"/>
  <c r="AT432" i="1"/>
  <c r="AS432" i="1"/>
  <c r="AR432" i="1"/>
  <c r="AQ432" i="1"/>
  <c r="AP432" i="1"/>
  <c r="AM432" i="1"/>
  <c r="AL432" i="1"/>
  <c r="AK432" i="1"/>
  <c r="AJ432" i="1"/>
  <c r="AI432" i="1"/>
  <c r="AH432" i="1"/>
  <c r="AH432" i="1" a="1"/>
  <c r="AG432" i="1"/>
  <c r="AF432" i="1"/>
  <c r="BI431" i="1"/>
  <c r="BH431" i="1"/>
  <c r="BG431" i="1"/>
  <c r="BF431" i="1"/>
  <c r="BE431" i="1"/>
  <c r="BD431" i="1"/>
  <c r="BC431" i="1"/>
  <c r="BB431" i="1"/>
  <c r="BA431" i="1"/>
  <c r="AZ431" i="1"/>
  <c r="AY431" i="1"/>
  <c r="AX431" i="1"/>
  <c r="AW431" i="1"/>
  <c r="AV431" i="1"/>
  <c r="AU431" i="1"/>
  <c r="AT431" i="1"/>
  <c r="AS431" i="1"/>
  <c r="AR431" i="1"/>
  <c r="AQ431" i="1"/>
  <c r="AP431" i="1"/>
  <c r="AM431" i="1"/>
  <c r="AL431" i="1"/>
  <c r="AK431" i="1"/>
  <c r="AJ431" i="1"/>
  <c r="AI431" i="1"/>
  <c r="AH431" i="1"/>
  <c r="AH431" i="1" a="1"/>
  <c r="AG431" i="1"/>
  <c r="AF431" i="1"/>
  <c r="BI430" i="1"/>
  <c r="BH430" i="1"/>
  <c r="BG430" i="1"/>
  <c r="BF430" i="1"/>
  <c r="BE430" i="1"/>
  <c r="BD430" i="1"/>
  <c r="BC430" i="1"/>
  <c r="BB430" i="1"/>
  <c r="BA430" i="1"/>
  <c r="AZ430" i="1"/>
  <c r="AY430" i="1"/>
  <c r="AX430" i="1"/>
  <c r="AW430" i="1"/>
  <c r="AV430" i="1"/>
  <c r="AU430" i="1"/>
  <c r="AT430" i="1"/>
  <c r="AS430" i="1"/>
  <c r="AR430" i="1"/>
  <c r="AQ430" i="1"/>
  <c r="AP430" i="1"/>
  <c r="AM430" i="1"/>
  <c r="AL430" i="1"/>
  <c r="AK430" i="1"/>
  <c r="AJ430" i="1"/>
  <c r="AI430" i="1"/>
  <c r="AH430" i="1"/>
  <c r="AH430" i="1" a="1"/>
  <c r="AG430" i="1"/>
  <c r="AF430" i="1"/>
  <c r="BI429" i="1"/>
  <c r="BH429" i="1"/>
  <c r="BG429" i="1"/>
  <c r="BF429" i="1"/>
  <c r="BE429" i="1"/>
  <c r="BD429" i="1"/>
  <c r="BC429" i="1"/>
  <c r="BB429" i="1"/>
  <c r="BA429" i="1"/>
  <c r="AZ429" i="1"/>
  <c r="AY429" i="1"/>
  <c r="AX429" i="1"/>
  <c r="AW429" i="1"/>
  <c r="AV429" i="1"/>
  <c r="AU429" i="1"/>
  <c r="AT429" i="1"/>
  <c r="AS429" i="1"/>
  <c r="AR429" i="1"/>
  <c r="AQ429" i="1"/>
  <c r="AP429" i="1"/>
  <c r="AM429" i="1"/>
  <c r="AL429" i="1"/>
  <c r="AK429" i="1"/>
  <c r="AJ429" i="1"/>
  <c r="AI429" i="1"/>
  <c r="AH429" i="1"/>
  <c r="AH429" i="1" a="1"/>
  <c r="AG429" i="1"/>
  <c r="AF429" i="1"/>
  <c r="BI428" i="1"/>
  <c r="BH428" i="1"/>
  <c r="BG428" i="1"/>
  <c r="BF428" i="1"/>
  <c r="BE428" i="1"/>
  <c r="BD428" i="1"/>
  <c r="BC428" i="1"/>
  <c r="BB428" i="1"/>
  <c r="BA428" i="1"/>
  <c r="AZ428" i="1"/>
  <c r="AY428" i="1"/>
  <c r="AX428" i="1"/>
  <c r="AW428" i="1"/>
  <c r="AV428" i="1"/>
  <c r="AU428" i="1"/>
  <c r="AT428" i="1"/>
  <c r="AS428" i="1"/>
  <c r="AR428" i="1"/>
  <c r="AQ428" i="1"/>
  <c r="AP428" i="1"/>
  <c r="AM428" i="1"/>
  <c r="AL428" i="1"/>
  <c r="AK428" i="1"/>
  <c r="AJ428" i="1"/>
  <c r="AI428" i="1"/>
  <c r="AH428" i="1"/>
  <c r="AH428" i="1" a="1"/>
  <c r="AG428" i="1"/>
  <c r="AF428" i="1"/>
  <c r="BI427" i="1"/>
  <c r="BH427" i="1"/>
  <c r="BG427" i="1"/>
  <c r="BF427" i="1"/>
  <c r="BE427" i="1"/>
  <c r="BD427" i="1"/>
  <c r="BC427" i="1"/>
  <c r="BB427" i="1"/>
  <c r="BA427" i="1"/>
  <c r="AZ427" i="1"/>
  <c r="AY427" i="1"/>
  <c r="AX427" i="1"/>
  <c r="AW427" i="1"/>
  <c r="AV427" i="1"/>
  <c r="AU427" i="1"/>
  <c r="AT427" i="1"/>
  <c r="AS427" i="1"/>
  <c r="AR427" i="1"/>
  <c r="AQ427" i="1"/>
  <c r="AP427" i="1"/>
  <c r="AM427" i="1"/>
  <c r="AL427" i="1"/>
  <c r="AK427" i="1"/>
  <c r="AJ427" i="1"/>
  <c r="AI427" i="1"/>
  <c r="AH427" i="1"/>
  <c r="AH427" i="1" a="1"/>
  <c r="AG427" i="1"/>
  <c r="AF427" i="1"/>
  <c r="BI426" i="1"/>
  <c r="BH426" i="1"/>
  <c r="BG426" i="1"/>
  <c r="BF426" i="1"/>
  <c r="BE426" i="1"/>
  <c r="BD426" i="1"/>
  <c r="BC426" i="1"/>
  <c r="BB426" i="1"/>
  <c r="BA426" i="1"/>
  <c r="AZ426" i="1"/>
  <c r="AY426" i="1"/>
  <c r="AX426" i="1"/>
  <c r="AW426" i="1"/>
  <c r="AV426" i="1"/>
  <c r="AU426" i="1"/>
  <c r="AT426" i="1"/>
  <c r="AS426" i="1"/>
  <c r="AR426" i="1"/>
  <c r="AQ426" i="1"/>
  <c r="AP426" i="1"/>
  <c r="AM426" i="1"/>
  <c r="AL426" i="1"/>
  <c r="AK426" i="1"/>
  <c r="AJ426" i="1"/>
  <c r="AI426" i="1"/>
  <c r="AH426" i="1"/>
  <c r="AH426" i="1" a="1"/>
  <c r="AG426" i="1"/>
  <c r="AF426" i="1"/>
  <c r="BI425" i="1"/>
  <c r="BH425" i="1"/>
  <c r="BG425" i="1"/>
  <c r="BF425" i="1"/>
  <c r="BE425" i="1"/>
  <c r="BD425" i="1"/>
  <c r="BC425" i="1"/>
  <c r="BB425" i="1"/>
  <c r="BA425" i="1"/>
  <c r="AZ425" i="1"/>
  <c r="AY425" i="1"/>
  <c r="AX425" i="1"/>
  <c r="AW425" i="1"/>
  <c r="AV425" i="1"/>
  <c r="AU425" i="1"/>
  <c r="AT425" i="1"/>
  <c r="AS425" i="1"/>
  <c r="AR425" i="1"/>
  <c r="AQ425" i="1"/>
  <c r="AP425" i="1"/>
  <c r="AM425" i="1"/>
  <c r="AL425" i="1"/>
  <c r="AK425" i="1"/>
  <c r="AJ425" i="1"/>
  <c r="AI425" i="1"/>
  <c r="AH425" i="1"/>
  <c r="AH425" i="1" a="1"/>
  <c r="AG425" i="1"/>
  <c r="AF425" i="1"/>
  <c r="BI424" i="1"/>
  <c r="BH424" i="1"/>
  <c r="BG424" i="1"/>
  <c r="BF424" i="1"/>
  <c r="BE424" i="1"/>
  <c r="BD424" i="1"/>
  <c r="BC424" i="1"/>
  <c r="BB424" i="1"/>
  <c r="BA424" i="1"/>
  <c r="AZ424" i="1"/>
  <c r="AY424" i="1"/>
  <c r="AX424" i="1"/>
  <c r="AW424" i="1"/>
  <c r="AV424" i="1"/>
  <c r="AU424" i="1"/>
  <c r="AT424" i="1"/>
  <c r="AS424" i="1"/>
  <c r="AR424" i="1"/>
  <c r="AQ424" i="1"/>
  <c r="AP424" i="1"/>
  <c r="AM424" i="1"/>
  <c r="AL424" i="1"/>
  <c r="AK424" i="1"/>
  <c r="AJ424" i="1"/>
  <c r="AI424" i="1"/>
  <c r="AH424" i="1"/>
  <c r="AH424" i="1" a="1"/>
  <c r="AG424" i="1"/>
  <c r="AF424" i="1"/>
  <c r="BI423" i="1"/>
  <c r="BH423" i="1"/>
  <c r="BG423" i="1"/>
  <c r="BF423" i="1"/>
  <c r="BE423" i="1"/>
  <c r="BD423" i="1"/>
  <c r="BC423" i="1"/>
  <c r="BB423" i="1"/>
  <c r="BA423" i="1"/>
  <c r="AZ423" i="1"/>
  <c r="AY423" i="1"/>
  <c r="AX423" i="1"/>
  <c r="AW423" i="1"/>
  <c r="AV423" i="1"/>
  <c r="AU423" i="1"/>
  <c r="AT423" i="1"/>
  <c r="AS423" i="1"/>
  <c r="AR423" i="1"/>
  <c r="AQ423" i="1"/>
  <c r="AP423" i="1"/>
  <c r="AM423" i="1"/>
  <c r="AL423" i="1"/>
  <c r="AK423" i="1"/>
  <c r="AJ423" i="1"/>
  <c r="AI423" i="1"/>
  <c r="AH423" i="1"/>
  <c r="AH423" i="1" a="1"/>
  <c r="AG423" i="1"/>
  <c r="AF423" i="1"/>
  <c r="BI422" i="1"/>
  <c r="BH422" i="1"/>
  <c r="BG422" i="1"/>
  <c r="BF422" i="1"/>
  <c r="BE422" i="1"/>
  <c r="BD422" i="1"/>
  <c r="BC422" i="1"/>
  <c r="BB422" i="1"/>
  <c r="BA422" i="1"/>
  <c r="AZ422" i="1"/>
  <c r="AY422" i="1"/>
  <c r="AX422" i="1"/>
  <c r="AW422" i="1"/>
  <c r="AV422" i="1"/>
  <c r="AU422" i="1"/>
  <c r="AT422" i="1"/>
  <c r="AS422" i="1"/>
  <c r="AR422" i="1"/>
  <c r="AQ422" i="1"/>
  <c r="AP422" i="1"/>
  <c r="AM422" i="1"/>
  <c r="AL422" i="1"/>
  <c r="AK422" i="1"/>
  <c r="AJ422" i="1"/>
  <c r="AI422" i="1"/>
  <c r="AH422" i="1"/>
  <c r="AH422" i="1" a="1"/>
  <c r="AG422" i="1"/>
  <c r="AF422" i="1"/>
  <c r="BI421" i="1"/>
  <c r="BH421" i="1"/>
  <c r="BG421" i="1"/>
  <c r="BF421" i="1"/>
  <c r="BE421" i="1"/>
  <c r="BD421" i="1"/>
  <c r="BC421" i="1"/>
  <c r="BB421" i="1"/>
  <c r="BA421" i="1"/>
  <c r="AZ421" i="1"/>
  <c r="AY421" i="1"/>
  <c r="AX421" i="1"/>
  <c r="AW421" i="1"/>
  <c r="AV421" i="1"/>
  <c r="AU421" i="1"/>
  <c r="AT421" i="1"/>
  <c r="AS421" i="1"/>
  <c r="AR421" i="1"/>
  <c r="AQ421" i="1"/>
  <c r="AP421" i="1"/>
  <c r="AM421" i="1"/>
  <c r="AL421" i="1"/>
  <c r="AK421" i="1"/>
  <c r="AJ421" i="1"/>
  <c r="AI421" i="1"/>
  <c r="AH421" i="1"/>
  <c r="AH421" i="1" a="1"/>
  <c r="AG421" i="1"/>
  <c r="AF421" i="1"/>
  <c r="BI420" i="1"/>
  <c r="BH420" i="1"/>
  <c r="BG420" i="1"/>
  <c r="BF420" i="1"/>
  <c r="BE420" i="1"/>
  <c r="BD420" i="1"/>
  <c r="BC420" i="1"/>
  <c r="BB420" i="1"/>
  <c r="BA420" i="1"/>
  <c r="AZ420" i="1"/>
  <c r="AY420" i="1"/>
  <c r="AX420" i="1"/>
  <c r="AW420" i="1"/>
  <c r="AV420" i="1"/>
  <c r="AU420" i="1"/>
  <c r="AT420" i="1"/>
  <c r="AS420" i="1"/>
  <c r="AR420" i="1"/>
  <c r="AQ420" i="1"/>
  <c r="AP420" i="1"/>
  <c r="AM420" i="1"/>
  <c r="AL420" i="1"/>
  <c r="AK420" i="1"/>
  <c r="AJ420" i="1"/>
  <c r="AI420" i="1"/>
  <c r="AH420" i="1"/>
  <c r="AH420" i="1" a="1"/>
  <c r="AG420" i="1"/>
  <c r="AF420" i="1"/>
  <c r="BI419" i="1"/>
  <c r="BH419" i="1"/>
  <c r="BG419" i="1"/>
  <c r="BF419" i="1"/>
  <c r="BE419" i="1"/>
  <c r="BD419" i="1"/>
  <c r="BC419" i="1"/>
  <c r="BB419" i="1"/>
  <c r="BA419" i="1"/>
  <c r="AZ419" i="1"/>
  <c r="AY419" i="1"/>
  <c r="AX419" i="1"/>
  <c r="AW419" i="1"/>
  <c r="AV419" i="1"/>
  <c r="AU419" i="1"/>
  <c r="AT419" i="1"/>
  <c r="AS419" i="1"/>
  <c r="AR419" i="1"/>
  <c r="AQ419" i="1"/>
  <c r="AP419" i="1"/>
  <c r="AM419" i="1"/>
  <c r="AL419" i="1"/>
  <c r="AK419" i="1"/>
  <c r="AJ419" i="1"/>
  <c r="AI419" i="1"/>
  <c r="AH419" i="1"/>
  <c r="AH419" i="1" a="1"/>
  <c r="AG419" i="1"/>
  <c r="AF419" i="1"/>
  <c r="BI418" i="1"/>
  <c r="BH418" i="1"/>
  <c r="BG418" i="1"/>
  <c r="BF418" i="1"/>
  <c r="BE418" i="1"/>
  <c r="BD418" i="1"/>
  <c r="BC418" i="1"/>
  <c r="BB418" i="1"/>
  <c r="BA418" i="1"/>
  <c r="AZ418" i="1"/>
  <c r="AY418" i="1"/>
  <c r="AX418" i="1"/>
  <c r="AW418" i="1"/>
  <c r="AV418" i="1"/>
  <c r="AU418" i="1"/>
  <c r="AT418" i="1"/>
  <c r="AS418" i="1"/>
  <c r="AR418" i="1"/>
  <c r="AQ418" i="1"/>
  <c r="AP418" i="1"/>
  <c r="AM418" i="1"/>
  <c r="AL418" i="1"/>
  <c r="AK418" i="1"/>
  <c r="AJ418" i="1"/>
  <c r="AI418" i="1"/>
  <c r="AH418" i="1"/>
  <c r="AH418" i="1" a="1"/>
  <c r="AG418" i="1"/>
  <c r="AF418" i="1"/>
  <c r="BI417" i="1"/>
  <c r="BH417" i="1"/>
  <c r="BG417" i="1"/>
  <c r="BF417" i="1"/>
  <c r="BE417" i="1"/>
  <c r="BD417" i="1"/>
  <c r="BC417" i="1"/>
  <c r="BB417" i="1"/>
  <c r="BA417" i="1"/>
  <c r="AZ417" i="1"/>
  <c r="AY417" i="1"/>
  <c r="AX417" i="1"/>
  <c r="AW417" i="1"/>
  <c r="AV417" i="1"/>
  <c r="AU417" i="1"/>
  <c r="AT417" i="1"/>
  <c r="AS417" i="1"/>
  <c r="AR417" i="1"/>
  <c r="AQ417" i="1"/>
  <c r="AP417" i="1"/>
  <c r="AM417" i="1"/>
  <c r="AL417" i="1"/>
  <c r="AK417" i="1"/>
  <c r="AJ417" i="1"/>
  <c r="AI417" i="1"/>
  <c r="AH417" i="1"/>
  <c r="AH417" i="1" a="1"/>
  <c r="AG417" i="1"/>
  <c r="AF417" i="1"/>
  <c r="BI416" i="1"/>
  <c r="BH416" i="1"/>
  <c r="BG416" i="1"/>
  <c r="BF416" i="1"/>
  <c r="BE416" i="1"/>
  <c r="BD416" i="1"/>
  <c r="BC416" i="1"/>
  <c r="BB416" i="1"/>
  <c r="BA416" i="1"/>
  <c r="AZ416" i="1"/>
  <c r="AY416" i="1"/>
  <c r="AX416" i="1"/>
  <c r="AW416" i="1"/>
  <c r="AV416" i="1"/>
  <c r="AU416" i="1"/>
  <c r="AT416" i="1"/>
  <c r="AS416" i="1"/>
  <c r="AR416" i="1"/>
  <c r="AQ416" i="1"/>
  <c r="AP416" i="1"/>
  <c r="AM416" i="1"/>
  <c r="AL416" i="1"/>
  <c r="AK416" i="1"/>
  <c r="AJ416" i="1"/>
  <c r="AI416" i="1"/>
  <c r="AH416" i="1"/>
  <c r="AH416" i="1" a="1"/>
  <c r="AG416" i="1"/>
  <c r="AF416" i="1"/>
  <c r="BI415" i="1"/>
  <c r="BH415" i="1"/>
  <c r="BG415" i="1"/>
  <c r="BF415" i="1"/>
  <c r="BE415" i="1"/>
  <c r="BD415" i="1"/>
  <c r="BC415" i="1"/>
  <c r="BB415" i="1"/>
  <c r="BA415" i="1"/>
  <c r="AZ415" i="1"/>
  <c r="AY415" i="1"/>
  <c r="AX415" i="1"/>
  <c r="AW415" i="1"/>
  <c r="AV415" i="1"/>
  <c r="AU415" i="1"/>
  <c r="AT415" i="1"/>
  <c r="AS415" i="1"/>
  <c r="AR415" i="1"/>
  <c r="AQ415" i="1"/>
  <c r="AP415" i="1"/>
  <c r="AM415" i="1"/>
  <c r="AL415" i="1"/>
  <c r="AK415" i="1"/>
  <c r="AJ415" i="1"/>
  <c r="AI415" i="1"/>
  <c r="AH415" i="1"/>
  <c r="AH415" i="1" a="1"/>
  <c r="AG415" i="1"/>
  <c r="AF415" i="1"/>
  <c r="BI414" i="1"/>
  <c r="BH414" i="1"/>
  <c r="BG414" i="1"/>
  <c r="BF414" i="1"/>
  <c r="BE414" i="1"/>
  <c r="BD414" i="1"/>
  <c r="BC414" i="1"/>
  <c r="BB414" i="1"/>
  <c r="BA414" i="1"/>
  <c r="AZ414" i="1"/>
  <c r="AY414" i="1"/>
  <c r="AX414" i="1"/>
  <c r="AW414" i="1"/>
  <c r="AV414" i="1"/>
  <c r="AU414" i="1"/>
  <c r="AT414" i="1"/>
  <c r="AS414" i="1"/>
  <c r="AR414" i="1"/>
  <c r="AQ414" i="1"/>
  <c r="AP414" i="1"/>
  <c r="AM414" i="1"/>
  <c r="AL414" i="1"/>
  <c r="AK414" i="1"/>
  <c r="AJ414" i="1"/>
  <c r="AI414" i="1"/>
  <c r="AH414" i="1"/>
  <c r="AH414" i="1" a="1"/>
  <c r="AG414" i="1"/>
  <c r="AF414" i="1"/>
  <c r="BI413" i="1"/>
  <c r="BH413" i="1"/>
  <c r="BG413" i="1"/>
  <c r="BF413" i="1"/>
  <c r="BE413" i="1"/>
  <c r="BD413" i="1"/>
  <c r="BC413" i="1"/>
  <c r="BB413" i="1"/>
  <c r="BA413" i="1"/>
  <c r="AZ413" i="1"/>
  <c r="AY413" i="1"/>
  <c r="AX413" i="1"/>
  <c r="AW413" i="1"/>
  <c r="AV413" i="1"/>
  <c r="AU413" i="1"/>
  <c r="AT413" i="1"/>
  <c r="AS413" i="1"/>
  <c r="AR413" i="1"/>
  <c r="AQ413" i="1"/>
  <c r="AP413" i="1"/>
  <c r="AM413" i="1"/>
  <c r="AL413" i="1"/>
  <c r="AK413" i="1"/>
  <c r="AJ413" i="1"/>
  <c r="AI413" i="1"/>
  <c r="AH413" i="1"/>
  <c r="AH413" i="1" a="1"/>
  <c r="AG413" i="1"/>
  <c r="AF413" i="1"/>
  <c r="BI412" i="1"/>
  <c r="BH412" i="1"/>
  <c r="BG412" i="1"/>
  <c r="BF412" i="1"/>
  <c r="BE412" i="1"/>
  <c r="BD412" i="1"/>
  <c r="BC412" i="1"/>
  <c r="BB412" i="1"/>
  <c r="BA412" i="1"/>
  <c r="AZ412" i="1"/>
  <c r="AY412" i="1"/>
  <c r="AX412" i="1"/>
  <c r="AW412" i="1"/>
  <c r="AV412" i="1"/>
  <c r="AU412" i="1"/>
  <c r="AT412" i="1"/>
  <c r="AS412" i="1"/>
  <c r="AR412" i="1"/>
  <c r="AQ412" i="1"/>
  <c r="AP412" i="1"/>
  <c r="AM412" i="1"/>
  <c r="AL412" i="1"/>
  <c r="AK412" i="1"/>
  <c r="AJ412" i="1"/>
  <c r="AI412" i="1"/>
  <c r="AH412" i="1"/>
  <c r="AH412" i="1" a="1"/>
  <c r="AG412" i="1"/>
  <c r="AF412" i="1"/>
  <c r="BI411" i="1"/>
  <c r="BH411" i="1"/>
  <c r="BG411" i="1"/>
  <c r="BF411" i="1"/>
  <c r="BE411" i="1"/>
  <c r="BD411" i="1"/>
  <c r="BC411" i="1"/>
  <c r="BB411" i="1"/>
  <c r="BA411" i="1"/>
  <c r="AZ411" i="1"/>
  <c r="AY411" i="1"/>
  <c r="AX411" i="1"/>
  <c r="AW411" i="1"/>
  <c r="AV411" i="1"/>
  <c r="AU411" i="1"/>
  <c r="AT411" i="1"/>
  <c r="AS411" i="1"/>
  <c r="AR411" i="1"/>
  <c r="AQ411" i="1"/>
  <c r="AP411" i="1"/>
  <c r="AM411" i="1"/>
  <c r="AL411" i="1"/>
  <c r="AK411" i="1"/>
  <c r="AJ411" i="1"/>
  <c r="AI411" i="1"/>
  <c r="AH411" i="1"/>
  <c r="AH411" i="1" a="1"/>
  <c r="AG411" i="1"/>
  <c r="AF411" i="1"/>
  <c r="BI410" i="1"/>
  <c r="BH410" i="1"/>
  <c r="BG410" i="1"/>
  <c r="BF410" i="1"/>
  <c r="BE410" i="1"/>
  <c r="BD410" i="1"/>
  <c r="BC410" i="1"/>
  <c r="BB410" i="1"/>
  <c r="BA410" i="1"/>
  <c r="AZ410" i="1"/>
  <c r="AY410" i="1"/>
  <c r="AX410" i="1"/>
  <c r="AW410" i="1"/>
  <c r="AV410" i="1"/>
  <c r="AU410" i="1"/>
  <c r="AT410" i="1"/>
  <c r="AS410" i="1"/>
  <c r="AR410" i="1"/>
  <c r="AQ410" i="1"/>
  <c r="AP410" i="1"/>
  <c r="AM410" i="1"/>
  <c r="AL410" i="1"/>
  <c r="AK410" i="1"/>
  <c r="AJ410" i="1"/>
  <c r="AI410" i="1"/>
  <c r="AH410" i="1"/>
  <c r="AH410" i="1" a="1"/>
  <c r="AG410" i="1"/>
  <c r="AF410" i="1"/>
  <c r="BI409" i="1"/>
  <c r="BH409" i="1"/>
  <c r="BG409" i="1"/>
  <c r="BF409" i="1"/>
  <c r="BE409" i="1"/>
  <c r="BD409" i="1"/>
  <c r="BC409" i="1"/>
  <c r="BB409" i="1"/>
  <c r="BA409" i="1"/>
  <c r="AZ409" i="1"/>
  <c r="AY409" i="1"/>
  <c r="AX409" i="1"/>
  <c r="AW409" i="1"/>
  <c r="AV409" i="1"/>
  <c r="AU409" i="1"/>
  <c r="AT409" i="1"/>
  <c r="AS409" i="1"/>
  <c r="AR409" i="1"/>
  <c r="AQ409" i="1"/>
  <c r="AP409" i="1"/>
  <c r="AM409" i="1"/>
  <c r="AL409" i="1"/>
  <c r="AK409" i="1"/>
  <c r="AJ409" i="1"/>
  <c r="AI409" i="1"/>
  <c r="AH409" i="1"/>
  <c r="AH409" i="1" a="1"/>
  <c r="AG409" i="1"/>
  <c r="AF409" i="1"/>
  <c r="BI408" i="1"/>
  <c r="BH408" i="1"/>
  <c r="BG408" i="1"/>
  <c r="BF408" i="1"/>
  <c r="BE408" i="1"/>
  <c r="BD408" i="1"/>
  <c r="BC408" i="1"/>
  <c r="BB408" i="1"/>
  <c r="BA408" i="1"/>
  <c r="AZ408" i="1"/>
  <c r="AY408" i="1"/>
  <c r="AX408" i="1"/>
  <c r="AW408" i="1"/>
  <c r="AV408" i="1"/>
  <c r="AU408" i="1"/>
  <c r="AT408" i="1"/>
  <c r="AS408" i="1"/>
  <c r="AR408" i="1"/>
  <c r="AQ408" i="1"/>
  <c r="AP408" i="1"/>
  <c r="AM408" i="1"/>
  <c r="AL408" i="1"/>
  <c r="AK408" i="1"/>
  <c r="AJ408" i="1"/>
  <c r="AI408" i="1"/>
  <c r="AH408" i="1"/>
  <c r="AH408" i="1" a="1"/>
  <c r="AG408" i="1"/>
  <c r="AF408" i="1"/>
  <c r="BI407" i="1"/>
  <c r="BH407" i="1"/>
  <c r="BG407" i="1"/>
  <c r="BF407" i="1"/>
  <c r="BE407" i="1"/>
  <c r="BD407" i="1"/>
  <c r="BC407" i="1"/>
  <c r="BB407" i="1"/>
  <c r="BA407" i="1"/>
  <c r="AZ407" i="1"/>
  <c r="AY407" i="1"/>
  <c r="AX407" i="1"/>
  <c r="AW407" i="1"/>
  <c r="AV407" i="1"/>
  <c r="AU407" i="1"/>
  <c r="AT407" i="1"/>
  <c r="AS407" i="1"/>
  <c r="AR407" i="1"/>
  <c r="AQ407" i="1"/>
  <c r="AP407" i="1"/>
  <c r="AM407" i="1"/>
  <c r="AL407" i="1"/>
  <c r="AK407" i="1"/>
  <c r="AJ407" i="1"/>
  <c r="AI407" i="1"/>
  <c r="AH407" i="1"/>
  <c r="AH407" i="1" a="1"/>
  <c r="AG407" i="1"/>
  <c r="AF407" i="1"/>
  <c r="BI406" i="1"/>
  <c r="BH406" i="1"/>
  <c r="BG406" i="1"/>
  <c r="BF406" i="1"/>
  <c r="BE406" i="1"/>
  <c r="BD406" i="1"/>
  <c r="BC406" i="1"/>
  <c r="BB406" i="1"/>
  <c r="BA406" i="1"/>
  <c r="AZ406" i="1"/>
  <c r="AY406" i="1"/>
  <c r="AX406" i="1"/>
  <c r="AW406" i="1"/>
  <c r="AV406" i="1"/>
  <c r="AU406" i="1"/>
  <c r="AT406" i="1"/>
  <c r="AS406" i="1"/>
  <c r="AR406" i="1"/>
  <c r="AQ406" i="1"/>
  <c r="AP406" i="1"/>
  <c r="AM406" i="1"/>
  <c r="AL406" i="1"/>
  <c r="AK406" i="1"/>
  <c r="AJ406" i="1"/>
  <c r="AI406" i="1"/>
  <c r="AH406" i="1"/>
  <c r="AH406" i="1" a="1"/>
  <c r="AG406" i="1"/>
  <c r="AF406" i="1"/>
  <c r="BI405" i="1"/>
  <c r="BH405" i="1"/>
  <c r="BG405" i="1"/>
  <c r="BF405" i="1"/>
  <c r="BE405" i="1"/>
  <c r="BD405" i="1"/>
  <c r="BC405" i="1"/>
  <c r="BB405" i="1"/>
  <c r="BA405" i="1"/>
  <c r="AZ405" i="1"/>
  <c r="AY405" i="1"/>
  <c r="AX405" i="1"/>
  <c r="AW405" i="1"/>
  <c r="AV405" i="1"/>
  <c r="AU405" i="1"/>
  <c r="AT405" i="1"/>
  <c r="AS405" i="1"/>
  <c r="AR405" i="1"/>
  <c r="AQ405" i="1"/>
  <c r="AP405" i="1"/>
  <c r="AM405" i="1"/>
  <c r="AL405" i="1"/>
  <c r="AK405" i="1"/>
  <c r="AJ405" i="1"/>
  <c r="AI405" i="1"/>
  <c r="AH405" i="1"/>
  <c r="AH405" i="1" a="1"/>
  <c r="AG405" i="1"/>
  <c r="AF405" i="1"/>
  <c r="BI404" i="1"/>
  <c r="BH404" i="1"/>
  <c r="BG404" i="1"/>
  <c r="BF404" i="1"/>
  <c r="BE404" i="1"/>
  <c r="BD404" i="1"/>
  <c r="BC404" i="1"/>
  <c r="BB404" i="1"/>
  <c r="BA404" i="1"/>
  <c r="AZ404" i="1"/>
  <c r="AY404" i="1"/>
  <c r="AX404" i="1"/>
  <c r="AW404" i="1"/>
  <c r="AV404" i="1"/>
  <c r="AU404" i="1"/>
  <c r="AT404" i="1"/>
  <c r="AS404" i="1"/>
  <c r="AR404" i="1"/>
  <c r="AQ404" i="1"/>
  <c r="AP404" i="1"/>
  <c r="AM404" i="1"/>
  <c r="AL404" i="1"/>
  <c r="AK404" i="1"/>
  <c r="AJ404" i="1"/>
  <c r="AI404" i="1"/>
  <c r="AH404" i="1"/>
  <c r="AH404" i="1" a="1"/>
  <c r="AG404" i="1"/>
  <c r="AF404" i="1"/>
  <c r="BI403" i="1"/>
  <c r="BH403" i="1"/>
  <c r="BG403" i="1"/>
  <c r="BF403" i="1"/>
  <c r="BE403" i="1"/>
  <c r="BD403" i="1"/>
  <c r="BC403" i="1"/>
  <c r="BB403" i="1"/>
  <c r="BA403" i="1"/>
  <c r="AZ403" i="1"/>
  <c r="AY403" i="1"/>
  <c r="AX403" i="1"/>
  <c r="AW403" i="1"/>
  <c r="AV403" i="1"/>
  <c r="AU403" i="1"/>
  <c r="AT403" i="1"/>
  <c r="AS403" i="1"/>
  <c r="AR403" i="1"/>
  <c r="AQ403" i="1"/>
  <c r="AP403" i="1"/>
  <c r="AM403" i="1"/>
  <c r="AL403" i="1"/>
  <c r="AK403" i="1"/>
  <c r="AJ403" i="1"/>
  <c r="AI403" i="1"/>
  <c r="AH403" i="1"/>
  <c r="AH403" i="1" a="1"/>
  <c r="AG403" i="1"/>
  <c r="AF403" i="1"/>
  <c r="BI402" i="1"/>
  <c r="BH402" i="1"/>
  <c r="BG402" i="1"/>
  <c r="BF402" i="1"/>
  <c r="BE402" i="1"/>
  <c r="BD402" i="1"/>
  <c r="BC402" i="1"/>
  <c r="BB402" i="1"/>
  <c r="BA402" i="1"/>
  <c r="AZ402" i="1"/>
  <c r="AY402" i="1"/>
  <c r="AX402" i="1"/>
  <c r="AW402" i="1"/>
  <c r="AV402" i="1"/>
  <c r="AU402" i="1"/>
  <c r="AT402" i="1"/>
  <c r="AS402" i="1"/>
  <c r="AR402" i="1"/>
  <c r="AQ402" i="1"/>
  <c r="AP402" i="1"/>
  <c r="AM402" i="1"/>
  <c r="AL402" i="1"/>
  <c r="AK402" i="1"/>
  <c r="AJ402" i="1"/>
  <c r="AI402" i="1"/>
  <c r="AH402" i="1"/>
  <c r="AH402" i="1" a="1"/>
  <c r="AG402" i="1"/>
  <c r="AF402" i="1"/>
  <c r="BI401" i="1"/>
  <c r="BH401" i="1"/>
  <c r="BG401" i="1"/>
  <c r="BF401" i="1"/>
  <c r="BE401" i="1"/>
  <c r="BD401" i="1"/>
  <c r="BC401" i="1"/>
  <c r="BB401" i="1"/>
  <c r="BA401" i="1"/>
  <c r="AZ401" i="1"/>
  <c r="AY401" i="1"/>
  <c r="AX401" i="1"/>
  <c r="AW401" i="1"/>
  <c r="AV401" i="1"/>
  <c r="AU401" i="1"/>
  <c r="AT401" i="1"/>
  <c r="AS401" i="1"/>
  <c r="AR401" i="1"/>
  <c r="AQ401" i="1"/>
  <c r="AP401" i="1"/>
  <c r="AM401" i="1"/>
  <c r="AL401" i="1"/>
  <c r="AK401" i="1"/>
  <c r="AJ401" i="1"/>
  <c r="AI401" i="1"/>
  <c r="AH401" i="1"/>
  <c r="AH401" i="1" a="1"/>
  <c r="AG401" i="1"/>
  <c r="AF401" i="1"/>
  <c r="BI400" i="1"/>
  <c r="BH400" i="1"/>
  <c r="BG400" i="1"/>
  <c r="BF400" i="1"/>
  <c r="BE400" i="1"/>
  <c r="BD400" i="1"/>
  <c r="BC400" i="1"/>
  <c r="BB400" i="1"/>
  <c r="BA400" i="1"/>
  <c r="AZ400" i="1"/>
  <c r="AY400" i="1"/>
  <c r="AX400" i="1"/>
  <c r="AW400" i="1"/>
  <c r="AV400" i="1"/>
  <c r="AU400" i="1"/>
  <c r="AT400" i="1"/>
  <c r="AS400" i="1"/>
  <c r="AR400" i="1"/>
  <c r="AQ400" i="1"/>
  <c r="AP400" i="1"/>
  <c r="AM400" i="1"/>
  <c r="AL400" i="1"/>
  <c r="AK400" i="1"/>
  <c r="AJ400" i="1"/>
  <c r="AI400" i="1"/>
  <c r="AH400" i="1"/>
  <c r="AH400" i="1" a="1"/>
  <c r="AG400" i="1"/>
  <c r="AF400" i="1"/>
  <c r="BI399" i="1"/>
  <c r="BH399" i="1"/>
  <c r="BG399" i="1"/>
  <c r="BF399" i="1"/>
  <c r="BE399" i="1"/>
  <c r="BD399" i="1"/>
  <c r="BC399" i="1"/>
  <c r="BB399" i="1"/>
  <c r="BA399" i="1"/>
  <c r="AZ399" i="1"/>
  <c r="AY399" i="1"/>
  <c r="AX399" i="1"/>
  <c r="AW399" i="1"/>
  <c r="AV399" i="1"/>
  <c r="AU399" i="1"/>
  <c r="AT399" i="1"/>
  <c r="AS399" i="1"/>
  <c r="AR399" i="1"/>
  <c r="AQ399" i="1"/>
  <c r="AP399" i="1"/>
  <c r="AM399" i="1"/>
  <c r="AL399" i="1"/>
  <c r="AK399" i="1"/>
  <c r="AJ399" i="1"/>
  <c r="AI399" i="1"/>
  <c r="AH399" i="1"/>
  <c r="AH399" i="1" a="1"/>
  <c r="AG399" i="1"/>
  <c r="AF399" i="1"/>
  <c r="BI398" i="1"/>
  <c r="BH398" i="1"/>
  <c r="BG398" i="1"/>
  <c r="BF398" i="1"/>
  <c r="BE398" i="1"/>
  <c r="BD398" i="1"/>
  <c r="BC398" i="1"/>
  <c r="BB398" i="1"/>
  <c r="BA398" i="1"/>
  <c r="AZ398" i="1"/>
  <c r="AY398" i="1"/>
  <c r="AX398" i="1"/>
  <c r="AW398" i="1"/>
  <c r="AV398" i="1"/>
  <c r="AU398" i="1"/>
  <c r="AT398" i="1"/>
  <c r="AS398" i="1"/>
  <c r="AR398" i="1"/>
  <c r="AQ398" i="1"/>
  <c r="AP398" i="1"/>
  <c r="AM398" i="1"/>
  <c r="AL398" i="1"/>
  <c r="AK398" i="1"/>
  <c r="AJ398" i="1"/>
  <c r="AI398" i="1"/>
  <c r="AH398" i="1"/>
  <c r="AH398" i="1" a="1"/>
  <c r="AG398" i="1"/>
  <c r="AF398" i="1"/>
  <c r="BI397" i="1"/>
  <c r="BH397" i="1"/>
  <c r="BG397" i="1"/>
  <c r="BF397" i="1"/>
  <c r="BE397" i="1"/>
  <c r="BD397" i="1"/>
  <c r="BC397" i="1"/>
  <c r="BB397" i="1"/>
  <c r="BA397" i="1"/>
  <c r="AZ397" i="1"/>
  <c r="AY397" i="1"/>
  <c r="AX397" i="1"/>
  <c r="AW397" i="1"/>
  <c r="AV397" i="1"/>
  <c r="AU397" i="1"/>
  <c r="AT397" i="1"/>
  <c r="AS397" i="1"/>
  <c r="AR397" i="1"/>
  <c r="AQ397" i="1"/>
  <c r="AP397" i="1"/>
  <c r="AM397" i="1"/>
  <c r="AL397" i="1"/>
  <c r="AK397" i="1"/>
  <c r="AJ397" i="1"/>
  <c r="AI397" i="1"/>
  <c r="AH397" i="1"/>
  <c r="AH397" i="1" a="1"/>
  <c r="AG397" i="1"/>
  <c r="AF397" i="1"/>
  <c r="BI396" i="1"/>
  <c r="BH396" i="1"/>
  <c r="BG396" i="1"/>
  <c r="BF396" i="1"/>
  <c r="BE396" i="1"/>
  <c r="BD396" i="1"/>
  <c r="BC396" i="1"/>
  <c r="BB396" i="1"/>
  <c r="BA396" i="1"/>
  <c r="AZ396" i="1"/>
  <c r="AY396" i="1"/>
  <c r="AX396" i="1"/>
  <c r="AW396" i="1"/>
  <c r="AV396" i="1"/>
  <c r="AU396" i="1"/>
  <c r="AT396" i="1"/>
  <c r="AS396" i="1"/>
  <c r="AR396" i="1"/>
  <c r="AQ396" i="1"/>
  <c r="AP396" i="1"/>
  <c r="AM396" i="1"/>
  <c r="AL396" i="1"/>
  <c r="AK396" i="1"/>
  <c r="AJ396" i="1"/>
  <c r="AI396" i="1"/>
  <c r="AH396" i="1"/>
  <c r="AH396" i="1" a="1"/>
  <c r="AG396" i="1"/>
  <c r="AF396" i="1"/>
  <c r="BI395" i="1"/>
  <c r="BH395" i="1"/>
  <c r="BG395" i="1"/>
  <c r="BF395" i="1"/>
  <c r="BE395" i="1"/>
  <c r="BD395" i="1"/>
  <c r="BC395" i="1"/>
  <c r="BB395" i="1"/>
  <c r="BA395" i="1"/>
  <c r="AZ395" i="1"/>
  <c r="AY395" i="1"/>
  <c r="AX395" i="1"/>
  <c r="AW395" i="1"/>
  <c r="AV395" i="1"/>
  <c r="AU395" i="1"/>
  <c r="AT395" i="1"/>
  <c r="AS395" i="1"/>
  <c r="AR395" i="1"/>
  <c r="AQ395" i="1"/>
  <c r="AP395" i="1"/>
  <c r="AM395" i="1"/>
  <c r="AL395" i="1"/>
  <c r="AK395" i="1"/>
  <c r="AJ395" i="1"/>
  <c r="AI395" i="1"/>
  <c r="AH395" i="1"/>
  <c r="AH395" i="1" a="1"/>
  <c r="AG395" i="1"/>
  <c r="AF395" i="1"/>
  <c r="BI394" i="1"/>
  <c r="BH394" i="1"/>
  <c r="BG394" i="1"/>
  <c r="BF394" i="1"/>
  <c r="BE394" i="1"/>
  <c r="BD394" i="1"/>
  <c r="BC394" i="1"/>
  <c r="BB394" i="1"/>
  <c r="BA394" i="1"/>
  <c r="AZ394" i="1"/>
  <c r="AY394" i="1"/>
  <c r="AX394" i="1"/>
  <c r="AW394" i="1"/>
  <c r="AV394" i="1"/>
  <c r="AU394" i="1"/>
  <c r="AT394" i="1"/>
  <c r="AS394" i="1"/>
  <c r="AR394" i="1"/>
  <c r="AQ394" i="1"/>
  <c r="AP394" i="1"/>
  <c r="AM394" i="1"/>
  <c r="AL394" i="1"/>
  <c r="AK394" i="1"/>
  <c r="AJ394" i="1"/>
  <c r="AI394" i="1"/>
  <c r="AH394" i="1"/>
  <c r="AH394" i="1" a="1"/>
  <c r="AG394" i="1"/>
  <c r="AF394" i="1"/>
  <c r="BI393" i="1"/>
  <c r="BH393" i="1"/>
  <c r="BG393" i="1"/>
  <c r="BF393" i="1"/>
  <c r="BE393" i="1"/>
  <c r="BD393" i="1"/>
  <c r="BC393" i="1"/>
  <c r="BB393" i="1"/>
  <c r="BA393" i="1"/>
  <c r="AZ393" i="1"/>
  <c r="AY393" i="1"/>
  <c r="AX393" i="1"/>
  <c r="AW393" i="1"/>
  <c r="AV393" i="1"/>
  <c r="AU393" i="1"/>
  <c r="AT393" i="1"/>
  <c r="AS393" i="1"/>
  <c r="AR393" i="1"/>
  <c r="AQ393" i="1"/>
  <c r="AP393" i="1"/>
  <c r="AM393" i="1"/>
  <c r="AL393" i="1"/>
  <c r="AK393" i="1"/>
  <c r="AJ393" i="1"/>
  <c r="AI393" i="1"/>
  <c r="AH393" i="1"/>
  <c r="AH393" i="1" a="1"/>
  <c r="AG393" i="1"/>
  <c r="AF393" i="1"/>
  <c r="BI392" i="1"/>
  <c r="BH392" i="1"/>
  <c r="BG392" i="1"/>
  <c r="BF392" i="1"/>
  <c r="BE392" i="1"/>
  <c r="BD392" i="1"/>
  <c r="BC392" i="1"/>
  <c r="BB392" i="1"/>
  <c r="BA392" i="1"/>
  <c r="AZ392" i="1"/>
  <c r="AY392" i="1"/>
  <c r="AX392" i="1"/>
  <c r="AW392" i="1"/>
  <c r="AV392" i="1"/>
  <c r="AU392" i="1"/>
  <c r="AT392" i="1"/>
  <c r="AS392" i="1"/>
  <c r="AR392" i="1"/>
  <c r="AQ392" i="1"/>
  <c r="AP392" i="1"/>
  <c r="AM392" i="1"/>
  <c r="AL392" i="1"/>
  <c r="AK392" i="1"/>
  <c r="AJ392" i="1"/>
  <c r="AI392" i="1"/>
  <c r="AH392" i="1"/>
  <c r="AH392" i="1" a="1"/>
  <c r="AG392" i="1"/>
  <c r="AF392" i="1"/>
  <c r="BI391" i="1"/>
  <c r="BH391" i="1"/>
  <c r="BG391" i="1"/>
  <c r="BF391" i="1"/>
  <c r="BE391" i="1"/>
  <c r="BD391" i="1"/>
  <c r="BC391" i="1"/>
  <c r="BB391" i="1"/>
  <c r="BA391" i="1"/>
  <c r="AZ391" i="1"/>
  <c r="AY391" i="1"/>
  <c r="AX391" i="1"/>
  <c r="AW391" i="1"/>
  <c r="AV391" i="1"/>
  <c r="AU391" i="1"/>
  <c r="AT391" i="1"/>
  <c r="AS391" i="1"/>
  <c r="AR391" i="1"/>
  <c r="AQ391" i="1"/>
  <c r="AP391" i="1"/>
  <c r="AM391" i="1"/>
  <c r="AL391" i="1"/>
  <c r="AK391" i="1"/>
  <c r="AJ391" i="1"/>
  <c r="AI391" i="1"/>
  <c r="AH391" i="1"/>
  <c r="AH391" i="1" a="1"/>
  <c r="AG391" i="1"/>
  <c r="AF391" i="1"/>
  <c r="BI390" i="1"/>
  <c r="BH390" i="1"/>
  <c r="BG390" i="1"/>
  <c r="BF390" i="1"/>
  <c r="BE390" i="1"/>
  <c r="BD390" i="1"/>
  <c r="BC390" i="1"/>
  <c r="BB390" i="1"/>
  <c r="BA390" i="1"/>
  <c r="AZ390" i="1"/>
  <c r="AY390" i="1"/>
  <c r="AX390" i="1"/>
  <c r="AW390" i="1"/>
  <c r="AV390" i="1"/>
  <c r="AU390" i="1"/>
  <c r="AT390" i="1"/>
  <c r="AS390" i="1"/>
  <c r="AR390" i="1"/>
  <c r="AQ390" i="1"/>
  <c r="AP390" i="1"/>
  <c r="AM390" i="1"/>
  <c r="AL390" i="1"/>
  <c r="AK390" i="1"/>
  <c r="AJ390" i="1"/>
  <c r="AI390" i="1"/>
  <c r="AH390" i="1"/>
  <c r="AH390" i="1" a="1"/>
  <c r="AG390" i="1"/>
  <c r="AF390" i="1"/>
  <c r="BI389" i="1"/>
  <c r="BH389" i="1"/>
  <c r="BG389" i="1"/>
  <c r="BF389" i="1"/>
  <c r="BE389" i="1"/>
  <c r="BD389" i="1"/>
  <c r="BC389" i="1"/>
  <c r="BB389" i="1"/>
  <c r="BA389" i="1"/>
  <c r="AZ389" i="1"/>
  <c r="AY389" i="1"/>
  <c r="AX389" i="1"/>
  <c r="AW389" i="1"/>
  <c r="AV389" i="1"/>
  <c r="AU389" i="1"/>
  <c r="AT389" i="1"/>
  <c r="AS389" i="1"/>
  <c r="AR389" i="1"/>
  <c r="AQ389" i="1"/>
  <c r="AP389" i="1"/>
  <c r="AM389" i="1"/>
  <c r="AL389" i="1"/>
  <c r="AK389" i="1"/>
  <c r="AJ389" i="1"/>
  <c r="AI389" i="1"/>
  <c r="AH389" i="1"/>
  <c r="AH389" i="1" a="1"/>
  <c r="AG389" i="1"/>
  <c r="AF389" i="1"/>
  <c r="BI388" i="1"/>
  <c r="BH388" i="1"/>
  <c r="BG388" i="1"/>
  <c r="BF388" i="1"/>
  <c r="BE388" i="1"/>
  <c r="BD388" i="1"/>
  <c r="BC388" i="1"/>
  <c r="BB388" i="1"/>
  <c r="BA388" i="1"/>
  <c r="AZ388" i="1"/>
  <c r="AY388" i="1"/>
  <c r="AX388" i="1"/>
  <c r="AW388" i="1"/>
  <c r="AV388" i="1"/>
  <c r="AU388" i="1"/>
  <c r="AT388" i="1"/>
  <c r="AS388" i="1"/>
  <c r="AR388" i="1"/>
  <c r="AQ388" i="1"/>
  <c r="AP388" i="1"/>
  <c r="AM388" i="1"/>
  <c r="AL388" i="1"/>
  <c r="AK388" i="1"/>
  <c r="AJ388" i="1"/>
  <c r="AI388" i="1"/>
  <c r="AH388" i="1"/>
  <c r="AH388" i="1" a="1"/>
  <c r="AG388" i="1"/>
  <c r="AF388" i="1"/>
  <c r="BI387" i="1"/>
  <c r="BH387" i="1"/>
  <c r="BG387" i="1"/>
  <c r="BF387" i="1"/>
  <c r="BE387" i="1"/>
  <c r="BD387" i="1"/>
  <c r="BC387" i="1"/>
  <c r="BB387" i="1"/>
  <c r="BA387" i="1"/>
  <c r="AZ387" i="1"/>
  <c r="AY387" i="1"/>
  <c r="AX387" i="1"/>
  <c r="AW387" i="1"/>
  <c r="AV387" i="1"/>
  <c r="AU387" i="1"/>
  <c r="AT387" i="1"/>
  <c r="AS387" i="1"/>
  <c r="AR387" i="1"/>
  <c r="AQ387" i="1"/>
  <c r="AP387" i="1"/>
  <c r="AM387" i="1"/>
  <c r="AL387" i="1"/>
  <c r="AK387" i="1"/>
  <c r="AJ387" i="1"/>
  <c r="AI387" i="1"/>
  <c r="AH387" i="1"/>
  <c r="AH387" i="1" a="1"/>
  <c r="AG387" i="1"/>
  <c r="AF387" i="1"/>
  <c r="BI386" i="1"/>
  <c r="BH386" i="1"/>
  <c r="BG386" i="1"/>
  <c r="BF386" i="1"/>
  <c r="BE386" i="1"/>
  <c r="BD386" i="1"/>
  <c r="BC386" i="1"/>
  <c r="BB386" i="1"/>
  <c r="BA386" i="1"/>
  <c r="AZ386" i="1"/>
  <c r="AY386" i="1"/>
  <c r="AX386" i="1"/>
  <c r="AW386" i="1"/>
  <c r="AV386" i="1"/>
  <c r="AU386" i="1"/>
  <c r="AT386" i="1"/>
  <c r="AS386" i="1"/>
  <c r="AR386" i="1"/>
  <c r="AQ386" i="1"/>
  <c r="AP386" i="1"/>
  <c r="AM386" i="1"/>
  <c r="AL386" i="1"/>
  <c r="AK386" i="1"/>
  <c r="AJ386" i="1"/>
  <c r="AI386" i="1"/>
  <c r="AH386" i="1"/>
  <c r="AH386" i="1" a="1"/>
  <c r="AG386" i="1"/>
  <c r="AF386" i="1"/>
  <c r="BI385" i="1"/>
  <c r="BH385" i="1"/>
  <c r="BG385" i="1"/>
  <c r="BF385" i="1"/>
  <c r="BE385" i="1"/>
  <c r="BD385" i="1"/>
  <c r="BC385" i="1"/>
  <c r="BB385" i="1"/>
  <c r="BA385" i="1"/>
  <c r="AZ385" i="1"/>
  <c r="AY385" i="1"/>
  <c r="AX385" i="1"/>
  <c r="AW385" i="1"/>
  <c r="AV385" i="1"/>
  <c r="AU385" i="1"/>
  <c r="AT385" i="1"/>
  <c r="AS385" i="1"/>
  <c r="AR385" i="1"/>
  <c r="AQ385" i="1"/>
  <c r="AP385" i="1"/>
  <c r="AM385" i="1"/>
  <c r="AL385" i="1"/>
  <c r="AK385" i="1"/>
  <c r="AJ385" i="1"/>
  <c r="AI385" i="1"/>
  <c r="AH385" i="1"/>
  <c r="AH385" i="1" a="1"/>
  <c r="AG385" i="1"/>
  <c r="AF385" i="1"/>
  <c r="BI384" i="1"/>
  <c r="BH384" i="1"/>
  <c r="BG384" i="1"/>
  <c r="BF384" i="1"/>
  <c r="BE384" i="1"/>
  <c r="BD384" i="1"/>
  <c r="BC384" i="1"/>
  <c r="BB384" i="1"/>
  <c r="BA384" i="1"/>
  <c r="AZ384" i="1"/>
  <c r="AY384" i="1"/>
  <c r="AX384" i="1"/>
  <c r="AW384" i="1"/>
  <c r="AV384" i="1"/>
  <c r="AU384" i="1"/>
  <c r="AT384" i="1"/>
  <c r="AS384" i="1"/>
  <c r="AR384" i="1"/>
  <c r="AQ384" i="1"/>
  <c r="AP384" i="1"/>
  <c r="AM384" i="1"/>
  <c r="AL384" i="1"/>
  <c r="AK384" i="1"/>
  <c r="AJ384" i="1"/>
  <c r="AI384" i="1"/>
  <c r="AH384" i="1"/>
  <c r="AH384" i="1" a="1"/>
  <c r="AG384" i="1"/>
  <c r="AF384" i="1"/>
  <c r="BI383" i="1"/>
  <c r="BH383" i="1"/>
  <c r="BG383" i="1"/>
  <c r="BF383" i="1"/>
  <c r="BE383" i="1"/>
  <c r="BD383" i="1"/>
  <c r="BC383" i="1"/>
  <c r="BB383" i="1"/>
  <c r="BA383" i="1"/>
  <c r="AZ383" i="1"/>
  <c r="AY383" i="1"/>
  <c r="AX383" i="1"/>
  <c r="AW383" i="1"/>
  <c r="AV383" i="1"/>
  <c r="AU383" i="1"/>
  <c r="AT383" i="1"/>
  <c r="AS383" i="1"/>
  <c r="AR383" i="1"/>
  <c r="AQ383" i="1"/>
  <c r="AP383" i="1"/>
  <c r="AM383" i="1"/>
  <c r="AL383" i="1"/>
  <c r="AK383" i="1"/>
  <c r="AJ383" i="1"/>
  <c r="AI383" i="1"/>
  <c r="AH383" i="1"/>
  <c r="AH383" i="1" a="1"/>
  <c r="AG383" i="1"/>
  <c r="AF383" i="1"/>
  <c r="BI382" i="1"/>
  <c r="BH382" i="1"/>
  <c r="BG382" i="1"/>
  <c r="BF382" i="1"/>
  <c r="BE382" i="1"/>
  <c r="BD382" i="1"/>
  <c r="BC382" i="1"/>
  <c r="BB382" i="1"/>
  <c r="BA382" i="1"/>
  <c r="AZ382" i="1"/>
  <c r="AY382" i="1"/>
  <c r="AX382" i="1"/>
  <c r="AW382" i="1"/>
  <c r="AV382" i="1"/>
  <c r="AU382" i="1"/>
  <c r="AT382" i="1"/>
  <c r="AS382" i="1"/>
  <c r="AR382" i="1"/>
  <c r="AQ382" i="1"/>
  <c r="AP382" i="1"/>
  <c r="AM382" i="1"/>
  <c r="AL382" i="1"/>
  <c r="AK382" i="1"/>
  <c r="AJ382" i="1"/>
  <c r="AI382" i="1"/>
  <c r="AH382" i="1"/>
  <c r="AH382" i="1" a="1"/>
  <c r="AG382" i="1"/>
  <c r="AF382" i="1"/>
  <c r="BI381" i="1"/>
  <c r="BH381" i="1"/>
  <c r="BG381" i="1"/>
  <c r="BF381" i="1"/>
  <c r="BE381" i="1"/>
  <c r="BD381" i="1"/>
  <c r="BC381" i="1"/>
  <c r="BB381" i="1"/>
  <c r="BA381" i="1"/>
  <c r="AZ381" i="1"/>
  <c r="AY381" i="1"/>
  <c r="AX381" i="1"/>
  <c r="AW381" i="1"/>
  <c r="AV381" i="1"/>
  <c r="AU381" i="1"/>
  <c r="AT381" i="1"/>
  <c r="AS381" i="1"/>
  <c r="AR381" i="1"/>
  <c r="AQ381" i="1"/>
  <c r="AP381" i="1"/>
  <c r="AM381" i="1"/>
  <c r="AL381" i="1"/>
  <c r="AK381" i="1"/>
  <c r="AJ381" i="1"/>
  <c r="AI381" i="1"/>
  <c r="AH381" i="1"/>
  <c r="AH381" i="1" a="1"/>
  <c r="AG381" i="1"/>
  <c r="AF381" i="1"/>
  <c r="BI380" i="1"/>
  <c r="BH380" i="1"/>
  <c r="BG380" i="1"/>
  <c r="BF380" i="1"/>
  <c r="BE380" i="1"/>
  <c r="BD380" i="1"/>
  <c r="BC380" i="1"/>
  <c r="BB380" i="1"/>
  <c r="BA380" i="1"/>
  <c r="AZ380" i="1"/>
  <c r="AY380" i="1"/>
  <c r="AX380" i="1"/>
  <c r="AW380" i="1"/>
  <c r="AV380" i="1"/>
  <c r="AU380" i="1"/>
  <c r="AT380" i="1"/>
  <c r="AS380" i="1"/>
  <c r="AR380" i="1"/>
  <c r="AQ380" i="1"/>
  <c r="AP380" i="1"/>
  <c r="AM380" i="1"/>
  <c r="AL380" i="1"/>
  <c r="AK380" i="1"/>
  <c r="AJ380" i="1"/>
  <c r="AI380" i="1"/>
  <c r="AH380" i="1"/>
  <c r="AH380" i="1" a="1"/>
  <c r="AG380" i="1"/>
  <c r="AF380" i="1"/>
  <c r="BI379" i="1"/>
  <c r="BH379" i="1"/>
  <c r="BG379" i="1"/>
  <c r="BF379" i="1"/>
  <c r="BE379" i="1"/>
  <c r="BD379" i="1"/>
  <c r="BC379" i="1"/>
  <c r="BB379" i="1"/>
  <c r="BA379" i="1"/>
  <c r="AZ379" i="1"/>
  <c r="AY379" i="1"/>
  <c r="AX379" i="1"/>
  <c r="AW379" i="1"/>
  <c r="AV379" i="1"/>
  <c r="AU379" i="1"/>
  <c r="AT379" i="1"/>
  <c r="AS379" i="1"/>
  <c r="AR379" i="1"/>
  <c r="AQ379" i="1"/>
  <c r="AP379" i="1"/>
  <c r="AM379" i="1"/>
  <c r="AL379" i="1"/>
  <c r="AK379" i="1"/>
  <c r="AJ379" i="1"/>
  <c r="AI379" i="1"/>
  <c r="AH379" i="1"/>
  <c r="AH379" i="1" a="1"/>
  <c r="AG379" i="1"/>
  <c r="AF379" i="1"/>
  <c r="BI378" i="1"/>
  <c r="BH378" i="1"/>
  <c r="BG378" i="1"/>
  <c r="BF378" i="1"/>
  <c r="BE378" i="1"/>
  <c r="BD378" i="1"/>
  <c r="BC378" i="1"/>
  <c r="BB378" i="1"/>
  <c r="BA378" i="1"/>
  <c r="AZ378" i="1"/>
  <c r="AY378" i="1"/>
  <c r="AX378" i="1"/>
  <c r="AW378" i="1"/>
  <c r="AV378" i="1"/>
  <c r="AU378" i="1"/>
  <c r="AT378" i="1"/>
  <c r="AS378" i="1"/>
  <c r="AR378" i="1"/>
  <c r="AQ378" i="1"/>
  <c r="AP378" i="1"/>
  <c r="AM378" i="1"/>
  <c r="AL378" i="1"/>
  <c r="AK378" i="1"/>
  <c r="AJ378" i="1"/>
  <c r="AI378" i="1"/>
  <c r="AH378" i="1"/>
  <c r="AH378" i="1" a="1"/>
  <c r="AG378" i="1"/>
  <c r="AF378" i="1"/>
  <c r="BI377" i="1"/>
  <c r="BH377" i="1"/>
  <c r="BG377" i="1"/>
  <c r="BF377" i="1"/>
  <c r="BE377" i="1"/>
  <c r="BD377" i="1"/>
  <c r="BC377" i="1"/>
  <c r="BB377" i="1"/>
  <c r="BA377" i="1"/>
  <c r="AZ377" i="1"/>
  <c r="AY377" i="1"/>
  <c r="AX377" i="1"/>
  <c r="AW377" i="1"/>
  <c r="AV377" i="1"/>
  <c r="AU377" i="1"/>
  <c r="AT377" i="1"/>
  <c r="AS377" i="1"/>
  <c r="AR377" i="1"/>
  <c r="AQ377" i="1"/>
  <c r="AP377" i="1"/>
  <c r="AM377" i="1"/>
  <c r="AL377" i="1"/>
  <c r="AK377" i="1"/>
  <c r="AJ377" i="1"/>
  <c r="AI377" i="1"/>
  <c r="AH377" i="1"/>
  <c r="AH377" i="1" a="1"/>
  <c r="AG377" i="1"/>
  <c r="AF377" i="1"/>
  <c r="BI376" i="1"/>
  <c r="BH376" i="1"/>
  <c r="BG376" i="1"/>
  <c r="BF376" i="1"/>
  <c r="BE376" i="1"/>
  <c r="BD376" i="1"/>
  <c r="BC376" i="1"/>
  <c r="BB376" i="1"/>
  <c r="BA376" i="1"/>
  <c r="AZ376" i="1"/>
  <c r="AY376" i="1"/>
  <c r="AX376" i="1"/>
  <c r="AW376" i="1"/>
  <c r="AV376" i="1"/>
  <c r="AU376" i="1"/>
  <c r="AT376" i="1"/>
  <c r="AS376" i="1"/>
  <c r="AR376" i="1"/>
  <c r="AQ376" i="1"/>
  <c r="AP376" i="1"/>
  <c r="AM376" i="1"/>
  <c r="AL376" i="1"/>
  <c r="AK376" i="1"/>
  <c r="AJ376" i="1"/>
  <c r="AI376" i="1"/>
  <c r="AH376" i="1"/>
  <c r="AH376" i="1" a="1"/>
  <c r="AG376" i="1"/>
  <c r="AF376" i="1"/>
  <c r="BI375" i="1"/>
  <c r="BH375" i="1"/>
  <c r="BG375" i="1"/>
  <c r="BF375" i="1"/>
  <c r="BE375" i="1"/>
  <c r="BD375" i="1"/>
  <c r="BC375" i="1"/>
  <c r="BB375" i="1"/>
  <c r="BA375" i="1"/>
  <c r="AZ375" i="1"/>
  <c r="AY375" i="1"/>
  <c r="AX375" i="1"/>
  <c r="AW375" i="1"/>
  <c r="AV375" i="1"/>
  <c r="AU375" i="1"/>
  <c r="AT375" i="1"/>
  <c r="AS375" i="1"/>
  <c r="AR375" i="1"/>
  <c r="AQ375" i="1"/>
  <c r="AP375" i="1"/>
  <c r="AM375" i="1"/>
  <c r="AL375" i="1"/>
  <c r="AK375" i="1"/>
  <c r="AJ375" i="1"/>
  <c r="AI375" i="1"/>
  <c r="AH375" i="1"/>
  <c r="AH375" i="1" a="1"/>
  <c r="AG375" i="1"/>
  <c r="AF375" i="1"/>
  <c r="BI374" i="1"/>
  <c r="BH374" i="1"/>
  <c r="BG374" i="1"/>
  <c r="BF374" i="1"/>
  <c r="BE374" i="1"/>
  <c r="BD374" i="1"/>
  <c r="BC374" i="1"/>
  <c r="BB374" i="1"/>
  <c r="BA374" i="1"/>
  <c r="AZ374" i="1"/>
  <c r="AY374" i="1"/>
  <c r="AX374" i="1"/>
  <c r="AW374" i="1"/>
  <c r="AV374" i="1"/>
  <c r="AU374" i="1"/>
  <c r="AT374" i="1"/>
  <c r="AS374" i="1"/>
  <c r="AR374" i="1"/>
  <c r="AQ374" i="1"/>
  <c r="AP374" i="1"/>
  <c r="AM374" i="1"/>
  <c r="AL374" i="1"/>
  <c r="AK374" i="1"/>
  <c r="AJ374" i="1"/>
  <c r="AI374" i="1"/>
  <c r="AH374" i="1"/>
  <c r="AH374" i="1" a="1"/>
  <c r="AG374" i="1"/>
  <c r="AF374" i="1"/>
  <c r="BI373" i="1"/>
  <c r="BH373" i="1"/>
  <c r="BG373" i="1"/>
  <c r="BF373" i="1"/>
  <c r="BE373" i="1"/>
  <c r="BD373" i="1"/>
  <c r="BC373" i="1"/>
  <c r="BB373" i="1"/>
  <c r="BA373" i="1"/>
  <c r="AZ373" i="1"/>
  <c r="AY373" i="1"/>
  <c r="AX373" i="1"/>
  <c r="AW373" i="1"/>
  <c r="AV373" i="1"/>
  <c r="AU373" i="1"/>
  <c r="AT373" i="1"/>
  <c r="AS373" i="1"/>
  <c r="AR373" i="1"/>
  <c r="AQ373" i="1"/>
  <c r="AP373" i="1"/>
  <c r="AM373" i="1"/>
  <c r="AL373" i="1"/>
  <c r="AK373" i="1"/>
  <c r="AJ373" i="1"/>
  <c r="AI373" i="1"/>
  <c r="AH373" i="1"/>
  <c r="AH373" i="1" a="1"/>
  <c r="AG373" i="1"/>
  <c r="AF373" i="1"/>
  <c r="BI372" i="1"/>
  <c r="BH372" i="1"/>
  <c r="BG372" i="1"/>
  <c r="BF372" i="1"/>
  <c r="BE372" i="1"/>
  <c r="BD372" i="1"/>
  <c r="BC372" i="1"/>
  <c r="BB372" i="1"/>
  <c r="BA372" i="1"/>
  <c r="AZ372" i="1"/>
  <c r="AY372" i="1"/>
  <c r="AX372" i="1"/>
  <c r="AW372" i="1"/>
  <c r="AV372" i="1"/>
  <c r="AU372" i="1"/>
  <c r="AT372" i="1"/>
  <c r="AS372" i="1"/>
  <c r="AR372" i="1"/>
  <c r="AQ372" i="1"/>
  <c r="AP372" i="1"/>
  <c r="AM372" i="1"/>
  <c r="AL372" i="1"/>
  <c r="AK372" i="1"/>
  <c r="AJ372" i="1"/>
  <c r="AI372" i="1"/>
  <c r="AH372" i="1"/>
  <c r="AH372" i="1" a="1"/>
  <c r="AG372" i="1"/>
  <c r="AF372" i="1"/>
  <c r="BI371" i="1"/>
  <c r="BH371" i="1"/>
  <c r="BG371" i="1"/>
  <c r="BF371" i="1"/>
  <c r="BE371" i="1"/>
  <c r="BD371" i="1"/>
  <c r="BC371" i="1"/>
  <c r="BB371" i="1"/>
  <c r="BA371" i="1"/>
  <c r="AZ371" i="1"/>
  <c r="AY371" i="1"/>
  <c r="AX371" i="1"/>
  <c r="AW371" i="1"/>
  <c r="AV371" i="1"/>
  <c r="AU371" i="1"/>
  <c r="AT371" i="1"/>
  <c r="AS371" i="1"/>
  <c r="AR371" i="1"/>
  <c r="AQ371" i="1"/>
  <c r="AP371" i="1"/>
  <c r="AM371" i="1"/>
  <c r="AL371" i="1"/>
  <c r="AK371" i="1"/>
  <c r="AJ371" i="1"/>
  <c r="AI371" i="1"/>
  <c r="AH371" i="1"/>
  <c r="AH371" i="1" a="1"/>
  <c r="AG371" i="1"/>
  <c r="AF371" i="1"/>
  <c r="BI370" i="1"/>
  <c r="BH370" i="1"/>
  <c r="BG370" i="1"/>
  <c r="BF370" i="1"/>
  <c r="BE370" i="1"/>
  <c r="BD370" i="1"/>
  <c r="BC370" i="1"/>
  <c r="BB370" i="1"/>
  <c r="BA370" i="1"/>
  <c r="AZ370" i="1"/>
  <c r="AY370" i="1"/>
  <c r="AX370" i="1"/>
  <c r="AW370" i="1"/>
  <c r="AV370" i="1"/>
  <c r="AU370" i="1"/>
  <c r="AT370" i="1"/>
  <c r="AS370" i="1"/>
  <c r="AR370" i="1"/>
  <c r="AQ370" i="1"/>
  <c r="AP370" i="1"/>
  <c r="AM370" i="1"/>
  <c r="AL370" i="1"/>
  <c r="AK370" i="1"/>
  <c r="AJ370" i="1"/>
  <c r="AI370" i="1"/>
  <c r="AH370" i="1"/>
  <c r="AH370" i="1" a="1"/>
  <c r="AG370" i="1"/>
  <c r="AF370" i="1"/>
  <c r="BI369" i="1"/>
  <c r="BH369" i="1"/>
  <c r="BG369" i="1"/>
  <c r="BF369" i="1"/>
  <c r="BE369" i="1"/>
  <c r="BD369" i="1"/>
  <c r="BC369" i="1"/>
  <c r="BB369" i="1"/>
  <c r="BA369" i="1"/>
  <c r="AZ369" i="1"/>
  <c r="AY369" i="1"/>
  <c r="AX369" i="1"/>
  <c r="AW369" i="1"/>
  <c r="AV369" i="1"/>
  <c r="AU369" i="1"/>
  <c r="AT369" i="1"/>
  <c r="AS369" i="1"/>
  <c r="AR369" i="1"/>
  <c r="AQ369" i="1"/>
  <c r="AP369" i="1"/>
  <c r="AM369" i="1"/>
  <c r="AL369" i="1"/>
  <c r="AK369" i="1"/>
  <c r="AJ369" i="1"/>
  <c r="AI369" i="1"/>
  <c r="AH369" i="1"/>
  <c r="AH369" i="1" a="1"/>
  <c r="AG369" i="1"/>
  <c r="AF369" i="1"/>
  <c r="BI368" i="1"/>
  <c r="BH368" i="1"/>
  <c r="BG368" i="1"/>
  <c r="BF368" i="1"/>
  <c r="BE368" i="1"/>
  <c r="BD368" i="1"/>
  <c r="BC368" i="1"/>
  <c r="BB368" i="1"/>
  <c r="BA368" i="1"/>
  <c r="AZ368" i="1"/>
  <c r="AY368" i="1"/>
  <c r="AX368" i="1"/>
  <c r="AW368" i="1"/>
  <c r="AV368" i="1"/>
  <c r="AU368" i="1"/>
  <c r="AT368" i="1"/>
  <c r="AS368" i="1"/>
  <c r="AR368" i="1"/>
  <c r="AQ368" i="1"/>
  <c r="AP368" i="1"/>
  <c r="AM368" i="1"/>
  <c r="AL368" i="1"/>
  <c r="AK368" i="1"/>
  <c r="AJ368" i="1"/>
  <c r="AI368" i="1"/>
  <c r="AH368" i="1"/>
  <c r="AH368" i="1" a="1"/>
  <c r="AG368" i="1"/>
  <c r="AF368" i="1"/>
  <c r="BI367" i="1"/>
  <c r="BH367" i="1"/>
  <c r="BG367" i="1"/>
  <c r="BF367" i="1"/>
  <c r="BE367" i="1"/>
  <c r="BD367" i="1"/>
  <c r="BC367" i="1"/>
  <c r="BB367" i="1"/>
  <c r="BA367" i="1"/>
  <c r="AZ367" i="1"/>
  <c r="AY367" i="1"/>
  <c r="AX367" i="1"/>
  <c r="AW367" i="1"/>
  <c r="AV367" i="1"/>
  <c r="AU367" i="1"/>
  <c r="AT367" i="1"/>
  <c r="AS367" i="1"/>
  <c r="AR367" i="1"/>
  <c r="AQ367" i="1"/>
  <c r="AP367" i="1"/>
  <c r="AM367" i="1"/>
  <c r="AL367" i="1"/>
  <c r="AK367" i="1"/>
  <c r="AJ367" i="1"/>
  <c r="AI367" i="1"/>
  <c r="AH367" i="1"/>
  <c r="AH367" i="1" a="1"/>
  <c r="AG367" i="1"/>
  <c r="AF367" i="1"/>
  <c r="BI366" i="1"/>
  <c r="BH366" i="1"/>
  <c r="BG366" i="1"/>
  <c r="BF366" i="1"/>
  <c r="BE366" i="1"/>
  <c r="BD366" i="1"/>
  <c r="BC366" i="1"/>
  <c r="BB366" i="1"/>
  <c r="BA366" i="1"/>
  <c r="AZ366" i="1"/>
  <c r="AY366" i="1"/>
  <c r="AX366" i="1"/>
  <c r="AW366" i="1"/>
  <c r="AV366" i="1"/>
  <c r="AU366" i="1"/>
  <c r="AT366" i="1"/>
  <c r="AS366" i="1"/>
  <c r="AR366" i="1"/>
  <c r="AQ366" i="1"/>
  <c r="AP366" i="1"/>
  <c r="AM366" i="1"/>
  <c r="AL366" i="1"/>
  <c r="AK366" i="1"/>
  <c r="AJ366" i="1"/>
  <c r="AI366" i="1"/>
  <c r="AH366" i="1"/>
  <c r="AH366" i="1" a="1"/>
  <c r="AG366" i="1"/>
  <c r="AF366" i="1"/>
  <c r="BI365" i="1"/>
  <c r="BH365" i="1"/>
  <c r="BG365" i="1"/>
  <c r="BF365" i="1"/>
  <c r="BE365" i="1"/>
  <c r="BD365" i="1"/>
  <c r="BC365" i="1"/>
  <c r="BB365" i="1"/>
  <c r="BA365" i="1"/>
  <c r="AZ365" i="1"/>
  <c r="AY365" i="1"/>
  <c r="AX365" i="1"/>
  <c r="AW365" i="1"/>
  <c r="AV365" i="1"/>
  <c r="AU365" i="1"/>
  <c r="AT365" i="1"/>
  <c r="AS365" i="1"/>
  <c r="AR365" i="1"/>
  <c r="AQ365" i="1"/>
  <c r="AP365" i="1"/>
  <c r="AM365" i="1"/>
  <c r="AL365" i="1"/>
  <c r="AK365" i="1"/>
  <c r="AJ365" i="1"/>
  <c r="AI365" i="1"/>
  <c r="AH365" i="1"/>
  <c r="AH365" i="1" a="1"/>
  <c r="AG365" i="1"/>
  <c r="AF365" i="1"/>
  <c r="BI364" i="1"/>
  <c r="BH364" i="1"/>
  <c r="BG364" i="1"/>
  <c r="BF364" i="1"/>
  <c r="BE364" i="1"/>
  <c r="BD364" i="1"/>
  <c r="BC364" i="1"/>
  <c r="BB364" i="1"/>
  <c r="BA364" i="1"/>
  <c r="AZ364" i="1"/>
  <c r="AY364" i="1"/>
  <c r="AX364" i="1"/>
  <c r="AW364" i="1"/>
  <c r="AV364" i="1"/>
  <c r="AU364" i="1"/>
  <c r="AT364" i="1"/>
  <c r="AS364" i="1"/>
  <c r="AR364" i="1"/>
  <c r="AQ364" i="1"/>
  <c r="AP364" i="1"/>
  <c r="AM364" i="1"/>
  <c r="AL364" i="1"/>
  <c r="AK364" i="1"/>
  <c r="AJ364" i="1"/>
  <c r="AI364" i="1"/>
  <c r="AH364" i="1"/>
  <c r="AH364" i="1" a="1"/>
  <c r="AG364" i="1"/>
  <c r="AF364" i="1"/>
  <c r="BI363" i="1"/>
  <c r="BH363" i="1"/>
  <c r="BG363" i="1"/>
  <c r="BF363" i="1"/>
  <c r="BE363" i="1"/>
  <c r="BD363" i="1"/>
  <c r="BC363" i="1"/>
  <c r="BB363" i="1"/>
  <c r="BA363" i="1"/>
  <c r="AZ363" i="1"/>
  <c r="AY363" i="1"/>
  <c r="AX363" i="1"/>
  <c r="AW363" i="1"/>
  <c r="AV363" i="1"/>
  <c r="AU363" i="1"/>
  <c r="AT363" i="1"/>
  <c r="AS363" i="1"/>
  <c r="AR363" i="1"/>
  <c r="AQ363" i="1"/>
  <c r="AP363" i="1"/>
  <c r="AM363" i="1"/>
  <c r="AL363" i="1"/>
  <c r="AK363" i="1"/>
  <c r="AJ363" i="1"/>
  <c r="AI363" i="1"/>
  <c r="AH363" i="1"/>
  <c r="AH363" i="1" a="1"/>
  <c r="AG363" i="1"/>
  <c r="AF363" i="1"/>
  <c r="BI362" i="1"/>
  <c r="BH362" i="1"/>
  <c r="BG362" i="1"/>
  <c r="BF362" i="1"/>
  <c r="BE362" i="1"/>
  <c r="BD362" i="1"/>
  <c r="BC362" i="1"/>
  <c r="BB362" i="1"/>
  <c r="BA362" i="1"/>
  <c r="AZ362" i="1"/>
  <c r="AY362" i="1"/>
  <c r="AX362" i="1"/>
  <c r="AW362" i="1"/>
  <c r="AV362" i="1"/>
  <c r="AU362" i="1"/>
  <c r="AT362" i="1"/>
  <c r="AS362" i="1"/>
  <c r="AR362" i="1"/>
  <c r="AQ362" i="1"/>
  <c r="AP362" i="1"/>
  <c r="AM362" i="1"/>
  <c r="AL362" i="1"/>
  <c r="AK362" i="1"/>
  <c r="AJ362" i="1"/>
  <c r="AI362" i="1"/>
  <c r="AH362" i="1"/>
  <c r="AH362" i="1" a="1"/>
  <c r="AG362" i="1"/>
  <c r="AF362" i="1"/>
  <c r="BI361" i="1"/>
  <c r="BH361" i="1"/>
  <c r="BG361" i="1"/>
  <c r="BF361" i="1"/>
  <c r="BE361" i="1"/>
  <c r="BD361" i="1"/>
  <c r="BC361" i="1"/>
  <c r="BB361" i="1"/>
  <c r="BA361" i="1"/>
  <c r="AZ361" i="1"/>
  <c r="AY361" i="1"/>
  <c r="AX361" i="1"/>
  <c r="AW361" i="1"/>
  <c r="AV361" i="1"/>
  <c r="AU361" i="1"/>
  <c r="AT361" i="1"/>
  <c r="AS361" i="1"/>
  <c r="AR361" i="1"/>
  <c r="AQ361" i="1"/>
  <c r="AP361" i="1"/>
  <c r="AM361" i="1"/>
  <c r="AL361" i="1"/>
  <c r="AK361" i="1"/>
  <c r="AJ361" i="1"/>
  <c r="AI361" i="1"/>
  <c r="AH361" i="1"/>
  <c r="AH361" i="1" a="1"/>
  <c r="AG361" i="1"/>
  <c r="AF361" i="1"/>
  <c r="BI360" i="1"/>
  <c r="BH360" i="1"/>
  <c r="BG360" i="1"/>
  <c r="BF360" i="1"/>
  <c r="BE360" i="1"/>
  <c r="BD360" i="1"/>
  <c r="BC360" i="1"/>
  <c r="BB360" i="1"/>
  <c r="BA360" i="1"/>
  <c r="AZ360" i="1"/>
  <c r="AY360" i="1"/>
  <c r="AX360" i="1"/>
  <c r="AW360" i="1"/>
  <c r="AV360" i="1"/>
  <c r="AU360" i="1"/>
  <c r="AT360" i="1"/>
  <c r="AS360" i="1"/>
  <c r="AR360" i="1"/>
  <c r="AQ360" i="1"/>
  <c r="AP360" i="1"/>
  <c r="AM360" i="1"/>
  <c r="AL360" i="1"/>
  <c r="AK360" i="1"/>
  <c r="AJ360" i="1"/>
  <c r="AI360" i="1"/>
  <c r="AH360" i="1"/>
  <c r="AH360" i="1" a="1"/>
  <c r="AG360" i="1"/>
  <c r="AF360" i="1"/>
  <c r="BI359" i="1"/>
  <c r="BH359" i="1"/>
  <c r="BG359" i="1"/>
  <c r="BF359" i="1"/>
  <c r="BE359" i="1"/>
  <c r="BD359" i="1"/>
  <c r="BC359" i="1"/>
  <c r="BB359" i="1"/>
  <c r="BA359" i="1"/>
  <c r="AZ359" i="1"/>
  <c r="AY359" i="1"/>
  <c r="AX359" i="1"/>
  <c r="AW359" i="1"/>
  <c r="AV359" i="1"/>
  <c r="AU359" i="1"/>
  <c r="AT359" i="1"/>
  <c r="AS359" i="1"/>
  <c r="AR359" i="1"/>
  <c r="AQ359" i="1"/>
  <c r="AP359" i="1"/>
  <c r="AM359" i="1"/>
  <c r="AL359" i="1"/>
  <c r="AK359" i="1"/>
  <c r="AJ359" i="1"/>
  <c r="AI359" i="1"/>
  <c r="AH359" i="1"/>
  <c r="AH359" i="1" a="1"/>
  <c r="AG359" i="1"/>
  <c r="AF359" i="1"/>
  <c r="BI358" i="1"/>
  <c r="BH358" i="1"/>
  <c r="BG358" i="1"/>
  <c r="BF358" i="1"/>
  <c r="BE358" i="1"/>
  <c r="BD358" i="1"/>
  <c r="BC358" i="1"/>
  <c r="BB358" i="1"/>
  <c r="BA358" i="1"/>
  <c r="AZ358" i="1"/>
  <c r="AY358" i="1"/>
  <c r="AX358" i="1"/>
  <c r="AW358" i="1"/>
  <c r="AV358" i="1"/>
  <c r="AU358" i="1"/>
  <c r="AT358" i="1"/>
  <c r="AS358" i="1"/>
  <c r="AR358" i="1"/>
  <c r="AQ358" i="1"/>
  <c r="AP358" i="1"/>
  <c r="AM358" i="1"/>
  <c r="AL358" i="1"/>
  <c r="AK358" i="1"/>
  <c r="AJ358" i="1"/>
  <c r="AI358" i="1"/>
  <c r="AH358" i="1"/>
  <c r="AH358" i="1" a="1"/>
  <c r="AG358" i="1"/>
  <c r="AF358" i="1"/>
  <c r="BI357" i="1"/>
  <c r="BH357" i="1"/>
  <c r="BG357" i="1"/>
  <c r="BF357" i="1"/>
  <c r="BE357" i="1"/>
  <c r="BD357" i="1"/>
  <c r="BC357" i="1"/>
  <c r="BB357" i="1"/>
  <c r="BA357" i="1"/>
  <c r="AZ357" i="1"/>
  <c r="AY357" i="1"/>
  <c r="AX357" i="1"/>
  <c r="AW357" i="1"/>
  <c r="AV357" i="1"/>
  <c r="AU357" i="1"/>
  <c r="AT357" i="1"/>
  <c r="AS357" i="1"/>
  <c r="AR357" i="1"/>
  <c r="AQ357" i="1"/>
  <c r="AP357" i="1"/>
  <c r="AM357" i="1"/>
  <c r="AL357" i="1"/>
  <c r="AK357" i="1"/>
  <c r="AJ357" i="1"/>
  <c r="AI357" i="1"/>
  <c r="AH357" i="1"/>
  <c r="AH357" i="1" a="1"/>
  <c r="AG357" i="1"/>
  <c r="AF357" i="1"/>
  <c r="BI356" i="1"/>
  <c r="BH356" i="1"/>
  <c r="BG356" i="1"/>
  <c r="BF356" i="1"/>
  <c r="BE356" i="1"/>
  <c r="BD356" i="1"/>
  <c r="BC356" i="1"/>
  <c r="BB356" i="1"/>
  <c r="BA356" i="1"/>
  <c r="AZ356" i="1"/>
  <c r="AY356" i="1"/>
  <c r="AX356" i="1"/>
  <c r="AW356" i="1"/>
  <c r="AV356" i="1"/>
  <c r="AU356" i="1"/>
  <c r="AT356" i="1"/>
  <c r="AS356" i="1"/>
  <c r="AR356" i="1"/>
  <c r="AQ356" i="1"/>
  <c r="AP356" i="1"/>
  <c r="AM356" i="1"/>
  <c r="AL356" i="1"/>
  <c r="AK356" i="1"/>
  <c r="AJ356" i="1"/>
  <c r="AI356" i="1"/>
  <c r="AH356" i="1"/>
  <c r="AH356" i="1" a="1"/>
  <c r="AG356" i="1"/>
  <c r="AF356" i="1"/>
  <c r="BI355" i="1"/>
  <c r="BH355" i="1"/>
  <c r="BG355" i="1"/>
  <c r="BF355" i="1"/>
  <c r="BE355" i="1"/>
  <c r="BD355" i="1"/>
  <c r="BC355" i="1"/>
  <c r="BB355" i="1"/>
  <c r="BA355" i="1"/>
  <c r="AZ355" i="1"/>
  <c r="AY355" i="1"/>
  <c r="AX355" i="1"/>
  <c r="AW355" i="1"/>
  <c r="AV355" i="1"/>
  <c r="AU355" i="1"/>
  <c r="AT355" i="1"/>
  <c r="AS355" i="1"/>
  <c r="AR355" i="1"/>
  <c r="AQ355" i="1"/>
  <c r="AP355" i="1"/>
  <c r="AM355" i="1"/>
  <c r="AL355" i="1"/>
  <c r="AK355" i="1"/>
  <c r="AJ355" i="1"/>
  <c r="AI355" i="1"/>
  <c r="AH355" i="1"/>
  <c r="AH355" i="1" a="1"/>
  <c r="AG355" i="1"/>
  <c r="AF355" i="1"/>
  <c r="BI354" i="1"/>
  <c r="BH354" i="1"/>
  <c r="BG354" i="1"/>
  <c r="BF354" i="1"/>
  <c r="BE354" i="1"/>
  <c r="BD354" i="1"/>
  <c r="BC354" i="1"/>
  <c r="BB354" i="1"/>
  <c r="BA354" i="1"/>
  <c r="AZ354" i="1"/>
  <c r="AY354" i="1"/>
  <c r="AX354" i="1"/>
  <c r="AW354" i="1"/>
  <c r="AV354" i="1"/>
  <c r="AU354" i="1"/>
  <c r="AT354" i="1"/>
  <c r="AS354" i="1"/>
  <c r="AR354" i="1"/>
  <c r="AQ354" i="1"/>
  <c r="AP354" i="1"/>
  <c r="AM354" i="1"/>
  <c r="AL354" i="1"/>
  <c r="AK354" i="1"/>
  <c r="AJ354" i="1"/>
  <c r="AI354" i="1"/>
  <c r="AH354" i="1"/>
  <c r="AH354" i="1" a="1"/>
  <c r="AG354" i="1"/>
  <c r="AF354" i="1"/>
  <c r="BI353" i="1"/>
  <c r="BH353" i="1"/>
  <c r="BG353" i="1"/>
  <c r="BF353" i="1"/>
  <c r="BE353" i="1"/>
  <c r="BD353" i="1"/>
  <c r="BC353" i="1"/>
  <c r="BB353" i="1"/>
  <c r="BA353" i="1"/>
  <c r="AZ353" i="1"/>
  <c r="AY353" i="1"/>
  <c r="AX353" i="1"/>
  <c r="AW353" i="1"/>
  <c r="AV353" i="1"/>
  <c r="AU353" i="1"/>
  <c r="AT353" i="1"/>
  <c r="AS353" i="1"/>
  <c r="AR353" i="1"/>
  <c r="AQ353" i="1"/>
  <c r="AP353" i="1"/>
  <c r="AM353" i="1"/>
  <c r="AL353" i="1"/>
  <c r="AK353" i="1"/>
  <c r="AJ353" i="1"/>
  <c r="AI353" i="1"/>
  <c r="AH353" i="1"/>
  <c r="AH353" i="1" a="1"/>
  <c r="AG353" i="1"/>
  <c r="AF353" i="1"/>
  <c r="BI352" i="1"/>
  <c r="BH352" i="1"/>
  <c r="BG352" i="1"/>
  <c r="BF352" i="1"/>
  <c r="BE352" i="1"/>
  <c r="BD352" i="1"/>
  <c r="BC352" i="1"/>
  <c r="BB352" i="1"/>
  <c r="BA352" i="1"/>
  <c r="AZ352" i="1"/>
  <c r="AY352" i="1"/>
  <c r="AX352" i="1"/>
  <c r="AW352" i="1"/>
  <c r="AV352" i="1"/>
  <c r="AU352" i="1"/>
  <c r="AT352" i="1"/>
  <c r="AS352" i="1"/>
  <c r="AR352" i="1"/>
  <c r="AQ352" i="1"/>
  <c r="AP352" i="1"/>
  <c r="AM352" i="1"/>
  <c r="AL352" i="1"/>
  <c r="AK352" i="1"/>
  <c r="AJ352" i="1"/>
  <c r="AI352" i="1"/>
  <c r="AH352" i="1"/>
  <c r="AH352" i="1" a="1"/>
  <c r="AG352" i="1"/>
  <c r="AF352" i="1"/>
  <c r="BI351" i="1"/>
  <c r="BH351" i="1"/>
  <c r="BG351" i="1"/>
  <c r="BF351" i="1"/>
  <c r="BE351" i="1"/>
  <c r="BD351" i="1"/>
  <c r="BC351" i="1"/>
  <c r="BB351" i="1"/>
  <c r="BA351" i="1"/>
  <c r="AZ351" i="1"/>
  <c r="AY351" i="1"/>
  <c r="AX351" i="1"/>
  <c r="AW351" i="1"/>
  <c r="AV351" i="1"/>
  <c r="AU351" i="1"/>
  <c r="AT351" i="1"/>
  <c r="AS351" i="1"/>
  <c r="AR351" i="1"/>
  <c r="AQ351" i="1"/>
  <c r="AP351" i="1"/>
  <c r="AM351" i="1"/>
  <c r="AL351" i="1"/>
  <c r="AK351" i="1"/>
  <c r="AJ351" i="1"/>
  <c r="AI351" i="1"/>
  <c r="AH351" i="1"/>
  <c r="AH351" i="1" a="1"/>
  <c r="AG351" i="1"/>
  <c r="AF351" i="1"/>
  <c r="BI350" i="1"/>
  <c r="BH350" i="1"/>
  <c r="BG350" i="1"/>
  <c r="BF350" i="1"/>
  <c r="BE350" i="1"/>
  <c r="BD350" i="1"/>
  <c r="BC350" i="1"/>
  <c r="BB350" i="1"/>
  <c r="BA350" i="1"/>
  <c r="AZ350" i="1"/>
  <c r="AY350" i="1"/>
  <c r="AX350" i="1"/>
  <c r="AW350" i="1"/>
  <c r="AV350" i="1"/>
  <c r="AU350" i="1"/>
  <c r="AT350" i="1"/>
  <c r="AS350" i="1"/>
  <c r="AR350" i="1"/>
  <c r="AQ350" i="1"/>
  <c r="AP350" i="1"/>
  <c r="AM350" i="1"/>
  <c r="AL350" i="1"/>
  <c r="AK350" i="1"/>
  <c r="AJ350" i="1"/>
  <c r="AI350" i="1"/>
  <c r="AH350" i="1"/>
  <c r="AH350" i="1" a="1"/>
  <c r="AG350" i="1"/>
  <c r="AF350" i="1"/>
  <c r="BI349" i="1"/>
  <c r="BH349" i="1"/>
  <c r="BG349" i="1"/>
  <c r="BF349" i="1"/>
  <c r="BE349" i="1"/>
  <c r="BD349" i="1"/>
  <c r="BC349" i="1"/>
  <c r="BB349" i="1"/>
  <c r="BA349" i="1"/>
  <c r="AZ349" i="1"/>
  <c r="AY349" i="1"/>
  <c r="AX349" i="1"/>
  <c r="AW349" i="1"/>
  <c r="AV349" i="1"/>
  <c r="AU349" i="1"/>
  <c r="AT349" i="1"/>
  <c r="AS349" i="1"/>
  <c r="AR349" i="1"/>
  <c r="AQ349" i="1"/>
  <c r="AP349" i="1"/>
  <c r="AM349" i="1"/>
  <c r="AL349" i="1"/>
  <c r="AK349" i="1"/>
  <c r="AJ349" i="1"/>
  <c r="AI349" i="1"/>
  <c r="AH349" i="1"/>
  <c r="AH349" i="1" a="1"/>
  <c r="AG349" i="1"/>
  <c r="AF349" i="1"/>
  <c r="BI348" i="1"/>
  <c r="BH348" i="1"/>
  <c r="BG348" i="1"/>
  <c r="BF348" i="1"/>
  <c r="BE348" i="1"/>
  <c r="BD348" i="1"/>
  <c r="BC348" i="1"/>
  <c r="BB348" i="1"/>
  <c r="BA348" i="1"/>
  <c r="AZ348" i="1"/>
  <c r="AY348" i="1"/>
  <c r="AX348" i="1"/>
  <c r="AW348" i="1"/>
  <c r="AV348" i="1"/>
  <c r="AU348" i="1"/>
  <c r="AT348" i="1"/>
  <c r="AS348" i="1"/>
  <c r="AR348" i="1"/>
  <c r="AQ348" i="1"/>
  <c r="AP348" i="1"/>
  <c r="AM348" i="1"/>
  <c r="AL348" i="1"/>
  <c r="AK348" i="1"/>
  <c r="AJ348" i="1"/>
  <c r="AI348" i="1"/>
  <c r="AH348" i="1"/>
  <c r="AH348" i="1" a="1"/>
  <c r="AG348" i="1"/>
  <c r="AF348" i="1"/>
  <c r="BI347" i="1"/>
  <c r="BH347" i="1"/>
  <c r="BG347" i="1"/>
  <c r="BF347" i="1"/>
  <c r="BE347" i="1"/>
  <c r="BD347" i="1"/>
  <c r="BC347" i="1"/>
  <c r="BB347" i="1"/>
  <c r="BA347" i="1"/>
  <c r="AZ347" i="1"/>
  <c r="AY347" i="1"/>
  <c r="AX347" i="1"/>
  <c r="AW347" i="1"/>
  <c r="AV347" i="1"/>
  <c r="AU347" i="1"/>
  <c r="AT347" i="1"/>
  <c r="AS347" i="1"/>
  <c r="AR347" i="1"/>
  <c r="AQ347" i="1"/>
  <c r="AP347" i="1"/>
  <c r="AM347" i="1"/>
  <c r="AL347" i="1"/>
  <c r="AK347" i="1"/>
  <c r="AJ347" i="1"/>
  <c r="AI347" i="1"/>
  <c r="AH347" i="1"/>
  <c r="AH347" i="1" a="1"/>
  <c r="AG347" i="1"/>
  <c r="AF347" i="1"/>
  <c r="BI346" i="1"/>
  <c r="BH346" i="1"/>
  <c r="BG346" i="1"/>
  <c r="BF346" i="1"/>
  <c r="BE346" i="1"/>
  <c r="BD346" i="1"/>
  <c r="BC346" i="1"/>
  <c r="BB346" i="1"/>
  <c r="BA346" i="1"/>
  <c r="AZ346" i="1"/>
  <c r="AY346" i="1"/>
  <c r="AX346" i="1"/>
  <c r="AW346" i="1"/>
  <c r="AV346" i="1"/>
  <c r="AU346" i="1"/>
  <c r="AT346" i="1"/>
  <c r="AS346" i="1"/>
  <c r="AR346" i="1"/>
  <c r="AQ346" i="1"/>
  <c r="AP346" i="1"/>
  <c r="AM346" i="1"/>
  <c r="AL346" i="1"/>
  <c r="AK346" i="1"/>
  <c r="AJ346" i="1"/>
  <c r="AI346" i="1"/>
  <c r="AH346" i="1"/>
  <c r="AH346" i="1" a="1"/>
  <c r="AG346" i="1"/>
  <c r="AF346" i="1"/>
  <c r="BI345" i="1"/>
  <c r="BH345" i="1"/>
  <c r="BG345" i="1"/>
  <c r="BF345" i="1"/>
  <c r="BE345" i="1"/>
  <c r="BD345" i="1"/>
  <c r="BC345" i="1"/>
  <c r="BB345" i="1"/>
  <c r="BA345" i="1"/>
  <c r="AZ345" i="1"/>
  <c r="AY345" i="1"/>
  <c r="AX345" i="1"/>
  <c r="AW345" i="1"/>
  <c r="AV345" i="1"/>
  <c r="AU345" i="1"/>
  <c r="AT345" i="1"/>
  <c r="AS345" i="1"/>
  <c r="AR345" i="1"/>
  <c r="AQ345" i="1"/>
  <c r="AP345" i="1"/>
  <c r="AM345" i="1"/>
  <c r="AL345" i="1"/>
  <c r="AK345" i="1"/>
  <c r="AJ345" i="1"/>
  <c r="AI345" i="1"/>
  <c r="AH345" i="1"/>
  <c r="AH345" i="1" a="1"/>
  <c r="AG345" i="1"/>
  <c r="AF345" i="1"/>
  <c r="BI344" i="1"/>
  <c r="BH344" i="1"/>
  <c r="BG344" i="1"/>
  <c r="BF344" i="1"/>
  <c r="BE344" i="1"/>
  <c r="BD344" i="1"/>
  <c r="BC344" i="1"/>
  <c r="BB344" i="1"/>
  <c r="BA344" i="1"/>
  <c r="AZ344" i="1"/>
  <c r="AY344" i="1"/>
  <c r="AX344" i="1"/>
  <c r="AW344" i="1"/>
  <c r="AV344" i="1"/>
  <c r="AU344" i="1"/>
  <c r="AT344" i="1"/>
  <c r="AS344" i="1"/>
  <c r="AR344" i="1"/>
  <c r="AQ344" i="1"/>
  <c r="AP344" i="1"/>
  <c r="AM344" i="1"/>
  <c r="AL344" i="1"/>
  <c r="AK344" i="1"/>
  <c r="AJ344" i="1"/>
  <c r="AI344" i="1"/>
  <c r="AH344" i="1"/>
  <c r="AH344" i="1" a="1"/>
  <c r="AG344" i="1"/>
  <c r="AF344" i="1"/>
  <c r="BI343" i="1"/>
  <c r="BH343" i="1"/>
  <c r="BG343" i="1"/>
  <c r="BF343" i="1"/>
  <c r="BE343" i="1"/>
  <c r="BD343" i="1"/>
  <c r="BC343" i="1"/>
  <c r="BB343" i="1"/>
  <c r="BA343" i="1"/>
  <c r="AZ343" i="1"/>
  <c r="AY343" i="1"/>
  <c r="AX343" i="1"/>
  <c r="AW343" i="1"/>
  <c r="AV343" i="1"/>
  <c r="AU343" i="1"/>
  <c r="AT343" i="1"/>
  <c r="AS343" i="1"/>
  <c r="AR343" i="1"/>
  <c r="AQ343" i="1"/>
  <c r="AP343" i="1"/>
  <c r="AM343" i="1"/>
  <c r="AL343" i="1"/>
  <c r="AK343" i="1"/>
  <c r="AJ343" i="1"/>
  <c r="AI343" i="1"/>
  <c r="AH343" i="1"/>
  <c r="AH343" i="1" a="1"/>
  <c r="AG343" i="1"/>
  <c r="AF343" i="1"/>
  <c r="BI342" i="1"/>
  <c r="BH342" i="1"/>
  <c r="BG342" i="1"/>
  <c r="BF342" i="1"/>
  <c r="BE342" i="1"/>
  <c r="BD342" i="1"/>
  <c r="BC342" i="1"/>
  <c r="BB342" i="1"/>
  <c r="BA342" i="1"/>
  <c r="AZ342" i="1"/>
  <c r="AY342" i="1"/>
  <c r="AX342" i="1"/>
  <c r="AW342" i="1"/>
  <c r="AV342" i="1"/>
  <c r="AU342" i="1"/>
  <c r="AT342" i="1"/>
  <c r="AS342" i="1"/>
  <c r="AR342" i="1"/>
  <c r="AQ342" i="1"/>
  <c r="AP342" i="1"/>
  <c r="AM342" i="1"/>
  <c r="AL342" i="1"/>
  <c r="AK342" i="1"/>
  <c r="AJ342" i="1"/>
  <c r="AI342" i="1"/>
  <c r="AH342" i="1"/>
  <c r="AH342" i="1" a="1"/>
  <c r="AG342" i="1"/>
  <c r="AF342" i="1"/>
  <c r="BI341" i="1"/>
  <c r="BH341" i="1"/>
  <c r="BG341" i="1"/>
  <c r="BF341" i="1"/>
  <c r="BE341" i="1"/>
  <c r="BD341" i="1"/>
  <c r="BC341" i="1"/>
  <c r="BB341" i="1"/>
  <c r="BA341" i="1"/>
  <c r="AZ341" i="1"/>
  <c r="AY341" i="1"/>
  <c r="AX341" i="1"/>
  <c r="AW341" i="1"/>
  <c r="AV341" i="1"/>
  <c r="AU341" i="1"/>
  <c r="AT341" i="1"/>
  <c r="AS341" i="1"/>
  <c r="AR341" i="1"/>
  <c r="AQ341" i="1"/>
  <c r="AP341" i="1"/>
  <c r="AM341" i="1"/>
  <c r="AL341" i="1"/>
  <c r="AK341" i="1"/>
  <c r="AJ341" i="1"/>
  <c r="AI341" i="1"/>
  <c r="AH341" i="1"/>
  <c r="AH341" i="1" a="1"/>
  <c r="AG341" i="1"/>
  <c r="AF341" i="1"/>
  <c r="BI340" i="1"/>
  <c r="BH340" i="1"/>
  <c r="BG340" i="1"/>
  <c r="BF340" i="1"/>
  <c r="BE340" i="1"/>
  <c r="BD340" i="1"/>
  <c r="BC340" i="1"/>
  <c r="BB340" i="1"/>
  <c r="BA340" i="1"/>
  <c r="AZ340" i="1"/>
  <c r="AY340" i="1"/>
  <c r="AX340" i="1"/>
  <c r="AW340" i="1"/>
  <c r="AV340" i="1"/>
  <c r="AU340" i="1"/>
  <c r="AT340" i="1"/>
  <c r="AS340" i="1"/>
  <c r="AR340" i="1"/>
  <c r="AQ340" i="1"/>
  <c r="AP340" i="1"/>
  <c r="AM340" i="1"/>
  <c r="AL340" i="1"/>
  <c r="AK340" i="1"/>
  <c r="AJ340" i="1"/>
  <c r="AI340" i="1"/>
  <c r="AH340" i="1"/>
  <c r="AH340" i="1" a="1"/>
  <c r="AG340" i="1"/>
  <c r="AF340" i="1"/>
  <c r="BI339" i="1"/>
  <c r="BH339" i="1"/>
  <c r="BG339" i="1"/>
  <c r="BF339" i="1"/>
  <c r="BE339" i="1"/>
  <c r="BD339" i="1"/>
  <c r="BC339" i="1"/>
  <c r="BB339" i="1"/>
  <c r="BA339" i="1"/>
  <c r="AZ339" i="1"/>
  <c r="AY339" i="1"/>
  <c r="AX339" i="1"/>
  <c r="AW339" i="1"/>
  <c r="AV339" i="1"/>
  <c r="AU339" i="1"/>
  <c r="AT339" i="1"/>
  <c r="AS339" i="1"/>
  <c r="AR339" i="1"/>
  <c r="AQ339" i="1"/>
  <c r="AP339" i="1"/>
  <c r="AM339" i="1"/>
  <c r="AL339" i="1"/>
  <c r="AK339" i="1"/>
  <c r="AJ339" i="1"/>
  <c r="AI339" i="1"/>
  <c r="AH339" i="1"/>
  <c r="AH339" i="1" a="1"/>
  <c r="AG339" i="1"/>
  <c r="AF339" i="1"/>
  <c r="BI338" i="1"/>
  <c r="BH338" i="1"/>
  <c r="BG338" i="1"/>
  <c r="BF338" i="1"/>
  <c r="BE338" i="1"/>
  <c r="BD338" i="1"/>
  <c r="BC338" i="1"/>
  <c r="BB338" i="1"/>
  <c r="BA338" i="1"/>
  <c r="AZ338" i="1"/>
  <c r="AY338" i="1"/>
  <c r="AX338" i="1"/>
  <c r="AW338" i="1"/>
  <c r="AV338" i="1"/>
  <c r="AU338" i="1"/>
  <c r="AT338" i="1"/>
  <c r="AS338" i="1"/>
  <c r="AR338" i="1"/>
  <c r="AQ338" i="1"/>
  <c r="AP338" i="1"/>
  <c r="AM338" i="1"/>
  <c r="AL338" i="1"/>
  <c r="AK338" i="1"/>
  <c r="AJ338" i="1"/>
  <c r="AI338" i="1"/>
  <c r="AH338" i="1"/>
  <c r="AH338" i="1" a="1"/>
  <c r="AG338" i="1"/>
  <c r="AF338" i="1"/>
  <c r="BI337" i="1"/>
  <c r="BH337" i="1"/>
  <c r="BG337" i="1"/>
  <c r="BF337" i="1"/>
  <c r="BE337" i="1"/>
  <c r="BD337" i="1"/>
  <c r="BC337" i="1"/>
  <c r="BB337" i="1"/>
  <c r="BA337" i="1"/>
  <c r="AZ337" i="1"/>
  <c r="AY337" i="1"/>
  <c r="AX337" i="1"/>
  <c r="AW337" i="1"/>
  <c r="AV337" i="1"/>
  <c r="AU337" i="1"/>
  <c r="AT337" i="1"/>
  <c r="AS337" i="1"/>
  <c r="AR337" i="1"/>
  <c r="AQ337" i="1"/>
  <c r="AP337" i="1"/>
  <c r="AM337" i="1"/>
  <c r="AL337" i="1"/>
  <c r="AK337" i="1"/>
  <c r="AJ337" i="1"/>
  <c r="AI337" i="1"/>
  <c r="AH337" i="1"/>
  <c r="AH337" i="1" a="1"/>
  <c r="AG337" i="1"/>
  <c r="AF337" i="1"/>
  <c r="BI336" i="1"/>
  <c r="BH336" i="1"/>
  <c r="BG336" i="1"/>
  <c r="BF336" i="1"/>
  <c r="BE336" i="1"/>
  <c r="BD336" i="1"/>
  <c r="BC336" i="1"/>
  <c r="BB336" i="1"/>
  <c r="BA336" i="1"/>
  <c r="AZ336" i="1"/>
  <c r="AY336" i="1"/>
  <c r="AX336" i="1"/>
  <c r="AW336" i="1"/>
  <c r="AV336" i="1"/>
  <c r="AU336" i="1"/>
  <c r="AT336" i="1"/>
  <c r="AS336" i="1"/>
  <c r="AR336" i="1"/>
  <c r="AQ336" i="1"/>
  <c r="AP336" i="1"/>
  <c r="AM336" i="1"/>
  <c r="AL336" i="1"/>
  <c r="AK336" i="1"/>
  <c r="AJ336" i="1"/>
  <c r="AI336" i="1"/>
  <c r="AH336" i="1"/>
  <c r="AH336" i="1" a="1"/>
  <c r="AG336" i="1"/>
  <c r="AF336" i="1"/>
  <c r="BI335" i="1"/>
  <c r="BH335" i="1"/>
  <c r="BG335" i="1"/>
  <c r="BF335" i="1"/>
  <c r="BE335" i="1"/>
  <c r="BD335" i="1"/>
  <c r="BC335" i="1"/>
  <c r="BB335" i="1"/>
  <c r="BA335" i="1"/>
  <c r="AZ335" i="1"/>
  <c r="AY335" i="1"/>
  <c r="AX335" i="1"/>
  <c r="AW335" i="1"/>
  <c r="AV335" i="1"/>
  <c r="AU335" i="1"/>
  <c r="AT335" i="1"/>
  <c r="AS335" i="1"/>
  <c r="AR335" i="1"/>
  <c r="AQ335" i="1"/>
  <c r="AP335" i="1"/>
  <c r="AM335" i="1"/>
  <c r="AL335" i="1"/>
  <c r="AK335" i="1"/>
  <c r="AJ335" i="1"/>
  <c r="AI335" i="1"/>
  <c r="AH335" i="1"/>
  <c r="AH335" i="1" a="1"/>
  <c r="AG335" i="1"/>
  <c r="AF335" i="1"/>
  <c r="BI334" i="1"/>
  <c r="BH334" i="1"/>
  <c r="BG334" i="1"/>
  <c r="BF334" i="1"/>
  <c r="BE334" i="1"/>
  <c r="BD334" i="1"/>
  <c r="BC334" i="1"/>
  <c r="BB334" i="1"/>
  <c r="BA334" i="1"/>
  <c r="AZ334" i="1"/>
  <c r="AY334" i="1"/>
  <c r="AX334" i="1"/>
  <c r="AW334" i="1"/>
  <c r="AV334" i="1"/>
  <c r="AU334" i="1"/>
  <c r="AT334" i="1"/>
  <c r="AS334" i="1"/>
  <c r="AR334" i="1"/>
  <c r="AQ334" i="1"/>
  <c r="AP334" i="1"/>
  <c r="AM334" i="1"/>
  <c r="AL334" i="1"/>
  <c r="AK334" i="1"/>
  <c r="AJ334" i="1"/>
  <c r="AI334" i="1"/>
  <c r="AH334" i="1"/>
  <c r="AH334" i="1" a="1"/>
  <c r="AG334" i="1"/>
  <c r="AF334" i="1"/>
  <c r="BI333" i="1"/>
  <c r="BH333" i="1"/>
  <c r="BG333" i="1"/>
  <c r="BF333" i="1"/>
  <c r="BE333" i="1"/>
  <c r="BD333" i="1"/>
  <c r="BC333" i="1"/>
  <c r="BB333" i="1"/>
  <c r="BA333" i="1"/>
  <c r="AZ333" i="1"/>
  <c r="AY333" i="1"/>
  <c r="AX333" i="1"/>
  <c r="AW333" i="1"/>
  <c r="AV333" i="1"/>
  <c r="AU333" i="1"/>
  <c r="AT333" i="1"/>
  <c r="AS333" i="1"/>
  <c r="AR333" i="1"/>
  <c r="AQ333" i="1"/>
  <c r="AP333" i="1"/>
  <c r="AM333" i="1"/>
  <c r="AL333" i="1"/>
  <c r="AK333" i="1"/>
  <c r="AJ333" i="1"/>
  <c r="AI333" i="1"/>
  <c r="AH333" i="1"/>
  <c r="AH333" i="1" a="1"/>
  <c r="AG333" i="1"/>
  <c r="AF333" i="1"/>
  <c r="BI332" i="1"/>
  <c r="BH332" i="1"/>
  <c r="BG332" i="1"/>
  <c r="BF332" i="1"/>
  <c r="BE332" i="1"/>
  <c r="BD332" i="1"/>
  <c r="BC332" i="1"/>
  <c r="BB332" i="1"/>
  <c r="BA332" i="1"/>
  <c r="AZ332" i="1"/>
  <c r="AY332" i="1"/>
  <c r="AX332" i="1"/>
  <c r="AW332" i="1"/>
  <c r="AV332" i="1"/>
  <c r="AU332" i="1"/>
  <c r="AT332" i="1"/>
  <c r="AS332" i="1"/>
  <c r="AR332" i="1"/>
  <c r="AQ332" i="1"/>
  <c r="AP332" i="1"/>
  <c r="AM332" i="1"/>
  <c r="AL332" i="1"/>
  <c r="AK332" i="1"/>
  <c r="AJ332" i="1"/>
  <c r="AI332" i="1"/>
  <c r="AH332" i="1"/>
  <c r="AH332" i="1" a="1"/>
  <c r="AG332" i="1"/>
  <c r="AF332" i="1"/>
  <c r="BI331" i="1"/>
  <c r="BH331" i="1"/>
  <c r="BG331" i="1"/>
  <c r="BF331" i="1"/>
  <c r="BE331" i="1"/>
  <c r="BD331" i="1"/>
  <c r="BC331" i="1"/>
  <c r="BB331" i="1"/>
  <c r="BA331" i="1"/>
  <c r="AZ331" i="1"/>
  <c r="AY331" i="1"/>
  <c r="AX331" i="1"/>
  <c r="AW331" i="1"/>
  <c r="AV331" i="1"/>
  <c r="AU331" i="1"/>
  <c r="AT331" i="1"/>
  <c r="AS331" i="1"/>
  <c r="AR331" i="1"/>
  <c r="AQ331" i="1"/>
  <c r="AP331" i="1"/>
  <c r="AM331" i="1"/>
  <c r="AL331" i="1"/>
  <c r="AK331" i="1"/>
  <c r="AJ331" i="1"/>
  <c r="AI331" i="1"/>
  <c r="AH331" i="1"/>
  <c r="AH331" i="1" a="1"/>
  <c r="AG331" i="1"/>
  <c r="AF331" i="1"/>
  <c r="BI330" i="1"/>
  <c r="BH330" i="1"/>
  <c r="BG330" i="1"/>
  <c r="BF330" i="1"/>
  <c r="BE330" i="1"/>
  <c r="BD330" i="1"/>
  <c r="BC330" i="1"/>
  <c r="BB330" i="1"/>
  <c r="BA330" i="1"/>
  <c r="AZ330" i="1"/>
  <c r="AY330" i="1"/>
  <c r="AX330" i="1"/>
  <c r="AW330" i="1"/>
  <c r="AV330" i="1"/>
  <c r="AU330" i="1"/>
  <c r="AT330" i="1"/>
  <c r="AS330" i="1"/>
  <c r="AR330" i="1"/>
  <c r="AQ330" i="1"/>
  <c r="AP330" i="1"/>
  <c r="AM330" i="1"/>
  <c r="AL330" i="1"/>
  <c r="AK330" i="1"/>
  <c r="AJ330" i="1"/>
  <c r="AI330" i="1"/>
  <c r="AH330" i="1"/>
  <c r="AH330" i="1" a="1"/>
  <c r="AG330" i="1"/>
  <c r="AF330" i="1"/>
  <c r="BI329" i="1"/>
  <c r="BH329" i="1"/>
  <c r="BG329" i="1"/>
  <c r="BF329" i="1"/>
  <c r="BE329" i="1"/>
  <c r="BD329" i="1"/>
  <c r="BC329" i="1"/>
  <c r="BB329" i="1"/>
  <c r="BA329" i="1"/>
  <c r="AZ329" i="1"/>
  <c r="AY329" i="1"/>
  <c r="AX329" i="1"/>
  <c r="AW329" i="1"/>
  <c r="AV329" i="1"/>
  <c r="AU329" i="1"/>
  <c r="AT329" i="1"/>
  <c r="AS329" i="1"/>
  <c r="AR329" i="1"/>
  <c r="AQ329" i="1"/>
  <c r="AP329" i="1"/>
  <c r="AM329" i="1"/>
  <c r="AL329" i="1"/>
  <c r="AK329" i="1"/>
  <c r="AJ329" i="1"/>
  <c r="AI329" i="1"/>
  <c r="AH329" i="1"/>
  <c r="AH329" i="1" a="1"/>
  <c r="AG329" i="1"/>
  <c r="AF329" i="1"/>
  <c r="BI328" i="1"/>
  <c r="BH328" i="1"/>
  <c r="BG328" i="1"/>
  <c r="BF328" i="1"/>
  <c r="BE328" i="1"/>
  <c r="BD328" i="1"/>
  <c r="BC328" i="1"/>
  <c r="BB328" i="1"/>
  <c r="BA328" i="1"/>
  <c r="AZ328" i="1"/>
  <c r="AY328" i="1"/>
  <c r="AX328" i="1"/>
  <c r="AW328" i="1"/>
  <c r="AV328" i="1"/>
  <c r="AU328" i="1"/>
  <c r="AT328" i="1"/>
  <c r="AS328" i="1"/>
  <c r="AR328" i="1"/>
  <c r="AQ328" i="1"/>
  <c r="AP328" i="1"/>
  <c r="AM328" i="1"/>
  <c r="AL328" i="1"/>
  <c r="AK328" i="1"/>
  <c r="AJ328" i="1"/>
  <c r="AI328" i="1"/>
  <c r="AH328" i="1"/>
  <c r="AH328" i="1" a="1"/>
  <c r="AG328" i="1"/>
  <c r="AF328" i="1"/>
  <c r="BI327" i="1"/>
  <c r="BH327" i="1"/>
  <c r="BG327" i="1"/>
  <c r="BF327" i="1"/>
  <c r="BE327" i="1"/>
  <c r="BD327" i="1"/>
  <c r="BC327" i="1"/>
  <c r="BB327" i="1"/>
  <c r="BA327" i="1"/>
  <c r="AZ327" i="1"/>
  <c r="AY327" i="1"/>
  <c r="AX327" i="1"/>
  <c r="AW327" i="1"/>
  <c r="AV327" i="1"/>
  <c r="AU327" i="1"/>
  <c r="AT327" i="1"/>
  <c r="AS327" i="1"/>
  <c r="AR327" i="1"/>
  <c r="AQ327" i="1"/>
  <c r="AP327" i="1"/>
  <c r="AM327" i="1"/>
  <c r="AL327" i="1"/>
  <c r="AK327" i="1"/>
  <c r="AJ327" i="1"/>
  <c r="AI327" i="1"/>
  <c r="AH327" i="1"/>
  <c r="AH327" i="1" a="1"/>
  <c r="AG327" i="1"/>
  <c r="AF327" i="1"/>
  <c r="BI326" i="1"/>
  <c r="BH326" i="1"/>
  <c r="BG326" i="1"/>
  <c r="BF326" i="1"/>
  <c r="BE326" i="1"/>
  <c r="BD326" i="1"/>
  <c r="BC326" i="1"/>
  <c r="BB326" i="1"/>
  <c r="BA326" i="1"/>
  <c r="AZ326" i="1"/>
  <c r="AY326" i="1"/>
  <c r="AX326" i="1"/>
  <c r="AW326" i="1"/>
  <c r="AV326" i="1"/>
  <c r="AU326" i="1"/>
  <c r="AT326" i="1"/>
  <c r="AS326" i="1"/>
  <c r="AR326" i="1"/>
  <c r="AQ326" i="1"/>
  <c r="AP326" i="1"/>
  <c r="AM326" i="1"/>
  <c r="AL326" i="1"/>
  <c r="AK326" i="1"/>
  <c r="AJ326" i="1"/>
  <c r="AI326" i="1"/>
  <c r="AH326" i="1"/>
  <c r="AH326" i="1" a="1"/>
  <c r="AG326" i="1"/>
  <c r="AF326" i="1"/>
  <c r="BI325" i="1"/>
  <c r="BH325" i="1"/>
  <c r="BG325" i="1"/>
  <c r="BF325" i="1"/>
  <c r="BE325" i="1"/>
  <c r="BD325" i="1"/>
  <c r="BC325" i="1"/>
  <c r="BB325" i="1"/>
  <c r="BA325" i="1"/>
  <c r="AZ325" i="1"/>
  <c r="AY325" i="1"/>
  <c r="AX325" i="1"/>
  <c r="AW325" i="1"/>
  <c r="AV325" i="1"/>
  <c r="AU325" i="1"/>
  <c r="AT325" i="1"/>
  <c r="AS325" i="1"/>
  <c r="AR325" i="1"/>
  <c r="AQ325" i="1"/>
  <c r="AP325" i="1"/>
  <c r="AM325" i="1"/>
  <c r="AL325" i="1"/>
  <c r="AK325" i="1"/>
  <c r="AJ325" i="1"/>
  <c r="AI325" i="1"/>
  <c r="AH325" i="1"/>
  <c r="AH325" i="1" a="1"/>
  <c r="AG325" i="1"/>
  <c r="AF325" i="1"/>
  <c r="BI324" i="1"/>
  <c r="BH324" i="1"/>
  <c r="BG324" i="1"/>
  <c r="BF324" i="1"/>
  <c r="BE324" i="1"/>
  <c r="BD324" i="1"/>
  <c r="BC324" i="1"/>
  <c r="BB324" i="1"/>
  <c r="BA324" i="1"/>
  <c r="AZ324" i="1"/>
  <c r="AY324" i="1"/>
  <c r="AX324" i="1"/>
  <c r="AW324" i="1"/>
  <c r="AV324" i="1"/>
  <c r="AU324" i="1"/>
  <c r="AT324" i="1"/>
  <c r="AS324" i="1"/>
  <c r="AR324" i="1"/>
  <c r="AQ324" i="1"/>
  <c r="AP324" i="1"/>
  <c r="AM324" i="1"/>
  <c r="AL324" i="1"/>
  <c r="AK324" i="1"/>
  <c r="AJ324" i="1"/>
  <c r="AI324" i="1"/>
  <c r="AH324" i="1"/>
  <c r="AH324" i="1" a="1"/>
  <c r="AG324" i="1"/>
  <c r="AF324" i="1"/>
  <c r="BI323" i="1"/>
  <c r="BH323" i="1"/>
  <c r="BG323" i="1"/>
  <c r="BF323" i="1"/>
  <c r="BE323" i="1"/>
  <c r="BD323" i="1"/>
  <c r="BC323" i="1"/>
  <c r="BB323" i="1"/>
  <c r="BA323" i="1"/>
  <c r="AZ323" i="1"/>
  <c r="AY323" i="1"/>
  <c r="AX323" i="1"/>
  <c r="AW323" i="1"/>
  <c r="AV323" i="1"/>
  <c r="AU323" i="1"/>
  <c r="AT323" i="1"/>
  <c r="AS323" i="1"/>
  <c r="AR323" i="1"/>
  <c r="AQ323" i="1"/>
  <c r="AP323" i="1"/>
  <c r="AM323" i="1"/>
  <c r="AL323" i="1"/>
  <c r="AK323" i="1"/>
  <c r="AJ323" i="1"/>
  <c r="AI323" i="1"/>
  <c r="AH323" i="1"/>
  <c r="AH323" i="1" a="1"/>
  <c r="AG323" i="1"/>
  <c r="AF323" i="1"/>
  <c r="BI322" i="1"/>
  <c r="BH322" i="1"/>
  <c r="BG322" i="1"/>
  <c r="BF322" i="1"/>
  <c r="BE322" i="1"/>
  <c r="BD322" i="1"/>
  <c r="BC322" i="1"/>
  <c r="BB322" i="1"/>
  <c r="BA322" i="1"/>
  <c r="AZ322" i="1"/>
  <c r="AY322" i="1"/>
  <c r="AX322" i="1"/>
  <c r="AW322" i="1"/>
  <c r="AV322" i="1"/>
  <c r="AU322" i="1"/>
  <c r="AT322" i="1"/>
  <c r="AS322" i="1"/>
  <c r="AR322" i="1"/>
  <c r="AQ322" i="1"/>
  <c r="AP322" i="1"/>
  <c r="AM322" i="1"/>
  <c r="AL322" i="1"/>
  <c r="AK322" i="1"/>
  <c r="AJ322" i="1"/>
  <c r="AI322" i="1"/>
  <c r="AH322" i="1"/>
  <c r="AH322" i="1" a="1"/>
  <c r="AG322" i="1"/>
  <c r="AF322" i="1"/>
  <c r="BI321" i="1"/>
  <c r="BH321" i="1"/>
  <c r="BG321" i="1"/>
  <c r="BF321" i="1"/>
  <c r="BE321" i="1"/>
  <c r="BD321" i="1"/>
  <c r="BC321" i="1"/>
  <c r="BB321" i="1"/>
  <c r="BA321" i="1"/>
  <c r="AZ321" i="1"/>
  <c r="AY321" i="1"/>
  <c r="AX321" i="1"/>
  <c r="AW321" i="1"/>
  <c r="AV321" i="1"/>
  <c r="AU321" i="1"/>
  <c r="AT321" i="1"/>
  <c r="AS321" i="1"/>
  <c r="AR321" i="1"/>
  <c r="AQ321" i="1"/>
  <c r="AP321" i="1"/>
  <c r="AM321" i="1"/>
  <c r="AL321" i="1"/>
  <c r="AK321" i="1"/>
  <c r="AJ321" i="1"/>
  <c r="AI321" i="1"/>
  <c r="AH321" i="1"/>
  <c r="AH321" i="1" a="1"/>
  <c r="AG321" i="1"/>
  <c r="AF321" i="1"/>
  <c r="BI320" i="1"/>
  <c r="BH320" i="1"/>
  <c r="BG320" i="1"/>
  <c r="BF320" i="1"/>
  <c r="BE320" i="1"/>
  <c r="BD320" i="1"/>
  <c r="BC320" i="1"/>
  <c r="BB320" i="1"/>
  <c r="BA320" i="1"/>
  <c r="AZ320" i="1"/>
  <c r="AY320" i="1"/>
  <c r="AX320" i="1"/>
  <c r="AW320" i="1"/>
  <c r="AV320" i="1"/>
  <c r="AU320" i="1"/>
  <c r="AT320" i="1"/>
  <c r="AS320" i="1"/>
  <c r="AR320" i="1"/>
  <c r="AQ320" i="1"/>
  <c r="AP320" i="1"/>
  <c r="AM320" i="1"/>
  <c r="AL320" i="1"/>
  <c r="AK320" i="1"/>
  <c r="AJ320" i="1"/>
  <c r="AI320" i="1"/>
  <c r="AH320" i="1"/>
  <c r="AH320" i="1" a="1"/>
  <c r="AG320" i="1"/>
  <c r="AF320" i="1"/>
  <c r="BI319" i="1"/>
  <c r="BH319" i="1"/>
  <c r="BG319" i="1"/>
  <c r="BF319" i="1"/>
  <c r="BE319" i="1"/>
  <c r="BD319" i="1"/>
  <c r="BC319" i="1"/>
  <c r="BB319" i="1"/>
  <c r="BA319" i="1"/>
  <c r="AZ319" i="1"/>
  <c r="AY319" i="1"/>
  <c r="AX319" i="1"/>
  <c r="AW319" i="1"/>
  <c r="AV319" i="1"/>
  <c r="AU319" i="1"/>
  <c r="AT319" i="1"/>
  <c r="AS319" i="1"/>
  <c r="AR319" i="1"/>
  <c r="AQ319" i="1"/>
  <c r="AP319" i="1"/>
  <c r="AM319" i="1"/>
  <c r="AL319" i="1"/>
  <c r="AK319" i="1"/>
  <c r="AJ319" i="1"/>
  <c r="AI319" i="1"/>
  <c r="AH319" i="1"/>
  <c r="AH319" i="1" a="1"/>
  <c r="AG319" i="1"/>
  <c r="AF319" i="1"/>
  <c r="BI318" i="1"/>
  <c r="BH318" i="1"/>
  <c r="BG318" i="1"/>
  <c r="BF318" i="1"/>
  <c r="BE318" i="1"/>
  <c r="BD318" i="1"/>
  <c r="BC318" i="1"/>
  <c r="BB318" i="1"/>
  <c r="BA318" i="1"/>
  <c r="AZ318" i="1"/>
  <c r="AY318" i="1"/>
  <c r="AX318" i="1"/>
  <c r="AW318" i="1"/>
  <c r="AV318" i="1"/>
  <c r="AU318" i="1"/>
  <c r="AT318" i="1"/>
  <c r="AS318" i="1"/>
  <c r="AR318" i="1"/>
  <c r="AQ318" i="1"/>
  <c r="AP318" i="1"/>
  <c r="AM318" i="1"/>
  <c r="AL318" i="1"/>
  <c r="AK318" i="1"/>
  <c r="AJ318" i="1"/>
  <c r="AI318" i="1"/>
  <c r="AH318" i="1"/>
  <c r="AH318" i="1" a="1"/>
  <c r="AG318" i="1"/>
  <c r="AF318" i="1"/>
  <c r="BI317" i="1"/>
  <c r="BH317" i="1"/>
  <c r="BG317" i="1"/>
  <c r="BF317" i="1"/>
  <c r="BE317" i="1"/>
  <c r="BD317" i="1"/>
  <c r="BC317" i="1"/>
  <c r="BB317" i="1"/>
  <c r="BA317" i="1"/>
  <c r="AZ317" i="1"/>
  <c r="AY317" i="1"/>
  <c r="AX317" i="1"/>
  <c r="AW317" i="1"/>
  <c r="AV317" i="1"/>
  <c r="AU317" i="1"/>
  <c r="AT317" i="1"/>
  <c r="AS317" i="1"/>
  <c r="AR317" i="1"/>
  <c r="AQ317" i="1"/>
  <c r="AP317" i="1"/>
  <c r="AM317" i="1"/>
  <c r="AL317" i="1"/>
  <c r="AK317" i="1"/>
  <c r="AJ317" i="1"/>
  <c r="AI317" i="1"/>
  <c r="AH317" i="1"/>
  <c r="AH317" i="1" a="1"/>
  <c r="AG317" i="1"/>
  <c r="AF317" i="1"/>
  <c r="BI316" i="1"/>
  <c r="BH316" i="1"/>
  <c r="BG316" i="1"/>
  <c r="BF316" i="1"/>
  <c r="BE316" i="1"/>
  <c r="BD316" i="1"/>
  <c r="BC316" i="1"/>
  <c r="BB316" i="1"/>
  <c r="BA316" i="1"/>
  <c r="AZ316" i="1"/>
  <c r="AY316" i="1"/>
  <c r="AX316" i="1"/>
  <c r="AW316" i="1"/>
  <c r="AV316" i="1"/>
  <c r="AU316" i="1"/>
  <c r="AT316" i="1"/>
  <c r="AS316" i="1"/>
  <c r="AR316" i="1"/>
  <c r="AQ316" i="1"/>
  <c r="AP316" i="1"/>
  <c r="AM316" i="1"/>
  <c r="AL316" i="1"/>
  <c r="AK316" i="1"/>
  <c r="AJ316" i="1"/>
  <c r="AI316" i="1"/>
  <c r="AH316" i="1"/>
  <c r="AH316" i="1" a="1"/>
  <c r="AG316" i="1"/>
  <c r="AF316" i="1"/>
  <c r="BI315" i="1"/>
  <c r="BH315" i="1"/>
  <c r="BG315" i="1"/>
  <c r="BF315" i="1"/>
  <c r="BE315" i="1"/>
  <c r="BD315" i="1"/>
  <c r="BC315" i="1"/>
  <c r="BB315" i="1"/>
  <c r="BA315" i="1"/>
  <c r="AZ315" i="1"/>
  <c r="AY315" i="1"/>
  <c r="AX315" i="1"/>
  <c r="AW315" i="1"/>
  <c r="AV315" i="1"/>
  <c r="AU315" i="1"/>
  <c r="AT315" i="1"/>
  <c r="AS315" i="1"/>
  <c r="AR315" i="1"/>
  <c r="AQ315" i="1"/>
  <c r="AP315" i="1"/>
  <c r="AM315" i="1"/>
  <c r="AL315" i="1"/>
  <c r="AK315" i="1"/>
  <c r="AJ315" i="1"/>
  <c r="AI315" i="1"/>
  <c r="AH315" i="1"/>
  <c r="AH315" i="1" a="1"/>
  <c r="AG315" i="1"/>
  <c r="AF315" i="1"/>
  <c r="BI314" i="1"/>
  <c r="BH314" i="1"/>
  <c r="BG314" i="1"/>
  <c r="BF314" i="1"/>
  <c r="BE314" i="1"/>
  <c r="BD314" i="1"/>
  <c r="BC314" i="1"/>
  <c r="BB314" i="1"/>
  <c r="BA314" i="1"/>
  <c r="AZ314" i="1"/>
  <c r="AY314" i="1"/>
  <c r="AX314" i="1"/>
  <c r="AW314" i="1"/>
  <c r="AV314" i="1"/>
  <c r="AU314" i="1"/>
  <c r="AT314" i="1"/>
  <c r="AS314" i="1"/>
  <c r="AR314" i="1"/>
  <c r="AQ314" i="1"/>
  <c r="AP314" i="1"/>
  <c r="AM314" i="1"/>
  <c r="AL314" i="1"/>
  <c r="AK314" i="1"/>
  <c r="AJ314" i="1"/>
  <c r="AI314" i="1"/>
  <c r="AH314" i="1"/>
  <c r="AH314" i="1" a="1"/>
  <c r="AG314" i="1"/>
  <c r="AF314" i="1"/>
  <c r="BI313" i="1"/>
  <c r="BH313" i="1"/>
  <c r="BG313" i="1"/>
  <c r="BF313" i="1"/>
  <c r="BE313" i="1"/>
  <c r="BD313" i="1"/>
  <c r="BC313" i="1"/>
  <c r="BB313" i="1"/>
  <c r="BA313" i="1"/>
  <c r="AZ313" i="1"/>
  <c r="AY313" i="1"/>
  <c r="AX313" i="1"/>
  <c r="AW313" i="1"/>
  <c r="AV313" i="1"/>
  <c r="AU313" i="1"/>
  <c r="AT313" i="1"/>
  <c r="AS313" i="1"/>
  <c r="AR313" i="1"/>
  <c r="AQ313" i="1"/>
  <c r="AP313" i="1"/>
  <c r="AM313" i="1"/>
  <c r="AL313" i="1"/>
  <c r="AK313" i="1"/>
  <c r="AJ313" i="1"/>
  <c r="AI313" i="1"/>
  <c r="AH313" i="1"/>
  <c r="AH313" i="1" a="1"/>
  <c r="AG313" i="1"/>
  <c r="AF313" i="1"/>
  <c r="BI312" i="1"/>
  <c r="BH312" i="1"/>
  <c r="BG312" i="1"/>
  <c r="BF312" i="1"/>
  <c r="BE312" i="1"/>
  <c r="BD312" i="1"/>
  <c r="BC312" i="1"/>
  <c r="BB312" i="1"/>
  <c r="BA312" i="1"/>
  <c r="AZ312" i="1"/>
  <c r="AY312" i="1"/>
  <c r="AX312" i="1"/>
  <c r="AW312" i="1"/>
  <c r="AV312" i="1"/>
  <c r="AU312" i="1"/>
  <c r="AT312" i="1"/>
  <c r="AS312" i="1"/>
  <c r="AR312" i="1"/>
  <c r="AQ312" i="1"/>
  <c r="AP312" i="1"/>
  <c r="AM312" i="1"/>
  <c r="AL312" i="1"/>
  <c r="AK312" i="1"/>
  <c r="AJ312" i="1"/>
  <c r="AI312" i="1"/>
  <c r="AH312" i="1"/>
  <c r="AH312" i="1" a="1"/>
  <c r="AG312" i="1"/>
  <c r="AF312" i="1"/>
  <c r="BI311" i="1"/>
  <c r="BH311" i="1"/>
  <c r="BG311" i="1"/>
  <c r="BF311" i="1"/>
  <c r="BE311" i="1"/>
  <c r="BD311" i="1"/>
  <c r="BC311" i="1"/>
  <c r="BB311" i="1"/>
  <c r="BA311" i="1"/>
  <c r="AZ311" i="1"/>
  <c r="AY311" i="1"/>
  <c r="AX311" i="1"/>
  <c r="AW311" i="1"/>
  <c r="AV311" i="1"/>
  <c r="AU311" i="1"/>
  <c r="AT311" i="1"/>
  <c r="AS311" i="1"/>
  <c r="AR311" i="1"/>
  <c r="AQ311" i="1"/>
  <c r="AP311" i="1"/>
  <c r="AM311" i="1"/>
  <c r="AL311" i="1"/>
  <c r="AK311" i="1"/>
  <c r="AJ311" i="1"/>
  <c r="AI311" i="1"/>
  <c r="AH311" i="1"/>
  <c r="AH311" i="1" a="1"/>
  <c r="AG311" i="1"/>
  <c r="AF311" i="1"/>
  <c r="BI310" i="1"/>
  <c r="BH310" i="1"/>
  <c r="BG310" i="1"/>
  <c r="BF310" i="1"/>
  <c r="BE310" i="1"/>
  <c r="BD310" i="1"/>
  <c r="BC310" i="1"/>
  <c r="BB310" i="1"/>
  <c r="BA310" i="1"/>
  <c r="AZ310" i="1"/>
  <c r="AY310" i="1"/>
  <c r="AX310" i="1"/>
  <c r="AW310" i="1"/>
  <c r="AV310" i="1"/>
  <c r="AU310" i="1"/>
  <c r="AT310" i="1"/>
  <c r="AS310" i="1"/>
  <c r="AR310" i="1"/>
  <c r="AQ310" i="1"/>
  <c r="AP310" i="1"/>
  <c r="AM310" i="1"/>
  <c r="AL310" i="1"/>
  <c r="AK310" i="1"/>
  <c r="AJ310" i="1"/>
  <c r="AI310" i="1"/>
  <c r="AH310" i="1"/>
  <c r="AH310" i="1" a="1"/>
  <c r="AG310" i="1"/>
  <c r="AF310" i="1"/>
  <c r="BI309" i="1"/>
  <c r="BH309" i="1"/>
  <c r="BG309" i="1"/>
  <c r="BF309" i="1"/>
  <c r="BE309" i="1"/>
  <c r="BD309" i="1"/>
  <c r="BC309" i="1"/>
  <c r="BB309" i="1"/>
  <c r="BA309" i="1"/>
  <c r="AZ309" i="1"/>
  <c r="AY309" i="1"/>
  <c r="AX309" i="1"/>
  <c r="AW309" i="1"/>
  <c r="AV309" i="1"/>
  <c r="AU309" i="1"/>
  <c r="AT309" i="1"/>
  <c r="AS309" i="1"/>
  <c r="AR309" i="1"/>
  <c r="AQ309" i="1"/>
  <c r="AP309" i="1"/>
  <c r="AM309" i="1"/>
  <c r="AL309" i="1"/>
  <c r="AK309" i="1"/>
  <c r="AJ309" i="1"/>
  <c r="AI309" i="1"/>
  <c r="AH309" i="1"/>
  <c r="AH309" i="1" a="1"/>
  <c r="AG309" i="1"/>
  <c r="AF309" i="1"/>
  <c r="BI308" i="1"/>
  <c r="BH308" i="1"/>
  <c r="BG308" i="1"/>
  <c r="BF308" i="1"/>
  <c r="BE308" i="1"/>
  <c r="BD308" i="1"/>
  <c r="BC308" i="1"/>
  <c r="BB308" i="1"/>
  <c r="BA308" i="1"/>
  <c r="AZ308" i="1"/>
  <c r="AY308" i="1"/>
  <c r="AX308" i="1"/>
  <c r="AW308" i="1"/>
  <c r="AV308" i="1"/>
  <c r="AU308" i="1"/>
  <c r="AT308" i="1"/>
  <c r="AS308" i="1"/>
  <c r="AR308" i="1"/>
  <c r="AQ308" i="1"/>
  <c r="AP308" i="1"/>
  <c r="AM308" i="1"/>
  <c r="AL308" i="1"/>
  <c r="AK308" i="1"/>
  <c r="AJ308" i="1"/>
  <c r="AI308" i="1"/>
  <c r="AH308" i="1"/>
  <c r="AH308" i="1" a="1"/>
  <c r="AG308" i="1"/>
  <c r="AF308" i="1"/>
  <c r="BI307" i="1"/>
  <c r="BH307" i="1"/>
  <c r="BG307" i="1"/>
  <c r="BF307" i="1"/>
  <c r="BE307" i="1"/>
  <c r="BD307" i="1"/>
  <c r="BC307" i="1"/>
  <c r="BB307" i="1"/>
  <c r="BA307" i="1"/>
  <c r="AZ307" i="1"/>
  <c r="AY307" i="1"/>
  <c r="AX307" i="1"/>
  <c r="AW307" i="1"/>
  <c r="AV307" i="1"/>
  <c r="AU307" i="1"/>
  <c r="AT307" i="1"/>
  <c r="AS307" i="1"/>
  <c r="AR307" i="1"/>
  <c r="AQ307" i="1"/>
  <c r="AP307" i="1"/>
  <c r="AM307" i="1"/>
  <c r="AL307" i="1"/>
  <c r="AK307" i="1"/>
  <c r="AJ307" i="1"/>
  <c r="AI307" i="1"/>
  <c r="AH307" i="1"/>
  <c r="AH307" i="1" a="1"/>
  <c r="AG307" i="1"/>
  <c r="AF307" i="1"/>
  <c r="BI306" i="1"/>
  <c r="BH306" i="1"/>
  <c r="BG306" i="1"/>
  <c r="BF306" i="1"/>
  <c r="BE306" i="1"/>
  <c r="BD306" i="1"/>
  <c r="BC306" i="1"/>
  <c r="BB306" i="1"/>
  <c r="BA306" i="1"/>
  <c r="AZ306" i="1"/>
  <c r="AY306" i="1"/>
  <c r="AX306" i="1"/>
  <c r="AW306" i="1"/>
  <c r="AV306" i="1"/>
  <c r="AU306" i="1"/>
  <c r="AT306" i="1"/>
  <c r="AS306" i="1"/>
  <c r="AR306" i="1"/>
  <c r="AQ306" i="1"/>
  <c r="AP306" i="1"/>
  <c r="AM306" i="1"/>
  <c r="AL306" i="1"/>
  <c r="AK306" i="1"/>
  <c r="AJ306" i="1"/>
  <c r="AI306" i="1"/>
  <c r="AH306" i="1"/>
  <c r="AH306" i="1" a="1"/>
  <c r="AG306" i="1"/>
  <c r="AF306" i="1"/>
  <c r="BI305" i="1"/>
  <c r="BH305" i="1"/>
  <c r="BG305" i="1"/>
  <c r="BF305" i="1"/>
  <c r="BE305" i="1"/>
  <c r="BD305" i="1"/>
  <c r="BC305" i="1"/>
  <c r="BB305" i="1"/>
  <c r="BA305" i="1"/>
  <c r="AZ305" i="1"/>
  <c r="AY305" i="1"/>
  <c r="AX305" i="1"/>
  <c r="AW305" i="1"/>
  <c r="AV305" i="1"/>
  <c r="AU305" i="1"/>
  <c r="AT305" i="1"/>
  <c r="AS305" i="1"/>
  <c r="AR305" i="1"/>
  <c r="AQ305" i="1"/>
  <c r="AP305" i="1"/>
  <c r="AM305" i="1"/>
  <c r="AL305" i="1"/>
  <c r="AK305" i="1"/>
  <c r="AJ305" i="1"/>
  <c r="AI305" i="1"/>
  <c r="AH305" i="1"/>
  <c r="AH305" i="1" a="1"/>
  <c r="AG305" i="1"/>
  <c r="AF305" i="1"/>
  <c r="BI304" i="1"/>
  <c r="BH304" i="1"/>
  <c r="BG304" i="1"/>
  <c r="BF304" i="1"/>
  <c r="BE304" i="1"/>
  <c r="BD304" i="1"/>
  <c r="BC304" i="1"/>
  <c r="BB304" i="1"/>
  <c r="BA304" i="1"/>
  <c r="AZ304" i="1"/>
  <c r="AY304" i="1"/>
  <c r="AX304" i="1"/>
  <c r="AW304" i="1"/>
  <c r="AV304" i="1"/>
  <c r="AU304" i="1"/>
  <c r="AT304" i="1"/>
  <c r="AS304" i="1"/>
  <c r="AR304" i="1"/>
  <c r="AQ304" i="1"/>
  <c r="AP304" i="1"/>
  <c r="AM304" i="1"/>
  <c r="AL304" i="1"/>
  <c r="AK304" i="1"/>
  <c r="AJ304" i="1"/>
  <c r="AI304" i="1"/>
  <c r="AH304" i="1"/>
  <c r="AH304" i="1" a="1"/>
  <c r="AG304" i="1"/>
  <c r="AF304" i="1"/>
  <c r="BI303" i="1"/>
  <c r="BH303" i="1"/>
  <c r="BG303" i="1"/>
  <c r="BF303" i="1"/>
  <c r="BE303" i="1"/>
  <c r="BD303" i="1"/>
  <c r="BC303" i="1"/>
  <c r="BB303" i="1"/>
  <c r="BA303" i="1"/>
  <c r="AZ303" i="1"/>
  <c r="AY303" i="1"/>
  <c r="AX303" i="1"/>
  <c r="AW303" i="1"/>
  <c r="AV303" i="1"/>
  <c r="AU303" i="1"/>
  <c r="AT303" i="1"/>
  <c r="AS303" i="1"/>
  <c r="AR303" i="1"/>
  <c r="AQ303" i="1"/>
  <c r="AP303" i="1"/>
  <c r="AM303" i="1"/>
  <c r="AL303" i="1"/>
  <c r="AK303" i="1"/>
  <c r="AJ303" i="1"/>
  <c r="AI303" i="1"/>
  <c r="AH303" i="1"/>
  <c r="AH303" i="1" a="1"/>
  <c r="AG303" i="1"/>
  <c r="AF303" i="1"/>
  <c r="BI302" i="1"/>
  <c r="BH302" i="1"/>
  <c r="BG302" i="1"/>
  <c r="BF302" i="1"/>
  <c r="BE302" i="1"/>
  <c r="BD302" i="1"/>
  <c r="BC302" i="1"/>
  <c r="BB302" i="1"/>
  <c r="BA302" i="1"/>
  <c r="AZ302" i="1"/>
  <c r="AY302" i="1"/>
  <c r="AX302" i="1"/>
  <c r="AW302" i="1"/>
  <c r="AV302" i="1"/>
  <c r="AU302" i="1"/>
  <c r="AT302" i="1"/>
  <c r="AS302" i="1"/>
  <c r="AR302" i="1"/>
  <c r="AQ302" i="1"/>
  <c r="AP302" i="1"/>
  <c r="AM302" i="1"/>
  <c r="AL302" i="1"/>
  <c r="AK302" i="1"/>
  <c r="AJ302" i="1"/>
  <c r="AI302" i="1"/>
  <c r="AH302" i="1"/>
  <c r="AH302" i="1" a="1"/>
  <c r="AG302" i="1"/>
  <c r="AF302" i="1"/>
  <c r="BI301" i="1"/>
  <c r="BH301" i="1"/>
  <c r="BG301" i="1"/>
  <c r="BF301" i="1"/>
  <c r="BE301" i="1"/>
  <c r="BD301" i="1"/>
  <c r="BC301" i="1"/>
  <c r="BB301" i="1"/>
  <c r="BA301" i="1"/>
  <c r="AZ301" i="1"/>
  <c r="AY301" i="1"/>
  <c r="AX301" i="1"/>
  <c r="AW301" i="1"/>
  <c r="AV301" i="1"/>
  <c r="AU301" i="1"/>
  <c r="AT301" i="1"/>
  <c r="AS301" i="1"/>
  <c r="AR301" i="1"/>
  <c r="AQ301" i="1"/>
  <c r="AP301" i="1"/>
  <c r="AM301" i="1"/>
  <c r="AL301" i="1"/>
  <c r="AK301" i="1"/>
  <c r="AJ301" i="1"/>
  <c r="AI301" i="1"/>
  <c r="AH301" i="1"/>
  <c r="AH301" i="1" a="1"/>
  <c r="AG301" i="1"/>
  <c r="AF301" i="1"/>
  <c r="BI300" i="1"/>
  <c r="BH300" i="1"/>
  <c r="BG300" i="1"/>
  <c r="BF300" i="1"/>
  <c r="BE300" i="1"/>
  <c r="BD300" i="1"/>
  <c r="BC300" i="1"/>
  <c r="BB300" i="1"/>
  <c r="BA300" i="1"/>
  <c r="AZ300" i="1"/>
  <c r="AY300" i="1"/>
  <c r="AX300" i="1"/>
  <c r="AW300" i="1"/>
  <c r="AV300" i="1"/>
  <c r="AU300" i="1"/>
  <c r="AT300" i="1"/>
  <c r="AS300" i="1"/>
  <c r="AR300" i="1"/>
  <c r="AQ300" i="1"/>
  <c r="AP300" i="1"/>
  <c r="AM300" i="1"/>
  <c r="AL300" i="1"/>
  <c r="AK300" i="1"/>
  <c r="AJ300" i="1"/>
  <c r="AI300" i="1"/>
  <c r="AH300" i="1"/>
  <c r="AH300" i="1" a="1"/>
  <c r="AG300" i="1"/>
  <c r="AF300" i="1"/>
  <c r="BI299" i="1"/>
  <c r="BH299" i="1"/>
  <c r="BG299" i="1"/>
  <c r="BF299" i="1"/>
  <c r="BE299" i="1"/>
  <c r="BD299" i="1"/>
  <c r="BC299" i="1"/>
  <c r="BB299" i="1"/>
  <c r="BA299" i="1"/>
  <c r="AZ299" i="1"/>
  <c r="AY299" i="1"/>
  <c r="AX299" i="1"/>
  <c r="AW299" i="1"/>
  <c r="AV299" i="1"/>
  <c r="AU299" i="1"/>
  <c r="AT299" i="1"/>
  <c r="AS299" i="1"/>
  <c r="AR299" i="1"/>
  <c r="AQ299" i="1"/>
  <c r="AP299" i="1"/>
  <c r="AM299" i="1"/>
  <c r="AL299" i="1"/>
  <c r="AK299" i="1"/>
  <c r="AJ299" i="1"/>
  <c r="AI299" i="1"/>
  <c r="AH299" i="1"/>
  <c r="AH299" i="1" a="1"/>
  <c r="AG299" i="1"/>
  <c r="AF299" i="1"/>
  <c r="BI298" i="1"/>
  <c r="BH298" i="1"/>
  <c r="BG298" i="1"/>
  <c r="BF298" i="1"/>
  <c r="BE298" i="1"/>
  <c r="BD298" i="1"/>
  <c r="BC298" i="1"/>
  <c r="BB298" i="1"/>
  <c r="BA298" i="1"/>
  <c r="AZ298" i="1"/>
  <c r="AY298" i="1"/>
  <c r="AX298" i="1"/>
  <c r="AW298" i="1"/>
  <c r="AV298" i="1"/>
  <c r="AU298" i="1"/>
  <c r="AT298" i="1"/>
  <c r="AS298" i="1"/>
  <c r="AR298" i="1"/>
  <c r="AQ298" i="1"/>
  <c r="AP298" i="1"/>
  <c r="AM298" i="1"/>
  <c r="AL298" i="1"/>
  <c r="AK298" i="1"/>
  <c r="AJ298" i="1"/>
  <c r="AI298" i="1"/>
  <c r="AH298" i="1"/>
  <c r="AH298" i="1" a="1"/>
  <c r="AG298" i="1"/>
  <c r="AF298" i="1"/>
  <c r="BI297" i="1"/>
  <c r="BH297" i="1"/>
  <c r="BG297" i="1"/>
  <c r="BF297" i="1"/>
  <c r="BE297" i="1"/>
  <c r="BD297" i="1"/>
  <c r="BC297" i="1"/>
  <c r="BB297" i="1"/>
  <c r="BA297" i="1"/>
  <c r="AZ297" i="1"/>
  <c r="AY297" i="1"/>
  <c r="AX297" i="1"/>
  <c r="AW297" i="1"/>
  <c r="AV297" i="1"/>
  <c r="AU297" i="1"/>
  <c r="AT297" i="1"/>
  <c r="AS297" i="1"/>
  <c r="AR297" i="1"/>
  <c r="AQ297" i="1"/>
  <c r="AP297" i="1"/>
  <c r="AM297" i="1"/>
  <c r="AL297" i="1"/>
  <c r="AK297" i="1"/>
  <c r="AJ297" i="1"/>
  <c r="AI297" i="1"/>
  <c r="AH297" i="1"/>
  <c r="AH297" i="1" a="1"/>
  <c r="AG297" i="1"/>
  <c r="AF297" i="1"/>
  <c r="BI296" i="1"/>
  <c r="BH296" i="1"/>
  <c r="BG296" i="1"/>
  <c r="BF296" i="1"/>
  <c r="BE296" i="1"/>
  <c r="BD296" i="1"/>
  <c r="BC296" i="1"/>
  <c r="BB296" i="1"/>
  <c r="BA296" i="1"/>
  <c r="AZ296" i="1"/>
  <c r="AY296" i="1"/>
  <c r="AX296" i="1"/>
  <c r="AW296" i="1"/>
  <c r="AV296" i="1"/>
  <c r="AU296" i="1"/>
  <c r="AT296" i="1"/>
  <c r="AS296" i="1"/>
  <c r="AR296" i="1"/>
  <c r="AQ296" i="1"/>
  <c r="AP296" i="1"/>
  <c r="AM296" i="1"/>
  <c r="AL296" i="1"/>
  <c r="AK296" i="1"/>
  <c r="AJ296" i="1"/>
  <c r="AI296" i="1"/>
  <c r="AH296" i="1"/>
  <c r="AH296" i="1" a="1"/>
  <c r="AG296" i="1"/>
  <c r="AF296" i="1"/>
  <c r="BI295" i="1"/>
  <c r="BH295" i="1"/>
  <c r="BG295" i="1"/>
  <c r="BF295" i="1"/>
  <c r="BE295" i="1"/>
  <c r="BD295" i="1"/>
  <c r="BC295" i="1"/>
  <c r="BB295" i="1"/>
  <c r="BA295" i="1"/>
  <c r="AZ295" i="1"/>
  <c r="AY295" i="1"/>
  <c r="AX295" i="1"/>
  <c r="AW295" i="1"/>
  <c r="AV295" i="1"/>
  <c r="AU295" i="1"/>
  <c r="AT295" i="1"/>
  <c r="AS295" i="1"/>
  <c r="AR295" i="1"/>
  <c r="AQ295" i="1"/>
  <c r="AP295" i="1"/>
  <c r="AM295" i="1"/>
  <c r="AL295" i="1"/>
  <c r="AK295" i="1"/>
  <c r="AJ295" i="1"/>
  <c r="AI295" i="1"/>
  <c r="AH295" i="1"/>
  <c r="AH295" i="1" a="1"/>
  <c r="AG295" i="1"/>
  <c r="AF295" i="1"/>
  <c r="BI294" i="1"/>
  <c r="BH294" i="1"/>
  <c r="BG294" i="1"/>
  <c r="BF294" i="1"/>
  <c r="BE294" i="1"/>
  <c r="BD294" i="1"/>
  <c r="BC294" i="1"/>
  <c r="BB294" i="1"/>
  <c r="BA294" i="1"/>
  <c r="AZ294" i="1"/>
  <c r="AY294" i="1"/>
  <c r="AX294" i="1"/>
  <c r="AW294" i="1"/>
  <c r="AV294" i="1"/>
  <c r="AU294" i="1"/>
  <c r="AT294" i="1"/>
  <c r="AS294" i="1"/>
  <c r="AR294" i="1"/>
  <c r="AQ294" i="1"/>
  <c r="AP294" i="1"/>
  <c r="AM294" i="1"/>
  <c r="AL294" i="1"/>
  <c r="AK294" i="1"/>
  <c r="AJ294" i="1"/>
  <c r="AI294" i="1"/>
  <c r="AH294" i="1"/>
  <c r="AH294" i="1" a="1"/>
  <c r="AG294" i="1"/>
  <c r="AF294" i="1"/>
  <c r="BI293" i="1"/>
  <c r="BH293" i="1"/>
  <c r="BG293" i="1"/>
  <c r="BF293" i="1"/>
  <c r="BE293" i="1"/>
  <c r="BD293" i="1"/>
  <c r="BC293" i="1"/>
  <c r="BB293" i="1"/>
  <c r="BA293" i="1"/>
  <c r="AZ293" i="1"/>
  <c r="AY293" i="1"/>
  <c r="AX293" i="1"/>
  <c r="AW293" i="1"/>
  <c r="AV293" i="1"/>
  <c r="AU293" i="1"/>
  <c r="AT293" i="1"/>
  <c r="AS293" i="1"/>
  <c r="AR293" i="1"/>
  <c r="AQ293" i="1"/>
  <c r="AP293" i="1"/>
  <c r="AM293" i="1"/>
  <c r="AL293" i="1"/>
  <c r="AK293" i="1"/>
  <c r="AJ293" i="1"/>
  <c r="AI293" i="1"/>
  <c r="AH293" i="1"/>
  <c r="AH293" i="1" a="1"/>
  <c r="AG293" i="1"/>
  <c r="AF293" i="1"/>
  <c r="BI292" i="1"/>
  <c r="BH292" i="1"/>
  <c r="BG292" i="1"/>
  <c r="BF292" i="1"/>
  <c r="BE292" i="1"/>
  <c r="BD292" i="1"/>
  <c r="BC292" i="1"/>
  <c r="BB292" i="1"/>
  <c r="BA292" i="1"/>
  <c r="AZ292" i="1"/>
  <c r="AY292" i="1"/>
  <c r="AX292" i="1"/>
  <c r="AW292" i="1"/>
  <c r="AV292" i="1"/>
  <c r="AU292" i="1"/>
  <c r="AT292" i="1"/>
  <c r="AS292" i="1"/>
  <c r="AR292" i="1"/>
  <c r="AQ292" i="1"/>
  <c r="AP292" i="1"/>
  <c r="AM292" i="1"/>
  <c r="AL292" i="1"/>
  <c r="AK292" i="1"/>
  <c r="AJ292" i="1"/>
  <c r="AI292" i="1"/>
  <c r="AH292" i="1"/>
  <c r="AH292" i="1" a="1"/>
  <c r="AG292" i="1"/>
  <c r="AF292" i="1"/>
  <c r="BI291" i="1"/>
  <c r="BH291" i="1"/>
  <c r="BG291" i="1"/>
  <c r="BF291" i="1"/>
  <c r="BE291" i="1"/>
  <c r="BD291" i="1"/>
  <c r="BC291" i="1"/>
  <c r="BB291" i="1"/>
  <c r="BA291" i="1"/>
  <c r="AZ291" i="1"/>
  <c r="AY291" i="1"/>
  <c r="AX291" i="1"/>
  <c r="AW291" i="1"/>
  <c r="AV291" i="1"/>
  <c r="AU291" i="1"/>
  <c r="AT291" i="1"/>
  <c r="AS291" i="1"/>
  <c r="AR291" i="1"/>
  <c r="AQ291" i="1"/>
  <c r="AP291" i="1"/>
  <c r="AM291" i="1"/>
  <c r="AL291" i="1"/>
  <c r="AK291" i="1"/>
  <c r="AJ291" i="1"/>
  <c r="AI291" i="1"/>
  <c r="AH291" i="1"/>
  <c r="AH291" i="1" a="1"/>
  <c r="AG291" i="1"/>
  <c r="AF291" i="1"/>
  <c r="BI290" i="1"/>
  <c r="BH290" i="1"/>
  <c r="BG290" i="1"/>
  <c r="BF290" i="1"/>
  <c r="BE290" i="1"/>
  <c r="BD290" i="1"/>
  <c r="BC290" i="1"/>
  <c r="BB290" i="1"/>
  <c r="BA290" i="1"/>
  <c r="AZ290" i="1"/>
  <c r="AY290" i="1"/>
  <c r="AX290" i="1"/>
  <c r="AW290" i="1"/>
  <c r="AV290" i="1"/>
  <c r="AU290" i="1"/>
  <c r="AT290" i="1"/>
  <c r="AS290" i="1"/>
  <c r="AR290" i="1"/>
  <c r="AQ290" i="1"/>
  <c r="AP290" i="1"/>
  <c r="AM290" i="1"/>
  <c r="AL290" i="1"/>
  <c r="AK290" i="1"/>
  <c r="AJ290" i="1"/>
  <c r="AI290" i="1"/>
  <c r="AH290" i="1"/>
  <c r="AH290" i="1" a="1"/>
  <c r="AG290" i="1"/>
  <c r="AF290" i="1"/>
  <c r="BI289" i="1"/>
  <c r="BH289" i="1"/>
  <c r="BG289" i="1"/>
  <c r="BF289" i="1"/>
  <c r="BE289" i="1"/>
  <c r="BD289" i="1"/>
  <c r="BC289" i="1"/>
  <c r="BB289" i="1"/>
  <c r="BA289" i="1"/>
  <c r="AZ289" i="1"/>
  <c r="AY289" i="1"/>
  <c r="AX289" i="1"/>
  <c r="AW289" i="1"/>
  <c r="AV289" i="1"/>
  <c r="AU289" i="1"/>
  <c r="AT289" i="1"/>
  <c r="AS289" i="1"/>
  <c r="AR289" i="1"/>
  <c r="AQ289" i="1"/>
  <c r="AP289" i="1"/>
  <c r="AM289" i="1"/>
  <c r="AL289" i="1"/>
  <c r="AK289" i="1"/>
  <c r="AJ289" i="1"/>
  <c r="AI289" i="1"/>
  <c r="AH289" i="1"/>
  <c r="AH289" i="1" a="1"/>
  <c r="AG289" i="1"/>
  <c r="AF289" i="1"/>
  <c r="BI288" i="1"/>
  <c r="BH288" i="1"/>
  <c r="BG288" i="1"/>
  <c r="BF288" i="1"/>
  <c r="BE288" i="1"/>
  <c r="BD288" i="1"/>
  <c r="BC288" i="1"/>
  <c r="BB288" i="1"/>
  <c r="BA288" i="1"/>
  <c r="AZ288" i="1"/>
  <c r="AY288" i="1"/>
  <c r="AX288" i="1"/>
  <c r="AW288" i="1"/>
  <c r="AV288" i="1"/>
  <c r="AU288" i="1"/>
  <c r="AT288" i="1"/>
  <c r="AS288" i="1"/>
  <c r="AR288" i="1"/>
  <c r="AQ288" i="1"/>
  <c r="AP288" i="1"/>
  <c r="AM288" i="1"/>
  <c r="AL288" i="1"/>
  <c r="AK288" i="1"/>
  <c r="AJ288" i="1"/>
  <c r="AI288" i="1"/>
  <c r="AH288" i="1"/>
  <c r="AH288" i="1" a="1"/>
  <c r="AG288" i="1"/>
  <c r="AF288" i="1"/>
  <c r="BI287" i="1"/>
  <c r="BH287" i="1"/>
  <c r="BG287" i="1"/>
  <c r="BF287" i="1"/>
  <c r="BE287" i="1"/>
  <c r="BD287" i="1"/>
  <c r="BC287" i="1"/>
  <c r="BB287" i="1"/>
  <c r="BA287" i="1"/>
  <c r="AZ287" i="1"/>
  <c r="AY287" i="1"/>
  <c r="AX287" i="1"/>
  <c r="AW287" i="1"/>
  <c r="AV287" i="1"/>
  <c r="AU287" i="1"/>
  <c r="AT287" i="1"/>
  <c r="AS287" i="1"/>
  <c r="AR287" i="1"/>
  <c r="AQ287" i="1"/>
  <c r="AP287" i="1"/>
  <c r="AM287" i="1"/>
  <c r="AL287" i="1"/>
  <c r="AK287" i="1"/>
  <c r="AJ287" i="1"/>
  <c r="AI287" i="1"/>
  <c r="AH287" i="1"/>
  <c r="AH287" i="1" a="1"/>
  <c r="AG287" i="1"/>
  <c r="AF287" i="1"/>
  <c r="BI286" i="1"/>
  <c r="BH286" i="1"/>
  <c r="BG286" i="1"/>
  <c r="BF286" i="1"/>
  <c r="BE286" i="1"/>
  <c r="BD286" i="1"/>
  <c r="BC286" i="1"/>
  <c r="BB286" i="1"/>
  <c r="BA286" i="1"/>
  <c r="AZ286" i="1"/>
  <c r="AY286" i="1"/>
  <c r="AX286" i="1"/>
  <c r="AW286" i="1"/>
  <c r="AV286" i="1"/>
  <c r="AU286" i="1"/>
  <c r="AT286" i="1"/>
  <c r="AS286" i="1"/>
  <c r="AR286" i="1"/>
  <c r="AQ286" i="1"/>
  <c r="AP286" i="1"/>
  <c r="AM286" i="1"/>
  <c r="AL286" i="1"/>
  <c r="AK286" i="1"/>
  <c r="AJ286" i="1"/>
  <c r="AI286" i="1"/>
  <c r="AH286" i="1"/>
  <c r="AH286" i="1" a="1"/>
  <c r="AG286" i="1"/>
  <c r="AF286" i="1"/>
  <c r="BI285" i="1"/>
  <c r="BH285" i="1"/>
  <c r="BG285" i="1"/>
  <c r="BF285" i="1"/>
  <c r="BE285" i="1"/>
  <c r="BD285" i="1"/>
  <c r="BC285" i="1"/>
  <c r="BB285" i="1"/>
  <c r="BA285" i="1"/>
  <c r="AZ285" i="1"/>
  <c r="AY285" i="1"/>
  <c r="AX285" i="1"/>
  <c r="AW285" i="1"/>
  <c r="AV285" i="1"/>
  <c r="AU285" i="1"/>
  <c r="AT285" i="1"/>
  <c r="AS285" i="1"/>
  <c r="AR285" i="1"/>
  <c r="AQ285" i="1"/>
  <c r="AP285" i="1"/>
  <c r="AM285" i="1"/>
  <c r="AL285" i="1"/>
  <c r="AK285" i="1"/>
  <c r="AJ285" i="1"/>
  <c r="AI285" i="1"/>
  <c r="AH285" i="1"/>
  <c r="AH285" i="1" a="1"/>
  <c r="AG285" i="1"/>
  <c r="AF285" i="1"/>
  <c r="BI284" i="1"/>
  <c r="BH284" i="1"/>
  <c r="BG284" i="1"/>
  <c r="BF284" i="1"/>
  <c r="BE284" i="1"/>
  <c r="BD284" i="1"/>
  <c r="BC284" i="1"/>
  <c r="BB284" i="1"/>
  <c r="BA284" i="1"/>
  <c r="AZ284" i="1"/>
  <c r="AY284" i="1"/>
  <c r="AX284" i="1"/>
  <c r="AW284" i="1"/>
  <c r="AV284" i="1"/>
  <c r="AU284" i="1"/>
  <c r="AT284" i="1"/>
  <c r="AS284" i="1"/>
  <c r="AR284" i="1"/>
  <c r="AQ284" i="1"/>
  <c r="AP284" i="1"/>
  <c r="AM284" i="1"/>
  <c r="AL284" i="1"/>
  <c r="AK284" i="1"/>
  <c r="AJ284" i="1"/>
  <c r="AI284" i="1"/>
  <c r="AH284" i="1"/>
  <c r="AH284" i="1" a="1"/>
  <c r="AG284" i="1"/>
  <c r="AF284" i="1"/>
  <c r="BI283" i="1"/>
  <c r="BH283" i="1"/>
  <c r="BG283" i="1"/>
  <c r="BF283" i="1"/>
  <c r="BE283" i="1"/>
  <c r="BD283" i="1"/>
  <c r="BC283" i="1"/>
  <c r="BB283" i="1"/>
  <c r="BA283" i="1"/>
  <c r="AZ283" i="1"/>
  <c r="AY283" i="1"/>
  <c r="AX283" i="1"/>
  <c r="AW283" i="1"/>
  <c r="AV283" i="1"/>
  <c r="AU283" i="1"/>
  <c r="AT283" i="1"/>
  <c r="AS283" i="1"/>
  <c r="AR283" i="1"/>
  <c r="AQ283" i="1"/>
  <c r="AP283" i="1"/>
  <c r="AM283" i="1"/>
  <c r="AL283" i="1"/>
  <c r="AK283" i="1"/>
  <c r="AJ283" i="1"/>
  <c r="AI283" i="1"/>
  <c r="AH283" i="1"/>
  <c r="AH283" i="1" a="1"/>
  <c r="AG283" i="1"/>
  <c r="AF283" i="1"/>
  <c r="BI282" i="1"/>
  <c r="BH282" i="1"/>
  <c r="BG282" i="1"/>
  <c r="BF282" i="1"/>
  <c r="BE282" i="1"/>
  <c r="BD282" i="1"/>
  <c r="BC282" i="1"/>
  <c r="BB282" i="1"/>
  <c r="BA282" i="1"/>
  <c r="AZ282" i="1"/>
  <c r="AY282" i="1"/>
  <c r="AX282" i="1"/>
  <c r="AW282" i="1"/>
  <c r="AV282" i="1"/>
  <c r="AU282" i="1"/>
  <c r="AT282" i="1"/>
  <c r="AS282" i="1"/>
  <c r="AR282" i="1"/>
  <c r="AQ282" i="1"/>
  <c r="AP282" i="1"/>
  <c r="AM282" i="1"/>
  <c r="AL282" i="1"/>
  <c r="AK282" i="1"/>
  <c r="AJ282" i="1"/>
  <c r="AI282" i="1"/>
  <c r="AH282" i="1"/>
  <c r="AH282" i="1" a="1"/>
  <c r="AG282" i="1"/>
  <c r="AF282" i="1"/>
  <c r="BI281" i="1"/>
  <c r="BH281" i="1"/>
  <c r="BG281" i="1"/>
  <c r="BF281" i="1"/>
  <c r="BE281" i="1"/>
  <c r="BD281" i="1"/>
  <c r="BC281" i="1"/>
  <c r="BB281" i="1"/>
  <c r="BA281" i="1"/>
  <c r="AZ281" i="1"/>
  <c r="AY281" i="1"/>
  <c r="AX281" i="1"/>
  <c r="AW281" i="1"/>
  <c r="AV281" i="1"/>
  <c r="AU281" i="1"/>
  <c r="AT281" i="1"/>
  <c r="AS281" i="1"/>
  <c r="AR281" i="1"/>
  <c r="AQ281" i="1"/>
  <c r="AP281" i="1"/>
  <c r="AM281" i="1"/>
  <c r="AL281" i="1"/>
  <c r="AK281" i="1"/>
  <c r="AJ281" i="1"/>
  <c r="AI281" i="1"/>
  <c r="AH281" i="1"/>
  <c r="AH281" i="1" a="1"/>
  <c r="AG281" i="1"/>
  <c r="AF281" i="1"/>
  <c r="BI280" i="1"/>
  <c r="BH280" i="1"/>
  <c r="BG280" i="1"/>
  <c r="BF280" i="1"/>
  <c r="BE280" i="1"/>
  <c r="BD280" i="1"/>
  <c r="BC280" i="1"/>
  <c r="BB280" i="1"/>
  <c r="BA280" i="1"/>
  <c r="AZ280" i="1"/>
  <c r="AY280" i="1"/>
  <c r="AX280" i="1"/>
  <c r="AW280" i="1"/>
  <c r="AV280" i="1"/>
  <c r="AU280" i="1"/>
  <c r="AT280" i="1"/>
  <c r="AS280" i="1"/>
  <c r="AR280" i="1"/>
  <c r="AQ280" i="1"/>
  <c r="AP280" i="1"/>
  <c r="AM280" i="1"/>
  <c r="AL280" i="1"/>
  <c r="AK280" i="1"/>
  <c r="AJ280" i="1"/>
  <c r="AI280" i="1"/>
  <c r="AH280" i="1"/>
  <c r="AH280" i="1" a="1"/>
  <c r="AG280" i="1"/>
  <c r="AF280" i="1"/>
  <c r="BI279" i="1"/>
  <c r="BH279" i="1"/>
  <c r="BG279" i="1"/>
  <c r="BF279" i="1"/>
  <c r="BE279" i="1"/>
  <c r="BD279" i="1"/>
  <c r="BC279" i="1"/>
  <c r="BB279" i="1"/>
  <c r="BA279" i="1"/>
  <c r="AZ279" i="1"/>
  <c r="AY279" i="1"/>
  <c r="AX279" i="1"/>
  <c r="AW279" i="1"/>
  <c r="AV279" i="1"/>
  <c r="AU279" i="1"/>
  <c r="AT279" i="1"/>
  <c r="AS279" i="1"/>
  <c r="AR279" i="1"/>
  <c r="AQ279" i="1"/>
  <c r="AP279" i="1"/>
  <c r="AM279" i="1"/>
  <c r="AL279" i="1"/>
  <c r="AK279" i="1"/>
  <c r="AJ279" i="1"/>
  <c r="AI279" i="1"/>
  <c r="AH279" i="1"/>
  <c r="AH279" i="1" a="1"/>
  <c r="AG279" i="1"/>
  <c r="AF279" i="1"/>
  <c r="BI278" i="1"/>
  <c r="BH278" i="1"/>
  <c r="BG278" i="1"/>
  <c r="BF278" i="1"/>
  <c r="BE278" i="1"/>
  <c r="BD278" i="1"/>
  <c r="BC278" i="1"/>
  <c r="BB278" i="1"/>
  <c r="BA278" i="1"/>
  <c r="AZ278" i="1"/>
  <c r="AY278" i="1"/>
  <c r="AX278" i="1"/>
  <c r="AW278" i="1"/>
  <c r="AV278" i="1"/>
  <c r="AU278" i="1"/>
  <c r="AT278" i="1"/>
  <c r="AS278" i="1"/>
  <c r="AR278" i="1"/>
  <c r="AQ278" i="1"/>
  <c r="AP278" i="1"/>
  <c r="AM278" i="1"/>
  <c r="AL278" i="1"/>
  <c r="AK278" i="1"/>
  <c r="AJ278" i="1"/>
  <c r="AI278" i="1"/>
  <c r="AH278" i="1"/>
  <c r="AH278" i="1" a="1"/>
  <c r="AG278" i="1"/>
  <c r="AF278" i="1"/>
  <c r="BI277" i="1"/>
  <c r="BH277" i="1"/>
  <c r="BG277" i="1"/>
  <c r="BF277" i="1"/>
  <c r="BE277" i="1"/>
  <c r="BD277" i="1"/>
  <c r="BC277" i="1"/>
  <c r="BB277" i="1"/>
  <c r="BA277" i="1"/>
  <c r="AZ277" i="1"/>
  <c r="AY277" i="1"/>
  <c r="AX277" i="1"/>
  <c r="AW277" i="1"/>
  <c r="AV277" i="1"/>
  <c r="AU277" i="1"/>
  <c r="AT277" i="1"/>
  <c r="AS277" i="1"/>
  <c r="AR277" i="1"/>
  <c r="AQ277" i="1"/>
  <c r="AP277" i="1"/>
  <c r="AM277" i="1"/>
  <c r="AL277" i="1"/>
  <c r="AK277" i="1"/>
  <c r="AJ277" i="1"/>
  <c r="AI277" i="1"/>
  <c r="AH277" i="1"/>
  <c r="AH277" i="1" a="1"/>
  <c r="AG277" i="1"/>
  <c r="AF277" i="1"/>
  <c r="BI276" i="1"/>
  <c r="BH276" i="1"/>
  <c r="BG276" i="1"/>
  <c r="BF276" i="1"/>
  <c r="BE276" i="1"/>
  <c r="BD276" i="1"/>
  <c r="BC276" i="1"/>
  <c r="BB276" i="1"/>
  <c r="BA276" i="1"/>
  <c r="AZ276" i="1"/>
  <c r="AY276" i="1"/>
  <c r="AX276" i="1"/>
  <c r="AW276" i="1"/>
  <c r="AV276" i="1"/>
  <c r="AU276" i="1"/>
  <c r="AT276" i="1"/>
  <c r="AS276" i="1"/>
  <c r="AR276" i="1"/>
  <c r="AQ276" i="1"/>
  <c r="AP276" i="1"/>
  <c r="AM276" i="1"/>
  <c r="AL276" i="1"/>
  <c r="AK276" i="1"/>
  <c r="AJ276" i="1"/>
  <c r="AI276" i="1"/>
  <c r="AH276" i="1"/>
  <c r="AH276" i="1" a="1"/>
  <c r="AG276" i="1"/>
  <c r="AF276" i="1"/>
  <c r="BI275" i="1"/>
  <c r="BH275" i="1"/>
  <c r="BG275" i="1"/>
  <c r="BF275" i="1"/>
  <c r="BE275" i="1"/>
  <c r="BD275" i="1"/>
  <c r="BC275" i="1"/>
  <c r="BB275" i="1"/>
  <c r="BA275" i="1"/>
  <c r="AZ275" i="1"/>
  <c r="AY275" i="1"/>
  <c r="AX275" i="1"/>
  <c r="AW275" i="1"/>
  <c r="AV275" i="1"/>
  <c r="AU275" i="1"/>
  <c r="AT275" i="1"/>
  <c r="AS275" i="1"/>
  <c r="AR275" i="1"/>
  <c r="AQ275" i="1"/>
  <c r="AP275" i="1"/>
  <c r="AM275" i="1"/>
  <c r="AL275" i="1"/>
  <c r="AK275" i="1"/>
  <c r="AJ275" i="1"/>
  <c r="AI275" i="1"/>
  <c r="AH275" i="1"/>
  <c r="AH275" i="1" a="1"/>
  <c r="AG275" i="1"/>
  <c r="AF275" i="1"/>
  <c r="BI274" i="1"/>
  <c r="BH274" i="1"/>
  <c r="BG274" i="1"/>
  <c r="BF274" i="1"/>
  <c r="BE274" i="1"/>
  <c r="BD274" i="1"/>
  <c r="BC274" i="1"/>
  <c r="BB274" i="1"/>
  <c r="BA274" i="1"/>
  <c r="AZ274" i="1"/>
  <c r="AY274" i="1"/>
  <c r="AX274" i="1"/>
  <c r="AW274" i="1"/>
  <c r="AV274" i="1"/>
  <c r="AU274" i="1"/>
  <c r="AT274" i="1"/>
  <c r="AS274" i="1"/>
  <c r="AR274" i="1"/>
  <c r="AQ274" i="1"/>
  <c r="AP274" i="1"/>
  <c r="AM274" i="1"/>
  <c r="AL274" i="1"/>
  <c r="AK274" i="1"/>
  <c r="AJ274" i="1"/>
  <c r="AI274" i="1"/>
  <c r="AH274" i="1"/>
  <c r="AH274" i="1" a="1"/>
  <c r="AG274" i="1"/>
  <c r="AF274" i="1"/>
  <c r="BI273" i="1"/>
  <c r="BH273" i="1"/>
  <c r="BG273" i="1"/>
  <c r="BF273" i="1"/>
  <c r="BE273" i="1"/>
  <c r="BD273" i="1"/>
  <c r="BC273" i="1"/>
  <c r="BB273" i="1"/>
  <c r="BA273" i="1"/>
  <c r="AZ273" i="1"/>
  <c r="AY273" i="1"/>
  <c r="AX273" i="1"/>
  <c r="AW273" i="1"/>
  <c r="AV273" i="1"/>
  <c r="AU273" i="1"/>
  <c r="AT273" i="1"/>
  <c r="AS273" i="1"/>
  <c r="AR273" i="1"/>
  <c r="AQ273" i="1"/>
  <c r="AP273" i="1"/>
  <c r="AM273" i="1"/>
  <c r="AL273" i="1"/>
  <c r="AK273" i="1"/>
  <c r="AJ273" i="1"/>
  <c r="AI273" i="1"/>
  <c r="AH273" i="1"/>
  <c r="AH273" i="1" a="1"/>
  <c r="AG273" i="1"/>
  <c r="AF273" i="1"/>
  <c r="BI272" i="1"/>
  <c r="BH272" i="1"/>
  <c r="BG272" i="1"/>
  <c r="BF272" i="1"/>
  <c r="BE272" i="1"/>
  <c r="BD272" i="1"/>
  <c r="BC272" i="1"/>
  <c r="BB272" i="1"/>
  <c r="BA272" i="1"/>
  <c r="AZ272" i="1"/>
  <c r="AY272" i="1"/>
  <c r="AX272" i="1"/>
  <c r="AW272" i="1"/>
  <c r="AV272" i="1"/>
  <c r="AU272" i="1"/>
  <c r="AT272" i="1"/>
  <c r="AS272" i="1"/>
  <c r="AR272" i="1"/>
  <c r="AQ272" i="1"/>
  <c r="AP272" i="1"/>
  <c r="AM272" i="1"/>
  <c r="AL272" i="1"/>
  <c r="AK272" i="1"/>
  <c r="AJ272" i="1"/>
  <c r="AI272" i="1"/>
  <c r="AH272" i="1"/>
  <c r="AH272" i="1" a="1"/>
  <c r="AG272" i="1"/>
  <c r="AF272" i="1"/>
  <c r="BI271" i="1"/>
  <c r="BH271" i="1"/>
  <c r="BG271" i="1"/>
  <c r="BF271" i="1"/>
  <c r="BE271" i="1"/>
  <c r="BD271" i="1"/>
  <c r="BC271" i="1"/>
  <c r="BB271" i="1"/>
  <c r="BA271" i="1"/>
  <c r="AZ271" i="1"/>
  <c r="AY271" i="1"/>
  <c r="AX271" i="1"/>
  <c r="AW271" i="1"/>
  <c r="AV271" i="1"/>
  <c r="AU271" i="1"/>
  <c r="AT271" i="1"/>
  <c r="AS271" i="1"/>
  <c r="AR271" i="1"/>
  <c r="AQ271" i="1"/>
  <c r="AP271" i="1"/>
  <c r="AM271" i="1"/>
  <c r="AL271" i="1"/>
  <c r="AK271" i="1"/>
  <c r="AJ271" i="1"/>
  <c r="AI271" i="1"/>
  <c r="AH271" i="1"/>
  <c r="AH271" i="1" a="1"/>
  <c r="AG271" i="1"/>
  <c r="AF271" i="1"/>
  <c r="BI270" i="1"/>
  <c r="BH270" i="1"/>
  <c r="BG270" i="1"/>
  <c r="BF270" i="1"/>
  <c r="BE270" i="1"/>
  <c r="BD270" i="1"/>
  <c r="BC270" i="1"/>
  <c r="BB270" i="1"/>
  <c r="BA270" i="1"/>
  <c r="AZ270" i="1"/>
  <c r="AY270" i="1"/>
  <c r="AX270" i="1"/>
  <c r="AW270" i="1"/>
  <c r="AV270" i="1"/>
  <c r="AU270" i="1"/>
  <c r="AT270" i="1"/>
  <c r="AS270" i="1"/>
  <c r="AR270" i="1"/>
  <c r="AQ270" i="1"/>
  <c r="AP270" i="1"/>
  <c r="AM270" i="1"/>
  <c r="AL270" i="1"/>
  <c r="AK270" i="1"/>
  <c r="AJ270" i="1"/>
  <c r="AI270" i="1"/>
  <c r="AH270" i="1"/>
  <c r="AH270" i="1" a="1"/>
  <c r="AG270" i="1"/>
  <c r="AF270" i="1"/>
  <c r="BI269" i="1"/>
  <c r="BH269" i="1"/>
  <c r="BG269" i="1"/>
  <c r="BF269" i="1"/>
  <c r="BE269" i="1"/>
  <c r="BD269" i="1"/>
  <c r="BC269" i="1"/>
  <c r="BB269" i="1"/>
  <c r="BA269" i="1"/>
  <c r="AZ269" i="1"/>
  <c r="AY269" i="1"/>
  <c r="AX269" i="1"/>
  <c r="AW269" i="1"/>
  <c r="AV269" i="1"/>
  <c r="AU269" i="1"/>
  <c r="AT269" i="1"/>
  <c r="AS269" i="1"/>
  <c r="AR269" i="1"/>
  <c r="AQ269" i="1"/>
  <c r="AP269" i="1"/>
  <c r="AM269" i="1"/>
  <c r="AL269" i="1"/>
  <c r="AK269" i="1"/>
  <c r="AJ269" i="1"/>
  <c r="AI269" i="1"/>
  <c r="AH269" i="1"/>
  <c r="AH269" i="1" a="1"/>
  <c r="AG269" i="1"/>
  <c r="AF269" i="1"/>
  <c r="BI268" i="1"/>
  <c r="BH268" i="1"/>
  <c r="BG268" i="1"/>
  <c r="BF268" i="1"/>
  <c r="BE268" i="1"/>
  <c r="BD268" i="1"/>
  <c r="BC268" i="1"/>
  <c r="BB268" i="1"/>
  <c r="BA268" i="1"/>
  <c r="AZ268" i="1"/>
  <c r="AY268" i="1"/>
  <c r="AX268" i="1"/>
  <c r="AW268" i="1"/>
  <c r="AV268" i="1"/>
  <c r="AU268" i="1"/>
  <c r="AT268" i="1"/>
  <c r="AS268" i="1"/>
  <c r="AR268" i="1"/>
  <c r="AQ268" i="1"/>
  <c r="AP268" i="1"/>
  <c r="AM268" i="1"/>
  <c r="AL268" i="1"/>
  <c r="AK268" i="1"/>
  <c r="AJ268" i="1"/>
  <c r="AI268" i="1"/>
  <c r="AH268" i="1"/>
  <c r="AH268" i="1" a="1"/>
  <c r="AG268" i="1"/>
  <c r="AF268" i="1"/>
  <c r="BI267" i="1"/>
  <c r="BH267" i="1"/>
  <c r="BG267" i="1"/>
  <c r="BF267" i="1"/>
  <c r="BE267" i="1"/>
  <c r="BD267" i="1"/>
  <c r="BC267" i="1"/>
  <c r="BB267" i="1"/>
  <c r="BA267" i="1"/>
  <c r="AZ267" i="1"/>
  <c r="AY267" i="1"/>
  <c r="AX267" i="1"/>
  <c r="AW267" i="1"/>
  <c r="AV267" i="1"/>
  <c r="AU267" i="1"/>
  <c r="AT267" i="1"/>
  <c r="AS267" i="1"/>
  <c r="AR267" i="1"/>
  <c r="AQ267" i="1"/>
  <c r="AP267" i="1"/>
  <c r="AM267" i="1"/>
  <c r="AL267" i="1"/>
  <c r="AK267" i="1"/>
  <c r="AJ267" i="1"/>
  <c r="AI267" i="1"/>
  <c r="AH267" i="1"/>
  <c r="AH267" i="1" a="1"/>
  <c r="AG267" i="1"/>
  <c r="AF267" i="1"/>
  <c r="BI266" i="1"/>
  <c r="BH266" i="1"/>
  <c r="BG266" i="1"/>
  <c r="BF266" i="1"/>
  <c r="BE266" i="1"/>
  <c r="BD266" i="1"/>
  <c r="BC266" i="1"/>
  <c r="BB266" i="1"/>
  <c r="BA266" i="1"/>
  <c r="AZ266" i="1"/>
  <c r="AY266" i="1"/>
  <c r="AX266" i="1"/>
  <c r="AW266" i="1"/>
  <c r="AV266" i="1"/>
  <c r="AU266" i="1"/>
  <c r="AT266" i="1"/>
  <c r="AS266" i="1"/>
  <c r="AR266" i="1"/>
  <c r="AQ266" i="1"/>
  <c r="AP266" i="1"/>
  <c r="AM266" i="1"/>
  <c r="AL266" i="1"/>
  <c r="AK266" i="1"/>
  <c r="AJ266" i="1"/>
  <c r="AI266" i="1"/>
  <c r="AH266" i="1"/>
  <c r="AH266" i="1" a="1"/>
  <c r="AG266" i="1"/>
  <c r="AF266" i="1"/>
  <c r="BI265" i="1"/>
  <c r="BH265" i="1"/>
  <c r="BG265" i="1"/>
  <c r="BF265" i="1"/>
  <c r="BE265" i="1"/>
  <c r="BD265" i="1"/>
  <c r="BC265" i="1"/>
  <c r="BB265" i="1"/>
  <c r="BA265" i="1"/>
  <c r="AZ265" i="1"/>
  <c r="AY265" i="1"/>
  <c r="AX265" i="1"/>
  <c r="AW265" i="1"/>
  <c r="AV265" i="1"/>
  <c r="AU265" i="1"/>
  <c r="AT265" i="1"/>
  <c r="AS265" i="1"/>
  <c r="AR265" i="1"/>
  <c r="AQ265" i="1"/>
  <c r="AP265" i="1"/>
  <c r="AM265" i="1"/>
  <c r="AL265" i="1"/>
  <c r="AK265" i="1"/>
  <c r="AJ265" i="1"/>
  <c r="AI265" i="1"/>
  <c r="AH265" i="1"/>
  <c r="AH265" i="1" a="1"/>
  <c r="AG265" i="1"/>
  <c r="AF265" i="1"/>
  <c r="BI264" i="1"/>
  <c r="BH264" i="1"/>
  <c r="BG264" i="1"/>
  <c r="BF264" i="1"/>
  <c r="BE264" i="1"/>
  <c r="BD264" i="1"/>
  <c r="BC264" i="1"/>
  <c r="BB264" i="1"/>
  <c r="BA264" i="1"/>
  <c r="AZ264" i="1"/>
  <c r="AY264" i="1"/>
  <c r="AX264" i="1"/>
  <c r="AW264" i="1"/>
  <c r="AV264" i="1"/>
  <c r="AU264" i="1"/>
  <c r="AT264" i="1"/>
  <c r="AS264" i="1"/>
  <c r="AR264" i="1"/>
  <c r="AQ264" i="1"/>
  <c r="AP264" i="1"/>
  <c r="AM264" i="1"/>
  <c r="AL264" i="1"/>
  <c r="AK264" i="1"/>
  <c r="AJ264" i="1"/>
  <c r="AI264" i="1"/>
  <c r="AH264" i="1"/>
  <c r="AH264" i="1" a="1"/>
  <c r="AG264" i="1"/>
  <c r="AF264" i="1"/>
  <c r="BI263" i="1"/>
  <c r="BH263" i="1"/>
  <c r="BG263" i="1"/>
  <c r="BF263" i="1"/>
  <c r="BE263" i="1"/>
  <c r="BD263" i="1"/>
  <c r="BC263" i="1"/>
  <c r="BB263" i="1"/>
  <c r="BA263" i="1"/>
  <c r="AZ263" i="1"/>
  <c r="AY263" i="1"/>
  <c r="AX263" i="1"/>
  <c r="AW263" i="1"/>
  <c r="AV263" i="1"/>
  <c r="AU263" i="1"/>
  <c r="AT263" i="1"/>
  <c r="AS263" i="1"/>
  <c r="AR263" i="1"/>
  <c r="AQ263" i="1"/>
  <c r="AP263" i="1"/>
  <c r="AM263" i="1"/>
  <c r="AL263" i="1"/>
  <c r="AK263" i="1"/>
  <c r="AJ263" i="1"/>
  <c r="AI263" i="1"/>
  <c r="AH263" i="1"/>
  <c r="AH263" i="1" a="1"/>
  <c r="AG263" i="1"/>
  <c r="AF263" i="1"/>
  <c r="BI262" i="1"/>
  <c r="BH262" i="1"/>
  <c r="BG262" i="1"/>
  <c r="BF262" i="1"/>
  <c r="BE262" i="1"/>
  <c r="BD262" i="1"/>
  <c r="BC262" i="1"/>
  <c r="BB262" i="1"/>
  <c r="BA262" i="1"/>
  <c r="AZ262" i="1"/>
  <c r="AY262" i="1"/>
  <c r="AX262" i="1"/>
  <c r="AW262" i="1"/>
  <c r="AV262" i="1"/>
  <c r="AU262" i="1"/>
  <c r="AT262" i="1"/>
  <c r="AS262" i="1"/>
  <c r="AR262" i="1"/>
  <c r="AQ262" i="1"/>
  <c r="AP262" i="1"/>
  <c r="AM262" i="1"/>
  <c r="AL262" i="1"/>
  <c r="AK262" i="1"/>
  <c r="AJ262" i="1"/>
  <c r="AI262" i="1"/>
  <c r="AH262" i="1"/>
  <c r="AH262" i="1" a="1"/>
  <c r="AG262" i="1"/>
  <c r="AF262" i="1"/>
  <c r="BI261" i="1"/>
  <c r="BH261" i="1"/>
  <c r="BG261" i="1"/>
  <c r="BF261" i="1"/>
  <c r="BE261" i="1"/>
  <c r="BD261" i="1"/>
  <c r="BC261" i="1"/>
  <c r="BB261" i="1"/>
  <c r="BA261" i="1"/>
  <c r="AZ261" i="1"/>
  <c r="AY261" i="1"/>
  <c r="AX261" i="1"/>
  <c r="AW261" i="1"/>
  <c r="AV261" i="1"/>
  <c r="AU261" i="1"/>
  <c r="AT261" i="1"/>
  <c r="AS261" i="1"/>
  <c r="AR261" i="1"/>
  <c r="AQ261" i="1"/>
  <c r="AP261" i="1"/>
  <c r="AM261" i="1"/>
  <c r="AL261" i="1"/>
  <c r="AK261" i="1"/>
  <c r="AJ261" i="1"/>
  <c r="AI261" i="1"/>
  <c r="AH261" i="1"/>
  <c r="AH261" i="1" a="1"/>
  <c r="AG261" i="1"/>
  <c r="AF261" i="1"/>
  <c r="BI260" i="1"/>
  <c r="BH260" i="1"/>
  <c r="BG260" i="1"/>
  <c r="BF260" i="1"/>
  <c r="BE260" i="1"/>
  <c r="BD260" i="1"/>
  <c r="BC260" i="1"/>
  <c r="BB260" i="1"/>
  <c r="BA260" i="1"/>
  <c r="AZ260" i="1"/>
  <c r="AY260" i="1"/>
  <c r="AX260" i="1"/>
  <c r="AW260" i="1"/>
  <c r="AV260" i="1"/>
  <c r="AU260" i="1"/>
  <c r="AT260" i="1"/>
  <c r="AS260" i="1"/>
  <c r="AR260" i="1"/>
  <c r="AQ260" i="1"/>
  <c r="AP260" i="1"/>
  <c r="AM260" i="1"/>
  <c r="AL260" i="1"/>
  <c r="AK260" i="1"/>
  <c r="AJ260" i="1"/>
  <c r="AI260" i="1"/>
  <c r="AH260" i="1"/>
  <c r="AH260" i="1" a="1"/>
  <c r="AG260" i="1"/>
  <c r="AF260" i="1"/>
  <c r="BI259" i="1"/>
  <c r="BH259" i="1"/>
  <c r="BG259" i="1"/>
  <c r="BF259" i="1"/>
  <c r="BE259" i="1"/>
  <c r="BD259" i="1"/>
  <c r="BC259" i="1"/>
  <c r="BB259" i="1"/>
  <c r="BA259" i="1"/>
  <c r="AZ259" i="1"/>
  <c r="AY259" i="1"/>
  <c r="AX259" i="1"/>
  <c r="AW259" i="1"/>
  <c r="AV259" i="1"/>
  <c r="AU259" i="1"/>
  <c r="AT259" i="1"/>
  <c r="AS259" i="1"/>
  <c r="AR259" i="1"/>
  <c r="AQ259" i="1"/>
  <c r="AP259" i="1"/>
  <c r="AM259" i="1"/>
  <c r="AL259" i="1"/>
  <c r="AK259" i="1"/>
  <c r="AJ259" i="1"/>
  <c r="AI259" i="1"/>
  <c r="AH259" i="1"/>
  <c r="AH259" i="1" a="1"/>
  <c r="AG259" i="1"/>
  <c r="AF259" i="1"/>
  <c r="BI258" i="1"/>
  <c r="BH258" i="1"/>
  <c r="BG258" i="1"/>
  <c r="BF258" i="1"/>
  <c r="BE258" i="1"/>
  <c r="BD258" i="1"/>
  <c r="BC258" i="1"/>
  <c r="BB258" i="1"/>
  <c r="BA258" i="1"/>
  <c r="AZ258" i="1"/>
  <c r="AY258" i="1"/>
  <c r="AX258" i="1"/>
  <c r="AW258" i="1"/>
  <c r="AV258" i="1"/>
  <c r="AU258" i="1"/>
  <c r="AT258" i="1"/>
  <c r="AS258" i="1"/>
  <c r="AR258" i="1"/>
  <c r="AQ258" i="1"/>
  <c r="AP258" i="1"/>
  <c r="AM258" i="1"/>
  <c r="AL258" i="1"/>
  <c r="AK258" i="1"/>
  <c r="AJ258" i="1"/>
  <c r="AI258" i="1"/>
  <c r="AH258" i="1"/>
  <c r="AH258" i="1" a="1"/>
  <c r="AG258" i="1"/>
  <c r="AF258" i="1"/>
  <c r="BI257" i="1"/>
  <c r="BH257" i="1"/>
  <c r="BG257" i="1"/>
  <c r="BF257" i="1"/>
  <c r="BE257" i="1"/>
  <c r="BD257" i="1"/>
  <c r="BC257" i="1"/>
  <c r="BB257" i="1"/>
  <c r="BA257" i="1"/>
  <c r="AZ257" i="1"/>
  <c r="AY257" i="1"/>
  <c r="AX257" i="1"/>
  <c r="AW257" i="1"/>
  <c r="AV257" i="1"/>
  <c r="AU257" i="1"/>
  <c r="AT257" i="1"/>
  <c r="AS257" i="1"/>
  <c r="AR257" i="1"/>
  <c r="AQ257" i="1"/>
  <c r="AP257" i="1"/>
  <c r="AM257" i="1"/>
  <c r="AL257" i="1"/>
  <c r="AK257" i="1"/>
  <c r="AJ257" i="1"/>
  <c r="AI257" i="1"/>
  <c r="AH257" i="1"/>
  <c r="AH257" i="1" a="1"/>
  <c r="AG257" i="1"/>
  <c r="AF257" i="1"/>
  <c r="BI256" i="1"/>
  <c r="BH256" i="1"/>
  <c r="BG256" i="1"/>
  <c r="BF256" i="1"/>
  <c r="BE256" i="1"/>
  <c r="BD256" i="1"/>
  <c r="BC256" i="1"/>
  <c r="BB256" i="1"/>
  <c r="BA256" i="1"/>
  <c r="AZ256" i="1"/>
  <c r="AY256" i="1"/>
  <c r="AX256" i="1"/>
  <c r="AW256" i="1"/>
  <c r="AV256" i="1"/>
  <c r="AU256" i="1"/>
  <c r="AT256" i="1"/>
  <c r="AS256" i="1"/>
  <c r="AR256" i="1"/>
  <c r="AQ256" i="1"/>
  <c r="AP256" i="1"/>
  <c r="AM256" i="1"/>
  <c r="AL256" i="1"/>
  <c r="AK256" i="1"/>
  <c r="AJ256" i="1"/>
  <c r="AI256" i="1"/>
  <c r="AH256" i="1"/>
  <c r="AH256" i="1" a="1"/>
  <c r="AG256" i="1"/>
  <c r="AF256" i="1"/>
  <c r="BI255" i="1"/>
  <c r="BH255" i="1"/>
  <c r="BG255" i="1"/>
  <c r="BF255" i="1"/>
  <c r="BE255" i="1"/>
  <c r="BD255" i="1"/>
  <c r="BC255" i="1"/>
  <c r="BB255" i="1"/>
  <c r="BA255" i="1"/>
  <c r="AZ255" i="1"/>
  <c r="AY255" i="1"/>
  <c r="AX255" i="1"/>
  <c r="AW255" i="1"/>
  <c r="AV255" i="1"/>
  <c r="AU255" i="1"/>
  <c r="AT255" i="1"/>
  <c r="AS255" i="1"/>
  <c r="AR255" i="1"/>
  <c r="AQ255" i="1"/>
  <c r="AP255" i="1"/>
  <c r="AM255" i="1"/>
  <c r="AL255" i="1"/>
  <c r="AK255" i="1"/>
  <c r="AJ255" i="1"/>
  <c r="AI255" i="1"/>
  <c r="AH255" i="1"/>
  <c r="AH255" i="1" a="1"/>
  <c r="AG255" i="1"/>
  <c r="AF255" i="1"/>
  <c r="BI254" i="1"/>
  <c r="BH254" i="1"/>
  <c r="BG254" i="1"/>
  <c r="BF254" i="1"/>
  <c r="BE254" i="1"/>
  <c r="BD254" i="1"/>
  <c r="BC254" i="1"/>
  <c r="BB254" i="1"/>
  <c r="BA254" i="1"/>
  <c r="AZ254" i="1"/>
  <c r="AY254" i="1"/>
  <c r="AX254" i="1"/>
  <c r="AW254" i="1"/>
  <c r="AV254" i="1"/>
  <c r="AU254" i="1"/>
  <c r="AT254" i="1"/>
  <c r="AS254" i="1"/>
  <c r="AR254" i="1"/>
  <c r="AQ254" i="1"/>
  <c r="AP254" i="1"/>
  <c r="AM254" i="1"/>
  <c r="AL254" i="1"/>
  <c r="AK254" i="1"/>
  <c r="AJ254" i="1"/>
  <c r="AI254" i="1"/>
  <c r="AH254" i="1"/>
  <c r="AH254" i="1" a="1"/>
  <c r="AG254" i="1"/>
  <c r="AF254" i="1"/>
  <c r="BI253" i="1"/>
  <c r="BH253" i="1"/>
  <c r="BG253" i="1"/>
  <c r="BF253" i="1"/>
  <c r="BE253" i="1"/>
  <c r="BD253" i="1"/>
  <c r="BC253" i="1"/>
  <c r="BB253" i="1"/>
  <c r="BA253" i="1"/>
  <c r="AZ253" i="1"/>
  <c r="AY253" i="1"/>
  <c r="AX253" i="1"/>
  <c r="AW253" i="1"/>
  <c r="AV253" i="1"/>
  <c r="AU253" i="1"/>
  <c r="AT253" i="1"/>
  <c r="AS253" i="1"/>
  <c r="AR253" i="1"/>
  <c r="AQ253" i="1"/>
  <c r="AP253" i="1"/>
  <c r="AM253" i="1"/>
  <c r="AL253" i="1"/>
  <c r="AK253" i="1"/>
  <c r="AJ253" i="1"/>
  <c r="AI253" i="1"/>
  <c r="AH253" i="1"/>
  <c r="AH253" i="1" a="1"/>
  <c r="AG253" i="1"/>
  <c r="AF253" i="1"/>
  <c r="BI252" i="1"/>
  <c r="BH252" i="1"/>
  <c r="BG252" i="1"/>
  <c r="BF252" i="1"/>
  <c r="BE252" i="1"/>
  <c r="BD252" i="1"/>
  <c r="BC252" i="1"/>
  <c r="BB252" i="1"/>
  <c r="BA252" i="1"/>
  <c r="AZ252" i="1"/>
  <c r="AY252" i="1"/>
  <c r="AX252" i="1"/>
  <c r="AW252" i="1"/>
  <c r="AV252" i="1"/>
  <c r="AU252" i="1"/>
  <c r="AT252" i="1"/>
  <c r="AS252" i="1"/>
  <c r="AR252" i="1"/>
  <c r="AQ252" i="1"/>
  <c r="AP252" i="1"/>
  <c r="AM252" i="1"/>
  <c r="AL252" i="1"/>
  <c r="AK252" i="1"/>
  <c r="AJ252" i="1"/>
  <c r="AI252" i="1"/>
  <c r="AH252" i="1"/>
  <c r="AH252" i="1" a="1"/>
  <c r="AG252" i="1"/>
  <c r="AF252" i="1"/>
  <c r="BI251" i="1"/>
  <c r="BH251" i="1"/>
  <c r="BG251" i="1"/>
  <c r="BF251" i="1"/>
  <c r="BE251" i="1"/>
  <c r="BD251" i="1"/>
  <c r="BC251" i="1"/>
  <c r="BB251" i="1"/>
  <c r="BA251" i="1"/>
  <c r="AZ251" i="1"/>
  <c r="AY251" i="1"/>
  <c r="AX251" i="1"/>
  <c r="AW251" i="1"/>
  <c r="AV251" i="1"/>
  <c r="AU251" i="1"/>
  <c r="AT251" i="1"/>
  <c r="AS251" i="1"/>
  <c r="AR251" i="1"/>
  <c r="AQ251" i="1"/>
  <c r="AP251" i="1"/>
  <c r="AM251" i="1"/>
  <c r="AL251" i="1"/>
  <c r="AK251" i="1"/>
  <c r="AJ251" i="1"/>
  <c r="AI251" i="1"/>
  <c r="AH251" i="1"/>
  <c r="AH251" i="1" a="1"/>
  <c r="AG251" i="1"/>
  <c r="AF251" i="1"/>
  <c r="BI250" i="1"/>
  <c r="BH250" i="1"/>
  <c r="BG250" i="1"/>
  <c r="BF250" i="1"/>
  <c r="BE250" i="1"/>
  <c r="BD250" i="1"/>
  <c r="BC250" i="1"/>
  <c r="BB250" i="1"/>
  <c r="BA250" i="1"/>
  <c r="AZ250" i="1"/>
  <c r="AY250" i="1"/>
  <c r="AX250" i="1"/>
  <c r="AW250" i="1"/>
  <c r="AV250" i="1"/>
  <c r="AU250" i="1"/>
  <c r="AT250" i="1"/>
  <c r="AS250" i="1"/>
  <c r="AR250" i="1"/>
  <c r="AQ250" i="1"/>
  <c r="AP250" i="1"/>
  <c r="AM250" i="1"/>
  <c r="AL250" i="1"/>
  <c r="AK250" i="1"/>
  <c r="AJ250" i="1"/>
  <c r="AI250" i="1"/>
  <c r="AH250" i="1"/>
  <c r="AH250" i="1" a="1"/>
  <c r="AG250" i="1"/>
  <c r="AF250" i="1"/>
  <c r="BI249" i="1"/>
  <c r="BH249" i="1"/>
  <c r="BG249" i="1"/>
  <c r="BF249" i="1"/>
  <c r="BE249" i="1"/>
  <c r="BD249" i="1"/>
  <c r="BC249" i="1"/>
  <c r="BB249" i="1"/>
  <c r="BA249" i="1"/>
  <c r="AZ249" i="1"/>
  <c r="AY249" i="1"/>
  <c r="AX249" i="1"/>
  <c r="AW249" i="1"/>
  <c r="AV249" i="1"/>
  <c r="AU249" i="1"/>
  <c r="AT249" i="1"/>
  <c r="AS249" i="1"/>
  <c r="AR249" i="1"/>
  <c r="AQ249" i="1"/>
  <c r="AP249" i="1"/>
  <c r="AM249" i="1"/>
  <c r="AL249" i="1"/>
  <c r="AK249" i="1"/>
  <c r="AJ249" i="1"/>
  <c r="AI249" i="1"/>
  <c r="AH249" i="1"/>
  <c r="AH249" i="1" a="1"/>
  <c r="AG249" i="1"/>
  <c r="AF249" i="1"/>
  <c r="BI248" i="1"/>
  <c r="BH248" i="1"/>
  <c r="BG248" i="1"/>
  <c r="BF248" i="1"/>
  <c r="BE248" i="1"/>
  <c r="BD248" i="1"/>
  <c r="BC248" i="1"/>
  <c r="BB248" i="1"/>
  <c r="BA248" i="1"/>
  <c r="AZ248" i="1"/>
  <c r="AY248" i="1"/>
  <c r="AX248" i="1"/>
  <c r="AW248" i="1"/>
  <c r="AV248" i="1"/>
  <c r="AU248" i="1"/>
  <c r="AT248" i="1"/>
  <c r="AS248" i="1"/>
  <c r="AR248" i="1"/>
  <c r="AQ248" i="1"/>
  <c r="AP248" i="1"/>
  <c r="AM248" i="1"/>
  <c r="AL248" i="1"/>
  <c r="AK248" i="1"/>
  <c r="AJ248" i="1"/>
  <c r="AI248" i="1"/>
  <c r="AH248" i="1"/>
  <c r="AH248" i="1" a="1"/>
  <c r="AG248" i="1"/>
  <c r="AF248" i="1"/>
  <c r="BI247" i="1"/>
  <c r="BH247" i="1"/>
  <c r="BG247" i="1"/>
  <c r="BF247" i="1"/>
  <c r="BE247" i="1"/>
  <c r="BD247" i="1"/>
  <c r="BC247" i="1"/>
  <c r="BB247" i="1"/>
  <c r="BA247" i="1"/>
  <c r="AZ247" i="1"/>
  <c r="AY247" i="1"/>
  <c r="AX247" i="1"/>
  <c r="AW247" i="1"/>
  <c r="AV247" i="1"/>
  <c r="AU247" i="1"/>
  <c r="AT247" i="1"/>
  <c r="AS247" i="1"/>
  <c r="AR247" i="1"/>
  <c r="AQ247" i="1"/>
  <c r="AP247" i="1"/>
  <c r="AM247" i="1"/>
  <c r="AL247" i="1"/>
  <c r="AK247" i="1"/>
  <c r="AJ247" i="1"/>
  <c r="AI247" i="1"/>
  <c r="AH247" i="1"/>
  <c r="AH247" i="1" a="1"/>
  <c r="AG247" i="1"/>
  <c r="AF247" i="1"/>
  <c r="BI246" i="1"/>
  <c r="BH246" i="1"/>
  <c r="BG246" i="1"/>
  <c r="BF246" i="1"/>
  <c r="BE246" i="1"/>
  <c r="BD246" i="1"/>
  <c r="BC246" i="1"/>
  <c r="BB246" i="1"/>
  <c r="BA246" i="1"/>
  <c r="AZ246" i="1"/>
  <c r="AY246" i="1"/>
  <c r="AX246" i="1"/>
  <c r="AW246" i="1"/>
  <c r="AV246" i="1"/>
  <c r="AU246" i="1"/>
  <c r="AT246" i="1"/>
  <c r="AS246" i="1"/>
  <c r="AR246" i="1"/>
  <c r="AQ246" i="1"/>
  <c r="AP246" i="1"/>
  <c r="AM246" i="1"/>
  <c r="AL246" i="1"/>
  <c r="AK246" i="1"/>
  <c r="AJ246" i="1"/>
  <c r="AI246" i="1"/>
  <c r="AH246" i="1"/>
  <c r="AH246" i="1" a="1"/>
  <c r="AG246" i="1"/>
  <c r="AF246" i="1"/>
  <c r="BI245" i="1"/>
  <c r="BH245" i="1"/>
  <c r="BG245" i="1"/>
  <c r="BF245" i="1"/>
  <c r="BE245" i="1"/>
  <c r="BD245" i="1"/>
  <c r="BC245" i="1"/>
  <c r="BB245" i="1"/>
  <c r="BA245" i="1"/>
  <c r="AZ245" i="1"/>
  <c r="AY245" i="1"/>
  <c r="AX245" i="1"/>
  <c r="AW245" i="1"/>
  <c r="AV245" i="1"/>
  <c r="AU245" i="1"/>
  <c r="AT245" i="1"/>
  <c r="AS245" i="1"/>
  <c r="AR245" i="1"/>
  <c r="AQ245" i="1"/>
  <c r="AP245" i="1"/>
  <c r="AM245" i="1"/>
  <c r="AL245" i="1"/>
  <c r="AK245" i="1"/>
  <c r="AJ245" i="1"/>
  <c r="AI245" i="1"/>
  <c r="AH245" i="1"/>
  <c r="AH245" i="1" a="1"/>
  <c r="AG245" i="1"/>
  <c r="AF245" i="1"/>
  <c r="BI244" i="1"/>
  <c r="BH244" i="1"/>
  <c r="BG244" i="1"/>
  <c r="BF244" i="1"/>
  <c r="BE244" i="1"/>
  <c r="BD244" i="1"/>
  <c r="BC244" i="1"/>
  <c r="BB244" i="1"/>
  <c r="BA244" i="1"/>
  <c r="AZ244" i="1"/>
  <c r="AY244" i="1"/>
  <c r="AX244" i="1"/>
  <c r="AW244" i="1"/>
  <c r="AV244" i="1"/>
  <c r="AU244" i="1"/>
  <c r="AT244" i="1"/>
  <c r="AS244" i="1"/>
  <c r="AR244" i="1"/>
  <c r="AQ244" i="1"/>
  <c r="AP244" i="1"/>
  <c r="AM244" i="1"/>
  <c r="AL244" i="1"/>
  <c r="AK244" i="1"/>
  <c r="AJ244" i="1"/>
  <c r="AI244" i="1"/>
  <c r="AH244" i="1"/>
  <c r="AH244" i="1" a="1"/>
  <c r="AG244" i="1"/>
  <c r="AF244" i="1"/>
  <c r="BI243" i="1"/>
  <c r="BH243" i="1"/>
  <c r="BG243" i="1"/>
  <c r="BF243" i="1"/>
  <c r="BE243" i="1"/>
  <c r="BD243" i="1"/>
  <c r="BC243" i="1"/>
  <c r="BB243" i="1"/>
  <c r="BA243" i="1"/>
  <c r="AZ243" i="1"/>
  <c r="AY243" i="1"/>
  <c r="AX243" i="1"/>
  <c r="AW243" i="1"/>
  <c r="AV243" i="1"/>
  <c r="AU243" i="1"/>
  <c r="AT243" i="1"/>
  <c r="AS243" i="1"/>
  <c r="AR243" i="1"/>
  <c r="AQ243" i="1"/>
  <c r="AP243" i="1"/>
  <c r="AM243" i="1"/>
  <c r="AL243" i="1"/>
  <c r="AK243" i="1"/>
  <c r="AJ243" i="1"/>
  <c r="AI243" i="1"/>
  <c r="AH243" i="1"/>
  <c r="AH243" i="1" a="1"/>
  <c r="AG243" i="1"/>
  <c r="AF243" i="1"/>
  <c r="BI242" i="1"/>
  <c r="BH242" i="1"/>
  <c r="BG242" i="1"/>
  <c r="BF242" i="1"/>
  <c r="BE242" i="1"/>
  <c r="BD242" i="1"/>
  <c r="BC242" i="1"/>
  <c r="BB242" i="1"/>
  <c r="BA242" i="1"/>
  <c r="AZ242" i="1"/>
  <c r="AY242" i="1"/>
  <c r="AX242" i="1"/>
  <c r="AW242" i="1"/>
  <c r="AV242" i="1"/>
  <c r="AU242" i="1"/>
  <c r="AT242" i="1"/>
  <c r="AS242" i="1"/>
  <c r="AR242" i="1"/>
  <c r="AQ242" i="1"/>
  <c r="AP242" i="1"/>
  <c r="AM242" i="1"/>
  <c r="AL242" i="1"/>
  <c r="AK242" i="1"/>
  <c r="AJ242" i="1"/>
  <c r="AI242" i="1"/>
  <c r="AH242" i="1"/>
  <c r="AH242" i="1" a="1"/>
  <c r="AG242" i="1"/>
  <c r="AF242" i="1"/>
  <c r="BI241" i="1"/>
  <c r="BH241" i="1"/>
  <c r="BG241" i="1"/>
  <c r="BF241" i="1"/>
  <c r="BE241" i="1"/>
  <c r="BD241" i="1"/>
  <c r="BC241" i="1"/>
  <c r="BB241" i="1"/>
  <c r="BA241" i="1"/>
  <c r="AZ241" i="1"/>
  <c r="AY241" i="1"/>
  <c r="AX241" i="1"/>
  <c r="AW241" i="1"/>
  <c r="AV241" i="1"/>
  <c r="AU241" i="1"/>
  <c r="AT241" i="1"/>
  <c r="AS241" i="1"/>
  <c r="AR241" i="1"/>
  <c r="AQ241" i="1"/>
  <c r="AP241" i="1"/>
  <c r="AM241" i="1"/>
  <c r="AL241" i="1"/>
  <c r="AK241" i="1"/>
  <c r="AJ241" i="1"/>
  <c r="AI241" i="1"/>
  <c r="AH241" i="1"/>
  <c r="AH241" i="1" a="1"/>
  <c r="AG241" i="1"/>
  <c r="AF241" i="1"/>
  <c r="BI240" i="1"/>
  <c r="BH240" i="1"/>
  <c r="BG240" i="1"/>
  <c r="BF240" i="1"/>
  <c r="BE240" i="1"/>
  <c r="BD240" i="1"/>
  <c r="BC240" i="1"/>
  <c r="BB240" i="1"/>
  <c r="BA240" i="1"/>
  <c r="AZ240" i="1"/>
  <c r="AY240" i="1"/>
  <c r="AX240" i="1"/>
  <c r="AW240" i="1"/>
  <c r="AV240" i="1"/>
  <c r="AU240" i="1"/>
  <c r="AT240" i="1"/>
  <c r="AS240" i="1"/>
  <c r="AR240" i="1"/>
  <c r="AQ240" i="1"/>
  <c r="AP240" i="1"/>
  <c r="AM240" i="1"/>
  <c r="AL240" i="1"/>
  <c r="AK240" i="1"/>
  <c r="AJ240" i="1"/>
  <c r="AI240" i="1"/>
  <c r="AH240" i="1"/>
  <c r="AH240" i="1" a="1"/>
  <c r="AG240" i="1"/>
  <c r="AF240" i="1"/>
  <c r="BI239" i="1"/>
  <c r="BH239" i="1"/>
  <c r="BG239" i="1"/>
  <c r="BF239" i="1"/>
  <c r="BE239" i="1"/>
  <c r="BD239" i="1"/>
  <c r="BC239" i="1"/>
  <c r="BB239" i="1"/>
  <c r="BA239" i="1"/>
  <c r="AZ239" i="1"/>
  <c r="AY239" i="1"/>
  <c r="AX239" i="1"/>
  <c r="AW239" i="1"/>
  <c r="AV239" i="1"/>
  <c r="AU239" i="1"/>
  <c r="AT239" i="1"/>
  <c r="AS239" i="1"/>
  <c r="AR239" i="1"/>
  <c r="AQ239" i="1"/>
  <c r="AP239" i="1"/>
  <c r="AM239" i="1"/>
  <c r="AL239" i="1"/>
  <c r="AK239" i="1"/>
  <c r="AJ239" i="1"/>
  <c r="AI239" i="1"/>
  <c r="AH239" i="1"/>
  <c r="AH239" i="1" a="1"/>
  <c r="AG239" i="1"/>
  <c r="AF239" i="1"/>
  <c r="BI238" i="1"/>
  <c r="BH238" i="1"/>
  <c r="BG238" i="1"/>
  <c r="BF238" i="1"/>
  <c r="BE238" i="1"/>
  <c r="BD238" i="1"/>
  <c r="BC238" i="1"/>
  <c r="BB238" i="1"/>
  <c r="BA238" i="1"/>
  <c r="AZ238" i="1"/>
  <c r="AY238" i="1"/>
  <c r="AX238" i="1"/>
  <c r="AW238" i="1"/>
  <c r="AV238" i="1"/>
  <c r="AU238" i="1"/>
  <c r="AT238" i="1"/>
  <c r="AS238" i="1"/>
  <c r="AR238" i="1"/>
  <c r="AQ238" i="1"/>
  <c r="AP238" i="1"/>
  <c r="AM238" i="1"/>
  <c r="AL238" i="1"/>
  <c r="AK238" i="1"/>
  <c r="AJ238" i="1"/>
  <c r="AI238" i="1"/>
  <c r="AH238" i="1"/>
  <c r="AH238" i="1" a="1"/>
  <c r="AG238" i="1"/>
  <c r="AF238" i="1"/>
  <c r="BI237" i="1"/>
  <c r="BH237" i="1"/>
  <c r="BG237" i="1"/>
  <c r="BF237" i="1"/>
  <c r="BE237" i="1"/>
  <c r="BD237" i="1"/>
  <c r="BC237" i="1"/>
  <c r="BB237" i="1"/>
  <c r="BA237" i="1"/>
  <c r="AZ237" i="1"/>
  <c r="AY237" i="1"/>
  <c r="AX237" i="1"/>
  <c r="AW237" i="1"/>
  <c r="AV237" i="1"/>
  <c r="AU237" i="1"/>
  <c r="AT237" i="1"/>
  <c r="AS237" i="1"/>
  <c r="AR237" i="1"/>
  <c r="AQ237" i="1"/>
  <c r="AP237" i="1"/>
  <c r="AM237" i="1"/>
  <c r="AL237" i="1"/>
  <c r="AK237" i="1"/>
  <c r="AJ237" i="1"/>
  <c r="AI237" i="1"/>
  <c r="AH237" i="1"/>
  <c r="AH237" i="1" a="1"/>
  <c r="AG237" i="1"/>
  <c r="AF237" i="1"/>
  <c r="BI236" i="1"/>
  <c r="BH236" i="1"/>
  <c r="BG236" i="1"/>
  <c r="BF236" i="1"/>
  <c r="BE236" i="1"/>
  <c r="BD236" i="1"/>
  <c r="BC236" i="1"/>
  <c r="BB236" i="1"/>
  <c r="BA236" i="1"/>
  <c r="AZ236" i="1"/>
  <c r="AY236" i="1"/>
  <c r="AX236" i="1"/>
  <c r="AW236" i="1"/>
  <c r="AV236" i="1"/>
  <c r="AU236" i="1"/>
  <c r="AT236" i="1"/>
  <c r="AS236" i="1"/>
  <c r="AR236" i="1"/>
  <c r="AQ236" i="1"/>
  <c r="AP236" i="1"/>
  <c r="AM236" i="1"/>
  <c r="AL236" i="1"/>
  <c r="AK236" i="1"/>
  <c r="AJ236" i="1"/>
  <c r="AI236" i="1"/>
  <c r="AH236" i="1"/>
  <c r="AH236" i="1" a="1"/>
  <c r="AG236" i="1"/>
  <c r="AF236" i="1"/>
  <c r="BI235" i="1"/>
  <c r="BH235" i="1"/>
  <c r="BG235" i="1"/>
  <c r="BF235" i="1"/>
  <c r="BE235" i="1"/>
  <c r="BD235" i="1"/>
  <c r="BC235" i="1"/>
  <c r="BB235" i="1"/>
  <c r="BA235" i="1"/>
  <c r="AZ235" i="1"/>
  <c r="AY235" i="1"/>
  <c r="AX235" i="1"/>
  <c r="AW235" i="1"/>
  <c r="AV235" i="1"/>
  <c r="AU235" i="1"/>
  <c r="AT235" i="1"/>
  <c r="AS235" i="1"/>
  <c r="AR235" i="1"/>
  <c r="AQ235" i="1"/>
  <c r="AP235" i="1"/>
  <c r="AM235" i="1"/>
  <c r="AL235" i="1"/>
  <c r="AK235" i="1"/>
  <c r="AJ235" i="1"/>
  <c r="AI235" i="1"/>
  <c r="AH235" i="1"/>
  <c r="AH235" i="1" a="1"/>
  <c r="AG235" i="1"/>
  <c r="AF235" i="1"/>
  <c r="BI234" i="1"/>
  <c r="BH234" i="1"/>
  <c r="BG234" i="1"/>
  <c r="BF234" i="1"/>
  <c r="BE234" i="1"/>
  <c r="BD234" i="1"/>
  <c r="BC234" i="1"/>
  <c r="BB234" i="1"/>
  <c r="BA234" i="1"/>
  <c r="AZ234" i="1"/>
  <c r="AY234" i="1"/>
  <c r="AX234" i="1"/>
  <c r="AW234" i="1"/>
  <c r="AV234" i="1"/>
  <c r="AU234" i="1"/>
  <c r="AT234" i="1"/>
  <c r="AS234" i="1"/>
  <c r="AR234" i="1"/>
  <c r="AQ234" i="1"/>
  <c r="AP234" i="1"/>
  <c r="AM234" i="1"/>
  <c r="AL234" i="1"/>
  <c r="AK234" i="1"/>
  <c r="AJ234" i="1"/>
  <c r="AI234" i="1"/>
  <c r="AH234" i="1"/>
  <c r="AH234" i="1" a="1"/>
  <c r="AG234" i="1"/>
  <c r="AF234" i="1"/>
  <c r="BI233" i="1"/>
  <c r="BH233" i="1"/>
  <c r="BG233" i="1"/>
  <c r="BF233" i="1"/>
  <c r="BE233" i="1"/>
  <c r="BD233" i="1"/>
  <c r="BC233" i="1"/>
  <c r="BB233" i="1"/>
  <c r="BA233" i="1"/>
  <c r="AZ233" i="1"/>
  <c r="AY233" i="1"/>
  <c r="AX233" i="1"/>
  <c r="AW233" i="1"/>
  <c r="AV233" i="1"/>
  <c r="AU233" i="1"/>
  <c r="AT233" i="1"/>
  <c r="AS233" i="1"/>
  <c r="AR233" i="1"/>
  <c r="AQ233" i="1"/>
  <c r="AP233" i="1"/>
  <c r="AM233" i="1"/>
  <c r="AL233" i="1"/>
  <c r="AK233" i="1"/>
  <c r="AJ233" i="1"/>
  <c r="AI233" i="1"/>
  <c r="AH233" i="1"/>
  <c r="AH233" i="1" a="1"/>
  <c r="AG233" i="1"/>
  <c r="AF233" i="1"/>
  <c r="BI232" i="1"/>
  <c r="BH232" i="1"/>
  <c r="BG232" i="1"/>
  <c r="BF232" i="1"/>
  <c r="BE232" i="1"/>
  <c r="BD232" i="1"/>
  <c r="BC232" i="1"/>
  <c r="BB232" i="1"/>
  <c r="BA232" i="1"/>
  <c r="AZ232" i="1"/>
  <c r="AY232" i="1"/>
  <c r="AX232" i="1"/>
  <c r="AW232" i="1"/>
  <c r="AV232" i="1"/>
  <c r="AU232" i="1"/>
  <c r="AT232" i="1"/>
  <c r="AS232" i="1"/>
  <c r="AR232" i="1"/>
  <c r="AQ232" i="1"/>
  <c r="AP232" i="1"/>
  <c r="AM232" i="1"/>
  <c r="AL232" i="1"/>
  <c r="AK232" i="1"/>
  <c r="AJ232" i="1"/>
  <c r="AI232" i="1"/>
  <c r="AH232" i="1"/>
  <c r="AH232" i="1" a="1"/>
  <c r="AG232" i="1"/>
  <c r="AF232" i="1"/>
  <c r="BI231" i="1"/>
  <c r="BH231" i="1"/>
  <c r="BG231" i="1"/>
  <c r="BF231" i="1"/>
  <c r="BE231" i="1"/>
  <c r="BD231" i="1"/>
  <c r="BC231" i="1"/>
  <c r="BB231" i="1"/>
  <c r="BA231" i="1"/>
  <c r="AZ231" i="1"/>
  <c r="AY231" i="1"/>
  <c r="AX231" i="1"/>
  <c r="AW231" i="1"/>
  <c r="AV231" i="1"/>
  <c r="AU231" i="1"/>
  <c r="AT231" i="1"/>
  <c r="AS231" i="1"/>
  <c r="AR231" i="1"/>
  <c r="AQ231" i="1"/>
  <c r="AP231" i="1"/>
  <c r="AM231" i="1"/>
  <c r="AL231" i="1"/>
  <c r="AK231" i="1"/>
  <c r="AJ231" i="1"/>
  <c r="AI231" i="1"/>
  <c r="AH231" i="1"/>
  <c r="AH231" i="1" a="1"/>
  <c r="AG231" i="1"/>
  <c r="AF231" i="1"/>
  <c r="BI230" i="1"/>
  <c r="BH230" i="1"/>
  <c r="BG230" i="1"/>
  <c r="BF230" i="1"/>
  <c r="BE230" i="1"/>
  <c r="BD230" i="1"/>
  <c r="BC230" i="1"/>
  <c r="BB230" i="1"/>
  <c r="BA230" i="1"/>
  <c r="AZ230" i="1"/>
  <c r="AY230" i="1"/>
  <c r="AX230" i="1"/>
  <c r="AW230" i="1"/>
  <c r="AV230" i="1"/>
  <c r="AU230" i="1"/>
  <c r="AT230" i="1"/>
  <c r="AS230" i="1"/>
  <c r="AR230" i="1"/>
  <c r="AQ230" i="1"/>
  <c r="AP230" i="1"/>
  <c r="AM230" i="1"/>
  <c r="AL230" i="1"/>
  <c r="AK230" i="1"/>
  <c r="AJ230" i="1"/>
  <c r="AI230" i="1"/>
  <c r="AH230" i="1"/>
  <c r="AH230" i="1" a="1"/>
  <c r="AG230" i="1"/>
  <c r="AF230" i="1"/>
  <c r="BI229" i="1"/>
  <c r="BH229" i="1"/>
  <c r="BG229" i="1"/>
  <c r="BF229" i="1"/>
  <c r="BE229" i="1"/>
  <c r="BD229" i="1"/>
  <c r="BC229" i="1"/>
  <c r="BB229" i="1"/>
  <c r="BA229" i="1"/>
  <c r="AZ229" i="1"/>
  <c r="AY229" i="1"/>
  <c r="AX229" i="1"/>
  <c r="AW229" i="1"/>
  <c r="AV229" i="1"/>
  <c r="AU229" i="1"/>
  <c r="AT229" i="1"/>
  <c r="AS229" i="1"/>
  <c r="AR229" i="1"/>
  <c r="AQ229" i="1"/>
  <c r="AP229" i="1"/>
  <c r="AM229" i="1"/>
  <c r="AL229" i="1"/>
  <c r="AK229" i="1"/>
  <c r="AJ229" i="1"/>
  <c r="AI229" i="1"/>
  <c r="AH229" i="1"/>
  <c r="AH229" i="1" a="1"/>
  <c r="AG229" i="1"/>
  <c r="AF229" i="1"/>
  <c r="BI228" i="1"/>
  <c r="BH228" i="1"/>
  <c r="BG228" i="1"/>
  <c r="BF228" i="1"/>
  <c r="BE228" i="1"/>
  <c r="BD228" i="1"/>
  <c r="BC228" i="1"/>
  <c r="BB228" i="1"/>
  <c r="BA228" i="1"/>
  <c r="AZ228" i="1"/>
  <c r="AY228" i="1"/>
  <c r="AX228" i="1"/>
  <c r="AW228" i="1"/>
  <c r="AV228" i="1"/>
  <c r="AU228" i="1"/>
  <c r="AT228" i="1"/>
  <c r="AS228" i="1"/>
  <c r="AR228" i="1"/>
  <c r="AQ228" i="1"/>
  <c r="AP228" i="1"/>
  <c r="AM228" i="1"/>
  <c r="AL228" i="1"/>
  <c r="AK228" i="1"/>
  <c r="AJ228" i="1"/>
  <c r="AI228" i="1"/>
  <c r="AH228" i="1"/>
  <c r="AH228" i="1" a="1"/>
  <c r="AG228" i="1"/>
  <c r="AF228" i="1"/>
  <c r="BI227" i="1"/>
  <c r="BH227" i="1"/>
  <c r="BG227" i="1"/>
  <c r="BF227" i="1"/>
  <c r="BE227" i="1"/>
  <c r="BD227" i="1"/>
  <c r="BC227" i="1"/>
  <c r="BB227" i="1"/>
  <c r="BA227" i="1"/>
  <c r="AZ227" i="1"/>
  <c r="AY227" i="1"/>
  <c r="AX227" i="1"/>
  <c r="AW227" i="1"/>
  <c r="AV227" i="1"/>
  <c r="AU227" i="1"/>
  <c r="AT227" i="1"/>
  <c r="AS227" i="1"/>
  <c r="AR227" i="1"/>
  <c r="AQ227" i="1"/>
  <c r="AP227" i="1"/>
  <c r="AM227" i="1"/>
  <c r="AL227" i="1"/>
  <c r="AK227" i="1"/>
  <c r="AJ227" i="1"/>
  <c r="AI227" i="1"/>
  <c r="AH227" i="1"/>
  <c r="AH227" i="1" a="1"/>
  <c r="AG227" i="1"/>
  <c r="AF227" i="1"/>
  <c r="BI226" i="1"/>
  <c r="BH226" i="1"/>
  <c r="BG226" i="1"/>
  <c r="BF226" i="1"/>
  <c r="BE226" i="1"/>
  <c r="BD226" i="1"/>
  <c r="BC226" i="1"/>
  <c r="BB226" i="1"/>
  <c r="BA226" i="1"/>
  <c r="AZ226" i="1"/>
  <c r="AY226" i="1"/>
  <c r="AX226" i="1"/>
  <c r="AW226" i="1"/>
  <c r="AV226" i="1"/>
  <c r="AU226" i="1"/>
  <c r="AT226" i="1"/>
  <c r="AS226" i="1"/>
  <c r="AR226" i="1"/>
  <c r="AQ226" i="1"/>
  <c r="AP226" i="1"/>
  <c r="AM226" i="1"/>
  <c r="AL226" i="1"/>
  <c r="AK226" i="1"/>
  <c r="AJ226" i="1"/>
  <c r="AI226" i="1"/>
  <c r="AH226" i="1"/>
  <c r="AH226" i="1" a="1"/>
  <c r="AG226" i="1"/>
  <c r="AF226" i="1"/>
  <c r="BI225" i="1"/>
  <c r="BH225" i="1"/>
  <c r="BG225" i="1"/>
  <c r="BF225" i="1"/>
  <c r="BE225" i="1"/>
  <c r="BD225" i="1"/>
  <c r="BC225" i="1"/>
  <c r="BB225" i="1"/>
  <c r="BA225" i="1"/>
  <c r="AZ225" i="1"/>
  <c r="AY225" i="1"/>
  <c r="AX225" i="1"/>
  <c r="AW225" i="1"/>
  <c r="AV225" i="1"/>
  <c r="AU225" i="1"/>
  <c r="AT225" i="1"/>
  <c r="AS225" i="1"/>
  <c r="AR225" i="1"/>
  <c r="AQ225" i="1"/>
  <c r="AP225" i="1"/>
  <c r="AM225" i="1"/>
  <c r="AL225" i="1"/>
  <c r="AK225" i="1"/>
  <c r="AJ225" i="1"/>
  <c r="AI225" i="1"/>
  <c r="AH225" i="1"/>
  <c r="AH225" i="1" a="1"/>
  <c r="AG225" i="1"/>
  <c r="AF225" i="1"/>
  <c r="BI224" i="1"/>
  <c r="BH224" i="1"/>
  <c r="BG224" i="1"/>
  <c r="BF224" i="1"/>
  <c r="BE224" i="1"/>
  <c r="BD224" i="1"/>
  <c r="BC224" i="1"/>
  <c r="BB224" i="1"/>
  <c r="BA224" i="1"/>
  <c r="AZ224" i="1"/>
  <c r="AY224" i="1"/>
  <c r="AX224" i="1"/>
  <c r="AW224" i="1"/>
  <c r="AV224" i="1"/>
  <c r="AU224" i="1"/>
  <c r="AT224" i="1"/>
  <c r="AS224" i="1"/>
  <c r="AR224" i="1"/>
  <c r="AQ224" i="1"/>
  <c r="AP224" i="1"/>
  <c r="AM224" i="1"/>
  <c r="AL224" i="1"/>
  <c r="AK224" i="1"/>
  <c r="AJ224" i="1"/>
  <c r="AI224" i="1"/>
  <c r="AH224" i="1"/>
  <c r="AH224" i="1" a="1"/>
  <c r="AG224" i="1"/>
  <c r="AF224" i="1"/>
  <c r="BI223" i="1"/>
  <c r="BH223" i="1"/>
  <c r="BG223" i="1"/>
  <c r="BF223" i="1"/>
  <c r="BE223" i="1"/>
  <c r="BD223" i="1"/>
  <c r="BC223" i="1"/>
  <c r="BB223" i="1"/>
  <c r="BA223" i="1"/>
  <c r="AZ223" i="1"/>
  <c r="AY223" i="1"/>
  <c r="AX223" i="1"/>
  <c r="AW223" i="1"/>
  <c r="AV223" i="1"/>
  <c r="AU223" i="1"/>
  <c r="AT223" i="1"/>
  <c r="AS223" i="1"/>
  <c r="AR223" i="1"/>
  <c r="AQ223" i="1"/>
  <c r="AP223" i="1"/>
  <c r="AM223" i="1"/>
  <c r="AL223" i="1"/>
  <c r="AK223" i="1"/>
  <c r="AJ223" i="1"/>
  <c r="AI223" i="1"/>
  <c r="AH223" i="1"/>
  <c r="AH223" i="1" a="1"/>
  <c r="AG223" i="1"/>
  <c r="AF223" i="1"/>
  <c r="BI222" i="1"/>
  <c r="BH222" i="1"/>
  <c r="BG222" i="1"/>
  <c r="BF222" i="1"/>
  <c r="BE222" i="1"/>
  <c r="BD222" i="1"/>
  <c r="BC222" i="1"/>
  <c r="BB222" i="1"/>
  <c r="BA222" i="1"/>
  <c r="AZ222" i="1"/>
  <c r="AY222" i="1"/>
  <c r="AX222" i="1"/>
  <c r="AW222" i="1"/>
  <c r="AV222" i="1"/>
  <c r="AU222" i="1"/>
  <c r="AT222" i="1"/>
  <c r="AS222" i="1"/>
  <c r="AR222" i="1"/>
  <c r="AQ222" i="1"/>
  <c r="AP222" i="1"/>
  <c r="AM222" i="1"/>
  <c r="AL222" i="1"/>
  <c r="AK222" i="1"/>
  <c r="AJ222" i="1"/>
  <c r="AI222" i="1"/>
  <c r="AH222" i="1"/>
  <c r="AH222" i="1" a="1"/>
  <c r="AG222" i="1"/>
  <c r="AF222" i="1"/>
  <c r="BI221" i="1"/>
  <c r="BH221" i="1"/>
  <c r="BG221" i="1"/>
  <c r="BF221" i="1"/>
  <c r="BE221" i="1"/>
  <c r="BD221" i="1"/>
  <c r="BC221" i="1"/>
  <c r="BB221" i="1"/>
  <c r="BA221" i="1"/>
  <c r="AZ221" i="1"/>
  <c r="AY221" i="1"/>
  <c r="AX221" i="1"/>
  <c r="AW221" i="1"/>
  <c r="AV221" i="1"/>
  <c r="AU221" i="1"/>
  <c r="AT221" i="1"/>
  <c r="AS221" i="1"/>
  <c r="AR221" i="1"/>
  <c r="AQ221" i="1"/>
  <c r="AP221" i="1"/>
  <c r="AM221" i="1"/>
  <c r="AL221" i="1"/>
  <c r="AK221" i="1"/>
  <c r="AJ221" i="1"/>
  <c r="AI221" i="1"/>
  <c r="AH221" i="1"/>
  <c r="AH221" i="1" a="1"/>
  <c r="AG221" i="1"/>
  <c r="AF221" i="1"/>
  <c r="BI220" i="1"/>
  <c r="BH220" i="1"/>
  <c r="BG220" i="1"/>
  <c r="BF220" i="1"/>
  <c r="BE220" i="1"/>
  <c r="BD220" i="1"/>
  <c r="BC220" i="1"/>
  <c r="BB220" i="1"/>
  <c r="BA220" i="1"/>
  <c r="AZ220" i="1"/>
  <c r="AY220" i="1"/>
  <c r="AX220" i="1"/>
  <c r="AW220" i="1"/>
  <c r="AV220" i="1"/>
  <c r="AU220" i="1"/>
  <c r="AT220" i="1"/>
  <c r="AS220" i="1"/>
  <c r="AR220" i="1"/>
  <c r="AQ220" i="1"/>
  <c r="AP220" i="1"/>
  <c r="AM220" i="1"/>
  <c r="AL220" i="1"/>
  <c r="AK220" i="1"/>
  <c r="AJ220" i="1"/>
  <c r="AI220" i="1"/>
  <c r="AH220" i="1"/>
  <c r="AH220" i="1" a="1"/>
  <c r="AG220" i="1"/>
  <c r="AF220" i="1"/>
  <c r="BI219" i="1"/>
  <c r="BH219" i="1"/>
  <c r="BG219" i="1"/>
  <c r="BF219" i="1"/>
  <c r="BE219" i="1"/>
  <c r="BD219" i="1"/>
  <c r="BC219" i="1"/>
  <c r="BB219" i="1"/>
  <c r="BA219" i="1"/>
  <c r="AZ219" i="1"/>
  <c r="AY219" i="1"/>
  <c r="AX219" i="1"/>
  <c r="AW219" i="1"/>
  <c r="AV219" i="1"/>
  <c r="AU219" i="1"/>
  <c r="AT219" i="1"/>
  <c r="AS219" i="1"/>
  <c r="AR219" i="1"/>
  <c r="AQ219" i="1"/>
  <c r="AP219" i="1"/>
  <c r="AM219" i="1"/>
  <c r="AL219" i="1"/>
  <c r="AK219" i="1"/>
  <c r="AJ219" i="1"/>
  <c r="AI219" i="1"/>
  <c r="AH219" i="1"/>
  <c r="AH219" i="1" a="1"/>
  <c r="AG219" i="1"/>
  <c r="AF219" i="1"/>
  <c r="BI218" i="1"/>
  <c r="BH218" i="1"/>
  <c r="BG218" i="1"/>
  <c r="BF218" i="1"/>
  <c r="BE218" i="1"/>
  <c r="BD218" i="1"/>
  <c r="BC218" i="1"/>
  <c r="BB218" i="1"/>
  <c r="BA218" i="1"/>
  <c r="AZ218" i="1"/>
  <c r="AY218" i="1"/>
  <c r="AX218" i="1"/>
  <c r="AW218" i="1"/>
  <c r="AV218" i="1"/>
  <c r="AU218" i="1"/>
  <c r="AT218" i="1"/>
  <c r="AS218" i="1"/>
  <c r="AR218" i="1"/>
  <c r="AQ218" i="1"/>
  <c r="AP218" i="1"/>
  <c r="AM218" i="1"/>
  <c r="AL218" i="1"/>
  <c r="AK218" i="1"/>
  <c r="AJ218" i="1"/>
  <c r="AI218" i="1"/>
  <c r="AH218" i="1"/>
  <c r="AH218" i="1" a="1"/>
  <c r="AG218" i="1"/>
  <c r="AF218" i="1"/>
  <c r="BI217" i="1"/>
  <c r="BH217" i="1"/>
  <c r="BG217" i="1"/>
  <c r="BF217" i="1"/>
  <c r="BE217" i="1"/>
  <c r="BD217" i="1"/>
  <c r="BC217" i="1"/>
  <c r="BB217" i="1"/>
  <c r="BA217" i="1"/>
  <c r="AZ217" i="1"/>
  <c r="AY217" i="1"/>
  <c r="AX217" i="1"/>
  <c r="AW217" i="1"/>
  <c r="AV217" i="1"/>
  <c r="AU217" i="1"/>
  <c r="AT217" i="1"/>
  <c r="AS217" i="1"/>
  <c r="AR217" i="1"/>
  <c r="AQ217" i="1"/>
  <c r="AP217" i="1"/>
  <c r="AM217" i="1"/>
  <c r="AL217" i="1"/>
  <c r="AK217" i="1"/>
  <c r="AJ217" i="1"/>
  <c r="AI217" i="1"/>
  <c r="AH217" i="1"/>
  <c r="AH217" i="1" a="1"/>
  <c r="AG217" i="1"/>
  <c r="AF217" i="1"/>
  <c r="BI216" i="1"/>
  <c r="BH216" i="1"/>
  <c r="BG216" i="1"/>
  <c r="BF216" i="1"/>
  <c r="BE216" i="1"/>
  <c r="BD216" i="1"/>
  <c r="BC216" i="1"/>
  <c r="BB216" i="1"/>
  <c r="BA216" i="1"/>
  <c r="AZ216" i="1"/>
  <c r="AY216" i="1"/>
  <c r="AX216" i="1"/>
  <c r="AW216" i="1"/>
  <c r="AV216" i="1"/>
  <c r="AU216" i="1"/>
  <c r="AT216" i="1"/>
  <c r="AS216" i="1"/>
  <c r="AR216" i="1"/>
  <c r="AQ216" i="1"/>
  <c r="AP216" i="1"/>
  <c r="AM216" i="1"/>
  <c r="AL216" i="1"/>
  <c r="AK216" i="1"/>
  <c r="AJ216" i="1"/>
  <c r="AI216" i="1"/>
  <c r="AH216" i="1"/>
  <c r="AH216" i="1" a="1"/>
  <c r="AG216" i="1"/>
  <c r="AF216" i="1"/>
  <c r="BI215" i="1"/>
  <c r="BH215" i="1"/>
  <c r="BG215" i="1"/>
  <c r="BF215" i="1"/>
  <c r="BE215" i="1"/>
  <c r="BD215" i="1"/>
  <c r="BC215" i="1"/>
  <c r="BB215" i="1"/>
  <c r="BA215" i="1"/>
  <c r="AZ215" i="1"/>
  <c r="AY215" i="1"/>
  <c r="AX215" i="1"/>
  <c r="AW215" i="1"/>
  <c r="AV215" i="1"/>
  <c r="AU215" i="1"/>
  <c r="AT215" i="1"/>
  <c r="AS215" i="1"/>
  <c r="AR215" i="1"/>
  <c r="AQ215" i="1"/>
  <c r="AP215" i="1"/>
  <c r="AM215" i="1"/>
  <c r="AL215" i="1"/>
  <c r="AK215" i="1"/>
  <c r="AJ215" i="1"/>
  <c r="AI215" i="1"/>
  <c r="AH215" i="1"/>
  <c r="AH215" i="1" a="1"/>
  <c r="AG215" i="1"/>
  <c r="AF215" i="1"/>
  <c r="BI214" i="1"/>
  <c r="BH214" i="1"/>
  <c r="BG214" i="1"/>
  <c r="BF214" i="1"/>
  <c r="BE214" i="1"/>
  <c r="BD214" i="1"/>
  <c r="BC214" i="1"/>
  <c r="BB214" i="1"/>
  <c r="BA214" i="1"/>
  <c r="AZ214" i="1"/>
  <c r="AY214" i="1"/>
  <c r="AX214" i="1"/>
  <c r="AW214" i="1"/>
  <c r="AV214" i="1"/>
  <c r="AU214" i="1"/>
  <c r="AT214" i="1"/>
  <c r="AS214" i="1"/>
  <c r="AR214" i="1"/>
  <c r="AQ214" i="1"/>
  <c r="AP214" i="1"/>
  <c r="AM214" i="1"/>
  <c r="AL214" i="1"/>
  <c r="AK214" i="1"/>
  <c r="AJ214" i="1"/>
  <c r="AI214" i="1"/>
  <c r="AH214" i="1"/>
  <c r="AH214" i="1" a="1"/>
  <c r="AG214" i="1"/>
  <c r="AF214" i="1"/>
  <c r="BI213" i="1"/>
  <c r="BH213" i="1"/>
  <c r="BG213" i="1"/>
  <c r="BF213" i="1"/>
  <c r="BE213" i="1"/>
  <c r="BD213" i="1"/>
  <c r="BC213" i="1"/>
  <c r="BB213" i="1"/>
  <c r="BA213" i="1"/>
  <c r="AZ213" i="1"/>
  <c r="AY213" i="1"/>
  <c r="AX213" i="1"/>
  <c r="AW213" i="1"/>
  <c r="AV213" i="1"/>
  <c r="AU213" i="1"/>
  <c r="AT213" i="1"/>
  <c r="AS213" i="1"/>
  <c r="AR213" i="1"/>
  <c r="AQ213" i="1"/>
  <c r="AP213" i="1"/>
  <c r="AM213" i="1"/>
  <c r="AL213" i="1"/>
  <c r="AK213" i="1"/>
  <c r="AJ213" i="1"/>
  <c r="AI213" i="1"/>
  <c r="AH213" i="1"/>
  <c r="AH213" i="1" a="1"/>
  <c r="AG213" i="1"/>
  <c r="AF213" i="1"/>
  <c r="BI212" i="1"/>
  <c r="BH212" i="1"/>
  <c r="BG212" i="1"/>
  <c r="BF212" i="1"/>
  <c r="BE212" i="1"/>
  <c r="BD212" i="1"/>
  <c r="BC212" i="1"/>
  <c r="BB212" i="1"/>
  <c r="BA212" i="1"/>
  <c r="AZ212" i="1"/>
  <c r="AY212" i="1"/>
  <c r="AX212" i="1"/>
  <c r="AW212" i="1"/>
  <c r="AV212" i="1"/>
  <c r="AU212" i="1"/>
  <c r="AT212" i="1"/>
  <c r="AS212" i="1"/>
  <c r="AR212" i="1"/>
  <c r="AQ212" i="1"/>
  <c r="AP212" i="1"/>
  <c r="AM212" i="1"/>
  <c r="AL212" i="1"/>
  <c r="AK212" i="1"/>
  <c r="AJ212" i="1"/>
  <c r="AI212" i="1"/>
  <c r="AH212" i="1"/>
  <c r="AH212" i="1" a="1"/>
  <c r="AG212" i="1"/>
  <c r="AF212" i="1"/>
  <c r="BI211" i="1"/>
  <c r="BH211" i="1"/>
  <c r="BG211" i="1"/>
  <c r="BF211" i="1"/>
  <c r="BE211" i="1"/>
  <c r="BD211" i="1"/>
  <c r="BC211" i="1"/>
  <c r="BB211" i="1"/>
  <c r="BA211" i="1"/>
  <c r="AZ211" i="1"/>
  <c r="AY211" i="1"/>
  <c r="AX211" i="1"/>
  <c r="AW211" i="1"/>
  <c r="AV211" i="1"/>
  <c r="AU211" i="1"/>
  <c r="AT211" i="1"/>
  <c r="AS211" i="1"/>
  <c r="AR211" i="1"/>
  <c r="AQ211" i="1"/>
  <c r="AP211" i="1"/>
  <c r="AM211" i="1"/>
  <c r="AL211" i="1"/>
  <c r="AK211" i="1"/>
  <c r="AJ211" i="1"/>
  <c r="AI211" i="1"/>
  <c r="AH211" i="1"/>
  <c r="AH211" i="1" a="1"/>
  <c r="AG211" i="1"/>
  <c r="AF211" i="1"/>
  <c r="BI210" i="1"/>
  <c r="BH210" i="1"/>
  <c r="BG210" i="1"/>
  <c r="BF210" i="1"/>
  <c r="BE210" i="1"/>
  <c r="BD210" i="1"/>
  <c r="BC210" i="1"/>
  <c r="BB210" i="1"/>
  <c r="BA210" i="1"/>
  <c r="AZ210" i="1"/>
  <c r="AY210" i="1"/>
  <c r="AX210" i="1"/>
  <c r="AW210" i="1"/>
  <c r="AV210" i="1"/>
  <c r="AU210" i="1"/>
  <c r="AT210" i="1"/>
  <c r="AS210" i="1"/>
  <c r="AR210" i="1"/>
  <c r="AQ210" i="1"/>
  <c r="AP210" i="1"/>
  <c r="AM210" i="1"/>
  <c r="AL210" i="1"/>
  <c r="AK210" i="1"/>
  <c r="AJ210" i="1"/>
  <c r="AI210" i="1"/>
  <c r="AH210" i="1"/>
  <c r="AH210" i="1" a="1"/>
  <c r="AG210" i="1"/>
  <c r="AF210" i="1"/>
  <c r="BI209" i="1"/>
  <c r="BH209" i="1"/>
  <c r="BG209" i="1"/>
  <c r="BF209" i="1"/>
  <c r="BE209" i="1"/>
  <c r="BD209" i="1"/>
  <c r="BC209" i="1"/>
  <c r="BB209" i="1"/>
  <c r="BA209" i="1"/>
  <c r="AZ209" i="1"/>
  <c r="AY209" i="1"/>
  <c r="AX209" i="1"/>
  <c r="AW209" i="1"/>
  <c r="AV209" i="1"/>
  <c r="AU209" i="1"/>
  <c r="AT209" i="1"/>
  <c r="AS209" i="1"/>
  <c r="AR209" i="1"/>
  <c r="AQ209" i="1"/>
  <c r="AP209" i="1"/>
  <c r="AM209" i="1"/>
  <c r="AL209" i="1"/>
  <c r="AK209" i="1"/>
  <c r="AJ209" i="1"/>
  <c r="AI209" i="1"/>
  <c r="AH209" i="1"/>
  <c r="AH209" i="1" a="1"/>
  <c r="AG209" i="1"/>
  <c r="AF209" i="1"/>
  <c r="BI208" i="1"/>
  <c r="BH208" i="1"/>
  <c r="BG208" i="1"/>
  <c r="BF208" i="1"/>
  <c r="BE208" i="1"/>
  <c r="BD208" i="1"/>
  <c r="BC208" i="1"/>
  <c r="BB208" i="1"/>
  <c r="BA208" i="1"/>
  <c r="AZ208" i="1"/>
  <c r="AY208" i="1"/>
  <c r="AX208" i="1"/>
  <c r="AW208" i="1"/>
  <c r="AV208" i="1"/>
  <c r="AU208" i="1"/>
  <c r="AT208" i="1"/>
  <c r="AS208" i="1"/>
  <c r="AR208" i="1"/>
  <c r="AQ208" i="1"/>
  <c r="AP208" i="1"/>
  <c r="AM208" i="1"/>
  <c r="AL208" i="1"/>
  <c r="AK208" i="1"/>
  <c r="AJ208" i="1"/>
  <c r="AI208" i="1"/>
  <c r="AH208" i="1"/>
  <c r="AH208" i="1" a="1"/>
  <c r="AG208" i="1"/>
  <c r="AF208" i="1"/>
  <c r="BI207" i="1"/>
  <c r="BH207" i="1"/>
  <c r="BG207" i="1"/>
  <c r="BF207" i="1"/>
  <c r="BE207" i="1"/>
  <c r="BD207" i="1"/>
  <c r="BC207" i="1"/>
  <c r="BB207" i="1"/>
  <c r="BA207" i="1"/>
  <c r="AZ207" i="1"/>
  <c r="AY207" i="1"/>
  <c r="AX207" i="1"/>
  <c r="AW207" i="1"/>
  <c r="AV207" i="1"/>
  <c r="AU207" i="1"/>
  <c r="AT207" i="1"/>
  <c r="AS207" i="1"/>
  <c r="AR207" i="1"/>
  <c r="AQ207" i="1"/>
  <c r="AP207" i="1"/>
  <c r="AM207" i="1"/>
  <c r="AL207" i="1"/>
  <c r="AK207" i="1"/>
  <c r="AJ207" i="1"/>
  <c r="AI207" i="1"/>
  <c r="AH207" i="1"/>
  <c r="AH207" i="1" a="1"/>
  <c r="AG207" i="1"/>
  <c r="AF207" i="1"/>
  <c r="BI206" i="1"/>
  <c r="BH206" i="1"/>
  <c r="BG206" i="1"/>
  <c r="BF206" i="1"/>
  <c r="BE206" i="1"/>
  <c r="BD206" i="1"/>
  <c r="BC206" i="1"/>
  <c r="BB206" i="1"/>
  <c r="BA206" i="1"/>
  <c r="AZ206" i="1"/>
  <c r="AY206" i="1"/>
  <c r="AX206" i="1"/>
  <c r="AW206" i="1"/>
  <c r="AV206" i="1"/>
  <c r="AU206" i="1"/>
  <c r="AT206" i="1"/>
  <c r="AS206" i="1"/>
  <c r="AR206" i="1"/>
  <c r="AQ206" i="1"/>
  <c r="AP206" i="1"/>
  <c r="AM206" i="1"/>
  <c r="AL206" i="1"/>
  <c r="AK206" i="1"/>
  <c r="AJ206" i="1"/>
  <c r="AI206" i="1"/>
  <c r="AH206" i="1"/>
  <c r="AH206" i="1" a="1"/>
  <c r="AG206" i="1"/>
  <c r="AF206" i="1"/>
  <c r="BI205" i="1"/>
  <c r="BH205" i="1"/>
  <c r="BG205" i="1"/>
  <c r="BF205" i="1"/>
  <c r="BE205" i="1"/>
  <c r="BD205" i="1"/>
  <c r="BC205" i="1"/>
  <c r="BB205" i="1"/>
  <c r="BA205" i="1"/>
  <c r="AZ205" i="1"/>
  <c r="AY205" i="1"/>
  <c r="AX205" i="1"/>
  <c r="AW205" i="1"/>
  <c r="AV205" i="1"/>
  <c r="AU205" i="1"/>
  <c r="AT205" i="1"/>
  <c r="AS205" i="1"/>
  <c r="AR205" i="1"/>
  <c r="AQ205" i="1"/>
  <c r="AP205" i="1"/>
  <c r="AM205" i="1"/>
  <c r="AL205" i="1"/>
  <c r="AK205" i="1"/>
  <c r="AJ205" i="1"/>
  <c r="AI205" i="1"/>
  <c r="AH205" i="1"/>
  <c r="AH205" i="1" a="1"/>
  <c r="AG205" i="1"/>
  <c r="AF205" i="1"/>
  <c r="BI204" i="1"/>
  <c r="BH204" i="1"/>
  <c r="BG204" i="1"/>
  <c r="BF204" i="1"/>
  <c r="BE204" i="1"/>
  <c r="BD204" i="1"/>
  <c r="BC204" i="1"/>
  <c r="BB204" i="1"/>
  <c r="BA204" i="1"/>
  <c r="AZ204" i="1"/>
  <c r="AY204" i="1"/>
  <c r="AX204" i="1"/>
  <c r="AW204" i="1"/>
  <c r="AV204" i="1"/>
  <c r="AU204" i="1"/>
  <c r="AT204" i="1"/>
  <c r="AS204" i="1"/>
  <c r="AR204" i="1"/>
  <c r="AQ204" i="1"/>
  <c r="AP204" i="1"/>
  <c r="AM204" i="1"/>
  <c r="AL204" i="1"/>
  <c r="AK204" i="1"/>
  <c r="AJ204" i="1"/>
  <c r="AI204" i="1"/>
  <c r="AH204" i="1"/>
  <c r="AH204" i="1" a="1"/>
  <c r="AG204" i="1"/>
  <c r="AF204" i="1"/>
  <c r="BI203" i="1"/>
  <c r="BH203" i="1"/>
  <c r="BG203" i="1"/>
  <c r="BF203" i="1"/>
  <c r="BE203" i="1"/>
  <c r="BD203" i="1"/>
  <c r="BC203" i="1"/>
  <c r="BB203" i="1"/>
  <c r="BA203" i="1"/>
  <c r="AZ203" i="1"/>
  <c r="AY203" i="1"/>
  <c r="AX203" i="1"/>
  <c r="AW203" i="1"/>
  <c r="AV203" i="1"/>
  <c r="AU203" i="1"/>
  <c r="AT203" i="1"/>
  <c r="AS203" i="1"/>
  <c r="AR203" i="1"/>
  <c r="AQ203" i="1"/>
  <c r="AP203" i="1"/>
  <c r="AM203" i="1"/>
  <c r="AL203" i="1"/>
  <c r="AK203" i="1"/>
  <c r="AJ203" i="1"/>
  <c r="AI203" i="1"/>
  <c r="AH203" i="1"/>
  <c r="AH203" i="1" a="1"/>
  <c r="AG203" i="1"/>
  <c r="AF203" i="1"/>
  <c r="BI202" i="1"/>
  <c r="BH202" i="1"/>
  <c r="BG202" i="1"/>
  <c r="BF202" i="1"/>
  <c r="BE202" i="1"/>
  <c r="BD202" i="1"/>
  <c r="BC202" i="1"/>
  <c r="BB202" i="1"/>
  <c r="BA202" i="1"/>
  <c r="AZ202" i="1"/>
  <c r="AY202" i="1"/>
  <c r="AX202" i="1"/>
  <c r="AW202" i="1"/>
  <c r="AV202" i="1"/>
  <c r="AU202" i="1"/>
  <c r="AT202" i="1"/>
  <c r="AS202" i="1"/>
  <c r="AR202" i="1"/>
  <c r="AQ202" i="1"/>
  <c r="AP202" i="1"/>
  <c r="AM202" i="1"/>
  <c r="AL202" i="1"/>
  <c r="AK202" i="1"/>
  <c r="AJ202" i="1"/>
  <c r="AI202" i="1"/>
  <c r="AH202" i="1"/>
  <c r="AH202" i="1" a="1"/>
  <c r="AG202" i="1"/>
  <c r="AF202" i="1"/>
  <c r="BI201" i="1"/>
  <c r="BH201" i="1"/>
  <c r="BG201" i="1"/>
  <c r="BF201" i="1"/>
  <c r="BE201" i="1"/>
  <c r="BD201" i="1"/>
  <c r="BC201" i="1"/>
  <c r="BB201" i="1"/>
  <c r="BA201" i="1"/>
  <c r="AZ201" i="1"/>
  <c r="AY201" i="1"/>
  <c r="AX201" i="1"/>
  <c r="AW201" i="1"/>
  <c r="AV201" i="1"/>
  <c r="AU201" i="1"/>
  <c r="AT201" i="1"/>
  <c r="AS201" i="1"/>
  <c r="AR201" i="1"/>
  <c r="AQ201" i="1"/>
  <c r="AP201" i="1"/>
  <c r="AM201" i="1"/>
  <c r="AL201" i="1"/>
  <c r="AK201" i="1"/>
  <c r="AJ201" i="1"/>
  <c r="AI201" i="1"/>
  <c r="AH201" i="1"/>
  <c r="AH201" i="1" a="1"/>
  <c r="AG201" i="1"/>
  <c r="AF201" i="1"/>
  <c r="BI200" i="1"/>
  <c r="BH200" i="1"/>
  <c r="BG200" i="1"/>
  <c r="BF200" i="1"/>
  <c r="BE200" i="1"/>
  <c r="BD200" i="1"/>
  <c r="BC200" i="1"/>
  <c r="BB200" i="1"/>
  <c r="BA200" i="1"/>
  <c r="AZ200" i="1"/>
  <c r="AY200" i="1"/>
  <c r="AX200" i="1"/>
  <c r="AW200" i="1"/>
  <c r="AV200" i="1"/>
  <c r="AU200" i="1"/>
  <c r="AT200" i="1"/>
  <c r="AS200" i="1"/>
  <c r="AR200" i="1"/>
  <c r="AQ200" i="1"/>
  <c r="AP200" i="1"/>
  <c r="AM200" i="1"/>
  <c r="AL200" i="1"/>
  <c r="AK200" i="1"/>
  <c r="AJ200" i="1"/>
  <c r="AI200" i="1"/>
  <c r="AH200" i="1"/>
  <c r="AH200" i="1" a="1"/>
  <c r="AG200" i="1"/>
  <c r="AF200" i="1"/>
  <c r="BI199" i="1"/>
  <c r="BH199" i="1"/>
  <c r="BG199" i="1"/>
  <c r="BF199" i="1"/>
  <c r="BE199" i="1"/>
  <c r="BD199" i="1"/>
  <c r="BC199" i="1"/>
  <c r="BB199" i="1"/>
  <c r="BA199" i="1"/>
  <c r="AZ199" i="1"/>
  <c r="AY199" i="1"/>
  <c r="AX199" i="1"/>
  <c r="AW199" i="1"/>
  <c r="AV199" i="1"/>
  <c r="AU199" i="1"/>
  <c r="AT199" i="1"/>
  <c r="AS199" i="1"/>
  <c r="AR199" i="1"/>
  <c r="AQ199" i="1"/>
  <c r="AP199" i="1"/>
  <c r="AM199" i="1"/>
  <c r="AL199" i="1"/>
  <c r="AK199" i="1"/>
  <c r="AJ199" i="1"/>
  <c r="AI199" i="1"/>
  <c r="AH199" i="1"/>
  <c r="AH199" i="1" a="1"/>
  <c r="AG199" i="1"/>
  <c r="AF199" i="1"/>
  <c r="BI198" i="1"/>
  <c r="BH198" i="1"/>
  <c r="BG198" i="1"/>
  <c r="BF198" i="1"/>
  <c r="BE198" i="1"/>
  <c r="BD198" i="1"/>
  <c r="BC198" i="1"/>
  <c r="BB198" i="1"/>
  <c r="BA198" i="1"/>
  <c r="AZ198" i="1"/>
  <c r="AY198" i="1"/>
  <c r="AX198" i="1"/>
  <c r="AW198" i="1"/>
  <c r="AV198" i="1"/>
  <c r="AU198" i="1"/>
  <c r="AT198" i="1"/>
  <c r="AS198" i="1"/>
  <c r="AR198" i="1"/>
  <c r="AQ198" i="1"/>
  <c r="AP198" i="1"/>
  <c r="AM198" i="1"/>
  <c r="AL198" i="1"/>
  <c r="AK198" i="1"/>
  <c r="AJ198" i="1"/>
  <c r="AI198" i="1"/>
  <c r="AH198" i="1"/>
  <c r="AH198" i="1" a="1"/>
  <c r="AG198" i="1"/>
  <c r="AF198" i="1"/>
  <c r="BI197" i="1"/>
  <c r="BH197" i="1"/>
  <c r="BG197" i="1"/>
  <c r="BF197" i="1"/>
  <c r="BE197" i="1"/>
  <c r="BD197" i="1"/>
  <c r="BC197" i="1"/>
  <c r="BB197" i="1"/>
  <c r="BA197" i="1"/>
  <c r="AZ197" i="1"/>
  <c r="AY197" i="1"/>
  <c r="AX197" i="1"/>
  <c r="AW197" i="1"/>
  <c r="AV197" i="1"/>
  <c r="AU197" i="1"/>
  <c r="AT197" i="1"/>
  <c r="AS197" i="1"/>
  <c r="AR197" i="1"/>
  <c r="AQ197" i="1"/>
  <c r="AP197" i="1"/>
  <c r="AM197" i="1"/>
  <c r="AL197" i="1"/>
  <c r="AK197" i="1"/>
  <c r="AJ197" i="1"/>
  <c r="AI197" i="1"/>
  <c r="AH197" i="1"/>
  <c r="AH197" i="1" a="1"/>
  <c r="AG197" i="1"/>
  <c r="AF197" i="1"/>
  <c r="BI196" i="1"/>
  <c r="BH196" i="1"/>
  <c r="BG196" i="1"/>
  <c r="BF196" i="1"/>
  <c r="BE196" i="1"/>
  <c r="BD196" i="1"/>
  <c r="BC196" i="1"/>
  <c r="BB196" i="1"/>
  <c r="BA196" i="1"/>
  <c r="AZ196" i="1"/>
  <c r="AY196" i="1"/>
  <c r="AX196" i="1"/>
  <c r="AW196" i="1"/>
  <c r="AV196" i="1"/>
  <c r="AU196" i="1"/>
  <c r="AT196" i="1"/>
  <c r="AS196" i="1"/>
  <c r="AR196" i="1"/>
  <c r="AQ196" i="1"/>
  <c r="AP196" i="1"/>
  <c r="AM196" i="1"/>
  <c r="AL196" i="1"/>
  <c r="AK196" i="1"/>
  <c r="AJ196" i="1"/>
  <c r="AI196" i="1"/>
  <c r="AH196" i="1"/>
  <c r="AH196" i="1" a="1"/>
  <c r="AG196" i="1"/>
  <c r="AF196" i="1"/>
  <c r="BI195" i="1"/>
  <c r="BH195" i="1"/>
  <c r="BG195" i="1"/>
  <c r="BF195" i="1"/>
  <c r="BE195" i="1"/>
  <c r="BD195" i="1"/>
  <c r="BC195" i="1"/>
  <c r="BB195" i="1"/>
  <c r="BA195" i="1"/>
  <c r="AZ195" i="1"/>
  <c r="AY195" i="1"/>
  <c r="AX195" i="1"/>
  <c r="AW195" i="1"/>
  <c r="AV195" i="1"/>
  <c r="AU195" i="1"/>
  <c r="AT195" i="1"/>
  <c r="AS195" i="1"/>
  <c r="AR195" i="1"/>
  <c r="AQ195" i="1"/>
  <c r="AP195" i="1"/>
  <c r="AM195" i="1"/>
  <c r="AL195" i="1"/>
  <c r="AK195" i="1"/>
  <c r="AJ195" i="1"/>
  <c r="AI195" i="1"/>
  <c r="AH195" i="1"/>
  <c r="AH195" i="1" a="1"/>
  <c r="AG195" i="1"/>
  <c r="AF195" i="1"/>
  <c r="BI194" i="1"/>
  <c r="BH194" i="1"/>
  <c r="BG194" i="1"/>
  <c r="BF194" i="1"/>
  <c r="BE194" i="1"/>
  <c r="BD194" i="1"/>
  <c r="BC194" i="1"/>
  <c r="BB194" i="1"/>
  <c r="BA194" i="1"/>
  <c r="AZ194" i="1"/>
  <c r="AY194" i="1"/>
  <c r="AX194" i="1"/>
  <c r="AW194" i="1"/>
  <c r="AV194" i="1"/>
  <c r="AU194" i="1"/>
  <c r="AT194" i="1"/>
  <c r="AS194" i="1"/>
  <c r="AR194" i="1"/>
  <c r="AQ194" i="1"/>
  <c r="AP194" i="1"/>
  <c r="AM194" i="1"/>
  <c r="AL194" i="1"/>
  <c r="AK194" i="1"/>
  <c r="AJ194" i="1"/>
  <c r="AI194" i="1"/>
  <c r="AH194" i="1"/>
  <c r="AH194" i="1" a="1"/>
  <c r="AG194" i="1"/>
  <c r="AF194" i="1"/>
  <c r="BI193" i="1"/>
  <c r="BH193" i="1"/>
  <c r="BG193" i="1"/>
  <c r="BF193" i="1"/>
  <c r="BE193" i="1"/>
  <c r="BD193" i="1"/>
  <c r="BC193" i="1"/>
  <c r="BB193" i="1"/>
  <c r="BA193" i="1"/>
  <c r="AZ193" i="1"/>
  <c r="AY193" i="1"/>
  <c r="AX193" i="1"/>
  <c r="AW193" i="1"/>
  <c r="AV193" i="1"/>
  <c r="AU193" i="1"/>
  <c r="AT193" i="1"/>
  <c r="AS193" i="1"/>
  <c r="AR193" i="1"/>
  <c r="AQ193" i="1"/>
  <c r="AP193" i="1"/>
  <c r="AM193" i="1"/>
  <c r="AL193" i="1"/>
  <c r="AK193" i="1"/>
  <c r="AJ193" i="1"/>
  <c r="AI193" i="1"/>
  <c r="AH193" i="1"/>
  <c r="AH193" i="1" a="1"/>
  <c r="AG193" i="1"/>
  <c r="AF193" i="1"/>
  <c r="BI192" i="1"/>
  <c r="BH192" i="1"/>
  <c r="BG192" i="1"/>
  <c r="BF192" i="1"/>
  <c r="BE192" i="1"/>
  <c r="BD192" i="1"/>
  <c r="BC192" i="1"/>
  <c r="BB192" i="1"/>
  <c r="BA192" i="1"/>
  <c r="AZ192" i="1"/>
  <c r="AY192" i="1"/>
  <c r="AX192" i="1"/>
  <c r="AW192" i="1"/>
  <c r="AV192" i="1"/>
  <c r="AU192" i="1"/>
  <c r="AT192" i="1"/>
  <c r="AS192" i="1"/>
  <c r="AR192" i="1"/>
  <c r="AQ192" i="1"/>
  <c r="AP192" i="1"/>
  <c r="AM192" i="1"/>
  <c r="AL192" i="1"/>
  <c r="AK192" i="1"/>
  <c r="AJ192" i="1"/>
  <c r="AI192" i="1"/>
  <c r="AH192" i="1"/>
  <c r="AH192" i="1" a="1"/>
  <c r="AG192" i="1"/>
  <c r="AF192" i="1"/>
  <c r="BI191" i="1"/>
  <c r="BH191" i="1"/>
  <c r="BG191" i="1"/>
  <c r="BF191" i="1"/>
  <c r="BE191" i="1"/>
  <c r="BD191" i="1"/>
  <c r="BC191" i="1"/>
  <c r="BB191" i="1"/>
  <c r="BA191" i="1"/>
  <c r="AZ191" i="1"/>
  <c r="AY191" i="1"/>
  <c r="AX191" i="1"/>
  <c r="AW191" i="1"/>
  <c r="AV191" i="1"/>
  <c r="AU191" i="1"/>
  <c r="AT191" i="1"/>
  <c r="AS191" i="1"/>
  <c r="AR191" i="1"/>
  <c r="AQ191" i="1"/>
  <c r="AP191" i="1"/>
  <c r="AM191" i="1"/>
  <c r="AL191" i="1"/>
  <c r="AK191" i="1"/>
  <c r="AJ191" i="1"/>
  <c r="AI191" i="1"/>
  <c r="AH191" i="1"/>
  <c r="AH191" i="1" a="1"/>
  <c r="AG191" i="1"/>
  <c r="AF191" i="1"/>
  <c r="BI190" i="1"/>
  <c r="BH190" i="1"/>
  <c r="BG190" i="1"/>
  <c r="BF190" i="1"/>
  <c r="BE190" i="1"/>
  <c r="BD190" i="1"/>
  <c r="BC190" i="1"/>
  <c r="BB190" i="1"/>
  <c r="BA190" i="1"/>
  <c r="AZ190" i="1"/>
  <c r="AY190" i="1"/>
  <c r="AX190" i="1"/>
  <c r="AW190" i="1"/>
  <c r="AV190" i="1"/>
  <c r="AU190" i="1"/>
  <c r="AT190" i="1"/>
  <c r="AS190" i="1"/>
  <c r="AR190" i="1"/>
  <c r="AQ190" i="1"/>
  <c r="AP190" i="1"/>
  <c r="AM190" i="1"/>
  <c r="AL190" i="1"/>
  <c r="AK190" i="1"/>
  <c r="AJ190" i="1"/>
  <c r="AI190" i="1"/>
  <c r="AH190" i="1"/>
  <c r="AH190" i="1" a="1"/>
  <c r="AG190" i="1"/>
  <c r="AF190" i="1"/>
  <c r="BI189" i="1"/>
  <c r="BH189" i="1"/>
  <c r="BG189" i="1"/>
  <c r="BF189" i="1"/>
  <c r="BE189" i="1"/>
  <c r="BD189" i="1"/>
  <c r="BC189" i="1"/>
  <c r="BB189" i="1"/>
  <c r="BA189" i="1"/>
  <c r="AZ189" i="1"/>
  <c r="AY189" i="1"/>
  <c r="AX189" i="1"/>
  <c r="AW189" i="1"/>
  <c r="AV189" i="1"/>
  <c r="AU189" i="1"/>
  <c r="AT189" i="1"/>
  <c r="AS189" i="1"/>
  <c r="AR189" i="1"/>
  <c r="AQ189" i="1"/>
  <c r="AP189" i="1"/>
  <c r="AM189" i="1"/>
  <c r="AL189" i="1"/>
  <c r="AK189" i="1"/>
  <c r="AJ189" i="1"/>
  <c r="AI189" i="1"/>
  <c r="AH189" i="1"/>
  <c r="AH189" i="1" a="1"/>
  <c r="AG189" i="1"/>
  <c r="AF189" i="1"/>
  <c r="BI188" i="1"/>
  <c r="BH188" i="1"/>
  <c r="BG188" i="1"/>
  <c r="BF188" i="1"/>
  <c r="BE188" i="1"/>
  <c r="BD188" i="1"/>
  <c r="BC188" i="1"/>
  <c r="BB188" i="1"/>
  <c r="BA188" i="1"/>
  <c r="AZ188" i="1"/>
  <c r="AY188" i="1"/>
  <c r="AX188" i="1"/>
  <c r="AW188" i="1"/>
  <c r="AV188" i="1"/>
  <c r="AU188" i="1"/>
  <c r="AT188" i="1"/>
  <c r="AS188" i="1"/>
  <c r="AR188" i="1"/>
  <c r="AQ188" i="1"/>
  <c r="AP188" i="1"/>
  <c r="AM188" i="1"/>
  <c r="AL188" i="1"/>
  <c r="AK188" i="1"/>
  <c r="AJ188" i="1"/>
  <c r="AI188" i="1"/>
  <c r="AH188" i="1"/>
  <c r="AH188" i="1" a="1"/>
  <c r="AG188" i="1"/>
  <c r="AF188" i="1"/>
  <c r="BI187" i="1"/>
  <c r="BH187" i="1"/>
  <c r="BG187" i="1"/>
  <c r="BF187" i="1"/>
  <c r="BE187" i="1"/>
  <c r="BD187" i="1"/>
  <c r="BC187" i="1"/>
  <c r="BB187" i="1"/>
  <c r="BA187" i="1"/>
  <c r="AZ187" i="1"/>
  <c r="AY187" i="1"/>
  <c r="AX187" i="1"/>
  <c r="AW187" i="1"/>
  <c r="AV187" i="1"/>
  <c r="AU187" i="1"/>
  <c r="AT187" i="1"/>
  <c r="AS187" i="1"/>
  <c r="AR187" i="1"/>
  <c r="AQ187" i="1"/>
  <c r="AP187" i="1"/>
  <c r="AM187" i="1"/>
  <c r="AL187" i="1"/>
  <c r="AK187" i="1"/>
  <c r="AJ187" i="1"/>
  <c r="AI187" i="1"/>
  <c r="AH187" i="1"/>
  <c r="AH187" i="1" a="1"/>
  <c r="AG187" i="1"/>
  <c r="AF187" i="1"/>
  <c r="BI186" i="1"/>
  <c r="BH186" i="1"/>
  <c r="BG186" i="1"/>
  <c r="BF186" i="1"/>
  <c r="BE186" i="1"/>
  <c r="BD186" i="1"/>
  <c r="BC186" i="1"/>
  <c r="BB186" i="1"/>
  <c r="BA186" i="1"/>
  <c r="AZ186" i="1"/>
  <c r="AY186" i="1"/>
  <c r="AX186" i="1"/>
  <c r="AW186" i="1"/>
  <c r="AV186" i="1"/>
  <c r="AU186" i="1"/>
  <c r="AT186" i="1"/>
  <c r="AS186" i="1"/>
  <c r="AR186" i="1"/>
  <c r="AQ186" i="1"/>
  <c r="AP186" i="1"/>
  <c r="AM186" i="1"/>
  <c r="AL186" i="1"/>
  <c r="AK186" i="1"/>
  <c r="AJ186" i="1"/>
  <c r="AI186" i="1"/>
  <c r="AH186" i="1"/>
  <c r="AH186" i="1" a="1"/>
  <c r="AG186" i="1"/>
  <c r="AF186" i="1"/>
  <c r="BI185" i="1"/>
  <c r="BH185" i="1"/>
  <c r="BG185" i="1"/>
  <c r="BF185" i="1"/>
  <c r="BE185" i="1"/>
  <c r="BD185" i="1"/>
  <c r="BC185" i="1"/>
  <c r="BB185" i="1"/>
  <c r="BA185" i="1"/>
  <c r="AZ185" i="1"/>
  <c r="AY185" i="1"/>
  <c r="AX185" i="1"/>
  <c r="AW185" i="1"/>
  <c r="AV185" i="1"/>
  <c r="AU185" i="1"/>
  <c r="AT185" i="1"/>
  <c r="AS185" i="1"/>
  <c r="AR185" i="1"/>
  <c r="AQ185" i="1"/>
  <c r="AP185" i="1"/>
  <c r="AM185" i="1"/>
  <c r="AL185" i="1"/>
  <c r="AK185" i="1"/>
  <c r="AJ185" i="1"/>
  <c r="AI185" i="1"/>
  <c r="AH185" i="1"/>
  <c r="AH185" i="1" a="1"/>
  <c r="AG185" i="1"/>
  <c r="AF185" i="1"/>
  <c r="BI184" i="1"/>
  <c r="BH184" i="1"/>
  <c r="BG184" i="1"/>
  <c r="BF184" i="1"/>
  <c r="BE184" i="1"/>
  <c r="BD184" i="1"/>
  <c r="BC184" i="1"/>
  <c r="BB184" i="1"/>
  <c r="BA184" i="1"/>
  <c r="AZ184" i="1"/>
  <c r="AY184" i="1"/>
  <c r="AX184" i="1"/>
  <c r="AW184" i="1"/>
  <c r="AV184" i="1"/>
  <c r="AU184" i="1"/>
  <c r="AT184" i="1"/>
  <c r="AS184" i="1"/>
  <c r="AR184" i="1"/>
  <c r="AQ184" i="1"/>
  <c r="AP184" i="1"/>
  <c r="AM184" i="1"/>
  <c r="AL184" i="1"/>
  <c r="AK184" i="1"/>
  <c r="AJ184" i="1"/>
  <c r="AI184" i="1"/>
  <c r="AH184" i="1"/>
  <c r="AH184" i="1" a="1"/>
  <c r="AG184" i="1"/>
  <c r="AF184" i="1"/>
  <c r="BI183" i="1"/>
  <c r="BH183" i="1"/>
  <c r="BG183" i="1"/>
  <c r="BF183" i="1"/>
  <c r="BE183" i="1"/>
  <c r="BD183" i="1"/>
  <c r="BC183" i="1"/>
  <c r="BB183" i="1"/>
  <c r="BA183" i="1"/>
  <c r="AZ183" i="1"/>
  <c r="AY183" i="1"/>
  <c r="AX183" i="1"/>
  <c r="AW183" i="1"/>
  <c r="AV183" i="1"/>
  <c r="AU183" i="1"/>
  <c r="AT183" i="1"/>
  <c r="AS183" i="1"/>
  <c r="AR183" i="1"/>
  <c r="AQ183" i="1"/>
  <c r="AP183" i="1"/>
  <c r="AM183" i="1"/>
  <c r="AL183" i="1"/>
  <c r="AK183" i="1"/>
  <c r="AJ183" i="1"/>
  <c r="AI183" i="1"/>
  <c r="AH183" i="1"/>
  <c r="AH183" i="1" a="1"/>
  <c r="AG183" i="1"/>
  <c r="AF183" i="1"/>
  <c r="BI182" i="1"/>
  <c r="BH182" i="1"/>
  <c r="BG182" i="1"/>
  <c r="BF182" i="1"/>
  <c r="BE182" i="1"/>
  <c r="BD182" i="1"/>
  <c r="BC182" i="1"/>
  <c r="BB182" i="1"/>
  <c r="BA182" i="1"/>
  <c r="AZ182" i="1"/>
  <c r="AY182" i="1"/>
  <c r="AX182" i="1"/>
  <c r="AW182" i="1"/>
  <c r="AV182" i="1"/>
  <c r="AU182" i="1"/>
  <c r="AT182" i="1"/>
  <c r="AS182" i="1"/>
  <c r="AR182" i="1"/>
  <c r="AQ182" i="1"/>
  <c r="AP182" i="1"/>
  <c r="AM182" i="1"/>
  <c r="AL182" i="1"/>
  <c r="AK182" i="1"/>
  <c r="AJ182" i="1"/>
  <c r="AI182" i="1"/>
  <c r="AH182" i="1"/>
  <c r="AH182" i="1" a="1"/>
  <c r="AG182" i="1"/>
  <c r="AF182" i="1"/>
  <c r="BI181" i="1"/>
  <c r="BH181" i="1"/>
  <c r="BG181" i="1"/>
  <c r="BF181" i="1"/>
  <c r="BE181" i="1"/>
  <c r="BD181" i="1"/>
  <c r="BC181" i="1"/>
  <c r="BB181" i="1"/>
  <c r="BA181" i="1"/>
  <c r="AZ181" i="1"/>
  <c r="AY181" i="1"/>
  <c r="AX181" i="1"/>
  <c r="AW181" i="1"/>
  <c r="AV181" i="1"/>
  <c r="AU181" i="1"/>
  <c r="AT181" i="1"/>
  <c r="AS181" i="1"/>
  <c r="AR181" i="1"/>
  <c r="AQ181" i="1"/>
  <c r="AP181" i="1"/>
  <c r="AM181" i="1"/>
  <c r="AL181" i="1"/>
  <c r="AK181" i="1"/>
  <c r="AJ181" i="1"/>
  <c r="AI181" i="1"/>
  <c r="AH181" i="1"/>
  <c r="AH181" i="1" a="1"/>
  <c r="AG181" i="1"/>
  <c r="AF181" i="1"/>
  <c r="BI180" i="1"/>
  <c r="BH180" i="1"/>
  <c r="BG180" i="1"/>
  <c r="BF180" i="1"/>
  <c r="BE180" i="1"/>
  <c r="BD180" i="1"/>
  <c r="BC180" i="1"/>
  <c r="BB180" i="1"/>
  <c r="BA180" i="1"/>
  <c r="AZ180" i="1"/>
  <c r="AY180" i="1"/>
  <c r="AX180" i="1"/>
  <c r="AW180" i="1"/>
  <c r="AV180" i="1"/>
  <c r="AU180" i="1"/>
  <c r="AT180" i="1"/>
  <c r="AS180" i="1"/>
  <c r="AR180" i="1"/>
  <c r="AQ180" i="1"/>
  <c r="AP180" i="1"/>
  <c r="AM180" i="1"/>
  <c r="AL180" i="1"/>
  <c r="AK180" i="1"/>
  <c r="AJ180" i="1"/>
  <c r="AI180" i="1"/>
  <c r="AH180" i="1"/>
  <c r="AH180" i="1" a="1"/>
  <c r="AG180" i="1"/>
  <c r="AF180" i="1"/>
  <c r="BI179" i="1"/>
  <c r="BH179" i="1"/>
  <c r="BG179" i="1"/>
  <c r="BF179" i="1"/>
  <c r="BE179" i="1"/>
  <c r="BD179" i="1"/>
  <c r="BC179" i="1"/>
  <c r="BB179" i="1"/>
  <c r="BA179" i="1"/>
  <c r="AZ179" i="1"/>
  <c r="AY179" i="1"/>
  <c r="AX179" i="1"/>
  <c r="AW179" i="1"/>
  <c r="AV179" i="1"/>
  <c r="AU179" i="1"/>
  <c r="AT179" i="1"/>
  <c r="AS179" i="1"/>
  <c r="AR179" i="1"/>
  <c r="AQ179" i="1"/>
  <c r="AP179" i="1"/>
  <c r="AM179" i="1"/>
  <c r="AL179" i="1"/>
  <c r="AK179" i="1"/>
  <c r="AJ179" i="1"/>
  <c r="AI179" i="1"/>
  <c r="AH179" i="1"/>
  <c r="AH179" i="1" a="1"/>
  <c r="AG179" i="1"/>
  <c r="AF179" i="1"/>
  <c r="BI178" i="1"/>
  <c r="BH178" i="1"/>
  <c r="BG178" i="1"/>
  <c r="BF178" i="1"/>
  <c r="BE178" i="1"/>
  <c r="BD178" i="1"/>
  <c r="BC178" i="1"/>
  <c r="BB178" i="1"/>
  <c r="BA178" i="1"/>
  <c r="AZ178" i="1"/>
  <c r="AY178" i="1"/>
  <c r="AX178" i="1"/>
  <c r="AW178" i="1"/>
  <c r="AV178" i="1"/>
  <c r="AU178" i="1"/>
  <c r="AT178" i="1"/>
  <c r="AS178" i="1"/>
  <c r="AR178" i="1"/>
  <c r="AQ178" i="1"/>
  <c r="AP178" i="1"/>
  <c r="AM178" i="1"/>
  <c r="AL178" i="1"/>
  <c r="AK178" i="1"/>
  <c r="AJ178" i="1"/>
  <c r="AI178" i="1"/>
  <c r="AH178" i="1"/>
  <c r="AH178" i="1" a="1"/>
  <c r="AG178" i="1"/>
  <c r="AF178" i="1"/>
  <c r="BI177" i="1"/>
  <c r="BH177" i="1"/>
  <c r="BG177" i="1"/>
  <c r="BF177" i="1"/>
  <c r="BE177" i="1"/>
  <c r="BD177" i="1"/>
  <c r="BC177" i="1"/>
  <c r="BB177" i="1"/>
  <c r="BA177" i="1"/>
  <c r="AZ177" i="1"/>
  <c r="AY177" i="1"/>
  <c r="AX177" i="1"/>
  <c r="AW177" i="1"/>
  <c r="AV177" i="1"/>
  <c r="AU177" i="1"/>
  <c r="AT177" i="1"/>
  <c r="AS177" i="1"/>
  <c r="AR177" i="1"/>
  <c r="AQ177" i="1"/>
  <c r="AP177" i="1"/>
  <c r="AM177" i="1"/>
  <c r="AL177" i="1"/>
  <c r="AK177" i="1"/>
  <c r="AJ177" i="1"/>
  <c r="AI177" i="1"/>
  <c r="AH177" i="1"/>
  <c r="AH177" i="1" a="1"/>
  <c r="AG177" i="1"/>
  <c r="AF177" i="1"/>
  <c r="BI176" i="1"/>
  <c r="BH176" i="1"/>
  <c r="BG176" i="1"/>
  <c r="BF176" i="1"/>
  <c r="BE176" i="1"/>
  <c r="BD176" i="1"/>
  <c r="BC176" i="1"/>
  <c r="BB176" i="1"/>
  <c r="BA176" i="1"/>
  <c r="AZ176" i="1"/>
  <c r="AY176" i="1"/>
  <c r="AX176" i="1"/>
  <c r="AW176" i="1"/>
  <c r="AV176" i="1"/>
  <c r="AU176" i="1"/>
  <c r="AT176" i="1"/>
  <c r="AS176" i="1"/>
  <c r="AR176" i="1"/>
  <c r="AQ176" i="1"/>
  <c r="AP176" i="1"/>
  <c r="AM176" i="1"/>
  <c r="AL176" i="1"/>
  <c r="AK176" i="1"/>
  <c r="AJ176" i="1"/>
  <c r="AI176" i="1"/>
  <c r="AH176" i="1"/>
  <c r="AH176" i="1" a="1"/>
  <c r="AG176" i="1"/>
  <c r="AF176" i="1"/>
  <c r="BI175" i="1"/>
  <c r="BH175" i="1"/>
  <c r="BG175" i="1"/>
  <c r="BF175" i="1"/>
  <c r="BE175" i="1"/>
  <c r="BD175" i="1"/>
  <c r="BC175" i="1"/>
  <c r="BB175" i="1"/>
  <c r="BA175" i="1"/>
  <c r="AZ175" i="1"/>
  <c r="AY175" i="1"/>
  <c r="AX175" i="1"/>
  <c r="AW175" i="1"/>
  <c r="AV175" i="1"/>
  <c r="AU175" i="1"/>
  <c r="AT175" i="1"/>
  <c r="AS175" i="1"/>
  <c r="AR175" i="1"/>
  <c r="AQ175" i="1"/>
  <c r="AP175" i="1"/>
  <c r="AM175" i="1"/>
  <c r="AL175" i="1"/>
  <c r="AK175" i="1"/>
  <c r="AJ175" i="1"/>
  <c r="AI175" i="1"/>
  <c r="AH175" i="1"/>
  <c r="AH175" i="1" a="1"/>
  <c r="AG175" i="1"/>
  <c r="AF175" i="1"/>
  <c r="BI174" i="1"/>
  <c r="BH174" i="1"/>
  <c r="BG174" i="1"/>
  <c r="BF174" i="1"/>
  <c r="BE174" i="1"/>
  <c r="BD174" i="1"/>
  <c r="BC174" i="1"/>
  <c r="BB174" i="1"/>
  <c r="BA174" i="1"/>
  <c r="AZ174" i="1"/>
  <c r="AY174" i="1"/>
  <c r="AX174" i="1"/>
  <c r="AW174" i="1"/>
  <c r="AV174" i="1"/>
  <c r="AU174" i="1"/>
  <c r="AT174" i="1"/>
  <c r="AS174" i="1"/>
  <c r="AR174" i="1"/>
  <c r="AQ174" i="1"/>
  <c r="AP174" i="1"/>
  <c r="AM174" i="1"/>
  <c r="AL174" i="1"/>
  <c r="AK174" i="1"/>
  <c r="AJ174" i="1"/>
  <c r="AI174" i="1"/>
  <c r="AH174" i="1"/>
  <c r="AH174" i="1" a="1"/>
  <c r="AG174" i="1"/>
  <c r="AF174" i="1"/>
  <c r="BI173" i="1"/>
  <c r="BH173" i="1"/>
  <c r="BG173" i="1"/>
  <c r="BF173" i="1"/>
  <c r="BE173" i="1"/>
  <c r="BD173" i="1"/>
  <c r="BC173" i="1"/>
  <c r="BB173" i="1"/>
  <c r="BA173" i="1"/>
  <c r="AZ173" i="1"/>
  <c r="AY173" i="1"/>
  <c r="AX173" i="1"/>
  <c r="AW173" i="1"/>
  <c r="AV173" i="1"/>
  <c r="AU173" i="1"/>
  <c r="AT173" i="1"/>
  <c r="AS173" i="1"/>
  <c r="AR173" i="1"/>
  <c r="AQ173" i="1"/>
  <c r="AP173" i="1"/>
  <c r="AM173" i="1"/>
  <c r="AL173" i="1"/>
  <c r="AK173" i="1"/>
  <c r="AJ173" i="1"/>
  <c r="AI173" i="1"/>
  <c r="AH173" i="1"/>
  <c r="AH173" i="1" a="1"/>
  <c r="AG173" i="1"/>
  <c r="AF173" i="1"/>
  <c r="BI172" i="1"/>
  <c r="BH172" i="1"/>
  <c r="BG172" i="1"/>
  <c r="BF172" i="1"/>
  <c r="BE172" i="1"/>
  <c r="BD172" i="1"/>
  <c r="BC172" i="1"/>
  <c r="BB172" i="1"/>
  <c r="BA172" i="1"/>
  <c r="AZ172" i="1"/>
  <c r="AY172" i="1"/>
  <c r="AX172" i="1"/>
  <c r="AW172" i="1"/>
  <c r="AV172" i="1"/>
  <c r="AU172" i="1"/>
  <c r="AT172" i="1"/>
  <c r="AS172" i="1"/>
  <c r="AR172" i="1"/>
  <c r="AQ172" i="1"/>
  <c r="AP172" i="1"/>
  <c r="AM172" i="1"/>
  <c r="AL172" i="1"/>
  <c r="AK172" i="1"/>
  <c r="AJ172" i="1"/>
  <c r="AI172" i="1"/>
  <c r="AH172" i="1"/>
  <c r="AH172" i="1" a="1"/>
  <c r="AG172" i="1"/>
  <c r="AF172" i="1"/>
  <c r="BI171" i="1"/>
  <c r="BH171" i="1"/>
  <c r="BG171" i="1"/>
  <c r="BF171" i="1"/>
  <c r="BE171" i="1"/>
  <c r="BD171" i="1"/>
  <c r="BC171" i="1"/>
  <c r="BB171" i="1"/>
  <c r="BA171" i="1"/>
  <c r="AZ171" i="1"/>
  <c r="AY171" i="1"/>
  <c r="AX171" i="1"/>
  <c r="AW171" i="1"/>
  <c r="AV171" i="1"/>
  <c r="AU171" i="1"/>
  <c r="AT171" i="1"/>
  <c r="AS171" i="1"/>
  <c r="AR171" i="1"/>
  <c r="AQ171" i="1"/>
  <c r="AP171" i="1"/>
  <c r="AM171" i="1"/>
  <c r="AL171" i="1"/>
  <c r="AK171" i="1"/>
  <c r="AJ171" i="1"/>
  <c r="AI171" i="1"/>
  <c r="AH171" i="1"/>
  <c r="AH171" i="1" a="1"/>
  <c r="AG171" i="1"/>
  <c r="AF171" i="1"/>
  <c r="BI170" i="1"/>
  <c r="BH170" i="1"/>
  <c r="BG170" i="1"/>
  <c r="BF170" i="1"/>
  <c r="BE170" i="1"/>
  <c r="BD170" i="1"/>
  <c r="BC170" i="1"/>
  <c r="BB170" i="1"/>
  <c r="BA170" i="1"/>
  <c r="AZ170" i="1"/>
  <c r="AY170" i="1"/>
  <c r="AX170" i="1"/>
  <c r="AW170" i="1"/>
  <c r="AV170" i="1"/>
  <c r="AU170" i="1"/>
  <c r="AT170" i="1"/>
  <c r="AS170" i="1"/>
  <c r="AR170" i="1"/>
  <c r="AQ170" i="1"/>
  <c r="AP170" i="1"/>
  <c r="AM170" i="1"/>
  <c r="AL170" i="1"/>
  <c r="AK170" i="1"/>
  <c r="AJ170" i="1"/>
  <c r="AI170" i="1"/>
  <c r="AH170" i="1"/>
  <c r="AH170" i="1" a="1"/>
  <c r="AG170" i="1"/>
  <c r="AF170" i="1"/>
  <c r="BI169" i="1"/>
  <c r="BH169" i="1"/>
  <c r="BG169" i="1"/>
  <c r="BF169" i="1"/>
  <c r="BE169" i="1"/>
  <c r="BD169" i="1"/>
  <c r="BC169" i="1"/>
  <c r="BB169" i="1"/>
  <c r="BA169" i="1"/>
  <c r="AZ169" i="1"/>
  <c r="AY169" i="1"/>
  <c r="AX169" i="1"/>
  <c r="AW169" i="1"/>
  <c r="AV169" i="1"/>
  <c r="AU169" i="1"/>
  <c r="AT169" i="1"/>
  <c r="AS169" i="1"/>
  <c r="AR169" i="1"/>
  <c r="AQ169" i="1"/>
  <c r="AP169" i="1"/>
  <c r="AM169" i="1"/>
  <c r="AL169" i="1"/>
  <c r="AK169" i="1"/>
  <c r="AJ169" i="1"/>
  <c r="AI169" i="1"/>
  <c r="AH169" i="1"/>
  <c r="AH169" i="1" a="1"/>
  <c r="AG169" i="1"/>
  <c r="AF169" i="1"/>
  <c r="BI168" i="1"/>
  <c r="BH168" i="1"/>
  <c r="BG168" i="1"/>
  <c r="BF168" i="1"/>
  <c r="BE168" i="1"/>
  <c r="BD168" i="1"/>
  <c r="BC168" i="1"/>
  <c r="BB168" i="1"/>
  <c r="BA168" i="1"/>
  <c r="AZ168" i="1"/>
  <c r="AY168" i="1"/>
  <c r="AX168" i="1"/>
  <c r="AW168" i="1"/>
  <c r="AV168" i="1"/>
  <c r="AU168" i="1"/>
  <c r="AT168" i="1"/>
  <c r="AS168" i="1"/>
  <c r="AR168" i="1"/>
  <c r="AQ168" i="1"/>
  <c r="AP168" i="1"/>
  <c r="AM168" i="1"/>
  <c r="AL168" i="1"/>
  <c r="AK168" i="1"/>
  <c r="AJ168" i="1"/>
  <c r="AI168" i="1"/>
  <c r="AH168" i="1"/>
  <c r="AH168" i="1" a="1"/>
  <c r="AG168" i="1"/>
  <c r="AF168" i="1"/>
  <c r="BI167" i="1"/>
  <c r="BH167" i="1"/>
  <c r="BG167" i="1"/>
  <c r="BF167" i="1"/>
  <c r="BE167" i="1"/>
  <c r="BD167" i="1"/>
  <c r="BC167" i="1"/>
  <c r="BB167" i="1"/>
  <c r="BA167" i="1"/>
  <c r="AZ167" i="1"/>
  <c r="AY167" i="1"/>
  <c r="AX167" i="1"/>
  <c r="AW167" i="1"/>
  <c r="AV167" i="1"/>
  <c r="AU167" i="1"/>
  <c r="AT167" i="1"/>
  <c r="AS167" i="1"/>
  <c r="AR167" i="1"/>
  <c r="AQ167" i="1"/>
  <c r="AP167" i="1"/>
  <c r="AM167" i="1"/>
  <c r="AL167" i="1"/>
  <c r="AK167" i="1"/>
  <c r="AJ167" i="1"/>
  <c r="AI167" i="1"/>
  <c r="AH167" i="1"/>
  <c r="AH167" i="1" a="1"/>
  <c r="AG167" i="1"/>
  <c r="AF167" i="1"/>
  <c r="BI166" i="1"/>
  <c r="BH166" i="1"/>
  <c r="BG166" i="1"/>
  <c r="BF166" i="1"/>
  <c r="BE166" i="1"/>
  <c r="BD166" i="1"/>
  <c r="BC166" i="1"/>
  <c r="BB166" i="1"/>
  <c r="BA166" i="1"/>
  <c r="AZ166" i="1"/>
  <c r="AY166" i="1"/>
  <c r="AX166" i="1"/>
  <c r="AW166" i="1"/>
  <c r="AV166" i="1"/>
  <c r="AU166" i="1"/>
  <c r="AT166" i="1"/>
  <c r="AS166" i="1"/>
  <c r="AR166" i="1"/>
  <c r="AQ166" i="1"/>
  <c r="AP166" i="1"/>
  <c r="AM166" i="1"/>
  <c r="AL166" i="1"/>
  <c r="AK166" i="1"/>
  <c r="AJ166" i="1"/>
  <c r="AI166" i="1"/>
  <c r="AH166" i="1"/>
  <c r="AH166" i="1" a="1"/>
  <c r="AG166" i="1"/>
  <c r="AF166" i="1"/>
  <c r="BI165" i="1"/>
  <c r="BH165" i="1"/>
  <c r="BG165" i="1"/>
  <c r="BF165" i="1"/>
  <c r="BE165" i="1"/>
  <c r="BD165" i="1"/>
  <c r="BC165" i="1"/>
  <c r="BB165" i="1"/>
  <c r="BA165" i="1"/>
  <c r="AZ165" i="1"/>
  <c r="AY165" i="1"/>
  <c r="AX165" i="1"/>
  <c r="AW165" i="1"/>
  <c r="AV165" i="1"/>
  <c r="AU165" i="1"/>
  <c r="AT165" i="1"/>
  <c r="AS165" i="1"/>
  <c r="AR165" i="1"/>
  <c r="AQ165" i="1"/>
  <c r="AP165" i="1"/>
  <c r="AM165" i="1"/>
  <c r="AL165" i="1"/>
  <c r="AK165" i="1"/>
  <c r="AJ165" i="1"/>
  <c r="AI165" i="1"/>
  <c r="AH165" i="1"/>
  <c r="AH165" i="1" a="1"/>
  <c r="AG165" i="1"/>
  <c r="AF165" i="1"/>
  <c r="BI164" i="1"/>
  <c r="BH164" i="1"/>
  <c r="BG164" i="1"/>
  <c r="BF164" i="1"/>
  <c r="BE164" i="1"/>
  <c r="BD164" i="1"/>
  <c r="BC164" i="1"/>
  <c r="BB164" i="1"/>
  <c r="BA164" i="1"/>
  <c r="AZ164" i="1"/>
  <c r="AY164" i="1"/>
  <c r="AX164" i="1"/>
  <c r="AW164" i="1"/>
  <c r="AV164" i="1"/>
  <c r="AU164" i="1"/>
  <c r="AT164" i="1"/>
  <c r="AS164" i="1"/>
  <c r="AR164" i="1"/>
  <c r="AQ164" i="1"/>
  <c r="AP164" i="1"/>
  <c r="AM164" i="1"/>
  <c r="AL164" i="1"/>
  <c r="AK164" i="1"/>
  <c r="AJ164" i="1"/>
  <c r="AI164" i="1"/>
  <c r="AH164" i="1"/>
  <c r="AH164" i="1" a="1"/>
  <c r="AG164" i="1"/>
  <c r="AF164" i="1"/>
  <c r="BI163" i="1"/>
  <c r="BH163" i="1"/>
  <c r="BG163" i="1"/>
  <c r="BF163" i="1"/>
  <c r="BE163" i="1"/>
  <c r="BD163" i="1"/>
  <c r="BC163" i="1"/>
  <c r="BB163" i="1"/>
  <c r="BA163" i="1"/>
  <c r="AZ163" i="1"/>
  <c r="AY163" i="1"/>
  <c r="AX163" i="1"/>
  <c r="AW163" i="1"/>
  <c r="AV163" i="1"/>
  <c r="AU163" i="1"/>
  <c r="AT163" i="1"/>
  <c r="AS163" i="1"/>
  <c r="AR163" i="1"/>
  <c r="AQ163" i="1"/>
  <c r="AP163" i="1"/>
  <c r="AM163" i="1"/>
  <c r="AL163" i="1"/>
  <c r="AK163" i="1"/>
  <c r="AJ163" i="1"/>
  <c r="AI163" i="1"/>
  <c r="AH163" i="1"/>
  <c r="AH163" i="1" a="1"/>
  <c r="AG163" i="1"/>
  <c r="AF163" i="1"/>
  <c r="BI162" i="1"/>
  <c r="BH162" i="1"/>
  <c r="BG162" i="1"/>
  <c r="BF162" i="1"/>
  <c r="BE162" i="1"/>
  <c r="BD162" i="1"/>
  <c r="BC162" i="1"/>
  <c r="BB162" i="1"/>
  <c r="BA162" i="1"/>
  <c r="AZ162" i="1"/>
  <c r="AY162" i="1"/>
  <c r="AX162" i="1"/>
  <c r="AW162" i="1"/>
  <c r="AV162" i="1"/>
  <c r="AU162" i="1"/>
  <c r="AT162" i="1"/>
  <c r="AS162" i="1"/>
  <c r="AR162" i="1"/>
  <c r="AQ162" i="1"/>
  <c r="AP162" i="1"/>
  <c r="AM162" i="1"/>
  <c r="AL162" i="1"/>
  <c r="AK162" i="1"/>
  <c r="AJ162" i="1"/>
  <c r="AI162" i="1"/>
  <c r="AH162" i="1"/>
  <c r="AH162" i="1" a="1"/>
  <c r="AG162" i="1"/>
  <c r="AF162" i="1"/>
  <c r="BI161" i="1"/>
  <c r="BH161" i="1"/>
  <c r="BG161" i="1"/>
  <c r="BF161" i="1"/>
  <c r="BE161" i="1"/>
  <c r="BD161" i="1"/>
  <c r="BC161" i="1"/>
  <c r="BB161" i="1"/>
  <c r="BA161" i="1"/>
  <c r="AZ161" i="1"/>
  <c r="AY161" i="1"/>
  <c r="AX161" i="1"/>
  <c r="AW161" i="1"/>
  <c r="AV161" i="1"/>
  <c r="AU161" i="1"/>
  <c r="AT161" i="1"/>
  <c r="AS161" i="1"/>
  <c r="AR161" i="1"/>
  <c r="AQ161" i="1"/>
  <c r="AP161" i="1"/>
  <c r="AM161" i="1"/>
  <c r="AL161" i="1"/>
  <c r="AK161" i="1"/>
  <c r="AJ161" i="1"/>
  <c r="AI161" i="1"/>
  <c r="AH161" i="1"/>
  <c r="AH161" i="1" a="1"/>
  <c r="AG161" i="1"/>
  <c r="AF161" i="1"/>
  <c r="BI160" i="1"/>
  <c r="BH160" i="1"/>
  <c r="BG160" i="1"/>
  <c r="BF160" i="1"/>
  <c r="BE160" i="1"/>
  <c r="BD160" i="1"/>
  <c r="BC160" i="1"/>
  <c r="BB160" i="1"/>
  <c r="BA160" i="1"/>
  <c r="AZ160" i="1"/>
  <c r="AY160" i="1"/>
  <c r="AX160" i="1"/>
  <c r="AW160" i="1"/>
  <c r="AV160" i="1"/>
  <c r="AU160" i="1"/>
  <c r="AT160" i="1"/>
  <c r="AS160" i="1"/>
  <c r="AR160" i="1"/>
  <c r="AQ160" i="1"/>
  <c r="AP160" i="1"/>
  <c r="AM160" i="1"/>
  <c r="AL160" i="1"/>
  <c r="AK160" i="1"/>
  <c r="AJ160" i="1"/>
  <c r="AI160" i="1"/>
  <c r="AH160" i="1"/>
  <c r="AH160" i="1" a="1"/>
  <c r="AG160" i="1"/>
  <c r="AF160" i="1"/>
  <c r="BI159" i="1"/>
  <c r="BH159" i="1"/>
  <c r="BG159" i="1"/>
  <c r="BF159" i="1"/>
  <c r="BE159" i="1"/>
  <c r="BD159" i="1"/>
  <c r="BC159" i="1"/>
  <c r="BB159" i="1"/>
  <c r="BA159" i="1"/>
  <c r="AZ159" i="1"/>
  <c r="AY159" i="1"/>
  <c r="AX159" i="1"/>
  <c r="AW159" i="1"/>
  <c r="AV159" i="1"/>
  <c r="AU159" i="1"/>
  <c r="AT159" i="1"/>
  <c r="AS159" i="1"/>
  <c r="AR159" i="1"/>
  <c r="AQ159" i="1"/>
  <c r="AP159" i="1"/>
  <c r="AM159" i="1"/>
  <c r="AL159" i="1"/>
  <c r="AK159" i="1"/>
  <c r="AJ159" i="1"/>
  <c r="AI159" i="1"/>
  <c r="AH159" i="1"/>
  <c r="AH159" i="1" a="1"/>
  <c r="AG159" i="1"/>
  <c r="AF159" i="1"/>
  <c r="BI158" i="1"/>
  <c r="BH158" i="1"/>
  <c r="BG158" i="1"/>
  <c r="BF158" i="1"/>
  <c r="BE158" i="1"/>
  <c r="BD158" i="1"/>
  <c r="BC158" i="1"/>
  <c r="BB158" i="1"/>
  <c r="BA158" i="1"/>
  <c r="AZ158" i="1"/>
  <c r="AY158" i="1"/>
  <c r="AX158" i="1"/>
  <c r="AW158" i="1"/>
  <c r="AV158" i="1"/>
  <c r="AU158" i="1"/>
  <c r="AT158" i="1"/>
  <c r="AS158" i="1"/>
  <c r="AR158" i="1"/>
  <c r="AQ158" i="1"/>
  <c r="AP158" i="1"/>
  <c r="AM158" i="1"/>
  <c r="AL158" i="1"/>
  <c r="AK158" i="1"/>
  <c r="AJ158" i="1"/>
  <c r="AI158" i="1"/>
  <c r="AH158" i="1"/>
  <c r="AH158" i="1" a="1"/>
  <c r="AG158" i="1"/>
  <c r="AF158" i="1"/>
  <c r="BI157" i="1"/>
  <c r="BH157" i="1"/>
  <c r="BG157" i="1"/>
  <c r="BF157" i="1"/>
  <c r="BE157" i="1"/>
  <c r="BD157" i="1"/>
  <c r="BC157" i="1"/>
  <c r="BB157" i="1"/>
  <c r="BA157" i="1"/>
  <c r="AZ157" i="1"/>
  <c r="AY157" i="1"/>
  <c r="AX157" i="1"/>
  <c r="AW157" i="1"/>
  <c r="AV157" i="1"/>
  <c r="AU157" i="1"/>
  <c r="AT157" i="1"/>
  <c r="AS157" i="1"/>
  <c r="AR157" i="1"/>
  <c r="AQ157" i="1"/>
  <c r="AP157" i="1"/>
  <c r="AM157" i="1"/>
  <c r="AL157" i="1"/>
  <c r="AK157" i="1"/>
  <c r="AJ157" i="1"/>
  <c r="AI157" i="1"/>
  <c r="AH157" i="1"/>
  <c r="AH157" i="1" a="1"/>
  <c r="AG157" i="1"/>
  <c r="AF157" i="1"/>
  <c r="BI156" i="1"/>
  <c r="BH156" i="1"/>
  <c r="BG156" i="1"/>
  <c r="BF156" i="1"/>
  <c r="BE156" i="1"/>
  <c r="BD156" i="1"/>
  <c r="BC156" i="1"/>
  <c r="BB156" i="1"/>
  <c r="BA156" i="1"/>
  <c r="AZ156" i="1"/>
  <c r="AY156" i="1"/>
  <c r="AX156" i="1"/>
  <c r="AW156" i="1"/>
  <c r="AV156" i="1"/>
  <c r="AU156" i="1"/>
  <c r="AT156" i="1"/>
  <c r="AS156" i="1"/>
  <c r="AR156" i="1"/>
  <c r="AQ156" i="1"/>
  <c r="AP156" i="1"/>
  <c r="AM156" i="1"/>
  <c r="AL156" i="1"/>
  <c r="AK156" i="1"/>
  <c r="AJ156" i="1"/>
  <c r="AI156" i="1"/>
  <c r="AH156" i="1"/>
  <c r="AH156" i="1" a="1"/>
  <c r="AG156" i="1"/>
  <c r="AF156" i="1"/>
  <c r="BI155" i="1"/>
  <c r="BH155" i="1"/>
  <c r="BG155" i="1"/>
  <c r="BF155" i="1"/>
  <c r="BE155" i="1"/>
  <c r="BD155" i="1"/>
  <c r="BC155" i="1"/>
  <c r="BB155" i="1"/>
  <c r="BA155" i="1"/>
  <c r="AZ155" i="1"/>
  <c r="AY155" i="1"/>
  <c r="AX155" i="1"/>
  <c r="AW155" i="1"/>
  <c r="AV155" i="1"/>
  <c r="AU155" i="1"/>
  <c r="AT155" i="1"/>
  <c r="AS155" i="1"/>
  <c r="AR155" i="1"/>
  <c r="AQ155" i="1"/>
  <c r="AP155" i="1"/>
  <c r="AM155" i="1"/>
  <c r="AL155" i="1"/>
  <c r="AK155" i="1"/>
  <c r="AJ155" i="1"/>
  <c r="AI155" i="1"/>
  <c r="AH155" i="1"/>
  <c r="AH155" i="1" a="1"/>
  <c r="AG155" i="1"/>
  <c r="AF155" i="1"/>
  <c r="BI154" i="1"/>
  <c r="BH154" i="1"/>
  <c r="BG154" i="1"/>
  <c r="BF154" i="1"/>
  <c r="BE154" i="1"/>
  <c r="BD154" i="1"/>
  <c r="BC154" i="1"/>
  <c r="BB154" i="1"/>
  <c r="BA154" i="1"/>
  <c r="AZ154" i="1"/>
  <c r="AY154" i="1"/>
  <c r="AX154" i="1"/>
  <c r="AW154" i="1"/>
  <c r="AV154" i="1"/>
  <c r="AU154" i="1"/>
  <c r="AT154" i="1"/>
  <c r="AS154" i="1"/>
  <c r="AR154" i="1"/>
  <c r="AQ154" i="1"/>
  <c r="AP154" i="1"/>
  <c r="AM154" i="1"/>
  <c r="AL154" i="1"/>
  <c r="AK154" i="1"/>
  <c r="AJ154" i="1"/>
  <c r="AI154" i="1"/>
  <c r="AH154" i="1"/>
  <c r="AH154" i="1" a="1"/>
  <c r="AG154" i="1"/>
  <c r="AF154" i="1"/>
  <c r="BI153" i="1"/>
  <c r="BH153" i="1"/>
  <c r="BG153" i="1"/>
  <c r="BF153" i="1"/>
  <c r="BE153" i="1"/>
  <c r="BD153" i="1"/>
  <c r="BC153" i="1"/>
  <c r="BB153" i="1"/>
  <c r="BA153" i="1"/>
  <c r="AZ153" i="1"/>
  <c r="AY153" i="1"/>
  <c r="AX153" i="1"/>
  <c r="AW153" i="1"/>
  <c r="AV153" i="1"/>
  <c r="AU153" i="1"/>
  <c r="AT153" i="1"/>
  <c r="AS153" i="1"/>
  <c r="AR153" i="1"/>
  <c r="AQ153" i="1"/>
  <c r="AP153" i="1"/>
  <c r="AM153" i="1"/>
  <c r="AL153" i="1"/>
  <c r="AK153" i="1"/>
  <c r="AJ153" i="1"/>
  <c r="AI153" i="1"/>
  <c r="AH153" i="1"/>
  <c r="AH153" i="1" a="1"/>
  <c r="AG153" i="1"/>
  <c r="AF153" i="1"/>
  <c r="BI152" i="1"/>
  <c r="BH152" i="1"/>
  <c r="BG152" i="1"/>
  <c r="BF152" i="1"/>
  <c r="BE152" i="1"/>
  <c r="BD152" i="1"/>
  <c r="BC152" i="1"/>
  <c r="BB152" i="1"/>
  <c r="BA152" i="1"/>
  <c r="AZ152" i="1"/>
  <c r="AY152" i="1"/>
  <c r="AX152" i="1"/>
  <c r="AW152" i="1"/>
  <c r="AV152" i="1"/>
  <c r="AU152" i="1"/>
  <c r="AT152" i="1"/>
  <c r="AS152" i="1"/>
  <c r="AR152" i="1"/>
  <c r="AQ152" i="1"/>
  <c r="AP152" i="1"/>
  <c r="AM152" i="1"/>
  <c r="AL152" i="1"/>
  <c r="AK152" i="1"/>
  <c r="AJ152" i="1"/>
  <c r="AI152" i="1"/>
  <c r="AH152" i="1"/>
  <c r="AH152" i="1" a="1"/>
  <c r="AG152" i="1"/>
  <c r="AF152" i="1"/>
  <c r="BI151" i="1"/>
  <c r="BH151" i="1"/>
  <c r="BG151" i="1"/>
  <c r="BF151" i="1"/>
  <c r="BE151" i="1"/>
  <c r="BD151" i="1"/>
  <c r="BC151" i="1"/>
  <c r="BB151" i="1"/>
  <c r="BA151" i="1"/>
  <c r="AZ151" i="1"/>
  <c r="AY151" i="1"/>
  <c r="AX151" i="1"/>
  <c r="AW151" i="1"/>
  <c r="AV151" i="1"/>
  <c r="AU151" i="1"/>
  <c r="AT151" i="1"/>
  <c r="AS151" i="1"/>
  <c r="AR151" i="1"/>
  <c r="AQ151" i="1"/>
  <c r="AP151" i="1"/>
  <c r="AM151" i="1"/>
  <c r="AL151" i="1"/>
  <c r="AK151" i="1"/>
  <c r="AJ151" i="1"/>
  <c r="AI151" i="1"/>
  <c r="AH151" i="1"/>
  <c r="AH151" i="1" a="1"/>
  <c r="AG151" i="1"/>
  <c r="AF151" i="1"/>
  <c r="BI150" i="1"/>
  <c r="BH150" i="1"/>
  <c r="BG150" i="1"/>
  <c r="BF150" i="1"/>
  <c r="BE150" i="1"/>
  <c r="BD150" i="1"/>
  <c r="BC150" i="1"/>
  <c r="BB150" i="1"/>
  <c r="BA150" i="1"/>
  <c r="AZ150" i="1"/>
  <c r="AY150" i="1"/>
  <c r="AX150" i="1"/>
  <c r="AW150" i="1"/>
  <c r="AV150" i="1"/>
  <c r="AU150" i="1"/>
  <c r="AT150" i="1"/>
  <c r="AS150" i="1"/>
  <c r="AR150" i="1"/>
  <c r="AQ150" i="1"/>
  <c r="AP150" i="1"/>
  <c r="AM150" i="1"/>
  <c r="AL150" i="1"/>
  <c r="AK150" i="1"/>
  <c r="AJ150" i="1"/>
  <c r="AI150" i="1"/>
  <c r="AH150" i="1"/>
  <c r="AH150" i="1" a="1"/>
  <c r="AG150" i="1"/>
  <c r="AF150" i="1"/>
  <c r="BI149" i="1"/>
  <c r="BH149" i="1"/>
  <c r="BG149" i="1"/>
  <c r="BF149" i="1"/>
  <c r="BE149" i="1"/>
  <c r="BD149" i="1"/>
  <c r="BC149" i="1"/>
  <c r="BB149" i="1"/>
  <c r="BA149" i="1"/>
  <c r="AZ149" i="1"/>
  <c r="AY149" i="1"/>
  <c r="AX149" i="1"/>
  <c r="AW149" i="1"/>
  <c r="AV149" i="1"/>
  <c r="AU149" i="1"/>
  <c r="AT149" i="1"/>
  <c r="AS149" i="1"/>
  <c r="AR149" i="1"/>
  <c r="AQ149" i="1"/>
  <c r="AP149" i="1"/>
  <c r="AM149" i="1"/>
  <c r="AL149" i="1"/>
  <c r="AK149" i="1"/>
  <c r="AJ149" i="1"/>
  <c r="AI149" i="1"/>
  <c r="AH149" i="1"/>
  <c r="AH149" i="1" a="1"/>
  <c r="AG149" i="1"/>
  <c r="AF149" i="1"/>
  <c r="BI148" i="1"/>
  <c r="BH148" i="1"/>
  <c r="BG148" i="1"/>
  <c r="BF148" i="1"/>
  <c r="BE148" i="1"/>
  <c r="BD148" i="1"/>
  <c r="BC148" i="1"/>
  <c r="BB148" i="1"/>
  <c r="BA148" i="1"/>
  <c r="AZ148" i="1"/>
  <c r="AY148" i="1"/>
  <c r="AX148" i="1"/>
  <c r="AW148" i="1"/>
  <c r="AV148" i="1"/>
  <c r="AU148" i="1"/>
  <c r="AT148" i="1"/>
  <c r="AS148" i="1"/>
  <c r="AR148" i="1"/>
  <c r="AQ148" i="1"/>
  <c r="AP148" i="1"/>
  <c r="AM148" i="1"/>
  <c r="AL148" i="1"/>
  <c r="AK148" i="1"/>
  <c r="AJ148" i="1"/>
  <c r="AI148" i="1"/>
  <c r="AH148" i="1"/>
  <c r="AH148" i="1" a="1"/>
  <c r="AG148" i="1"/>
  <c r="AF148" i="1"/>
  <c r="BI147" i="1"/>
  <c r="BH147" i="1"/>
  <c r="BG147" i="1"/>
  <c r="BF147" i="1"/>
  <c r="BE147" i="1"/>
  <c r="BD147" i="1"/>
  <c r="BC147" i="1"/>
  <c r="BB147" i="1"/>
  <c r="BA147" i="1"/>
  <c r="AZ147" i="1"/>
  <c r="AY147" i="1"/>
  <c r="AX147" i="1"/>
  <c r="AW147" i="1"/>
  <c r="AV147" i="1"/>
  <c r="AU147" i="1"/>
  <c r="AT147" i="1"/>
  <c r="AS147" i="1"/>
  <c r="AR147" i="1"/>
  <c r="AQ147" i="1"/>
  <c r="AP147" i="1"/>
  <c r="AM147" i="1"/>
  <c r="AL147" i="1"/>
  <c r="AK147" i="1"/>
  <c r="AJ147" i="1"/>
  <c r="AI147" i="1"/>
  <c r="AH147" i="1"/>
  <c r="AH147" i="1" a="1"/>
  <c r="AG147" i="1"/>
  <c r="AF147" i="1"/>
  <c r="BI146" i="1"/>
  <c r="BH146" i="1"/>
  <c r="BG146" i="1"/>
  <c r="BF146" i="1"/>
  <c r="BE146" i="1"/>
  <c r="BD146" i="1"/>
  <c r="BC146" i="1"/>
  <c r="BB146" i="1"/>
  <c r="BA146" i="1"/>
  <c r="AZ146" i="1"/>
  <c r="AY146" i="1"/>
  <c r="AX146" i="1"/>
  <c r="AW146" i="1"/>
  <c r="AV146" i="1"/>
  <c r="AU146" i="1"/>
  <c r="AT146" i="1"/>
  <c r="AS146" i="1"/>
  <c r="AR146" i="1"/>
  <c r="AQ146" i="1"/>
  <c r="AP146" i="1"/>
  <c r="AM146" i="1"/>
  <c r="AL146" i="1"/>
  <c r="AK146" i="1"/>
  <c r="AJ146" i="1"/>
  <c r="AI146" i="1"/>
  <c r="AH146" i="1"/>
  <c r="AH146" i="1" a="1"/>
  <c r="AG146" i="1"/>
  <c r="AF146" i="1"/>
  <c r="BI145" i="1"/>
  <c r="BH145" i="1"/>
  <c r="BG145" i="1"/>
  <c r="BF145" i="1"/>
  <c r="BE145" i="1"/>
  <c r="BD145" i="1"/>
  <c r="BC145" i="1"/>
  <c r="BB145" i="1"/>
  <c r="BA145" i="1"/>
  <c r="AZ145" i="1"/>
  <c r="AY145" i="1"/>
  <c r="AX145" i="1"/>
  <c r="AW145" i="1"/>
  <c r="AV145" i="1"/>
  <c r="AU145" i="1"/>
  <c r="AT145" i="1"/>
  <c r="AS145" i="1"/>
  <c r="AR145" i="1"/>
  <c r="AQ145" i="1"/>
  <c r="AP145" i="1"/>
  <c r="AM145" i="1"/>
  <c r="AL145" i="1"/>
  <c r="AK145" i="1"/>
  <c r="AJ145" i="1"/>
  <c r="AI145" i="1"/>
  <c r="AH145" i="1"/>
  <c r="AH145" i="1" a="1"/>
  <c r="AG145" i="1"/>
  <c r="AF145" i="1"/>
  <c r="BI144" i="1"/>
  <c r="BH144" i="1"/>
  <c r="BG144" i="1"/>
  <c r="BF144" i="1"/>
  <c r="BE144" i="1"/>
  <c r="BD144" i="1"/>
  <c r="BC144" i="1"/>
  <c r="BB144" i="1"/>
  <c r="BA144" i="1"/>
  <c r="AZ144" i="1"/>
  <c r="AY144" i="1"/>
  <c r="AX144" i="1"/>
  <c r="AW144" i="1"/>
  <c r="AV144" i="1"/>
  <c r="AU144" i="1"/>
  <c r="AT144" i="1"/>
  <c r="AS144" i="1"/>
  <c r="AR144" i="1"/>
  <c r="AQ144" i="1"/>
  <c r="AP144" i="1"/>
  <c r="AM144" i="1"/>
  <c r="AL144" i="1"/>
  <c r="AK144" i="1"/>
  <c r="AJ144" i="1"/>
  <c r="AI144" i="1"/>
  <c r="AH144" i="1"/>
  <c r="AH144" i="1" a="1"/>
  <c r="AG144" i="1"/>
  <c r="AF144" i="1"/>
  <c r="BI143" i="1"/>
  <c r="BH143" i="1"/>
  <c r="BG143" i="1"/>
  <c r="BF143" i="1"/>
  <c r="BE143" i="1"/>
  <c r="BD143" i="1"/>
  <c r="BC143" i="1"/>
  <c r="BB143" i="1"/>
  <c r="BA143" i="1"/>
  <c r="AZ143" i="1"/>
  <c r="AY143" i="1"/>
  <c r="AX143" i="1"/>
  <c r="AW143" i="1"/>
  <c r="AV143" i="1"/>
  <c r="AU143" i="1"/>
  <c r="AT143" i="1"/>
  <c r="AS143" i="1"/>
  <c r="AR143" i="1"/>
  <c r="AQ143" i="1"/>
  <c r="AP143" i="1"/>
  <c r="AM143" i="1"/>
  <c r="AL143" i="1"/>
  <c r="AK143" i="1"/>
  <c r="AJ143" i="1"/>
  <c r="AI143" i="1"/>
  <c r="AH143" i="1"/>
  <c r="AH143" i="1" a="1"/>
  <c r="AG143" i="1"/>
  <c r="AF143" i="1"/>
  <c r="BI142" i="1"/>
  <c r="BH142" i="1"/>
  <c r="BG142" i="1"/>
  <c r="BF142" i="1"/>
  <c r="BE142" i="1"/>
  <c r="BD142" i="1"/>
  <c r="BC142" i="1"/>
  <c r="BB142" i="1"/>
  <c r="BA142" i="1"/>
  <c r="AZ142" i="1"/>
  <c r="AY142" i="1"/>
  <c r="AX142" i="1"/>
  <c r="AW142" i="1"/>
  <c r="AV142" i="1"/>
  <c r="AU142" i="1"/>
  <c r="AT142" i="1"/>
  <c r="AS142" i="1"/>
  <c r="AR142" i="1"/>
  <c r="AQ142" i="1"/>
  <c r="AP142" i="1"/>
  <c r="AM142" i="1"/>
  <c r="AL142" i="1"/>
  <c r="AK142" i="1"/>
  <c r="AJ142" i="1"/>
  <c r="AI142" i="1"/>
  <c r="AH142" i="1"/>
  <c r="AH142" i="1" a="1"/>
  <c r="AG142" i="1"/>
  <c r="AF142" i="1"/>
  <c r="BI141" i="1"/>
  <c r="BH141" i="1"/>
  <c r="BG141" i="1"/>
  <c r="BF141" i="1"/>
  <c r="BE141" i="1"/>
  <c r="BD141" i="1"/>
  <c r="BC141" i="1"/>
  <c r="BB141" i="1"/>
  <c r="BA141" i="1"/>
  <c r="AZ141" i="1"/>
  <c r="AY141" i="1"/>
  <c r="AX141" i="1"/>
  <c r="AW141" i="1"/>
  <c r="AV141" i="1"/>
  <c r="AU141" i="1"/>
  <c r="AT141" i="1"/>
  <c r="AS141" i="1"/>
  <c r="AR141" i="1"/>
  <c r="AQ141" i="1"/>
  <c r="AP141" i="1"/>
  <c r="AM141" i="1"/>
  <c r="AL141" i="1"/>
  <c r="AK141" i="1"/>
  <c r="AJ141" i="1"/>
  <c r="AI141" i="1"/>
  <c r="AH141" i="1"/>
  <c r="AH141" i="1" a="1"/>
  <c r="AG141" i="1"/>
  <c r="AF141" i="1"/>
  <c r="BI140" i="1"/>
  <c r="BH140" i="1"/>
  <c r="BG140" i="1"/>
  <c r="BF140" i="1"/>
  <c r="BE140" i="1"/>
  <c r="BD140" i="1"/>
  <c r="BC140" i="1"/>
  <c r="BB140" i="1"/>
  <c r="BA140" i="1"/>
  <c r="AZ140" i="1"/>
  <c r="AY140" i="1"/>
  <c r="AX140" i="1"/>
  <c r="AW140" i="1"/>
  <c r="AV140" i="1"/>
  <c r="AU140" i="1"/>
  <c r="AT140" i="1"/>
  <c r="AS140" i="1"/>
  <c r="AR140" i="1"/>
  <c r="AQ140" i="1"/>
  <c r="AP140" i="1"/>
  <c r="AM140" i="1"/>
  <c r="AL140" i="1"/>
  <c r="AK140" i="1"/>
  <c r="AJ140" i="1"/>
  <c r="AI140" i="1"/>
  <c r="AH140" i="1"/>
  <c r="AH140" i="1" a="1"/>
  <c r="AG140" i="1"/>
  <c r="AF140" i="1"/>
  <c r="BI139" i="1"/>
  <c r="BH139" i="1"/>
  <c r="BG139" i="1"/>
  <c r="BF139" i="1"/>
  <c r="BE139" i="1"/>
  <c r="BD139" i="1"/>
  <c r="BC139" i="1"/>
  <c r="BB139" i="1"/>
  <c r="BA139" i="1"/>
  <c r="AZ139" i="1"/>
  <c r="AY139" i="1"/>
  <c r="AX139" i="1"/>
  <c r="AW139" i="1"/>
  <c r="AV139" i="1"/>
  <c r="AU139" i="1"/>
  <c r="AT139" i="1"/>
  <c r="AS139" i="1"/>
  <c r="AR139" i="1"/>
  <c r="AQ139" i="1"/>
  <c r="AP139" i="1"/>
  <c r="AM139" i="1"/>
  <c r="AL139" i="1"/>
  <c r="AK139" i="1"/>
  <c r="AJ139" i="1"/>
  <c r="AI139" i="1"/>
  <c r="AH139" i="1"/>
  <c r="AH139" i="1" a="1"/>
  <c r="AG139" i="1"/>
  <c r="AF139" i="1"/>
  <c r="BI138" i="1"/>
  <c r="BH138" i="1"/>
  <c r="BG138" i="1"/>
  <c r="BF138" i="1"/>
  <c r="BE138" i="1"/>
  <c r="BD138" i="1"/>
  <c r="BC138" i="1"/>
  <c r="BB138" i="1"/>
  <c r="BA138" i="1"/>
  <c r="AZ138" i="1"/>
  <c r="AY138" i="1"/>
  <c r="AX138" i="1"/>
  <c r="AW138" i="1"/>
  <c r="AV138" i="1"/>
  <c r="AU138" i="1"/>
  <c r="AT138" i="1"/>
  <c r="AS138" i="1"/>
  <c r="AR138" i="1"/>
  <c r="AQ138" i="1"/>
  <c r="AP138" i="1"/>
  <c r="AM138" i="1"/>
  <c r="AL138" i="1"/>
  <c r="AK138" i="1"/>
  <c r="AJ138" i="1"/>
  <c r="AI138" i="1"/>
  <c r="AH138" i="1"/>
  <c r="AH138" i="1" a="1"/>
  <c r="AG138" i="1"/>
  <c r="AF138" i="1"/>
  <c r="BI137" i="1"/>
  <c r="BH137" i="1"/>
  <c r="BG137" i="1"/>
  <c r="BF137" i="1"/>
  <c r="BE137" i="1"/>
  <c r="BD137" i="1"/>
  <c r="BC137" i="1"/>
  <c r="BB137" i="1"/>
  <c r="BA137" i="1"/>
  <c r="AZ137" i="1"/>
  <c r="AY137" i="1"/>
  <c r="AX137" i="1"/>
  <c r="AW137" i="1"/>
  <c r="AV137" i="1"/>
  <c r="AU137" i="1"/>
  <c r="AT137" i="1"/>
  <c r="AS137" i="1"/>
  <c r="AR137" i="1"/>
  <c r="AQ137" i="1"/>
  <c r="AP137" i="1"/>
  <c r="AM137" i="1"/>
  <c r="AL137" i="1"/>
  <c r="AK137" i="1"/>
  <c r="AJ137" i="1"/>
  <c r="AI137" i="1"/>
  <c r="AH137" i="1"/>
  <c r="AH137" i="1" a="1"/>
  <c r="AG137" i="1"/>
  <c r="AF137" i="1"/>
  <c r="BI136" i="1"/>
  <c r="BH136" i="1"/>
  <c r="BG136" i="1"/>
  <c r="BF136" i="1"/>
  <c r="BE136" i="1"/>
  <c r="BD136" i="1"/>
  <c r="BC136" i="1"/>
  <c r="BB136" i="1"/>
  <c r="BA136" i="1"/>
  <c r="AZ136" i="1"/>
  <c r="AY136" i="1"/>
  <c r="AX136" i="1"/>
  <c r="AW136" i="1"/>
  <c r="AV136" i="1"/>
  <c r="AU136" i="1"/>
  <c r="AT136" i="1"/>
  <c r="AS136" i="1"/>
  <c r="AR136" i="1"/>
  <c r="AQ136" i="1"/>
  <c r="AP136" i="1"/>
  <c r="AM136" i="1"/>
  <c r="AL136" i="1"/>
  <c r="AK136" i="1"/>
  <c r="AJ136" i="1"/>
  <c r="AI136" i="1"/>
  <c r="AH136" i="1"/>
  <c r="AH136" i="1" a="1"/>
  <c r="AG136" i="1"/>
  <c r="AF136" i="1"/>
  <c r="BI135" i="1"/>
  <c r="BH135" i="1"/>
  <c r="BG135" i="1"/>
  <c r="BF135" i="1"/>
  <c r="BE135" i="1"/>
  <c r="BD135" i="1"/>
  <c r="BC135" i="1"/>
  <c r="BB135" i="1"/>
  <c r="BA135" i="1"/>
  <c r="AZ135" i="1"/>
  <c r="AY135" i="1"/>
  <c r="AX135" i="1"/>
  <c r="AW135" i="1"/>
  <c r="AV135" i="1"/>
  <c r="AU135" i="1"/>
  <c r="AT135" i="1"/>
  <c r="AS135" i="1"/>
  <c r="AR135" i="1"/>
  <c r="AQ135" i="1"/>
  <c r="AP135" i="1"/>
  <c r="AM135" i="1"/>
  <c r="AL135" i="1"/>
  <c r="AK135" i="1"/>
  <c r="AJ135" i="1"/>
  <c r="AI135" i="1"/>
  <c r="AH135" i="1"/>
  <c r="AH135" i="1" a="1"/>
  <c r="AG135" i="1"/>
  <c r="AF135" i="1"/>
  <c r="BI134" i="1"/>
  <c r="BH134" i="1"/>
  <c r="BG134" i="1"/>
  <c r="BF134" i="1"/>
  <c r="BE134" i="1"/>
  <c r="BD134" i="1"/>
  <c r="BC134" i="1"/>
  <c r="BB134" i="1"/>
  <c r="BA134" i="1"/>
  <c r="AZ134" i="1"/>
  <c r="AY134" i="1"/>
  <c r="AX134" i="1"/>
  <c r="AW134" i="1"/>
  <c r="AV134" i="1"/>
  <c r="AU134" i="1"/>
  <c r="AT134" i="1"/>
  <c r="AS134" i="1"/>
  <c r="AR134" i="1"/>
  <c r="AQ134" i="1"/>
  <c r="AP134" i="1"/>
  <c r="AM134" i="1"/>
  <c r="AL134" i="1"/>
  <c r="AK134" i="1"/>
  <c r="AJ134" i="1"/>
  <c r="AI134" i="1"/>
  <c r="AH134" i="1"/>
  <c r="AH134" i="1" a="1"/>
  <c r="AG134" i="1"/>
  <c r="AF134" i="1"/>
  <c r="BI133" i="1"/>
  <c r="BH133" i="1"/>
  <c r="BG133" i="1"/>
  <c r="BF133" i="1"/>
  <c r="BE133" i="1"/>
  <c r="BD133" i="1"/>
  <c r="BC133" i="1"/>
  <c r="BB133" i="1"/>
  <c r="BA133" i="1"/>
  <c r="AZ133" i="1"/>
  <c r="AY133" i="1"/>
  <c r="AX133" i="1"/>
  <c r="AW133" i="1"/>
  <c r="AV133" i="1"/>
  <c r="AU133" i="1"/>
  <c r="AT133" i="1"/>
  <c r="AS133" i="1"/>
  <c r="AR133" i="1"/>
  <c r="AQ133" i="1"/>
  <c r="AP133" i="1"/>
  <c r="AM133" i="1"/>
  <c r="AL133" i="1"/>
  <c r="AK133" i="1"/>
  <c r="AJ133" i="1"/>
  <c r="AI133" i="1"/>
  <c r="AH133" i="1"/>
  <c r="AH133" i="1" a="1"/>
  <c r="AG133" i="1"/>
  <c r="AF133" i="1"/>
  <c r="BI132" i="1"/>
  <c r="BH132" i="1"/>
  <c r="BG132" i="1"/>
  <c r="BF132" i="1"/>
  <c r="BE132" i="1"/>
  <c r="BD132" i="1"/>
  <c r="BC132" i="1"/>
  <c r="BB132" i="1"/>
  <c r="BA132" i="1"/>
  <c r="AZ132" i="1"/>
  <c r="AY132" i="1"/>
  <c r="AX132" i="1"/>
  <c r="AW132" i="1"/>
  <c r="AV132" i="1"/>
  <c r="AU132" i="1"/>
  <c r="AT132" i="1"/>
  <c r="AS132" i="1"/>
  <c r="AR132" i="1"/>
  <c r="AQ132" i="1"/>
  <c r="AP132" i="1"/>
  <c r="AM132" i="1"/>
  <c r="AL132" i="1"/>
  <c r="AK132" i="1"/>
  <c r="AJ132" i="1"/>
  <c r="AI132" i="1"/>
  <c r="AH132" i="1"/>
  <c r="AH132" i="1" a="1"/>
  <c r="AG132" i="1"/>
  <c r="AF132" i="1"/>
  <c r="BI131" i="1"/>
  <c r="BH131" i="1"/>
  <c r="BG131" i="1"/>
  <c r="BF131" i="1"/>
  <c r="BE131" i="1"/>
  <c r="BD131" i="1"/>
  <c r="BC131" i="1"/>
  <c r="BB131" i="1"/>
  <c r="BA131" i="1"/>
  <c r="AZ131" i="1"/>
  <c r="AY131" i="1"/>
  <c r="AX131" i="1"/>
  <c r="AW131" i="1"/>
  <c r="AV131" i="1"/>
  <c r="AU131" i="1"/>
  <c r="AT131" i="1"/>
  <c r="AS131" i="1"/>
  <c r="AR131" i="1"/>
  <c r="AQ131" i="1"/>
  <c r="AP131" i="1"/>
  <c r="AM131" i="1"/>
  <c r="AL131" i="1"/>
  <c r="AK131" i="1"/>
  <c r="AJ131" i="1"/>
  <c r="AI131" i="1"/>
  <c r="AH131" i="1"/>
  <c r="AH131" i="1" a="1"/>
  <c r="AG131" i="1"/>
  <c r="AF131" i="1"/>
  <c r="BI130" i="1"/>
  <c r="BH130" i="1"/>
  <c r="BG130" i="1"/>
  <c r="BF130" i="1"/>
  <c r="BE130" i="1"/>
  <c r="BD130" i="1"/>
  <c r="BC130" i="1"/>
  <c r="BB130" i="1"/>
  <c r="BA130" i="1"/>
  <c r="AZ130" i="1"/>
  <c r="AY130" i="1"/>
  <c r="AX130" i="1"/>
  <c r="AW130" i="1"/>
  <c r="AV130" i="1"/>
  <c r="AU130" i="1"/>
  <c r="AT130" i="1"/>
  <c r="AS130" i="1"/>
  <c r="AR130" i="1"/>
  <c r="AQ130" i="1"/>
  <c r="AP130" i="1"/>
  <c r="AM130" i="1"/>
  <c r="AL130" i="1"/>
  <c r="AK130" i="1"/>
  <c r="AJ130" i="1"/>
  <c r="AI130" i="1"/>
  <c r="AH130" i="1"/>
  <c r="AH130" i="1" a="1"/>
  <c r="AG130" i="1"/>
  <c r="AF130" i="1"/>
  <c r="BI129" i="1"/>
  <c r="BH129" i="1"/>
  <c r="BG129" i="1"/>
  <c r="BF129" i="1"/>
  <c r="BE129" i="1"/>
  <c r="BD129" i="1"/>
  <c r="BC129" i="1"/>
  <c r="BB129" i="1"/>
  <c r="BA129" i="1"/>
  <c r="AZ129" i="1"/>
  <c r="AY129" i="1"/>
  <c r="AX129" i="1"/>
  <c r="AW129" i="1"/>
  <c r="AV129" i="1"/>
  <c r="AU129" i="1"/>
  <c r="AT129" i="1"/>
  <c r="AS129" i="1"/>
  <c r="AR129" i="1"/>
  <c r="AQ129" i="1"/>
  <c r="AP129" i="1"/>
  <c r="AM129" i="1"/>
  <c r="AL129" i="1"/>
  <c r="AK129" i="1"/>
  <c r="AJ129" i="1"/>
  <c r="AI129" i="1"/>
  <c r="AH129" i="1"/>
  <c r="AH129" i="1" a="1"/>
  <c r="AG129" i="1"/>
  <c r="AF129" i="1"/>
  <c r="BI128" i="1"/>
  <c r="BH128" i="1"/>
  <c r="BG128" i="1"/>
  <c r="BF128" i="1"/>
  <c r="BE128" i="1"/>
  <c r="BD128" i="1"/>
  <c r="BC128" i="1"/>
  <c r="BB128" i="1"/>
  <c r="BA128" i="1"/>
  <c r="AZ128" i="1"/>
  <c r="AY128" i="1"/>
  <c r="AX128" i="1"/>
  <c r="AW128" i="1"/>
  <c r="AV128" i="1"/>
  <c r="AU128" i="1"/>
  <c r="AT128" i="1"/>
  <c r="AS128" i="1"/>
  <c r="AR128" i="1"/>
  <c r="AQ128" i="1"/>
  <c r="AP128" i="1"/>
  <c r="AM128" i="1"/>
  <c r="AL128" i="1"/>
  <c r="AK128" i="1"/>
  <c r="AJ128" i="1"/>
  <c r="AI128" i="1"/>
  <c r="AH128" i="1"/>
  <c r="AH128" i="1" a="1"/>
  <c r="AG128" i="1"/>
  <c r="AF128" i="1"/>
  <c r="BI127" i="1"/>
  <c r="BH127" i="1"/>
  <c r="BG127" i="1"/>
  <c r="BF127" i="1"/>
  <c r="BE127" i="1"/>
  <c r="BD127" i="1"/>
  <c r="BC127" i="1"/>
  <c r="BB127" i="1"/>
  <c r="BA127" i="1"/>
  <c r="AZ127" i="1"/>
  <c r="AY127" i="1"/>
  <c r="AX127" i="1"/>
  <c r="AW127" i="1"/>
  <c r="AV127" i="1"/>
  <c r="AU127" i="1"/>
  <c r="AT127" i="1"/>
  <c r="AS127" i="1"/>
  <c r="AR127" i="1"/>
  <c r="AQ127" i="1"/>
  <c r="AP127" i="1"/>
  <c r="AM127" i="1"/>
  <c r="AL127" i="1"/>
  <c r="AK127" i="1"/>
  <c r="AJ127" i="1"/>
  <c r="AI127" i="1"/>
  <c r="AH127" i="1"/>
  <c r="AH127" i="1" a="1"/>
  <c r="AG127" i="1"/>
  <c r="AF127" i="1"/>
  <c r="BI126" i="1"/>
  <c r="BH126" i="1"/>
  <c r="BG126" i="1"/>
  <c r="BF126" i="1"/>
  <c r="BE126" i="1"/>
  <c r="BD126" i="1"/>
  <c r="BC126" i="1"/>
  <c r="BB126" i="1"/>
  <c r="BA126" i="1"/>
  <c r="AZ126" i="1"/>
  <c r="AY126" i="1"/>
  <c r="AX126" i="1"/>
  <c r="AW126" i="1"/>
  <c r="AV126" i="1"/>
  <c r="AU126" i="1"/>
  <c r="AT126" i="1"/>
  <c r="AS126" i="1"/>
  <c r="AR126" i="1"/>
  <c r="AQ126" i="1"/>
  <c r="AP126" i="1"/>
  <c r="AM126" i="1"/>
  <c r="AL126" i="1"/>
  <c r="AK126" i="1"/>
  <c r="AJ126" i="1"/>
  <c r="AI126" i="1"/>
  <c r="AH126" i="1"/>
  <c r="AH126" i="1" a="1"/>
  <c r="AG126" i="1"/>
  <c r="AF126" i="1"/>
  <c r="BI125" i="1"/>
  <c r="BH125" i="1"/>
  <c r="BG125" i="1"/>
  <c r="BF125" i="1"/>
  <c r="BE125" i="1"/>
  <c r="BD125" i="1"/>
  <c r="BC125" i="1"/>
  <c r="BB125" i="1"/>
  <c r="BA125" i="1"/>
  <c r="AZ125" i="1"/>
  <c r="AY125" i="1"/>
  <c r="AX125" i="1"/>
  <c r="AW125" i="1"/>
  <c r="AV125" i="1"/>
  <c r="AU125" i="1"/>
  <c r="AT125" i="1"/>
  <c r="AS125" i="1"/>
  <c r="AR125" i="1"/>
  <c r="AQ125" i="1"/>
  <c r="AP125" i="1"/>
  <c r="AM125" i="1"/>
  <c r="AL125" i="1"/>
  <c r="AK125" i="1"/>
  <c r="AJ125" i="1"/>
  <c r="AI125" i="1"/>
  <c r="AH125" i="1"/>
  <c r="AH125" i="1" a="1"/>
  <c r="AG125" i="1"/>
  <c r="AF125" i="1"/>
  <c r="BI124" i="1"/>
  <c r="BH124" i="1"/>
  <c r="BG124" i="1"/>
  <c r="BF124" i="1"/>
  <c r="BE124" i="1"/>
  <c r="BD124" i="1"/>
  <c r="BC124" i="1"/>
  <c r="BB124" i="1"/>
  <c r="BA124" i="1"/>
  <c r="AZ124" i="1"/>
  <c r="AY124" i="1"/>
  <c r="AX124" i="1"/>
  <c r="AW124" i="1"/>
  <c r="AV124" i="1"/>
  <c r="AU124" i="1"/>
  <c r="AT124" i="1"/>
  <c r="AS124" i="1"/>
  <c r="AR124" i="1"/>
  <c r="AQ124" i="1"/>
  <c r="AP124" i="1"/>
  <c r="AM124" i="1"/>
  <c r="AL124" i="1"/>
  <c r="AK124" i="1"/>
  <c r="AJ124" i="1"/>
  <c r="AI124" i="1"/>
  <c r="AH124" i="1"/>
  <c r="AH124" i="1" a="1"/>
  <c r="AG124" i="1"/>
  <c r="AF124" i="1"/>
  <c r="BI123" i="1"/>
  <c r="BH123" i="1"/>
  <c r="BG123" i="1"/>
  <c r="BF123" i="1"/>
  <c r="BE123" i="1"/>
  <c r="BD123" i="1"/>
  <c r="BC123" i="1"/>
  <c r="BB123" i="1"/>
  <c r="BA123" i="1"/>
  <c r="AZ123" i="1"/>
  <c r="AY123" i="1"/>
  <c r="AX123" i="1"/>
  <c r="AW123" i="1"/>
  <c r="AV123" i="1"/>
  <c r="AU123" i="1"/>
  <c r="AT123" i="1"/>
  <c r="AS123" i="1"/>
  <c r="AR123" i="1"/>
  <c r="AQ123" i="1"/>
  <c r="AP123" i="1"/>
  <c r="AM123" i="1"/>
  <c r="AL123" i="1"/>
  <c r="AK123" i="1"/>
  <c r="AJ123" i="1"/>
  <c r="AI123" i="1"/>
  <c r="AH123" i="1"/>
  <c r="AH123" i="1" a="1"/>
  <c r="AG123" i="1"/>
  <c r="AF123" i="1"/>
  <c r="BI122" i="1"/>
  <c r="BH122" i="1"/>
  <c r="BG122" i="1"/>
  <c r="BF122" i="1"/>
  <c r="BE122" i="1"/>
  <c r="BD122" i="1"/>
  <c r="BC122" i="1"/>
  <c r="BB122" i="1"/>
  <c r="BA122" i="1"/>
  <c r="AZ122" i="1"/>
  <c r="AY122" i="1"/>
  <c r="AX122" i="1"/>
  <c r="AW122" i="1"/>
  <c r="AV122" i="1"/>
  <c r="AU122" i="1"/>
  <c r="AT122" i="1"/>
  <c r="AS122" i="1"/>
  <c r="AR122" i="1"/>
  <c r="AQ122" i="1"/>
  <c r="AP122" i="1"/>
  <c r="AM122" i="1"/>
  <c r="AL122" i="1"/>
  <c r="AK122" i="1"/>
  <c r="AJ122" i="1"/>
  <c r="AI122" i="1"/>
  <c r="AH122" i="1"/>
  <c r="AH122" i="1" a="1"/>
  <c r="AG122" i="1"/>
  <c r="AF122" i="1"/>
  <c r="BI121" i="1"/>
  <c r="BH121" i="1"/>
  <c r="BG121" i="1"/>
  <c r="BF121" i="1"/>
  <c r="BE121" i="1"/>
  <c r="BD121" i="1"/>
  <c r="BC121" i="1"/>
  <c r="BB121" i="1"/>
  <c r="BA121" i="1"/>
  <c r="AZ121" i="1"/>
  <c r="AY121" i="1"/>
  <c r="AX121" i="1"/>
  <c r="AW121" i="1"/>
  <c r="AV121" i="1"/>
  <c r="AU121" i="1"/>
  <c r="AT121" i="1"/>
  <c r="AS121" i="1"/>
  <c r="AR121" i="1"/>
  <c r="AQ121" i="1"/>
  <c r="AP121" i="1"/>
  <c r="AM121" i="1"/>
  <c r="AL121" i="1"/>
  <c r="AK121" i="1"/>
  <c r="AJ121" i="1"/>
  <c r="AI121" i="1"/>
  <c r="AH121" i="1"/>
  <c r="AH121" i="1" a="1"/>
  <c r="AG121" i="1"/>
  <c r="AF121" i="1"/>
  <c r="BI120" i="1"/>
  <c r="BH120" i="1"/>
  <c r="BG120" i="1"/>
  <c r="BF120" i="1"/>
  <c r="BE120" i="1"/>
  <c r="BD120" i="1"/>
  <c r="BC120" i="1"/>
  <c r="BB120" i="1"/>
  <c r="BA120" i="1"/>
  <c r="AZ120" i="1"/>
  <c r="AY120" i="1"/>
  <c r="AX120" i="1"/>
  <c r="AW120" i="1"/>
  <c r="AV120" i="1"/>
  <c r="AU120" i="1"/>
  <c r="AT120" i="1"/>
  <c r="AS120" i="1"/>
  <c r="AR120" i="1"/>
  <c r="AQ120" i="1"/>
  <c r="AP120" i="1"/>
  <c r="AM120" i="1"/>
  <c r="AL120" i="1"/>
  <c r="AK120" i="1"/>
  <c r="AJ120" i="1"/>
  <c r="AI120" i="1"/>
  <c r="AH120" i="1"/>
  <c r="AH120" i="1" a="1"/>
  <c r="AG120" i="1"/>
  <c r="AF120" i="1"/>
  <c r="BI119" i="1"/>
  <c r="BH119" i="1"/>
  <c r="BG119" i="1"/>
  <c r="BF119" i="1"/>
  <c r="BE119" i="1"/>
  <c r="BD119" i="1"/>
  <c r="BC119" i="1"/>
  <c r="BB119" i="1"/>
  <c r="BA119" i="1"/>
  <c r="AZ119" i="1"/>
  <c r="AY119" i="1"/>
  <c r="AX119" i="1"/>
  <c r="AW119" i="1"/>
  <c r="AV119" i="1"/>
  <c r="AU119" i="1"/>
  <c r="AT119" i="1"/>
  <c r="AS119" i="1"/>
  <c r="AR119" i="1"/>
  <c r="AQ119" i="1"/>
  <c r="AP119" i="1"/>
  <c r="AM119" i="1"/>
  <c r="AL119" i="1"/>
  <c r="AK119" i="1"/>
  <c r="AJ119" i="1"/>
  <c r="AI119" i="1"/>
  <c r="AH119" i="1"/>
  <c r="AH119" i="1" a="1"/>
  <c r="AG119" i="1"/>
  <c r="AF119" i="1"/>
  <c r="BI118" i="1"/>
  <c r="BH118" i="1"/>
  <c r="BG118" i="1"/>
  <c r="BF118" i="1"/>
  <c r="BE118" i="1"/>
  <c r="BD118" i="1"/>
  <c r="BC118" i="1"/>
  <c r="BB118" i="1"/>
  <c r="BA118" i="1"/>
  <c r="AZ118" i="1"/>
  <c r="AY118" i="1"/>
  <c r="AX118" i="1"/>
  <c r="AW118" i="1"/>
  <c r="AV118" i="1"/>
  <c r="AU118" i="1"/>
  <c r="AT118" i="1"/>
  <c r="AS118" i="1"/>
  <c r="AR118" i="1"/>
  <c r="AQ118" i="1"/>
  <c r="AP118" i="1"/>
  <c r="AM118" i="1"/>
  <c r="AL118" i="1"/>
  <c r="AK118" i="1"/>
  <c r="AJ118" i="1"/>
  <c r="AI118" i="1"/>
  <c r="AH118" i="1"/>
  <c r="AH118" i="1" a="1"/>
  <c r="AG118" i="1"/>
  <c r="AF118" i="1"/>
  <c r="BI117" i="1"/>
  <c r="BH117" i="1"/>
  <c r="BG117" i="1"/>
  <c r="BF117" i="1"/>
  <c r="BE117" i="1"/>
  <c r="BD117" i="1"/>
  <c r="BC117" i="1"/>
  <c r="BB117" i="1"/>
  <c r="BA117" i="1"/>
  <c r="AZ117" i="1"/>
  <c r="AY117" i="1"/>
  <c r="AX117" i="1"/>
  <c r="AW117" i="1"/>
  <c r="AV117" i="1"/>
  <c r="AU117" i="1"/>
  <c r="AT117" i="1"/>
  <c r="AS117" i="1"/>
  <c r="AR117" i="1"/>
  <c r="AQ117" i="1"/>
  <c r="AP117" i="1"/>
  <c r="AM117" i="1"/>
  <c r="AL117" i="1"/>
  <c r="AK117" i="1"/>
  <c r="AJ117" i="1"/>
  <c r="AI117" i="1"/>
  <c r="AH117" i="1"/>
  <c r="AH117" i="1" a="1"/>
  <c r="AG117" i="1"/>
  <c r="AF117" i="1"/>
  <c r="BI116" i="1"/>
  <c r="BH116" i="1"/>
  <c r="BG116" i="1"/>
  <c r="BF116" i="1"/>
  <c r="BE116" i="1"/>
  <c r="BD116" i="1"/>
  <c r="BC116" i="1"/>
  <c r="BB116" i="1"/>
  <c r="BA116" i="1"/>
  <c r="AZ116" i="1"/>
  <c r="AY116" i="1"/>
  <c r="AX116" i="1"/>
  <c r="AW116" i="1"/>
  <c r="AV116" i="1"/>
  <c r="AU116" i="1"/>
  <c r="AT116" i="1"/>
  <c r="AS116" i="1"/>
  <c r="AR116" i="1"/>
  <c r="AQ116" i="1"/>
  <c r="AP116" i="1"/>
  <c r="AM116" i="1"/>
  <c r="AL116" i="1"/>
  <c r="AK116" i="1"/>
  <c r="AJ116" i="1"/>
  <c r="AI116" i="1"/>
  <c r="AH116" i="1"/>
  <c r="AH116" i="1" a="1"/>
  <c r="AG116" i="1"/>
  <c r="AF116" i="1"/>
  <c r="BI115" i="1"/>
  <c r="BH115" i="1"/>
  <c r="BG115" i="1"/>
  <c r="BF115" i="1"/>
  <c r="BE115" i="1"/>
  <c r="BD115" i="1"/>
  <c r="BC115" i="1"/>
  <c r="BB115" i="1"/>
  <c r="BA115" i="1"/>
  <c r="AZ115" i="1"/>
  <c r="AY115" i="1"/>
  <c r="AX115" i="1"/>
  <c r="AW115" i="1"/>
  <c r="AV115" i="1"/>
  <c r="AU115" i="1"/>
  <c r="AT115" i="1"/>
  <c r="AS115" i="1"/>
  <c r="AR115" i="1"/>
  <c r="AQ115" i="1"/>
  <c r="AP115" i="1"/>
  <c r="AM115" i="1"/>
  <c r="AL115" i="1"/>
  <c r="AK115" i="1"/>
  <c r="AJ115" i="1"/>
  <c r="AI115" i="1"/>
  <c r="AH115" i="1"/>
  <c r="AH115" i="1" a="1"/>
  <c r="AG115" i="1"/>
  <c r="AF115" i="1"/>
  <c r="BI114" i="1"/>
  <c r="BH114" i="1"/>
  <c r="BG114" i="1"/>
  <c r="BF114" i="1"/>
  <c r="BE114" i="1"/>
  <c r="BD114" i="1"/>
  <c r="BC114" i="1"/>
  <c r="BB114" i="1"/>
  <c r="BA114" i="1"/>
  <c r="AZ114" i="1"/>
  <c r="AY114" i="1"/>
  <c r="AX114" i="1"/>
  <c r="AW114" i="1"/>
  <c r="AV114" i="1"/>
  <c r="AU114" i="1"/>
  <c r="AT114" i="1"/>
  <c r="AS114" i="1"/>
  <c r="AR114" i="1"/>
  <c r="AQ114" i="1"/>
  <c r="AP114" i="1"/>
  <c r="AM114" i="1"/>
  <c r="AL114" i="1"/>
  <c r="AK114" i="1"/>
  <c r="AJ114" i="1"/>
  <c r="AI114" i="1"/>
  <c r="AH114" i="1"/>
  <c r="AH114" i="1" a="1"/>
  <c r="AG114" i="1"/>
  <c r="AF114" i="1"/>
  <c r="BI113" i="1"/>
  <c r="BH113" i="1"/>
  <c r="BG113" i="1"/>
  <c r="BF113" i="1"/>
  <c r="BE113" i="1"/>
  <c r="BD113" i="1"/>
  <c r="BC113" i="1"/>
  <c r="BB113" i="1"/>
  <c r="BA113" i="1"/>
  <c r="AZ113" i="1"/>
  <c r="AY113" i="1"/>
  <c r="AX113" i="1"/>
  <c r="AW113" i="1"/>
  <c r="AV113" i="1"/>
  <c r="AU113" i="1"/>
  <c r="AT113" i="1"/>
  <c r="AS113" i="1"/>
  <c r="AR113" i="1"/>
  <c r="AQ113" i="1"/>
  <c r="AP113" i="1"/>
  <c r="AM113" i="1"/>
  <c r="AL113" i="1"/>
  <c r="AK113" i="1"/>
  <c r="AJ113" i="1"/>
  <c r="AI113" i="1"/>
  <c r="AH113" i="1"/>
  <c r="AH113" i="1" a="1"/>
  <c r="AG113" i="1"/>
  <c r="AF113" i="1"/>
  <c r="BI112" i="1"/>
  <c r="BH112" i="1"/>
  <c r="BG112" i="1"/>
  <c r="BF112" i="1"/>
  <c r="BE112" i="1"/>
  <c r="BD112" i="1"/>
  <c r="BC112" i="1"/>
  <c r="BB112" i="1"/>
  <c r="BA112" i="1"/>
  <c r="AZ112" i="1"/>
  <c r="AY112" i="1"/>
  <c r="AX112" i="1"/>
  <c r="AW112" i="1"/>
  <c r="AV112" i="1"/>
  <c r="AU112" i="1"/>
  <c r="AT112" i="1"/>
  <c r="AS112" i="1"/>
  <c r="AR112" i="1"/>
  <c r="AQ112" i="1"/>
  <c r="AP112" i="1"/>
  <c r="AM112" i="1"/>
  <c r="AL112" i="1"/>
  <c r="AK112" i="1"/>
  <c r="AJ112" i="1"/>
  <c r="AI112" i="1"/>
  <c r="AH112" i="1"/>
  <c r="AH112" i="1" a="1"/>
  <c r="AG112" i="1"/>
  <c r="AF112" i="1"/>
  <c r="BI111" i="1"/>
  <c r="BH111" i="1"/>
  <c r="BG111" i="1"/>
  <c r="BF111" i="1"/>
  <c r="BE111" i="1"/>
  <c r="BD111" i="1"/>
  <c r="BC111" i="1"/>
  <c r="BB111" i="1"/>
  <c r="BA111" i="1"/>
  <c r="AZ111" i="1"/>
  <c r="AY111" i="1"/>
  <c r="AX111" i="1"/>
  <c r="AW111" i="1"/>
  <c r="AV111" i="1"/>
  <c r="AU111" i="1"/>
  <c r="AT111" i="1"/>
  <c r="AS111" i="1"/>
  <c r="AR111" i="1"/>
  <c r="AQ111" i="1"/>
  <c r="AP111" i="1"/>
  <c r="AM111" i="1"/>
  <c r="AL111" i="1"/>
  <c r="AK111" i="1"/>
  <c r="AJ111" i="1"/>
  <c r="AI111" i="1"/>
  <c r="AH111" i="1"/>
  <c r="AH111" i="1" a="1"/>
  <c r="AG111" i="1"/>
  <c r="AF111" i="1"/>
  <c r="BI110" i="1"/>
  <c r="BH110" i="1"/>
  <c r="BG110" i="1"/>
  <c r="BF110" i="1"/>
  <c r="BE110" i="1"/>
  <c r="BD110" i="1"/>
  <c r="BC110" i="1"/>
  <c r="BB110" i="1"/>
  <c r="BA110" i="1"/>
  <c r="AZ110" i="1"/>
  <c r="AY110" i="1"/>
  <c r="AX110" i="1"/>
  <c r="AW110" i="1"/>
  <c r="AV110" i="1"/>
  <c r="AU110" i="1"/>
  <c r="AT110" i="1"/>
  <c r="AS110" i="1"/>
  <c r="AR110" i="1"/>
  <c r="AQ110" i="1"/>
  <c r="AP110" i="1"/>
  <c r="AM110" i="1"/>
  <c r="AL110" i="1"/>
  <c r="AK110" i="1"/>
  <c r="AJ110" i="1"/>
  <c r="AI110" i="1"/>
  <c r="AH110" i="1"/>
  <c r="AH110" i="1" a="1"/>
  <c r="AG110" i="1"/>
  <c r="AF110" i="1"/>
  <c r="BI109" i="1"/>
  <c r="BH109" i="1"/>
  <c r="BG109" i="1"/>
  <c r="BF109" i="1"/>
  <c r="BE109" i="1"/>
  <c r="BD109" i="1"/>
  <c r="BC109" i="1"/>
  <c r="BB109" i="1"/>
  <c r="BA109" i="1"/>
  <c r="AZ109" i="1"/>
  <c r="AY109" i="1"/>
  <c r="AX109" i="1"/>
  <c r="AW109" i="1"/>
  <c r="AV109" i="1"/>
  <c r="AU109" i="1"/>
  <c r="AT109" i="1"/>
  <c r="AS109" i="1"/>
  <c r="AR109" i="1"/>
  <c r="AQ109" i="1"/>
  <c r="AP109" i="1"/>
  <c r="AM109" i="1"/>
  <c r="AL109" i="1"/>
  <c r="AK109" i="1"/>
  <c r="AJ109" i="1"/>
  <c r="AI109" i="1"/>
  <c r="AH109" i="1"/>
  <c r="AH109" i="1" a="1"/>
  <c r="AG109" i="1"/>
  <c r="AF109" i="1"/>
  <c r="BI108" i="1"/>
  <c r="BH108" i="1"/>
  <c r="BG108" i="1"/>
  <c r="BF108" i="1"/>
  <c r="BE108" i="1"/>
  <c r="BD108" i="1"/>
  <c r="BC108" i="1"/>
  <c r="BB108" i="1"/>
  <c r="BA108" i="1"/>
  <c r="AZ108" i="1"/>
  <c r="AY108" i="1"/>
  <c r="AX108" i="1"/>
  <c r="AW108" i="1"/>
  <c r="AV108" i="1"/>
  <c r="AU108" i="1"/>
  <c r="AT108" i="1"/>
  <c r="AS108" i="1"/>
  <c r="AR108" i="1"/>
  <c r="AQ108" i="1"/>
  <c r="AP108" i="1"/>
  <c r="AM108" i="1"/>
  <c r="AL108" i="1"/>
  <c r="AK108" i="1"/>
  <c r="AJ108" i="1"/>
  <c r="AI108" i="1"/>
  <c r="AH108" i="1"/>
  <c r="AH108" i="1" a="1"/>
  <c r="AG108" i="1"/>
  <c r="AF108" i="1"/>
  <c r="BI107" i="1"/>
  <c r="BH107" i="1"/>
  <c r="BG107" i="1"/>
  <c r="BF107" i="1"/>
  <c r="BE107" i="1"/>
  <c r="BD107" i="1"/>
  <c r="BC107" i="1"/>
  <c r="BB107" i="1"/>
  <c r="BA107" i="1"/>
  <c r="AZ107" i="1"/>
  <c r="AY107" i="1"/>
  <c r="AX107" i="1"/>
  <c r="AW107" i="1"/>
  <c r="AV107" i="1"/>
  <c r="AU107" i="1"/>
  <c r="AT107" i="1"/>
  <c r="AS107" i="1"/>
  <c r="AR107" i="1"/>
  <c r="AQ107" i="1"/>
  <c r="AP107" i="1"/>
  <c r="AM107" i="1"/>
  <c r="AL107" i="1"/>
  <c r="AK107" i="1"/>
  <c r="AJ107" i="1"/>
  <c r="AI107" i="1"/>
  <c r="AH107" i="1"/>
  <c r="AH107" i="1" a="1"/>
  <c r="AG107" i="1"/>
  <c r="AF107" i="1"/>
  <c r="BI106" i="1"/>
  <c r="BH106" i="1"/>
  <c r="BG106" i="1"/>
  <c r="BF106" i="1"/>
  <c r="BE106" i="1"/>
  <c r="BD106" i="1"/>
  <c r="BC106" i="1"/>
  <c r="BB106" i="1"/>
  <c r="BA106" i="1"/>
  <c r="AZ106" i="1"/>
  <c r="AY106" i="1"/>
  <c r="AX106" i="1"/>
  <c r="AW106" i="1"/>
  <c r="AV106" i="1"/>
  <c r="AU106" i="1"/>
  <c r="AT106" i="1"/>
  <c r="AS106" i="1"/>
  <c r="AR106" i="1"/>
  <c r="AQ106" i="1"/>
  <c r="AP106" i="1"/>
  <c r="AM106" i="1"/>
  <c r="AL106" i="1"/>
  <c r="AK106" i="1"/>
  <c r="AJ106" i="1"/>
  <c r="AI106" i="1"/>
  <c r="AH106" i="1"/>
  <c r="AH106" i="1" a="1"/>
  <c r="AG106" i="1"/>
  <c r="AF106" i="1"/>
  <c r="BI105" i="1"/>
  <c r="BH105" i="1"/>
  <c r="BG105" i="1"/>
  <c r="BF105" i="1"/>
  <c r="BE105" i="1"/>
  <c r="BD105" i="1"/>
  <c r="BC105" i="1"/>
  <c r="BB105" i="1"/>
  <c r="BA105" i="1"/>
  <c r="AZ105" i="1"/>
  <c r="AY105" i="1"/>
  <c r="AX105" i="1"/>
  <c r="AW105" i="1"/>
  <c r="AV105" i="1"/>
  <c r="AU105" i="1"/>
  <c r="AT105" i="1"/>
  <c r="AS105" i="1"/>
  <c r="AR105" i="1"/>
  <c r="AQ105" i="1"/>
  <c r="AP105" i="1"/>
  <c r="AM105" i="1"/>
  <c r="AL105" i="1"/>
  <c r="AK105" i="1"/>
  <c r="AJ105" i="1"/>
  <c r="AI105" i="1"/>
  <c r="AH105" i="1"/>
  <c r="AH105" i="1" a="1"/>
  <c r="AG105" i="1"/>
  <c r="AF105" i="1"/>
  <c r="BI104" i="1"/>
  <c r="BH104" i="1"/>
  <c r="BG104" i="1"/>
  <c r="BF104" i="1"/>
  <c r="BE104" i="1"/>
  <c r="BD104" i="1"/>
  <c r="BC104" i="1"/>
  <c r="BB104" i="1"/>
  <c r="BA104" i="1"/>
  <c r="AZ104" i="1"/>
  <c r="AY104" i="1"/>
  <c r="AX104" i="1"/>
  <c r="AW104" i="1"/>
  <c r="AV104" i="1"/>
  <c r="AU104" i="1"/>
  <c r="AT104" i="1"/>
  <c r="AS104" i="1"/>
  <c r="AR104" i="1"/>
  <c r="AQ104" i="1"/>
  <c r="AP104" i="1"/>
  <c r="AM104" i="1"/>
  <c r="AL104" i="1"/>
  <c r="AK104" i="1"/>
  <c r="AJ104" i="1"/>
  <c r="AI104" i="1"/>
  <c r="AH104" i="1"/>
  <c r="AH104" i="1" a="1"/>
  <c r="AG104" i="1"/>
  <c r="AF104" i="1"/>
  <c r="BI103" i="1"/>
  <c r="BH103" i="1"/>
  <c r="BG103" i="1"/>
  <c r="BF103" i="1"/>
  <c r="BE103" i="1"/>
  <c r="BD103" i="1"/>
  <c r="BC103" i="1"/>
  <c r="BB103" i="1"/>
  <c r="BA103" i="1"/>
  <c r="AZ103" i="1"/>
  <c r="AY103" i="1"/>
  <c r="AX103" i="1"/>
  <c r="AW103" i="1"/>
  <c r="AV103" i="1"/>
  <c r="AU103" i="1"/>
  <c r="AT103" i="1"/>
  <c r="AS103" i="1"/>
  <c r="AR103" i="1"/>
  <c r="AQ103" i="1"/>
  <c r="AP103" i="1"/>
  <c r="AM103" i="1"/>
  <c r="AL103" i="1"/>
  <c r="AK103" i="1"/>
  <c r="AJ103" i="1"/>
  <c r="AI103" i="1"/>
  <c r="AH103" i="1"/>
  <c r="AH103" i="1" a="1"/>
  <c r="AG103" i="1"/>
  <c r="AF103" i="1"/>
  <c r="BI102" i="1"/>
  <c r="BH102" i="1"/>
  <c r="BG102" i="1"/>
  <c r="BF102" i="1"/>
  <c r="BE102" i="1"/>
  <c r="BD102" i="1"/>
  <c r="BC102" i="1"/>
  <c r="BB102" i="1"/>
  <c r="BA102" i="1"/>
  <c r="AZ102" i="1"/>
  <c r="AY102" i="1"/>
  <c r="AX102" i="1"/>
  <c r="AW102" i="1"/>
  <c r="AV102" i="1"/>
  <c r="AU102" i="1"/>
  <c r="AT102" i="1"/>
  <c r="AS102" i="1"/>
  <c r="AR102" i="1"/>
  <c r="AQ102" i="1"/>
  <c r="AP102" i="1"/>
  <c r="AM102" i="1"/>
  <c r="AL102" i="1"/>
  <c r="AK102" i="1"/>
  <c r="AJ102" i="1"/>
  <c r="AI102" i="1"/>
  <c r="AH102" i="1"/>
  <c r="AH102" i="1" a="1"/>
  <c r="AG102" i="1"/>
  <c r="AF102" i="1"/>
  <c r="BI101" i="1"/>
  <c r="BH101" i="1"/>
  <c r="BG101" i="1"/>
  <c r="BF101" i="1"/>
  <c r="BE101" i="1"/>
  <c r="BD101" i="1"/>
  <c r="BC101" i="1"/>
  <c r="BB101" i="1"/>
  <c r="BA101" i="1"/>
  <c r="AZ101" i="1"/>
  <c r="AY101" i="1"/>
  <c r="AX101" i="1"/>
  <c r="AW101" i="1"/>
  <c r="AV101" i="1"/>
  <c r="AU101" i="1"/>
  <c r="AT101" i="1"/>
  <c r="AS101" i="1"/>
  <c r="AR101" i="1"/>
  <c r="AQ101" i="1"/>
  <c r="AP101" i="1"/>
  <c r="AM101" i="1"/>
  <c r="AL101" i="1"/>
  <c r="AK101" i="1"/>
  <c r="AJ101" i="1"/>
  <c r="AI101" i="1"/>
  <c r="AH101" i="1"/>
  <c r="AH101" i="1" a="1"/>
  <c r="AG101" i="1"/>
  <c r="AF101" i="1"/>
  <c r="BI100" i="1"/>
  <c r="BH100" i="1"/>
  <c r="BG100" i="1"/>
  <c r="BF100" i="1"/>
  <c r="BE100" i="1"/>
  <c r="BD100" i="1"/>
  <c r="BC100" i="1"/>
  <c r="BB100" i="1"/>
  <c r="BA100" i="1"/>
  <c r="AZ100" i="1"/>
  <c r="AY100" i="1"/>
  <c r="AX100" i="1"/>
  <c r="AW100" i="1"/>
  <c r="AV100" i="1"/>
  <c r="AU100" i="1"/>
  <c r="AT100" i="1"/>
  <c r="AS100" i="1"/>
  <c r="AR100" i="1"/>
  <c r="AQ100" i="1"/>
  <c r="AP100" i="1"/>
  <c r="AM100" i="1"/>
  <c r="AL100" i="1"/>
  <c r="AK100" i="1"/>
  <c r="AJ100" i="1"/>
  <c r="AI100" i="1"/>
  <c r="AH100" i="1"/>
  <c r="AH100" i="1" a="1"/>
  <c r="AG100" i="1"/>
  <c r="AF100" i="1"/>
  <c r="BI99" i="1"/>
  <c r="BH99" i="1"/>
  <c r="BG99" i="1"/>
  <c r="BF99" i="1"/>
  <c r="BE99" i="1"/>
  <c r="BD99" i="1"/>
  <c r="BC99" i="1"/>
  <c r="BB99" i="1"/>
  <c r="BA99" i="1"/>
  <c r="AZ99" i="1"/>
  <c r="AY99" i="1"/>
  <c r="AX99" i="1"/>
  <c r="AW99" i="1"/>
  <c r="AV99" i="1"/>
  <c r="AU99" i="1"/>
  <c r="AT99" i="1"/>
  <c r="AS99" i="1"/>
  <c r="AR99" i="1"/>
  <c r="AQ99" i="1"/>
  <c r="AP99" i="1"/>
  <c r="AM99" i="1"/>
  <c r="AL99" i="1"/>
  <c r="AK99" i="1"/>
  <c r="AJ99" i="1"/>
  <c r="AI99" i="1"/>
  <c r="AH99" i="1"/>
  <c r="AH99" i="1" a="1"/>
  <c r="AG99" i="1"/>
  <c r="AF99" i="1"/>
  <c r="BI98" i="1"/>
  <c r="BH98" i="1"/>
  <c r="BG98" i="1"/>
  <c r="BF98" i="1"/>
  <c r="BE98" i="1"/>
  <c r="BD98" i="1"/>
  <c r="BC98" i="1"/>
  <c r="BB98" i="1"/>
  <c r="BA98" i="1"/>
  <c r="AZ98" i="1"/>
  <c r="AY98" i="1"/>
  <c r="AX98" i="1"/>
  <c r="AW98" i="1"/>
  <c r="AV98" i="1"/>
  <c r="AU98" i="1"/>
  <c r="AT98" i="1"/>
  <c r="AS98" i="1"/>
  <c r="AR98" i="1"/>
  <c r="AQ98" i="1"/>
  <c r="AP98" i="1"/>
  <c r="AM98" i="1"/>
  <c r="AL98" i="1"/>
  <c r="AK98" i="1"/>
  <c r="AJ98" i="1"/>
  <c r="AI98" i="1"/>
  <c r="AH98" i="1"/>
  <c r="AH98" i="1" a="1"/>
  <c r="AG98" i="1"/>
  <c r="AF98" i="1"/>
  <c r="BI97" i="1"/>
  <c r="BH97" i="1"/>
  <c r="BG97" i="1"/>
  <c r="BF97" i="1"/>
  <c r="BE97" i="1"/>
  <c r="BD97" i="1"/>
  <c r="BC97" i="1"/>
  <c r="BB97" i="1"/>
  <c r="BA97" i="1"/>
  <c r="AZ97" i="1"/>
  <c r="AY97" i="1"/>
  <c r="AX97" i="1"/>
  <c r="AW97" i="1"/>
  <c r="AV97" i="1"/>
  <c r="AU97" i="1"/>
  <c r="AT97" i="1"/>
  <c r="AS97" i="1"/>
  <c r="AR97" i="1"/>
  <c r="AQ97" i="1"/>
  <c r="AP97" i="1"/>
  <c r="AM97" i="1"/>
  <c r="AL97" i="1"/>
  <c r="AK97" i="1"/>
  <c r="AJ97" i="1"/>
  <c r="AI97" i="1"/>
  <c r="AH97" i="1"/>
  <c r="AH97" i="1" a="1"/>
  <c r="AG97" i="1"/>
  <c r="AF97" i="1"/>
  <c r="BI96" i="1"/>
  <c r="BH96" i="1"/>
  <c r="BG96" i="1"/>
  <c r="BF96" i="1"/>
  <c r="BE96" i="1"/>
  <c r="BD96" i="1"/>
  <c r="BC96" i="1"/>
  <c r="BB96" i="1"/>
  <c r="BA96" i="1"/>
  <c r="AZ96" i="1"/>
  <c r="AY96" i="1"/>
  <c r="AX96" i="1"/>
  <c r="AW96" i="1"/>
  <c r="AV96" i="1"/>
  <c r="AU96" i="1"/>
  <c r="AT96" i="1"/>
  <c r="AS96" i="1"/>
  <c r="AR96" i="1"/>
  <c r="AQ96" i="1"/>
  <c r="AP96" i="1"/>
  <c r="AM96" i="1"/>
  <c r="AL96" i="1"/>
  <c r="AK96" i="1"/>
  <c r="AJ96" i="1"/>
  <c r="AI96" i="1"/>
  <c r="AH96" i="1"/>
  <c r="AH96" i="1" a="1"/>
  <c r="AG96" i="1"/>
  <c r="AF96" i="1"/>
  <c r="BI95" i="1"/>
  <c r="BH95" i="1"/>
  <c r="BG95" i="1"/>
  <c r="BF95" i="1"/>
  <c r="BE95" i="1"/>
  <c r="BD95" i="1"/>
  <c r="BC95" i="1"/>
  <c r="BB95" i="1"/>
  <c r="BA95" i="1"/>
  <c r="AZ95" i="1"/>
  <c r="AY95" i="1"/>
  <c r="AX95" i="1"/>
  <c r="AW95" i="1"/>
  <c r="AV95" i="1"/>
  <c r="AU95" i="1"/>
  <c r="AT95" i="1"/>
  <c r="AS95" i="1"/>
  <c r="AR95" i="1"/>
  <c r="AQ95" i="1"/>
  <c r="AP95" i="1"/>
  <c r="AM95" i="1"/>
  <c r="AL95" i="1"/>
  <c r="AK95" i="1"/>
  <c r="AJ95" i="1"/>
  <c r="AI95" i="1"/>
  <c r="AH95" i="1"/>
  <c r="AH95" i="1" a="1"/>
  <c r="AG95" i="1"/>
  <c r="AF95" i="1"/>
  <c r="BI94" i="1"/>
  <c r="BH94" i="1"/>
  <c r="BG94" i="1"/>
  <c r="BF94" i="1"/>
  <c r="BE94" i="1"/>
  <c r="BD94" i="1"/>
  <c r="BC94" i="1"/>
  <c r="BB94" i="1"/>
  <c r="BA94" i="1"/>
  <c r="AZ94" i="1"/>
  <c r="AY94" i="1"/>
  <c r="AX94" i="1"/>
  <c r="AW94" i="1"/>
  <c r="AV94" i="1"/>
  <c r="AU94" i="1"/>
  <c r="AT94" i="1"/>
  <c r="AS94" i="1"/>
  <c r="AR94" i="1"/>
  <c r="AQ94" i="1"/>
  <c r="AP94" i="1"/>
  <c r="AM94" i="1"/>
  <c r="AL94" i="1"/>
  <c r="AK94" i="1"/>
  <c r="AJ94" i="1"/>
  <c r="AI94" i="1"/>
  <c r="AH94" i="1"/>
  <c r="AH94" i="1" a="1"/>
  <c r="AG94" i="1"/>
  <c r="AF94" i="1"/>
  <c r="BI93" i="1"/>
  <c r="BH93" i="1"/>
  <c r="BG93" i="1"/>
  <c r="BF93" i="1"/>
  <c r="BE93" i="1"/>
  <c r="BD93" i="1"/>
  <c r="BC93" i="1"/>
  <c r="BB93" i="1"/>
  <c r="BA93" i="1"/>
  <c r="AZ93" i="1"/>
  <c r="AY93" i="1"/>
  <c r="AX93" i="1"/>
  <c r="AW93" i="1"/>
  <c r="AV93" i="1"/>
  <c r="AU93" i="1"/>
  <c r="AT93" i="1"/>
  <c r="AS93" i="1"/>
  <c r="AR93" i="1"/>
  <c r="AQ93" i="1"/>
  <c r="AP93" i="1"/>
  <c r="AM93" i="1"/>
  <c r="AL93" i="1"/>
  <c r="AK93" i="1"/>
  <c r="AJ93" i="1"/>
  <c r="AI93" i="1"/>
  <c r="AH93" i="1"/>
  <c r="AH93" i="1" a="1"/>
  <c r="AG93" i="1"/>
  <c r="AF93" i="1"/>
  <c r="BI92" i="1"/>
  <c r="BH92" i="1"/>
  <c r="BG92" i="1"/>
  <c r="BF92" i="1"/>
  <c r="BE92" i="1"/>
  <c r="BD92" i="1"/>
  <c r="BC92" i="1"/>
  <c r="BB92" i="1"/>
  <c r="BA92" i="1"/>
  <c r="AZ92" i="1"/>
  <c r="AY92" i="1"/>
  <c r="AX92" i="1"/>
  <c r="AW92" i="1"/>
  <c r="AV92" i="1"/>
  <c r="AU92" i="1"/>
  <c r="AT92" i="1"/>
  <c r="AS92" i="1"/>
  <c r="AR92" i="1"/>
  <c r="AQ92" i="1"/>
  <c r="AP92" i="1"/>
  <c r="AM92" i="1"/>
  <c r="AL92" i="1"/>
  <c r="AK92" i="1"/>
  <c r="AJ92" i="1"/>
  <c r="AI92" i="1"/>
  <c r="AH92" i="1"/>
  <c r="AH92" i="1" a="1"/>
  <c r="AG92" i="1"/>
  <c r="AF92" i="1"/>
  <c r="BI91" i="1"/>
  <c r="BH91" i="1"/>
  <c r="BG91" i="1"/>
  <c r="BF91" i="1"/>
  <c r="BE91" i="1"/>
  <c r="BD91" i="1"/>
  <c r="BC91" i="1"/>
  <c r="BB91" i="1"/>
  <c r="BA91" i="1"/>
  <c r="AZ91" i="1"/>
  <c r="AY91" i="1"/>
  <c r="AX91" i="1"/>
  <c r="AW91" i="1"/>
  <c r="AV91" i="1"/>
  <c r="AU91" i="1"/>
  <c r="AT91" i="1"/>
  <c r="AS91" i="1"/>
  <c r="AR91" i="1"/>
  <c r="AQ91" i="1"/>
  <c r="AP91" i="1"/>
  <c r="AM91" i="1"/>
  <c r="AL91" i="1"/>
  <c r="AK91" i="1"/>
  <c r="AJ91" i="1"/>
  <c r="AI91" i="1"/>
  <c r="AH91" i="1"/>
  <c r="AH91" i="1" a="1"/>
  <c r="AG91" i="1"/>
  <c r="AF91" i="1"/>
  <c r="BI90" i="1"/>
  <c r="BH90" i="1"/>
  <c r="BG90" i="1"/>
  <c r="BF90" i="1"/>
  <c r="BE90" i="1"/>
  <c r="BD90" i="1"/>
  <c r="BC90" i="1"/>
  <c r="BB90" i="1"/>
  <c r="BA90" i="1"/>
  <c r="AZ90" i="1"/>
  <c r="AY90" i="1"/>
  <c r="AX90" i="1"/>
  <c r="AW90" i="1"/>
  <c r="AV90" i="1"/>
  <c r="AU90" i="1"/>
  <c r="AT90" i="1"/>
  <c r="AS90" i="1"/>
  <c r="AR90" i="1"/>
  <c r="AQ90" i="1"/>
  <c r="AP90" i="1"/>
  <c r="AM90" i="1"/>
  <c r="AL90" i="1"/>
  <c r="AK90" i="1"/>
  <c r="AJ90" i="1"/>
  <c r="AI90" i="1"/>
  <c r="AH90" i="1"/>
  <c r="AH90" i="1" a="1"/>
  <c r="AG90" i="1"/>
  <c r="AF90" i="1"/>
  <c r="BI89" i="1"/>
  <c r="BH89" i="1"/>
  <c r="BG89" i="1"/>
  <c r="BF89" i="1"/>
  <c r="BE89" i="1"/>
  <c r="BD89" i="1"/>
  <c r="BC89" i="1"/>
  <c r="BB89" i="1"/>
  <c r="BA89" i="1"/>
  <c r="AZ89" i="1"/>
  <c r="AY89" i="1"/>
  <c r="AX89" i="1"/>
  <c r="AW89" i="1"/>
  <c r="AV89" i="1"/>
  <c r="AU89" i="1"/>
  <c r="AT89" i="1"/>
  <c r="AS89" i="1"/>
  <c r="AR89" i="1"/>
  <c r="AQ89" i="1"/>
  <c r="AP89" i="1"/>
  <c r="AM89" i="1"/>
  <c r="AL89" i="1"/>
  <c r="AK89" i="1"/>
  <c r="AJ89" i="1"/>
  <c r="AI89" i="1"/>
  <c r="AH89" i="1"/>
  <c r="AH89" i="1" a="1"/>
  <c r="AG89" i="1"/>
  <c r="AF89" i="1"/>
  <c r="BI88" i="1"/>
  <c r="BH88" i="1"/>
  <c r="BG88" i="1"/>
  <c r="BF88" i="1"/>
  <c r="BE88" i="1"/>
  <c r="BD88" i="1"/>
  <c r="BC88" i="1"/>
  <c r="BB88" i="1"/>
  <c r="BA88" i="1"/>
  <c r="AZ88" i="1"/>
  <c r="AY88" i="1"/>
  <c r="AX88" i="1"/>
  <c r="AW88" i="1"/>
  <c r="AV88" i="1"/>
  <c r="AU88" i="1"/>
  <c r="AT88" i="1"/>
  <c r="AS88" i="1"/>
  <c r="AR88" i="1"/>
  <c r="AQ88" i="1"/>
  <c r="AP88" i="1"/>
  <c r="AM88" i="1"/>
  <c r="AL88" i="1"/>
  <c r="AK88" i="1"/>
  <c r="AJ88" i="1"/>
  <c r="AI88" i="1"/>
  <c r="AH88" i="1"/>
  <c r="AH88" i="1" a="1"/>
  <c r="AG88" i="1"/>
  <c r="AF88" i="1"/>
  <c r="BI87" i="1"/>
  <c r="BH87" i="1"/>
  <c r="BG87" i="1"/>
  <c r="BF87" i="1"/>
  <c r="BE87" i="1"/>
  <c r="BD87" i="1"/>
  <c r="BC87" i="1"/>
  <c r="BB87" i="1"/>
  <c r="BA87" i="1"/>
  <c r="AZ87" i="1"/>
  <c r="AY87" i="1"/>
  <c r="AX87" i="1"/>
  <c r="AW87" i="1"/>
  <c r="AV87" i="1"/>
  <c r="AU87" i="1"/>
  <c r="AT87" i="1"/>
  <c r="AS87" i="1"/>
  <c r="AR87" i="1"/>
  <c r="AQ87" i="1"/>
  <c r="AP87" i="1"/>
  <c r="AM87" i="1"/>
  <c r="AL87" i="1"/>
  <c r="AK87" i="1"/>
  <c r="AJ87" i="1"/>
  <c r="AI87" i="1"/>
  <c r="AH87" i="1"/>
  <c r="AH87" i="1" a="1"/>
  <c r="AG87" i="1"/>
  <c r="AF87" i="1"/>
  <c r="BI86" i="1"/>
  <c r="BH86" i="1"/>
  <c r="BG86" i="1"/>
  <c r="BF86" i="1"/>
  <c r="BE86" i="1"/>
  <c r="BD86" i="1"/>
  <c r="BC86" i="1"/>
  <c r="BB86" i="1"/>
  <c r="BA86" i="1"/>
  <c r="AZ86" i="1"/>
  <c r="AY86" i="1"/>
  <c r="AX86" i="1"/>
  <c r="AW86" i="1"/>
  <c r="AV86" i="1"/>
  <c r="AU86" i="1"/>
  <c r="AT86" i="1"/>
  <c r="AS86" i="1"/>
  <c r="AR86" i="1"/>
  <c r="AQ86" i="1"/>
  <c r="AP86" i="1"/>
  <c r="AM86" i="1"/>
  <c r="AL86" i="1"/>
  <c r="AK86" i="1"/>
  <c r="AJ86" i="1"/>
  <c r="AI86" i="1"/>
  <c r="AH86" i="1"/>
  <c r="AH86" i="1" a="1"/>
  <c r="AG86" i="1"/>
  <c r="AF86" i="1"/>
  <c r="BI85" i="1"/>
  <c r="BH85" i="1"/>
  <c r="BG85" i="1"/>
  <c r="BF85" i="1"/>
  <c r="BE85" i="1"/>
  <c r="BD85" i="1"/>
  <c r="BC85" i="1"/>
  <c r="BB85" i="1"/>
  <c r="BA85" i="1"/>
  <c r="AZ85" i="1"/>
  <c r="AY85" i="1"/>
  <c r="AX85" i="1"/>
  <c r="AW85" i="1"/>
  <c r="AV85" i="1"/>
  <c r="AU85" i="1"/>
  <c r="AT85" i="1"/>
  <c r="AS85" i="1"/>
  <c r="AR85" i="1"/>
  <c r="AQ85" i="1"/>
  <c r="AP85" i="1"/>
  <c r="AM85" i="1"/>
  <c r="AL85" i="1"/>
  <c r="AK85" i="1"/>
  <c r="AJ85" i="1"/>
  <c r="AI85" i="1"/>
  <c r="AH85" i="1"/>
  <c r="AH85" i="1" a="1"/>
  <c r="AG85" i="1"/>
  <c r="AF85" i="1"/>
  <c r="BI84" i="1"/>
  <c r="BH84" i="1"/>
  <c r="BG84" i="1"/>
  <c r="BF84" i="1"/>
  <c r="BE84" i="1"/>
  <c r="BD84" i="1"/>
  <c r="BC84" i="1"/>
  <c r="BB84" i="1"/>
  <c r="BA84" i="1"/>
  <c r="AZ84" i="1"/>
  <c r="AY84" i="1"/>
  <c r="AX84" i="1"/>
  <c r="AW84" i="1"/>
  <c r="AV84" i="1"/>
  <c r="AU84" i="1"/>
  <c r="AT84" i="1"/>
  <c r="AS84" i="1"/>
  <c r="AR84" i="1"/>
  <c r="AQ84" i="1"/>
  <c r="AP84" i="1"/>
  <c r="AM84" i="1"/>
  <c r="AL84" i="1"/>
  <c r="AK84" i="1"/>
  <c r="AJ84" i="1"/>
  <c r="AI84" i="1"/>
  <c r="AH84" i="1"/>
  <c r="AH84" i="1" a="1"/>
  <c r="AG84" i="1"/>
  <c r="AF84" i="1"/>
  <c r="BI83" i="1"/>
  <c r="BH83" i="1"/>
  <c r="BG83" i="1"/>
  <c r="BF83" i="1"/>
  <c r="BE83" i="1"/>
  <c r="BD83" i="1"/>
  <c r="BC83" i="1"/>
  <c r="BB83" i="1"/>
  <c r="BA83" i="1"/>
  <c r="AZ83" i="1"/>
  <c r="AY83" i="1"/>
  <c r="AX83" i="1"/>
  <c r="AW83" i="1"/>
  <c r="AV83" i="1"/>
  <c r="AU83" i="1"/>
  <c r="AT83" i="1"/>
  <c r="AS83" i="1"/>
  <c r="AR83" i="1"/>
  <c r="AQ83" i="1"/>
  <c r="AP83" i="1"/>
  <c r="AM83" i="1"/>
  <c r="AL83" i="1"/>
  <c r="AK83" i="1"/>
  <c r="AJ83" i="1"/>
  <c r="AI83" i="1"/>
  <c r="AH83" i="1"/>
  <c r="AH83" i="1" a="1"/>
  <c r="AG83" i="1"/>
  <c r="AF83" i="1"/>
  <c r="BI82" i="1"/>
  <c r="BH82" i="1"/>
  <c r="BG82" i="1"/>
  <c r="BF82" i="1"/>
  <c r="BE82" i="1"/>
  <c r="BD82" i="1"/>
  <c r="BC82" i="1"/>
  <c r="BB82" i="1"/>
  <c r="BA82" i="1"/>
  <c r="AZ82" i="1"/>
  <c r="AY82" i="1"/>
  <c r="AX82" i="1"/>
  <c r="AW82" i="1"/>
  <c r="AV82" i="1"/>
  <c r="AU82" i="1"/>
  <c r="AT82" i="1"/>
  <c r="AS82" i="1"/>
  <c r="AR82" i="1"/>
  <c r="AQ82" i="1"/>
  <c r="AP82" i="1"/>
  <c r="AM82" i="1"/>
  <c r="AL82" i="1"/>
  <c r="AK82" i="1"/>
  <c r="AJ82" i="1"/>
  <c r="AI82" i="1"/>
  <c r="AH82" i="1"/>
  <c r="AH82" i="1" a="1"/>
  <c r="AG82" i="1"/>
  <c r="AF82" i="1"/>
  <c r="BI81" i="1"/>
  <c r="BH81" i="1"/>
  <c r="BG81" i="1"/>
  <c r="BF81" i="1"/>
  <c r="BE81" i="1"/>
  <c r="BD81" i="1"/>
  <c r="BC81" i="1"/>
  <c r="BB81" i="1"/>
  <c r="BA81" i="1"/>
  <c r="AZ81" i="1"/>
  <c r="AY81" i="1"/>
  <c r="AX81" i="1"/>
  <c r="AW81" i="1"/>
  <c r="AV81" i="1"/>
  <c r="AU81" i="1"/>
  <c r="AT81" i="1"/>
  <c r="AS81" i="1"/>
  <c r="AR81" i="1"/>
  <c r="AQ81" i="1"/>
  <c r="AP81" i="1"/>
  <c r="AM81" i="1"/>
  <c r="AL81" i="1"/>
  <c r="AK81" i="1"/>
  <c r="AJ81" i="1"/>
  <c r="AI81" i="1"/>
  <c r="AH81" i="1"/>
  <c r="AH81" i="1" a="1"/>
  <c r="AG81" i="1"/>
  <c r="AF81" i="1"/>
  <c r="BI80" i="1"/>
  <c r="BH80" i="1"/>
  <c r="BG80" i="1"/>
  <c r="BF80" i="1"/>
  <c r="BE80" i="1"/>
  <c r="BD80" i="1"/>
  <c r="BC80" i="1"/>
  <c r="BB80" i="1"/>
  <c r="BA80" i="1"/>
  <c r="AZ80" i="1"/>
  <c r="AY80" i="1"/>
  <c r="AX80" i="1"/>
  <c r="AW80" i="1"/>
  <c r="AV80" i="1"/>
  <c r="AU80" i="1"/>
  <c r="AT80" i="1"/>
  <c r="AS80" i="1"/>
  <c r="AR80" i="1"/>
  <c r="AQ80" i="1"/>
  <c r="AP80" i="1"/>
  <c r="AM80" i="1"/>
  <c r="AL80" i="1"/>
  <c r="AK80" i="1"/>
  <c r="AJ80" i="1"/>
  <c r="AI80" i="1"/>
  <c r="AH80" i="1"/>
  <c r="AH80" i="1" a="1"/>
  <c r="AG80" i="1"/>
  <c r="AF80" i="1"/>
  <c r="BI79" i="1"/>
  <c r="BH79" i="1"/>
  <c r="BG79" i="1"/>
  <c r="BF79" i="1"/>
  <c r="BE79" i="1"/>
  <c r="BD79" i="1"/>
  <c r="BC79" i="1"/>
  <c r="BB79" i="1"/>
  <c r="BA79" i="1"/>
  <c r="AZ79" i="1"/>
  <c r="AY79" i="1"/>
  <c r="AX79" i="1"/>
  <c r="AW79" i="1"/>
  <c r="AV79" i="1"/>
  <c r="AU79" i="1"/>
  <c r="AT79" i="1"/>
  <c r="AS79" i="1"/>
  <c r="AR79" i="1"/>
  <c r="AQ79" i="1"/>
  <c r="AP79" i="1"/>
  <c r="AM79" i="1"/>
  <c r="AL79" i="1"/>
  <c r="AK79" i="1"/>
  <c r="AJ79" i="1"/>
  <c r="AI79" i="1"/>
  <c r="AH79" i="1"/>
  <c r="AH79" i="1" a="1"/>
  <c r="AG79" i="1"/>
  <c r="AF79" i="1"/>
  <c r="BI78" i="1"/>
  <c r="BH78" i="1"/>
  <c r="BG78" i="1"/>
  <c r="BF78" i="1"/>
  <c r="BE78" i="1"/>
  <c r="BD78" i="1"/>
  <c r="BC78" i="1"/>
  <c r="BB78" i="1"/>
  <c r="BA78" i="1"/>
  <c r="AZ78" i="1"/>
  <c r="AY78" i="1"/>
  <c r="AX78" i="1"/>
  <c r="AW78" i="1"/>
  <c r="AV78" i="1"/>
  <c r="AU78" i="1"/>
  <c r="AT78" i="1"/>
  <c r="AS78" i="1"/>
  <c r="AR78" i="1"/>
  <c r="AQ78" i="1"/>
  <c r="AP78" i="1"/>
  <c r="AM78" i="1"/>
  <c r="AL78" i="1"/>
  <c r="AK78" i="1"/>
  <c r="AJ78" i="1"/>
  <c r="AI78" i="1"/>
  <c r="AH78" i="1"/>
  <c r="AH78" i="1" a="1"/>
  <c r="AG78" i="1"/>
  <c r="AF78" i="1"/>
  <c r="BI77" i="1"/>
  <c r="BH77" i="1"/>
  <c r="BG77" i="1"/>
  <c r="BF77" i="1"/>
  <c r="BE77" i="1"/>
  <c r="BD77" i="1"/>
  <c r="BC77" i="1"/>
  <c r="BB77" i="1"/>
  <c r="BA77" i="1"/>
  <c r="AZ77" i="1"/>
  <c r="AY77" i="1"/>
  <c r="AX77" i="1"/>
  <c r="AW77" i="1"/>
  <c r="AV77" i="1"/>
  <c r="AU77" i="1"/>
  <c r="AT77" i="1"/>
  <c r="AS77" i="1"/>
  <c r="AR77" i="1"/>
  <c r="AQ77" i="1"/>
  <c r="AP77" i="1"/>
  <c r="AM77" i="1"/>
  <c r="AL77" i="1"/>
  <c r="AK77" i="1"/>
  <c r="AJ77" i="1"/>
  <c r="AI77" i="1"/>
  <c r="AH77" i="1"/>
  <c r="AH77" i="1" a="1"/>
  <c r="AG77" i="1"/>
  <c r="AF77" i="1"/>
  <c r="BI76" i="1"/>
  <c r="BH76" i="1"/>
  <c r="BG76" i="1"/>
  <c r="BF76" i="1"/>
  <c r="BE76" i="1"/>
  <c r="BD76" i="1"/>
  <c r="BC76" i="1"/>
  <c r="BB76" i="1"/>
  <c r="BA76" i="1"/>
  <c r="AZ76" i="1"/>
  <c r="AY76" i="1"/>
  <c r="AX76" i="1"/>
  <c r="AW76" i="1"/>
  <c r="AV76" i="1"/>
  <c r="AU76" i="1"/>
  <c r="AT76" i="1"/>
  <c r="AS76" i="1"/>
  <c r="AR76" i="1"/>
  <c r="AQ76" i="1"/>
  <c r="AP76" i="1"/>
  <c r="AM76" i="1"/>
  <c r="AL76" i="1"/>
  <c r="AK76" i="1"/>
  <c r="AJ76" i="1"/>
  <c r="AI76" i="1"/>
  <c r="AH76" i="1"/>
  <c r="AH76" i="1" a="1"/>
  <c r="AG76" i="1"/>
  <c r="AF76" i="1"/>
  <c r="BI75" i="1"/>
  <c r="BH75" i="1"/>
  <c r="BG75" i="1"/>
  <c r="BF75" i="1"/>
  <c r="BE75" i="1"/>
  <c r="BD75" i="1"/>
  <c r="BC75" i="1"/>
  <c r="BB75" i="1"/>
  <c r="BA75" i="1"/>
  <c r="AZ75" i="1"/>
  <c r="AY75" i="1"/>
  <c r="AX75" i="1"/>
  <c r="AW75" i="1"/>
  <c r="AV75" i="1"/>
  <c r="AU75" i="1"/>
  <c r="AT75" i="1"/>
  <c r="AS75" i="1"/>
  <c r="AR75" i="1"/>
  <c r="AQ75" i="1"/>
  <c r="AP75" i="1"/>
  <c r="AM75" i="1"/>
  <c r="AL75" i="1"/>
  <c r="AK75" i="1"/>
  <c r="AJ75" i="1"/>
  <c r="AI75" i="1"/>
  <c r="AH75" i="1"/>
  <c r="AH75" i="1" a="1"/>
  <c r="AG75" i="1"/>
  <c r="AF75" i="1"/>
  <c r="BI74" i="1"/>
  <c r="BH74" i="1"/>
  <c r="BG74" i="1"/>
  <c r="BF74" i="1"/>
  <c r="BE74" i="1"/>
  <c r="BD74" i="1"/>
  <c r="BC74" i="1"/>
  <c r="BB74" i="1"/>
  <c r="BA74" i="1"/>
  <c r="AZ74" i="1"/>
  <c r="AY74" i="1"/>
  <c r="AX74" i="1"/>
  <c r="AW74" i="1"/>
  <c r="AV74" i="1"/>
  <c r="AU74" i="1"/>
  <c r="AT74" i="1"/>
  <c r="AS74" i="1"/>
  <c r="AR74" i="1"/>
  <c r="AQ74" i="1"/>
  <c r="AP74" i="1"/>
  <c r="AM74" i="1"/>
  <c r="AL74" i="1"/>
  <c r="AK74" i="1"/>
  <c r="AJ74" i="1"/>
  <c r="AI74" i="1"/>
  <c r="AH74" i="1"/>
  <c r="AH74" i="1" a="1"/>
  <c r="AG74" i="1"/>
  <c r="AF74" i="1"/>
  <c r="BI73" i="1"/>
  <c r="BH73" i="1"/>
  <c r="BG73" i="1"/>
  <c r="BF73" i="1"/>
  <c r="BE73" i="1"/>
  <c r="BD73" i="1"/>
  <c r="BC73" i="1"/>
  <c r="BB73" i="1"/>
  <c r="BA73" i="1"/>
  <c r="AZ73" i="1"/>
  <c r="AY73" i="1"/>
  <c r="AX73" i="1"/>
  <c r="AW73" i="1"/>
  <c r="AV73" i="1"/>
  <c r="AU73" i="1"/>
  <c r="AT73" i="1"/>
  <c r="AS73" i="1"/>
  <c r="AR73" i="1"/>
  <c r="AQ73" i="1"/>
  <c r="AP73" i="1"/>
  <c r="AM73" i="1"/>
  <c r="AL73" i="1"/>
  <c r="AK73" i="1"/>
  <c r="AJ73" i="1"/>
  <c r="AI73" i="1"/>
  <c r="AH73" i="1"/>
  <c r="AH73" i="1" a="1"/>
  <c r="AG73" i="1"/>
  <c r="AF73" i="1"/>
  <c r="BI72" i="1"/>
  <c r="BH72" i="1"/>
  <c r="BG72" i="1"/>
  <c r="BF72" i="1"/>
  <c r="BE72" i="1"/>
  <c r="BD72" i="1"/>
  <c r="BC72" i="1"/>
  <c r="BB72" i="1"/>
  <c r="BA72" i="1"/>
  <c r="AZ72" i="1"/>
  <c r="AY72" i="1"/>
  <c r="AX72" i="1"/>
  <c r="AW72" i="1"/>
  <c r="AV72" i="1"/>
  <c r="AU72" i="1"/>
  <c r="AT72" i="1"/>
  <c r="AS72" i="1"/>
  <c r="AR72" i="1"/>
  <c r="AQ72" i="1"/>
  <c r="AP72" i="1"/>
  <c r="AM72" i="1"/>
  <c r="AL72" i="1"/>
  <c r="AK72" i="1"/>
  <c r="AJ72" i="1"/>
  <c r="AI72" i="1"/>
  <c r="AH72" i="1"/>
  <c r="AH72" i="1" a="1"/>
  <c r="AG72" i="1"/>
  <c r="AF72" i="1"/>
  <c r="BI71" i="1"/>
  <c r="BH71" i="1"/>
  <c r="BG71" i="1"/>
  <c r="BF71" i="1"/>
  <c r="BE71" i="1"/>
  <c r="BD71" i="1"/>
  <c r="BC71" i="1"/>
  <c r="BB71" i="1"/>
  <c r="BA71" i="1"/>
  <c r="AZ71" i="1"/>
  <c r="AY71" i="1"/>
  <c r="AX71" i="1"/>
  <c r="AW71" i="1"/>
  <c r="AV71" i="1"/>
  <c r="AU71" i="1"/>
  <c r="AT71" i="1"/>
  <c r="AS71" i="1"/>
  <c r="AR71" i="1"/>
  <c r="AQ71" i="1"/>
  <c r="AP71" i="1"/>
  <c r="AM71" i="1"/>
  <c r="AL71" i="1"/>
  <c r="AK71" i="1"/>
  <c r="AJ71" i="1"/>
  <c r="AI71" i="1"/>
  <c r="AH71" i="1"/>
  <c r="AH71" i="1" a="1"/>
  <c r="AG71" i="1"/>
  <c r="AF71" i="1"/>
  <c r="BI70" i="1"/>
  <c r="BH70" i="1"/>
  <c r="BG70" i="1"/>
  <c r="BF70" i="1"/>
  <c r="BE70" i="1"/>
  <c r="BD70" i="1"/>
  <c r="BC70" i="1"/>
  <c r="BB70" i="1"/>
  <c r="BA70" i="1"/>
  <c r="AZ70" i="1"/>
  <c r="AY70" i="1"/>
  <c r="AX70" i="1"/>
  <c r="AW70" i="1"/>
  <c r="AV70" i="1"/>
  <c r="AU70" i="1"/>
  <c r="AT70" i="1"/>
  <c r="AS70" i="1"/>
  <c r="AR70" i="1"/>
  <c r="AQ70" i="1"/>
  <c r="AP70" i="1"/>
  <c r="AM70" i="1"/>
  <c r="AL70" i="1"/>
  <c r="AK70" i="1"/>
  <c r="AJ70" i="1"/>
  <c r="AI70" i="1"/>
  <c r="AH70" i="1"/>
  <c r="AH70" i="1" a="1"/>
  <c r="AG70" i="1"/>
  <c r="AF70" i="1"/>
  <c r="BI69" i="1"/>
  <c r="BH69" i="1"/>
  <c r="BG69" i="1"/>
  <c r="BF69" i="1"/>
  <c r="BE69" i="1"/>
  <c r="BD69" i="1"/>
  <c r="BC69" i="1"/>
  <c r="BB69" i="1"/>
  <c r="BA69" i="1"/>
  <c r="AZ69" i="1"/>
  <c r="AY69" i="1"/>
  <c r="AX69" i="1"/>
  <c r="AW69" i="1"/>
  <c r="AV69" i="1"/>
  <c r="AU69" i="1"/>
  <c r="AT69" i="1"/>
  <c r="AS69" i="1"/>
  <c r="AR69" i="1"/>
  <c r="AQ69" i="1"/>
  <c r="AP69" i="1"/>
  <c r="AM69" i="1"/>
  <c r="AL69" i="1"/>
  <c r="AK69" i="1"/>
  <c r="AJ69" i="1"/>
  <c r="AI69" i="1"/>
  <c r="AH69" i="1"/>
  <c r="AH69" i="1" a="1"/>
  <c r="AG69" i="1"/>
  <c r="AF69" i="1"/>
  <c r="BI68" i="1"/>
  <c r="BH68" i="1"/>
  <c r="BG68" i="1"/>
  <c r="BF68" i="1"/>
  <c r="BE68" i="1"/>
  <c r="BD68" i="1"/>
  <c r="BC68" i="1"/>
  <c r="BB68" i="1"/>
  <c r="BA68" i="1"/>
  <c r="AZ68" i="1"/>
  <c r="AY68" i="1"/>
  <c r="AX68" i="1"/>
  <c r="AW68" i="1"/>
  <c r="AV68" i="1"/>
  <c r="AU68" i="1"/>
  <c r="AT68" i="1"/>
  <c r="AS68" i="1"/>
  <c r="AR68" i="1"/>
  <c r="AQ68" i="1"/>
  <c r="AP68" i="1"/>
  <c r="AM68" i="1"/>
  <c r="AL68" i="1"/>
  <c r="AK68" i="1"/>
  <c r="AJ68" i="1"/>
  <c r="AI68" i="1"/>
  <c r="AH68" i="1"/>
  <c r="AH68" i="1" a="1"/>
  <c r="AG68" i="1"/>
  <c r="AF68" i="1"/>
  <c r="BI67" i="1"/>
  <c r="BH67" i="1"/>
  <c r="BG67" i="1"/>
  <c r="BF67" i="1"/>
  <c r="BE67" i="1"/>
  <c r="BD67" i="1"/>
  <c r="BC67" i="1"/>
  <c r="BB67" i="1"/>
  <c r="BA67" i="1"/>
  <c r="AZ67" i="1"/>
  <c r="AY67" i="1"/>
  <c r="AX67" i="1"/>
  <c r="AW67" i="1"/>
  <c r="AV67" i="1"/>
  <c r="AU67" i="1"/>
  <c r="AT67" i="1"/>
  <c r="AS67" i="1"/>
  <c r="AR67" i="1"/>
  <c r="AQ67" i="1"/>
  <c r="AP67" i="1"/>
  <c r="AM67" i="1"/>
  <c r="AL67" i="1"/>
  <c r="AK67" i="1"/>
  <c r="AJ67" i="1"/>
  <c r="AI67" i="1"/>
  <c r="AH67" i="1"/>
  <c r="AH67" i="1" a="1"/>
  <c r="AG67" i="1"/>
  <c r="AF67" i="1"/>
  <c r="BI66" i="1"/>
  <c r="BH66" i="1"/>
  <c r="BG66" i="1"/>
  <c r="BF66" i="1"/>
  <c r="BE66" i="1"/>
  <c r="BD66" i="1"/>
  <c r="BC66" i="1"/>
  <c r="BB66" i="1"/>
  <c r="BA66" i="1"/>
  <c r="AZ66" i="1"/>
  <c r="AY66" i="1"/>
  <c r="AX66" i="1"/>
  <c r="AW66" i="1"/>
  <c r="AV66" i="1"/>
  <c r="AU66" i="1"/>
  <c r="AT66" i="1"/>
  <c r="AS66" i="1"/>
  <c r="AR66" i="1"/>
  <c r="AQ66" i="1"/>
  <c r="AP66" i="1"/>
  <c r="AM66" i="1"/>
  <c r="AL66" i="1"/>
  <c r="AK66" i="1"/>
  <c r="AJ66" i="1"/>
  <c r="AI66" i="1"/>
  <c r="AH66" i="1"/>
  <c r="AH66" i="1" a="1"/>
  <c r="AG66" i="1"/>
  <c r="AF66" i="1"/>
  <c r="BI65" i="1"/>
  <c r="BH65" i="1"/>
  <c r="BG65" i="1"/>
  <c r="BF65" i="1"/>
  <c r="BE65" i="1"/>
  <c r="BD65" i="1"/>
  <c r="BC65" i="1"/>
  <c r="BB65" i="1"/>
  <c r="BA65" i="1"/>
  <c r="AZ65" i="1"/>
  <c r="AY65" i="1"/>
  <c r="AX65" i="1"/>
  <c r="AW65" i="1"/>
  <c r="AV65" i="1"/>
  <c r="AU65" i="1"/>
  <c r="AT65" i="1"/>
  <c r="AS65" i="1"/>
  <c r="AR65" i="1"/>
  <c r="AQ65" i="1"/>
  <c r="AP65" i="1"/>
  <c r="AM65" i="1"/>
  <c r="AL65" i="1"/>
  <c r="AK65" i="1"/>
  <c r="AJ65" i="1"/>
  <c r="AI65" i="1"/>
  <c r="AH65" i="1"/>
  <c r="AH65" i="1" a="1"/>
  <c r="AG65" i="1"/>
  <c r="AF65" i="1"/>
  <c r="BI64" i="1"/>
  <c r="BH64" i="1"/>
  <c r="BG64" i="1"/>
  <c r="BF64" i="1"/>
  <c r="BE64" i="1"/>
  <c r="BD64" i="1"/>
  <c r="BC64" i="1"/>
  <c r="BB64" i="1"/>
  <c r="BA64" i="1"/>
  <c r="AZ64" i="1"/>
  <c r="AY64" i="1"/>
  <c r="AX64" i="1"/>
  <c r="AW64" i="1"/>
  <c r="AV64" i="1"/>
  <c r="AU64" i="1"/>
  <c r="AT64" i="1"/>
  <c r="AS64" i="1"/>
  <c r="AR64" i="1"/>
  <c r="AQ64" i="1"/>
  <c r="AP64" i="1"/>
  <c r="AM64" i="1"/>
  <c r="AL64" i="1"/>
  <c r="AK64" i="1"/>
  <c r="AJ64" i="1"/>
  <c r="AI64" i="1"/>
  <c r="AH64" i="1"/>
  <c r="AH64" i="1" a="1"/>
  <c r="AG64" i="1"/>
  <c r="AF64" i="1"/>
  <c r="BI63" i="1"/>
  <c r="BH63" i="1"/>
  <c r="BG63" i="1"/>
  <c r="BF63" i="1"/>
  <c r="BE63" i="1"/>
  <c r="BD63" i="1"/>
  <c r="BC63" i="1"/>
  <c r="BB63" i="1"/>
  <c r="BA63" i="1"/>
  <c r="AZ63" i="1"/>
  <c r="AY63" i="1"/>
  <c r="AX63" i="1"/>
  <c r="AW63" i="1"/>
  <c r="AV63" i="1"/>
  <c r="AU63" i="1"/>
  <c r="AT63" i="1"/>
  <c r="AS63" i="1"/>
  <c r="AR63" i="1"/>
  <c r="AQ63" i="1"/>
  <c r="AP63" i="1"/>
  <c r="AM63" i="1"/>
  <c r="AL63" i="1"/>
  <c r="AK63" i="1"/>
  <c r="AJ63" i="1"/>
  <c r="AI63" i="1"/>
  <c r="AH63" i="1"/>
  <c r="AH63" i="1" a="1"/>
  <c r="AG63" i="1"/>
  <c r="AF63" i="1"/>
  <c r="BI62" i="1"/>
  <c r="BH62" i="1"/>
  <c r="BG62" i="1"/>
  <c r="BF62" i="1"/>
  <c r="BE62" i="1"/>
  <c r="BD62" i="1"/>
  <c r="BC62" i="1"/>
  <c r="BB62" i="1"/>
  <c r="BA62" i="1"/>
  <c r="AZ62" i="1"/>
  <c r="AY62" i="1"/>
  <c r="AX62" i="1"/>
  <c r="AW62" i="1"/>
  <c r="AV62" i="1"/>
  <c r="AU62" i="1"/>
  <c r="AT62" i="1"/>
  <c r="AS62" i="1"/>
  <c r="AR62" i="1"/>
  <c r="AQ62" i="1"/>
  <c r="AP62" i="1"/>
  <c r="AM62" i="1"/>
  <c r="AL62" i="1"/>
  <c r="AK62" i="1"/>
  <c r="AJ62" i="1"/>
  <c r="AI62" i="1"/>
  <c r="AH62" i="1"/>
  <c r="AH62" i="1" a="1"/>
  <c r="AG62" i="1"/>
  <c r="AF62" i="1"/>
  <c r="BI61" i="1"/>
  <c r="BH61" i="1"/>
  <c r="BG61" i="1"/>
  <c r="BF61" i="1"/>
  <c r="BE61" i="1"/>
  <c r="BD61" i="1"/>
  <c r="BC61" i="1"/>
  <c r="BB61" i="1"/>
  <c r="BA61" i="1"/>
  <c r="AZ61" i="1"/>
  <c r="AY61" i="1"/>
  <c r="AX61" i="1"/>
  <c r="AW61" i="1"/>
  <c r="AV61" i="1"/>
  <c r="AU61" i="1"/>
  <c r="AT61" i="1"/>
  <c r="AS61" i="1"/>
  <c r="AR61" i="1"/>
  <c r="AQ61" i="1"/>
  <c r="AP61" i="1"/>
  <c r="AM61" i="1"/>
  <c r="AL61" i="1"/>
  <c r="AK61" i="1"/>
  <c r="AJ61" i="1"/>
  <c r="AI61" i="1"/>
  <c r="AH61" i="1"/>
  <c r="AH61" i="1" a="1"/>
  <c r="AG61" i="1"/>
  <c r="AF61" i="1"/>
  <c r="BI60" i="1"/>
  <c r="BH60" i="1"/>
  <c r="BG60" i="1"/>
  <c r="BF60" i="1"/>
  <c r="BE60" i="1"/>
  <c r="BD60" i="1"/>
  <c r="BC60" i="1"/>
  <c r="BB60" i="1"/>
  <c r="BA60" i="1"/>
  <c r="AZ60" i="1"/>
  <c r="AY60" i="1"/>
  <c r="AX60" i="1"/>
  <c r="AW60" i="1"/>
  <c r="AV60" i="1"/>
  <c r="AU60" i="1"/>
  <c r="AT60" i="1"/>
  <c r="AS60" i="1"/>
  <c r="AR60" i="1"/>
  <c r="AQ60" i="1"/>
  <c r="AP60" i="1"/>
  <c r="AM60" i="1"/>
  <c r="AL60" i="1"/>
  <c r="AK60" i="1"/>
  <c r="AJ60" i="1"/>
  <c r="AI60" i="1"/>
  <c r="AH60" i="1"/>
  <c r="AH60" i="1" a="1"/>
  <c r="AG60" i="1"/>
  <c r="AF60" i="1"/>
  <c r="BI59" i="1"/>
  <c r="BH59" i="1"/>
  <c r="BG59" i="1"/>
  <c r="BF59" i="1"/>
  <c r="BE59" i="1"/>
  <c r="BD59" i="1"/>
  <c r="BC59" i="1"/>
  <c r="BB59" i="1"/>
  <c r="BA59" i="1"/>
  <c r="AZ59" i="1"/>
  <c r="AY59" i="1"/>
  <c r="AX59" i="1"/>
  <c r="AW59" i="1"/>
  <c r="AV59" i="1"/>
  <c r="AU59" i="1"/>
  <c r="AT59" i="1"/>
  <c r="AS59" i="1"/>
  <c r="AR59" i="1"/>
  <c r="AQ59" i="1"/>
  <c r="AP59" i="1"/>
  <c r="AM59" i="1"/>
  <c r="AL59" i="1"/>
  <c r="AK59" i="1"/>
  <c r="AJ59" i="1"/>
  <c r="AI59" i="1"/>
  <c r="AH59" i="1"/>
  <c r="AH59" i="1" a="1"/>
  <c r="AG59" i="1"/>
  <c r="AF59" i="1"/>
  <c r="BI58" i="1"/>
  <c r="BH58" i="1"/>
  <c r="BG58" i="1"/>
  <c r="BF58" i="1"/>
  <c r="BE58" i="1"/>
  <c r="BD58" i="1"/>
  <c r="BC58" i="1"/>
  <c r="BB58" i="1"/>
  <c r="BA58" i="1"/>
  <c r="AZ58" i="1"/>
  <c r="AY58" i="1"/>
  <c r="AX58" i="1"/>
  <c r="AW58" i="1"/>
  <c r="AV58" i="1"/>
  <c r="AU58" i="1"/>
  <c r="AT58" i="1"/>
  <c r="AS58" i="1"/>
  <c r="AR58" i="1"/>
  <c r="AQ58" i="1"/>
  <c r="AP58" i="1"/>
  <c r="AM58" i="1"/>
  <c r="AL58" i="1"/>
  <c r="AK58" i="1"/>
  <c r="AJ58" i="1"/>
  <c r="AI58" i="1"/>
  <c r="AH58" i="1"/>
  <c r="AH58" i="1" a="1"/>
  <c r="AG58" i="1"/>
  <c r="AF58" i="1"/>
  <c r="BI57" i="1"/>
  <c r="BH57" i="1"/>
  <c r="BG57" i="1"/>
  <c r="BF57" i="1"/>
  <c r="BE57" i="1"/>
  <c r="BD57" i="1"/>
  <c r="BC57" i="1"/>
  <c r="BB57" i="1"/>
  <c r="BA57" i="1"/>
  <c r="AZ57" i="1"/>
  <c r="AY57" i="1"/>
  <c r="AX57" i="1"/>
  <c r="AW57" i="1"/>
  <c r="AV57" i="1"/>
  <c r="AU57" i="1"/>
  <c r="AT57" i="1"/>
  <c r="AS57" i="1"/>
  <c r="AR57" i="1"/>
  <c r="AQ57" i="1"/>
  <c r="AP57" i="1"/>
  <c r="AM57" i="1"/>
  <c r="AL57" i="1"/>
  <c r="AK57" i="1"/>
  <c r="AJ57" i="1"/>
  <c r="AI57" i="1"/>
  <c r="AH57" i="1"/>
  <c r="AH57" i="1" a="1"/>
  <c r="AG57" i="1"/>
  <c r="AF57" i="1"/>
  <c r="BI56" i="1"/>
  <c r="BH56" i="1"/>
  <c r="BG56" i="1"/>
  <c r="BF56" i="1"/>
  <c r="BE56" i="1"/>
  <c r="BD56" i="1"/>
  <c r="BC56" i="1"/>
  <c r="BB56" i="1"/>
  <c r="BA56" i="1"/>
  <c r="AZ56" i="1"/>
  <c r="AY56" i="1"/>
  <c r="AX56" i="1"/>
  <c r="AW56" i="1"/>
  <c r="AV56" i="1"/>
  <c r="AU56" i="1"/>
  <c r="AT56" i="1"/>
  <c r="AS56" i="1"/>
  <c r="AR56" i="1"/>
  <c r="AQ56" i="1"/>
  <c r="AP56" i="1"/>
  <c r="AM56" i="1"/>
  <c r="AL56" i="1"/>
  <c r="AK56" i="1"/>
  <c r="AJ56" i="1"/>
  <c r="AI56" i="1"/>
  <c r="AH56" i="1"/>
  <c r="AH56" i="1" a="1"/>
  <c r="AG56" i="1"/>
  <c r="AF56" i="1"/>
  <c r="BI55" i="1"/>
  <c r="BH55" i="1"/>
  <c r="BG55" i="1"/>
  <c r="BF55" i="1"/>
  <c r="BE55" i="1"/>
  <c r="BD55" i="1"/>
  <c r="BC55" i="1"/>
  <c r="BB55" i="1"/>
  <c r="BA55" i="1"/>
  <c r="AZ55" i="1"/>
  <c r="AY55" i="1"/>
  <c r="AX55" i="1"/>
  <c r="AW55" i="1"/>
  <c r="AV55" i="1"/>
  <c r="AU55" i="1"/>
  <c r="AT55" i="1"/>
  <c r="AS55" i="1"/>
  <c r="AR55" i="1"/>
  <c r="AQ55" i="1"/>
  <c r="AP55" i="1"/>
  <c r="AM55" i="1"/>
  <c r="AL55" i="1"/>
  <c r="AK55" i="1"/>
  <c r="AJ55" i="1"/>
  <c r="AI55" i="1"/>
  <c r="AH55" i="1"/>
  <c r="AH55" i="1" a="1"/>
  <c r="AG55" i="1"/>
  <c r="AF55" i="1"/>
  <c r="BI54" i="1"/>
  <c r="BH54" i="1"/>
  <c r="BG54" i="1"/>
  <c r="BF54" i="1"/>
  <c r="BE54" i="1"/>
  <c r="BD54" i="1"/>
  <c r="BC54" i="1"/>
  <c r="BB54" i="1"/>
  <c r="BA54" i="1"/>
  <c r="AZ54" i="1"/>
  <c r="AY54" i="1"/>
  <c r="AX54" i="1"/>
  <c r="AW54" i="1"/>
  <c r="AV54" i="1"/>
  <c r="AU54" i="1"/>
  <c r="AT54" i="1"/>
  <c r="AS54" i="1"/>
  <c r="AR54" i="1"/>
  <c r="AQ54" i="1"/>
  <c r="AP54" i="1"/>
  <c r="AM54" i="1"/>
  <c r="AL54" i="1"/>
  <c r="AK54" i="1"/>
  <c r="AJ54" i="1"/>
  <c r="AI54" i="1"/>
  <c r="AH54" i="1"/>
  <c r="AH54" i="1" a="1"/>
  <c r="AG54" i="1"/>
  <c r="AF54" i="1"/>
  <c r="BI53" i="1"/>
  <c r="BH53" i="1"/>
  <c r="BG53" i="1"/>
  <c r="BF53" i="1"/>
  <c r="BE53" i="1"/>
  <c r="BD53" i="1"/>
  <c r="BC53" i="1"/>
  <c r="BB53" i="1"/>
  <c r="BA53" i="1"/>
  <c r="AZ53" i="1"/>
  <c r="AY53" i="1"/>
  <c r="AX53" i="1"/>
  <c r="AW53" i="1"/>
  <c r="AV53" i="1"/>
  <c r="AU53" i="1"/>
  <c r="AT53" i="1"/>
  <c r="AS53" i="1"/>
  <c r="AR53" i="1"/>
  <c r="AQ53" i="1"/>
  <c r="AP53" i="1"/>
  <c r="AM53" i="1"/>
  <c r="AL53" i="1"/>
  <c r="AK53" i="1"/>
  <c r="AJ53" i="1"/>
  <c r="AI53" i="1"/>
  <c r="AH53" i="1"/>
  <c r="AH53" i="1" a="1"/>
  <c r="AG53" i="1"/>
  <c r="AF53" i="1"/>
  <c r="BI52" i="1"/>
  <c r="BH52" i="1"/>
  <c r="BG52" i="1"/>
  <c r="BF52" i="1"/>
  <c r="BE52" i="1"/>
  <c r="BD52" i="1"/>
  <c r="BC52" i="1"/>
  <c r="BB52" i="1"/>
  <c r="BA52" i="1"/>
  <c r="AZ52" i="1"/>
  <c r="AY52" i="1"/>
  <c r="AX52" i="1"/>
  <c r="AW52" i="1"/>
  <c r="AV52" i="1"/>
  <c r="AU52" i="1"/>
  <c r="AT52" i="1"/>
  <c r="AS52" i="1"/>
  <c r="AR52" i="1"/>
  <c r="AQ52" i="1"/>
  <c r="AP52" i="1"/>
  <c r="AM52" i="1"/>
  <c r="AL52" i="1"/>
  <c r="AK52" i="1"/>
  <c r="AJ52" i="1"/>
  <c r="AI52" i="1"/>
  <c r="AH52" i="1"/>
  <c r="AH52" i="1" a="1"/>
  <c r="AG52" i="1"/>
  <c r="AF52" i="1"/>
  <c r="BI51" i="1"/>
  <c r="BH51" i="1"/>
  <c r="BG51" i="1"/>
  <c r="BF51" i="1"/>
  <c r="BE51" i="1"/>
  <c r="BD51" i="1"/>
  <c r="BC51" i="1"/>
  <c r="BB51" i="1"/>
  <c r="BA51" i="1"/>
  <c r="AZ51" i="1"/>
  <c r="AY51" i="1"/>
  <c r="AX51" i="1"/>
  <c r="AW51" i="1"/>
  <c r="AV51" i="1"/>
  <c r="AU51" i="1"/>
  <c r="AT51" i="1"/>
  <c r="AS51" i="1"/>
  <c r="AR51" i="1"/>
  <c r="AQ51" i="1"/>
  <c r="AP51" i="1"/>
  <c r="AM51" i="1"/>
  <c r="AL51" i="1"/>
  <c r="AK51" i="1"/>
  <c r="AJ51" i="1"/>
  <c r="AI51" i="1"/>
  <c r="AH51" i="1"/>
  <c r="AH51" i="1" a="1"/>
  <c r="AG51" i="1"/>
  <c r="AF51" i="1"/>
  <c r="BI50" i="1"/>
  <c r="BH50" i="1"/>
  <c r="BG50" i="1"/>
  <c r="BF50" i="1"/>
  <c r="BE50" i="1"/>
  <c r="BD50" i="1"/>
  <c r="BC50" i="1"/>
  <c r="BB50" i="1"/>
  <c r="BA50" i="1"/>
  <c r="AZ50" i="1"/>
  <c r="AY50" i="1"/>
  <c r="AX50" i="1"/>
  <c r="AW50" i="1"/>
  <c r="AV50" i="1"/>
  <c r="AU50" i="1"/>
  <c r="AT50" i="1"/>
  <c r="AS50" i="1"/>
  <c r="AR50" i="1"/>
  <c r="AQ50" i="1"/>
  <c r="AP50" i="1"/>
  <c r="AM50" i="1"/>
  <c r="AL50" i="1"/>
  <c r="AK50" i="1"/>
  <c r="AJ50" i="1"/>
  <c r="AI50" i="1"/>
  <c r="AH50" i="1"/>
  <c r="AH50" i="1" a="1"/>
  <c r="AG50" i="1"/>
  <c r="AF50" i="1"/>
  <c r="BI49" i="1"/>
  <c r="BH49" i="1"/>
  <c r="BG49" i="1"/>
  <c r="BF49" i="1"/>
  <c r="BE49" i="1"/>
  <c r="BD49" i="1"/>
  <c r="BC49" i="1"/>
  <c r="BB49" i="1"/>
  <c r="BA49" i="1"/>
  <c r="AZ49" i="1"/>
  <c r="AY49" i="1"/>
  <c r="AX49" i="1"/>
  <c r="AW49" i="1"/>
  <c r="AV49" i="1"/>
  <c r="AU49" i="1"/>
  <c r="AT49" i="1"/>
  <c r="AS49" i="1"/>
  <c r="AR49" i="1"/>
  <c r="AQ49" i="1"/>
  <c r="AP49" i="1"/>
  <c r="AM49" i="1"/>
  <c r="AL49" i="1"/>
  <c r="AK49" i="1"/>
  <c r="AJ49" i="1"/>
  <c r="AI49" i="1"/>
  <c r="AH49" i="1"/>
  <c r="AH49" i="1" a="1"/>
  <c r="AG49" i="1"/>
  <c r="AF49" i="1"/>
  <c r="BI48" i="1"/>
  <c r="BH48" i="1"/>
  <c r="BG48" i="1"/>
  <c r="BF48" i="1"/>
  <c r="BE48" i="1"/>
  <c r="BD48" i="1"/>
  <c r="BC48" i="1"/>
  <c r="BB48" i="1"/>
  <c r="BA48" i="1"/>
  <c r="AZ48" i="1"/>
  <c r="AY48" i="1"/>
  <c r="AX48" i="1"/>
  <c r="AW48" i="1"/>
  <c r="AV48" i="1"/>
  <c r="AU48" i="1"/>
  <c r="AT48" i="1"/>
  <c r="AS48" i="1"/>
  <c r="AR48" i="1"/>
  <c r="AQ48" i="1"/>
  <c r="AP48" i="1"/>
  <c r="AM48" i="1"/>
  <c r="AL48" i="1"/>
  <c r="AK48" i="1"/>
  <c r="AJ48" i="1"/>
  <c r="AI48" i="1"/>
  <c r="AH48" i="1"/>
  <c r="AH48" i="1" a="1"/>
  <c r="AG48" i="1"/>
  <c r="AF48" i="1"/>
  <c r="BI47" i="1"/>
  <c r="BH47" i="1"/>
  <c r="BG47" i="1"/>
  <c r="BF47" i="1"/>
  <c r="BE47" i="1"/>
  <c r="BD47" i="1"/>
  <c r="BC47" i="1"/>
  <c r="BB47" i="1"/>
  <c r="BA47" i="1"/>
  <c r="AZ47" i="1"/>
  <c r="AY47" i="1"/>
  <c r="AX47" i="1"/>
  <c r="AW47" i="1"/>
  <c r="AV47" i="1"/>
  <c r="AU47" i="1"/>
  <c r="AT47" i="1"/>
  <c r="AS47" i="1"/>
  <c r="AR47" i="1"/>
  <c r="AQ47" i="1"/>
  <c r="AP47" i="1"/>
  <c r="AM47" i="1"/>
  <c r="AL47" i="1"/>
  <c r="AK47" i="1"/>
  <c r="AJ47" i="1"/>
  <c r="AI47" i="1"/>
  <c r="AH47" i="1"/>
  <c r="AH47" i="1" a="1"/>
  <c r="AG47" i="1"/>
  <c r="AF47" i="1"/>
  <c r="BI46" i="1"/>
  <c r="BH46" i="1"/>
  <c r="BG46" i="1"/>
  <c r="BF46" i="1"/>
  <c r="BE46" i="1"/>
  <c r="BD46" i="1"/>
  <c r="BC46" i="1"/>
  <c r="BB46" i="1"/>
  <c r="BA46" i="1"/>
  <c r="AZ46" i="1"/>
  <c r="AY46" i="1"/>
  <c r="AX46" i="1"/>
  <c r="AW46" i="1"/>
  <c r="AV46" i="1"/>
  <c r="AU46" i="1"/>
  <c r="AT46" i="1"/>
  <c r="AS46" i="1"/>
  <c r="AR46" i="1"/>
  <c r="AQ46" i="1"/>
  <c r="AP46" i="1"/>
  <c r="AM46" i="1"/>
  <c r="AL46" i="1"/>
  <c r="AK46" i="1"/>
  <c r="AJ46" i="1"/>
  <c r="AI46" i="1"/>
  <c r="AH46" i="1"/>
  <c r="AH46" i="1" a="1"/>
  <c r="AG46" i="1"/>
  <c r="AF46" i="1"/>
  <c r="BI45" i="1"/>
  <c r="BH45" i="1"/>
  <c r="BG45" i="1"/>
  <c r="BF45" i="1"/>
  <c r="BE45" i="1"/>
  <c r="BD45" i="1"/>
  <c r="BC45" i="1"/>
  <c r="BB45" i="1"/>
  <c r="BA45" i="1"/>
  <c r="AZ45" i="1"/>
  <c r="AY45" i="1"/>
  <c r="AX45" i="1"/>
  <c r="AW45" i="1"/>
  <c r="AV45" i="1"/>
  <c r="AU45" i="1"/>
  <c r="AT45" i="1"/>
  <c r="AS45" i="1"/>
  <c r="AR45" i="1"/>
  <c r="AQ45" i="1"/>
  <c r="AP45" i="1"/>
  <c r="AM45" i="1"/>
  <c r="AL45" i="1"/>
  <c r="AK45" i="1"/>
  <c r="AJ45" i="1"/>
  <c r="AI45" i="1"/>
  <c r="AH45" i="1"/>
  <c r="AH45" i="1" a="1"/>
  <c r="AG45" i="1"/>
  <c r="AF45" i="1"/>
  <c r="BI44" i="1"/>
  <c r="BH44" i="1"/>
  <c r="BG44" i="1"/>
  <c r="BF44" i="1"/>
  <c r="BE44" i="1"/>
  <c r="BD44" i="1"/>
  <c r="BC44" i="1"/>
  <c r="BB44" i="1"/>
  <c r="BA44" i="1"/>
  <c r="AZ44" i="1"/>
  <c r="AY44" i="1"/>
  <c r="AX44" i="1"/>
  <c r="AW44" i="1"/>
  <c r="AV44" i="1"/>
  <c r="AU44" i="1"/>
  <c r="AT44" i="1"/>
  <c r="AS44" i="1"/>
  <c r="AR44" i="1"/>
  <c r="AQ44" i="1"/>
  <c r="AP44" i="1"/>
  <c r="AM44" i="1"/>
  <c r="AL44" i="1"/>
  <c r="AK44" i="1"/>
  <c r="AJ44" i="1"/>
  <c r="AI44" i="1"/>
  <c r="AH44" i="1"/>
  <c r="AH44" i="1" a="1"/>
  <c r="AG44" i="1"/>
  <c r="AF44" i="1"/>
  <c r="BI43" i="1"/>
  <c r="BH43" i="1"/>
  <c r="BG43" i="1"/>
  <c r="BF43" i="1"/>
  <c r="BE43" i="1"/>
  <c r="BD43" i="1"/>
  <c r="BC43" i="1"/>
  <c r="BB43" i="1"/>
  <c r="BA43" i="1"/>
  <c r="AZ43" i="1"/>
  <c r="AY43" i="1"/>
  <c r="AX43" i="1"/>
  <c r="AW43" i="1"/>
  <c r="AV43" i="1"/>
  <c r="AU43" i="1"/>
  <c r="AT43" i="1"/>
  <c r="AS43" i="1"/>
  <c r="AR43" i="1"/>
  <c r="AQ43" i="1"/>
  <c r="AP43" i="1"/>
  <c r="AM43" i="1"/>
  <c r="AL43" i="1"/>
  <c r="AK43" i="1"/>
  <c r="AJ43" i="1"/>
  <c r="AI43" i="1"/>
  <c r="AH43" i="1"/>
  <c r="AH43" i="1" a="1"/>
  <c r="AG43" i="1"/>
  <c r="AF43" i="1"/>
  <c r="BI42" i="1"/>
  <c r="BH42" i="1"/>
  <c r="BG42" i="1"/>
  <c r="BF42" i="1"/>
  <c r="BE42" i="1"/>
  <c r="BD42" i="1"/>
  <c r="BC42" i="1"/>
  <c r="BB42" i="1"/>
  <c r="BA42" i="1"/>
  <c r="AZ42" i="1"/>
  <c r="AY42" i="1"/>
  <c r="AX42" i="1"/>
  <c r="AW42" i="1"/>
  <c r="AV42" i="1"/>
  <c r="AU42" i="1"/>
  <c r="AT42" i="1"/>
  <c r="AS42" i="1"/>
  <c r="AR42" i="1"/>
  <c r="AQ42" i="1"/>
  <c r="AP42" i="1"/>
  <c r="AM42" i="1"/>
  <c r="AL42" i="1"/>
  <c r="AK42" i="1"/>
  <c r="AJ42" i="1"/>
  <c r="AI42" i="1"/>
  <c r="AH42" i="1"/>
  <c r="AH42" i="1" a="1"/>
  <c r="AG42" i="1"/>
  <c r="AF42" i="1"/>
  <c r="BI41" i="1"/>
  <c r="BH41" i="1"/>
  <c r="BG41" i="1"/>
  <c r="BF41" i="1"/>
  <c r="BE41" i="1"/>
  <c r="BD41" i="1"/>
  <c r="BC41" i="1"/>
  <c r="BB41" i="1"/>
  <c r="BA41" i="1"/>
  <c r="AZ41" i="1"/>
  <c r="AY41" i="1"/>
  <c r="AX41" i="1"/>
  <c r="AW41" i="1"/>
  <c r="AV41" i="1"/>
  <c r="AU41" i="1"/>
  <c r="AT41" i="1"/>
  <c r="AS41" i="1"/>
  <c r="AR41" i="1"/>
  <c r="AQ41" i="1"/>
  <c r="AP41" i="1"/>
  <c r="AM41" i="1"/>
  <c r="AL41" i="1"/>
  <c r="AK41" i="1"/>
  <c r="AJ41" i="1"/>
  <c r="AI41" i="1"/>
  <c r="AH41" i="1"/>
  <c r="AH41" i="1" a="1"/>
  <c r="AG41" i="1"/>
  <c r="AF41" i="1"/>
  <c r="BI40" i="1"/>
  <c r="BH40" i="1"/>
  <c r="BG40" i="1"/>
  <c r="BF40" i="1"/>
  <c r="BE40" i="1"/>
  <c r="BD40" i="1"/>
  <c r="BC40" i="1"/>
  <c r="BB40" i="1"/>
  <c r="BA40" i="1"/>
  <c r="AZ40" i="1"/>
  <c r="AY40" i="1"/>
  <c r="AX40" i="1"/>
  <c r="AW40" i="1"/>
  <c r="AV40" i="1"/>
  <c r="AU40" i="1"/>
  <c r="AT40" i="1"/>
  <c r="AS40" i="1"/>
  <c r="AR40" i="1"/>
  <c r="AQ40" i="1"/>
  <c r="AP40" i="1"/>
  <c r="AM40" i="1"/>
  <c r="AL40" i="1"/>
  <c r="AK40" i="1"/>
  <c r="AJ40" i="1"/>
  <c r="AI40" i="1"/>
  <c r="AH40" i="1"/>
  <c r="AH40" i="1" a="1"/>
  <c r="AG40" i="1"/>
  <c r="AF40" i="1"/>
  <c r="BI39" i="1"/>
  <c r="BH39" i="1"/>
  <c r="BG39" i="1"/>
  <c r="BF39" i="1"/>
  <c r="BE39" i="1"/>
  <c r="BD39" i="1"/>
  <c r="BC39" i="1"/>
  <c r="BB39" i="1"/>
  <c r="BA39" i="1"/>
  <c r="AZ39" i="1"/>
  <c r="AY39" i="1"/>
  <c r="AX39" i="1"/>
  <c r="AW39" i="1"/>
  <c r="AV39" i="1"/>
  <c r="AU39" i="1"/>
  <c r="AT39" i="1"/>
  <c r="AS39" i="1"/>
  <c r="AR39" i="1"/>
  <c r="AQ39" i="1"/>
  <c r="AP39" i="1"/>
  <c r="AM39" i="1"/>
  <c r="AL39" i="1"/>
  <c r="AK39" i="1"/>
  <c r="AJ39" i="1"/>
  <c r="AI39" i="1"/>
  <c r="AH39" i="1"/>
  <c r="AH39" i="1" a="1"/>
  <c r="AG39" i="1"/>
  <c r="AF39" i="1"/>
  <c r="BI38" i="1"/>
  <c r="BH38" i="1"/>
  <c r="BG38" i="1"/>
  <c r="BF38" i="1"/>
  <c r="BE38" i="1"/>
  <c r="BD38" i="1"/>
  <c r="BC38" i="1"/>
  <c r="BB38" i="1"/>
  <c r="BA38" i="1"/>
  <c r="AZ38" i="1"/>
  <c r="AY38" i="1"/>
  <c r="AX38" i="1"/>
  <c r="AW38" i="1"/>
  <c r="AV38" i="1"/>
  <c r="AU38" i="1"/>
  <c r="AT38" i="1"/>
  <c r="AS38" i="1"/>
  <c r="AR38" i="1"/>
  <c r="AQ38" i="1"/>
  <c r="AP38" i="1"/>
  <c r="AM38" i="1"/>
  <c r="AL38" i="1"/>
  <c r="AK38" i="1"/>
  <c r="AJ38" i="1"/>
  <c r="AI38" i="1"/>
  <c r="AH38" i="1"/>
  <c r="AH38" i="1" a="1"/>
  <c r="AG38" i="1"/>
  <c r="AF38" i="1"/>
  <c r="BI37" i="1"/>
  <c r="BH37" i="1"/>
  <c r="BG37" i="1"/>
  <c r="BF37" i="1"/>
  <c r="BE37" i="1"/>
  <c r="BD37" i="1"/>
  <c r="BC37" i="1"/>
  <c r="BB37" i="1"/>
  <c r="BA37" i="1"/>
  <c r="AZ37" i="1"/>
  <c r="AY37" i="1"/>
  <c r="AX37" i="1"/>
  <c r="AW37" i="1"/>
  <c r="AV37" i="1"/>
  <c r="AU37" i="1"/>
  <c r="AT37" i="1"/>
  <c r="AS37" i="1"/>
  <c r="AR37" i="1"/>
  <c r="AQ37" i="1"/>
  <c r="AP37" i="1"/>
  <c r="AM37" i="1"/>
  <c r="AL37" i="1"/>
  <c r="AK37" i="1"/>
  <c r="AJ37" i="1"/>
  <c r="AI37" i="1"/>
  <c r="AH37" i="1"/>
  <c r="AH37" i="1" a="1"/>
  <c r="AG37" i="1"/>
  <c r="AF37" i="1"/>
  <c r="BI36" i="1"/>
  <c r="BH36" i="1"/>
  <c r="BG36" i="1"/>
  <c r="BF36" i="1"/>
  <c r="BE36" i="1"/>
  <c r="BD36" i="1"/>
  <c r="BC36" i="1"/>
  <c r="BB36" i="1"/>
  <c r="BA36" i="1"/>
  <c r="AZ36" i="1"/>
  <c r="AY36" i="1"/>
  <c r="AX36" i="1"/>
  <c r="AW36" i="1"/>
  <c r="AV36" i="1"/>
  <c r="AU36" i="1"/>
  <c r="AT36" i="1"/>
  <c r="AS36" i="1"/>
  <c r="AR36" i="1"/>
  <c r="AQ36" i="1"/>
  <c r="AP36" i="1"/>
  <c r="AM36" i="1"/>
  <c r="AL36" i="1"/>
  <c r="AK36" i="1"/>
  <c r="AJ36" i="1"/>
  <c r="AI36" i="1"/>
  <c r="AH36" i="1"/>
  <c r="AH36" i="1" a="1"/>
  <c r="AG36" i="1"/>
  <c r="AF36" i="1"/>
  <c r="BI35" i="1"/>
  <c r="BH35" i="1"/>
  <c r="BG35" i="1"/>
  <c r="BF35" i="1"/>
  <c r="BE35" i="1"/>
  <c r="BD35" i="1"/>
  <c r="BC35" i="1"/>
  <c r="BB35" i="1"/>
  <c r="BA35" i="1"/>
  <c r="AZ35" i="1"/>
  <c r="AY35" i="1"/>
  <c r="AX35" i="1"/>
  <c r="AW35" i="1"/>
  <c r="AV35" i="1"/>
  <c r="AU35" i="1"/>
  <c r="AT35" i="1"/>
  <c r="AS35" i="1"/>
  <c r="AR35" i="1"/>
  <c r="AQ35" i="1"/>
  <c r="AP35" i="1"/>
  <c r="AM35" i="1"/>
  <c r="AL35" i="1"/>
  <c r="AK35" i="1"/>
  <c r="AJ35" i="1"/>
  <c r="AI35" i="1"/>
  <c r="AH35" i="1"/>
  <c r="AH35" i="1" a="1"/>
  <c r="AG35" i="1"/>
  <c r="AF35" i="1"/>
  <c r="BI34" i="1"/>
  <c r="BH34" i="1"/>
  <c r="BG34" i="1"/>
  <c r="BF34" i="1"/>
  <c r="BE34" i="1"/>
  <c r="BD34" i="1"/>
  <c r="BC34" i="1"/>
  <c r="BB34" i="1"/>
  <c r="BA34" i="1"/>
  <c r="AZ34" i="1"/>
  <c r="AY34" i="1"/>
  <c r="AX34" i="1"/>
  <c r="AW34" i="1"/>
  <c r="AV34" i="1"/>
  <c r="AU34" i="1"/>
  <c r="AT34" i="1"/>
  <c r="AS34" i="1"/>
  <c r="AR34" i="1"/>
  <c r="AQ34" i="1"/>
  <c r="AP34" i="1"/>
  <c r="AM34" i="1"/>
  <c r="AL34" i="1"/>
  <c r="AK34" i="1"/>
  <c r="AJ34" i="1"/>
  <c r="AI34" i="1"/>
  <c r="AH34" i="1"/>
  <c r="AH34" i="1" a="1"/>
  <c r="AG34" i="1"/>
  <c r="AF34" i="1"/>
  <c r="BI33" i="1"/>
  <c r="BH33" i="1"/>
  <c r="BG33" i="1"/>
  <c r="BF33" i="1"/>
  <c r="BE33" i="1"/>
  <c r="BD33" i="1"/>
  <c r="BC33" i="1"/>
  <c r="BB33" i="1"/>
  <c r="BA33" i="1"/>
  <c r="AZ33" i="1"/>
  <c r="AY33" i="1"/>
  <c r="AX33" i="1"/>
  <c r="AW33" i="1"/>
  <c r="AV33" i="1"/>
  <c r="AU33" i="1"/>
  <c r="AT33" i="1"/>
  <c r="AS33" i="1"/>
  <c r="AR33" i="1"/>
  <c r="AQ33" i="1"/>
  <c r="AP33" i="1"/>
  <c r="AM33" i="1"/>
  <c r="AL33" i="1"/>
  <c r="AK33" i="1"/>
  <c r="AJ33" i="1"/>
  <c r="AI33" i="1"/>
  <c r="AH33" i="1"/>
  <c r="AH33" i="1" a="1"/>
  <c r="AG33" i="1"/>
  <c r="AF33" i="1"/>
  <c r="BI32" i="1"/>
  <c r="BH32" i="1"/>
  <c r="BG32" i="1"/>
  <c r="BF32" i="1"/>
  <c r="BE32" i="1"/>
  <c r="BD32" i="1"/>
  <c r="BC32" i="1"/>
  <c r="BB32" i="1"/>
  <c r="BA32" i="1"/>
  <c r="AZ32" i="1"/>
  <c r="AY32" i="1"/>
  <c r="AX32" i="1"/>
  <c r="AW32" i="1"/>
  <c r="AV32" i="1"/>
  <c r="AU32" i="1"/>
  <c r="AT32" i="1"/>
  <c r="AS32" i="1"/>
  <c r="AR32" i="1"/>
  <c r="AQ32" i="1"/>
  <c r="AP32" i="1"/>
  <c r="AM32" i="1"/>
  <c r="AL32" i="1"/>
  <c r="AK32" i="1"/>
  <c r="AJ32" i="1"/>
  <c r="AI32" i="1"/>
  <c r="AH32" i="1"/>
  <c r="AH32" i="1" a="1"/>
  <c r="AG32" i="1"/>
  <c r="AF32" i="1"/>
  <c r="BI31" i="1"/>
  <c r="BH31" i="1"/>
  <c r="BG31" i="1"/>
  <c r="BF31" i="1"/>
  <c r="BE31" i="1"/>
  <c r="BD31" i="1"/>
  <c r="BC31" i="1"/>
  <c r="BB31" i="1"/>
  <c r="BA31" i="1"/>
  <c r="AZ31" i="1"/>
  <c r="AY31" i="1"/>
  <c r="AX31" i="1"/>
  <c r="AW31" i="1"/>
  <c r="AV31" i="1"/>
  <c r="AU31" i="1"/>
  <c r="AT31" i="1"/>
  <c r="AS31" i="1"/>
  <c r="AR31" i="1"/>
  <c r="AQ31" i="1"/>
  <c r="AP31" i="1"/>
  <c r="AM31" i="1"/>
  <c r="AL31" i="1"/>
  <c r="AK31" i="1"/>
  <c r="AJ31" i="1"/>
  <c r="AI31" i="1"/>
  <c r="AH31" i="1"/>
  <c r="AH31" i="1" a="1"/>
  <c r="AG31" i="1"/>
  <c r="AF31" i="1"/>
  <c r="BI30" i="1"/>
  <c r="BH30" i="1"/>
  <c r="BG30" i="1"/>
  <c r="BF30" i="1"/>
  <c r="BE30" i="1"/>
  <c r="BD30" i="1"/>
  <c r="BC30" i="1"/>
  <c r="BB30" i="1"/>
  <c r="BA30" i="1"/>
  <c r="AZ30" i="1"/>
  <c r="AY30" i="1"/>
  <c r="AX30" i="1"/>
  <c r="AW30" i="1"/>
  <c r="AV30" i="1"/>
  <c r="AU30" i="1"/>
  <c r="AT30" i="1"/>
  <c r="AS30" i="1"/>
  <c r="AR30" i="1"/>
  <c r="AQ30" i="1"/>
  <c r="AP30" i="1"/>
  <c r="AM30" i="1"/>
  <c r="AL30" i="1"/>
  <c r="AK30" i="1"/>
  <c r="AJ30" i="1"/>
  <c r="AI30" i="1"/>
  <c r="AH30" i="1"/>
  <c r="AH30" i="1" a="1"/>
  <c r="AG30" i="1"/>
  <c r="AF30" i="1"/>
  <c r="BI29" i="1"/>
  <c r="BH29" i="1"/>
  <c r="BG29" i="1"/>
  <c r="BF29" i="1"/>
  <c r="BE29" i="1"/>
  <c r="BD29" i="1"/>
  <c r="BC29" i="1"/>
  <c r="BB29" i="1"/>
  <c r="BA29" i="1"/>
  <c r="AZ29" i="1"/>
  <c r="AY29" i="1"/>
  <c r="AX29" i="1"/>
  <c r="AW29" i="1"/>
  <c r="AV29" i="1"/>
  <c r="AU29" i="1"/>
  <c r="AT29" i="1"/>
  <c r="AS29" i="1"/>
  <c r="AR29" i="1"/>
  <c r="AQ29" i="1"/>
  <c r="AP29" i="1"/>
  <c r="AM29" i="1"/>
  <c r="AL29" i="1"/>
  <c r="AK29" i="1"/>
  <c r="AJ29" i="1"/>
  <c r="AI29" i="1"/>
  <c r="AH29" i="1"/>
  <c r="AH29" i="1" a="1"/>
  <c r="AG29" i="1"/>
  <c r="AF29" i="1"/>
  <c r="BI28" i="1"/>
  <c r="BH28" i="1"/>
  <c r="BG28" i="1"/>
  <c r="BF28" i="1"/>
  <c r="BE28" i="1"/>
  <c r="BD28" i="1"/>
  <c r="BC28" i="1"/>
  <c r="BB28" i="1"/>
  <c r="BA28" i="1"/>
  <c r="AZ28" i="1"/>
  <c r="AY28" i="1"/>
  <c r="AX28" i="1"/>
  <c r="AW28" i="1"/>
  <c r="AV28" i="1"/>
  <c r="AU28" i="1"/>
  <c r="AT28" i="1"/>
  <c r="AS28" i="1"/>
  <c r="AR28" i="1"/>
  <c r="AQ28" i="1"/>
  <c r="AP28" i="1"/>
  <c r="AM28" i="1"/>
  <c r="AL28" i="1"/>
  <c r="AK28" i="1"/>
  <c r="AJ28" i="1"/>
  <c r="AI28" i="1"/>
  <c r="AH28" i="1"/>
  <c r="AH28" i="1" a="1"/>
  <c r="AG28" i="1"/>
  <c r="AF28" i="1"/>
  <c r="BI27" i="1"/>
  <c r="BH27" i="1"/>
  <c r="BG27" i="1"/>
  <c r="BF27" i="1"/>
  <c r="BE27" i="1"/>
  <c r="BD27" i="1"/>
  <c r="BC27" i="1"/>
  <c r="BB27" i="1"/>
  <c r="BA27" i="1"/>
  <c r="AZ27" i="1"/>
  <c r="AY27" i="1"/>
  <c r="AX27" i="1"/>
  <c r="AW27" i="1"/>
  <c r="AV27" i="1"/>
  <c r="AU27" i="1"/>
  <c r="AT27" i="1"/>
  <c r="AS27" i="1"/>
  <c r="AR27" i="1"/>
  <c r="AQ27" i="1"/>
  <c r="AP27" i="1"/>
  <c r="AM27" i="1"/>
  <c r="AL27" i="1"/>
  <c r="AK27" i="1"/>
  <c r="AJ27" i="1"/>
  <c r="AI27" i="1"/>
  <c r="AH27" i="1"/>
  <c r="AH27" i="1" a="1"/>
  <c r="AG27" i="1"/>
  <c r="AF27" i="1"/>
  <c r="BI26" i="1"/>
  <c r="BH26" i="1"/>
  <c r="BG26" i="1"/>
  <c r="BF26" i="1"/>
  <c r="BE26" i="1"/>
  <c r="BD26" i="1"/>
  <c r="BC26" i="1"/>
  <c r="BB26" i="1"/>
  <c r="BA26" i="1"/>
  <c r="AZ26" i="1"/>
  <c r="AY26" i="1"/>
  <c r="AX26" i="1"/>
  <c r="AW26" i="1"/>
  <c r="AV26" i="1"/>
  <c r="AU26" i="1"/>
  <c r="AT26" i="1"/>
  <c r="AS26" i="1"/>
  <c r="AR26" i="1"/>
  <c r="AQ26" i="1"/>
  <c r="AP26" i="1"/>
  <c r="AM26" i="1"/>
  <c r="AL26" i="1"/>
  <c r="AK26" i="1"/>
  <c r="AJ26" i="1"/>
  <c r="AI26" i="1"/>
  <c r="AH26" i="1"/>
  <c r="AH26" i="1" a="1"/>
  <c r="AG26" i="1"/>
  <c r="AF26" i="1"/>
  <c r="BI25" i="1"/>
  <c r="BH25" i="1"/>
  <c r="BG25" i="1"/>
  <c r="BF25" i="1"/>
  <c r="BE25" i="1"/>
  <c r="BD25" i="1"/>
  <c r="BC25" i="1"/>
  <c r="BB25" i="1"/>
  <c r="BA25" i="1"/>
  <c r="AZ25" i="1"/>
  <c r="AY25" i="1"/>
  <c r="AX25" i="1"/>
  <c r="AW25" i="1"/>
  <c r="AV25" i="1"/>
  <c r="AU25" i="1"/>
  <c r="AT25" i="1"/>
  <c r="AS25" i="1"/>
  <c r="AR25" i="1"/>
  <c r="AQ25" i="1"/>
  <c r="AP25" i="1"/>
  <c r="AM25" i="1"/>
  <c r="AL25" i="1"/>
  <c r="AK25" i="1"/>
  <c r="AJ25" i="1"/>
  <c r="AI25" i="1"/>
  <c r="AH25" i="1"/>
  <c r="AH25" i="1" a="1"/>
  <c r="AG25" i="1"/>
  <c r="AF25" i="1"/>
  <c r="BI24" i="1"/>
  <c r="BH24" i="1"/>
  <c r="BG24" i="1"/>
  <c r="BF24" i="1"/>
  <c r="BE24" i="1"/>
  <c r="BD24" i="1"/>
  <c r="BC24" i="1"/>
  <c r="BB24" i="1"/>
  <c r="BA24" i="1"/>
  <c r="AZ24" i="1"/>
  <c r="AY24" i="1"/>
  <c r="AX24" i="1"/>
  <c r="AW24" i="1"/>
  <c r="AV24" i="1"/>
  <c r="AU24" i="1"/>
  <c r="AT24" i="1"/>
  <c r="AS24" i="1"/>
  <c r="AR24" i="1"/>
  <c r="AQ24" i="1"/>
  <c r="AP24" i="1"/>
  <c r="AM24" i="1"/>
  <c r="AL24" i="1"/>
  <c r="AK24" i="1"/>
  <c r="AJ24" i="1"/>
  <c r="AI24" i="1"/>
  <c r="AH24" i="1"/>
  <c r="AH24" i="1" a="1"/>
  <c r="AG24" i="1"/>
  <c r="AF24" i="1"/>
  <c r="BI23" i="1"/>
  <c r="BH23" i="1"/>
  <c r="BG23" i="1"/>
  <c r="BF23" i="1"/>
  <c r="BE23" i="1"/>
  <c r="BD23" i="1"/>
  <c r="BC23" i="1"/>
  <c r="BB23" i="1"/>
  <c r="BA23" i="1"/>
  <c r="AZ23" i="1"/>
  <c r="AY23" i="1"/>
  <c r="AX23" i="1"/>
  <c r="AW23" i="1"/>
  <c r="AV23" i="1"/>
  <c r="AU23" i="1"/>
  <c r="AT23" i="1"/>
  <c r="AS23" i="1"/>
  <c r="AR23" i="1"/>
  <c r="AQ23" i="1"/>
  <c r="AP23" i="1"/>
  <c r="AM23" i="1"/>
  <c r="AL23" i="1"/>
  <c r="AK23" i="1"/>
  <c r="AJ23" i="1"/>
  <c r="AI23" i="1"/>
  <c r="AH23" i="1"/>
  <c r="AH23" i="1" a="1"/>
  <c r="AG23" i="1"/>
  <c r="AF23" i="1"/>
  <c r="BI22" i="1"/>
  <c r="BH22" i="1"/>
  <c r="BG22" i="1"/>
  <c r="BF22" i="1"/>
  <c r="BE22" i="1"/>
  <c r="BD22" i="1"/>
  <c r="BC22" i="1"/>
  <c r="BB22" i="1"/>
  <c r="BA22" i="1"/>
  <c r="AZ22" i="1"/>
  <c r="AY22" i="1"/>
  <c r="AX22" i="1"/>
  <c r="AW22" i="1"/>
  <c r="AV22" i="1"/>
  <c r="AU22" i="1"/>
  <c r="AT22" i="1"/>
  <c r="AS22" i="1"/>
  <c r="AR22" i="1"/>
  <c r="AQ22" i="1"/>
  <c r="AP22" i="1"/>
  <c r="AM22" i="1"/>
  <c r="AL22" i="1"/>
  <c r="AK22" i="1"/>
  <c r="AJ22" i="1"/>
  <c r="AI22" i="1"/>
  <c r="AH22" i="1"/>
  <c r="AH22" i="1" a="1"/>
  <c r="AG22" i="1"/>
  <c r="AF22" i="1"/>
  <c r="BI21" i="1"/>
  <c r="BH21" i="1"/>
  <c r="BG21" i="1"/>
  <c r="BF21" i="1"/>
  <c r="BE21" i="1"/>
  <c r="BD21" i="1"/>
  <c r="BC21" i="1"/>
  <c r="BB21" i="1"/>
  <c r="BA21" i="1"/>
  <c r="AZ21" i="1"/>
  <c r="AY21" i="1"/>
  <c r="AX21" i="1"/>
  <c r="AW21" i="1"/>
  <c r="AV21" i="1"/>
  <c r="AU21" i="1"/>
  <c r="AT21" i="1"/>
  <c r="AS21" i="1"/>
  <c r="AR21" i="1"/>
  <c r="AQ21" i="1"/>
  <c r="AP21" i="1"/>
  <c r="AM21" i="1"/>
  <c r="AL21" i="1"/>
  <c r="AK21" i="1"/>
  <c r="AJ21" i="1"/>
  <c r="AI21" i="1"/>
  <c r="AH21" i="1"/>
  <c r="AH21" i="1" a="1"/>
  <c r="AG21" i="1"/>
  <c r="AF21" i="1"/>
  <c r="BI20" i="1"/>
  <c r="BH20" i="1"/>
  <c r="BG20" i="1"/>
  <c r="BF20" i="1"/>
  <c r="BE20" i="1"/>
  <c r="BD20" i="1"/>
  <c r="BC20" i="1"/>
  <c r="BB20" i="1"/>
  <c r="BA20" i="1"/>
  <c r="AZ20" i="1"/>
  <c r="AY20" i="1"/>
  <c r="AX20" i="1"/>
  <c r="AW20" i="1"/>
  <c r="AV20" i="1"/>
  <c r="AU20" i="1"/>
  <c r="AT20" i="1"/>
  <c r="AS20" i="1"/>
  <c r="AR20" i="1"/>
  <c r="AQ20" i="1"/>
  <c r="AP20" i="1"/>
  <c r="AM20" i="1"/>
  <c r="AL20" i="1"/>
  <c r="AK20" i="1"/>
  <c r="AJ20" i="1"/>
  <c r="AI20" i="1"/>
  <c r="AH20" i="1"/>
  <c r="AH20" i="1" a="1"/>
  <c r="AG20" i="1"/>
  <c r="AF20" i="1"/>
  <c r="BI19" i="1"/>
  <c r="BH19" i="1"/>
  <c r="BG19" i="1"/>
  <c r="BF19" i="1"/>
  <c r="BE19" i="1"/>
  <c r="BD19" i="1"/>
  <c r="BC19" i="1"/>
  <c r="BB19" i="1"/>
  <c r="BA19" i="1"/>
  <c r="AZ19" i="1"/>
  <c r="AY19" i="1"/>
  <c r="AX19" i="1"/>
  <c r="AW19" i="1"/>
  <c r="AV19" i="1"/>
  <c r="AU19" i="1"/>
  <c r="AT19" i="1"/>
  <c r="AS19" i="1"/>
  <c r="AR19" i="1"/>
  <c r="AQ19" i="1"/>
  <c r="AP19" i="1"/>
  <c r="AM19" i="1"/>
  <c r="AL19" i="1"/>
  <c r="AK19" i="1"/>
  <c r="AJ19" i="1"/>
  <c r="AI19" i="1"/>
  <c r="AH19" i="1"/>
  <c r="AH19" i="1" a="1"/>
  <c r="AG19" i="1"/>
  <c r="AF19" i="1"/>
  <c r="BI18" i="1"/>
  <c r="BH18" i="1"/>
  <c r="BG18" i="1"/>
  <c r="BF18" i="1"/>
  <c r="BE18" i="1"/>
  <c r="BD18" i="1"/>
  <c r="BC18" i="1"/>
  <c r="BB18" i="1"/>
  <c r="BA18" i="1"/>
  <c r="AZ18" i="1"/>
  <c r="AY18" i="1"/>
  <c r="AX18" i="1"/>
  <c r="AW18" i="1"/>
  <c r="AV18" i="1"/>
  <c r="AU18" i="1"/>
  <c r="AT18" i="1"/>
  <c r="AS18" i="1"/>
  <c r="AR18" i="1"/>
  <c r="AQ18" i="1"/>
  <c r="AP18" i="1"/>
  <c r="AM18" i="1"/>
  <c r="AL18" i="1"/>
  <c r="AK18" i="1"/>
  <c r="AJ18" i="1"/>
  <c r="AI18" i="1"/>
  <c r="AH18" i="1"/>
  <c r="AH18" i="1" a="1"/>
  <c r="AG18" i="1"/>
  <c r="AF18" i="1"/>
  <c r="BI17" i="1"/>
  <c r="BH17" i="1"/>
  <c r="BG17" i="1"/>
  <c r="BF17" i="1"/>
  <c r="BE17" i="1"/>
  <c r="BD17" i="1"/>
  <c r="BC17" i="1"/>
  <c r="BB17" i="1"/>
  <c r="BA17" i="1"/>
  <c r="AZ17" i="1"/>
  <c r="AY17" i="1"/>
  <c r="AX17" i="1"/>
  <c r="AW17" i="1"/>
  <c r="AV17" i="1"/>
  <c r="AU17" i="1"/>
  <c r="AT17" i="1"/>
  <c r="AS17" i="1"/>
  <c r="AR17" i="1"/>
  <c r="AQ17" i="1"/>
  <c r="AP17" i="1"/>
  <c r="AM17" i="1"/>
  <c r="AL17" i="1"/>
  <c r="AK17" i="1"/>
  <c r="AJ17" i="1"/>
  <c r="AI17" i="1"/>
  <c r="AH17" i="1"/>
  <c r="AH17" i="1" a="1"/>
  <c r="AG17" i="1"/>
  <c r="AF17" i="1"/>
  <c r="BI16" i="1"/>
  <c r="BH16" i="1"/>
  <c r="BG16" i="1"/>
  <c r="BF16" i="1"/>
  <c r="BE16" i="1"/>
  <c r="BD16" i="1"/>
  <c r="BC16" i="1"/>
  <c r="BB16" i="1"/>
  <c r="BA16" i="1"/>
  <c r="AZ16" i="1"/>
  <c r="AY16" i="1"/>
  <c r="AX16" i="1"/>
  <c r="AW16" i="1"/>
  <c r="AV16" i="1"/>
  <c r="AU16" i="1"/>
  <c r="AT16" i="1"/>
  <c r="AS16" i="1"/>
  <c r="AR16" i="1"/>
  <c r="AQ16" i="1"/>
  <c r="AP16" i="1"/>
  <c r="AM16" i="1"/>
  <c r="AL16" i="1"/>
  <c r="AK16" i="1"/>
  <c r="AJ16" i="1"/>
  <c r="AI16" i="1"/>
  <c r="AH16" i="1"/>
  <c r="AH16" i="1" a="1"/>
  <c r="AG16" i="1"/>
  <c r="AF16" i="1"/>
  <c r="BI15" i="1"/>
  <c r="BH15" i="1"/>
  <c r="BG15" i="1"/>
  <c r="BF15" i="1"/>
  <c r="BE15" i="1"/>
  <c r="BD15" i="1"/>
  <c r="BC15" i="1"/>
  <c r="BB15" i="1"/>
  <c r="BA15" i="1"/>
  <c r="AZ15" i="1"/>
  <c r="AY15" i="1"/>
  <c r="AX15" i="1"/>
  <c r="AW15" i="1"/>
  <c r="AV15" i="1"/>
  <c r="AU15" i="1"/>
  <c r="AT15" i="1"/>
  <c r="AS15" i="1"/>
  <c r="AR15" i="1"/>
  <c r="AQ15" i="1"/>
  <c r="AP15" i="1"/>
  <c r="AM15" i="1"/>
  <c r="AL15" i="1"/>
  <c r="AK15" i="1"/>
  <c r="AJ15" i="1"/>
  <c r="AI15" i="1"/>
  <c r="AH15" i="1"/>
  <c r="AH15" i="1" a="1"/>
  <c r="AG15" i="1"/>
  <c r="AF15" i="1"/>
  <c r="BI14" i="1"/>
  <c r="BH14" i="1"/>
  <c r="BG14" i="1"/>
  <c r="BF14" i="1"/>
  <c r="BE14" i="1"/>
  <c r="BD14" i="1"/>
  <c r="BC14" i="1"/>
  <c r="BB14" i="1"/>
  <c r="BA14" i="1"/>
  <c r="AZ14" i="1"/>
  <c r="AY14" i="1"/>
  <c r="AX14" i="1"/>
  <c r="AW14" i="1"/>
  <c r="AV14" i="1"/>
  <c r="AU14" i="1"/>
  <c r="AT14" i="1"/>
  <c r="AS14" i="1"/>
  <c r="AR14" i="1"/>
  <c r="AQ14" i="1"/>
  <c r="AP14" i="1"/>
  <c r="AM14" i="1"/>
  <c r="AL14" i="1"/>
  <c r="AK14" i="1"/>
  <c r="AJ14" i="1"/>
  <c r="AI14" i="1"/>
  <c r="AH14" i="1"/>
  <c r="AH14" i="1" a="1"/>
  <c r="AG14" i="1"/>
  <c r="AF14" i="1"/>
  <c r="BI13" i="1"/>
  <c r="BH13" i="1"/>
  <c r="BG13" i="1"/>
  <c r="BF13" i="1"/>
  <c r="BE13" i="1"/>
  <c r="BD13" i="1"/>
  <c r="BC13" i="1"/>
  <c r="BB13" i="1"/>
  <c r="BA13" i="1"/>
  <c r="AZ13" i="1"/>
  <c r="AY13" i="1"/>
  <c r="AX13" i="1"/>
  <c r="AW13" i="1"/>
  <c r="AV13" i="1"/>
  <c r="AU13" i="1"/>
  <c r="AT13" i="1"/>
  <c r="AS13" i="1"/>
  <c r="AR13" i="1"/>
  <c r="AQ13" i="1"/>
  <c r="AP13" i="1"/>
  <c r="AM13" i="1"/>
  <c r="AL13" i="1"/>
  <c r="AK13" i="1"/>
  <c r="AJ13" i="1"/>
  <c r="AI13" i="1"/>
  <c r="AH13" i="1"/>
  <c r="AH13" i="1" a="1"/>
  <c r="AG13" i="1"/>
  <c r="AF13" i="1"/>
  <c r="BI12" i="1"/>
  <c r="BH12" i="1"/>
  <c r="BG12" i="1"/>
  <c r="BF12" i="1"/>
  <c r="BE12" i="1"/>
  <c r="BD12" i="1"/>
  <c r="BC12" i="1"/>
  <c r="BB12" i="1"/>
  <c r="BA12" i="1"/>
  <c r="AZ12" i="1"/>
  <c r="AY12" i="1"/>
  <c r="AX12" i="1"/>
  <c r="AW12" i="1"/>
  <c r="AV12" i="1"/>
  <c r="AU12" i="1"/>
  <c r="AT12" i="1"/>
  <c r="AS12" i="1"/>
  <c r="AR12" i="1"/>
  <c r="AQ12" i="1"/>
  <c r="AP12" i="1"/>
  <c r="AM12" i="1"/>
  <c r="AL12" i="1"/>
  <c r="AK12" i="1"/>
  <c r="AJ12" i="1"/>
  <c r="AI12" i="1"/>
  <c r="AH12" i="1"/>
  <c r="AH12" i="1" a="1"/>
  <c r="AG12" i="1"/>
  <c r="AF12" i="1"/>
  <c r="BI11" i="1"/>
  <c r="BH11" i="1"/>
  <c r="BG11" i="1"/>
  <c r="BF11" i="1"/>
  <c r="BE11" i="1"/>
  <c r="BD11" i="1"/>
  <c r="BC11" i="1"/>
  <c r="BB11" i="1"/>
  <c r="BA11" i="1"/>
  <c r="AZ11" i="1"/>
  <c r="AY11" i="1"/>
  <c r="AX11" i="1"/>
  <c r="AW11" i="1"/>
  <c r="AV11" i="1"/>
  <c r="AU11" i="1"/>
  <c r="AT11" i="1"/>
  <c r="AS11" i="1"/>
  <c r="AR11" i="1"/>
  <c r="AQ11" i="1"/>
  <c r="AP11" i="1"/>
  <c r="AM11" i="1"/>
  <c r="AL11" i="1"/>
  <c r="AK11" i="1"/>
  <c r="AJ11" i="1"/>
  <c r="AI11" i="1"/>
  <c r="AH11" i="1"/>
  <c r="AH11" i="1" a="1"/>
  <c r="AG11" i="1"/>
  <c r="AF11" i="1"/>
  <c r="BI10" i="1"/>
  <c r="BH10" i="1"/>
  <c r="BG10" i="1"/>
  <c r="BF10" i="1"/>
  <c r="BE10" i="1"/>
  <c r="BD10" i="1"/>
  <c r="BC10" i="1"/>
  <c r="BB10" i="1"/>
  <c r="BA10" i="1"/>
  <c r="AZ10" i="1"/>
  <c r="AY10" i="1"/>
  <c r="AX10" i="1"/>
  <c r="AW10" i="1"/>
  <c r="AV10" i="1"/>
  <c r="AU10" i="1"/>
  <c r="AT10" i="1"/>
  <c r="AS10" i="1"/>
  <c r="AR10" i="1"/>
  <c r="AQ10" i="1"/>
  <c r="AP10" i="1"/>
  <c r="AM10" i="1"/>
  <c r="AL10" i="1"/>
  <c r="AK10" i="1"/>
  <c r="AJ10" i="1"/>
  <c r="AI10" i="1"/>
  <c r="AH10" i="1"/>
  <c r="AH10" i="1" a="1"/>
  <c r="AG10" i="1"/>
  <c r="AF10" i="1"/>
  <c r="BI9" i="1"/>
  <c r="BH9" i="1"/>
  <c r="BG9" i="1"/>
  <c r="BF9" i="1"/>
  <c r="BE9" i="1"/>
  <c r="BD9" i="1"/>
  <c r="BC9" i="1"/>
  <c r="BB9" i="1"/>
  <c r="BA9" i="1"/>
  <c r="AZ9" i="1"/>
  <c r="AY9" i="1"/>
  <c r="AX9" i="1"/>
  <c r="AW9" i="1"/>
  <c r="AV9" i="1"/>
  <c r="AU9" i="1"/>
  <c r="AT9" i="1"/>
  <c r="AS9" i="1"/>
  <c r="AR9" i="1"/>
  <c r="AQ9" i="1"/>
  <c r="AP9" i="1"/>
  <c r="AM9" i="1"/>
  <c r="AL9" i="1"/>
  <c r="AK9" i="1"/>
  <c r="AJ9" i="1"/>
  <c r="AI9" i="1"/>
  <c r="AH9" i="1"/>
  <c r="AH9" i="1" a="1"/>
  <c r="AG9" i="1"/>
  <c r="AF9" i="1"/>
  <c r="BI8" i="1"/>
  <c r="BH8" i="1"/>
  <c r="BG8" i="1"/>
  <c r="BF8" i="1"/>
  <c r="BE8" i="1"/>
  <c r="BD8" i="1"/>
  <c r="BC8" i="1"/>
  <c r="BB8" i="1"/>
  <c r="BA8" i="1"/>
  <c r="AZ8" i="1"/>
  <c r="AY8" i="1"/>
  <c r="AX8" i="1"/>
  <c r="AW8" i="1"/>
  <c r="AV8" i="1"/>
  <c r="AU8" i="1"/>
  <c r="AT8" i="1"/>
  <c r="AS8" i="1"/>
  <c r="AR8" i="1"/>
  <c r="AQ8" i="1"/>
  <c r="AP8" i="1"/>
  <c r="AM8" i="1"/>
  <c r="AL8" i="1"/>
  <c r="AK8" i="1"/>
  <c r="AJ8" i="1"/>
  <c r="AI8" i="1"/>
  <c r="AH8" i="1"/>
  <c r="AH8" i="1" a="1"/>
  <c r="AG8" i="1"/>
  <c r="AF8" i="1"/>
  <c r="BI7" i="1"/>
  <c r="BH7" i="1"/>
  <c r="BG7" i="1"/>
  <c r="BF7" i="1"/>
  <c r="BE7" i="1"/>
  <c r="BD7" i="1"/>
  <c r="BC7" i="1"/>
  <c r="BB7" i="1"/>
  <c r="BA7" i="1"/>
  <c r="AZ7" i="1"/>
  <c r="AY7" i="1"/>
  <c r="AX7" i="1"/>
  <c r="AW7" i="1"/>
  <c r="AV7" i="1"/>
  <c r="AU7" i="1"/>
  <c r="AT7" i="1"/>
  <c r="AS7" i="1"/>
  <c r="AR7" i="1"/>
  <c r="AQ7" i="1"/>
  <c r="AP7" i="1"/>
  <c r="AM7" i="1"/>
  <c r="AL7" i="1"/>
  <c r="AK7" i="1"/>
  <c r="AJ7" i="1"/>
  <c r="AI7" i="1"/>
  <c r="AH7" i="1"/>
  <c r="AH7" i="1" a="1"/>
  <c r="AG7" i="1"/>
  <c r="AF7" i="1"/>
  <c r="BI6" i="1"/>
  <c r="BH6" i="1"/>
  <c r="BG6" i="1"/>
  <c r="BF6" i="1"/>
  <c r="BE6" i="1"/>
  <c r="BD6" i="1"/>
  <c r="BC6" i="1"/>
  <c r="BB6" i="1"/>
  <c r="BA6" i="1"/>
  <c r="AZ6" i="1"/>
  <c r="AY6" i="1"/>
  <c r="AX6" i="1"/>
  <c r="AW6" i="1"/>
  <c r="AV6" i="1"/>
  <c r="AU6" i="1"/>
  <c r="AT6" i="1"/>
  <c r="AS6" i="1"/>
  <c r="AR6" i="1"/>
  <c r="AQ6" i="1"/>
  <c r="AP6" i="1"/>
  <c r="AM6" i="1"/>
  <c r="AL6" i="1"/>
  <c r="AK6" i="1"/>
  <c r="AJ6" i="1"/>
  <c r="AI6" i="1"/>
  <c r="AH6" i="1"/>
  <c r="AH6" i="1" a="1"/>
  <c r="AG6" i="1"/>
  <c r="AF6" i="1"/>
  <c r="BI5" i="1"/>
  <c r="BH5" i="1"/>
  <c r="BG5" i="1"/>
  <c r="BF5" i="1"/>
  <c r="BE5" i="1"/>
  <c r="BD5" i="1"/>
  <c r="BC5" i="1"/>
  <c r="BB5" i="1"/>
  <c r="BA5" i="1"/>
  <c r="AZ5" i="1"/>
  <c r="AY5" i="1"/>
  <c r="AX5" i="1"/>
  <c r="AW5" i="1"/>
  <c r="AV5" i="1"/>
  <c r="AU5" i="1"/>
  <c r="AT5" i="1"/>
  <c r="AS5" i="1"/>
  <c r="AR5" i="1"/>
  <c r="AQ5" i="1"/>
  <c r="AP5" i="1"/>
  <c r="AM5" i="1"/>
  <c r="AL5" i="1"/>
  <c r="AK5" i="1"/>
  <c r="AJ5" i="1"/>
  <c r="AI5" i="1"/>
  <c r="AH5" i="1"/>
  <c r="AH5" i="1" a="1"/>
  <c r="AG5" i="1"/>
  <c r="AF5" i="1"/>
  <c r="BI4" i="1"/>
  <c r="BH4" i="1"/>
  <c r="BG4" i="1"/>
  <c r="BF4" i="1"/>
  <c r="BE4" i="1"/>
  <c r="BD4" i="1"/>
  <c r="BC4" i="1"/>
  <c r="BB4" i="1"/>
  <c r="BA4" i="1"/>
  <c r="AZ4" i="1"/>
  <c r="AY4" i="1"/>
  <c r="AX4" i="1"/>
  <c r="AW4" i="1"/>
  <c r="AV4" i="1"/>
  <c r="AU4" i="1"/>
  <c r="AT4" i="1"/>
  <c r="AS4" i="1"/>
  <c r="AR4" i="1"/>
  <c r="AQ4" i="1"/>
  <c r="AP4" i="1"/>
  <c r="AM4" i="1"/>
  <c r="AL4" i="1"/>
  <c r="AK4" i="1"/>
  <c r="AJ4" i="1"/>
  <c r="AI4" i="1"/>
  <c r="AH4" i="1"/>
  <c r="AH4" i="1" a="1"/>
  <c r="AG4" i="1"/>
  <c r="AF4" i="1"/>
  <c r="BI3" i="1"/>
  <c r="BH3" i="1"/>
  <c r="BG3" i="1"/>
  <c r="BF3" i="1"/>
  <c r="BE3" i="1"/>
  <c r="BD3" i="1"/>
  <c r="BC3" i="1"/>
  <c r="BB3" i="1"/>
  <c r="BA3" i="1"/>
  <c r="AZ3" i="1"/>
  <c r="AY3" i="1"/>
  <c r="AX3" i="1"/>
  <c r="AW3" i="1"/>
  <c r="AV3" i="1"/>
  <c r="AU3" i="1"/>
  <c r="AT3" i="1"/>
  <c r="AS3" i="1"/>
  <c r="AR3" i="1"/>
  <c r="AQ3" i="1"/>
  <c r="AP3" i="1"/>
  <c r="AM3" i="1"/>
  <c r="AL3" i="1"/>
  <c r="AK3" i="1"/>
  <c r="AJ3" i="1"/>
  <c r="AI3" i="1"/>
  <c r="AH3" i="1"/>
  <c r="AH3" i="1" a="1"/>
  <c r="AG3" i="1"/>
  <c r="AF3" i="1"/>
  <c r="BI2" i="1"/>
  <c r="BH2" i="1"/>
  <c r="BG2" i="1"/>
  <c r="BF2" i="1"/>
  <c r="BE2" i="1"/>
  <c r="BD2" i="1"/>
  <c r="BC2" i="1"/>
  <c r="BB2" i="1"/>
  <c r="BA2" i="1"/>
  <c r="AZ2" i="1"/>
  <c r="AY2" i="1"/>
  <c r="AX2" i="1"/>
  <c r="AW2" i="1"/>
  <c r="AV2" i="1"/>
  <c r="AU2" i="1"/>
  <c r="AT2" i="1"/>
  <c r="AS2" i="1"/>
  <c r="AR2" i="1"/>
  <c r="AQ2" i="1"/>
  <c r="AP2" i="1"/>
  <c r="AM2" i="1"/>
  <c r="AL2" i="1"/>
  <c r="AK2" i="1"/>
  <c r="AJ2" i="1"/>
  <c r="AI2" i="1"/>
  <c r="AH2" i="1"/>
  <c r="AH2" i="1" a="1"/>
  <c r="AG2" i="1"/>
  <c r="AF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<sst xmlns="http://schemas.openxmlformats.org/spreadsheetml/2006/main" count="37345" uniqueCount="2576">
  <si>
    <t>Customer_ID</t>
  </si>
  <si>
    <t>Age</t>
  </si>
  <si>
    <t>Gender</t>
  </si>
  <si>
    <t>Income_Level</t>
  </si>
  <si>
    <t>Marital_Status</t>
  </si>
  <si>
    <t>Education_Level</t>
  </si>
  <si>
    <t>Occupation</t>
  </si>
  <si>
    <t>Location</t>
  </si>
  <si>
    <t>Purchase_Category</t>
  </si>
  <si>
    <t>Purchase_Amount</t>
  </si>
  <si>
    <t>Frequency_of_Purchase</t>
  </si>
  <si>
    <t>Purchase_Channel</t>
  </si>
  <si>
    <t>Brand_Loyalty</t>
  </si>
  <si>
    <t>Product_Rating</t>
  </si>
  <si>
    <t>Time_Spent_on_Product_Research(hours)</t>
  </si>
  <si>
    <t>Social_Media_Influence</t>
  </si>
  <si>
    <t>Discount_Sensitivity</t>
  </si>
  <si>
    <t>Return_Rate</t>
  </si>
  <si>
    <t>Customer_Satisfaction</t>
  </si>
  <si>
    <t>Engagement_with_Ads</t>
  </si>
  <si>
    <t>Device_Used_for_Shopping</t>
  </si>
  <si>
    <t>Payment_Method</t>
  </si>
  <si>
    <t>Time_of_Purchase</t>
  </si>
  <si>
    <t>Discount_Used</t>
  </si>
  <si>
    <t>Customer_Loyalty_Program_Member</t>
  </si>
  <si>
    <t>Purchase_Intent</t>
  </si>
  <si>
    <t>Shipping_Preference</t>
  </si>
  <si>
    <t>Time_to_Decision</t>
  </si>
  <si>
    <t>Country</t>
  </si>
  <si>
    <t>Time_Spent_on_Product_Research(Minutes)</t>
  </si>
  <si>
    <t>Purchase_Month</t>
  </si>
  <si>
    <t>Purchase_Quarter</t>
  </si>
  <si>
    <t>37-611-6911</t>
  </si>
  <si>
    <t>Female</t>
  </si>
  <si>
    <t>Middle</t>
  </si>
  <si>
    <t>Married</t>
  </si>
  <si>
    <t>Bachelor's</t>
  </si>
  <si>
    <t>Évry</t>
  </si>
  <si>
    <t>Gardening &amp; Outdoors</t>
  </si>
  <si>
    <t>Mixed</t>
  </si>
  <si>
    <t>None</t>
  </si>
  <si>
    <t>Somewhat Sensitive</t>
  </si>
  <si>
    <t>Tablet</t>
  </si>
  <si>
    <t>Credit Card</t>
  </si>
  <si>
    <t>Need-based</t>
  </si>
  <si>
    <t>No Preference</t>
  </si>
  <si>
    <t>France</t>
  </si>
  <si>
    <t>March</t>
  </si>
  <si>
    <t>Qtr-1</t>
  </si>
  <si>
    <t>29-392-9296</t>
  </si>
  <si>
    <t>Male</t>
  </si>
  <si>
    <t>High</t>
  </si>
  <si>
    <t>High School</t>
  </si>
  <si>
    <t>Huocheng</t>
  </si>
  <si>
    <t>Food &amp; Beverages</t>
  </si>
  <si>
    <t>In-Store</t>
  </si>
  <si>
    <t>Medium</t>
  </si>
  <si>
    <t>Not Sensitive</t>
  </si>
  <si>
    <t>PayPal</t>
  </si>
  <si>
    <t>Wants-based</t>
  </si>
  <si>
    <t>Standard</t>
  </si>
  <si>
    <t>China</t>
  </si>
  <si>
    <t>April</t>
  </si>
  <si>
    <t>Qtr-2</t>
  </si>
  <si>
    <t>84-649-5117</t>
  </si>
  <si>
    <t>Single</t>
  </si>
  <si>
    <t>Master's</t>
  </si>
  <si>
    <t>Huzhen</t>
  </si>
  <si>
    <t>Office Supplies</t>
  </si>
  <si>
    <t>Low</t>
  </si>
  <si>
    <t>Smartphone</t>
  </si>
  <si>
    <t>Debit Card</t>
  </si>
  <si>
    <t>Impulsive</t>
  </si>
  <si>
    <t>48-980-6078</t>
  </si>
  <si>
    <t>Wiwilí</t>
  </si>
  <si>
    <t>Home Appliances</t>
  </si>
  <si>
    <t>Other</t>
  </si>
  <si>
    <t>Express</t>
  </si>
  <si>
    <t>Nicaragua</t>
  </si>
  <si>
    <t>October</t>
  </si>
  <si>
    <t>Qtr-4</t>
  </si>
  <si>
    <t>91-170-9072</t>
  </si>
  <si>
    <t>Widowed</t>
  </si>
  <si>
    <t>Nara</t>
  </si>
  <si>
    <t>Furniture</t>
  </si>
  <si>
    <t>Japan</t>
  </si>
  <si>
    <t>January</t>
  </si>
  <si>
    <t>82-561-4233</t>
  </si>
  <si>
    <t>Boro Utara</t>
  </si>
  <si>
    <t>Planned</t>
  </si>
  <si>
    <t>Indonesia</t>
  </si>
  <si>
    <t>90-144-9193</t>
  </si>
  <si>
    <t>Divorced</t>
  </si>
  <si>
    <t>Liren</t>
  </si>
  <si>
    <t>Online</t>
  </si>
  <si>
    <t>Desktop</t>
  </si>
  <si>
    <t>88-661-4689</t>
  </si>
  <si>
    <t>Taocheng</t>
  </si>
  <si>
    <t>Books</t>
  </si>
  <si>
    <t>37-065-3182</t>
  </si>
  <si>
    <t>Gråbo</t>
  </si>
  <si>
    <t>Very Sensitive</t>
  </si>
  <si>
    <t>Cash</t>
  </si>
  <si>
    <t>Sweden</t>
  </si>
  <si>
    <t>June</t>
  </si>
  <si>
    <t>84-894-9222</t>
  </si>
  <si>
    <t>Bigender</t>
  </si>
  <si>
    <t>Pryamitsyno</t>
  </si>
  <si>
    <t>Sports &amp; Outdoors</t>
  </si>
  <si>
    <t>Russia</t>
  </si>
  <si>
    <t>44-674-4037</t>
  </si>
  <si>
    <t>Punta Gorda</t>
  </si>
  <si>
    <t>Mobile Accessories</t>
  </si>
  <si>
    <t>Belize</t>
  </si>
  <si>
    <t>July</t>
  </si>
  <si>
    <t>Qtr-3</t>
  </si>
  <si>
    <t>78-116-8349</t>
  </si>
  <si>
    <t>Gy?r</t>
  </si>
  <si>
    <t>Gyar</t>
  </si>
  <si>
    <t>Hungary</t>
  </si>
  <si>
    <t>December</t>
  </si>
  <si>
    <t>19-933-8095</t>
  </si>
  <si>
    <t>Gaosheng</t>
  </si>
  <si>
    <t>Luxury Goods</t>
  </si>
  <si>
    <t>August</t>
  </si>
  <si>
    <t>80-684-5072</t>
  </si>
  <si>
    <t>Rokytne</t>
  </si>
  <si>
    <t>Animal Feed</t>
  </si>
  <si>
    <t>Ukraine</t>
  </si>
  <si>
    <t>23-302-7502</t>
  </si>
  <si>
    <t>Alameda</t>
  </si>
  <si>
    <t>Health Care</t>
  </si>
  <si>
    <t>United States</t>
  </si>
  <si>
    <t>90-069-8934</t>
  </si>
  <si>
    <t>Dhankut?</t>
  </si>
  <si>
    <t>Hotels</t>
  </si>
  <si>
    <t>India</t>
  </si>
  <si>
    <t>45-073-7243</t>
  </si>
  <si>
    <t>Jindong</t>
  </si>
  <si>
    <t>89-883-2101</t>
  </si>
  <si>
    <t>Ngeru</t>
  </si>
  <si>
    <t>00-477-9449</t>
  </si>
  <si>
    <t>White Rock</t>
  </si>
  <si>
    <t>Packages)</t>
  </si>
  <si>
    <t>Canada</t>
  </si>
  <si>
    <t>67-159-7366</t>
  </si>
  <si>
    <t>Monastyrshchina</t>
  </si>
  <si>
    <t>Electronics</t>
  </si>
  <si>
    <t>85-691-4293</t>
  </si>
  <si>
    <t>Pangkalanbunut</t>
  </si>
  <si>
    <t>Software &amp; Apps</t>
  </si>
  <si>
    <t>56-085-0464</t>
  </si>
  <si>
    <t>Lederaba</t>
  </si>
  <si>
    <t>Baby Products</t>
  </si>
  <si>
    <t>33-264-2822</t>
  </si>
  <si>
    <t>Lugo</t>
  </si>
  <si>
    <t>Toys &amp; Games</t>
  </si>
  <si>
    <t>Spain</t>
  </si>
  <si>
    <t>February</t>
  </si>
  <si>
    <t>95-478-2650</t>
  </si>
  <si>
    <t>São Roque</t>
  </si>
  <si>
    <t>Brazil</t>
  </si>
  <si>
    <t>04-349-6759</t>
  </si>
  <si>
    <t>Ban? Khadd?sh</t>
  </si>
  <si>
    <t>Egypt</t>
  </si>
  <si>
    <t>21-755-8745</t>
  </si>
  <si>
    <t>Montpellier</t>
  </si>
  <si>
    <t>May</t>
  </si>
  <si>
    <t>29-625-7057</t>
  </si>
  <si>
    <t>Nesovice</t>
  </si>
  <si>
    <t>Arts &amp; Crafts</t>
  </si>
  <si>
    <t>Czech Republic</t>
  </si>
  <si>
    <t>September</t>
  </si>
  <si>
    <t>58-623-8404</t>
  </si>
  <si>
    <t>Pasirhuni</t>
  </si>
  <si>
    <t>56-506-4709</t>
  </si>
  <si>
    <t>Glendale</t>
  </si>
  <si>
    <t>November</t>
  </si>
  <si>
    <t>25-839-8670</t>
  </si>
  <si>
    <t>Tála</t>
  </si>
  <si>
    <t>Health Supplements</t>
  </si>
  <si>
    <t>Ireland</t>
  </si>
  <si>
    <t>89-194-0596</t>
  </si>
  <si>
    <t>Marseille</t>
  </si>
  <si>
    <t>55-163-1389</t>
  </si>
  <si>
    <t>Nasielsk</t>
  </si>
  <si>
    <t>Poland</t>
  </si>
  <si>
    <t>28-225-4286</t>
  </si>
  <si>
    <t>Genderfluid</t>
  </si>
  <si>
    <t>Paris 06</t>
  </si>
  <si>
    <t>14-305-8712</t>
  </si>
  <si>
    <t>Bronnitsy</t>
  </si>
  <si>
    <t>85-738-6864</t>
  </si>
  <si>
    <t>Inayauan</t>
  </si>
  <si>
    <t>Philippines</t>
  </si>
  <si>
    <t>17-198-5155</t>
  </si>
  <si>
    <t>Qianjin</t>
  </si>
  <si>
    <t>15-354-9904</t>
  </si>
  <si>
    <t>Bagahanlad</t>
  </si>
  <si>
    <t>Groceries</t>
  </si>
  <si>
    <t>35-198-9248</t>
  </si>
  <si>
    <t>Rzewnie</t>
  </si>
  <si>
    <t>03-950-6074</t>
  </si>
  <si>
    <t>Strabychovo</t>
  </si>
  <si>
    <t>19-999-0134</t>
  </si>
  <si>
    <t>Hongqi</t>
  </si>
  <si>
    <t>57-989-1487</t>
  </si>
  <si>
    <t>Oeoh</t>
  </si>
  <si>
    <t>07-816-2673</t>
  </si>
  <si>
    <t>Topol’noye</t>
  </si>
  <si>
    <t>70-761-3550</t>
  </si>
  <si>
    <t>Ková?ov</t>
  </si>
  <si>
    <t>38-242-3251</t>
  </si>
  <si>
    <t>Majdal Ban? F??il</t>
  </si>
  <si>
    <t>Majdal Ban? Fa??l</t>
  </si>
  <si>
    <t>Palestine</t>
  </si>
  <si>
    <t>95-525-0842</t>
  </si>
  <si>
    <t>Delta del Tigre</t>
  </si>
  <si>
    <t>Uruguay</t>
  </si>
  <si>
    <t>37-101-4922</t>
  </si>
  <si>
    <t>Santa Cruz La Laguna</t>
  </si>
  <si>
    <t>Guatemala</t>
  </si>
  <si>
    <t>37-128-5425</t>
  </si>
  <si>
    <t>Manchester</t>
  </si>
  <si>
    <t>United Kingdom</t>
  </si>
  <si>
    <t>27-439-9545</t>
  </si>
  <si>
    <t>Norrköping</t>
  </si>
  <si>
    <t>37-126-7954</t>
  </si>
  <si>
    <t>So?no</t>
  </si>
  <si>
    <t>Clothing</t>
  </si>
  <si>
    <t>82-990-0504</t>
  </si>
  <si>
    <t>Pélla</t>
  </si>
  <si>
    <t>Greece</t>
  </si>
  <si>
    <t>21-734-0212</t>
  </si>
  <si>
    <t>Namur</t>
  </si>
  <si>
    <t>Beauty &amp; Personal Care</t>
  </si>
  <si>
    <t>Belgium</t>
  </si>
  <si>
    <t>76-148-9413</t>
  </si>
  <si>
    <t>Non-binary</t>
  </si>
  <si>
    <t>Benevides</t>
  </si>
  <si>
    <t>53-639-3774</t>
  </si>
  <si>
    <t>Qinghaihu</t>
  </si>
  <si>
    <t>Travel &amp; Leisure (Flights</t>
  </si>
  <si>
    <t>Qinghaihu (Qinghai Lake)</t>
  </si>
  <si>
    <t>20-817-9584</t>
  </si>
  <si>
    <t>Alfeizerão</t>
  </si>
  <si>
    <t>Portugal</t>
  </si>
  <si>
    <t>18-655-3670</t>
  </si>
  <si>
    <t>Prost?ední Be?va</t>
  </si>
  <si>
    <t>72-431-5021</t>
  </si>
  <si>
    <t>Oeiras</t>
  </si>
  <si>
    <t>07-479-3919</t>
  </si>
  <si>
    <t>Kýthnos</t>
  </si>
  <si>
    <t>17-032-6274</t>
  </si>
  <si>
    <t>Rizal</t>
  </si>
  <si>
    <t>Rizal (Province)*</t>
  </si>
  <si>
    <t>64-166-9097</t>
  </si>
  <si>
    <t>Fullerton</t>
  </si>
  <si>
    <t>39-499-3854</t>
  </si>
  <si>
    <t>Huaidao</t>
  </si>
  <si>
    <t>39-636-5871</t>
  </si>
  <si>
    <t>Bilice</t>
  </si>
  <si>
    <t>Turkey</t>
  </si>
  <si>
    <t>71-667-2334</t>
  </si>
  <si>
    <t>Polygender</t>
  </si>
  <si>
    <t>Isla Verde</t>
  </si>
  <si>
    <t>Puerto Rico</t>
  </si>
  <si>
    <t>35-192-9050</t>
  </si>
  <si>
    <t>Hunkuyi</t>
  </si>
  <si>
    <t>Nigeria</t>
  </si>
  <si>
    <t>91-440-0011</t>
  </si>
  <si>
    <t>Shiree</t>
  </si>
  <si>
    <t>Kyrgyzstan</t>
  </si>
  <si>
    <t>20-830-4758</t>
  </si>
  <si>
    <t>Strezhevoy</t>
  </si>
  <si>
    <t>84-337-1016</t>
  </si>
  <si>
    <t>Longxing</t>
  </si>
  <si>
    <t>09-346-4992</t>
  </si>
  <si>
    <t>Jesús Menéndez</t>
  </si>
  <si>
    <t>Cuba</t>
  </si>
  <si>
    <t>75-083-3608</t>
  </si>
  <si>
    <t>Hongguang</t>
  </si>
  <si>
    <t>29-779-7209</t>
  </si>
  <si>
    <t>Pilaya</t>
  </si>
  <si>
    <t>Bolivia</t>
  </si>
  <si>
    <t>12-409-5166</t>
  </si>
  <si>
    <t>Camp Ithier</t>
  </si>
  <si>
    <t>Haiti</t>
  </si>
  <si>
    <t>07-024-4995</t>
  </si>
  <si>
    <t>Holboo</t>
  </si>
  <si>
    <t>Mongolia</t>
  </si>
  <si>
    <t>74-478-5950</t>
  </si>
  <si>
    <t>Luxi</t>
  </si>
  <si>
    <t>31-395-1286</t>
  </si>
  <si>
    <t>Ostashkov</t>
  </si>
  <si>
    <t>60-838-4334</t>
  </si>
  <si>
    <t>Hongshanzui</t>
  </si>
  <si>
    <t>71-197-8227</t>
  </si>
  <si>
    <t>Tocoa</t>
  </si>
  <si>
    <t>Honduras</t>
  </si>
  <si>
    <t>15-530-3861</t>
  </si>
  <si>
    <t>Bayan Tuohai</t>
  </si>
  <si>
    <t>30-567-4471</t>
  </si>
  <si>
    <t>Parumasan</t>
  </si>
  <si>
    <t>04-465-1819</t>
  </si>
  <si>
    <t>Karpogory</t>
  </si>
  <si>
    <t>Jewelry &amp; Accessories</t>
  </si>
  <si>
    <t>69-692-0614</t>
  </si>
  <si>
    <t>Sh?hz?dpur</t>
  </si>
  <si>
    <t>Shahzadpur</t>
  </si>
  <si>
    <t>Bangladesh</t>
  </si>
  <si>
    <t>12-839-8066</t>
  </si>
  <si>
    <t>Muaratiga</t>
  </si>
  <si>
    <t>05-465-8765</t>
  </si>
  <si>
    <t>Gjegjan</t>
  </si>
  <si>
    <t>Albania</t>
  </si>
  <si>
    <t>81-580-3810</t>
  </si>
  <si>
    <t>Créteil</t>
  </si>
  <si>
    <t>74-353-6312</t>
  </si>
  <si>
    <t>Pameungpeuk</t>
  </si>
  <si>
    <t>78-824-1887</t>
  </si>
  <si>
    <t>Junshan</t>
  </si>
  <si>
    <t>31-218-0024</t>
  </si>
  <si>
    <t>Lewotola</t>
  </si>
  <si>
    <t>15-711-4107</t>
  </si>
  <si>
    <t>Laocheng</t>
  </si>
  <si>
    <t>76-672-1193</t>
  </si>
  <si>
    <t>Guacarí</t>
  </si>
  <si>
    <t>Colombia</t>
  </si>
  <si>
    <t>46-503-5589</t>
  </si>
  <si>
    <t>Sancang</t>
  </si>
  <si>
    <t>87-499-6916</t>
  </si>
  <si>
    <t>Ndewel</t>
  </si>
  <si>
    <t>Cameroon</t>
  </si>
  <si>
    <t>30-520-8656</t>
  </si>
  <si>
    <t>San Patricio</t>
  </si>
  <si>
    <t>Mexico</t>
  </si>
  <si>
    <t>36-323-3504</t>
  </si>
  <si>
    <t>Fengtai</t>
  </si>
  <si>
    <t>93-810-4051</t>
  </si>
  <si>
    <t>Agender</t>
  </si>
  <si>
    <t>?awr?n ad Daydah</t>
  </si>
  <si>
    <t>Yemen</t>
  </si>
  <si>
    <t>66-515-3648</t>
  </si>
  <si>
    <t>Magdalena</t>
  </si>
  <si>
    <t>09-216-1957</t>
  </si>
  <si>
    <t>Le?nica</t>
  </si>
  <si>
    <t>23-253-2565</t>
  </si>
  <si>
    <t>Hinlayagan Ilaud</t>
  </si>
  <si>
    <t>74-509-4985</t>
  </si>
  <si>
    <t>Forshaga</t>
  </si>
  <si>
    <t>05-857-1572</t>
  </si>
  <si>
    <t>Rakszawa</t>
  </si>
  <si>
    <t>26-521-8328</t>
  </si>
  <si>
    <t>Fengjiang</t>
  </si>
  <si>
    <t>31-147-6197</t>
  </si>
  <si>
    <t>Jiangcun</t>
  </si>
  <si>
    <t>90-093-0469</t>
  </si>
  <si>
    <t>?kuchi</t>
  </si>
  <si>
    <t>38-935-1865</t>
  </si>
  <si>
    <t>Novoukrainskiy</t>
  </si>
  <si>
    <t>75-953-8663</t>
  </si>
  <si>
    <t>Acobambilla</t>
  </si>
  <si>
    <t>Peru</t>
  </si>
  <si>
    <t>38-478-2681</t>
  </si>
  <si>
    <t>Kyonju</t>
  </si>
  <si>
    <t>South Korea</t>
  </si>
  <si>
    <t>70-895-5298</t>
  </si>
  <si>
    <t>Pomar</t>
  </si>
  <si>
    <t>02-653-5884</t>
  </si>
  <si>
    <t>Zal?an</t>
  </si>
  <si>
    <t>Libya</t>
  </si>
  <si>
    <t>11-719-8800</t>
  </si>
  <si>
    <t>Trélazé</t>
  </si>
  <si>
    <t>59-355-5251</t>
  </si>
  <si>
    <t>Messina</t>
  </si>
  <si>
    <t>Italy</t>
  </si>
  <si>
    <t>82-572-9091</t>
  </si>
  <si>
    <t>Mr?gowo</t>
  </si>
  <si>
    <t>86-044-1071</t>
  </si>
  <si>
    <t>Ngawi</t>
  </si>
  <si>
    <t>08-733-0300</t>
  </si>
  <si>
    <t>Oslo</t>
  </si>
  <si>
    <t>Norway</t>
  </si>
  <si>
    <t>70-108-1493</t>
  </si>
  <si>
    <t>Dobrica</t>
  </si>
  <si>
    <t>Serbia</t>
  </si>
  <si>
    <t>46-230-8307</t>
  </si>
  <si>
    <t>La Roche-sur-Yon</t>
  </si>
  <si>
    <t>74-431-0242</t>
  </si>
  <si>
    <t>Point Pedro</t>
  </si>
  <si>
    <t>Sri Lanka</t>
  </si>
  <si>
    <t>78-272-6417</t>
  </si>
  <si>
    <t>13-792-4356</t>
  </si>
  <si>
    <t>Tianbao</t>
  </si>
  <si>
    <t>04-563-9091</t>
  </si>
  <si>
    <t>Puqian</t>
  </si>
  <si>
    <t>79-592-5396</t>
  </si>
  <si>
    <t>Binalbagan</t>
  </si>
  <si>
    <t>39-952-4459</t>
  </si>
  <si>
    <t>Tessalit</t>
  </si>
  <si>
    <t>Mali</t>
  </si>
  <si>
    <t>67-935-7964</t>
  </si>
  <si>
    <t>Nikolayevsk</t>
  </si>
  <si>
    <t>26-828-2720</t>
  </si>
  <si>
    <t>Dashuipo</t>
  </si>
  <si>
    <t>57-410-7415</t>
  </si>
  <si>
    <t>Týn nad Vltavou</t>
  </si>
  <si>
    <t>Czechia</t>
  </si>
  <si>
    <t>62-989-8214</t>
  </si>
  <si>
    <t>Kaum Kaler</t>
  </si>
  <si>
    <t>Pakistan</t>
  </si>
  <si>
    <t>73-827-2774</t>
  </si>
  <si>
    <t>Gandapura</t>
  </si>
  <si>
    <t>19-643-1879</t>
  </si>
  <si>
    <t>Kawangkoan</t>
  </si>
  <si>
    <t>57-345-3921</t>
  </si>
  <si>
    <t>Mondorf-les-Bains</t>
  </si>
  <si>
    <t>Luxembourg</t>
  </si>
  <si>
    <t>98-817-6731</t>
  </si>
  <si>
    <t>Manwakh</t>
  </si>
  <si>
    <t>Sudan</t>
  </si>
  <si>
    <t>31-788-0864</t>
  </si>
  <si>
    <t>Karlstad</t>
  </si>
  <si>
    <t>27-806-4972</t>
  </si>
  <si>
    <t>Obong</t>
  </si>
  <si>
    <t>48-343-1220</t>
  </si>
  <si>
    <t>Kolsko</t>
  </si>
  <si>
    <t>15-640-6493</t>
  </si>
  <si>
    <t>D?lband?n</t>
  </si>
  <si>
    <t>64-846-7450</t>
  </si>
  <si>
    <t>Genderqueer</t>
  </si>
  <si>
    <t>Shazi</t>
  </si>
  <si>
    <t>58-788-8938</t>
  </si>
  <si>
    <t>Hachi?ji</t>
  </si>
  <si>
    <t>52-240-3825</t>
  </si>
  <si>
    <t>Jolo</t>
  </si>
  <si>
    <t>60-618-2561</t>
  </si>
  <si>
    <t>Pedra Azul</t>
  </si>
  <si>
    <t>94-969-6819</t>
  </si>
  <si>
    <t>Gustavsberg</t>
  </si>
  <si>
    <t>76-982-8107</t>
  </si>
  <si>
    <t>La Mohammedia</t>
  </si>
  <si>
    <t>Algeria</t>
  </si>
  <si>
    <t>52-779-8972</t>
  </si>
  <si>
    <t>Florida</t>
  </si>
  <si>
    <t>40-520-3271</t>
  </si>
  <si>
    <t>Zhongcheng</t>
  </si>
  <si>
    <t>79-884-5600</t>
  </si>
  <si>
    <t>Goiatuba</t>
  </si>
  <si>
    <t>80-607-9947</t>
  </si>
  <si>
    <t>Krajan Kidul Rojopolo</t>
  </si>
  <si>
    <t>87-290-8263</t>
  </si>
  <si>
    <t>Metchosin</t>
  </si>
  <si>
    <t>99-316-9993</t>
  </si>
  <si>
    <t>Staritsa</t>
  </si>
  <si>
    <t>54-164-2243</t>
  </si>
  <si>
    <t>Benito Juarez</t>
  </si>
  <si>
    <t>14-784-5606</t>
  </si>
  <si>
    <t>Maní</t>
  </si>
  <si>
    <t>47-992-7446</t>
  </si>
  <si>
    <t>Vitali</t>
  </si>
  <si>
    <t>37-513-5073</t>
  </si>
  <si>
    <t>Mizque</t>
  </si>
  <si>
    <t>93-473-7248</t>
  </si>
  <si>
    <t>Zgornje Pirni?e</t>
  </si>
  <si>
    <t>Slovenia</t>
  </si>
  <si>
    <t>72-830-1211</t>
  </si>
  <si>
    <t>Cipolletti</t>
  </si>
  <si>
    <t>Argentina</t>
  </si>
  <si>
    <t>87-934-6762</t>
  </si>
  <si>
    <t>Sollefteå</t>
  </si>
  <si>
    <t>71-975-9564</t>
  </si>
  <si>
    <t>Klonowa</t>
  </si>
  <si>
    <t>40-232-5631</t>
  </si>
  <si>
    <t>Suvorov</t>
  </si>
  <si>
    <t>22-414-4955</t>
  </si>
  <si>
    <t>Dragash</t>
  </si>
  <si>
    <t>Kosovo</t>
  </si>
  <si>
    <t>99-089-1930</t>
  </si>
  <si>
    <t>Freiburg im Breisgau</t>
  </si>
  <si>
    <t>Germany</t>
  </si>
  <si>
    <t>62-198-2511</t>
  </si>
  <si>
    <t>Macau</t>
  </si>
  <si>
    <t>21-297-1223</t>
  </si>
  <si>
    <t>Pancas</t>
  </si>
  <si>
    <t>10-961-9336</t>
  </si>
  <si>
    <t>Dayapan</t>
  </si>
  <si>
    <t>71-473-2656</t>
  </si>
  <si>
    <t>Gordon Town</t>
  </si>
  <si>
    <t>Jamaica</t>
  </si>
  <si>
    <t>84-954-2973</t>
  </si>
  <si>
    <t>Proptisht</t>
  </si>
  <si>
    <t>22-382-9636</t>
  </si>
  <si>
    <t>Kamal</t>
  </si>
  <si>
    <t>89-724-2536</t>
  </si>
  <si>
    <t>Kouvola</t>
  </si>
  <si>
    <t>Finland</t>
  </si>
  <si>
    <t>85-391-1888</t>
  </si>
  <si>
    <t>Zhongdong</t>
  </si>
  <si>
    <t>84-934-2483</t>
  </si>
  <si>
    <t>Betong</t>
  </si>
  <si>
    <t>Thailand</t>
  </si>
  <si>
    <t>96-229-1698</t>
  </si>
  <si>
    <t>Jinping</t>
  </si>
  <si>
    <t>36-948-6994</t>
  </si>
  <si>
    <t>Mgachi</t>
  </si>
  <si>
    <t>43-172-9431</t>
  </si>
  <si>
    <t>Lameira</t>
  </si>
  <si>
    <t>53-690-5759</t>
  </si>
  <si>
    <t>Medicine Hat</t>
  </si>
  <si>
    <t>00-496-3067</t>
  </si>
  <si>
    <t>10-330-6387</t>
  </si>
  <si>
    <t>Yeniköy</t>
  </si>
  <si>
    <t>87-590-8963</t>
  </si>
  <si>
    <t>Peer</t>
  </si>
  <si>
    <t>47-931-2642</t>
  </si>
  <si>
    <t>Bel?sovka</t>
  </si>
  <si>
    <t>Belësovka</t>
  </si>
  <si>
    <t>Kazakhstan</t>
  </si>
  <si>
    <t>76-501-6422</t>
  </si>
  <si>
    <t>Houston</t>
  </si>
  <si>
    <t>39-274-2175</t>
  </si>
  <si>
    <t>Hengdian</t>
  </si>
  <si>
    <t>62-493-5282</t>
  </si>
  <si>
    <t>Shuigou</t>
  </si>
  <si>
    <t>18-841-7253</t>
  </si>
  <si>
    <t>Xingxi</t>
  </si>
  <si>
    <t>18-097-5707</t>
  </si>
  <si>
    <t>Dh?b?n</t>
  </si>
  <si>
    <t>Jordan</t>
  </si>
  <si>
    <t>83-792-5141</t>
  </si>
  <si>
    <t>Chengguan</t>
  </si>
  <si>
    <t>65-036-2410</t>
  </si>
  <si>
    <t>Paris 09</t>
  </si>
  <si>
    <t>67-593-9579</t>
  </si>
  <si>
    <t>Rozhdestveno</t>
  </si>
  <si>
    <t>33-484-6674</t>
  </si>
  <si>
    <t>Porangatu</t>
  </si>
  <si>
    <t>65-249-5416</t>
  </si>
  <si>
    <t>Shalkar</t>
  </si>
  <si>
    <t>17-328-4678</t>
  </si>
  <si>
    <t>Quimbaya</t>
  </si>
  <si>
    <t>00-733-8770</t>
  </si>
  <si>
    <t>Narok</t>
  </si>
  <si>
    <t>Kenya</t>
  </si>
  <si>
    <t>47-501-3435</t>
  </si>
  <si>
    <t>Gimcheon</t>
  </si>
  <si>
    <t>46-779-7065</t>
  </si>
  <si>
    <t>Visaginas</t>
  </si>
  <si>
    <t>Lithuania</t>
  </si>
  <si>
    <t>91-603-1565</t>
  </si>
  <si>
    <t>Shostka</t>
  </si>
  <si>
    <t>35-122-5020</t>
  </si>
  <si>
    <t>Pukekohe East</t>
  </si>
  <si>
    <t>New Zealand</t>
  </si>
  <si>
    <t>63-684-4073</t>
  </si>
  <si>
    <t>Blokdesa Situgede</t>
  </si>
  <si>
    <t>74-483-2893</t>
  </si>
  <si>
    <t>Yueyang</t>
  </si>
  <si>
    <t>72-728-4406</t>
  </si>
  <si>
    <t>Liutan</t>
  </si>
  <si>
    <t>13-588-2488</t>
  </si>
  <si>
    <t>Huanggang</t>
  </si>
  <si>
    <t>79-861-6506</t>
  </si>
  <si>
    <t>Baturité</t>
  </si>
  <si>
    <t>66-974-6707</t>
  </si>
  <si>
    <t>Mi’ersi</t>
  </si>
  <si>
    <t>95-112-6724</t>
  </si>
  <si>
    <t>Xuedian</t>
  </si>
  <si>
    <t>27-262-6874</t>
  </si>
  <si>
    <t>Yuyapichis</t>
  </si>
  <si>
    <t>92-908-5062</t>
  </si>
  <si>
    <t>Shiroishi</t>
  </si>
  <si>
    <t>70-014-6406</t>
  </si>
  <si>
    <t>Kobe</t>
  </si>
  <si>
    <t>52-908-9971</t>
  </si>
  <si>
    <t>Gulou</t>
  </si>
  <si>
    <t>57-623-5362</t>
  </si>
  <si>
    <t>Jilin</t>
  </si>
  <si>
    <t>48-315-0196</t>
  </si>
  <si>
    <t>Balboa</t>
  </si>
  <si>
    <t>Panama</t>
  </si>
  <si>
    <t>71-959-3896</t>
  </si>
  <si>
    <t>Cipari</t>
  </si>
  <si>
    <t>29-987-3969</t>
  </si>
  <si>
    <t>Orlando</t>
  </si>
  <si>
    <t>78-613-1546</t>
  </si>
  <si>
    <t>Torsby</t>
  </si>
  <si>
    <t>43-664-4451</t>
  </si>
  <si>
    <t>San Pablo</t>
  </si>
  <si>
    <t>34-095-3364</t>
  </si>
  <si>
    <t>Daszewice</t>
  </si>
  <si>
    <t>72-393-6893</t>
  </si>
  <si>
    <t>Villa Concepción del Tío</t>
  </si>
  <si>
    <t>73-707-2809</t>
  </si>
  <si>
    <t>Hacienda La Calera</t>
  </si>
  <si>
    <t>04-609-7885</t>
  </si>
  <si>
    <t>73-139-4306</t>
  </si>
  <si>
    <t>Puerto López</t>
  </si>
  <si>
    <t>23-794-8196</t>
  </si>
  <si>
    <t>Xinchengzi</t>
  </si>
  <si>
    <t>66-050-6391</t>
  </si>
  <si>
    <t>Tecpán Guatemala</t>
  </si>
  <si>
    <t>22-311-5460</t>
  </si>
  <si>
    <t>51-917-0766</t>
  </si>
  <si>
    <t>Araci</t>
  </si>
  <si>
    <t>53-013-1026</t>
  </si>
  <si>
    <t>Duyure</t>
  </si>
  <si>
    <t>29-779-3457</t>
  </si>
  <si>
    <t>Huangni</t>
  </si>
  <si>
    <t>18-047-5540</t>
  </si>
  <si>
    <t>Kuala Lumpur</t>
  </si>
  <si>
    <t>Malaysia</t>
  </si>
  <si>
    <t>89-438-5310</t>
  </si>
  <si>
    <t>Seleuš</t>
  </si>
  <si>
    <t>23-985-3535</t>
  </si>
  <si>
    <t>Monrovia</t>
  </si>
  <si>
    <t>Liberia</t>
  </si>
  <si>
    <t>67-939-2463</t>
  </si>
  <si>
    <t>Kristinehamn</t>
  </si>
  <si>
    <t>03-623-6767</t>
  </si>
  <si>
    <t>Huancabamba</t>
  </si>
  <si>
    <t>86-749-6914</t>
  </si>
  <si>
    <t>San José Acatempa</t>
  </si>
  <si>
    <t>03-977-8103</t>
  </si>
  <si>
    <t>Quebrada Canoa</t>
  </si>
  <si>
    <t>03-827-4021</t>
  </si>
  <si>
    <t>Moate</t>
  </si>
  <si>
    <t>68-507-4747</t>
  </si>
  <si>
    <t>Kubangwaru</t>
  </si>
  <si>
    <t>73-942-8440</t>
  </si>
  <si>
    <t>21-821-6398</t>
  </si>
  <si>
    <t>Xinquan</t>
  </si>
  <si>
    <t>64-641-7874</t>
  </si>
  <si>
    <t>Providence</t>
  </si>
  <si>
    <t>53-459-7870</t>
  </si>
  <si>
    <t>Autun</t>
  </si>
  <si>
    <t>36-240-3240</t>
  </si>
  <si>
    <t>Shilin</t>
  </si>
  <si>
    <t>54-936-4361</t>
  </si>
  <si>
    <t>Paris 17</t>
  </si>
  <si>
    <t>67-209-0990</t>
  </si>
  <si>
    <t>Stoczek ?ukowski</t>
  </si>
  <si>
    <t>19-667-0201</t>
  </si>
  <si>
    <t>Ormstown</t>
  </si>
  <si>
    <t>36-274-5269</t>
  </si>
  <si>
    <t>Ponte</t>
  </si>
  <si>
    <t>09-948-3150</t>
  </si>
  <si>
    <t>Boshkengash</t>
  </si>
  <si>
    <t>Tajikistan</t>
  </si>
  <si>
    <t>19-873-9468</t>
  </si>
  <si>
    <t>37-748-4988</t>
  </si>
  <si>
    <t>Rad?‘</t>
  </si>
  <si>
    <t>08-755-1170</t>
  </si>
  <si>
    <t>Sinarwangi</t>
  </si>
  <si>
    <t>07-402-7433</t>
  </si>
  <si>
    <t>Dagup</t>
  </si>
  <si>
    <t>60-073-3575</t>
  </si>
  <si>
    <t>E?k</t>
  </si>
  <si>
    <t>97-237-3483</t>
  </si>
  <si>
    <t>Moju</t>
  </si>
  <si>
    <t>93-675-1619</t>
  </si>
  <si>
    <t>Vília</t>
  </si>
  <si>
    <t>43-884-2577</t>
  </si>
  <si>
    <t>Prince Rupert</t>
  </si>
  <si>
    <t>33-200-7615</t>
  </si>
  <si>
    <t>Jiangmen</t>
  </si>
  <si>
    <t>63-631-8261</t>
  </si>
  <si>
    <t>Alung</t>
  </si>
  <si>
    <t>34-016-7909</t>
  </si>
  <si>
    <t>Osorno</t>
  </si>
  <si>
    <t>Chile</t>
  </si>
  <si>
    <t>82-304-6495</t>
  </si>
  <si>
    <t>Labo</t>
  </si>
  <si>
    <t>70-207-6999</t>
  </si>
  <si>
    <t>Dakingari</t>
  </si>
  <si>
    <t>71-780-8195</t>
  </si>
  <si>
    <t>Selasari</t>
  </si>
  <si>
    <t>93-356-8589</t>
  </si>
  <si>
    <t>Besko</t>
  </si>
  <si>
    <t>92-142-9480</t>
  </si>
  <si>
    <t>Aubergenville</t>
  </si>
  <si>
    <t>53-042-5685</t>
  </si>
  <si>
    <t>Sula</t>
  </si>
  <si>
    <t>35-853-2222</t>
  </si>
  <si>
    <t>Valongo</t>
  </si>
  <si>
    <t>83-670-9273</t>
  </si>
  <si>
    <t>Al Kh?nkah</t>
  </si>
  <si>
    <t>37-783-6086</t>
  </si>
  <si>
    <t>Mértola</t>
  </si>
  <si>
    <t>79-902-8144</t>
  </si>
  <si>
    <t>Rates</t>
  </si>
  <si>
    <t>41-009-7879</t>
  </si>
  <si>
    <t>Anyang</t>
  </si>
  <si>
    <t>89-302-8461</t>
  </si>
  <si>
    <t>Nymburk</t>
  </si>
  <si>
    <t>23-066-1915</t>
  </si>
  <si>
    <t>39-090-0124</t>
  </si>
  <si>
    <t>Tafo</t>
  </si>
  <si>
    <t>Ghana</t>
  </si>
  <si>
    <t>41-854-0707</t>
  </si>
  <si>
    <t>Cibaregbeg</t>
  </si>
  <si>
    <t>04-352-1558</t>
  </si>
  <si>
    <t>Wang Yang</t>
  </si>
  <si>
    <t>93-867-8303</t>
  </si>
  <si>
    <t>Liangnong</t>
  </si>
  <si>
    <t>31-088-6950</t>
  </si>
  <si>
    <t>Hengshi</t>
  </si>
  <si>
    <t>43-616-8365</t>
  </si>
  <si>
    <t>Kandangan</t>
  </si>
  <si>
    <t>71-876-9118</t>
  </si>
  <si>
    <t>Naranjal</t>
  </si>
  <si>
    <t>Ecuador</t>
  </si>
  <si>
    <t>18-263-0366</t>
  </si>
  <si>
    <t>Abiko</t>
  </si>
  <si>
    <t>25-502-1415</t>
  </si>
  <si>
    <t>Longhuashan</t>
  </si>
  <si>
    <t>50-000-9588</t>
  </si>
  <si>
    <t>Zhovkva</t>
  </si>
  <si>
    <t>32-338-5967</t>
  </si>
  <si>
    <t>Lebak</t>
  </si>
  <si>
    <t>19-311-9149</t>
  </si>
  <si>
    <t>Gereshk</t>
  </si>
  <si>
    <t>Afghanistan</t>
  </si>
  <si>
    <t>94-212-7169</t>
  </si>
  <si>
    <t>Yonghe</t>
  </si>
  <si>
    <t>Taiwan</t>
  </si>
  <si>
    <t>17-246-6194</t>
  </si>
  <si>
    <t>Dabai</t>
  </si>
  <si>
    <t>26-672-1285</t>
  </si>
  <si>
    <t>Moutnice</t>
  </si>
  <si>
    <t>00-265-0556</t>
  </si>
  <si>
    <t>Qiryat Yam</t>
  </si>
  <si>
    <t>Israel</t>
  </si>
  <si>
    <t>76-397-3294</t>
  </si>
  <si>
    <t>Pirané</t>
  </si>
  <si>
    <t>43-612-8079</t>
  </si>
  <si>
    <t>Colima</t>
  </si>
  <si>
    <t>17-213-2834</t>
  </si>
  <si>
    <t>Marshintsy</t>
  </si>
  <si>
    <t>36-214-1586</t>
  </si>
  <si>
    <t>Halinów</t>
  </si>
  <si>
    <t>32-414-1466</t>
  </si>
  <si>
    <t>Hallsberg</t>
  </si>
  <si>
    <t>12-699-6543</t>
  </si>
  <si>
    <t>Celso Ramos</t>
  </si>
  <si>
    <t>83-427-3218</t>
  </si>
  <si>
    <t>White River</t>
  </si>
  <si>
    <t>South Africa</t>
  </si>
  <si>
    <t>61-663-9008</t>
  </si>
  <si>
    <t>Taishihe</t>
  </si>
  <si>
    <t>86-917-7481</t>
  </si>
  <si>
    <t>Shanghu</t>
  </si>
  <si>
    <t>66-086-2306</t>
  </si>
  <si>
    <t>Brandsen</t>
  </si>
  <si>
    <t>43-671-9834</t>
  </si>
  <si>
    <t>Ranot</t>
  </si>
  <si>
    <t>90-888-8726</t>
  </si>
  <si>
    <t>Saint-Jouan-des-Guérets</t>
  </si>
  <si>
    <t>23-085-0811</t>
  </si>
  <si>
    <t>Da’an</t>
  </si>
  <si>
    <t>85-192-9218</t>
  </si>
  <si>
    <t>Kisovec</t>
  </si>
  <si>
    <t>82-671-7236</t>
  </si>
  <si>
    <t>?bd?n?n</t>
  </si>
  <si>
    <t>Iran</t>
  </si>
  <si>
    <t>42-674-3987</t>
  </si>
  <si>
    <t>Dafeng</t>
  </si>
  <si>
    <t>41-934-7739</t>
  </si>
  <si>
    <t>Campo Maior</t>
  </si>
  <si>
    <t>48-825-0400</t>
  </si>
  <si>
    <t>Sävedalen</t>
  </si>
  <si>
    <t>30-133-5120</t>
  </si>
  <si>
    <t>Brikcha</t>
  </si>
  <si>
    <t>Morocco</t>
  </si>
  <si>
    <t>29-827-8515</t>
  </si>
  <si>
    <t>Xidianzi</t>
  </si>
  <si>
    <t>91-724-4633</t>
  </si>
  <si>
    <t>La Unión</t>
  </si>
  <si>
    <t>10-328-5732</t>
  </si>
  <si>
    <t>Kliteh</t>
  </si>
  <si>
    <t>38-912-1128</t>
  </si>
  <si>
    <t>Béja</t>
  </si>
  <si>
    <t>Tunisia</t>
  </si>
  <si>
    <t>07-751-9620</t>
  </si>
  <si>
    <t>Ferreira do Alentejo</t>
  </si>
  <si>
    <t>81-877-9170</t>
  </si>
  <si>
    <t>Gegernoong</t>
  </si>
  <si>
    <t>19-885-2597</t>
  </si>
  <si>
    <t>La Montañita</t>
  </si>
  <si>
    <t>82-389-2029</t>
  </si>
  <si>
    <t>Sarish?b?ri</t>
  </si>
  <si>
    <t>97-463-0048</t>
  </si>
  <si>
    <t>Mangge</t>
  </si>
  <si>
    <t>91-572-6135</t>
  </si>
  <si>
    <t>Chaba?ovice</t>
  </si>
  <si>
    <t>10-232-0685</t>
  </si>
  <si>
    <t>Yangping</t>
  </si>
  <si>
    <t>77-761-7475</t>
  </si>
  <si>
    <t>Berezna</t>
  </si>
  <si>
    <t>78-826-3039</t>
  </si>
  <si>
    <t>Vidual</t>
  </si>
  <si>
    <t>86-668-1045</t>
  </si>
  <si>
    <t>14-603-9698</t>
  </si>
  <si>
    <t>Hultsfred</t>
  </si>
  <si>
    <t>23-752-2213</t>
  </si>
  <si>
    <t>Níkaia</t>
  </si>
  <si>
    <t>71-486-8561</t>
  </si>
  <si>
    <t>Macayug</t>
  </si>
  <si>
    <t>76-382-7162</t>
  </si>
  <si>
    <t>Mahanoro</t>
  </si>
  <si>
    <t>Madagascar</t>
  </si>
  <si>
    <t>28-947-4295</t>
  </si>
  <si>
    <t>Mozdok</t>
  </si>
  <si>
    <t>84-765-0748</t>
  </si>
  <si>
    <t>Hoolt</t>
  </si>
  <si>
    <t>54-207-8349</t>
  </si>
  <si>
    <t>San Luis</t>
  </si>
  <si>
    <t>20-419-0341</t>
  </si>
  <si>
    <t>Pergan</t>
  </si>
  <si>
    <t>52-005-9914</t>
  </si>
  <si>
    <t>Kanoni</t>
  </si>
  <si>
    <t>Uganda</t>
  </si>
  <si>
    <t>34-846-7805</t>
  </si>
  <si>
    <t>Gromadka</t>
  </si>
  <si>
    <t>26-596-5461</t>
  </si>
  <si>
    <t>Payapa</t>
  </si>
  <si>
    <t>20-157-8631</t>
  </si>
  <si>
    <t>Rat Burana</t>
  </si>
  <si>
    <t>91-199-9097</t>
  </si>
  <si>
    <t>Trhové Sviny</t>
  </si>
  <si>
    <t>55-846-2579</t>
  </si>
  <si>
    <t>Kiev</t>
  </si>
  <si>
    <t>83-455-7266</t>
  </si>
  <si>
    <t>67-599-9267</t>
  </si>
  <si>
    <t>Lomintsevskiy</t>
  </si>
  <si>
    <t>41-501-9276</t>
  </si>
  <si>
    <t>Monchegorsk</t>
  </si>
  <si>
    <t>99-509-4653</t>
  </si>
  <si>
    <t>Olavarría</t>
  </si>
  <si>
    <t>31-284-5722</t>
  </si>
  <si>
    <t>Jianshan</t>
  </si>
  <si>
    <t>88-000-9227</t>
  </si>
  <si>
    <t>Shreveport</t>
  </si>
  <si>
    <t>52-726-9328</t>
  </si>
  <si>
    <t>Pingzhuang</t>
  </si>
  <si>
    <t>60-198-5417</t>
  </si>
  <si>
    <t>00-107-4749</t>
  </si>
  <si>
    <t>Merlo</t>
  </si>
  <si>
    <t>88-428-8409</t>
  </si>
  <si>
    <t>Ziniaré</t>
  </si>
  <si>
    <t>Burkina Faso</t>
  </si>
  <si>
    <t>21-313-7424</t>
  </si>
  <si>
    <t>Zdu?ska Wola</t>
  </si>
  <si>
    <t>79-973-7862</t>
  </si>
  <si>
    <t>Mount Ayliff</t>
  </si>
  <si>
    <t>81-814-3498</t>
  </si>
  <si>
    <t>P?rgaaj</t>
  </si>
  <si>
    <t>Pärgaaj</t>
  </si>
  <si>
    <t>34-375-8138</t>
  </si>
  <si>
    <t>Zbraslavice</t>
  </si>
  <si>
    <t>05-067-9686</t>
  </si>
  <si>
    <t>Xilu</t>
  </si>
  <si>
    <t>61-951-7929</t>
  </si>
  <si>
    <t>Bamut</t>
  </si>
  <si>
    <t>53-667-0793</t>
  </si>
  <si>
    <t>La Tour-du-Pin</t>
  </si>
  <si>
    <t>61-212-1117</t>
  </si>
  <si>
    <t>Pader Palwo</t>
  </si>
  <si>
    <t>09-443-7536</t>
  </si>
  <si>
    <t>Maurisu</t>
  </si>
  <si>
    <t>27-463-5671</t>
  </si>
  <si>
    <t>Gorzyce</t>
  </si>
  <si>
    <t>53-380-3968</t>
  </si>
  <si>
    <t>Qingyun</t>
  </si>
  <si>
    <t>42-969-0735</t>
  </si>
  <si>
    <t>Jiuxian</t>
  </si>
  <si>
    <t>12-440-5464</t>
  </si>
  <si>
    <t>Ndungu</t>
  </si>
  <si>
    <t>33-467-2534</t>
  </si>
  <si>
    <t>Emiliano Zapata</t>
  </si>
  <si>
    <t>35-418-0288</t>
  </si>
  <si>
    <t>Spasskoye</t>
  </si>
  <si>
    <t>33-787-2143</t>
  </si>
  <si>
    <t>Gier?o?</t>
  </si>
  <si>
    <t>Giera?cice</t>
  </si>
  <si>
    <t>58-528-6262</t>
  </si>
  <si>
    <t>Sobue</t>
  </si>
  <si>
    <t>31-060-2716</t>
  </si>
  <si>
    <t>High Point</t>
  </si>
  <si>
    <t>81-515-5823</t>
  </si>
  <si>
    <t>Qiankeng</t>
  </si>
  <si>
    <t>90-858-0453</t>
  </si>
  <si>
    <t>Pandean</t>
  </si>
  <si>
    <t>28-874-8938</t>
  </si>
  <si>
    <t>Phong ?i?n</t>
  </si>
  <si>
    <t>Vietnam</t>
  </si>
  <si>
    <t>89-625-5542</t>
  </si>
  <si>
    <t>Mirów</t>
  </si>
  <si>
    <t>07-966-8728</t>
  </si>
  <si>
    <t>Franceville</t>
  </si>
  <si>
    <t>Gabon</t>
  </si>
  <si>
    <t>94-408-2581</t>
  </si>
  <si>
    <t>Bordeaux</t>
  </si>
  <si>
    <t>55-301-9368</t>
  </si>
  <si>
    <t>Zamora</t>
  </si>
  <si>
    <t>72-336-1992</t>
  </si>
  <si>
    <t>Jubaoshan</t>
  </si>
  <si>
    <t>06-008-2805</t>
  </si>
  <si>
    <t>Sh?deg?n</t>
  </si>
  <si>
    <t>Shidegen</t>
  </si>
  <si>
    <t>77-178-6086</t>
  </si>
  <si>
    <t>Gueltat Zemmour</t>
  </si>
  <si>
    <t>Western Sahara</t>
  </si>
  <si>
    <t>28-832-2885</t>
  </si>
  <si>
    <t>Mosal’sk</t>
  </si>
  <si>
    <t>75-210-7391</t>
  </si>
  <si>
    <t>Kokstad</t>
  </si>
  <si>
    <t>60-470-3563</t>
  </si>
  <si>
    <t>Malasin</t>
  </si>
  <si>
    <t>24-241-7171</t>
  </si>
  <si>
    <t>Huaqiu</t>
  </si>
  <si>
    <t>53-784-1855</t>
  </si>
  <si>
    <t>Loket</t>
  </si>
  <si>
    <t>83-561-3374</t>
  </si>
  <si>
    <t>Santa Maria do Souto</t>
  </si>
  <si>
    <t>96-121-0629</t>
  </si>
  <si>
    <t>Yanshang</t>
  </si>
  <si>
    <t>00-275-9990</t>
  </si>
  <si>
    <t>Tempuran</t>
  </si>
  <si>
    <t>36-593-2907</t>
  </si>
  <si>
    <t>Karafao</t>
  </si>
  <si>
    <t>22-692-3470</t>
  </si>
  <si>
    <t>São Cristóvão</t>
  </si>
  <si>
    <t>90-322-7329</t>
  </si>
  <si>
    <t>Buensuseso</t>
  </si>
  <si>
    <t>28-395-9872</t>
  </si>
  <si>
    <t>Blantyre</t>
  </si>
  <si>
    <t>Malawi</t>
  </si>
  <si>
    <t>79-297-1061</t>
  </si>
  <si>
    <t>Kozel’shchyna</t>
  </si>
  <si>
    <t>93-649-9356</t>
  </si>
  <si>
    <t>Cibuah</t>
  </si>
  <si>
    <t>27-543-7069</t>
  </si>
  <si>
    <t>Cockburn Town</t>
  </si>
  <si>
    <t>Turks and Caicos Islands</t>
  </si>
  <si>
    <t>96-079-9597</t>
  </si>
  <si>
    <t>Maslog</t>
  </si>
  <si>
    <t>38-940-4942</t>
  </si>
  <si>
    <t>Faqq?‘ah</t>
  </si>
  <si>
    <t>82-014-2564</t>
  </si>
  <si>
    <t>Yelyzavethradka</t>
  </si>
  <si>
    <t>70-699-5799</t>
  </si>
  <si>
    <t>Jackson</t>
  </si>
  <si>
    <t>53-240-2040</t>
  </si>
  <si>
    <t>Itaguaí</t>
  </si>
  <si>
    <t>27-742-2776</t>
  </si>
  <si>
    <t>Fteliá</t>
  </si>
  <si>
    <t>55-620-7906</t>
  </si>
  <si>
    <t>Kiambu</t>
  </si>
  <si>
    <t>04-213-4617</t>
  </si>
  <si>
    <t>Xibër-Murrizë</t>
  </si>
  <si>
    <t>79-384-7469</t>
  </si>
  <si>
    <t>Xudat</t>
  </si>
  <si>
    <t>Azerbaijan</t>
  </si>
  <si>
    <t>30-839-5589</t>
  </si>
  <si>
    <t>Yaodu</t>
  </si>
  <si>
    <t>76-848-9229</t>
  </si>
  <si>
    <t>Saint-Gratien</t>
  </si>
  <si>
    <t>98-559-6096</t>
  </si>
  <si>
    <t>Totora</t>
  </si>
  <si>
    <t>56-810-2066</t>
  </si>
  <si>
    <t>Göteborg</t>
  </si>
  <si>
    <t>55-580-7707</t>
  </si>
  <si>
    <t>?áslav</t>
  </si>
  <si>
    <t>18-605-0795</t>
  </si>
  <si>
    <t>Rudnogorsk</t>
  </si>
  <si>
    <t>86-268-2904</t>
  </si>
  <si>
    <t>Pindiga</t>
  </si>
  <si>
    <t>75-847-7630</t>
  </si>
  <si>
    <t>Adela</t>
  </si>
  <si>
    <t>76-910-2337</t>
  </si>
  <si>
    <t>Krajan Baru</t>
  </si>
  <si>
    <t>56-719-7145</t>
  </si>
  <si>
    <t>Jinqiao</t>
  </si>
  <si>
    <t>14-025-2335</t>
  </si>
  <si>
    <t>Barg-e Mat?l</t>
  </si>
  <si>
    <t>Barg-e Matal</t>
  </si>
  <si>
    <t>10-300-8072</t>
  </si>
  <si>
    <t>Argenteuil</t>
  </si>
  <si>
    <t>73-698-2326</t>
  </si>
  <si>
    <t>Daying</t>
  </si>
  <si>
    <t>01-023-2094</t>
  </si>
  <si>
    <t>Ngrejo</t>
  </si>
  <si>
    <t>65-359-4645</t>
  </si>
  <si>
    <t>Xieba</t>
  </si>
  <si>
    <t>33-405-7978</t>
  </si>
  <si>
    <t>Sigli</t>
  </si>
  <si>
    <t>09-783-7921</t>
  </si>
  <si>
    <t>Aristóbulo del Valle</t>
  </si>
  <si>
    <t>76-561-2427</t>
  </si>
  <si>
    <t>Cane</t>
  </si>
  <si>
    <t>82-467-3300</t>
  </si>
  <si>
    <t>Podhum</t>
  </si>
  <si>
    <t>Bosnia and Herzegovina</t>
  </si>
  <si>
    <t>92-946-7398</t>
  </si>
  <si>
    <t>Vilar</t>
  </si>
  <si>
    <t>59-891-2990</t>
  </si>
  <si>
    <t>Portela</t>
  </si>
  <si>
    <t>22-579-3978</t>
  </si>
  <si>
    <t>Arendal</t>
  </si>
  <si>
    <t>22-352-0576</t>
  </si>
  <si>
    <t>Nab?nagar</t>
  </si>
  <si>
    <t>28-676-0614</t>
  </si>
  <si>
    <t>La Ravoire</t>
  </si>
  <si>
    <t>07-211-9364</t>
  </si>
  <si>
    <t>Dostoyevka</t>
  </si>
  <si>
    <t>98-238-6733</t>
  </si>
  <si>
    <t>Liuzhou</t>
  </si>
  <si>
    <t>72-006-3769</t>
  </si>
  <si>
    <t>São Mateus do Maranhão</t>
  </si>
  <si>
    <t>75-845-3143</t>
  </si>
  <si>
    <t>Rumbek</t>
  </si>
  <si>
    <t>South Sudan</t>
  </si>
  <si>
    <t>26-028-2671</t>
  </si>
  <si>
    <t>Cigedang</t>
  </si>
  <si>
    <t>55-876-7407</t>
  </si>
  <si>
    <t>Muaralabuh</t>
  </si>
  <si>
    <t>47-720-9520</t>
  </si>
  <si>
    <t>Che?miec</t>
  </si>
  <si>
    <t>42-207-5005</t>
  </si>
  <si>
    <t>Santa Marta</t>
  </si>
  <si>
    <t>47-266-2261</t>
  </si>
  <si>
    <t>Brändö</t>
  </si>
  <si>
    <t>77-642-7686</t>
  </si>
  <si>
    <t>Liangshuihe</t>
  </si>
  <si>
    <t>37-468-8133</t>
  </si>
  <si>
    <t>Cimara</t>
  </si>
  <si>
    <t>00-335-5034</t>
  </si>
  <si>
    <t>Sanxing</t>
  </si>
  <si>
    <t>95-148-1769</t>
  </si>
  <si>
    <t>Linao</t>
  </si>
  <si>
    <t>72-324-1243</t>
  </si>
  <si>
    <t>Bairan</t>
  </si>
  <si>
    <t>62-687-5354</t>
  </si>
  <si>
    <t>Abaetetuba</t>
  </si>
  <si>
    <t>54-634-0814</t>
  </si>
  <si>
    <t>Pasirjaya</t>
  </si>
  <si>
    <t>64-769-5737</t>
  </si>
  <si>
    <t>Acheng</t>
  </si>
  <si>
    <t>62-892-2088</t>
  </si>
  <si>
    <t>Huakoulongtan</t>
  </si>
  <si>
    <t>53-951-2529</t>
  </si>
  <si>
    <t>Burgastai</t>
  </si>
  <si>
    <t>00-264-3797</t>
  </si>
  <si>
    <t>Chavarría</t>
  </si>
  <si>
    <t>88-445-9235</t>
  </si>
  <si>
    <t>Demuk</t>
  </si>
  <si>
    <t>65-539-9955</t>
  </si>
  <si>
    <t>Sertolovo</t>
  </si>
  <si>
    <t>89-730-1134</t>
  </si>
  <si>
    <t>Jixian</t>
  </si>
  <si>
    <t>74-051-7865</t>
  </si>
  <si>
    <t>Deqing</t>
  </si>
  <si>
    <t>40-450-4266</t>
  </si>
  <si>
    <t>Sala</t>
  </si>
  <si>
    <t>78-796-5651</t>
  </si>
  <si>
    <t>D?utów</t>
  </si>
  <si>
    <t>78-163-4800</t>
  </si>
  <si>
    <t>Regimin</t>
  </si>
  <si>
    <t>90-272-5701</t>
  </si>
  <si>
    <t>Semiletka</t>
  </si>
  <si>
    <t>14-118-5229</t>
  </si>
  <si>
    <t>Dayr Sharaf</t>
  </si>
  <si>
    <t>24-662-2119</t>
  </si>
  <si>
    <t>Adani</t>
  </si>
  <si>
    <t>61-794-8438</t>
  </si>
  <si>
    <t>Rakhiv</t>
  </si>
  <si>
    <t>21-959-5766</t>
  </si>
  <si>
    <t>Ma'an</t>
  </si>
  <si>
    <t>42-518-2602</t>
  </si>
  <si>
    <t>Navoiy</t>
  </si>
  <si>
    <t>Uzbekistan</t>
  </si>
  <si>
    <t>35-850-8676</t>
  </si>
  <si>
    <t>Sishilichengzi</t>
  </si>
  <si>
    <t>07-958-2231</t>
  </si>
  <si>
    <t>Tigaherang</t>
  </si>
  <si>
    <t>78-503-0416</t>
  </si>
  <si>
    <t>Villa Dolores</t>
  </si>
  <si>
    <t>46-167-7999</t>
  </si>
  <si>
    <t>Poá</t>
  </si>
  <si>
    <t>93-989-8649</t>
  </si>
  <si>
    <t>Shibushi</t>
  </si>
  <si>
    <t>98-130-8811</t>
  </si>
  <si>
    <t>Tilburg</t>
  </si>
  <si>
    <t>Netherlands</t>
  </si>
  <si>
    <t>18-614-2070</t>
  </si>
  <si>
    <t>Ugra</t>
  </si>
  <si>
    <t>80-277-3242</t>
  </si>
  <si>
    <t>Montreuil</t>
  </si>
  <si>
    <t>44-949-9040</t>
  </si>
  <si>
    <t>Garibaldi</t>
  </si>
  <si>
    <t>04-545-9162</t>
  </si>
  <si>
    <t>Tiang</t>
  </si>
  <si>
    <t>51-320-2801</t>
  </si>
  <si>
    <t>Mouquim</t>
  </si>
  <si>
    <t>50-510-5119</t>
  </si>
  <si>
    <t>Montecristi</t>
  </si>
  <si>
    <t>Dominican Republic</t>
  </si>
  <si>
    <t>63-964-6954</t>
  </si>
  <si>
    <t>Prince Albert</t>
  </si>
  <si>
    <t>55-569-9247</t>
  </si>
  <si>
    <t>02-911-0447</t>
  </si>
  <si>
    <t>Zaje?ov</t>
  </si>
  <si>
    <t>77-626-7240</t>
  </si>
  <si>
    <t>Liushun</t>
  </si>
  <si>
    <t>75-915-9803</t>
  </si>
  <si>
    <t>Sancha</t>
  </si>
  <si>
    <t>78-905-2660</t>
  </si>
  <si>
    <t>Damnoen Saduak</t>
  </si>
  <si>
    <t>02-677-6735</t>
  </si>
  <si>
    <t>Cianorte</t>
  </si>
  <si>
    <t>20-460-9796</t>
  </si>
  <si>
    <t>Liuzuo</t>
  </si>
  <si>
    <t>57-587-4005</t>
  </si>
  <si>
    <t>99-477-8256</t>
  </si>
  <si>
    <t>K?shmar</t>
  </si>
  <si>
    <t>Kashmar</t>
  </si>
  <si>
    <t>03-992-3728</t>
  </si>
  <si>
    <t>‘Arad</t>
  </si>
  <si>
    <t>24-878-4507</t>
  </si>
  <si>
    <t>Lenart v Slov. Goricah</t>
  </si>
  <si>
    <t>22-106-8347</t>
  </si>
  <si>
    <t>Bigaa</t>
  </si>
  <si>
    <t>81-479-0790</t>
  </si>
  <si>
    <t>Guadalupe</t>
  </si>
  <si>
    <t>03-023-9932</t>
  </si>
  <si>
    <t>Xiaruyue</t>
  </si>
  <si>
    <t>36-632-2460</t>
  </si>
  <si>
    <t>Gweedore</t>
  </si>
  <si>
    <t>32-799-7704</t>
  </si>
  <si>
    <t>Przelewice</t>
  </si>
  <si>
    <t>09-369-0588</t>
  </si>
  <si>
    <t>Dalumangcob</t>
  </si>
  <si>
    <t>87-727-6434</t>
  </si>
  <si>
    <t>Cravo Norte</t>
  </si>
  <si>
    <t>18-793-9543</t>
  </si>
  <si>
    <t>Montería</t>
  </si>
  <si>
    <t>63-625-5757</t>
  </si>
  <si>
    <t>Mikun’</t>
  </si>
  <si>
    <t>93-413-4758</t>
  </si>
  <si>
    <t>Samamiya</t>
  </si>
  <si>
    <t>15-663-7994</t>
  </si>
  <si>
    <t>Tanahmerah</t>
  </si>
  <si>
    <t>29-319-4519</t>
  </si>
  <si>
    <t>Örebro</t>
  </si>
  <si>
    <t>40-347-2903</t>
  </si>
  <si>
    <t>Kefar Yona</t>
  </si>
  <si>
    <t>18-452-1635</t>
  </si>
  <si>
    <t>Pasto</t>
  </si>
  <si>
    <t>47-710-5471</t>
  </si>
  <si>
    <t>Huangtan</t>
  </si>
  <si>
    <t>88-167-7129</t>
  </si>
  <si>
    <t>Il’inskiy</t>
  </si>
  <si>
    <t>86-771-9082</t>
  </si>
  <si>
    <t>Ugljevik</t>
  </si>
  <si>
    <t>46-678-4172</t>
  </si>
  <si>
    <t>Na Chaluai</t>
  </si>
  <si>
    <t>14-249-1256</t>
  </si>
  <si>
    <t>Marolambo</t>
  </si>
  <si>
    <t>75-617-1460</t>
  </si>
  <si>
    <t>10-247-0192</t>
  </si>
  <si>
    <t>Cali</t>
  </si>
  <si>
    <t>94-120-9525</t>
  </si>
  <si>
    <t>Tamana</t>
  </si>
  <si>
    <t>Trinidad and Tobago</t>
  </si>
  <si>
    <t>22-234-9315</t>
  </si>
  <si>
    <t>Miyazu</t>
  </si>
  <si>
    <t>37-560-7247</t>
  </si>
  <si>
    <t>Gryfów ?l?ski</t>
  </si>
  <si>
    <t>91-857-0797</t>
  </si>
  <si>
    <t>Pinagsibaan</t>
  </si>
  <si>
    <t>19-344-0102</t>
  </si>
  <si>
    <t>Jardin</t>
  </si>
  <si>
    <t>48-609-7715</t>
  </si>
  <si>
    <t>Aguilares</t>
  </si>
  <si>
    <t>13-571-6506</t>
  </si>
  <si>
    <t>Muslyumovo</t>
  </si>
  <si>
    <t>47-073-6440</t>
  </si>
  <si>
    <t>Taiyuan</t>
  </si>
  <si>
    <t>50-303-1693</t>
  </si>
  <si>
    <t>Chatturat</t>
  </si>
  <si>
    <t>69-157-9577</t>
  </si>
  <si>
    <t>Paisha</t>
  </si>
  <si>
    <t>09-513-4923</t>
  </si>
  <si>
    <t>Kadugadung</t>
  </si>
  <si>
    <t>82-975-8569</t>
  </si>
  <si>
    <t>Paris 15</t>
  </si>
  <si>
    <t>70-774-7728</t>
  </si>
  <si>
    <t>Dualing</t>
  </si>
  <si>
    <t>13-015-8097</t>
  </si>
  <si>
    <t>Adelaide</t>
  </si>
  <si>
    <t>Australia</t>
  </si>
  <si>
    <t>68-391-7279</t>
  </si>
  <si>
    <t>Pingshi</t>
  </si>
  <si>
    <t>28-764-3337</t>
  </si>
  <si>
    <t>Renshan</t>
  </si>
  <si>
    <t>00-285-9607</t>
  </si>
  <si>
    <t>Sobinka</t>
  </si>
  <si>
    <t>04-832-3559</t>
  </si>
  <si>
    <t>Narol</t>
  </si>
  <si>
    <t>27-613-5005</t>
  </si>
  <si>
    <t>Fresno</t>
  </si>
  <si>
    <t>49-825-3438</t>
  </si>
  <si>
    <t>Vabalninkas</t>
  </si>
  <si>
    <t>31-783-9785</t>
  </si>
  <si>
    <t>Jambuwerkrajan</t>
  </si>
  <si>
    <t>58-059-8187</t>
  </si>
  <si>
    <t>Ozubulu</t>
  </si>
  <si>
    <t>74-882-6648</t>
  </si>
  <si>
    <t>Nakhchivan</t>
  </si>
  <si>
    <t>03-180-9200</t>
  </si>
  <si>
    <t>Curumaní</t>
  </si>
  <si>
    <t>46-578-1425</t>
  </si>
  <si>
    <t>Praia</t>
  </si>
  <si>
    <t>Cape Verde</t>
  </si>
  <si>
    <t>13-588-5783</t>
  </si>
  <si>
    <t>25-085-7917</t>
  </si>
  <si>
    <t>Pallisa</t>
  </si>
  <si>
    <t>66-085-1226</t>
  </si>
  <si>
    <t>San Pascual</t>
  </si>
  <si>
    <t>37-037-1765</t>
  </si>
  <si>
    <t>‘A??rah ash Sham?l?yah</t>
  </si>
  <si>
    <t>‘A???rah ash Sham?l?yah</t>
  </si>
  <si>
    <t>48-630-6410</t>
  </si>
  <si>
    <t>Dom Pedrito</t>
  </si>
  <si>
    <t>50-471-0212</t>
  </si>
  <si>
    <t>San Sebastián de Yalí</t>
  </si>
  <si>
    <t>48-642-5768</t>
  </si>
  <si>
    <t>Shchëkino</t>
  </si>
  <si>
    <t>15-152-9751</t>
  </si>
  <si>
    <t>Turkestan</t>
  </si>
  <si>
    <t>23-451-9920</t>
  </si>
  <si>
    <t>Rzeczenica</t>
  </si>
  <si>
    <t>09-775-4058</t>
  </si>
  <si>
    <t>Perzów</t>
  </si>
  <si>
    <t>43-595-0966</t>
  </si>
  <si>
    <t>Sabon Gari-Nangere</t>
  </si>
  <si>
    <t>56-592-0089</t>
  </si>
  <si>
    <t>Hengshui</t>
  </si>
  <si>
    <t>29-374-1297</t>
  </si>
  <si>
    <t>Nantes</t>
  </si>
  <si>
    <t>80-728-6133</t>
  </si>
  <si>
    <t>Tamorot</t>
  </si>
  <si>
    <t>58-502-7490</t>
  </si>
  <si>
    <t>Sinchao</t>
  </si>
  <si>
    <t>23-537-0742</t>
  </si>
  <si>
    <t>Anding</t>
  </si>
  <si>
    <t>22-483-3115</t>
  </si>
  <si>
    <t>Rukem</t>
  </si>
  <si>
    <t>57-372-5969</t>
  </si>
  <si>
    <t>Bogovarovo</t>
  </si>
  <si>
    <t>37-283-9076</t>
  </si>
  <si>
    <t>Valbo</t>
  </si>
  <si>
    <t>39-075-3518</t>
  </si>
  <si>
    <t>Jaguaruana</t>
  </si>
  <si>
    <t>84-315-7189</t>
  </si>
  <si>
    <t>??qchah Kh?nah</t>
  </si>
  <si>
    <t>?qchah Kh?nah</t>
  </si>
  <si>
    <t>75-964-5589</t>
  </si>
  <si>
    <t>Lipovci</t>
  </si>
  <si>
    <t>06-594-3417</t>
  </si>
  <si>
    <t>Panagyurishte</t>
  </si>
  <si>
    <t>Bulgaria</t>
  </si>
  <si>
    <t>08-297-3351</t>
  </si>
  <si>
    <t>Th? Tr?n Than Uyên</t>
  </si>
  <si>
    <t>05-546-5128</t>
  </si>
  <si>
    <t>Clichy</t>
  </si>
  <si>
    <t>79-759-6726</t>
  </si>
  <si>
    <t>K?oczew</t>
  </si>
  <si>
    <t>12-851-1771</t>
  </si>
  <si>
    <t>Zhukovo</t>
  </si>
  <si>
    <t>79-960-1714</t>
  </si>
  <si>
    <t>Nyköping</t>
  </si>
  <si>
    <t>30-417-6981</t>
  </si>
  <si>
    <t>Jianmin</t>
  </si>
  <si>
    <t>91-532-5399</t>
  </si>
  <si>
    <t>Bucaramanga</t>
  </si>
  <si>
    <t>89-997-9041</t>
  </si>
  <si>
    <t>Kudanding</t>
  </si>
  <si>
    <t>26-235-6745</t>
  </si>
  <si>
    <t>Kyoto</t>
  </si>
  <si>
    <t>99-080-9462</t>
  </si>
  <si>
    <t>Saraburi</t>
  </si>
  <si>
    <t>87-056-8987</t>
  </si>
  <si>
    <t>Negeriagung</t>
  </si>
  <si>
    <t>06-160-8063</t>
  </si>
  <si>
    <t>Latacunga</t>
  </si>
  <si>
    <t>73-434-2308</t>
  </si>
  <si>
    <t>Guanzhou</t>
  </si>
  <si>
    <t>84-260-6464</t>
  </si>
  <si>
    <t>Tabuc Pontevedra</t>
  </si>
  <si>
    <t>00-149-4481</t>
  </si>
  <si>
    <t>Kabale</t>
  </si>
  <si>
    <t>05-710-6109</t>
  </si>
  <si>
    <t>Malveira</t>
  </si>
  <si>
    <t>84-724-8407</t>
  </si>
  <si>
    <t>Veiga</t>
  </si>
  <si>
    <t>45-795-1873</t>
  </si>
  <si>
    <t>Jagistay</t>
  </si>
  <si>
    <t>06-647-3248</t>
  </si>
  <si>
    <t>Yuannan</t>
  </si>
  <si>
    <t>06-767-5206</t>
  </si>
  <si>
    <t>Mount Darwin</t>
  </si>
  <si>
    <t>Zimbabwe</t>
  </si>
  <si>
    <t>94-288-4423</t>
  </si>
  <si>
    <t>Qal‘eh-ye Khv?jeh</t>
  </si>
  <si>
    <t>49-891-9711</t>
  </si>
  <si>
    <t>08-806-0588</t>
  </si>
  <si>
    <t>Al Qar?rah</t>
  </si>
  <si>
    <t>94-746-2001</t>
  </si>
  <si>
    <t>Fandriana</t>
  </si>
  <si>
    <t>38-943-5744</t>
  </si>
  <si>
    <t>Carregueira</t>
  </si>
  <si>
    <t>98-535-8497</t>
  </si>
  <si>
    <t>Lincheng</t>
  </si>
  <si>
    <t>33-243-8793</t>
  </si>
  <si>
    <t>Semenivka</t>
  </si>
  <si>
    <t>99-581-5577</t>
  </si>
  <si>
    <t>Yläne</t>
  </si>
  <si>
    <t>64-180-2404</t>
  </si>
  <si>
    <t>Cendagah</t>
  </si>
  <si>
    <t>73-097-0986</t>
  </si>
  <si>
    <t>F?r?z?b?d</t>
  </si>
  <si>
    <t>88-051-0567</t>
  </si>
  <si>
    <t>Trondheim</t>
  </si>
  <si>
    <t>44-715-9594</t>
  </si>
  <si>
    <t>Yakovlevo</t>
  </si>
  <si>
    <t>84-188-6577</t>
  </si>
  <si>
    <t>Katav-Ivanovsk</t>
  </si>
  <si>
    <t>19-116-4723</t>
  </si>
  <si>
    <t>Voznesenskoye</t>
  </si>
  <si>
    <t>21-783-9242</t>
  </si>
  <si>
    <t>Voskhod</t>
  </si>
  <si>
    <t>95-528-2313</t>
  </si>
  <si>
    <t>Gudja</t>
  </si>
  <si>
    <t>Malta</t>
  </si>
  <si>
    <t>94-682-4886</t>
  </si>
  <si>
    <t>Gawul</t>
  </si>
  <si>
    <t>55-944-9669</t>
  </si>
  <si>
    <t>Sobeok</t>
  </si>
  <si>
    <t>32-314-2958</t>
  </si>
  <si>
    <t>Nanhuang</t>
  </si>
  <si>
    <t>67-697-2331</t>
  </si>
  <si>
    <t>Tanudan</t>
  </si>
  <si>
    <t>28-855-1639</t>
  </si>
  <si>
    <t>Jiaozuo</t>
  </si>
  <si>
    <t>38-069-8615</t>
  </si>
  <si>
    <t>Tak?b</t>
  </si>
  <si>
    <t>58-233-5963</t>
  </si>
  <si>
    <t>Gualeguay</t>
  </si>
  <si>
    <t>02-004-0620</t>
  </si>
  <si>
    <t>Lagoa Seca</t>
  </si>
  <si>
    <t>78-822-9328</t>
  </si>
  <si>
    <t>Bugarama</t>
  </si>
  <si>
    <t>Rwanda</t>
  </si>
  <si>
    <t>73-359-1998</t>
  </si>
  <si>
    <t>Dicamay</t>
  </si>
  <si>
    <t>84-459-7736</t>
  </si>
  <si>
    <t>Xiluodu</t>
  </si>
  <si>
    <t>07-395-5818</t>
  </si>
  <si>
    <t>?ab?bah</t>
  </si>
  <si>
    <t>07-560-6637</t>
  </si>
  <si>
    <t>Lobuk</t>
  </si>
  <si>
    <t>61-926-1691</t>
  </si>
  <si>
    <t>Waiwukak</t>
  </si>
  <si>
    <t>68-129-1060</t>
  </si>
  <si>
    <t>Abaeté</t>
  </si>
  <si>
    <t>04-052-5592</t>
  </si>
  <si>
    <t>Xiaqiao</t>
  </si>
  <si>
    <t>41-215-6092</t>
  </si>
  <si>
    <t>Zub?bah</t>
  </si>
  <si>
    <t>89-833-7175</t>
  </si>
  <si>
    <t>K?sowo</t>
  </si>
  <si>
    <t>Kósowo</t>
  </si>
  <si>
    <t>08-117-9893</t>
  </si>
  <si>
    <t>Colombo</t>
  </si>
  <si>
    <t>24-109-2173</t>
  </si>
  <si>
    <t>Messíni</t>
  </si>
  <si>
    <t>79-939-2140</t>
  </si>
  <si>
    <t>Yishui</t>
  </si>
  <si>
    <t>95-999-0984</t>
  </si>
  <si>
    <t>Nanyaojie</t>
  </si>
  <si>
    <t>64-799-3174</t>
  </si>
  <si>
    <t>Buzen</t>
  </si>
  <si>
    <t>27-018-2262</t>
  </si>
  <si>
    <t>Bom Jesus do Itabapoana</t>
  </si>
  <si>
    <t>38-881-0766</t>
  </si>
  <si>
    <t>Centenario</t>
  </si>
  <si>
    <t>17-344-8603</t>
  </si>
  <si>
    <t>Al J?zah</t>
  </si>
  <si>
    <t>51-387-9144</t>
  </si>
  <si>
    <t>Th? Tr?n C?m Th?y</t>
  </si>
  <si>
    <t>42-101-8525</t>
  </si>
  <si>
    <t>Curahkalak Tengah</t>
  </si>
  <si>
    <t>69-157-6752</t>
  </si>
  <si>
    <t>Ebu</t>
  </si>
  <si>
    <t>27-843-5553</t>
  </si>
  <si>
    <t>Tío Pujio</t>
  </si>
  <si>
    <t>04-468-5487</t>
  </si>
  <si>
    <t>08-584-8296</t>
  </si>
  <si>
    <t>Shaxi</t>
  </si>
  <si>
    <t>81-014-4502</t>
  </si>
  <si>
    <t>Kel?sh?d va S?darj?n</t>
  </si>
  <si>
    <t>65-167-9819</t>
  </si>
  <si>
    <t>19-925-2376</t>
  </si>
  <si>
    <t>Segodim</t>
  </si>
  <si>
    <t>03-669-7519</t>
  </si>
  <si>
    <t>Yinying</t>
  </si>
  <si>
    <t>00-520-4376</t>
  </si>
  <si>
    <t>Harembo</t>
  </si>
  <si>
    <t>Comoros</t>
  </si>
  <si>
    <t>62-701-1037</t>
  </si>
  <si>
    <t>Lazarevac</t>
  </si>
  <si>
    <t>87-806-4478</t>
  </si>
  <si>
    <t>04-809-8989</t>
  </si>
  <si>
    <t>Zhongcun</t>
  </si>
  <si>
    <t>39-867-1989</t>
  </si>
  <si>
    <t>Gaopeng</t>
  </si>
  <si>
    <t>45-584-7333</t>
  </si>
  <si>
    <t>Tabonok</t>
  </si>
  <si>
    <t>85-885-6579</t>
  </si>
  <si>
    <t>Tirana</t>
  </si>
  <si>
    <t>65-457-2840</t>
  </si>
  <si>
    <t>Maralal</t>
  </si>
  <si>
    <t>82-726-1255</t>
  </si>
  <si>
    <t>Xinjiang</t>
  </si>
  <si>
    <t>90-602-3583</t>
  </si>
  <si>
    <t>Mocho</t>
  </si>
  <si>
    <t>02-711-1034</t>
  </si>
  <si>
    <t>Likhoy</t>
  </si>
  <si>
    <t>27-347-7437</t>
  </si>
  <si>
    <t>Mineiros</t>
  </si>
  <si>
    <t>95-675-7816</t>
  </si>
  <si>
    <t>Noisy-le-Grand</t>
  </si>
  <si>
    <t>87-418-1400</t>
  </si>
  <si>
    <t>Taoyuan</t>
  </si>
  <si>
    <t>73-991-0066</t>
  </si>
  <si>
    <t>San Marcos de Colón</t>
  </si>
  <si>
    <t>62-273-8089</t>
  </si>
  <si>
    <t>Pokrovka</t>
  </si>
  <si>
    <t>51-220-3072</t>
  </si>
  <si>
    <t>Shuntian</t>
  </si>
  <si>
    <t>17-648-0171</t>
  </si>
  <si>
    <t>João Câmara</t>
  </si>
  <si>
    <t>11-975-9054</t>
  </si>
  <si>
    <t>Cunha</t>
  </si>
  <si>
    <t>75-518-2831</t>
  </si>
  <si>
    <t>Fengyi</t>
  </si>
  <si>
    <t>13-297-9777</t>
  </si>
  <si>
    <t>Myshkin</t>
  </si>
  <si>
    <t>81-604-7906</t>
  </si>
  <si>
    <t>Tewulike</t>
  </si>
  <si>
    <t>87-518-0375</t>
  </si>
  <si>
    <t>Bistrinci</t>
  </si>
  <si>
    <t>North Macedonia</t>
  </si>
  <si>
    <t>53-437-2629</t>
  </si>
  <si>
    <t>Chenguang</t>
  </si>
  <si>
    <t>46-681-0764</t>
  </si>
  <si>
    <t>Muara</t>
  </si>
  <si>
    <t>Brunei</t>
  </si>
  <si>
    <t>43-990-6454</t>
  </si>
  <si>
    <t>Qorveh</t>
  </si>
  <si>
    <t>55-570-3804</t>
  </si>
  <si>
    <t>Bom Despacho</t>
  </si>
  <si>
    <t>29-067-4901</t>
  </si>
  <si>
    <t>Arhust</t>
  </si>
  <si>
    <t>Denmark</t>
  </si>
  <si>
    <t>93-957-6269</t>
  </si>
  <si>
    <t>Thaton</t>
  </si>
  <si>
    <t>Myanmar</t>
  </si>
  <si>
    <t>81-225-6647</t>
  </si>
  <si>
    <t>Changbai</t>
  </si>
  <si>
    <t>64-706-7841</t>
  </si>
  <si>
    <t>Kragan</t>
  </si>
  <si>
    <t>47-178-9529</t>
  </si>
  <si>
    <t>Bida</t>
  </si>
  <si>
    <t>63-808-3641</t>
  </si>
  <si>
    <t>Pointe Michel</t>
  </si>
  <si>
    <t>Dominica</t>
  </si>
  <si>
    <t>85-738-8909</t>
  </si>
  <si>
    <t>Juyuan</t>
  </si>
  <si>
    <t>40-224-1057</t>
  </si>
  <si>
    <t>Sabugo</t>
  </si>
  <si>
    <t>24-853-1635</t>
  </si>
  <si>
    <t>Huangjin</t>
  </si>
  <si>
    <t>61-627-1822</t>
  </si>
  <si>
    <t>Huquan</t>
  </si>
  <si>
    <t>89-392-5002</t>
  </si>
  <si>
    <t>Xinqiao</t>
  </si>
  <si>
    <t>71-573-6085</t>
  </si>
  <si>
    <t>Trzemeszno</t>
  </si>
  <si>
    <t>91-810-3612</t>
  </si>
  <si>
    <t>Dashkawka</t>
  </si>
  <si>
    <t>Belarus</t>
  </si>
  <si>
    <t>07-323-0255</t>
  </si>
  <si>
    <t>Sakura</t>
  </si>
  <si>
    <t>81-054-5343</t>
  </si>
  <si>
    <t>Lianghu</t>
  </si>
  <si>
    <t>14-854-9545</t>
  </si>
  <si>
    <t>Karabash</t>
  </si>
  <si>
    <t>52-150-4629</t>
  </si>
  <si>
    <t>Maomiaoji</t>
  </si>
  <si>
    <t>48-918-4473</t>
  </si>
  <si>
    <t>Pingtian</t>
  </si>
  <si>
    <t>06-764-5496</t>
  </si>
  <si>
    <t>Tišina</t>
  </si>
  <si>
    <t>67-036-4295</t>
  </si>
  <si>
    <t>Montceau-les-Mines</t>
  </si>
  <si>
    <t>35-880-9374</t>
  </si>
  <si>
    <t>Karengan</t>
  </si>
  <si>
    <t>08-614-6177</t>
  </si>
  <si>
    <t>Sungai Raya</t>
  </si>
  <si>
    <t>35-879-0014</t>
  </si>
  <si>
    <t>Zwedru</t>
  </si>
  <si>
    <t>91-570-2695</t>
  </si>
  <si>
    <t>?ah??</t>
  </si>
  <si>
    <t>?ahbuz</t>
  </si>
  <si>
    <t>54-193-3526</t>
  </si>
  <si>
    <t>Masaran</t>
  </si>
  <si>
    <t>55-237-7991</t>
  </si>
  <si>
    <t>Huangtang</t>
  </si>
  <si>
    <t>90-569-7391</t>
  </si>
  <si>
    <t>Skoútari</t>
  </si>
  <si>
    <t>88-395-8741</t>
  </si>
  <si>
    <t>Jelat</t>
  </si>
  <si>
    <t>06-638-0433</t>
  </si>
  <si>
    <t>Doibang</t>
  </si>
  <si>
    <t>84-208-7045</t>
  </si>
  <si>
    <t>Kazimierz Dolny</t>
  </si>
  <si>
    <t>71-568-0867</t>
  </si>
  <si>
    <t>Margasari</t>
  </si>
  <si>
    <t>18-925-1867</t>
  </si>
  <si>
    <t>Garça</t>
  </si>
  <si>
    <t>69-394-1424</t>
  </si>
  <si>
    <t>Muff</t>
  </si>
  <si>
    <t>Northern Ireland, United Kingdom</t>
  </si>
  <si>
    <t>91-695-8237</t>
  </si>
  <si>
    <t>Kryva Hora</t>
  </si>
  <si>
    <t>68-458-0904</t>
  </si>
  <si>
    <t>Pyra</t>
  </si>
  <si>
    <t>28-862-5550</t>
  </si>
  <si>
    <t>General Lavalle</t>
  </si>
  <si>
    <t>85-666-7449</t>
  </si>
  <si>
    <t>Zhongzhang</t>
  </si>
  <si>
    <t>30-987-7421</t>
  </si>
  <si>
    <t>Estacion</t>
  </si>
  <si>
    <t>39-107-6852</t>
  </si>
  <si>
    <t>Xinglongchang</t>
  </si>
  <si>
    <t>85-467-6564</t>
  </si>
  <si>
    <t>San Nicolas</t>
  </si>
  <si>
    <t>82-692-9306</t>
  </si>
  <si>
    <t>Ropa</t>
  </si>
  <si>
    <t>18-593-8611</t>
  </si>
  <si>
    <t>San Diego</t>
  </si>
  <si>
    <t>93-093-0556</t>
  </si>
  <si>
    <t>Pan-an</t>
  </si>
  <si>
    <t>59-080-5779</t>
  </si>
  <si>
    <t>Shu</t>
  </si>
  <si>
    <t>64-915-2968</t>
  </si>
  <si>
    <t>94-495-3402</t>
  </si>
  <si>
    <t>Mojogajeh</t>
  </si>
  <si>
    <t>84-458-6432</t>
  </si>
  <si>
    <t>Mawu</t>
  </si>
  <si>
    <t>46-452-3822</t>
  </si>
  <si>
    <t>Genting</t>
  </si>
  <si>
    <t>54-877-5699</t>
  </si>
  <si>
    <t>Madan</t>
  </si>
  <si>
    <t>15-146-4456</t>
  </si>
  <si>
    <t>Hexiangqiao</t>
  </si>
  <si>
    <t>76-620-2994</t>
  </si>
  <si>
    <t>Na Muen</t>
  </si>
  <si>
    <t>60-834-3348</t>
  </si>
  <si>
    <t>Gafargaon</t>
  </si>
  <si>
    <t>77-742-5663</t>
  </si>
  <si>
    <t>Qingban</t>
  </si>
  <si>
    <t>05-167-0833</t>
  </si>
  <si>
    <t>Labège</t>
  </si>
  <si>
    <t>86-182-9556</t>
  </si>
  <si>
    <t>Port Elizabeth</t>
  </si>
  <si>
    <t>14-415-2802</t>
  </si>
  <si>
    <t>Sauri</t>
  </si>
  <si>
    <t>49-469-9163</t>
  </si>
  <si>
    <t>Desakolot</t>
  </si>
  <si>
    <t>67-937-6624</t>
  </si>
  <si>
    <t>Huambo</t>
  </si>
  <si>
    <t>Angola</t>
  </si>
  <si>
    <t>91-761-9492</t>
  </si>
  <si>
    <t>Luoting</t>
  </si>
  <si>
    <t>19-184-7665</t>
  </si>
  <si>
    <t>Stepnogorsk</t>
  </si>
  <si>
    <t>19-383-9741</t>
  </si>
  <si>
    <t>Zarechnyy</t>
  </si>
  <si>
    <t>15-625-4047</t>
  </si>
  <si>
    <t>El Salvador</t>
  </si>
  <si>
    <t>81-820-4735</t>
  </si>
  <si>
    <t>Banjar Medura</t>
  </si>
  <si>
    <t>71-436-6908</t>
  </si>
  <si>
    <t>Arnprior</t>
  </si>
  <si>
    <t>73-145-5784</t>
  </si>
  <si>
    <t>Donglu</t>
  </si>
  <si>
    <t>50-637-1630</t>
  </si>
  <si>
    <t>Inderka</t>
  </si>
  <si>
    <t>44-938-7475</t>
  </si>
  <si>
    <t>Tochio-honch?</t>
  </si>
  <si>
    <t>55-279-3045</t>
  </si>
  <si>
    <t>Pasadena</t>
  </si>
  <si>
    <t>59-997-3903</t>
  </si>
  <si>
    <t>Barish?l</t>
  </si>
  <si>
    <t>12-029-9344</t>
  </si>
  <si>
    <t>Kihurio</t>
  </si>
  <si>
    <t>Tanzania</t>
  </si>
  <si>
    <t>41-130-2570</t>
  </si>
  <si>
    <t>Oekero</t>
  </si>
  <si>
    <t>25-285-7453</t>
  </si>
  <si>
    <t>Cluses</t>
  </si>
  <si>
    <t>47-225-8686</t>
  </si>
  <si>
    <t>Wrz?sowice</t>
  </si>
  <si>
    <t>33-519-4214</t>
  </si>
  <si>
    <t>Hengfeng</t>
  </si>
  <si>
    <t>03-991-2098</t>
  </si>
  <si>
    <t>Bor</t>
  </si>
  <si>
    <t>30-735-8744</t>
  </si>
  <si>
    <t>Nawu</t>
  </si>
  <si>
    <t>13-848-5757</t>
  </si>
  <si>
    <t>Longotea</t>
  </si>
  <si>
    <t>Vanuatu</t>
  </si>
  <si>
    <t>21-300-2001</t>
  </si>
  <si>
    <t>?ab?l al Jabr</t>
  </si>
  <si>
    <t>?b?l al Jabr</t>
  </si>
  <si>
    <t>38-587-1781</t>
  </si>
  <si>
    <t>Gueset</t>
  </si>
  <si>
    <t>66-557-1474</t>
  </si>
  <si>
    <t>L?kak</t>
  </si>
  <si>
    <t>03-422-8710</t>
  </si>
  <si>
    <t>Yuanguping</t>
  </si>
  <si>
    <t>39-731-8532</t>
  </si>
  <si>
    <t>Colón</t>
  </si>
  <si>
    <t>80-830-3184</t>
  </si>
  <si>
    <t>Lyon</t>
  </si>
  <si>
    <t>97-505-8416</t>
  </si>
  <si>
    <t>Chamical</t>
  </si>
  <si>
    <t>98-585-4742</t>
  </si>
  <si>
    <t>Ágios Andréas</t>
  </si>
  <si>
    <t>51-302-9537</t>
  </si>
  <si>
    <t>Cibeusi</t>
  </si>
  <si>
    <t>88-313-2633</t>
  </si>
  <si>
    <t>Itsandzéni</t>
  </si>
  <si>
    <t>61-286-0069</t>
  </si>
  <si>
    <t>Kosh-Agach</t>
  </si>
  <si>
    <t>35-907-0586</t>
  </si>
  <si>
    <t>Kuafeu</t>
  </si>
  <si>
    <t>30-522-1574</t>
  </si>
  <si>
    <t>Xincheng</t>
  </si>
  <si>
    <t>43-715-8777</t>
  </si>
  <si>
    <t>Minneapolis</t>
  </si>
  <si>
    <t>94-692-4313</t>
  </si>
  <si>
    <t>Péfki</t>
  </si>
  <si>
    <t>96-915-4091</t>
  </si>
  <si>
    <t>?awall?</t>
  </si>
  <si>
    <t>?walla</t>
  </si>
  <si>
    <t>Ethiopia</t>
  </si>
  <si>
    <t>67-073-5578</t>
  </si>
  <si>
    <t>27-010-9462</t>
  </si>
  <si>
    <t>Imielin</t>
  </si>
  <si>
    <t>19-689-4556</t>
  </si>
  <si>
    <t>Przeworsk</t>
  </si>
  <si>
    <t>53-143-6147</t>
  </si>
  <si>
    <t>Amsterdam Nieuw West</t>
  </si>
  <si>
    <t>02-725-7664</t>
  </si>
  <si>
    <t>Klishkivtsi</t>
  </si>
  <si>
    <t>54-439-4748</t>
  </si>
  <si>
    <t>Borova</t>
  </si>
  <si>
    <t>66-949-9895</t>
  </si>
  <si>
    <t>Vendargues</t>
  </si>
  <si>
    <t>20-648-1010</t>
  </si>
  <si>
    <t>Zilang</t>
  </si>
  <si>
    <t>79-939-5393</t>
  </si>
  <si>
    <t>Camalote</t>
  </si>
  <si>
    <t>89-249-8369</t>
  </si>
  <si>
    <t>Julayjilah</t>
  </si>
  <si>
    <t>Saudi Arabia</t>
  </si>
  <si>
    <t>85-366-1482</t>
  </si>
  <si>
    <t>Badajoz</t>
  </si>
  <si>
    <t>34-874-7357</t>
  </si>
  <si>
    <t>Fort Wayne</t>
  </si>
  <si>
    <t>11-820-5039</t>
  </si>
  <si>
    <t>Galán</t>
  </si>
  <si>
    <t>73-846-1423</t>
  </si>
  <si>
    <t>Saint Joseph</t>
  </si>
  <si>
    <t>90-363-8040</t>
  </si>
  <si>
    <t>Hospitalet De Llobregat, L'</t>
  </si>
  <si>
    <t>Hospitalet de Llobregat, L'</t>
  </si>
  <si>
    <t>65-533-1660</t>
  </si>
  <si>
    <t>Palma De Mallorca</t>
  </si>
  <si>
    <t>Palma de Mallorca</t>
  </si>
  <si>
    <t>98-376-8787</t>
  </si>
  <si>
    <t>Pho Duc</t>
  </si>
  <si>
    <t>18-938-9896</t>
  </si>
  <si>
    <t>?eba</t>
  </si>
  <si>
    <t>04-829-7037</t>
  </si>
  <si>
    <t>Yaguaraparo</t>
  </si>
  <si>
    <t>Venezuela</t>
  </si>
  <si>
    <t>93-455-0576</t>
  </si>
  <si>
    <t>Novoorsk</t>
  </si>
  <si>
    <t>84-637-9188</t>
  </si>
  <si>
    <t>Wuyang</t>
  </si>
  <si>
    <t>81-111-7832</t>
  </si>
  <si>
    <t>Pelasgía</t>
  </si>
  <si>
    <t>77-401-8183</t>
  </si>
  <si>
    <t>Phúc Th?</t>
  </si>
  <si>
    <t>01-484-8220</t>
  </si>
  <si>
    <t>Vsevolozhsk</t>
  </si>
  <si>
    <t>11-121-0709</t>
  </si>
  <si>
    <t>Kara Suu</t>
  </si>
  <si>
    <t>36-649-0081</t>
  </si>
  <si>
    <t>Beigucheng</t>
  </si>
  <si>
    <t>61-176-8712</t>
  </si>
  <si>
    <t>Cerro</t>
  </si>
  <si>
    <t>75-526-2611</t>
  </si>
  <si>
    <t>Yamaga</t>
  </si>
  <si>
    <t>72-339-1854</t>
  </si>
  <si>
    <t>Sacramento</t>
  </si>
  <si>
    <t>80-360-6324</t>
  </si>
  <si>
    <t>Foso</t>
  </si>
  <si>
    <t>24-591-4327</t>
  </si>
  <si>
    <t>Nowe Brzesko</t>
  </si>
  <si>
    <t>58-487-8848</t>
  </si>
  <si>
    <t>Kon?rak</t>
  </si>
  <si>
    <t>Konyrat</t>
  </si>
  <si>
    <t>61-453-3503</t>
  </si>
  <si>
    <t>Qingshandi</t>
  </si>
  <si>
    <t>63-680-7694</t>
  </si>
  <si>
    <t>Mbala</t>
  </si>
  <si>
    <t>Zambia</t>
  </si>
  <si>
    <t>51-431-7150</t>
  </si>
  <si>
    <t>Shiqiao</t>
  </si>
  <si>
    <t>23-039-9347</t>
  </si>
  <si>
    <t>Yatsuomachi-higashikumisaka</t>
  </si>
  <si>
    <t>18-832-6916</t>
  </si>
  <si>
    <t>Czarna D?brówka</t>
  </si>
  <si>
    <t>29-438-8126</t>
  </si>
  <si>
    <t>Pasirmadang</t>
  </si>
  <si>
    <t>68-201-1633</t>
  </si>
  <si>
    <t>Maño</t>
  </si>
  <si>
    <t>07-314-2945</t>
  </si>
  <si>
    <t>Tiwi</t>
  </si>
  <si>
    <t>64-490-6975</t>
  </si>
  <si>
    <t>Ahar</t>
  </si>
  <si>
    <t>91-789-3191</t>
  </si>
  <si>
    <t>Dake</t>
  </si>
  <si>
    <t>83-714-9649</t>
  </si>
  <si>
    <t>Harstad</t>
  </si>
  <si>
    <t>33-203-4230</t>
  </si>
  <si>
    <t>Perbaungan</t>
  </si>
  <si>
    <t>90-918-2833</t>
  </si>
  <si>
    <t>Soroti</t>
  </si>
  <si>
    <t>53-409-1176</t>
  </si>
  <si>
    <t>Caruaru</t>
  </si>
  <si>
    <t>52-491-3386</t>
  </si>
  <si>
    <t>Kamiennik</t>
  </si>
  <si>
    <t>10-870-3357</t>
  </si>
  <si>
    <t>Boundiali</t>
  </si>
  <si>
    <t>Côte d’Ivoire</t>
  </si>
  <si>
    <t>41-816-7753</t>
  </si>
  <si>
    <t>Götene</t>
  </si>
  <si>
    <t>68-296-5978</t>
  </si>
  <si>
    <t>Kadumelati</t>
  </si>
  <si>
    <t>03-874-9055</t>
  </si>
  <si>
    <t>Amparo</t>
  </si>
  <si>
    <t>28-123-8406</t>
  </si>
  <si>
    <t>Shimen</t>
  </si>
  <si>
    <t>01-089-2223</t>
  </si>
  <si>
    <t>Philadelphia</t>
  </si>
  <si>
    <t>23-758-1012</t>
  </si>
  <si>
    <t>Myingyan</t>
  </si>
  <si>
    <t>34-788-8387</t>
  </si>
  <si>
    <t>Qingqu</t>
  </si>
  <si>
    <t>53-865-9342</t>
  </si>
  <si>
    <t>Poste de Flacq</t>
  </si>
  <si>
    <t>Mauritius</t>
  </si>
  <si>
    <t>79-052-8470</t>
  </si>
  <si>
    <t>?awr al B??ah</t>
  </si>
  <si>
    <t>Zawr al Bay??’</t>
  </si>
  <si>
    <t>Syria</t>
  </si>
  <si>
    <t>86-359-7320</t>
  </si>
  <si>
    <t>Phu Loc</t>
  </si>
  <si>
    <t>27-111-2242</t>
  </si>
  <si>
    <t>Jembangan</t>
  </si>
  <si>
    <t>84-538-0238</t>
  </si>
  <si>
    <t>Harhorin</t>
  </si>
  <si>
    <t>04-660-2742</t>
  </si>
  <si>
    <t>Meijiang</t>
  </si>
  <si>
    <t>96-496-9833</t>
  </si>
  <si>
    <t>Lañgub</t>
  </si>
  <si>
    <t>27-672-6081</t>
  </si>
  <si>
    <t>Bangbayang</t>
  </si>
  <si>
    <t>66-033-0540</t>
  </si>
  <si>
    <t>St?bo?ice</t>
  </si>
  <si>
    <t>St?bo?ówice</t>
  </si>
  <si>
    <t>99-643-9845</t>
  </si>
  <si>
    <t>Banturkrajan</t>
  </si>
  <si>
    <t>27-571-9402</t>
  </si>
  <si>
    <t>São Torcato</t>
  </si>
  <si>
    <t>10-430-5821</t>
  </si>
  <si>
    <t>Kapan</t>
  </si>
  <si>
    <t>Armenia</t>
  </si>
  <si>
    <t>36-835-7445</t>
  </si>
  <si>
    <t>V?n Giang</t>
  </si>
  <si>
    <t>41-602-4042</t>
  </si>
  <si>
    <t>63-743-6962</t>
  </si>
  <si>
    <t>Tanushimarumachi-toyoki</t>
  </si>
  <si>
    <t>66-772-9922</t>
  </si>
  <si>
    <t>Kazo</t>
  </si>
  <si>
    <t>23-246-5927</t>
  </si>
  <si>
    <t>Rawa Mazowiecka</t>
  </si>
  <si>
    <t>74-022-7557</t>
  </si>
  <si>
    <t>W?nsan</t>
  </si>
  <si>
    <t>North Korea</t>
  </si>
  <si>
    <t>78-214-5658</t>
  </si>
  <si>
    <t>Villavicencio</t>
  </si>
  <si>
    <t>25-286-8786</t>
  </si>
  <si>
    <t>Berlin</t>
  </si>
  <si>
    <t>55-955-9889</t>
  </si>
  <si>
    <t>Wailang</t>
  </si>
  <si>
    <t>34-237-3943</t>
  </si>
  <si>
    <t>Fangshan</t>
  </si>
  <si>
    <t>19-386-9088</t>
  </si>
  <si>
    <t>Tallahassee</t>
  </si>
  <si>
    <t>16-583-2801</t>
  </si>
  <si>
    <t>Anchorage</t>
  </si>
  <si>
    <t>83-752-5439</t>
  </si>
  <si>
    <t>Mulhouse</t>
  </si>
  <si>
    <t>25-485-2023</t>
  </si>
  <si>
    <t>Tangkilsari</t>
  </si>
  <si>
    <t>90-822-7664</t>
  </si>
  <si>
    <t>San Carlos</t>
  </si>
  <si>
    <t>22-039-6819</t>
  </si>
  <si>
    <t>Queluz</t>
  </si>
  <si>
    <t>50-395-1941</t>
  </si>
  <si>
    <t>Särkisalo</t>
  </si>
  <si>
    <t>99-771-9310</t>
  </si>
  <si>
    <t>Vitoria-Gasteiz</t>
  </si>
  <si>
    <t>18-518-0140</t>
  </si>
  <si>
    <t>Coro</t>
  </si>
  <si>
    <t>57-000-8646</t>
  </si>
  <si>
    <t>Purwa</t>
  </si>
  <si>
    <t>81-926-9297</t>
  </si>
  <si>
    <t>Gävle</t>
  </si>
  <si>
    <t>53-070-2625</t>
  </si>
  <si>
    <t>Embu Guaçu</t>
  </si>
  <si>
    <t>63-217-7638</t>
  </si>
  <si>
    <t>64-120-6212</t>
  </si>
  <si>
    <t>Fubin</t>
  </si>
  <si>
    <t>01-404-3425</t>
  </si>
  <si>
    <t>Talshand</t>
  </si>
  <si>
    <t>68-971-6148</t>
  </si>
  <si>
    <t>Palampal</t>
  </si>
  <si>
    <t>22-053-4627</t>
  </si>
  <si>
    <t>Kamárai</t>
  </si>
  <si>
    <t>09-258-0424</t>
  </si>
  <si>
    <t>Ettelbruck</t>
  </si>
  <si>
    <t>56-782-9001</t>
  </si>
  <si>
    <t>Cawayan</t>
  </si>
  <si>
    <t>05-506-7216</t>
  </si>
  <si>
    <t>Don Carlos</t>
  </si>
  <si>
    <t>47-356-9730</t>
  </si>
  <si>
    <t>42-898-6421</t>
  </si>
  <si>
    <t>Cervantes</t>
  </si>
  <si>
    <t>17-364-8685</t>
  </si>
  <si>
    <t>Ebebiyin</t>
  </si>
  <si>
    <t>Equatorial Guinea</t>
  </si>
  <si>
    <t>13-618-9438</t>
  </si>
  <si>
    <t>Chuquitira</t>
  </si>
  <si>
    <t>32-457-2982</t>
  </si>
  <si>
    <t>Proletarsk</t>
  </si>
  <si>
    <t>43-386-2489</t>
  </si>
  <si>
    <t>Naghalin</t>
  </si>
  <si>
    <t>67-438-2378</t>
  </si>
  <si>
    <t>Honolulu</t>
  </si>
  <si>
    <t>65-431-1264</t>
  </si>
  <si>
    <t>Dhalie</t>
  </si>
  <si>
    <t>73-367-8478</t>
  </si>
  <si>
    <t>Giesteira</t>
  </si>
  <si>
    <t>84-162-8799</t>
  </si>
  <si>
    <t>Khilok</t>
  </si>
  <si>
    <t>51-546-9992</t>
  </si>
  <si>
    <t>89-189-3295</t>
  </si>
  <si>
    <t>Vereshchagino</t>
  </si>
  <si>
    <t>45-776-7217</t>
  </si>
  <si>
    <t>Binagadi</t>
  </si>
  <si>
    <t>71-354-5174</t>
  </si>
  <si>
    <t>Tsuen Wan</t>
  </si>
  <si>
    <t>Hong Kong</t>
  </si>
  <si>
    <t>05-975-6985</t>
  </si>
  <si>
    <t>Banjar Batanpoh</t>
  </si>
  <si>
    <t>42-859-2475</t>
  </si>
  <si>
    <t>Yenakiyeve</t>
  </si>
  <si>
    <t>34-094-1923</t>
  </si>
  <si>
    <t>San Ramon</t>
  </si>
  <si>
    <t>57-797-8139</t>
  </si>
  <si>
    <t>Sakété</t>
  </si>
  <si>
    <t>Benin</t>
  </si>
  <si>
    <t>21-048-8669</t>
  </si>
  <si>
    <t>Pantenan</t>
  </si>
  <si>
    <t>30-038-8752</t>
  </si>
  <si>
    <t>Antrukan</t>
  </si>
  <si>
    <t>06-237-7338</t>
  </si>
  <si>
    <t>Dhahab</t>
  </si>
  <si>
    <t>71-817-5422</t>
  </si>
  <si>
    <t>Vetluga</t>
  </si>
  <si>
    <t>68-512-0568</t>
  </si>
  <si>
    <t>Wolfsberg</t>
  </si>
  <si>
    <t>Austria</t>
  </si>
  <si>
    <t>18-633-9387</t>
  </si>
  <si>
    <t>San Bautista</t>
  </si>
  <si>
    <t>08-977-4418</t>
  </si>
  <si>
    <t>Reuleuet</t>
  </si>
  <si>
    <t>97-738-8095</t>
  </si>
  <si>
    <t>Lonpao Dajah</t>
  </si>
  <si>
    <t>15-421-1255</t>
  </si>
  <si>
    <t>Nanqiao</t>
  </si>
  <si>
    <t>92-142-4328</t>
  </si>
  <si>
    <t>06-357-6548</t>
  </si>
  <si>
    <t>Ishikawa</t>
  </si>
  <si>
    <t>59-261-4453</t>
  </si>
  <si>
    <t>Oguma</t>
  </si>
  <si>
    <t>35-644-3184</t>
  </si>
  <si>
    <t>T?šany</t>
  </si>
  <si>
    <t>30-528-9105</t>
  </si>
  <si>
    <t>Aksha</t>
  </si>
  <si>
    <t>14-709-8547</t>
  </si>
  <si>
    <t>Lahan Sai</t>
  </si>
  <si>
    <t>80-508-9866</t>
  </si>
  <si>
    <t>Estância</t>
  </si>
  <si>
    <t>27-100-0661</t>
  </si>
  <si>
    <t>Las Lomas</t>
  </si>
  <si>
    <t>68-488-7343</t>
  </si>
  <si>
    <t>Xiamayu</t>
  </si>
  <si>
    <t>63-304-1852</t>
  </si>
  <si>
    <t>Iñapari</t>
  </si>
  <si>
    <t>53-843-5619</t>
  </si>
  <si>
    <t>Orsay</t>
  </si>
  <si>
    <t>44-786-7696</t>
  </si>
  <si>
    <t>Zhongying</t>
  </si>
  <si>
    <t>45-631-4619</t>
  </si>
  <si>
    <t>Bay??n</t>
  </si>
  <si>
    <t>Bay?n</t>
  </si>
  <si>
    <t>11-850-1953</t>
  </si>
  <si>
    <t>Beizhakou</t>
  </si>
  <si>
    <t>20-421-2544</t>
  </si>
  <si>
    <t>Ky?ngs?ng</t>
  </si>
  <si>
    <t>37-100-8709</t>
  </si>
  <si>
    <t>Turinsk</t>
  </si>
  <si>
    <t>78-361-5100</t>
  </si>
  <si>
    <t>As Sawd?</t>
  </si>
  <si>
    <t>67-676-5945</t>
  </si>
  <si>
    <t>Legaspi</t>
  </si>
  <si>
    <t>67-639-5838</t>
  </si>
  <si>
    <t>Shimorskoye</t>
  </si>
  <si>
    <t>51-415-1931</t>
  </si>
  <si>
    <t>Ko?cielec</t>
  </si>
  <si>
    <t>96-764-3843</t>
  </si>
  <si>
    <t>Yongfu</t>
  </si>
  <si>
    <t>16-730-2056</t>
  </si>
  <si>
    <t>Vinkkilä</t>
  </si>
  <si>
    <t>22-157-2494</t>
  </si>
  <si>
    <t>Revolucion Verde</t>
  </si>
  <si>
    <t>29-341-6463</t>
  </si>
  <si>
    <t>Newton</t>
  </si>
  <si>
    <t>64-906-4475</t>
  </si>
  <si>
    <t>Nantang</t>
  </si>
  <si>
    <t>36-340-8494</t>
  </si>
  <si>
    <t>Perugia</t>
  </si>
  <si>
    <t>77-031-4898</t>
  </si>
  <si>
    <t>Tancheng</t>
  </si>
  <si>
    <t>86-097-9642</t>
  </si>
  <si>
    <t>Leon Postigo</t>
  </si>
  <si>
    <t>64-090-3433</t>
  </si>
  <si>
    <t>Bollène</t>
  </si>
  <si>
    <t>96-140-1936</t>
  </si>
  <si>
    <t>Baihe</t>
  </si>
  <si>
    <t>38-830-6976</t>
  </si>
  <si>
    <t>Puqi</t>
  </si>
  <si>
    <t>82-864-1154</t>
  </si>
  <si>
    <t>Pedraza</t>
  </si>
  <si>
    <t>79-711-6779</t>
  </si>
  <si>
    <t>22-860-9860</t>
  </si>
  <si>
    <t>Pasinan Barat</t>
  </si>
  <si>
    <t>72-590-6161</t>
  </si>
  <si>
    <t>Saltpond</t>
  </si>
  <si>
    <t>76-213-5806</t>
  </si>
  <si>
    <t>Rende</t>
  </si>
  <si>
    <t>66-894-5431</t>
  </si>
  <si>
    <t>Zarasai</t>
  </si>
  <si>
    <t>20-939-3906</t>
  </si>
  <si>
    <t>Nanchangshan</t>
  </si>
  <si>
    <t>86-390-9555</t>
  </si>
  <si>
    <t>Pegões</t>
  </si>
  <si>
    <t>91-602-0761</t>
  </si>
  <si>
    <t>Espírito Santo do Pinhal</t>
  </si>
  <si>
    <t>62-974-7965</t>
  </si>
  <si>
    <t>Újezd</t>
  </si>
  <si>
    <t>21-232-1397</t>
  </si>
  <si>
    <t>Bhadrapur</t>
  </si>
  <si>
    <t>Nepal</t>
  </si>
  <si>
    <t>31-364-4144</t>
  </si>
  <si>
    <t>Kostrovo</t>
  </si>
  <si>
    <t>99-945-7193</t>
  </si>
  <si>
    <t>Lemery</t>
  </si>
  <si>
    <t>91-053-3261</t>
  </si>
  <si>
    <t>Youcheng</t>
  </si>
  <si>
    <t>50-447-5171</t>
  </si>
  <si>
    <t>Napoli</t>
  </si>
  <si>
    <t>89-754-7244</t>
  </si>
  <si>
    <t>El Caño</t>
  </si>
  <si>
    <t>56-072-7011</t>
  </si>
  <si>
    <t>Heemstede</t>
  </si>
  <si>
    <t>74-281-3421</t>
  </si>
  <si>
    <t>Panyam</t>
  </si>
  <si>
    <t>86-068-2133</t>
  </si>
  <si>
    <t>Faraulep</t>
  </si>
  <si>
    <t>Micronesia</t>
  </si>
  <si>
    <t>03-102-0288</t>
  </si>
  <si>
    <t>San Isidro</t>
  </si>
  <si>
    <t>74-033-1145</t>
  </si>
  <si>
    <t>Mranggen</t>
  </si>
  <si>
    <t>24-272-6205</t>
  </si>
  <si>
    <t>Cigadog</t>
  </si>
  <si>
    <t>90-170-1951</t>
  </si>
  <si>
    <t>Caitang</t>
  </si>
  <si>
    <t>73-259-8940</t>
  </si>
  <si>
    <t>Masoyila</t>
  </si>
  <si>
    <t>Sierra Leone</t>
  </si>
  <si>
    <t>77-796-5786</t>
  </si>
  <si>
    <t>Beiyuan</t>
  </si>
  <si>
    <t>23-949-1954</t>
  </si>
  <si>
    <t>Kariya</t>
  </si>
  <si>
    <t>51-313-7293</t>
  </si>
  <si>
    <t>Malakhovka</t>
  </si>
  <si>
    <t>62-797-9254</t>
  </si>
  <si>
    <t>At-Bashi</t>
  </si>
  <si>
    <t>27-941-4995</t>
  </si>
  <si>
    <t>Sankeyushu</t>
  </si>
  <si>
    <t>01-799-2615</t>
  </si>
  <si>
    <t>Limoges</t>
  </si>
  <si>
    <t>82-133-0444</t>
  </si>
  <si>
    <t>Hägersten</t>
  </si>
  <si>
    <t>43-920-9499</t>
  </si>
  <si>
    <t>Tarata</t>
  </si>
  <si>
    <t>17-551-9779</t>
  </si>
  <si>
    <t>Marabahan</t>
  </si>
  <si>
    <t>49-037-2300</t>
  </si>
  <si>
    <t>Esl?m?b?d</t>
  </si>
  <si>
    <t>95-876-9757</t>
  </si>
  <si>
    <t>Emar</t>
  </si>
  <si>
    <t>47-947-4888</t>
  </si>
  <si>
    <t>Baisha</t>
  </si>
  <si>
    <t>83-003-2165</t>
  </si>
  <si>
    <t>27-619-9264</t>
  </si>
  <si>
    <t>49-476-1729</t>
  </si>
  <si>
    <t>Skórzec</t>
  </si>
  <si>
    <t>64-803-7087</t>
  </si>
  <si>
    <t>São João dos Inhamuns</t>
  </si>
  <si>
    <t>01-925-4021</t>
  </si>
  <si>
    <t>Tambaksari</t>
  </si>
  <si>
    <t>51-116-5937</t>
  </si>
  <si>
    <t>Lazarat</t>
  </si>
  <si>
    <t>72-454-2741</t>
  </si>
  <si>
    <t>Belene</t>
  </si>
  <si>
    <t>96-484-1000</t>
  </si>
  <si>
    <t>Xiangshan</t>
  </si>
  <si>
    <t>07-834-3350</t>
  </si>
  <si>
    <t>11-802-5604</t>
  </si>
  <si>
    <t>Zengfu</t>
  </si>
  <si>
    <t>41-750-4105</t>
  </si>
  <si>
    <t>Tingsryd</t>
  </si>
  <si>
    <t>31-491-8457</t>
  </si>
  <si>
    <t>Tipaz</t>
  </si>
  <si>
    <t>86-257-9581</t>
  </si>
  <si>
    <t>W?d? as Salq?</t>
  </si>
  <si>
    <t>22-981-6595</t>
  </si>
  <si>
    <t>Wasagu</t>
  </si>
  <si>
    <t>54-002-5845</t>
  </si>
  <si>
    <t>Wangsi</t>
  </si>
  <si>
    <t>31-927-7787</t>
  </si>
  <si>
    <t>Esmeralda</t>
  </si>
  <si>
    <t>46-098-9737</t>
  </si>
  <si>
    <t>Chivilcoy</t>
  </si>
  <si>
    <t>27-017-7173</t>
  </si>
  <si>
    <t>São Miguel do Araguaia</t>
  </si>
  <si>
    <t>53-102-9949</t>
  </si>
  <si>
    <t>Libei</t>
  </si>
  <si>
    <t>02-676-9312</t>
  </si>
  <si>
    <t>28-969-7540</t>
  </si>
  <si>
    <t>Kuçovë</t>
  </si>
  <si>
    <t>30-083-9565</t>
  </si>
  <si>
    <t>Bokong Timur</t>
  </si>
  <si>
    <t>30-975-0306</t>
  </si>
  <si>
    <t>Gaowu</t>
  </si>
  <si>
    <t>14-364-4904</t>
  </si>
  <si>
    <t>Guéret</t>
  </si>
  <si>
    <t>08-652-2085</t>
  </si>
  <si>
    <t>Post?ekov</t>
  </si>
  <si>
    <t>67-037-2087</t>
  </si>
  <si>
    <t>Gobojango</t>
  </si>
  <si>
    <t>Botswana</t>
  </si>
  <si>
    <t>09-737-8354</t>
  </si>
  <si>
    <t>Tandahimba</t>
  </si>
  <si>
    <t>12-417-5609</t>
  </si>
  <si>
    <t>Iwade</t>
  </si>
  <si>
    <t>25-096-6830</t>
  </si>
  <si>
    <t>La Guata</t>
  </si>
  <si>
    <t>91-558-5922</t>
  </si>
  <si>
    <t>Saint-Brieuc</t>
  </si>
  <si>
    <t>25-560-4506</t>
  </si>
  <si>
    <t>Paya Dapur</t>
  </si>
  <si>
    <t>33-609-0598</t>
  </si>
  <si>
    <t>Xinzha</t>
  </si>
  <si>
    <t>45-337-1798</t>
  </si>
  <si>
    <t>Al Q?rah</t>
  </si>
  <si>
    <t>34-265-8558</t>
  </si>
  <si>
    <t>Antipolo</t>
  </si>
  <si>
    <t>67-323-7406</t>
  </si>
  <si>
    <t>Yuyangguan</t>
  </si>
  <si>
    <t>40-149-8247</t>
  </si>
  <si>
    <t>Qiman</t>
  </si>
  <si>
    <t>37-361-8691</t>
  </si>
  <si>
    <t>Maguwon</t>
  </si>
  <si>
    <t>17-763-9416</t>
  </si>
  <si>
    <t>Tsibulev</t>
  </si>
  <si>
    <t>56-453-8263</t>
  </si>
  <si>
    <t>San Antonio Aguas Calientes</t>
  </si>
  <si>
    <t>19-560-0717</t>
  </si>
  <si>
    <t>Pombas</t>
  </si>
  <si>
    <t>40-199-1803</t>
  </si>
  <si>
    <t>Ku‘aydinah</t>
  </si>
  <si>
    <t>09-332-0236</t>
  </si>
  <si>
    <t>San Marcos</t>
  </si>
  <si>
    <t>83-982-5300</t>
  </si>
  <si>
    <t>Chum Phae</t>
  </si>
  <si>
    <t>46-662-1571</t>
  </si>
  <si>
    <t>La Laja</t>
  </si>
  <si>
    <t>20-699-9217</t>
  </si>
  <si>
    <t>San Juan del Cesar</t>
  </si>
  <si>
    <t>26-150-0209</t>
  </si>
  <si>
    <t>Taiyigong</t>
  </si>
  <si>
    <t>94-985-5336</t>
  </si>
  <si>
    <t>97-715-3606</t>
  </si>
  <si>
    <t>Tayabamba</t>
  </si>
  <si>
    <t>02-100-4320</t>
  </si>
  <si>
    <t>Majennang</t>
  </si>
  <si>
    <t>16-070-0138</t>
  </si>
  <si>
    <t>Njeru</t>
  </si>
  <si>
    <t>82-474-5074</t>
  </si>
  <si>
    <t>Ambatolaona</t>
  </si>
  <si>
    <t>36-444-5336</t>
  </si>
  <si>
    <t>Jianggang</t>
  </si>
  <si>
    <t>54-680-5344</t>
  </si>
  <si>
    <t>Langkou</t>
  </si>
  <si>
    <t>16-364-8096</t>
  </si>
  <si>
    <t>Horní Suchá</t>
  </si>
  <si>
    <t>62-644-8183</t>
  </si>
  <si>
    <t>Haradok</t>
  </si>
  <si>
    <t>59-971-0799</t>
  </si>
  <si>
    <t>Vichuga</t>
  </si>
  <si>
    <t>64-031-2046</t>
  </si>
  <si>
    <t>Luci</t>
  </si>
  <si>
    <t>87-079-0237</t>
  </si>
  <si>
    <t>Guolemude</t>
  </si>
  <si>
    <t>78-091-8662</t>
  </si>
  <si>
    <t>Prengtale</t>
  </si>
  <si>
    <t>62-720-2922</t>
  </si>
  <si>
    <t>Cabanas</t>
  </si>
  <si>
    <t>47-528-3961</t>
  </si>
  <si>
    <t>21-808-2293</t>
  </si>
  <si>
    <t>Sukumo</t>
  </si>
  <si>
    <t>22-022-9256</t>
  </si>
  <si>
    <t>Fenglu</t>
  </si>
  <si>
    <t>96-772-7220</t>
  </si>
  <si>
    <t>Tanjungbalai</t>
  </si>
  <si>
    <t>25-866-7286</t>
  </si>
  <si>
    <t>Carrefour</t>
  </si>
  <si>
    <t>72-694-4159</t>
  </si>
  <si>
    <t>10-079-8237</t>
  </si>
  <si>
    <t>Hejiang</t>
  </si>
  <si>
    <t>47-460-8015</t>
  </si>
  <si>
    <t>Yaizu</t>
  </si>
  <si>
    <t>06-061-0023</t>
  </si>
  <si>
    <t>Kembé</t>
  </si>
  <si>
    <t>Central African Republic</t>
  </si>
  <si>
    <t>80-487-2550</t>
  </si>
  <si>
    <t>Novokayakent</t>
  </si>
  <si>
    <t>23-617-2637</t>
  </si>
  <si>
    <t>Hekou</t>
  </si>
  <si>
    <t>60-005-5187</t>
  </si>
  <si>
    <t>Bailadores</t>
  </si>
  <si>
    <t>24-371-5870</t>
  </si>
  <si>
    <t>Masuda</t>
  </si>
  <si>
    <t>02-055-8248</t>
  </si>
  <si>
    <t>Martanesh</t>
  </si>
  <si>
    <t>54-238-5459</t>
  </si>
  <si>
    <t>Xinzhou</t>
  </si>
  <si>
    <t>85-922-0190</t>
  </si>
  <si>
    <t>Nanfeng</t>
  </si>
  <si>
    <t>48-271-1908</t>
  </si>
  <si>
    <t>Oke Ila</t>
  </si>
  <si>
    <t>46-978-3874</t>
  </si>
  <si>
    <t>Rio Pardo</t>
  </si>
  <si>
    <t>53-595-7635</t>
  </si>
  <si>
    <t>Pingtang</t>
  </si>
  <si>
    <t>08-185-6608</t>
  </si>
  <si>
    <t>Podbrdo</t>
  </si>
  <si>
    <t>20-562-2569</t>
  </si>
  <si>
    <t>Aramayuan</t>
  </si>
  <si>
    <t>41-366-4205</t>
  </si>
  <si>
    <t>Paquera</t>
  </si>
  <si>
    <t>Costa Rica</t>
  </si>
  <si>
    <t>77-241-7621</t>
  </si>
  <si>
    <t>Warudoyong</t>
  </si>
  <si>
    <t>53-091-2176</t>
  </si>
  <si>
    <t>Béziers</t>
  </si>
  <si>
    <t>48-203-9118</t>
  </si>
  <si>
    <t>Dongzhou</t>
  </si>
  <si>
    <t>City</t>
  </si>
  <si>
    <t>Ã‰vry</t>
  </si>
  <si>
    <t>WiwilÃ­</t>
  </si>
  <si>
    <t>GrÃ¥bo</t>
  </si>
  <si>
    <t>GyÅ‘r</t>
  </si>
  <si>
    <t>DhankutÄ</t>
  </si>
  <si>
    <t>SÃ£o Roque</t>
  </si>
  <si>
    <t>BanÄ« KhaddÄsh</t>
  </si>
  <si>
    <t>TÃ¡la</t>
  </si>
  <si>
    <t>Topolâ€™noye</t>
  </si>
  <si>
    <t>KovÃ¡Å™ov</t>
  </si>
  <si>
    <t>Majdal BanÄ« FÄá¸‘il</t>
  </si>
  <si>
    <t>NorrkÃ¶ping</t>
  </si>
  <si>
    <t>SoÅ›no</t>
  </si>
  <si>
    <t>PÃ©lla</t>
  </si>
  <si>
    <t>AlfeizerÃ£o</t>
  </si>
  <si>
    <t>ProstÅ™ednÃ­ BeÄva</t>
  </si>
  <si>
    <t>KÃ½thnos</t>
  </si>
  <si>
    <t>JesÃºs MenÃ©ndez</t>
  </si>
  <si>
    <t>ShÄhzÄdpur</t>
  </si>
  <si>
    <t>CrÃ©teil</t>
  </si>
  <si>
    <t>GuacarÃ­</t>
  </si>
  <si>
    <t>á¸awrÄn ad Daydah</t>
  </si>
  <si>
    <t>LeÅ›nica</t>
  </si>
  <si>
    <t>ÅŒkuchi</t>
  </si>
  <si>
    <t>ZalÅ£an</t>
  </si>
  <si>
    <t>TrÃ©lazÃ©</t>
  </si>
  <si>
    <t>MrÄ…gowo</t>
  </si>
  <si>
    <t>TÃ½n nad Vltavou</t>
  </si>
  <si>
    <t>DÄlbandÄ«n</t>
  </si>
  <si>
    <t>HachiÅji</t>
  </si>
  <si>
    <t>ManÃ­</t>
  </si>
  <si>
    <t>Zgornje PirniÄe</t>
  </si>
  <si>
    <t>SollefteÃ¥</t>
  </si>
  <si>
    <t>YenikÃ¶y</t>
  </si>
  <si>
    <t>BelÅ«sovka</t>
  </si>
  <si>
    <t>DhÄ«bÄ«n</t>
  </si>
  <si>
    <t>BaturitÃ©</t>
  </si>
  <si>
    <t>Miâ€™ersi</t>
  </si>
  <si>
    <t>Villa ConcepciÃ³n del TÃ­o</t>
  </si>
  <si>
    <t>Puerto LÃ³pez</t>
  </si>
  <si>
    <t>TecpÃ¡n Guatemala</t>
  </si>
  <si>
    <t>SeleuÅ¡</t>
  </si>
  <si>
    <t>San JosÃ© Acatempa</t>
  </si>
  <si>
    <t>ÐœÐ°Ñ€Ð¸Ð½Ð¾</t>
  </si>
  <si>
    <t>Stoczek Åukowski</t>
  </si>
  <si>
    <t>Äáº¡ Táº»h</t>
  </si>
  <si>
    <t>RadÄâ€˜</t>
  </si>
  <si>
    <t>EÅ‚k</t>
  </si>
  <si>
    <t>VÃ­lia</t>
  </si>
  <si>
    <t>Al KhÄnkah</t>
  </si>
  <si>
    <t>MÃ©rtola</t>
  </si>
  <si>
    <t>PiranÃ©</t>
  </si>
  <si>
    <t>HalinÃ³w</t>
  </si>
  <si>
    <t>Saint-Jouan-des-GuÃ©rets</t>
  </si>
  <si>
    <t>Daâ€™an</t>
  </si>
  <si>
    <t>Ä€bdÄnÄn</t>
  </si>
  <si>
    <t>SÃ¤vedalen</t>
  </si>
  <si>
    <t>La UniÃ³n</t>
  </si>
  <si>
    <t>BÃ©ja</t>
  </si>
  <si>
    <t>La MontaÃ±ita</t>
  </si>
  <si>
    <t>SarishÄbÄri</t>
  </si>
  <si>
    <t>ChabaÅ™ovice</t>
  </si>
  <si>
    <t>NÃ­kaia</t>
  </si>
  <si>
    <t>TrhovÃ© Sviny</t>
  </si>
  <si>
    <t>OlavarrÃ­a</t>
  </si>
  <si>
    <t>ZiniarÃ©</t>
  </si>
  <si>
    <t>ZduÅ„ska Wola</t>
  </si>
  <si>
    <t>PÄ«rgaaj</t>
  </si>
  <si>
    <t>GierÅ‚oÅ¼</t>
  </si>
  <si>
    <t>Phong Äiá»n</t>
  </si>
  <si>
    <t>MirÃ³w</t>
  </si>
  <si>
    <t>ShÄdegÄn</t>
  </si>
  <si>
    <t>Mosalâ€™sk</t>
  </si>
  <si>
    <t>SÃ£o CristÃ³vÃ£o</t>
  </si>
  <si>
    <t>Kozelâ€™shchyna</t>
  </si>
  <si>
    <t>FaqqÅ«â€˜ah</t>
  </si>
  <si>
    <t>ItaguaÃ­</t>
  </si>
  <si>
    <t>FteliÃ¡</t>
  </si>
  <si>
    <t>XibÃ«r-MurrizÃ«</t>
  </si>
  <si>
    <t>GÃ¶teborg</t>
  </si>
  <si>
    <t>ÄŒÃ¡slav</t>
  </si>
  <si>
    <t>Barg-e MatÄl</t>
  </si>
  <si>
    <t>AristÃ³bulo del Valle</t>
  </si>
  <si>
    <t>NabÄ«nagar</t>
  </si>
  <si>
    <t>SÃ£o Mateus do MaranhÃ£o</t>
  </si>
  <si>
    <t>CheÅ‚miec</t>
  </si>
  <si>
    <t>BrÃ¤ndÃ¶</t>
  </si>
  <si>
    <t>ChavarrÃ­a</t>
  </si>
  <si>
    <t>DÅ‚utÃ³w</t>
  </si>
  <si>
    <t>PoÃ¡</t>
  </si>
  <si>
    <t>ZajeÄov</t>
  </si>
  <si>
    <t>KÄshmar</t>
  </si>
  <si>
    <t>â€˜Arad</t>
  </si>
  <si>
    <t>MonterÃ­a</t>
  </si>
  <si>
    <t>Mikunâ€™</t>
  </si>
  <si>
    <t>Ã–rebro</t>
  </si>
  <si>
    <t>Ilâ€™inskiy</t>
  </si>
  <si>
    <t>GryfÃ³w ÅšlÄ…ski</t>
  </si>
  <si>
    <t>CurumanÃ­</t>
  </si>
  <si>
    <t>â€˜AÅŸÄ«rah ash ShamÄlÄ«yah</t>
  </si>
  <si>
    <t>San SebastiÃ¡n de YalÃ­</t>
  </si>
  <si>
    <t>ShchÃ«kino</t>
  </si>
  <si>
    <t>PerzÃ³w</t>
  </si>
  <si>
    <t>Å¢Äqchah KhÄnah</t>
  </si>
  <si>
    <t>Thá»‹ Tráº¥n Than UyÃªn</t>
  </si>
  <si>
    <t>KÅ‚oczew</t>
  </si>
  <si>
    <t>NykÃ¶ping</t>
  </si>
  <si>
    <t>Qalâ€˜eh-ye KhvÄjeh</t>
  </si>
  <si>
    <t>Al QarÄrah</t>
  </si>
  <si>
    <t>YlÃ¤ne</t>
  </si>
  <si>
    <t>FÄ«rÅ«zÄbÄd</t>
  </si>
  <si>
    <t>TakÄb</t>
  </si>
  <si>
    <t>á¸¨abÄbah</t>
  </si>
  <si>
    <t>AbaetÃ©</t>
  </si>
  <si>
    <t>ZubÅ«bah</t>
  </si>
  <si>
    <t>KÄ™sowo</t>
  </si>
  <si>
    <t>MessÃ­ni</t>
  </si>
  <si>
    <t>Al JÄ«zah</t>
  </si>
  <si>
    <t>Thá»‹ Tráº¥n Cáº©m Thá»§y</t>
  </si>
  <si>
    <t>TÃ­o Pujio</t>
  </si>
  <si>
    <t>KelÄ«shÄd va SÅ«darjÄn</t>
  </si>
  <si>
    <t>San Marcos de ColÃ³n</t>
  </si>
  <si>
    <t>JoÃ£o CÃ¢mara</t>
  </si>
  <si>
    <t>TiÅ¡ina</t>
  </si>
  <si>
    <t>Å¢ahÅ£Ä</t>
  </si>
  <si>
    <t>SkoÃºtari</t>
  </si>
  <si>
    <t>GarÃ§a</t>
  </si>
  <si>
    <t>LabÃ¨ge</t>
  </si>
  <si>
    <t>Tochio-honchÅ</t>
  </si>
  <si>
    <t>BarishÄl</t>
  </si>
  <si>
    <t>WrzÄ…sowice</t>
  </si>
  <si>
    <t>á¸¨abÄ«l al Jabr</t>
  </si>
  <si>
    <t>LÄ«kak</t>
  </si>
  <si>
    <t>ColÃ³n</t>
  </si>
  <si>
    <t>Ãgios AndrÃ©as</t>
  </si>
  <si>
    <t>ItsandzÃ©ni</t>
  </si>
  <si>
    <t>PÃ©fki</t>
  </si>
  <si>
    <t>á¸¨awallÄ«</t>
  </si>
  <si>
    <t>GalÃ¡n</t>
  </si>
  <si>
    <t>Åeba</t>
  </si>
  <si>
    <t>PelasgÃ­a</t>
  </si>
  <si>
    <t>PhÃºc Thá»</t>
  </si>
  <si>
    <t>KonÄrak</t>
  </si>
  <si>
    <t>Czarna DÄ…brÃ³wka</t>
  </si>
  <si>
    <t>MaÃ±o</t>
  </si>
  <si>
    <t>GÃ¶tene</t>
  </si>
  <si>
    <t>Å¢awr al BÄá¸©ah</t>
  </si>
  <si>
    <t>LaÃ±gub</t>
  </si>
  <si>
    <t>StÄ›boÅ™ice</t>
  </si>
  <si>
    <t>SÃ£o Torcato</t>
  </si>
  <si>
    <t>VÄƒn Giang</t>
  </si>
  <si>
    <t>WÅnsan</t>
  </si>
  <si>
    <t>SÃ¤rkisalo</t>
  </si>
  <si>
    <t>GÃ¤vle</t>
  </si>
  <si>
    <t>Embu GuaÃ§u</t>
  </si>
  <si>
    <t>KamÃ¡rai</t>
  </si>
  <si>
    <t>SakÃ©tÃ©</t>
  </si>
  <si>
    <t>TÄ›Å¡any</t>
  </si>
  <si>
    <t>EstÃ¢ncia</t>
  </si>
  <si>
    <t>IÃ±apari</t>
  </si>
  <si>
    <t>Bayá¸©Än</t>
  </si>
  <si>
    <t>KyÅngsÅng</t>
  </si>
  <si>
    <t>As SawdÄ</t>
  </si>
  <si>
    <t>KoÅ›cielec</t>
  </si>
  <si>
    <t>VinkkilÃ¤</t>
  </si>
  <si>
    <t>BollÃ¨ne</t>
  </si>
  <si>
    <t>PegÃµes</t>
  </si>
  <si>
    <t>EspÃ­rito Santo do Pinhal</t>
  </si>
  <si>
    <t>Ãšjezd</t>
  </si>
  <si>
    <t>El CaÃ±o</t>
  </si>
  <si>
    <t>HÃ¤gersten</t>
  </si>
  <si>
    <t>EslÄmÄbÄd</t>
  </si>
  <si>
    <t>SkÃ³rzec</t>
  </si>
  <si>
    <t>SÃ£o JoÃ£o dos Inhamuns</t>
  </si>
  <si>
    <t>WÄdÄ« as SalqÄ</t>
  </si>
  <si>
    <t>SÃ£o Miguel do Araguaia</t>
  </si>
  <si>
    <t>KuÃ§ovÃ«</t>
  </si>
  <si>
    <t>GuÃ©ret</t>
  </si>
  <si>
    <t>PostÅ™ekov</t>
  </si>
  <si>
    <t>Al QÄrah</t>
  </si>
  <si>
    <t>Kuâ€˜aydinah</t>
  </si>
  <si>
    <t>HornÃ­ SuchÃ¡</t>
  </si>
  <si>
    <t>FaÄ«áº•ÄbÄd</t>
  </si>
  <si>
    <t>KembÃ©</t>
  </si>
  <si>
    <t>BÃ©ziers</t>
  </si>
  <si>
    <t>Column Name</t>
  </si>
  <si>
    <t>General Type</t>
  </si>
  <si>
    <t>Data Type</t>
  </si>
  <si>
    <t>Sample Unique Values</t>
  </si>
  <si>
    <t>Numerical</t>
  </si>
  <si>
    <t>Categorical</t>
  </si>
  <si>
    <t>Date</t>
  </si>
  <si>
    <t>Description / Business Meaning</t>
  </si>
  <si>
    <t>Data Dictionary</t>
  </si>
  <si>
    <t xml:space="preserve">Purchase_Amount </t>
  </si>
  <si>
    <t>Age Category</t>
  </si>
  <si>
    <t>String</t>
  </si>
  <si>
    <t>37-611-6911, 29-392-9296, 84-649-5117</t>
  </si>
  <si>
    <t>Unique identifier assigned to each customer.</t>
  </si>
  <si>
    <t>Integer</t>
  </si>
  <si>
    <t>22, 49, 24</t>
  </si>
  <si>
    <t>Age of the customer in years.</t>
  </si>
  <si>
    <t>20-29, 40-50</t>
  </si>
  <si>
    <t>Age range grouping for customers, used for segmentation.</t>
  </si>
  <si>
    <t>Female, Male</t>
  </si>
  <si>
    <t>Gender identity of the customer.</t>
  </si>
  <si>
    <t>Middle, High</t>
  </si>
  <si>
    <t>Customer’s income tier classification (e.g., Low, Middle, High).</t>
  </si>
  <si>
    <t>Married, Single</t>
  </si>
  <si>
    <t>Customer’s marital status.</t>
  </si>
  <si>
    <t>Bachelor's, High School, Master's</t>
  </si>
  <si>
    <t>Highest level of education completed by the customer.</t>
  </si>
  <si>
    <t>Occupational category or job tier of the customer.</t>
  </si>
  <si>
    <t>Évry, Huocheng, Huzhen</t>
  </si>
  <si>
    <t>City where the customer resides.</t>
  </si>
  <si>
    <t>France, China, Nicaragua</t>
  </si>
  <si>
    <t>Country where the customer resides.</t>
  </si>
  <si>
    <t>Gardening &amp; Outdoors, Food &amp; Beverages, Office Supplies</t>
  </si>
  <si>
    <t>Type of product category purchased.</t>
  </si>
  <si>
    <t>Float</t>
  </si>
  <si>
    <t>333.8, 222.22, 426.22</t>
  </si>
  <si>
    <t>Total value of the customer’s purchase in currency units.</t>
  </si>
  <si>
    <t>4, 11, 2</t>
  </si>
  <si>
    <t>Number of times the customer purchased within a given period.</t>
  </si>
  <si>
    <t>Mixed, In-Store, Online</t>
  </si>
  <si>
    <t>Channel through which the purchase was made.</t>
  </si>
  <si>
    <t>5, 3</t>
  </si>
  <si>
    <t>5, 1</t>
  </si>
  <si>
    <t>120, 18, 60</t>
  </si>
  <si>
    <t>Minutes spent researching the product before purchase.</t>
  </si>
  <si>
    <t>None, Medium, Low</t>
  </si>
  <si>
    <t>Level of influence from social media on the purchase decision.</t>
  </si>
  <si>
    <t>Somewhat Sensitive, Not Sensitive</t>
  </si>
  <si>
    <t>Degree of responsiveness to discounts.</t>
  </si>
  <si>
    <t>Proportion of purchased items returned.</t>
  </si>
  <si>
    <t>7, 5</t>
  </si>
  <si>
    <t>None, High, Low</t>
  </si>
  <si>
    <t>Level of engagement with advertisements.</t>
  </si>
  <si>
    <t>Tablet, Smartphone, Desktop</t>
  </si>
  <si>
    <t>Device type used for making the purchase.</t>
  </si>
  <si>
    <t>Credit Card, PayPal, Debit Card</t>
  </si>
  <si>
    <t>Payment method used by the customer.</t>
  </si>
  <si>
    <t>Yes, No</t>
  </si>
  <si>
    <t>Indicates whether a discount was applied to the purchase.</t>
  </si>
  <si>
    <t>Indicates if the customer is enrolled in the loyalty program.</t>
  </si>
  <si>
    <t>Need-based, Wants-based, Impulsive</t>
  </si>
  <si>
    <t>Reason or motivation behind the purchase.</t>
  </si>
  <si>
    <t>No Preference, Standard, Express</t>
  </si>
  <si>
    <t>Preferred shipping method.</t>
  </si>
  <si>
    <t>2, 6, 3</t>
  </si>
  <si>
    <t>Time taken (in days) to make the purchase decision.</t>
  </si>
  <si>
    <t>March, April, October</t>
  </si>
  <si>
    <t>Month in which the purchase was made.</t>
  </si>
  <si>
    <t>Qtr-1, Qtr-2, Qtr-4</t>
  </si>
  <si>
    <t>Quarter in which the purchase was made.</t>
  </si>
  <si>
    <t>Loyalty rating given to the brand (scale-based ranging from 1 to 5 ).</t>
  </si>
  <si>
    <t>Customer’s rating of the purchased product (scale-based ranging from 1 to 5 ).</t>
  </si>
  <si>
    <t>Satisfaction rating given by the customer (scale-based ranging from 1 to 10).</t>
  </si>
  <si>
    <t>3/15/2024, 6/24/2024, 10/1/2024</t>
  </si>
  <si>
    <t>Purchase date in date format.</t>
  </si>
  <si>
    <t>25%, 9%, 50%</t>
  </si>
  <si>
    <t>Data Cleaning &amp; Transformation</t>
  </si>
  <si>
    <t>Checked for Duplicate Records</t>
  </si>
  <si>
    <t>Verified dataset contained no duplicate rows.</t>
  </si>
  <si>
    <t>Resolved Encoding Issues in “Location” Column</t>
  </si>
  <si>
    <t>Used AI-assisted lookup to identify the country for each city.</t>
  </si>
  <si>
    <r>
      <t xml:space="preserve">Split </t>
    </r>
    <r>
      <rPr>
        <sz val="10"/>
        <color theme="1"/>
        <rFont val="Arial Unicode MS"/>
      </rPr>
      <t>Location</t>
    </r>
    <r>
      <rPr>
        <sz val="11"/>
        <color theme="1"/>
        <rFont val="Calibri"/>
        <family val="2"/>
        <scheme val="minor"/>
      </rPr>
      <t xml:space="preserve"> into two separate columns: </t>
    </r>
    <r>
      <rPr>
        <sz val="10"/>
        <color theme="1"/>
        <rFont val="Arial Unicode MS"/>
      </rPr>
      <t>City</t>
    </r>
    <r>
      <rPr>
        <sz val="11"/>
        <color theme="1"/>
        <rFont val="Calibri"/>
        <family val="2"/>
        <scheme val="minor"/>
      </rPr>
      <t xml:space="preserve"> and </t>
    </r>
    <r>
      <rPr>
        <sz val="10"/>
        <color theme="1"/>
        <rFont val="Arial Unicode MS"/>
      </rPr>
      <t>Country</t>
    </r>
    <r>
      <rPr>
        <sz val="11"/>
        <color theme="1"/>
        <rFont val="Calibri"/>
        <family val="2"/>
        <scheme val="minor"/>
      </rPr>
      <t>.</t>
    </r>
  </si>
  <si>
    <t>Standardized Time Format for Product Research</t>
  </si>
  <si>
    <r>
      <t xml:space="preserve">Converted </t>
    </r>
    <r>
      <rPr>
        <sz val="10"/>
        <color theme="1"/>
        <rFont val="Arial Unicode MS"/>
      </rPr>
      <t>Time_Spent_on_Product_Research(hours)</t>
    </r>
    <r>
      <rPr>
        <sz val="11"/>
        <color theme="1"/>
        <rFont val="Calibri"/>
        <family val="2"/>
        <scheme val="minor"/>
      </rPr>
      <t xml:space="preserve"> values from hours to minutes for consistency in measurement.</t>
    </r>
  </si>
  <si>
    <t>Converted Boolean Values to Descriptive Labels</t>
  </si>
  <si>
    <r>
      <t xml:space="preserve">Transformed </t>
    </r>
    <r>
      <rPr>
        <sz val="10"/>
        <color theme="1"/>
        <rFont val="Arial Unicode MS"/>
      </rPr>
      <t>Discount_Used</t>
    </r>
    <r>
      <rPr>
        <sz val="11"/>
        <color theme="1"/>
        <rFont val="Calibri"/>
        <family val="2"/>
        <scheme val="minor"/>
      </rPr>
      <t xml:space="preserve"> and </t>
    </r>
    <r>
      <rPr>
        <sz val="10"/>
        <color theme="1"/>
        <rFont val="Arial Unicode MS"/>
      </rPr>
      <t>Customer_Loyalty_Program_Member</t>
    </r>
    <r>
      <rPr>
        <sz val="11"/>
        <color theme="1"/>
        <rFont val="Calibri"/>
        <family val="2"/>
        <scheme val="minor"/>
      </rPr>
      <t xml:space="preserve"> from Boolean (</t>
    </r>
    <r>
      <rPr>
        <sz val="10"/>
        <color theme="1"/>
        <rFont val="Arial Unicode MS"/>
      </rPr>
      <t>TRUE/FALSE</t>
    </r>
    <r>
      <rPr>
        <sz val="11"/>
        <color theme="1"/>
        <rFont val="Calibri"/>
        <family val="2"/>
        <scheme val="minor"/>
      </rPr>
      <t>) to categorical values (</t>
    </r>
    <r>
      <rPr>
        <sz val="10"/>
        <color theme="1"/>
        <rFont val="Arial Unicode MS"/>
      </rPr>
      <t>Yes/No</t>
    </r>
    <r>
      <rPr>
        <sz val="11"/>
        <color theme="1"/>
        <rFont val="Calibri"/>
        <family val="2"/>
        <scheme val="minor"/>
      </rPr>
      <t>).</t>
    </r>
  </si>
  <si>
    <t>Derived Time-Based Features</t>
  </si>
  <si>
    <r>
      <t xml:space="preserve">Extracted </t>
    </r>
    <r>
      <rPr>
        <sz val="10"/>
        <color theme="1"/>
        <rFont val="Arial Unicode MS"/>
      </rPr>
      <t>Quarter</t>
    </r>
    <r>
      <rPr>
        <sz val="11"/>
        <color theme="1"/>
        <rFont val="Calibri"/>
        <family val="2"/>
        <scheme val="minor"/>
      </rPr>
      <t xml:space="preserve"> and </t>
    </r>
    <r>
      <rPr>
        <sz val="10"/>
        <color theme="1"/>
        <rFont val="Arial Unicode MS"/>
      </rPr>
      <t>Month</t>
    </r>
    <r>
      <rPr>
        <sz val="11"/>
        <color theme="1"/>
        <rFont val="Calibri"/>
        <family val="2"/>
        <scheme val="minor"/>
      </rPr>
      <t xml:space="preserve"> from </t>
    </r>
    <r>
      <rPr>
        <sz val="10"/>
        <color theme="1"/>
        <rFont val="Arial Unicode MS"/>
      </rPr>
      <t>Time_of_Purchase</t>
    </r>
    <r>
      <rPr>
        <sz val="11"/>
        <color theme="1"/>
        <rFont val="Calibri"/>
        <family val="2"/>
        <scheme val="minor"/>
      </rPr>
      <t xml:space="preserve"> to enable seasonal and monthly trend analysis.</t>
    </r>
  </si>
  <si>
    <t>Classified Customer Ages into Groups</t>
  </si>
  <si>
    <r>
      <t xml:space="preserve">Created a new </t>
    </r>
    <r>
      <rPr>
        <sz val="10"/>
        <color theme="1"/>
        <rFont val="Arial Unicode MS"/>
      </rPr>
      <t>Age_Group</t>
    </r>
    <r>
      <rPr>
        <sz val="11"/>
        <color theme="1"/>
        <rFont val="Calibri"/>
        <family val="2"/>
        <scheme val="minor"/>
      </rPr>
      <t xml:space="preserve"> column by categorizing </t>
    </r>
    <r>
      <rPr>
        <sz val="10"/>
        <color theme="1"/>
        <rFont val="Arial Unicode MS"/>
      </rPr>
      <t>Customer_Age</t>
    </r>
    <r>
      <rPr>
        <sz val="11"/>
        <color theme="1"/>
        <rFont val="Calibri"/>
        <family val="2"/>
        <scheme val="minor"/>
      </rPr>
      <t xml:space="preserve"> into defined ranges for demographic segmentation.</t>
    </r>
  </si>
  <si>
    <t xml:space="preserve">       https://chatgpt.com/share/689e14be-3640-800a-9a73-c71c71415981</t>
  </si>
  <si>
    <r>
      <t xml:space="preserve">There were </t>
    </r>
    <r>
      <rPr>
        <b/>
        <sz val="11"/>
        <color theme="1"/>
        <rFont val="Calibri"/>
        <family val="2"/>
        <scheme val="minor"/>
      </rPr>
      <t>two</t>
    </r>
    <r>
      <rPr>
        <sz val="11"/>
        <color theme="1"/>
        <rFont val="Calibri"/>
        <family val="2"/>
        <scheme val="minor"/>
      </rPr>
      <t xml:space="preserve"> cities ChatGPT couldn't recognize. So we excluded them.</t>
    </r>
  </si>
  <si>
    <t>Total</t>
  </si>
  <si>
    <t xml:space="preserve">Sum of Purchase_Amount </t>
  </si>
  <si>
    <t>Row Labels</t>
  </si>
  <si>
    <t>Grand Total</t>
  </si>
  <si>
    <t xml:space="preserve">Average of Purchase_Amount </t>
  </si>
  <si>
    <t>No</t>
  </si>
  <si>
    <t>Yes</t>
  </si>
  <si>
    <t>Count of Customer_ID</t>
  </si>
  <si>
    <t>40-50</t>
  </si>
  <si>
    <t>Continent</t>
  </si>
  <si>
    <t>Europe</t>
  </si>
  <si>
    <t>Asia</t>
  </si>
  <si>
    <t>North America</t>
  </si>
  <si>
    <t>Europe/Asia</t>
  </si>
  <si>
    <t>South America</t>
  </si>
  <si>
    <t>Africa</t>
  </si>
  <si>
    <t>Oceania</t>
  </si>
  <si>
    <r>
      <t xml:space="preserve"> Imported data into Excel using UTF-8 encoding via </t>
    </r>
    <r>
      <rPr>
        <i/>
        <sz val="11"/>
        <color theme="1"/>
        <rFont val="Calibri"/>
        <family val="2"/>
        <scheme val="minor"/>
      </rPr>
      <t>Get Data</t>
    </r>
    <r>
      <rPr>
        <sz val="11"/>
        <color theme="1"/>
        <rFont val="Calibri"/>
        <family val="2"/>
        <scheme val="minor"/>
      </rPr>
      <t xml:space="preserve"> to fix text encoding errors (≈99% resolved).</t>
    </r>
  </si>
  <si>
    <t>Classified Countries into Continents</t>
  </si>
  <si>
    <t>Average of Customer_Satisfaction</t>
  </si>
  <si>
    <t>1-Which shipping preferences are most popular, and do they affect delivery satisfaction?</t>
  </si>
  <si>
    <t>What is the revenue contribution from each type of purchase intent (Need-based, Wants-based, Impulsive, Planned?</t>
  </si>
  <si>
    <t>How do sales volume and average purchase value differ between transactions with discounts versus no discounts?</t>
  </si>
  <si>
    <t>Which product categories perform best for each age category?</t>
  </si>
  <si>
    <t>5-What is the return rate across product categories and customer segments?</t>
  </si>
  <si>
    <t>customer satisfaction score(CSAT)</t>
  </si>
  <si>
    <t>Sum of Purchase_Amount (revenue)</t>
  </si>
  <si>
    <t>Average of Return_Rate</t>
  </si>
  <si>
    <t>KPIS</t>
  </si>
  <si>
    <t>Average Order Value</t>
  </si>
  <si>
    <t>Return Rate Avg</t>
  </si>
  <si>
    <t>Avg Satisfaction</t>
  </si>
  <si>
    <r>
      <t>Age group 30–39 shows the highest spending in technology-related categories (Jewelry &amp; Accessories,</t>
    </r>
    <r>
      <rPr>
        <i/>
        <sz val="10"/>
        <color theme="1"/>
        <rFont val="Myriad Pro"/>
        <family val="2"/>
      </rPr>
      <t>Electronics</t>
    </r>
    <r>
      <rPr>
        <sz val="10"/>
        <color theme="1"/>
        <rFont val="Myriad Pro"/>
        <family val="2"/>
      </rPr>
      <t>).</t>
    </r>
  </si>
  <si>
    <t>AVG time to decision</t>
  </si>
  <si>
    <r>
      <t xml:space="preserve">Age group 40–50 has strong purchasing power in </t>
    </r>
    <r>
      <rPr>
        <i/>
        <sz val="10"/>
        <color theme="1"/>
        <rFont val="Myriad Pro"/>
        <family val="2"/>
      </rPr>
      <t>Jewelry &amp; Accessories</t>
    </r>
    <r>
      <rPr>
        <sz val="10"/>
        <color theme="1"/>
        <rFont val="Myriad Pro"/>
        <family val="2"/>
      </rPr>
      <t xml:space="preserve"> and </t>
    </r>
    <r>
      <rPr>
        <i/>
        <sz val="10"/>
        <color theme="1"/>
        <rFont val="Myriad Pro"/>
        <family val="2"/>
      </rPr>
      <t>Toys &amp; Games</t>
    </r>
  </si>
  <si>
    <r>
      <t xml:space="preserve">Age group 20–29 spends significantly on </t>
    </r>
    <r>
      <rPr>
        <i/>
        <sz val="10"/>
        <color theme="1"/>
        <rFont val="Myriad Pro"/>
        <family val="2"/>
      </rPr>
      <t>Sports &amp;Software &amp; Apps</t>
    </r>
    <r>
      <rPr>
        <sz val="10"/>
        <color theme="1"/>
        <rFont val="Myriad Pro"/>
        <family val="2"/>
      </rPr>
      <t xml:space="preserve"> .</t>
    </r>
  </si>
  <si>
    <t>this pvt(return_rate_throgh_pruduct category&amp;_customer_segmats) showes ..</t>
  </si>
  <si>
    <r>
      <t>Wants-based &amp; Need-based</t>
    </r>
    <r>
      <rPr>
        <sz val="11"/>
        <color theme="1"/>
        <rFont val="Calibri"/>
        <family val="2"/>
        <scheme val="minor"/>
      </rPr>
      <t xml:space="preserve"> are the highest revenue contributors ( prioritize inventory and logistics for these segments).</t>
    </r>
  </si>
  <si>
    <r>
      <t>Total Revenue</t>
    </r>
    <r>
      <rPr>
        <sz val="11"/>
        <color theme="1"/>
        <rFont val="Calibri"/>
        <family val="2"/>
        <scheme val="minor"/>
      </rPr>
      <t xml:space="preserve"> is higher with discounts ($142,750) than without ($132,314) ( discounts boost overall sales).</t>
    </r>
  </si>
  <si>
    <t>Age group 10–19 spends on electronics,mobile accessories</t>
  </si>
  <si>
    <t xml:space="preserve">The highest return rates appear in Jewelry &amp; Accessories (26%), Gardening &amp; Outdoors </t>
  </si>
  <si>
    <r>
      <t>Planned purchases</t>
    </r>
    <r>
      <rPr>
        <sz val="11"/>
        <color theme="1"/>
        <rFont val="Calibri"/>
        <family val="2"/>
        <scheme val="minor"/>
      </rPr>
      <t xml:space="preserve"> have moderate revenue ( consider pre-offers or reminders to increase value).</t>
    </r>
  </si>
  <si>
    <r>
      <t>Sales Volume / Frequency</t>
    </r>
    <r>
      <rPr>
        <sz val="11"/>
        <color theme="1"/>
        <rFont val="Calibri"/>
        <family val="2"/>
        <scheme val="minor"/>
      </rPr>
      <t xml:space="preserve"> is higher with discounts (3,676 vs. 3,269) (discounts encourage more purchases).</t>
    </r>
  </si>
  <si>
    <r>
      <t>so we</t>
    </r>
    <r>
      <rPr>
        <b/>
        <sz val="10"/>
        <color theme="1"/>
        <rFont val="Myriad Pro"/>
        <family val="2"/>
      </rPr>
      <t xml:space="preserve"> recommended</t>
    </r>
    <r>
      <rPr>
        <sz val="10"/>
        <color theme="1"/>
        <rFont val="Myriad Pro"/>
        <family val="2"/>
      </rPr>
      <t xml:space="preserve"> Allocate inventory according to age-specific demand to prevent stockouts, </t>
    </r>
  </si>
  <si>
    <t>(25%), and Software &amp; Apps (24%) etc..</t>
  </si>
  <si>
    <r>
      <t>Impulsive purchases</t>
    </r>
    <r>
      <rPr>
        <sz val="11"/>
        <color theme="1"/>
        <rFont val="Calibri"/>
        <family val="2"/>
        <scheme val="minor"/>
      </rPr>
      <t xml:space="preserve"> are the lowest ( opportunity to boost sales via promotions or flash discounts).</t>
    </r>
  </si>
  <si>
    <r>
      <t>Average Purchase Value</t>
    </r>
    <r>
      <rPr>
        <sz val="11"/>
        <color theme="1"/>
        <rFont val="Calibri"/>
        <family val="2"/>
        <scheme val="minor"/>
      </rPr>
      <t xml:space="preserve"> is slightly lower with discounts ($38.84 vs. $40.45) (more orders but slightly lower per-order value).</t>
    </r>
  </si>
  <si>
    <t>Organize warehouses by product type for faster picking and fulfillment,Prioritize restocking cycles for high-frequency category</t>
  </si>
  <si>
    <t>recommendations:</t>
  </si>
  <si>
    <t xml:space="preserve"> these insights aim to optimize operations: stock allocation, shipping resources, and tailored customer experience.</t>
  </si>
  <si>
    <r>
      <t>Insight:</t>
    </r>
    <r>
      <rPr>
        <sz val="11"/>
        <color theme="1"/>
        <rFont val="Calibri"/>
        <family val="2"/>
        <scheme val="minor"/>
      </rPr>
      <t xml:space="preserve"> Plan inventory and shipping resources for discount periods, balancing increased sales volume with average order value and margins.</t>
    </r>
  </si>
  <si>
    <t>1-Maintain the quality of Standard Shipping and add small perks to encourage higher spending.</t>
  </si>
  <si>
    <t xml:space="preserve">Reduce returns by providing clearer product details, returning only pruducts with </t>
  </si>
  <si>
    <t xml:space="preserve">2-Improve clarity of shipping options and communication for No Preference customers to </t>
  </si>
  <si>
    <t>recommendation :</t>
  </si>
  <si>
    <t>manufacturing defects to control costs and improve operational performance</t>
  </si>
  <si>
    <t>choose Standard shipping by default or adding small benefits to raise satisfaction and loyalty.</t>
  </si>
  <si>
    <r>
      <t>Prepare inventory and shipping</t>
    </r>
    <r>
      <rPr>
        <sz val="11"/>
        <color theme="1"/>
        <rFont val="Calibri"/>
        <family val="2"/>
        <scheme val="minor"/>
      </rPr>
      <t xml:space="preserve"> for discount periods Spicially for (animal feeds,art&amp;craft,books,clothing,furnitur..etc.</t>
    </r>
  </si>
  <si>
    <t>3-Enhance delivery speed, reliability, and tracking for Express Shipping to justify the premium and boost satisfaction.</t>
  </si>
  <si>
    <r>
      <t>Balance promotions</t>
    </r>
    <r>
      <rPr>
        <sz val="11"/>
        <color theme="1"/>
        <rFont val="Calibri"/>
        <family val="2"/>
        <scheme val="minor"/>
      </rPr>
      <t xml:space="preserve"> to boost sales without hurting margins.</t>
    </r>
  </si>
  <si>
    <r>
      <t>Monitor and adjust</t>
    </r>
    <r>
      <rPr>
        <sz val="11"/>
        <color theme="1"/>
        <rFont val="Calibri"/>
        <family val="2"/>
        <scheme val="minor"/>
      </rPr>
      <t xml:space="preserve"> discounts for operational efficiency.</t>
    </r>
  </si>
  <si>
    <t>Average of Purchase_Amount (revenue)</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</si>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</sst>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5" formatCode="&quot;$&quot;#,##0_);\(&quot;$&quot;#,##0\)"/>
    <numFmt numFmtId="8" formatCode="&quot;$&quot;#,##0.00_);[Red]\(&quot;$&quot;#,##0.00\)"/>
    <numFmt numFmtId="44" formatCode="_(&quot;$&quot;* #,##0.00_);_(&quot;$&quot;* \(#,##0.00\);_(&quot;$&quot;* &quot;-&quot;??_);_(@_)"/>
    <numFmt numFmtId="165" formatCode="_(&quot;$&quot;* #,##0_);_(&quot;$&quot;* \(#,##0\);_(&quot;$&quot;* &quot;-&quot;??_);_(@_)"/>
    <numFmt numFmtId="167" formatCode="0.0"/>
    <numFmt numFmtId="169" formatCode="0.0%"/>
  </numFmts>
  <fonts count="2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22"/>
      <color theme="0"/>
      <name val="Calibri"/>
      <family val="2"/>
      <scheme val="minor"/>
    </font>
    <font>
      <i/>
      <sz val="11"/>
      <color theme="1"/>
      <name val="Calibri"/>
      <family val="2"/>
      <scheme val="minor"/>
    </font>
    <font>
      <sz val="10"/>
      <color theme="1"/>
      <name val="Arial Unicode MS"/>
    </font>
    <font>
      <b/>
      <sz val="12"/>
      <color theme="1"/>
      <name val="Calibri"/>
      <family val="2"/>
      <scheme val="minor"/>
    </font>
    <font>
      <b/>
      <sz val="11"/>
      <color theme="1"/>
      <name val="Myriad Pro"/>
      <family val="2"/>
    </font>
    <font>
      <sz val="12"/>
      <color theme="1"/>
      <name val="Myriad Pro"/>
      <family val="2"/>
    </font>
    <font>
      <b/>
      <sz val="12"/>
      <color rgb="FFFF0000"/>
      <name val="Calibri"/>
      <family val="2"/>
      <scheme val="minor"/>
    </font>
    <font>
      <sz val="10"/>
      <color theme="1"/>
      <name val="Myriad Pro"/>
      <family val="2"/>
    </font>
    <font>
      <i/>
      <sz val="10"/>
      <color theme="1"/>
      <name val="Myriad Pro"/>
      <family val="2"/>
    </font>
    <font>
      <b/>
      <sz val="10"/>
      <color theme="1"/>
      <name val="Myriad Pro"/>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18" fillId="0" borderId="0" applyNumberFormat="0" applyFill="0" applyBorder="0" applyAlignment="0" applyProtection="0"/>
  </cellStyleXfs>
  <cellXfs count="48">
    <xf numFmtId="0" fontId="0" fillId="0" borderId="0" xfId="0"/>
    <xf numFmtId="14" fontId="0" fillId="0" borderId="0" xfId="0" applyNumberFormat="1"/>
    <xf numFmtId="8" fontId="0" fillId="0" borderId="0" xfId="0" applyNumberFormat="1"/>
    <xf numFmtId="9" fontId="0" fillId="0" borderId="0" xfId="43" applyFont="1"/>
    <xf numFmtId="44" fontId="0" fillId="0" borderId="0" xfId="42" applyFont="1"/>
    <xf numFmtId="0" fontId="16" fillId="0" borderId="0" xfId="0" applyFont="1"/>
    <xf numFmtId="0" fontId="0" fillId="34" borderId="0" xfId="0" applyFill="1"/>
    <xf numFmtId="0" fontId="0" fillId="35" borderId="0" xfId="0" applyFill="1"/>
    <xf numFmtId="0" fontId="19" fillId="35" borderId="0" xfId="0" applyFont="1" applyFill="1"/>
    <xf numFmtId="0" fontId="13" fillId="33" borderId="10" xfId="0" applyFont="1" applyFill="1" applyBorder="1" applyAlignment="1">
      <alignment horizontal="center" vertical="center"/>
    </xf>
    <xf numFmtId="0" fontId="17" fillId="33" borderId="10" xfId="0" applyFont="1" applyFill="1" applyBorder="1" applyAlignment="1">
      <alignment horizontal="center" vertical="center"/>
    </xf>
    <xf numFmtId="0" fontId="0" fillId="36" borderId="10" xfId="0" applyFill="1" applyBorder="1"/>
    <xf numFmtId="0" fontId="0" fillId="0" borderId="0" xfId="0" applyAlignment="1">
      <alignment horizontal="left" vertical="center" indent="1"/>
    </xf>
    <xf numFmtId="0" fontId="18" fillId="0" borderId="0" xfId="45"/>
    <xf numFmtId="0" fontId="19" fillId="0" borderId="0" xfId="0" applyFont="1"/>
    <xf numFmtId="0" fontId="0" fillId="0" borderId="0" xfId="0" applyAlignment="1">
      <alignment horizontal="left"/>
    </xf>
    <xf numFmtId="44" fontId="0" fillId="0" borderId="0" xfId="0" applyNumberFormat="1"/>
    <xf numFmtId="0" fontId="0" fillId="0" borderId="0" xfId="0" pivotButton="1"/>
    <xf numFmtId="0" fontId="14" fillId="0" borderId="0" xfId="0" applyFont="1"/>
    <xf numFmtId="5" fontId="0" fillId="0" borderId="0" xfId="0" applyNumberFormat="1"/>
    <xf numFmtId="0" fontId="0" fillId="37" borderId="0" xfId="0" applyFill="1"/>
    <xf numFmtId="0" fontId="0" fillId="37" borderId="11" xfId="0" applyFill="1" applyBorder="1"/>
    <xf numFmtId="9" fontId="0" fillId="37" borderId="0" xfId="43" applyFont="1" applyFill="1"/>
    <xf numFmtId="0" fontId="0" fillId="36" borderId="0" xfId="0" applyFill="1"/>
    <xf numFmtId="165" fontId="0" fillId="37" borderId="0" xfId="42" applyNumberFormat="1" applyFont="1" applyFill="1"/>
    <xf numFmtId="0" fontId="0" fillId="38" borderId="0" xfId="0" applyFill="1"/>
    <xf numFmtId="2" fontId="0" fillId="37" borderId="0" xfId="0" applyNumberFormat="1" applyFill="1"/>
    <xf numFmtId="167" fontId="0" fillId="37" borderId="0" xfId="0" applyNumberFormat="1" applyFill="1"/>
    <xf numFmtId="165" fontId="0" fillId="0" borderId="0" xfId="0" applyNumberFormat="1"/>
    <xf numFmtId="0" fontId="0" fillId="33" borderId="0" xfId="0" applyFill="1"/>
    <xf numFmtId="0" fontId="24" fillId="0" borderId="0" xfId="0" applyFont="1"/>
    <xf numFmtId="0" fontId="22" fillId="36" borderId="0" xfId="0" applyFont="1" applyFill="1" applyAlignment="1">
      <alignment vertical="center"/>
    </xf>
    <xf numFmtId="9" fontId="0" fillId="37" borderId="0" xfId="0" applyNumberFormat="1" applyFill="1"/>
    <xf numFmtId="0" fontId="25" fillId="37" borderId="0" xfId="0" applyFont="1" applyFill="1"/>
    <xf numFmtId="0" fontId="23" fillId="37" borderId="11" xfId="0" applyFont="1" applyFill="1" applyBorder="1"/>
    <xf numFmtId="0" fontId="26" fillId="0" borderId="0" xfId="0" applyFont="1"/>
    <xf numFmtId="0" fontId="14" fillId="0" borderId="0" xfId="0" applyFont="1" applyAlignment="1">
      <alignment horizontal="left" vertical="center" indent="1"/>
    </xf>
    <xf numFmtId="0" fontId="0" fillId="38" borderId="0" xfId="0" applyFill="1" applyAlignment="1">
      <alignment horizontal="center" vertical="top"/>
    </xf>
    <xf numFmtId="0" fontId="0" fillId="38" borderId="0" xfId="0" applyFill="1" applyAlignment="1">
      <alignment horizontal="center"/>
    </xf>
    <xf numFmtId="2" fontId="0" fillId="0" borderId="0" xfId="0" applyNumberFormat="1"/>
    <xf numFmtId="0" fontId="0" fillId="37" borderId="11" xfId="0" applyFill="1" applyBorder="1" applyAlignment="1">
      <alignment wrapText="1"/>
    </xf>
    <xf numFmtId="2" fontId="0" fillId="37" borderId="11" xfId="0" applyNumberFormat="1" applyFill="1" applyBorder="1" applyAlignment="1">
      <alignment wrapText="1"/>
    </xf>
    <xf numFmtId="169" fontId="0" fillId="0" borderId="0" xfId="0" applyNumberFormat="1"/>
    <xf numFmtId="0" fontId="0" fillId="0" borderId="0" xfId="0" applyAlignment="1">
      <alignment horizontal="center" vertical="top"/>
    </xf>
    <xf numFmtId="165" fontId="0" fillId="0" borderId="0" xfId="0" applyNumberFormat="1" applyAlignment="1">
      <alignment horizontal="center" vertical="top"/>
    </xf>
    <xf numFmtId="165" fontId="0" fillId="0" borderId="0" xfId="0" applyNumberFormat="1" applyAlignment="1">
      <alignment horizontal="center"/>
    </xf>
    <xf numFmtId="0" fontId="0" fillId="36" borderId="11" xfId="0" applyFill="1" applyBorder="1"/>
    <xf numFmtId="2" fontId="0" fillId="37" borderId="11" xfId="0" applyNumberFormat="1" applyFill="1" applyBorder="1"/>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Currency 2" xfId="44" xr:uid="{A877BFA7-FF65-4FC0-8434-148AFC48BD4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5"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97">
    <dxf>
      <numFmt numFmtId="9" formatCode="&quot;$&quot;#,##0_);\(&quot;$&quot;#,##0\)"/>
    </dxf>
    <dxf>
      <numFmt numFmtId="165" formatCode="_(&quot;$&quot;* #,##0_);_(&quot;$&quot;* \(#,##0\);_(&quot;$&quot;* &quot;-&quot;??_);_(@_)"/>
    </dxf>
    <dxf>
      <fill>
        <patternFill>
          <bgColor theme="4" tint="0.79998168889431442"/>
        </patternFill>
      </fill>
    </dxf>
    <dxf>
      <fill>
        <patternFill>
          <bgColor theme="4" tint="0.79998168889431442"/>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2" formatCode="0.00"/>
    </dxf>
    <dxf>
      <alignment wrapText="1"/>
    </dxf>
    <dxf>
      <alignment wrapText="1"/>
    </dxf>
    <dxf>
      <alignment wrapText="0"/>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alignment wrapText="0"/>
    </dxf>
    <dxf>
      <alignment wrapText="0"/>
    </dxf>
    <dxf>
      <alignment wrapText="0"/>
    </dxf>
    <dxf>
      <alignment wrapText="0"/>
    </dxf>
    <dxf>
      <alignment wrapText="0"/>
    </dxf>
    <dxf>
      <alignment wrapText="0"/>
    </dxf>
    <dxf>
      <alignment wrapText="0"/>
    </dxf>
    <dxf>
      <alignment wrapText="0"/>
    </dxf>
    <dxf>
      <fill>
        <patternFill>
          <bgColor theme="8" tint="0.79998168889431442"/>
        </patternFill>
      </fill>
    </dxf>
    <dxf>
      <fill>
        <patternFill>
          <bgColor theme="8" tint="0.79998168889431442"/>
        </patternFill>
      </fill>
    </dxf>
    <dxf>
      <fill>
        <patternFill>
          <bgColor theme="0"/>
        </patternFill>
      </fill>
    </dxf>
    <dxf>
      <fill>
        <patternFill>
          <bgColor theme="0"/>
        </patternFill>
      </fill>
    </dxf>
    <dxf>
      <fill>
        <patternFill>
          <bgColor theme="0"/>
        </patternFill>
      </fill>
    </dxf>
    <dxf>
      <numFmt numFmtId="2" formatCode="0.00"/>
    </dxf>
    <dxf>
      <fill>
        <patternFill patternType="solid">
          <bgColor theme="4" tint="0.79998168889431442"/>
        </patternFill>
      </fill>
    </dxf>
    <dxf>
      <fill>
        <patternFill patternType="solid">
          <bgColor theme="4" tint="0.79998168889431442"/>
        </patternFill>
      </fill>
    </dxf>
    <dxf>
      <alignment horizontal="center"/>
    </dxf>
    <dxf>
      <alignment horizontal="center"/>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numFmt numFmtId="165" formatCode="_(&quot;$&quot;* #,##0_);_(&quot;$&quot;* \(#,##0\);_(&quot;$&quot;* &quot;-&quot;??_);_(@_)"/>
    </dxf>
    <dxf>
      <fill>
        <patternFill>
          <bgColor theme="4" tint="0.79998168889431442"/>
        </patternFill>
      </fill>
    </dxf>
    <dxf>
      <fill>
        <patternFill>
          <bgColor theme="4" tint="0.79998168889431442"/>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2" formatCode="0.00"/>
    </dxf>
    <dxf>
      <numFmt numFmtId="13" formatCode="0%"/>
    </dxf>
    <dxf>
      <numFmt numFmtId="13" formatCode="0%"/>
    </dxf>
    <dxf>
      <fill>
        <patternFill>
          <bgColor theme="8" tint="0.79998168889431442"/>
        </patternFill>
      </fill>
    </dxf>
    <dxf>
      <fill>
        <patternFill>
          <bgColor theme="8" tint="0.79998168889431442"/>
        </patternFill>
      </fill>
    </dxf>
    <dxf>
      <fill>
        <patternFill>
          <bgColor theme="0"/>
        </patternFill>
      </fill>
    </dxf>
    <dxf>
      <fill>
        <patternFill>
          <bgColor theme="0"/>
        </patternFill>
      </fill>
    </dxf>
    <dxf>
      <fill>
        <patternFill>
          <bgColor theme="0"/>
        </patternFill>
      </fill>
    </dxf>
    <dxf>
      <numFmt numFmtId="2" formatCode="0.00"/>
    </dxf>
    <dxf>
      <fill>
        <patternFill>
          <bgColor theme="8" tint="0.79998168889431442"/>
        </patternFill>
      </fill>
    </dxf>
    <dxf>
      <fill>
        <patternFill>
          <bgColor theme="0"/>
        </patternFill>
      </fill>
    </dxf>
    <dxf>
      <fill>
        <patternFill>
          <bgColor theme="0"/>
        </patternFill>
      </fill>
    </dxf>
    <dxf>
      <fill>
        <patternFill>
          <bgColor theme="0"/>
        </patternFill>
      </fill>
    </dxf>
    <dxf>
      <numFmt numFmtId="2" formatCode="0.00"/>
    </dxf>
    <dxf>
      <numFmt numFmtId="169" formatCode="0.0%"/>
    </dxf>
    <dxf>
      <numFmt numFmtId="14" formatCode="0.00%"/>
    </dxf>
    <dxf>
      <numFmt numFmtId="165" formatCode="_(&quot;$&quot;* #,##0_);_(&quot;$&quot;* \(#,##0\);_(&quot;$&quot;* &quot;-&quot;??_);_(@_)"/>
    </dxf>
    <dxf>
      <fill>
        <patternFill>
          <bgColor theme="4" tint="0.79998168889431442"/>
        </patternFill>
      </fill>
    </dxf>
    <dxf>
      <fill>
        <patternFill>
          <bgColor theme="4" tint="0.79998168889431442"/>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2" formatCode="0.00"/>
    </dxf>
    <dxf>
      <numFmt numFmtId="0" formatCode="General"/>
    </dxf>
    <dxf>
      <numFmt numFmtId="0" formatCode="General"/>
    </dxf>
    <dxf>
      <numFmt numFmtId="19" formatCode="m/d/yyyy"/>
    </dxf>
    <dxf>
      <numFmt numFmtId="0" formatCode="General"/>
    </dxf>
    <dxf>
      <numFmt numFmtId="13" formatCode="0%"/>
    </dxf>
    <dxf>
      <numFmt numFmtId="0" formatCode="General"/>
    </dxf>
    <dxf>
      <numFmt numFmtId="0" formatCode="General"/>
    </dxf>
    <dxf>
      <numFmt numFmtId="34" formatCode="_(&quot;$&quot;* #,##0.00_);_(&quot;$&quot;* \(#,##0.00\);_(&quot;$&quot;* &quot;-&quot;??_);_(@_)"/>
    </dxf>
    <dxf>
      <numFmt numFmtId="0" formatCode="General"/>
    </dxf>
    <dxf>
      <numFmt numFmtId="0" formatCode="General"/>
    </dxf>
    <dxf>
      <numFmt numFmtId="19" formatCode="m/d/yyyy"/>
    </dxf>
    <dxf>
      <font>
        <sz val="8"/>
        <color theme="1" tint="0.34998626667073579"/>
      </font>
    </dxf>
    <dxf>
      <font>
        <b/>
        <color theme="1"/>
      </font>
      <border>
        <left style="thin">
          <color rgb="FF3D8486"/>
        </left>
        <right style="thin">
          <color rgb="FF3D8486"/>
        </right>
        <top style="thin">
          <color rgb="FF3D8486"/>
        </top>
        <bottom style="thin">
          <color rgb="FF3D8486"/>
        </bottom>
        <vertical/>
        <horizontal/>
      </border>
    </dxf>
    <dxf>
      <font>
        <b/>
        <i val="0"/>
        <u val="none"/>
        <sz val="8"/>
        <color rgb="FF3D8486"/>
        <name val="Myriad Pro Cond"/>
        <family val="2"/>
        <scheme val="none"/>
      </font>
      <fill>
        <patternFill patternType="solid">
          <fgColor rgb="FF3D8486"/>
          <bgColor auto="1"/>
        </patternFill>
      </fill>
      <border>
        <left style="thin">
          <color rgb="FF3D8486"/>
        </left>
        <right style="thin">
          <color rgb="FF3D8486"/>
        </right>
        <top style="thin">
          <color rgb="FF3D8486"/>
        </top>
        <bottom style="thin">
          <color rgb="FF3D8486"/>
        </bottom>
        <vertical/>
        <horizontal/>
      </border>
    </dxf>
  </dxfs>
  <tableStyles count="3" defaultTableStyle="TableStyleMedium2" defaultPivotStyle="PivotStyleLight16">
    <tableStyle name="Invisible" pivot="0" table="0" count="0" xr9:uid="{75E34FAF-8D70-4E02-9F66-2F576574463F}"/>
    <tableStyle name="new" pivot="0" table="0" count="10" xr9:uid="{71C2891B-53E2-41E8-A96B-75BC0056E5BB}">
      <tableStyleElement type="wholeTable" dxfId="96"/>
      <tableStyleElement type="headerRow" dxfId="95"/>
    </tableStyle>
    <tableStyle name="Slicer Style 1" pivot="0" table="0" count="1" xr9:uid="{853373B7-C1E0-4F78-9AE8-3951A9CD021E}">
      <tableStyleElement type="headerRow" dxfId="94"/>
    </tableStyle>
  </tableStyles>
  <colors>
    <mruColors>
      <color rgb="FF5D8FAB"/>
      <color rgb="FF1A486C"/>
      <color rgb="FF8FAADC"/>
      <color rgb="FF6296C6"/>
      <color rgb="FF508BC0"/>
      <color rgb="FF6498C8"/>
      <color rgb="FF729EB6"/>
      <color rgb="FF5171B7"/>
      <color rgb="FF24649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0"/>
            <color rgb="FF3D8486"/>
            <name val="Myriad Pro"/>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sz val="8"/>
            <color rgb="FF1A486C"/>
            <name val="Myriad Pro"/>
            <family val="2"/>
            <scheme val="none"/>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9"/>
            <color rgb="FF5D8FAB"/>
            <name val="Myriad Pro"/>
            <family val="2"/>
            <scheme val="none"/>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[Marwa - Operational Performance (Final Dashboard - Modified).xlsx]Oper. Perf. Analysis!Discount Usage vs. No Discount – Sales Volume &amp; Average Value </c:name>
    <c:fmtId val="65"/>
  </c:pivotSource>
  <c:chart>
    <c:title>
      <c:tx>
        <c:rich>
          <a:bodyPr rot="0" spcFirstLastPara="1" vertOverflow="ellipsis" vert="horz" wrap="square" anchor="ctr" anchorCtr="1"/>
          <a:lstStyle/>
          <a:p>
            <a:pPr>
              <a:defRPr lang="en-US" sz="700" b="0" i="0" u="none" strike="noStrike" kern="1200" spc="0" baseline="0">
                <a:solidFill>
                  <a:schemeClr val="bg1">
                    <a:lumMod val="50000"/>
                  </a:schemeClr>
                </a:solidFill>
                <a:latin typeface="Myriad Pro" panose="020B0503030403020204" pitchFamily="34" charset="0"/>
                <a:ea typeface="+mn-ea"/>
                <a:cs typeface="+mn-cs"/>
              </a:defRPr>
            </a:pPr>
            <a:r>
              <a:rPr lang="en-US" sz="700" b="0" i="0" u="none" strike="noStrike" kern="1200" spc="0" baseline="0">
                <a:solidFill>
                  <a:schemeClr val="bg1">
                    <a:lumMod val="50000"/>
                  </a:schemeClr>
                </a:solidFill>
                <a:latin typeface="Myriad Pro" panose="020B0503030403020204" pitchFamily="34" charset="0"/>
                <a:ea typeface="+mn-ea"/>
                <a:cs typeface="+mn-cs"/>
              </a:rPr>
              <a:t>Discount Effect On Sales Volume &amp; Average Sales Value</a:t>
            </a:r>
          </a:p>
        </c:rich>
      </c:tx>
      <c:overlay val="0"/>
      <c:spPr>
        <a:noFill/>
        <a:ln>
          <a:noFill/>
        </a:ln>
        <a:effectLst/>
      </c:spPr>
      <c:txPr>
        <a:bodyPr rot="0" spcFirstLastPara="1" vertOverflow="ellipsis" vert="horz" wrap="square" anchor="ctr" anchorCtr="1"/>
        <a:lstStyle/>
        <a:p>
          <a:pPr>
            <a:defRPr lang="en-US" sz="700" b="0" i="0" u="none" strike="noStrike" kern="1200" spc="0" baseline="0">
              <a:solidFill>
                <a:schemeClr val="bg1">
                  <a:lumMod val="50000"/>
                </a:schemeClr>
              </a:solidFill>
              <a:latin typeface="Myriad Pro" panose="020B05030304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4.1666666666666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dLbl>
          <c:idx val="0"/>
          <c:layout>
            <c:manualLayout>
              <c:x val="6.073855209813326E-3"/>
              <c:y val="-5.606729841709214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dLbl>
          <c:idx val="0"/>
          <c:layout>
            <c:manualLayout>
              <c:x val="-5.56763629118611E-17"/>
              <c:y val="-5.0460568575382926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c:spPr>
        <c:dLbl>
          <c:idx val="0"/>
          <c:layout>
            <c:manualLayout>
              <c:x val="-5.56763629118611E-17"/>
              <c:y val="-5.0460568575382926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solidFill>
          <a:ln>
            <a:noFill/>
          </a:ln>
          <a:effectLst/>
        </c:spPr>
        <c:dLbl>
          <c:idx val="0"/>
          <c:layout>
            <c:manualLayout>
              <c:x val="6.073855209813326E-3"/>
              <c:y val="-5.606729841709214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D8F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yriad Pro" panose="020B05030304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800" b="0" i="0" u="none" strike="noStrike" kern="1200" baseline="0">
                  <a:solidFill>
                    <a:schemeClr val="bg1">
                      <a:lumMod val="50000"/>
                    </a:schemeClr>
                  </a:solidFill>
                  <a:latin typeface="Myriad Pro" panose="020B05030304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solidFill>
          <a:ln>
            <a:noFill/>
          </a:ln>
          <a:effectLst/>
        </c:spPr>
        <c:dLbl>
          <c:idx val="0"/>
          <c:layout>
            <c:manualLayout>
              <c:x val="-4.2567111911953779E-3"/>
              <c:y val="-6.8601424821897267E-2"/>
            </c:manualLayout>
          </c:layout>
          <c:spPr>
            <a:noFill/>
            <a:ln>
              <a:noFill/>
            </a:ln>
            <a:effectLst/>
          </c:spPr>
          <c:txPr>
            <a:bodyPr rot="0" spcFirstLastPara="1" vertOverflow="ellipsis" vert="horz" wrap="square" lIns="38100" tIns="19050" rIns="38100" bIns="19050" anchor="t" anchorCtr="0">
              <a:spAutoFit/>
            </a:bodyPr>
            <a:lstStyle/>
            <a:p>
              <a:pPr>
                <a:defRPr sz="800" b="0" i="0" u="none" strike="noStrike" kern="1200" baseline="0">
                  <a:solidFill>
                    <a:schemeClr val="bg1">
                      <a:lumMod val="50000"/>
                    </a:schemeClr>
                  </a:solidFill>
                  <a:latin typeface="Myriad Pro" panose="020B05030304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solidFill>
          <a:ln>
            <a:noFill/>
          </a:ln>
          <a:effectLst/>
        </c:spPr>
        <c:dLbl>
          <c:idx val="0"/>
          <c:layout>
            <c:manualLayout>
              <c:x val="6.073855209813326E-3"/>
              <c:y val="-5.606729841709214E-2"/>
            </c:manualLayout>
          </c:layout>
          <c:spPr>
            <a:noFill/>
            <a:ln>
              <a:noFill/>
            </a:ln>
            <a:effectLst/>
          </c:spPr>
          <c:txPr>
            <a:bodyPr rot="0" spcFirstLastPara="1" vertOverflow="ellipsis" vert="horz" wrap="square" lIns="38100" tIns="19050" rIns="38100" bIns="19050" anchor="t" anchorCtr="0">
              <a:spAutoFit/>
            </a:bodyPr>
            <a:lstStyle/>
            <a:p>
              <a:pPr>
                <a:defRPr sz="800" b="0" i="0" u="none" strike="noStrike" kern="1200" baseline="0">
                  <a:solidFill>
                    <a:schemeClr val="bg1">
                      <a:lumMod val="50000"/>
                    </a:schemeClr>
                  </a:solidFill>
                  <a:latin typeface="Myriad Pro" panose="020B05030304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'Oper. Perf. Analysis'!$AH$3</c:f>
              <c:strCache>
                <c:ptCount val="1"/>
                <c:pt idx="0">
                  <c:v>Sum of Purchase_Amount (revenue)</c:v>
                </c:pt>
              </c:strCache>
            </c:strRef>
          </c:tx>
          <c:spPr>
            <a:solidFill>
              <a:srgbClr val="5D8FA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yriad Pro" panose="020B0503030403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 Perf. Analysis'!$AG$4:$AG$5</c:f>
              <c:strCache>
                <c:ptCount val="2"/>
                <c:pt idx="0">
                  <c:v>Yes</c:v>
                </c:pt>
                <c:pt idx="1">
                  <c:v>No</c:v>
                </c:pt>
              </c:strCache>
            </c:strRef>
          </c:cat>
          <c:val>
            <c:numRef>
              <c:f>'Oper. Perf. Analysis'!$AH$4:$AH$5</c:f>
              <c:numCache>
                <c:formatCode>_("$"* #,##0_);_("$"* \(#,##0\);_("$"* "-"??_);_(@_)</c:formatCode>
                <c:ptCount val="2"/>
                <c:pt idx="0">
                  <c:v>50860.65</c:v>
                </c:pt>
                <c:pt idx="1">
                  <c:v>42325.479999999989</c:v>
                </c:pt>
              </c:numCache>
            </c:numRef>
          </c:val>
          <c:extLst>
            <c:ext xmlns:c16="http://schemas.microsoft.com/office/drawing/2014/chart" uri="{C3380CC4-5D6E-409C-BE32-E72D297353CC}">
              <c16:uniqueId val="{00000000-57A4-480C-8FE3-2ED508A101A6}"/>
            </c:ext>
          </c:extLst>
        </c:ser>
        <c:ser>
          <c:idx val="1"/>
          <c:order val="1"/>
          <c:tx>
            <c:strRef>
              <c:f>'Oper. Perf. Analysis'!$AI$3</c:f>
              <c:strCache>
                <c:ptCount val="1"/>
                <c:pt idx="0">
                  <c:v>Average of Purchase_Amount </c:v>
                </c:pt>
              </c:strCache>
            </c:strRef>
          </c:tx>
          <c:spPr>
            <a:solidFill>
              <a:schemeClr val="bg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1-57A4-480C-8FE3-2ED508A101A6}"/>
              </c:ext>
            </c:extLst>
          </c:dPt>
          <c:dPt>
            <c:idx val="1"/>
            <c:invertIfNegative val="0"/>
            <c:bubble3D val="0"/>
            <c:spPr>
              <a:solidFill>
                <a:schemeClr val="bg1"/>
              </a:solidFill>
              <a:ln>
                <a:noFill/>
              </a:ln>
              <a:effectLst/>
            </c:spPr>
            <c:extLst>
              <c:ext xmlns:c16="http://schemas.microsoft.com/office/drawing/2014/chart" uri="{C3380CC4-5D6E-409C-BE32-E72D297353CC}">
                <c16:uniqueId val="{00000002-57A4-480C-8FE3-2ED508A101A6}"/>
              </c:ext>
            </c:extLst>
          </c:dPt>
          <c:dLbls>
            <c:dLbl>
              <c:idx val="0"/>
              <c:layout>
                <c:manualLayout>
                  <c:x val="-4.2567111911953779E-3"/>
                  <c:y val="-6.860142482189726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A4-480C-8FE3-2ED508A101A6}"/>
                </c:ext>
              </c:extLst>
            </c:dLbl>
            <c:dLbl>
              <c:idx val="1"/>
              <c:layout>
                <c:manualLayout>
                  <c:x val="6.073855209813326E-3"/>
                  <c:y val="-5.60672984170921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A4-480C-8FE3-2ED508A101A6}"/>
                </c:ext>
              </c:extLst>
            </c:dLbl>
            <c:spPr>
              <a:noFill/>
              <a:ln>
                <a:noFill/>
              </a:ln>
              <a:effectLst/>
            </c:spPr>
            <c:txPr>
              <a:bodyPr rot="0" spcFirstLastPara="1" vertOverflow="ellipsis" vert="horz" wrap="square" lIns="38100" tIns="19050" rIns="38100" bIns="19050" anchor="t" anchorCtr="0">
                <a:spAutoFit/>
              </a:bodyPr>
              <a:lstStyle/>
              <a:p>
                <a:pPr>
                  <a:defRPr sz="800" b="0" i="0" u="none" strike="noStrike" kern="1200" baseline="0">
                    <a:solidFill>
                      <a:schemeClr val="bg1">
                        <a:lumMod val="50000"/>
                      </a:schemeClr>
                    </a:solidFill>
                    <a:latin typeface="Myriad Pro" panose="020B0503030403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 Perf. Analysis'!$AG$4:$AG$5</c:f>
              <c:strCache>
                <c:ptCount val="2"/>
                <c:pt idx="0">
                  <c:v>Yes</c:v>
                </c:pt>
                <c:pt idx="1">
                  <c:v>No</c:v>
                </c:pt>
              </c:strCache>
            </c:strRef>
          </c:cat>
          <c:val>
            <c:numRef>
              <c:f>'Oper. Perf. Analysis'!$AI$4:$AI$5</c:f>
              <c:numCache>
                <c:formatCode>"$"#,##0_);\("$"#,##0\)</c:formatCode>
                <c:ptCount val="2"/>
                <c:pt idx="0">
                  <c:v>273.44435483870967</c:v>
                </c:pt>
                <c:pt idx="1">
                  <c:v>273.06761290322572</c:v>
                </c:pt>
              </c:numCache>
            </c:numRef>
          </c:val>
          <c:extLst>
            <c:ext xmlns:c16="http://schemas.microsoft.com/office/drawing/2014/chart" uri="{C3380CC4-5D6E-409C-BE32-E72D297353CC}">
              <c16:uniqueId val="{00000003-57A4-480C-8FE3-2ED508A101A6}"/>
            </c:ext>
          </c:extLst>
        </c:ser>
        <c:dLbls>
          <c:dLblPos val="ctr"/>
          <c:showLegendKey val="0"/>
          <c:showVal val="1"/>
          <c:showCatName val="0"/>
          <c:showSerName val="0"/>
          <c:showPercent val="0"/>
          <c:showBubbleSize val="0"/>
        </c:dLbls>
        <c:gapWidth val="150"/>
        <c:overlap val="100"/>
        <c:axId val="1853721535"/>
        <c:axId val="1853722015"/>
      </c:barChart>
      <c:catAx>
        <c:axId val="185372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lumMod val="50000"/>
                  </a:schemeClr>
                </a:solidFill>
                <a:latin typeface="Myriad Pro" panose="020B0503030403020204" pitchFamily="34" charset="0"/>
                <a:ea typeface="+mn-ea"/>
                <a:cs typeface="+mn-cs"/>
              </a:defRPr>
            </a:pPr>
            <a:endParaRPr lang="en-US"/>
          </a:p>
        </c:txPr>
        <c:crossAx val="1853722015"/>
        <c:crosses val="autoZero"/>
        <c:auto val="1"/>
        <c:lblAlgn val="ctr"/>
        <c:lblOffset val="100"/>
        <c:noMultiLvlLbl val="0"/>
      </c:catAx>
      <c:valAx>
        <c:axId val="1853722015"/>
        <c:scaling>
          <c:orientation val="minMax"/>
          <c:max val="45500"/>
          <c:min val="0"/>
        </c:scaling>
        <c:delete val="1"/>
        <c:axPos val="l"/>
        <c:numFmt formatCode="_(&quot;$&quot;* #,##0_);_(&quot;$&quot;* \(#,##0\);_(&quot;$&quot;* &quot;-&quot;??_);_(@_)" sourceLinked="1"/>
        <c:majorTickMark val="none"/>
        <c:minorTickMark val="none"/>
        <c:tickLblPos val="nextTo"/>
        <c:crossAx val="185372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[Marwa - Operational Performance (Final Dashboard - Modified).xlsx]Oper. Perf. Analysis!Revenue_Contribution_by_Purchase_Intent </c:name>
    <c:fmtId val="63"/>
  </c:pivotSource>
  <c:chart>
    <c:title>
      <c:tx>
        <c:rich>
          <a:bodyPr rot="0" spcFirstLastPara="1" vertOverflow="ellipsis" vert="horz" wrap="square" anchor="ctr" anchorCtr="1"/>
          <a:lstStyle/>
          <a:p>
            <a:pPr algn="ctr" rtl="0">
              <a:defRPr lang="en-US" sz="700" b="0" i="0" u="none" strike="noStrike" kern="1200" spc="0" baseline="0">
                <a:solidFill>
                  <a:schemeClr val="bg1">
                    <a:lumMod val="50000"/>
                  </a:schemeClr>
                </a:solidFill>
                <a:latin typeface="Myriad Pro" panose="020B0503030403020204" pitchFamily="34" charset="0"/>
                <a:ea typeface="+mn-ea"/>
                <a:cs typeface="+mn-cs"/>
              </a:defRPr>
            </a:pPr>
            <a:r>
              <a:rPr lang="en-US" sz="700" b="0" i="0" u="none" strike="noStrike" kern="1200" spc="0" baseline="0">
                <a:solidFill>
                  <a:schemeClr val="bg1">
                    <a:lumMod val="50000"/>
                  </a:schemeClr>
                </a:solidFill>
                <a:latin typeface="Myriad Pro" panose="020B0503030403020204" pitchFamily="34" charset="0"/>
                <a:ea typeface="+mn-ea"/>
                <a:cs typeface="+mn-cs"/>
              </a:rPr>
              <a:t>Revenue Contribution by Purchase Intent </a:t>
            </a:r>
          </a:p>
        </c:rich>
      </c:tx>
      <c:overlay val="0"/>
      <c:spPr>
        <a:noFill/>
        <a:ln>
          <a:noFill/>
        </a:ln>
        <a:effectLst/>
      </c:spPr>
      <c:txPr>
        <a:bodyPr rot="0" spcFirstLastPara="1" vertOverflow="ellipsis" vert="horz" wrap="square" anchor="ctr" anchorCtr="1"/>
        <a:lstStyle/>
        <a:p>
          <a:pPr algn="ctr" rtl="0">
            <a:defRPr lang="en-US" sz="700" b="0" i="0" u="none" strike="noStrike" kern="1200" spc="0" baseline="0">
              <a:solidFill>
                <a:schemeClr val="bg1">
                  <a:lumMod val="50000"/>
                </a:schemeClr>
              </a:solidFill>
              <a:latin typeface="Myriad Pro" panose="020B0503030403020204" pitchFamily="34" charset="0"/>
              <a:ea typeface="+mn-ea"/>
              <a:cs typeface="+mn-cs"/>
            </a:defRPr>
          </a:pPr>
          <a:endParaRPr lang="en-US"/>
        </a:p>
      </c:txPr>
    </c:title>
    <c:autoTitleDeleted val="0"/>
    <c:pivotFmts>
      <c:pivotFmt>
        <c:idx val="0"/>
        <c:spPr>
          <a:solidFill>
            <a:srgbClr val="3D84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D84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D84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yriad Pro" panose="020B05030304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D8FAB"/>
          </a:solidFill>
          <a:ln>
            <a:noFill/>
          </a:ln>
          <a:effectLst/>
        </c:spPr>
      </c:pivotFmt>
    </c:pivotFmts>
    <c:plotArea>
      <c:layout/>
      <c:barChart>
        <c:barDir val="bar"/>
        <c:grouping val="clustered"/>
        <c:varyColors val="0"/>
        <c:ser>
          <c:idx val="0"/>
          <c:order val="0"/>
          <c:tx>
            <c:strRef>
              <c:f>'Oper. Perf. Analysis'!$S$4</c:f>
              <c:strCache>
                <c:ptCount val="1"/>
                <c:pt idx="0">
                  <c:v>Total</c:v>
                </c:pt>
              </c:strCache>
            </c:strRef>
          </c:tx>
          <c:spPr>
            <a:solidFill>
              <a:schemeClr val="bg1">
                <a:lumMod val="85000"/>
              </a:schemeClr>
            </a:solidFill>
            <a:ln>
              <a:noFill/>
            </a:ln>
            <a:effectLst/>
          </c:spPr>
          <c:invertIfNegative val="0"/>
          <c:dPt>
            <c:idx val="3"/>
            <c:invertIfNegative val="0"/>
            <c:bubble3D val="0"/>
            <c:spPr>
              <a:solidFill>
                <a:srgbClr val="5D8FAB"/>
              </a:solidFill>
              <a:ln>
                <a:noFill/>
              </a:ln>
              <a:effectLst/>
            </c:spPr>
            <c:extLst>
              <c:ext xmlns:c16="http://schemas.microsoft.com/office/drawing/2014/chart" uri="{C3380CC4-5D6E-409C-BE32-E72D297353CC}">
                <c16:uniqueId val="{00000001-4655-416A-86F2-8AD32946570D}"/>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yriad Pro" panose="020B05030304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 Perf. Analysis'!$R$5:$R$8</c:f>
              <c:strCache>
                <c:ptCount val="4"/>
                <c:pt idx="0">
                  <c:v>Planned</c:v>
                </c:pt>
                <c:pt idx="1">
                  <c:v>Need-based</c:v>
                </c:pt>
                <c:pt idx="2">
                  <c:v>Wants-based</c:v>
                </c:pt>
                <c:pt idx="3">
                  <c:v>Impulsive</c:v>
                </c:pt>
              </c:strCache>
            </c:strRef>
          </c:cat>
          <c:val>
            <c:numRef>
              <c:f>'Oper. Perf. Analysis'!$S$5:$S$8</c:f>
              <c:numCache>
                <c:formatCode>0.0%</c:formatCode>
                <c:ptCount val="4"/>
                <c:pt idx="0">
                  <c:v>0.24689854595313701</c:v>
                </c:pt>
                <c:pt idx="1">
                  <c:v>0.29558111276860621</c:v>
                </c:pt>
                <c:pt idx="2">
                  <c:v>0.27355111753219075</c:v>
                </c:pt>
                <c:pt idx="3">
                  <c:v>0.18396922374606609</c:v>
                </c:pt>
              </c:numCache>
            </c:numRef>
          </c:val>
          <c:extLst>
            <c:ext xmlns:c16="http://schemas.microsoft.com/office/drawing/2014/chart" uri="{C3380CC4-5D6E-409C-BE32-E72D297353CC}">
              <c16:uniqueId val="{00000000-5631-4CFD-BAD2-65E4DC90D721}"/>
            </c:ext>
          </c:extLst>
        </c:ser>
        <c:dLbls>
          <c:dLblPos val="outEnd"/>
          <c:showLegendKey val="0"/>
          <c:showVal val="1"/>
          <c:showCatName val="0"/>
          <c:showSerName val="0"/>
          <c:showPercent val="0"/>
          <c:showBubbleSize val="0"/>
        </c:dLbls>
        <c:gapWidth val="100"/>
        <c:axId val="528572592"/>
        <c:axId val="528574032"/>
      </c:barChart>
      <c:catAx>
        <c:axId val="52857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lumMod val="50000"/>
                  </a:schemeClr>
                </a:solidFill>
                <a:latin typeface="Myriad Pro" panose="020B0503030403020204" pitchFamily="34" charset="0"/>
                <a:ea typeface="+mn-ea"/>
                <a:cs typeface="+mn-cs"/>
              </a:defRPr>
            </a:pPr>
            <a:endParaRPr lang="en-US"/>
          </a:p>
        </c:txPr>
        <c:crossAx val="528574032"/>
        <c:crosses val="autoZero"/>
        <c:auto val="1"/>
        <c:lblAlgn val="ctr"/>
        <c:lblOffset val="100"/>
        <c:noMultiLvlLbl val="0"/>
      </c:catAx>
      <c:valAx>
        <c:axId val="528574032"/>
        <c:scaling>
          <c:orientation val="minMax"/>
        </c:scaling>
        <c:delete val="1"/>
        <c:axPos val="b"/>
        <c:numFmt formatCode="0.0%" sourceLinked="1"/>
        <c:majorTickMark val="none"/>
        <c:minorTickMark val="none"/>
        <c:tickLblPos val="nextTo"/>
        <c:crossAx val="52857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[Marwa - Operational Performance (Final Dashboard - Modified).xlsx]Oper. Perf. Analysis!return_rate_per_category </c:name>
    <c:fmtId val="20"/>
  </c:pivotSource>
  <c:chart>
    <c:title>
      <c:tx>
        <c:rich>
          <a:bodyPr rot="0" spcFirstLastPara="1" vertOverflow="ellipsis" vert="horz" wrap="square" anchor="ctr" anchorCtr="1"/>
          <a:lstStyle/>
          <a:p>
            <a:pPr algn="ctr" rtl="0">
              <a:defRPr lang="en-US" sz="700" b="0" i="0" u="none" strike="noStrike" kern="1200" spc="0" baseline="0">
                <a:solidFill>
                  <a:schemeClr val="bg1">
                    <a:lumMod val="50000"/>
                  </a:schemeClr>
                </a:solidFill>
                <a:latin typeface="Myriad Pro" panose="020B0503030403020204" pitchFamily="34" charset="0"/>
                <a:ea typeface="+mn-ea"/>
                <a:cs typeface="+mn-cs"/>
              </a:defRPr>
            </a:pPr>
            <a:r>
              <a:rPr lang="en-US" sz="700" b="0" i="0" u="none" strike="noStrike" kern="1200" spc="0" baseline="0">
                <a:solidFill>
                  <a:schemeClr val="bg1">
                    <a:lumMod val="50000"/>
                  </a:schemeClr>
                </a:solidFill>
                <a:latin typeface="Myriad Pro" panose="020B0503030403020204" pitchFamily="34" charset="0"/>
                <a:ea typeface="+mn-ea"/>
                <a:cs typeface="+mn-cs"/>
              </a:rPr>
              <a:t>Top 10 Most Returned Caegories</a:t>
            </a:r>
          </a:p>
        </c:rich>
      </c:tx>
      <c:overlay val="0"/>
      <c:spPr>
        <a:noFill/>
        <a:ln>
          <a:noFill/>
        </a:ln>
        <a:effectLst/>
      </c:spPr>
      <c:txPr>
        <a:bodyPr rot="0" spcFirstLastPara="1" vertOverflow="ellipsis" vert="horz" wrap="square" anchor="ctr" anchorCtr="1"/>
        <a:lstStyle/>
        <a:p>
          <a:pPr algn="ctr" rtl="0">
            <a:defRPr lang="en-US" sz="700" b="0" i="0" u="none" strike="noStrike" kern="1200" spc="0" baseline="0">
              <a:solidFill>
                <a:schemeClr val="bg1">
                  <a:lumMod val="50000"/>
                </a:schemeClr>
              </a:solidFill>
              <a:latin typeface="Myriad Pro" panose="020B0503030403020204" pitchFamily="34" charset="0"/>
              <a:ea typeface="+mn-ea"/>
              <a:cs typeface="+mn-cs"/>
            </a:defRPr>
          </a:pPr>
          <a:endParaRPr lang="en-US"/>
        </a:p>
      </c:txPr>
    </c:title>
    <c:autoTitleDeleted val="0"/>
    <c:pivotFmts>
      <c:pivotFmt>
        <c:idx val="0"/>
        <c:spPr>
          <a:solidFill>
            <a:srgbClr val="3D84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D84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D84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D8F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50000"/>
                    </a:schemeClr>
                  </a:solidFill>
                  <a:latin typeface="Myriad Pro" panose="020B05030304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 Perf. Analysis'!$BO$3</c:f>
              <c:strCache>
                <c:ptCount val="1"/>
                <c:pt idx="0">
                  <c:v>Total</c:v>
                </c:pt>
              </c:strCache>
            </c:strRef>
          </c:tx>
          <c:spPr>
            <a:solidFill>
              <a:srgbClr val="5D8FA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50000"/>
                      </a:schemeClr>
                    </a:solidFill>
                    <a:latin typeface="Myriad Pro" panose="020B05030304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 Perf. Analysis'!$BN$4:$BN$14</c:f>
              <c:strCache>
                <c:ptCount val="10"/>
                <c:pt idx="0">
                  <c:v>Software &amp; Apps</c:v>
                </c:pt>
                <c:pt idx="1">
                  <c:v>Travel &amp; Leisure (Flights</c:v>
                </c:pt>
                <c:pt idx="2">
                  <c:v>Books</c:v>
                </c:pt>
                <c:pt idx="3">
                  <c:v>Jewelry &amp; Accessories</c:v>
                </c:pt>
                <c:pt idx="4">
                  <c:v>Mobile Accessories</c:v>
                </c:pt>
                <c:pt idx="5">
                  <c:v>Groceries</c:v>
                </c:pt>
                <c:pt idx="6">
                  <c:v>Gardening &amp; Outdoors</c:v>
                </c:pt>
                <c:pt idx="7">
                  <c:v>Hotels</c:v>
                </c:pt>
                <c:pt idx="8">
                  <c:v>Animal Feed</c:v>
                </c:pt>
                <c:pt idx="9">
                  <c:v>Beauty &amp; Personal Care</c:v>
                </c:pt>
              </c:strCache>
            </c:strRef>
          </c:cat>
          <c:val>
            <c:numRef>
              <c:f>'Oper. Perf. Analysis'!$BO$4:$BO$14</c:f>
              <c:numCache>
                <c:formatCode>0%</c:formatCode>
                <c:ptCount val="10"/>
                <c:pt idx="0">
                  <c:v>0.32922850958565242</c:v>
                </c:pt>
                <c:pt idx="1">
                  <c:v>0.30023148148148143</c:v>
                </c:pt>
                <c:pt idx="2">
                  <c:v>0.27857142857142858</c:v>
                </c:pt>
                <c:pt idx="3">
                  <c:v>0.2480194805194805</c:v>
                </c:pt>
                <c:pt idx="4">
                  <c:v>0.23985260770975056</c:v>
                </c:pt>
                <c:pt idx="5">
                  <c:v>0.2187830687830688</c:v>
                </c:pt>
                <c:pt idx="6">
                  <c:v>0.21198347107438015</c:v>
                </c:pt>
                <c:pt idx="7">
                  <c:v>0.20432098765432097</c:v>
                </c:pt>
                <c:pt idx="8">
                  <c:v>0.203176607343274</c:v>
                </c:pt>
                <c:pt idx="9">
                  <c:v>0.19455988455988452</c:v>
                </c:pt>
              </c:numCache>
            </c:numRef>
          </c:val>
          <c:extLst>
            <c:ext xmlns:c16="http://schemas.microsoft.com/office/drawing/2014/chart" uri="{C3380CC4-5D6E-409C-BE32-E72D297353CC}">
              <c16:uniqueId val="{00000000-E628-474A-819B-6CF5B1ADA0CF}"/>
            </c:ext>
          </c:extLst>
        </c:ser>
        <c:dLbls>
          <c:dLblPos val="outEnd"/>
          <c:showLegendKey val="0"/>
          <c:showVal val="1"/>
          <c:showCatName val="0"/>
          <c:showSerName val="0"/>
          <c:showPercent val="0"/>
          <c:showBubbleSize val="0"/>
        </c:dLbls>
        <c:gapWidth val="120"/>
        <c:overlap val="-27"/>
        <c:axId val="634197936"/>
        <c:axId val="581327160"/>
      </c:barChart>
      <c:catAx>
        <c:axId val="63419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yriad Pro" panose="020B0503030403020204" pitchFamily="34" charset="0"/>
                <a:ea typeface="+mn-ea"/>
                <a:cs typeface="+mn-cs"/>
              </a:defRPr>
            </a:pPr>
            <a:endParaRPr lang="en-US"/>
          </a:p>
        </c:txPr>
        <c:crossAx val="581327160"/>
        <c:crosses val="autoZero"/>
        <c:auto val="1"/>
        <c:lblAlgn val="ctr"/>
        <c:lblOffset val="100"/>
        <c:noMultiLvlLbl val="0"/>
      </c:catAx>
      <c:valAx>
        <c:axId val="581327160"/>
        <c:scaling>
          <c:orientation val="minMax"/>
        </c:scaling>
        <c:delete val="1"/>
        <c:axPos val="l"/>
        <c:numFmt formatCode="0%" sourceLinked="1"/>
        <c:majorTickMark val="none"/>
        <c:minorTickMark val="none"/>
        <c:tickLblPos val="nextTo"/>
        <c:crossAx val="63419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[Marwa - Operational Performance (Final Dashboard - Modified).xlsx]Oper. Perf. Analysis!Average Purchase Amount Per Shipping Preferences</c:name>
    <c:fmtId val="3"/>
  </c:pivotSource>
  <c:chart>
    <c:title>
      <c:tx>
        <c:rich>
          <a:bodyPr rot="0" spcFirstLastPara="1" vertOverflow="ellipsis" vert="horz" wrap="square" anchor="ctr" anchorCtr="1"/>
          <a:lstStyle/>
          <a:p>
            <a:pPr algn="ctr" rtl="0">
              <a:defRPr lang="en-US" sz="700" b="0" i="0" u="none" strike="noStrike" kern="1200" spc="0" baseline="0">
                <a:solidFill>
                  <a:schemeClr val="bg1">
                    <a:lumMod val="50000"/>
                  </a:schemeClr>
                </a:solidFill>
                <a:latin typeface="Myriad Pro" panose="020B0503030403020204" pitchFamily="34" charset="0"/>
                <a:ea typeface="+mn-ea"/>
                <a:cs typeface="+mn-cs"/>
              </a:defRPr>
            </a:pPr>
            <a:r>
              <a:rPr lang="en-US" sz="700" b="0" i="0" u="none" strike="noStrike" kern="1200" spc="0" baseline="0">
                <a:solidFill>
                  <a:schemeClr val="bg1">
                    <a:lumMod val="50000"/>
                  </a:schemeClr>
                </a:solidFill>
                <a:latin typeface="Myriad Pro" panose="020B0503030403020204" pitchFamily="34" charset="0"/>
                <a:ea typeface="+mn-ea"/>
                <a:cs typeface="+mn-cs"/>
              </a:rPr>
              <a:t>Average Purchase Amount Per Shipping Preferences</a:t>
            </a:r>
          </a:p>
        </c:rich>
      </c:tx>
      <c:overlay val="0"/>
      <c:spPr>
        <a:noFill/>
        <a:ln>
          <a:noFill/>
        </a:ln>
        <a:effectLst/>
      </c:spPr>
      <c:txPr>
        <a:bodyPr rot="0" spcFirstLastPara="1" vertOverflow="ellipsis" vert="horz" wrap="square" anchor="ctr" anchorCtr="1"/>
        <a:lstStyle/>
        <a:p>
          <a:pPr algn="ctr" rtl="0">
            <a:defRPr lang="en-US" sz="700" b="0" i="0" u="none" strike="noStrike" kern="1200" spc="0" baseline="0">
              <a:solidFill>
                <a:schemeClr val="bg1">
                  <a:lumMod val="50000"/>
                </a:schemeClr>
              </a:solidFill>
              <a:latin typeface="Myriad Pro" panose="020B05030304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D8F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yriad Pro" panose="020B05030304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 Perf. Analysis'!$C$21</c:f>
              <c:strCache>
                <c:ptCount val="1"/>
                <c:pt idx="0">
                  <c:v>Total</c:v>
                </c:pt>
              </c:strCache>
            </c:strRef>
          </c:tx>
          <c:spPr>
            <a:solidFill>
              <a:srgbClr val="5D8FA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yriad Pro" panose="020B05030304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 Perf. Analysis'!$B$22:$B$25</c:f>
              <c:strCache>
                <c:ptCount val="3"/>
                <c:pt idx="0">
                  <c:v>Standard</c:v>
                </c:pt>
                <c:pt idx="1">
                  <c:v>Express</c:v>
                </c:pt>
                <c:pt idx="2">
                  <c:v>No Preference</c:v>
                </c:pt>
              </c:strCache>
            </c:strRef>
          </c:cat>
          <c:val>
            <c:numRef>
              <c:f>'Oper. Perf. Analysis'!$C$22:$C$25</c:f>
              <c:numCache>
                <c:formatCode>"$"#,##0_);\("$"#,##0\)</c:formatCode>
                <c:ptCount val="3"/>
                <c:pt idx="0">
                  <c:v>268.95615615615634</c:v>
                </c:pt>
                <c:pt idx="1">
                  <c:v>277.79609589041098</c:v>
                </c:pt>
                <c:pt idx="2">
                  <c:v>278.52776881720456</c:v>
                </c:pt>
              </c:numCache>
            </c:numRef>
          </c:val>
          <c:extLst>
            <c:ext xmlns:c16="http://schemas.microsoft.com/office/drawing/2014/chart" uri="{C3380CC4-5D6E-409C-BE32-E72D297353CC}">
              <c16:uniqueId val="{00000000-4F0C-4C46-8A83-BC764F6EF6EC}"/>
            </c:ext>
          </c:extLst>
        </c:ser>
        <c:dLbls>
          <c:dLblPos val="outEnd"/>
          <c:showLegendKey val="0"/>
          <c:showVal val="1"/>
          <c:showCatName val="0"/>
          <c:showSerName val="0"/>
          <c:showPercent val="0"/>
          <c:showBubbleSize val="0"/>
        </c:dLbls>
        <c:gapWidth val="219"/>
        <c:overlap val="-27"/>
        <c:axId val="265362575"/>
        <c:axId val="265374095"/>
      </c:barChart>
      <c:catAx>
        <c:axId val="26536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yriad Pro" panose="020B0503030403020204" pitchFamily="34" charset="0"/>
                <a:ea typeface="+mn-ea"/>
                <a:cs typeface="+mn-cs"/>
              </a:defRPr>
            </a:pPr>
            <a:endParaRPr lang="en-US"/>
          </a:p>
        </c:txPr>
        <c:crossAx val="265374095"/>
        <c:crosses val="autoZero"/>
        <c:auto val="1"/>
        <c:lblAlgn val="ctr"/>
        <c:lblOffset val="100"/>
        <c:noMultiLvlLbl val="0"/>
      </c:catAx>
      <c:valAx>
        <c:axId val="265374095"/>
        <c:scaling>
          <c:orientation val="minMax"/>
          <c:min val="0"/>
        </c:scaling>
        <c:delete val="1"/>
        <c:axPos val="l"/>
        <c:numFmt formatCode="&quot;$&quot;#,##0_);\(&quot;$&quot;#,##0\)" sourceLinked="1"/>
        <c:majorTickMark val="none"/>
        <c:minorTickMark val="none"/>
        <c:tickLblPos val="nextTo"/>
        <c:crossAx val="26536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[Marwa - Operational Performance (Final Dashboard - Modified).xlsx]Oper. Perf. Analysis!Discount Usage vs. No Discount – Sales Volume &amp; Average Value </c:name>
    <c:fmtId val="58"/>
  </c:pivotSource>
  <c:chart>
    <c:title>
      <c:tx>
        <c:rich>
          <a:bodyPr rot="0" spcFirstLastPara="1" vertOverflow="ellipsis" vert="horz" wrap="square" anchor="ctr" anchorCtr="1"/>
          <a:lstStyle/>
          <a:p>
            <a:pPr>
              <a:defRPr sz="1400" b="0" i="0" u="none" strike="noStrike" kern="1200" spc="0" baseline="0">
                <a:solidFill>
                  <a:srgbClr val="1A486C"/>
                </a:solidFill>
                <a:latin typeface="+mn-lt"/>
                <a:ea typeface="+mn-ea"/>
                <a:cs typeface="+mn-cs"/>
              </a:defRPr>
            </a:pPr>
            <a:r>
              <a:rPr lang="en-US" sz="1050" b="0" i="0" u="none" strike="noStrike" baseline="0">
                <a:solidFill>
                  <a:srgbClr val="1A486C"/>
                </a:solidFill>
                <a:effectLst/>
              </a:rPr>
              <a:t>Discount Usage vs. No Discount – Sales Volume &amp; Average Value </a:t>
            </a:r>
            <a:endParaRPr lang="en-US" sz="1050">
              <a:solidFill>
                <a:srgbClr val="1A486C"/>
              </a:solidFill>
            </a:endParaRPr>
          </a:p>
        </c:rich>
      </c:tx>
      <c:layout>
        <c:manualLayout>
          <c:xMode val="edge"/>
          <c:yMode val="edge"/>
          <c:x val="0.10601754056116525"/>
          <c:y val="3.9807508976839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1A486C"/>
              </a:solidFill>
              <a:latin typeface="+mn-lt"/>
              <a:ea typeface="+mn-ea"/>
              <a:cs typeface="+mn-cs"/>
            </a:defRPr>
          </a:pPr>
          <a:endParaRPr lang="en-US"/>
        </a:p>
      </c:txPr>
    </c:title>
    <c:autoTitleDeleted val="0"/>
    <c:pivotFmts>
      <c:pivotFmt>
        <c:idx val="0"/>
        <c:spPr>
          <a:solidFill>
            <a:srgbClr val="3D84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D84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 Perf. Analysis'!$AH$3</c:f>
              <c:strCache>
                <c:ptCount val="1"/>
                <c:pt idx="0">
                  <c:v>Sum of Purchase_Amount (revenue)</c:v>
                </c:pt>
              </c:strCache>
            </c:strRef>
          </c:tx>
          <c:spPr>
            <a:solidFill>
              <a:srgbClr val="3D848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 Perf. Analysis'!$AG$4:$AG$5</c:f>
              <c:strCache>
                <c:ptCount val="2"/>
                <c:pt idx="0">
                  <c:v>Yes</c:v>
                </c:pt>
                <c:pt idx="1">
                  <c:v>No</c:v>
                </c:pt>
              </c:strCache>
            </c:strRef>
          </c:cat>
          <c:val>
            <c:numRef>
              <c:f>'Oper. Perf. Analysis'!$AH$4:$AH$5</c:f>
              <c:numCache>
                <c:formatCode>_("$"* #,##0_);_("$"* \(#,##0\);_("$"* "-"??_);_(@_)</c:formatCode>
                <c:ptCount val="2"/>
                <c:pt idx="0">
                  <c:v>50860.65</c:v>
                </c:pt>
                <c:pt idx="1">
                  <c:v>42325.479999999989</c:v>
                </c:pt>
              </c:numCache>
            </c:numRef>
          </c:val>
          <c:extLst>
            <c:ext xmlns:c16="http://schemas.microsoft.com/office/drawing/2014/chart" uri="{C3380CC4-5D6E-409C-BE32-E72D297353CC}">
              <c16:uniqueId val="{00000000-42DF-4AAC-8216-54283B22368C}"/>
            </c:ext>
          </c:extLst>
        </c:ser>
        <c:ser>
          <c:idx val="1"/>
          <c:order val="1"/>
          <c:tx>
            <c:strRef>
              <c:f>'Oper. Perf. Analysis'!$AI$3</c:f>
              <c:strCache>
                <c:ptCount val="1"/>
                <c:pt idx="0">
                  <c:v>Average of Purchase_Amount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 Perf. Analysis'!$AG$4:$AG$5</c:f>
              <c:strCache>
                <c:ptCount val="2"/>
                <c:pt idx="0">
                  <c:v>Yes</c:v>
                </c:pt>
                <c:pt idx="1">
                  <c:v>No</c:v>
                </c:pt>
              </c:strCache>
            </c:strRef>
          </c:cat>
          <c:val>
            <c:numRef>
              <c:f>'Oper. Perf. Analysis'!$AI$4:$AI$5</c:f>
              <c:numCache>
                <c:formatCode>"$"#,##0_);\("$"#,##0\)</c:formatCode>
                <c:ptCount val="2"/>
                <c:pt idx="0">
                  <c:v>273.44435483870967</c:v>
                </c:pt>
                <c:pt idx="1">
                  <c:v>273.06761290322572</c:v>
                </c:pt>
              </c:numCache>
            </c:numRef>
          </c:val>
          <c:extLst>
            <c:ext xmlns:c16="http://schemas.microsoft.com/office/drawing/2014/chart" uri="{C3380CC4-5D6E-409C-BE32-E72D297353CC}">
              <c16:uniqueId val="{00000001-42DF-4AAC-8216-54283B22368C}"/>
            </c:ext>
          </c:extLst>
        </c:ser>
        <c:dLbls>
          <c:dLblPos val="outEnd"/>
          <c:showLegendKey val="0"/>
          <c:showVal val="1"/>
          <c:showCatName val="0"/>
          <c:showSerName val="0"/>
          <c:showPercent val="0"/>
          <c:showBubbleSize val="0"/>
        </c:dLbls>
        <c:gapWidth val="219"/>
        <c:overlap val="-27"/>
        <c:axId val="583089208"/>
        <c:axId val="583088488"/>
      </c:barChart>
      <c:catAx>
        <c:axId val="583089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88488"/>
        <c:crosses val="autoZero"/>
        <c:auto val="1"/>
        <c:lblAlgn val="ctr"/>
        <c:lblOffset val="100"/>
        <c:noMultiLvlLbl val="0"/>
      </c:catAx>
      <c:valAx>
        <c:axId val="583088488"/>
        <c:scaling>
          <c:orientation val="minMax"/>
        </c:scaling>
        <c:delete val="1"/>
        <c:axPos val="l"/>
        <c:numFmt formatCode="_(&quot;$&quot;* #,##0_);_(&quot;$&quot;* \(#,##0\);_(&quot;$&quot;* &quot;-&quot;??_);_(@_)" sourceLinked="1"/>
        <c:majorTickMark val="none"/>
        <c:minorTickMark val="none"/>
        <c:tickLblPos val="nextTo"/>
        <c:crossAx val="583089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[Marwa - Operational Performance (Final Dashboard - Modified).xlsx]Oper. Perf. Analysis!return_rate_per_category </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return_rate_per_category</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D84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D84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 Perf. Analysis'!$BO$3</c:f>
              <c:strCache>
                <c:ptCount val="1"/>
                <c:pt idx="0">
                  <c:v>Total</c:v>
                </c:pt>
              </c:strCache>
            </c:strRef>
          </c:tx>
          <c:spPr>
            <a:solidFill>
              <a:srgbClr val="3D8486"/>
            </a:solidFill>
            <a:ln>
              <a:noFill/>
            </a:ln>
            <a:effectLst/>
          </c:spPr>
          <c:invertIfNegative val="0"/>
          <c:cat>
            <c:strRef>
              <c:f>'Oper. Perf. Analysis'!$BN$4:$BN$14</c:f>
              <c:strCache>
                <c:ptCount val="10"/>
                <c:pt idx="0">
                  <c:v>Software &amp; Apps</c:v>
                </c:pt>
                <c:pt idx="1">
                  <c:v>Travel &amp; Leisure (Flights</c:v>
                </c:pt>
                <c:pt idx="2">
                  <c:v>Books</c:v>
                </c:pt>
                <c:pt idx="3">
                  <c:v>Jewelry &amp; Accessories</c:v>
                </c:pt>
                <c:pt idx="4">
                  <c:v>Mobile Accessories</c:v>
                </c:pt>
                <c:pt idx="5">
                  <c:v>Groceries</c:v>
                </c:pt>
                <c:pt idx="6">
                  <c:v>Gardening &amp; Outdoors</c:v>
                </c:pt>
                <c:pt idx="7">
                  <c:v>Hotels</c:v>
                </c:pt>
                <c:pt idx="8">
                  <c:v>Animal Feed</c:v>
                </c:pt>
                <c:pt idx="9">
                  <c:v>Beauty &amp; Personal Care</c:v>
                </c:pt>
              </c:strCache>
            </c:strRef>
          </c:cat>
          <c:val>
            <c:numRef>
              <c:f>'Oper. Perf. Analysis'!$BO$4:$BO$14</c:f>
              <c:numCache>
                <c:formatCode>0%</c:formatCode>
                <c:ptCount val="10"/>
                <c:pt idx="0">
                  <c:v>0.32922850958565242</c:v>
                </c:pt>
                <c:pt idx="1">
                  <c:v>0.30023148148148143</c:v>
                </c:pt>
                <c:pt idx="2">
                  <c:v>0.27857142857142858</c:v>
                </c:pt>
                <c:pt idx="3">
                  <c:v>0.2480194805194805</c:v>
                </c:pt>
                <c:pt idx="4">
                  <c:v>0.23985260770975056</c:v>
                </c:pt>
                <c:pt idx="5">
                  <c:v>0.2187830687830688</c:v>
                </c:pt>
                <c:pt idx="6">
                  <c:v>0.21198347107438015</c:v>
                </c:pt>
                <c:pt idx="7">
                  <c:v>0.20432098765432097</c:v>
                </c:pt>
                <c:pt idx="8">
                  <c:v>0.203176607343274</c:v>
                </c:pt>
                <c:pt idx="9">
                  <c:v>0.19455988455988452</c:v>
                </c:pt>
              </c:numCache>
            </c:numRef>
          </c:val>
          <c:extLst>
            <c:ext xmlns:c16="http://schemas.microsoft.com/office/drawing/2014/chart" uri="{C3380CC4-5D6E-409C-BE32-E72D297353CC}">
              <c16:uniqueId val="{00000000-4914-4E45-851B-81241615CCEC}"/>
            </c:ext>
          </c:extLst>
        </c:ser>
        <c:dLbls>
          <c:showLegendKey val="0"/>
          <c:showVal val="0"/>
          <c:showCatName val="0"/>
          <c:showSerName val="0"/>
          <c:showPercent val="0"/>
          <c:showBubbleSize val="0"/>
        </c:dLbls>
        <c:gapWidth val="219"/>
        <c:overlap val="-27"/>
        <c:axId val="634197936"/>
        <c:axId val="581327160"/>
      </c:barChart>
      <c:catAx>
        <c:axId val="63419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327160"/>
        <c:crosses val="autoZero"/>
        <c:auto val="1"/>
        <c:lblAlgn val="ctr"/>
        <c:lblOffset val="100"/>
        <c:noMultiLvlLbl val="0"/>
      </c:catAx>
      <c:valAx>
        <c:axId val="581327160"/>
        <c:scaling>
          <c:orientation val="minMax"/>
        </c:scaling>
        <c:delete val="1"/>
        <c:axPos val="l"/>
        <c:numFmt formatCode="0%" sourceLinked="1"/>
        <c:majorTickMark val="none"/>
        <c:minorTickMark val="none"/>
        <c:tickLblPos val="nextTo"/>
        <c:crossAx val="63419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[Marwa - Operational Performance (Final Dashboard - Modified).xlsx]Oper. Perf. Analysis!Revenue_Contribution_by_Purchase_Intent </c:name>
    <c:fmtId val="61"/>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0" i="0" u="none" strike="noStrike" baseline="0">
                <a:effectLst/>
              </a:rPr>
              <a:t>Revenue Contribution by Purchase Intent </a:t>
            </a:r>
            <a:endParaRPr lang="en-US" sz="900"/>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D84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D84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'Oper. Perf. Analysis'!$S$4</c:f>
              <c:strCache>
                <c:ptCount val="1"/>
                <c:pt idx="0">
                  <c:v>Total</c:v>
                </c:pt>
              </c:strCache>
            </c:strRef>
          </c:tx>
          <c:spPr>
            <a:solidFill>
              <a:srgbClr val="3D8486"/>
            </a:solidFill>
            <a:ln>
              <a:noFill/>
            </a:ln>
            <a:effectLst/>
          </c:spPr>
          <c:invertIfNegative val="0"/>
          <c:cat>
            <c:strRef>
              <c:f>'Oper. Perf. Analysis'!$R$5:$R$8</c:f>
              <c:strCache>
                <c:ptCount val="4"/>
                <c:pt idx="0">
                  <c:v>Planned</c:v>
                </c:pt>
                <c:pt idx="1">
                  <c:v>Need-based</c:v>
                </c:pt>
                <c:pt idx="2">
                  <c:v>Wants-based</c:v>
                </c:pt>
                <c:pt idx="3">
                  <c:v>Impulsive</c:v>
                </c:pt>
              </c:strCache>
            </c:strRef>
          </c:cat>
          <c:val>
            <c:numRef>
              <c:f>'Oper. Perf. Analysis'!$S$5:$S$8</c:f>
              <c:numCache>
                <c:formatCode>0.0%</c:formatCode>
                <c:ptCount val="4"/>
                <c:pt idx="0">
                  <c:v>0.24689854595313701</c:v>
                </c:pt>
                <c:pt idx="1">
                  <c:v>0.29558111276860621</c:v>
                </c:pt>
                <c:pt idx="2">
                  <c:v>0.27355111753219075</c:v>
                </c:pt>
                <c:pt idx="3">
                  <c:v>0.18396922374606609</c:v>
                </c:pt>
              </c:numCache>
            </c:numRef>
          </c:val>
          <c:extLst>
            <c:ext xmlns:c16="http://schemas.microsoft.com/office/drawing/2014/chart" uri="{C3380CC4-5D6E-409C-BE32-E72D297353CC}">
              <c16:uniqueId val="{00000000-E1CA-42EB-83C6-FEF44647CD4F}"/>
            </c:ext>
          </c:extLst>
        </c:ser>
        <c:dLbls>
          <c:showLegendKey val="0"/>
          <c:showVal val="0"/>
          <c:showCatName val="0"/>
          <c:showSerName val="0"/>
          <c:showPercent val="0"/>
          <c:showBubbleSize val="0"/>
        </c:dLbls>
        <c:gapWidth val="182"/>
        <c:axId val="528572592"/>
        <c:axId val="528574032"/>
      </c:barChart>
      <c:catAx>
        <c:axId val="52857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574032"/>
        <c:crosses val="autoZero"/>
        <c:auto val="1"/>
        <c:lblAlgn val="ctr"/>
        <c:lblOffset val="100"/>
        <c:noMultiLvlLbl val="0"/>
      </c:catAx>
      <c:valAx>
        <c:axId val="528574032"/>
        <c:scaling>
          <c:orientation val="minMax"/>
        </c:scaling>
        <c:delete val="1"/>
        <c:axPos val="b"/>
        <c:numFmt formatCode="0.0%" sourceLinked="1"/>
        <c:majorTickMark val="none"/>
        <c:minorTickMark val="none"/>
        <c:tickLblPos val="nextTo"/>
        <c:crossAx val="52857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[Marwa - Operational Performance (Final Dashboard - Modified).xlsx]Oper. Perf. Analysis!pvt_7</c:name>
    <c:fmtId val="6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bg1"/>
          </a:solidFill>
          <a:ln>
            <a:noFill/>
          </a:ln>
          <a:effectLst/>
        </c:spPr>
      </c:pivotFmt>
      <c:pivotFmt>
        <c:idx val="5"/>
        <c:spPr>
          <a:solidFill>
            <a:schemeClr val="bg1"/>
          </a:solidFill>
          <a:ln>
            <a:noFill/>
          </a:ln>
          <a:effectLst/>
        </c:spPr>
      </c:pivotFmt>
      <c:pivotFmt>
        <c:idx val="6"/>
        <c:spPr>
          <a:solidFill>
            <a:schemeClr val="bg1"/>
          </a:solidFill>
          <a:ln>
            <a:noFill/>
          </a:ln>
          <a:effectLst/>
        </c:spPr>
      </c:pivotFmt>
    </c:pivotFmts>
    <c:plotArea>
      <c:layout/>
      <c:barChart>
        <c:barDir val="col"/>
        <c:grouping val="clustered"/>
        <c:varyColors val="0"/>
        <c:ser>
          <c:idx val="1"/>
          <c:order val="1"/>
          <c:tx>
            <c:strRef>
              <c:f>'Oper. Perf. Analysis'!$D$3</c:f>
              <c:strCache>
                <c:ptCount val="1"/>
                <c:pt idx="0">
                  <c:v>Average of Customer_Satisfaction</c:v>
                </c:pt>
              </c:strCache>
            </c:strRef>
          </c:tx>
          <c:spPr>
            <a:solidFill>
              <a:schemeClr val="bg1"/>
            </a:solidFill>
            <a:ln>
              <a:noFill/>
            </a:ln>
            <a:effectLst/>
          </c:spPr>
          <c:invertIfNegative val="0"/>
          <c:dLbls>
            <c:spPr>
              <a:noFill/>
              <a:ln>
                <a:noFill/>
              </a:ln>
              <a:effectLst/>
            </c:spPr>
            <c:txPr>
              <a:bodyPr rot="0" spcFirstLastPara="1" vertOverflow="overflow" horzOverflow="overflow" vert="horz" wrap="square" lIns="38100" tIns="19050" rIns="38100" bIns="19050" anchor="t" anchorCtr="0">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'Oper. Perf. Analysis'!$B$4:$B$6</c:f>
              <c:strCache>
                <c:ptCount val="3"/>
                <c:pt idx="0">
                  <c:v>Standard</c:v>
                </c:pt>
                <c:pt idx="1">
                  <c:v>Express</c:v>
                </c:pt>
                <c:pt idx="2">
                  <c:v>No Preference</c:v>
                </c:pt>
              </c:strCache>
            </c:strRef>
          </c:cat>
          <c:val>
            <c:numRef>
              <c:f>'Oper. Perf. Analysis'!$D$4:$D$6</c:f>
              <c:numCache>
                <c:formatCode>0.00</c:formatCode>
                <c:ptCount val="3"/>
                <c:pt idx="0">
                  <c:v>5.9909909909909906</c:v>
                </c:pt>
                <c:pt idx="1">
                  <c:v>5.1442307692307692</c:v>
                </c:pt>
                <c:pt idx="2">
                  <c:v>5.0634920634920633</c:v>
                </c:pt>
              </c:numCache>
            </c:numRef>
          </c:val>
          <c:extLst>
            <c:ext xmlns:c16="http://schemas.microsoft.com/office/drawing/2014/chart" uri="{C3380CC4-5D6E-409C-BE32-E72D297353CC}">
              <c16:uniqueId val="{00000005-B5AF-4BE4-965E-E102F53F67DC}"/>
            </c:ext>
          </c:extLst>
        </c:ser>
        <c:dLbls>
          <c:dLblPos val="outEnd"/>
          <c:showLegendKey val="0"/>
          <c:showVal val="1"/>
          <c:showCatName val="0"/>
          <c:showSerName val="0"/>
          <c:showPercent val="0"/>
          <c:showBubbleSize val="0"/>
        </c:dLbls>
        <c:gapWidth val="219"/>
        <c:overlap val="100"/>
        <c:axId val="1751778255"/>
        <c:axId val="1751779215"/>
      </c:barChart>
      <c:barChart>
        <c:barDir val="col"/>
        <c:grouping val="clustered"/>
        <c:varyColors val="0"/>
        <c:ser>
          <c:idx val="0"/>
          <c:order val="0"/>
          <c:tx>
            <c:strRef>
              <c:f>'Oper. Perf. Analysis'!$C$3</c:f>
              <c:strCache>
                <c:ptCount val="1"/>
                <c:pt idx="0">
                  <c:v>Count of Customer_ID</c:v>
                </c:pt>
              </c:strCache>
            </c:strRef>
          </c:tx>
          <c:spPr>
            <a:solidFill>
              <a:schemeClr val="accent1"/>
            </a:solidFill>
            <a:ln>
              <a:noFill/>
            </a:ln>
            <a:effectLst/>
          </c:spPr>
          <c:invertIfNegative val="0"/>
          <c:cat>
            <c:strRef>
              <c:f>'Oper. Perf. Analysis'!$B$4:$B$6</c:f>
              <c:strCache>
                <c:ptCount val="3"/>
                <c:pt idx="0">
                  <c:v>Standard</c:v>
                </c:pt>
                <c:pt idx="1">
                  <c:v>Express</c:v>
                </c:pt>
                <c:pt idx="2">
                  <c:v>No Preference</c:v>
                </c:pt>
              </c:strCache>
            </c:strRef>
          </c:cat>
          <c:val>
            <c:numRef>
              <c:f>'Oper. Perf. Analysis'!$C$4:$C$6</c:f>
              <c:numCache>
                <c:formatCode>0.00</c:formatCode>
                <c:ptCount val="3"/>
                <c:pt idx="0">
                  <c:v>111</c:v>
                </c:pt>
                <c:pt idx="1">
                  <c:v>104</c:v>
                </c:pt>
                <c:pt idx="2">
                  <c:v>126</c:v>
                </c:pt>
              </c:numCache>
            </c:numRef>
          </c:val>
          <c:extLst>
            <c:ext xmlns:c16="http://schemas.microsoft.com/office/drawing/2014/chart" uri="{C3380CC4-5D6E-409C-BE32-E72D297353CC}">
              <c16:uniqueId val="{00000000-B5AF-4BE4-965E-E102F53F67DC}"/>
            </c:ext>
          </c:extLst>
        </c:ser>
        <c:dLbls>
          <c:showLegendKey val="0"/>
          <c:showVal val="0"/>
          <c:showCatName val="0"/>
          <c:showSerName val="0"/>
          <c:showPercent val="0"/>
          <c:showBubbleSize val="0"/>
        </c:dLbls>
        <c:gapWidth val="219"/>
        <c:overlap val="100"/>
        <c:axId val="1561334719"/>
        <c:axId val="1561335679"/>
      </c:barChart>
      <c:catAx>
        <c:axId val="175177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779215"/>
        <c:crosses val="autoZero"/>
        <c:auto val="1"/>
        <c:lblAlgn val="ctr"/>
        <c:lblOffset val="100"/>
        <c:noMultiLvlLbl val="0"/>
      </c:catAx>
      <c:valAx>
        <c:axId val="1751779215"/>
        <c:scaling>
          <c:orientation val="minMax"/>
        </c:scaling>
        <c:delete val="1"/>
        <c:axPos val="l"/>
        <c:numFmt formatCode="0.00" sourceLinked="1"/>
        <c:majorTickMark val="none"/>
        <c:minorTickMark val="none"/>
        <c:tickLblPos val="nextTo"/>
        <c:crossAx val="1751778255"/>
        <c:crosses val="autoZero"/>
        <c:crossBetween val="between"/>
      </c:valAx>
      <c:valAx>
        <c:axId val="1561335679"/>
        <c:scaling>
          <c:orientation val="minMax"/>
        </c:scaling>
        <c:delete val="1"/>
        <c:axPos val="r"/>
        <c:numFmt formatCode="0.00" sourceLinked="1"/>
        <c:majorTickMark val="out"/>
        <c:minorTickMark val="none"/>
        <c:tickLblPos val="nextTo"/>
        <c:crossAx val="1561334719"/>
        <c:crosses val="max"/>
        <c:crossBetween val="between"/>
      </c:valAx>
      <c:catAx>
        <c:axId val="1561334719"/>
        <c:scaling>
          <c:orientation val="minMax"/>
        </c:scaling>
        <c:delete val="1"/>
        <c:axPos val="b"/>
        <c:numFmt formatCode="General" sourceLinked="1"/>
        <c:majorTickMark val="out"/>
        <c:minorTickMark val="none"/>
        <c:tickLblPos val="nextTo"/>
        <c:crossAx val="15613356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[Marwa - Operational Performance (Final Dashboard - Modified).xlsx]Oper. Perf. Analysis!Discount Usage vs. No Discount – Sales Volume &amp; Average Value </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rgbClr val="1A486C"/>
                </a:solidFill>
                <a:effectLst/>
              </a:rPr>
              <a:t>Discount Effect On Sales Volume &amp; Average Sales Value</a:t>
            </a:r>
            <a:endParaRPr lang="en-US" sz="1400" b="0" i="0" u="none" strike="noStrike" kern="1200" spc="0" baseline="0">
              <a:solidFill>
                <a:srgbClr val="1A486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4.1666666666666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dLbl>
          <c:idx val="0"/>
          <c:layout>
            <c:manualLayout>
              <c:x val="6.073855209813326E-3"/>
              <c:y val="-5.606729841709214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dLbl>
          <c:idx val="0"/>
          <c:layout>
            <c:manualLayout>
              <c:x val="-5.56763629118611E-17"/>
              <c:y val="-5.0460568575382926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'Oper. Perf. Analysis'!$AH$3</c:f>
              <c:strCache>
                <c:ptCount val="1"/>
                <c:pt idx="0">
                  <c:v>Sum of Purchase_Amount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 Perf. Analysis'!$AG$4:$AG$5</c:f>
              <c:strCache>
                <c:ptCount val="2"/>
                <c:pt idx="0">
                  <c:v>Yes</c:v>
                </c:pt>
                <c:pt idx="1">
                  <c:v>No</c:v>
                </c:pt>
              </c:strCache>
            </c:strRef>
          </c:cat>
          <c:val>
            <c:numRef>
              <c:f>'Oper. Perf. Analysis'!$AH$4:$AH$5</c:f>
              <c:numCache>
                <c:formatCode>_("$"* #,##0_);_("$"* \(#,##0\);_("$"* "-"??_);_(@_)</c:formatCode>
                <c:ptCount val="2"/>
                <c:pt idx="0">
                  <c:v>50860.65</c:v>
                </c:pt>
                <c:pt idx="1">
                  <c:v>42325.479999999989</c:v>
                </c:pt>
              </c:numCache>
            </c:numRef>
          </c:val>
          <c:extLst>
            <c:ext xmlns:c16="http://schemas.microsoft.com/office/drawing/2014/chart" uri="{C3380CC4-5D6E-409C-BE32-E72D297353CC}">
              <c16:uniqueId val="{00000000-B588-4181-8896-C3C1BE308B7C}"/>
            </c:ext>
          </c:extLst>
        </c:ser>
        <c:ser>
          <c:idx val="1"/>
          <c:order val="1"/>
          <c:tx>
            <c:strRef>
              <c:f>'Oper. Perf. Analysis'!$AI$3</c:f>
              <c:strCache>
                <c:ptCount val="1"/>
                <c:pt idx="0">
                  <c:v>Average of Purchase_Amount </c:v>
                </c:pt>
              </c:strCache>
            </c:strRef>
          </c:tx>
          <c:spPr>
            <a:solidFill>
              <a:schemeClr val="bg1"/>
            </a:solidFill>
            <a:ln>
              <a:noFill/>
            </a:ln>
            <a:effectLst/>
          </c:spPr>
          <c:invertIfNegative val="0"/>
          <c:dPt>
            <c:idx val="0"/>
            <c:invertIfNegative val="0"/>
            <c:bubble3D val="0"/>
            <c:extLst>
              <c:ext xmlns:c16="http://schemas.microsoft.com/office/drawing/2014/chart" uri="{C3380CC4-5D6E-409C-BE32-E72D297353CC}">
                <c16:uniqueId val="{00000004-B588-4181-8896-C3C1BE308B7C}"/>
              </c:ext>
            </c:extLst>
          </c:dPt>
          <c:dPt>
            <c:idx val="1"/>
            <c:invertIfNegative val="0"/>
            <c:bubble3D val="0"/>
            <c:extLst>
              <c:ext xmlns:c16="http://schemas.microsoft.com/office/drawing/2014/chart" uri="{C3380CC4-5D6E-409C-BE32-E72D297353CC}">
                <c16:uniqueId val="{00000003-B588-4181-8896-C3C1BE308B7C}"/>
              </c:ext>
            </c:extLst>
          </c:dPt>
          <c:dLbls>
            <c:dLbl>
              <c:idx val="0"/>
              <c:layout>
                <c:manualLayout>
                  <c:x val="-5.56763629118611E-17"/>
                  <c:y val="-5.046056857538292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88-4181-8896-C3C1BE308B7C}"/>
                </c:ext>
              </c:extLst>
            </c:dLbl>
            <c:dLbl>
              <c:idx val="1"/>
              <c:layout>
                <c:manualLayout>
                  <c:x val="6.073855209813326E-3"/>
                  <c:y val="-5.60672984170921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88-4181-8896-C3C1BE308B7C}"/>
                </c:ext>
              </c:extLst>
            </c:dLbl>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 Perf. Analysis'!$AG$4:$AG$5</c:f>
              <c:strCache>
                <c:ptCount val="2"/>
                <c:pt idx="0">
                  <c:v>Yes</c:v>
                </c:pt>
                <c:pt idx="1">
                  <c:v>No</c:v>
                </c:pt>
              </c:strCache>
            </c:strRef>
          </c:cat>
          <c:val>
            <c:numRef>
              <c:f>'Oper. Perf. Analysis'!$AI$4:$AI$5</c:f>
              <c:numCache>
                <c:formatCode>"$"#,##0_);\("$"#,##0\)</c:formatCode>
                <c:ptCount val="2"/>
                <c:pt idx="0">
                  <c:v>273.44435483870967</c:v>
                </c:pt>
                <c:pt idx="1">
                  <c:v>273.06761290322572</c:v>
                </c:pt>
              </c:numCache>
            </c:numRef>
          </c:val>
          <c:extLst>
            <c:ext xmlns:c16="http://schemas.microsoft.com/office/drawing/2014/chart" uri="{C3380CC4-5D6E-409C-BE32-E72D297353CC}">
              <c16:uniqueId val="{00000001-B588-4181-8896-C3C1BE308B7C}"/>
            </c:ext>
          </c:extLst>
        </c:ser>
        <c:dLbls>
          <c:dLblPos val="ctr"/>
          <c:showLegendKey val="0"/>
          <c:showVal val="1"/>
          <c:showCatName val="0"/>
          <c:showSerName val="0"/>
          <c:showPercent val="0"/>
          <c:showBubbleSize val="0"/>
        </c:dLbls>
        <c:gapWidth val="150"/>
        <c:overlap val="100"/>
        <c:axId val="1853721535"/>
        <c:axId val="1853722015"/>
      </c:barChart>
      <c:catAx>
        <c:axId val="185372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722015"/>
        <c:crosses val="autoZero"/>
        <c:auto val="1"/>
        <c:lblAlgn val="ctr"/>
        <c:lblOffset val="100"/>
        <c:noMultiLvlLbl val="0"/>
      </c:catAx>
      <c:valAx>
        <c:axId val="1853722015"/>
        <c:scaling>
          <c:orientation val="minMax"/>
          <c:max val="43500"/>
          <c:min val="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72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[Marwa - Operational Performance (Final Dashboard - Modified).xlsx]Oper. Perf. Analysis!Average Purchase Amount Per Shipping Preferences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Purchase Amount Per Shipping Preferences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 Perf. Analysis'!$C$21</c:f>
              <c:strCache>
                <c:ptCount val="1"/>
                <c:pt idx="0">
                  <c:v>Total</c:v>
                </c:pt>
              </c:strCache>
            </c:strRef>
          </c:tx>
          <c:spPr>
            <a:solidFill>
              <a:schemeClr val="accent1"/>
            </a:solidFill>
            <a:ln>
              <a:noFill/>
            </a:ln>
            <a:effectLst/>
          </c:spPr>
          <c:invertIfNegative val="0"/>
          <c:cat>
            <c:strRef>
              <c:f>'Oper. Perf. Analysis'!$B$22:$B$25</c:f>
              <c:strCache>
                <c:ptCount val="3"/>
                <c:pt idx="0">
                  <c:v>Standard</c:v>
                </c:pt>
                <c:pt idx="1">
                  <c:v>Express</c:v>
                </c:pt>
                <c:pt idx="2">
                  <c:v>No Preference</c:v>
                </c:pt>
              </c:strCache>
            </c:strRef>
          </c:cat>
          <c:val>
            <c:numRef>
              <c:f>'Oper. Perf. Analysis'!$C$22:$C$25</c:f>
              <c:numCache>
                <c:formatCode>"$"#,##0_);\("$"#,##0\)</c:formatCode>
                <c:ptCount val="3"/>
                <c:pt idx="0">
                  <c:v>268.95615615615634</c:v>
                </c:pt>
                <c:pt idx="1">
                  <c:v>277.79609589041098</c:v>
                </c:pt>
                <c:pt idx="2">
                  <c:v>278.52776881720456</c:v>
                </c:pt>
              </c:numCache>
            </c:numRef>
          </c:val>
          <c:extLst>
            <c:ext xmlns:c16="http://schemas.microsoft.com/office/drawing/2014/chart" uri="{C3380CC4-5D6E-409C-BE32-E72D297353CC}">
              <c16:uniqueId val="{00000000-E3FD-4C28-A441-58C844D9765C}"/>
            </c:ext>
          </c:extLst>
        </c:ser>
        <c:dLbls>
          <c:showLegendKey val="0"/>
          <c:showVal val="0"/>
          <c:showCatName val="0"/>
          <c:showSerName val="0"/>
          <c:showPercent val="0"/>
          <c:showBubbleSize val="0"/>
        </c:dLbls>
        <c:gapWidth val="219"/>
        <c:overlap val="-27"/>
        <c:axId val="265362575"/>
        <c:axId val="265374095"/>
      </c:barChart>
      <c:catAx>
        <c:axId val="26536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74095"/>
        <c:crosses val="autoZero"/>
        <c:auto val="1"/>
        <c:lblAlgn val="ctr"/>
        <c:lblOffset val="100"/>
        <c:noMultiLvlLbl val="0"/>
      </c:catAx>
      <c:valAx>
        <c:axId val="26537409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6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3.xml"/><Relationship Id="rId3" Type="http://schemas.openxmlformats.org/officeDocument/2006/relationships/hyperlink" Target="#'Customer Behavior'!A1"/><Relationship Id="rId7" Type="http://schemas.openxmlformats.org/officeDocument/2006/relationships/image" Target="../media/image4.png"/><Relationship Id="rId12"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1.xml"/><Relationship Id="rId5" Type="http://schemas.openxmlformats.org/officeDocument/2006/relationships/hyperlink" Target="#'Strategic Analysis'!A1"/><Relationship Id="rId10" Type="http://schemas.openxmlformats.org/officeDocument/2006/relationships/image" Target="../media/image7.png"/><Relationship Id="rId4" Type="http://schemas.openxmlformats.org/officeDocument/2006/relationships/hyperlink" Target="#'Marketing &amp; Engagement'!A1"/><Relationship Id="rId9" Type="http://schemas.openxmlformats.org/officeDocument/2006/relationships/image" Target="../media/image6.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560911</xdr:colOff>
      <xdr:row>0</xdr:row>
      <xdr:rowOff>17246</xdr:rowOff>
    </xdr:from>
    <xdr:to>
      <xdr:col>12</xdr:col>
      <xdr:colOff>274836</xdr:colOff>
      <xdr:row>21</xdr:row>
      <xdr:rowOff>176311</xdr:rowOff>
    </xdr:to>
    <xdr:pic>
      <xdr:nvPicPr>
        <xdr:cNvPr id="2" name="Picture 1">
          <a:extLst>
            <a:ext uri="{FF2B5EF4-FFF2-40B4-BE49-F238E27FC236}">
              <a16:creationId xmlns:a16="http://schemas.microsoft.com/office/drawing/2014/main" id="{04830312-8749-4ABA-A43A-F576CA88B6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70511" y="17246"/>
          <a:ext cx="6419525" cy="4159565"/>
        </a:xfrm>
        <a:prstGeom prst="rect">
          <a:avLst/>
        </a:prstGeom>
      </xdr:spPr>
    </xdr:pic>
    <xdr:clientData/>
  </xdr:twoCellAnchor>
  <xdr:twoCellAnchor editAs="oneCell">
    <xdr:from>
      <xdr:col>0</xdr:col>
      <xdr:colOff>0</xdr:colOff>
      <xdr:row>0</xdr:row>
      <xdr:rowOff>0</xdr:rowOff>
    </xdr:from>
    <xdr:to>
      <xdr:col>2</xdr:col>
      <xdr:colOff>204219</xdr:colOff>
      <xdr:row>22</xdr:row>
      <xdr:rowOff>3057</xdr:rowOff>
    </xdr:to>
    <xdr:pic>
      <xdr:nvPicPr>
        <xdr:cNvPr id="3" name="Picture 2">
          <a:extLst>
            <a:ext uri="{FF2B5EF4-FFF2-40B4-BE49-F238E27FC236}">
              <a16:creationId xmlns:a16="http://schemas.microsoft.com/office/drawing/2014/main" id="{14678653-5F78-4767-B5AA-448DC9C5715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423419" cy="4194057"/>
        </a:xfrm>
        <a:prstGeom prst="rect">
          <a:avLst/>
        </a:prstGeom>
      </xdr:spPr>
    </xdr:pic>
    <xdr:clientData/>
  </xdr:twoCellAnchor>
  <xdr:twoCellAnchor>
    <xdr:from>
      <xdr:col>0</xdr:col>
      <xdr:colOff>258650</xdr:colOff>
      <xdr:row>11</xdr:row>
      <xdr:rowOff>80862</xdr:rowOff>
    </xdr:from>
    <xdr:to>
      <xdr:col>1</xdr:col>
      <xdr:colOff>446689</xdr:colOff>
      <xdr:row>13</xdr:row>
      <xdr:rowOff>100735</xdr:rowOff>
    </xdr:to>
    <xdr:sp macro="" textlink="">
      <xdr:nvSpPr>
        <xdr:cNvPr id="5" name="TextBox 4">
          <a:hlinkClick xmlns:r="http://schemas.openxmlformats.org/officeDocument/2006/relationships" r:id="rId3"/>
          <a:extLst>
            <a:ext uri="{FF2B5EF4-FFF2-40B4-BE49-F238E27FC236}">
              <a16:creationId xmlns:a16="http://schemas.microsoft.com/office/drawing/2014/main" id="{1E24C67A-0198-4096-BFCE-0E7E3480D467}"/>
            </a:ext>
          </a:extLst>
        </xdr:cNvPr>
        <xdr:cNvSpPr txBox="1"/>
      </xdr:nvSpPr>
      <xdr:spPr>
        <a:xfrm>
          <a:off x="258650" y="2176362"/>
          <a:ext cx="797639" cy="400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Myriad Pro" panose="020B0503030403020204" pitchFamily="34" charset="0"/>
            </a:rPr>
            <a:t>Customer</a:t>
          </a:r>
        </a:p>
        <a:p>
          <a:r>
            <a:rPr lang="en-US" sz="900" b="0">
              <a:solidFill>
                <a:schemeClr val="bg1"/>
              </a:solidFill>
              <a:latin typeface="Myriad Pro" panose="020B0503030403020204" pitchFamily="34" charset="0"/>
            </a:rPr>
            <a:t>Behavior</a:t>
          </a:r>
        </a:p>
      </xdr:txBody>
    </xdr:sp>
    <xdr:clientData/>
  </xdr:twoCellAnchor>
  <xdr:twoCellAnchor>
    <xdr:from>
      <xdr:col>0</xdr:col>
      <xdr:colOff>258650</xdr:colOff>
      <xdr:row>14</xdr:row>
      <xdr:rowOff>27950</xdr:rowOff>
    </xdr:from>
    <xdr:to>
      <xdr:col>1</xdr:col>
      <xdr:colOff>446689</xdr:colOff>
      <xdr:row>16</xdr:row>
      <xdr:rowOff>47823</xdr:rowOff>
    </xdr:to>
    <xdr:sp macro="" textlink="">
      <xdr:nvSpPr>
        <xdr:cNvPr id="6" name="TextBox 5">
          <a:hlinkClick xmlns:r="http://schemas.openxmlformats.org/officeDocument/2006/relationships" r:id="rId4"/>
          <a:extLst>
            <a:ext uri="{FF2B5EF4-FFF2-40B4-BE49-F238E27FC236}">
              <a16:creationId xmlns:a16="http://schemas.microsoft.com/office/drawing/2014/main" id="{948947B1-8480-4366-80E3-8CC6DA0215A3}"/>
            </a:ext>
          </a:extLst>
        </xdr:cNvPr>
        <xdr:cNvSpPr txBox="1"/>
      </xdr:nvSpPr>
      <xdr:spPr>
        <a:xfrm>
          <a:off x="258650" y="2694950"/>
          <a:ext cx="797639" cy="400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Myriad Pro" panose="020B0503030403020204" pitchFamily="34" charset="0"/>
            </a:rPr>
            <a:t>Marketing &amp;</a:t>
          </a:r>
        </a:p>
        <a:p>
          <a:r>
            <a:rPr lang="en-US" sz="900" b="0">
              <a:solidFill>
                <a:schemeClr val="bg1"/>
              </a:solidFill>
              <a:latin typeface="Myriad Pro" panose="020B0503030403020204" pitchFamily="34" charset="0"/>
            </a:rPr>
            <a:t>Engagement</a:t>
          </a:r>
        </a:p>
      </xdr:txBody>
    </xdr:sp>
    <xdr:clientData/>
  </xdr:twoCellAnchor>
  <xdr:twoCellAnchor>
    <xdr:from>
      <xdr:col>0</xdr:col>
      <xdr:colOff>258650</xdr:colOff>
      <xdr:row>16</xdr:row>
      <xdr:rowOff>179643</xdr:rowOff>
    </xdr:from>
    <xdr:to>
      <xdr:col>1</xdr:col>
      <xdr:colOff>446689</xdr:colOff>
      <xdr:row>19</xdr:row>
      <xdr:rowOff>9016</xdr:rowOff>
    </xdr:to>
    <xdr:sp macro="" textlink="">
      <xdr:nvSpPr>
        <xdr:cNvPr id="7" name="TextBox 6">
          <a:hlinkClick xmlns:r="http://schemas.openxmlformats.org/officeDocument/2006/relationships" r:id="rId5"/>
          <a:extLst>
            <a:ext uri="{FF2B5EF4-FFF2-40B4-BE49-F238E27FC236}">
              <a16:creationId xmlns:a16="http://schemas.microsoft.com/office/drawing/2014/main" id="{DE12B34A-481C-42A0-8B60-D895D452AE3B}"/>
            </a:ext>
          </a:extLst>
        </xdr:cNvPr>
        <xdr:cNvSpPr txBox="1"/>
      </xdr:nvSpPr>
      <xdr:spPr>
        <a:xfrm>
          <a:off x="258650" y="3227643"/>
          <a:ext cx="797639" cy="400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Myriad Pro" panose="020B0503030403020204" pitchFamily="34" charset="0"/>
            </a:rPr>
            <a:t>Strategic</a:t>
          </a:r>
        </a:p>
        <a:p>
          <a:r>
            <a:rPr lang="en-US" sz="900" b="0">
              <a:solidFill>
                <a:schemeClr val="bg1"/>
              </a:solidFill>
              <a:latin typeface="Myriad Pro" panose="020B0503030403020204" pitchFamily="34" charset="0"/>
            </a:rPr>
            <a:t>Analysis</a:t>
          </a:r>
        </a:p>
      </xdr:txBody>
    </xdr:sp>
    <xdr:clientData/>
  </xdr:twoCellAnchor>
  <xdr:twoCellAnchor editAs="oneCell">
    <xdr:from>
      <xdr:col>0</xdr:col>
      <xdr:colOff>197302</xdr:colOff>
      <xdr:row>8</xdr:row>
      <xdr:rowOff>53304</xdr:rowOff>
    </xdr:from>
    <xdr:to>
      <xdr:col>1</xdr:col>
      <xdr:colOff>571541</xdr:colOff>
      <xdr:row>11</xdr:row>
      <xdr:rowOff>45685</xdr:rowOff>
    </xdr:to>
    <xdr:pic>
      <xdr:nvPicPr>
        <xdr:cNvPr id="8" name="Picture 7">
          <a:extLst>
            <a:ext uri="{FF2B5EF4-FFF2-40B4-BE49-F238E27FC236}">
              <a16:creationId xmlns:a16="http://schemas.microsoft.com/office/drawing/2014/main" id="{8D00EB50-ECB9-4858-AC54-E79FA6ACF61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97302" y="1577304"/>
          <a:ext cx="986560" cy="563881"/>
        </a:xfrm>
        <a:prstGeom prst="rect">
          <a:avLst/>
        </a:prstGeom>
      </xdr:spPr>
    </xdr:pic>
    <xdr:clientData/>
  </xdr:twoCellAnchor>
  <xdr:twoCellAnchor>
    <xdr:from>
      <xdr:col>0</xdr:col>
      <xdr:colOff>258650</xdr:colOff>
      <xdr:row>6</xdr:row>
      <xdr:rowOff>20884</xdr:rowOff>
    </xdr:from>
    <xdr:to>
      <xdr:col>1</xdr:col>
      <xdr:colOff>446689</xdr:colOff>
      <xdr:row>8</xdr:row>
      <xdr:rowOff>40757</xdr:rowOff>
    </xdr:to>
    <xdr:sp macro="" textlink="">
      <xdr:nvSpPr>
        <xdr:cNvPr id="9" name="TextBox 8">
          <a:extLst>
            <a:ext uri="{FF2B5EF4-FFF2-40B4-BE49-F238E27FC236}">
              <a16:creationId xmlns:a16="http://schemas.microsoft.com/office/drawing/2014/main" id="{646C0272-3073-4008-BBB2-D6671C5C8453}"/>
            </a:ext>
          </a:extLst>
        </xdr:cNvPr>
        <xdr:cNvSpPr txBox="1"/>
      </xdr:nvSpPr>
      <xdr:spPr>
        <a:xfrm>
          <a:off x="258650" y="1163884"/>
          <a:ext cx="797639" cy="400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000"/>
            </a:lnSpc>
          </a:pPr>
          <a:r>
            <a:rPr lang="en-US" sz="900" b="0">
              <a:solidFill>
                <a:schemeClr val="bg1"/>
              </a:solidFill>
              <a:latin typeface="Myriad Pro" panose="020B0503030403020204" pitchFamily="34" charset="0"/>
            </a:rPr>
            <a:t>Executive</a:t>
          </a:r>
        </a:p>
        <a:p>
          <a:pPr>
            <a:lnSpc>
              <a:spcPts val="1000"/>
            </a:lnSpc>
          </a:pPr>
          <a:r>
            <a:rPr lang="en-US" sz="900" b="0">
              <a:solidFill>
                <a:schemeClr val="bg1"/>
              </a:solidFill>
              <a:latin typeface="Myriad Pro" panose="020B0503030403020204" pitchFamily="34" charset="0"/>
            </a:rPr>
            <a:t>Summary</a:t>
          </a:r>
        </a:p>
      </xdr:txBody>
    </xdr:sp>
    <xdr:clientData/>
  </xdr:twoCellAnchor>
  <xdr:twoCellAnchor>
    <xdr:from>
      <xdr:col>2</xdr:col>
      <xdr:colOff>43295</xdr:colOff>
      <xdr:row>0</xdr:row>
      <xdr:rowOff>8660</xdr:rowOff>
    </xdr:from>
    <xdr:to>
      <xdr:col>10</xdr:col>
      <xdr:colOff>14654</xdr:colOff>
      <xdr:row>2</xdr:row>
      <xdr:rowOff>69273</xdr:rowOff>
    </xdr:to>
    <xdr:sp macro="" textlink="">
      <xdr:nvSpPr>
        <xdr:cNvPr id="10" name="TextBox 9">
          <a:extLst>
            <a:ext uri="{FF2B5EF4-FFF2-40B4-BE49-F238E27FC236}">
              <a16:creationId xmlns:a16="http://schemas.microsoft.com/office/drawing/2014/main" id="{45FA1429-F349-4284-8E56-9A0F7F250AE1}"/>
            </a:ext>
          </a:extLst>
        </xdr:cNvPr>
        <xdr:cNvSpPr txBox="1"/>
      </xdr:nvSpPr>
      <xdr:spPr>
        <a:xfrm>
          <a:off x="1262495" y="8660"/>
          <a:ext cx="4848159" cy="441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50" b="1">
              <a:solidFill>
                <a:srgbClr val="5D8FAB"/>
              </a:solidFill>
              <a:latin typeface="Myriad Pro" panose="020B0503030403020204" pitchFamily="34" charset="0"/>
            </a:rPr>
            <a:t>Operational Performance Summary For The Year </a:t>
          </a:r>
          <a:r>
            <a:rPr lang="en-US" sz="2200" b="1">
              <a:solidFill>
                <a:srgbClr val="5D8FAB"/>
              </a:solidFill>
              <a:latin typeface="Myriad Pro" panose="020B0503030403020204" pitchFamily="34" charset="0"/>
            </a:rPr>
            <a:t>2024</a:t>
          </a:r>
        </a:p>
      </xdr:txBody>
    </xdr:sp>
    <xdr:clientData/>
  </xdr:twoCellAnchor>
  <xdr:twoCellAnchor>
    <xdr:from>
      <xdr:col>10</xdr:col>
      <xdr:colOff>187036</xdr:colOff>
      <xdr:row>0</xdr:row>
      <xdr:rowOff>12991</xdr:rowOff>
    </xdr:from>
    <xdr:to>
      <xdr:col>12</xdr:col>
      <xdr:colOff>380999</xdr:colOff>
      <xdr:row>2</xdr:row>
      <xdr:rowOff>94385</xdr:rowOff>
    </xdr:to>
    <xdr:sp macro="" textlink="">
      <xdr:nvSpPr>
        <xdr:cNvPr id="11" name="TextBox 10">
          <a:extLst>
            <a:ext uri="{FF2B5EF4-FFF2-40B4-BE49-F238E27FC236}">
              <a16:creationId xmlns:a16="http://schemas.microsoft.com/office/drawing/2014/main" id="{E76320FB-E061-4B5B-9314-1685FE19FD0B}"/>
            </a:ext>
          </a:extLst>
        </xdr:cNvPr>
        <xdr:cNvSpPr txBox="1"/>
      </xdr:nvSpPr>
      <xdr:spPr>
        <a:xfrm>
          <a:off x="6283036" y="12991"/>
          <a:ext cx="1413163" cy="462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accent3">
                  <a:lumMod val="75000"/>
                </a:schemeClr>
              </a:solidFill>
              <a:latin typeface="Myriad Pro" panose="020B0503030403020204" pitchFamily="34" charset="0"/>
            </a:rPr>
            <a:t>Data Hunters</a:t>
          </a:r>
        </a:p>
        <a:p>
          <a:pPr algn="ctr"/>
          <a:r>
            <a:rPr lang="en-US" sz="1000" b="1">
              <a:solidFill>
                <a:schemeClr val="accent3">
                  <a:lumMod val="75000"/>
                </a:schemeClr>
              </a:solidFill>
              <a:latin typeface="Myriad Pro" panose="020B0503030403020204" pitchFamily="34" charset="0"/>
            </a:rPr>
            <a:t>Team</a:t>
          </a:r>
        </a:p>
      </xdr:txBody>
    </xdr:sp>
    <xdr:clientData/>
  </xdr:twoCellAnchor>
  <xdr:twoCellAnchor>
    <xdr:from>
      <xdr:col>0</xdr:col>
      <xdr:colOff>71001</xdr:colOff>
      <xdr:row>1</xdr:row>
      <xdr:rowOff>141499</xdr:rowOff>
    </xdr:from>
    <xdr:to>
      <xdr:col>1</xdr:col>
      <xdr:colOff>493568</xdr:colOff>
      <xdr:row>4</xdr:row>
      <xdr:rowOff>129377</xdr:rowOff>
    </xdr:to>
    <xdr:sp macro="" textlink="">
      <xdr:nvSpPr>
        <xdr:cNvPr id="12" name="TextBox 11">
          <a:extLst>
            <a:ext uri="{FF2B5EF4-FFF2-40B4-BE49-F238E27FC236}">
              <a16:creationId xmlns:a16="http://schemas.microsoft.com/office/drawing/2014/main" id="{D5A29DAA-C2F3-4E26-8D6F-997C844A328C}"/>
            </a:ext>
          </a:extLst>
        </xdr:cNvPr>
        <xdr:cNvSpPr txBox="1"/>
      </xdr:nvSpPr>
      <xdr:spPr>
        <a:xfrm>
          <a:off x="71001" y="331999"/>
          <a:ext cx="1032167" cy="559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Myriad Pro" panose="020B0503030403020204" pitchFamily="34" charset="0"/>
            </a:rPr>
            <a:t>Ecommerce Consumer Behavior Analysis</a:t>
          </a:r>
        </a:p>
      </xdr:txBody>
    </xdr:sp>
    <xdr:clientData/>
  </xdr:twoCellAnchor>
  <xdr:twoCellAnchor editAs="oneCell">
    <xdr:from>
      <xdr:col>2</xdr:col>
      <xdr:colOff>84255</xdr:colOff>
      <xdr:row>2</xdr:row>
      <xdr:rowOff>108584</xdr:rowOff>
    </xdr:from>
    <xdr:to>
      <xdr:col>3</xdr:col>
      <xdr:colOff>557375</xdr:colOff>
      <xdr:row>5</xdr:row>
      <xdr:rowOff>64389</xdr:rowOff>
    </xdr:to>
    <xdr:pic>
      <xdr:nvPicPr>
        <xdr:cNvPr id="20" name="Picture 19">
          <a:extLst>
            <a:ext uri="{FF2B5EF4-FFF2-40B4-BE49-F238E27FC236}">
              <a16:creationId xmlns:a16="http://schemas.microsoft.com/office/drawing/2014/main" id="{B18D2E7B-1D2B-3C93-147A-BF51314E4A7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03455" y="489584"/>
          <a:ext cx="1082720" cy="527305"/>
        </a:xfrm>
        <a:prstGeom prst="rect">
          <a:avLst/>
        </a:prstGeom>
      </xdr:spPr>
    </xdr:pic>
    <xdr:clientData/>
  </xdr:twoCellAnchor>
  <xdr:twoCellAnchor editAs="oneCell">
    <xdr:from>
      <xdr:col>4</xdr:col>
      <xdr:colOff>553449</xdr:colOff>
      <xdr:row>2</xdr:row>
      <xdr:rowOff>108584</xdr:rowOff>
    </xdr:from>
    <xdr:to>
      <xdr:col>6</xdr:col>
      <xdr:colOff>416968</xdr:colOff>
      <xdr:row>5</xdr:row>
      <xdr:rowOff>64389</xdr:rowOff>
    </xdr:to>
    <xdr:pic>
      <xdr:nvPicPr>
        <xdr:cNvPr id="22" name="Picture 21">
          <a:extLst>
            <a:ext uri="{FF2B5EF4-FFF2-40B4-BE49-F238E27FC236}">
              <a16:creationId xmlns:a16="http://schemas.microsoft.com/office/drawing/2014/main" id="{CF316A7A-A4CB-8D24-BFDA-CD5B5CED2DB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991849" y="489584"/>
          <a:ext cx="1082719" cy="527305"/>
        </a:xfrm>
        <a:prstGeom prst="rect">
          <a:avLst/>
        </a:prstGeom>
      </xdr:spPr>
    </xdr:pic>
    <xdr:clientData/>
  </xdr:twoCellAnchor>
  <xdr:twoCellAnchor editAs="oneCell">
    <xdr:from>
      <xdr:col>7</xdr:col>
      <xdr:colOff>413042</xdr:colOff>
      <xdr:row>2</xdr:row>
      <xdr:rowOff>108584</xdr:rowOff>
    </xdr:from>
    <xdr:to>
      <xdr:col>9</xdr:col>
      <xdr:colOff>280794</xdr:colOff>
      <xdr:row>5</xdr:row>
      <xdr:rowOff>64389</xdr:rowOff>
    </xdr:to>
    <xdr:pic>
      <xdr:nvPicPr>
        <xdr:cNvPr id="24" name="Picture 23">
          <a:extLst>
            <a:ext uri="{FF2B5EF4-FFF2-40B4-BE49-F238E27FC236}">
              <a16:creationId xmlns:a16="http://schemas.microsoft.com/office/drawing/2014/main" id="{14F99996-A042-231B-1FBA-00A96AA1EA8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680242" y="489584"/>
          <a:ext cx="1086952" cy="527305"/>
        </a:xfrm>
        <a:prstGeom prst="rect">
          <a:avLst/>
        </a:prstGeom>
      </xdr:spPr>
    </xdr:pic>
    <xdr:clientData/>
  </xdr:twoCellAnchor>
  <xdr:twoCellAnchor editAs="oneCell">
    <xdr:from>
      <xdr:col>10</xdr:col>
      <xdr:colOff>276868</xdr:colOff>
      <xdr:row>2</xdr:row>
      <xdr:rowOff>108584</xdr:rowOff>
    </xdr:from>
    <xdr:to>
      <xdr:col>12</xdr:col>
      <xdr:colOff>140387</xdr:colOff>
      <xdr:row>5</xdr:row>
      <xdr:rowOff>64389</xdr:rowOff>
    </xdr:to>
    <xdr:pic>
      <xdr:nvPicPr>
        <xdr:cNvPr id="26" name="Picture 25">
          <a:extLst>
            <a:ext uri="{FF2B5EF4-FFF2-40B4-BE49-F238E27FC236}">
              <a16:creationId xmlns:a16="http://schemas.microsoft.com/office/drawing/2014/main" id="{1F51938F-60C7-B638-16D1-97115BE4479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372868" y="489584"/>
          <a:ext cx="1082719" cy="527305"/>
        </a:xfrm>
        <a:prstGeom prst="rect">
          <a:avLst/>
        </a:prstGeom>
      </xdr:spPr>
    </xdr:pic>
    <xdr:clientData/>
  </xdr:twoCellAnchor>
  <xdr:twoCellAnchor>
    <xdr:from>
      <xdr:col>0</xdr:col>
      <xdr:colOff>258650</xdr:colOff>
      <xdr:row>8</xdr:row>
      <xdr:rowOff>140835</xdr:rowOff>
    </xdr:from>
    <xdr:to>
      <xdr:col>1</xdr:col>
      <xdr:colOff>523875</xdr:colOff>
      <xdr:row>10</xdr:row>
      <xdr:rowOff>160708</xdr:rowOff>
    </xdr:to>
    <xdr:sp macro="" textlink="">
      <xdr:nvSpPr>
        <xdr:cNvPr id="4" name="TextBox 3">
          <a:extLst>
            <a:ext uri="{FF2B5EF4-FFF2-40B4-BE49-F238E27FC236}">
              <a16:creationId xmlns:a16="http://schemas.microsoft.com/office/drawing/2014/main" id="{E19A67C8-619B-4501-9CC0-F0AD6C6AAB05}"/>
            </a:ext>
          </a:extLst>
        </xdr:cNvPr>
        <xdr:cNvSpPr txBox="1"/>
      </xdr:nvSpPr>
      <xdr:spPr>
        <a:xfrm>
          <a:off x="258650" y="1664835"/>
          <a:ext cx="877546" cy="400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1A486C"/>
              </a:solidFill>
              <a:latin typeface="Myriad Pro" panose="020B0503030403020204" pitchFamily="34" charset="0"/>
            </a:rPr>
            <a:t>Operational</a:t>
          </a:r>
        </a:p>
        <a:p>
          <a:r>
            <a:rPr lang="en-US" sz="900" b="1">
              <a:solidFill>
                <a:srgbClr val="1A486C"/>
              </a:solidFill>
              <a:latin typeface="Myriad Pro" panose="020B0503030403020204" pitchFamily="34" charset="0"/>
            </a:rPr>
            <a:t>Performance</a:t>
          </a:r>
        </a:p>
      </xdr:txBody>
    </xdr:sp>
    <xdr:clientData/>
  </xdr:twoCellAnchor>
  <xdr:twoCellAnchor>
    <xdr:from>
      <xdr:col>2</xdr:col>
      <xdr:colOff>114421</xdr:colOff>
      <xdr:row>3</xdr:row>
      <xdr:rowOff>109330</xdr:rowOff>
    </xdr:from>
    <xdr:to>
      <xdr:col>3</xdr:col>
      <xdr:colOff>474842</xdr:colOff>
      <xdr:row>5</xdr:row>
      <xdr:rowOff>2174</xdr:rowOff>
    </xdr:to>
    <xdr:sp macro="" textlink="'Oper. Perf. Analysis'!CE7">
      <xdr:nvSpPr>
        <xdr:cNvPr id="27" name="TextBox 26">
          <a:extLst>
            <a:ext uri="{FF2B5EF4-FFF2-40B4-BE49-F238E27FC236}">
              <a16:creationId xmlns:a16="http://schemas.microsoft.com/office/drawing/2014/main" id="{D980A50F-7E87-4863-8274-F0C481954BA5}"/>
            </a:ext>
          </a:extLst>
        </xdr:cNvPr>
        <xdr:cNvSpPr txBox="1"/>
      </xdr:nvSpPr>
      <xdr:spPr>
        <a:xfrm>
          <a:off x="1333621" y="680830"/>
          <a:ext cx="970021"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2212E5-6D30-4D2E-AF7D-50091E3B27FF}" type="TxLink">
            <a:rPr lang="en-US" sz="1800" b="1" i="0" u="none" strike="noStrike">
              <a:solidFill>
                <a:srgbClr val="5D8FAB"/>
              </a:solidFill>
              <a:latin typeface="Calibri"/>
              <a:ea typeface="Calibri"/>
              <a:cs typeface="Calibri"/>
            </a:rPr>
            <a:pPr marL="0" indent="0" algn="ctr"/>
            <a:t>5.4</a:t>
          </a:fld>
          <a:endParaRPr lang="en-US" sz="1800" b="1" i="0" u="none" strike="noStrike">
            <a:solidFill>
              <a:srgbClr val="5D8FAB"/>
            </a:solidFill>
            <a:latin typeface="Calibri"/>
            <a:ea typeface="Calibri"/>
            <a:cs typeface="Calibri"/>
          </a:endParaRPr>
        </a:p>
      </xdr:txBody>
    </xdr:sp>
    <xdr:clientData/>
  </xdr:twoCellAnchor>
  <xdr:twoCellAnchor>
    <xdr:from>
      <xdr:col>4</xdr:col>
      <xdr:colOff>521277</xdr:colOff>
      <xdr:row>3</xdr:row>
      <xdr:rowOff>99804</xdr:rowOff>
    </xdr:from>
    <xdr:to>
      <xdr:col>6</xdr:col>
      <xdr:colOff>466725</xdr:colOff>
      <xdr:row>5</xdr:row>
      <xdr:rowOff>38099</xdr:rowOff>
    </xdr:to>
    <xdr:sp macro="" textlink="'Oper. Perf. Analysis'!CE5">
      <xdr:nvSpPr>
        <xdr:cNvPr id="28" name="TextBox 27">
          <a:extLst>
            <a:ext uri="{FF2B5EF4-FFF2-40B4-BE49-F238E27FC236}">
              <a16:creationId xmlns:a16="http://schemas.microsoft.com/office/drawing/2014/main" id="{4CD19B2B-9C59-FD09-2A84-DBB021FD4E1A}"/>
            </a:ext>
          </a:extLst>
        </xdr:cNvPr>
        <xdr:cNvSpPr txBox="1"/>
      </xdr:nvSpPr>
      <xdr:spPr>
        <a:xfrm>
          <a:off x="2959677" y="671304"/>
          <a:ext cx="1164648" cy="319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31E83B-5417-4E6F-A51F-2A186ED9233A}" type="TxLink">
            <a:rPr lang="en-US" sz="1800" b="1" i="0" u="none" strike="noStrike">
              <a:solidFill>
                <a:srgbClr val="5D8FAB"/>
              </a:solidFill>
              <a:latin typeface="Calibri"/>
              <a:ea typeface="Calibri"/>
              <a:cs typeface="Calibri"/>
            </a:rPr>
            <a:pPr marL="0" indent="0" algn="ctr"/>
            <a:t> $275 </a:t>
          </a:fld>
          <a:endParaRPr lang="en-US" sz="1800" b="1" i="0" u="none" strike="noStrike">
            <a:solidFill>
              <a:srgbClr val="5D8FAB"/>
            </a:solidFill>
            <a:latin typeface="Calibri"/>
            <a:ea typeface="Calibri"/>
            <a:cs typeface="Calibri"/>
          </a:endParaRPr>
        </a:p>
      </xdr:txBody>
    </xdr:sp>
    <xdr:clientData/>
  </xdr:twoCellAnchor>
  <xdr:twoCellAnchor>
    <xdr:from>
      <xdr:col>7</xdr:col>
      <xdr:colOff>457329</xdr:colOff>
      <xdr:row>3</xdr:row>
      <xdr:rowOff>109330</xdr:rowOff>
    </xdr:from>
    <xdr:to>
      <xdr:col>9</xdr:col>
      <xdr:colOff>208150</xdr:colOff>
      <xdr:row>5</xdr:row>
      <xdr:rowOff>2174</xdr:rowOff>
    </xdr:to>
    <xdr:sp macro="" textlink="'Oper. Perf. Analysis'!CE8">
      <xdr:nvSpPr>
        <xdr:cNvPr id="29" name="TextBox 28">
          <a:extLst>
            <a:ext uri="{FF2B5EF4-FFF2-40B4-BE49-F238E27FC236}">
              <a16:creationId xmlns:a16="http://schemas.microsoft.com/office/drawing/2014/main" id="{B7CA209F-063D-EDDB-E84E-A882378DFAA9}"/>
            </a:ext>
          </a:extLst>
        </xdr:cNvPr>
        <xdr:cNvSpPr txBox="1"/>
      </xdr:nvSpPr>
      <xdr:spPr>
        <a:xfrm>
          <a:off x="4724529" y="680830"/>
          <a:ext cx="970021"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9CE0E0-87D7-4B90-9C3D-0317491E9BB5}" type="TxLink">
            <a:rPr lang="en-US" sz="1800" b="1" i="0" u="none" strike="noStrike">
              <a:solidFill>
                <a:srgbClr val="5D8FAB"/>
              </a:solidFill>
              <a:latin typeface="Calibri"/>
              <a:ea typeface="Calibri"/>
              <a:cs typeface="Calibri"/>
            </a:rPr>
            <a:pPr marL="0" indent="0" algn="ctr"/>
            <a:t>7.5</a:t>
          </a:fld>
          <a:endParaRPr lang="en-US" sz="1800" b="1" i="0" u="none" strike="noStrike">
            <a:solidFill>
              <a:srgbClr val="5D8FAB"/>
            </a:solidFill>
            <a:latin typeface="Calibri"/>
            <a:ea typeface="Calibri"/>
            <a:cs typeface="Calibri"/>
          </a:endParaRPr>
        </a:p>
      </xdr:txBody>
    </xdr:sp>
    <xdr:clientData/>
  </xdr:twoCellAnchor>
  <xdr:twoCellAnchor>
    <xdr:from>
      <xdr:col>10</xdr:col>
      <xdr:colOff>359361</xdr:colOff>
      <xdr:row>3</xdr:row>
      <xdr:rowOff>109330</xdr:rowOff>
    </xdr:from>
    <xdr:to>
      <xdr:col>12</xdr:col>
      <xdr:colOff>110182</xdr:colOff>
      <xdr:row>5</xdr:row>
      <xdr:rowOff>2174</xdr:rowOff>
    </xdr:to>
    <xdr:sp macro="" textlink="'Oper. Perf. Analysis'!CE6">
      <xdr:nvSpPr>
        <xdr:cNvPr id="30" name="TextBox 29">
          <a:extLst>
            <a:ext uri="{FF2B5EF4-FFF2-40B4-BE49-F238E27FC236}">
              <a16:creationId xmlns:a16="http://schemas.microsoft.com/office/drawing/2014/main" id="{9B0F7FFD-95EF-7E29-6E52-7FA4315BAE0A}"/>
            </a:ext>
          </a:extLst>
        </xdr:cNvPr>
        <xdr:cNvSpPr txBox="1"/>
      </xdr:nvSpPr>
      <xdr:spPr>
        <a:xfrm>
          <a:off x="6455361" y="680830"/>
          <a:ext cx="970021"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5A67A1-8B03-4781-A12F-0ECAC9E7BD70}" type="TxLink">
            <a:rPr lang="en-US" sz="1800" b="1" i="0" u="none" strike="noStrike">
              <a:solidFill>
                <a:srgbClr val="5D8FAB"/>
              </a:solidFill>
              <a:latin typeface="Calibri"/>
              <a:ea typeface="Calibri"/>
              <a:cs typeface="Calibri"/>
            </a:rPr>
            <a:pPr marL="0" indent="0" algn="ctr"/>
            <a:t>18%</a:t>
          </a:fld>
          <a:endParaRPr lang="en-US" sz="1800" b="1" i="0" u="none" strike="noStrike">
            <a:solidFill>
              <a:srgbClr val="5D8FAB"/>
            </a:solidFill>
            <a:latin typeface="Calibri"/>
            <a:ea typeface="Calibri"/>
            <a:cs typeface="Calibri"/>
          </a:endParaRPr>
        </a:p>
      </xdr:txBody>
    </xdr:sp>
    <xdr:clientData/>
  </xdr:twoCellAnchor>
  <xdr:twoCellAnchor>
    <xdr:from>
      <xdr:col>2</xdr:col>
      <xdr:colOff>78582</xdr:colOff>
      <xdr:row>5</xdr:row>
      <xdr:rowOff>171449</xdr:rowOff>
    </xdr:from>
    <xdr:to>
      <xdr:col>6</xdr:col>
      <xdr:colOff>200025</xdr:colOff>
      <xdr:row>13</xdr:row>
      <xdr:rowOff>47624</xdr:rowOff>
    </xdr:to>
    <xdr:graphicFrame macro="">
      <xdr:nvGraphicFramePr>
        <xdr:cNvPr id="34" name="Chart 33">
          <a:extLst>
            <a:ext uri="{FF2B5EF4-FFF2-40B4-BE49-F238E27FC236}">
              <a16:creationId xmlns:a16="http://schemas.microsoft.com/office/drawing/2014/main" id="{7E9CD2FC-40DE-42B6-AC20-925D05D88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297658</xdr:colOff>
      <xdr:row>5</xdr:row>
      <xdr:rowOff>180975</xdr:rowOff>
    </xdr:from>
    <xdr:to>
      <xdr:col>10</xdr:col>
      <xdr:colOff>295276</xdr:colOff>
      <xdr:row>13</xdr:row>
      <xdr:rowOff>60975</xdr:rowOff>
    </xdr:to>
    <xdr:graphicFrame macro="">
      <xdr:nvGraphicFramePr>
        <xdr:cNvPr id="35" name="Chart 34">
          <a:extLst>
            <a:ext uri="{FF2B5EF4-FFF2-40B4-BE49-F238E27FC236}">
              <a16:creationId xmlns:a16="http://schemas.microsoft.com/office/drawing/2014/main" id="{79377D8D-E780-4463-ABB3-9B87352EF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76200</xdr:colOff>
      <xdr:row>13</xdr:row>
      <xdr:rowOff>171450</xdr:rowOff>
    </xdr:from>
    <xdr:to>
      <xdr:col>7</xdr:col>
      <xdr:colOff>95250</xdr:colOff>
      <xdr:row>21</xdr:row>
      <xdr:rowOff>19050</xdr:rowOff>
    </xdr:to>
    <xdr:graphicFrame macro="">
      <xdr:nvGraphicFramePr>
        <xdr:cNvPr id="13" name="Chart 12">
          <a:extLst>
            <a:ext uri="{FF2B5EF4-FFF2-40B4-BE49-F238E27FC236}">
              <a16:creationId xmlns:a16="http://schemas.microsoft.com/office/drawing/2014/main" id="{6123712E-37C6-489B-AA93-6483913A0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200024</xdr:colOff>
      <xdr:row>13</xdr:row>
      <xdr:rowOff>171450</xdr:rowOff>
    </xdr:from>
    <xdr:to>
      <xdr:col>12</xdr:col>
      <xdr:colOff>152399</xdr:colOff>
      <xdr:row>21</xdr:row>
      <xdr:rowOff>19050</xdr:rowOff>
    </xdr:to>
    <xdr:graphicFrame macro="">
      <xdr:nvGraphicFramePr>
        <xdr:cNvPr id="15" name="Chart 14">
          <a:extLst>
            <a:ext uri="{FF2B5EF4-FFF2-40B4-BE49-F238E27FC236}">
              <a16:creationId xmlns:a16="http://schemas.microsoft.com/office/drawing/2014/main" id="{D3FB68F7-5F99-4E69-B6BC-DC65B3796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10</xdr:col>
      <xdr:colOff>390526</xdr:colOff>
      <xdr:row>5</xdr:row>
      <xdr:rowOff>171449</xdr:rowOff>
    </xdr:from>
    <xdr:to>
      <xdr:col>12</xdr:col>
      <xdr:colOff>142876</xdr:colOff>
      <xdr:row>13</xdr:row>
      <xdr:rowOff>85724</xdr:rowOff>
    </xdr:to>
    <mc:AlternateContent xmlns:mc="http://schemas.openxmlformats.org/markup-compatibility/2006" xmlns:a14="http://schemas.microsoft.com/office/drawing/2010/main">
      <mc:Choice Requires="a14">
        <xdr:graphicFrame macro="">
          <xdr:nvGraphicFramePr>
            <xdr:cNvPr id="16" name="Age Category 1">
              <a:extLst>
                <a:ext uri="{FF2B5EF4-FFF2-40B4-BE49-F238E27FC236}">
                  <a16:creationId xmlns:a16="http://schemas.microsoft.com/office/drawing/2014/main" id="{E63576C6-A1D0-4419-929E-0534EA9B9EEB}"/>
                </a:ext>
              </a:extLst>
            </xdr:cNvPr>
            <xdr:cNvGraphicFramePr/>
          </xdr:nvGraphicFramePr>
          <xdr:xfrm>
            <a:off x="0" y="0"/>
            <a:ext cx="0" cy="0"/>
          </xdr:xfrm>
          <a:graphic>
            <a:graphicData uri="http://schemas.microsoft.com/office/drawing/2010/slicer">
              <sle:slicer xmlns:sle="http://schemas.microsoft.com/office/drawing/2010/slicer" name="Age Category 1"/>
            </a:graphicData>
          </a:graphic>
        </xdr:graphicFrame>
      </mc:Choice>
      <mc:Fallback xmlns="">
        <xdr:sp macro="" textlink="">
          <xdr:nvSpPr>
            <xdr:cNvPr id="0" name=""/>
            <xdr:cNvSpPr>
              <a:spLocks noTextEdit="1"/>
            </xdr:cNvSpPr>
          </xdr:nvSpPr>
          <xdr:spPr>
            <a:xfrm>
              <a:off x="6486526" y="1123949"/>
              <a:ext cx="97155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35</xdr:col>
      <xdr:colOff>1561513</xdr:colOff>
      <xdr:row>0</xdr:row>
      <xdr:rowOff>17584</xdr:rowOff>
    </xdr:from>
    <xdr:to>
      <xdr:col>38</xdr:col>
      <xdr:colOff>429065</xdr:colOff>
      <xdr:row>12</xdr:row>
      <xdr:rowOff>56271</xdr:rowOff>
    </xdr:to>
    <xdr:graphicFrame macro="">
      <xdr:nvGraphicFramePr>
        <xdr:cNvPr id="2" name="Chart 1">
          <a:extLst>
            <a:ext uri="{FF2B5EF4-FFF2-40B4-BE49-F238E27FC236}">
              <a16:creationId xmlns:a16="http://schemas.microsoft.com/office/drawing/2014/main" id="{7185E136-1D2E-4E34-99BF-795915A4E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69</xdr:col>
      <xdr:colOff>203981</xdr:colOff>
      <xdr:row>1</xdr:row>
      <xdr:rowOff>1</xdr:rowOff>
    </xdr:from>
    <xdr:to>
      <xdr:col>72</xdr:col>
      <xdr:colOff>590842</xdr:colOff>
      <xdr:row>5</xdr:row>
      <xdr:rowOff>168812</xdr:rowOff>
    </xdr:to>
    <mc:AlternateContent xmlns:mc="http://schemas.openxmlformats.org/markup-compatibility/2006" xmlns:a14="http://schemas.microsoft.com/office/drawing/2010/main">
      <mc:Choice Requires="a14">
        <xdr:graphicFrame macro="">
          <xdr:nvGraphicFramePr>
            <xdr:cNvPr id="3" name="Age Category 2">
              <a:extLst>
                <a:ext uri="{FF2B5EF4-FFF2-40B4-BE49-F238E27FC236}">
                  <a16:creationId xmlns:a16="http://schemas.microsoft.com/office/drawing/2014/main" id="{AA154ECD-7213-42EE-A772-E8F84BCB7BDE}"/>
                </a:ext>
              </a:extLst>
            </xdr:cNvPr>
            <xdr:cNvGraphicFramePr/>
          </xdr:nvGraphicFramePr>
          <xdr:xfrm>
            <a:off x="0" y="0"/>
            <a:ext cx="0" cy="0"/>
          </xdr:xfrm>
          <a:graphic>
            <a:graphicData uri="http://schemas.microsoft.com/office/drawing/2010/slicer">
              <sle:slicer xmlns:sle="http://schemas.microsoft.com/office/drawing/2010/slicer" name="Age Category 2"/>
            </a:graphicData>
          </a:graphic>
        </xdr:graphicFrame>
      </mc:Choice>
      <mc:Fallback xmlns="">
        <xdr:sp macro="" textlink="">
          <xdr:nvSpPr>
            <xdr:cNvPr id="0" name=""/>
            <xdr:cNvSpPr>
              <a:spLocks noTextEdit="1"/>
            </xdr:cNvSpPr>
          </xdr:nvSpPr>
          <xdr:spPr>
            <a:xfrm>
              <a:off x="64756267" y="204108"/>
              <a:ext cx="2223825" cy="944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64</xdr:col>
      <xdr:colOff>494964</xdr:colOff>
      <xdr:row>15</xdr:row>
      <xdr:rowOff>29224</xdr:rowOff>
    </xdr:from>
    <xdr:to>
      <xdr:col>68</xdr:col>
      <xdr:colOff>280433</xdr:colOff>
      <xdr:row>37</xdr:row>
      <xdr:rowOff>29224</xdr:rowOff>
    </xdr:to>
    <xdr:graphicFrame macro="">
      <xdr:nvGraphicFramePr>
        <xdr:cNvPr id="4" name="Chart 3">
          <a:extLst>
            <a:ext uri="{FF2B5EF4-FFF2-40B4-BE49-F238E27FC236}">
              <a16:creationId xmlns:a16="http://schemas.microsoft.com/office/drawing/2014/main" id="{0274E63D-817A-475C-9BE0-EE9D2AD89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467749</xdr:colOff>
      <xdr:row>0</xdr:row>
      <xdr:rowOff>3514</xdr:rowOff>
    </xdr:from>
    <xdr:to>
      <xdr:col>28</xdr:col>
      <xdr:colOff>87921</xdr:colOff>
      <xdr:row>9</xdr:row>
      <xdr:rowOff>119574</xdr:rowOff>
    </xdr:to>
    <xdr:graphicFrame macro="">
      <xdr:nvGraphicFramePr>
        <xdr:cNvPr id="5" name="Chart 4">
          <a:extLst>
            <a:ext uri="{FF2B5EF4-FFF2-40B4-BE49-F238E27FC236}">
              <a16:creationId xmlns:a16="http://schemas.microsoft.com/office/drawing/2014/main" id="{BE442A54-FE02-4E60-B349-BE11B616F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247482</xdr:colOff>
      <xdr:row>2</xdr:row>
      <xdr:rowOff>158350</xdr:rowOff>
    </xdr:from>
    <xdr:to>
      <xdr:col>11</xdr:col>
      <xdr:colOff>173493</xdr:colOff>
      <xdr:row>13</xdr:row>
      <xdr:rowOff>83341</xdr:rowOff>
    </xdr:to>
    <xdr:graphicFrame macro="">
      <xdr:nvGraphicFramePr>
        <xdr:cNvPr id="8" name="Chart 7">
          <a:extLst>
            <a:ext uri="{FF2B5EF4-FFF2-40B4-BE49-F238E27FC236}">
              <a16:creationId xmlns:a16="http://schemas.microsoft.com/office/drawing/2014/main" id="{80F975F9-6749-8333-2631-4C2958FB7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573315</xdr:colOff>
      <xdr:row>14</xdr:row>
      <xdr:rowOff>84365</xdr:rowOff>
    </xdr:from>
    <xdr:to>
      <xdr:col>41</xdr:col>
      <xdr:colOff>0</xdr:colOff>
      <xdr:row>28</xdr:row>
      <xdr:rowOff>63500</xdr:rowOff>
    </xdr:to>
    <xdr:graphicFrame macro="">
      <xdr:nvGraphicFramePr>
        <xdr:cNvPr id="9" name="Chart 8">
          <a:extLst>
            <a:ext uri="{FF2B5EF4-FFF2-40B4-BE49-F238E27FC236}">
              <a16:creationId xmlns:a16="http://schemas.microsoft.com/office/drawing/2014/main" id="{0B0DB751-A10D-C4B6-7776-9A2CAD5C1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1901597</xdr:colOff>
      <xdr:row>19</xdr:row>
      <xdr:rowOff>183016</xdr:rowOff>
    </xdr:from>
    <xdr:to>
      <xdr:col>12</xdr:col>
      <xdr:colOff>85043</xdr:colOff>
      <xdr:row>48</xdr:row>
      <xdr:rowOff>68716</xdr:rowOff>
    </xdr:to>
    <xdr:graphicFrame macro="">
      <xdr:nvGraphicFramePr>
        <xdr:cNvPr id="7" name="Chart 6">
          <a:extLst>
            <a:ext uri="{FF2B5EF4-FFF2-40B4-BE49-F238E27FC236}">
              <a16:creationId xmlns:a16="http://schemas.microsoft.com/office/drawing/2014/main" id="{94D99029-0593-6DB8-C614-8E69B3630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36</xdr:col>
      <xdr:colOff>1362075</xdr:colOff>
      <xdr:row>48</xdr:row>
      <xdr:rowOff>33338</xdr:rowOff>
    </xdr:from>
    <xdr:to>
      <xdr:col>38</xdr:col>
      <xdr:colOff>238125</xdr:colOff>
      <xdr:row>61</xdr:row>
      <xdr:rowOff>80963</xdr:rowOff>
    </xdr:to>
    <mc:AlternateContent xmlns:mc="http://schemas.openxmlformats.org/markup-compatibility/2006" xmlns:a14="http://schemas.microsoft.com/office/drawing/2010/main">
      <mc:Choice Requires="a14">
        <xdr:graphicFrame macro="">
          <xdr:nvGraphicFramePr>
            <xdr:cNvPr id="10" name="Age Category">
              <a:extLst>
                <a:ext uri="{FF2B5EF4-FFF2-40B4-BE49-F238E27FC236}">
                  <a16:creationId xmlns:a16="http://schemas.microsoft.com/office/drawing/2014/main" id="{6AEC2342-4B8D-1386-E421-145135E85889}"/>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37597896" y="6537552"/>
              <a:ext cx="181519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SN.U2\Desktop\Marwa%20-%20Operational%20Performance%20(Final%20Dashboard).xlsx" TargetMode="External"/><Relationship Id="rId1" Type="http://schemas.openxmlformats.org/officeDocument/2006/relationships/externalLinkPath" Target="Marwa%20-%20Operational%20Performance%20(Final%20Dashboar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DSN.U2\Desktop\Competition\Final%20Excel%20Files\Marwa%20-%20Operational%20Performance%20(Final%20Dashboard).xlsx" TargetMode="External"/><Relationship Id="rId1" Type="http://schemas.openxmlformats.org/officeDocument/2006/relationships/externalLinkPath" Target="Competition/Final%20Excel%20Files/Marwa%20-%20Operational%20Performance%20(Final%20Dashboard).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DSN.U2\Desktop\Competition\Final%20Excel%20Files\Received%202\Marwa%20-%20Operational%20Performance%20(Final%20Dashboard).xlsx" TargetMode="External"/><Relationship Id="rId1" Type="http://schemas.openxmlformats.org/officeDocument/2006/relationships/externalLinkPath" Target="Competition/Final%20Excel%20Files/Received%202/Marwa%20-%20Operational%20Performance%20(Final%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riginal Data"/>
      <sheetName val="Data Dictionary"/>
      <sheetName val="Data Cleaning &amp; Transformation"/>
      <sheetName val="Executive Summary"/>
      <sheetName val="Cleaned Data"/>
      <sheetName val="data exploration 1"/>
      <sheetName val="operational perf. dashboard1"/>
      <sheetName val="data exploration2"/>
      <sheetName val="operational perf. dashboard (2)"/>
      <sheetName val="recommendations"/>
      <sheetName val="recomm.."/>
    </sheetNames>
    <sheetDataSet>
      <sheetData sheetId="0"/>
      <sheetData sheetId="1"/>
      <sheetData sheetId="2"/>
      <sheetData sheetId="3"/>
      <sheetData sheetId="4">
        <row r="2">
          <cell r="AQ2">
            <v>333.8</v>
          </cell>
          <cell r="AY2">
            <v>0.25</v>
          </cell>
          <cell r="AZ2">
            <v>7</v>
          </cell>
          <cell r="BI2">
            <v>2</v>
          </cell>
        </row>
        <row r="3">
          <cell r="AQ3">
            <v>222.22</v>
          </cell>
          <cell r="AY3">
            <v>9.0909090909090912E-2</v>
          </cell>
          <cell r="AZ3">
            <v>5</v>
          </cell>
          <cell r="BI3">
            <v>6</v>
          </cell>
        </row>
        <row r="4">
          <cell r="AQ4">
            <v>426.22</v>
          </cell>
          <cell r="AY4">
            <v>0.5</v>
          </cell>
          <cell r="AZ4">
            <v>7</v>
          </cell>
          <cell r="BI4">
            <v>3</v>
          </cell>
        </row>
        <row r="5">
          <cell r="AQ5">
            <v>101.31</v>
          </cell>
          <cell r="AY5">
            <v>0</v>
          </cell>
          <cell r="AZ5">
            <v>1</v>
          </cell>
          <cell r="BI5">
            <v>10</v>
          </cell>
        </row>
        <row r="6">
          <cell r="AQ6">
            <v>211.7</v>
          </cell>
          <cell r="AY6">
            <v>0.33333333333333331</v>
          </cell>
          <cell r="AZ6">
            <v>10</v>
          </cell>
          <cell r="BI6">
            <v>4</v>
          </cell>
        </row>
        <row r="7">
          <cell r="AQ7">
            <v>487.95</v>
          </cell>
          <cell r="AY7">
            <v>0.25</v>
          </cell>
          <cell r="AZ7">
            <v>3</v>
          </cell>
          <cell r="BI7">
            <v>7</v>
          </cell>
        </row>
        <row r="8">
          <cell r="AQ8">
            <v>486.4</v>
          </cell>
          <cell r="AY8">
            <v>0</v>
          </cell>
          <cell r="AZ8">
            <v>9</v>
          </cell>
          <cell r="BI8">
            <v>13</v>
          </cell>
        </row>
        <row r="9">
          <cell r="AQ9">
            <v>218.06</v>
          </cell>
          <cell r="AY9">
            <v>0.33333333333333331</v>
          </cell>
          <cell r="AZ9">
            <v>9</v>
          </cell>
          <cell r="BI9">
            <v>13</v>
          </cell>
        </row>
        <row r="10">
          <cell r="AQ10">
            <v>201.96</v>
          </cell>
          <cell r="AY10">
            <v>0.125</v>
          </cell>
          <cell r="AZ10">
            <v>2</v>
          </cell>
          <cell r="BI10">
            <v>7</v>
          </cell>
        </row>
        <row r="11">
          <cell r="AQ11">
            <v>418.83</v>
          </cell>
          <cell r="AY11">
            <v>0.14285714285714285</v>
          </cell>
          <cell r="AZ11">
            <v>5</v>
          </cell>
          <cell r="BI11">
            <v>13</v>
          </cell>
        </row>
        <row r="12">
          <cell r="AQ12">
            <v>389.7</v>
          </cell>
          <cell r="AY12">
            <v>0</v>
          </cell>
          <cell r="AZ12">
            <v>4</v>
          </cell>
          <cell r="BI12">
            <v>12</v>
          </cell>
        </row>
        <row r="13">
          <cell r="AQ13">
            <v>238.93</v>
          </cell>
          <cell r="AY13">
            <v>0</v>
          </cell>
          <cell r="AZ13">
            <v>10</v>
          </cell>
          <cell r="BI13">
            <v>1</v>
          </cell>
        </row>
        <row r="14">
          <cell r="AQ14">
            <v>61.22</v>
          </cell>
          <cell r="AY14">
            <v>0.14285714285714285</v>
          </cell>
          <cell r="AZ14">
            <v>7</v>
          </cell>
          <cell r="BI14">
            <v>5</v>
          </cell>
        </row>
        <row r="15">
          <cell r="AQ15">
            <v>79.81</v>
          </cell>
          <cell r="AY15">
            <v>0</v>
          </cell>
          <cell r="AZ15">
            <v>9</v>
          </cell>
          <cell r="BI15">
            <v>14</v>
          </cell>
        </row>
        <row r="16">
          <cell r="AQ16">
            <v>58.51</v>
          </cell>
          <cell r="AY16">
            <v>0</v>
          </cell>
          <cell r="AZ16">
            <v>4</v>
          </cell>
          <cell r="BI16">
            <v>14</v>
          </cell>
        </row>
        <row r="17">
          <cell r="AQ17">
            <v>109.29</v>
          </cell>
          <cell r="AY17">
            <v>0.66666666666666663</v>
          </cell>
          <cell r="AZ17">
            <v>2</v>
          </cell>
          <cell r="BI17">
            <v>11</v>
          </cell>
        </row>
        <row r="18">
          <cell r="AQ18">
            <v>356.45</v>
          </cell>
          <cell r="AY18">
            <v>0</v>
          </cell>
          <cell r="AZ18">
            <v>7</v>
          </cell>
          <cell r="BI18">
            <v>8</v>
          </cell>
        </row>
        <row r="19">
          <cell r="AQ19">
            <v>236.99</v>
          </cell>
          <cell r="AY19">
            <v>0</v>
          </cell>
          <cell r="AZ19">
            <v>8</v>
          </cell>
          <cell r="BI19">
            <v>13</v>
          </cell>
        </row>
        <row r="20">
          <cell r="AQ20">
            <v>454.39</v>
          </cell>
          <cell r="AY20">
            <v>0</v>
          </cell>
          <cell r="AZ20">
            <v>3</v>
          </cell>
          <cell r="BI20">
            <v>3</v>
          </cell>
        </row>
        <row r="21">
          <cell r="AQ21">
            <v>490.75</v>
          </cell>
          <cell r="AY21">
            <v>0.1</v>
          </cell>
          <cell r="AZ21">
            <v>4</v>
          </cell>
          <cell r="BI21">
            <v>13</v>
          </cell>
        </row>
        <row r="22">
          <cell r="AQ22">
            <v>463.07</v>
          </cell>
          <cell r="AY22">
            <v>0.14285714285714285</v>
          </cell>
          <cell r="AZ22">
            <v>2</v>
          </cell>
          <cell r="BI22">
            <v>11</v>
          </cell>
        </row>
        <row r="23">
          <cell r="AQ23">
            <v>56.74</v>
          </cell>
          <cell r="AY23">
            <v>0</v>
          </cell>
          <cell r="AZ23">
            <v>6</v>
          </cell>
          <cell r="BI23">
            <v>7</v>
          </cell>
        </row>
        <row r="24">
          <cell r="AQ24">
            <v>371.32</v>
          </cell>
          <cell r="AY24">
            <v>0.2857142857142857</v>
          </cell>
          <cell r="AZ24">
            <v>1</v>
          </cell>
          <cell r="BI24">
            <v>6</v>
          </cell>
        </row>
        <row r="25">
          <cell r="AQ25">
            <v>461</v>
          </cell>
          <cell r="AY25">
            <v>0</v>
          </cell>
          <cell r="AZ25">
            <v>8</v>
          </cell>
          <cell r="BI25">
            <v>9</v>
          </cell>
        </row>
        <row r="26">
          <cell r="AQ26">
            <v>253.37</v>
          </cell>
          <cell r="AY26">
            <v>0.33333333333333331</v>
          </cell>
          <cell r="AZ26">
            <v>10</v>
          </cell>
          <cell r="BI26">
            <v>8</v>
          </cell>
        </row>
        <row r="27">
          <cell r="AQ27">
            <v>136.53</v>
          </cell>
          <cell r="AY27">
            <v>0.33333333333333331</v>
          </cell>
          <cell r="AZ27">
            <v>3</v>
          </cell>
          <cell r="BI27">
            <v>10</v>
          </cell>
        </row>
        <row r="28">
          <cell r="AQ28">
            <v>489.05</v>
          </cell>
          <cell r="AY28">
            <v>0.2</v>
          </cell>
          <cell r="AZ28">
            <v>2</v>
          </cell>
          <cell r="BI28">
            <v>7</v>
          </cell>
        </row>
        <row r="29">
          <cell r="AQ29">
            <v>81.91</v>
          </cell>
          <cell r="AY29">
            <v>0</v>
          </cell>
          <cell r="AZ29">
            <v>4</v>
          </cell>
          <cell r="BI29">
            <v>2</v>
          </cell>
        </row>
        <row r="30">
          <cell r="AQ30">
            <v>135.80000000000001</v>
          </cell>
          <cell r="AY30">
            <v>0.5</v>
          </cell>
          <cell r="AZ30">
            <v>2</v>
          </cell>
          <cell r="BI30">
            <v>9</v>
          </cell>
        </row>
        <row r="31">
          <cell r="AQ31">
            <v>382.24</v>
          </cell>
          <cell r="AY31">
            <v>8.3333333333333329E-2</v>
          </cell>
          <cell r="AZ31">
            <v>4</v>
          </cell>
          <cell r="BI31">
            <v>3</v>
          </cell>
        </row>
        <row r="32">
          <cell r="AQ32">
            <v>354.7</v>
          </cell>
          <cell r="AY32">
            <v>0.4</v>
          </cell>
          <cell r="AZ32">
            <v>7</v>
          </cell>
          <cell r="BI32">
            <v>12</v>
          </cell>
        </row>
        <row r="33">
          <cell r="AQ33">
            <v>433.82</v>
          </cell>
          <cell r="AY33">
            <v>0</v>
          </cell>
          <cell r="AZ33">
            <v>8</v>
          </cell>
          <cell r="BI33">
            <v>10</v>
          </cell>
        </row>
        <row r="34">
          <cell r="AQ34">
            <v>282.13</v>
          </cell>
          <cell r="AY34">
            <v>0.2</v>
          </cell>
          <cell r="AZ34">
            <v>2</v>
          </cell>
          <cell r="BI34">
            <v>9</v>
          </cell>
        </row>
        <row r="35">
          <cell r="AQ35">
            <v>454.38</v>
          </cell>
          <cell r="AY35">
            <v>0</v>
          </cell>
          <cell r="AZ35">
            <v>10</v>
          </cell>
          <cell r="BI35">
            <v>7</v>
          </cell>
        </row>
        <row r="36">
          <cell r="AQ36">
            <v>138.88</v>
          </cell>
          <cell r="AY36">
            <v>0.14285714285714285</v>
          </cell>
          <cell r="AZ36">
            <v>3</v>
          </cell>
          <cell r="BI36">
            <v>4</v>
          </cell>
        </row>
        <row r="37">
          <cell r="AQ37">
            <v>52.34</v>
          </cell>
          <cell r="AY37">
            <v>0.16666666666666666</v>
          </cell>
          <cell r="AZ37">
            <v>5</v>
          </cell>
          <cell r="BI37">
            <v>13</v>
          </cell>
        </row>
        <row r="38">
          <cell r="AQ38">
            <v>338.2</v>
          </cell>
          <cell r="AY38">
            <v>0.14285714285714285</v>
          </cell>
          <cell r="AZ38">
            <v>9</v>
          </cell>
          <cell r="BI38">
            <v>7</v>
          </cell>
        </row>
        <row r="39">
          <cell r="AQ39">
            <v>263.14999999999998</v>
          </cell>
          <cell r="AY39">
            <v>0.33333333333333331</v>
          </cell>
          <cell r="AZ39">
            <v>10</v>
          </cell>
          <cell r="BI39">
            <v>10</v>
          </cell>
        </row>
        <row r="40">
          <cell r="AQ40">
            <v>371.58</v>
          </cell>
          <cell r="AY40">
            <v>0</v>
          </cell>
          <cell r="AZ40">
            <v>10</v>
          </cell>
          <cell r="BI40">
            <v>11</v>
          </cell>
        </row>
        <row r="41">
          <cell r="AQ41">
            <v>353.4</v>
          </cell>
          <cell r="AY41">
            <v>0</v>
          </cell>
          <cell r="AZ41">
            <v>1</v>
          </cell>
          <cell r="BI41">
            <v>3</v>
          </cell>
        </row>
        <row r="42">
          <cell r="AQ42">
            <v>329.41</v>
          </cell>
          <cell r="AY42">
            <v>0.2</v>
          </cell>
          <cell r="AZ42">
            <v>1</v>
          </cell>
          <cell r="BI42">
            <v>2</v>
          </cell>
        </row>
        <row r="43">
          <cell r="AQ43">
            <v>54.46</v>
          </cell>
          <cell r="AY43">
            <v>0.2</v>
          </cell>
          <cell r="AZ43">
            <v>1</v>
          </cell>
          <cell r="BI43">
            <v>1</v>
          </cell>
        </row>
        <row r="44">
          <cell r="AQ44">
            <v>257.12</v>
          </cell>
          <cell r="AY44">
            <v>0.25</v>
          </cell>
          <cell r="AZ44">
            <v>1</v>
          </cell>
          <cell r="BI44">
            <v>11</v>
          </cell>
        </row>
        <row r="45">
          <cell r="AQ45">
            <v>293.04000000000002</v>
          </cell>
          <cell r="AY45">
            <v>9.0909090909090912E-2</v>
          </cell>
          <cell r="AZ45">
            <v>3</v>
          </cell>
          <cell r="BI45">
            <v>6</v>
          </cell>
        </row>
        <row r="46">
          <cell r="AQ46">
            <v>110.4</v>
          </cell>
          <cell r="AY46">
            <v>8.3333333333333329E-2</v>
          </cell>
          <cell r="AZ46">
            <v>3</v>
          </cell>
          <cell r="BI46">
            <v>12</v>
          </cell>
        </row>
        <row r="47">
          <cell r="AQ47">
            <v>76.27</v>
          </cell>
          <cell r="AY47">
            <v>0</v>
          </cell>
          <cell r="AZ47">
            <v>8</v>
          </cell>
          <cell r="BI47">
            <v>10</v>
          </cell>
        </row>
        <row r="48">
          <cell r="AQ48">
            <v>392.08</v>
          </cell>
          <cell r="AY48">
            <v>0.33333333333333331</v>
          </cell>
          <cell r="AZ48">
            <v>7</v>
          </cell>
          <cell r="BI48">
            <v>6</v>
          </cell>
        </row>
        <row r="49">
          <cell r="AQ49">
            <v>51.22</v>
          </cell>
          <cell r="AY49">
            <v>0.16666666666666666</v>
          </cell>
          <cell r="AZ49">
            <v>5</v>
          </cell>
          <cell r="BI49">
            <v>5</v>
          </cell>
        </row>
        <row r="50">
          <cell r="AQ50">
            <v>227.57</v>
          </cell>
          <cell r="AY50">
            <v>0.5</v>
          </cell>
          <cell r="AZ50">
            <v>6</v>
          </cell>
          <cell r="BI50">
            <v>14</v>
          </cell>
        </row>
        <row r="51">
          <cell r="AQ51">
            <v>378.87</v>
          </cell>
          <cell r="AY51">
            <v>0.14285714285714285</v>
          </cell>
          <cell r="AZ51">
            <v>2</v>
          </cell>
          <cell r="BI51">
            <v>5</v>
          </cell>
        </row>
        <row r="52">
          <cell r="AQ52">
            <v>423.92</v>
          </cell>
          <cell r="AY52">
            <v>0</v>
          </cell>
          <cell r="AZ52">
            <v>9</v>
          </cell>
          <cell r="BI52">
            <v>8</v>
          </cell>
        </row>
        <row r="53">
          <cell r="AQ53">
            <v>111.24</v>
          </cell>
          <cell r="AY53">
            <v>0</v>
          </cell>
          <cell r="AZ53">
            <v>2</v>
          </cell>
          <cell r="BI53">
            <v>12</v>
          </cell>
        </row>
        <row r="54">
          <cell r="AQ54">
            <v>299.31</v>
          </cell>
          <cell r="AY54">
            <v>0.2857142857142857</v>
          </cell>
          <cell r="AZ54">
            <v>3</v>
          </cell>
          <cell r="BI54">
            <v>3</v>
          </cell>
        </row>
        <row r="55">
          <cell r="AQ55">
            <v>169.28</v>
          </cell>
          <cell r="AY55">
            <v>0.2857142857142857</v>
          </cell>
          <cell r="AZ55">
            <v>1</v>
          </cell>
          <cell r="BI55">
            <v>6</v>
          </cell>
        </row>
        <row r="56">
          <cell r="AQ56">
            <v>449.13</v>
          </cell>
          <cell r="AY56">
            <v>0.22222222222222221</v>
          </cell>
          <cell r="AZ56">
            <v>2</v>
          </cell>
          <cell r="BI56">
            <v>14</v>
          </cell>
        </row>
        <row r="57">
          <cell r="AQ57">
            <v>427.48</v>
          </cell>
          <cell r="AY57">
            <v>0.16666666666666666</v>
          </cell>
          <cell r="AZ57">
            <v>1</v>
          </cell>
          <cell r="BI57">
            <v>11</v>
          </cell>
        </row>
        <row r="58">
          <cell r="AQ58">
            <v>171.61</v>
          </cell>
          <cell r="AY58">
            <v>0.33333333333333331</v>
          </cell>
          <cell r="AZ58">
            <v>6</v>
          </cell>
          <cell r="BI58">
            <v>8</v>
          </cell>
        </row>
        <row r="59">
          <cell r="AQ59">
            <v>240.28</v>
          </cell>
          <cell r="AY59">
            <v>0.66666666666666663</v>
          </cell>
          <cell r="AZ59">
            <v>7</v>
          </cell>
          <cell r="BI59">
            <v>4</v>
          </cell>
        </row>
        <row r="60">
          <cell r="AQ60">
            <v>310.17</v>
          </cell>
          <cell r="AY60">
            <v>0</v>
          </cell>
          <cell r="AZ60">
            <v>10</v>
          </cell>
          <cell r="BI60">
            <v>13</v>
          </cell>
        </row>
        <row r="61">
          <cell r="AQ61">
            <v>166</v>
          </cell>
          <cell r="AY61">
            <v>0.2</v>
          </cell>
          <cell r="AZ61">
            <v>10</v>
          </cell>
          <cell r="BI61">
            <v>5</v>
          </cell>
        </row>
        <row r="62">
          <cell r="AQ62">
            <v>362.01</v>
          </cell>
          <cell r="AY62">
            <v>1</v>
          </cell>
          <cell r="AZ62">
            <v>1</v>
          </cell>
          <cell r="BI62">
            <v>1</v>
          </cell>
        </row>
        <row r="63">
          <cell r="AQ63">
            <v>348.5</v>
          </cell>
          <cell r="AY63">
            <v>0</v>
          </cell>
          <cell r="AZ63">
            <v>6</v>
          </cell>
          <cell r="BI63">
            <v>8</v>
          </cell>
        </row>
        <row r="64">
          <cell r="AQ64">
            <v>395.97</v>
          </cell>
          <cell r="AY64">
            <v>0.1111111111111111</v>
          </cell>
          <cell r="AZ64">
            <v>6</v>
          </cell>
          <cell r="BI64">
            <v>1</v>
          </cell>
        </row>
        <row r="65">
          <cell r="AQ65">
            <v>474.99</v>
          </cell>
          <cell r="AY65">
            <v>0</v>
          </cell>
          <cell r="AZ65">
            <v>8</v>
          </cell>
          <cell r="BI65">
            <v>5</v>
          </cell>
        </row>
        <row r="66">
          <cell r="AQ66">
            <v>286.43</v>
          </cell>
          <cell r="AY66">
            <v>0.5</v>
          </cell>
          <cell r="AZ66">
            <v>3</v>
          </cell>
          <cell r="BI66">
            <v>14</v>
          </cell>
        </row>
        <row r="67">
          <cell r="AQ67">
            <v>333.32</v>
          </cell>
          <cell r="AY67">
            <v>0</v>
          </cell>
          <cell r="AZ67">
            <v>3</v>
          </cell>
          <cell r="BI67">
            <v>3</v>
          </cell>
        </row>
        <row r="68">
          <cell r="AQ68">
            <v>223.47</v>
          </cell>
          <cell r="AY68">
            <v>0</v>
          </cell>
          <cell r="AZ68">
            <v>2</v>
          </cell>
          <cell r="BI68">
            <v>8</v>
          </cell>
        </row>
        <row r="69">
          <cell r="AQ69">
            <v>414.83</v>
          </cell>
          <cell r="AY69">
            <v>1</v>
          </cell>
          <cell r="AZ69">
            <v>4</v>
          </cell>
          <cell r="BI69">
            <v>8</v>
          </cell>
        </row>
        <row r="70">
          <cell r="AQ70">
            <v>391.38</v>
          </cell>
          <cell r="AY70">
            <v>0</v>
          </cell>
          <cell r="AZ70">
            <v>7</v>
          </cell>
          <cell r="BI70">
            <v>8</v>
          </cell>
        </row>
        <row r="71">
          <cell r="AQ71">
            <v>368.4</v>
          </cell>
          <cell r="AY71">
            <v>0</v>
          </cell>
          <cell r="AZ71">
            <v>3</v>
          </cell>
          <cell r="BI71">
            <v>13</v>
          </cell>
        </row>
        <row r="72">
          <cell r="AQ72">
            <v>328.36</v>
          </cell>
          <cell r="AY72">
            <v>0</v>
          </cell>
          <cell r="AZ72">
            <v>4</v>
          </cell>
          <cell r="BI72">
            <v>4</v>
          </cell>
        </row>
        <row r="73">
          <cell r="AQ73">
            <v>424.39</v>
          </cell>
          <cell r="AY73">
            <v>0</v>
          </cell>
          <cell r="AZ73">
            <v>7</v>
          </cell>
          <cell r="BI73">
            <v>13</v>
          </cell>
        </row>
        <row r="74">
          <cell r="AQ74">
            <v>197.12</v>
          </cell>
          <cell r="AY74">
            <v>0.1</v>
          </cell>
          <cell r="AZ74">
            <v>1</v>
          </cell>
          <cell r="BI74">
            <v>10</v>
          </cell>
        </row>
        <row r="75">
          <cell r="AQ75">
            <v>454.57</v>
          </cell>
          <cell r="AY75">
            <v>0</v>
          </cell>
          <cell r="AZ75">
            <v>1</v>
          </cell>
          <cell r="BI75">
            <v>1</v>
          </cell>
        </row>
        <row r="76">
          <cell r="AQ76">
            <v>298.38</v>
          </cell>
          <cell r="AY76">
            <v>0</v>
          </cell>
          <cell r="AZ76">
            <v>2</v>
          </cell>
          <cell r="BI76">
            <v>3</v>
          </cell>
        </row>
        <row r="77">
          <cell r="AQ77">
            <v>111.7</v>
          </cell>
          <cell r="AY77">
            <v>0.33333333333333331</v>
          </cell>
          <cell r="AZ77">
            <v>5</v>
          </cell>
          <cell r="BI77">
            <v>7</v>
          </cell>
        </row>
        <row r="78">
          <cell r="AQ78">
            <v>373.69</v>
          </cell>
          <cell r="AY78">
            <v>0.1</v>
          </cell>
          <cell r="AZ78">
            <v>8</v>
          </cell>
          <cell r="BI78">
            <v>14</v>
          </cell>
        </row>
        <row r="79">
          <cell r="AQ79">
            <v>354.87</v>
          </cell>
          <cell r="AY79">
            <v>0.4</v>
          </cell>
          <cell r="AZ79">
            <v>4</v>
          </cell>
          <cell r="BI79">
            <v>12</v>
          </cell>
        </row>
        <row r="80">
          <cell r="AQ80">
            <v>214.48</v>
          </cell>
          <cell r="AY80">
            <v>0.5</v>
          </cell>
          <cell r="AZ80">
            <v>3</v>
          </cell>
          <cell r="BI80">
            <v>2</v>
          </cell>
        </row>
        <row r="81">
          <cell r="AQ81">
            <v>399.58</v>
          </cell>
          <cell r="AY81">
            <v>0.16666666666666666</v>
          </cell>
          <cell r="AZ81">
            <v>8</v>
          </cell>
          <cell r="BI81">
            <v>7</v>
          </cell>
        </row>
        <row r="82">
          <cell r="AQ82">
            <v>380.99</v>
          </cell>
          <cell r="AY82">
            <v>0</v>
          </cell>
          <cell r="AZ82">
            <v>1</v>
          </cell>
          <cell r="BI82">
            <v>8</v>
          </cell>
        </row>
        <row r="83">
          <cell r="AQ83">
            <v>79</v>
          </cell>
          <cell r="AY83">
            <v>0.2</v>
          </cell>
          <cell r="AZ83">
            <v>6</v>
          </cell>
          <cell r="BI83">
            <v>7</v>
          </cell>
        </row>
        <row r="84">
          <cell r="AQ84">
            <v>113.88</v>
          </cell>
          <cell r="AY84">
            <v>1</v>
          </cell>
          <cell r="AZ84">
            <v>4</v>
          </cell>
          <cell r="BI84">
            <v>9</v>
          </cell>
        </row>
        <row r="85">
          <cell r="AQ85">
            <v>121.57</v>
          </cell>
          <cell r="AY85">
            <v>0</v>
          </cell>
          <cell r="AZ85">
            <v>4</v>
          </cell>
          <cell r="BI85">
            <v>13</v>
          </cell>
        </row>
        <row r="86">
          <cell r="AQ86">
            <v>215.54</v>
          </cell>
          <cell r="AY86">
            <v>0.18181818181818182</v>
          </cell>
          <cell r="AZ86">
            <v>6</v>
          </cell>
          <cell r="BI86">
            <v>10</v>
          </cell>
        </row>
        <row r="87">
          <cell r="AQ87">
            <v>87.03</v>
          </cell>
          <cell r="AY87">
            <v>0.1</v>
          </cell>
          <cell r="AZ87">
            <v>5</v>
          </cell>
          <cell r="BI87">
            <v>7</v>
          </cell>
        </row>
        <row r="88">
          <cell r="AQ88">
            <v>111.75</v>
          </cell>
          <cell r="AY88">
            <v>0.25</v>
          </cell>
          <cell r="AZ88">
            <v>6</v>
          </cell>
          <cell r="BI88">
            <v>8</v>
          </cell>
        </row>
        <row r="89">
          <cell r="AQ89">
            <v>136.19999999999999</v>
          </cell>
          <cell r="AY89">
            <v>0</v>
          </cell>
          <cell r="AZ89">
            <v>1</v>
          </cell>
          <cell r="BI89">
            <v>9</v>
          </cell>
        </row>
        <row r="90">
          <cell r="AQ90">
            <v>439.31</v>
          </cell>
          <cell r="AY90">
            <v>0</v>
          </cell>
          <cell r="AZ90">
            <v>6</v>
          </cell>
          <cell r="BI90">
            <v>7</v>
          </cell>
        </row>
        <row r="91">
          <cell r="AQ91">
            <v>194.93</v>
          </cell>
          <cell r="AY91">
            <v>0</v>
          </cell>
          <cell r="AZ91">
            <v>4</v>
          </cell>
          <cell r="BI91">
            <v>5</v>
          </cell>
        </row>
        <row r="92">
          <cell r="AQ92">
            <v>377.67</v>
          </cell>
          <cell r="AY92">
            <v>0.25</v>
          </cell>
          <cell r="AZ92">
            <v>1</v>
          </cell>
          <cell r="BI92">
            <v>14</v>
          </cell>
        </row>
        <row r="93">
          <cell r="AQ93">
            <v>108.61</v>
          </cell>
          <cell r="AY93">
            <v>0</v>
          </cell>
          <cell r="AZ93">
            <v>3</v>
          </cell>
          <cell r="BI93">
            <v>14</v>
          </cell>
        </row>
        <row r="94">
          <cell r="AQ94">
            <v>366.77</v>
          </cell>
          <cell r="AY94">
            <v>0</v>
          </cell>
          <cell r="AZ94">
            <v>9</v>
          </cell>
          <cell r="BI94">
            <v>1</v>
          </cell>
        </row>
        <row r="95">
          <cell r="AQ95">
            <v>178.04</v>
          </cell>
          <cell r="AY95">
            <v>0</v>
          </cell>
          <cell r="AZ95">
            <v>5</v>
          </cell>
          <cell r="BI95">
            <v>12</v>
          </cell>
        </row>
        <row r="96">
          <cell r="AQ96">
            <v>461.09</v>
          </cell>
          <cell r="AY96">
            <v>0</v>
          </cell>
          <cell r="AZ96">
            <v>4</v>
          </cell>
          <cell r="BI96">
            <v>8</v>
          </cell>
        </row>
        <row r="97">
          <cell r="AQ97">
            <v>211.16</v>
          </cell>
          <cell r="AY97">
            <v>0</v>
          </cell>
          <cell r="AZ97">
            <v>3</v>
          </cell>
          <cell r="BI97">
            <v>2</v>
          </cell>
        </row>
        <row r="98">
          <cell r="AQ98">
            <v>421.95</v>
          </cell>
          <cell r="AY98">
            <v>0.125</v>
          </cell>
          <cell r="AZ98">
            <v>1</v>
          </cell>
          <cell r="BI98">
            <v>7</v>
          </cell>
        </row>
        <row r="99">
          <cell r="AQ99">
            <v>378.59</v>
          </cell>
          <cell r="AY99">
            <v>0</v>
          </cell>
          <cell r="AZ99">
            <v>4</v>
          </cell>
          <cell r="BI99">
            <v>14</v>
          </cell>
        </row>
        <row r="100">
          <cell r="AQ100">
            <v>268.93</v>
          </cell>
          <cell r="AY100">
            <v>0.5</v>
          </cell>
          <cell r="AZ100">
            <v>3</v>
          </cell>
          <cell r="BI100">
            <v>8</v>
          </cell>
        </row>
        <row r="101">
          <cell r="AQ101">
            <v>444.87</v>
          </cell>
          <cell r="AY101">
            <v>9.0909090909090912E-2</v>
          </cell>
          <cell r="AZ101">
            <v>8</v>
          </cell>
          <cell r="BI101">
            <v>7</v>
          </cell>
        </row>
        <row r="102">
          <cell r="AQ102">
            <v>160.82</v>
          </cell>
          <cell r="AY102">
            <v>0</v>
          </cell>
          <cell r="AZ102">
            <v>1</v>
          </cell>
          <cell r="BI102">
            <v>3</v>
          </cell>
        </row>
        <row r="103">
          <cell r="AQ103">
            <v>494.18</v>
          </cell>
          <cell r="AY103">
            <v>0.16666666666666666</v>
          </cell>
          <cell r="AZ103">
            <v>2</v>
          </cell>
          <cell r="BI103">
            <v>14</v>
          </cell>
        </row>
        <row r="104">
          <cell r="AQ104">
            <v>177.05</v>
          </cell>
          <cell r="AY104">
            <v>0.4</v>
          </cell>
          <cell r="AZ104">
            <v>1</v>
          </cell>
          <cell r="BI104">
            <v>1</v>
          </cell>
        </row>
        <row r="105">
          <cell r="AQ105">
            <v>450.66</v>
          </cell>
          <cell r="AY105">
            <v>0.2857142857142857</v>
          </cell>
          <cell r="AZ105">
            <v>4</v>
          </cell>
          <cell r="BI105">
            <v>9</v>
          </cell>
        </row>
        <row r="106">
          <cell r="AQ106">
            <v>164.27</v>
          </cell>
          <cell r="AY106">
            <v>0.33333333333333331</v>
          </cell>
          <cell r="AZ106">
            <v>7</v>
          </cell>
          <cell r="BI106">
            <v>14</v>
          </cell>
        </row>
        <row r="107">
          <cell r="AQ107">
            <v>346.36</v>
          </cell>
          <cell r="AY107">
            <v>0</v>
          </cell>
          <cell r="AZ107">
            <v>7</v>
          </cell>
          <cell r="BI107">
            <v>14</v>
          </cell>
        </row>
        <row r="108">
          <cell r="AQ108">
            <v>377.77</v>
          </cell>
          <cell r="AY108">
            <v>0.1111111111111111</v>
          </cell>
          <cell r="AZ108">
            <v>5</v>
          </cell>
          <cell r="BI108">
            <v>3</v>
          </cell>
        </row>
        <row r="109">
          <cell r="AQ109">
            <v>163.41</v>
          </cell>
          <cell r="AY109">
            <v>0.5</v>
          </cell>
          <cell r="AZ109">
            <v>8</v>
          </cell>
          <cell r="BI109">
            <v>4</v>
          </cell>
        </row>
        <row r="110">
          <cell r="AQ110">
            <v>467.58</v>
          </cell>
          <cell r="AY110">
            <v>0.1</v>
          </cell>
          <cell r="AZ110">
            <v>6</v>
          </cell>
          <cell r="BI110">
            <v>7</v>
          </cell>
        </row>
        <row r="111">
          <cell r="AQ111">
            <v>247.51</v>
          </cell>
          <cell r="AY111">
            <v>0.1</v>
          </cell>
          <cell r="AZ111">
            <v>8</v>
          </cell>
          <cell r="BI111">
            <v>2</v>
          </cell>
        </row>
        <row r="112">
          <cell r="AQ112">
            <v>365.1</v>
          </cell>
          <cell r="AY112">
            <v>0.33333333333333331</v>
          </cell>
          <cell r="AZ112">
            <v>3</v>
          </cell>
          <cell r="BI112">
            <v>1</v>
          </cell>
        </row>
        <row r="113">
          <cell r="AQ113">
            <v>485.42</v>
          </cell>
          <cell r="AY113">
            <v>0.2</v>
          </cell>
          <cell r="AZ113">
            <v>6</v>
          </cell>
          <cell r="BI113">
            <v>4</v>
          </cell>
        </row>
        <row r="114">
          <cell r="AQ114">
            <v>250.54</v>
          </cell>
          <cell r="AY114">
            <v>0.5</v>
          </cell>
          <cell r="AZ114">
            <v>10</v>
          </cell>
          <cell r="BI114">
            <v>3</v>
          </cell>
        </row>
        <row r="115">
          <cell r="AQ115">
            <v>163.13999999999999</v>
          </cell>
          <cell r="AY115">
            <v>0.2</v>
          </cell>
          <cell r="AZ115">
            <v>2</v>
          </cell>
          <cell r="BI115">
            <v>1</v>
          </cell>
        </row>
        <row r="116">
          <cell r="AQ116">
            <v>162.31</v>
          </cell>
          <cell r="AY116">
            <v>0.125</v>
          </cell>
          <cell r="AZ116">
            <v>2</v>
          </cell>
          <cell r="BI116">
            <v>11</v>
          </cell>
        </row>
        <row r="117">
          <cell r="AQ117">
            <v>328.21</v>
          </cell>
          <cell r="AY117">
            <v>0.2857142857142857</v>
          </cell>
          <cell r="AZ117">
            <v>2</v>
          </cell>
          <cell r="BI117">
            <v>12</v>
          </cell>
        </row>
        <row r="118">
          <cell r="AQ118">
            <v>268.58999999999997</v>
          </cell>
          <cell r="AY118">
            <v>0.25</v>
          </cell>
          <cell r="AZ118">
            <v>1</v>
          </cell>
          <cell r="BI118">
            <v>3</v>
          </cell>
        </row>
        <row r="119">
          <cell r="AQ119">
            <v>257.37</v>
          </cell>
          <cell r="AY119">
            <v>0.2857142857142857</v>
          </cell>
          <cell r="AZ119">
            <v>5</v>
          </cell>
          <cell r="BI119">
            <v>13</v>
          </cell>
        </row>
        <row r="120">
          <cell r="AQ120">
            <v>205.49</v>
          </cell>
          <cell r="AY120">
            <v>0.5</v>
          </cell>
          <cell r="AZ120">
            <v>2</v>
          </cell>
          <cell r="BI120">
            <v>11</v>
          </cell>
        </row>
        <row r="121">
          <cell r="AQ121">
            <v>407.91</v>
          </cell>
          <cell r="AY121">
            <v>0</v>
          </cell>
          <cell r="AZ121">
            <v>5</v>
          </cell>
          <cell r="BI121">
            <v>14</v>
          </cell>
        </row>
        <row r="122">
          <cell r="AQ122">
            <v>254.73</v>
          </cell>
          <cell r="AY122">
            <v>0</v>
          </cell>
          <cell r="AZ122">
            <v>3</v>
          </cell>
          <cell r="BI122">
            <v>3</v>
          </cell>
        </row>
        <row r="123">
          <cell r="AQ123">
            <v>397.78</v>
          </cell>
          <cell r="AY123">
            <v>0.16666666666666666</v>
          </cell>
          <cell r="AZ123">
            <v>7</v>
          </cell>
          <cell r="BI123">
            <v>11</v>
          </cell>
        </row>
        <row r="124">
          <cell r="AQ124">
            <v>305.29000000000002</v>
          </cell>
          <cell r="AY124">
            <v>0.33333333333333331</v>
          </cell>
          <cell r="AZ124">
            <v>8</v>
          </cell>
          <cell r="BI124">
            <v>10</v>
          </cell>
        </row>
        <row r="125">
          <cell r="AQ125">
            <v>257.86</v>
          </cell>
          <cell r="AY125">
            <v>0</v>
          </cell>
          <cell r="AZ125">
            <v>4</v>
          </cell>
          <cell r="BI125">
            <v>1</v>
          </cell>
        </row>
        <row r="126">
          <cell r="AQ126">
            <v>393.45</v>
          </cell>
          <cell r="AY126">
            <v>0.16666666666666666</v>
          </cell>
          <cell r="AZ126">
            <v>10</v>
          </cell>
          <cell r="BI126">
            <v>12</v>
          </cell>
        </row>
        <row r="127">
          <cell r="AQ127">
            <v>58.49</v>
          </cell>
          <cell r="AY127">
            <v>0</v>
          </cell>
          <cell r="AZ127">
            <v>8</v>
          </cell>
          <cell r="BI127">
            <v>7</v>
          </cell>
        </row>
        <row r="128">
          <cell r="AQ128">
            <v>226.48</v>
          </cell>
          <cell r="AY128">
            <v>0.18181818181818182</v>
          </cell>
          <cell r="AZ128">
            <v>7</v>
          </cell>
          <cell r="BI128">
            <v>11</v>
          </cell>
        </row>
        <row r="129">
          <cell r="AQ129">
            <v>469.22</v>
          </cell>
          <cell r="AY129">
            <v>0</v>
          </cell>
          <cell r="AZ129">
            <v>1</v>
          </cell>
          <cell r="BI129">
            <v>7</v>
          </cell>
        </row>
        <row r="130">
          <cell r="AQ130">
            <v>335.32</v>
          </cell>
          <cell r="AY130">
            <v>0</v>
          </cell>
          <cell r="AZ130">
            <v>1</v>
          </cell>
          <cell r="BI130">
            <v>10</v>
          </cell>
        </row>
        <row r="131">
          <cell r="AQ131">
            <v>184.74</v>
          </cell>
          <cell r="AY131">
            <v>0.2</v>
          </cell>
          <cell r="AZ131">
            <v>5</v>
          </cell>
          <cell r="BI131">
            <v>10</v>
          </cell>
        </row>
        <row r="132">
          <cell r="AQ132">
            <v>442.18</v>
          </cell>
          <cell r="AY132">
            <v>0.4</v>
          </cell>
          <cell r="AZ132">
            <v>10</v>
          </cell>
          <cell r="BI132">
            <v>12</v>
          </cell>
        </row>
        <row r="133">
          <cell r="AQ133">
            <v>427.1</v>
          </cell>
          <cell r="AY133">
            <v>0</v>
          </cell>
          <cell r="AZ133">
            <v>2</v>
          </cell>
          <cell r="BI133">
            <v>5</v>
          </cell>
        </row>
        <row r="134">
          <cell r="AQ134">
            <v>326.82</v>
          </cell>
          <cell r="AY134">
            <v>0.5</v>
          </cell>
          <cell r="AZ134">
            <v>5</v>
          </cell>
          <cell r="BI134">
            <v>4</v>
          </cell>
        </row>
        <row r="135">
          <cell r="AQ135">
            <v>98.97</v>
          </cell>
          <cell r="AY135">
            <v>8.3333333333333329E-2</v>
          </cell>
          <cell r="AZ135">
            <v>7</v>
          </cell>
          <cell r="BI135">
            <v>11</v>
          </cell>
        </row>
        <row r="136">
          <cell r="AQ136">
            <v>77.650000000000006</v>
          </cell>
          <cell r="AY136">
            <v>0.33333333333333331</v>
          </cell>
          <cell r="AZ136">
            <v>3</v>
          </cell>
          <cell r="BI136">
            <v>1</v>
          </cell>
        </row>
        <row r="137">
          <cell r="AQ137">
            <v>85.61</v>
          </cell>
          <cell r="AY137">
            <v>0.5</v>
          </cell>
          <cell r="AZ137">
            <v>3</v>
          </cell>
          <cell r="BI137">
            <v>5</v>
          </cell>
        </row>
        <row r="138">
          <cell r="AQ138">
            <v>164.79</v>
          </cell>
          <cell r="AY138">
            <v>0.5</v>
          </cell>
          <cell r="AZ138">
            <v>5</v>
          </cell>
          <cell r="BI138">
            <v>1</v>
          </cell>
        </row>
        <row r="139">
          <cell r="AQ139">
            <v>235.46</v>
          </cell>
          <cell r="AY139">
            <v>0</v>
          </cell>
          <cell r="AZ139">
            <v>7</v>
          </cell>
          <cell r="BI139">
            <v>2</v>
          </cell>
        </row>
        <row r="140">
          <cell r="AQ140">
            <v>245.14</v>
          </cell>
          <cell r="AY140">
            <v>0.25</v>
          </cell>
          <cell r="AZ140">
            <v>4</v>
          </cell>
          <cell r="BI140">
            <v>3</v>
          </cell>
        </row>
        <row r="141">
          <cell r="AQ141">
            <v>439.91</v>
          </cell>
          <cell r="AY141">
            <v>0</v>
          </cell>
          <cell r="AZ141">
            <v>9</v>
          </cell>
          <cell r="BI141">
            <v>10</v>
          </cell>
        </row>
        <row r="142">
          <cell r="AQ142">
            <v>309.22000000000003</v>
          </cell>
          <cell r="AY142">
            <v>0.4</v>
          </cell>
          <cell r="AZ142">
            <v>4</v>
          </cell>
          <cell r="BI142">
            <v>10</v>
          </cell>
        </row>
        <row r="143">
          <cell r="AQ143">
            <v>146.59</v>
          </cell>
          <cell r="AY143">
            <v>0</v>
          </cell>
          <cell r="AZ143">
            <v>2</v>
          </cell>
          <cell r="BI143">
            <v>3</v>
          </cell>
        </row>
        <row r="144">
          <cell r="AQ144">
            <v>298.73</v>
          </cell>
          <cell r="AY144">
            <v>0</v>
          </cell>
          <cell r="AZ144">
            <v>2</v>
          </cell>
          <cell r="BI144">
            <v>4</v>
          </cell>
        </row>
        <row r="145">
          <cell r="AQ145">
            <v>395.01</v>
          </cell>
          <cell r="AY145">
            <v>0</v>
          </cell>
          <cell r="AZ145">
            <v>6</v>
          </cell>
          <cell r="BI145">
            <v>3</v>
          </cell>
        </row>
        <row r="146">
          <cell r="AQ146">
            <v>371.19</v>
          </cell>
          <cell r="AY146">
            <v>0.1</v>
          </cell>
          <cell r="AZ146">
            <v>8</v>
          </cell>
          <cell r="BI146">
            <v>1</v>
          </cell>
        </row>
        <row r="147">
          <cell r="AQ147">
            <v>193.76</v>
          </cell>
          <cell r="AY147">
            <v>0</v>
          </cell>
          <cell r="AZ147">
            <v>2</v>
          </cell>
          <cell r="BI147">
            <v>12</v>
          </cell>
        </row>
        <row r="148">
          <cell r="AQ148">
            <v>424.27</v>
          </cell>
          <cell r="AY148">
            <v>0.33333333333333331</v>
          </cell>
          <cell r="AZ148">
            <v>8</v>
          </cell>
          <cell r="BI148">
            <v>12</v>
          </cell>
        </row>
        <row r="149">
          <cell r="AQ149">
            <v>496.11</v>
          </cell>
          <cell r="AY149">
            <v>1</v>
          </cell>
          <cell r="AZ149">
            <v>8</v>
          </cell>
          <cell r="BI149">
            <v>12</v>
          </cell>
        </row>
        <row r="150">
          <cell r="AQ150">
            <v>341.91</v>
          </cell>
          <cell r="AY150">
            <v>0.33333333333333331</v>
          </cell>
          <cell r="AZ150">
            <v>9</v>
          </cell>
          <cell r="BI150">
            <v>7</v>
          </cell>
        </row>
        <row r="151">
          <cell r="AQ151">
            <v>127.66</v>
          </cell>
          <cell r="AY151">
            <v>0.18181818181818182</v>
          </cell>
          <cell r="AZ151">
            <v>7</v>
          </cell>
          <cell r="BI151">
            <v>7</v>
          </cell>
        </row>
        <row r="152">
          <cell r="AQ152">
            <v>227.47</v>
          </cell>
          <cell r="AY152">
            <v>0.5</v>
          </cell>
          <cell r="AZ152">
            <v>4</v>
          </cell>
          <cell r="BI152">
            <v>9</v>
          </cell>
        </row>
        <row r="153">
          <cell r="AQ153">
            <v>342.99</v>
          </cell>
          <cell r="AY153">
            <v>0</v>
          </cell>
          <cell r="AZ153">
            <v>6</v>
          </cell>
          <cell r="BI153">
            <v>6</v>
          </cell>
        </row>
        <row r="154">
          <cell r="AQ154">
            <v>306.48</v>
          </cell>
          <cell r="AY154">
            <v>0</v>
          </cell>
          <cell r="AZ154">
            <v>9</v>
          </cell>
          <cell r="BI154">
            <v>14</v>
          </cell>
        </row>
        <row r="155">
          <cell r="AQ155">
            <v>308.54000000000002</v>
          </cell>
          <cell r="AY155">
            <v>0.33333333333333331</v>
          </cell>
          <cell r="AZ155">
            <v>5</v>
          </cell>
          <cell r="BI155">
            <v>7</v>
          </cell>
        </row>
        <row r="156">
          <cell r="AQ156">
            <v>124.17</v>
          </cell>
          <cell r="AY156">
            <v>0.16666666666666666</v>
          </cell>
          <cell r="AZ156">
            <v>4</v>
          </cell>
          <cell r="BI156">
            <v>6</v>
          </cell>
        </row>
        <row r="157">
          <cell r="AQ157">
            <v>78</v>
          </cell>
          <cell r="AY157">
            <v>0.2</v>
          </cell>
          <cell r="AZ157">
            <v>1</v>
          </cell>
          <cell r="BI157">
            <v>11</v>
          </cell>
        </row>
        <row r="158">
          <cell r="AQ158">
            <v>393.03</v>
          </cell>
          <cell r="AY158">
            <v>0.25</v>
          </cell>
          <cell r="AZ158">
            <v>3</v>
          </cell>
          <cell r="BI158">
            <v>7</v>
          </cell>
        </row>
        <row r="159">
          <cell r="AQ159">
            <v>102.09</v>
          </cell>
          <cell r="AY159">
            <v>0.33333333333333331</v>
          </cell>
          <cell r="AZ159">
            <v>9</v>
          </cell>
          <cell r="BI159">
            <v>1</v>
          </cell>
        </row>
        <row r="160">
          <cell r="AQ160">
            <v>426.21</v>
          </cell>
          <cell r="AY160">
            <v>0.66666666666666663</v>
          </cell>
          <cell r="AZ160">
            <v>5</v>
          </cell>
          <cell r="BI160">
            <v>2</v>
          </cell>
        </row>
        <row r="161">
          <cell r="AQ161">
            <v>140.31</v>
          </cell>
          <cell r="AY161">
            <v>1</v>
          </cell>
          <cell r="AZ161">
            <v>5</v>
          </cell>
          <cell r="BI161">
            <v>8</v>
          </cell>
        </row>
        <row r="162">
          <cell r="AQ162">
            <v>413.7</v>
          </cell>
          <cell r="AY162">
            <v>0</v>
          </cell>
          <cell r="AZ162">
            <v>9</v>
          </cell>
          <cell r="BI162">
            <v>6</v>
          </cell>
        </row>
        <row r="163">
          <cell r="AQ163">
            <v>348.63</v>
          </cell>
          <cell r="AY163">
            <v>0</v>
          </cell>
          <cell r="AZ163">
            <v>7</v>
          </cell>
          <cell r="BI163">
            <v>6</v>
          </cell>
        </row>
        <row r="164">
          <cell r="AQ164">
            <v>91.27</v>
          </cell>
          <cell r="AY164">
            <v>0.2857142857142857</v>
          </cell>
          <cell r="AZ164">
            <v>6</v>
          </cell>
          <cell r="BI164">
            <v>13</v>
          </cell>
        </row>
        <row r="165">
          <cell r="AQ165">
            <v>359.94</v>
          </cell>
          <cell r="AY165">
            <v>9.0909090909090912E-2</v>
          </cell>
          <cell r="AZ165">
            <v>8</v>
          </cell>
          <cell r="BI165">
            <v>9</v>
          </cell>
        </row>
        <row r="166">
          <cell r="AQ166">
            <v>138.19999999999999</v>
          </cell>
          <cell r="AY166">
            <v>0</v>
          </cell>
          <cell r="AZ166">
            <v>6</v>
          </cell>
          <cell r="BI166">
            <v>12</v>
          </cell>
        </row>
        <row r="167">
          <cell r="AQ167">
            <v>196.33</v>
          </cell>
          <cell r="AY167">
            <v>0</v>
          </cell>
          <cell r="AZ167">
            <v>5</v>
          </cell>
          <cell r="BI167">
            <v>11</v>
          </cell>
        </row>
        <row r="168">
          <cell r="AQ168">
            <v>249.24</v>
          </cell>
          <cell r="AY168">
            <v>0.25</v>
          </cell>
          <cell r="AZ168">
            <v>3</v>
          </cell>
          <cell r="BI168">
            <v>7</v>
          </cell>
        </row>
        <row r="169">
          <cell r="AQ169">
            <v>129.1</v>
          </cell>
          <cell r="AY169">
            <v>0</v>
          </cell>
          <cell r="AZ169">
            <v>8</v>
          </cell>
          <cell r="BI169">
            <v>7</v>
          </cell>
        </row>
        <row r="170">
          <cell r="AQ170">
            <v>112.69</v>
          </cell>
          <cell r="AY170">
            <v>0</v>
          </cell>
          <cell r="AZ170">
            <v>7</v>
          </cell>
          <cell r="BI170">
            <v>1</v>
          </cell>
        </row>
        <row r="171">
          <cell r="AQ171">
            <v>267.85000000000002</v>
          </cell>
          <cell r="AY171">
            <v>0.2</v>
          </cell>
          <cell r="AZ171">
            <v>5</v>
          </cell>
          <cell r="BI171">
            <v>7</v>
          </cell>
        </row>
        <row r="172">
          <cell r="AQ172">
            <v>205.36</v>
          </cell>
          <cell r="AY172">
            <v>0</v>
          </cell>
          <cell r="AZ172">
            <v>1</v>
          </cell>
          <cell r="BI172">
            <v>5</v>
          </cell>
        </row>
        <row r="173">
          <cell r="AQ173">
            <v>79.099999999999994</v>
          </cell>
          <cell r="AY173">
            <v>0</v>
          </cell>
          <cell r="AZ173">
            <v>9</v>
          </cell>
          <cell r="BI173">
            <v>4</v>
          </cell>
        </row>
        <row r="174">
          <cell r="AQ174">
            <v>256.63</v>
          </cell>
          <cell r="AY174">
            <v>0.16666666666666666</v>
          </cell>
          <cell r="AZ174">
            <v>2</v>
          </cell>
          <cell r="BI174">
            <v>10</v>
          </cell>
        </row>
        <row r="175">
          <cell r="AQ175">
            <v>409.98</v>
          </cell>
          <cell r="AY175">
            <v>0.16666666666666666</v>
          </cell>
          <cell r="AZ175">
            <v>1</v>
          </cell>
          <cell r="BI175">
            <v>8</v>
          </cell>
        </row>
        <row r="176">
          <cell r="AQ176">
            <v>291.60000000000002</v>
          </cell>
          <cell r="AY176">
            <v>0</v>
          </cell>
          <cell r="AZ176">
            <v>7</v>
          </cell>
          <cell r="BI176">
            <v>3</v>
          </cell>
        </row>
        <row r="177">
          <cell r="AQ177">
            <v>101.7</v>
          </cell>
          <cell r="AY177">
            <v>0.2857142857142857</v>
          </cell>
          <cell r="AZ177">
            <v>2</v>
          </cell>
          <cell r="BI177">
            <v>4</v>
          </cell>
        </row>
        <row r="178">
          <cell r="AQ178">
            <v>369.73</v>
          </cell>
          <cell r="AY178">
            <v>0</v>
          </cell>
          <cell r="AZ178">
            <v>3</v>
          </cell>
          <cell r="BI178">
            <v>12</v>
          </cell>
        </row>
        <row r="179">
          <cell r="AQ179">
            <v>71</v>
          </cell>
          <cell r="AY179">
            <v>0.16666666666666666</v>
          </cell>
          <cell r="AZ179">
            <v>9</v>
          </cell>
          <cell r="BI179">
            <v>13</v>
          </cell>
        </row>
        <row r="180">
          <cell r="AQ180">
            <v>280.05</v>
          </cell>
          <cell r="AY180">
            <v>0.1</v>
          </cell>
          <cell r="AZ180">
            <v>2</v>
          </cell>
          <cell r="BI180">
            <v>11</v>
          </cell>
        </row>
        <row r="181">
          <cell r="AQ181">
            <v>54.71</v>
          </cell>
          <cell r="AY181">
            <v>0.25</v>
          </cell>
          <cell r="AZ181">
            <v>3</v>
          </cell>
          <cell r="BI181">
            <v>3</v>
          </cell>
        </row>
        <row r="182">
          <cell r="AQ182">
            <v>119.51</v>
          </cell>
          <cell r="AY182">
            <v>0.18181818181818182</v>
          </cell>
          <cell r="AZ182">
            <v>8</v>
          </cell>
          <cell r="BI182">
            <v>1</v>
          </cell>
        </row>
        <row r="183">
          <cell r="AQ183">
            <v>57.5</v>
          </cell>
          <cell r="AY183">
            <v>0</v>
          </cell>
          <cell r="AZ183">
            <v>3</v>
          </cell>
          <cell r="BI183">
            <v>13</v>
          </cell>
        </row>
        <row r="184">
          <cell r="AQ184">
            <v>225.05</v>
          </cell>
          <cell r="AY184">
            <v>0.2</v>
          </cell>
          <cell r="AZ184">
            <v>1</v>
          </cell>
          <cell r="BI184">
            <v>10</v>
          </cell>
        </row>
        <row r="185">
          <cell r="AQ185">
            <v>441.15</v>
          </cell>
          <cell r="AY185">
            <v>0.14285714285714285</v>
          </cell>
          <cell r="AZ185">
            <v>1</v>
          </cell>
          <cell r="BI185">
            <v>8</v>
          </cell>
        </row>
        <row r="186">
          <cell r="AQ186">
            <v>481.21</v>
          </cell>
          <cell r="AY186">
            <v>0</v>
          </cell>
          <cell r="AZ186">
            <v>1</v>
          </cell>
          <cell r="BI186">
            <v>11</v>
          </cell>
        </row>
        <row r="187">
          <cell r="AQ187">
            <v>102.96</v>
          </cell>
          <cell r="AY187">
            <v>0</v>
          </cell>
          <cell r="AZ187">
            <v>7</v>
          </cell>
          <cell r="BI187">
            <v>4</v>
          </cell>
        </row>
        <row r="188">
          <cell r="AQ188">
            <v>331.57</v>
          </cell>
          <cell r="AY188">
            <v>9.0909090909090912E-2</v>
          </cell>
          <cell r="AZ188">
            <v>6</v>
          </cell>
          <cell r="BI188">
            <v>14</v>
          </cell>
        </row>
        <row r="189">
          <cell r="AQ189">
            <v>101.29</v>
          </cell>
          <cell r="AY189">
            <v>0.18181818181818182</v>
          </cell>
          <cell r="AZ189">
            <v>7</v>
          </cell>
          <cell r="BI189">
            <v>4</v>
          </cell>
        </row>
        <row r="190">
          <cell r="AQ190">
            <v>143.52000000000001</v>
          </cell>
          <cell r="AY190">
            <v>0.22222222222222221</v>
          </cell>
          <cell r="AZ190">
            <v>3</v>
          </cell>
          <cell r="BI190">
            <v>12</v>
          </cell>
        </row>
        <row r="191">
          <cell r="AQ191">
            <v>276.48</v>
          </cell>
          <cell r="AY191">
            <v>0</v>
          </cell>
          <cell r="AZ191">
            <v>4</v>
          </cell>
          <cell r="BI191">
            <v>7</v>
          </cell>
        </row>
        <row r="192">
          <cell r="AQ192">
            <v>352.87</v>
          </cell>
          <cell r="AY192">
            <v>0</v>
          </cell>
          <cell r="AZ192">
            <v>6</v>
          </cell>
          <cell r="BI192">
            <v>12</v>
          </cell>
        </row>
        <row r="193">
          <cell r="AQ193">
            <v>228.68</v>
          </cell>
          <cell r="AY193">
            <v>0.33333333333333331</v>
          </cell>
          <cell r="AZ193">
            <v>4</v>
          </cell>
          <cell r="BI193">
            <v>4</v>
          </cell>
        </row>
        <row r="194">
          <cell r="AQ194">
            <v>301.39</v>
          </cell>
          <cell r="AY194">
            <v>0.16666666666666666</v>
          </cell>
          <cell r="AZ194">
            <v>4</v>
          </cell>
          <cell r="BI194">
            <v>11</v>
          </cell>
        </row>
        <row r="195">
          <cell r="AQ195">
            <v>473.5</v>
          </cell>
          <cell r="AY195">
            <v>0.18181818181818182</v>
          </cell>
          <cell r="AZ195">
            <v>3</v>
          </cell>
          <cell r="BI195">
            <v>10</v>
          </cell>
        </row>
        <row r="196">
          <cell r="AQ196">
            <v>72.8</v>
          </cell>
          <cell r="AY196">
            <v>0.18181818181818182</v>
          </cell>
          <cell r="AZ196">
            <v>10</v>
          </cell>
          <cell r="BI196">
            <v>3</v>
          </cell>
        </row>
        <row r="197">
          <cell r="AQ197">
            <v>171.72</v>
          </cell>
          <cell r="AY197">
            <v>0.33333333333333331</v>
          </cell>
          <cell r="AZ197">
            <v>2</v>
          </cell>
          <cell r="BI197">
            <v>12</v>
          </cell>
        </row>
        <row r="198">
          <cell r="AQ198">
            <v>467.5</v>
          </cell>
          <cell r="AY198">
            <v>0.16666666666666666</v>
          </cell>
          <cell r="AZ198">
            <v>1</v>
          </cell>
          <cell r="BI198">
            <v>6</v>
          </cell>
        </row>
        <row r="199">
          <cell r="AQ199">
            <v>209.79</v>
          </cell>
          <cell r="AY199">
            <v>0.16666666666666666</v>
          </cell>
          <cell r="AZ199">
            <v>9</v>
          </cell>
          <cell r="BI199">
            <v>10</v>
          </cell>
        </row>
        <row r="200">
          <cell r="AQ200">
            <v>150.33000000000001</v>
          </cell>
          <cell r="AY200">
            <v>0.22222222222222221</v>
          </cell>
          <cell r="AZ200">
            <v>9</v>
          </cell>
          <cell r="BI200">
            <v>6</v>
          </cell>
        </row>
        <row r="201">
          <cell r="AQ201">
            <v>98.63</v>
          </cell>
          <cell r="AY201">
            <v>0.14285714285714285</v>
          </cell>
          <cell r="AZ201">
            <v>3</v>
          </cell>
          <cell r="BI201">
            <v>6</v>
          </cell>
        </row>
        <row r="202">
          <cell r="AQ202">
            <v>193.3</v>
          </cell>
          <cell r="AY202">
            <v>0.18181818181818182</v>
          </cell>
          <cell r="AZ202">
            <v>1</v>
          </cell>
          <cell r="BI202">
            <v>12</v>
          </cell>
        </row>
        <row r="203">
          <cell r="AQ203">
            <v>145.02000000000001</v>
          </cell>
          <cell r="AY203">
            <v>0.14285714285714285</v>
          </cell>
          <cell r="AZ203">
            <v>1</v>
          </cell>
          <cell r="BI203">
            <v>9</v>
          </cell>
        </row>
        <row r="204">
          <cell r="AQ204">
            <v>294.99</v>
          </cell>
          <cell r="AY204">
            <v>0.25</v>
          </cell>
          <cell r="AZ204">
            <v>4</v>
          </cell>
          <cell r="BI204">
            <v>5</v>
          </cell>
        </row>
        <row r="205">
          <cell r="AQ205">
            <v>305.45</v>
          </cell>
          <cell r="AY205">
            <v>0.5</v>
          </cell>
          <cell r="AZ205">
            <v>1</v>
          </cell>
          <cell r="BI205">
            <v>9</v>
          </cell>
        </row>
        <row r="206">
          <cell r="AQ206">
            <v>432.42</v>
          </cell>
          <cell r="AY206">
            <v>0</v>
          </cell>
          <cell r="AZ206">
            <v>8</v>
          </cell>
          <cell r="BI206">
            <v>13</v>
          </cell>
        </row>
        <row r="207">
          <cell r="AQ207">
            <v>227.58</v>
          </cell>
          <cell r="AY207">
            <v>9.0909090909090912E-2</v>
          </cell>
          <cell r="AZ207">
            <v>8</v>
          </cell>
          <cell r="BI207">
            <v>6</v>
          </cell>
        </row>
        <row r="208">
          <cell r="AQ208">
            <v>160.88999999999999</v>
          </cell>
          <cell r="AY208">
            <v>0.2</v>
          </cell>
          <cell r="AZ208">
            <v>6</v>
          </cell>
          <cell r="BI208">
            <v>13</v>
          </cell>
        </row>
        <row r="209">
          <cell r="AQ209">
            <v>139.1</v>
          </cell>
          <cell r="AY209">
            <v>0.2857142857142857</v>
          </cell>
          <cell r="AZ209">
            <v>3</v>
          </cell>
          <cell r="BI209">
            <v>8</v>
          </cell>
        </row>
        <row r="210">
          <cell r="AQ210">
            <v>268.27999999999997</v>
          </cell>
          <cell r="AY210">
            <v>0.22222222222222221</v>
          </cell>
          <cell r="AZ210">
            <v>2</v>
          </cell>
          <cell r="BI210">
            <v>8</v>
          </cell>
        </row>
        <row r="211">
          <cell r="AQ211">
            <v>64.489999999999995</v>
          </cell>
          <cell r="AY211">
            <v>0.16666666666666666</v>
          </cell>
          <cell r="AZ211">
            <v>10</v>
          </cell>
          <cell r="BI211">
            <v>7</v>
          </cell>
        </row>
        <row r="212">
          <cell r="AQ212">
            <v>80.17</v>
          </cell>
          <cell r="AY212">
            <v>0.1</v>
          </cell>
          <cell r="AZ212">
            <v>8</v>
          </cell>
          <cell r="BI212">
            <v>6</v>
          </cell>
        </row>
        <row r="213">
          <cell r="AQ213">
            <v>277.52</v>
          </cell>
          <cell r="AY213">
            <v>9.0909090909090912E-2</v>
          </cell>
          <cell r="AZ213">
            <v>7</v>
          </cell>
          <cell r="BI213">
            <v>11</v>
          </cell>
        </row>
        <row r="214">
          <cell r="AQ214">
            <v>53.67</v>
          </cell>
          <cell r="AY214">
            <v>0</v>
          </cell>
          <cell r="AZ214">
            <v>2</v>
          </cell>
          <cell r="BI214">
            <v>11</v>
          </cell>
        </row>
        <row r="215">
          <cell r="AQ215">
            <v>323.39</v>
          </cell>
          <cell r="AY215">
            <v>0</v>
          </cell>
          <cell r="AZ215">
            <v>7</v>
          </cell>
          <cell r="BI215">
            <v>11</v>
          </cell>
        </row>
        <row r="216">
          <cell r="AQ216">
            <v>98.02</v>
          </cell>
          <cell r="AY216">
            <v>0</v>
          </cell>
          <cell r="AZ216">
            <v>3</v>
          </cell>
          <cell r="BI216">
            <v>10</v>
          </cell>
        </row>
        <row r="217">
          <cell r="AQ217">
            <v>231.26</v>
          </cell>
          <cell r="AY217">
            <v>0.2</v>
          </cell>
          <cell r="AZ217">
            <v>5</v>
          </cell>
          <cell r="BI217">
            <v>10</v>
          </cell>
        </row>
        <row r="218">
          <cell r="AQ218">
            <v>382.49</v>
          </cell>
          <cell r="AY218">
            <v>0.33333333333333331</v>
          </cell>
          <cell r="AZ218">
            <v>3</v>
          </cell>
          <cell r="BI218">
            <v>1</v>
          </cell>
        </row>
        <row r="219">
          <cell r="AQ219">
            <v>255.42</v>
          </cell>
          <cell r="AY219">
            <v>0.1111111111111111</v>
          </cell>
          <cell r="AZ219">
            <v>9</v>
          </cell>
          <cell r="BI219">
            <v>11</v>
          </cell>
        </row>
        <row r="220">
          <cell r="AQ220">
            <v>423.23</v>
          </cell>
          <cell r="AY220">
            <v>0</v>
          </cell>
          <cell r="AZ220">
            <v>7</v>
          </cell>
          <cell r="BI220">
            <v>6</v>
          </cell>
        </row>
        <row r="221">
          <cell r="AQ221">
            <v>276.08</v>
          </cell>
          <cell r="AY221">
            <v>0.5</v>
          </cell>
          <cell r="AZ221">
            <v>10</v>
          </cell>
          <cell r="BI221">
            <v>10</v>
          </cell>
        </row>
        <row r="222">
          <cell r="AQ222">
            <v>333.56</v>
          </cell>
          <cell r="AY222">
            <v>0.66666666666666663</v>
          </cell>
          <cell r="AZ222">
            <v>2</v>
          </cell>
          <cell r="BI222">
            <v>14</v>
          </cell>
        </row>
        <row r="223">
          <cell r="AQ223">
            <v>129.82</v>
          </cell>
          <cell r="AY223">
            <v>0.16666666666666666</v>
          </cell>
          <cell r="AZ223">
            <v>1</v>
          </cell>
          <cell r="BI223">
            <v>8</v>
          </cell>
        </row>
        <row r="224">
          <cell r="AQ224">
            <v>278.77999999999997</v>
          </cell>
          <cell r="AY224">
            <v>0</v>
          </cell>
          <cell r="AZ224">
            <v>1</v>
          </cell>
          <cell r="BI224">
            <v>2</v>
          </cell>
        </row>
        <row r="225">
          <cell r="AQ225">
            <v>112.55</v>
          </cell>
          <cell r="AY225">
            <v>0.4</v>
          </cell>
          <cell r="AZ225">
            <v>1</v>
          </cell>
          <cell r="BI225">
            <v>2</v>
          </cell>
        </row>
        <row r="226">
          <cell r="AQ226">
            <v>142.02000000000001</v>
          </cell>
          <cell r="AY226">
            <v>0.14285714285714285</v>
          </cell>
          <cell r="AZ226">
            <v>9</v>
          </cell>
          <cell r="BI226">
            <v>3</v>
          </cell>
        </row>
        <row r="227">
          <cell r="AQ227">
            <v>481.84</v>
          </cell>
          <cell r="AY227">
            <v>0.1</v>
          </cell>
          <cell r="AZ227">
            <v>1</v>
          </cell>
          <cell r="BI227">
            <v>9</v>
          </cell>
        </row>
        <row r="228">
          <cell r="AQ228">
            <v>165.01</v>
          </cell>
          <cell r="AY228">
            <v>0.1</v>
          </cell>
          <cell r="AZ228">
            <v>5</v>
          </cell>
          <cell r="BI228">
            <v>10</v>
          </cell>
        </row>
        <row r="229">
          <cell r="AQ229">
            <v>56.85</v>
          </cell>
          <cell r="AY229">
            <v>0</v>
          </cell>
          <cell r="AZ229">
            <v>1</v>
          </cell>
          <cell r="BI229">
            <v>14</v>
          </cell>
        </row>
        <row r="230">
          <cell r="AQ230">
            <v>182.89</v>
          </cell>
          <cell r="AY230">
            <v>0.5</v>
          </cell>
          <cell r="AZ230">
            <v>9</v>
          </cell>
          <cell r="BI230">
            <v>5</v>
          </cell>
        </row>
        <row r="231">
          <cell r="AQ231">
            <v>373.01</v>
          </cell>
          <cell r="AY231">
            <v>0.2</v>
          </cell>
          <cell r="AZ231">
            <v>4</v>
          </cell>
          <cell r="BI231">
            <v>8</v>
          </cell>
        </row>
        <row r="232">
          <cell r="AQ232">
            <v>220.77</v>
          </cell>
          <cell r="AY232">
            <v>0.2857142857142857</v>
          </cell>
          <cell r="AZ232">
            <v>1</v>
          </cell>
          <cell r="BI232">
            <v>11</v>
          </cell>
        </row>
        <row r="233">
          <cell r="AQ233">
            <v>291.08999999999997</v>
          </cell>
          <cell r="AY233">
            <v>0</v>
          </cell>
          <cell r="AZ233">
            <v>9</v>
          </cell>
          <cell r="BI233">
            <v>1</v>
          </cell>
        </row>
        <row r="234">
          <cell r="AQ234">
            <v>414.06</v>
          </cell>
          <cell r="AY234">
            <v>0.22222222222222221</v>
          </cell>
          <cell r="AZ234">
            <v>4</v>
          </cell>
          <cell r="BI234">
            <v>2</v>
          </cell>
        </row>
        <row r="235">
          <cell r="AQ235">
            <v>408.51</v>
          </cell>
          <cell r="AY235">
            <v>0</v>
          </cell>
          <cell r="AZ235">
            <v>7</v>
          </cell>
          <cell r="BI235">
            <v>1</v>
          </cell>
        </row>
        <row r="236">
          <cell r="AQ236">
            <v>103.4</v>
          </cell>
          <cell r="AY236">
            <v>0.1111111111111111</v>
          </cell>
          <cell r="AZ236">
            <v>9</v>
          </cell>
          <cell r="BI236">
            <v>9</v>
          </cell>
        </row>
        <row r="237">
          <cell r="AQ237">
            <v>67.92</v>
          </cell>
          <cell r="AY237">
            <v>0.33333333333333331</v>
          </cell>
          <cell r="AZ237">
            <v>8</v>
          </cell>
          <cell r="BI237">
            <v>10</v>
          </cell>
        </row>
        <row r="238">
          <cell r="AQ238">
            <v>354.16</v>
          </cell>
          <cell r="AY238">
            <v>0.25</v>
          </cell>
          <cell r="AZ238">
            <v>3</v>
          </cell>
          <cell r="BI238">
            <v>5</v>
          </cell>
        </row>
        <row r="239">
          <cell r="AQ239">
            <v>276.77</v>
          </cell>
          <cell r="AY239">
            <v>0.5</v>
          </cell>
          <cell r="AZ239">
            <v>2</v>
          </cell>
          <cell r="BI239">
            <v>4</v>
          </cell>
        </row>
        <row r="240">
          <cell r="AQ240">
            <v>190.25</v>
          </cell>
          <cell r="AY240">
            <v>0.33333333333333331</v>
          </cell>
          <cell r="AZ240">
            <v>9</v>
          </cell>
          <cell r="BI240">
            <v>13</v>
          </cell>
        </row>
        <row r="241">
          <cell r="AQ241">
            <v>203.49</v>
          </cell>
          <cell r="AY241">
            <v>0.14285714285714285</v>
          </cell>
          <cell r="AZ241">
            <v>8</v>
          </cell>
          <cell r="BI241">
            <v>11</v>
          </cell>
        </row>
        <row r="242">
          <cell r="AQ242">
            <v>263.5</v>
          </cell>
          <cell r="AY242">
            <v>0</v>
          </cell>
          <cell r="AZ242">
            <v>8</v>
          </cell>
          <cell r="BI242">
            <v>1</v>
          </cell>
        </row>
        <row r="243">
          <cell r="AQ243">
            <v>247.3</v>
          </cell>
          <cell r="AY243">
            <v>0</v>
          </cell>
          <cell r="AZ243">
            <v>1</v>
          </cell>
          <cell r="BI243">
            <v>11</v>
          </cell>
        </row>
        <row r="244">
          <cell r="AQ244">
            <v>50.71</v>
          </cell>
          <cell r="AY244">
            <v>0</v>
          </cell>
          <cell r="AZ244">
            <v>9</v>
          </cell>
          <cell r="BI244">
            <v>8</v>
          </cell>
        </row>
        <row r="245">
          <cell r="AQ245">
            <v>131.85</v>
          </cell>
          <cell r="AY245">
            <v>0.25</v>
          </cell>
          <cell r="AZ245">
            <v>5</v>
          </cell>
          <cell r="BI245">
            <v>6</v>
          </cell>
        </row>
        <row r="246">
          <cell r="AQ246">
            <v>459.39</v>
          </cell>
          <cell r="AY246">
            <v>0.33333333333333331</v>
          </cell>
          <cell r="AZ246">
            <v>4</v>
          </cell>
          <cell r="BI246">
            <v>14</v>
          </cell>
        </row>
        <row r="247">
          <cell r="AQ247">
            <v>383.33</v>
          </cell>
          <cell r="AY247">
            <v>0.16666666666666666</v>
          </cell>
          <cell r="AZ247">
            <v>3</v>
          </cell>
          <cell r="BI247">
            <v>12</v>
          </cell>
        </row>
        <row r="248">
          <cell r="AQ248">
            <v>212.08</v>
          </cell>
          <cell r="AY248">
            <v>0.125</v>
          </cell>
          <cell r="AZ248">
            <v>9</v>
          </cell>
          <cell r="BI248">
            <v>13</v>
          </cell>
        </row>
        <row r="249">
          <cell r="AQ249">
            <v>370.73</v>
          </cell>
          <cell r="AY249">
            <v>0</v>
          </cell>
          <cell r="AZ249">
            <v>9</v>
          </cell>
          <cell r="BI249">
            <v>7</v>
          </cell>
        </row>
        <row r="250">
          <cell r="AQ250">
            <v>319.66000000000003</v>
          </cell>
          <cell r="AY250">
            <v>0.14285714285714285</v>
          </cell>
          <cell r="AZ250">
            <v>10</v>
          </cell>
          <cell r="BI250">
            <v>3</v>
          </cell>
        </row>
        <row r="251">
          <cell r="AQ251">
            <v>373.05</v>
          </cell>
          <cell r="AY251">
            <v>0.33333333333333331</v>
          </cell>
          <cell r="AZ251">
            <v>10</v>
          </cell>
          <cell r="BI251">
            <v>7</v>
          </cell>
        </row>
        <row r="252">
          <cell r="AQ252">
            <v>393.78</v>
          </cell>
          <cell r="AY252">
            <v>0</v>
          </cell>
          <cell r="AZ252">
            <v>5</v>
          </cell>
          <cell r="BI252">
            <v>14</v>
          </cell>
        </row>
        <row r="253">
          <cell r="AQ253">
            <v>245.04</v>
          </cell>
          <cell r="AY253">
            <v>0.5</v>
          </cell>
          <cell r="AZ253">
            <v>6</v>
          </cell>
          <cell r="BI253">
            <v>10</v>
          </cell>
        </row>
        <row r="254">
          <cell r="AQ254">
            <v>111.27</v>
          </cell>
          <cell r="AY254">
            <v>0.66666666666666663</v>
          </cell>
          <cell r="AZ254">
            <v>10</v>
          </cell>
          <cell r="BI254">
            <v>12</v>
          </cell>
        </row>
        <row r="255">
          <cell r="AQ255">
            <v>93.29</v>
          </cell>
          <cell r="AY255">
            <v>0</v>
          </cell>
          <cell r="AZ255">
            <v>7</v>
          </cell>
          <cell r="BI255">
            <v>9</v>
          </cell>
        </row>
        <row r="256">
          <cell r="AQ256">
            <v>156.5</v>
          </cell>
          <cell r="AY256">
            <v>0</v>
          </cell>
          <cell r="AZ256">
            <v>3</v>
          </cell>
          <cell r="BI256">
            <v>14</v>
          </cell>
        </row>
        <row r="257">
          <cell r="AQ257">
            <v>290.11</v>
          </cell>
          <cell r="AY257">
            <v>0.125</v>
          </cell>
          <cell r="AZ257">
            <v>4</v>
          </cell>
          <cell r="BI257">
            <v>14</v>
          </cell>
        </row>
        <row r="258">
          <cell r="AQ258">
            <v>355.28</v>
          </cell>
          <cell r="AY258">
            <v>0.33333333333333331</v>
          </cell>
          <cell r="AZ258">
            <v>4</v>
          </cell>
          <cell r="BI258">
            <v>5</v>
          </cell>
        </row>
        <row r="259">
          <cell r="AQ259">
            <v>73.739999999999995</v>
          </cell>
          <cell r="AY259">
            <v>0.14285714285714285</v>
          </cell>
          <cell r="AZ259">
            <v>3</v>
          </cell>
          <cell r="BI259">
            <v>13</v>
          </cell>
        </row>
        <row r="260">
          <cell r="AQ260">
            <v>170.35</v>
          </cell>
          <cell r="AY260">
            <v>0.1</v>
          </cell>
          <cell r="AZ260">
            <v>10</v>
          </cell>
          <cell r="BI260">
            <v>1</v>
          </cell>
        </row>
        <row r="261">
          <cell r="AQ261">
            <v>123.7</v>
          </cell>
          <cell r="AY261">
            <v>0.16666666666666666</v>
          </cell>
          <cell r="AZ261">
            <v>5</v>
          </cell>
          <cell r="BI261">
            <v>2</v>
          </cell>
        </row>
        <row r="262">
          <cell r="AQ262">
            <v>201.6</v>
          </cell>
          <cell r="AY262">
            <v>0.1111111111111111</v>
          </cell>
          <cell r="AZ262">
            <v>4</v>
          </cell>
          <cell r="BI262">
            <v>14</v>
          </cell>
        </row>
        <row r="263">
          <cell r="AQ263">
            <v>116.14</v>
          </cell>
          <cell r="AY263">
            <v>0</v>
          </cell>
          <cell r="AZ263">
            <v>8</v>
          </cell>
          <cell r="BI263">
            <v>14</v>
          </cell>
        </row>
        <row r="264">
          <cell r="AQ264">
            <v>483.38</v>
          </cell>
          <cell r="AY264">
            <v>0.22222222222222221</v>
          </cell>
          <cell r="AZ264">
            <v>3</v>
          </cell>
          <cell r="BI264">
            <v>8</v>
          </cell>
        </row>
        <row r="265">
          <cell r="AQ265">
            <v>418.62</v>
          </cell>
          <cell r="AY265">
            <v>0</v>
          </cell>
          <cell r="AZ265">
            <v>9</v>
          </cell>
          <cell r="BI265">
            <v>11</v>
          </cell>
        </row>
        <row r="266">
          <cell r="AQ266">
            <v>139.83000000000001</v>
          </cell>
          <cell r="AY266">
            <v>0</v>
          </cell>
          <cell r="AZ266">
            <v>1</v>
          </cell>
          <cell r="BI266">
            <v>10</v>
          </cell>
        </row>
        <row r="267">
          <cell r="AQ267">
            <v>54.17</v>
          </cell>
          <cell r="AY267">
            <v>0.5</v>
          </cell>
          <cell r="AZ267">
            <v>2</v>
          </cell>
          <cell r="BI267">
            <v>7</v>
          </cell>
        </row>
        <row r="268">
          <cell r="AQ268">
            <v>437.59</v>
          </cell>
          <cell r="AY268">
            <v>0</v>
          </cell>
          <cell r="AZ268">
            <v>4</v>
          </cell>
          <cell r="BI268">
            <v>9</v>
          </cell>
        </row>
        <row r="269">
          <cell r="AQ269">
            <v>113.57</v>
          </cell>
          <cell r="AY269">
            <v>0.2</v>
          </cell>
          <cell r="AZ269">
            <v>1</v>
          </cell>
          <cell r="BI269">
            <v>8</v>
          </cell>
        </row>
        <row r="270">
          <cell r="AQ270">
            <v>305.54000000000002</v>
          </cell>
          <cell r="AY270">
            <v>0</v>
          </cell>
          <cell r="AZ270">
            <v>5</v>
          </cell>
          <cell r="BI270">
            <v>7</v>
          </cell>
        </row>
        <row r="271">
          <cell r="AQ271">
            <v>339.12</v>
          </cell>
          <cell r="AY271">
            <v>0</v>
          </cell>
          <cell r="AZ271">
            <v>5</v>
          </cell>
          <cell r="BI271">
            <v>1</v>
          </cell>
        </row>
        <row r="272">
          <cell r="AQ272">
            <v>323.39999999999998</v>
          </cell>
          <cell r="AY272">
            <v>0</v>
          </cell>
          <cell r="AZ272">
            <v>8</v>
          </cell>
          <cell r="BI272">
            <v>10</v>
          </cell>
        </row>
        <row r="273">
          <cell r="AQ273">
            <v>472.61</v>
          </cell>
          <cell r="AY273">
            <v>0.1111111111111111</v>
          </cell>
          <cell r="AZ273">
            <v>4</v>
          </cell>
          <cell r="BI273">
            <v>5</v>
          </cell>
        </row>
        <row r="274">
          <cell r="AQ274">
            <v>68.02</v>
          </cell>
          <cell r="AY274">
            <v>0.1</v>
          </cell>
          <cell r="AZ274">
            <v>6</v>
          </cell>
          <cell r="BI274">
            <v>6</v>
          </cell>
        </row>
        <row r="275">
          <cell r="AQ275">
            <v>199.44</v>
          </cell>
          <cell r="AY275">
            <v>0</v>
          </cell>
          <cell r="AZ275">
            <v>3</v>
          </cell>
          <cell r="BI275">
            <v>1</v>
          </cell>
        </row>
        <row r="276">
          <cell r="AQ276">
            <v>250.73</v>
          </cell>
          <cell r="AY276">
            <v>0.25</v>
          </cell>
          <cell r="AZ276">
            <v>10</v>
          </cell>
          <cell r="BI276">
            <v>10</v>
          </cell>
        </row>
        <row r="277">
          <cell r="AQ277">
            <v>372.49</v>
          </cell>
          <cell r="AY277">
            <v>0</v>
          </cell>
          <cell r="AZ277">
            <v>5</v>
          </cell>
          <cell r="BI277">
            <v>7</v>
          </cell>
        </row>
        <row r="278">
          <cell r="AQ278">
            <v>186.85</v>
          </cell>
          <cell r="AY278">
            <v>1</v>
          </cell>
          <cell r="AZ278">
            <v>8</v>
          </cell>
          <cell r="BI278">
            <v>12</v>
          </cell>
        </row>
        <row r="279">
          <cell r="AQ279">
            <v>73.319999999999993</v>
          </cell>
          <cell r="AY279">
            <v>0.1</v>
          </cell>
          <cell r="AZ279">
            <v>1</v>
          </cell>
          <cell r="BI279">
            <v>14</v>
          </cell>
        </row>
        <row r="280">
          <cell r="AQ280">
            <v>214.59</v>
          </cell>
          <cell r="AY280">
            <v>0.16666666666666666</v>
          </cell>
          <cell r="AZ280">
            <v>8</v>
          </cell>
          <cell r="BI280">
            <v>9</v>
          </cell>
        </row>
        <row r="281">
          <cell r="AQ281">
            <v>467.32</v>
          </cell>
          <cell r="AY281">
            <v>0.16666666666666666</v>
          </cell>
          <cell r="AZ281">
            <v>4</v>
          </cell>
          <cell r="BI281">
            <v>11</v>
          </cell>
        </row>
        <row r="282">
          <cell r="AQ282">
            <v>475.65</v>
          </cell>
          <cell r="AY282">
            <v>0.5</v>
          </cell>
          <cell r="AZ282">
            <v>6</v>
          </cell>
          <cell r="BI282">
            <v>14</v>
          </cell>
        </row>
        <row r="283">
          <cell r="AQ283">
            <v>161.38</v>
          </cell>
          <cell r="AY283">
            <v>9.0909090909090912E-2</v>
          </cell>
          <cell r="AZ283">
            <v>10</v>
          </cell>
          <cell r="BI283">
            <v>10</v>
          </cell>
        </row>
        <row r="284">
          <cell r="AQ284">
            <v>249.78</v>
          </cell>
          <cell r="AY284">
            <v>0</v>
          </cell>
          <cell r="AZ284">
            <v>1</v>
          </cell>
          <cell r="BI284">
            <v>11</v>
          </cell>
        </row>
        <row r="285">
          <cell r="AQ285">
            <v>149.88</v>
          </cell>
          <cell r="AY285">
            <v>0.1111111111111111</v>
          </cell>
          <cell r="AZ285">
            <v>10</v>
          </cell>
          <cell r="BI285">
            <v>4</v>
          </cell>
        </row>
        <row r="286">
          <cell r="AQ286">
            <v>347.09</v>
          </cell>
          <cell r="AY286">
            <v>0.4</v>
          </cell>
          <cell r="AZ286">
            <v>1</v>
          </cell>
          <cell r="BI286">
            <v>7</v>
          </cell>
        </row>
        <row r="287">
          <cell r="AQ287">
            <v>345.49</v>
          </cell>
          <cell r="AY287">
            <v>0</v>
          </cell>
          <cell r="AZ287">
            <v>10</v>
          </cell>
          <cell r="BI287">
            <v>3</v>
          </cell>
        </row>
        <row r="288">
          <cell r="AQ288">
            <v>297.24</v>
          </cell>
          <cell r="AY288">
            <v>0</v>
          </cell>
          <cell r="AZ288">
            <v>9</v>
          </cell>
          <cell r="BI288">
            <v>7</v>
          </cell>
        </row>
        <row r="289">
          <cell r="AQ289">
            <v>494.34</v>
          </cell>
          <cell r="AY289">
            <v>8.3333333333333329E-2</v>
          </cell>
          <cell r="AZ289">
            <v>8</v>
          </cell>
          <cell r="BI289">
            <v>3</v>
          </cell>
        </row>
        <row r="290">
          <cell r="AQ290">
            <v>443.52</v>
          </cell>
          <cell r="AY290">
            <v>0</v>
          </cell>
          <cell r="AZ290">
            <v>7</v>
          </cell>
          <cell r="BI290">
            <v>9</v>
          </cell>
        </row>
        <row r="291">
          <cell r="AQ291">
            <v>457.18</v>
          </cell>
          <cell r="AY291">
            <v>0.2857142857142857</v>
          </cell>
          <cell r="AZ291">
            <v>6</v>
          </cell>
          <cell r="BI291">
            <v>10</v>
          </cell>
        </row>
        <row r="292">
          <cell r="AQ292">
            <v>407.88</v>
          </cell>
          <cell r="AY292">
            <v>0.25</v>
          </cell>
          <cell r="AZ292">
            <v>10</v>
          </cell>
          <cell r="BI292">
            <v>14</v>
          </cell>
        </row>
        <row r="293">
          <cell r="AQ293">
            <v>448.68</v>
          </cell>
          <cell r="AY293">
            <v>0.125</v>
          </cell>
          <cell r="AZ293">
            <v>3</v>
          </cell>
          <cell r="BI293">
            <v>8</v>
          </cell>
        </row>
        <row r="294">
          <cell r="AQ294">
            <v>255.96</v>
          </cell>
          <cell r="AY294">
            <v>0</v>
          </cell>
          <cell r="AZ294">
            <v>10</v>
          </cell>
          <cell r="BI294">
            <v>13</v>
          </cell>
        </row>
        <row r="295">
          <cell r="AQ295">
            <v>146.07</v>
          </cell>
          <cell r="AY295">
            <v>0.14285714285714285</v>
          </cell>
          <cell r="AZ295">
            <v>6</v>
          </cell>
          <cell r="BI295">
            <v>1</v>
          </cell>
        </row>
        <row r="296">
          <cell r="AQ296">
            <v>311.89999999999998</v>
          </cell>
          <cell r="AY296">
            <v>0</v>
          </cell>
          <cell r="AZ296">
            <v>6</v>
          </cell>
          <cell r="BI296">
            <v>2</v>
          </cell>
        </row>
        <row r="297">
          <cell r="AQ297">
            <v>301.60000000000002</v>
          </cell>
          <cell r="AY297">
            <v>0.5</v>
          </cell>
          <cell r="AZ297">
            <v>10</v>
          </cell>
          <cell r="BI297">
            <v>13</v>
          </cell>
        </row>
        <row r="298">
          <cell r="AQ298">
            <v>297.45</v>
          </cell>
          <cell r="AY298">
            <v>0</v>
          </cell>
          <cell r="AZ298">
            <v>7</v>
          </cell>
          <cell r="BI298">
            <v>4</v>
          </cell>
        </row>
        <row r="299">
          <cell r="AQ299">
            <v>157.26</v>
          </cell>
          <cell r="AY299">
            <v>0.33333333333333331</v>
          </cell>
          <cell r="AZ299">
            <v>1</v>
          </cell>
          <cell r="BI299">
            <v>8</v>
          </cell>
        </row>
        <row r="300">
          <cell r="AQ300">
            <v>239.46</v>
          </cell>
          <cell r="AY300">
            <v>0.66666666666666663</v>
          </cell>
          <cell r="AZ300">
            <v>8</v>
          </cell>
          <cell r="BI300">
            <v>7</v>
          </cell>
        </row>
        <row r="301">
          <cell r="AQ301">
            <v>240.82</v>
          </cell>
          <cell r="AY301">
            <v>0</v>
          </cell>
          <cell r="AZ301">
            <v>3</v>
          </cell>
          <cell r="BI301">
            <v>8</v>
          </cell>
        </row>
        <row r="302">
          <cell r="AQ302">
            <v>302.07</v>
          </cell>
          <cell r="AY302">
            <v>0.33333333333333331</v>
          </cell>
          <cell r="AZ302">
            <v>5</v>
          </cell>
          <cell r="BI302">
            <v>13</v>
          </cell>
        </row>
        <row r="303">
          <cell r="AQ303">
            <v>367.99</v>
          </cell>
          <cell r="AY303">
            <v>1</v>
          </cell>
          <cell r="AZ303">
            <v>2</v>
          </cell>
          <cell r="BI303">
            <v>8</v>
          </cell>
        </row>
        <row r="304">
          <cell r="AQ304">
            <v>359.75</v>
          </cell>
          <cell r="AY304">
            <v>0.14285714285714285</v>
          </cell>
          <cell r="AZ304">
            <v>6</v>
          </cell>
          <cell r="BI304">
            <v>3</v>
          </cell>
        </row>
        <row r="305">
          <cell r="AQ305">
            <v>204.44</v>
          </cell>
          <cell r="AY305">
            <v>0.5</v>
          </cell>
          <cell r="AZ305">
            <v>3</v>
          </cell>
          <cell r="BI305">
            <v>13</v>
          </cell>
        </row>
        <row r="306">
          <cell r="AQ306">
            <v>228.93</v>
          </cell>
          <cell r="AY306">
            <v>0.2857142857142857</v>
          </cell>
          <cell r="AZ306">
            <v>2</v>
          </cell>
          <cell r="BI306">
            <v>11</v>
          </cell>
        </row>
        <row r="307">
          <cell r="AQ307">
            <v>355.31</v>
          </cell>
          <cell r="AY307">
            <v>9.0909090909090912E-2</v>
          </cell>
          <cell r="AZ307">
            <v>2</v>
          </cell>
          <cell r="BI307">
            <v>12</v>
          </cell>
        </row>
        <row r="308">
          <cell r="AQ308">
            <v>334.67</v>
          </cell>
          <cell r="AY308">
            <v>0.16666666666666666</v>
          </cell>
          <cell r="AZ308">
            <v>5</v>
          </cell>
          <cell r="BI308">
            <v>13</v>
          </cell>
        </row>
        <row r="309">
          <cell r="AQ309">
            <v>182.72</v>
          </cell>
          <cell r="AY309">
            <v>0.2</v>
          </cell>
          <cell r="AZ309">
            <v>7</v>
          </cell>
          <cell r="BI309">
            <v>13</v>
          </cell>
        </row>
        <row r="310">
          <cell r="AQ310">
            <v>260.22000000000003</v>
          </cell>
          <cell r="AY310">
            <v>0.18181818181818182</v>
          </cell>
          <cell r="AZ310">
            <v>5</v>
          </cell>
          <cell r="BI310">
            <v>13</v>
          </cell>
        </row>
        <row r="311">
          <cell r="AQ311">
            <v>454.93</v>
          </cell>
          <cell r="AY311">
            <v>0.25</v>
          </cell>
          <cell r="AZ311">
            <v>7</v>
          </cell>
          <cell r="BI311">
            <v>11</v>
          </cell>
        </row>
        <row r="312">
          <cell r="AQ312">
            <v>325.42</v>
          </cell>
          <cell r="AY312">
            <v>9.0909090909090912E-2</v>
          </cell>
          <cell r="AZ312">
            <v>1</v>
          </cell>
          <cell r="BI312">
            <v>7</v>
          </cell>
        </row>
        <row r="313">
          <cell r="AQ313">
            <v>351.36</v>
          </cell>
          <cell r="AY313">
            <v>1</v>
          </cell>
          <cell r="AZ313">
            <v>6</v>
          </cell>
          <cell r="BI313">
            <v>7</v>
          </cell>
        </row>
        <row r="314">
          <cell r="AQ314">
            <v>333.63</v>
          </cell>
          <cell r="AY314">
            <v>0.25</v>
          </cell>
          <cell r="AZ314">
            <v>2</v>
          </cell>
          <cell r="BI314">
            <v>14</v>
          </cell>
        </row>
        <row r="315">
          <cell r="AQ315">
            <v>469.9</v>
          </cell>
          <cell r="AY315">
            <v>0.25</v>
          </cell>
          <cell r="AZ315">
            <v>7</v>
          </cell>
          <cell r="BI315">
            <v>7</v>
          </cell>
        </row>
        <row r="316">
          <cell r="AQ316">
            <v>207.52</v>
          </cell>
          <cell r="AY316">
            <v>0.25</v>
          </cell>
          <cell r="AZ316">
            <v>8</v>
          </cell>
          <cell r="BI316">
            <v>2</v>
          </cell>
        </row>
        <row r="317">
          <cell r="AQ317">
            <v>125.89</v>
          </cell>
          <cell r="AY317">
            <v>0.14285714285714285</v>
          </cell>
          <cell r="AZ317">
            <v>6</v>
          </cell>
          <cell r="BI317">
            <v>13</v>
          </cell>
        </row>
        <row r="318">
          <cell r="AQ318">
            <v>170.77</v>
          </cell>
          <cell r="AY318">
            <v>0.22222222222222221</v>
          </cell>
          <cell r="AZ318">
            <v>1</v>
          </cell>
          <cell r="BI318">
            <v>4</v>
          </cell>
        </row>
        <row r="319">
          <cell r="AQ319">
            <v>63.91</v>
          </cell>
          <cell r="AY319">
            <v>0</v>
          </cell>
          <cell r="AZ319">
            <v>6</v>
          </cell>
          <cell r="BI319">
            <v>12</v>
          </cell>
        </row>
        <row r="320">
          <cell r="AQ320">
            <v>340.55</v>
          </cell>
          <cell r="AY320">
            <v>0</v>
          </cell>
          <cell r="AZ320">
            <v>7</v>
          </cell>
          <cell r="BI320">
            <v>1</v>
          </cell>
        </row>
        <row r="321">
          <cell r="AQ321">
            <v>378.14</v>
          </cell>
          <cell r="AY321">
            <v>0.16666666666666666</v>
          </cell>
          <cell r="AZ321">
            <v>6</v>
          </cell>
          <cell r="BI321">
            <v>7</v>
          </cell>
        </row>
        <row r="322">
          <cell r="AQ322">
            <v>235.84</v>
          </cell>
          <cell r="AY322">
            <v>0.22222222222222221</v>
          </cell>
          <cell r="AZ322">
            <v>3</v>
          </cell>
          <cell r="BI322">
            <v>14</v>
          </cell>
        </row>
        <row r="323">
          <cell r="AQ323">
            <v>164.44</v>
          </cell>
          <cell r="AY323">
            <v>0.2</v>
          </cell>
          <cell r="AZ323">
            <v>10</v>
          </cell>
          <cell r="BI323">
            <v>5</v>
          </cell>
        </row>
        <row r="324">
          <cell r="AQ324">
            <v>455.81</v>
          </cell>
          <cell r="AY324">
            <v>0.33333333333333331</v>
          </cell>
          <cell r="AZ324">
            <v>6</v>
          </cell>
          <cell r="BI324">
            <v>6</v>
          </cell>
        </row>
        <row r="325">
          <cell r="AQ325">
            <v>298.32</v>
          </cell>
          <cell r="AY325">
            <v>0.2857142857142857</v>
          </cell>
          <cell r="AZ325">
            <v>8</v>
          </cell>
          <cell r="BI325">
            <v>12</v>
          </cell>
        </row>
        <row r="326">
          <cell r="AQ326">
            <v>351.71</v>
          </cell>
          <cell r="AY326">
            <v>0.14285714285714285</v>
          </cell>
          <cell r="AZ326">
            <v>6</v>
          </cell>
          <cell r="BI326">
            <v>8</v>
          </cell>
        </row>
        <row r="327">
          <cell r="AQ327">
            <v>393.48</v>
          </cell>
          <cell r="AY327">
            <v>9.0909090909090912E-2</v>
          </cell>
          <cell r="AZ327">
            <v>10</v>
          </cell>
          <cell r="BI327">
            <v>3</v>
          </cell>
        </row>
        <row r="328">
          <cell r="AQ328">
            <v>241.72</v>
          </cell>
          <cell r="AY328">
            <v>0</v>
          </cell>
          <cell r="AZ328">
            <v>8</v>
          </cell>
          <cell r="BI328">
            <v>2</v>
          </cell>
        </row>
        <row r="329">
          <cell r="AQ329">
            <v>280.2</v>
          </cell>
          <cell r="AY329">
            <v>0.66666666666666663</v>
          </cell>
          <cell r="AZ329">
            <v>7</v>
          </cell>
          <cell r="BI329">
            <v>13</v>
          </cell>
        </row>
        <row r="330">
          <cell r="AQ330">
            <v>178.04</v>
          </cell>
          <cell r="AY330">
            <v>0.4</v>
          </cell>
          <cell r="AZ330">
            <v>10</v>
          </cell>
          <cell r="BI330">
            <v>11</v>
          </cell>
        </row>
        <row r="331">
          <cell r="AQ331">
            <v>347.99</v>
          </cell>
          <cell r="AY331">
            <v>0</v>
          </cell>
          <cell r="AZ331">
            <v>1</v>
          </cell>
          <cell r="BI331">
            <v>6</v>
          </cell>
        </row>
        <row r="332">
          <cell r="AQ332">
            <v>343.81</v>
          </cell>
          <cell r="AY332">
            <v>0</v>
          </cell>
          <cell r="AZ332">
            <v>7</v>
          </cell>
          <cell r="BI332">
            <v>3</v>
          </cell>
        </row>
        <row r="333">
          <cell r="AQ333">
            <v>105.29</v>
          </cell>
          <cell r="AY333">
            <v>0</v>
          </cell>
          <cell r="AZ333">
            <v>1</v>
          </cell>
          <cell r="BI333">
            <v>4</v>
          </cell>
        </row>
        <row r="334">
          <cell r="AQ334">
            <v>483.66</v>
          </cell>
          <cell r="AY334">
            <v>0.66666666666666663</v>
          </cell>
          <cell r="AZ334">
            <v>1</v>
          </cell>
          <cell r="BI334">
            <v>9</v>
          </cell>
        </row>
        <row r="335">
          <cell r="AQ335">
            <v>69.41</v>
          </cell>
          <cell r="AY335">
            <v>0.125</v>
          </cell>
          <cell r="AZ335">
            <v>9</v>
          </cell>
          <cell r="BI335">
            <v>5</v>
          </cell>
        </row>
        <row r="336">
          <cell r="AQ336">
            <v>207.18</v>
          </cell>
          <cell r="AY336">
            <v>9.0909090909090912E-2</v>
          </cell>
          <cell r="AZ336">
            <v>5</v>
          </cell>
          <cell r="BI336">
            <v>8</v>
          </cell>
        </row>
        <row r="337">
          <cell r="AQ337">
            <v>454.15</v>
          </cell>
          <cell r="AY337">
            <v>9.0909090909090912E-2</v>
          </cell>
          <cell r="AZ337">
            <v>8</v>
          </cell>
          <cell r="BI337">
            <v>13</v>
          </cell>
        </row>
        <row r="338">
          <cell r="AQ338">
            <v>113.01</v>
          </cell>
          <cell r="AY338">
            <v>9.0909090909090912E-2</v>
          </cell>
          <cell r="AZ338">
            <v>1</v>
          </cell>
          <cell r="BI338">
            <v>4</v>
          </cell>
        </row>
        <row r="339">
          <cell r="AQ339">
            <v>419.13</v>
          </cell>
          <cell r="AY339">
            <v>0</v>
          </cell>
          <cell r="AZ339">
            <v>1</v>
          </cell>
          <cell r="BI339">
            <v>6</v>
          </cell>
        </row>
        <row r="340">
          <cell r="AQ340">
            <v>183.86</v>
          </cell>
          <cell r="AY340">
            <v>0.2</v>
          </cell>
          <cell r="AZ340">
            <v>4</v>
          </cell>
          <cell r="BI340">
            <v>3</v>
          </cell>
        </row>
        <row r="341">
          <cell r="AQ341">
            <v>53.87</v>
          </cell>
          <cell r="AY341">
            <v>0</v>
          </cell>
          <cell r="AZ341">
            <v>10</v>
          </cell>
          <cell r="BI341">
            <v>2</v>
          </cell>
        </row>
        <row r="342">
          <cell r="AQ342">
            <v>427.82</v>
          </cell>
          <cell r="AY342">
            <v>0.1111111111111111</v>
          </cell>
          <cell r="AZ342">
            <v>2</v>
          </cell>
          <cell r="BI342">
            <v>14</v>
          </cell>
        </row>
        <row r="343">
          <cell r="AQ343">
            <v>282.82</v>
          </cell>
          <cell r="AY343">
            <v>0.33333333333333331</v>
          </cell>
          <cell r="AZ343">
            <v>7</v>
          </cell>
          <cell r="BI343">
            <v>3</v>
          </cell>
        </row>
        <row r="344">
          <cell r="AQ344">
            <v>215.31</v>
          </cell>
          <cell r="AY344">
            <v>0.14285714285714285</v>
          </cell>
          <cell r="AZ344">
            <v>8</v>
          </cell>
          <cell r="BI344">
            <v>7</v>
          </cell>
        </row>
        <row r="345">
          <cell r="AQ345">
            <v>183.66</v>
          </cell>
          <cell r="AY345">
            <v>0</v>
          </cell>
          <cell r="AZ345">
            <v>10</v>
          </cell>
          <cell r="BI345">
            <v>6</v>
          </cell>
        </row>
        <row r="346">
          <cell r="AQ346">
            <v>198.73</v>
          </cell>
          <cell r="AY346">
            <v>0.1</v>
          </cell>
          <cell r="AZ346">
            <v>5</v>
          </cell>
          <cell r="BI346">
            <v>4</v>
          </cell>
        </row>
        <row r="347">
          <cell r="AQ347">
            <v>265.72000000000003</v>
          </cell>
          <cell r="AY347">
            <v>0</v>
          </cell>
          <cell r="AZ347">
            <v>9</v>
          </cell>
          <cell r="BI347">
            <v>13</v>
          </cell>
        </row>
        <row r="348">
          <cell r="AQ348">
            <v>138.35</v>
          </cell>
          <cell r="AY348">
            <v>0</v>
          </cell>
          <cell r="AZ348">
            <v>2</v>
          </cell>
          <cell r="BI348">
            <v>8</v>
          </cell>
        </row>
        <row r="349">
          <cell r="AQ349">
            <v>441.87</v>
          </cell>
          <cell r="AY349">
            <v>0</v>
          </cell>
          <cell r="AZ349">
            <v>10</v>
          </cell>
          <cell r="BI349">
            <v>13</v>
          </cell>
        </row>
        <row r="350">
          <cell r="AQ350">
            <v>178.29</v>
          </cell>
          <cell r="AY350">
            <v>0.5</v>
          </cell>
          <cell r="AZ350">
            <v>10</v>
          </cell>
          <cell r="BI350">
            <v>8</v>
          </cell>
        </row>
        <row r="351">
          <cell r="AQ351">
            <v>77.08</v>
          </cell>
          <cell r="AY351">
            <v>0</v>
          </cell>
          <cell r="AZ351">
            <v>8</v>
          </cell>
          <cell r="BI351">
            <v>1</v>
          </cell>
        </row>
        <row r="352">
          <cell r="AQ352">
            <v>266.89999999999998</v>
          </cell>
          <cell r="AY352">
            <v>9.0909090909090912E-2</v>
          </cell>
          <cell r="AZ352">
            <v>8</v>
          </cell>
          <cell r="BI352">
            <v>13</v>
          </cell>
        </row>
        <row r="353">
          <cell r="AQ353">
            <v>269.83999999999997</v>
          </cell>
          <cell r="AY353">
            <v>0.5</v>
          </cell>
          <cell r="AZ353">
            <v>9</v>
          </cell>
          <cell r="BI353">
            <v>2</v>
          </cell>
        </row>
        <row r="354">
          <cell r="AQ354">
            <v>334.22</v>
          </cell>
          <cell r="AY354">
            <v>0.25</v>
          </cell>
          <cell r="AZ354">
            <v>8</v>
          </cell>
          <cell r="BI354">
            <v>1</v>
          </cell>
        </row>
        <row r="355">
          <cell r="AQ355">
            <v>474.56</v>
          </cell>
          <cell r="AY355">
            <v>0.125</v>
          </cell>
          <cell r="AZ355">
            <v>6</v>
          </cell>
          <cell r="BI355">
            <v>12</v>
          </cell>
        </row>
        <row r="356">
          <cell r="AQ356">
            <v>360.91</v>
          </cell>
          <cell r="AY356">
            <v>0</v>
          </cell>
          <cell r="AZ356">
            <v>8</v>
          </cell>
          <cell r="BI356">
            <v>4</v>
          </cell>
        </row>
        <row r="357">
          <cell r="AQ357">
            <v>373.49</v>
          </cell>
          <cell r="AY357">
            <v>0</v>
          </cell>
          <cell r="AZ357">
            <v>10</v>
          </cell>
          <cell r="BI357">
            <v>1</v>
          </cell>
        </row>
        <row r="358">
          <cell r="AQ358">
            <v>462.3</v>
          </cell>
          <cell r="AY358">
            <v>0.4</v>
          </cell>
          <cell r="AZ358">
            <v>4</v>
          </cell>
          <cell r="BI358">
            <v>4</v>
          </cell>
        </row>
        <row r="359">
          <cell r="AQ359">
            <v>332.67</v>
          </cell>
          <cell r="AY359">
            <v>0.125</v>
          </cell>
          <cell r="AZ359">
            <v>2</v>
          </cell>
          <cell r="BI359">
            <v>4</v>
          </cell>
        </row>
        <row r="360">
          <cell r="AQ360">
            <v>235.39</v>
          </cell>
          <cell r="AY360">
            <v>0</v>
          </cell>
          <cell r="AZ360">
            <v>6</v>
          </cell>
          <cell r="BI360">
            <v>6</v>
          </cell>
        </row>
        <row r="361">
          <cell r="AQ361">
            <v>269.77999999999997</v>
          </cell>
          <cell r="AY361">
            <v>0.2857142857142857</v>
          </cell>
          <cell r="AZ361">
            <v>7</v>
          </cell>
          <cell r="BI361">
            <v>5</v>
          </cell>
        </row>
        <row r="362">
          <cell r="AQ362">
            <v>498.33</v>
          </cell>
          <cell r="AY362">
            <v>0.5</v>
          </cell>
          <cell r="AZ362">
            <v>9</v>
          </cell>
          <cell r="BI362">
            <v>1</v>
          </cell>
        </row>
        <row r="363">
          <cell r="AQ363">
            <v>182.94</v>
          </cell>
          <cell r="AY363">
            <v>0.2857142857142857</v>
          </cell>
          <cell r="AZ363">
            <v>7</v>
          </cell>
          <cell r="BI363">
            <v>12</v>
          </cell>
        </row>
        <row r="364">
          <cell r="AQ364">
            <v>121.7</v>
          </cell>
          <cell r="AY364">
            <v>0.2857142857142857</v>
          </cell>
          <cell r="AZ364">
            <v>5</v>
          </cell>
          <cell r="BI364">
            <v>8</v>
          </cell>
        </row>
        <row r="365">
          <cell r="AQ365">
            <v>489.27</v>
          </cell>
          <cell r="AY365">
            <v>0.25</v>
          </cell>
          <cell r="AZ365">
            <v>3</v>
          </cell>
          <cell r="BI365">
            <v>3</v>
          </cell>
        </row>
        <row r="366">
          <cell r="AQ366">
            <v>303.93</v>
          </cell>
          <cell r="AY366">
            <v>0.16666666666666666</v>
          </cell>
          <cell r="AZ366">
            <v>10</v>
          </cell>
          <cell r="BI366">
            <v>2</v>
          </cell>
        </row>
        <row r="367">
          <cell r="AQ367">
            <v>302.74</v>
          </cell>
          <cell r="AY367">
            <v>0</v>
          </cell>
          <cell r="AZ367">
            <v>6</v>
          </cell>
          <cell r="BI367">
            <v>5</v>
          </cell>
        </row>
        <row r="368">
          <cell r="AQ368">
            <v>157.21</v>
          </cell>
          <cell r="AY368">
            <v>0</v>
          </cell>
          <cell r="AZ368">
            <v>3</v>
          </cell>
          <cell r="BI368">
            <v>5</v>
          </cell>
        </row>
        <row r="369">
          <cell r="AQ369">
            <v>159.44999999999999</v>
          </cell>
          <cell r="AY369">
            <v>0</v>
          </cell>
          <cell r="AZ369">
            <v>5</v>
          </cell>
          <cell r="BI369">
            <v>14</v>
          </cell>
        </row>
        <row r="370">
          <cell r="AQ370">
            <v>312.93</v>
          </cell>
          <cell r="AY370">
            <v>0</v>
          </cell>
          <cell r="AZ370">
            <v>7</v>
          </cell>
          <cell r="BI370">
            <v>3</v>
          </cell>
        </row>
        <row r="371">
          <cell r="AQ371">
            <v>65.680000000000007</v>
          </cell>
          <cell r="AY371">
            <v>0</v>
          </cell>
          <cell r="AZ371">
            <v>8</v>
          </cell>
          <cell r="BI371">
            <v>12</v>
          </cell>
        </row>
        <row r="372">
          <cell r="AQ372">
            <v>61.86</v>
          </cell>
          <cell r="AY372">
            <v>0.4</v>
          </cell>
          <cell r="AZ372">
            <v>8</v>
          </cell>
          <cell r="BI372">
            <v>9</v>
          </cell>
        </row>
        <row r="373">
          <cell r="AQ373">
            <v>343.77</v>
          </cell>
          <cell r="AY373">
            <v>0.33333333333333331</v>
          </cell>
          <cell r="AZ373">
            <v>4</v>
          </cell>
          <cell r="BI373">
            <v>3</v>
          </cell>
        </row>
        <row r="374">
          <cell r="AQ374">
            <v>107.21</v>
          </cell>
          <cell r="AY374">
            <v>1</v>
          </cell>
          <cell r="AZ374">
            <v>9</v>
          </cell>
          <cell r="BI374">
            <v>6</v>
          </cell>
        </row>
        <row r="375">
          <cell r="AQ375">
            <v>148.97999999999999</v>
          </cell>
          <cell r="AY375">
            <v>0</v>
          </cell>
          <cell r="AZ375">
            <v>8</v>
          </cell>
          <cell r="BI375">
            <v>13</v>
          </cell>
        </row>
        <row r="376">
          <cell r="AQ376">
            <v>490.41</v>
          </cell>
          <cell r="AY376">
            <v>0</v>
          </cell>
          <cell r="AZ376">
            <v>2</v>
          </cell>
          <cell r="BI376">
            <v>3</v>
          </cell>
        </row>
        <row r="377">
          <cell r="AQ377">
            <v>461.34</v>
          </cell>
          <cell r="AY377">
            <v>0.25</v>
          </cell>
          <cell r="AZ377">
            <v>9</v>
          </cell>
          <cell r="BI377">
            <v>7</v>
          </cell>
        </row>
        <row r="378">
          <cell r="AQ378">
            <v>338.89</v>
          </cell>
          <cell r="AY378">
            <v>0.2857142857142857</v>
          </cell>
          <cell r="AZ378">
            <v>6</v>
          </cell>
          <cell r="BI378">
            <v>3</v>
          </cell>
        </row>
        <row r="379">
          <cell r="AQ379">
            <v>222.63</v>
          </cell>
          <cell r="AY379">
            <v>0.66666666666666663</v>
          </cell>
          <cell r="AZ379">
            <v>2</v>
          </cell>
          <cell r="BI379">
            <v>6</v>
          </cell>
        </row>
        <row r="380">
          <cell r="AQ380">
            <v>71.95</v>
          </cell>
          <cell r="AY380">
            <v>1</v>
          </cell>
          <cell r="AZ380">
            <v>10</v>
          </cell>
          <cell r="BI380">
            <v>13</v>
          </cell>
        </row>
        <row r="381">
          <cell r="AQ381">
            <v>264.52</v>
          </cell>
          <cell r="AY381">
            <v>0</v>
          </cell>
          <cell r="AZ381">
            <v>10</v>
          </cell>
          <cell r="BI381">
            <v>6</v>
          </cell>
        </row>
        <row r="382">
          <cell r="AQ382">
            <v>414.8</v>
          </cell>
          <cell r="AY382">
            <v>0.22222222222222221</v>
          </cell>
          <cell r="AZ382">
            <v>9</v>
          </cell>
          <cell r="BI382">
            <v>7</v>
          </cell>
        </row>
        <row r="383">
          <cell r="AQ383">
            <v>50.79</v>
          </cell>
          <cell r="AY383">
            <v>0</v>
          </cell>
          <cell r="AZ383">
            <v>2</v>
          </cell>
          <cell r="BI383">
            <v>3</v>
          </cell>
        </row>
        <row r="384">
          <cell r="AQ384">
            <v>264.3</v>
          </cell>
          <cell r="AY384">
            <v>0.2</v>
          </cell>
          <cell r="AZ384">
            <v>2</v>
          </cell>
          <cell r="BI384">
            <v>5</v>
          </cell>
        </row>
        <row r="385">
          <cell r="AQ385">
            <v>122.46</v>
          </cell>
          <cell r="AY385">
            <v>0</v>
          </cell>
          <cell r="AZ385">
            <v>3</v>
          </cell>
          <cell r="BI385">
            <v>6</v>
          </cell>
        </row>
        <row r="386">
          <cell r="AQ386">
            <v>238.01</v>
          </cell>
          <cell r="AY386">
            <v>0</v>
          </cell>
          <cell r="AZ386">
            <v>9</v>
          </cell>
          <cell r="BI386">
            <v>5</v>
          </cell>
        </row>
        <row r="387">
          <cell r="AQ387">
            <v>490.34</v>
          </cell>
          <cell r="AY387">
            <v>0.5</v>
          </cell>
          <cell r="AZ387">
            <v>7</v>
          </cell>
          <cell r="BI387">
            <v>2</v>
          </cell>
        </row>
        <row r="388">
          <cell r="AQ388">
            <v>245.98</v>
          </cell>
          <cell r="AY388">
            <v>0</v>
          </cell>
          <cell r="AZ388">
            <v>1</v>
          </cell>
          <cell r="BI388">
            <v>10</v>
          </cell>
        </row>
        <row r="389">
          <cell r="AQ389">
            <v>390.83</v>
          </cell>
          <cell r="AY389">
            <v>0</v>
          </cell>
          <cell r="AZ389">
            <v>5</v>
          </cell>
          <cell r="BI389">
            <v>8</v>
          </cell>
        </row>
        <row r="390">
          <cell r="AQ390">
            <v>158.84</v>
          </cell>
          <cell r="AY390">
            <v>0.16666666666666666</v>
          </cell>
          <cell r="AZ390">
            <v>8</v>
          </cell>
          <cell r="BI390">
            <v>5</v>
          </cell>
        </row>
        <row r="391">
          <cell r="AQ391">
            <v>439.24</v>
          </cell>
          <cell r="AY391">
            <v>0.25</v>
          </cell>
          <cell r="AZ391">
            <v>9</v>
          </cell>
          <cell r="BI391">
            <v>10</v>
          </cell>
        </row>
        <row r="392">
          <cell r="AQ392">
            <v>92.43</v>
          </cell>
          <cell r="AY392">
            <v>0.16666666666666666</v>
          </cell>
          <cell r="AZ392">
            <v>9</v>
          </cell>
          <cell r="BI392">
            <v>6</v>
          </cell>
        </row>
        <row r="393">
          <cell r="AQ393">
            <v>333.15</v>
          </cell>
          <cell r="AY393">
            <v>0.1111111111111111</v>
          </cell>
          <cell r="AZ393">
            <v>8</v>
          </cell>
          <cell r="BI393">
            <v>14</v>
          </cell>
        </row>
        <row r="394">
          <cell r="AQ394">
            <v>64.22</v>
          </cell>
          <cell r="AY394">
            <v>0.1111111111111111</v>
          </cell>
          <cell r="AZ394">
            <v>9</v>
          </cell>
          <cell r="BI394">
            <v>10</v>
          </cell>
        </row>
        <row r="395">
          <cell r="AQ395">
            <v>290.52999999999997</v>
          </cell>
          <cell r="AY395">
            <v>0</v>
          </cell>
          <cell r="AZ395">
            <v>6</v>
          </cell>
          <cell r="BI395">
            <v>10</v>
          </cell>
        </row>
        <row r="396">
          <cell r="AQ396">
            <v>251.8</v>
          </cell>
          <cell r="AY396">
            <v>0.16666666666666666</v>
          </cell>
          <cell r="AZ396">
            <v>8</v>
          </cell>
          <cell r="BI396">
            <v>11</v>
          </cell>
        </row>
        <row r="397">
          <cell r="AQ397">
            <v>480.52</v>
          </cell>
          <cell r="AY397">
            <v>0.33333333333333331</v>
          </cell>
          <cell r="AZ397">
            <v>5</v>
          </cell>
          <cell r="BI397">
            <v>13</v>
          </cell>
        </row>
        <row r="398">
          <cell r="AQ398">
            <v>461.71</v>
          </cell>
          <cell r="AY398">
            <v>0</v>
          </cell>
          <cell r="AZ398">
            <v>9</v>
          </cell>
          <cell r="BI398">
            <v>11</v>
          </cell>
        </row>
        <row r="399">
          <cell r="AQ399">
            <v>288.33999999999997</v>
          </cell>
          <cell r="AY399">
            <v>0</v>
          </cell>
          <cell r="AZ399">
            <v>8</v>
          </cell>
          <cell r="BI399">
            <v>6</v>
          </cell>
        </row>
        <row r="400">
          <cell r="AQ400">
            <v>194.08</v>
          </cell>
          <cell r="AY400">
            <v>0</v>
          </cell>
          <cell r="AZ400">
            <v>2</v>
          </cell>
          <cell r="BI400">
            <v>13</v>
          </cell>
        </row>
        <row r="401">
          <cell r="AQ401">
            <v>198.45</v>
          </cell>
          <cell r="AY401">
            <v>0.18181818181818182</v>
          </cell>
          <cell r="AZ401">
            <v>8</v>
          </cell>
          <cell r="BI401">
            <v>5</v>
          </cell>
        </row>
        <row r="402">
          <cell r="AQ402">
            <v>216.45</v>
          </cell>
          <cell r="AY402">
            <v>0.4</v>
          </cell>
          <cell r="AZ402">
            <v>7</v>
          </cell>
          <cell r="BI402">
            <v>3</v>
          </cell>
        </row>
        <row r="403">
          <cell r="AQ403">
            <v>358.72</v>
          </cell>
          <cell r="AY403">
            <v>0</v>
          </cell>
          <cell r="AZ403">
            <v>8</v>
          </cell>
          <cell r="BI403">
            <v>12</v>
          </cell>
        </row>
        <row r="404">
          <cell r="AQ404">
            <v>367.56</v>
          </cell>
          <cell r="AY404">
            <v>0</v>
          </cell>
          <cell r="AZ404">
            <v>8</v>
          </cell>
          <cell r="BI404">
            <v>14</v>
          </cell>
        </row>
        <row r="405">
          <cell r="AQ405">
            <v>88.78</v>
          </cell>
          <cell r="AY405">
            <v>0.1</v>
          </cell>
          <cell r="AZ405">
            <v>7</v>
          </cell>
          <cell r="BI405">
            <v>13</v>
          </cell>
        </row>
        <row r="406">
          <cell r="AQ406">
            <v>465.85</v>
          </cell>
          <cell r="AY406">
            <v>0.2</v>
          </cell>
          <cell r="AZ406">
            <v>10</v>
          </cell>
          <cell r="BI406">
            <v>7</v>
          </cell>
        </row>
        <row r="407">
          <cell r="AQ407">
            <v>262.61</v>
          </cell>
          <cell r="AY407">
            <v>0</v>
          </cell>
          <cell r="AZ407">
            <v>10</v>
          </cell>
          <cell r="BI407">
            <v>6</v>
          </cell>
        </row>
        <row r="408">
          <cell r="AQ408">
            <v>91.24</v>
          </cell>
          <cell r="AY408">
            <v>0</v>
          </cell>
          <cell r="AZ408">
            <v>4</v>
          </cell>
          <cell r="BI408">
            <v>4</v>
          </cell>
        </row>
        <row r="409">
          <cell r="AQ409">
            <v>425.69</v>
          </cell>
          <cell r="AY409">
            <v>0</v>
          </cell>
          <cell r="AZ409">
            <v>4</v>
          </cell>
          <cell r="BI409">
            <v>4</v>
          </cell>
        </row>
        <row r="410">
          <cell r="AQ410">
            <v>446.11</v>
          </cell>
          <cell r="AY410">
            <v>0</v>
          </cell>
          <cell r="AZ410">
            <v>10</v>
          </cell>
          <cell r="BI410">
            <v>11</v>
          </cell>
        </row>
        <row r="411">
          <cell r="AQ411">
            <v>490.11</v>
          </cell>
          <cell r="AY411">
            <v>0.125</v>
          </cell>
          <cell r="AZ411">
            <v>1</v>
          </cell>
          <cell r="BI411">
            <v>14</v>
          </cell>
        </row>
        <row r="412">
          <cell r="AQ412">
            <v>403.57</v>
          </cell>
          <cell r="AY412">
            <v>0.33333333333333331</v>
          </cell>
          <cell r="AZ412">
            <v>2</v>
          </cell>
          <cell r="BI412">
            <v>1</v>
          </cell>
        </row>
        <row r="413">
          <cell r="AQ413">
            <v>442.15</v>
          </cell>
          <cell r="AY413">
            <v>0.2</v>
          </cell>
          <cell r="AZ413">
            <v>1</v>
          </cell>
          <cell r="BI413">
            <v>9</v>
          </cell>
        </row>
        <row r="414">
          <cell r="AQ414">
            <v>78.709999999999994</v>
          </cell>
          <cell r="AY414">
            <v>0.2</v>
          </cell>
          <cell r="AZ414">
            <v>10</v>
          </cell>
          <cell r="BI414">
            <v>4</v>
          </cell>
        </row>
        <row r="415">
          <cell r="AQ415">
            <v>491.51</v>
          </cell>
          <cell r="AY415">
            <v>0.5</v>
          </cell>
          <cell r="AZ415">
            <v>1</v>
          </cell>
          <cell r="BI415">
            <v>7</v>
          </cell>
        </row>
        <row r="416">
          <cell r="AQ416">
            <v>457.39</v>
          </cell>
          <cell r="AY416">
            <v>8.3333333333333329E-2</v>
          </cell>
          <cell r="AZ416">
            <v>5</v>
          </cell>
          <cell r="BI416">
            <v>9</v>
          </cell>
        </row>
        <row r="417">
          <cell r="AQ417">
            <v>178.61</v>
          </cell>
          <cell r="AY417">
            <v>0</v>
          </cell>
          <cell r="AZ417">
            <v>3</v>
          </cell>
          <cell r="BI417">
            <v>8</v>
          </cell>
        </row>
        <row r="418">
          <cell r="AQ418">
            <v>492.51</v>
          </cell>
          <cell r="AY418">
            <v>0</v>
          </cell>
          <cell r="AZ418">
            <v>2</v>
          </cell>
          <cell r="BI418">
            <v>4</v>
          </cell>
        </row>
        <row r="419">
          <cell r="AQ419">
            <v>411.4</v>
          </cell>
          <cell r="AY419">
            <v>0.66666666666666663</v>
          </cell>
          <cell r="AZ419">
            <v>9</v>
          </cell>
          <cell r="BI419">
            <v>6</v>
          </cell>
        </row>
        <row r="420">
          <cell r="AQ420">
            <v>96.52</v>
          </cell>
          <cell r="AY420">
            <v>9.0909090909090912E-2</v>
          </cell>
          <cell r="AZ420">
            <v>3</v>
          </cell>
          <cell r="BI420">
            <v>11</v>
          </cell>
        </row>
        <row r="421">
          <cell r="AQ421">
            <v>65.45</v>
          </cell>
          <cell r="AY421">
            <v>0</v>
          </cell>
          <cell r="AZ421">
            <v>2</v>
          </cell>
          <cell r="BI421">
            <v>3</v>
          </cell>
        </row>
        <row r="422">
          <cell r="AQ422">
            <v>255.86</v>
          </cell>
          <cell r="AY422">
            <v>0</v>
          </cell>
          <cell r="AZ422">
            <v>1</v>
          </cell>
          <cell r="BI422">
            <v>4</v>
          </cell>
        </row>
        <row r="423">
          <cell r="AQ423">
            <v>74.69</v>
          </cell>
          <cell r="AY423">
            <v>0</v>
          </cell>
          <cell r="AZ423">
            <v>6</v>
          </cell>
          <cell r="BI423">
            <v>3</v>
          </cell>
        </row>
        <row r="424">
          <cell r="AQ424">
            <v>430.75</v>
          </cell>
          <cell r="AY424">
            <v>0.125</v>
          </cell>
          <cell r="AZ424">
            <v>5</v>
          </cell>
          <cell r="BI424">
            <v>6</v>
          </cell>
        </row>
        <row r="425">
          <cell r="AQ425">
            <v>370.17</v>
          </cell>
          <cell r="AY425">
            <v>0.5</v>
          </cell>
          <cell r="AZ425">
            <v>9</v>
          </cell>
          <cell r="BI425">
            <v>1</v>
          </cell>
        </row>
        <row r="426">
          <cell r="AQ426">
            <v>384.26</v>
          </cell>
          <cell r="AY426">
            <v>0</v>
          </cell>
          <cell r="AZ426">
            <v>9</v>
          </cell>
          <cell r="BI426">
            <v>11</v>
          </cell>
        </row>
        <row r="427">
          <cell r="AQ427">
            <v>128.01</v>
          </cell>
          <cell r="AY427">
            <v>0</v>
          </cell>
          <cell r="AZ427">
            <v>1</v>
          </cell>
          <cell r="BI427">
            <v>10</v>
          </cell>
        </row>
        <row r="428">
          <cell r="AQ428">
            <v>301.39999999999998</v>
          </cell>
          <cell r="AY428">
            <v>0</v>
          </cell>
          <cell r="AZ428">
            <v>5</v>
          </cell>
          <cell r="BI428">
            <v>5</v>
          </cell>
        </row>
        <row r="429">
          <cell r="AQ429">
            <v>397.25</v>
          </cell>
          <cell r="AY429">
            <v>0.16666666666666666</v>
          </cell>
          <cell r="AZ429">
            <v>10</v>
          </cell>
          <cell r="BI429">
            <v>2</v>
          </cell>
        </row>
        <row r="430">
          <cell r="AQ430">
            <v>96.18</v>
          </cell>
          <cell r="AY430">
            <v>0.33333333333333331</v>
          </cell>
          <cell r="AZ430">
            <v>9</v>
          </cell>
          <cell r="BI430">
            <v>10</v>
          </cell>
        </row>
        <row r="431">
          <cell r="AQ431">
            <v>390.44</v>
          </cell>
          <cell r="AY431">
            <v>0</v>
          </cell>
          <cell r="AZ431">
            <v>4</v>
          </cell>
          <cell r="BI431">
            <v>4</v>
          </cell>
        </row>
        <row r="432">
          <cell r="AQ432">
            <v>61.5</v>
          </cell>
          <cell r="AY432">
            <v>0</v>
          </cell>
          <cell r="AZ432">
            <v>1</v>
          </cell>
          <cell r="BI432">
            <v>8</v>
          </cell>
        </row>
        <row r="433">
          <cell r="AQ433">
            <v>234.44</v>
          </cell>
          <cell r="AY433">
            <v>0</v>
          </cell>
          <cell r="AZ433">
            <v>1</v>
          </cell>
          <cell r="BI433">
            <v>5</v>
          </cell>
        </row>
        <row r="434">
          <cell r="AQ434">
            <v>318.83999999999997</v>
          </cell>
          <cell r="AY434">
            <v>0</v>
          </cell>
          <cell r="AZ434">
            <v>4</v>
          </cell>
          <cell r="BI434">
            <v>10</v>
          </cell>
        </row>
        <row r="435">
          <cell r="AQ435">
            <v>327.32</v>
          </cell>
          <cell r="AY435">
            <v>0</v>
          </cell>
          <cell r="AZ435">
            <v>4</v>
          </cell>
          <cell r="BI435">
            <v>13</v>
          </cell>
        </row>
        <row r="436">
          <cell r="AQ436">
            <v>475.64</v>
          </cell>
          <cell r="AY436">
            <v>0.33333333333333331</v>
          </cell>
          <cell r="AZ436">
            <v>2</v>
          </cell>
          <cell r="BI436">
            <v>9</v>
          </cell>
        </row>
        <row r="437">
          <cell r="AQ437">
            <v>68.59</v>
          </cell>
          <cell r="AY437">
            <v>0.22222222222222221</v>
          </cell>
          <cell r="AZ437">
            <v>5</v>
          </cell>
          <cell r="BI437">
            <v>5</v>
          </cell>
        </row>
        <row r="438">
          <cell r="AQ438">
            <v>133.04</v>
          </cell>
          <cell r="AY438">
            <v>0.16666666666666666</v>
          </cell>
          <cell r="AZ438">
            <v>6</v>
          </cell>
          <cell r="BI438">
            <v>11</v>
          </cell>
        </row>
        <row r="439">
          <cell r="AQ439">
            <v>196.63</v>
          </cell>
          <cell r="AY439">
            <v>0.1111111111111111</v>
          </cell>
          <cell r="AZ439">
            <v>6</v>
          </cell>
          <cell r="BI439">
            <v>7</v>
          </cell>
        </row>
        <row r="440">
          <cell r="AQ440">
            <v>473.96</v>
          </cell>
          <cell r="AY440">
            <v>0.16666666666666666</v>
          </cell>
          <cell r="AZ440">
            <v>9</v>
          </cell>
          <cell r="BI440">
            <v>14</v>
          </cell>
        </row>
        <row r="441">
          <cell r="AQ441">
            <v>472.52</v>
          </cell>
          <cell r="AY441">
            <v>0.25</v>
          </cell>
          <cell r="AZ441">
            <v>8</v>
          </cell>
          <cell r="BI441">
            <v>14</v>
          </cell>
        </row>
        <row r="442">
          <cell r="AQ442">
            <v>335.8</v>
          </cell>
          <cell r="AY442">
            <v>0.22222222222222221</v>
          </cell>
          <cell r="AZ442">
            <v>7</v>
          </cell>
          <cell r="BI442">
            <v>5</v>
          </cell>
        </row>
        <row r="443">
          <cell r="AQ443">
            <v>85.57</v>
          </cell>
          <cell r="AY443">
            <v>0.16666666666666666</v>
          </cell>
          <cell r="AZ443">
            <v>4</v>
          </cell>
          <cell r="BI443">
            <v>9</v>
          </cell>
        </row>
        <row r="444">
          <cell r="AQ444">
            <v>108.5</v>
          </cell>
          <cell r="AY444">
            <v>9.0909090909090912E-2</v>
          </cell>
          <cell r="AZ444">
            <v>2</v>
          </cell>
          <cell r="BI444">
            <v>10</v>
          </cell>
        </row>
        <row r="445">
          <cell r="AQ445">
            <v>172.5</v>
          </cell>
          <cell r="AY445">
            <v>0</v>
          </cell>
          <cell r="AZ445">
            <v>8</v>
          </cell>
          <cell r="BI445">
            <v>7</v>
          </cell>
        </row>
        <row r="446">
          <cell r="AQ446">
            <v>212.8</v>
          </cell>
          <cell r="AY446">
            <v>0.16666666666666666</v>
          </cell>
          <cell r="AZ446">
            <v>7</v>
          </cell>
          <cell r="BI446">
            <v>1</v>
          </cell>
        </row>
        <row r="447">
          <cell r="AQ447">
            <v>324.41000000000003</v>
          </cell>
          <cell r="AY447">
            <v>0</v>
          </cell>
          <cell r="AZ447">
            <v>5</v>
          </cell>
          <cell r="BI447">
            <v>4</v>
          </cell>
        </row>
        <row r="448">
          <cell r="AQ448">
            <v>342.39</v>
          </cell>
          <cell r="AY448">
            <v>0.25</v>
          </cell>
          <cell r="AZ448">
            <v>3</v>
          </cell>
          <cell r="BI448">
            <v>9</v>
          </cell>
        </row>
        <row r="449">
          <cell r="AQ449">
            <v>446.86</v>
          </cell>
          <cell r="AY449">
            <v>0</v>
          </cell>
          <cell r="AZ449">
            <v>2</v>
          </cell>
          <cell r="BI449">
            <v>5</v>
          </cell>
        </row>
        <row r="450">
          <cell r="AQ450">
            <v>463.15</v>
          </cell>
          <cell r="AY450">
            <v>0.33333333333333331</v>
          </cell>
          <cell r="AZ450">
            <v>9</v>
          </cell>
          <cell r="BI450">
            <v>9</v>
          </cell>
        </row>
        <row r="451">
          <cell r="AQ451">
            <v>122.99</v>
          </cell>
          <cell r="AY451">
            <v>8.3333333333333329E-2</v>
          </cell>
          <cell r="AZ451">
            <v>8</v>
          </cell>
          <cell r="BI451">
            <v>1</v>
          </cell>
        </row>
        <row r="452">
          <cell r="AQ452">
            <v>322.39999999999998</v>
          </cell>
          <cell r="AY452">
            <v>0.2857142857142857</v>
          </cell>
          <cell r="AZ452">
            <v>3</v>
          </cell>
          <cell r="BI452">
            <v>2</v>
          </cell>
        </row>
        <row r="453">
          <cell r="AQ453">
            <v>73.19</v>
          </cell>
          <cell r="AY453">
            <v>0.4</v>
          </cell>
          <cell r="AZ453">
            <v>8</v>
          </cell>
          <cell r="BI453">
            <v>3</v>
          </cell>
        </row>
        <row r="454">
          <cell r="AQ454">
            <v>279.08</v>
          </cell>
          <cell r="AY454">
            <v>0.2</v>
          </cell>
          <cell r="AZ454">
            <v>7</v>
          </cell>
          <cell r="BI454">
            <v>3</v>
          </cell>
        </row>
        <row r="455">
          <cell r="AQ455">
            <v>478.85</v>
          </cell>
          <cell r="AY455">
            <v>0.2</v>
          </cell>
          <cell r="AZ455">
            <v>2</v>
          </cell>
          <cell r="BI455">
            <v>4</v>
          </cell>
        </row>
        <row r="456">
          <cell r="AQ456">
            <v>86.39</v>
          </cell>
          <cell r="AY456">
            <v>0.2</v>
          </cell>
          <cell r="AZ456">
            <v>1</v>
          </cell>
          <cell r="BI456">
            <v>7</v>
          </cell>
        </row>
        <row r="457">
          <cell r="AQ457">
            <v>192.35</v>
          </cell>
          <cell r="AY457">
            <v>0.18181818181818182</v>
          </cell>
          <cell r="AZ457">
            <v>1</v>
          </cell>
          <cell r="BI457">
            <v>11</v>
          </cell>
        </row>
        <row r="458">
          <cell r="AQ458">
            <v>235.32</v>
          </cell>
          <cell r="AY458">
            <v>0.14285714285714285</v>
          </cell>
          <cell r="AZ458">
            <v>10</v>
          </cell>
          <cell r="BI458">
            <v>11</v>
          </cell>
        </row>
        <row r="459">
          <cell r="AQ459">
            <v>212.63</v>
          </cell>
          <cell r="AY459">
            <v>0</v>
          </cell>
          <cell r="AZ459">
            <v>4</v>
          </cell>
          <cell r="BI459">
            <v>6</v>
          </cell>
        </row>
        <row r="460">
          <cell r="AQ460">
            <v>246.63</v>
          </cell>
          <cell r="AY460">
            <v>0.25</v>
          </cell>
          <cell r="AZ460">
            <v>3</v>
          </cell>
          <cell r="BI460">
            <v>10</v>
          </cell>
        </row>
        <row r="461">
          <cell r="AQ461">
            <v>228.47</v>
          </cell>
          <cell r="AY461">
            <v>0.1111111111111111</v>
          </cell>
          <cell r="AZ461">
            <v>7</v>
          </cell>
          <cell r="BI461">
            <v>12</v>
          </cell>
        </row>
        <row r="462">
          <cell r="AQ462">
            <v>343.77</v>
          </cell>
          <cell r="AY462">
            <v>0.33333333333333331</v>
          </cell>
          <cell r="AZ462">
            <v>9</v>
          </cell>
          <cell r="BI462">
            <v>6</v>
          </cell>
        </row>
        <row r="463">
          <cell r="AQ463">
            <v>339.32</v>
          </cell>
          <cell r="AY463">
            <v>0.1111111111111111</v>
          </cell>
          <cell r="AZ463">
            <v>4</v>
          </cell>
          <cell r="BI463">
            <v>7</v>
          </cell>
        </row>
        <row r="464">
          <cell r="AQ464">
            <v>327.05</v>
          </cell>
          <cell r="AY464">
            <v>0.22222222222222221</v>
          </cell>
          <cell r="AZ464">
            <v>3</v>
          </cell>
          <cell r="BI464">
            <v>7</v>
          </cell>
        </row>
        <row r="465">
          <cell r="AQ465">
            <v>334.45</v>
          </cell>
          <cell r="AY465">
            <v>1</v>
          </cell>
          <cell r="AZ465">
            <v>9</v>
          </cell>
          <cell r="BI465">
            <v>6</v>
          </cell>
        </row>
        <row r="466">
          <cell r="AQ466">
            <v>366.16</v>
          </cell>
          <cell r="AY466">
            <v>8.3333333333333329E-2</v>
          </cell>
          <cell r="AZ466">
            <v>5</v>
          </cell>
          <cell r="BI466">
            <v>4</v>
          </cell>
        </row>
        <row r="467">
          <cell r="AQ467">
            <v>481.78</v>
          </cell>
          <cell r="AY467">
            <v>0.25</v>
          </cell>
          <cell r="AZ467">
            <v>4</v>
          </cell>
          <cell r="BI467">
            <v>1</v>
          </cell>
        </row>
        <row r="468">
          <cell r="AQ468">
            <v>131.47999999999999</v>
          </cell>
          <cell r="AY468">
            <v>0.25</v>
          </cell>
          <cell r="AZ468">
            <v>1</v>
          </cell>
          <cell r="BI468">
            <v>12</v>
          </cell>
        </row>
        <row r="469">
          <cell r="AQ469">
            <v>402.86</v>
          </cell>
          <cell r="AY469">
            <v>0</v>
          </cell>
          <cell r="AZ469">
            <v>2</v>
          </cell>
          <cell r="BI469">
            <v>8</v>
          </cell>
        </row>
        <row r="470">
          <cell r="AQ470">
            <v>333.18</v>
          </cell>
          <cell r="AY470">
            <v>0.33333333333333331</v>
          </cell>
          <cell r="AZ470">
            <v>5</v>
          </cell>
          <cell r="BI470">
            <v>8</v>
          </cell>
        </row>
        <row r="471">
          <cell r="AQ471">
            <v>73.23</v>
          </cell>
          <cell r="AY471">
            <v>0.125</v>
          </cell>
          <cell r="AZ471">
            <v>2</v>
          </cell>
          <cell r="BI471">
            <v>6</v>
          </cell>
        </row>
        <row r="472">
          <cell r="AQ472">
            <v>450.47</v>
          </cell>
          <cell r="AY472">
            <v>0.18181818181818182</v>
          </cell>
          <cell r="AZ472">
            <v>3</v>
          </cell>
          <cell r="BI472">
            <v>10</v>
          </cell>
        </row>
        <row r="473">
          <cell r="AQ473">
            <v>175.74</v>
          </cell>
          <cell r="AY473">
            <v>0</v>
          </cell>
          <cell r="AZ473">
            <v>6</v>
          </cell>
          <cell r="BI473">
            <v>6</v>
          </cell>
        </row>
        <row r="474">
          <cell r="AQ474">
            <v>182.6</v>
          </cell>
          <cell r="AY474">
            <v>0.5</v>
          </cell>
          <cell r="AZ474">
            <v>9</v>
          </cell>
          <cell r="BI474">
            <v>5</v>
          </cell>
        </row>
        <row r="475">
          <cell r="AQ475">
            <v>497.8</v>
          </cell>
          <cell r="AY475">
            <v>0.5</v>
          </cell>
          <cell r="AZ475">
            <v>2</v>
          </cell>
          <cell r="BI475">
            <v>9</v>
          </cell>
        </row>
        <row r="476">
          <cell r="AQ476">
            <v>171.17</v>
          </cell>
          <cell r="AY476">
            <v>0</v>
          </cell>
          <cell r="AZ476">
            <v>4</v>
          </cell>
          <cell r="BI476">
            <v>12</v>
          </cell>
        </row>
        <row r="477">
          <cell r="AQ477">
            <v>425.82</v>
          </cell>
          <cell r="AY477">
            <v>0.33333333333333331</v>
          </cell>
          <cell r="AZ477">
            <v>6</v>
          </cell>
          <cell r="BI477">
            <v>11</v>
          </cell>
        </row>
        <row r="478">
          <cell r="AQ478">
            <v>210.58</v>
          </cell>
          <cell r="AY478">
            <v>0.1</v>
          </cell>
          <cell r="AZ478">
            <v>3</v>
          </cell>
          <cell r="BI478">
            <v>8</v>
          </cell>
        </row>
        <row r="479">
          <cell r="AQ479">
            <v>199.64</v>
          </cell>
          <cell r="AY479">
            <v>9.0909090909090912E-2</v>
          </cell>
          <cell r="AZ479">
            <v>5</v>
          </cell>
          <cell r="BI479">
            <v>8</v>
          </cell>
        </row>
        <row r="480">
          <cell r="AQ480">
            <v>162.22</v>
          </cell>
          <cell r="AY480">
            <v>0.1</v>
          </cell>
          <cell r="AZ480">
            <v>1</v>
          </cell>
          <cell r="BI480">
            <v>8</v>
          </cell>
        </row>
        <row r="481">
          <cell r="AQ481">
            <v>401.75</v>
          </cell>
          <cell r="AY481">
            <v>0.125</v>
          </cell>
          <cell r="AZ481">
            <v>8</v>
          </cell>
          <cell r="BI481">
            <v>6</v>
          </cell>
        </row>
        <row r="482">
          <cell r="AQ482">
            <v>365.88</v>
          </cell>
          <cell r="AY482">
            <v>0</v>
          </cell>
          <cell r="AZ482">
            <v>9</v>
          </cell>
          <cell r="BI482">
            <v>7</v>
          </cell>
        </row>
        <row r="483">
          <cell r="AQ483">
            <v>58.29</v>
          </cell>
          <cell r="AY483">
            <v>0.16666666666666666</v>
          </cell>
          <cell r="AZ483">
            <v>7</v>
          </cell>
          <cell r="BI483">
            <v>14</v>
          </cell>
        </row>
        <row r="484">
          <cell r="AQ484">
            <v>66.86</v>
          </cell>
          <cell r="AY484">
            <v>0</v>
          </cell>
          <cell r="AZ484">
            <v>10</v>
          </cell>
          <cell r="BI484">
            <v>9</v>
          </cell>
        </row>
        <row r="485">
          <cell r="AQ485">
            <v>279.33999999999997</v>
          </cell>
          <cell r="AY485">
            <v>0.4</v>
          </cell>
          <cell r="AZ485">
            <v>6</v>
          </cell>
          <cell r="BI485">
            <v>11</v>
          </cell>
        </row>
        <row r="486">
          <cell r="AQ486">
            <v>358.5</v>
          </cell>
          <cell r="AY486">
            <v>0.66666666666666663</v>
          </cell>
          <cell r="AZ486">
            <v>3</v>
          </cell>
          <cell r="BI486">
            <v>8</v>
          </cell>
        </row>
        <row r="487">
          <cell r="AQ487">
            <v>360.92</v>
          </cell>
          <cell r="AY487">
            <v>0</v>
          </cell>
          <cell r="AZ487">
            <v>9</v>
          </cell>
          <cell r="BI487">
            <v>8</v>
          </cell>
        </row>
        <row r="488">
          <cell r="AQ488">
            <v>374.36</v>
          </cell>
          <cell r="AY488">
            <v>0.25</v>
          </cell>
          <cell r="AZ488">
            <v>9</v>
          </cell>
          <cell r="BI488">
            <v>1</v>
          </cell>
        </row>
        <row r="489">
          <cell r="AQ489">
            <v>435.37</v>
          </cell>
          <cell r="AY489">
            <v>0</v>
          </cell>
          <cell r="AZ489">
            <v>3</v>
          </cell>
          <cell r="BI489">
            <v>4</v>
          </cell>
        </row>
        <row r="490">
          <cell r="AQ490">
            <v>459.3</v>
          </cell>
          <cell r="AY490">
            <v>0.22222222222222221</v>
          </cell>
          <cell r="AZ490">
            <v>5</v>
          </cell>
          <cell r="BI490">
            <v>1</v>
          </cell>
        </row>
        <row r="491">
          <cell r="AQ491">
            <v>426.89</v>
          </cell>
          <cell r="AY491">
            <v>0.5</v>
          </cell>
          <cell r="AZ491">
            <v>3</v>
          </cell>
          <cell r="BI491">
            <v>10</v>
          </cell>
        </row>
        <row r="492">
          <cell r="AQ492">
            <v>365.37</v>
          </cell>
          <cell r="AY492">
            <v>0.16666666666666666</v>
          </cell>
          <cell r="AZ492">
            <v>5</v>
          </cell>
          <cell r="BI492">
            <v>7</v>
          </cell>
        </row>
        <row r="493">
          <cell r="AQ493">
            <v>487.25</v>
          </cell>
          <cell r="AY493">
            <v>0</v>
          </cell>
          <cell r="AZ493">
            <v>4</v>
          </cell>
          <cell r="BI493">
            <v>1</v>
          </cell>
        </row>
        <row r="494">
          <cell r="AQ494">
            <v>187.22</v>
          </cell>
          <cell r="AY494">
            <v>0.1</v>
          </cell>
          <cell r="AZ494">
            <v>4</v>
          </cell>
          <cell r="BI494">
            <v>4</v>
          </cell>
        </row>
        <row r="495">
          <cell r="AQ495">
            <v>396.82</v>
          </cell>
          <cell r="AY495">
            <v>0.14285714285714285</v>
          </cell>
          <cell r="AZ495">
            <v>9</v>
          </cell>
          <cell r="BI495">
            <v>9</v>
          </cell>
        </row>
        <row r="496">
          <cell r="AQ496">
            <v>246.74</v>
          </cell>
          <cell r="AY496">
            <v>0.1</v>
          </cell>
          <cell r="AZ496">
            <v>6</v>
          </cell>
          <cell r="BI496">
            <v>8</v>
          </cell>
        </row>
        <row r="497">
          <cell r="AQ497">
            <v>128.74</v>
          </cell>
          <cell r="AY497">
            <v>8.3333333333333329E-2</v>
          </cell>
          <cell r="AZ497">
            <v>8</v>
          </cell>
          <cell r="BI497">
            <v>1</v>
          </cell>
        </row>
        <row r="498">
          <cell r="AQ498">
            <v>339.63</v>
          </cell>
          <cell r="AY498">
            <v>1</v>
          </cell>
          <cell r="AZ498">
            <v>1</v>
          </cell>
          <cell r="BI498">
            <v>6</v>
          </cell>
        </row>
        <row r="499">
          <cell r="AQ499">
            <v>223.58</v>
          </cell>
          <cell r="AY499">
            <v>0</v>
          </cell>
          <cell r="AZ499">
            <v>6</v>
          </cell>
          <cell r="BI499">
            <v>11</v>
          </cell>
        </row>
        <row r="500">
          <cell r="AQ500">
            <v>446.92</v>
          </cell>
          <cell r="AY500">
            <v>0.4</v>
          </cell>
          <cell r="AZ500">
            <v>6</v>
          </cell>
          <cell r="BI500">
            <v>10</v>
          </cell>
        </row>
        <row r="501">
          <cell r="AQ501">
            <v>175.65</v>
          </cell>
          <cell r="AY501">
            <v>9.0909090909090912E-2</v>
          </cell>
          <cell r="AZ501">
            <v>7</v>
          </cell>
          <cell r="BI501">
            <v>8</v>
          </cell>
        </row>
        <row r="502">
          <cell r="AQ502">
            <v>491.49</v>
          </cell>
          <cell r="AY502">
            <v>0.2</v>
          </cell>
          <cell r="AZ502">
            <v>7</v>
          </cell>
          <cell r="BI502">
            <v>1</v>
          </cell>
        </row>
        <row r="503">
          <cell r="AQ503">
            <v>88.4</v>
          </cell>
          <cell r="AY503">
            <v>0</v>
          </cell>
          <cell r="AZ503">
            <v>4</v>
          </cell>
          <cell r="BI503">
            <v>4</v>
          </cell>
        </row>
        <row r="504">
          <cell r="AQ504">
            <v>430.9</v>
          </cell>
          <cell r="AY504">
            <v>0</v>
          </cell>
          <cell r="AZ504">
            <v>6</v>
          </cell>
          <cell r="BI504">
            <v>11</v>
          </cell>
        </row>
        <row r="505">
          <cell r="AQ505">
            <v>435.23</v>
          </cell>
          <cell r="AY505">
            <v>1</v>
          </cell>
          <cell r="AZ505">
            <v>2</v>
          </cell>
          <cell r="BI505">
            <v>13</v>
          </cell>
        </row>
        <row r="506">
          <cell r="AQ506">
            <v>218.65</v>
          </cell>
          <cell r="AY506">
            <v>0</v>
          </cell>
          <cell r="AZ506">
            <v>9</v>
          </cell>
          <cell r="BI506">
            <v>4</v>
          </cell>
        </row>
        <row r="507">
          <cell r="AQ507">
            <v>207.66</v>
          </cell>
          <cell r="AY507">
            <v>0.2</v>
          </cell>
          <cell r="AZ507">
            <v>2</v>
          </cell>
          <cell r="BI507">
            <v>8</v>
          </cell>
        </row>
        <row r="508">
          <cell r="AQ508">
            <v>141.09</v>
          </cell>
          <cell r="AY508">
            <v>0.2857142857142857</v>
          </cell>
          <cell r="AZ508">
            <v>3</v>
          </cell>
          <cell r="BI508">
            <v>1</v>
          </cell>
        </row>
        <row r="509">
          <cell r="AQ509">
            <v>142.69999999999999</v>
          </cell>
          <cell r="AY509">
            <v>0</v>
          </cell>
          <cell r="AZ509">
            <v>4</v>
          </cell>
          <cell r="BI509">
            <v>11</v>
          </cell>
        </row>
        <row r="510">
          <cell r="AQ510">
            <v>64.09</v>
          </cell>
          <cell r="AY510">
            <v>0</v>
          </cell>
          <cell r="AZ510">
            <v>6</v>
          </cell>
          <cell r="BI510">
            <v>7</v>
          </cell>
        </row>
        <row r="511">
          <cell r="AQ511">
            <v>126.26</v>
          </cell>
          <cell r="AY511">
            <v>0.5</v>
          </cell>
          <cell r="AZ511">
            <v>6</v>
          </cell>
          <cell r="BI511">
            <v>13</v>
          </cell>
        </row>
        <row r="512">
          <cell r="AQ512">
            <v>195.05</v>
          </cell>
          <cell r="AY512">
            <v>0</v>
          </cell>
          <cell r="AZ512">
            <v>10</v>
          </cell>
          <cell r="BI512">
            <v>11</v>
          </cell>
        </row>
        <row r="513">
          <cell r="AQ513">
            <v>432.84</v>
          </cell>
          <cell r="AY513">
            <v>0</v>
          </cell>
          <cell r="AZ513">
            <v>1</v>
          </cell>
          <cell r="BI513">
            <v>4</v>
          </cell>
        </row>
        <row r="514">
          <cell r="AQ514">
            <v>404.12</v>
          </cell>
          <cell r="AY514">
            <v>0</v>
          </cell>
          <cell r="AZ514">
            <v>4</v>
          </cell>
          <cell r="BI514">
            <v>11</v>
          </cell>
        </row>
        <row r="515">
          <cell r="AQ515">
            <v>438.26</v>
          </cell>
          <cell r="AY515">
            <v>0.1</v>
          </cell>
          <cell r="AZ515">
            <v>3</v>
          </cell>
          <cell r="BI515">
            <v>10</v>
          </cell>
        </row>
        <row r="516">
          <cell r="AQ516">
            <v>233.02</v>
          </cell>
          <cell r="AY516">
            <v>0</v>
          </cell>
          <cell r="AZ516">
            <v>3</v>
          </cell>
          <cell r="BI516">
            <v>8</v>
          </cell>
        </row>
        <row r="517">
          <cell r="AQ517">
            <v>273.41000000000003</v>
          </cell>
          <cell r="AY517">
            <v>0</v>
          </cell>
          <cell r="AZ517">
            <v>9</v>
          </cell>
          <cell r="BI517">
            <v>2</v>
          </cell>
        </row>
        <row r="518">
          <cell r="AQ518">
            <v>338.96</v>
          </cell>
          <cell r="AY518">
            <v>0.1</v>
          </cell>
          <cell r="AZ518">
            <v>9</v>
          </cell>
          <cell r="BI518">
            <v>4</v>
          </cell>
        </row>
        <row r="519">
          <cell r="AQ519">
            <v>75.91</v>
          </cell>
          <cell r="AY519">
            <v>0</v>
          </cell>
          <cell r="AZ519">
            <v>6</v>
          </cell>
          <cell r="BI519">
            <v>1</v>
          </cell>
        </row>
        <row r="520">
          <cell r="AQ520">
            <v>425.21</v>
          </cell>
          <cell r="AY520">
            <v>0</v>
          </cell>
          <cell r="AZ520">
            <v>4</v>
          </cell>
          <cell r="BI520">
            <v>12</v>
          </cell>
        </row>
        <row r="521">
          <cell r="AQ521">
            <v>268.8</v>
          </cell>
          <cell r="AY521">
            <v>0.5</v>
          </cell>
          <cell r="AZ521">
            <v>7</v>
          </cell>
          <cell r="BI521">
            <v>12</v>
          </cell>
        </row>
        <row r="522">
          <cell r="AQ522">
            <v>170.71</v>
          </cell>
          <cell r="AY522">
            <v>0.1</v>
          </cell>
          <cell r="AZ522">
            <v>9</v>
          </cell>
          <cell r="BI522">
            <v>7</v>
          </cell>
        </row>
        <row r="523">
          <cell r="AQ523">
            <v>444.05</v>
          </cell>
          <cell r="AY523">
            <v>0.1</v>
          </cell>
          <cell r="AZ523">
            <v>8</v>
          </cell>
          <cell r="BI523">
            <v>8</v>
          </cell>
        </row>
        <row r="524">
          <cell r="AQ524">
            <v>255.1</v>
          </cell>
          <cell r="AY524">
            <v>0.2</v>
          </cell>
          <cell r="AZ524">
            <v>1</v>
          </cell>
          <cell r="BI524">
            <v>14</v>
          </cell>
        </row>
        <row r="525">
          <cell r="AQ525">
            <v>236.44</v>
          </cell>
          <cell r="AY525">
            <v>0.33333333333333331</v>
          </cell>
          <cell r="AZ525">
            <v>2</v>
          </cell>
          <cell r="BI525">
            <v>6</v>
          </cell>
        </row>
        <row r="526">
          <cell r="AQ526">
            <v>201.69</v>
          </cell>
          <cell r="AY526">
            <v>0.18181818181818182</v>
          </cell>
          <cell r="AZ526">
            <v>8</v>
          </cell>
          <cell r="BI526">
            <v>3</v>
          </cell>
        </row>
        <row r="527">
          <cell r="AQ527">
            <v>390.51</v>
          </cell>
          <cell r="AY527">
            <v>0</v>
          </cell>
          <cell r="AZ527">
            <v>2</v>
          </cell>
          <cell r="BI527">
            <v>6</v>
          </cell>
        </row>
        <row r="528">
          <cell r="AQ528">
            <v>442.29</v>
          </cell>
          <cell r="AY528">
            <v>0.1111111111111111</v>
          </cell>
          <cell r="AZ528">
            <v>2</v>
          </cell>
          <cell r="BI528">
            <v>13</v>
          </cell>
        </row>
        <row r="529">
          <cell r="AQ529">
            <v>89.6</v>
          </cell>
          <cell r="AY529">
            <v>0.14285714285714285</v>
          </cell>
          <cell r="AZ529">
            <v>5</v>
          </cell>
          <cell r="BI529">
            <v>8</v>
          </cell>
        </row>
        <row r="530">
          <cell r="AQ530">
            <v>166.74</v>
          </cell>
          <cell r="AY530">
            <v>0</v>
          </cell>
          <cell r="AZ530">
            <v>6</v>
          </cell>
          <cell r="BI530">
            <v>1</v>
          </cell>
        </row>
        <row r="531">
          <cell r="AQ531">
            <v>299.27999999999997</v>
          </cell>
          <cell r="AY531">
            <v>0</v>
          </cell>
          <cell r="AZ531">
            <v>9</v>
          </cell>
          <cell r="BI531">
            <v>3</v>
          </cell>
        </row>
        <row r="532">
          <cell r="AQ532">
            <v>404.57</v>
          </cell>
          <cell r="AY532">
            <v>0.4</v>
          </cell>
          <cell r="AZ532">
            <v>7</v>
          </cell>
          <cell r="BI532">
            <v>14</v>
          </cell>
        </row>
        <row r="533">
          <cell r="AQ533">
            <v>344.81</v>
          </cell>
          <cell r="AY533">
            <v>0.1</v>
          </cell>
          <cell r="AZ533">
            <v>9</v>
          </cell>
          <cell r="BI533">
            <v>14</v>
          </cell>
        </row>
        <row r="534">
          <cell r="AQ534">
            <v>217.84</v>
          </cell>
          <cell r="AY534">
            <v>0</v>
          </cell>
          <cell r="AZ534">
            <v>8</v>
          </cell>
          <cell r="BI534">
            <v>11</v>
          </cell>
        </row>
        <row r="535">
          <cell r="AQ535">
            <v>445.34</v>
          </cell>
          <cell r="AY535">
            <v>0.1111111111111111</v>
          </cell>
          <cell r="AZ535">
            <v>3</v>
          </cell>
          <cell r="BI535">
            <v>3</v>
          </cell>
        </row>
        <row r="536">
          <cell r="AQ536">
            <v>151.72999999999999</v>
          </cell>
          <cell r="AY536">
            <v>0.33333333333333331</v>
          </cell>
          <cell r="AZ536">
            <v>3</v>
          </cell>
          <cell r="BI536">
            <v>11</v>
          </cell>
        </row>
        <row r="537">
          <cell r="AQ537">
            <v>123.73</v>
          </cell>
          <cell r="AY537">
            <v>0.22222222222222221</v>
          </cell>
          <cell r="AZ537">
            <v>5</v>
          </cell>
          <cell r="BI537">
            <v>10</v>
          </cell>
        </row>
        <row r="538">
          <cell r="AQ538">
            <v>370.54</v>
          </cell>
          <cell r="AY538">
            <v>0.5</v>
          </cell>
          <cell r="AZ538">
            <v>9</v>
          </cell>
          <cell r="BI538">
            <v>7</v>
          </cell>
        </row>
        <row r="539">
          <cell r="AQ539">
            <v>152.87</v>
          </cell>
          <cell r="AY539">
            <v>0.33333333333333331</v>
          </cell>
          <cell r="AZ539">
            <v>8</v>
          </cell>
          <cell r="BI539">
            <v>11</v>
          </cell>
        </row>
        <row r="540">
          <cell r="AQ540">
            <v>295.75</v>
          </cell>
          <cell r="AY540">
            <v>0.25</v>
          </cell>
          <cell r="AZ540">
            <v>10</v>
          </cell>
          <cell r="BI540">
            <v>8</v>
          </cell>
        </row>
        <row r="541">
          <cell r="AQ541">
            <v>358.11</v>
          </cell>
          <cell r="AY541">
            <v>0</v>
          </cell>
          <cell r="AZ541">
            <v>3</v>
          </cell>
          <cell r="BI541">
            <v>11</v>
          </cell>
        </row>
        <row r="542">
          <cell r="AQ542">
            <v>63.6</v>
          </cell>
          <cell r="AY542">
            <v>0.16666666666666666</v>
          </cell>
          <cell r="AZ542">
            <v>1</v>
          </cell>
          <cell r="BI542">
            <v>6</v>
          </cell>
        </row>
        <row r="543">
          <cell r="AQ543">
            <v>419.53</v>
          </cell>
          <cell r="AY543">
            <v>0.66666666666666663</v>
          </cell>
          <cell r="AZ543">
            <v>10</v>
          </cell>
          <cell r="BI543">
            <v>6</v>
          </cell>
        </row>
        <row r="544">
          <cell r="AQ544">
            <v>491.92</v>
          </cell>
          <cell r="AY544">
            <v>0.1</v>
          </cell>
          <cell r="AZ544">
            <v>1</v>
          </cell>
          <cell r="BI544">
            <v>2</v>
          </cell>
        </row>
        <row r="545">
          <cell r="AQ545">
            <v>114.44</v>
          </cell>
          <cell r="AY545">
            <v>0.25</v>
          </cell>
          <cell r="AZ545">
            <v>9</v>
          </cell>
          <cell r="BI545">
            <v>1</v>
          </cell>
        </row>
        <row r="546">
          <cell r="AQ546">
            <v>388.82</v>
          </cell>
          <cell r="AY546">
            <v>0</v>
          </cell>
          <cell r="AZ546">
            <v>8</v>
          </cell>
          <cell r="BI546">
            <v>6</v>
          </cell>
        </row>
        <row r="547">
          <cell r="AQ547">
            <v>58.32</v>
          </cell>
          <cell r="AY547">
            <v>0.14285714285714285</v>
          </cell>
          <cell r="AZ547">
            <v>6</v>
          </cell>
          <cell r="BI547">
            <v>8</v>
          </cell>
        </row>
        <row r="548">
          <cell r="AQ548">
            <v>464.76</v>
          </cell>
          <cell r="AY548">
            <v>0</v>
          </cell>
          <cell r="AZ548">
            <v>3</v>
          </cell>
          <cell r="BI548">
            <v>3</v>
          </cell>
        </row>
        <row r="549">
          <cell r="AQ549">
            <v>116.92</v>
          </cell>
          <cell r="AY549">
            <v>0.2857142857142857</v>
          </cell>
          <cell r="AZ549">
            <v>3</v>
          </cell>
          <cell r="BI549">
            <v>14</v>
          </cell>
        </row>
        <row r="550">
          <cell r="AQ550">
            <v>396.76</v>
          </cell>
          <cell r="AY550">
            <v>0.25</v>
          </cell>
          <cell r="AZ550">
            <v>4</v>
          </cell>
          <cell r="BI550">
            <v>8</v>
          </cell>
        </row>
        <row r="551">
          <cell r="AQ551">
            <v>393.35</v>
          </cell>
          <cell r="AY551">
            <v>0</v>
          </cell>
          <cell r="AZ551">
            <v>4</v>
          </cell>
          <cell r="BI551">
            <v>12</v>
          </cell>
        </row>
        <row r="552">
          <cell r="AQ552">
            <v>114.03</v>
          </cell>
          <cell r="AY552">
            <v>0.14285714285714285</v>
          </cell>
          <cell r="AZ552">
            <v>10</v>
          </cell>
          <cell r="BI552">
            <v>6</v>
          </cell>
        </row>
        <row r="553">
          <cell r="AQ553">
            <v>109.97</v>
          </cell>
          <cell r="AY553">
            <v>0.25</v>
          </cell>
          <cell r="AZ553">
            <v>5</v>
          </cell>
          <cell r="BI553">
            <v>1</v>
          </cell>
        </row>
        <row r="554">
          <cell r="AQ554">
            <v>310.23</v>
          </cell>
          <cell r="AY554">
            <v>0</v>
          </cell>
          <cell r="AZ554">
            <v>6</v>
          </cell>
          <cell r="BI554">
            <v>3</v>
          </cell>
        </row>
        <row r="555">
          <cell r="AQ555">
            <v>383.13</v>
          </cell>
          <cell r="AY555">
            <v>0.66666666666666663</v>
          </cell>
          <cell r="AZ555">
            <v>6</v>
          </cell>
          <cell r="BI555">
            <v>7</v>
          </cell>
        </row>
        <row r="556">
          <cell r="AQ556">
            <v>434.86</v>
          </cell>
          <cell r="AY556">
            <v>0</v>
          </cell>
          <cell r="AZ556">
            <v>4</v>
          </cell>
          <cell r="BI556">
            <v>11</v>
          </cell>
        </row>
        <row r="557">
          <cell r="AQ557">
            <v>489.1</v>
          </cell>
          <cell r="AY557">
            <v>0.22222222222222221</v>
          </cell>
          <cell r="AZ557">
            <v>4</v>
          </cell>
          <cell r="BI557">
            <v>13</v>
          </cell>
        </row>
        <row r="558">
          <cell r="AQ558">
            <v>288.14999999999998</v>
          </cell>
          <cell r="AY558">
            <v>0.33333333333333331</v>
          </cell>
          <cell r="AZ558">
            <v>4</v>
          </cell>
          <cell r="BI558">
            <v>13</v>
          </cell>
        </row>
        <row r="559">
          <cell r="AQ559">
            <v>105.87</v>
          </cell>
          <cell r="AY559">
            <v>8.3333333333333329E-2</v>
          </cell>
          <cell r="AZ559">
            <v>1</v>
          </cell>
          <cell r="BI559">
            <v>4</v>
          </cell>
        </row>
        <row r="560">
          <cell r="AQ560">
            <v>163.4</v>
          </cell>
          <cell r="AY560">
            <v>0.66666666666666663</v>
          </cell>
          <cell r="AZ560">
            <v>10</v>
          </cell>
          <cell r="BI560">
            <v>7</v>
          </cell>
        </row>
        <row r="561">
          <cell r="AQ561">
            <v>422.92</v>
          </cell>
          <cell r="AY561">
            <v>0</v>
          </cell>
          <cell r="AZ561">
            <v>6</v>
          </cell>
          <cell r="BI561">
            <v>6</v>
          </cell>
        </row>
        <row r="562">
          <cell r="AQ562">
            <v>361.48</v>
          </cell>
          <cell r="AY562">
            <v>0.2</v>
          </cell>
          <cell r="AZ562">
            <v>9</v>
          </cell>
          <cell r="BI562">
            <v>13</v>
          </cell>
        </row>
        <row r="563">
          <cell r="AQ563">
            <v>270.82</v>
          </cell>
          <cell r="AY563">
            <v>0.5</v>
          </cell>
          <cell r="AZ563">
            <v>8</v>
          </cell>
          <cell r="BI563">
            <v>13</v>
          </cell>
        </row>
        <row r="564">
          <cell r="AQ564">
            <v>372.26</v>
          </cell>
          <cell r="AY564">
            <v>9.0909090909090912E-2</v>
          </cell>
          <cell r="AZ564">
            <v>8</v>
          </cell>
          <cell r="BI564">
            <v>6</v>
          </cell>
        </row>
        <row r="565">
          <cell r="AQ565">
            <v>208.59</v>
          </cell>
          <cell r="AY565">
            <v>0</v>
          </cell>
          <cell r="AZ565">
            <v>4</v>
          </cell>
          <cell r="BI565">
            <v>1</v>
          </cell>
        </row>
        <row r="566">
          <cell r="AQ566">
            <v>163.22</v>
          </cell>
          <cell r="AY566">
            <v>0.125</v>
          </cell>
          <cell r="AZ566">
            <v>3</v>
          </cell>
          <cell r="BI566">
            <v>8</v>
          </cell>
        </row>
        <row r="567">
          <cell r="AQ567">
            <v>364.98</v>
          </cell>
          <cell r="AY567">
            <v>0</v>
          </cell>
          <cell r="AZ567">
            <v>1</v>
          </cell>
          <cell r="BI567">
            <v>8</v>
          </cell>
        </row>
        <row r="568">
          <cell r="AQ568">
            <v>142.43</v>
          </cell>
          <cell r="AY568">
            <v>0.33333333333333331</v>
          </cell>
          <cell r="AZ568">
            <v>9</v>
          </cell>
          <cell r="BI568">
            <v>8</v>
          </cell>
        </row>
        <row r="569">
          <cell r="AQ569">
            <v>449.72</v>
          </cell>
          <cell r="AY569">
            <v>0.33333333333333331</v>
          </cell>
          <cell r="AZ569">
            <v>9</v>
          </cell>
          <cell r="BI569">
            <v>3</v>
          </cell>
        </row>
        <row r="570">
          <cell r="AQ570">
            <v>241.56</v>
          </cell>
          <cell r="AY570">
            <v>0</v>
          </cell>
          <cell r="AZ570">
            <v>5</v>
          </cell>
          <cell r="BI570">
            <v>2</v>
          </cell>
        </row>
        <row r="571">
          <cell r="AQ571">
            <v>249.73</v>
          </cell>
          <cell r="AY571">
            <v>0.2</v>
          </cell>
          <cell r="AZ571">
            <v>4</v>
          </cell>
          <cell r="BI571">
            <v>1</v>
          </cell>
        </row>
        <row r="572">
          <cell r="AQ572">
            <v>437.3</v>
          </cell>
          <cell r="AY572">
            <v>0</v>
          </cell>
          <cell r="AZ572">
            <v>7</v>
          </cell>
          <cell r="BI572">
            <v>1</v>
          </cell>
        </row>
        <row r="573">
          <cell r="AQ573">
            <v>277.29000000000002</v>
          </cell>
          <cell r="AY573">
            <v>0.5</v>
          </cell>
          <cell r="AZ573">
            <v>8</v>
          </cell>
          <cell r="BI573">
            <v>4</v>
          </cell>
        </row>
        <row r="574">
          <cell r="AQ574">
            <v>445.93</v>
          </cell>
          <cell r="AY574">
            <v>0.33333333333333331</v>
          </cell>
          <cell r="AZ574">
            <v>4</v>
          </cell>
          <cell r="BI574">
            <v>13</v>
          </cell>
        </row>
        <row r="575">
          <cell r="AQ575">
            <v>242.79</v>
          </cell>
          <cell r="AY575">
            <v>0.16666666666666666</v>
          </cell>
          <cell r="AZ575">
            <v>7</v>
          </cell>
          <cell r="BI575">
            <v>7</v>
          </cell>
        </row>
        <row r="576">
          <cell r="AQ576">
            <v>393.09</v>
          </cell>
          <cell r="AY576">
            <v>0</v>
          </cell>
          <cell r="AZ576">
            <v>3</v>
          </cell>
          <cell r="BI576">
            <v>1</v>
          </cell>
        </row>
        <row r="577">
          <cell r="AQ577">
            <v>167.61</v>
          </cell>
          <cell r="AY577">
            <v>1</v>
          </cell>
          <cell r="AZ577">
            <v>2</v>
          </cell>
          <cell r="BI577">
            <v>13</v>
          </cell>
        </row>
        <row r="578">
          <cell r="AQ578">
            <v>324.22000000000003</v>
          </cell>
          <cell r="AY578">
            <v>0.5</v>
          </cell>
          <cell r="AZ578">
            <v>6</v>
          </cell>
          <cell r="BI578">
            <v>14</v>
          </cell>
        </row>
        <row r="579">
          <cell r="AQ579">
            <v>159.30000000000001</v>
          </cell>
          <cell r="AY579">
            <v>0</v>
          </cell>
          <cell r="AZ579">
            <v>6</v>
          </cell>
          <cell r="BI579">
            <v>2</v>
          </cell>
        </row>
        <row r="580">
          <cell r="AQ580">
            <v>324.39</v>
          </cell>
          <cell r="AY580">
            <v>0.2</v>
          </cell>
          <cell r="AZ580">
            <v>6</v>
          </cell>
          <cell r="BI580">
            <v>1</v>
          </cell>
        </row>
        <row r="581">
          <cell r="AQ581">
            <v>198.89</v>
          </cell>
          <cell r="AY581">
            <v>0</v>
          </cell>
          <cell r="AZ581">
            <v>4</v>
          </cell>
          <cell r="BI581">
            <v>1</v>
          </cell>
        </row>
        <row r="582">
          <cell r="AQ582">
            <v>287.18</v>
          </cell>
          <cell r="AY582">
            <v>0</v>
          </cell>
          <cell r="AZ582">
            <v>1</v>
          </cell>
          <cell r="BI582">
            <v>8</v>
          </cell>
        </row>
        <row r="583">
          <cell r="AQ583">
            <v>162.24</v>
          </cell>
          <cell r="AY583">
            <v>0.2857142857142857</v>
          </cell>
          <cell r="AZ583">
            <v>6</v>
          </cell>
          <cell r="BI583">
            <v>7</v>
          </cell>
        </row>
        <row r="584">
          <cell r="AQ584">
            <v>92.97</v>
          </cell>
          <cell r="AY584">
            <v>0</v>
          </cell>
          <cell r="AZ584">
            <v>7</v>
          </cell>
          <cell r="BI584">
            <v>7</v>
          </cell>
        </row>
        <row r="585">
          <cell r="AQ585">
            <v>144.38999999999999</v>
          </cell>
          <cell r="AY585">
            <v>0</v>
          </cell>
          <cell r="AZ585">
            <v>4</v>
          </cell>
          <cell r="BI585">
            <v>12</v>
          </cell>
        </row>
        <row r="586">
          <cell r="AQ586">
            <v>253.37</v>
          </cell>
          <cell r="AY586">
            <v>0</v>
          </cell>
          <cell r="AZ586">
            <v>9</v>
          </cell>
          <cell r="BI586">
            <v>6</v>
          </cell>
        </row>
        <row r="587">
          <cell r="AQ587">
            <v>209.62</v>
          </cell>
          <cell r="AY587">
            <v>0</v>
          </cell>
          <cell r="AZ587">
            <v>7</v>
          </cell>
          <cell r="BI587">
            <v>9</v>
          </cell>
        </row>
        <row r="588">
          <cell r="AQ588">
            <v>411.62</v>
          </cell>
          <cell r="AY588">
            <v>0.33333333333333331</v>
          </cell>
          <cell r="AZ588">
            <v>7</v>
          </cell>
          <cell r="BI588">
            <v>12</v>
          </cell>
        </row>
        <row r="589">
          <cell r="AQ589">
            <v>388.01</v>
          </cell>
          <cell r="AY589">
            <v>0.5</v>
          </cell>
          <cell r="AZ589">
            <v>2</v>
          </cell>
          <cell r="BI589">
            <v>10</v>
          </cell>
        </row>
        <row r="590">
          <cell r="AQ590">
            <v>50.78</v>
          </cell>
          <cell r="AY590">
            <v>0.16666666666666666</v>
          </cell>
          <cell r="AZ590">
            <v>8</v>
          </cell>
          <cell r="BI590">
            <v>9</v>
          </cell>
        </row>
        <row r="591">
          <cell r="AQ591">
            <v>159.82</v>
          </cell>
          <cell r="AY591">
            <v>1</v>
          </cell>
          <cell r="AZ591">
            <v>8</v>
          </cell>
          <cell r="BI591">
            <v>10</v>
          </cell>
        </row>
        <row r="592">
          <cell r="AQ592">
            <v>79.430000000000007</v>
          </cell>
          <cell r="AY592">
            <v>0.66666666666666663</v>
          </cell>
          <cell r="AZ592">
            <v>7</v>
          </cell>
          <cell r="BI592">
            <v>6</v>
          </cell>
        </row>
        <row r="593">
          <cell r="AQ593">
            <v>131.36000000000001</v>
          </cell>
          <cell r="AY593">
            <v>0.25</v>
          </cell>
          <cell r="AZ593">
            <v>6</v>
          </cell>
          <cell r="BI593">
            <v>3</v>
          </cell>
        </row>
        <row r="594">
          <cell r="AQ594">
            <v>299.75</v>
          </cell>
          <cell r="AY594">
            <v>0</v>
          </cell>
          <cell r="AZ594">
            <v>4</v>
          </cell>
          <cell r="BI594">
            <v>7</v>
          </cell>
        </row>
        <row r="595">
          <cell r="AQ595">
            <v>319.38</v>
          </cell>
          <cell r="AY595">
            <v>0.1111111111111111</v>
          </cell>
          <cell r="AZ595">
            <v>6</v>
          </cell>
          <cell r="BI595">
            <v>8</v>
          </cell>
        </row>
        <row r="596">
          <cell r="AQ596">
            <v>476.48</v>
          </cell>
          <cell r="AY596">
            <v>0.25</v>
          </cell>
          <cell r="AZ596">
            <v>10</v>
          </cell>
          <cell r="BI596">
            <v>3</v>
          </cell>
        </row>
        <row r="597">
          <cell r="AQ597">
            <v>301.01</v>
          </cell>
          <cell r="AY597">
            <v>0.22222222222222221</v>
          </cell>
          <cell r="AZ597">
            <v>8</v>
          </cell>
          <cell r="BI597">
            <v>13</v>
          </cell>
        </row>
        <row r="598">
          <cell r="AQ598">
            <v>378.71</v>
          </cell>
          <cell r="AY598">
            <v>0.4</v>
          </cell>
          <cell r="AZ598">
            <v>5</v>
          </cell>
          <cell r="BI598">
            <v>14</v>
          </cell>
        </row>
        <row r="599">
          <cell r="AQ599">
            <v>314.32</v>
          </cell>
          <cell r="AY599">
            <v>0.33333333333333331</v>
          </cell>
          <cell r="AZ599">
            <v>5</v>
          </cell>
          <cell r="BI599">
            <v>7</v>
          </cell>
        </row>
        <row r="600">
          <cell r="AQ600">
            <v>210.9</v>
          </cell>
          <cell r="AY600">
            <v>8.3333333333333329E-2</v>
          </cell>
          <cell r="AZ600">
            <v>1</v>
          </cell>
          <cell r="BI600">
            <v>12</v>
          </cell>
        </row>
        <row r="601">
          <cell r="AQ601">
            <v>218.26</v>
          </cell>
          <cell r="AY601">
            <v>0</v>
          </cell>
          <cell r="AZ601">
            <v>8</v>
          </cell>
          <cell r="BI601">
            <v>12</v>
          </cell>
        </row>
        <row r="602">
          <cell r="AQ602">
            <v>424.18</v>
          </cell>
          <cell r="AY602">
            <v>0.4</v>
          </cell>
          <cell r="AZ602">
            <v>4</v>
          </cell>
          <cell r="BI602">
            <v>5</v>
          </cell>
        </row>
        <row r="603">
          <cell r="AQ603">
            <v>430.75</v>
          </cell>
          <cell r="AY603">
            <v>0</v>
          </cell>
          <cell r="AZ603">
            <v>8</v>
          </cell>
          <cell r="BI603">
            <v>6</v>
          </cell>
        </row>
        <row r="604">
          <cell r="AQ604">
            <v>162.94999999999999</v>
          </cell>
          <cell r="AY604">
            <v>9.0909090909090912E-2</v>
          </cell>
          <cell r="AZ604">
            <v>8</v>
          </cell>
          <cell r="BI604">
            <v>14</v>
          </cell>
        </row>
        <row r="605">
          <cell r="AQ605">
            <v>209.68</v>
          </cell>
          <cell r="AY605">
            <v>0</v>
          </cell>
          <cell r="AZ605">
            <v>1</v>
          </cell>
          <cell r="BI605">
            <v>8</v>
          </cell>
        </row>
        <row r="606">
          <cell r="AQ606">
            <v>97.97</v>
          </cell>
          <cell r="AY606">
            <v>0</v>
          </cell>
          <cell r="AZ606">
            <v>10</v>
          </cell>
          <cell r="BI606">
            <v>1</v>
          </cell>
        </row>
        <row r="607">
          <cell r="AQ607">
            <v>192.51</v>
          </cell>
          <cell r="AY607">
            <v>0</v>
          </cell>
          <cell r="AZ607">
            <v>2</v>
          </cell>
          <cell r="BI607">
            <v>9</v>
          </cell>
        </row>
        <row r="608">
          <cell r="AQ608">
            <v>151.81</v>
          </cell>
          <cell r="AY608">
            <v>0.125</v>
          </cell>
          <cell r="AZ608">
            <v>10</v>
          </cell>
          <cell r="BI608">
            <v>1</v>
          </cell>
        </row>
        <row r="609">
          <cell r="AQ609">
            <v>239.28</v>
          </cell>
          <cell r="AY609">
            <v>0.25</v>
          </cell>
          <cell r="AZ609">
            <v>5</v>
          </cell>
          <cell r="BI609">
            <v>10</v>
          </cell>
        </row>
        <row r="610">
          <cell r="AQ610">
            <v>306.17</v>
          </cell>
          <cell r="AY610">
            <v>0</v>
          </cell>
          <cell r="AZ610">
            <v>6</v>
          </cell>
          <cell r="BI610">
            <v>8</v>
          </cell>
        </row>
        <row r="611">
          <cell r="AQ611">
            <v>370.38</v>
          </cell>
          <cell r="AY611">
            <v>9.0909090909090912E-2</v>
          </cell>
          <cell r="AZ611">
            <v>1</v>
          </cell>
          <cell r="BI611">
            <v>9</v>
          </cell>
        </row>
        <row r="612">
          <cell r="AQ612">
            <v>346.58</v>
          </cell>
          <cell r="AY612">
            <v>0</v>
          </cell>
          <cell r="AZ612">
            <v>9</v>
          </cell>
          <cell r="BI612">
            <v>7</v>
          </cell>
        </row>
        <row r="613">
          <cell r="AQ613">
            <v>292.64</v>
          </cell>
          <cell r="AY613">
            <v>0.4</v>
          </cell>
          <cell r="AZ613">
            <v>10</v>
          </cell>
          <cell r="BI613">
            <v>1</v>
          </cell>
        </row>
        <row r="614">
          <cell r="AQ614">
            <v>102.91</v>
          </cell>
          <cell r="AY614">
            <v>8.3333333333333329E-2</v>
          </cell>
          <cell r="AZ614">
            <v>10</v>
          </cell>
          <cell r="BI614">
            <v>13</v>
          </cell>
        </row>
        <row r="615">
          <cell r="AQ615">
            <v>283.77999999999997</v>
          </cell>
          <cell r="AY615">
            <v>0</v>
          </cell>
          <cell r="AZ615">
            <v>6</v>
          </cell>
          <cell r="BI615">
            <v>10</v>
          </cell>
        </row>
        <row r="616">
          <cell r="AQ616">
            <v>51.44</v>
          </cell>
          <cell r="AY616">
            <v>0</v>
          </cell>
          <cell r="AZ616">
            <v>1</v>
          </cell>
          <cell r="BI616">
            <v>5</v>
          </cell>
        </row>
        <row r="617">
          <cell r="AQ617">
            <v>405.7</v>
          </cell>
          <cell r="AY617">
            <v>0.16666666666666666</v>
          </cell>
          <cell r="AZ617">
            <v>10</v>
          </cell>
          <cell r="BI617">
            <v>14</v>
          </cell>
        </row>
        <row r="618">
          <cell r="AQ618">
            <v>311.74</v>
          </cell>
          <cell r="AY618">
            <v>0.18181818181818182</v>
          </cell>
          <cell r="AZ618">
            <v>10</v>
          </cell>
          <cell r="BI618">
            <v>11</v>
          </cell>
        </row>
        <row r="619">
          <cell r="AQ619">
            <v>293.43</v>
          </cell>
          <cell r="AY619">
            <v>0</v>
          </cell>
          <cell r="AZ619">
            <v>5</v>
          </cell>
          <cell r="BI619">
            <v>7</v>
          </cell>
        </row>
        <row r="620">
          <cell r="AQ620">
            <v>418.51</v>
          </cell>
          <cell r="AY620">
            <v>0.33333333333333331</v>
          </cell>
          <cell r="AZ620">
            <v>2</v>
          </cell>
          <cell r="BI620">
            <v>3</v>
          </cell>
        </row>
        <row r="621">
          <cell r="AQ621">
            <v>85.03</v>
          </cell>
          <cell r="AY621">
            <v>0</v>
          </cell>
          <cell r="AZ621">
            <v>9</v>
          </cell>
          <cell r="BI621">
            <v>8</v>
          </cell>
        </row>
        <row r="622">
          <cell r="AQ622">
            <v>164.94</v>
          </cell>
          <cell r="AY622">
            <v>0.5</v>
          </cell>
          <cell r="AZ622">
            <v>2</v>
          </cell>
          <cell r="BI622">
            <v>6</v>
          </cell>
        </row>
        <row r="623">
          <cell r="AQ623">
            <v>89.32</v>
          </cell>
          <cell r="AY623">
            <v>9.0909090909090912E-2</v>
          </cell>
          <cell r="AZ623">
            <v>3</v>
          </cell>
          <cell r="BI623">
            <v>12</v>
          </cell>
        </row>
        <row r="624">
          <cell r="AQ624">
            <v>388.26</v>
          </cell>
          <cell r="AY624">
            <v>0</v>
          </cell>
          <cell r="AZ624">
            <v>7</v>
          </cell>
          <cell r="BI624">
            <v>5</v>
          </cell>
        </row>
        <row r="625">
          <cell r="AQ625">
            <v>106.69</v>
          </cell>
          <cell r="AY625">
            <v>0.4</v>
          </cell>
          <cell r="AZ625">
            <v>10</v>
          </cell>
          <cell r="BI625">
            <v>14</v>
          </cell>
        </row>
        <row r="626">
          <cell r="AQ626">
            <v>301.16000000000003</v>
          </cell>
          <cell r="AY626">
            <v>0.2</v>
          </cell>
          <cell r="AZ626">
            <v>9</v>
          </cell>
          <cell r="BI626">
            <v>1</v>
          </cell>
        </row>
        <row r="627">
          <cell r="AQ627">
            <v>61.71</v>
          </cell>
          <cell r="AY627">
            <v>0.33333333333333331</v>
          </cell>
          <cell r="AZ627">
            <v>7</v>
          </cell>
          <cell r="BI627">
            <v>12</v>
          </cell>
        </row>
        <row r="628">
          <cell r="AQ628">
            <v>83.33</v>
          </cell>
          <cell r="AY628">
            <v>9.0909090909090912E-2</v>
          </cell>
          <cell r="AZ628">
            <v>6</v>
          </cell>
          <cell r="BI628">
            <v>1</v>
          </cell>
        </row>
        <row r="629">
          <cell r="AQ629">
            <v>411.81</v>
          </cell>
          <cell r="AY629">
            <v>0.25</v>
          </cell>
          <cell r="AZ629">
            <v>1</v>
          </cell>
          <cell r="BI629">
            <v>1</v>
          </cell>
        </row>
        <row r="630">
          <cell r="AQ630">
            <v>114.93</v>
          </cell>
          <cell r="AY630">
            <v>0</v>
          </cell>
          <cell r="AZ630">
            <v>4</v>
          </cell>
          <cell r="BI630">
            <v>4</v>
          </cell>
        </row>
        <row r="631">
          <cell r="AQ631">
            <v>438.42</v>
          </cell>
          <cell r="AY631">
            <v>0</v>
          </cell>
          <cell r="AZ631">
            <v>4</v>
          </cell>
          <cell r="BI631">
            <v>4</v>
          </cell>
        </row>
        <row r="632">
          <cell r="AQ632">
            <v>189.97</v>
          </cell>
          <cell r="AY632">
            <v>0</v>
          </cell>
          <cell r="AZ632">
            <v>3</v>
          </cell>
          <cell r="BI632">
            <v>8</v>
          </cell>
        </row>
        <row r="633">
          <cell r="AQ633">
            <v>227.03</v>
          </cell>
          <cell r="AY633">
            <v>0.16666666666666666</v>
          </cell>
          <cell r="AZ633">
            <v>10</v>
          </cell>
          <cell r="BI633">
            <v>2</v>
          </cell>
        </row>
        <row r="634">
          <cell r="AQ634">
            <v>278.49</v>
          </cell>
          <cell r="AY634">
            <v>0.25</v>
          </cell>
          <cell r="AZ634">
            <v>5</v>
          </cell>
          <cell r="BI634">
            <v>8</v>
          </cell>
        </row>
        <row r="635">
          <cell r="AQ635">
            <v>120.56</v>
          </cell>
          <cell r="AY635">
            <v>0.4</v>
          </cell>
          <cell r="AZ635">
            <v>7</v>
          </cell>
          <cell r="BI635">
            <v>7</v>
          </cell>
        </row>
        <row r="636">
          <cell r="AQ636">
            <v>320.94</v>
          </cell>
          <cell r="AY636">
            <v>0.18181818181818182</v>
          </cell>
          <cell r="AZ636">
            <v>10</v>
          </cell>
          <cell r="BI636">
            <v>10</v>
          </cell>
        </row>
        <row r="637">
          <cell r="AQ637">
            <v>217.72</v>
          </cell>
          <cell r="AY637">
            <v>0.33333333333333331</v>
          </cell>
          <cell r="AZ637">
            <v>4</v>
          </cell>
          <cell r="BI637">
            <v>14</v>
          </cell>
        </row>
        <row r="638">
          <cell r="AQ638">
            <v>222.61</v>
          </cell>
          <cell r="AY638">
            <v>0.33333333333333331</v>
          </cell>
          <cell r="AZ638">
            <v>1</v>
          </cell>
          <cell r="BI638">
            <v>3</v>
          </cell>
        </row>
        <row r="639">
          <cell r="AQ639">
            <v>102.73</v>
          </cell>
          <cell r="AY639">
            <v>0.66666666666666663</v>
          </cell>
          <cell r="AZ639">
            <v>5</v>
          </cell>
          <cell r="BI639">
            <v>14</v>
          </cell>
        </row>
        <row r="640">
          <cell r="AQ640">
            <v>426.87</v>
          </cell>
          <cell r="AY640">
            <v>0</v>
          </cell>
          <cell r="AZ640">
            <v>4</v>
          </cell>
          <cell r="BI640">
            <v>3</v>
          </cell>
        </row>
        <row r="641">
          <cell r="AQ641">
            <v>473.28</v>
          </cell>
          <cell r="AY641">
            <v>0.2</v>
          </cell>
          <cell r="AZ641">
            <v>9</v>
          </cell>
          <cell r="BI641">
            <v>13</v>
          </cell>
        </row>
        <row r="642">
          <cell r="AQ642">
            <v>446.03</v>
          </cell>
          <cell r="AY642">
            <v>0.22222222222222221</v>
          </cell>
          <cell r="AZ642">
            <v>7</v>
          </cell>
          <cell r="BI642">
            <v>12</v>
          </cell>
        </row>
        <row r="643">
          <cell r="AQ643">
            <v>287.95</v>
          </cell>
          <cell r="AY643">
            <v>0.66666666666666663</v>
          </cell>
          <cell r="AZ643">
            <v>7</v>
          </cell>
          <cell r="BI643">
            <v>11</v>
          </cell>
        </row>
        <row r="644">
          <cell r="AQ644">
            <v>132.52000000000001</v>
          </cell>
          <cell r="AY644">
            <v>0.33333333333333331</v>
          </cell>
          <cell r="AZ644">
            <v>10</v>
          </cell>
          <cell r="BI644">
            <v>12</v>
          </cell>
        </row>
        <row r="645">
          <cell r="AQ645">
            <v>379.2</v>
          </cell>
          <cell r="AY645">
            <v>0.2857142857142857</v>
          </cell>
          <cell r="AZ645">
            <v>2</v>
          </cell>
          <cell r="BI645">
            <v>7</v>
          </cell>
        </row>
        <row r="646">
          <cell r="AQ646">
            <v>447.53</v>
          </cell>
          <cell r="AY646">
            <v>0.25</v>
          </cell>
          <cell r="AZ646">
            <v>6</v>
          </cell>
          <cell r="BI646">
            <v>3</v>
          </cell>
        </row>
        <row r="647">
          <cell r="AQ647">
            <v>138.44</v>
          </cell>
          <cell r="AY647">
            <v>0.25</v>
          </cell>
          <cell r="AZ647">
            <v>2</v>
          </cell>
          <cell r="BI647">
            <v>1</v>
          </cell>
        </row>
        <row r="648">
          <cell r="AQ648">
            <v>440.62</v>
          </cell>
          <cell r="AY648">
            <v>0.125</v>
          </cell>
          <cell r="AZ648">
            <v>3</v>
          </cell>
          <cell r="BI648">
            <v>6</v>
          </cell>
        </row>
        <row r="649">
          <cell r="AQ649">
            <v>145.97999999999999</v>
          </cell>
          <cell r="AY649">
            <v>0.5</v>
          </cell>
          <cell r="AZ649">
            <v>5</v>
          </cell>
          <cell r="BI649">
            <v>1</v>
          </cell>
        </row>
        <row r="650">
          <cell r="AQ650">
            <v>405.66</v>
          </cell>
          <cell r="AY650">
            <v>9.0909090909090912E-2</v>
          </cell>
          <cell r="AZ650">
            <v>3</v>
          </cell>
          <cell r="BI650">
            <v>11</v>
          </cell>
        </row>
        <row r="651">
          <cell r="AQ651">
            <v>419.98</v>
          </cell>
          <cell r="AY651">
            <v>0</v>
          </cell>
          <cell r="AZ651">
            <v>10</v>
          </cell>
          <cell r="BI651">
            <v>14</v>
          </cell>
        </row>
        <row r="652">
          <cell r="AQ652">
            <v>260.14</v>
          </cell>
          <cell r="AY652">
            <v>0.2</v>
          </cell>
          <cell r="AZ652">
            <v>7</v>
          </cell>
          <cell r="BI652">
            <v>7</v>
          </cell>
        </row>
        <row r="653">
          <cell r="AQ653">
            <v>368.91</v>
          </cell>
          <cell r="AY653">
            <v>0.2</v>
          </cell>
          <cell r="AZ653">
            <v>10</v>
          </cell>
          <cell r="BI653">
            <v>7</v>
          </cell>
        </row>
        <row r="654">
          <cell r="AQ654">
            <v>100.32</v>
          </cell>
          <cell r="AY654">
            <v>0</v>
          </cell>
          <cell r="AZ654">
            <v>1</v>
          </cell>
          <cell r="BI654">
            <v>8</v>
          </cell>
        </row>
        <row r="655">
          <cell r="AQ655">
            <v>107.82</v>
          </cell>
          <cell r="AY655">
            <v>0.2857142857142857</v>
          </cell>
          <cell r="AZ655">
            <v>10</v>
          </cell>
          <cell r="BI655">
            <v>2</v>
          </cell>
        </row>
        <row r="656">
          <cell r="AQ656">
            <v>83.88</v>
          </cell>
          <cell r="AY656">
            <v>0</v>
          </cell>
          <cell r="AZ656">
            <v>6</v>
          </cell>
          <cell r="BI656">
            <v>4</v>
          </cell>
        </row>
        <row r="657">
          <cell r="AQ657">
            <v>81.25</v>
          </cell>
          <cell r="AY657">
            <v>0.22222222222222221</v>
          </cell>
          <cell r="AZ657">
            <v>8</v>
          </cell>
          <cell r="BI657">
            <v>10</v>
          </cell>
        </row>
        <row r="658">
          <cell r="AQ658">
            <v>125.8</v>
          </cell>
          <cell r="AY658">
            <v>0</v>
          </cell>
          <cell r="AZ658">
            <v>8</v>
          </cell>
          <cell r="BI658">
            <v>1</v>
          </cell>
        </row>
        <row r="659">
          <cell r="AQ659">
            <v>197.9</v>
          </cell>
          <cell r="AY659">
            <v>9.0909090909090912E-2</v>
          </cell>
          <cell r="AZ659">
            <v>4</v>
          </cell>
          <cell r="BI659">
            <v>5</v>
          </cell>
        </row>
        <row r="660">
          <cell r="AQ660">
            <v>299.08999999999997</v>
          </cell>
          <cell r="AY660">
            <v>0.25</v>
          </cell>
          <cell r="AZ660">
            <v>7</v>
          </cell>
          <cell r="BI660">
            <v>14</v>
          </cell>
        </row>
        <row r="661">
          <cell r="AQ661">
            <v>79.3</v>
          </cell>
          <cell r="AY661">
            <v>0.2</v>
          </cell>
          <cell r="AZ661">
            <v>4</v>
          </cell>
          <cell r="BI661">
            <v>2</v>
          </cell>
        </row>
        <row r="662">
          <cell r="AQ662">
            <v>55.73</v>
          </cell>
          <cell r="AY662">
            <v>8.3333333333333329E-2</v>
          </cell>
          <cell r="AZ662">
            <v>3</v>
          </cell>
          <cell r="BI662">
            <v>3</v>
          </cell>
        </row>
        <row r="663">
          <cell r="AQ663">
            <v>256.44</v>
          </cell>
          <cell r="AY663">
            <v>0.125</v>
          </cell>
          <cell r="AZ663">
            <v>6</v>
          </cell>
          <cell r="BI663">
            <v>3</v>
          </cell>
        </row>
        <row r="664">
          <cell r="AQ664">
            <v>337.21</v>
          </cell>
          <cell r="AY664">
            <v>0</v>
          </cell>
          <cell r="AZ664">
            <v>9</v>
          </cell>
          <cell r="BI664">
            <v>11</v>
          </cell>
        </row>
        <row r="665">
          <cell r="AQ665">
            <v>494.97</v>
          </cell>
          <cell r="AY665">
            <v>8.3333333333333329E-2</v>
          </cell>
          <cell r="AZ665">
            <v>5</v>
          </cell>
          <cell r="BI665">
            <v>7</v>
          </cell>
        </row>
        <row r="666">
          <cell r="AQ666">
            <v>238.58</v>
          </cell>
          <cell r="AY666">
            <v>0.33333333333333331</v>
          </cell>
          <cell r="AZ666">
            <v>9</v>
          </cell>
          <cell r="BI666">
            <v>8</v>
          </cell>
        </row>
        <row r="667">
          <cell r="AQ667">
            <v>131.9</v>
          </cell>
          <cell r="AY667">
            <v>0.25</v>
          </cell>
          <cell r="AZ667">
            <v>4</v>
          </cell>
          <cell r="BI667">
            <v>4</v>
          </cell>
        </row>
        <row r="668">
          <cell r="AQ668">
            <v>403.03</v>
          </cell>
          <cell r="AY668">
            <v>0</v>
          </cell>
          <cell r="AZ668">
            <v>1</v>
          </cell>
          <cell r="BI668">
            <v>2</v>
          </cell>
        </row>
        <row r="669">
          <cell r="AQ669">
            <v>338.6</v>
          </cell>
          <cell r="AY669">
            <v>0.1</v>
          </cell>
          <cell r="AZ669">
            <v>3</v>
          </cell>
          <cell r="BI669">
            <v>9</v>
          </cell>
        </row>
        <row r="670">
          <cell r="AQ670">
            <v>365.38</v>
          </cell>
          <cell r="AY670">
            <v>0</v>
          </cell>
          <cell r="AZ670">
            <v>9</v>
          </cell>
          <cell r="BI670">
            <v>14</v>
          </cell>
        </row>
        <row r="671">
          <cell r="AQ671">
            <v>433.99</v>
          </cell>
          <cell r="AY671">
            <v>0</v>
          </cell>
          <cell r="AZ671">
            <v>2</v>
          </cell>
          <cell r="BI671">
            <v>8</v>
          </cell>
        </row>
        <row r="672">
          <cell r="AQ672">
            <v>495.95</v>
          </cell>
          <cell r="AY672">
            <v>0.2</v>
          </cell>
          <cell r="AZ672">
            <v>7</v>
          </cell>
          <cell r="BI672">
            <v>6</v>
          </cell>
        </row>
        <row r="673">
          <cell r="AQ673">
            <v>356.22</v>
          </cell>
          <cell r="AY673">
            <v>0.14285714285714285</v>
          </cell>
          <cell r="AZ673">
            <v>7</v>
          </cell>
          <cell r="BI673">
            <v>6</v>
          </cell>
        </row>
        <row r="674">
          <cell r="AQ674">
            <v>156.4</v>
          </cell>
          <cell r="AY674">
            <v>0.14285714285714285</v>
          </cell>
          <cell r="AZ674">
            <v>7</v>
          </cell>
          <cell r="BI674">
            <v>4</v>
          </cell>
        </row>
        <row r="675">
          <cell r="AQ675">
            <v>454.36</v>
          </cell>
          <cell r="AY675">
            <v>0.33333333333333331</v>
          </cell>
          <cell r="AZ675">
            <v>8</v>
          </cell>
          <cell r="BI675">
            <v>12</v>
          </cell>
        </row>
        <row r="676">
          <cell r="AQ676">
            <v>486.07</v>
          </cell>
          <cell r="AY676">
            <v>0.18181818181818182</v>
          </cell>
          <cell r="AZ676">
            <v>6</v>
          </cell>
          <cell r="BI676">
            <v>12</v>
          </cell>
        </row>
        <row r="677">
          <cell r="AQ677">
            <v>427.86</v>
          </cell>
          <cell r="AY677">
            <v>0</v>
          </cell>
          <cell r="AZ677">
            <v>6</v>
          </cell>
          <cell r="BI677">
            <v>8</v>
          </cell>
        </row>
        <row r="678">
          <cell r="AQ678">
            <v>235.13</v>
          </cell>
          <cell r="AY678">
            <v>0.2</v>
          </cell>
          <cell r="AZ678">
            <v>3</v>
          </cell>
          <cell r="BI678">
            <v>6</v>
          </cell>
        </row>
        <row r="679">
          <cell r="AQ679">
            <v>361.27</v>
          </cell>
          <cell r="AY679">
            <v>0</v>
          </cell>
          <cell r="AZ679">
            <v>5</v>
          </cell>
          <cell r="BI679">
            <v>2</v>
          </cell>
        </row>
        <row r="680">
          <cell r="AQ680">
            <v>195.83</v>
          </cell>
          <cell r="AY680">
            <v>0.1</v>
          </cell>
          <cell r="AZ680">
            <v>7</v>
          </cell>
          <cell r="BI680">
            <v>13</v>
          </cell>
        </row>
        <row r="681">
          <cell r="AQ681">
            <v>340.31</v>
          </cell>
          <cell r="AY681">
            <v>0</v>
          </cell>
          <cell r="AZ681">
            <v>5</v>
          </cell>
          <cell r="BI681">
            <v>14</v>
          </cell>
        </row>
        <row r="682">
          <cell r="AQ682">
            <v>489.67</v>
          </cell>
          <cell r="AY682">
            <v>0.2</v>
          </cell>
          <cell r="AZ682">
            <v>5</v>
          </cell>
          <cell r="BI682">
            <v>11</v>
          </cell>
        </row>
        <row r="683">
          <cell r="AQ683">
            <v>482.5</v>
          </cell>
          <cell r="AY683">
            <v>0.18181818181818182</v>
          </cell>
          <cell r="AZ683">
            <v>1</v>
          </cell>
          <cell r="BI683">
            <v>13</v>
          </cell>
        </row>
        <row r="684">
          <cell r="AQ684">
            <v>433.14</v>
          </cell>
          <cell r="AY684">
            <v>0.2</v>
          </cell>
          <cell r="AZ684">
            <v>3</v>
          </cell>
          <cell r="BI684">
            <v>5</v>
          </cell>
        </row>
        <row r="685">
          <cell r="AQ685">
            <v>375.7</v>
          </cell>
          <cell r="AY685">
            <v>0.33333333333333331</v>
          </cell>
          <cell r="AZ685">
            <v>10</v>
          </cell>
          <cell r="BI685">
            <v>10</v>
          </cell>
        </row>
        <row r="686">
          <cell r="AQ686">
            <v>381.3</v>
          </cell>
          <cell r="AY686">
            <v>0</v>
          </cell>
          <cell r="AZ686">
            <v>4</v>
          </cell>
          <cell r="BI686">
            <v>7</v>
          </cell>
        </row>
        <row r="687">
          <cell r="AQ687">
            <v>210.21</v>
          </cell>
          <cell r="AY687">
            <v>0</v>
          </cell>
          <cell r="AZ687">
            <v>10</v>
          </cell>
          <cell r="BI687">
            <v>14</v>
          </cell>
        </row>
        <row r="688">
          <cell r="AQ688">
            <v>408.81</v>
          </cell>
          <cell r="AY688">
            <v>0.125</v>
          </cell>
          <cell r="AZ688">
            <v>3</v>
          </cell>
          <cell r="BI688">
            <v>12</v>
          </cell>
        </row>
        <row r="689">
          <cell r="AQ689">
            <v>118.65</v>
          </cell>
          <cell r="AY689">
            <v>0</v>
          </cell>
          <cell r="AZ689">
            <v>2</v>
          </cell>
          <cell r="BI689">
            <v>13</v>
          </cell>
        </row>
        <row r="690">
          <cell r="AQ690">
            <v>166.45</v>
          </cell>
          <cell r="AY690">
            <v>0.2857142857142857</v>
          </cell>
          <cell r="AZ690">
            <v>1</v>
          </cell>
          <cell r="BI690">
            <v>12</v>
          </cell>
        </row>
        <row r="691">
          <cell r="AQ691">
            <v>385.32</v>
          </cell>
          <cell r="AY691">
            <v>0</v>
          </cell>
          <cell r="AZ691">
            <v>1</v>
          </cell>
          <cell r="BI691">
            <v>9</v>
          </cell>
        </row>
        <row r="692">
          <cell r="AQ692">
            <v>293.99</v>
          </cell>
          <cell r="AY692">
            <v>0.2</v>
          </cell>
          <cell r="AZ692">
            <v>7</v>
          </cell>
          <cell r="BI692">
            <v>5</v>
          </cell>
        </row>
        <row r="693">
          <cell r="AQ693">
            <v>161.41</v>
          </cell>
          <cell r="AY693">
            <v>0.1111111111111111</v>
          </cell>
          <cell r="AZ693">
            <v>8</v>
          </cell>
          <cell r="BI693">
            <v>3</v>
          </cell>
        </row>
        <row r="694">
          <cell r="AQ694">
            <v>130.91999999999999</v>
          </cell>
          <cell r="AY694">
            <v>1</v>
          </cell>
          <cell r="AZ694">
            <v>2</v>
          </cell>
          <cell r="BI694">
            <v>9</v>
          </cell>
        </row>
        <row r="695">
          <cell r="AQ695">
            <v>468.6</v>
          </cell>
          <cell r="AY695">
            <v>0</v>
          </cell>
          <cell r="AZ695">
            <v>6</v>
          </cell>
          <cell r="BI695">
            <v>2</v>
          </cell>
        </row>
        <row r="696">
          <cell r="AQ696">
            <v>237.57</v>
          </cell>
          <cell r="AY696">
            <v>0</v>
          </cell>
          <cell r="AZ696">
            <v>3</v>
          </cell>
          <cell r="BI696">
            <v>11</v>
          </cell>
        </row>
        <row r="697">
          <cell r="AQ697">
            <v>395.18</v>
          </cell>
          <cell r="AY697">
            <v>0</v>
          </cell>
          <cell r="AZ697">
            <v>5</v>
          </cell>
          <cell r="BI697">
            <v>6</v>
          </cell>
        </row>
        <row r="698">
          <cell r="AQ698">
            <v>427.94</v>
          </cell>
          <cell r="AY698">
            <v>8.3333333333333329E-2</v>
          </cell>
          <cell r="AZ698">
            <v>2</v>
          </cell>
          <cell r="BI698">
            <v>10</v>
          </cell>
        </row>
        <row r="699">
          <cell r="AQ699">
            <v>81.23</v>
          </cell>
          <cell r="AY699">
            <v>0.1111111111111111</v>
          </cell>
          <cell r="AZ699">
            <v>10</v>
          </cell>
          <cell r="BI699">
            <v>6</v>
          </cell>
        </row>
        <row r="700">
          <cell r="AQ700">
            <v>257.43</v>
          </cell>
          <cell r="AY700">
            <v>0.2</v>
          </cell>
          <cell r="AZ700">
            <v>7</v>
          </cell>
          <cell r="BI700">
            <v>13</v>
          </cell>
        </row>
        <row r="701">
          <cell r="AQ701">
            <v>305.73</v>
          </cell>
          <cell r="AY701">
            <v>0.2857142857142857</v>
          </cell>
          <cell r="AZ701">
            <v>8</v>
          </cell>
          <cell r="BI701">
            <v>14</v>
          </cell>
        </row>
        <row r="702">
          <cell r="AQ702">
            <v>249.82</v>
          </cell>
          <cell r="AY702">
            <v>0.2</v>
          </cell>
          <cell r="AZ702">
            <v>6</v>
          </cell>
          <cell r="BI702">
            <v>10</v>
          </cell>
        </row>
        <row r="703">
          <cell r="AQ703">
            <v>332.79</v>
          </cell>
          <cell r="AY703">
            <v>0.18181818181818182</v>
          </cell>
          <cell r="AZ703">
            <v>1</v>
          </cell>
          <cell r="BI703">
            <v>4</v>
          </cell>
        </row>
        <row r="704">
          <cell r="AQ704">
            <v>78.900000000000006</v>
          </cell>
          <cell r="AY704">
            <v>0</v>
          </cell>
          <cell r="AZ704">
            <v>1</v>
          </cell>
          <cell r="BI704">
            <v>10</v>
          </cell>
        </row>
        <row r="705">
          <cell r="AQ705">
            <v>122.55</v>
          </cell>
          <cell r="AY705">
            <v>0.22222222222222221</v>
          </cell>
          <cell r="AZ705">
            <v>3</v>
          </cell>
          <cell r="BI705">
            <v>4</v>
          </cell>
        </row>
        <row r="706">
          <cell r="AQ706">
            <v>307.61</v>
          </cell>
          <cell r="AY706">
            <v>0</v>
          </cell>
          <cell r="AZ706">
            <v>9</v>
          </cell>
          <cell r="BI706">
            <v>10</v>
          </cell>
        </row>
        <row r="707">
          <cell r="AQ707">
            <v>152.33000000000001</v>
          </cell>
          <cell r="AY707">
            <v>0.5</v>
          </cell>
          <cell r="AZ707">
            <v>6</v>
          </cell>
          <cell r="BI707">
            <v>8</v>
          </cell>
        </row>
        <row r="708">
          <cell r="AQ708">
            <v>465.07</v>
          </cell>
          <cell r="AY708">
            <v>0.125</v>
          </cell>
          <cell r="AZ708">
            <v>2</v>
          </cell>
          <cell r="BI708">
            <v>8</v>
          </cell>
        </row>
        <row r="709">
          <cell r="AQ709">
            <v>498.23</v>
          </cell>
          <cell r="AY709">
            <v>0</v>
          </cell>
          <cell r="AZ709">
            <v>7</v>
          </cell>
          <cell r="BI709">
            <v>9</v>
          </cell>
        </row>
        <row r="710">
          <cell r="AQ710">
            <v>491.18</v>
          </cell>
          <cell r="AY710">
            <v>0</v>
          </cell>
          <cell r="AZ710">
            <v>6</v>
          </cell>
          <cell r="BI710">
            <v>14</v>
          </cell>
        </row>
        <row r="711">
          <cell r="AQ711">
            <v>149.41999999999999</v>
          </cell>
          <cell r="AY711">
            <v>0</v>
          </cell>
          <cell r="AZ711">
            <v>6</v>
          </cell>
          <cell r="BI711">
            <v>5</v>
          </cell>
        </row>
        <row r="712">
          <cell r="AQ712">
            <v>82.13</v>
          </cell>
          <cell r="AY712">
            <v>0.22222222222222221</v>
          </cell>
          <cell r="AZ712">
            <v>6</v>
          </cell>
          <cell r="BI712">
            <v>6</v>
          </cell>
        </row>
        <row r="713">
          <cell r="AQ713">
            <v>425.18</v>
          </cell>
          <cell r="AY713">
            <v>0.25</v>
          </cell>
          <cell r="AZ713">
            <v>8</v>
          </cell>
          <cell r="BI713">
            <v>10</v>
          </cell>
        </row>
        <row r="714">
          <cell r="AQ714">
            <v>176.12</v>
          </cell>
          <cell r="AY714">
            <v>0.125</v>
          </cell>
          <cell r="AZ714">
            <v>10</v>
          </cell>
          <cell r="BI714">
            <v>14</v>
          </cell>
        </row>
        <row r="715">
          <cell r="AQ715">
            <v>70.3</v>
          </cell>
          <cell r="AY715">
            <v>0.16666666666666666</v>
          </cell>
          <cell r="AZ715">
            <v>8</v>
          </cell>
          <cell r="BI715">
            <v>3</v>
          </cell>
        </row>
        <row r="716">
          <cell r="AQ716">
            <v>319.39</v>
          </cell>
          <cell r="AY716">
            <v>0.14285714285714285</v>
          </cell>
          <cell r="AZ716">
            <v>10</v>
          </cell>
          <cell r="BI716">
            <v>3</v>
          </cell>
        </row>
        <row r="717">
          <cell r="AQ717">
            <v>113.51</v>
          </cell>
          <cell r="AY717">
            <v>0.18181818181818182</v>
          </cell>
          <cell r="AZ717">
            <v>2</v>
          </cell>
          <cell r="BI717">
            <v>8</v>
          </cell>
        </row>
        <row r="718">
          <cell r="AQ718">
            <v>492.74</v>
          </cell>
          <cell r="AY718">
            <v>0.5</v>
          </cell>
          <cell r="AZ718">
            <v>3</v>
          </cell>
          <cell r="BI718">
            <v>13</v>
          </cell>
        </row>
        <row r="719">
          <cell r="AQ719">
            <v>143.80000000000001</v>
          </cell>
          <cell r="AY719">
            <v>0</v>
          </cell>
          <cell r="AZ719">
            <v>7</v>
          </cell>
          <cell r="BI719">
            <v>11</v>
          </cell>
        </row>
        <row r="720">
          <cell r="AQ720">
            <v>158.54</v>
          </cell>
          <cell r="AY720">
            <v>0.4</v>
          </cell>
          <cell r="AZ720">
            <v>7</v>
          </cell>
          <cell r="BI720">
            <v>5</v>
          </cell>
        </row>
        <row r="721">
          <cell r="AQ721">
            <v>213.39</v>
          </cell>
          <cell r="AY721">
            <v>0.33333333333333331</v>
          </cell>
          <cell r="AZ721">
            <v>5</v>
          </cell>
          <cell r="BI721">
            <v>4</v>
          </cell>
        </row>
        <row r="722">
          <cell r="AQ722">
            <v>127.18</v>
          </cell>
          <cell r="AY722">
            <v>0</v>
          </cell>
          <cell r="AZ722">
            <v>2</v>
          </cell>
          <cell r="BI722">
            <v>4</v>
          </cell>
        </row>
        <row r="723">
          <cell r="AQ723">
            <v>476.63</v>
          </cell>
          <cell r="AY723">
            <v>0.22222222222222221</v>
          </cell>
          <cell r="AZ723">
            <v>2</v>
          </cell>
          <cell r="BI723">
            <v>1</v>
          </cell>
        </row>
        <row r="724">
          <cell r="AQ724">
            <v>56.02</v>
          </cell>
          <cell r="AY724">
            <v>0.33333333333333331</v>
          </cell>
          <cell r="AZ724">
            <v>6</v>
          </cell>
          <cell r="BI724">
            <v>12</v>
          </cell>
        </row>
        <row r="725">
          <cell r="AQ725">
            <v>398.97</v>
          </cell>
          <cell r="AY725">
            <v>0.66666666666666663</v>
          </cell>
          <cell r="AZ725">
            <v>3</v>
          </cell>
          <cell r="BI725">
            <v>9</v>
          </cell>
        </row>
        <row r="726">
          <cell r="AQ726">
            <v>53.45</v>
          </cell>
          <cell r="AY726">
            <v>0.16666666666666666</v>
          </cell>
          <cell r="AZ726">
            <v>9</v>
          </cell>
          <cell r="BI726">
            <v>11</v>
          </cell>
        </row>
        <row r="727">
          <cell r="AQ727">
            <v>61.19</v>
          </cell>
          <cell r="AY727">
            <v>1</v>
          </cell>
          <cell r="AZ727">
            <v>6</v>
          </cell>
          <cell r="BI727">
            <v>3</v>
          </cell>
        </row>
        <row r="728">
          <cell r="AQ728">
            <v>471.31</v>
          </cell>
          <cell r="AY728">
            <v>0</v>
          </cell>
          <cell r="AZ728">
            <v>8</v>
          </cell>
          <cell r="BI728">
            <v>7</v>
          </cell>
        </row>
        <row r="729">
          <cell r="AQ729">
            <v>179.19</v>
          </cell>
          <cell r="AY729">
            <v>0.2</v>
          </cell>
          <cell r="AZ729">
            <v>7</v>
          </cell>
          <cell r="BI729">
            <v>12</v>
          </cell>
        </row>
        <row r="730">
          <cell r="AQ730">
            <v>294.61</v>
          </cell>
          <cell r="AY730">
            <v>0</v>
          </cell>
          <cell r="AZ730">
            <v>2</v>
          </cell>
          <cell r="BI730">
            <v>4</v>
          </cell>
        </row>
        <row r="731">
          <cell r="AQ731">
            <v>375.45</v>
          </cell>
          <cell r="AY731">
            <v>0.16666666666666666</v>
          </cell>
          <cell r="AZ731">
            <v>8</v>
          </cell>
          <cell r="BI731">
            <v>1</v>
          </cell>
        </row>
        <row r="732">
          <cell r="AQ732">
            <v>83.5</v>
          </cell>
          <cell r="AY732">
            <v>0.16666666666666666</v>
          </cell>
          <cell r="AZ732">
            <v>7</v>
          </cell>
          <cell r="BI732">
            <v>10</v>
          </cell>
        </row>
        <row r="733">
          <cell r="AQ733">
            <v>109.88</v>
          </cell>
          <cell r="AY733">
            <v>0.14285714285714285</v>
          </cell>
          <cell r="AZ733">
            <v>3</v>
          </cell>
          <cell r="BI733">
            <v>11</v>
          </cell>
        </row>
        <row r="734">
          <cell r="AQ734">
            <v>182.54</v>
          </cell>
          <cell r="AY734">
            <v>9.0909090909090912E-2</v>
          </cell>
          <cell r="AZ734">
            <v>1</v>
          </cell>
          <cell r="BI734">
            <v>13</v>
          </cell>
        </row>
        <row r="735">
          <cell r="AQ735">
            <v>465.48</v>
          </cell>
          <cell r="AY735">
            <v>0.33333333333333331</v>
          </cell>
          <cell r="AZ735">
            <v>8</v>
          </cell>
          <cell r="BI735">
            <v>1</v>
          </cell>
        </row>
        <row r="736">
          <cell r="AQ736">
            <v>224.52</v>
          </cell>
          <cell r="AY736">
            <v>0.125</v>
          </cell>
          <cell r="AZ736">
            <v>5</v>
          </cell>
          <cell r="BI736">
            <v>1</v>
          </cell>
        </row>
        <row r="737">
          <cell r="AQ737">
            <v>281.37</v>
          </cell>
          <cell r="AY737">
            <v>0</v>
          </cell>
          <cell r="AZ737">
            <v>2</v>
          </cell>
          <cell r="BI737">
            <v>14</v>
          </cell>
        </row>
        <row r="738">
          <cell r="AQ738">
            <v>125.68</v>
          </cell>
          <cell r="AY738">
            <v>0.5</v>
          </cell>
          <cell r="AZ738">
            <v>8</v>
          </cell>
          <cell r="BI738">
            <v>9</v>
          </cell>
        </row>
        <row r="739">
          <cell r="AQ739">
            <v>178.21</v>
          </cell>
          <cell r="AY739">
            <v>0.2857142857142857</v>
          </cell>
          <cell r="AZ739">
            <v>8</v>
          </cell>
          <cell r="BI739">
            <v>9</v>
          </cell>
        </row>
        <row r="740">
          <cell r="AQ740">
            <v>483.23</v>
          </cell>
          <cell r="AY740">
            <v>0</v>
          </cell>
          <cell r="AZ740">
            <v>5</v>
          </cell>
          <cell r="BI740">
            <v>9</v>
          </cell>
        </row>
        <row r="741">
          <cell r="AQ741">
            <v>415.3</v>
          </cell>
          <cell r="AY741">
            <v>9.0909090909090912E-2</v>
          </cell>
          <cell r="AZ741">
            <v>9</v>
          </cell>
          <cell r="BI741">
            <v>2</v>
          </cell>
        </row>
        <row r="742">
          <cell r="AQ742">
            <v>85.52</v>
          </cell>
          <cell r="AY742">
            <v>0.14285714285714285</v>
          </cell>
          <cell r="AZ742">
            <v>3</v>
          </cell>
          <cell r="BI742">
            <v>7</v>
          </cell>
        </row>
        <row r="743">
          <cell r="AQ743">
            <v>422.31</v>
          </cell>
          <cell r="AY743">
            <v>0</v>
          </cell>
          <cell r="AZ743">
            <v>6</v>
          </cell>
          <cell r="BI743">
            <v>3</v>
          </cell>
        </row>
        <row r="744">
          <cell r="AQ744">
            <v>70.42</v>
          </cell>
          <cell r="AY744">
            <v>0.18181818181818182</v>
          </cell>
          <cell r="AZ744">
            <v>7</v>
          </cell>
          <cell r="BI744">
            <v>14</v>
          </cell>
        </row>
        <row r="745">
          <cell r="AQ745">
            <v>437.4</v>
          </cell>
          <cell r="AY745">
            <v>0.33333333333333331</v>
          </cell>
          <cell r="AZ745">
            <v>5</v>
          </cell>
          <cell r="BI745">
            <v>1</v>
          </cell>
        </row>
        <row r="746">
          <cell r="AQ746">
            <v>207.11</v>
          </cell>
          <cell r="AY746">
            <v>0</v>
          </cell>
          <cell r="AZ746">
            <v>1</v>
          </cell>
          <cell r="BI746">
            <v>2</v>
          </cell>
        </row>
        <row r="747">
          <cell r="AQ747">
            <v>378.87</v>
          </cell>
          <cell r="AY747">
            <v>1</v>
          </cell>
          <cell r="AZ747">
            <v>2</v>
          </cell>
          <cell r="BI747">
            <v>9</v>
          </cell>
        </row>
        <row r="748">
          <cell r="AQ748">
            <v>349</v>
          </cell>
          <cell r="AY748">
            <v>0.1</v>
          </cell>
          <cell r="AZ748">
            <v>5</v>
          </cell>
          <cell r="BI748">
            <v>10</v>
          </cell>
        </row>
        <row r="749">
          <cell r="AQ749">
            <v>330.27</v>
          </cell>
          <cell r="AY749">
            <v>0.33333333333333331</v>
          </cell>
          <cell r="AZ749">
            <v>9</v>
          </cell>
          <cell r="BI749">
            <v>9</v>
          </cell>
        </row>
        <row r="750">
          <cell r="AQ750">
            <v>410.29</v>
          </cell>
          <cell r="AY750">
            <v>0.2</v>
          </cell>
          <cell r="AZ750">
            <v>4</v>
          </cell>
          <cell r="BI750">
            <v>1</v>
          </cell>
        </row>
        <row r="751">
          <cell r="AQ751">
            <v>400.86</v>
          </cell>
          <cell r="AY751">
            <v>0.14285714285714285</v>
          </cell>
          <cell r="AZ751">
            <v>7</v>
          </cell>
          <cell r="BI751">
            <v>5</v>
          </cell>
        </row>
        <row r="752">
          <cell r="AQ752">
            <v>225.12</v>
          </cell>
          <cell r="AY752">
            <v>0</v>
          </cell>
          <cell r="AZ752">
            <v>1</v>
          </cell>
          <cell r="BI752">
            <v>6</v>
          </cell>
        </row>
        <row r="753">
          <cell r="AQ753">
            <v>273.48</v>
          </cell>
          <cell r="AY753">
            <v>0</v>
          </cell>
          <cell r="AZ753">
            <v>5</v>
          </cell>
          <cell r="BI753">
            <v>5</v>
          </cell>
        </row>
        <row r="754">
          <cell r="AQ754">
            <v>363.84</v>
          </cell>
          <cell r="AY754">
            <v>0</v>
          </cell>
          <cell r="AZ754">
            <v>3</v>
          </cell>
          <cell r="BI754">
            <v>5</v>
          </cell>
        </row>
        <row r="755">
          <cell r="AQ755">
            <v>302.60000000000002</v>
          </cell>
          <cell r="AY755">
            <v>0.22222222222222221</v>
          </cell>
          <cell r="AZ755">
            <v>10</v>
          </cell>
          <cell r="BI755">
            <v>2</v>
          </cell>
        </row>
        <row r="756">
          <cell r="AQ756">
            <v>317.08999999999997</v>
          </cell>
          <cell r="AY756">
            <v>0.33333333333333331</v>
          </cell>
          <cell r="AZ756">
            <v>2</v>
          </cell>
          <cell r="BI756">
            <v>4</v>
          </cell>
        </row>
        <row r="757">
          <cell r="AQ757">
            <v>193.32</v>
          </cell>
          <cell r="AY757">
            <v>0</v>
          </cell>
          <cell r="AZ757">
            <v>8</v>
          </cell>
          <cell r="BI757">
            <v>6</v>
          </cell>
        </row>
        <row r="758">
          <cell r="AQ758">
            <v>282.24</v>
          </cell>
          <cell r="AY758">
            <v>0.16666666666666666</v>
          </cell>
          <cell r="AZ758">
            <v>7</v>
          </cell>
          <cell r="BI758">
            <v>1</v>
          </cell>
        </row>
        <row r="759">
          <cell r="AQ759">
            <v>154.19</v>
          </cell>
          <cell r="AY759">
            <v>0.33333333333333331</v>
          </cell>
          <cell r="AZ759">
            <v>1</v>
          </cell>
          <cell r="BI759">
            <v>1</v>
          </cell>
        </row>
        <row r="760">
          <cell r="AQ760">
            <v>84.15</v>
          </cell>
          <cell r="AY760">
            <v>0.2</v>
          </cell>
          <cell r="AZ760">
            <v>1</v>
          </cell>
          <cell r="BI760">
            <v>1</v>
          </cell>
        </row>
        <row r="761">
          <cell r="AQ761">
            <v>214.69</v>
          </cell>
          <cell r="AY761">
            <v>0.14285714285714285</v>
          </cell>
          <cell r="AZ761">
            <v>7</v>
          </cell>
          <cell r="BI761">
            <v>9</v>
          </cell>
        </row>
        <row r="762">
          <cell r="AQ762">
            <v>61.21</v>
          </cell>
          <cell r="AY762">
            <v>0</v>
          </cell>
          <cell r="AZ762">
            <v>5</v>
          </cell>
          <cell r="BI762">
            <v>13</v>
          </cell>
        </row>
        <row r="763">
          <cell r="AQ763">
            <v>462.48</v>
          </cell>
          <cell r="AY763">
            <v>0.18181818181818182</v>
          </cell>
          <cell r="AZ763">
            <v>2</v>
          </cell>
          <cell r="BI763">
            <v>12</v>
          </cell>
        </row>
        <row r="764">
          <cell r="AQ764">
            <v>449.18</v>
          </cell>
          <cell r="AY764">
            <v>0</v>
          </cell>
          <cell r="AZ764">
            <v>8</v>
          </cell>
          <cell r="BI764">
            <v>10</v>
          </cell>
        </row>
        <row r="765">
          <cell r="AQ765">
            <v>314.36</v>
          </cell>
          <cell r="AY765">
            <v>0.14285714285714285</v>
          </cell>
          <cell r="AZ765">
            <v>4</v>
          </cell>
          <cell r="BI765">
            <v>1</v>
          </cell>
        </row>
        <row r="766">
          <cell r="AQ766">
            <v>367.7</v>
          </cell>
          <cell r="AY766">
            <v>0.66666666666666663</v>
          </cell>
          <cell r="AZ766">
            <v>3</v>
          </cell>
          <cell r="BI766">
            <v>3</v>
          </cell>
        </row>
        <row r="767">
          <cell r="AQ767">
            <v>229.97</v>
          </cell>
          <cell r="AY767">
            <v>0.2857142857142857</v>
          </cell>
          <cell r="AZ767">
            <v>9</v>
          </cell>
          <cell r="BI767">
            <v>6</v>
          </cell>
        </row>
        <row r="768">
          <cell r="AQ768">
            <v>226.53</v>
          </cell>
          <cell r="AY768">
            <v>0.33333333333333331</v>
          </cell>
          <cell r="AZ768">
            <v>10</v>
          </cell>
          <cell r="BI768">
            <v>13</v>
          </cell>
        </row>
        <row r="769">
          <cell r="AQ769">
            <v>218.32</v>
          </cell>
          <cell r="AY769">
            <v>1</v>
          </cell>
          <cell r="AZ769">
            <v>7</v>
          </cell>
          <cell r="BI769">
            <v>3</v>
          </cell>
        </row>
        <row r="770">
          <cell r="AQ770">
            <v>132.66999999999999</v>
          </cell>
          <cell r="AY770">
            <v>0.2857142857142857</v>
          </cell>
          <cell r="AZ770">
            <v>3</v>
          </cell>
          <cell r="BI770">
            <v>1</v>
          </cell>
        </row>
        <row r="771">
          <cell r="AQ771">
            <v>416.96</v>
          </cell>
          <cell r="AY771">
            <v>0</v>
          </cell>
          <cell r="AZ771">
            <v>1</v>
          </cell>
          <cell r="BI771">
            <v>7</v>
          </cell>
        </row>
        <row r="772">
          <cell r="AQ772">
            <v>459.51</v>
          </cell>
          <cell r="AY772">
            <v>0</v>
          </cell>
          <cell r="AZ772">
            <v>5</v>
          </cell>
          <cell r="BI772">
            <v>11</v>
          </cell>
        </row>
        <row r="773">
          <cell r="AQ773">
            <v>487.96</v>
          </cell>
          <cell r="AY773">
            <v>0</v>
          </cell>
          <cell r="AZ773">
            <v>2</v>
          </cell>
          <cell r="BI773">
            <v>12</v>
          </cell>
        </row>
        <row r="774">
          <cell r="AQ774">
            <v>150.11000000000001</v>
          </cell>
          <cell r="AY774">
            <v>0</v>
          </cell>
          <cell r="AZ774">
            <v>3</v>
          </cell>
          <cell r="BI774">
            <v>8</v>
          </cell>
        </row>
        <row r="775">
          <cell r="AQ775">
            <v>218.87</v>
          </cell>
          <cell r="AY775">
            <v>0</v>
          </cell>
          <cell r="AZ775">
            <v>4</v>
          </cell>
          <cell r="BI775">
            <v>11</v>
          </cell>
        </row>
        <row r="776">
          <cell r="AQ776">
            <v>437.06</v>
          </cell>
          <cell r="AY776">
            <v>0</v>
          </cell>
          <cell r="AZ776">
            <v>6</v>
          </cell>
          <cell r="BI776">
            <v>11</v>
          </cell>
        </row>
        <row r="777">
          <cell r="AQ777">
            <v>122.58</v>
          </cell>
          <cell r="AY777">
            <v>1</v>
          </cell>
          <cell r="AZ777">
            <v>5</v>
          </cell>
          <cell r="BI777">
            <v>12</v>
          </cell>
        </row>
        <row r="778">
          <cell r="AQ778">
            <v>195.07</v>
          </cell>
          <cell r="AY778">
            <v>0</v>
          </cell>
          <cell r="AZ778">
            <v>6</v>
          </cell>
          <cell r="BI778">
            <v>10</v>
          </cell>
        </row>
        <row r="779">
          <cell r="AQ779">
            <v>190.06</v>
          </cell>
          <cell r="AY779">
            <v>0.1111111111111111</v>
          </cell>
          <cell r="AZ779">
            <v>2</v>
          </cell>
          <cell r="BI779">
            <v>12</v>
          </cell>
        </row>
        <row r="780">
          <cell r="AQ780">
            <v>485.76</v>
          </cell>
          <cell r="AY780">
            <v>0</v>
          </cell>
          <cell r="AZ780">
            <v>4</v>
          </cell>
          <cell r="BI780">
            <v>4</v>
          </cell>
        </row>
        <row r="781">
          <cell r="AQ781">
            <v>242.57</v>
          </cell>
          <cell r="AY781">
            <v>0</v>
          </cell>
          <cell r="AZ781">
            <v>10</v>
          </cell>
          <cell r="BI781">
            <v>1</v>
          </cell>
        </row>
        <row r="782">
          <cell r="AQ782">
            <v>303.13</v>
          </cell>
          <cell r="AY782">
            <v>0</v>
          </cell>
          <cell r="AZ782">
            <v>7</v>
          </cell>
          <cell r="BI782">
            <v>10</v>
          </cell>
        </row>
        <row r="783">
          <cell r="AQ783">
            <v>136.1</v>
          </cell>
          <cell r="AY783">
            <v>0</v>
          </cell>
          <cell r="AZ783">
            <v>2</v>
          </cell>
          <cell r="BI783">
            <v>14</v>
          </cell>
        </row>
        <row r="784">
          <cell r="AQ784">
            <v>249.02</v>
          </cell>
          <cell r="AY784">
            <v>9.0909090909090912E-2</v>
          </cell>
          <cell r="AZ784">
            <v>1</v>
          </cell>
          <cell r="BI784">
            <v>14</v>
          </cell>
        </row>
        <row r="785">
          <cell r="AQ785">
            <v>466.74</v>
          </cell>
          <cell r="AY785">
            <v>0.2857142857142857</v>
          </cell>
          <cell r="AZ785">
            <v>3</v>
          </cell>
          <cell r="BI785">
            <v>5</v>
          </cell>
        </row>
        <row r="786">
          <cell r="AQ786">
            <v>229.3</v>
          </cell>
          <cell r="AY786">
            <v>0</v>
          </cell>
          <cell r="AZ786">
            <v>6</v>
          </cell>
          <cell r="BI786">
            <v>6</v>
          </cell>
        </row>
        <row r="787">
          <cell r="AQ787">
            <v>450.52</v>
          </cell>
          <cell r="AY787">
            <v>0</v>
          </cell>
          <cell r="AZ787">
            <v>6</v>
          </cell>
          <cell r="BI787">
            <v>8</v>
          </cell>
        </row>
        <row r="788">
          <cell r="AQ788">
            <v>246.44</v>
          </cell>
          <cell r="AY788">
            <v>0</v>
          </cell>
          <cell r="AZ788">
            <v>3</v>
          </cell>
          <cell r="BI788">
            <v>5</v>
          </cell>
        </row>
        <row r="789">
          <cell r="AQ789">
            <v>93.52</v>
          </cell>
          <cell r="AY789">
            <v>0.5</v>
          </cell>
          <cell r="AZ789">
            <v>2</v>
          </cell>
          <cell r="BI789">
            <v>12</v>
          </cell>
        </row>
        <row r="790">
          <cell r="AQ790">
            <v>137.75</v>
          </cell>
          <cell r="AY790">
            <v>0</v>
          </cell>
          <cell r="AZ790">
            <v>1</v>
          </cell>
          <cell r="BI790">
            <v>4</v>
          </cell>
        </row>
        <row r="791">
          <cell r="AQ791">
            <v>78.64</v>
          </cell>
          <cell r="AY791">
            <v>0</v>
          </cell>
          <cell r="AZ791">
            <v>3</v>
          </cell>
          <cell r="BI791">
            <v>12</v>
          </cell>
        </row>
        <row r="792">
          <cell r="AQ792">
            <v>214.82</v>
          </cell>
          <cell r="AY792">
            <v>0.1111111111111111</v>
          </cell>
          <cell r="AZ792">
            <v>9</v>
          </cell>
          <cell r="BI792">
            <v>11</v>
          </cell>
        </row>
        <row r="793">
          <cell r="AQ793">
            <v>57.39</v>
          </cell>
          <cell r="AY793">
            <v>0</v>
          </cell>
          <cell r="AZ793">
            <v>10</v>
          </cell>
          <cell r="BI793">
            <v>3</v>
          </cell>
        </row>
        <row r="794">
          <cell r="AQ794">
            <v>363.91</v>
          </cell>
          <cell r="AY794">
            <v>0</v>
          </cell>
          <cell r="AZ794">
            <v>2</v>
          </cell>
          <cell r="BI794">
            <v>9</v>
          </cell>
        </row>
        <row r="795">
          <cell r="AQ795">
            <v>304.79000000000002</v>
          </cell>
          <cell r="AY795">
            <v>8.3333333333333329E-2</v>
          </cell>
          <cell r="AZ795">
            <v>9</v>
          </cell>
          <cell r="BI795">
            <v>10</v>
          </cell>
        </row>
        <row r="796">
          <cell r="AQ796">
            <v>363.98</v>
          </cell>
          <cell r="AY796">
            <v>0.5</v>
          </cell>
          <cell r="AZ796">
            <v>7</v>
          </cell>
          <cell r="BI796">
            <v>1</v>
          </cell>
        </row>
        <row r="797">
          <cell r="AQ797">
            <v>249.6</v>
          </cell>
          <cell r="AY797">
            <v>0.2857142857142857</v>
          </cell>
          <cell r="AZ797">
            <v>7</v>
          </cell>
          <cell r="BI797">
            <v>11</v>
          </cell>
        </row>
        <row r="798">
          <cell r="AQ798">
            <v>345.04</v>
          </cell>
          <cell r="AY798">
            <v>0</v>
          </cell>
          <cell r="AZ798">
            <v>8</v>
          </cell>
          <cell r="BI798">
            <v>13</v>
          </cell>
        </row>
        <row r="799">
          <cell r="AQ799">
            <v>59.15</v>
          </cell>
          <cell r="AY799">
            <v>0</v>
          </cell>
          <cell r="AZ799">
            <v>1</v>
          </cell>
          <cell r="BI799">
            <v>8</v>
          </cell>
        </row>
        <row r="800">
          <cell r="AQ800">
            <v>461.81</v>
          </cell>
          <cell r="AY800">
            <v>0</v>
          </cell>
          <cell r="AZ800">
            <v>8</v>
          </cell>
          <cell r="BI800">
            <v>8</v>
          </cell>
        </row>
        <row r="801">
          <cell r="AQ801">
            <v>280.88</v>
          </cell>
          <cell r="AY801">
            <v>0</v>
          </cell>
          <cell r="AZ801">
            <v>2</v>
          </cell>
          <cell r="BI801">
            <v>2</v>
          </cell>
        </row>
        <row r="802">
          <cell r="AQ802">
            <v>283.7</v>
          </cell>
          <cell r="AY802">
            <v>0.125</v>
          </cell>
          <cell r="AZ802">
            <v>3</v>
          </cell>
          <cell r="BI802">
            <v>8</v>
          </cell>
        </row>
        <row r="803">
          <cell r="AQ803">
            <v>411.95</v>
          </cell>
          <cell r="AY803">
            <v>0</v>
          </cell>
          <cell r="AZ803">
            <v>4</v>
          </cell>
          <cell r="BI803">
            <v>5</v>
          </cell>
        </row>
        <row r="804">
          <cell r="AQ804">
            <v>476.11</v>
          </cell>
          <cell r="AY804">
            <v>0.4</v>
          </cell>
          <cell r="AZ804">
            <v>10</v>
          </cell>
          <cell r="BI804">
            <v>1</v>
          </cell>
        </row>
        <row r="805">
          <cell r="AQ805">
            <v>399.24</v>
          </cell>
          <cell r="AY805">
            <v>0.14285714285714285</v>
          </cell>
          <cell r="AZ805">
            <v>2</v>
          </cell>
          <cell r="BI805">
            <v>10</v>
          </cell>
        </row>
        <row r="806">
          <cell r="AQ806">
            <v>90.79</v>
          </cell>
          <cell r="AY806">
            <v>0</v>
          </cell>
          <cell r="AZ806">
            <v>2</v>
          </cell>
          <cell r="BI806">
            <v>6</v>
          </cell>
        </row>
        <row r="807">
          <cell r="AQ807">
            <v>229.56</v>
          </cell>
          <cell r="AY807">
            <v>0</v>
          </cell>
          <cell r="AZ807">
            <v>9</v>
          </cell>
          <cell r="BI807">
            <v>11</v>
          </cell>
        </row>
        <row r="808">
          <cell r="AQ808">
            <v>160.47</v>
          </cell>
          <cell r="AY808">
            <v>0</v>
          </cell>
          <cell r="AZ808">
            <v>3</v>
          </cell>
          <cell r="BI808">
            <v>6</v>
          </cell>
        </row>
        <row r="809">
          <cell r="AQ809">
            <v>104.74</v>
          </cell>
          <cell r="AY809">
            <v>0</v>
          </cell>
          <cell r="AZ809">
            <v>4</v>
          </cell>
          <cell r="BI809">
            <v>1</v>
          </cell>
        </row>
        <row r="810">
          <cell r="AQ810">
            <v>399.95</v>
          </cell>
          <cell r="AY810">
            <v>0.1</v>
          </cell>
          <cell r="AZ810">
            <v>2</v>
          </cell>
          <cell r="BI810">
            <v>10</v>
          </cell>
        </row>
        <row r="811">
          <cell r="AQ811">
            <v>337.33</v>
          </cell>
          <cell r="AY811">
            <v>0</v>
          </cell>
          <cell r="AZ811">
            <v>5</v>
          </cell>
          <cell r="BI811">
            <v>10</v>
          </cell>
        </row>
        <row r="812">
          <cell r="AQ812">
            <v>204.83</v>
          </cell>
          <cell r="AY812">
            <v>0.16666666666666666</v>
          </cell>
          <cell r="AZ812">
            <v>5</v>
          </cell>
          <cell r="BI812">
            <v>5</v>
          </cell>
        </row>
        <row r="813">
          <cell r="AQ813">
            <v>193.94</v>
          </cell>
          <cell r="AY813">
            <v>0</v>
          </cell>
          <cell r="AZ813">
            <v>3</v>
          </cell>
          <cell r="BI813">
            <v>9</v>
          </cell>
        </row>
        <row r="814">
          <cell r="AQ814">
            <v>460.37</v>
          </cell>
          <cell r="AY814">
            <v>0.2</v>
          </cell>
          <cell r="AZ814">
            <v>7</v>
          </cell>
          <cell r="BI814">
            <v>12</v>
          </cell>
        </row>
        <row r="815">
          <cell r="AQ815">
            <v>297.29000000000002</v>
          </cell>
          <cell r="AY815">
            <v>0</v>
          </cell>
          <cell r="AZ815">
            <v>9</v>
          </cell>
          <cell r="BI815">
            <v>3</v>
          </cell>
        </row>
        <row r="816">
          <cell r="AQ816">
            <v>389.47</v>
          </cell>
          <cell r="AY816">
            <v>0.25</v>
          </cell>
          <cell r="AZ816">
            <v>9</v>
          </cell>
          <cell r="BI816">
            <v>6</v>
          </cell>
        </row>
        <row r="817">
          <cell r="AQ817">
            <v>370.05</v>
          </cell>
          <cell r="AY817">
            <v>9.0909090909090912E-2</v>
          </cell>
          <cell r="AZ817">
            <v>10</v>
          </cell>
          <cell r="BI817">
            <v>10</v>
          </cell>
        </row>
        <row r="818">
          <cell r="AQ818">
            <v>462.24</v>
          </cell>
          <cell r="AY818">
            <v>1</v>
          </cell>
          <cell r="AZ818">
            <v>1</v>
          </cell>
          <cell r="BI818">
            <v>13</v>
          </cell>
        </row>
        <row r="819">
          <cell r="AQ819">
            <v>472.53</v>
          </cell>
          <cell r="AY819">
            <v>0.18181818181818182</v>
          </cell>
          <cell r="AZ819">
            <v>7</v>
          </cell>
          <cell r="BI819">
            <v>4</v>
          </cell>
        </row>
        <row r="820">
          <cell r="AQ820">
            <v>407.29</v>
          </cell>
          <cell r="AY820">
            <v>0</v>
          </cell>
          <cell r="AZ820">
            <v>5</v>
          </cell>
          <cell r="BI820">
            <v>3</v>
          </cell>
        </row>
        <row r="821">
          <cell r="AQ821">
            <v>135.65</v>
          </cell>
          <cell r="AY821">
            <v>0</v>
          </cell>
          <cell r="AZ821">
            <v>9</v>
          </cell>
          <cell r="BI821">
            <v>14</v>
          </cell>
        </row>
        <row r="822">
          <cell r="AQ822">
            <v>352.35</v>
          </cell>
          <cell r="AY822">
            <v>0.25</v>
          </cell>
          <cell r="AZ822">
            <v>1</v>
          </cell>
          <cell r="BI822">
            <v>14</v>
          </cell>
        </row>
        <row r="823">
          <cell r="AQ823">
            <v>441.73</v>
          </cell>
          <cell r="AY823">
            <v>0</v>
          </cell>
          <cell r="AZ823">
            <v>8</v>
          </cell>
          <cell r="BI823">
            <v>8</v>
          </cell>
        </row>
        <row r="824">
          <cell r="AQ824">
            <v>105.95</v>
          </cell>
          <cell r="AY824">
            <v>8.3333333333333329E-2</v>
          </cell>
          <cell r="AZ824">
            <v>7</v>
          </cell>
          <cell r="BI824">
            <v>11</v>
          </cell>
        </row>
        <row r="825">
          <cell r="AQ825">
            <v>351.54</v>
          </cell>
          <cell r="AY825">
            <v>0</v>
          </cell>
          <cell r="AZ825">
            <v>8</v>
          </cell>
          <cell r="BI825">
            <v>12</v>
          </cell>
        </row>
        <row r="826">
          <cell r="AQ826">
            <v>321.26</v>
          </cell>
          <cell r="AY826">
            <v>0</v>
          </cell>
          <cell r="AZ826">
            <v>6</v>
          </cell>
          <cell r="BI826">
            <v>14</v>
          </cell>
        </row>
        <row r="827">
          <cell r="AQ827">
            <v>421.5</v>
          </cell>
          <cell r="AY827">
            <v>0</v>
          </cell>
          <cell r="AZ827">
            <v>8</v>
          </cell>
          <cell r="BI827">
            <v>3</v>
          </cell>
        </row>
        <row r="828">
          <cell r="AQ828">
            <v>253.29</v>
          </cell>
          <cell r="AY828">
            <v>0.16666666666666666</v>
          </cell>
          <cell r="AZ828">
            <v>4</v>
          </cell>
          <cell r="BI828">
            <v>8</v>
          </cell>
        </row>
        <row r="829">
          <cell r="AQ829">
            <v>217.62</v>
          </cell>
          <cell r="AY829">
            <v>0.66666666666666663</v>
          </cell>
          <cell r="AZ829">
            <v>3</v>
          </cell>
          <cell r="BI829">
            <v>5</v>
          </cell>
        </row>
        <row r="830">
          <cell r="AQ830">
            <v>226.04</v>
          </cell>
          <cell r="AY830">
            <v>0</v>
          </cell>
          <cell r="AZ830">
            <v>9</v>
          </cell>
          <cell r="BI830">
            <v>12</v>
          </cell>
        </row>
        <row r="831">
          <cell r="AQ831">
            <v>52.79</v>
          </cell>
          <cell r="AY831">
            <v>0.25</v>
          </cell>
          <cell r="AZ831">
            <v>7</v>
          </cell>
          <cell r="BI831">
            <v>4</v>
          </cell>
        </row>
        <row r="832">
          <cell r="AQ832">
            <v>385.08</v>
          </cell>
          <cell r="AY832">
            <v>0.14285714285714285</v>
          </cell>
          <cell r="AZ832">
            <v>1</v>
          </cell>
          <cell r="BI832">
            <v>1</v>
          </cell>
        </row>
        <row r="833">
          <cell r="AQ833">
            <v>181.1</v>
          </cell>
          <cell r="AY833">
            <v>1</v>
          </cell>
          <cell r="AZ833">
            <v>7</v>
          </cell>
          <cell r="BI833">
            <v>5</v>
          </cell>
        </row>
        <row r="834">
          <cell r="AQ834">
            <v>246.41</v>
          </cell>
          <cell r="AY834">
            <v>0.2857142857142857</v>
          </cell>
          <cell r="AZ834">
            <v>8</v>
          </cell>
          <cell r="BI834">
            <v>11</v>
          </cell>
        </row>
        <row r="835">
          <cell r="AQ835">
            <v>140.87</v>
          </cell>
          <cell r="AY835">
            <v>0.25</v>
          </cell>
          <cell r="AZ835">
            <v>7</v>
          </cell>
          <cell r="BI835">
            <v>9</v>
          </cell>
        </row>
        <row r="836">
          <cell r="AQ836">
            <v>151.25</v>
          </cell>
          <cell r="AY836">
            <v>0.5</v>
          </cell>
          <cell r="AZ836">
            <v>8</v>
          </cell>
          <cell r="BI836">
            <v>10</v>
          </cell>
        </row>
        <row r="837">
          <cell r="AQ837">
            <v>171.52</v>
          </cell>
          <cell r="AY837">
            <v>0.33333333333333331</v>
          </cell>
          <cell r="AZ837">
            <v>9</v>
          </cell>
          <cell r="BI837">
            <v>12</v>
          </cell>
        </row>
        <row r="838">
          <cell r="AQ838">
            <v>399.56</v>
          </cell>
          <cell r="AY838">
            <v>0</v>
          </cell>
          <cell r="AZ838">
            <v>4</v>
          </cell>
          <cell r="BI838">
            <v>1</v>
          </cell>
        </row>
        <row r="839">
          <cell r="AQ839">
            <v>173.46</v>
          </cell>
          <cell r="AY839">
            <v>0</v>
          </cell>
          <cell r="AZ839">
            <v>9</v>
          </cell>
          <cell r="BI839">
            <v>2</v>
          </cell>
        </row>
        <row r="840">
          <cell r="AQ840">
            <v>332.14</v>
          </cell>
          <cell r="AY840">
            <v>0.1</v>
          </cell>
          <cell r="AZ840">
            <v>2</v>
          </cell>
          <cell r="BI840">
            <v>13</v>
          </cell>
        </row>
        <row r="841">
          <cell r="AQ841">
            <v>247.05</v>
          </cell>
          <cell r="AY841">
            <v>0.125</v>
          </cell>
          <cell r="AZ841">
            <v>8</v>
          </cell>
          <cell r="BI841">
            <v>2</v>
          </cell>
        </row>
        <row r="842">
          <cell r="AQ842">
            <v>365.88</v>
          </cell>
          <cell r="AY842">
            <v>0.1</v>
          </cell>
          <cell r="AZ842">
            <v>1</v>
          </cell>
          <cell r="BI842">
            <v>9</v>
          </cell>
        </row>
        <row r="843">
          <cell r="AQ843">
            <v>354.92</v>
          </cell>
          <cell r="AY843">
            <v>0</v>
          </cell>
          <cell r="AZ843">
            <v>1</v>
          </cell>
          <cell r="BI843">
            <v>13</v>
          </cell>
        </row>
        <row r="844">
          <cell r="AQ844">
            <v>195.46</v>
          </cell>
          <cell r="AY844">
            <v>0</v>
          </cell>
          <cell r="AZ844">
            <v>10</v>
          </cell>
          <cell r="BI844">
            <v>9</v>
          </cell>
        </row>
        <row r="845">
          <cell r="AQ845">
            <v>474.03</v>
          </cell>
          <cell r="AY845">
            <v>0</v>
          </cell>
          <cell r="AZ845">
            <v>6</v>
          </cell>
          <cell r="BI845">
            <v>13</v>
          </cell>
        </row>
        <row r="846">
          <cell r="AQ846">
            <v>106.96</v>
          </cell>
          <cell r="AY846">
            <v>0</v>
          </cell>
          <cell r="AZ846">
            <v>7</v>
          </cell>
          <cell r="BI846">
            <v>3</v>
          </cell>
        </row>
        <row r="847">
          <cell r="AQ847">
            <v>371.84</v>
          </cell>
          <cell r="AY847">
            <v>0.22222222222222221</v>
          </cell>
          <cell r="AZ847">
            <v>6</v>
          </cell>
          <cell r="BI847">
            <v>2</v>
          </cell>
        </row>
        <row r="848">
          <cell r="AQ848">
            <v>461.16</v>
          </cell>
          <cell r="AY848">
            <v>0</v>
          </cell>
          <cell r="AZ848">
            <v>3</v>
          </cell>
          <cell r="BI848">
            <v>14</v>
          </cell>
        </row>
        <row r="849">
          <cell r="AQ849">
            <v>497.75</v>
          </cell>
          <cell r="AY849">
            <v>0.18181818181818182</v>
          </cell>
          <cell r="AZ849">
            <v>1</v>
          </cell>
          <cell r="BI849">
            <v>13</v>
          </cell>
        </row>
        <row r="850">
          <cell r="AQ850">
            <v>492.83</v>
          </cell>
          <cell r="AY850">
            <v>0</v>
          </cell>
          <cell r="AZ850">
            <v>4</v>
          </cell>
          <cell r="BI850">
            <v>2</v>
          </cell>
        </row>
        <row r="851">
          <cell r="AQ851">
            <v>295.54000000000002</v>
          </cell>
          <cell r="AY851">
            <v>0.25</v>
          </cell>
          <cell r="AZ851">
            <v>4</v>
          </cell>
          <cell r="BI851">
            <v>14</v>
          </cell>
        </row>
        <row r="852">
          <cell r="AQ852">
            <v>494.81</v>
          </cell>
          <cell r="AY852">
            <v>0.1111111111111111</v>
          </cell>
          <cell r="AZ852">
            <v>7</v>
          </cell>
          <cell r="BI852">
            <v>6</v>
          </cell>
        </row>
        <row r="853">
          <cell r="AQ853">
            <v>160.25</v>
          </cell>
          <cell r="AY853">
            <v>0.2857142857142857</v>
          </cell>
          <cell r="AZ853">
            <v>5</v>
          </cell>
          <cell r="BI853">
            <v>12</v>
          </cell>
        </row>
        <row r="854">
          <cell r="AQ854">
            <v>198.36</v>
          </cell>
          <cell r="AY854">
            <v>0.25</v>
          </cell>
          <cell r="AZ854">
            <v>9</v>
          </cell>
          <cell r="BI854">
            <v>4</v>
          </cell>
        </row>
        <row r="855">
          <cell r="AQ855">
            <v>82.39</v>
          </cell>
          <cell r="AY855">
            <v>0</v>
          </cell>
          <cell r="AZ855">
            <v>8</v>
          </cell>
          <cell r="BI855">
            <v>1</v>
          </cell>
        </row>
        <row r="856">
          <cell r="AQ856">
            <v>290.56</v>
          </cell>
          <cell r="AY856">
            <v>0.33333333333333331</v>
          </cell>
          <cell r="AZ856">
            <v>1</v>
          </cell>
          <cell r="BI856">
            <v>4</v>
          </cell>
        </row>
        <row r="857">
          <cell r="AQ857">
            <v>206.79</v>
          </cell>
          <cell r="AY857">
            <v>0.2</v>
          </cell>
          <cell r="AZ857">
            <v>2</v>
          </cell>
          <cell r="BI857">
            <v>4</v>
          </cell>
        </row>
        <row r="858">
          <cell r="AQ858">
            <v>401.43</v>
          </cell>
          <cell r="AY858">
            <v>0</v>
          </cell>
          <cell r="AZ858">
            <v>6</v>
          </cell>
          <cell r="BI858">
            <v>5</v>
          </cell>
        </row>
        <row r="859">
          <cell r="AQ859">
            <v>188.17</v>
          </cell>
          <cell r="AY859">
            <v>0.1111111111111111</v>
          </cell>
          <cell r="AZ859">
            <v>5</v>
          </cell>
          <cell r="BI859">
            <v>9</v>
          </cell>
        </row>
        <row r="860">
          <cell r="AQ860">
            <v>83.21</v>
          </cell>
          <cell r="AY860">
            <v>0</v>
          </cell>
          <cell r="AZ860">
            <v>4</v>
          </cell>
          <cell r="BI860">
            <v>7</v>
          </cell>
        </row>
        <row r="861">
          <cell r="AQ861">
            <v>54.74</v>
          </cell>
          <cell r="AY861">
            <v>0</v>
          </cell>
          <cell r="AZ861">
            <v>4</v>
          </cell>
          <cell r="BI861">
            <v>14</v>
          </cell>
        </row>
        <row r="862">
          <cell r="AQ862">
            <v>371.12</v>
          </cell>
          <cell r="AY862">
            <v>0.125</v>
          </cell>
          <cell r="AZ862">
            <v>7</v>
          </cell>
          <cell r="BI862">
            <v>8</v>
          </cell>
        </row>
        <row r="863">
          <cell r="AQ863">
            <v>293.64</v>
          </cell>
          <cell r="AY863">
            <v>0.66666666666666663</v>
          </cell>
          <cell r="AZ863">
            <v>8</v>
          </cell>
          <cell r="BI863">
            <v>5</v>
          </cell>
        </row>
        <row r="864">
          <cell r="AQ864">
            <v>185.83</v>
          </cell>
          <cell r="AY864">
            <v>0.18181818181818182</v>
          </cell>
          <cell r="AZ864">
            <v>9</v>
          </cell>
          <cell r="BI864">
            <v>1</v>
          </cell>
        </row>
        <row r="865">
          <cell r="AQ865">
            <v>117.13</v>
          </cell>
          <cell r="AY865">
            <v>0.14285714285714285</v>
          </cell>
          <cell r="AZ865">
            <v>10</v>
          </cell>
          <cell r="BI865">
            <v>6</v>
          </cell>
        </row>
        <row r="866">
          <cell r="AQ866">
            <v>52.24</v>
          </cell>
          <cell r="AY866">
            <v>0.18181818181818182</v>
          </cell>
          <cell r="AZ866">
            <v>4</v>
          </cell>
          <cell r="BI866">
            <v>8</v>
          </cell>
        </row>
        <row r="867">
          <cell r="AQ867">
            <v>446.69</v>
          </cell>
          <cell r="AY867">
            <v>0.14285714285714285</v>
          </cell>
          <cell r="AZ867">
            <v>5</v>
          </cell>
          <cell r="BI867">
            <v>13</v>
          </cell>
        </row>
        <row r="868">
          <cell r="AQ868">
            <v>216.84</v>
          </cell>
          <cell r="AY868">
            <v>0.2</v>
          </cell>
          <cell r="AZ868">
            <v>1</v>
          </cell>
          <cell r="BI868">
            <v>5</v>
          </cell>
        </row>
        <row r="869">
          <cell r="AQ869">
            <v>75.27</v>
          </cell>
          <cell r="AY869">
            <v>0.2857142857142857</v>
          </cell>
          <cell r="AZ869">
            <v>3</v>
          </cell>
          <cell r="BI869">
            <v>1</v>
          </cell>
        </row>
        <row r="870">
          <cell r="AQ870">
            <v>308.87</v>
          </cell>
          <cell r="AY870">
            <v>1</v>
          </cell>
          <cell r="AZ870">
            <v>2</v>
          </cell>
          <cell r="BI870">
            <v>11</v>
          </cell>
        </row>
        <row r="871">
          <cell r="AQ871">
            <v>169.77</v>
          </cell>
          <cell r="AY871">
            <v>0.4</v>
          </cell>
          <cell r="AZ871">
            <v>9</v>
          </cell>
          <cell r="BI871">
            <v>7</v>
          </cell>
        </row>
        <row r="872">
          <cell r="AQ872">
            <v>289.08</v>
          </cell>
          <cell r="AY872">
            <v>8.3333333333333329E-2</v>
          </cell>
          <cell r="AZ872">
            <v>10</v>
          </cell>
          <cell r="BI872">
            <v>7</v>
          </cell>
        </row>
        <row r="873">
          <cell r="AQ873">
            <v>74.09</v>
          </cell>
          <cell r="AY873">
            <v>0.2</v>
          </cell>
          <cell r="AZ873">
            <v>9</v>
          </cell>
          <cell r="BI873">
            <v>8</v>
          </cell>
        </row>
        <row r="874">
          <cell r="AQ874">
            <v>201.53</v>
          </cell>
          <cell r="AY874">
            <v>0.2</v>
          </cell>
          <cell r="AZ874">
            <v>6</v>
          </cell>
          <cell r="BI874">
            <v>11</v>
          </cell>
        </row>
        <row r="875">
          <cell r="AQ875">
            <v>244.6</v>
          </cell>
          <cell r="AY875">
            <v>0</v>
          </cell>
          <cell r="AZ875">
            <v>6</v>
          </cell>
          <cell r="BI875">
            <v>3</v>
          </cell>
        </row>
        <row r="876">
          <cell r="AQ876">
            <v>320.5</v>
          </cell>
          <cell r="AY876">
            <v>0</v>
          </cell>
          <cell r="AZ876">
            <v>9</v>
          </cell>
          <cell r="BI876">
            <v>9</v>
          </cell>
        </row>
        <row r="877">
          <cell r="AQ877">
            <v>91.63</v>
          </cell>
          <cell r="AY877">
            <v>0</v>
          </cell>
          <cell r="AZ877">
            <v>10</v>
          </cell>
          <cell r="BI877">
            <v>2</v>
          </cell>
        </row>
        <row r="878">
          <cell r="AQ878">
            <v>251.93</v>
          </cell>
          <cell r="AY878">
            <v>0.25</v>
          </cell>
          <cell r="AZ878">
            <v>3</v>
          </cell>
          <cell r="BI878">
            <v>7</v>
          </cell>
        </row>
        <row r="879">
          <cell r="AQ879">
            <v>477.35</v>
          </cell>
          <cell r="AY879">
            <v>0.25</v>
          </cell>
          <cell r="AZ879">
            <v>2</v>
          </cell>
          <cell r="BI879">
            <v>14</v>
          </cell>
        </row>
        <row r="880">
          <cell r="AQ880">
            <v>86.63</v>
          </cell>
          <cell r="AY880">
            <v>0.2</v>
          </cell>
          <cell r="AZ880">
            <v>2</v>
          </cell>
          <cell r="BI880">
            <v>3</v>
          </cell>
        </row>
        <row r="881">
          <cell r="AQ881">
            <v>474.42</v>
          </cell>
          <cell r="AY881">
            <v>0.25</v>
          </cell>
          <cell r="AZ881">
            <v>9</v>
          </cell>
          <cell r="BI881">
            <v>5</v>
          </cell>
        </row>
        <row r="882">
          <cell r="AQ882">
            <v>429.24</v>
          </cell>
          <cell r="AY882">
            <v>0</v>
          </cell>
          <cell r="AZ882">
            <v>1</v>
          </cell>
          <cell r="BI882">
            <v>10</v>
          </cell>
        </row>
        <row r="883">
          <cell r="AQ883">
            <v>470.38</v>
          </cell>
          <cell r="AY883">
            <v>0.25</v>
          </cell>
          <cell r="AZ883">
            <v>3</v>
          </cell>
          <cell r="BI883">
            <v>9</v>
          </cell>
        </row>
        <row r="884">
          <cell r="AQ884">
            <v>495.8</v>
          </cell>
          <cell r="AY884">
            <v>0</v>
          </cell>
          <cell r="AZ884">
            <v>7</v>
          </cell>
          <cell r="BI884">
            <v>10</v>
          </cell>
        </row>
        <row r="885">
          <cell r="AQ885">
            <v>129.63999999999999</v>
          </cell>
          <cell r="AY885">
            <v>0.25</v>
          </cell>
          <cell r="AZ885">
            <v>3</v>
          </cell>
          <cell r="BI885">
            <v>3</v>
          </cell>
        </row>
        <row r="886">
          <cell r="AQ886">
            <v>473.77</v>
          </cell>
          <cell r="AY886">
            <v>0.22222222222222221</v>
          </cell>
          <cell r="AZ886">
            <v>9</v>
          </cell>
          <cell r="BI886">
            <v>13</v>
          </cell>
        </row>
        <row r="887">
          <cell r="AQ887">
            <v>130.84</v>
          </cell>
          <cell r="AY887">
            <v>0.5</v>
          </cell>
          <cell r="AZ887">
            <v>10</v>
          </cell>
          <cell r="BI887">
            <v>13</v>
          </cell>
        </row>
        <row r="888">
          <cell r="AQ888">
            <v>436.54</v>
          </cell>
          <cell r="AY888">
            <v>8.3333333333333329E-2</v>
          </cell>
          <cell r="AZ888">
            <v>8</v>
          </cell>
          <cell r="BI888">
            <v>9</v>
          </cell>
        </row>
        <row r="889">
          <cell r="AQ889">
            <v>264.01</v>
          </cell>
          <cell r="AY889">
            <v>0.25</v>
          </cell>
          <cell r="AZ889">
            <v>5</v>
          </cell>
          <cell r="BI889">
            <v>2</v>
          </cell>
        </row>
        <row r="890">
          <cell r="AQ890">
            <v>58.27</v>
          </cell>
          <cell r="AY890">
            <v>0.5</v>
          </cell>
          <cell r="AZ890">
            <v>4</v>
          </cell>
          <cell r="BI890">
            <v>13</v>
          </cell>
        </row>
        <row r="891">
          <cell r="AQ891">
            <v>190.76</v>
          </cell>
          <cell r="AY891">
            <v>0.1</v>
          </cell>
          <cell r="AZ891">
            <v>3</v>
          </cell>
          <cell r="BI891">
            <v>11</v>
          </cell>
        </row>
        <row r="892">
          <cell r="AQ892">
            <v>105.76</v>
          </cell>
          <cell r="AY892">
            <v>0.125</v>
          </cell>
          <cell r="AZ892">
            <v>8</v>
          </cell>
          <cell r="BI892">
            <v>4</v>
          </cell>
        </row>
        <row r="893">
          <cell r="AQ893">
            <v>254.29</v>
          </cell>
          <cell r="AY893">
            <v>0.1111111111111111</v>
          </cell>
          <cell r="AZ893">
            <v>7</v>
          </cell>
          <cell r="BI893">
            <v>3</v>
          </cell>
        </row>
        <row r="894">
          <cell r="AQ894">
            <v>435.52</v>
          </cell>
          <cell r="AY894">
            <v>0.1111111111111111</v>
          </cell>
          <cell r="AZ894">
            <v>2</v>
          </cell>
          <cell r="BI894">
            <v>11</v>
          </cell>
        </row>
        <row r="895">
          <cell r="AQ895">
            <v>235.49</v>
          </cell>
          <cell r="AY895">
            <v>0.2</v>
          </cell>
          <cell r="AZ895">
            <v>6</v>
          </cell>
          <cell r="BI895">
            <v>5</v>
          </cell>
        </row>
        <row r="896">
          <cell r="AQ896">
            <v>161.34</v>
          </cell>
          <cell r="AY896">
            <v>0.33333333333333331</v>
          </cell>
          <cell r="AZ896">
            <v>8</v>
          </cell>
          <cell r="BI896">
            <v>4</v>
          </cell>
        </row>
        <row r="897">
          <cell r="AQ897">
            <v>167.67</v>
          </cell>
          <cell r="AY897">
            <v>0</v>
          </cell>
          <cell r="AZ897">
            <v>6</v>
          </cell>
          <cell r="BI897">
            <v>5</v>
          </cell>
        </row>
        <row r="898">
          <cell r="AQ898">
            <v>96.68</v>
          </cell>
          <cell r="AY898">
            <v>0.2</v>
          </cell>
          <cell r="AZ898">
            <v>3</v>
          </cell>
          <cell r="BI898">
            <v>10</v>
          </cell>
        </row>
        <row r="899">
          <cell r="AQ899">
            <v>234.58</v>
          </cell>
          <cell r="AY899">
            <v>0.66666666666666663</v>
          </cell>
          <cell r="AZ899">
            <v>6</v>
          </cell>
          <cell r="BI899">
            <v>1</v>
          </cell>
        </row>
        <row r="900">
          <cell r="AQ900">
            <v>156.47999999999999</v>
          </cell>
          <cell r="AY900">
            <v>0.2857142857142857</v>
          </cell>
          <cell r="AZ900">
            <v>5</v>
          </cell>
          <cell r="BI900">
            <v>4</v>
          </cell>
        </row>
        <row r="901">
          <cell r="AQ901">
            <v>489.66</v>
          </cell>
          <cell r="AY901">
            <v>0.18181818181818182</v>
          </cell>
          <cell r="AZ901">
            <v>6</v>
          </cell>
          <cell r="BI901">
            <v>3</v>
          </cell>
        </row>
        <row r="902">
          <cell r="AQ902">
            <v>161.85</v>
          </cell>
          <cell r="AY902">
            <v>0</v>
          </cell>
          <cell r="AZ902">
            <v>4</v>
          </cell>
          <cell r="BI902">
            <v>10</v>
          </cell>
        </row>
        <row r="903">
          <cell r="AQ903">
            <v>204.47</v>
          </cell>
          <cell r="AY903">
            <v>0.2857142857142857</v>
          </cell>
          <cell r="AZ903">
            <v>9</v>
          </cell>
          <cell r="BI903">
            <v>3</v>
          </cell>
        </row>
        <row r="904">
          <cell r="AQ904">
            <v>315.02999999999997</v>
          </cell>
          <cell r="AY904">
            <v>0.25</v>
          </cell>
          <cell r="AZ904">
            <v>6</v>
          </cell>
          <cell r="BI904">
            <v>2</v>
          </cell>
        </row>
        <row r="905">
          <cell r="AQ905">
            <v>330.36</v>
          </cell>
          <cell r="AY905">
            <v>8.3333333333333329E-2</v>
          </cell>
          <cell r="AZ905">
            <v>4</v>
          </cell>
          <cell r="BI905">
            <v>3</v>
          </cell>
        </row>
        <row r="906">
          <cell r="AQ906">
            <v>456.83</v>
          </cell>
          <cell r="AY906">
            <v>0</v>
          </cell>
          <cell r="AZ906">
            <v>9</v>
          </cell>
          <cell r="BI906">
            <v>13</v>
          </cell>
        </row>
        <row r="907">
          <cell r="AQ907">
            <v>236.05</v>
          </cell>
          <cell r="AY907">
            <v>0.16666666666666666</v>
          </cell>
          <cell r="AZ907">
            <v>4</v>
          </cell>
          <cell r="BI907">
            <v>13</v>
          </cell>
        </row>
        <row r="908">
          <cell r="AQ908">
            <v>289.27999999999997</v>
          </cell>
          <cell r="AY908">
            <v>0.22222222222222221</v>
          </cell>
          <cell r="AZ908">
            <v>7</v>
          </cell>
          <cell r="BI908">
            <v>13</v>
          </cell>
        </row>
        <row r="909">
          <cell r="AQ909">
            <v>483.77</v>
          </cell>
          <cell r="AY909">
            <v>0</v>
          </cell>
          <cell r="AZ909">
            <v>5</v>
          </cell>
          <cell r="BI909">
            <v>10</v>
          </cell>
        </row>
        <row r="910">
          <cell r="AQ910">
            <v>64.5</v>
          </cell>
          <cell r="AY910">
            <v>0.14285714285714285</v>
          </cell>
          <cell r="AZ910">
            <v>7</v>
          </cell>
          <cell r="BI910">
            <v>13</v>
          </cell>
        </row>
        <row r="911">
          <cell r="AQ911">
            <v>436.57</v>
          </cell>
          <cell r="AY911">
            <v>0.5</v>
          </cell>
          <cell r="AZ911">
            <v>10</v>
          </cell>
          <cell r="BI911">
            <v>3</v>
          </cell>
        </row>
        <row r="912">
          <cell r="AQ912">
            <v>364.48</v>
          </cell>
          <cell r="AY912">
            <v>1</v>
          </cell>
          <cell r="AZ912">
            <v>5</v>
          </cell>
          <cell r="BI912">
            <v>13</v>
          </cell>
        </row>
        <row r="913">
          <cell r="AQ913">
            <v>221.88</v>
          </cell>
          <cell r="AY913">
            <v>8.3333333333333329E-2</v>
          </cell>
          <cell r="AZ913">
            <v>6</v>
          </cell>
          <cell r="BI913">
            <v>9</v>
          </cell>
        </row>
        <row r="914">
          <cell r="AQ914">
            <v>278.20999999999998</v>
          </cell>
          <cell r="AY914">
            <v>0</v>
          </cell>
          <cell r="AZ914">
            <v>7</v>
          </cell>
          <cell r="BI914">
            <v>14</v>
          </cell>
        </row>
        <row r="915">
          <cell r="AQ915">
            <v>344.43</v>
          </cell>
          <cell r="AY915">
            <v>0.2857142857142857</v>
          </cell>
          <cell r="AZ915">
            <v>4</v>
          </cell>
          <cell r="BI915">
            <v>5</v>
          </cell>
        </row>
        <row r="916">
          <cell r="AQ916">
            <v>326.08</v>
          </cell>
          <cell r="AY916">
            <v>0.18181818181818182</v>
          </cell>
          <cell r="AZ916">
            <v>6</v>
          </cell>
          <cell r="BI916">
            <v>8</v>
          </cell>
        </row>
        <row r="917">
          <cell r="AQ917">
            <v>437.97</v>
          </cell>
          <cell r="AY917">
            <v>0</v>
          </cell>
          <cell r="AZ917">
            <v>7</v>
          </cell>
          <cell r="BI917">
            <v>12</v>
          </cell>
        </row>
        <row r="918">
          <cell r="AQ918">
            <v>391.87</v>
          </cell>
          <cell r="AY918">
            <v>0</v>
          </cell>
          <cell r="AZ918">
            <v>2</v>
          </cell>
          <cell r="BI918">
            <v>6</v>
          </cell>
        </row>
        <row r="919">
          <cell r="AQ919">
            <v>333.41</v>
          </cell>
          <cell r="AY919">
            <v>0.33333333333333331</v>
          </cell>
          <cell r="AZ919">
            <v>6</v>
          </cell>
          <cell r="BI919">
            <v>3</v>
          </cell>
        </row>
        <row r="920">
          <cell r="AQ920">
            <v>251.54</v>
          </cell>
          <cell r="AY920">
            <v>0.22222222222222221</v>
          </cell>
          <cell r="AZ920">
            <v>10</v>
          </cell>
          <cell r="BI920">
            <v>1</v>
          </cell>
        </row>
        <row r="921">
          <cell r="AQ921">
            <v>292.08</v>
          </cell>
          <cell r="AY921">
            <v>0.2857142857142857</v>
          </cell>
          <cell r="AZ921">
            <v>9</v>
          </cell>
          <cell r="BI921">
            <v>11</v>
          </cell>
        </row>
        <row r="922">
          <cell r="AQ922">
            <v>204.29</v>
          </cell>
          <cell r="AY922">
            <v>0.18181818181818182</v>
          </cell>
          <cell r="AZ922">
            <v>1</v>
          </cell>
          <cell r="BI922">
            <v>12</v>
          </cell>
        </row>
        <row r="923">
          <cell r="AQ923">
            <v>258.68</v>
          </cell>
          <cell r="AY923">
            <v>0</v>
          </cell>
          <cell r="AZ923">
            <v>9</v>
          </cell>
          <cell r="BI923">
            <v>9</v>
          </cell>
        </row>
        <row r="924">
          <cell r="AQ924">
            <v>258.02</v>
          </cell>
          <cell r="AY924">
            <v>1</v>
          </cell>
          <cell r="AZ924">
            <v>4</v>
          </cell>
          <cell r="BI924">
            <v>13</v>
          </cell>
        </row>
        <row r="925">
          <cell r="AQ925">
            <v>181.87</v>
          </cell>
          <cell r="AY925">
            <v>0.16666666666666666</v>
          </cell>
          <cell r="AZ925">
            <v>4</v>
          </cell>
          <cell r="BI925">
            <v>11</v>
          </cell>
        </row>
        <row r="926">
          <cell r="AQ926">
            <v>81.180000000000007</v>
          </cell>
          <cell r="AY926">
            <v>0.25</v>
          </cell>
          <cell r="AZ926">
            <v>3</v>
          </cell>
          <cell r="BI926">
            <v>3</v>
          </cell>
        </row>
        <row r="927">
          <cell r="AQ927">
            <v>382.94</v>
          </cell>
          <cell r="AY927">
            <v>0</v>
          </cell>
          <cell r="AZ927">
            <v>6</v>
          </cell>
          <cell r="BI927">
            <v>3</v>
          </cell>
        </row>
        <row r="928">
          <cell r="AQ928">
            <v>402.82</v>
          </cell>
          <cell r="AY928">
            <v>0.2857142857142857</v>
          </cell>
          <cell r="AZ928">
            <v>2</v>
          </cell>
          <cell r="BI928">
            <v>13</v>
          </cell>
        </row>
        <row r="929">
          <cell r="AQ929">
            <v>497.76</v>
          </cell>
          <cell r="AY929">
            <v>1</v>
          </cell>
          <cell r="AZ929">
            <v>3</v>
          </cell>
          <cell r="BI929">
            <v>4</v>
          </cell>
        </row>
        <row r="930">
          <cell r="AQ930">
            <v>227.58</v>
          </cell>
          <cell r="AY930">
            <v>0</v>
          </cell>
          <cell r="AZ930">
            <v>1</v>
          </cell>
          <cell r="BI930">
            <v>11</v>
          </cell>
        </row>
        <row r="931">
          <cell r="AQ931">
            <v>263.57</v>
          </cell>
          <cell r="AY931">
            <v>0.5</v>
          </cell>
          <cell r="AZ931">
            <v>9</v>
          </cell>
          <cell r="BI931">
            <v>8</v>
          </cell>
        </row>
        <row r="932">
          <cell r="AQ932">
            <v>422.09</v>
          </cell>
          <cell r="AY932">
            <v>0</v>
          </cell>
          <cell r="AZ932">
            <v>9</v>
          </cell>
          <cell r="BI932">
            <v>7</v>
          </cell>
        </row>
        <row r="933">
          <cell r="AQ933">
            <v>411.83</v>
          </cell>
          <cell r="AY933">
            <v>0.5</v>
          </cell>
          <cell r="AZ933">
            <v>3</v>
          </cell>
          <cell r="BI933">
            <v>10</v>
          </cell>
        </row>
        <row r="934">
          <cell r="AQ934">
            <v>242.65</v>
          </cell>
          <cell r="AY934">
            <v>0.66666666666666663</v>
          </cell>
          <cell r="AZ934">
            <v>8</v>
          </cell>
          <cell r="BI934">
            <v>9</v>
          </cell>
        </row>
        <row r="935">
          <cell r="AQ935">
            <v>298.93</v>
          </cell>
          <cell r="AY935">
            <v>0.33333333333333331</v>
          </cell>
          <cell r="AZ935">
            <v>1</v>
          </cell>
          <cell r="BI935">
            <v>2</v>
          </cell>
        </row>
        <row r="936">
          <cell r="AQ936">
            <v>191.21</v>
          </cell>
          <cell r="AY936">
            <v>0.2857142857142857</v>
          </cell>
          <cell r="AZ936">
            <v>6</v>
          </cell>
          <cell r="BI936">
            <v>13</v>
          </cell>
        </row>
        <row r="937">
          <cell r="AQ937">
            <v>136.66999999999999</v>
          </cell>
          <cell r="AY937">
            <v>0</v>
          </cell>
          <cell r="AZ937">
            <v>2</v>
          </cell>
          <cell r="BI937">
            <v>1</v>
          </cell>
        </row>
        <row r="938">
          <cell r="AQ938">
            <v>324.11</v>
          </cell>
          <cell r="AY938">
            <v>0</v>
          </cell>
          <cell r="AZ938">
            <v>2</v>
          </cell>
          <cell r="BI938">
            <v>7</v>
          </cell>
        </row>
        <row r="939">
          <cell r="AQ939">
            <v>105.64</v>
          </cell>
          <cell r="AY939">
            <v>0.33333333333333331</v>
          </cell>
          <cell r="AZ939">
            <v>1</v>
          </cell>
          <cell r="BI939">
            <v>12</v>
          </cell>
        </row>
        <row r="940">
          <cell r="AQ940">
            <v>295.60000000000002</v>
          </cell>
          <cell r="AY940">
            <v>0</v>
          </cell>
          <cell r="AZ940">
            <v>9</v>
          </cell>
          <cell r="BI940">
            <v>5</v>
          </cell>
        </row>
        <row r="941">
          <cell r="AQ941">
            <v>227.03</v>
          </cell>
          <cell r="AY941">
            <v>0.22222222222222221</v>
          </cell>
          <cell r="AZ941">
            <v>7</v>
          </cell>
          <cell r="BI941">
            <v>4</v>
          </cell>
        </row>
        <row r="942">
          <cell r="AQ942">
            <v>485.77</v>
          </cell>
          <cell r="AY942">
            <v>0.2</v>
          </cell>
          <cell r="AZ942">
            <v>6</v>
          </cell>
          <cell r="BI942">
            <v>6</v>
          </cell>
        </row>
        <row r="943">
          <cell r="AQ943">
            <v>173.43</v>
          </cell>
          <cell r="AY943">
            <v>0.5</v>
          </cell>
          <cell r="AZ943">
            <v>1</v>
          </cell>
          <cell r="BI943">
            <v>14</v>
          </cell>
        </row>
        <row r="944">
          <cell r="AQ944">
            <v>462.96</v>
          </cell>
          <cell r="AY944">
            <v>1</v>
          </cell>
          <cell r="AZ944">
            <v>6</v>
          </cell>
          <cell r="BI944">
            <v>3</v>
          </cell>
        </row>
        <row r="945">
          <cell r="AQ945">
            <v>203.13</v>
          </cell>
          <cell r="AY945">
            <v>0.1</v>
          </cell>
          <cell r="AZ945">
            <v>5</v>
          </cell>
          <cell r="BI945">
            <v>6</v>
          </cell>
        </row>
        <row r="946">
          <cell r="AQ946">
            <v>443.11</v>
          </cell>
          <cell r="AY946">
            <v>0</v>
          </cell>
          <cell r="AZ946">
            <v>10</v>
          </cell>
          <cell r="BI946">
            <v>1</v>
          </cell>
        </row>
        <row r="947">
          <cell r="AQ947">
            <v>254.83</v>
          </cell>
          <cell r="AY947">
            <v>0.5</v>
          </cell>
          <cell r="AZ947">
            <v>2</v>
          </cell>
          <cell r="BI947">
            <v>1</v>
          </cell>
        </row>
        <row r="948">
          <cell r="AQ948">
            <v>336.89</v>
          </cell>
          <cell r="AY948">
            <v>0.25</v>
          </cell>
          <cell r="AZ948">
            <v>7</v>
          </cell>
          <cell r="BI948">
            <v>9</v>
          </cell>
        </row>
        <row r="949">
          <cell r="AQ949">
            <v>337.17</v>
          </cell>
          <cell r="AY949">
            <v>0.125</v>
          </cell>
          <cell r="AZ949">
            <v>6</v>
          </cell>
          <cell r="BI949">
            <v>3</v>
          </cell>
        </row>
        <row r="950">
          <cell r="AQ950">
            <v>429.24</v>
          </cell>
          <cell r="AY950">
            <v>0</v>
          </cell>
          <cell r="AZ950">
            <v>3</v>
          </cell>
          <cell r="BI950">
            <v>13</v>
          </cell>
        </row>
        <row r="951">
          <cell r="AQ951">
            <v>197.7</v>
          </cell>
          <cell r="AY951">
            <v>0.14285714285714285</v>
          </cell>
          <cell r="AZ951">
            <v>6</v>
          </cell>
          <cell r="BI951">
            <v>9</v>
          </cell>
        </row>
        <row r="952">
          <cell r="AQ952">
            <v>336.96</v>
          </cell>
          <cell r="AY952">
            <v>0</v>
          </cell>
          <cell r="AZ952">
            <v>7</v>
          </cell>
          <cell r="BI952">
            <v>7</v>
          </cell>
        </row>
        <row r="953">
          <cell r="AQ953">
            <v>489.81</v>
          </cell>
          <cell r="AY953">
            <v>0</v>
          </cell>
          <cell r="AZ953">
            <v>1</v>
          </cell>
          <cell r="BI953">
            <v>3</v>
          </cell>
        </row>
        <row r="954">
          <cell r="AQ954">
            <v>455.55</v>
          </cell>
          <cell r="AY954">
            <v>0</v>
          </cell>
          <cell r="AZ954">
            <v>6</v>
          </cell>
          <cell r="BI954">
            <v>10</v>
          </cell>
        </row>
        <row r="955">
          <cell r="AQ955">
            <v>266.61</v>
          </cell>
          <cell r="AY955">
            <v>0.66666666666666663</v>
          </cell>
          <cell r="AZ955">
            <v>8</v>
          </cell>
          <cell r="BI955">
            <v>7</v>
          </cell>
        </row>
        <row r="956">
          <cell r="AQ956">
            <v>460.88</v>
          </cell>
          <cell r="AY956">
            <v>0.4</v>
          </cell>
          <cell r="AZ956">
            <v>4</v>
          </cell>
          <cell r="BI956">
            <v>2</v>
          </cell>
        </row>
        <row r="957">
          <cell r="AQ957">
            <v>361.4</v>
          </cell>
          <cell r="AY957">
            <v>0</v>
          </cell>
          <cell r="AZ957">
            <v>5</v>
          </cell>
          <cell r="BI957">
            <v>7</v>
          </cell>
        </row>
        <row r="958">
          <cell r="AQ958">
            <v>51.86</v>
          </cell>
          <cell r="AY958">
            <v>0.5</v>
          </cell>
          <cell r="AZ958">
            <v>6</v>
          </cell>
          <cell r="BI958">
            <v>6</v>
          </cell>
        </row>
        <row r="959">
          <cell r="AQ959">
            <v>310.16000000000003</v>
          </cell>
          <cell r="AY959">
            <v>0</v>
          </cell>
          <cell r="AZ959">
            <v>4</v>
          </cell>
          <cell r="BI959">
            <v>14</v>
          </cell>
        </row>
        <row r="960">
          <cell r="AQ960">
            <v>300.73</v>
          </cell>
          <cell r="AY960">
            <v>0.25</v>
          </cell>
          <cell r="AZ960">
            <v>9</v>
          </cell>
          <cell r="BI960">
            <v>10</v>
          </cell>
        </row>
        <row r="961">
          <cell r="AQ961">
            <v>356.87</v>
          </cell>
          <cell r="AY961">
            <v>8.3333333333333329E-2</v>
          </cell>
          <cell r="AZ961">
            <v>9</v>
          </cell>
          <cell r="BI961">
            <v>10</v>
          </cell>
        </row>
        <row r="962">
          <cell r="AQ962">
            <v>82.37</v>
          </cell>
          <cell r="AY962">
            <v>0</v>
          </cell>
          <cell r="AZ962">
            <v>4</v>
          </cell>
          <cell r="BI962">
            <v>2</v>
          </cell>
        </row>
        <row r="963">
          <cell r="AQ963">
            <v>372.6</v>
          </cell>
          <cell r="AY963">
            <v>0.66666666666666663</v>
          </cell>
          <cell r="AZ963">
            <v>6</v>
          </cell>
          <cell r="BI963">
            <v>10</v>
          </cell>
        </row>
        <row r="964">
          <cell r="AQ964">
            <v>78.319999999999993</v>
          </cell>
          <cell r="AY964">
            <v>0.22222222222222221</v>
          </cell>
          <cell r="AZ964">
            <v>10</v>
          </cell>
          <cell r="BI964">
            <v>7</v>
          </cell>
        </row>
        <row r="965">
          <cell r="AQ965">
            <v>71.72</v>
          </cell>
          <cell r="AY965">
            <v>0.16666666666666666</v>
          </cell>
          <cell r="AZ965">
            <v>5</v>
          </cell>
          <cell r="BI965">
            <v>13</v>
          </cell>
        </row>
        <row r="966">
          <cell r="AQ966">
            <v>241.1</v>
          </cell>
          <cell r="AY966">
            <v>0.16666666666666666</v>
          </cell>
          <cell r="AZ966">
            <v>2</v>
          </cell>
          <cell r="BI966">
            <v>8</v>
          </cell>
        </row>
        <row r="967">
          <cell r="AQ967">
            <v>96.86</v>
          </cell>
          <cell r="AY967">
            <v>0.22222222222222221</v>
          </cell>
          <cell r="AZ967">
            <v>10</v>
          </cell>
          <cell r="BI967">
            <v>7</v>
          </cell>
        </row>
        <row r="968">
          <cell r="AQ968">
            <v>276.25</v>
          </cell>
          <cell r="AY968">
            <v>0.18181818181818182</v>
          </cell>
          <cell r="AZ968">
            <v>4</v>
          </cell>
          <cell r="BI968">
            <v>8</v>
          </cell>
        </row>
        <row r="969">
          <cell r="AQ969">
            <v>318.45</v>
          </cell>
          <cell r="AY969">
            <v>0.2</v>
          </cell>
          <cell r="AZ969">
            <v>4</v>
          </cell>
          <cell r="BI969">
            <v>5</v>
          </cell>
        </row>
        <row r="970">
          <cell r="AQ970">
            <v>117.03</v>
          </cell>
          <cell r="AY970">
            <v>0.33333333333333331</v>
          </cell>
          <cell r="AZ970">
            <v>9</v>
          </cell>
          <cell r="BI970">
            <v>5</v>
          </cell>
        </row>
        <row r="971">
          <cell r="AQ971">
            <v>490.41</v>
          </cell>
          <cell r="AY971">
            <v>0.14285714285714285</v>
          </cell>
          <cell r="AZ971">
            <v>10</v>
          </cell>
          <cell r="BI971">
            <v>5</v>
          </cell>
        </row>
        <row r="972">
          <cell r="AQ972">
            <v>476.42</v>
          </cell>
          <cell r="AY972">
            <v>0</v>
          </cell>
          <cell r="AZ972">
            <v>2</v>
          </cell>
          <cell r="BI972">
            <v>2</v>
          </cell>
        </row>
        <row r="973">
          <cell r="AQ973">
            <v>392.27</v>
          </cell>
          <cell r="AY973">
            <v>0</v>
          </cell>
          <cell r="AZ973">
            <v>2</v>
          </cell>
          <cell r="BI973">
            <v>7</v>
          </cell>
        </row>
        <row r="974">
          <cell r="AQ974">
            <v>207.24</v>
          </cell>
          <cell r="AY974">
            <v>0</v>
          </cell>
          <cell r="AZ974">
            <v>6</v>
          </cell>
          <cell r="BI974">
            <v>3</v>
          </cell>
        </row>
        <row r="975">
          <cell r="AQ975">
            <v>141.63</v>
          </cell>
          <cell r="AY975">
            <v>0.33333333333333331</v>
          </cell>
          <cell r="AZ975">
            <v>8</v>
          </cell>
          <cell r="BI975">
            <v>11</v>
          </cell>
        </row>
        <row r="976">
          <cell r="AQ976">
            <v>244.47</v>
          </cell>
          <cell r="AY976">
            <v>0.2</v>
          </cell>
          <cell r="AZ976">
            <v>5</v>
          </cell>
          <cell r="BI976">
            <v>4</v>
          </cell>
        </row>
        <row r="977">
          <cell r="AQ977">
            <v>251.63</v>
          </cell>
          <cell r="AY977">
            <v>0</v>
          </cell>
          <cell r="AZ977">
            <v>2</v>
          </cell>
          <cell r="BI977">
            <v>10</v>
          </cell>
        </row>
        <row r="978">
          <cell r="AQ978">
            <v>431.78</v>
          </cell>
          <cell r="AY978">
            <v>8.3333333333333329E-2</v>
          </cell>
          <cell r="AZ978">
            <v>8</v>
          </cell>
          <cell r="BI978">
            <v>7</v>
          </cell>
        </row>
        <row r="979">
          <cell r="AQ979">
            <v>303.08999999999997</v>
          </cell>
          <cell r="AY979">
            <v>1</v>
          </cell>
          <cell r="AZ979">
            <v>9</v>
          </cell>
          <cell r="BI979">
            <v>11</v>
          </cell>
        </row>
        <row r="980">
          <cell r="AQ980">
            <v>341.24</v>
          </cell>
          <cell r="AY980">
            <v>0.1111111111111111</v>
          </cell>
          <cell r="AZ980">
            <v>3</v>
          </cell>
          <cell r="BI980">
            <v>4</v>
          </cell>
        </row>
        <row r="981">
          <cell r="AQ981">
            <v>211.39</v>
          </cell>
          <cell r="AY981">
            <v>0</v>
          </cell>
          <cell r="AZ981">
            <v>1</v>
          </cell>
          <cell r="BI981">
            <v>1</v>
          </cell>
        </row>
        <row r="982">
          <cell r="AQ982">
            <v>379.21</v>
          </cell>
          <cell r="AY982">
            <v>0.1111111111111111</v>
          </cell>
          <cell r="AZ982">
            <v>1</v>
          </cell>
          <cell r="BI982">
            <v>1</v>
          </cell>
        </row>
        <row r="983">
          <cell r="AQ983">
            <v>309.52999999999997</v>
          </cell>
          <cell r="AY983">
            <v>0.25</v>
          </cell>
          <cell r="AZ983">
            <v>6</v>
          </cell>
          <cell r="BI983">
            <v>5</v>
          </cell>
        </row>
        <row r="984">
          <cell r="AQ984">
            <v>359.45</v>
          </cell>
          <cell r="AY984">
            <v>0.16666666666666666</v>
          </cell>
          <cell r="AZ984">
            <v>8</v>
          </cell>
          <cell r="BI984">
            <v>11</v>
          </cell>
        </row>
        <row r="985">
          <cell r="AQ985">
            <v>479.62</v>
          </cell>
          <cell r="AY985">
            <v>0.125</v>
          </cell>
          <cell r="AZ985">
            <v>3</v>
          </cell>
          <cell r="BI985">
            <v>10</v>
          </cell>
        </row>
        <row r="986">
          <cell r="AQ986">
            <v>208.6</v>
          </cell>
          <cell r="AY986">
            <v>0</v>
          </cell>
          <cell r="AZ986">
            <v>5</v>
          </cell>
          <cell r="BI986">
            <v>3</v>
          </cell>
        </row>
        <row r="987">
          <cell r="AQ987">
            <v>180.21</v>
          </cell>
          <cell r="AY987">
            <v>0.5</v>
          </cell>
          <cell r="AZ987">
            <v>1</v>
          </cell>
          <cell r="BI987">
            <v>14</v>
          </cell>
        </row>
        <row r="988">
          <cell r="AQ988">
            <v>197.9</v>
          </cell>
          <cell r="AY988">
            <v>0</v>
          </cell>
          <cell r="AZ988">
            <v>8</v>
          </cell>
          <cell r="BI988">
            <v>14</v>
          </cell>
        </row>
        <row r="989">
          <cell r="AQ989">
            <v>362.3</v>
          </cell>
          <cell r="AY989">
            <v>0</v>
          </cell>
          <cell r="AZ989">
            <v>4</v>
          </cell>
          <cell r="BI989">
            <v>6</v>
          </cell>
        </row>
        <row r="990">
          <cell r="AQ990">
            <v>159.53</v>
          </cell>
          <cell r="AY990">
            <v>0</v>
          </cell>
          <cell r="AZ990">
            <v>3</v>
          </cell>
          <cell r="BI990">
            <v>7</v>
          </cell>
        </row>
        <row r="991">
          <cell r="AQ991">
            <v>149.52000000000001</v>
          </cell>
          <cell r="AY991">
            <v>0</v>
          </cell>
          <cell r="AZ991">
            <v>6</v>
          </cell>
          <cell r="BI991">
            <v>8</v>
          </cell>
        </row>
        <row r="992">
          <cell r="AQ992">
            <v>206.32</v>
          </cell>
          <cell r="AY992">
            <v>0</v>
          </cell>
          <cell r="AZ992">
            <v>4</v>
          </cell>
          <cell r="BI992">
            <v>12</v>
          </cell>
        </row>
        <row r="993">
          <cell r="AQ993">
            <v>308.58</v>
          </cell>
          <cell r="AY993">
            <v>0</v>
          </cell>
          <cell r="AZ993">
            <v>7</v>
          </cell>
          <cell r="BI993">
            <v>12</v>
          </cell>
        </row>
        <row r="994">
          <cell r="AQ994">
            <v>91.34</v>
          </cell>
          <cell r="AY994">
            <v>0</v>
          </cell>
          <cell r="AZ994">
            <v>1</v>
          </cell>
          <cell r="BI994">
            <v>6</v>
          </cell>
        </row>
        <row r="995">
          <cell r="AQ995">
            <v>455.44</v>
          </cell>
          <cell r="AY995">
            <v>0.2857142857142857</v>
          </cell>
          <cell r="AZ995">
            <v>3</v>
          </cell>
          <cell r="BI995">
            <v>3</v>
          </cell>
        </row>
        <row r="996">
          <cell r="AQ996">
            <v>468.16</v>
          </cell>
          <cell r="AY996">
            <v>0.125</v>
          </cell>
          <cell r="AZ996">
            <v>5</v>
          </cell>
          <cell r="BI996">
            <v>2</v>
          </cell>
        </row>
        <row r="997">
          <cell r="AQ997">
            <v>463.67</v>
          </cell>
          <cell r="AY997">
            <v>0.4</v>
          </cell>
          <cell r="AZ997">
            <v>4</v>
          </cell>
          <cell r="BI997">
            <v>5</v>
          </cell>
        </row>
        <row r="998">
          <cell r="AQ998">
            <v>69.78</v>
          </cell>
          <cell r="AY998">
            <v>0</v>
          </cell>
          <cell r="AZ998">
            <v>6</v>
          </cell>
          <cell r="BI998">
            <v>9</v>
          </cell>
        </row>
        <row r="999">
          <cell r="AQ999">
            <v>453.37</v>
          </cell>
          <cell r="AY999">
            <v>0</v>
          </cell>
          <cell r="AZ999">
            <v>6</v>
          </cell>
          <cell r="BI999">
            <v>9</v>
          </cell>
        </row>
        <row r="1000">
          <cell r="AQ1000">
            <v>106.15</v>
          </cell>
          <cell r="AY1000">
            <v>0</v>
          </cell>
          <cell r="AZ1000">
            <v>5</v>
          </cell>
          <cell r="BI1000">
            <v>8</v>
          </cell>
        </row>
        <row r="1001">
          <cell r="AQ1001">
            <v>378.47</v>
          </cell>
          <cell r="AY1001">
            <v>0.16666666666666666</v>
          </cell>
          <cell r="AZ1001">
            <v>10</v>
          </cell>
          <cell r="BI1001">
            <v>2</v>
          </cell>
        </row>
      </sheetData>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riginal Data"/>
      <sheetName val="Cleaned Data"/>
      <sheetName val="Data Dictionary"/>
      <sheetName val="Data Cleaning &amp; Transformation"/>
      <sheetName val="Executive Summary"/>
      <sheetName val="data exploration"/>
      <sheetName val="recommendations"/>
      <sheetName val="Customer Behavior Analysis"/>
    </sheetNames>
    <sheetDataSet>
      <sheetData sheetId="0" refreshError="1"/>
      <sheetData sheetId="1">
        <row r="2">
          <cell r="AZ2">
            <v>7</v>
          </cell>
        </row>
        <row r="3">
          <cell r="AZ3">
            <v>5</v>
          </cell>
        </row>
        <row r="4">
          <cell r="AZ4">
            <v>7</v>
          </cell>
        </row>
        <row r="5">
          <cell r="AZ5">
            <v>1</v>
          </cell>
        </row>
        <row r="6">
          <cell r="AZ6">
            <v>10</v>
          </cell>
        </row>
        <row r="7">
          <cell r="AZ7">
            <v>3</v>
          </cell>
        </row>
        <row r="8">
          <cell r="AZ8">
            <v>9</v>
          </cell>
        </row>
        <row r="9">
          <cell r="AZ9">
            <v>9</v>
          </cell>
        </row>
        <row r="10">
          <cell r="AZ10">
            <v>2</v>
          </cell>
        </row>
        <row r="11">
          <cell r="AZ11">
            <v>5</v>
          </cell>
        </row>
        <row r="12">
          <cell r="AZ12">
            <v>4</v>
          </cell>
        </row>
        <row r="13">
          <cell r="AZ13">
            <v>10</v>
          </cell>
        </row>
        <row r="14">
          <cell r="AZ14">
            <v>7</v>
          </cell>
        </row>
        <row r="15">
          <cell r="AZ15">
            <v>9</v>
          </cell>
        </row>
        <row r="16">
          <cell r="AZ16">
            <v>4</v>
          </cell>
        </row>
        <row r="17">
          <cell r="AZ17">
            <v>2</v>
          </cell>
        </row>
        <row r="18">
          <cell r="AZ18">
            <v>7</v>
          </cell>
        </row>
        <row r="19">
          <cell r="AZ19">
            <v>8</v>
          </cell>
        </row>
        <row r="20">
          <cell r="AZ20">
            <v>3</v>
          </cell>
        </row>
        <row r="21">
          <cell r="AZ21">
            <v>4</v>
          </cell>
        </row>
        <row r="22">
          <cell r="AZ22">
            <v>2</v>
          </cell>
        </row>
        <row r="23">
          <cell r="AZ23">
            <v>6</v>
          </cell>
        </row>
        <row r="24">
          <cell r="AZ24">
            <v>1</v>
          </cell>
        </row>
        <row r="25">
          <cell r="AZ25">
            <v>8</v>
          </cell>
        </row>
        <row r="26">
          <cell r="AZ26">
            <v>10</v>
          </cell>
        </row>
        <row r="27">
          <cell r="AZ27">
            <v>3</v>
          </cell>
        </row>
        <row r="28">
          <cell r="AZ28">
            <v>2</v>
          </cell>
        </row>
        <row r="29">
          <cell r="AZ29">
            <v>4</v>
          </cell>
        </row>
        <row r="30">
          <cell r="AZ30">
            <v>2</v>
          </cell>
        </row>
        <row r="31">
          <cell r="AZ31">
            <v>4</v>
          </cell>
        </row>
        <row r="32">
          <cell r="AZ32">
            <v>7</v>
          </cell>
        </row>
        <row r="33">
          <cell r="AZ33">
            <v>8</v>
          </cell>
        </row>
        <row r="34">
          <cell r="AZ34">
            <v>2</v>
          </cell>
        </row>
        <row r="35">
          <cell r="AZ35">
            <v>10</v>
          </cell>
        </row>
        <row r="36">
          <cell r="AZ36">
            <v>3</v>
          </cell>
        </row>
        <row r="37">
          <cell r="AZ37">
            <v>5</v>
          </cell>
        </row>
        <row r="38">
          <cell r="AZ38">
            <v>9</v>
          </cell>
        </row>
        <row r="39">
          <cell r="AZ39">
            <v>10</v>
          </cell>
        </row>
        <row r="40">
          <cell r="AZ40">
            <v>10</v>
          </cell>
        </row>
        <row r="41">
          <cell r="AZ41">
            <v>1</v>
          </cell>
        </row>
        <row r="42">
          <cell r="AZ42">
            <v>1</v>
          </cell>
        </row>
        <row r="43">
          <cell r="AZ43">
            <v>1</v>
          </cell>
        </row>
        <row r="44">
          <cell r="AZ44">
            <v>1</v>
          </cell>
        </row>
        <row r="45">
          <cell r="AZ45">
            <v>3</v>
          </cell>
        </row>
        <row r="46">
          <cell r="AZ46">
            <v>3</v>
          </cell>
        </row>
        <row r="47">
          <cell r="AZ47">
            <v>8</v>
          </cell>
        </row>
        <row r="48">
          <cell r="AZ48">
            <v>7</v>
          </cell>
        </row>
        <row r="49">
          <cell r="AZ49">
            <v>5</v>
          </cell>
        </row>
        <row r="50">
          <cell r="AZ50">
            <v>6</v>
          </cell>
        </row>
        <row r="51">
          <cell r="AZ51">
            <v>2</v>
          </cell>
        </row>
        <row r="52">
          <cell r="AZ52">
            <v>9</v>
          </cell>
        </row>
        <row r="53">
          <cell r="AZ53">
            <v>2</v>
          </cell>
        </row>
        <row r="54">
          <cell r="AZ54">
            <v>3</v>
          </cell>
        </row>
        <row r="55">
          <cell r="AZ55">
            <v>1</v>
          </cell>
        </row>
        <row r="56">
          <cell r="AZ56">
            <v>2</v>
          </cell>
        </row>
        <row r="57">
          <cell r="AZ57">
            <v>1</v>
          </cell>
        </row>
        <row r="58">
          <cell r="AZ58">
            <v>6</v>
          </cell>
        </row>
        <row r="59">
          <cell r="AZ59">
            <v>7</v>
          </cell>
        </row>
        <row r="60">
          <cell r="AZ60">
            <v>10</v>
          </cell>
        </row>
        <row r="61">
          <cell r="AZ61">
            <v>10</v>
          </cell>
        </row>
        <row r="62">
          <cell r="AZ62">
            <v>1</v>
          </cell>
        </row>
        <row r="63">
          <cell r="AZ63">
            <v>6</v>
          </cell>
        </row>
        <row r="64">
          <cell r="AZ64">
            <v>6</v>
          </cell>
        </row>
        <row r="65">
          <cell r="AZ65">
            <v>8</v>
          </cell>
        </row>
        <row r="66">
          <cell r="AZ66">
            <v>3</v>
          </cell>
        </row>
        <row r="67">
          <cell r="AZ67">
            <v>3</v>
          </cell>
        </row>
        <row r="68">
          <cell r="AZ68">
            <v>2</v>
          </cell>
        </row>
        <row r="69">
          <cell r="AZ69">
            <v>4</v>
          </cell>
        </row>
        <row r="70">
          <cell r="AZ70">
            <v>7</v>
          </cell>
        </row>
        <row r="71">
          <cell r="AZ71">
            <v>3</v>
          </cell>
        </row>
        <row r="72">
          <cell r="AZ72">
            <v>4</v>
          </cell>
        </row>
        <row r="73">
          <cell r="AZ73">
            <v>7</v>
          </cell>
        </row>
        <row r="74">
          <cell r="AZ74">
            <v>1</v>
          </cell>
        </row>
        <row r="75">
          <cell r="AZ75">
            <v>1</v>
          </cell>
        </row>
        <row r="76">
          <cell r="AZ76">
            <v>2</v>
          </cell>
        </row>
        <row r="77">
          <cell r="AZ77">
            <v>5</v>
          </cell>
        </row>
        <row r="78">
          <cell r="AZ78">
            <v>8</v>
          </cell>
        </row>
        <row r="79">
          <cell r="AZ79">
            <v>4</v>
          </cell>
        </row>
        <row r="80">
          <cell r="AZ80">
            <v>3</v>
          </cell>
        </row>
        <row r="81">
          <cell r="AZ81">
            <v>8</v>
          </cell>
        </row>
        <row r="82">
          <cell r="AZ82">
            <v>1</v>
          </cell>
        </row>
        <row r="83">
          <cell r="AZ83">
            <v>6</v>
          </cell>
        </row>
        <row r="84">
          <cell r="AZ84">
            <v>4</v>
          </cell>
        </row>
        <row r="85">
          <cell r="AZ85">
            <v>4</v>
          </cell>
        </row>
        <row r="86">
          <cell r="AZ86">
            <v>6</v>
          </cell>
        </row>
        <row r="87">
          <cell r="AZ87">
            <v>5</v>
          </cell>
        </row>
        <row r="88">
          <cell r="AZ88">
            <v>6</v>
          </cell>
        </row>
        <row r="89">
          <cell r="AZ89">
            <v>1</v>
          </cell>
        </row>
        <row r="90">
          <cell r="AZ90">
            <v>6</v>
          </cell>
        </row>
        <row r="91">
          <cell r="AZ91">
            <v>4</v>
          </cell>
        </row>
        <row r="92">
          <cell r="AZ92">
            <v>1</v>
          </cell>
        </row>
        <row r="93">
          <cell r="AZ93">
            <v>3</v>
          </cell>
        </row>
        <row r="94">
          <cell r="AZ94">
            <v>9</v>
          </cell>
        </row>
        <row r="95">
          <cell r="AZ95">
            <v>5</v>
          </cell>
        </row>
        <row r="96">
          <cell r="AZ96">
            <v>4</v>
          </cell>
        </row>
        <row r="97">
          <cell r="AZ97">
            <v>3</v>
          </cell>
        </row>
        <row r="98">
          <cell r="AZ98">
            <v>1</v>
          </cell>
        </row>
        <row r="99">
          <cell r="AZ99">
            <v>4</v>
          </cell>
        </row>
        <row r="100">
          <cell r="AZ100">
            <v>3</v>
          </cell>
        </row>
        <row r="101">
          <cell r="AZ101">
            <v>8</v>
          </cell>
        </row>
        <row r="102">
          <cell r="AZ102">
            <v>1</v>
          </cell>
        </row>
        <row r="103">
          <cell r="AZ103">
            <v>2</v>
          </cell>
        </row>
        <row r="104">
          <cell r="AZ104">
            <v>1</v>
          </cell>
        </row>
        <row r="105">
          <cell r="AZ105">
            <v>4</v>
          </cell>
        </row>
        <row r="106">
          <cell r="AZ106">
            <v>7</v>
          </cell>
        </row>
        <row r="107">
          <cell r="AZ107">
            <v>7</v>
          </cell>
        </row>
        <row r="108">
          <cell r="AZ108">
            <v>5</v>
          </cell>
        </row>
        <row r="109">
          <cell r="AZ109">
            <v>8</v>
          </cell>
        </row>
        <row r="110">
          <cell r="AZ110">
            <v>6</v>
          </cell>
        </row>
        <row r="111">
          <cell r="AZ111">
            <v>8</v>
          </cell>
        </row>
        <row r="112">
          <cell r="AZ112">
            <v>3</v>
          </cell>
        </row>
        <row r="113">
          <cell r="AZ113">
            <v>6</v>
          </cell>
        </row>
        <row r="114">
          <cell r="AZ114">
            <v>10</v>
          </cell>
        </row>
        <row r="115">
          <cell r="AZ115">
            <v>2</v>
          </cell>
        </row>
        <row r="116">
          <cell r="AZ116">
            <v>2</v>
          </cell>
        </row>
        <row r="117">
          <cell r="AZ117">
            <v>2</v>
          </cell>
        </row>
        <row r="118">
          <cell r="AZ118">
            <v>1</v>
          </cell>
        </row>
        <row r="119">
          <cell r="AZ119">
            <v>5</v>
          </cell>
        </row>
        <row r="120">
          <cell r="AZ120">
            <v>2</v>
          </cell>
        </row>
        <row r="121">
          <cell r="AZ121">
            <v>5</v>
          </cell>
        </row>
        <row r="122">
          <cell r="AZ122">
            <v>3</v>
          </cell>
        </row>
        <row r="123">
          <cell r="AZ123">
            <v>7</v>
          </cell>
        </row>
        <row r="124">
          <cell r="AZ124">
            <v>8</v>
          </cell>
        </row>
        <row r="125">
          <cell r="AZ125">
            <v>4</v>
          </cell>
        </row>
        <row r="126">
          <cell r="AZ126">
            <v>10</v>
          </cell>
        </row>
        <row r="127">
          <cell r="AZ127">
            <v>8</v>
          </cell>
        </row>
        <row r="128">
          <cell r="AZ128">
            <v>7</v>
          </cell>
        </row>
        <row r="129">
          <cell r="AZ129">
            <v>1</v>
          </cell>
        </row>
        <row r="130">
          <cell r="AZ130">
            <v>1</v>
          </cell>
        </row>
        <row r="131">
          <cell r="AZ131">
            <v>5</v>
          </cell>
        </row>
        <row r="132">
          <cell r="AZ132">
            <v>10</v>
          </cell>
        </row>
        <row r="133">
          <cell r="AZ133">
            <v>2</v>
          </cell>
        </row>
        <row r="134">
          <cell r="AZ134">
            <v>5</v>
          </cell>
        </row>
        <row r="135">
          <cell r="AZ135">
            <v>7</v>
          </cell>
        </row>
        <row r="136">
          <cell r="AZ136">
            <v>3</v>
          </cell>
        </row>
        <row r="137">
          <cell r="AZ137">
            <v>3</v>
          </cell>
        </row>
        <row r="138">
          <cell r="AZ138">
            <v>5</v>
          </cell>
        </row>
        <row r="139">
          <cell r="AZ139">
            <v>7</v>
          </cell>
        </row>
        <row r="140">
          <cell r="AZ140">
            <v>4</v>
          </cell>
        </row>
        <row r="141">
          <cell r="AZ141">
            <v>9</v>
          </cell>
        </row>
        <row r="142">
          <cell r="AZ142">
            <v>4</v>
          </cell>
        </row>
        <row r="143">
          <cell r="AZ143">
            <v>2</v>
          </cell>
        </row>
        <row r="144">
          <cell r="AZ144">
            <v>2</v>
          </cell>
        </row>
        <row r="145">
          <cell r="AZ145">
            <v>6</v>
          </cell>
        </row>
        <row r="146">
          <cell r="AZ146">
            <v>8</v>
          </cell>
        </row>
        <row r="147">
          <cell r="AZ147">
            <v>2</v>
          </cell>
        </row>
        <row r="148">
          <cell r="AZ148">
            <v>8</v>
          </cell>
        </row>
        <row r="149">
          <cell r="AZ149">
            <v>8</v>
          </cell>
        </row>
        <row r="150">
          <cell r="AZ150">
            <v>9</v>
          </cell>
        </row>
        <row r="151">
          <cell r="AZ151">
            <v>7</v>
          </cell>
        </row>
        <row r="152">
          <cell r="AZ152">
            <v>4</v>
          </cell>
        </row>
        <row r="153">
          <cell r="AZ153">
            <v>6</v>
          </cell>
        </row>
        <row r="154">
          <cell r="AZ154">
            <v>9</v>
          </cell>
        </row>
        <row r="155">
          <cell r="AZ155">
            <v>5</v>
          </cell>
        </row>
        <row r="156">
          <cell r="AZ156">
            <v>4</v>
          </cell>
        </row>
        <row r="157">
          <cell r="AZ157">
            <v>1</v>
          </cell>
        </row>
        <row r="158">
          <cell r="AZ158">
            <v>3</v>
          </cell>
        </row>
        <row r="159">
          <cell r="AZ159">
            <v>9</v>
          </cell>
        </row>
        <row r="160">
          <cell r="AZ160">
            <v>5</v>
          </cell>
        </row>
        <row r="161">
          <cell r="AZ161">
            <v>5</v>
          </cell>
        </row>
        <row r="162">
          <cell r="AZ162">
            <v>9</v>
          </cell>
        </row>
        <row r="163">
          <cell r="AZ163">
            <v>7</v>
          </cell>
        </row>
        <row r="164">
          <cell r="AZ164">
            <v>6</v>
          </cell>
        </row>
        <row r="165">
          <cell r="AZ165">
            <v>8</v>
          </cell>
        </row>
        <row r="166">
          <cell r="AZ166">
            <v>6</v>
          </cell>
        </row>
        <row r="167">
          <cell r="AZ167">
            <v>5</v>
          </cell>
        </row>
        <row r="168">
          <cell r="AZ168">
            <v>3</v>
          </cell>
        </row>
        <row r="169">
          <cell r="AZ169">
            <v>8</v>
          </cell>
        </row>
        <row r="170">
          <cell r="AZ170">
            <v>7</v>
          </cell>
        </row>
        <row r="171">
          <cell r="AZ171">
            <v>5</v>
          </cell>
        </row>
        <row r="172">
          <cell r="AZ172">
            <v>1</v>
          </cell>
        </row>
        <row r="173">
          <cell r="AZ173">
            <v>9</v>
          </cell>
        </row>
        <row r="174">
          <cell r="AZ174">
            <v>2</v>
          </cell>
        </row>
        <row r="175">
          <cell r="AZ175">
            <v>1</v>
          </cell>
        </row>
        <row r="176">
          <cell r="AZ176">
            <v>7</v>
          </cell>
        </row>
        <row r="177">
          <cell r="AZ177">
            <v>2</v>
          </cell>
        </row>
        <row r="178">
          <cell r="AZ178">
            <v>3</v>
          </cell>
        </row>
        <row r="179">
          <cell r="AZ179">
            <v>9</v>
          </cell>
        </row>
        <row r="180">
          <cell r="AZ180">
            <v>2</v>
          </cell>
        </row>
        <row r="181">
          <cell r="AZ181">
            <v>3</v>
          </cell>
        </row>
        <row r="182">
          <cell r="AZ182">
            <v>8</v>
          </cell>
        </row>
        <row r="183">
          <cell r="AZ183">
            <v>3</v>
          </cell>
        </row>
        <row r="184">
          <cell r="AZ184">
            <v>1</v>
          </cell>
        </row>
        <row r="185">
          <cell r="AZ185">
            <v>1</v>
          </cell>
        </row>
        <row r="186">
          <cell r="AZ186">
            <v>1</v>
          </cell>
        </row>
        <row r="187">
          <cell r="AZ187">
            <v>7</v>
          </cell>
        </row>
        <row r="188">
          <cell r="AZ188">
            <v>6</v>
          </cell>
        </row>
        <row r="189">
          <cell r="AZ189">
            <v>7</v>
          </cell>
        </row>
        <row r="190">
          <cell r="AZ190">
            <v>3</v>
          </cell>
        </row>
        <row r="191">
          <cell r="AZ191">
            <v>4</v>
          </cell>
        </row>
        <row r="192">
          <cell r="AZ192">
            <v>6</v>
          </cell>
        </row>
        <row r="193">
          <cell r="AZ193">
            <v>4</v>
          </cell>
        </row>
        <row r="194">
          <cell r="AZ194">
            <v>4</v>
          </cell>
        </row>
        <row r="195">
          <cell r="AZ195">
            <v>3</v>
          </cell>
        </row>
        <row r="196">
          <cell r="AZ196">
            <v>10</v>
          </cell>
        </row>
        <row r="197">
          <cell r="AZ197">
            <v>2</v>
          </cell>
        </row>
        <row r="198">
          <cell r="AZ198">
            <v>1</v>
          </cell>
        </row>
        <row r="199">
          <cell r="AZ199">
            <v>9</v>
          </cell>
        </row>
        <row r="200">
          <cell r="AZ200">
            <v>9</v>
          </cell>
        </row>
        <row r="201">
          <cell r="AZ201">
            <v>3</v>
          </cell>
        </row>
        <row r="202">
          <cell r="AZ202">
            <v>1</v>
          </cell>
        </row>
        <row r="203">
          <cell r="AZ203">
            <v>1</v>
          </cell>
        </row>
        <row r="204">
          <cell r="AZ204">
            <v>4</v>
          </cell>
        </row>
        <row r="205">
          <cell r="AZ205">
            <v>1</v>
          </cell>
        </row>
        <row r="206">
          <cell r="AZ206">
            <v>8</v>
          </cell>
        </row>
        <row r="207">
          <cell r="AZ207">
            <v>8</v>
          </cell>
        </row>
        <row r="208">
          <cell r="AZ208">
            <v>6</v>
          </cell>
        </row>
        <row r="209">
          <cell r="AZ209">
            <v>3</v>
          </cell>
        </row>
        <row r="210">
          <cell r="AZ210">
            <v>2</v>
          </cell>
        </row>
        <row r="211">
          <cell r="AZ211">
            <v>10</v>
          </cell>
        </row>
        <row r="212">
          <cell r="AZ212">
            <v>8</v>
          </cell>
        </row>
        <row r="213">
          <cell r="AZ213">
            <v>7</v>
          </cell>
        </row>
        <row r="214">
          <cell r="AZ214">
            <v>2</v>
          </cell>
        </row>
        <row r="215">
          <cell r="AZ215">
            <v>7</v>
          </cell>
        </row>
        <row r="216">
          <cell r="AZ216">
            <v>3</v>
          </cell>
        </row>
        <row r="217">
          <cell r="AZ217">
            <v>5</v>
          </cell>
        </row>
        <row r="218">
          <cell r="AZ218">
            <v>3</v>
          </cell>
        </row>
        <row r="219">
          <cell r="AZ219">
            <v>9</v>
          </cell>
        </row>
        <row r="220">
          <cell r="AZ220">
            <v>7</v>
          </cell>
        </row>
        <row r="221">
          <cell r="AZ221">
            <v>10</v>
          </cell>
        </row>
        <row r="222">
          <cell r="AZ222">
            <v>2</v>
          </cell>
        </row>
        <row r="223">
          <cell r="AZ223">
            <v>1</v>
          </cell>
        </row>
        <row r="224">
          <cell r="AZ224">
            <v>1</v>
          </cell>
        </row>
        <row r="225">
          <cell r="AZ225">
            <v>1</v>
          </cell>
        </row>
        <row r="226">
          <cell r="AZ226">
            <v>9</v>
          </cell>
        </row>
        <row r="227">
          <cell r="AZ227">
            <v>1</v>
          </cell>
        </row>
        <row r="228">
          <cell r="AZ228">
            <v>5</v>
          </cell>
        </row>
        <row r="229">
          <cell r="AZ229">
            <v>1</v>
          </cell>
        </row>
        <row r="230">
          <cell r="AZ230">
            <v>9</v>
          </cell>
        </row>
        <row r="231">
          <cell r="AZ231">
            <v>4</v>
          </cell>
        </row>
        <row r="232">
          <cell r="AZ232">
            <v>1</v>
          </cell>
        </row>
        <row r="233">
          <cell r="AZ233">
            <v>9</v>
          </cell>
        </row>
        <row r="234">
          <cell r="AZ234">
            <v>4</v>
          </cell>
        </row>
        <row r="235">
          <cell r="AZ235">
            <v>7</v>
          </cell>
        </row>
        <row r="236">
          <cell r="AZ236">
            <v>9</v>
          </cell>
        </row>
        <row r="237">
          <cell r="AZ237">
            <v>8</v>
          </cell>
        </row>
        <row r="238">
          <cell r="AZ238">
            <v>3</v>
          </cell>
        </row>
        <row r="239">
          <cell r="AZ239">
            <v>2</v>
          </cell>
        </row>
        <row r="240">
          <cell r="AZ240">
            <v>9</v>
          </cell>
        </row>
        <row r="241">
          <cell r="AZ241">
            <v>8</v>
          </cell>
        </row>
        <row r="242">
          <cell r="AZ242">
            <v>8</v>
          </cell>
        </row>
        <row r="243">
          <cell r="AZ243">
            <v>1</v>
          </cell>
        </row>
        <row r="244">
          <cell r="AZ244">
            <v>9</v>
          </cell>
        </row>
        <row r="245">
          <cell r="AZ245">
            <v>5</v>
          </cell>
        </row>
        <row r="246">
          <cell r="AZ246">
            <v>4</v>
          </cell>
        </row>
        <row r="247">
          <cell r="AZ247">
            <v>3</v>
          </cell>
        </row>
        <row r="248">
          <cell r="AZ248">
            <v>9</v>
          </cell>
        </row>
        <row r="249">
          <cell r="AZ249">
            <v>9</v>
          </cell>
        </row>
        <row r="250">
          <cell r="AZ250">
            <v>10</v>
          </cell>
        </row>
        <row r="251">
          <cell r="AZ251">
            <v>10</v>
          </cell>
        </row>
        <row r="252">
          <cell r="AZ252">
            <v>5</v>
          </cell>
        </row>
        <row r="253">
          <cell r="AZ253">
            <v>6</v>
          </cell>
        </row>
        <row r="254">
          <cell r="AZ254">
            <v>10</v>
          </cell>
        </row>
        <row r="255">
          <cell r="AZ255">
            <v>7</v>
          </cell>
        </row>
        <row r="256">
          <cell r="AZ256">
            <v>3</v>
          </cell>
        </row>
        <row r="257">
          <cell r="AZ257">
            <v>4</v>
          </cell>
        </row>
        <row r="258">
          <cell r="AZ258">
            <v>4</v>
          </cell>
        </row>
        <row r="259">
          <cell r="AZ259">
            <v>3</v>
          </cell>
        </row>
        <row r="260">
          <cell r="AZ260">
            <v>10</v>
          </cell>
        </row>
        <row r="261">
          <cell r="AZ261">
            <v>5</v>
          </cell>
        </row>
        <row r="262">
          <cell r="AZ262">
            <v>4</v>
          </cell>
        </row>
        <row r="263">
          <cell r="AZ263">
            <v>8</v>
          </cell>
        </row>
        <row r="264">
          <cell r="AZ264">
            <v>3</v>
          </cell>
        </row>
        <row r="265">
          <cell r="AZ265">
            <v>9</v>
          </cell>
        </row>
        <row r="266">
          <cell r="AZ266">
            <v>1</v>
          </cell>
        </row>
        <row r="267">
          <cell r="AZ267">
            <v>2</v>
          </cell>
        </row>
        <row r="268">
          <cell r="AZ268">
            <v>4</v>
          </cell>
        </row>
        <row r="269">
          <cell r="AZ269">
            <v>1</v>
          </cell>
        </row>
        <row r="270">
          <cell r="AZ270">
            <v>5</v>
          </cell>
        </row>
        <row r="271">
          <cell r="AZ271">
            <v>5</v>
          </cell>
        </row>
        <row r="272">
          <cell r="AZ272">
            <v>8</v>
          </cell>
        </row>
        <row r="273">
          <cell r="AZ273">
            <v>4</v>
          </cell>
        </row>
        <row r="274">
          <cell r="AZ274">
            <v>6</v>
          </cell>
        </row>
        <row r="275">
          <cell r="AZ275">
            <v>3</v>
          </cell>
        </row>
        <row r="276">
          <cell r="AZ276">
            <v>10</v>
          </cell>
        </row>
        <row r="277">
          <cell r="AZ277">
            <v>5</v>
          </cell>
        </row>
        <row r="278">
          <cell r="AZ278">
            <v>8</v>
          </cell>
        </row>
        <row r="279">
          <cell r="AZ279">
            <v>1</v>
          </cell>
        </row>
        <row r="280">
          <cell r="AZ280">
            <v>8</v>
          </cell>
        </row>
        <row r="281">
          <cell r="AZ281">
            <v>4</v>
          </cell>
        </row>
        <row r="282">
          <cell r="AZ282">
            <v>6</v>
          </cell>
        </row>
        <row r="283">
          <cell r="AZ283">
            <v>10</v>
          </cell>
        </row>
        <row r="284">
          <cell r="AZ284">
            <v>1</v>
          </cell>
        </row>
        <row r="285">
          <cell r="AZ285">
            <v>10</v>
          </cell>
        </row>
        <row r="286">
          <cell r="AZ286">
            <v>1</v>
          </cell>
        </row>
        <row r="287">
          <cell r="AZ287">
            <v>10</v>
          </cell>
        </row>
        <row r="288">
          <cell r="AZ288">
            <v>9</v>
          </cell>
        </row>
        <row r="289">
          <cell r="AZ289">
            <v>8</v>
          </cell>
        </row>
        <row r="290">
          <cell r="AZ290">
            <v>7</v>
          </cell>
        </row>
        <row r="291">
          <cell r="AZ291">
            <v>6</v>
          </cell>
        </row>
        <row r="292">
          <cell r="AZ292">
            <v>10</v>
          </cell>
        </row>
        <row r="293">
          <cell r="AZ293">
            <v>3</v>
          </cell>
        </row>
        <row r="294">
          <cell r="AZ294">
            <v>10</v>
          </cell>
        </row>
        <row r="295">
          <cell r="AZ295">
            <v>6</v>
          </cell>
        </row>
        <row r="296">
          <cell r="AZ296">
            <v>6</v>
          </cell>
        </row>
        <row r="297">
          <cell r="AZ297">
            <v>10</v>
          </cell>
        </row>
        <row r="298">
          <cell r="AZ298">
            <v>7</v>
          </cell>
        </row>
        <row r="299">
          <cell r="AZ299">
            <v>1</v>
          </cell>
        </row>
        <row r="300">
          <cell r="AZ300">
            <v>8</v>
          </cell>
        </row>
        <row r="301">
          <cell r="AZ301">
            <v>3</v>
          </cell>
        </row>
        <row r="302">
          <cell r="AZ302">
            <v>5</v>
          </cell>
        </row>
        <row r="303">
          <cell r="AZ303">
            <v>2</v>
          </cell>
        </row>
        <row r="304">
          <cell r="AZ304">
            <v>6</v>
          </cell>
        </row>
        <row r="305">
          <cell r="AZ305">
            <v>3</v>
          </cell>
        </row>
        <row r="306">
          <cell r="AZ306">
            <v>2</v>
          </cell>
        </row>
        <row r="307">
          <cell r="AZ307">
            <v>2</v>
          </cell>
        </row>
        <row r="308">
          <cell r="AZ308">
            <v>5</v>
          </cell>
        </row>
        <row r="309">
          <cell r="AZ309">
            <v>7</v>
          </cell>
        </row>
        <row r="310">
          <cell r="AZ310">
            <v>5</v>
          </cell>
        </row>
        <row r="311">
          <cell r="AZ311">
            <v>7</v>
          </cell>
        </row>
        <row r="312">
          <cell r="AZ312">
            <v>1</v>
          </cell>
        </row>
        <row r="313">
          <cell r="AZ313">
            <v>6</v>
          </cell>
        </row>
        <row r="314">
          <cell r="AZ314">
            <v>2</v>
          </cell>
        </row>
        <row r="315">
          <cell r="AZ315">
            <v>7</v>
          </cell>
        </row>
        <row r="316">
          <cell r="AZ316">
            <v>8</v>
          </cell>
        </row>
        <row r="317">
          <cell r="AZ317">
            <v>6</v>
          </cell>
        </row>
        <row r="318">
          <cell r="AZ318">
            <v>1</v>
          </cell>
        </row>
        <row r="319">
          <cell r="AZ319">
            <v>6</v>
          </cell>
        </row>
        <row r="320">
          <cell r="AZ320">
            <v>7</v>
          </cell>
        </row>
        <row r="321">
          <cell r="AZ321">
            <v>6</v>
          </cell>
        </row>
        <row r="322">
          <cell r="AZ322">
            <v>3</v>
          </cell>
        </row>
        <row r="323">
          <cell r="AZ323">
            <v>10</v>
          </cell>
        </row>
        <row r="324">
          <cell r="AZ324">
            <v>6</v>
          </cell>
        </row>
        <row r="325">
          <cell r="AZ325">
            <v>8</v>
          </cell>
        </row>
        <row r="326">
          <cell r="AZ326">
            <v>6</v>
          </cell>
        </row>
        <row r="327">
          <cell r="AZ327">
            <v>10</v>
          </cell>
        </row>
        <row r="328">
          <cell r="AZ328">
            <v>8</v>
          </cell>
        </row>
        <row r="329">
          <cell r="AZ329">
            <v>7</v>
          </cell>
        </row>
        <row r="330">
          <cell r="AZ330">
            <v>10</v>
          </cell>
        </row>
        <row r="331">
          <cell r="AZ331">
            <v>1</v>
          </cell>
        </row>
        <row r="332">
          <cell r="AZ332">
            <v>7</v>
          </cell>
        </row>
        <row r="333">
          <cell r="AZ333">
            <v>1</v>
          </cell>
        </row>
        <row r="334">
          <cell r="AZ334">
            <v>1</v>
          </cell>
        </row>
        <row r="335">
          <cell r="AZ335">
            <v>9</v>
          </cell>
        </row>
        <row r="336">
          <cell r="AZ336">
            <v>5</v>
          </cell>
        </row>
        <row r="337">
          <cell r="AZ337">
            <v>8</v>
          </cell>
        </row>
        <row r="338">
          <cell r="AZ338">
            <v>1</v>
          </cell>
        </row>
        <row r="339">
          <cell r="AZ339">
            <v>1</v>
          </cell>
        </row>
        <row r="340">
          <cell r="AZ340">
            <v>4</v>
          </cell>
        </row>
        <row r="341">
          <cell r="AZ341">
            <v>10</v>
          </cell>
        </row>
        <row r="342">
          <cell r="AZ342">
            <v>2</v>
          </cell>
        </row>
        <row r="343">
          <cell r="AZ343">
            <v>7</v>
          </cell>
        </row>
        <row r="344">
          <cell r="AZ344">
            <v>8</v>
          </cell>
        </row>
        <row r="345">
          <cell r="AZ345">
            <v>10</v>
          </cell>
        </row>
        <row r="346">
          <cell r="AZ346">
            <v>5</v>
          </cell>
        </row>
        <row r="347">
          <cell r="AZ347">
            <v>9</v>
          </cell>
        </row>
        <row r="348">
          <cell r="AZ348">
            <v>2</v>
          </cell>
        </row>
        <row r="349">
          <cell r="AZ349">
            <v>10</v>
          </cell>
        </row>
        <row r="350">
          <cell r="AZ350">
            <v>10</v>
          </cell>
        </row>
        <row r="351">
          <cell r="AZ351">
            <v>8</v>
          </cell>
        </row>
        <row r="352">
          <cell r="AZ352">
            <v>8</v>
          </cell>
        </row>
        <row r="353">
          <cell r="AZ353">
            <v>9</v>
          </cell>
        </row>
        <row r="354">
          <cell r="AZ354">
            <v>8</v>
          </cell>
        </row>
        <row r="355">
          <cell r="AZ355">
            <v>6</v>
          </cell>
        </row>
        <row r="356">
          <cell r="AZ356">
            <v>8</v>
          </cell>
        </row>
        <row r="357">
          <cell r="AZ357">
            <v>10</v>
          </cell>
        </row>
        <row r="358">
          <cell r="AZ358">
            <v>4</v>
          </cell>
        </row>
        <row r="359">
          <cell r="AZ359">
            <v>2</v>
          </cell>
        </row>
        <row r="360">
          <cell r="AZ360">
            <v>6</v>
          </cell>
        </row>
        <row r="361">
          <cell r="AZ361">
            <v>7</v>
          </cell>
        </row>
        <row r="362">
          <cell r="AZ362">
            <v>9</v>
          </cell>
        </row>
        <row r="363">
          <cell r="AZ363">
            <v>7</v>
          </cell>
        </row>
        <row r="364">
          <cell r="AZ364">
            <v>5</v>
          </cell>
        </row>
        <row r="365">
          <cell r="AZ365">
            <v>3</v>
          </cell>
        </row>
        <row r="366">
          <cell r="AZ366">
            <v>10</v>
          </cell>
        </row>
        <row r="367">
          <cell r="AZ367">
            <v>6</v>
          </cell>
        </row>
        <row r="368">
          <cell r="AZ368">
            <v>3</v>
          </cell>
        </row>
        <row r="369">
          <cell r="AZ369">
            <v>5</v>
          </cell>
        </row>
        <row r="370">
          <cell r="AZ370">
            <v>7</v>
          </cell>
        </row>
        <row r="371">
          <cell r="AZ371">
            <v>8</v>
          </cell>
        </row>
        <row r="372">
          <cell r="AZ372">
            <v>8</v>
          </cell>
        </row>
        <row r="373">
          <cell r="AZ373">
            <v>4</v>
          </cell>
        </row>
        <row r="374">
          <cell r="AZ374">
            <v>9</v>
          </cell>
        </row>
        <row r="375">
          <cell r="AZ375">
            <v>8</v>
          </cell>
        </row>
        <row r="376">
          <cell r="AZ376">
            <v>2</v>
          </cell>
        </row>
        <row r="377">
          <cell r="AZ377">
            <v>9</v>
          </cell>
        </row>
        <row r="378">
          <cell r="AZ378">
            <v>6</v>
          </cell>
        </row>
        <row r="379">
          <cell r="AZ379">
            <v>2</v>
          </cell>
        </row>
        <row r="380">
          <cell r="AZ380">
            <v>10</v>
          </cell>
        </row>
        <row r="381">
          <cell r="AZ381">
            <v>10</v>
          </cell>
        </row>
        <row r="382">
          <cell r="AZ382">
            <v>9</v>
          </cell>
        </row>
        <row r="383">
          <cell r="AZ383">
            <v>2</v>
          </cell>
        </row>
        <row r="384">
          <cell r="AZ384">
            <v>2</v>
          </cell>
        </row>
        <row r="385">
          <cell r="AZ385">
            <v>3</v>
          </cell>
        </row>
        <row r="386">
          <cell r="AZ386">
            <v>9</v>
          </cell>
        </row>
        <row r="387">
          <cell r="AZ387">
            <v>7</v>
          </cell>
        </row>
        <row r="388">
          <cell r="AZ388">
            <v>1</v>
          </cell>
        </row>
        <row r="389">
          <cell r="AZ389">
            <v>5</v>
          </cell>
        </row>
        <row r="390">
          <cell r="AZ390">
            <v>8</v>
          </cell>
        </row>
        <row r="391">
          <cell r="AZ391">
            <v>9</v>
          </cell>
        </row>
        <row r="392">
          <cell r="AZ392">
            <v>9</v>
          </cell>
        </row>
        <row r="393">
          <cell r="AZ393">
            <v>8</v>
          </cell>
        </row>
        <row r="394">
          <cell r="AZ394">
            <v>9</v>
          </cell>
        </row>
        <row r="395">
          <cell r="AZ395">
            <v>6</v>
          </cell>
        </row>
        <row r="396">
          <cell r="AZ396">
            <v>8</v>
          </cell>
        </row>
        <row r="397">
          <cell r="AZ397">
            <v>5</v>
          </cell>
        </row>
        <row r="398">
          <cell r="AZ398">
            <v>9</v>
          </cell>
        </row>
        <row r="399">
          <cell r="AZ399">
            <v>8</v>
          </cell>
        </row>
        <row r="400">
          <cell r="AZ400">
            <v>2</v>
          </cell>
        </row>
        <row r="401">
          <cell r="AZ401">
            <v>8</v>
          </cell>
        </row>
        <row r="402">
          <cell r="AZ402">
            <v>7</v>
          </cell>
        </row>
        <row r="403">
          <cell r="AZ403">
            <v>8</v>
          </cell>
        </row>
        <row r="404">
          <cell r="AZ404">
            <v>8</v>
          </cell>
        </row>
        <row r="405">
          <cell r="AZ405">
            <v>7</v>
          </cell>
        </row>
        <row r="406">
          <cell r="AZ406">
            <v>10</v>
          </cell>
        </row>
        <row r="407">
          <cell r="AZ407">
            <v>10</v>
          </cell>
        </row>
        <row r="408">
          <cell r="AZ408">
            <v>4</v>
          </cell>
        </row>
        <row r="409">
          <cell r="AZ409">
            <v>4</v>
          </cell>
        </row>
        <row r="410">
          <cell r="AZ410">
            <v>10</v>
          </cell>
        </row>
        <row r="411">
          <cell r="AZ411">
            <v>1</v>
          </cell>
        </row>
        <row r="412">
          <cell r="AZ412">
            <v>2</v>
          </cell>
        </row>
        <row r="413">
          <cell r="AZ413">
            <v>1</v>
          </cell>
        </row>
        <row r="414">
          <cell r="AZ414">
            <v>10</v>
          </cell>
        </row>
        <row r="415">
          <cell r="AZ415">
            <v>1</v>
          </cell>
        </row>
        <row r="416">
          <cell r="AZ416">
            <v>5</v>
          </cell>
        </row>
        <row r="417">
          <cell r="AZ417">
            <v>3</v>
          </cell>
        </row>
        <row r="418">
          <cell r="AZ418">
            <v>2</v>
          </cell>
        </row>
        <row r="419">
          <cell r="AZ419">
            <v>9</v>
          </cell>
        </row>
        <row r="420">
          <cell r="AZ420">
            <v>3</v>
          </cell>
        </row>
        <row r="421">
          <cell r="AZ421">
            <v>2</v>
          </cell>
        </row>
        <row r="422">
          <cell r="AZ422">
            <v>1</v>
          </cell>
        </row>
        <row r="423">
          <cell r="AZ423">
            <v>6</v>
          </cell>
        </row>
        <row r="424">
          <cell r="AZ424">
            <v>5</v>
          </cell>
        </row>
        <row r="425">
          <cell r="AZ425">
            <v>9</v>
          </cell>
        </row>
        <row r="426">
          <cell r="AZ426">
            <v>9</v>
          </cell>
        </row>
        <row r="427">
          <cell r="AZ427">
            <v>1</v>
          </cell>
        </row>
        <row r="428">
          <cell r="AZ428">
            <v>5</v>
          </cell>
        </row>
        <row r="429">
          <cell r="AZ429">
            <v>10</v>
          </cell>
        </row>
        <row r="430">
          <cell r="AZ430">
            <v>9</v>
          </cell>
        </row>
        <row r="431">
          <cell r="AZ431">
            <v>4</v>
          </cell>
        </row>
        <row r="432">
          <cell r="AZ432">
            <v>1</v>
          </cell>
        </row>
        <row r="433">
          <cell r="AZ433">
            <v>1</v>
          </cell>
        </row>
        <row r="434">
          <cell r="AZ434">
            <v>4</v>
          </cell>
        </row>
        <row r="435">
          <cell r="AZ435">
            <v>4</v>
          </cell>
        </row>
        <row r="436">
          <cell r="AZ436">
            <v>2</v>
          </cell>
        </row>
        <row r="437">
          <cell r="AZ437">
            <v>5</v>
          </cell>
        </row>
        <row r="438">
          <cell r="AZ438">
            <v>6</v>
          </cell>
        </row>
        <row r="439">
          <cell r="AZ439">
            <v>6</v>
          </cell>
        </row>
        <row r="440">
          <cell r="AZ440">
            <v>9</v>
          </cell>
        </row>
        <row r="441">
          <cell r="AZ441">
            <v>8</v>
          </cell>
        </row>
        <row r="442">
          <cell r="AZ442">
            <v>7</v>
          </cell>
        </row>
        <row r="443">
          <cell r="AZ443">
            <v>4</v>
          </cell>
        </row>
        <row r="444">
          <cell r="AZ444">
            <v>2</v>
          </cell>
        </row>
        <row r="445">
          <cell r="AZ445">
            <v>8</v>
          </cell>
        </row>
        <row r="446">
          <cell r="AZ446">
            <v>7</v>
          </cell>
        </row>
        <row r="447">
          <cell r="AZ447">
            <v>5</v>
          </cell>
        </row>
        <row r="448">
          <cell r="AZ448">
            <v>3</v>
          </cell>
        </row>
        <row r="449">
          <cell r="AZ449">
            <v>2</v>
          </cell>
        </row>
        <row r="450">
          <cell r="AZ450">
            <v>9</v>
          </cell>
        </row>
        <row r="451">
          <cell r="AZ451">
            <v>8</v>
          </cell>
        </row>
        <row r="452">
          <cell r="AZ452">
            <v>3</v>
          </cell>
        </row>
        <row r="453">
          <cell r="AZ453">
            <v>8</v>
          </cell>
        </row>
        <row r="454">
          <cell r="AZ454">
            <v>7</v>
          </cell>
        </row>
        <row r="455">
          <cell r="AZ455">
            <v>2</v>
          </cell>
        </row>
        <row r="456">
          <cell r="AZ456">
            <v>1</v>
          </cell>
        </row>
        <row r="457">
          <cell r="AZ457">
            <v>1</v>
          </cell>
        </row>
        <row r="458">
          <cell r="AZ458">
            <v>10</v>
          </cell>
        </row>
        <row r="459">
          <cell r="AZ459">
            <v>4</v>
          </cell>
        </row>
        <row r="460">
          <cell r="AZ460">
            <v>3</v>
          </cell>
        </row>
        <row r="461">
          <cell r="AZ461">
            <v>7</v>
          </cell>
        </row>
        <row r="462">
          <cell r="AZ462">
            <v>9</v>
          </cell>
        </row>
        <row r="463">
          <cell r="AZ463">
            <v>4</v>
          </cell>
        </row>
        <row r="464">
          <cell r="AZ464">
            <v>3</v>
          </cell>
        </row>
        <row r="465">
          <cell r="AZ465">
            <v>9</v>
          </cell>
        </row>
        <row r="466">
          <cell r="AZ466">
            <v>5</v>
          </cell>
        </row>
        <row r="467">
          <cell r="AZ467">
            <v>4</v>
          </cell>
        </row>
        <row r="468">
          <cell r="AZ468">
            <v>1</v>
          </cell>
        </row>
        <row r="469">
          <cell r="AZ469">
            <v>2</v>
          </cell>
        </row>
        <row r="470">
          <cell r="AZ470">
            <v>5</v>
          </cell>
        </row>
        <row r="471">
          <cell r="AZ471">
            <v>2</v>
          </cell>
        </row>
        <row r="472">
          <cell r="AZ472">
            <v>3</v>
          </cell>
        </row>
        <row r="473">
          <cell r="AZ473">
            <v>6</v>
          </cell>
        </row>
        <row r="474">
          <cell r="AZ474">
            <v>9</v>
          </cell>
        </row>
        <row r="475">
          <cell r="AZ475">
            <v>2</v>
          </cell>
        </row>
        <row r="476">
          <cell r="AZ476">
            <v>4</v>
          </cell>
        </row>
        <row r="477">
          <cell r="AZ477">
            <v>6</v>
          </cell>
        </row>
        <row r="478">
          <cell r="AZ478">
            <v>3</v>
          </cell>
        </row>
        <row r="479">
          <cell r="AZ479">
            <v>5</v>
          </cell>
        </row>
        <row r="480">
          <cell r="AZ480">
            <v>1</v>
          </cell>
        </row>
        <row r="481">
          <cell r="AZ481">
            <v>8</v>
          </cell>
        </row>
        <row r="482">
          <cell r="AZ482">
            <v>9</v>
          </cell>
        </row>
        <row r="483">
          <cell r="AZ483">
            <v>7</v>
          </cell>
        </row>
        <row r="484">
          <cell r="AZ484">
            <v>10</v>
          </cell>
        </row>
        <row r="485">
          <cell r="AZ485">
            <v>6</v>
          </cell>
        </row>
        <row r="486">
          <cell r="AZ486">
            <v>3</v>
          </cell>
        </row>
        <row r="487">
          <cell r="AZ487">
            <v>9</v>
          </cell>
        </row>
        <row r="488">
          <cell r="AZ488">
            <v>9</v>
          </cell>
        </row>
        <row r="489">
          <cell r="AZ489">
            <v>3</v>
          </cell>
        </row>
        <row r="490">
          <cell r="AZ490">
            <v>5</v>
          </cell>
        </row>
        <row r="491">
          <cell r="AZ491">
            <v>3</v>
          </cell>
        </row>
        <row r="492">
          <cell r="AZ492">
            <v>5</v>
          </cell>
        </row>
        <row r="493">
          <cell r="AZ493">
            <v>4</v>
          </cell>
        </row>
        <row r="494">
          <cell r="AZ494">
            <v>4</v>
          </cell>
        </row>
        <row r="495">
          <cell r="AZ495">
            <v>9</v>
          </cell>
        </row>
        <row r="496">
          <cell r="AZ496">
            <v>6</v>
          </cell>
        </row>
        <row r="497">
          <cell r="AZ497">
            <v>8</v>
          </cell>
        </row>
        <row r="498">
          <cell r="AZ498">
            <v>1</v>
          </cell>
        </row>
        <row r="499">
          <cell r="AZ499">
            <v>6</v>
          </cell>
        </row>
        <row r="500">
          <cell r="AZ500">
            <v>6</v>
          </cell>
        </row>
        <row r="501">
          <cell r="AZ501">
            <v>7</v>
          </cell>
        </row>
        <row r="502">
          <cell r="AZ502">
            <v>7</v>
          </cell>
        </row>
        <row r="503">
          <cell r="AZ503">
            <v>4</v>
          </cell>
        </row>
        <row r="504">
          <cell r="AZ504">
            <v>6</v>
          </cell>
        </row>
        <row r="505">
          <cell r="AZ505">
            <v>2</v>
          </cell>
        </row>
        <row r="506">
          <cell r="AZ506">
            <v>9</v>
          </cell>
        </row>
        <row r="507">
          <cell r="AZ507">
            <v>2</v>
          </cell>
        </row>
        <row r="508">
          <cell r="AZ508">
            <v>3</v>
          </cell>
        </row>
        <row r="509">
          <cell r="AZ509">
            <v>4</v>
          </cell>
        </row>
        <row r="510">
          <cell r="AZ510">
            <v>6</v>
          </cell>
        </row>
        <row r="511">
          <cell r="AZ511">
            <v>6</v>
          </cell>
        </row>
        <row r="512">
          <cell r="AZ512">
            <v>10</v>
          </cell>
        </row>
        <row r="513">
          <cell r="AZ513">
            <v>1</v>
          </cell>
        </row>
        <row r="514">
          <cell r="AZ514">
            <v>4</v>
          </cell>
        </row>
        <row r="515">
          <cell r="AZ515">
            <v>3</v>
          </cell>
        </row>
        <row r="516">
          <cell r="AZ516">
            <v>3</v>
          </cell>
        </row>
        <row r="517">
          <cell r="AZ517">
            <v>9</v>
          </cell>
        </row>
        <row r="518">
          <cell r="AZ518">
            <v>9</v>
          </cell>
        </row>
        <row r="519">
          <cell r="AZ519">
            <v>6</v>
          </cell>
        </row>
        <row r="520">
          <cell r="AZ520">
            <v>4</v>
          </cell>
        </row>
        <row r="521">
          <cell r="AZ521">
            <v>7</v>
          </cell>
        </row>
        <row r="522">
          <cell r="AZ522">
            <v>9</v>
          </cell>
        </row>
        <row r="523">
          <cell r="AZ523">
            <v>8</v>
          </cell>
        </row>
        <row r="524">
          <cell r="AZ524">
            <v>1</v>
          </cell>
        </row>
        <row r="525">
          <cell r="AZ525">
            <v>2</v>
          </cell>
        </row>
        <row r="526">
          <cell r="AZ526">
            <v>8</v>
          </cell>
        </row>
        <row r="527">
          <cell r="AZ527">
            <v>2</v>
          </cell>
        </row>
        <row r="528">
          <cell r="AZ528">
            <v>2</v>
          </cell>
        </row>
        <row r="529">
          <cell r="AZ529">
            <v>5</v>
          </cell>
        </row>
        <row r="530">
          <cell r="AZ530">
            <v>6</v>
          </cell>
        </row>
        <row r="531">
          <cell r="AZ531">
            <v>9</v>
          </cell>
        </row>
        <row r="532">
          <cell r="AZ532">
            <v>7</v>
          </cell>
        </row>
        <row r="533">
          <cell r="AZ533">
            <v>9</v>
          </cell>
        </row>
        <row r="534">
          <cell r="AZ534">
            <v>8</v>
          </cell>
        </row>
        <row r="535">
          <cell r="AZ535">
            <v>3</v>
          </cell>
        </row>
        <row r="536">
          <cell r="AZ536">
            <v>3</v>
          </cell>
        </row>
        <row r="537">
          <cell r="AZ537">
            <v>5</v>
          </cell>
        </row>
        <row r="538">
          <cell r="AZ538">
            <v>9</v>
          </cell>
        </row>
        <row r="539">
          <cell r="AZ539">
            <v>8</v>
          </cell>
        </row>
        <row r="540">
          <cell r="AZ540">
            <v>10</v>
          </cell>
        </row>
        <row r="541">
          <cell r="AZ541">
            <v>3</v>
          </cell>
        </row>
        <row r="542">
          <cell r="AZ542">
            <v>1</v>
          </cell>
        </row>
        <row r="543">
          <cell r="AZ543">
            <v>10</v>
          </cell>
        </row>
        <row r="544">
          <cell r="AZ544">
            <v>1</v>
          </cell>
        </row>
        <row r="545">
          <cell r="AZ545">
            <v>9</v>
          </cell>
        </row>
        <row r="546">
          <cell r="AZ546">
            <v>8</v>
          </cell>
        </row>
        <row r="547">
          <cell r="AZ547">
            <v>6</v>
          </cell>
        </row>
        <row r="548">
          <cell r="AZ548">
            <v>3</v>
          </cell>
        </row>
        <row r="549">
          <cell r="AZ549">
            <v>3</v>
          </cell>
        </row>
        <row r="550">
          <cell r="AZ550">
            <v>4</v>
          </cell>
        </row>
        <row r="551">
          <cell r="AZ551">
            <v>4</v>
          </cell>
        </row>
        <row r="552">
          <cell r="AZ552">
            <v>10</v>
          </cell>
        </row>
        <row r="553">
          <cell r="AZ553">
            <v>5</v>
          </cell>
        </row>
        <row r="554">
          <cell r="AZ554">
            <v>6</v>
          </cell>
        </row>
        <row r="555">
          <cell r="AZ555">
            <v>6</v>
          </cell>
        </row>
        <row r="556">
          <cell r="AZ556">
            <v>4</v>
          </cell>
        </row>
        <row r="557">
          <cell r="AZ557">
            <v>4</v>
          </cell>
        </row>
        <row r="558">
          <cell r="AZ558">
            <v>4</v>
          </cell>
        </row>
        <row r="559">
          <cell r="AZ559">
            <v>1</v>
          </cell>
        </row>
        <row r="560">
          <cell r="AZ560">
            <v>10</v>
          </cell>
        </row>
        <row r="561">
          <cell r="AZ561">
            <v>6</v>
          </cell>
        </row>
        <row r="562">
          <cell r="AZ562">
            <v>9</v>
          </cell>
        </row>
        <row r="563">
          <cell r="AZ563">
            <v>8</v>
          </cell>
        </row>
        <row r="564">
          <cell r="AZ564">
            <v>8</v>
          </cell>
        </row>
        <row r="565">
          <cell r="AZ565">
            <v>4</v>
          </cell>
        </row>
        <row r="566">
          <cell r="AZ566">
            <v>3</v>
          </cell>
        </row>
        <row r="567">
          <cell r="AZ567">
            <v>1</v>
          </cell>
        </row>
        <row r="568">
          <cell r="AZ568">
            <v>9</v>
          </cell>
        </row>
        <row r="569">
          <cell r="AZ569">
            <v>9</v>
          </cell>
        </row>
        <row r="570">
          <cell r="AZ570">
            <v>5</v>
          </cell>
        </row>
        <row r="571">
          <cell r="AZ571">
            <v>4</v>
          </cell>
        </row>
        <row r="572">
          <cell r="AZ572">
            <v>7</v>
          </cell>
        </row>
        <row r="573">
          <cell r="AZ573">
            <v>8</v>
          </cell>
        </row>
        <row r="574">
          <cell r="AZ574">
            <v>4</v>
          </cell>
        </row>
        <row r="575">
          <cell r="AZ575">
            <v>7</v>
          </cell>
        </row>
        <row r="576">
          <cell r="AZ576">
            <v>3</v>
          </cell>
        </row>
        <row r="577">
          <cell r="AZ577">
            <v>2</v>
          </cell>
        </row>
        <row r="578">
          <cell r="AZ578">
            <v>6</v>
          </cell>
        </row>
        <row r="579">
          <cell r="AZ579">
            <v>6</v>
          </cell>
        </row>
        <row r="580">
          <cell r="AZ580">
            <v>6</v>
          </cell>
        </row>
        <row r="581">
          <cell r="AZ581">
            <v>4</v>
          </cell>
        </row>
        <row r="582">
          <cell r="AZ582">
            <v>1</v>
          </cell>
        </row>
        <row r="583">
          <cell r="AZ583">
            <v>6</v>
          </cell>
        </row>
        <row r="584">
          <cell r="AZ584">
            <v>7</v>
          </cell>
        </row>
        <row r="585">
          <cell r="AZ585">
            <v>4</v>
          </cell>
        </row>
        <row r="586">
          <cell r="AZ586">
            <v>9</v>
          </cell>
        </row>
        <row r="587">
          <cell r="AZ587">
            <v>7</v>
          </cell>
        </row>
        <row r="588">
          <cell r="AZ588">
            <v>7</v>
          </cell>
        </row>
        <row r="589">
          <cell r="AZ589">
            <v>2</v>
          </cell>
        </row>
        <row r="590">
          <cell r="AZ590">
            <v>8</v>
          </cell>
        </row>
        <row r="591">
          <cell r="AZ591">
            <v>8</v>
          </cell>
        </row>
        <row r="592">
          <cell r="AZ592">
            <v>7</v>
          </cell>
        </row>
        <row r="593">
          <cell r="AZ593">
            <v>6</v>
          </cell>
        </row>
        <row r="594">
          <cell r="AZ594">
            <v>4</v>
          </cell>
        </row>
        <row r="595">
          <cell r="AZ595">
            <v>6</v>
          </cell>
        </row>
        <row r="596">
          <cell r="AZ596">
            <v>10</v>
          </cell>
        </row>
        <row r="597">
          <cell r="AZ597">
            <v>8</v>
          </cell>
        </row>
        <row r="598">
          <cell r="AZ598">
            <v>5</v>
          </cell>
        </row>
        <row r="599">
          <cell r="AZ599">
            <v>5</v>
          </cell>
        </row>
        <row r="600">
          <cell r="AZ600">
            <v>1</v>
          </cell>
        </row>
        <row r="601">
          <cell r="AZ601">
            <v>8</v>
          </cell>
        </row>
        <row r="602">
          <cell r="AZ602">
            <v>4</v>
          </cell>
        </row>
        <row r="603">
          <cell r="AZ603">
            <v>8</v>
          </cell>
        </row>
        <row r="604">
          <cell r="AZ604">
            <v>8</v>
          </cell>
        </row>
        <row r="605">
          <cell r="AZ605">
            <v>1</v>
          </cell>
        </row>
        <row r="606">
          <cell r="AZ606">
            <v>10</v>
          </cell>
        </row>
        <row r="607">
          <cell r="AZ607">
            <v>2</v>
          </cell>
        </row>
        <row r="608">
          <cell r="AZ608">
            <v>10</v>
          </cell>
        </row>
        <row r="609">
          <cell r="AZ609">
            <v>5</v>
          </cell>
        </row>
        <row r="610">
          <cell r="AZ610">
            <v>6</v>
          </cell>
        </row>
        <row r="611">
          <cell r="AZ611">
            <v>1</v>
          </cell>
        </row>
        <row r="612">
          <cell r="AZ612">
            <v>9</v>
          </cell>
        </row>
        <row r="613">
          <cell r="AZ613">
            <v>10</v>
          </cell>
        </row>
        <row r="614">
          <cell r="AZ614">
            <v>10</v>
          </cell>
        </row>
        <row r="615">
          <cell r="AZ615">
            <v>6</v>
          </cell>
        </row>
        <row r="616">
          <cell r="AZ616">
            <v>1</v>
          </cell>
        </row>
        <row r="617">
          <cell r="AZ617">
            <v>10</v>
          </cell>
        </row>
        <row r="618">
          <cell r="AZ618">
            <v>10</v>
          </cell>
        </row>
        <row r="619">
          <cell r="AZ619">
            <v>5</v>
          </cell>
        </row>
        <row r="620">
          <cell r="AZ620">
            <v>2</v>
          </cell>
        </row>
        <row r="621">
          <cell r="AZ621">
            <v>9</v>
          </cell>
        </row>
        <row r="622">
          <cell r="AZ622">
            <v>2</v>
          </cell>
        </row>
        <row r="623">
          <cell r="AZ623">
            <v>3</v>
          </cell>
        </row>
        <row r="624">
          <cell r="AZ624">
            <v>7</v>
          </cell>
        </row>
        <row r="625">
          <cell r="AZ625">
            <v>10</v>
          </cell>
        </row>
        <row r="626">
          <cell r="AZ626">
            <v>9</v>
          </cell>
        </row>
        <row r="627">
          <cell r="AZ627">
            <v>7</v>
          </cell>
        </row>
        <row r="628">
          <cell r="AZ628">
            <v>6</v>
          </cell>
        </row>
        <row r="629">
          <cell r="AZ629">
            <v>1</v>
          </cell>
        </row>
        <row r="630">
          <cell r="AZ630">
            <v>4</v>
          </cell>
        </row>
        <row r="631">
          <cell r="AZ631">
            <v>4</v>
          </cell>
        </row>
        <row r="632">
          <cell r="AZ632">
            <v>3</v>
          </cell>
        </row>
        <row r="633">
          <cell r="AZ633">
            <v>10</v>
          </cell>
        </row>
        <row r="634">
          <cell r="AZ634">
            <v>5</v>
          </cell>
        </row>
        <row r="635">
          <cell r="AZ635">
            <v>7</v>
          </cell>
        </row>
        <row r="636">
          <cell r="AZ636">
            <v>10</v>
          </cell>
        </row>
        <row r="637">
          <cell r="AZ637">
            <v>4</v>
          </cell>
        </row>
        <row r="638">
          <cell r="AZ638">
            <v>1</v>
          </cell>
        </row>
        <row r="639">
          <cell r="AZ639">
            <v>5</v>
          </cell>
        </row>
        <row r="640">
          <cell r="AZ640">
            <v>4</v>
          </cell>
        </row>
        <row r="641">
          <cell r="AZ641">
            <v>9</v>
          </cell>
        </row>
        <row r="642">
          <cell r="AZ642">
            <v>7</v>
          </cell>
        </row>
        <row r="643">
          <cell r="AZ643">
            <v>7</v>
          </cell>
        </row>
        <row r="644">
          <cell r="AZ644">
            <v>10</v>
          </cell>
        </row>
        <row r="645">
          <cell r="AZ645">
            <v>2</v>
          </cell>
        </row>
        <row r="646">
          <cell r="AZ646">
            <v>6</v>
          </cell>
        </row>
        <row r="647">
          <cell r="AZ647">
            <v>2</v>
          </cell>
        </row>
        <row r="648">
          <cell r="AZ648">
            <v>3</v>
          </cell>
        </row>
        <row r="649">
          <cell r="AZ649">
            <v>5</v>
          </cell>
        </row>
        <row r="650">
          <cell r="AZ650">
            <v>3</v>
          </cell>
        </row>
        <row r="651">
          <cell r="AZ651">
            <v>10</v>
          </cell>
        </row>
        <row r="652">
          <cell r="AZ652">
            <v>7</v>
          </cell>
        </row>
        <row r="653">
          <cell r="AZ653">
            <v>10</v>
          </cell>
        </row>
        <row r="654">
          <cell r="AZ654">
            <v>1</v>
          </cell>
        </row>
        <row r="655">
          <cell r="AZ655">
            <v>10</v>
          </cell>
        </row>
        <row r="656">
          <cell r="AZ656">
            <v>6</v>
          </cell>
        </row>
        <row r="657">
          <cell r="AZ657">
            <v>8</v>
          </cell>
        </row>
        <row r="658">
          <cell r="AZ658">
            <v>8</v>
          </cell>
        </row>
        <row r="659">
          <cell r="AZ659">
            <v>4</v>
          </cell>
        </row>
        <row r="660">
          <cell r="AZ660">
            <v>7</v>
          </cell>
        </row>
        <row r="661">
          <cell r="AZ661">
            <v>4</v>
          </cell>
        </row>
        <row r="662">
          <cell r="AZ662">
            <v>3</v>
          </cell>
        </row>
        <row r="663">
          <cell r="AZ663">
            <v>6</v>
          </cell>
        </row>
        <row r="664">
          <cell r="AZ664">
            <v>9</v>
          </cell>
        </row>
        <row r="665">
          <cell r="AZ665">
            <v>5</v>
          </cell>
        </row>
        <row r="666">
          <cell r="AZ666">
            <v>9</v>
          </cell>
        </row>
        <row r="667">
          <cell r="AZ667">
            <v>4</v>
          </cell>
        </row>
        <row r="668">
          <cell r="AZ668">
            <v>1</v>
          </cell>
        </row>
        <row r="669">
          <cell r="AZ669">
            <v>3</v>
          </cell>
        </row>
        <row r="670">
          <cell r="AZ670">
            <v>9</v>
          </cell>
        </row>
        <row r="671">
          <cell r="AZ671">
            <v>2</v>
          </cell>
        </row>
        <row r="672">
          <cell r="AZ672">
            <v>7</v>
          </cell>
        </row>
        <row r="673">
          <cell r="AZ673">
            <v>7</v>
          </cell>
        </row>
        <row r="674">
          <cell r="AZ674">
            <v>7</v>
          </cell>
        </row>
        <row r="675">
          <cell r="AZ675">
            <v>8</v>
          </cell>
        </row>
        <row r="676">
          <cell r="AZ676">
            <v>6</v>
          </cell>
        </row>
        <row r="677">
          <cell r="AZ677">
            <v>6</v>
          </cell>
        </row>
        <row r="678">
          <cell r="AZ678">
            <v>3</v>
          </cell>
        </row>
        <row r="679">
          <cell r="AZ679">
            <v>5</v>
          </cell>
        </row>
        <row r="680">
          <cell r="AZ680">
            <v>7</v>
          </cell>
        </row>
        <row r="681">
          <cell r="AZ681">
            <v>5</v>
          </cell>
        </row>
        <row r="682">
          <cell r="AZ682">
            <v>5</v>
          </cell>
        </row>
        <row r="683">
          <cell r="AZ683">
            <v>1</v>
          </cell>
        </row>
        <row r="684">
          <cell r="AZ684">
            <v>3</v>
          </cell>
        </row>
        <row r="685">
          <cell r="AZ685">
            <v>10</v>
          </cell>
        </row>
        <row r="686">
          <cell r="AZ686">
            <v>4</v>
          </cell>
        </row>
        <row r="687">
          <cell r="AZ687">
            <v>10</v>
          </cell>
        </row>
        <row r="688">
          <cell r="AZ688">
            <v>3</v>
          </cell>
        </row>
        <row r="689">
          <cell r="AZ689">
            <v>2</v>
          </cell>
        </row>
        <row r="690">
          <cell r="AZ690">
            <v>1</v>
          </cell>
        </row>
        <row r="691">
          <cell r="AZ691">
            <v>1</v>
          </cell>
        </row>
        <row r="692">
          <cell r="AZ692">
            <v>7</v>
          </cell>
        </row>
        <row r="693">
          <cell r="AZ693">
            <v>8</v>
          </cell>
        </row>
        <row r="694">
          <cell r="AZ694">
            <v>2</v>
          </cell>
        </row>
        <row r="695">
          <cell r="AZ695">
            <v>6</v>
          </cell>
        </row>
        <row r="696">
          <cell r="AZ696">
            <v>3</v>
          </cell>
        </row>
        <row r="697">
          <cell r="AZ697">
            <v>5</v>
          </cell>
        </row>
        <row r="698">
          <cell r="AZ698">
            <v>2</v>
          </cell>
        </row>
        <row r="699">
          <cell r="AZ699">
            <v>10</v>
          </cell>
        </row>
        <row r="700">
          <cell r="AZ700">
            <v>7</v>
          </cell>
        </row>
        <row r="701">
          <cell r="AZ701">
            <v>8</v>
          </cell>
        </row>
        <row r="702">
          <cell r="AZ702">
            <v>6</v>
          </cell>
        </row>
        <row r="703">
          <cell r="AZ703">
            <v>1</v>
          </cell>
        </row>
        <row r="704">
          <cell r="AZ704">
            <v>1</v>
          </cell>
        </row>
        <row r="705">
          <cell r="AZ705">
            <v>3</v>
          </cell>
        </row>
        <row r="706">
          <cell r="AZ706">
            <v>9</v>
          </cell>
        </row>
        <row r="707">
          <cell r="AZ707">
            <v>6</v>
          </cell>
        </row>
        <row r="708">
          <cell r="AZ708">
            <v>2</v>
          </cell>
        </row>
        <row r="709">
          <cell r="AZ709">
            <v>7</v>
          </cell>
        </row>
        <row r="710">
          <cell r="AZ710">
            <v>6</v>
          </cell>
        </row>
        <row r="711">
          <cell r="AZ711">
            <v>6</v>
          </cell>
        </row>
        <row r="712">
          <cell r="AZ712">
            <v>6</v>
          </cell>
        </row>
        <row r="713">
          <cell r="AZ713">
            <v>8</v>
          </cell>
        </row>
        <row r="714">
          <cell r="AZ714">
            <v>10</v>
          </cell>
        </row>
        <row r="715">
          <cell r="AZ715">
            <v>8</v>
          </cell>
        </row>
        <row r="716">
          <cell r="AZ716">
            <v>10</v>
          </cell>
        </row>
        <row r="717">
          <cell r="AZ717">
            <v>2</v>
          </cell>
        </row>
        <row r="718">
          <cell r="AZ718">
            <v>3</v>
          </cell>
        </row>
        <row r="719">
          <cell r="AZ719">
            <v>7</v>
          </cell>
        </row>
        <row r="720">
          <cell r="AZ720">
            <v>7</v>
          </cell>
        </row>
        <row r="721">
          <cell r="AZ721">
            <v>5</v>
          </cell>
        </row>
        <row r="722">
          <cell r="AZ722">
            <v>2</v>
          </cell>
        </row>
        <row r="723">
          <cell r="AZ723">
            <v>2</v>
          </cell>
        </row>
        <row r="724">
          <cell r="AZ724">
            <v>6</v>
          </cell>
        </row>
        <row r="725">
          <cell r="AZ725">
            <v>3</v>
          </cell>
        </row>
        <row r="726">
          <cell r="AZ726">
            <v>9</v>
          </cell>
        </row>
        <row r="727">
          <cell r="AZ727">
            <v>6</v>
          </cell>
        </row>
        <row r="728">
          <cell r="AZ728">
            <v>8</v>
          </cell>
        </row>
        <row r="729">
          <cell r="AZ729">
            <v>7</v>
          </cell>
        </row>
        <row r="730">
          <cell r="AZ730">
            <v>2</v>
          </cell>
        </row>
        <row r="731">
          <cell r="AZ731">
            <v>8</v>
          </cell>
        </row>
        <row r="732">
          <cell r="AZ732">
            <v>7</v>
          </cell>
        </row>
        <row r="733">
          <cell r="AZ733">
            <v>3</v>
          </cell>
        </row>
        <row r="734">
          <cell r="AZ734">
            <v>1</v>
          </cell>
        </row>
        <row r="735">
          <cell r="AZ735">
            <v>8</v>
          </cell>
        </row>
        <row r="736">
          <cell r="AZ736">
            <v>5</v>
          </cell>
        </row>
        <row r="737">
          <cell r="AZ737">
            <v>2</v>
          </cell>
        </row>
        <row r="738">
          <cell r="AZ738">
            <v>8</v>
          </cell>
        </row>
        <row r="739">
          <cell r="AZ739">
            <v>8</v>
          </cell>
        </row>
        <row r="740">
          <cell r="AZ740">
            <v>5</v>
          </cell>
        </row>
        <row r="741">
          <cell r="AZ741">
            <v>9</v>
          </cell>
        </row>
        <row r="742">
          <cell r="AZ742">
            <v>3</v>
          </cell>
        </row>
        <row r="743">
          <cell r="AZ743">
            <v>6</v>
          </cell>
        </row>
        <row r="744">
          <cell r="AZ744">
            <v>7</v>
          </cell>
        </row>
        <row r="745">
          <cell r="AZ745">
            <v>5</v>
          </cell>
        </row>
        <row r="746">
          <cell r="AZ746">
            <v>1</v>
          </cell>
        </row>
        <row r="747">
          <cell r="AZ747">
            <v>2</v>
          </cell>
        </row>
        <row r="748">
          <cell r="AZ748">
            <v>5</v>
          </cell>
        </row>
        <row r="749">
          <cell r="AZ749">
            <v>9</v>
          </cell>
        </row>
        <row r="750">
          <cell r="AZ750">
            <v>4</v>
          </cell>
        </row>
        <row r="751">
          <cell r="AZ751">
            <v>7</v>
          </cell>
        </row>
        <row r="752">
          <cell r="AZ752">
            <v>1</v>
          </cell>
        </row>
        <row r="753">
          <cell r="AZ753">
            <v>5</v>
          </cell>
        </row>
        <row r="754">
          <cell r="AZ754">
            <v>3</v>
          </cell>
        </row>
        <row r="755">
          <cell r="AZ755">
            <v>10</v>
          </cell>
        </row>
        <row r="756">
          <cell r="AZ756">
            <v>2</v>
          </cell>
        </row>
        <row r="757">
          <cell r="AZ757">
            <v>8</v>
          </cell>
        </row>
        <row r="758">
          <cell r="AZ758">
            <v>7</v>
          </cell>
        </row>
        <row r="759">
          <cell r="AZ759">
            <v>1</v>
          </cell>
        </row>
        <row r="760">
          <cell r="AZ760">
            <v>1</v>
          </cell>
        </row>
        <row r="761">
          <cell r="AZ761">
            <v>7</v>
          </cell>
        </row>
        <row r="762">
          <cell r="AZ762">
            <v>5</v>
          </cell>
        </row>
        <row r="763">
          <cell r="AZ763">
            <v>2</v>
          </cell>
        </row>
        <row r="764">
          <cell r="AZ764">
            <v>8</v>
          </cell>
        </row>
        <row r="765">
          <cell r="AZ765">
            <v>4</v>
          </cell>
        </row>
        <row r="766">
          <cell r="AZ766">
            <v>3</v>
          </cell>
        </row>
        <row r="767">
          <cell r="AZ767">
            <v>9</v>
          </cell>
        </row>
        <row r="768">
          <cell r="AZ768">
            <v>10</v>
          </cell>
        </row>
        <row r="769">
          <cell r="AZ769">
            <v>7</v>
          </cell>
        </row>
        <row r="770">
          <cell r="AZ770">
            <v>3</v>
          </cell>
        </row>
        <row r="771">
          <cell r="AZ771">
            <v>1</v>
          </cell>
        </row>
        <row r="772">
          <cell r="AZ772">
            <v>5</v>
          </cell>
        </row>
        <row r="773">
          <cell r="AZ773">
            <v>2</v>
          </cell>
        </row>
        <row r="774">
          <cell r="AZ774">
            <v>3</v>
          </cell>
        </row>
        <row r="775">
          <cell r="AZ775">
            <v>4</v>
          </cell>
        </row>
        <row r="776">
          <cell r="AZ776">
            <v>6</v>
          </cell>
        </row>
        <row r="777">
          <cell r="AZ777">
            <v>5</v>
          </cell>
        </row>
        <row r="778">
          <cell r="AZ778">
            <v>6</v>
          </cell>
        </row>
        <row r="779">
          <cell r="AZ779">
            <v>2</v>
          </cell>
        </row>
        <row r="780">
          <cell r="AZ780">
            <v>4</v>
          </cell>
        </row>
        <row r="781">
          <cell r="AZ781">
            <v>10</v>
          </cell>
        </row>
        <row r="782">
          <cell r="AZ782">
            <v>7</v>
          </cell>
        </row>
        <row r="783">
          <cell r="AZ783">
            <v>2</v>
          </cell>
        </row>
        <row r="784">
          <cell r="AZ784">
            <v>1</v>
          </cell>
        </row>
        <row r="785">
          <cell r="AZ785">
            <v>3</v>
          </cell>
        </row>
        <row r="786">
          <cell r="AZ786">
            <v>6</v>
          </cell>
        </row>
        <row r="787">
          <cell r="AZ787">
            <v>6</v>
          </cell>
        </row>
        <row r="788">
          <cell r="AZ788">
            <v>3</v>
          </cell>
        </row>
        <row r="789">
          <cell r="AZ789">
            <v>2</v>
          </cell>
        </row>
        <row r="790">
          <cell r="AZ790">
            <v>1</v>
          </cell>
        </row>
        <row r="791">
          <cell r="AZ791">
            <v>3</v>
          </cell>
        </row>
        <row r="792">
          <cell r="AZ792">
            <v>9</v>
          </cell>
        </row>
        <row r="793">
          <cell r="AZ793">
            <v>10</v>
          </cell>
        </row>
        <row r="794">
          <cell r="AZ794">
            <v>2</v>
          </cell>
        </row>
        <row r="795">
          <cell r="AZ795">
            <v>9</v>
          </cell>
        </row>
        <row r="796">
          <cell r="AZ796">
            <v>7</v>
          </cell>
        </row>
        <row r="797">
          <cell r="AZ797">
            <v>7</v>
          </cell>
        </row>
        <row r="798">
          <cell r="AZ798">
            <v>8</v>
          </cell>
        </row>
        <row r="799">
          <cell r="AZ799">
            <v>1</v>
          </cell>
        </row>
        <row r="800">
          <cell r="AZ800">
            <v>8</v>
          </cell>
        </row>
        <row r="801">
          <cell r="AZ801">
            <v>2</v>
          </cell>
        </row>
        <row r="802">
          <cell r="AZ802">
            <v>3</v>
          </cell>
        </row>
        <row r="803">
          <cell r="AZ803">
            <v>4</v>
          </cell>
        </row>
        <row r="804">
          <cell r="AZ804">
            <v>10</v>
          </cell>
        </row>
        <row r="805">
          <cell r="AZ805">
            <v>2</v>
          </cell>
        </row>
        <row r="806">
          <cell r="AZ806">
            <v>2</v>
          </cell>
        </row>
        <row r="807">
          <cell r="AZ807">
            <v>9</v>
          </cell>
        </row>
        <row r="808">
          <cell r="AZ808">
            <v>3</v>
          </cell>
        </row>
        <row r="809">
          <cell r="AZ809">
            <v>4</v>
          </cell>
        </row>
        <row r="810">
          <cell r="AZ810">
            <v>2</v>
          </cell>
        </row>
        <row r="811">
          <cell r="AZ811">
            <v>5</v>
          </cell>
        </row>
        <row r="812">
          <cell r="AZ812">
            <v>5</v>
          </cell>
        </row>
        <row r="813">
          <cell r="AZ813">
            <v>3</v>
          </cell>
        </row>
        <row r="814">
          <cell r="AZ814">
            <v>7</v>
          </cell>
        </row>
        <row r="815">
          <cell r="AZ815">
            <v>9</v>
          </cell>
        </row>
        <row r="816">
          <cell r="AZ816">
            <v>9</v>
          </cell>
        </row>
        <row r="817">
          <cell r="AZ817">
            <v>10</v>
          </cell>
        </row>
        <row r="818">
          <cell r="AZ818">
            <v>1</v>
          </cell>
        </row>
        <row r="819">
          <cell r="AZ819">
            <v>7</v>
          </cell>
        </row>
        <row r="820">
          <cell r="AZ820">
            <v>5</v>
          </cell>
        </row>
        <row r="821">
          <cell r="AZ821">
            <v>9</v>
          </cell>
        </row>
        <row r="822">
          <cell r="AZ822">
            <v>1</v>
          </cell>
        </row>
        <row r="823">
          <cell r="AZ823">
            <v>8</v>
          </cell>
        </row>
        <row r="824">
          <cell r="AZ824">
            <v>7</v>
          </cell>
        </row>
        <row r="825">
          <cell r="AZ825">
            <v>8</v>
          </cell>
        </row>
        <row r="826">
          <cell r="AZ826">
            <v>6</v>
          </cell>
        </row>
        <row r="827">
          <cell r="AZ827">
            <v>8</v>
          </cell>
        </row>
        <row r="828">
          <cell r="AZ828">
            <v>4</v>
          </cell>
        </row>
        <row r="829">
          <cell r="AZ829">
            <v>3</v>
          </cell>
        </row>
        <row r="830">
          <cell r="AZ830">
            <v>9</v>
          </cell>
        </row>
        <row r="831">
          <cell r="AZ831">
            <v>7</v>
          </cell>
        </row>
        <row r="832">
          <cell r="AZ832">
            <v>1</v>
          </cell>
        </row>
        <row r="833">
          <cell r="AZ833">
            <v>7</v>
          </cell>
        </row>
        <row r="834">
          <cell r="AZ834">
            <v>8</v>
          </cell>
        </row>
        <row r="835">
          <cell r="AZ835">
            <v>7</v>
          </cell>
        </row>
        <row r="836">
          <cell r="AZ836">
            <v>8</v>
          </cell>
        </row>
        <row r="837">
          <cell r="AZ837">
            <v>9</v>
          </cell>
        </row>
        <row r="838">
          <cell r="AZ838">
            <v>4</v>
          </cell>
        </row>
        <row r="839">
          <cell r="AZ839">
            <v>9</v>
          </cell>
        </row>
        <row r="840">
          <cell r="AZ840">
            <v>2</v>
          </cell>
        </row>
        <row r="841">
          <cell r="AZ841">
            <v>8</v>
          </cell>
        </row>
        <row r="842">
          <cell r="AZ842">
            <v>1</v>
          </cell>
        </row>
        <row r="843">
          <cell r="AZ843">
            <v>1</v>
          </cell>
        </row>
        <row r="844">
          <cell r="AZ844">
            <v>10</v>
          </cell>
        </row>
        <row r="845">
          <cell r="AZ845">
            <v>6</v>
          </cell>
        </row>
        <row r="846">
          <cell r="AZ846">
            <v>7</v>
          </cell>
        </row>
        <row r="847">
          <cell r="AZ847">
            <v>6</v>
          </cell>
        </row>
        <row r="848">
          <cell r="AZ848">
            <v>3</v>
          </cell>
        </row>
        <row r="849">
          <cell r="AZ849">
            <v>1</v>
          </cell>
        </row>
        <row r="850">
          <cell r="AZ850">
            <v>4</v>
          </cell>
        </row>
        <row r="851">
          <cell r="AZ851">
            <v>4</v>
          </cell>
        </row>
        <row r="852">
          <cell r="AZ852">
            <v>7</v>
          </cell>
        </row>
        <row r="853">
          <cell r="AZ853">
            <v>5</v>
          </cell>
        </row>
        <row r="854">
          <cell r="AZ854">
            <v>9</v>
          </cell>
        </row>
        <row r="855">
          <cell r="AZ855">
            <v>8</v>
          </cell>
        </row>
        <row r="856">
          <cell r="AZ856">
            <v>1</v>
          </cell>
        </row>
        <row r="857">
          <cell r="AZ857">
            <v>2</v>
          </cell>
        </row>
        <row r="858">
          <cell r="AZ858">
            <v>6</v>
          </cell>
        </row>
        <row r="859">
          <cell r="AZ859">
            <v>5</v>
          </cell>
        </row>
        <row r="860">
          <cell r="AZ860">
            <v>4</v>
          </cell>
        </row>
        <row r="861">
          <cell r="AZ861">
            <v>4</v>
          </cell>
        </row>
        <row r="862">
          <cell r="AZ862">
            <v>7</v>
          </cell>
        </row>
        <row r="863">
          <cell r="AZ863">
            <v>8</v>
          </cell>
        </row>
        <row r="864">
          <cell r="AZ864">
            <v>9</v>
          </cell>
        </row>
        <row r="865">
          <cell r="AZ865">
            <v>10</v>
          </cell>
        </row>
        <row r="866">
          <cell r="AZ866">
            <v>4</v>
          </cell>
        </row>
        <row r="867">
          <cell r="AZ867">
            <v>5</v>
          </cell>
        </row>
        <row r="868">
          <cell r="AZ868">
            <v>1</v>
          </cell>
        </row>
        <row r="869">
          <cell r="AZ869">
            <v>3</v>
          </cell>
        </row>
        <row r="870">
          <cell r="AZ870">
            <v>2</v>
          </cell>
        </row>
        <row r="871">
          <cell r="AZ871">
            <v>9</v>
          </cell>
        </row>
        <row r="872">
          <cell r="AZ872">
            <v>10</v>
          </cell>
        </row>
        <row r="873">
          <cell r="AZ873">
            <v>9</v>
          </cell>
        </row>
        <row r="874">
          <cell r="AZ874">
            <v>6</v>
          </cell>
        </row>
        <row r="875">
          <cell r="AZ875">
            <v>6</v>
          </cell>
        </row>
        <row r="876">
          <cell r="AZ876">
            <v>9</v>
          </cell>
        </row>
        <row r="877">
          <cell r="AZ877">
            <v>10</v>
          </cell>
        </row>
        <row r="878">
          <cell r="AZ878">
            <v>3</v>
          </cell>
        </row>
        <row r="879">
          <cell r="AZ879">
            <v>2</v>
          </cell>
        </row>
        <row r="880">
          <cell r="AZ880">
            <v>2</v>
          </cell>
        </row>
        <row r="881">
          <cell r="AZ881">
            <v>9</v>
          </cell>
        </row>
        <row r="882">
          <cell r="AZ882">
            <v>1</v>
          </cell>
        </row>
        <row r="883">
          <cell r="AZ883">
            <v>3</v>
          </cell>
        </row>
        <row r="884">
          <cell r="AZ884">
            <v>7</v>
          </cell>
        </row>
        <row r="885">
          <cell r="AZ885">
            <v>3</v>
          </cell>
        </row>
        <row r="886">
          <cell r="AZ886">
            <v>9</v>
          </cell>
        </row>
        <row r="887">
          <cell r="AZ887">
            <v>10</v>
          </cell>
        </row>
        <row r="888">
          <cell r="AZ888">
            <v>8</v>
          </cell>
        </row>
        <row r="889">
          <cell r="AZ889">
            <v>5</v>
          </cell>
        </row>
        <row r="890">
          <cell r="AZ890">
            <v>4</v>
          </cell>
        </row>
        <row r="891">
          <cell r="AZ891">
            <v>3</v>
          </cell>
        </row>
        <row r="892">
          <cell r="AZ892">
            <v>8</v>
          </cell>
        </row>
        <row r="893">
          <cell r="AZ893">
            <v>7</v>
          </cell>
        </row>
        <row r="894">
          <cell r="AZ894">
            <v>2</v>
          </cell>
        </row>
        <row r="895">
          <cell r="AZ895">
            <v>6</v>
          </cell>
        </row>
        <row r="896">
          <cell r="AZ896">
            <v>8</v>
          </cell>
        </row>
        <row r="897">
          <cell r="AZ897">
            <v>6</v>
          </cell>
        </row>
        <row r="898">
          <cell r="AZ898">
            <v>3</v>
          </cell>
        </row>
        <row r="899">
          <cell r="AZ899">
            <v>6</v>
          </cell>
        </row>
        <row r="900">
          <cell r="AZ900">
            <v>5</v>
          </cell>
        </row>
        <row r="901">
          <cell r="AZ901">
            <v>6</v>
          </cell>
        </row>
        <row r="902">
          <cell r="AZ902">
            <v>4</v>
          </cell>
        </row>
        <row r="903">
          <cell r="AZ903">
            <v>9</v>
          </cell>
        </row>
        <row r="904">
          <cell r="AZ904">
            <v>6</v>
          </cell>
        </row>
        <row r="905">
          <cell r="AZ905">
            <v>4</v>
          </cell>
        </row>
        <row r="906">
          <cell r="AZ906">
            <v>9</v>
          </cell>
        </row>
        <row r="907">
          <cell r="AZ907">
            <v>4</v>
          </cell>
        </row>
        <row r="908">
          <cell r="AZ908">
            <v>7</v>
          </cell>
        </row>
        <row r="909">
          <cell r="AZ909">
            <v>5</v>
          </cell>
        </row>
        <row r="910">
          <cell r="AZ910">
            <v>7</v>
          </cell>
        </row>
        <row r="911">
          <cell r="AZ911">
            <v>10</v>
          </cell>
        </row>
        <row r="912">
          <cell r="AZ912">
            <v>5</v>
          </cell>
        </row>
        <row r="913">
          <cell r="AZ913">
            <v>6</v>
          </cell>
        </row>
        <row r="914">
          <cell r="AZ914">
            <v>7</v>
          </cell>
        </row>
        <row r="915">
          <cell r="AZ915">
            <v>4</v>
          </cell>
        </row>
        <row r="916">
          <cell r="AZ916">
            <v>6</v>
          </cell>
        </row>
        <row r="917">
          <cell r="AZ917">
            <v>7</v>
          </cell>
        </row>
        <row r="918">
          <cell r="AZ918">
            <v>2</v>
          </cell>
        </row>
        <row r="919">
          <cell r="AZ919">
            <v>6</v>
          </cell>
        </row>
        <row r="920">
          <cell r="AZ920">
            <v>10</v>
          </cell>
        </row>
        <row r="921">
          <cell r="AZ921">
            <v>9</v>
          </cell>
        </row>
        <row r="922">
          <cell r="AZ922">
            <v>1</v>
          </cell>
        </row>
        <row r="923">
          <cell r="AZ923">
            <v>9</v>
          </cell>
        </row>
        <row r="924">
          <cell r="AZ924">
            <v>4</v>
          </cell>
        </row>
        <row r="925">
          <cell r="AZ925">
            <v>4</v>
          </cell>
        </row>
        <row r="926">
          <cell r="AZ926">
            <v>3</v>
          </cell>
        </row>
        <row r="927">
          <cell r="AZ927">
            <v>6</v>
          </cell>
        </row>
        <row r="928">
          <cell r="AZ928">
            <v>2</v>
          </cell>
        </row>
        <row r="929">
          <cell r="AZ929">
            <v>3</v>
          </cell>
        </row>
        <row r="930">
          <cell r="AZ930">
            <v>1</v>
          </cell>
        </row>
        <row r="931">
          <cell r="AZ931">
            <v>9</v>
          </cell>
        </row>
        <row r="932">
          <cell r="AZ932">
            <v>9</v>
          </cell>
        </row>
        <row r="933">
          <cell r="AZ933">
            <v>3</v>
          </cell>
        </row>
        <row r="934">
          <cell r="AZ934">
            <v>8</v>
          </cell>
        </row>
        <row r="935">
          <cell r="AZ935">
            <v>1</v>
          </cell>
        </row>
        <row r="936">
          <cell r="AZ936">
            <v>6</v>
          </cell>
        </row>
        <row r="937">
          <cell r="AZ937">
            <v>2</v>
          </cell>
        </row>
        <row r="938">
          <cell r="AZ938">
            <v>2</v>
          </cell>
        </row>
        <row r="939">
          <cell r="AZ939">
            <v>1</v>
          </cell>
        </row>
        <row r="940">
          <cell r="AZ940">
            <v>9</v>
          </cell>
        </row>
        <row r="941">
          <cell r="AZ941">
            <v>7</v>
          </cell>
        </row>
        <row r="942">
          <cell r="AZ942">
            <v>6</v>
          </cell>
        </row>
        <row r="943">
          <cell r="AZ943">
            <v>1</v>
          </cell>
        </row>
        <row r="944">
          <cell r="AZ944">
            <v>6</v>
          </cell>
        </row>
        <row r="945">
          <cell r="AZ945">
            <v>5</v>
          </cell>
        </row>
        <row r="946">
          <cell r="AZ946">
            <v>10</v>
          </cell>
        </row>
        <row r="947">
          <cell r="AZ947">
            <v>2</v>
          </cell>
        </row>
        <row r="948">
          <cell r="AZ948">
            <v>7</v>
          </cell>
        </row>
        <row r="949">
          <cell r="AZ949">
            <v>6</v>
          </cell>
        </row>
        <row r="950">
          <cell r="AZ950">
            <v>3</v>
          </cell>
        </row>
        <row r="951">
          <cell r="AZ951">
            <v>6</v>
          </cell>
        </row>
        <row r="952">
          <cell r="AZ952">
            <v>7</v>
          </cell>
        </row>
        <row r="953">
          <cell r="AZ953">
            <v>1</v>
          </cell>
        </row>
        <row r="954">
          <cell r="AZ954">
            <v>6</v>
          </cell>
        </row>
        <row r="955">
          <cell r="AZ955">
            <v>8</v>
          </cell>
        </row>
        <row r="956">
          <cell r="AZ956">
            <v>4</v>
          </cell>
        </row>
        <row r="957">
          <cell r="AZ957">
            <v>5</v>
          </cell>
        </row>
        <row r="958">
          <cell r="AZ958">
            <v>6</v>
          </cell>
        </row>
        <row r="959">
          <cell r="AZ959">
            <v>4</v>
          </cell>
        </row>
        <row r="960">
          <cell r="AZ960">
            <v>9</v>
          </cell>
        </row>
        <row r="961">
          <cell r="AZ961">
            <v>9</v>
          </cell>
        </row>
        <row r="962">
          <cell r="AZ962">
            <v>4</v>
          </cell>
        </row>
        <row r="963">
          <cell r="AZ963">
            <v>6</v>
          </cell>
        </row>
        <row r="964">
          <cell r="AZ964">
            <v>10</v>
          </cell>
        </row>
        <row r="965">
          <cell r="AZ965">
            <v>5</v>
          </cell>
        </row>
        <row r="966">
          <cell r="AZ966">
            <v>2</v>
          </cell>
        </row>
        <row r="967">
          <cell r="AZ967">
            <v>10</v>
          </cell>
        </row>
        <row r="968">
          <cell r="AZ968">
            <v>4</v>
          </cell>
        </row>
        <row r="969">
          <cell r="AZ969">
            <v>4</v>
          </cell>
        </row>
        <row r="970">
          <cell r="AZ970">
            <v>9</v>
          </cell>
        </row>
        <row r="971">
          <cell r="AZ971">
            <v>10</v>
          </cell>
        </row>
        <row r="972">
          <cell r="AZ972">
            <v>2</v>
          </cell>
        </row>
        <row r="973">
          <cell r="AZ973">
            <v>2</v>
          </cell>
        </row>
        <row r="974">
          <cell r="AZ974">
            <v>6</v>
          </cell>
        </row>
        <row r="975">
          <cell r="AZ975">
            <v>8</v>
          </cell>
        </row>
        <row r="976">
          <cell r="AZ976">
            <v>5</v>
          </cell>
        </row>
        <row r="977">
          <cell r="AZ977">
            <v>2</v>
          </cell>
        </row>
        <row r="978">
          <cell r="AZ978">
            <v>8</v>
          </cell>
        </row>
        <row r="979">
          <cell r="AZ979">
            <v>9</v>
          </cell>
        </row>
        <row r="980">
          <cell r="AZ980">
            <v>3</v>
          </cell>
        </row>
        <row r="981">
          <cell r="AZ981">
            <v>1</v>
          </cell>
        </row>
        <row r="982">
          <cell r="AZ982">
            <v>1</v>
          </cell>
        </row>
        <row r="983">
          <cell r="AZ983">
            <v>6</v>
          </cell>
        </row>
        <row r="984">
          <cell r="AZ984">
            <v>8</v>
          </cell>
        </row>
        <row r="985">
          <cell r="AZ985">
            <v>3</v>
          </cell>
        </row>
        <row r="986">
          <cell r="AZ986">
            <v>5</v>
          </cell>
        </row>
        <row r="987">
          <cell r="AZ987">
            <v>1</v>
          </cell>
        </row>
        <row r="988">
          <cell r="AZ988">
            <v>8</v>
          </cell>
        </row>
        <row r="989">
          <cell r="AZ989">
            <v>4</v>
          </cell>
        </row>
        <row r="990">
          <cell r="AZ990">
            <v>3</v>
          </cell>
        </row>
        <row r="991">
          <cell r="AZ991">
            <v>6</v>
          </cell>
        </row>
        <row r="992">
          <cell r="AZ992">
            <v>4</v>
          </cell>
        </row>
        <row r="993">
          <cell r="AZ993">
            <v>7</v>
          </cell>
        </row>
        <row r="994">
          <cell r="AZ994">
            <v>1</v>
          </cell>
        </row>
        <row r="995">
          <cell r="AZ995">
            <v>3</v>
          </cell>
        </row>
        <row r="996">
          <cell r="AZ996">
            <v>5</v>
          </cell>
        </row>
        <row r="997">
          <cell r="AZ997">
            <v>4</v>
          </cell>
        </row>
        <row r="998">
          <cell r="AZ998">
            <v>6</v>
          </cell>
        </row>
        <row r="999">
          <cell r="AZ999">
            <v>6</v>
          </cell>
        </row>
        <row r="1000">
          <cell r="AZ1000">
            <v>5</v>
          </cell>
        </row>
        <row r="1001">
          <cell r="AZ1001">
            <v>10</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riginal Data"/>
      <sheetName val="Data Dictionary"/>
      <sheetName val="Cleaned Data"/>
      <sheetName val="Data Cleaning &amp; Transformation"/>
      <sheetName val="Executive Summary"/>
      <sheetName val="data exploration"/>
      <sheetName val="operational perf. dashboard"/>
      <sheetName val="recommendations"/>
      <sheetName val="recomm.."/>
    </sheetNames>
    <sheetDataSet>
      <sheetData sheetId="0" refreshError="1"/>
      <sheetData sheetId="1" refreshError="1"/>
      <sheetData sheetId="2">
        <row r="2">
          <cell r="AQ2">
            <v>333.8</v>
          </cell>
          <cell r="AY2">
            <v>0.25</v>
          </cell>
          <cell r="BI2">
            <v>2</v>
          </cell>
        </row>
        <row r="3">
          <cell r="AQ3">
            <v>222.22</v>
          </cell>
          <cell r="AY3">
            <v>9.0909090909090912E-2</v>
          </cell>
          <cell r="BI3">
            <v>6</v>
          </cell>
        </row>
        <row r="4">
          <cell r="AQ4">
            <v>426.22</v>
          </cell>
          <cell r="AY4">
            <v>0.5</v>
          </cell>
          <cell r="BI4">
            <v>3</v>
          </cell>
        </row>
        <row r="5">
          <cell r="AQ5">
            <v>101.31</v>
          </cell>
          <cell r="AY5">
            <v>0</v>
          </cell>
          <cell r="BI5">
            <v>10</v>
          </cell>
        </row>
        <row r="6">
          <cell r="AQ6">
            <v>211.7</v>
          </cell>
          <cell r="AY6">
            <v>0.33333333333333331</v>
          </cell>
          <cell r="BI6">
            <v>4</v>
          </cell>
        </row>
        <row r="7">
          <cell r="AQ7">
            <v>487.95</v>
          </cell>
          <cell r="AY7">
            <v>0.25</v>
          </cell>
          <cell r="BI7">
            <v>7</v>
          </cell>
        </row>
        <row r="8">
          <cell r="AQ8">
            <v>486.4</v>
          </cell>
          <cell r="AY8">
            <v>0</v>
          </cell>
          <cell r="BI8">
            <v>13</v>
          </cell>
        </row>
        <row r="9">
          <cell r="AQ9">
            <v>218.06</v>
          </cell>
          <cell r="AY9">
            <v>0.33333333333333331</v>
          </cell>
          <cell r="BI9">
            <v>13</v>
          </cell>
        </row>
        <row r="10">
          <cell r="AQ10">
            <v>201.96</v>
          </cell>
          <cell r="AY10">
            <v>0.125</v>
          </cell>
          <cell r="BI10">
            <v>7</v>
          </cell>
        </row>
        <row r="11">
          <cell r="AQ11">
            <v>418.83</v>
          </cell>
          <cell r="AY11">
            <v>0.14285714285714285</v>
          </cell>
          <cell r="BI11">
            <v>13</v>
          </cell>
        </row>
        <row r="12">
          <cell r="AQ12">
            <v>389.7</v>
          </cell>
          <cell r="AY12">
            <v>0</v>
          </cell>
          <cell r="BI12">
            <v>12</v>
          </cell>
        </row>
        <row r="13">
          <cell r="AQ13">
            <v>238.93</v>
          </cell>
          <cell r="AY13">
            <v>0</v>
          </cell>
          <cell r="BI13">
            <v>1</v>
          </cell>
        </row>
        <row r="14">
          <cell r="AQ14">
            <v>61.22</v>
          </cell>
          <cell r="AY14">
            <v>0.14285714285714285</v>
          </cell>
          <cell r="BI14">
            <v>5</v>
          </cell>
        </row>
        <row r="15">
          <cell r="AQ15">
            <v>79.81</v>
          </cell>
          <cell r="AY15">
            <v>0</v>
          </cell>
          <cell r="BI15">
            <v>14</v>
          </cell>
        </row>
        <row r="16">
          <cell r="AQ16">
            <v>58.51</v>
          </cell>
          <cell r="AY16">
            <v>0</v>
          </cell>
          <cell r="BI16">
            <v>14</v>
          </cell>
        </row>
        <row r="17">
          <cell r="AQ17">
            <v>109.29</v>
          </cell>
          <cell r="AY17">
            <v>0.66666666666666663</v>
          </cell>
          <cell r="BI17">
            <v>11</v>
          </cell>
        </row>
        <row r="18">
          <cell r="AQ18">
            <v>356.45</v>
          </cell>
          <cell r="AY18">
            <v>0</v>
          </cell>
          <cell r="BI18">
            <v>8</v>
          </cell>
        </row>
        <row r="19">
          <cell r="AQ19">
            <v>236.99</v>
          </cell>
          <cell r="AY19">
            <v>0</v>
          </cell>
          <cell r="BI19">
            <v>13</v>
          </cell>
        </row>
        <row r="20">
          <cell r="AQ20">
            <v>454.39</v>
          </cell>
          <cell r="AY20">
            <v>0</v>
          </cell>
          <cell r="BI20">
            <v>3</v>
          </cell>
        </row>
        <row r="21">
          <cell r="AQ21">
            <v>490.75</v>
          </cell>
          <cell r="AY21">
            <v>0.1</v>
          </cell>
          <cell r="BI21">
            <v>13</v>
          </cell>
        </row>
        <row r="22">
          <cell r="AQ22">
            <v>463.07</v>
          </cell>
          <cell r="AY22">
            <v>0.14285714285714285</v>
          </cell>
          <cell r="BI22">
            <v>11</v>
          </cell>
        </row>
        <row r="23">
          <cell r="AQ23">
            <v>56.74</v>
          </cell>
          <cell r="AY23">
            <v>0</v>
          </cell>
          <cell r="BI23">
            <v>7</v>
          </cell>
        </row>
        <row r="24">
          <cell r="AQ24">
            <v>371.32</v>
          </cell>
          <cell r="AY24">
            <v>0.2857142857142857</v>
          </cell>
          <cell r="BI24">
            <v>6</v>
          </cell>
        </row>
        <row r="25">
          <cell r="AQ25">
            <v>461</v>
          </cell>
          <cell r="AY25">
            <v>0</v>
          </cell>
          <cell r="BI25">
            <v>9</v>
          </cell>
        </row>
        <row r="26">
          <cell r="AQ26">
            <v>253.37</v>
          </cell>
          <cell r="AY26">
            <v>0.33333333333333331</v>
          </cell>
          <cell r="BI26">
            <v>8</v>
          </cell>
        </row>
        <row r="27">
          <cell r="AQ27">
            <v>136.53</v>
          </cell>
          <cell r="AY27">
            <v>0.33333333333333331</v>
          </cell>
          <cell r="BI27">
            <v>10</v>
          </cell>
        </row>
        <row r="28">
          <cell r="AQ28">
            <v>489.05</v>
          </cell>
          <cell r="AY28">
            <v>0.2</v>
          </cell>
          <cell r="BI28">
            <v>7</v>
          </cell>
        </row>
        <row r="29">
          <cell r="AQ29">
            <v>81.91</v>
          </cell>
          <cell r="AY29">
            <v>0</v>
          </cell>
          <cell r="BI29">
            <v>2</v>
          </cell>
        </row>
        <row r="30">
          <cell r="AQ30">
            <v>135.80000000000001</v>
          </cell>
          <cell r="AY30">
            <v>0.5</v>
          </cell>
          <cell r="BI30">
            <v>9</v>
          </cell>
        </row>
        <row r="31">
          <cell r="AQ31">
            <v>382.24</v>
          </cell>
          <cell r="AY31">
            <v>8.3333333333333329E-2</v>
          </cell>
          <cell r="BI31">
            <v>3</v>
          </cell>
        </row>
        <row r="32">
          <cell r="AQ32">
            <v>354.7</v>
          </cell>
          <cell r="AY32">
            <v>0.4</v>
          </cell>
          <cell r="BI32">
            <v>12</v>
          </cell>
        </row>
        <row r="33">
          <cell r="AQ33">
            <v>433.82</v>
          </cell>
          <cell r="AY33">
            <v>0</v>
          </cell>
          <cell r="BI33">
            <v>10</v>
          </cell>
        </row>
        <row r="34">
          <cell r="AQ34">
            <v>282.13</v>
          </cell>
          <cell r="AY34">
            <v>0.2</v>
          </cell>
          <cell r="BI34">
            <v>9</v>
          </cell>
        </row>
        <row r="35">
          <cell r="AQ35">
            <v>454.38</v>
          </cell>
          <cell r="AY35">
            <v>0</v>
          </cell>
          <cell r="BI35">
            <v>7</v>
          </cell>
        </row>
        <row r="36">
          <cell r="AQ36">
            <v>138.88</v>
          </cell>
          <cell r="AY36">
            <v>0.14285714285714285</v>
          </cell>
          <cell r="BI36">
            <v>4</v>
          </cell>
        </row>
        <row r="37">
          <cell r="AQ37">
            <v>52.34</v>
          </cell>
          <cell r="AY37">
            <v>0.16666666666666666</v>
          </cell>
          <cell r="BI37">
            <v>13</v>
          </cell>
        </row>
        <row r="38">
          <cell r="AQ38">
            <v>338.2</v>
          </cell>
          <cell r="AY38">
            <v>0.14285714285714285</v>
          </cell>
          <cell r="BI38">
            <v>7</v>
          </cell>
        </row>
        <row r="39">
          <cell r="AQ39">
            <v>263.14999999999998</v>
          </cell>
          <cell r="AY39">
            <v>0.33333333333333331</v>
          </cell>
          <cell r="BI39">
            <v>10</v>
          </cell>
        </row>
        <row r="40">
          <cell r="AQ40">
            <v>371.58</v>
          </cell>
          <cell r="AY40">
            <v>0</v>
          </cell>
          <cell r="BI40">
            <v>11</v>
          </cell>
        </row>
        <row r="41">
          <cell r="AQ41">
            <v>353.4</v>
          </cell>
          <cell r="AY41">
            <v>0</v>
          </cell>
          <cell r="BI41">
            <v>3</v>
          </cell>
        </row>
        <row r="42">
          <cell r="AQ42">
            <v>329.41</v>
          </cell>
          <cell r="AY42">
            <v>0.2</v>
          </cell>
          <cell r="BI42">
            <v>2</v>
          </cell>
        </row>
        <row r="43">
          <cell r="AQ43">
            <v>54.46</v>
          </cell>
          <cell r="AY43">
            <v>0.2</v>
          </cell>
          <cell r="BI43">
            <v>1</v>
          </cell>
        </row>
        <row r="44">
          <cell r="AQ44">
            <v>257.12</v>
          </cell>
          <cell r="AY44">
            <v>0.25</v>
          </cell>
          <cell r="BI44">
            <v>11</v>
          </cell>
        </row>
        <row r="45">
          <cell r="AQ45">
            <v>293.04000000000002</v>
          </cell>
          <cell r="AY45">
            <v>9.0909090909090912E-2</v>
          </cell>
          <cell r="BI45">
            <v>6</v>
          </cell>
        </row>
        <row r="46">
          <cell r="AQ46">
            <v>110.4</v>
          </cell>
          <cell r="AY46">
            <v>8.3333333333333329E-2</v>
          </cell>
          <cell r="BI46">
            <v>12</v>
          </cell>
        </row>
        <row r="47">
          <cell r="AQ47">
            <v>76.27</v>
          </cell>
          <cell r="AY47">
            <v>0</v>
          </cell>
          <cell r="BI47">
            <v>10</v>
          </cell>
        </row>
        <row r="48">
          <cell r="AQ48">
            <v>392.08</v>
          </cell>
          <cell r="AY48">
            <v>0.33333333333333331</v>
          </cell>
          <cell r="BI48">
            <v>6</v>
          </cell>
        </row>
        <row r="49">
          <cell r="AQ49">
            <v>51.22</v>
          </cell>
          <cell r="AY49">
            <v>0.16666666666666666</v>
          </cell>
          <cell r="BI49">
            <v>5</v>
          </cell>
        </row>
        <row r="50">
          <cell r="AQ50">
            <v>227.57</v>
          </cell>
          <cell r="AY50">
            <v>0.5</v>
          </cell>
          <cell r="BI50">
            <v>14</v>
          </cell>
        </row>
        <row r="51">
          <cell r="AQ51">
            <v>378.87</v>
          </cell>
          <cell r="AY51">
            <v>0.14285714285714285</v>
          </cell>
          <cell r="BI51">
            <v>5</v>
          </cell>
        </row>
        <row r="52">
          <cell r="AQ52">
            <v>423.92</v>
          </cell>
          <cell r="AY52">
            <v>0</v>
          </cell>
          <cell r="BI52">
            <v>8</v>
          </cell>
        </row>
        <row r="53">
          <cell r="AQ53">
            <v>111.24</v>
          </cell>
          <cell r="AY53">
            <v>0</v>
          </cell>
          <cell r="BI53">
            <v>12</v>
          </cell>
        </row>
        <row r="54">
          <cell r="AQ54">
            <v>299.31</v>
          </cell>
          <cell r="AY54">
            <v>0.2857142857142857</v>
          </cell>
          <cell r="BI54">
            <v>3</v>
          </cell>
        </row>
        <row r="55">
          <cell r="AQ55">
            <v>169.28</v>
          </cell>
          <cell r="AY55">
            <v>0.2857142857142857</v>
          </cell>
          <cell r="BI55">
            <v>6</v>
          </cell>
        </row>
        <row r="56">
          <cell r="AQ56">
            <v>449.13</v>
          </cell>
          <cell r="AY56">
            <v>0.22222222222222221</v>
          </cell>
          <cell r="BI56">
            <v>14</v>
          </cell>
        </row>
        <row r="57">
          <cell r="AQ57">
            <v>427.48</v>
          </cell>
          <cell r="AY57">
            <v>0.16666666666666666</v>
          </cell>
          <cell r="BI57">
            <v>11</v>
          </cell>
        </row>
        <row r="58">
          <cell r="AQ58">
            <v>171.61</v>
          </cell>
          <cell r="AY58">
            <v>0.33333333333333331</v>
          </cell>
          <cell r="BI58">
            <v>8</v>
          </cell>
        </row>
        <row r="59">
          <cell r="AQ59">
            <v>240.28</v>
          </cell>
          <cell r="AY59">
            <v>0.66666666666666663</v>
          </cell>
          <cell r="BI59">
            <v>4</v>
          </cell>
        </row>
        <row r="60">
          <cell r="AQ60">
            <v>310.17</v>
          </cell>
          <cell r="AY60">
            <v>0</v>
          </cell>
          <cell r="BI60">
            <v>13</v>
          </cell>
        </row>
        <row r="61">
          <cell r="AQ61">
            <v>166</v>
          </cell>
          <cell r="AY61">
            <v>0.2</v>
          </cell>
          <cell r="BI61">
            <v>5</v>
          </cell>
        </row>
        <row r="62">
          <cell r="AQ62">
            <v>362.01</v>
          </cell>
          <cell r="AY62">
            <v>1</v>
          </cell>
          <cell r="BI62">
            <v>1</v>
          </cell>
        </row>
        <row r="63">
          <cell r="AQ63">
            <v>348.5</v>
          </cell>
          <cell r="AY63">
            <v>0</v>
          </cell>
          <cell r="BI63">
            <v>8</v>
          </cell>
        </row>
        <row r="64">
          <cell r="AQ64">
            <v>395.97</v>
          </cell>
          <cell r="AY64">
            <v>0.1111111111111111</v>
          </cell>
          <cell r="BI64">
            <v>1</v>
          </cell>
        </row>
        <row r="65">
          <cell r="AQ65">
            <v>474.99</v>
          </cell>
          <cell r="AY65">
            <v>0</v>
          </cell>
          <cell r="BI65">
            <v>5</v>
          </cell>
        </row>
        <row r="66">
          <cell r="AQ66">
            <v>286.43</v>
          </cell>
          <cell r="AY66">
            <v>0.5</v>
          </cell>
          <cell r="BI66">
            <v>14</v>
          </cell>
        </row>
        <row r="67">
          <cell r="AQ67">
            <v>333.32</v>
          </cell>
          <cell r="AY67">
            <v>0</v>
          </cell>
          <cell r="BI67">
            <v>3</v>
          </cell>
        </row>
        <row r="68">
          <cell r="AQ68">
            <v>223.47</v>
          </cell>
          <cell r="AY68">
            <v>0</v>
          </cell>
          <cell r="BI68">
            <v>8</v>
          </cell>
        </row>
        <row r="69">
          <cell r="AQ69">
            <v>414.83</v>
          </cell>
          <cell r="AY69">
            <v>1</v>
          </cell>
          <cell r="BI69">
            <v>8</v>
          </cell>
        </row>
        <row r="70">
          <cell r="AQ70">
            <v>391.38</v>
          </cell>
          <cell r="AY70">
            <v>0</v>
          </cell>
          <cell r="BI70">
            <v>8</v>
          </cell>
        </row>
        <row r="71">
          <cell r="AQ71">
            <v>368.4</v>
          </cell>
          <cell r="AY71">
            <v>0</v>
          </cell>
          <cell r="BI71">
            <v>13</v>
          </cell>
        </row>
        <row r="72">
          <cell r="AQ72">
            <v>328.36</v>
          </cell>
          <cell r="AY72">
            <v>0</v>
          </cell>
          <cell r="BI72">
            <v>4</v>
          </cell>
        </row>
        <row r="73">
          <cell r="AQ73">
            <v>424.39</v>
          </cell>
          <cell r="AY73">
            <v>0</v>
          </cell>
          <cell r="BI73">
            <v>13</v>
          </cell>
        </row>
        <row r="74">
          <cell r="AQ74">
            <v>197.12</v>
          </cell>
          <cell r="AY74">
            <v>0.1</v>
          </cell>
          <cell r="BI74">
            <v>10</v>
          </cell>
        </row>
        <row r="75">
          <cell r="AQ75">
            <v>454.57</v>
          </cell>
          <cell r="AY75">
            <v>0</v>
          </cell>
          <cell r="BI75">
            <v>1</v>
          </cell>
        </row>
        <row r="76">
          <cell r="AQ76">
            <v>298.38</v>
          </cell>
          <cell r="AY76">
            <v>0</v>
          </cell>
          <cell r="BI76">
            <v>3</v>
          </cell>
        </row>
        <row r="77">
          <cell r="AQ77">
            <v>111.7</v>
          </cell>
          <cell r="AY77">
            <v>0.33333333333333331</v>
          </cell>
          <cell r="BI77">
            <v>7</v>
          </cell>
        </row>
        <row r="78">
          <cell r="AQ78">
            <v>373.69</v>
          </cell>
          <cell r="AY78">
            <v>0.1</v>
          </cell>
          <cell r="BI78">
            <v>14</v>
          </cell>
        </row>
        <row r="79">
          <cell r="AQ79">
            <v>354.87</v>
          </cell>
          <cell r="AY79">
            <v>0.4</v>
          </cell>
          <cell r="BI79">
            <v>12</v>
          </cell>
        </row>
        <row r="80">
          <cell r="AQ80">
            <v>214.48</v>
          </cell>
          <cell r="AY80">
            <v>0.5</v>
          </cell>
          <cell r="BI80">
            <v>2</v>
          </cell>
        </row>
        <row r="81">
          <cell r="AQ81">
            <v>399.58</v>
          </cell>
          <cell r="AY81">
            <v>0.16666666666666666</v>
          </cell>
          <cell r="BI81">
            <v>7</v>
          </cell>
        </row>
        <row r="82">
          <cell r="AQ82">
            <v>380.99</v>
          </cell>
          <cell r="AY82">
            <v>0</v>
          </cell>
          <cell r="BI82">
            <v>8</v>
          </cell>
        </row>
        <row r="83">
          <cell r="AQ83">
            <v>79</v>
          </cell>
          <cell r="AY83">
            <v>0.2</v>
          </cell>
          <cell r="BI83">
            <v>7</v>
          </cell>
        </row>
        <row r="84">
          <cell r="AQ84">
            <v>113.88</v>
          </cell>
          <cell r="AY84">
            <v>1</v>
          </cell>
          <cell r="BI84">
            <v>9</v>
          </cell>
        </row>
        <row r="85">
          <cell r="AQ85">
            <v>121.57</v>
          </cell>
          <cell r="AY85">
            <v>0</v>
          </cell>
          <cell r="BI85">
            <v>13</v>
          </cell>
        </row>
        <row r="86">
          <cell r="AQ86">
            <v>215.54</v>
          </cell>
          <cell r="AY86">
            <v>0.18181818181818182</v>
          </cell>
          <cell r="BI86">
            <v>10</v>
          </cell>
        </row>
        <row r="87">
          <cell r="AQ87">
            <v>87.03</v>
          </cell>
          <cell r="AY87">
            <v>0.1</v>
          </cell>
          <cell r="BI87">
            <v>7</v>
          </cell>
        </row>
        <row r="88">
          <cell r="AQ88">
            <v>111.75</v>
          </cell>
          <cell r="AY88">
            <v>0.25</v>
          </cell>
          <cell r="BI88">
            <v>8</v>
          </cell>
        </row>
        <row r="89">
          <cell r="AQ89">
            <v>136.19999999999999</v>
          </cell>
          <cell r="AY89">
            <v>0</v>
          </cell>
          <cell r="BI89">
            <v>9</v>
          </cell>
        </row>
        <row r="90">
          <cell r="AQ90">
            <v>439.31</v>
          </cell>
          <cell r="AY90">
            <v>0</v>
          </cell>
          <cell r="BI90">
            <v>7</v>
          </cell>
        </row>
        <row r="91">
          <cell r="AQ91">
            <v>194.93</v>
          </cell>
          <cell r="AY91">
            <v>0</v>
          </cell>
          <cell r="BI91">
            <v>5</v>
          </cell>
        </row>
        <row r="92">
          <cell r="AQ92">
            <v>377.67</v>
          </cell>
          <cell r="AY92">
            <v>0.25</v>
          </cell>
          <cell r="BI92">
            <v>14</v>
          </cell>
        </row>
        <row r="93">
          <cell r="AQ93">
            <v>108.61</v>
          </cell>
          <cell r="AY93">
            <v>0</v>
          </cell>
          <cell r="BI93">
            <v>14</v>
          </cell>
        </row>
        <row r="94">
          <cell r="AQ94">
            <v>366.77</v>
          </cell>
          <cell r="AY94">
            <v>0</v>
          </cell>
          <cell r="BI94">
            <v>1</v>
          </cell>
        </row>
        <row r="95">
          <cell r="AQ95">
            <v>178.04</v>
          </cell>
          <cell r="AY95">
            <v>0</v>
          </cell>
          <cell r="BI95">
            <v>12</v>
          </cell>
        </row>
        <row r="96">
          <cell r="AQ96">
            <v>461.09</v>
          </cell>
          <cell r="AY96">
            <v>0</v>
          </cell>
          <cell r="BI96">
            <v>8</v>
          </cell>
        </row>
        <row r="97">
          <cell r="AQ97">
            <v>211.16</v>
          </cell>
          <cell r="AY97">
            <v>0</v>
          </cell>
          <cell r="BI97">
            <v>2</v>
          </cell>
        </row>
        <row r="98">
          <cell r="AQ98">
            <v>421.95</v>
          </cell>
          <cell r="AY98">
            <v>0.125</v>
          </cell>
          <cell r="BI98">
            <v>7</v>
          </cell>
        </row>
        <row r="99">
          <cell r="AQ99">
            <v>378.59</v>
          </cell>
          <cell r="AY99">
            <v>0</v>
          </cell>
          <cell r="BI99">
            <v>14</v>
          </cell>
        </row>
        <row r="100">
          <cell r="AQ100">
            <v>268.93</v>
          </cell>
          <cell r="AY100">
            <v>0.5</v>
          </cell>
          <cell r="BI100">
            <v>8</v>
          </cell>
        </row>
        <row r="101">
          <cell r="AQ101">
            <v>444.87</v>
          </cell>
          <cell r="AY101">
            <v>9.0909090909090912E-2</v>
          </cell>
          <cell r="BI101">
            <v>7</v>
          </cell>
        </row>
        <row r="102">
          <cell r="AQ102">
            <v>160.82</v>
          </cell>
          <cell r="AY102">
            <v>0</v>
          </cell>
          <cell r="BI102">
            <v>3</v>
          </cell>
        </row>
        <row r="103">
          <cell r="AQ103">
            <v>494.18</v>
          </cell>
          <cell r="AY103">
            <v>0.16666666666666666</v>
          </cell>
          <cell r="BI103">
            <v>14</v>
          </cell>
        </row>
        <row r="104">
          <cell r="AQ104">
            <v>177.05</v>
          </cell>
          <cell r="AY104">
            <v>0.4</v>
          </cell>
          <cell r="BI104">
            <v>1</v>
          </cell>
        </row>
        <row r="105">
          <cell r="AQ105">
            <v>450.66</v>
          </cell>
          <cell r="AY105">
            <v>0.2857142857142857</v>
          </cell>
          <cell r="BI105">
            <v>9</v>
          </cell>
        </row>
        <row r="106">
          <cell r="AQ106">
            <v>164.27</v>
          </cell>
          <cell r="AY106">
            <v>0.33333333333333331</v>
          </cell>
          <cell r="BI106">
            <v>14</v>
          </cell>
        </row>
        <row r="107">
          <cell r="AQ107">
            <v>346.36</v>
          </cell>
          <cell r="AY107">
            <v>0</v>
          </cell>
          <cell r="BI107">
            <v>14</v>
          </cell>
        </row>
        <row r="108">
          <cell r="AQ108">
            <v>377.77</v>
          </cell>
          <cell r="AY108">
            <v>0.1111111111111111</v>
          </cell>
          <cell r="BI108">
            <v>3</v>
          </cell>
        </row>
        <row r="109">
          <cell r="AQ109">
            <v>163.41</v>
          </cell>
          <cell r="AY109">
            <v>0.5</v>
          </cell>
          <cell r="BI109">
            <v>4</v>
          </cell>
        </row>
        <row r="110">
          <cell r="AQ110">
            <v>467.58</v>
          </cell>
          <cell r="AY110">
            <v>0.1</v>
          </cell>
          <cell r="BI110">
            <v>7</v>
          </cell>
        </row>
        <row r="111">
          <cell r="AQ111">
            <v>247.51</v>
          </cell>
          <cell r="AY111">
            <v>0.1</v>
          </cell>
          <cell r="BI111">
            <v>2</v>
          </cell>
        </row>
        <row r="112">
          <cell r="AQ112">
            <v>365.1</v>
          </cell>
          <cell r="AY112">
            <v>0.33333333333333331</v>
          </cell>
          <cell r="BI112">
            <v>1</v>
          </cell>
        </row>
        <row r="113">
          <cell r="AQ113">
            <v>485.42</v>
          </cell>
          <cell r="AY113">
            <v>0.2</v>
          </cell>
          <cell r="BI113">
            <v>4</v>
          </cell>
        </row>
        <row r="114">
          <cell r="AQ114">
            <v>250.54</v>
          </cell>
          <cell r="AY114">
            <v>0.5</v>
          </cell>
          <cell r="BI114">
            <v>3</v>
          </cell>
        </row>
        <row r="115">
          <cell r="AQ115">
            <v>163.13999999999999</v>
          </cell>
          <cell r="AY115">
            <v>0.2</v>
          </cell>
          <cell r="BI115">
            <v>1</v>
          </cell>
        </row>
        <row r="116">
          <cell r="AQ116">
            <v>162.31</v>
          </cell>
          <cell r="AY116">
            <v>0.125</v>
          </cell>
          <cell r="BI116">
            <v>11</v>
          </cell>
        </row>
        <row r="117">
          <cell r="AQ117">
            <v>328.21</v>
          </cell>
          <cell r="AY117">
            <v>0.2857142857142857</v>
          </cell>
          <cell r="BI117">
            <v>12</v>
          </cell>
        </row>
        <row r="118">
          <cell r="AQ118">
            <v>268.58999999999997</v>
          </cell>
          <cell r="AY118">
            <v>0.25</v>
          </cell>
          <cell r="BI118">
            <v>3</v>
          </cell>
        </row>
        <row r="119">
          <cell r="AQ119">
            <v>257.37</v>
          </cell>
          <cell r="AY119">
            <v>0.2857142857142857</v>
          </cell>
          <cell r="BI119">
            <v>13</v>
          </cell>
        </row>
        <row r="120">
          <cell r="AQ120">
            <v>205.49</v>
          </cell>
          <cell r="AY120">
            <v>0.5</v>
          </cell>
          <cell r="BI120">
            <v>11</v>
          </cell>
        </row>
        <row r="121">
          <cell r="AQ121">
            <v>407.91</v>
          </cell>
          <cell r="AY121">
            <v>0</v>
          </cell>
          <cell r="BI121">
            <v>14</v>
          </cell>
        </row>
        <row r="122">
          <cell r="AQ122">
            <v>254.73</v>
          </cell>
          <cell r="AY122">
            <v>0</v>
          </cell>
          <cell r="BI122">
            <v>3</v>
          </cell>
        </row>
        <row r="123">
          <cell r="AQ123">
            <v>397.78</v>
          </cell>
          <cell r="AY123">
            <v>0.16666666666666666</v>
          </cell>
          <cell r="BI123">
            <v>11</v>
          </cell>
        </row>
        <row r="124">
          <cell r="AQ124">
            <v>305.29000000000002</v>
          </cell>
          <cell r="AY124">
            <v>0.33333333333333331</v>
          </cell>
          <cell r="BI124">
            <v>10</v>
          </cell>
        </row>
        <row r="125">
          <cell r="AQ125">
            <v>257.86</v>
          </cell>
          <cell r="AY125">
            <v>0</v>
          </cell>
          <cell r="BI125">
            <v>1</v>
          </cell>
        </row>
        <row r="126">
          <cell r="AQ126">
            <v>393.45</v>
          </cell>
          <cell r="AY126">
            <v>0.16666666666666666</v>
          </cell>
          <cell r="BI126">
            <v>12</v>
          </cell>
        </row>
        <row r="127">
          <cell r="AQ127">
            <v>58.49</v>
          </cell>
          <cell r="AY127">
            <v>0</v>
          </cell>
          <cell r="BI127">
            <v>7</v>
          </cell>
        </row>
        <row r="128">
          <cell r="AQ128">
            <v>226.48</v>
          </cell>
          <cell r="AY128">
            <v>0.18181818181818182</v>
          </cell>
          <cell r="BI128">
            <v>11</v>
          </cell>
        </row>
        <row r="129">
          <cell r="AQ129">
            <v>469.22</v>
          </cell>
          <cell r="AY129">
            <v>0</v>
          </cell>
          <cell r="BI129">
            <v>7</v>
          </cell>
        </row>
        <row r="130">
          <cell r="AQ130">
            <v>335.32</v>
          </cell>
          <cell r="AY130">
            <v>0</v>
          </cell>
          <cell r="BI130">
            <v>10</v>
          </cell>
        </row>
        <row r="131">
          <cell r="AQ131">
            <v>184.74</v>
          </cell>
          <cell r="AY131">
            <v>0.2</v>
          </cell>
          <cell r="BI131">
            <v>10</v>
          </cell>
        </row>
        <row r="132">
          <cell r="AQ132">
            <v>442.18</v>
          </cell>
          <cell r="AY132">
            <v>0.4</v>
          </cell>
          <cell r="BI132">
            <v>12</v>
          </cell>
        </row>
        <row r="133">
          <cell r="AQ133">
            <v>427.1</v>
          </cell>
          <cell r="AY133">
            <v>0</v>
          </cell>
          <cell r="BI133">
            <v>5</v>
          </cell>
        </row>
        <row r="134">
          <cell r="AQ134">
            <v>326.82</v>
          </cell>
          <cell r="AY134">
            <v>0.5</v>
          </cell>
          <cell r="BI134">
            <v>4</v>
          </cell>
        </row>
        <row r="135">
          <cell r="AQ135">
            <v>98.97</v>
          </cell>
          <cell r="AY135">
            <v>8.3333333333333329E-2</v>
          </cell>
          <cell r="BI135">
            <v>11</v>
          </cell>
        </row>
        <row r="136">
          <cell r="AQ136">
            <v>77.650000000000006</v>
          </cell>
          <cell r="AY136">
            <v>0.33333333333333331</v>
          </cell>
          <cell r="BI136">
            <v>1</v>
          </cell>
        </row>
        <row r="137">
          <cell r="AQ137">
            <v>85.61</v>
          </cell>
          <cell r="AY137">
            <v>0.5</v>
          </cell>
          <cell r="BI137">
            <v>5</v>
          </cell>
        </row>
        <row r="138">
          <cell r="AQ138">
            <v>164.79</v>
          </cell>
          <cell r="AY138">
            <v>0.5</v>
          </cell>
          <cell r="BI138">
            <v>1</v>
          </cell>
        </row>
        <row r="139">
          <cell r="AQ139">
            <v>235.46</v>
          </cell>
          <cell r="AY139">
            <v>0</v>
          </cell>
          <cell r="BI139">
            <v>2</v>
          </cell>
        </row>
        <row r="140">
          <cell r="AQ140">
            <v>245.14</v>
          </cell>
          <cell r="AY140">
            <v>0.25</v>
          </cell>
          <cell r="BI140">
            <v>3</v>
          </cell>
        </row>
        <row r="141">
          <cell r="AQ141">
            <v>439.91</v>
          </cell>
          <cell r="AY141">
            <v>0</v>
          </cell>
          <cell r="BI141">
            <v>10</v>
          </cell>
        </row>
        <row r="142">
          <cell r="AQ142">
            <v>309.22000000000003</v>
          </cell>
          <cell r="AY142">
            <v>0.4</v>
          </cell>
          <cell r="BI142">
            <v>10</v>
          </cell>
        </row>
        <row r="143">
          <cell r="AQ143">
            <v>146.59</v>
          </cell>
          <cell r="AY143">
            <v>0</v>
          </cell>
          <cell r="BI143">
            <v>3</v>
          </cell>
        </row>
        <row r="144">
          <cell r="AQ144">
            <v>298.73</v>
          </cell>
          <cell r="AY144">
            <v>0</v>
          </cell>
          <cell r="BI144">
            <v>4</v>
          </cell>
        </row>
        <row r="145">
          <cell r="AQ145">
            <v>395.01</v>
          </cell>
          <cell r="AY145">
            <v>0</v>
          </cell>
          <cell r="BI145">
            <v>3</v>
          </cell>
        </row>
        <row r="146">
          <cell r="AQ146">
            <v>371.19</v>
          </cell>
          <cell r="AY146">
            <v>0.1</v>
          </cell>
          <cell r="BI146">
            <v>1</v>
          </cell>
        </row>
        <row r="147">
          <cell r="AQ147">
            <v>193.76</v>
          </cell>
          <cell r="AY147">
            <v>0</v>
          </cell>
          <cell r="BI147">
            <v>12</v>
          </cell>
        </row>
        <row r="148">
          <cell r="AQ148">
            <v>424.27</v>
          </cell>
          <cell r="AY148">
            <v>0.33333333333333331</v>
          </cell>
          <cell r="BI148">
            <v>12</v>
          </cell>
        </row>
        <row r="149">
          <cell r="AQ149">
            <v>496.11</v>
          </cell>
          <cell r="AY149">
            <v>1</v>
          </cell>
          <cell r="BI149">
            <v>12</v>
          </cell>
        </row>
        <row r="150">
          <cell r="AQ150">
            <v>341.91</v>
          </cell>
          <cell r="AY150">
            <v>0.33333333333333331</v>
          </cell>
          <cell r="BI150">
            <v>7</v>
          </cell>
        </row>
        <row r="151">
          <cell r="AQ151">
            <v>127.66</v>
          </cell>
          <cell r="AY151">
            <v>0.18181818181818182</v>
          </cell>
          <cell r="BI151">
            <v>7</v>
          </cell>
        </row>
        <row r="152">
          <cell r="AQ152">
            <v>227.47</v>
          </cell>
          <cell r="AY152">
            <v>0.5</v>
          </cell>
          <cell r="BI152">
            <v>9</v>
          </cell>
        </row>
        <row r="153">
          <cell r="AQ153">
            <v>342.99</v>
          </cell>
          <cell r="AY153">
            <v>0</v>
          </cell>
          <cell r="BI153">
            <v>6</v>
          </cell>
        </row>
        <row r="154">
          <cell r="AQ154">
            <v>306.48</v>
          </cell>
          <cell r="AY154">
            <v>0</v>
          </cell>
          <cell r="BI154">
            <v>14</v>
          </cell>
        </row>
        <row r="155">
          <cell r="AQ155">
            <v>308.54000000000002</v>
          </cell>
          <cell r="AY155">
            <v>0.33333333333333331</v>
          </cell>
          <cell r="BI155">
            <v>7</v>
          </cell>
        </row>
        <row r="156">
          <cell r="AQ156">
            <v>124.17</v>
          </cell>
          <cell r="AY156">
            <v>0.16666666666666666</v>
          </cell>
          <cell r="BI156">
            <v>6</v>
          </cell>
        </row>
        <row r="157">
          <cell r="AQ157">
            <v>78</v>
          </cell>
          <cell r="AY157">
            <v>0.2</v>
          </cell>
          <cell r="BI157">
            <v>11</v>
          </cell>
        </row>
        <row r="158">
          <cell r="AQ158">
            <v>393.03</v>
          </cell>
          <cell r="AY158">
            <v>0.25</v>
          </cell>
          <cell r="BI158">
            <v>7</v>
          </cell>
        </row>
        <row r="159">
          <cell r="AQ159">
            <v>102.09</v>
          </cell>
          <cell r="AY159">
            <v>0.33333333333333331</v>
          </cell>
          <cell r="BI159">
            <v>1</v>
          </cell>
        </row>
        <row r="160">
          <cell r="AQ160">
            <v>426.21</v>
          </cell>
          <cell r="AY160">
            <v>0.66666666666666663</v>
          </cell>
          <cell r="BI160">
            <v>2</v>
          </cell>
        </row>
        <row r="161">
          <cell r="AQ161">
            <v>140.31</v>
          </cell>
          <cell r="AY161">
            <v>1</v>
          </cell>
          <cell r="BI161">
            <v>8</v>
          </cell>
        </row>
        <row r="162">
          <cell r="AQ162">
            <v>413.7</v>
          </cell>
          <cell r="AY162">
            <v>0</v>
          </cell>
          <cell r="BI162">
            <v>6</v>
          </cell>
        </row>
        <row r="163">
          <cell r="AQ163">
            <v>348.63</v>
          </cell>
          <cell r="AY163">
            <v>0</v>
          </cell>
          <cell r="BI163">
            <v>6</v>
          </cell>
        </row>
        <row r="164">
          <cell r="AQ164">
            <v>91.27</v>
          </cell>
          <cell r="AY164">
            <v>0.2857142857142857</v>
          </cell>
          <cell r="BI164">
            <v>13</v>
          </cell>
        </row>
        <row r="165">
          <cell r="AQ165">
            <v>359.94</v>
          </cell>
          <cell r="AY165">
            <v>9.0909090909090912E-2</v>
          </cell>
          <cell r="BI165">
            <v>9</v>
          </cell>
        </row>
        <row r="166">
          <cell r="AQ166">
            <v>138.19999999999999</v>
          </cell>
          <cell r="AY166">
            <v>0</v>
          </cell>
          <cell r="BI166">
            <v>12</v>
          </cell>
        </row>
        <row r="167">
          <cell r="AQ167">
            <v>196.33</v>
          </cell>
          <cell r="AY167">
            <v>0</v>
          </cell>
          <cell r="BI167">
            <v>11</v>
          </cell>
        </row>
        <row r="168">
          <cell r="AQ168">
            <v>249.24</v>
          </cell>
          <cell r="AY168">
            <v>0.25</v>
          </cell>
          <cell r="BI168">
            <v>7</v>
          </cell>
        </row>
        <row r="169">
          <cell r="AQ169">
            <v>129.1</v>
          </cell>
          <cell r="AY169">
            <v>0</v>
          </cell>
          <cell r="BI169">
            <v>7</v>
          </cell>
        </row>
        <row r="170">
          <cell r="AQ170">
            <v>112.69</v>
          </cell>
          <cell r="AY170">
            <v>0</v>
          </cell>
          <cell r="BI170">
            <v>1</v>
          </cell>
        </row>
        <row r="171">
          <cell r="AQ171">
            <v>267.85000000000002</v>
          </cell>
          <cell r="AY171">
            <v>0.2</v>
          </cell>
          <cell r="BI171">
            <v>7</v>
          </cell>
        </row>
        <row r="172">
          <cell r="AQ172">
            <v>205.36</v>
          </cell>
          <cell r="AY172">
            <v>0</v>
          </cell>
          <cell r="BI172">
            <v>5</v>
          </cell>
        </row>
        <row r="173">
          <cell r="AQ173">
            <v>79.099999999999994</v>
          </cell>
          <cell r="AY173">
            <v>0</v>
          </cell>
          <cell r="BI173">
            <v>4</v>
          </cell>
        </row>
        <row r="174">
          <cell r="AQ174">
            <v>256.63</v>
          </cell>
          <cell r="AY174">
            <v>0.16666666666666666</v>
          </cell>
          <cell r="BI174">
            <v>10</v>
          </cell>
        </row>
        <row r="175">
          <cell r="AQ175">
            <v>409.98</v>
          </cell>
          <cell r="AY175">
            <v>0.16666666666666666</v>
          </cell>
          <cell r="BI175">
            <v>8</v>
          </cell>
        </row>
        <row r="176">
          <cell r="AQ176">
            <v>291.60000000000002</v>
          </cell>
          <cell r="AY176">
            <v>0</v>
          </cell>
          <cell r="BI176">
            <v>3</v>
          </cell>
        </row>
        <row r="177">
          <cell r="AQ177">
            <v>101.7</v>
          </cell>
          <cell r="AY177">
            <v>0.2857142857142857</v>
          </cell>
          <cell r="BI177">
            <v>4</v>
          </cell>
        </row>
        <row r="178">
          <cell r="AQ178">
            <v>369.73</v>
          </cell>
          <cell r="AY178">
            <v>0</v>
          </cell>
          <cell r="BI178">
            <v>12</v>
          </cell>
        </row>
        <row r="179">
          <cell r="AQ179">
            <v>71</v>
          </cell>
          <cell r="AY179">
            <v>0.16666666666666666</v>
          </cell>
          <cell r="BI179">
            <v>13</v>
          </cell>
        </row>
        <row r="180">
          <cell r="AQ180">
            <v>280.05</v>
          </cell>
          <cell r="AY180">
            <v>0.1</v>
          </cell>
          <cell r="BI180">
            <v>11</v>
          </cell>
        </row>
        <row r="181">
          <cell r="AQ181">
            <v>54.71</v>
          </cell>
          <cell r="AY181">
            <v>0.25</v>
          </cell>
          <cell r="BI181">
            <v>3</v>
          </cell>
        </row>
        <row r="182">
          <cell r="AQ182">
            <v>119.51</v>
          </cell>
          <cell r="AY182">
            <v>0.18181818181818182</v>
          </cell>
          <cell r="BI182">
            <v>1</v>
          </cell>
        </row>
        <row r="183">
          <cell r="AQ183">
            <v>57.5</v>
          </cell>
          <cell r="AY183">
            <v>0</v>
          </cell>
          <cell r="BI183">
            <v>13</v>
          </cell>
        </row>
        <row r="184">
          <cell r="AQ184">
            <v>225.05</v>
          </cell>
          <cell r="AY184">
            <v>0.2</v>
          </cell>
          <cell r="BI184">
            <v>10</v>
          </cell>
        </row>
        <row r="185">
          <cell r="AQ185">
            <v>441.15</v>
          </cell>
          <cell r="AY185">
            <v>0.14285714285714285</v>
          </cell>
          <cell r="BI185">
            <v>8</v>
          </cell>
        </row>
        <row r="186">
          <cell r="AQ186">
            <v>481.21</v>
          </cell>
          <cell r="AY186">
            <v>0</v>
          </cell>
          <cell r="BI186">
            <v>11</v>
          </cell>
        </row>
        <row r="187">
          <cell r="AQ187">
            <v>102.96</v>
          </cell>
          <cell r="AY187">
            <v>0</v>
          </cell>
          <cell r="BI187">
            <v>4</v>
          </cell>
        </row>
        <row r="188">
          <cell r="AQ188">
            <v>331.57</v>
          </cell>
          <cell r="AY188">
            <v>9.0909090909090912E-2</v>
          </cell>
          <cell r="BI188">
            <v>14</v>
          </cell>
        </row>
        <row r="189">
          <cell r="AQ189">
            <v>101.29</v>
          </cell>
          <cell r="AY189">
            <v>0.18181818181818182</v>
          </cell>
          <cell r="BI189">
            <v>4</v>
          </cell>
        </row>
        <row r="190">
          <cell r="AQ190">
            <v>143.52000000000001</v>
          </cell>
          <cell r="AY190">
            <v>0.22222222222222221</v>
          </cell>
          <cell r="BI190">
            <v>12</v>
          </cell>
        </row>
        <row r="191">
          <cell r="AQ191">
            <v>276.48</v>
          </cell>
          <cell r="AY191">
            <v>0</v>
          </cell>
          <cell r="BI191">
            <v>7</v>
          </cell>
        </row>
        <row r="192">
          <cell r="AQ192">
            <v>352.87</v>
          </cell>
          <cell r="AY192">
            <v>0</v>
          </cell>
          <cell r="BI192">
            <v>12</v>
          </cell>
        </row>
        <row r="193">
          <cell r="AQ193">
            <v>228.68</v>
          </cell>
          <cell r="AY193">
            <v>0.33333333333333331</v>
          </cell>
          <cell r="BI193">
            <v>4</v>
          </cell>
        </row>
        <row r="194">
          <cell r="AQ194">
            <v>301.39</v>
          </cell>
          <cell r="AY194">
            <v>0.16666666666666666</v>
          </cell>
          <cell r="BI194">
            <v>11</v>
          </cell>
        </row>
        <row r="195">
          <cell r="AQ195">
            <v>473.5</v>
          </cell>
          <cell r="AY195">
            <v>0.18181818181818182</v>
          </cell>
          <cell r="BI195">
            <v>10</v>
          </cell>
        </row>
        <row r="196">
          <cell r="AQ196">
            <v>72.8</v>
          </cell>
          <cell r="AY196">
            <v>0.18181818181818182</v>
          </cell>
          <cell r="BI196">
            <v>3</v>
          </cell>
        </row>
        <row r="197">
          <cell r="AQ197">
            <v>171.72</v>
          </cell>
          <cell r="AY197">
            <v>0.33333333333333331</v>
          </cell>
          <cell r="BI197">
            <v>12</v>
          </cell>
        </row>
        <row r="198">
          <cell r="AQ198">
            <v>467.5</v>
          </cell>
          <cell r="AY198">
            <v>0.16666666666666666</v>
          </cell>
          <cell r="BI198">
            <v>6</v>
          </cell>
        </row>
        <row r="199">
          <cell r="AQ199">
            <v>209.79</v>
          </cell>
          <cell r="AY199">
            <v>0.16666666666666666</v>
          </cell>
          <cell r="BI199">
            <v>10</v>
          </cell>
        </row>
        <row r="200">
          <cell r="AQ200">
            <v>150.33000000000001</v>
          </cell>
          <cell r="AY200">
            <v>0.22222222222222221</v>
          </cell>
          <cell r="BI200">
            <v>6</v>
          </cell>
        </row>
        <row r="201">
          <cell r="AQ201">
            <v>98.63</v>
          </cell>
          <cell r="AY201">
            <v>0.14285714285714285</v>
          </cell>
          <cell r="BI201">
            <v>6</v>
          </cell>
        </row>
        <row r="202">
          <cell r="AQ202">
            <v>193.3</v>
          </cell>
          <cell r="AY202">
            <v>0.18181818181818182</v>
          </cell>
          <cell r="BI202">
            <v>12</v>
          </cell>
        </row>
        <row r="203">
          <cell r="AQ203">
            <v>145.02000000000001</v>
          </cell>
          <cell r="AY203">
            <v>0.14285714285714285</v>
          </cell>
          <cell r="BI203">
            <v>9</v>
          </cell>
        </row>
        <row r="204">
          <cell r="AQ204">
            <v>294.99</v>
          </cell>
          <cell r="AY204">
            <v>0.25</v>
          </cell>
          <cell r="BI204">
            <v>5</v>
          </cell>
        </row>
        <row r="205">
          <cell r="AQ205">
            <v>305.45</v>
          </cell>
          <cell r="AY205">
            <v>0.5</v>
          </cell>
          <cell r="BI205">
            <v>9</v>
          </cell>
        </row>
        <row r="206">
          <cell r="AQ206">
            <v>432.42</v>
          </cell>
          <cell r="AY206">
            <v>0</v>
          </cell>
          <cell r="BI206">
            <v>13</v>
          </cell>
        </row>
        <row r="207">
          <cell r="AQ207">
            <v>227.58</v>
          </cell>
          <cell r="AY207">
            <v>9.0909090909090912E-2</v>
          </cell>
          <cell r="BI207">
            <v>6</v>
          </cell>
        </row>
        <row r="208">
          <cell r="AQ208">
            <v>160.88999999999999</v>
          </cell>
          <cell r="AY208">
            <v>0.2</v>
          </cell>
          <cell r="BI208">
            <v>13</v>
          </cell>
        </row>
        <row r="209">
          <cell r="AQ209">
            <v>139.1</v>
          </cell>
          <cell r="AY209">
            <v>0.2857142857142857</v>
          </cell>
          <cell r="BI209">
            <v>8</v>
          </cell>
        </row>
        <row r="210">
          <cell r="AQ210">
            <v>268.27999999999997</v>
          </cell>
          <cell r="AY210">
            <v>0.22222222222222221</v>
          </cell>
          <cell r="BI210">
            <v>8</v>
          </cell>
        </row>
        <row r="211">
          <cell r="AQ211">
            <v>64.489999999999995</v>
          </cell>
          <cell r="AY211">
            <v>0.16666666666666666</v>
          </cell>
          <cell r="BI211">
            <v>7</v>
          </cell>
        </row>
        <row r="212">
          <cell r="AQ212">
            <v>80.17</v>
          </cell>
          <cell r="AY212">
            <v>0.1</v>
          </cell>
          <cell r="BI212">
            <v>6</v>
          </cell>
        </row>
        <row r="213">
          <cell r="AQ213">
            <v>277.52</v>
          </cell>
          <cell r="AY213">
            <v>9.0909090909090912E-2</v>
          </cell>
          <cell r="BI213">
            <v>11</v>
          </cell>
        </row>
        <row r="214">
          <cell r="AQ214">
            <v>53.67</v>
          </cell>
          <cell r="AY214">
            <v>0</v>
          </cell>
          <cell r="BI214">
            <v>11</v>
          </cell>
        </row>
        <row r="215">
          <cell r="AQ215">
            <v>323.39</v>
          </cell>
          <cell r="AY215">
            <v>0</v>
          </cell>
          <cell r="BI215">
            <v>11</v>
          </cell>
        </row>
        <row r="216">
          <cell r="AQ216">
            <v>98.02</v>
          </cell>
          <cell r="AY216">
            <v>0</v>
          </cell>
          <cell r="BI216">
            <v>10</v>
          </cell>
        </row>
        <row r="217">
          <cell r="AQ217">
            <v>231.26</v>
          </cell>
          <cell r="AY217">
            <v>0.2</v>
          </cell>
          <cell r="BI217">
            <v>10</v>
          </cell>
        </row>
        <row r="218">
          <cell r="AQ218">
            <v>382.49</v>
          </cell>
          <cell r="AY218">
            <v>0.33333333333333331</v>
          </cell>
          <cell r="BI218">
            <v>1</v>
          </cell>
        </row>
        <row r="219">
          <cell r="AQ219">
            <v>255.42</v>
          </cell>
          <cell r="AY219">
            <v>0.1111111111111111</v>
          </cell>
          <cell r="BI219">
            <v>11</v>
          </cell>
        </row>
        <row r="220">
          <cell r="AQ220">
            <v>423.23</v>
          </cell>
          <cell r="AY220">
            <v>0</v>
          </cell>
          <cell r="BI220">
            <v>6</v>
          </cell>
        </row>
        <row r="221">
          <cell r="AQ221">
            <v>276.08</v>
          </cell>
          <cell r="AY221">
            <v>0.5</v>
          </cell>
          <cell r="BI221">
            <v>10</v>
          </cell>
        </row>
        <row r="222">
          <cell r="AQ222">
            <v>333.56</v>
          </cell>
          <cell r="AY222">
            <v>0.66666666666666663</v>
          </cell>
          <cell r="BI222">
            <v>14</v>
          </cell>
        </row>
        <row r="223">
          <cell r="AQ223">
            <v>129.82</v>
          </cell>
          <cell r="AY223">
            <v>0.16666666666666666</v>
          </cell>
          <cell r="BI223">
            <v>8</v>
          </cell>
        </row>
        <row r="224">
          <cell r="AQ224">
            <v>278.77999999999997</v>
          </cell>
          <cell r="AY224">
            <v>0</v>
          </cell>
          <cell r="BI224">
            <v>2</v>
          </cell>
        </row>
        <row r="225">
          <cell r="AQ225">
            <v>112.55</v>
          </cell>
          <cell r="AY225">
            <v>0.4</v>
          </cell>
          <cell r="BI225">
            <v>2</v>
          </cell>
        </row>
        <row r="226">
          <cell r="AQ226">
            <v>142.02000000000001</v>
          </cell>
          <cell r="AY226">
            <v>0.14285714285714285</v>
          </cell>
          <cell r="BI226">
            <v>3</v>
          </cell>
        </row>
        <row r="227">
          <cell r="AQ227">
            <v>481.84</v>
          </cell>
          <cell r="AY227">
            <v>0.1</v>
          </cell>
          <cell r="BI227">
            <v>9</v>
          </cell>
        </row>
        <row r="228">
          <cell r="AQ228">
            <v>165.01</v>
          </cell>
          <cell r="AY228">
            <v>0.1</v>
          </cell>
          <cell r="BI228">
            <v>10</v>
          </cell>
        </row>
        <row r="229">
          <cell r="AQ229">
            <v>56.85</v>
          </cell>
          <cell r="AY229">
            <v>0</v>
          </cell>
          <cell r="BI229">
            <v>14</v>
          </cell>
        </row>
        <row r="230">
          <cell r="AQ230">
            <v>182.89</v>
          </cell>
          <cell r="AY230">
            <v>0.5</v>
          </cell>
          <cell r="BI230">
            <v>5</v>
          </cell>
        </row>
        <row r="231">
          <cell r="AQ231">
            <v>373.01</v>
          </cell>
          <cell r="AY231">
            <v>0.2</v>
          </cell>
          <cell r="BI231">
            <v>8</v>
          </cell>
        </row>
        <row r="232">
          <cell r="AQ232">
            <v>220.77</v>
          </cell>
          <cell r="AY232">
            <v>0.2857142857142857</v>
          </cell>
          <cell r="BI232">
            <v>11</v>
          </cell>
        </row>
        <row r="233">
          <cell r="AQ233">
            <v>291.08999999999997</v>
          </cell>
          <cell r="AY233">
            <v>0</v>
          </cell>
          <cell r="BI233">
            <v>1</v>
          </cell>
        </row>
        <row r="234">
          <cell r="AQ234">
            <v>414.06</v>
          </cell>
          <cell r="AY234">
            <v>0.22222222222222221</v>
          </cell>
          <cell r="BI234">
            <v>2</v>
          </cell>
        </row>
        <row r="235">
          <cell r="AQ235">
            <v>408.51</v>
          </cell>
          <cell r="AY235">
            <v>0</v>
          </cell>
          <cell r="BI235">
            <v>1</v>
          </cell>
        </row>
        <row r="236">
          <cell r="AQ236">
            <v>103.4</v>
          </cell>
          <cell r="AY236">
            <v>0.1111111111111111</v>
          </cell>
          <cell r="BI236">
            <v>9</v>
          </cell>
        </row>
        <row r="237">
          <cell r="AQ237">
            <v>67.92</v>
          </cell>
          <cell r="AY237">
            <v>0.33333333333333331</v>
          </cell>
          <cell r="BI237">
            <v>10</v>
          </cell>
        </row>
        <row r="238">
          <cell r="AQ238">
            <v>354.16</v>
          </cell>
          <cell r="AY238">
            <v>0.25</v>
          </cell>
          <cell r="BI238">
            <v>5</v>
          </cell>
        </row>
        <row r="239">
          <cell r="AQ239">
            <v>276.77</v>
          </cell>
          <cell r="AY239">
            <v>0.5</v>
          </cell>
          <cell r="BI239">
            <v>4</v>
          </cell>
        </row>
        <row r="240">
          <cell r="AQ240">
            <v>190.25</v>
          </cell>
          <cell r="AY240">
            <v>0.33333333333333331</v>
          </cell>
          <cell r="BI240">
            <v>13</v>
          </cell>
        </row>
        <row r="241">
          <cell r="AQ241">
            <v>203.49</v>
          </cell>
          <cell r="AY241">
            <v>0.14285714285714285</v>
          </cell>
          <cell r="BI241">
            <v>11</v>
          </cell>
        </row>
        <row r="242">
          <cell r="AQ242">
            <v>263.5</v>
          </cell>
          <cell r="AY242">
            <v>0</v>
          </cell>
          <cell r="BI242">
            <v>1</v>
          </cell>
        </row>
        <row r="243">
          <cell r="AQ243">
            <v>247.3</v>
          </cell>
          <cell r="AY243">
            <v>0</v>
          </cell>
          <cell r="BI243">
            <v>11</v>
          </cell>
        </row>
        <row r="244">
          <cell r="AQ244">
            <v>50.71</v>
          </cell>
          <cell r="AY244">
            <v>0</v>
          </cell>
          <cell r="BI244">
            <v>8</v>
          </cell>
        </row>
        <row r="245">
          <cell r="AQ245">
            <v>131.85</v>
          </cell>
          <cell r="AY245">
            <v>0.25</v>
          </cell>
          <cell r="BI245">
            <v>6</v>
          </cell>
        </row>
        <row r="246">
          <cell r="AQ246">
            <v>459.39</v>
          </cell>
          <cell r="AY246">
            <v>0.33333333333333331</v>
          </cell>
          <cell r="BI246">
            <v>14</v>
          </cell>
        </row>
        <row r="247">
          <cell r="AQ247">
            <v>383.33</v>
          </cell>
          <cell r="AY247">
            <v>0.16666666666666666</v>
          </cell>
          <cell r="BI247">
            <v>12</v>
          </cell>
        </row>
        <row r="248">
          <cell r="AQ248">
            <v>212.08</v>
          </cell>
          <cell r="AY248">
            <v>0.125</v>
          </cell>
          <cell r="BI248">
            <v>13</v>
          </cell>
        </row>
        <row r="249">
          <cell r="AQ249">
            <v>370.73</v>
          </cell>
          <cell r="AY249">
            <v>0</v>
          </cell>
          <cell r="BI249">
            <v>7</v>
          </cell>
        </row>
        <row r="250">
          <cell r="AQ250">
            <v>319.66000000000003</v>
          </cell>
          <cell r="AY250">
            <v>0.14285714285714285</v>
          </cell>
          <cell r="BI250">
            <v>3</v>
          </cell>
        </row>
        <row r="251">
          <cell r="AQ251">
            <v>373.05</v>
          </cell>
          <cell r="AY251">
            <v>0.33333333333333331</v>
          </cell>
          <cell r="BI251">
            <v>7</v>
          </cell>
        </row>
        <row r="252">
          <cell r="AQ252">
            <v>393.78</v>
          </cell>
          <cell r="AY252">
            <v>0</v>
          </cell>
          <cell r="BI252">
            <v>14</v>
          </cell>
        </row>
        <row r="253">
          <cell r="AQ253">
            <v>245.04</v>
          </cell>
          <cell r="AY253">
            <v>0.5</v>
          </cell>
          <cell r="BI253">
            <v>10</v>
          </cell>
        </row>
        <row r="254">
          <cell r="AQ254">
            <v>111.27</v>
          </cell>
          <cell r="AY254">
            <v>0.66666666666666663</v>
          </cell>
          <cell r="BI254">
            <v>12</v>
          </cell>
        </row>
        <row r="255">
          <cell r="AQ255">
            <v>93.29</v>
          </cell>
          <cell r="AY255">
            <v>0</v>
          </cell>
          <cell r="BI255">
            <v>9</v>
          </cell>
        </row>
        <row r="256">
          <cell r="AQ256">
            <v>156.5</v>
          </cell>
          <cell r="AY256">
            <v>0</v>
          </cell>
          <cell r="BI256">
            <v>14</v>
          </cell>
        </row>
        <row r="257">
          <cell r="AQ257">
            <v>290.11</v>
          </cell>
          <cell r="AY257">
            <v>0.125</v>
          </cell>
          <cell r="BI257">
            <v>14</v>
          </cell>
        </row>
        <row r="258">
          <cell r="AQ258">
            <v>355.28</v>
          </cell>
          <cell r="AY258">
            <v>0.33333333333333331</v>
          </cell>
          <cell r="BI258">
            <v>5</v>
          </cell>
        </row>
        <row r="259">
          <cell r="AQ259">
            <v>73.739999999999995</v>
          </cell>
          <cell r="AY259">
            <v>0.14285714285714285</v>
          </cell>
          <cell r="BI259">
            <v>13</v>
          </cell>
        </row>
        <row r="260">
          <cell r="AQ260">
            <v>170.35</v>
          </cell>
          <cell r="AY260">
            <v>0.1</v>
          </cell>
          <cell r="BI260">
            <v>1</v>
          </cell>
        </row>
        <row r="261">
          <cell r="AQ261">
            <v>123.7</v>
          </cell>
          <cell r="AY261">
            <v>0.16666666666666666</v>
          </cell>
          <cell r="BI261">
            <v>2</v>
          </cell>
        </row>
        <row r="262">
          <cell r="AQ262">
            <v>201.6</v>
          </cell>
          <cell r="AY262">
            <v>0.1111111111111111</v>
          </cell>
          <cell r="BI262">
            <v>14</v>
          </cell>
        </row>
        <row r="263">
          <cell r="AQ263">
            <v>116.14</v>
          </cell>
          <cell r="AY263">
            <v>0</v>
          </cell>
          <cell r="BI263">
            <v>14</v>
          </cell>
        </row>
        <row r="264">
          <cell r="AQ264">
            <v>483.38</v>
          </cell>
          <cell r="AY264">
            <v>0.22222222222222221</v>
          </cell>
          <cell r="BI264">
            <v>8</v>
          </cell>
        </row>
        <row r="265">
          <cell r="AQ265">
            <v>418.62</v>
          </cell>
          <cell r="AY265">
            <v>0</v>
          </cell>
          <cell r="BI265">
            <v>11</v>
          </cell>
        </row>
        <row r="266">
          <cell r="AQ266">
            <v>139.83000000000001</v>
          </cell>
          <cell r="AY266">
            <v>0</v>
          </cell>
          <cell r="BI266">
            <v>10</v>
          </cell>
        </row>
        <row r="267">
          <cell r="AQ267">
            <v>54.17</v>
          </cell>
          <cell r="AY267">
            <v>0.5</v>
          </cell>
          <cell r="BI267">
            <v>7</v>
          </cell>
        </row>
        <row r="268">
          <cell r="AQ268">
            <v>437.59</v>
          </cell>
          <cell r="AY268">
            <v>0</v>
          </cell>
          <cell r="BI268">
            <v>9</v>
          </cell>
        </row>
        <row r="269">
          <cell r="AQ269">
            <v>113.57</v>
          </cell>
          <cell r="AY269">
            <v>0.2</v>
          </cell>
          <cell r="BI269">
            <v>8</v>
          </cell>
        </row>
        <row r="270">
          <cell r="AQ270">
            <v>305.54000000000002</v>
          </cell>
          <cell r="AY270">
            <v>0</v>
          </cell>
          <cell r="BI270">
            <v>7</v>
          </cell>
        </row>
        <row r="271">
          <cell r="AQ271">
            <v>339.12</v>
          </cell>
          <cell r="AY271">
            <v>0</v>
          </cell>
          <cell r="BI271">
            <v>1</v>
          </cell>
        </row>
        <row r="272">
          <cell r="AQ272">
            <v>323.39999999999998</v>
          </cell>
          <cell r="AY272">
            <v>0</v>
          </cell>
          <cell r="BI272">
            <v>10</v>
          </cell>
        </row>
        <row r="273">
          <cell r="AQ273">
            <v>472.61</v>
          </cell>
          <cell r="AY273">
            <v>0.1111111111111111</v>
          </cell>
          <cell r="BI273">
            <v>5</v>
          </cell>
        </row>
        <row r="274">
          <cell r="AQ274">
            <v>68.02</v>
          </cell>
          <cell r="AY274">
            <v>0.1</v>
          </cell>
          <cell r="BI274">
            <v>6</v>
          </cell>
        </row>
        <row r="275">
          <cell r="AQ275">
            <v>199.44</v>
          </cell>
          <cell r="AY275">
            <v>0</v>
          </cell>
          <cell r="BI275">
            <v>1</v>
          </cell>
        </row>
        <row r="276">
          <cell r="AQ276">
            <v>250.73</v>
          </cell>
          <cell r="AY276">
            <v>0.25</v>
          </cell>
          <cell r="BI276">
            <v>10</v>
          </cell>
        </row>
        <row r="277">
          <cell r="AQ277">
            <v>372.49</v>
          </cell>
          <cell r="AY277">
            <v>0</v>
          </cell>
          <cell r="BI277">
            <v>7</v>
          </cell>
        </row>
        <row r="278">
          <cell r="AQ278">
            <v>186.85</v>
          </cell>
          <cell r="AY278">
            <v>1</v>
          </cell>
          <cell r="BI278">
            <v>12</v>
          </cell>
        </row>
        <row r="279">
          <cell r="AQ279">
            <v>73.319999999999993</v>
          </cell>
          <cell r="AY279">
            <v>0.1</v>
          </cell>
          <cell r="BI279">
            <v>14</v>
          </cell>
        </row>
        <row r="280">
          <cell r="AQ280">
            <v>214.59</v>
          </cell>
          <cell r="AY280">
            <v>0.16666666666666666</v>
          </cell>
          <cell r="BI280">
            <v>9</v>
          </cell>
        </row>
        <row r="281">
          <cell r="AQ281">
            <v>467.32</v>
          </cell>
          <cell r="AY281">
            <v>0.16666666666666666</v>
          </cell>
          <cell r="BI281">
            <v>11</v>
          </cell>
        </row>
        <row r="282">
          <cell r="AQ282">
            <v>475.65</v>
          </cell>
          <cell r="AY282">
            <v>0.5</v>
          </cell>
          <cell r="BI282">
            <v>14</v>
          </cell>
        </row>
        <row r="283">
          <cell r="AQ283">
            <v>161.38</v>
          </cell>
          <cell r="AY283">
            <v>9.0909090909090912E-2</v>
          </cell>
          <cell r="BI283">
            <v>10</v>
          </cell>
        </row>
        <row r="284">
          <cell r="AQ284">
            <v>249.78</v>
          </cell>
          <cell r="AY284">
            <v>0</v>
          </cell>
          <cell r="BI284">
            <v>11</v>
          </cell>
        </row>
        <row r="285">
          <cell r="AQ285">
            <v>149.88</v>
          </cell>
          <cell r="AY285">
            <v>0.1111111111111111</v>
          </cell>
          <cell r="BI285">
            <v>4</v>
          </cell>
        </row>
        <row r="286">
          <cell r="AQ286">
            <v>347.09</v>
          </cell>
          <cell r="AY286">
            <v>0.4</v>
          </cell>
          <cell r="BI286">
            <v>7</v>
          </cell>
        </row>
        <row r="287">
          <cell r="AQ287">
            <v>345.49</v>
          </cell>
          <cell r="AY287">
            <v>0</v>
          </cell>
          <cell r="BI287">
            <v>3</v>
          </cell>
        </row>
        <row r="288">
          <cell r="AQ288">
            <v>297.24</v>
          </cell>
          <cell r="AY288">
            <v>0</v>
          </cell>
          <cell r="BI288">
            <v>7</v>
          </cell>
        </row>
        <row r="289">
          <cell r="AQ289">
            <v>494.34</v>
          </cell>
          <cell r="AY289">
            <v>8.3333333333333329E-2</v>
          </cell>
          <cell r="BI289">
            <v>3</v>
          </cell>
        </row>
        <row r="290">
          <cell r="AQ290">
            <v>443.52</v>
          </cell>
          <cell r="AY290">
            <v>0</v>
          </cell>
          <cell r="BI290">
            <v>9</v>
          </cell>
        </row>
        <row r="291">
          <cell r="AQ291">
            <v>457.18</v>
          </cell>
          <cell r="AY291">
            <v>0.2857142857142857</v>
          </cell>
          <cell r="BI291">
            <v>10</v>
          </cell>
        </row>
        <row r="292">
          <cell r="AQ292">
            <v>407.88</v>
          </cell>
          <cell r="AY292">
            <v>0.25</v>
          </cell>
          <cell r="BI292">
            <v>14</v>
          </cell>
        </row>
        <row r="293">
          <cell r="AQ293">
            <v>448.68</v>
          </cell>
          <cell r="AY293">
            <v>0.125</v>
          </cell>
          <cell r="BI293">
            <v>8</v>
          </cell>
        </row>
        <row r="294">
          <cell r="AQ294">
            <v>255.96</v>
          </cell>
          <cell r="AY294">
            <v>0</v>
          </cell>
          <cell r="BI294">
            <v>13</v>
          </cell>
        </row>
        <row r="295">
          <cell r="AQ295">
            <v>146.07</v>
          </cell>
          <cell r="AY295">
            <v>0.14285714285714285</v>
          </cell>
          <cell r="BI295">
            <v>1</v>
          </cell>
        </row>
        <row r="296">
          <cell r="AQ296">
            <v>311.89999999999998</v>
          </cell>
          <cell r="AY296">
            <v>0</v>
          </cell>
          <cell r="BI296">
            <v>2</v>
          </cell>
        </row>
        <row r="297">
          <cell r="AQ297">
            <v>301.60000000000002</v>
          </cell>
          <cell r="AY297">
            <v>0.5</v>
          </cell>
          <cell r="BI297">
            <v>13</v>
          </cell>
        </row>
        <row r="298">
          <cell r="AQ298">
            <v>297.45</v>
          </cell>
          <cell r="AY298">
            <v>0</v>
          </cell>
          <cell r="BI298">
            <v>4</v>
          </cell>
        </row>
        <row r="299">
          <cell r="AQ299">
            <v>157.26</v>
          </cell>
          <cell r="AY299">
            <v>0.33333333333333331</v>
          </cell>
          <cell r="BI299">
            <v>8</v>
          </cell>
        </row>
        <row r="300">
          <cell r="AQ300">
            <v>239.46</v>
          </cell>
          <cell r="AY300">
            <v>0.66666666666666663</v>
          </cell>
          <cell r="BI300">
            <v>7</v>
          </cell>
        </row>
        <row r="301">
          <cell r="AQ301">
            <v>240.82</v>
          </cell>
          <cell r="AY301">
            <v>0</v>
          </cell>
          <cell r="BI301">
            <v>8</v>
          </cell>
        </row>
        <row r="302">
          <cell r="AQ302">
            <v>302.07</v>
          </cell>
          <cell r="AY302">
            <v>0.33333333333333331</v>
          </cell>
          <cell r="BI302">
            <v>13</v>
          </cell>
        </row>
        <row r="303">
          <cell r="AQ303">
            <v>367.99</v>
          </cell>
          <cell r="AY303">
            <v>1</v>
          </cell>
          <cell r="BI303">
            <v>8</v>
          </cell>
        </row>
        <row r="304">
          <cell r="AQ304">
            <v>359.75</v>
          </cell>
          <cell r="AY304">
            <v>0.14285714285714285</v>
          </cell>
          <cell r="BI304">
            <v>3</v>
          </cell>
        </row>
        <row r="305">
          <cell r="AQ305">
            <v>204.44</v>
          </cell>
          <cell r="AY305">
            <v>0.5</v>
          </cell>
          <cell r="BI305">
            <v>13</v>
          </cell>
        </row>
        <row r="306">
          <cell r="AQ306">
            <v>228.93</v>
          </cell>
          <cell r="AY306">
            <v>0.2857142857142857</v>
          </cell>
          <cell r="BI306">
            <v>11</v>
          </cell>
        </row>
        <row r="307">
          <cell r="AQ307">
            <v>355.31</v>
          </cell>
          <cell r="AY307">
            <v>9.0909090909090912E-2</v>
          </cell>
          <cell r="BI307">
            <v>12</v>
          </cell>
        </row>
        <row r="308">
          <cell r="AQ308">
            <v>334.67</v>
          </cell>
          <cell r="AY308">
            <v>0.16666666666666666</v>
          </cell>
          <cell r="BI308">
            <v>13</v>
          </cell>
        </row>
        <row r="309">
          <cell r="AQ309">
            <v>182.72</v>
          </cell>
          <cell r="AY309">
            <v>0.2</v>
          </cell>
          <cell r="BI309">
            <v>13</v>
          </cell>
        </row>
        <row r="310">
          <cell r="AQ310">
            <v>260.22000000000003</v>
          </cell>
          <cell r="AY310">
            <v>0.18181818181818182</v>
          </cell>
          <cell r="BI310">
            <v>13</v>
          </cell>
        </row>
        <row r="311">
          <cell r="AQ311">
            <v>454.93</v>
          </cell>
          <cell r="AY311">
            <v>0.25</v>
          </cell>
          <cell r="BI311">
            <v>11</v>
          </cell>
        </row>
        <row r="312">
          <cell r="AQ312">
            <v>325.42</v>
          </cell>
          <cell r="AY312">
            <v>9.0909090909090912E-2</v>
          </cell>
          <cell r="BI312">
            <v>7</v>
          </cell>
        </row>
        <row r="313">
          <cell r="AQ313">
            <v>351.36</v>
          </cell>
          <cell r="AY313">
            <v>1</v>
          </cell>
          <cell r="BI313">
            <v>7</v>
          </cell>
        </row>
        <row r="314">
          <cell r="AQ314">
            <v>333.63</v>
          </cell>
          <cell r="AY314">
            <v>0.25</v>
          </cell>
          <cell r="BI314">
            <v>14</v>
          </cell>
        </row>
        <row r="315">
          <cell r="AQ315">
            <v>469.9</v>
          </cell>
          <cell r="AY315">
            <v>0.25</v>
          </cell>
          <cell r="BI315">
            <v>7</v>
          </cell>
        </row>
        <row r="316">
          <cell r="AQ316">
            <v>207.52</v>
          </cell>
          <cell r="AY316">
            <v>0.25</v>
          </cell>
          <cell r="BI316">
            <v>2</v>
          </cell>
        </row>
        <row r="317">
          <cell r="AQ317">
            <v>125.89</v>
          </cell>
          <cell r="AY317">
            <v>0.14285714285714285</v>
          </cell>
          <cell r="BI317">
            <v>13</v>
          </cell>
        </row>
        <row r="318">
          <cell r="AQ318">
            <v>170.77</v>
          </cell>
          <cell r="AY318">
            <v>0.22222222222222221</v>
          </cell>
          <cell r="BI318">
            <v>4</v>
          </cell>
        </row>
        <row r="319">
          <cell r="AQ319">
            <v>63.91</v>
          </cell>
          <cell r="AY319">
            <v>0</v>
          </cell>
          <cell r="BI319">
            <v>12</v>
          </cell>
        </row>
        <row r="320">
          <cell r="AQ320">
            <v>340.55</v>
          </cell>
          <cell r="AY320">
            <v>0</v>
          </cell>
          <cell r="BI320">
            <v>1</v>
          </cell>
        </row>
        <row r="321">
          <cell r="AQ321">
            <v>378.14</v>
          </cell>
          <cell r="AY321">
            <v>0.16666666666666666</v>
          </cell>
          <cell r="BI321">
            <v>7</v>
          </cell>
        </row>
        <row r="322">
          <cell r="AQ322">
            <v>235.84</v>
          </cell>
          <cell r="AY322">
            <v>0.22222222222222221</v>
          </cell>
          <cell r="BI322">
            <v>14</v>
          </cell>
        </row>
        <row r="323">
          <cell r="AQ323">
            <v>164.44</v>
          </cell>
          <cell r="AY323">
            <v>0.2</v>
          </cell>
          <cell r="BI323">
            <v>5</v>
          </cell>
        </row>
        <row r="324">
          <cell r="AQ324">
            <v>455.81</v>
          </cell>
          <cell r="AY324">
            <v>0.33333333333333331</v>
          </cell>
          <cell r="BI324">
            <v>6</v>
          </cell>
        </row>
        <row r="325">
          <cell r="AQ325">
            <v>298.32</v>
          </cell>
          <cell r="AY325">
            <v>0.2857142857142857</v>
          </cell>
          <cell r="BI325">
            <v>12</v>
          </cell>
        </row>
        <row r="326">
          <cell r="AQ326">
            <v>351.71</v>
          </cell>
          <cell r="AY326">
            <v>0.14285714285714285</v>
          </cell>
          <cell r="BI326">
            <v>8</v>
          </cell>
        </row>
        <row r="327">
          <cell r="AQ327">
            <v>393.48</v>
          </cell>
          <cell r="AY327">
            <v>9.0909090909090912E-2</v>
          </cell>
          <cell r="BI327">
            <v>3</v>
          </cell>
        </row>
        <row r="328">
          <cell r="AQ328">
            <v>241.72</v>
          </cell>
          <cell r="AY328">
            <v>0</v>
          </cell>
          <cell r="BI328">
            <v>2</v>
          </cell>
        </row>
        <row r="329">
          <cell r="AQ329">
            <v>280.2</v>
          </cell>
          <cell r="AY329">
            <v>0.66666666666666663</v>
          </cell>
          <cell r="BI329">
            <v>13</v>
          </cell>
        </row>
        <row r="330">
          <cell r="AQ330">
            <v>178.04</v>
          </cell>
          <cell r="AY330">
            <v>0.4</v>
          </cell>
          <cell r="BI330">
            <v>11</v>
          </cell>
        </row>
        <row r="331">
          <cell r="AQ331">
            <v>347.99</v>
          </cell>
          <cell r="AY331">
            <v>0</v>
          </cell>
          <cell r="BI331">
            <v>6</v>
          </cell>
        </row>
        <row r="332">
          <cell r="AQ332">
            <v>343.81</v>
          </cell>
          <cell r="AY332">
            <v>0</v>
          </cell>
          <cell r="BI332">
            <v>3</v>
          </cell>
        </row>
        <row r="333">
          <cell r="AQ333">
            <v>105.29</v>
          </cell>
          <cell r="AY333">
            <v>0</v>
          </cell>
          <cell r="BI333">
            <v>4</v>
          </cell>
        </row>
        <row r="334">
          <cell r="AQ334">
            <v>483.66</v>
          </cell>
          <cell r="AY334">
            <v>0.66666666666666663</v>
          </cell>
          <cell r="BI334">
            <v>9</v>
          </cell>
        </row>
        <row r="335">
          <cell r="AQ335">
            <v>69.41</v>
          </cell>
          <cell r="AY335">
            <v>0.125</v>
          </cell>
          <cell r="BI335">
            <v>5</v>
          </cell>
        </row>
        <row r="336">
          <cell r="AQ336">
            <v>207.18</v>
          </cell>
          <cell r="AY336">
            <v>9.0909090909090912E-2</v>
          </cell>
          <cell r="BI336">
            <v>8</v>
          </cell>
        </row>
        <row r="337">
          <cell r="AQ337">
            <v>454.15</v>
          </cell>
          <cell r="AY337">
            <v>9.0909090909090912E-2</v>
          </cell>
          <cell r="BI337">
            <v>13</v>
          </cell>
        </row>
        <row r="338">
          <cell r="AQ338">
            <v>113.01</v>
          </cell>
          <cell r="AY338">
            <v>9.0909090909090912E-2</v>
          </cell>
          <cell r="BI338">
            <v>4</v>
          </cell>
        </row>
        <row r="339">
          <cell r="AQ339">
            <v>419.13</v>
          </cell>
          <cell r="AY339">
            <v>0</v>
          </cell>
          <cell r="BI339">
            <v>6</v>
          </cell>
        </row>
        <row r="340">
          <cell r="AQ340">
            <v>183.86</v>
          </cell>
          <cell r="AY340">
            <v>0.2</v>
          </cell>
          <cell r="BI340">
            <v>3</v>
          </cell>
        </row>
        <row r="341">
          <cell r="AQ341">
            <v>53.87</v>
          </cell>
          <cell r="AY341">
            <v>0</v>
          </cell>
          <cell r="BI341">
            <v>2</v>
          </cell>
        </row>
        <row r="342">
          <cell r="AQ342">
            <v>427.82</v>
          </cell>
          <cell r="AY342">
            <v>0.1111111111111111</v>
          </cell>
          <cell r="BI342">
            <v>14</v>
          </cell>
        </row>
        <row r="343">
          <cell r="AQ343">
            <v>282.82</v>
          </cell>
          <cell r="AY343">
            <v>0.33333333333333331</v>
          </cell>
          <cell r="BI343">
            <v>3</v>
          </cell>
        </row>
        <row r="344">
          <cell r="AQ344">
            <v>215.31</v>
          </cell>
          <cell r="AY344">
            <v>0.14285714285714285</v>
          </cell>
          <cell r="BI344">
            <v>7</v>
          </cell>
        </row>
        <row r="345">
          <cell r="AQ345">
            <v>183.66</v>
          </cell>
          <cell r="AY345">
            <v>0</v>
          </cell>
          <cell r="BI345">
            <v>6</v>
          </cell>
        </row>
        <row r="346">
          <cell r="AQ346">
            <v>198.73</v>
          </cell>
          <cell r="AY346">
            <v>0.1</v>
          </cell>
          <cell r="BI346">
            <v>4</v>
          </cell>
        </row>
        <row r="347">
          <cell r="AQ347">
            <v>265.72000000000003</v>
          </cell>
          <cell r="AY347">
            <v>0</v>
          </cell>
          <cell r="BI347">
            <v>13</v>
          </cell>
        </row>
        <row r="348">
          <cell r="AQ348">
            <v>138.35</v>
          </cell>
          <cell r="AY348">
            <v>0</v>
          </cell>
          <cell r="BI348">
            <v>8</v>
          </cell>
        </row>
        <row r="349">
          <cell r="AQ349">
            <v>441.87</v>
          </cell>
          <cell r="AY349">
            <v>0</v>
          </cell>
          <cell r="BI349">
            <v>13</v>
          </cell>
        </row>
        <row r="350">
          <cell r="AQ350">
            <v>178.29</v>
          </cell>
          <cell r="AY350">
            <v>0.5</v>
          </cell>
          <cell r="BI350">
            <v>8</v>
          </cell>
        </row>
        <row r="351">
          <cell r="AQ351">
            <v>77.08</v>
          </cell>
          <cell r="AY351">
            <v>0</v>
          </cell>
          <cell r="BI351">
            <v>1</v>
          </cell>
        </row>
        <row r="352">
          <cell r="AQ352">
            <v>266.89999999999998</v>
          </cell>
          <cell r="AY352">
            <v>9.0909090909090912E-2</v>
          </cell>
          <cell r="BI352">
            <v>13</v>
          </cell>
        </row>
        <row r="353">
          <cell r="AQ353">
            <v>269.83999999999997</v>
          </cell>
          <cell r="AY353">
            <v>0.5</v>
          </cell>
          <cell r="BI353">
            <v>2</v>
          </cell>
        </row>
        <row r="354">
          <cell r="AQ354">
            <v>334.22</v>
          </cell>
          <cell r="AY354">
            <v>0.25</v>
          </cell>
          <cell r="BI354">
            <v>1</v>
          </cell>
        </row>
        <row r="355">
          <cell r="AQ355">
            <v>474.56</v>
          </cell>
          <cell r="AY355">
            <v>0.125</v>
          </cell>
          <cell r="BI355">
            <v>12</v>
          </cell>
        </row>
        <row r="356">
          <cell r="AQ356">
            <v>360.91</v>
          </cell>
          <cell r="AY356">
            <v>0</v>
          </cell>
          <cell r="BI356">
            <v>4</v>
          </cell>
        </row>
        <row r="357">
          <cell r="AQ357">
            <v>373.49</v>
          </cell>
          <cell r="AY357">
            <v>0</v>
          </cell>
          <cell r="BI357">
            <v>1</v>
          </cell>
        </row>
        <row r="358">
          <cell r="AQ358">
            <v>462.3</v>
          </cell>
          <cell r="AY358">
            <v>0.4</v>
          </cell>
          <cell r="BI358">
            <v>4</v>
          </cell>
        </row>
        <row r="359">
          <cell r="AQ359">
            <v>332.67</v>
          </cell>
          <cell r="AY359">
            <v>0.125</v>
          </cell>
          <cell r="BI359">
            <v>4</v>
          </cell>
        </row>
        <row r="360">
          <cell r="AQ360">
            <v>235.39</v>
          </cell>
          <cell r="AY360">
            <v>0</v>
          </cell>
          <cell r="BI360">
            <v>6</v>
          </cell>
        </row>
        <row r="361">
          <cell r="AQ361">
            <v>269.77999999999997</v>
          </cell>
          <cell r="AY361">
            <v>0.2857142857142857</v>
          </cell>
          <cell r="BI361">
            <v>5</v>
          </cell>
        </row>
        <row r="362">
          <cell r="AQ362">
            <v>498.33</v>
          </cell>
          <cell r="AY362">
            <v>0.5</v>
          </cell>
          <cell r="BI362">
            <v>1</v>
          </cell>
        </row>
        <row r="363">
          <cell r="AQ363">
            <v>182.94</v>
          </cell>
          <cell r="AY363">
            <v>0.2857142857142857</v>
          </cell>
          <cell r="BI363">
            <v>12</v>
          </cell>
        </row>
        <row r="364">
          <cell r="AQ364">
            <v>121.7</v>
          </cell>
          <cell r="AY364">
            <v>0.2857142857142857</v>
          </cell>
          <cell r="BI364">
            <v>8</v>
          </cell>
        </row>
        <row r="365">
          <cell r="AQ365">
            <v>489.27</v>
          </cell>
          <cell r="AY365">
            <v>0.25</v>
          </cell>
          <cell r="BI365">
            <v>3</v>
          </cell>
        </row>
        <row r="366">
          <cell r="AQ366">
            <v>303.93</v>
          </cell>
          <cell r="AY366">
            <v>0.16666666666666666</v>
          </cell>
          <cell r="BI366">
            <v>2</v>
          </cell>
        </row>
        <row r="367">
          <cell r="AQ367">
            <v>302.74</v>
          </cell>
          <cell r="AY367">
            <v>0</v>
          </cell>
          <cell r="BI367">
            <v>5</v>
          </cell>
        </row>
        <row r="368">
          <cell r="AQ368">
            <v>157.21</v>
          </cell>
          <cell r="AY368">
            <v>0</v>
          </cell>
          <cell r="BI368">
            <v>5</v>
          </cell>
        </row>
        <row r="369">
          <cell r="AQ369">
            <v>159.44999999999999</v>
          </cell>
          <cell r="AY369">
            <v>0</v>
          </cell>
          <cell r="BI369">
            <v>14</v>
          </cell>
        </row>
        <row r="370">
          <cell r="AQ370">
            <v>312.93</v>
          </cell>
          <cell r="AY370">
            <v>0</v>
          </cell>
          <cell r="BI370">
            <v>3</v>
          </cell>
        </row>
        <row r="371">
          <cell r="AQ371">
            <v>65.680000000000007</v>
          </cell>
          <cell r="AY371">
            <v>0</v>
          </cell>
          <cell r="BI371">
            <v>12</v>
          </cell>
        </row>
        <row r="372">
          <cell r="AQ372">
            <v>61.86</v>
          </cell>
          <cell r="AY372">
            <v>0.4</v>
          </cell>
          <cell r="BI372">
            <v>9</v>
          </cell>
        </row>
        <row r="373">
          <cell r="AQ373">
            <v>343.77</v>
          </cell>
          <cell r="AY373">
            <v>0.33333333333333331</v>
          </cell>
          <cell r="BI373">
            <v>3</v>
          </cell>
        </row>
        <row r="374">
          <cell r="AQ374">
            <v>107.21</v>
          </cell>
          <cell r="AY374">
            <v>1</v>
          </cell>
          <cell r="BI374">
            <v>6</v>
          </cell>
        </row>
        <row r="375">
          <cell r="AQ375">
            <v>148.97999999999999</v>
          </cell>
          <cell r="AY375">
            <v>0</v>
          </cell>
          <cell r="BI375">
            <v>13</v>
          </cell>
        </row>
        <row r="376">
          <cell r="AQ376">
            <v>490.41</v>
          </cell>
          <cell r="AY376">
            <v>0</v>
          </cell>
          <cell r="BI376">
            <v>3</v>
          </cell>
        </row>
        <row r="377">
          <cell r="AQ377">
            <v>461.34</v>
          </cell>
          <cell r="AY377">
            <v>0.25</v>
          </cell>
          <cell r="BI377">
            <v>7</v>
          </cell>
        </row>
        <row r="378">
          <cell r="AQ378">
            <v>338.89</v>
          </cell>
          <cell r="AY378">
            <v>0.2857142857142857</v>
          </cell>
          <cell r="BI378">
            <v>3</v>
          </cell>
        </row>
        <row r="379">
          <cell r="AQ379">
            <v>222.63</v>
          </cell>
          <cell r="AY379">
            <v>0.66666666666666663</v>
          </cell>
          <cell r="BI379">
            <v>6</v>
          </cell>
        </row>
        <row r="380">
          <cell r="AQ380">
            <v>71.95</v>
          </cell>
          <cell r="AY380">
            <v>1</v>
          </cell>
          <cell r="BI380">
            <v>13</v>
          </cell>
        </row>
        <row r="381">
          <cell r="AQ381">
            <v>264.52</v>
          </cell>
          <cell r="AY381">
            <v>0</v>
          </cell>
          <cell r="BI381">
            <v>6</v>
          </cell>
        </row>
        <row r="382">
          <cell r="AQ382">
            <v>414.8</v>
          </cell>
          <cell r="AY382">
            <v>0.22222222222222221</v>
          </cell>
          <cell r="BI382">
            <v>7</v>
          </cell>
        </row>
        <row r="383">
          <cell r="AQ383">
            <v>50.79</v>
          </cell>
          <cell r="AY383">
            <v>0</v>
          </cell>
          <cell r="BI383">
            <v>3</v>
          </cell>
        </row>
        <row r="384">
          <cell r="AQ384">
            <v>264.3</v>
          </cell>
          <cell r="AY384">
            <v>0.2</v>
          </cell>
          <cell r="BI384">
            <v>5</v>
          </cell>
        </row>
        <row r="385">
          <cell r="AQ385">
            <v>122.46</v>
          </cell>
          <cell r="AY385">
            <v>0</v>
          </cell>
          <cell r="BI385">
            <v>6</v>
          </cell>
        </row>
        <row r="386">
          <cell r="AQ386">
            <v>238.01</v>
          </cell>
          <cell r="AY386">
            <v>0</v>
          </cell>
          <cell r="BI386">
            <v>5</v>
          </cell>
        </row>
        <row r="387">
          <cell r="AQ387">
            <v>490.34</v>
          </cell>
          <cell r="AY387">
            <v>0.5</v>
          </cell>
          <cell r="BI387">
            <v>2</v>
          </cell>
        </row>
        <row r="388">
          <cell r="AQ388">
            <v>245.98</v>
          </cell>
          <cell r="AY388">
            <v>0</v>
          </cell>
          <cell r="BI388">
            <v>10</v>
          </cell>
        </row>
        <row r="389">
          <cell r="AQ389">
            <v>390.83</v>
          </cell>
          <cell r="AY389">
            <v>0</v>
          </cell>
          <cell r="BI389">
            <v>8</v>
          </cell>
        </row>
        <row r="390">
          <cell r="AQ390">
            <v>158.84</v>
          </cell>
          <cell r="AY390">
            <v>0.16666666666666666</v>
          </cell>
          <cell r="BI390">
            <v>5</v>
          </cell>
        </row>
        <row r="391">
          <cell r="AQ391">
            <v>439.24</v>
          </cell>
          <cell r="AY391">
            <v>0.25</v>
          </cell>
          <cell r="BI391">
            <v>10</v>
          </cell>
        </row>
        <row r="392">
          <cell r="AQ392">
            <v>92.43</v>
          </cell>
          <cell r="AY392">
            <v>0.16666666666666666</v>
          </cell>
          <cell r="BI392">
            <v>6</v>
          </cell>
        </row>
        <row r="393">
          <cell r="AQ393">
            <v>333.15</v>
          </cell>
          <cell r="AY393">
            <v>0.1111111111111111</v>
          </cell>
          <cell r="BI393">
            <v>14</v>
          </cell>
        </row>
        <row r="394">
          <cell r="AQ394">
            <v>64.22</v>
          </cell>
          <cell r="AY394">
            <v>0.1111111111111111</v>
          </cell>
          <cell r="BI394">
            <v>10</v>
          </cell>
        </row>
        <row r="395">
          <cell r="AQ395">
            <v>290.52999999999997</v>
          </cell>
          <cell r="AY395">
            <v>0</v>
          </cell>
          <cell r="BI395">
            <v>10</v>
          </cell>
        </row>
        <row r="396">
          <cell r="AQ396">
            <v>251.8</v>
          </cell>
          <cell r="AY396">
            <v>0.16666666666666666</v>
          </cell>
          <cell r="BI396">
            <v>11</v>
          </cell>
        </row>
        <row r="397">
          <cell r="AQ397">
            <v>480.52</v>
          </cell>
          <cell r="AY397">
            <v>0.33333333333333331</v>
          </cell>
          <cell r="BI397">
            <v>13</v>
          </cell>
        </row>
        <row r="398">
          <cell r="AQ398">
            <v>461.71</v>
          </cell>
          <cell r="AY398">
            <v>0</v>
          </cell>
          <cell r="BI398">
            <v>11</v>
          </cell>
        </row>
        <row r="399">
          <cell r="AQ399">
            <v>288.33999999999997</v>
          </cell>
          <cell r="AY399">
            <v>0</v>
          </cell>
          <cell r="BI399">
            <v>6</v>
          </cell>
        </row>
        <row r="400">
          <cell r="AQ400">
            <v>194.08</v>
          </cell>
          <cell r="AY400">
            <v>0</v>
          </cell>
          <cell r="BI400">
            <v>13</v>
          </cell>
        </row>
        <row r="401">
          <cell r="AQ401">
            <v>198.45</v>
          </cell>
          <cell r="AY401">
            <v>0.18181818181818182</v>
          </cell>
          <cell r="BI401">
            <v>5</v>
          </cell>
        </row>
        <row r="402">
          <cell r="AQ402">
            <v>216.45</v>
          </cell>
          <cell r="AY402">
            <v>0.4</v>
          </cell>
          <cell r="BI402">
            <v>3</v>
          </cell>
        </row>
        <row r="403">
          <cell r="AQ403">
            <v>358.72</v>
          </cell>
          <cell r="AY403">
            <v>0</v>
          </cell>
          <cell r="BI403">
            <v>12</v>
          </cell>
        </row>
        <row r="404">
          <cell r="AQ404">
            <v>367.56</v>
          </cell>
          <cell r="AY404">
            <v>0</v>
          </cell>
          <cell r="BI404">
            <v>14</v>
          </cell>
        </row>
        <row r="405">
          <cell r="AQ405">
            <v>88.78</v>
          </cell>
          <cell r="AY405">
            <v>0.1</v>
          </cell>
          <cell r="BI405">
            <v>13</v>
          </cell>
        </row>
        <row r="406">
          <cell r="AQ406">
            <v>465.85</v>
          </cell>
          <cell r="AY406">
            <v>0.2</v>
          </cell>
          <cell r="BI406">
            <v>7</v>
          </cell>
        </row>
        <row r="407">
          <cell r="AQ407">
            <v>262.61</v>
          </cell>
          <cell r="AY407">
            <v>0</v>
          </cell>
          <cell r="BI407">
            <v>6</v>
          </cell>
        </row>
        <row r="408">
          <cell r="AQ408">
            <v>91.24</v>
          </cell>
          <cell r="AY408">
            <v>0</v>
          </cell>
          <cell r="BI408">
            <v>4</v>
          </cell>
        </row>
        <row r="409">
          <cell r="AQ409">
            <v>425.69</v>
          </cell>
          <cell r="AY409">
            <v>0</v>
          </cell>
          <cell r="BI409">
            <v>4</v>
          </cell>
        </row>
        <row r="410">
          <cell r="AQ410">
            <v>446.11</v>
          </cell>
          <cell r="AY410">
            <v>0</v>
          </cell>
          <cell r="BI410">
            <v>11</v>
          </cell>
        </row>
        <row r="411">
          <cell r="AQ411">
            <v>490.11</v>
          </cell>
          <cell r="AY411">
            <v>0.125</v>
          </cell>
          <cell r="BI411">
            <v>14</v>
          </cell>
        </row>
        <row r="412">
          <cell r="AQ412">
            <v>403.57</v>
          </cell>
          <cell r="AY412">
            <v>0.33333333333333331</v>
          </cell>
          <cell r="BI412">
            <v>1</v>
          </cell>
        </row>
        <row r="413">
          <cell r="AQ413">
            <v>442.15</v>
          </cell>
          <cell r="AY413">
            <v>0.2</v>
          </cell>
          <cell r="BI413">
            <v>9</v>
          </cell>
        </row>
        <row r="414">
          <cell r="AQ414">
            <v>78.709999999999994</v>
          </cell>
          <cell r="AY414">
            <v>0.2</v>
          </cell>
          <cell r="BI414">
            <v>4</v>
          </cell>
        </row>
        <row r="415">
          <cell r="AQ415">
            <v>491.51</v>
          </cell>
          <cell r="AY415">
            <v>0.5</v>
          </cell>
          <cell r="BI415">
            <v>7</v>
          </cell>
        </row>
        <row r="416">
          <cell r="AQ416">
            <v>457.39</v>
          </cell>
          <cell r="AY416">
            <v>8.3333333333333329E-2</v>
          </cell>
          <cell r="BI416">
            <v>9</v>
          </cell>
        </row>
        <row r="417">
          <cell r="AQ417">
            <v>178.61</v>
          </cell>
          <cell r="AY417">
            <v>0</v>
          </cell>
          <cell r="BI417">
            <v>8</v>
          </cell>
        </row>
        <row r="418">
          <cell r="AQ418">
            <v>492.51</v>
          </cell>
          <cell r="AY418">
            <v>0</v>
          </cell>
          <cell r="BI418">
            <v>4</v>
          </cell>
        </row>
        <row r="419">
          <cell r="AQ419">
            <v>411.4</v>
          </cell>
          <cell r="AY419">
            <v>0.66666666666666663</v>
          </cell>
          <cell r="BI419">
            <v>6</v>
          </cell>
        </row>
        <row r="420">
          <cell r="AQ420">
            <v>96.52</v>
          </cell>
          <cell r="AY420">
            <v>9.0909090909090912E-2</v>
          </cell>
          <cell r="BI420">
            <v>11</v>
          </cell>
        </row>
        <row r="421">
          <cell r="AQ421">
            <v>65.45</v>
          </cell>
          <cell r="AY421">
            <v>0</v>
          </cell>
          <cell r="BI421">
            <v>3</v>
          </cell>
        </row>
        <row r="422">
          <cell r="AQ422">
            <v>255.86</v>
          </cell>
          <cell r="AY422">
            <v>0</v>
          </cell>
          <cell r="BI422">
            <v>4</v>
          </cell>
        </row>
        <row r="423">
          <cell r="AQ423">
            <v>74.69</v>
          </cell>
          <cell r="AY423">
            <v>0</v>
          </cell>
          <cell r="BI423">
            <v>3</v>
          </cell>
        </row>
        <row r="424">
          <cell r="AQ424">
            <v>430.75</v>
          </cell>
          <cell r="AY424">
            <v>0.125</v>
          </cell>
          <cell r="BI424">
            <v>6</v>
          </cell>
        </row>
        <row r="425">
          <cell r="AQ425">
            <v>370.17</v>
          </cell>
          <cell r="AY425">
            <v>0.5</v>
          </cell>
          <cell r="BI425">
            <v>1</v>
          </cell>
        </row>
        <row r="426">
          <cell r="AQ426">
            <v>384.26</v>
          </cell>
          <cell r="AY426">
            <v>0</v>
          </cell>
          <cell r="BI426">
            <v>11</v>
          </cell>
        </row>
        <row r="427">
          <cell r="AQ427">
            <v>128.01</v>
          </cell>
          <cell r="AY427">
            <v>0</v>
          </cell>
          <cell r="BI427">
            <v>10</v>
          </cell>
        </row>
        <row r="428">
          <cell r="AQ428">
            <v>301.39999999999998</v>
          </cell>
          <cell r="AY428">
            <v>0</v>
          </cell>
          <cell r="BI428">
            <v>5</v>
          </cell>
        </row>
        <row r="429">
          <cell r="AQ429">
            <v>397.25</v>
          </cell>
          <cell r="AY429">
            <v>0.16666666666666666</v>
          </cell>
          <cell r="BI429">
            <v>2</v>
          </cell>
        </row>
        <row r="430">
          <cell r="AQ430">
            <v>96.18</v>
          </cell>
          <cell r="AY430">
            <v>0.33333333333333331</v>
          </cell>
          <cell r="BI430">
            <v>10</v>
          </cell>
        </row>
        <row r="431">
          <cell r="AQ431">
            <v>390.44</v>
          </cell>
          <cell r="AY431">
            <v>0</v>
          </cell>
          <cell r="BI431">
            <v>4</v>
          </cell>
        </row>
        <row r="432">
          <cell r="AQ432">
            <v>61.5</v>
          </cell>
          <cell r="AY432">
            <v>0</v>
          </cell>
          <cell r="BI432">
            <v>8</v>
          </cell>
        </row>
        <row r="433">
          <cell r="AQ433">
            <v>234.44</v>
          </cell>
          <cell r="AY433">
            <v>0</v>
          </cell>
          <cell r="BI433">
            <v>5</v>
          </cell>
        </row>
        <row r="434">
          <cell r="AQ434">
            <v>318.83999999999997</v>
          </cell>
          <cell r="AY434">
            <v>0</v>
          </cell>
          <cell r="BI434">
            <v>10</v>
          </cell>
        </row>
        <row r="435">
          <cell r="AQ435">
            <v>327.32</v>
          </cell>
          <cell r="AY435">
            <v>0</v>
          </cell>
          <cell r="BI435">
            <v>13</v>
          </cell>
        </row>
        <row r="436">
          <cell r="AQ436">
            <v>475.64</v>
          </cell>
          <cell r="AY436">
            <v>0.33333333333333331</v>
          </cell>
          <cell r="BI436">
            <v>9</v>
          </cell>
        </row>
        <row r="437">
          <cell r="AQ437">
            <v>68.59</v>
          </cell>
          <cell r="AY437">
            <v>0.22222222222222221</v>
          </cell>
          <cell r="BI437">
            <v>5</v>
          </cell>
        </row>
        <row r="438">
          <cell r="AQ438">
            <v>133.04</v>
          </cell>
          <cell r="AY438">
            <v>0.16666666666666666</v>
          </cell>
          <cell r="BI438">
            <v>11</v>
          </cell>
        </row>
        <row r="439">
          <cell r="AQ439">
            <v>196.63</v>
          </cell>
          <cell r="AY439">
            <v>0.1111111111111111</v>
          </cell>
          <cell r="BI439">
            <v>7</v>
          </cell>
        </row>
        <row r="440">
          <cell r="AQ440">
            <v>473.96</v>
          </cell>
          <cell r="AY440">
            <v>0.16666666666666666</v>
          </cell>
          <cell r="BI440">
            <v>14</v>
          </cell>
        </row>
        <row r="441">
          <cell r="AQ441">
            <v>472.52</v>
          </cell>
          <cell r="AY441">
            <v>0.25</v>
          </cell>
          <cell r="BI441">
            <v>14</v>
          </cell>
        </row>
        <row r="442">
          <cell r="AQ442">
            <v>335.8</v>
          </cell>
          <cell r="AY442">
            <v>0.22222222222222221</v>
          </cell>
          <cell r="BI442">
            <v>5</v>
          </cell>
        </row>
        <row r="443">
          <cell r="AQ443">
            <v>85.57</v>
          </cell>
          <cell r="AY443">
            <v>0.16666666666666666</v>
          </cell>
          <cell r="BI443">
            <v>9</v>
          </cell>
        </row>
        <row r="444">
          <cell r="AQ444">
            <v>108.5</v>
          </cell>
          <cell r="AY444">
            <v>9.0909090909090912E-2</v>
          </cell>
          <cell r="BI444">
            <v>10</v>
          </cell>
        </row>
        <row r="445">
          <cell r="AQ445">
            <v>172.5</v>
          </cell>
          <cell r="AY445">
            <v>0</v>
          </cell>
          <cell r="BI445">
            <v>7</v>
          </cell>
        </row>
        <row r="446">
          <cell r="AQ446">
            <v>212.8</v>
          </cell>
          <cell r="AY446">
            <v>0.16666666666666666</v>
          </cell>
          <cell r="BI446">
            <v>1</v>
          </cell>
        </row>
        <row r="447">
          <cell r="AQ447">
            <v>324.41000000000003</v>
          </cell>
          <cell r="AY447">
            <v>0</v>
          </cell>
          <cell r="BI447">
            <v>4</v>
          </cell>
        </row>
        <row r="448">
          <cell r="AQ448">
            <v>342.39</v>
          </cell>
          <cell r="AY448">
            <v>0.25</v>
          </cell>
          <cell r="BI448">
            <v>9</v>
          </cell>
        </row>
        <row r="449">
          <cell r="AQ449">
            <v>446.86</v>
          </cell>
          <cell r="AY449">
            <v>0</v>
          </cell>
          <cell r="BI449">
            <v>5</v>
          </cell>
        </row>
        <row r="450">
          <cell r="AQ450">
            <v>463.15</v>
          </cell>
          <cell r="AY450">
            <v>0.33333333333333331</v>
          </cell>
          <cell r="BI450">
            <v>9</v>
          </cell>
        </row>
        <row r="451">
          <cell r="AQ451">
            <v>122.99</v>
          </cell>
          <cell r="AY451">
            <v>8.3333333333333329E-2</v>
          </cell>
          <cell r="BI451">
            <v>1</v>
          </cell>
        </row>
        <row r="452">
          <cell r="AQ452">
            <v>322.39999999999998</v>
          </cell>
          <cell r="AY452">
            <v>0.2857142857142857</v>
          </cell>
          <cell r="BI452">
            <v>2</v>
          </cell>
        </row>
        <row r="453">
          <cell r="AQ453">
            <v>73.19</v>
          </cell>
          <cell r="AY453">
            <v>0.4</v>
          </cell>
          <cell r="BI453">
            <v>3</v>
          </cell>
        </row>
        <row r="454">
          <cell r="AQ454">
            <v>279.08</v>
          </cell>
          <cell r="AY454">
            <v>0.2</v>
          </cell>
          <cell r="BI454">
            <v>3</v>
          </cell>
        </row>
        <row r="455">
          <cell r="AQ455">
            <v>478.85</v>
          </cell>
          <cell r="AY455">
            <v>0.2</v>
          </cell>
          <cell r="BI455">
            <v>4</v>
          </cell>
        </row>
        <row r="456">
          <cell r="AQ456">
            <v>86.39</v>
          </cell>
          <cell r="AY456">
            <v>0.2</v>
          </cell>
          <cell r="BI456">
            <v>7</v>
          </cell>
        </row>
        <row r="457">
          <cell r="AQ457">
            <v>192.35</v>
          </cell>
          <cell r="AY457">
            <v>0.18181818181818182</v>
          </cell>
          <cell r="BI457">
            <v>11</v>
          </cell>
        </row>
        <row r="458">
          <cell r="AQ458">
            <v>235.32</v>
          </cell>
          <cell r="AY458">
            <v>0.14285714285714285</v>
          </cell>
          <cell r="BI458">
            <v>11</v>
          </cell>
        </row>
        <row r="459">
          <cell r="AQ459">
            <v>212.63</v>
          </cell>
          <cell r="AY459">
            <v>0</v>
          </cell>
          <cell r="BI459">
            <v>6</v>
          </cell>
        </row>
        <row r="460">
          <cell r="AQ460">
            <v>246.63</v>
          </cell>
          <cell r="AY460">
            <v>0.25</v>
          </cell>
          <cell r="BI460">
            <v>10</v>
          </cell>
        </row>
        <row r="461">
          <cell r="AQ461">
            <v>228.47</v>
          </cell>
          <cell r="AY461">
            <v>0.1111111111111111</v>
          </cell>
          <cell r="BI461">
            <v>12</v>
          </cell>
        </row>
        <row r="462">
          <cell r="AQ462">
            <v>343.77</v>
          </cell>
          <cell r="AY462">
            <v>0.33333333333333331</v>
          </cell>
          <cell r="BI462">
            <v>6</v>
          </cell>
        </row>
        <row r="463">
          <cell r="AQ463">
            <v>339.32</v>
          </cell>
          <cell r="AY463">
            <v>0.1111111111111111</v>
          </cell>
          <cell r="BI463">
            <v>7</v>
          </cell>
        </row>
        <row r="464">
          <cell r="AQ464">
            <v>327.05</v>
          </cell>
          <cell r="AY464">
            <v>0.22222222222222221</v>
          </cell>
          <cell r="BI464">
            <v>7</v>
          </cell>
        </row>
        <row r="465">
          <cell r="AQ465">
            <v>334.45</v>
          </cell>
          <cell r="AY465">
            <v>1</v>
          </cell>
          <cell r="BI465">
            <v>6</v>
          </cell>
        </row>
        <row r="466">
          <cell r="AQ466">
            <v>366.16</v>
          </cell>
          <cell r="AY466">
            <v>8.3333333333333329E-2</v>
          </cell>
          <cell r="BI466">
            <v>4</v>
          </cell>
        </row>
        <row r="467">
          <cell r="AQ467">
            <v>481.78</v>
          </cell>
          <cell r="AY467">
            <v>0.25</v>
          </cell>
          <cell r="BI467">
            <v>1</v>
          </cell>
        </row>
        <row r="468">
          <cell r="AQ468">
            <v>131.47999999999999</v>
          </cell>
          <cell r="AY468">
            <v>0.25</v>
          </cell>
          <cell r="BI468">
            <v>12</v>
          </cell>
        </row>
        <row r="469">
          <cell r="AQ469">
            <v>402.86</v>
          </cell>
          <cell r="AY469">
            <v>0</v>
          </cell>
          <cell r="BI469">
            <v>8</v>
          </cell>
        </row>
        <row r="470">
          <cell r="AQ470">
            <v>333.18</v>
          </cell>
          <cell r="AY470">
            <v>0.33333333333333331</v>
          </cell>
          <cell r="BI470">
            <v>8</v>
          </cell>
        </row>
        <row r="471">
          <cell r="AQ471">
            <v>73.23</v>
          </cell>
          <cell r="AY471">
            <v>0.125</v>
          </cell>
          <cell r="BI471">
            <v>6</v>
          </cell>
        </row>
        <row r="472">
          <cell r="AQ472">
            <v>450.47</v>
          </cell>
          <cell r="AY472">
            <v>0.18181818181818182</v>
          </cell>
          <cell r="BI472">
            <v>10</v>
          </cell>
        </row>
        <row r="473">
          <cell r="AQ473">
            <v>175.74</v>
          </cell>
          <cell r="AY473">
            <v>0</v>
          </cell>
          <cell r="BI473">
            <v>6</v>
          </cell>
        </row>
        <row r="474">
          <cell r="AQ474">
            <v>182.6</v>
          </cell>
          <cell r="AY474">
            <v>0.5</v>
          </cell>
          <cell r="BI474">
            <v>5</v>
          </cell>
        </row>
        <row r="475">
          <cell r="AQ475">
            <v>497.8</v>
          </cell>
          <cell r="AY475">
            <v>0.5</v>
          </cell>
          <cell r="BI475">
            <v>9</v>
          </cell>
        </row>
        <row r="476">
          <cell r="AQ476">
            <v>171.17</v>
          </cell>
          <cell r="AY476">
            <v>0</v>
          </cell>
          <cell r="BI476">
            <v>12</v>
          </cell>
        </row>
        <row r="477">
          <cell r="AQ477">
            <v>425.82</v>
          </cell>
          <cell r="AY477">
            <v>0.33333333333333331</v>
          </cell>
          <cell r="BI477">
            <v>11</v>
          </cell>
        </row>
        <row r="478">
          <cell r="AQ478">
            <v>210.58</v>
          </cell>
          <cell r="AY478">
            <v>0.1</v>
          </cell>
          <cell r="BI478">
            <v>8</v>
          </cell>
        </row>
        <row r="479">
          <cell r="AQ479">
            <v>199.64</v>
          </cell>
          <cell r="AY479">
            <v>9.0909090909090912E-2</v>
          </cell>
          <cell r="BI479">
            <v>8</v>
          </cell>
        </row>
        <row r="480">
          <cell r="AQ480">
            <v>162.22</v>
          </cell>
          <cell r="AY480">
            <v>0.1</v>
          </cell>
          <cell r="BI480">
            <v>8</v>
          </cell>
        </row>
        <row r="481">
          <cell r="AQ481">
            <v>401.75</v>
          </cell>
          <cell r="AY481">
            <v>0.125</v>
          </cell>
          <cell r="BI481">
            <v>6</v>
          </cell>
        </row>
        <row r="482">
          <cell r="AQ482">
            <v>365.88</v>
          </cell>
          <cell r="AY482">
            <v>0</v>
          </cell>
          <cell r="BI482">
            <v>7</v>
          </cell>
        </row>
        <row r="483">
          <cell r="AQ483">
            <v>58.29</v>
          </cell>
          <cell r="AY483">
            <v>0.16666666666666666</v>
          </cell>
          <cell r="BI483">
            <v>14</v>
          </cell>
        </row>
        <row r="484">
          <cell r="AQ484">
            <v>66.86</v>
          </cell>
          <cell r="AY484">
            <v>0</v>
          </cell>
          <cell r="BI484">
            <v>9</v>
          </cell>
        </row>
        <row r="485">
          <cell r="AQ485">
            <v>279.33999999999997</v>
          </cell>
          <cell r="AY485">
            <v>0.4</v>
          </cell>
          <cell r="BI485">
            <v>11</v>
          </cell>
        </row>
        <row r="486">
          <cell r="AQ486">
            <v>358.5</v>
          </cell>
          <cell r="AY486">
            <v>0.66666666666666663</v>
          </cell>
          <cell r="BI486">
            <v>8</v>
          </cell>
        </row>
        <row r="487">
          <cell r="AQ487">
            <v>360.92</v>
          </cell>
          <cell r="AY487">
            <v>0</v>
          </cell>
          <cell r="BI487">
            <v>8</v>
          </cell>
        </row>
        <row r="488">
          <cell r="AQ488">
            <v>374.36</v>
          </cell>
          <cell r="AY488">
            <v>0.25</v>
          </cell>
          <cell r="BI488">
            <v>1</v>
          </cell>
        </row>
        <row r="489">
          <cell r="AQ489">
            <v>435.37</v>
          </cell>
          <cell r="AY489">
            <v>0</v>
          </cell>
          <cell r="BI489">
            <v>4</v>
          </cell>
        </row>
        <row r="490">
          <cell r="AQ490">
            <v>459.3</v>
          </cell>
          <cell r="AY490">
            <v>0.22222222222222221</v>
          </cell>
          <cell r="BI490">
            <v>1</v>
          </cell>
        </row>
        <row r="491">
          <cell r="AQ491">
            <v>426.89</v>
          </cell>
          <cell r="AY491">
            <v>0.5</v>
          </cell>
          <cell r="BI491">
            <v>10</v>
          </cell>
        </row>
        <row r="492">
          <cell r="AQ492">
            <v>365.37</v>
          </cell>
          <cell r="AY492">
            <v>0.16666666666666666</v>
          </cell>
          <cell r="BI492">
            <v>7</v>
          </cell>
        </row>
        <row r="493">
          <cell r="AQ493">
            <v>487.25</v>
          </cell>
          <cell r="AY493">
            <v>0</v>
          </cell>
          <cell r="BI493">
            <v>1</v>
          </cell>
        </row>
        <row r="494">
          <cell r="AQ494">
            <v>187.22</v>
          </cell>
          <cell r="AY494">
            <v>0.1</v>
          </cell>
          <cell r="BI494">
            <v>4</v>
          </cell>
        </row>
        <row r="495">
          <cell r="AQ495">
            <v>396.82</v>
          </cell>
          <cell r="AY495">
            <v>0.14285714285714285</v>
          </cell>
          <cell r="BI495">
            <v>9</v>
          </cell>
        </row>
        <row r="496">
          <cell r="AQ496">
            <v>246.74</v>
          </cell>
          <cell r="AY496">
            <v>0.1</v>
          </cell>
          <cell r="BI496">
            <v>8</v>
          </cell>
        </row>
        <row r="497">
          <cell r="AQ497">
            <v>128.74</v>
          </cell>
          <cell r="AY497">
            <v>8.3333333333333329E-2</v>
          </cell>
          <cell r="BI497">
            <v>1</v>
          </cell>
        </row>
        <row r="498">
          <cell r="AQ498">
            <v>339.63</v>
          </cell>
          <cell r="AY498">
            <v>1</v>
          </cell>
          <cell r="BI498">
            <v>6</v>
          </cell>
        </row>
        <row r="499">
          <cell r="AQ499">
            <v>223.58</v>
          </cell>
          <cell r="AY499">
            <v>0</v>
          </cell>
          <cell r="BI499">
            <v>11</v>
          </cell>
        </row>
        <row r="500">
          <cell r="AQ500">
            <v>446.92</v>
          </cell>
          <cell r="AY500">
            <v>0.4</v>
          </cell>
          <cell r="BI500">
            <v>10</v>
          </cell>
        </row>
        <row r="501">
          <cell r="AQ501">
            <v>175.65</v>
          </cell>
          <cell r="AY501">
            <v>9.0909090909090912E-2</v>
          </cell>
          <cell r="BI501">
            <v>8</v>
          </cell>
        </row>
        <row r="502">
          <cell r="AQ502">
            <v>491.49</v>
          </cell>
          <cell r="AY502">
            <v>0.2</v>
          </cell>
          <cell r="BI502">
            <v>1</v>
          </cell>
        </row>
        <row r="503">
          <cell r="AQ503">
            <v>88.4</v>
          </cell>
          <cell r="AY503">
            <v>0</v>
          </cell>
          <cell r="BI503">
            <v>4</v>
          </cell>
        </row>
        <row r="504">
          <cell r="AQ504">
            <v>430.9</v>
          </cell>
          <cell r="AY504">
            <v>0</v>
          </cell>
          <cell r="BI504">
            <v>11</v>
          </cell>
        </row>
        <row r="505">
          <cell r="AQ505">
            <v>435.23</v>
          </cell>
          <cell r="AY505">
            <v>1</v>
          </cell>
          <cell r="BI505">
            <v>13</v>
          </cell>
        </row>
        <row r="506">
          <cell r="AQ506">
            <v>218.65</v>
          </cell>
          <cell r="AY506">
            <v>0</v>
          </cell>
          <cell r="BI506">
            <v>4</v>
          </cell>
        </row>
        <row r="507">
          <cell r="AQ507">
            <v>207.66</v>
          </cell>
          <cell r="AY507">
            <v>0.2</v>
          </cell>
          <cell r="BI507">
            <v>8</v>
          </cell>
        </row>
        <row r="508">
          <cell r="AQ508">
            <v>141.09</v>
          </cell>
          <cell r="AY508">
            <v>0.2857142857142857</v>
          </cell>
          <cell r="BI508">
            <v>1</v>
          </cell>
        </row>
        <row r="509">
          <cell r="AQ509">
            <v>142.69999999999999</v>
          </cell>
          <cell r="AY509">
            <v>0</v>
          </cell>
          <cell r="BI509">
            <v>11</v>
          </cell>
        </row>
        <row r="510">
          <cell r="AQ510">
            <v>64.09</v>
          </cell>
          <cell r="AY510">
            <v>0</v>
          </cell>
          <cell r="BI510">
            <v>7</v>
          </cell>
        </row>
        <row r="511">
          <cell r="AQ511">
            <v>126.26</v>
          </cell>
          <cell r="AY511">
            <v>0.5</v>
          </cell>
          <cell r="BI511">
            <v>13</v>
          </cell>
        </row>
        <row r="512">
          <cell r="AQ512">
            <v>195.05</v>
          </cell>
          <cell r="AY512">
            <v>0</v>
          </cell>
          <cell r="BI512">
            <v>11</v>
          </cell>
        </row>
        <row r="513">
          <cell r="AQ513">
            <v>432.84</v>
          </cell>
          <cell r="AY513">
            <v>0</v>
          </cell>
          <cell r="BI513">
            <v>4</v>
          </cell>
        </row>
        <row r="514">
          <cell r="AQ514">
            <v>404.12</v>
          </cell>
          <cell r="AY514">
            <v>0</v>
          </cell>
          <cell r="BI514">
            <v>11</v>
          </cell>
        </row>
        <row r="515">
          <cell r="AQ515">
            <v>438.26</v>
          </cell>
          <cell r="AY515">
            <v>0.1</v>
          </cell>
          <cell r="BI515">
            <v>10</v>
          </cell>
        </row>
        <row r="516">
          <cell r="AQ516">
            <v>233.02</v>
          </cell>
          <cell r="AY516">
            <v>0</v>
          </cell>
          <cell r="BI516">
            <v>8</v>
          </cell>
        </row>
        <row r="517">
          <cell r="AQ517">
            <v>273.41000000000003</v>
          </cell>
          <cell r="AY517">
            <v>0</v>
          </cell>
          <cell r="BI517">
            <v>2</v>
          </cell>
        </row>
        <row r="518">
          <cell r="AQ518">
            <v>338.96</v>
          </cell>
          <cell r="AY518">
            <v>0.1</v>
          </cell>
          <cell r="BI518">
            <v>4</v>
          </cell>
        </row>
        <row r="519">
          <cell r="AQ519">
            <v>75.91</v>
          </cell>
          <cell r="AY519">
            <v>0</v>
          </cell>
          <cell r="BI519">
            <v>1</v>
          </cell>
        </row>
        <row r="520">
          <cell r="AQ520">
            <v>425.21</v>
          </cell>
          <cell r="AY520">
            <v>0</v>
          </cell>
          <cell r="BI520">
            <v>12</v>
          </cell>
        </row>
        <row r="521">
          <cell r="AQ521">
            <v>268.8</v>
          </cell>
          <cell r="AY521">
            <v>0.5</v>
          </cell>
          <cell r="BI521">
            <v>12</v>
          </cell>
        </row>
        <row r="522">
          <cell r="AQ522">
            <v>170.71</v>
          </cell>
          <cell r="AY522">
            <v>0.1</v>
          </cell>
          <cell r="BI522">
            <v>7</v>
          </cell>
        </row>
        <row r="523">
          <cell r="AQ523">
            <v>444.05</v>
          </cell>
          <cell r="AY523">
            <v>0.1</v>
          </cell>
          <cell r="BI523">
            <v>8</v>
          </cell>
        </row>
        <row r="524">
          <cell r="AQ524">
            <v>255.1</v>
          </cell>
          <cell r="AY524">
            <v>0.2</v>
          </cell>
          <cell r="BI524">
            <v>14</v>
          </cell>
        </row>
        <row r="525">
          <cell r="AQ525">
            <v>236.44</v>
          </cell>
          <cell r="AY525">
            <v>0.33333333333333331</v>
          </cell>
          <cell r="BI525">
            <v>6</v>
          </cell>
        </row>
        <row r="526">
          <cell r="AQ526">
            <v>201.69</v>
          </cell>
          <cell r="AY526">
            <v>0.18181818181818182</v>
          </cell>
          <cell r="BI526">
            <v>3</v>
          </cell>
        </row>
        <row r="527">
          <cell r="AQ527">
            <v>390.51</v>
          </cell>
          <cell r="AY527">
            <v>0</v>
          </cell>
          <cell r="BI527">
            <v>6</v>
          </cell>
        </row>
        <row r="528">
          <cell r="AQ528">
            <v>442.29</v>
          </cell>
          <cell r="AY528">
            <v>0.1111111111111111</v>
          </cell>
          <cell r="BI528">
            <v>13</v>
          </cell>
        </row>
        <row r="529">
          <cell r="AQ529">
            <v>89.6</v>
          </cell>
          <cell r="AY529">
            <v>0.14285714285714285</v>
          </cell>
          <cell r="BI529">
            <v>8</v>
          </cell>
        </row>
        <row r="530">
          <cell r="AQ530">
            <v>166.74</v>
          </cell>
          <cell r="AY530">
            <v>0</v>
          </cell>
          <cell r="BI530">
            <v>1</v>
          </cell>
        </row>
        <row r="531">
          <cell r="AQ531">
            <v>299.27999999999997</v>
          </cell>
          <cell r="AY531">
            <v>0</v>
          </cell>
          <cell r="BI531">
            <v>3</v>
          </cell>
        </row>
        <row r="532">
          <cell r="AQ532">
            <v>404.57</v>
          </cell>
          <cell r="AY532">
            <v>0.4</v>
          </cell>
          <cell r="BI532">
            <v>14</v>
          </cell>
        </row>
        <row r="533">
          <cell r="AQ533">
            <v>344.81</v>
          </cell>
          <cell r="AY533">
            <v>0.1</v>
          </cell>
          <cell r="BI533">
            <v>14</v>
          </cell>
        </row>
        <row r="534">
          <cell r="AQ534">
            <v>217.84</v>
          </cell>
          <cell r="AY534">
            <v>0</v>
          </cell>
          <cell r="BI534">
            <v>11</v>
          </cell>
        </row>
        <row r="535">
          <cell r="AQ535">
            <v>445.34</v>
          </cell>
          <cell r="AY535">
            <v>0.1111111111111111</v>
          </cell>
          <cell r="BI535">
            <v>3</v>
          </cell>
        </row>
        <row r="536">
          <cell r="AQ536">
            <v>151.72999999999999</v>
          </cell>
          <cell r="AY536">
            <v>0.33333333333333331</v>
          </cell>
          <cell r="BI536">
            <v>11</v>
          </cell>
        </row>
        <row r="537">
          <cell r="AQ537">
            <v>123.73</v>
          </cell>
          <cell r="AY537">
            <v>0.22222222222222221</v>
          </cell>
          <cell r="BI537">
            <v>10</v>
          </cell>
        </row>
        <row r="538">
          <cell r="AQ538">
            <v>370.54</v>
          </cell>
          <cell r="AY538">
            <v>0.5</v>
          </cell>
          <cell r="BI538">
            <v>7</v>
          </cell>
        </row>
        <row r="539">
          <cell r="AQ539">
            <v>152.87</v>
          </cell>
          <cell r="AY539">
            <v>0.33333333333333331</v>
          </cell>
          <cell r="BI539">
            <v>11</v>
          </cell>
        </row>
        <row r="540">
          <cell r="AQ540">
            <v>295.75</v>
          </cell>
          <cell r="AY540">
            <v>0.25</v>
          </cell>
          <cell r="BI540">
            <v>8</v>
          </cell>
        </row>
        <row r="541">
          <cell r="AQ541">
            <v>358.11</v>
          </cell>
          <cell r="AY541">
            <v>0</v>
          </cell>
          <cell r="BI541">
            <v>11</v>
          </cell>
        </row>
        <row r="542">
          <cell r="AQ542">
            <v>63.6</v>
          </cell>
          <cell r="AY542">
            <v>0.16666666666666666</v>
          </cell>
          <cell r="BI542">
            <v>6</v>
          </cell>
        </row>
        <row r="543">
          <cell r="AQ543">
            <v>419.53</v>
          </cell>
          <cell r="AY543">
            <v>0.66666666666666663</v>
          </cell>
          <cell r="BI543">
            <v>6</v>
          </cell>
        </row>
        <row r="544">
          <cell r="AQ544">
            <v>491.92</v>
          </cell>
          <cell r="AY544">
            <v>0.1</v>
          </cell>
          <cell r="BI544">
            <v>2</v>
          </cell>
        </row>
        <row r="545">
          <cell r="AQ545">
            <v>114.44</v>
          </cell>
          <cell r="AY545">
            <v>0.25</v>
          </cell>
          <cell r="BI545">
            <v>1</v>
          </cell>
        </row>
        <row r="546">
          <cell r="AQ546">
            <v>388.82</v>
          </cell>
          <cell r="AY546">
            <v>0</v>
          </cell>
          <cell r="BI546">
            <v>6</v>
          </cell>
        </row>
        <row r="547">
          <cell r="AQ547">
            <v>58.32</v>
          </cell>
          <cell r="AY547">
            <v>0.14285714285714285</v>
          </cell>
          <cell r="BI547">
            <v>8</v>
          </cell>
        </row>
        <row r="548">
          <cell r="AQ548">
            <v>464.76</v>
          </cell>
          <cell r="AY548">
            <v>0</v>
          </cell>
          <cell r="BI548">
            <v>3</v>
          </cell>
        </row>
        <row r="549">
          <cell r="AQ549">
            <v>116.92</v>
          </cell>
          <cell r="AY549">
            <v>0.2857142857142857</v>
          </cell>
          <cell r="BI549">
            <v>14</v>
          </cell>
        </row>
        <row r="550">
          <cell r="AQ550">
            <v>396.76</v>
          </cell>
          <cell r="AY550">
            <v>0.25</v>
          </cell>
          <cell r="BI550">
            <v>8</v>
          </cell>
        </row>
        <row r="551">
          <cell r="AQ551">
            <v>393.35</v>
          </cell>
          <cell r="AY551">
            <v>0</v>
          </cell>
          <cell r="BI551">
            <v>12</v>
          </cell>
        </row>
        <row r="552">
          <cell r="AQ552">
            <v>114.03</v>
          </cell>
          <cell r="AY552">
            <v>0.14285714285714285</v>
          </cell>
          <cell r="BI552">
            <v>6</v>
          </cell>
        </row>
        <row r="553">
          <cell r="AQ553">
            <v>109.97</v>
          </cell>
          <cell r="AY553">
            <v>0.25</v>
          </cell>
          <cell r="BI553">
            <v>1</v>
          </cell>
        </row>
        <row r="554">
          <cell r="AQ554">
            <v>310.23</v>
          </cell>
          <cell r="AY554">
            <v>0</v>
          </cell>
          <cell r="BI554">
            <v>3</v>
          </cell>
        </row>
        <row r="555">
          <cell r="AQ555">
            <v>383.13</v>
          </cell>
          <cell r="AY555">
            <v>0.66666666666666663</v>
          </cell>
          <cell r="BI555">
            <v>7</v>
          </cell>
        </row>
        <row r="556">
          <cell r="AQ556">
            <v>434.86</v>
          </cell>
          <cell r="AY556">
            <v>0</v>
          </cell>
          <cell r="BI556">
            <v>11</v>
          </cell>
        </row>
        <row r="557">
          <cell r="AQ557">
            <v>489.1</v>
          </cell>
          <cell r="AY557">
            <v>0.22222222222222221</v>
          </cell>
          <cell r="BI557">
            <v>13</v>
          </cell>
        </row>
        <row r="558">
          <cell r="AQ558">
            <v>288.14999999999998</v>
          </cell>
          <cell r="AY558">
            <v>0.33333333333333331</v>
          </cell>
          <cell r="BI558">
            <v>13</v>
          </cell>
        </row>
        <row r="559">
          <cell r="AQ559">
            <v>105.87</v>
          </cell>
          <cell r="AY559">
            <v>8.3333333333333329E-2</v>
          </cell>
          <cell r="BI559">
            <v>4</v>
          </cell>
        </row>
        <row r="560">
          <cell r="AQ560">
            <v>163.4</v>
          </cell>
          <cell r="AY560">
            <v>0.66666666666666663</v>
          </cell>
          <cell r="BI560">
            <v>7</v>
          </cell>
        </row>
        <row r="561">
          <cell r="AQ561">
            <v>422.92</v>
          </cell>
          <cell r="AY561">
            <v>0</v>
          </cell>
          <cell r="BI561">
            <v>6</v>
          </cell>
        </row>
        <row r="562">
          <cell r="AQ562">
            <v>361.48</v>
          </cell>
          <cell r="AY562">
            <v>0.2</v>
          </cell>
          <cell r="BI562">
            <v>13</v>
          </cell>
        </row>
        <row r="563">
          <cell r="AQ563">
            <v>270.82</v>
          </cell>
          <cell r="AY563">
            <v>0.5</v>
          </cell>
          <cell r="BI563">
            <v>13</v>
          </cell>
        </row>
        <row r="564">
          <cell r="AQ564">
            <v>372.26</v>
          </cell>
          <cell r="AY564">
            <v>9.0909090909090912E-2</v>
          </cell>
          <cell r="BI564">
            <v>6</v>
          </cell>
        </row>
        <row r="565">
          <cell r="AQ565">
            <v>208.59</v>
          </cell>
          <cell r="AY565">
            <v>0</v>
          </cell>
          <cell r="BI565">
            <v>1</v>
          </cell>
        </row>
        <row r="566">
          <cell r="AQ566">
            <v>163.22</v>
          </cell>
          <cell r="AY566">
            <v>0.125</v>
          </cell>
          <cell r="BI566">
            <v>8</v>
          </cell>
        </row>
        <row r="567">
          <cell r="AQ567">
            <v>364.98</v>
          </cell>
          <cell r="AY567">
            <v>0</v>
          </cell>
          <cell r="BI567">
            <v>8</v>
          </cell>
        </row>
        <row r="568">
          <cell r="AQ568">
            <v>142.43</v>
          </cell>
          <cell r="AY568">
            <v>0.33333333333333331</v>
          </cell>
          <cell r="BI568">
            <v>8</v>
          </cell>
        </row>
        <row r="569">
          <cell r="AQ569">
            <v>449.72</v>
          </cell>
          <cell r="AY569">
            <v>0.33333333333333331</v>
          </cell>
          <cell r="BI569">
            <v>3</v>
          </cell>
        </row>
        <row r="570">
          <cell r="AQ570">
            <v>241.56</v>
          </cell>
          <cell r="AY570">
            <v>0</v>
          </cell>
          <cell r="BI570">
            <v>2</v>
          </cell>
        </row>
        <row r="571">
          <cell r="AQ571">
            <v>249.73</v>
          </cell>
          <cell r="AY571">
            <v>0.2</v>
          </cell>
          <cell r="BI571">
            <v>1</v>
          </cell>
        </row>
        <row r="572">
          <cell r="AQ572">
            <v>437.3</v>
          </cell>
          <cell r="AY572">
            <v>0</v>
          </cell>
          <cell r="BI572">
            <v>1</v>
          </cell>
        </row>
        <row r="573">
          <cell r="AQ573">
            <v>277.29000000000002</v>
          </cell>
          <cell r="AY573">
            <v>0.5</v>
          </cell>
          <cell r="BI573">
            <v>4</v>
          </cell>
        </row>
        <row r="574">
          <cell r="AQ574">
            <v>445.93</v>
          </cell>
          <cell r="AY574">
            <v>0.33333333333333331</v>
          </cell>
          <cell r="BI574">
            <v>13</v>
          </cell>
        </row>
        <row r="575">
          <cell r="AQ575">
            <v>242.79</v>
          </cell>
          <cell r="AY575">
            <v>0.16666666666666666</v>
          </cell>
          <cell r="BI575">
            <v>7</v>
          </cell>
        </row>
        <row r="576">
          <cell r="AQ576">
            <v>393.09</v>
          </cell>
          <cell r="AY576">
            <v>0</v>
          </cell>
          <cell r="BI576">
            <v>1</v>
          </cell>
        </row>
        <row r="577">
          <cell r="AQ577">
            <v>167.61</v>
          </cell>
          <cell r="AY577">
            <v>1</v>
          </cell>
          <cell r="BI577">
            <v>13</v>
          </cell>
        </row>
        <row r="578">
          <cell r="AQ578">
            <v>324.22000000000003</v>
          </cell>
          <cell r="AY578">
            <v>0.5</v>
          </cell>
          <cell r="BI578">
            <v>14</v>
          </cell>
        </row>
        <row r="579">
          <cell r="AQ579">
            <v>159.30000000000001</v>
          </cell>
          <cell r="AY579">
            <v>0</v>
          </cell>
          <cell r="BI579">
            <v>2</v>
          </cell>
        </row>
        <row r="580">
          <cell r="AQ580">
            <v>324.39</v>
          </cell>
          <cell r="AY580">
            <v>0.2</v>
          </cell>
          <cell r="BI580">
            <v>1</v>
          </cell>
        </row>
        <row r="581">
          <cell r="AQ581">
            <v>198.89</v>
          </cell>
          <cell r="AY581">
            <v>0</v>
          </cell>
          <cell r="BI581">
            <v>1</v>
          </cell>
        </row>
        <row r="582">
          <cell r="AQ582">
            <v>287.18</v>
          </cell>
          <cell r="AY582">
            <v>0</v>
          </cell>
          <cell r="BI582">
            <v>8</v>
          </cell>
        </row>
        <row r="583">
          <cell r="AQ583">
            <v>162.24</v>
          </cell>
          <cell r="AY583">
            <v>0.2857142857142857</v>
          </cell>
          <cell r="BI583">
            <v>7</v>
          </cell>
        </row>
        <row r="584">
          <cell r="AQ584">
            <v>92.97</v>
          </cell>
          <cell r="AY584">
            <v>0</v>
          </cell>
          <cell r="BI584">
            <v>7</v>
          </cell>
        </row>
        <row r="585">
          <cell r="AQ585">
            <v>144.38999999999999</v>
          </cell>
          <cell r="AY585">
            <v>0</v>
          </cell>
          <cell r="BI585">
            <v>12</v>
          </cell>
        </row>
        <row r="586">
          <cell r="AQ586">
            <v>253.37</v>
          </cell>
          <cell r="AY586">
            <v>0</v>
          </cell>
          <cell r="BI586">
            <v>6</v>
          </cell>
        </row>
        <row r="587">
          <cell r="AQ587">
            <v>209.62</v>
          </cell>
          <cell r="AY587">
            <v>0</v>
          </cell>
          <cell r="BI587">
            <v>9</v>
          </cell>
        </row>
        <row r="588">
          <cell r="AQ588">
            <v>411.62</v>
          </cell>
          <cell r="AY588">
            <v>0.33333333333333331</v>
          </cell>
          <cell r="BI588">
            <v>12</v>
          </cell>
        </row>
        <row r="589">
          <cell r="AQ589">
            <v>388.01</v>
          </cell>
          <cell r="AY589">
            <v>0.5</v>
          </cell>
          <cell r="BI589">
            <v>10</v>
          </cell>
        </row>
        <row r="590">
          <cell r="AQ590">
            <v>50.78</v>
          </cell>
          <cell r="AY590">
            <v>0.16666666666666666</v>
          </cell>
          <cell r="BI590">
            <v>9</v>
          </cell>
        </row>
        <row r="591">
          <cell r="AQ591">
            <v>159.82</v>
          </cell>
          <cell r="AY591">
            <v>1</v>
          </cell>
          <cell r="BI591">
            <v>10</v>
          </cell>
        </row>
        <row r="592">
          <cell r="AQ592">
            <v>79.430000000000007</v>
          </cell>
          <cell r="AY592">
            <v>0.66666666666666663</v>
          </cell>
          <cell r="BI592">
            <v>6</v>
          </cell>
        </row>
        <row r="593">
          <cell r="AQ593">
            <v>131.36000000000001</v>
          </cell>
          <cell r="AY593">
            <v>0.25</v>
          </cell>
          <cell r="BI593">
            <v>3</v>
          </cell>
        </row>
        <row r="594">
          <cell r="AQ594">
            <v>299.75</v>
          </cell>
          <cell r="AY594">
            <v>0</v>
          </cell>
          <cell r="BI594">
            <v>7</v>
          </cell>
        </row>
        <row r="595">
          <cell r="AQ595">
            <v>319.38</v>
          </cell>
          <cell r="AY595">
            <v>0.1111111111111111</v>
          </cell>
          <cell r="BI595">
            <v>8</v>
          </cell>
        </row>
        <row r="596">
          <cell r="AQ596">
            <v>476.48</v>
          </cell>
          <cell r="AY596">
            <v>0.25</v>
          </cell>
          <cell r="BI596">
            <v>3</v>
          </cell>
        </row>
        <row r="597">
          <cell r="AQ597">
            <v>301.01</v>
          </cell>
          <cell r="AY597">
            <v>0.22222222222222221</v>
          </cell>
          <cell r="BI597">
            <v>13</v>
          </cell>
        </row>
        <row r="598">
          <cell r="AQ598">
            <v>378.71</v>
          </cell>
          <cell r="AY598">
            <v>0.4</v>
          </cell>
          <cell r="BI598">
            <v>14</v>
          </cell>
        </row>
        <row r="599">
          <cell r="AQ599">
            <v>314.32</v>
          </cell>
          <cell r="AY599">
            <v>0.33333333333333331</v>
          </cell>
          <cell r="BI599">
            <v>7</v>
          </cell>
        </row>
        <row r="600">
          <cell r="AQ600">
            <v>210.9</v>
          </cell>
          <cell r="AY600">
            <v>8.3333333333333329E-2</v>
          </cell>
          <cell r="BI600">
            <v>12</v>
          </cell>
        </row>
        <row r="601">
          <cell r="AQ601">
            <v>218.26</v>
          </cell>
          <cell r="AY601">
            <v>0</v>
          </cell>
          <cell r="BI601">
            <v>12</v>
          </cell>
        </row>
        <row r="602">
          <cell r="AQ602">
            <v>424.18</v>
          </cell>
          <cell r="AY602">
            <v>0.4</v>
          </cell>
          <cell r="BI602">
            <v>5</v>
          </cell>
        </row>
        <row r="603">
          <cell r="AQ603">
            <v>430.75</v>
          </cell>
          <cell r="AY603">
            <v>0</v>
          </cell>
          <cell r="BI603">
            <v>6</v>
          </cell>
        </row>
        <row r="604">
          <cell r="AQ604">
            <v>162.94999999999999</v>
          </cell>
          <cell r="AY604">
            <v>9.0909090909090912E-2</v>
          </cell>
          <cell r="BI604">
            <v>14</v>
          </cell>
        </row>
        <row r="605">
          <cell r="AQ605">
            <v>209.68</v>
          </cell>
          <cell r="AY605">
            <v>0</v>
          </cell>
          <cell r="BI605">
            <v>8</v>
          </cell>
        </row>
        <row r="606">
          <cell r="AQ606">
            <v>97.97</v>
          </cell>
          <cell r="AY606">
            <v>0</v>
          </cell>
          <cell r="BI606">
            <v>1</v>
          </cell>
        </row>
        <row r="607">
          <cell r="AQ607">
            <v>192.51</v>
          </cell>
          <cell r="AY607">
            <v>0</v>
          </cell>
          <cell r="BI607">
            <v>9</v>
          </cell>
        </row>
        <row r="608">
          <cell r="AQ608">
            <v>151.81</v>
          </cell>
          <cell r="AY608">
            <v>0.125</v>
          </cell>
          <cell r="BI608">
            <v>1</v>
          </cell>
        </row>
        <row r="609">
          <cell r="AQ609">
            <v>239.28</v>
          </cell>
          <cell r="AY609">
            <v>0.25</v>
          </cell>
          <cell r="BI609">
            <v>10</v>
          </cell>
        </row>
        <row r="610">
          <cell r="AQ610">
            <v>306.17</v>
          </cell>
          <cell r="AY610">
            <v>0</v>
          </cell>
          <cell r="BI610">
            <v>8</v>
          </cell>
        </row>
        <row r="611">
          <cell r="AQ611">
            <v>370.38</v>
          </cell>
          <cell r="AY611">
            <v>9.0909090909090912E-2</v>
          </cell>
          <cell r="BI611">
            <v>9</v>
          </cell>
        </row>
        <row r="612">
          <cell r="AQ612">
            <v>346.58</v>
          </cell>
          <cell r="AY612">
            <v>0</v>
          </cell>
          <cell r="BI612">
            <v>7</v>
          </cell>
        </row>
        <row r="613">
          <cell r="AQ613">
            <v>292.64</v>
          </cell>
          <cell r="AY613">
            <v>0.4</v>
          </cell>
          <cell r="BI613">
            <v>1</v>
          </cell>
        </row>
        <row r="614">
          <cell r="AQ614">
            <v>102.91</v>
          </cell>
          <cell r="AY614">
            <v>8.3333333333333329E-2</v>
          </cell>
          <cell r="BI614">
            <v>13</v>
          </cell>
        </row>
        <row r="615">
          <cell r="AQ615">
            <v>283.77999999999997</v>
          </cell>
          <cell r="AY615">
            <v>0</v>
          </cell>
          <cell r="BI615">
            <v>10</v>
          </cell>
        </row>
        <row r="616">
          <cell r="AQ616">
            <v>51.44</v>
          </cell>
          <cell r="AY616">
            <v>0</v>
          </cell>
          <cell r="BI616">
            <v>5</v>
          </cell>
        </row>
        <row r="617">
          <cell r="AQ617">
            <v>405.7</v>
          </cell>
          <cell r="AY617">
            <v>0.16666666666666666</v>
          </cell>
          <cell r="BI617">
            <v>14</v>
          </cell>
        </row>
        <row r="618">
          <cell r="AQ618">
            <v>311.74</v>
          </cell>
          <cell r="AY618">
            <v>0.18181818181818182</v>
          </cell>
          <cell r="BI618">
            <v>11</v>
          </cell>
        </row>
        <row r="619">
          <cell r="AQ619">
            <v>293.43</v>
          </cell>
          <cell r="AY619">
            <v>0</v>
          </cell>
          <cell r="BI619">
            <v>7</v>
          </cell>
        </row>
        <row r="620">
          <cell r="AQ620">
            <v>418.51</v>
          </cell>
          <cell r="AY620">
            <v>0.33333333333333331</v>
          </cell>
          <cell r="BI620">
            <v>3</v>
          </cell>
        </row>
        <row r="621">
          <cell r="AQ621">
            <v>85.03</v>
          </cell>
          <cell r="AY621">
            <v>0</v>
          </cell>
          <cell r="BI621">
            <v>8</v>
          </cell>
        </row>
        <row r="622">
          <cell r="AQ622">
            <v>164.94</v>
          </cell>
          <cell r="AY622">
            <v>0.5</v>
          </cell>
          <cell r="BI622">
            <v>6</v>
          </cell>
        </row>
        <row r="623">
          <cell r="AQ623">
            <v>89.32</v>
          </cell>
          <cell r="AY623">
            <v>9.0909090909090912E-2</v>
          </cell>
          <cell r="BI623">
            <v>12</v>
          </cell>
        </row>
        <row r="624">
          <cell r="AQ624">
            <v>388.26</v>
          </cell>
          <cell r="AY624">
            <v>0</v>
          </cell>
          <cell r="BI624">
            <v>5</v>
          </cell>
        </row>
        <row r="625">
          <cell r="AQ625">
            <v>106.69</v>
          </cell>
          <cell r="AY625">
            <v>0.4</v>
          </cell>
          <cell r="BI625">
            <v>14</v>
          </cell>
        </row>
        <row r="626">
          <cell r="AQ626">
            <v>301.16000000000003</v>
          </cell>
          <cell r="AY626">
            <v>0.2</v>
          </cell>
          <cell r="BI626">
            <v>1</v>
          </cell>
        </row>
        <row r="627">
          <cell r="AQ627">
            <v>61.71</v>
          </cell>
          <cell r="AY627">
            <v>0.33333333333333331</v>
          </cell>
          <cell r="BI627">
            <v>12</v>
          </cell>
        </row>
        <row r="628">
          <cell r="AQ628">
            <v>83.33</v>
          </cell>
          <cell r="AY628">
            <v>9.0909090909090912E-2</v>
          </cell>
          <cell r="BI628">
            <v>1</v>
          </cell>
        </row>
        <row r="629">
          <cell r="AQ629">
            <v>411.81</v>
          </cell>
          <cell r="AY629">
            <v>0.25</v>
          </cell>
          <cell r="BI629">
            <v>1</v>
          </cell>
        </row>
        <row r="630">
          <cell r="AQ630">
            <v>114.93</v>
          </cell>
          <cell r="AY630">
            <v>0</v>
          </cell>
          <cell r="BI630">
            <v>4</v>
          </cell>
        </row>
        <row r="631">
          <cell r="AQ631">
            <v>438.42</v>
          </cell>
          <cell r="AY631">
            <v>0</v>
          </cell>
          <cell r="BI631">
            <v>4</v>
          </cell>
        </row>
        <row r="632">
          <cell r="AQ632">
            <v>189.97</v>
          </cell>
          <cell r="AY632">
            <v>0</v>
          </cell>
          <cell r="BI632">
            <v>8</v>
          </cell>
        </row>
        <row r="633">
          <cell r="AQ633">
            <v>227.03</v>
          </cell>
          <cell r="AY633">
            <v>0.16666666666666666</v>
          </cell>
          <cell r="BI633">
            <v>2</v>
          </cell>
        </row>
        <row r="634">
          <cell r="AQ634">
            <v>278.49</v>
          </cell>
          <cell r="AY634">
            <v>0.25</v>
          </cell>
          <cell r="BI634">
            <v>8</v>
          </cell>
        </row>
        <row r="635">
          <cell r="AQ635">
            <v>120.56</v>
          </cell>
          <cell r="AY635">
            <v>0.4</v>
          </cell>
          <cell r="BI635">
            <v>7</v>
          </cell>
        </row>
        <row r="636">
          <cell r="AQ636">
            <v>320.94</v>
          </cell>
          <cell r="AY636">
            <v>0.18181818181818182</v>
          </cell>
          <cell r="BI636">
            <v>10</v>
          </cell>
        </row>
        <row r="637">
          <cell r="AQ637">
            <v>217.72</v>
          </cell>
          <cell r="AY637">
            <v>0.33333333333333331</v>
          </cell>
          <cell r="BI637">
            <v>14</v>
          </cell>
        </row>
        <row r="638">
          <cell r="AQ638">
            <v>222.61</v>
          </cell>
          <cell r="AY638">
            <v>0.33333333333333331</v>
          </cell>
          <cell r="BI638">
            <v>3</v>
          </cell>
        </row>
        <row r="639">
          <cell r="AQ639">
            <v>102.73</v>
          </cell>
          <cell r="AY639">
            <v>0.66666666666666663</v>
          </cell>
          <cell r="BI639">
            <v>14</v>
          </cell>
        </row>
        <row r="640">
          <cell r="AQ640">
            <v>426.87</v>
          </cell>
          <cell r="AY640">
            <v>0</v>
          </cell>
          <cell r="BI640">
            <v>3</v>
          </cell>
        </row>
        <row r="641">
          <cell r="AQ641">
            <v>473.28</v>
          </cell>
          <cell r="AY641">
            <v>0.2</v>
          </cell>
          <cell r="BI641">
            <v>13</v>
          </cell>
        </row>
        <row r="642">
          <cell r="AQ642">
            <v>446.03</v>
          </cell>
          <cell r="AY642">
            <v>0.22222222222222221</v>
          </cell>
          <cell r="BI642">
            <v>12</v>
          </cell>
        </row>
        <row r="643">
          <cell r="AQ643">
            <v>287.95</v>
          </cell>
          <cell r="AY643">
            <v>0.66666666666666663</v>
          </cell>
          <cell r="BI643">
            <v>11</v>
          </cell>
        </row>
        <row r="644">
          <cell r="AQ644">
            <v>132.52000000000001</v>
          </cell>
          <cell r="AY644">
            <v>0.33333333333333331</v>
          </cell>
          <cell r="BI644">
            <v>12</v>
          </cell>
        </row>
        <row r="645">
          <cell r="AQ645">
            <v>379.2</v>
          </cell>
          <cell r="AY645">
            <v>0.2857142857142857</v>
          </cell>
          <cell r="BI645">
            <v>7</v>
          </cell>
        </row>
        <row r="646">
          <cell r="AQ646">
            <v>447.53</v>
          </cell>
          <cell r="AY646">
            <v>0.25</v>
          </cell>
          <cell r="BI646">
            <v>3</v>
          </cell>
        </row>
        <row r="647">
          <cell r="AQ647">
            <v>138.44</v>
          </cell>
          <cell r="AY647">
            <v>0.25</v>
          </cell>
          <cell r="BI647">
            <v>1</v>
          </cell>
        </row>
        <row r="648">
          <cell r="AQ648">
            <v>440.62</v>
          </cell>
          <cell r="AY648">
            <v>0.125</v>
          </cell>
          <cell r="BI648">
            <v>6</v>
          </cell>
        </row>
        <row r="649">
          <cell r="AQ649">
            <v>145.97999999999999</v>
          </cell>
          <cell r="AY649">
            <v>0.5</v>
          </cell>
          <cell r="BI649">
            <v>1</v>
          </cell>
        </row>
        <row r="650">
          <cell r="AQ650">
            <v>405.66</v>
          </cell>
          <cell r="AY650">
            <v>9.0909090909090912E-2</v>
          </cell>
          <cell r="BI650">
            <v>11</v>
          </cell>
        </row>
        <row r="651">
          <cell r="AQ651">
            <v>419.98</v>
          </cell>
          <cell r="AY651">
            <v>0</v>
          </cell>
          <cell r="BI651">
            <v>14</v>
          </cell>
        </row>
        <row r="652">
          <cell r="AQ652">
            <v>260.14</v>
          </cell>
          <cell r="AY652">
            <v>0.2</v>
          </cell>
          <cell r="BI652">
            <v>7</v>
          </cell>
        </row>
        <row r="653">
          <cell r="AQ653">
            <v>368.91</v>
          </cell>
          <cell r="AY653">
            <v>0.2</v>
          </cell>
          <cell r="BI653">
            <v>7</v>
          </cell>
        </row>
        <row r="654">
          <cell r="AQ654">
            <v>100.32</v>
          </cell>
          <cell r="AY654">
            <v>0</v>
          </cell>
          <cell r="BI654">
            <v>8</v>
          </cell>
        </row>
        <row r="655">
          <cell r="AQ655">
            <v>107.82</v>
          </cell>
          <cell r="AY655">
            <v>0.2857142857142857</v>
          </cell>
          <cell r="BI655">
            <v>2</v>
          </cell>
        </row>
        <row r="656">
          <cell r="AQ656">
            <v>83.88</v>
          </cell>
          <cell r="AY656">
            <v>0</v>
          </cell>
          <cell r="BI656">
            <v>4</v>
          </cell>
        </row>
        <row r="657">
          <cell r="AQ657">
            <v>81.25</v>
          </cell>
          <cell r="AY657">
            <v>0.22222222222222221</v>
          </cell>
          <cell r="BI657">
            <v>10</v>
          </cell>
        </row>
        <row r="658">
          <cell r="AQ658">
            <v>125.8</v>
          </cell>
          <cell r="AY658">
            <v>0</v>
          </cell>
          <cell r="BI658">
            <v>1</v>
          </cell>
        </row>
        <row r="659">
          <cell r="AQ659">
            <v>197.9</v>
          </cell>
          <cell r="AY659">
            <v>9.0909090909090912E-2</v>
          </cell>
          <cell r="BI659">
            <v>5</v>
          </cell>
        </row>
        <row r="660">
          <cell r="AQ660">
            <v>299.08999999999997</v>
          </cell>
          <cell r="AY660">
            <v>0.25</v>
          </cell>
          <cell r="BI660">
            <v>14</v>
          </cell>
        </row>
        <row r="661">
          <cell r="AQ661">
            <v>79.3</v>
          </cell>
          <cell r="AY661">
            <v>0.2</v>
          </cell>
          <cell r="BI661">
            <v>2</v>
          </cell>
        </row>
        <row r="662">
          <cell r="AQ662">
            <v>55.73</v>
          </cell>
          <cell r="AY662">
            <v>8.3333333333333329E-2</v>
          </cell>
          <cell r="BI662">
            <v>3</v>
          </cell>
        </row>
        <row r="663">
          <cell r="AQ663">
            <v>256.44</v>
          </cell>
          <cell r="AY663">
            <v>0.125</v>
          </cell>
          <cell r="BI663">
            <v>3</v>
          </cell>
        </row>
        <row r="664">
          <cell r="AQ664">
            <v>337.21</v>
          </cell>
          <cell r="AY664">
            <v>0</v>
          </cell>
          <cell r="BI664">
            <v>11</v>
          </cell>
        </row>
        <row r="665">
          <cell r="AQ665">
            <v>494.97</v>
          </cell>
          <cell r="AY665">
            <v>8.3333333333333329E-2</v>
          </cell>
          <cell r="BI665">
            <v>7</v>
          </cell>
        </row>
        <row r="666">
          <cell r="AQ666">
            <v>238.58</v>
          </cell>
          <cell r="AY666">
            <v>0.33333333333333331</v>
          </cell>
          <cell r="BI666">
            <v>8</v>
          </cell>
        </row>
        <row r="667">
          <cell r="AQ667">
            <v>131.9</v>
          </cell>
          <cell r="AY667">
            <v>0.25</v>
          </cell>
          <cell r="BI667">
            <v>4</v>
          </cell>
        </row>
        <row r="668">
          <cell r="AQ668">
            <v>403.03</v>
          </cell>
          <cell r="AY668">
            <v>0</v>
          </cell>
          <cell r="BI668">
            <v>2</v>
          </cell>
        </row>
        <row r="669">
          <cell r="AQ669">
            <v>338.6</v>
          </cell>
          <cell r="AY669">
            <v>0.1</v>
          </cell>
          <cell r="BI669">
            <v>9</v>
          </cell>
        </row>
        <row r="670">
          <cell r="AQ670">
            <v>365.38</v>
          </cell>
          <cell r="AY670">
            <v>0</v>
          </cell>
          <cell r="BI670">
            <v>14</v>
          </cell>
        </row>
        <row r="671">
          <cell r="AQ671">
            <v>433.99</v>
          </cell>
          <cell r="AY671">
            <v>0</v>
          </cell>
          <cell r="BI671">
            <v>8</v>
          </cell>
        </row>
        <row r="672">
          <cell r="AQ672">
            <v>495.95</v>
          </cell>
          <cell r="AY672">
            <v>0.2</v>
          </cell>
          <cell r="BI672">
            <v>6</v>
          </cell>
        </row>
        <row r="673">
          <cell r="AQ673">
            <v>356.22</v>
          </cell>
          <cell r="AY673">
            <v>0.14285714285714285</v>
          </cell>
          <cell r="BI673">
            <v>6</v>
          </cell>
        </row>
        <row r="674">
          <cell r="AQ674">
            <v>156.4</v>
          </cell>
          <cell r="AY674">
            <v>0.14285714285714285</v>
          </cell>
          <cell r="BI674">
            <v>4</v>
          </cell>
        </row>
        <row r="675">
          <cell r="AQ675">
            <v>454.36</v>
          </cell>
          <cell r="AY675">
            <v>0.33333333333333331</v>
          </cell>
          <cell r="BI675">
            <v>12</v>
          </cell>
        </row>
        <row r="676">
          <cell r="AQ676">
            <v>486.07</v>
          </cell>
          <cell r="AY676">
            <v>0.18181818181818182</v>
          </cell>
          <cell r="BI676">
            <v>12</v>
          </cell>
        </row>
        <row r="677">
          <cell r="AQ677">
            <v>427.86</v>
          </cell>
          <cell r="AY677">
            <v>0</v>
          </cell>
          <cell r="BI677">
            <v>8</v>
          </cell>
        </row>
        <row r="678">
          <cell r="AQ678">
            <v>235.13</v>
          </cell>
          <cell r="AY678">
            <v>0.2</v>
          </cell>
          <cell r="BI678">
            <v>6</v>
          </cell>
        </row>
        <row r="679">
          <cell r="AQ679">
            <v>361.27</v>
          </cell>
          <cell r="AY679">
            <v>0</v>
          </cell>
          <cell r="BI679">
            <v>2</v>
          </cell>
        </row>
        <row r="680">
          <cell r="AQ680">
            <v>195.83</v>
          </cell>
          <cell r="AY680">
            <v>0.1</v>
          </cell>
          <cell r="BI680">
            <v>13</v>
          </cell>
        </row>
        <row r="681">
          <cell r="AQ681">
            <v>340.31</v>
          </cell>
          <cell r="AY681">
            <v>0</v>
          </cell>
          <cell r="BI681">
            <v>14</v>
          </cell>
        </row>
        <row r="682">
          <cell r="AQ682">
            <v>489.67</v>
          </cell>
          <cell r="AY682">
            <v>0.2</v>
          </cell>
          <cell r="BI682">
            <v>11</v>
          </cell>
        </row>
        <row r="683">
          <cell r="AQ683">
            <v>482.5</v>
          </cell>
          <cell r="AY683">
            <v>0.18181818181818182</v>
          </cell>
          <cell r="BI683">
            <v>13</v>
          </cell>
        </row>
        <row r="684">
          <cell r="AQ684">
            <v>433.14</v>
          </cell>
          <cell r="AY684">
            <v>0.2</v>
          </cell>
          <cell r="BI684">
            <v>5</v>
          </cell>
        </row>
        <row r="685">
          <cell r="AQ685">
            <v>375.7</v>
          </cell>
          <cell r="AY685">
            <v>0.33333333333333331</v>
          </cell>
          <cell r="BI685">
            <v>10</v>
          </cell>
        </row>
        <row r="686">
          <cell r="AQ686">
            <v>381.3</v>
          </cell>
          <cell r="AY686">
            <v>0</v>
          </cell>
          <cell r="BI686">
            <v>7</v>
          </cell>
        </row>
        <row r="687">
          <cell r="AQ687">
            <v>210.21</v>
          </cell>
          <cell r="AY687">
            <v>0</v>
          </cell>
          <cell r="BI687">
            <v>14</v>
          </cell>
        </row>
        <row r="688">
          <cell r="AQ688">
            <v>408.81</v>
          </cell>
          <cell r="AY688">
            <v>0.125</v>
          </cell>
          <cell r="BI688">
            <v>12</v>
          </cell>
        </row>
        <row r="689">
          <cell r="AQ689">
            <v>118.65</v>
          </cell>
          <cell r="AY689">
            <v>0</v>
          </cell>
          <cell r="BI689">
            <v>13</v>
          </cell>
        </row>
        <row r="690">
          <cell r="AQ690">
            <v>166.45</v>
          </cell>
          <cell r="AY690">
            <v>0.2857142857142857</v>
          </cell>
          <cell r="BI690">
            <v>12</v>
          </cell>
        </row>
        <row r="691">
          <cell r="AQ691">
            <v>385.32</v>
          </cell>
          <cell r="AY691">
            <v>0</v>
          </cell>
          <cell r="BI691">
            <v>9</v>
          </cell>
        </row>
        <row r="692">
          <cell r="AQ692">
            <v>293.99</v>
          </cell>
          <cell r="AY692">
            <v>0.2</v>
          </cell>
          <cell r="BI692">
            <v>5</v>
          </cell>
        </row>
        <row r="693">
          <cell r="AQ693">
            <v>161.41</v>
          </cell>
          <cell r="AY693">
            <v>0.1111111111111111</v>
          </cell>
          <cell r="BI693">
            <v>3</v>
          </cell>
        </row>
        <row r="694">
          <cell r="AQ694">
            <v>130.91999999999999</v>
          </cell>
          <cell r="AY694">
            <v>1</v>
          </cell>
          <cell r="BI694">
            <v>9</v>
          </cell>
        </row>
        <row r="695">
          <cell r="AQ695">
            <v>468.6</v>
          </cell>
          <cell r="AY695">
            <v>0</v>
          </cell>
          <cell r="BI695">
            <v>2</v>
          </cell>
        </row>
        <row r="696">
          <cell r="AQ696">
            <v>237.57</v>
          </cell>
          <cell r="AY696">
            <v>0</v>
          </cell>
          <cell r="BI696">
            <v>11</v>
          </cell>
        </row>
        <row r="697">
          <cell r="AQ697">
            <v>395.18</v>
          </cell>
          <cell r="AY697">
            <v>0</v>
          </cell>
          <cell r="BI697">
            <v>6</v>
          </cell>
        </row>
        <row r="698">
          <cell r="AQ698">
            <v>427.94</v>
          </cell>
          <cell r="AY698">
            <v>8.3333333333333329E-2</v>
          </cell>
          <cell r="BI698">
            <v>10</v>
          </cell>
        </row>
        <row r="699">
          <cell r="AQ699">
            <v>81.23</v>
          </cell>
          <cell r="AY699">
            <v>0.1111111111111111</v>
          </cell>
          <cell r="BI699">
            <v>6</v>
          </cell>
        </row>
        <row r="700">
          <cell r="AQ700">
            <v>257.43</v>
          </cell>
          <cell r="AY700">
            <v>0.2</v>
          </cell>
          <cell r="BI700">
            <v>13</v>
          </cell>
        </row>
        <row r="701">
          <cell r="AQ701">
            <v>305.73</v>
          </cell>
          <cell r="AY701">
            <v>0.2857142857142857</v>
          </cell>
          <cell r="BI701">
            <v>14</v>
          </cell>
        </row>
        <row r="702">
          <cell r="AQ702">
            <v>249.82</v>
          </cell>
          <cell r="AY702">
            <v>0.2</v>
          </cell>
          <cell r="BI702">
            <v>10</v>
          </cell>
        </row>
        <row r="703">
          <cell r="AQ703">
            <v>332.79</v>
          </cell>
          <cell r="AY703">
            <v>0.18181818181818182</v>
          </cell>
          <cell r="BI703">
            <v>4</v>
          </cell>
        </row>
        <row r="704">
          <cell r="AQ704">
            <v>78.900000000000006</v>
          </cell>
          <cell r="AY704">
            <v>0</v>
          </cell>
          <cell r="BI704">
            <v>10</v>
          </cell>
        </row>
        <row r="705">
          <cell r="AQ705">
            <v>122.55</v>
          </cell>
          <cell r="AY705">
            <v>0.22222222222222221</v>
          </cell>
          <cell r="BI705">
            <v>4</v>
          </cell>
        </row>
        <row r="706">
          <cell r="AQ706">
            <v>307.61</v>
          </cell>
          <cell r="AY706">
            <v>0</v>
          </cell>
          <cell r="BI706">
            <v>10</v>
          </cell>
        </row>
        <row r="707">
          <cell r="AQ707">
            <v>152.33000000000001</v>
          </cell>
          <cell r="AY707">
            <v>0.5</v>
          </cell>
          <cell r="BI707">
            <v>8</v>
          </cell>
        </row>
        <row r="708">
          <cell r="AQ708">
            <v>465.07</v>
          </cell>
          <cell r="AY708">
            <v>0.125</v>
          </cell>
          <cell r="BI708">
            <v>8</v>
          </cell>
        </row>
        <row r="709">
          <cell r="AQ709">
            <v>498.23</v>
          </cell>
          <cell r="AY709">
            <v>0</v>
          </cell>
          <cell r="BI709">
            <v>9</v>
          </cell>
        </row>
        <row r="710">
          <cell r="AQ710">
            <v>491.18</v>
          </cell>
          <cell r="AY710">
            <v>0</v>
          </cell>
          <cell r="BI710">
            <v>14</v>
          </cell>
        </row>
        <row r="711">
          <cell r="AQ711">
            <v>149.41999999999999</v>
          </cell>
          <cell r="AY711">
            <v>0</v>
          </cell>
          <cell r="BI711">
            <v>5</v>
          </cell>
        </row>
        <row r="712">
          <cell r="AQ712">
            <v>82.13</v>
          </cell>
          <cell r="AY712">
            <v>0.22222222222222221</v>
          </cell>
          <cell r="BI712">
            <v>6</v>
          </cell>
        </row>
        <row r="713">
          <cell r="AQ713">
            <v>425.18</v>
          </cell>
          <cell r="AY713">
            <v>0.25</v>
          </cell>
          <cell r="BI713">
            <v>10</v>
          </cell>
        </row>
        <row r="714">
          <cell r="AQ714">
            <v>176.12</v>
          </cell>
          <cell r="AY714">
            <v>0.125</v>
          </cell>
          <cell r="BI714">
            <v>14</v>
          </cell>
        </row>
        <row r="715">
          <cell r="AQ715">
            <v>70.3</v>
          </cell>
          <cell r="AY715">
            <v>0.16666666666666666</v>
          </cell>
          <cell r="BI715">
            <v>3</v>
          </cell>
        </row>
        <row r="716">
          <cell r="AQ716">
            <v>319.39</v>
          </cell>
          <cell r="AY716">
            <v>0.14285714285714285</v>
          </cell>
          <cell r="BI716">
            <v>3</v>
          </cell>
        </row>
        <row r="717">
          <cell r="AQ717">
            <v>113.51</v>
          </cell>
          <cell r="AY717">
            <v>0.18181818181818182</v>
          </cell>
          <cell r="BI717">
            <v>8</v>
          </cell>
        </row>
        <row r="718">
          <cell r="AQ718">
            <v>492.74</v>
          </cell>
          <cell r="AY718">
            <v>0.5</v>
          </cell>
          <cell r="BI718">
            <v>13</v>
          </cell>
        </row>
        <row r="719">
          <cell r="AQ719">
            <v>143.80000000000001</v>
          </cell>
          <cell r="AY719">
            <v>0</v>
          </cell>
          <cell r="BI719">
            <v>11</v>
          </cell>
        </row>
        <row r="720">
          <cell r="AQ720">
            <v>158.54</v>
          </cell>
          <cell r="AY720">
            <v>0.4</v>
          </cell>
          <cell r="BI720">
            <v>5</v>
          </cell>
        </row>
        <row r="721">
          <cell r="AQ721">
            <v>213.39</v>
          </cell>
          <cell r="AY721">
            <v>0.33333333333333331</v>
          </cell>
          <cell r="BI721">
            <v>4</v>
          </cell>
        </row>
        <row r="722">
          <cell r="AQ722">
            <v>127.18</v>
          </cell>
          <cell r="AY722">
            <v>0</v>
          </cell>
          <cell r="BI722">
            <v>4</v>
          </cell>
        </row>
        <row r="723">
          <cell r="AQ723">
            <v>476.63</v>
          </cell>
          <cell r="AY723">
            <v>0.22222222222222221</v>
          </cell>
          <cell r="BI723">
            <v>1</v>
          </cell>
        </row>
        <row r="724">
          <cell r="AQ724">
            <v>56.02</v>
          </cell>
          <cell r="AY724">
            <v>0.33333333333333331</v>
          </cell>
          <cell r="BI724">
            <v>12</v>
          </cell>
        </row>
        <row r="725">
          <cell r="AQ725">
            <v>398.97</v>
          </cell>
          <cell r="AY725">
            <v>0.66666666666666663</v>
          </cell>
          <cell r="BI725">
            <v>9</v>
          </cell>
        </row>
        <row r="726">
          <cell r="AQ726">
            <v>53.45</v>
          </cell>
          <cell r="AY726">
            <v>0.16666666666666666</v>
          </cell>
          <cell r="BI726">
            <v>11</v>
          </cell>
        </row>
        <row r="727">
          <cell r="AQ727">
            <v>61.19</v>
          </cell>
          <cell r="AY727">
            <v>1</v>
          </cell>
          <cell r="BI727">
            <v>3</v>
          </cell>
        </row>
        <row r="728">
          <cell r="AQ728">
            <v>471.31</v>
          </cell>
          <cell r="AY728">
            <v>0</v>
          </cell>
          <cell r="BI728">
            <v>7</v>
          </cell>
        </row>
        <row r="729">
          <cell r="AQ729">
            <v>179.19</v>
          </cell>
          <cell r="AY729">
            <v>0.2</v>
          </cell>
          <cell r="BI729">
            <v>12</v>
          </cell>
        </row>
        <row r="730">
          <cell r="AQ730">
            <v>294.61</v>
          </cell>
          <cell r="AY730">
            <v>0</v>
          </cell>
          <cell r="BI730">
            <v>4</v>
          </cell>
        </row>
        <row r="731">
          <cell r="AQ731">
            <v>375.45</v>
          </cell>
          <cell r="AY731">
            <v>0.16666666666666666</v>
          </cell>
          <cell r="BI731">
            <v>1</v>
          </cell>
        </row>
        <row r="732">
          <cell r="AQ732">
            <v>83.5</v>
          </cell>
          <cell r="AY732">
            <v>0.16666666666666666</v>
          </cell>
          <cell r="BI732">
            <v>10</v>
          </cell>
        </row>
        <row r="733">
          <cell r="AQ733">
            <v>109.88</v>
          </cell>
          <cell r="AY733">
            <v>0.14285714285714285</v>
          </cell>
          <cell r="BI733">
            <v>11</v>
          </cell>
        </row>
        <row r="734">
          <cell r="AQ734">
            <v>182.54</v>
          </cell>
          <cell r="AY734">
            <v>9.0909090909090912E-2</v>
          </cell>
          <cell r="BI734">
            <v>13</v>
          </cell>
        </row>
        <row r="735">
          <cell r="AQ735">
            <v>465.48</v>
          </cell>
          <cell r="AY735">
            <v>0.33333333333333331</v>
          </cell>
          <cell r="BI735">
            <v>1</v>
          </cell>
        </row>
        <row r="736">
          <cell r="AQ736">
            <v>224.52</v>
          </cell>
          <cell r="AY736">
            <v>0.125</v>
          </cell>
          <cell r="BI736">
            <v>1</v>
          </cell>
        </row>
        <row r="737">
          <cell r="AQ737">
            <v>281.37</v>
          </cell>
          <cell r="AY737">
            <v>0</v>
          </cell>
          <cell r="BI737">
            <v>14</v>
          </cell>
        </row>
        <row r="738">
          <cell r="AQ738">
            <v>125.68</v>
          </cell>
          <cell r="AY738">
            <v>0.5</v>
          </cell>
          <cell r="BI738">
            <v>9</v>
          </cell>
        </row>
        <row r="739">
          <cell r="AQ739">
            <v>178.21</v>
          </cell>
          <cell r="AY739">
            <v>0.2857142857142857</v>
          </cell>
          <cell r="BI739">
            <v>9</v>
          </cell>
        </row>
        <row r="740">
          <cell r="AQ740">
            <v>483.23</v>
          </cell>
          <cell r="AY740">
            <v>0</v>
          </cell>
          <cell r="BI740">
            <v>9</v>
          </cell>
        </row>
        <row r="741">
          <cell r="AQ741">
            <v>415.3</v>
          </cell>
          <cell r="AY741">
            <v>9.0909090909090912E-2</v>
          </cell>
          <cell r="BI741">
            <v>2</v>
          </cell>
        </row>
        <row r="742">
          <cell r="AQ742">
            <v>85.52</v>
          </cell>
          <cell r="AY742">
            <v>0.14285714285714285</v>
          </cell>
          <cell r="BI742">
            <v>7</v>
          </cell>
        </row>
        <row r="743">
          <cell r="AQ743">
            <v>422.31</v>
          </cell>
          <cell r="AY743">
            <v>0</v>
          </cell>
          <cell r="BI743">
            <v>3</v>
          </cell>
        </row>
        <row r="744">
          <cell r="AQ744">
            <v>70.42</v>
          </cell>
          <cell r="AY744">
            <v>0.18181818181818182</v>
          </cell>
          <cell r="BI744">
            <v>14</v>
          </cell>
        </row>
        <row r="745">
          <cell r="AQ745">
            <v>437.4</v>
          </cell>
          <cell r="AY745">
            <v>0.33333333333333331</v>
          </cell>
          <cell r="BI745">
            <v>1</v>
          </cell>
        </row>
        <row r="746">
          <cell r="AQ746">
            <v>207.11</v>
          </cell>
          <cell r="AY746">
            <v>0</v>
          </cell>
          <cell r="BI746">
            <v>2</v>
          </cell>
        </row>
        <row r="747">
          <cell r="AQ747">
            <v>378.87</v>
          </cell>
          <cell r="AY747">
            <v>1</v>
          </cell>
          <cell r="BI747">
            <v>9</v>
          </cell>
        </row>
        <row r="748">
          <cell r="AQ748">
            <v>349</v>
          </cell>
          <cell r="AY748">
            <v>0.1</v>
          </cell>
          <cell r="BI748">
            <v>10</v>
          </cell>
        </row>
        <row r="749">
          <cell r="AQ749">
            <v>330.27</v>
          </cell>
          <cell r="AY749">
            <v>0.33333333333333331</v>
          </cell>
          <cell r="BI749">
            <v>9</v>
          </cell>
        </row>
        <row r="750">
          <cell r="AQ750">
            <v>410.29</v>
          </cell>
          <cell r="AY750">
            <v>0.2</v>
          </cell>
          <cell r="BI750">
            <v>1</v>
          </cell>
        </row>
        <row r="751">
          <cell r="AQ751">
            <v>400.86</v>
          </cell>
          <cell r="AY751">
            <v>0.14285714285714285</v>
          </cell>
          <cell r="BI751">
            <v>5</v>
          </cell>
        </row>
        <row r="752">
          <cell r="AQ752">
            <v>225.12</v>
          </cell>
          <cell r="AY752">
            <v>0</v>
          </cell>
          <cell r="BI752">
            <v>6</v>
          </cell>
        </row>
        <row r="753">
          <cell r="AQ753">
            <v>273.48</v>
          </cell>
          <cell r="AY753">
            <v>0</v>
          </cell>
          <cell r="BI753">
            <v>5</v>
          </cell>
        </row>
        <row r="754">
          <cell r="AQ754">
            <v>363.84</v>
          </cell>
          <cell r="AY754">
            <v>0</v>
          </cell>
          <cell r="BI754">
            <v>5</v>
          </cell>
        </row>
        <row r="755">
          <cell r="AQ755">
            <v>302.60000000000002</v>
          </cell>
          <cell r="AY755">
            <v>0.22222222222222221</v>
          </cell>
          <cell r="BI755">
            <v>2</v>
          </cell>
        </row>
        <row r="756">
          <cell r="AQ756">
            <v>317.08999999999997</v>
          </cell>
          <cell r="AY756">
            <v>0.33333333333333331</v>
          </cell>
          <cell r="BI756">
            <v>4</v>
          </cell>
        </row>
        <row r="757">
          <cell r="AQ757">
            <v>193.32</v>
          </cell>
          <cell r="AY757">
            <v>0</v>
          </cell>
          <cell r="BI757">
            <v>6</v>
          </cell>
        </row>
        <row r="758">
          <cell r="AQ758">
            <v>282.24</v>
          </cell>
          <cell r="AY758">
            <v>0.16666666666666666</v>
          </cell>
          <cell r="BI758">
            <v>1</v>
          </cell>
        </row>
        <row r="759">
          <cell r="AQ759">
            <v>154.19</v>
          </cell>
          <cell r="AY759">
            <v>0.33333333333333331</v>
          </cell>
          <cell r="BI759">
            <v>1</v>
          </cell>
        </row>
        <row r="760">
          <cell r="AQ760">
            <v>84.15</v>
          </cell>
          <cell r="AY760">
            <v>0.2</v>
          </cell>
          <cell r="BI760">
            <v>1</v>
          </cell>
        </row>
        <row r="761">
          <cell r="AQ761">
            <v>214.69</v>
          </cell>
          <cell r="AY761">
            <v>0.14285714285714285</v>
          </cell>
          <cell r="BI761">
            <v>9</v>
          </cell>
        </row>
        <row r="762">
          <cell r="AQ762">
            <v>61.21</v>
          </cell>
          <cell r="AY762">
            <v>0</v>
          </cell>
          <cell r="BI762">
            <v>13</v>
          </cell>
        </row>
        <row r="763">
          <cell r="AQ763">
            <v>462.48</v>
          </cell>
          <cell r="AY763">
            <v>0.18181818181818182</v>
          </cell>
          <cell r="BI763">
            <v>12</v>
          </cell>
        </row>
        <row r="764">
          <cell r="AQ764">
            <v>449.18</v>
          </cell>
          <cell r="AY764">
            <v>0</v>
          </cell>
          <cell r="BI764">
            <v>10</v>
          </cell>
        </row>
        <row r="765">
          <cell r="AQ765">
            <v>314.36</v>
          </cell>
          <cell r="AY765">
            <v>0.14285714285714285</v>
          </cell>
          <cell r="BI765">
            <v>1</v>
          </cell>
        </row>
        <row r="766">
          <cell r="AQ766">
            <v>367.7</v>
          </cell>
          <cell r="AY766">
            <v>0.66666666666666663</v>
          </cell>
          <cell r="BI766">
            <v>3</v>
          </cell>
        </row>
        <row r="767">
          <cell r="AQ767">
            <v>229.97</v>
          </cell>
          <cell r="AY767">
            <v>0.2857142857142857</v>
          </cell>
          <cell r="BI767">
            <v>6</v>
          </cell>
        </row>
        <row r="768">
          <cell r="AQ768">
            <v>226.53</v>
          </cell>
          <cell r="AY768">
            <v>0.33333333333333331</v>
          </cell>
          <cell r="BI768">
            <v>13</v>
          </cell>
        </row>
        <row r="769">
          <cell r="AQ769">
            <v>218.32</v>
          </cell>
          <cell r="AY769">
            <v>1</v>
          </cell>
          <cell r="BI769">
            <v>3</v>
          </cell>
        </row>
        <row r="770">
          <cell r="AQ770">
            <v>132.66999999999999</v>
          </cell>
          <cell r="AY770">
            <v>0.2857142857142857</v>
          </cell>
          <cell r="BI770">
            <v>1</v>
          </cell>
        </row>
        <row r="771">
          <cell r="AQ771">
            <v>416.96</v>
          </cell>
          <cell r="AY771">
            <v>0</v>
          </cell>
          <cell r="BI771">
            <v>7</v>
          </cell>
        </row>
        <row r="772">
          <cell r="AQ772">
            <v>459.51</v>
          </cell>
          <cell r="AY772">
            <v>0</v>
          </cell>
          <cell r="BI772">
            <v>11</v>
          </cell>
        </row>
        <row r="773">
          <cell r="AQ773">
            <v>487.96</v>
          </cell>
          <cell r="AY773">
            <v>0</v>
          </cell>
          <cell r="BI773">
            <v>12</v>
          </cell>
        </row>
        <row r="774">
          <cell r="AQ774">
            <v>150.11000000000001</v>
          </cell>
          <cell r="AY774">
            <v>0</v>
          </cell>
          <cell r="BI774">
            <v>8</v>
          </cell>
        </row>
        <row r="775">
          <cell r="AQ775">
            <v>218.87</v>
          </cell>
          <cell r="AY775">
            <v>0</v>
          </cell>
          <cell r="BI775">
            <v>11</v>
          </cell>
        </row>
        <row r="776">
          <cell r="AQ776">
            <v>437.06</v>
          </cell>
          <cell r="AY776">
            <v>0</v>
          </cell>
          <cell r="BI776">
            <v>11</v>
          </cell>
        </row>
        <row r="777">
          <cell r="AQ777">
            <v>122.58</v>
          </cell>
          <cell r="AY777">
            <v>1</v>
          </cell>
          <cell r="BI777">
            <v>12</v>
          </cell>
        </row>
        <row r="778">
          <cell r="AQ778">
            <v>195.07</v>
          </cell>
          <cell r="AY778">
            <v>0</v>
          </cell>
          <cell r="BI778">
            <v>10</v>
          </cell>
        </row>
        <row r="779">
          <cell r="AQ779">
            <v>190.06</v>
          </cell>
          <cell r="AY779">
            <v>0.1111111111111111</v>
          </cell>
          <cell r="BI779">
            <v>12</v>
          </cell>
        </row>
        <row r="780">
          <cell r="AQ780">
            <v>485.76</v>
          </cell>
          <cell r="AY780">
            <v>0</v>
          </cell>
          <cell r="BI780">
            <v>4</v>
          </cell>
        </row>
        <row r="781">
          <cell r="AQ781">
            <v>242.57</v>
          </cell>
          <cell r="AY781">
            <v>0</v>
          </cell>
          <cell r="BI781">
            <v>1</v>
          </cell>
        </row>
        <row r="782">
          <cell r="AQ782">
            <v>303.13</v>
          </cell>
          <cell r="AY782">
            <v>0</v>
          </cell>
          <cell r="BI782">
            <v>10</v>
          </cell>
        </row>
        <row r="783">
          <cell r="AQ783">
            <v>136.1</v>
          </cell>
          <cell r="AY783">
            <v>0</v>
          </cell>
          <cell r="BI783">
            <v>14</v>
          </cell>
        </row>
        <row r="784">
          <cell r="AQ784">
            <v>249.02</v>
          </cell>
          <cell r="AY784">
            <v>9.0909090909090912E-2</v>
          </cell>
          <cell r="BI784">
            <v>14</v>
          </cell>
        </row>
        <row r="785">
          <cell r="AQ785">
            <v>466.74</v>
          </cell>
          <cell r="AY785">
            <v>0.2857142857142857</v>
          </cell>
          <cell r="BI785">
            <v>5</v>
          </cell>
        </row>
        <row r="786">
          <cell r="AQ786">
            <v>229.3</v>
          </cell>
          <cell r="AY786">
            <v>0</v>
          </cell>
          <cell r="BI786">
            <v>6</v>
          </cell>
        </row>
        <row r="787">
          <cell r="AQ787">
            <v>450.52</v>
          </cell>
          <cell r="AY787">
            <v>0</v>
          </cell>
          <cell r="BI787">
            <v>8</v>
          </cell>
        </row>
        <row r="788">
          <cell r="AQ788">
            <v>246.44</v>
          </cell>
          <cell r="AY788">
            <v>0</v>
          </cell>
          <cell r="BI788">
            <v>5</v>
          </cell>
        </row>
        <row r="789">
          <cell r="AQ789">
            <v>93.52</v>
          </cell>
          <cell r="AY789">
            <v>0.5</v>
          </cell>
          <cell r="BI789">
            <v>12</v>
          </cell>
        </row>
        <row r="790">
          <cell r="AQ790">
            <v>137.75</v>
          </cell>
          <cell r="AY790">
            <v>0</v>
          </cell>
          <cell r="BI790">
            <v>4</v>
          </cell>
        </row>
        <row r="791">
          <cell r="AQ791">
            <v>78.64</v>
          </cell>
          <cell r="AY791">
            <v>0</v>
          </cell>
          <cell r="BI791">
            <v>12</v>
          </cell>
        </row>
        <row r="792">
          <cell r="AQ792">
            <v>214.82</v>
          </cell>
          <cell r="AY792">
            <v>0.1111111111111111</v>
          </cell>
          <cell r="BI792">
            <v>11</v>
          </cell>
        </row>
        <row r="793">
          <cell r="AQ793">
            <v>57.39</v>
          </cell>
          <cell r="AY793">
            <v>0</v>
          </cell>
          <cell r="BI793">
            <v>3</v>
          </cell>
        </row>
        <row r="794">
          <cell r="AQ794">
            <v>363.91</v>
          </cell>
          <cell r="AY794">
            <v>0</v>
          </cell>
          <cell r="BI794">
            <v>9</v>
          </cell>
        </row>
        <row r="795">
          <cell r="AQ795">
            <v>304.79000000000002</v>
          </cell>
          <cell r="AY795">
            <v>8.3333333333333329E-2</v>
          </cell>
          <cell r="BI795">
            <v>10</v>
          </cell>
        </row>
        <row r="796">
          <cell r="AQ796">
            <v>363.98</v>
          </cell>
          <cell r="AY796">
            <v>0.5</v>
          </cell>
          <cell r="BI796">
            <v>1</v>
          </cell>
        </row>
        <row r="797">
          <cell r="AQ797">
            <v>249.6</v>
          </cell>
          <cell r="AY797">
            <v>0.2857142857142857</v>
          </cell>
          <cell r="BI797">
            <v>11</v>
          </cell>
        </row>
        <row r="798">
          <cell r="AQ798">
            <v>345.04</v>
          </cell>
          <cell r="AY798">
            <v>0</v>
          </cell>
          <cell r="BI798">
            <v>13</v>
          </cell>
        </row>
        <row r="799">
          <cell r="AQ799">
            <v>59.15</v>
          </cell>
          <cell r="AY799">
            <v>0</v>
          </cell>
          <cell r="BI799">
            <v>8</v>
          </cell>
        </row>
        <row r="800">
          <cell r="AQ800">
            <v>461.81</v>
          </cell>
          <cell r="AY800">
            <v>0</v>
          </cell>
          <cell r="BI800">
            <v>8</v>
          </cell>
        </row>
        <row r="801">
          <cell r="AQ801">
            <v>280.88</v>
          </cell>
          <cell r="AY801">
            <v>0</v>
          </cell>
          <cell r="BI801">
            <v>2</v>
          </cell>
        </row>
        <row r="802">
          <cell r="AQ802">
            <v>283.7</v>
          </cell>
          <cell r="AY802">
            <v>0.125</v>
          </cell>
          <cell r="BI802">
            <v>8</v>
          </cell>
        </row>
        <row r="803">
          <cell r="AQ803">
            <v>411.95</v>
          </cell>
          <cell r="AY803">
            <v>0</v>
          </cell>
          <cell r="BI803">
            <v>5</v>
          </cell>
        </row>
        <row r="804">
          <cell r="AQ804">
            <v>476.11</v>
          </cell>
          <cell r="AY804">
            <v>0.4</v>
          </cell>
          <cell r="BI804">
            <v>1</v>
          </cell>
        </row>
        <row r="805">
          <cell r="AQ805">
            <v>399.24</v>
          </cell>
          <cell r="AY805">
            <v>0.14285714285714285</v>
          </cell>
          <cell r="BI805">
            <v>10</v>
          </cell>
        </row>
        <row r="806">
          <cell r="AQ806">
            <v>90.79</v>
          </cell>
          <cell r="AY806">
            <v>0</v>
          </cell>
          <cell r="BI806">
            <v>6</v>
          </cell>
        </row>
        <row r="807">
          <cell r="AQ807">
            <v>229.56</v>
          </cell>
          <cell r="AY807">
            <v>0</v>
          </cell>
          <cell r="BI807">
            <v>11</v>
          </cell>
        </row>
        <row r="808">
          <cell r="AQ808">
            <v>160.47</v>
          </cell>
          <cell r="AY808">
            <v>0</v>
          </cell>
          <cell r="BI808">
            <v>6</v>
          </cell>
        </row>
        <row r="809">
          <cell r="AQ809">
            <v>104.74</v>
          </cell>
          <cell r="AY809">
            <v>0</v>
          </cell>
          <cell r="BI809">
            <v>1</v>
          </cell>
        </row>
        <row r="810">
          <cell r="AQ810">
            <v>399.95</v>
          </cell>
          <cell r="AY810">
            <v>0.1</v>
          </cell>
          <cell r="BI810">
            <v>10</v>
          </cell>
        </row>
        <row r="811">
          <cell r="AQ811">
            <v>337.33</v>
          </cell>
          <cell r="AY811">
            <v>0</v>
          </cell>
          <cell r="BI811">
            <v>10</v>
          </cell>
        </row>
        <row r="812">
          <cell r="AQ812">
            <v>204.83</v>
          </cell>
          <cell r="AY812">
            <v>0.16666666666666666</v>
          </cell>
          <cell r="BI812">
            <v>5</v>
          </cell>
        </row>
        <row r="813">
          <cell r="AQ813">
            <v>193.94</v>
          </cell>
          <cell r="AY813">
            <v>0</v>
          </cell>
          <cell r="BI813">
            <v>9</v>
          </cell>
        </row>
        <row r="814">
          <cell r="AQ814">
            <v>460.37</v>
          </cell>
          <cell r="AY814">
            <v>0.2</v>
          </cell>
          <cell r="BI814">
            <v>12</v>
          </cell>
        </row>
        <row r="815">
          <cell r="AQ815">
            <v>297.29000000000002</v>
          </cell>
          <cell r="AY815">
            <v>0</v>
          </cell>
          <cell r="BI815">
            <v>3</v>
          </cell>
        </row>
        <row r="816">
          <cell r="AQ816">
            <v>389.47</v>
          </cell>
          <cell r="AY816">
            <v>0.25</v>
          </cell>
          <cell r="BI816">
            <v>6</v>
          </cell>
        </row>
        <row r="817">
          <cell r="AQ817">
            <v>370.05</v>
          </cell>
          <cell r="AY817">
            <v>9.0909090909090912E-2</v>
          </cell>
          <cell r="BI817">
            <v>10</v>
          </cell>
        </row>
        <row r="818">
          <cell r="AQ818">
            <v>462.24</v>
          </cell>
          <cell r="AY818">
            <v>1</v>
          </cell>
          <cell r="BI818">
            <v>13</v>
          </cell>
        </row>
        <row r="819">
          <cell r="AQ819">
            <v>472.53</v>
          </cell>
          <cell r="AY819">
            <v>0.18181818181818182</v>
          </cell>
          <cell r="BI819">
            <v>4</v>
          </cell>
        </row>
        <row r="820">
          <cell r="AQ820">
            <v>407.29</v>
          </cell>
          <cell r="AY820">
            <v>0</v>
          </cell>
          <cell r="BI820">
            <v>3</v>
          </cell>
        </row>
        <row r="821">
          <cell r="AQ821">
            <v>135.65</v>
          </cell>
          <cell r="AY821">
            <v>0</v>
          </cell>
          <cell r="BI821">
            <v>14</v>
          </cell>
        </row>
        <row r="822">
          <cell r="AQ822">
            <v>352.35</v>
          </cell>
          <cell r="AY822">
            <v>0.25</v>
          </cell>
          <cell r="BI822">
            <v>14</v>
          </cell>
        </row>
        <row r="823">
          <cell r="AQ823">
            <v>441.73</v>
          </cell>
          <cell r="AY823">
            <v>0</v>
          </cell>
          <cell r="BI823">
            <v>8</v>
          </cell>
        </row>
        <row r="824">
          <cell r="AQ824">
            <v>105.95</v>
          </cell>
          <cell r="AY824">
            <v>8.3333333333333329E-2</v>
          </cell>
          <cell r="BI824">
            <v>11</v>
          </cell>
        </row>
        <row r="825">
          <cell r="AQ825">
            <v>351.54</v>
          </cell>
          <cell r="AY825">
            <v>0</v>
          </cell>
          <cell r="BI825">
            <v>12</v>
          </cell>
        </row>
        <row r="826">
          <cell r="AQ826">
            <v>321.26</v>
          </cell>
          <cell r="AY826">
            <v>0</v>
          </cell>
          <cell r="BI826">
            <v>14</v>
          </cell>
        </row>
        <row r="827">
          <cell r="AQ827">
            <v>421.5</v>
          </cell>
          <cell r="AY827">
            <v>0</v>
          </cell>
          <cell r="BI827">
            <v>3</v>
          </cell>
        </row>
        <row r="828">
          <cell r="AQ828">
            <v>253.29</v>
          </cell>
          <cell r="AY828">
            <v>0.16666666666666666</v>
          </cell>
          <cell r="BI828">
            <v>8</v>
          </cell>
        </row>
        <row r="829">
          <cell r="AQ829">
            <v>217.62</v>
          </cell>
          <cell r="AY829">
            <v>0.66666666666666663</v>
          </cell>
          <cell r="BI829">
            <v>5</v>
          </cell>
        </row>
        <row r="830">
          <cell r="AQ830">
            <v>226.04</v>
          </cell>
          <cell r="AY830">
            <v>0</v>
          </cell>
          <cell r="BI830">
            <v>12</v>
          </cell>
        </row>
        <row r="831">
          <cell r="AQ831">
            <v>52.79</v>
          </cell>
          <cell r="AY831">
            <v>0.25</v>
          </cell>
          <cell r="BI831">
            <v>4</v>
          </cell>
        </row>
        <row r="832">
          <cell r="AQ832">
            <v>385.08</v>
          </cell>
          <cell r="AY832">
            <v>0.14285714285714285</v>
          </cell>
          <cell r="BI832">
            <v>1</v>
          </cell>
        </row>
        <row r="833">
          <cell r="AQ833">
            <v>181.1</v>
          </cell>
          <cell r="AY833">
            <v>1</v>
          </cell>
          <cell r="BI833">
            <v>5</v>
          </cell>
        </row>
        <row r="834">
          <cell r="AQ834">
            <v>246.41</v>
          </cell>
          <cell r="AY834">
            <v>0.2857142857142857</v>
          </cell>
          <cell r="BI834">
            <v>11</v>
          </cell>
        </row>
        <row r="835">
          <cell r="AQ835">
            <v>140.87</v>
          </cell>
          <cell r="AY835">
            <v>0.25</v>
          </cell>
          <cell r="BI835">
            <v>9</v>
          </cell>
        </row>
        <row r="836">
          <cell r="AQ836">
            <v>151.25</v>
          </cell>
          <cell r="AY836">
            <v>0.5</v>
          </cell>
          <cell r="BI836">
            <v>10</v>
          </cell>
        </row>
        <row r="837">
          <cell r="AQ837">
            <v>171.52</v>
          </cell>
          <cell r="AY837">
            <v>0.33333333333333331</v>
          </cell>
          <cell r="BI837">
            <v>12</v>
          </cell>
        </row>
        <row r="838">
          <cell r="AQ838">
            <v>399.56</v>
          </cell>
          <cell r="AY838">
            <v>0</v>
          </cell>
          <cell r="BI838">
            <v>1</v>
          </cell>
        </row>
        <row r="839">
          <cell r="AQ839">
            <v>173.46</v>
          </cell>
          <cell r="AY839">
            <v>0</v>
          </cell>
          <cell r="BI839">
            <v>2</v>
          </cell>
        </row>
        <row r="840">
          <cell r="AQ840">
            <v>332.14</v>
          </cell>
          <cell r="AY840">
            <v>0.1</v>
          </cell>
          <cell r="BI840">
            <v>13</v>
          </cell>
        </row>
        <row r="841">
          <cell r="AQ841">
            <v>247.05</v>
          </cell>
          <cell r="AY841">
            <v>0.125</v>
          </cell>
          <cell r="BI841">
            <v>2</v>
          </cell>
        </row>
        <row r="842">
          <cell r="AQ842">
            <v>365.88</v>
          </cell>
          <cell r="AY842">
            <v>0.1</v>
          </cell>
          <cell r="BI842">
            <v>9</v>
          </cell>
        </row>
        <row r="843">
          <cell r="AQ843">
            <v>354.92</v>
          </cell>
          <cell r="AY843">
            <v>0</v>
          </cell>
          <cell r="BI843">
            <v>13</v>
          </cell>
        </row>
        <row r="844">
          <cell r="AQ844">
            <v>195.46</v>
          </cell>
          <cell r="AY844">
            <v>0</v>
          </cell>
          <cell r="BI844">
            <v>9</v>
          </cell>
        </row>
        <row r="845">
          <cell r="AQ845">
            <v>474.03</v>
          </cell>
          <cell r="AY845">
            <v>0</v>
          </cell>
          <cell r="BI845">
            <v>13</v>
          </cell>
        </row>
        <row r="846">
          <cell r="AQ846">
            <v>106.96</v>
          </cell>
          <cell r="AY846">
            <v>0</v>
          </cell>
          <cell r="BI846">
            <v>3</v>
          </cell>
        </row>
        <row r="847">
          <cell r="AQ847">
            <v>371.84</v>
          </cell>
          <cell r="AY847">
            <v>0.22222222222222221</v>
          </cell>
          <cell r="BI847">
            <v>2</v>
          </cell>
        </row>
        <row r="848">
          <cell r="AQ848">
            <v>461.16</v>
          </cell>
          <cell r="AY848">
            <v>0</v>
          </cell>
          <cell r="BI848">
            <v>14</v>
          </cell>
        </row>
        <row r="849">
          <cell r="AQ849">
            <v>497.75</v>
          </cell>
          <cell r="AY849">
            <v>0.18181818181818182</v>
          </cell>
          <cell r="BI849">
            <v>13</v>
          </cell>
        </row>
        <row r="850">
          <cell r="AQ850">
            <v>492.83</v>
          </cell>
          <cell r="AY850">
            <v>0</v>
          </cell>
          <cell r="BI850">
            <v>2</v>
          </cell>
        </row>
        <row r="851">
          <cell r="AQ851">
            <v>295.54000000000002</v>
          </cell>
          <cell r="AY851">
            <v>0.25</v>
          </cell>
          <cell r="BI851">
            <v>14</v>
          </cell>
        </row>
        <row r="852">
          <cell r="AQ852">
            <v>494.81</v>
          </cell>
          <cell r="AY852">
            <v>0.1111111111111111</v>
          </cell>
          <cell r="BI852">
            <v>6</v>
          </cell>
        </row>
        <row r="853">
          <cell r="AQ853">
            <v>160.25</v>
          </cell>
          <cell r="AY853">
            <v>0.2857142857142857</v>
          </cell>
          <cell r="BI853">
            <v>12</v>
          </cell>
        </row>
        <row r="854">
          <cell r="AQ854">
            <v>198.36</v>
          </cell>
          <cell r="AY854">
            <v>0.25</v>
          </cell>
          <cell r="BI854">
            <v>4</v>
          </cell>
        </row>
        <row r="855">
          <cell r="AQ855">
            <v>82.39</v>
          </cell>
          <cell r="AY855">
            <v>0</v>
          </cell>
          <cell r="BI855">
            <v>1</v>
          </cell>
        </row>
        <row r="856">
          <cell r="AQ856">
            <v>290.56</v>
          </cell>
          <cell r="AY856">
            <v>0.33333333333333331</v>
          </cell>
          <cell r="BI856">
            <v>4</v>
          </cell>
        </row>
        <row r="857">
          <cell r="AQ857">
            <v>206.79</v>
          </cell>
          <cell r="AY857">
            <v>0.2</v>
          </cell>
          <cell r="BI857">
            <v>4</v>
          </cell>
        </row>
        <row r="858">
          <cell r="AQ858">
            <v>401.43</v>
          </cell>
          <cell r="AY858">
            <v>0</v>
          </cell>
          <cell r="BI858">
            <v>5</v>
          </cell>
        </row>
        <row r="859">
          <cell r="AQ859">
            <v>188.17</v>
          </cell>
          <cell r="AY859">
            <v>0.1111111111111111</v>
          </cell>
          <cell r="BI859">
            <v>9</v>
          </cell>
        </row>
        <row r="860">
          <cell r="AQ860">
            <v>83.21</v>
          </cell>
          <cell r="AY860">
            <v>0</v>
          </cell>
          <cell r="BI860">
            <v>7</v>
          </cell>
        </row>
        <row r="861">
          <cell r="AQ861">
            <v>54.74</v>
          </cell>
          <cell r="AY861">
            <v>0</v>
          </cell>
          <cell r="BI861">
            <v>14</v>
          </cell>
        </row>
        <row r="862">
          <cell r="AQ862">
            <v>371.12</v>
          </cell>
          <cell r="AY862">
            <v>0.125</v>
          </cell>
          <cell r="BI862">
            <v>8</v>
          </cell>
        </row>
        <row r="863">
          <cell r="AQ863">
            <v>293.64</v>
          </cell>
          <cell r="AY863">
            <v>0.66666666666666663</v>
          </cell>
          <cell r="BI863">
            <v>5</v>
          </cell>
        </row>
        <row r="864">
          <cell r="AQ864">
            <v>185.83</v>
          </cell>
          <cell r="AY864">
            <v>0.18181818181818182</v>
          </cell>
          <cell r="BI864">
            <v>1</v>
          </cell>
        </row>
        <row r="865">
          <cell r="AQ865">
            <v>117.13</v>
          </cell>
          <cell r="AY865">
            <v>0.14285714285714285</v>
          </cell>
          <cell r="BI865">
            <v>6</v>
          </cell>
        </row>
        <row r="866">
          <cell r="AQ866">
            <v>52.24</v>
          </cell>
          <cell r="AY866">
            <v>0.18181818181818182</v>
          </cell>
          <cell r="BI866">
            <v>8</v>
          </cell>
        </row>
        <row r="867">
          <cell r="AQ867">
            <v>446.69</v>
          </cell>
          <cell r="AY867">
            <v>0.14285714285714285</v>
          </cell>
          <cell r="BI867">
            <v>13</v>
          </cell>
        </row>
        <row r="868">
          <cell r="AQ868">
            <v>216.84</v>
          </cell>
          <cell r="AY868">
            <v>0.2</v>
          </cell>
          <cell r="BI868">
            <v>5</v>
          </cell>
        </row>
        <row r="869">
          <cell r="AQ869">
            <v>75.27</v>
          </cell>
          <cell r="AY869">
            <v>0.2857142857142857</v>
          </cell>
          <cell r="BI869">
            <v>1</v>
          </cell>
        </row>
        <row r="870">
          <cell r="AQ870">
            <v>308.87</v>
          </cell>
          <cell r="AY870">
            <v>1</v>
          </cell>
          <cell r="BI870">
            <v>11</v>
          </cell>
        </row>
        <row r="871">
          <cell r="AQ871">
            <v>169.77</v>
          </cell>
          <cell r="AY871">
            <v>0.4</v>
          </cell>
          <cell r="BI871">
            <v>7</v>
          </cell>
        </row>
        <row r="872">
          <cell r="AQ872">
            <v>289.08</v>
          </cell>
          <cell r="AY872">
            <v>8.3333333333333329E-2</v>
          </cell>
          <cell r="BI872">
            <v>7</v>
          </cell>
        </row>
        <row r="873">
          <cell r="AQ873">
            <v>74.09</v>
          </cell>
          <cell r="AY873">
            <v>0.2</v>
          </cell>
          <cell r="BI873">
            <v>8</v>
          </cell>
        </row>
        <row r="874">
          <cell r="AQ874">
            <v>201.53</v>
          </cell>
          <cell r="AY874">
            <v>0.2</v>
          </cell>
          <cell r="BI874">
            <v>11</v>
          </cell>
        </row>
        <row r="875">
          <cell r="AQ875">
            <v>244.6</v>
          </cell>
          <cell r="AY875">
            <v>0</v>
          </cell>
          <cell r="BI875">
            <v>3</v>
          </cell>
        </row>
        <row r="876">
          <cell r="AQ876">
            <v>320.5</v>
          </cell>
          <cell r="AY876">
            <v>0</v>
          </cell>
          <cell r="BI876">
            <v>9</v>
          </cell>
        </row>
        <row r="877">
          <cell r="AQ877">
            <v>91.63</v>
          </cell>
          <cell r="AY877">
            <v>0</v>
          </cell>
          <cell r="BI877">
            <v>2</v>
          </cell>
        </row>
        <row r="878">
          <cell r="AQ878">
            <v>251.93</v>
          </cell>
          <cell r="AY878">
            <v>0.25</v>
          </cell>
          <cell r="BI878">
            <v>7</v>
          </cell>
        </row>
        <row r="879">
          <cell r="AQ879">
            <v>477.35</v>
          </cell>
          <cell r="AY879">
            <v>0.25</v>
          </cell>
          <cell r="BI879">
            <v>14</v>
          </cell>
        </row>
        <row r="880">
          <cell r="AQ880">
            <v>86.63</v>
          </cell>
          <cell r="AY880">
            <v>0.2</v>
          </cell>
          <cell r="BI880">
            <v>3</v>
          </cell>
        </row>
        <row r="881">
          <cell r="AQ881">
            <v>474.42</v>
          </cell>
          <cell r="AY881">
            <v>0.25</v>
          </cell>
          <cell r="BI881">
            <v>5</v>
          </cell>
        </row>
        <row r="882">
          <cell r="AQ882">
            <v>429.24</v>
          </cell>
          <cell r="AY882">
            <v>0</v>
          </cell>
          <cell r="BI882">
            <v>10</v>
          </cell>
        </row>
        <row r="883">
          <cell r="AQ883">
            <v>470.38</v>
          </cell>
          <cell r="AY883">
            <v>0.25</v>
          </cell>
          <cell r="BI883">
            <v>9</v>
          </cell>
        </row>
        <row r="884">
          <cell r="AQ884">
            <v>495.8</v>
          </cell>
          <cell r="AY884">
            <v>0</v>
          </cell>
          <cell r="BI884">
            <v>10</v>
          </cell>
        </row>
        <row r="885">
          <cell r="AQ885">
            <v>129.63999999999999</v>
          </cell>
          <cell r="AY885">
            <v>0.25</v>
          </cell>
          <cell r="BI885">
            <v>3</v>
          </cell>
        </row>
        <row r="886">
          <cell r="AQ886">
            <v>473.77</v>
          </cell>
          <cell r="AY886">
            <v>0.22222222222222221</v>
          </cell>
          <cell r="BI886">
            <v>13</v>
          </cell>
        </row>
        <row r="887">
          <cell r="AQ887">
            <v>130.84</v>
          </cell>
          <cell r="AY887">
            <v>0.5</v>
          </cell>
          <cell r="BI887">
            <v>13</v>
          </cell>
        </row>
        <row r="888">
          <cell r="AQ888">
            <v>436.54</v>
          </cell>
          <cell r="AY888">
            <v>8.3333333333333329E-2</v>
          </cell>
          <cell r="BI888">
            <v>9</v>
          </cell>
        </row>
        <row r="889">
          <cell r="AQ889">
            <v>264.01</v>
          </cell>
          <cell r="AY889">
            <v>0.25</v>
          </cell>
          <cell r="BI889">
            <v>2</v>
          </cell>
        </row>
        <row r="890">
          <cell r="AQ890">
            <v>58.27</v>
          </cell>
          <cell r="AY890">
            <v>0.5</v>
          </cell>
          <cell r="BI890">
            <v>13</v>
          </cell>
        </row>
        <row r="891">
          <cell r="AQ891">
            <v>190.76</v>
          </cell>
          <cell r="AY891">
            <v>0.1</v>
          </cell>
          <cell r="BI891">
            <v>11</v>
          </cell>
        </row>
        <row r="892">
          <cell r="AQ892">
            <v>105.76</v>
          </cell>
          <cell r="AY892">
            <v>0.125</v>
          </cell>
          <cell r="BI892">
            <v>4</v>
          </cell>
        </row>
        <row r="893">
          <cell r="AQ893">
            <v>254.29</v>
          </cell>
          <cell r="AY893">
            <v>0.1111111111111111</v>
          </cell>
          <cell r="BI893">
            <v>3</v>
          </cell>
        </row>
        <row r="894">
          <cell r="AQ894">
            <v>435.52</v>
          </cell>
          <cell r="AY894">
            <v>0.1111111111111111</v>
          </cell>
          <cell r="BI894">
            <v>11</v>
          </cell>
        </row>
        <row r="895">
          <cell r="AQ895">
            <v>235.49</v>
          </cell>
          <cell r="AY895">
            <v>0.2</v>
          </cell>
          <cell r="BI895">
            <v>5</v>
          </cell>
        </row>
        <row r="896">
          <cell r="AQ896">
            <v>161.34</v>
          </cell>
          <cell r="AY896">
            <v>0.33333333333333331</v>
          </cell>
          <cell r="BI896">
            <v>4</v>
          </cell>
        </row>
        <row r="897">
          <cell r="AQ897">
            <v>167.67</v>
          </cell>
          <cell r="AY897">
            <v>0</v>
          </cell>
          <cell r="BI897">
            <v>5</v>
          </cell>
        </row>
        <row r="898">
          <cell r="AQ898">
            <v>96.68</v>
          </cell>
          <cell r="AY898">
            <v>0.2</v>
          </cell>
          <cell r="BI898">
            <v>10</v>
          </cell>
        </row>
        <row r="899">
          <cell r="AQ899">
            <v>234.58</v>
          </cell>
          <cell r="AY899">
            <v>0.66666666666666663</v>
          </cell>
          <cell r="BI899">
            <v>1</v>
          </cell>
        </row>
        <row r="900">
          <cell r="AQ900">
            <v>156.47999999999999</v>
          </cell>
          <cell r="AY900">
            <v>0.2857142857142857</v>
          </cell>
          <cell r="BI900">
            <v>4</v>
          </cell>
        </row>
        <row r="901">
          <cell r="AQ901">
            <v>489.66</v>
          </cell>
          <cell r="AY901">
            <v>0.18181818181818182</v>
          </cell>
          <cell r="BI901">
            <v>3</v>
          </cell>
        </row>
        <row r="902">
          <cell r="AQ902">
            <v>161.85</v>
          </cell>
          <cell r="AY902">
            <v>0</v>
          </cell>
          <cell r="BI902">
            <v>10</v>
          </cell>
        </row>
        <row r="903">
          <cell r="AQ903">
            <v>204.47</v>
          </cell>
          <cell r="AY903">
            <v>0.2857142857142857</v>
          </cell>
          <cell r="BI903">
            <v>3</v>
          </cell>
        </row>
        <row r="904">
          <cell r="AQ904">
            <v>315.02999999999997</v>
          </cell>
          <cell r="AY904">
            <v>0.25</v>
          </cell>
          <cell r="BI904">
            <v>2</v>
          </cell>
        </row>
        <row r="905">
          <cell r="AQ905">
            <v>330.36</v>
          </cell>
          <cell r="AY905">
            <v>8.3333333333333329E-2</v>
          </cell>
          <cell r="BI905">
            <v>3</v>
          </cell>
        </row>
        <row r="906">
          <cell r="AQ906">
            <v>456.83</v>
          </cell>
          <cell r="AY906">
            <v>0</v>
          </cell>
          <cell r="BI906">
            <v>13</v>
          </cell>
        </row>
        <row r="907">
          <cell r="AQ907">
            <v>236.05</v>
          </cell>
          <cell r="AY907">
            <v>0.16666666666666666</v>
          </cell>
          <cell r="BI907">
            <v>13</v>
          </cell>
        </row>
        <row r="908">
          <cell r="AQ908">
            <v>289.27999999999997</v>
          </cell>
          <cell r="AY908">
            <v>0.22222222222222221</v>
          </cell>
          <cell r="BI908">
            <v>13</v>
          </cell>
        </row>
        <row r="909">
          <cell r="AQ909">
            <v>483.77</v>
          </cell>
          <cell r="AY909">
            <v>0</v>
          </cell>
          <cell r="BI909">
            <v>10</v>
          </cell>
        </row>
        <row r="910">
          <cell r="AQ910">
            <v>64.5</v>
          </cell>
          <cell r="AY910">
            <v>0.14285714285714285</v>
          </cell>
          <cell r="BI910">
            <v>13</v>
          </cell>
        </row>
        <row r="911">
          <cell r="AQ911">
            <v>436.57</v>
          </cell>
          <cell r="AY911">
            <v>0.5</v>
          </cell>
          <cell r="BI911">
            <v>3</v>
          </cell>
        </row>
        <row r="912">
          <cell r="AQ912">
            <v>364.48</v>
          </cell>
          <cell r="AY912">
            <v>1</v>
          </cell>
          <cell r="BI912">
            <v>13</v>
          </cell>
        </row>
        <row r="913">
          <cell r="AQ913">
            <v>221.88</v>
          </cell>
          <cell r="AY913">
            <v>8.3333333333333329E-2</v>
          </cell>
          <cell r="BI913">
            <v>9</v>
          </cell>
        </row>
        <row r="914">
          <cell r="AQ914">
            <v>278.20999999999998</v>
          </cell>
          <cell r="AY914">
            <v>0</v>
          </cell>
          <cell r="BI914">
            <v>14</v>
          </cell>
        </row>
        <row r="915">
          <cell r="AQ915">
            <v>344.43</v>
          </cell>
          <cell r="AY915">
            <v>0.2857142857142857</v>
          </cell>
          <cell r="BI915">
            <v>5</v>
          </cell>
        </row>
        <row r="916">
          <cell r="AQ916">
            <v>326.08</v>
          </cell>
          <cell r="AY916">
            <v>0.18181818181818182</v>
          </cell>
          <cell r="BI916">
            <v>8</v>
          </cell>
        </row>
        <row r="917">
          <cell r="AQ917">
            <v>437.97</v>
          </cell>
          <cell r="AY917">
            <v>0</v>
          </cell>
          <cell r="BI917">
            <v>12</v>
          </cell>
        </row>
        <row r="918">
          <cell r="AQ918">
            <v>391.87</v>
          </cell>
          <cell r="AY918">
            <v>0</v>
          </cell>
          <cell r="BI918">
            <v>6</v>
          </cell>
        </row>
        <row r="919">
          <cell r="AQ919">
            <v>333.41</v>
          </cell>
          <cell r="AY919">
            <v>0.33333333333333331</v>
          </cell>
          <cell r="BI919">
            <v>3</v>
          </cell>
        </row>
        <row r="920">
          <cell r="AQ920">
            <v>251.54</v>
          </cell>
          <cell r="AY920">
            <v>0.22222222222222221</v>
          </cell>
          <cell r="BI920">
            <v>1</v>
          </cell>
        </row>
        <row r="921">
          <cell r="AQ921">
            <v>292.08</v>
          </cell>
          <cell r="AY921">
            <v>0.2857142857142857</v>
          </cell>
          <cell r="BI921">
            <v>11</v>
          </cell>
        </row>
        <row r="922">
          <cell r="AQ922">
            <v>204.29</v>
          </cell>
          <cell r="AY922">
            <v>0.18181818181818182</v>
          </cell>
          <cell r="BI922">
            <v>12</v>
          </cell>
        </row>
        <row r="923">
          <cell r="AQ923">
            <v>258.68</v>
          </cell>
          <cell r="AY923">
            <v>0</v>
          </cell>
          <cell r="BI923">
            <v>9</v>
          </cell>
        </row>
        <row r="924">
          <cell r="AQ924">
            <v>258.02</v>
          </cell>
          <cell r="AY924">
            <v>1</v>
          </cell>
          <cell r="BI924">
            <v>13</v>
          </cell>
        </row>
        <row r="925">
          <cell r="AQ925">
            <v>181.87</v>
          </cell>
          <cell r="AY925">
            <v>0.16666666666666666</v>
          </cell>
          <cell r="BI925">
            <v>11</v>
          </cell>
        </row>
        <row r="926">
          <cell r="AQ926">
            <v>81.180000000000007</v>
          </cell>
          <cell r="AY926">
            <v>0.25</v>
          </cell>
          <cell r="BI926">
            <v>3</v>
          </cell>
        </row>
        <row r="927">
          <cell r="AQ927">
            <v>382.94</v>
          </cell>
          <cell r="AY927">
            <v>0</v>
          </cell>
          <cell r="BI927">
            <v>3</v>
          </cell>
        </row>
        <row r="928">
          <cell r="AQ928">
            <v>402.82</v>
          </cell>
          <cell r="AY928">
            <v>0.2857142857142857</v>
          </cell>
          <cell r="BI928">
            <v>13</v>
          </cell>
        </row>
        <row r="929">
          <cell r="AQ929">
            <v>497.76</v>
          </cell>
          <cell r="AY929">
            <v>1</v>
          </cell>
          <cell r="BI929">
            <v>4</v>
          </cell>
        </row>
        <row r="930">
          <cell r="AQ930">
            <v>227.58</v>
          </cell>
          <cell r="AY930">
            <v>0</v>
          </cell>
          <cell r="BI930">
            <v>11</v>
          </cell>
        </row>
        <row r="931">
          <cell r="AQ931">
            <v>263.57</v>
          </cell>
          <cell r="AY931">
            <v>0.5</v>
          </cell>
          <cell r="BI931">
            <v>8</v>
          </cell>
        </row>
        <row r="932">
          <cell r="AQ932">
            <v>422.09</v>
          </cell>
          <cell r="AY932">
            <v>0</v>
          </cell>
          <cell r="BI932">
            <v>7</v>
          </cell>
        </row>
        <row r="933">
          <cell r="AQ933">
            <v>411.83</v>
          </cell>
          <cell r="AY933">
            <v>0.5</v>
          </cell>
          <cell r="BI933">
            <v>10</v>
          </cell>
        </row>
        <row r="934">
          <cell r="AQ934">
            <v>242.65</v>
          </cell>
          <cell r="AY934">
            <v>0.66666666666666663</v>
          </cell>
          <cell r="BI934">
            <v>9</v>
          </cell>
        </row>
        <row r="935">
          <cell r="AQ935">
            <v>298.93</v>
          </cell>
          <cell r="AY935">
            <v>0.33333333333333331</v>
          </cell>
          <cell r="BI935">
            <v>2</v>
          </cell>
        </row>
        <row r="936">
          <cell r="AQ936">
            <v>191.21</v>
          </cell>
          <cell r="AY936">
            <v>0.2857142857142857</v>
          </cell>
          <cell r="BI936">
            <v>13</v>
          </cell>
        </row>
        <row r="937">
          <cell r="AQ937">
            <v>136.66999999999999</v>
          </cell>
          <cell r="AY937">
            <v>0</v>
          </cell>
          <cell r="BI937">
            <v>1</v>
          </cell>
        </row>
        <row r="938">
          <cell r="AQ938">
            <v>324.11</v>
          </cell>
          <cell r="AY938">
            <v>0</v>
          </cell>
          <cell r="BI938">
            <v>7</v>
          </cell>
        </row>
        <row r="939">
          <cell r="AQ939">
            <v>105.64</v>
          </cell>
          <cell r="AY939">
            <v>0.33333333333333331</v>
          </cell>
          <cell r="BI939">
            <v>12</v>
          </cell>
        </row>
        <row r="940">
          <cell r="AQ940">
            <v>295.60000000000002</v>
          </cell>
          <cell r="AY940">
            <v>0</v>
          </cell>
          <cell r="BI940">
            <v>5</v>
          </cell>
        </row>
        <row r="941">
          <cell r="AQ941">
            <v>227.03</v>
          </cell>
          <cell r="AY941">
            <v>0.22222222222222221</v>
          </cell>
          <cell r="BI941">
            <v>4</v>
          </cell>
        </row>
        <row r="942">
          <cell r="AQ942">
            <v>485.77</v>
          </cell>
          <cell r="AY942">
            <v>0.2</v>
          </cell>
          <cell r="BI942">
            <v>6</v>
          </cell>
        </row>
        <row r="943">
          <cell r="AQ943">
            <v>173.43</v>
          </cell>
          <cell r="AY943">
            <v>0.5</v>
          </cell>
          <cell r="BI943">
            <v>14</v>
          </cell>
        </row>
        <row r="944">
          <cell r="AQ944">
            <v>462.96</v>
          </cell>
          <cell r="AY944">
            <v>1</v>
          </cell>
          <cell r="BI944">
            <v>3</v>
          </cell>
        </row>
        <row r="945">
          <cell r="AQ945">
            <v>203.13</v>
          </cell>
          <cell r="AY945">
            <v>0.1</v>
          </cell>
          <cell r="BI945">
            <v>6</v>
          </cell>
        </row>
        <row r="946">
          <cell r="AQ946">
            <v>443.11</v>
          </cell>
          <cell r="AY946">
            <v>0</v>
          </cell>
          <cell r="BI946">
            <v>1</v>
          </cell>
        </row>
        <row r="947">
          <cell r="AQ947">
            <v>254.83</v>
          </cell>
          <cell r="AY947">
            <v>0.5</v>
          </cell>
          <cell r="BI947">
            <v>1</v>
          </cell>
        </row>
        <row r="948">
          <cell r="AQ948">
            <v>336.89</v>
          </cell>
          <cell r="AY948">
            <v>0.25</v>
          </cell>
          <cell r="BI948">
            <v>9</v>
          </cell>
        </row>
        <row r="949">
          <cell r="AQ949">
            <v>337.17</v>
          </cell>
          <cell r="AY949">
            <v>0.125</v>
          </cell>
          <cell r="BI949">
            <v>3</v>
          </cell>
        </row>
        <row r="950">
          <cell r="AQ950">
            <v>429.24</v>
          </cell>
          <cell r="AY950">
            <v>0</v>
          </cell>
          <cell r="BI950">
            <v>13</v>
          </cell>
        </row>
        <row r="951">
          <cell r="AQ951">
            <v>197.7</v>
          </cell>
          <cell r="AY951">
            <v>0.14285714285714285</v>
          </cell>
          <cell r="BI951">
            <v>9</v>
          </cell>
        </row>
        <row r="952">
          <cell r="AQ952">
            <v>336.96</v>
          </cell>
          <cell r="AY952">
            <v>0</v>
          </cell>
          <cell r="BI952">
            <v>7</v>
          </cell>
        </row>
        <row r="953">
          <cell r="AQ953">
            <v>489.81</v>
          </cell>
          <cell r="AY953">
            <v>0</v>
          </cell>
          <cell r="BI953">
            <v>3</v>
          </cell>
        </row>
        <row r="954">
          <cell r="AQ954">
            <v>455.55</v>
          </cell>
          <cell r="AY954">
            <v>0</v>
          </cell>
          <cell r="BI954">
            <v>10</v>
          </cell>
        </row>
        <row r="955">
          <cell r="AQ955">
            <v>266.61</v>
          </cell>
          <cell r="AY955">
            <v>0.66666666666666663</v>
          </cell>
          <cell r="BI955">
            <v>7</v>
          </cell>
        </row>
        <row r="956">
          <cell r="AQ956">
            <v>460.88</v>
          </cell>
          <cell r="AY956">
            <v>0.4</v>
          </cell>
          <cell r="BI956">
            <v>2</v>
          </cell>
        </row>
        <row r="957">
          <cell r="AQ957">
            <v>361.4</v>
          </cell>
          <cell r="AY957">
            <v>0</v>
          </cell>
          <cell r="BI957">
            <v>7</v>
          </cell>
        </row>
        <row r="958">
          <cell r="AQ958">
            <v>51.86</v>
          </cell>
          <cell r="AY958">
            <v>0.5</v>
          </cell>
          <cell r="BI958">
            <v>6</v>
          </cell>
        </row>
        <row r="959">
          <cell r="AQ959">
            <v>310.16000000000003</v>
          </cell>
          <cell r="AY959">
            <v>0</v>
          </cell>
          <cell r="BI959">
            <v>14</v>
          </cell>
        </row>
        <row r="960">
          <cell r="AQ960">
            <v>300.73</v>
          </cell>
          <cell r="AY960">
            <v>0.25</v>
          </cell>
          <cell r="BI960">
            <v>10</v>
          </cell>
        </row>
        <row r="961">
          <cell r="AQ961">
            <v>356.87</v>
          </cell>
          <cell r="AY961">
            <v>8.3333333333333329E-2</v>
          </cell>
          <cell r="BI961">
            <v>10</v>
          </cell>
        </row>
        <row r="962">
          <cell r="AQ962">
            <v>82.37</v>
          </cell>
          <cell r="AY962">
            <v>0</v>
          </cell>
          <cell r="BI962">
            <v>2</v>
          </cell>
        </row>
        <row r="963">
          <cell r="AQ963">
            <v>372.6</v>
          </cell>
          <cell r="AY963">
            <v>0.66666666666666663</v>
          </cell>
          <cell r="BI963">
            <v>10</v>
          </cell>
        </row>
        <row r="964">
          <cell r="AQ964">
            <v>78.319999999999993</v>
          </cell>
          <cell r="AY964">
            <v>0.22222222222222221</v>
          </cell>
          <cell r="BI964">
            <v>7</v>
          </cell>
        </row>
        <row r="965">
          <cell r="AQ965">
            <v>71.72</v>
          </cell>
          <cell r="AY965">
            <v>0.16666666666666666</v>
          </cell>
          <cell r="BI965">
            <v>13</v>
          </cell>
        </row>
        <row r="966">
          <cell r="AQ966">
            <v>241.1</v>
          </cell>
          <cell r="AY966">
            <v>0.16666666666666666</v>
          </cell>
          <cell r="BI966">
            <v>8</v>
          </cell>
        </row>
        <row r="967">
          <cell r="AQ967">
            <v>96.86</v>
          </cell>
          <cell r="AY967">
            <v>0.22222222222222221</v>
          </cell>
          <cell r="BI967">
            <v>7</v>
          </cell>
        </row>
        <row r="968">
          <cell r="AQ968">
            <v>276.25</v>
          </cell>
          <cell r="AY968">
            <v>0.18181818181818182</v>
          </cell>
          <cell r="BI968">
            <v>8</v>
          </cell>
        </row>
        <row r="969">
          <cell r="AQ969">
            <v>318.45</v>
          </cell>
          <cell r="AY969">
            <v>0.2</v>
          </cell>
          <cell r="BI969">
            <v>5</v>
          </cell>
        </row>
        <row r="970">
          <cell r="AQ970">
            <v>117.03</v>
          </cell>
          <cell r="AY970">
            <v>0.33333333333333331</v>
          </cell>
          <cell r="BI970">
            <v>5</v>
          </cell>
        </row>
        <row r="971">
          <cell r="AQ971">
            <v>490.41</v>
          </cell>
          <cell r="AY971">
            <v>0.14285714285714285</v>
          </cell>
          <cell r="BI971">
            <v>5</v>
          </cell>
        </row>
        <row r="972">
          <cell r="AQ972">
            <v>476.42</v>
          </cell>
          <cell r="AY972">
            <v>0</v>
          </cell>
          <cell r="BI972">
            <v>2</v>
          </cell>
        </row>
        <row r="973">
          <cell r="AQ973">
            <v>392.27</v>
          </cell>
          <cell r="AY973">
            <v>0</v>
          </cell>
          <cell r="BI973">
            <v>7</v>
          </cell>
        </row>
        <row r="974">
          <cell r="AQ974">
            <v>207.24</v>
          </cell>
          <cell r="AY974">
            <v>0</v>
          </cell>
          <cell r="BI974">
            <v>3</v>
          </cell>
        </row>
        <row r="975">
          <cell r="AQ975">
            <v>141.63</v>
          </cell>
          <cell r="AY975">
            <v>0.33333333333333331</v>
          </cell>
          <cell r="BI975">
            <v>11</v>
          </cell>
        </row>
        <row r="976">
          <cell r="AQ976">
            <v>244.47</v>
          </cell>
          <cell r="AY976">
            <v>0.2</v>
          </cell>
          <cell r="BI976">
            <v>4</v>
          </cell>
        </row>
        <row r="977">
          <cell r="AQ977">
            <v>251.63</v>
          </cell>
          <cell r="AY977">
            <v>0</v>
          </cell>
          <cell r="BI977">
            <v>10</v>
          </cell>
        </row>
        <row r="978">
          <cell r="AQ978">
            <v>431.78</v>
          </cell>
          <cell r="AY978">
            <v>8.3333333333333329E-2</v>
          </cell>
          <cell r="BI978">
            <v>7</v>
          </cell>
        </row>
        <row r="979">
          <cell r="AQ979">
            <v>303.08999999999997</v>
          </cell>
          <cell r="AY979">
            <v>1</v>
          </cell>
          <cell r="BI979">
            <v>11</v>
          </cell>
        </row>
        <row r="980">
          <cell r="AQ980">
            <v>341.24</v>
          </cell>
          <cell r="AY980">
            <v>0.1111111111111111</v>
          </cell>
          <cell r="BI980">
            <v>4</v>
          </cell>
        </row>
        <row r="981">
          <cell r="AQ981">
            <v>211.39</v>
          </cell>
          <cell r="AY981">
            <v>0</v>
          </cell>
          <cell r="BI981">
            <v>1</v>
          </cell>
        </row>
        <row r="982">
          <cell r="AQ982">
            <v>379.21</v>
          </cell>
          <cell r="AY982">
            <v>0.1111111111111111</v>
          </cell>
          <cell r="BI982">
            <v>1</v>
          </cell>
        </row>
        <row r="983">
          <cell r="AQ983">
            <v>309.52999999999997</v>
          </cell>
          <cell r="AY983">
            <v>0.25</v>
          </cell>
          <cell r="BI983">
            <v>5</v>
          </cell>
        </row>
        <row r="984">
          <cell r="AQ984">
            <v>359.45</v>
          </cell>
          <cell r="AY984">
            <v>0.16666666666666666</v>
          </cell>
          <cell r="BI984">
            <v>11</v>
          </cell>
        </row>
        <row r="985">
          <cell r="AQ985">
            <v>479.62</v>
          </cell>
          <cell r="AY985">
            <v>0.125</v>
          </cell>
          <cell r="BI985">
            <v>10</v>
          </cell>
        </row>
        <row r="986">
          <cell r="AQ986">
            <v>208.6</v>
          </cell>
          <cell r="AY986">
            <v>0</v>
          </cell>
          <cell r="BI986">
            <v>3</v>
          </cell>
        </row>
        <row r="987">
          <cell r="AQ987">
            <v>180.21</v>
          </cell>
          <cell r="AY987">
            <v>0.5</v>
          </cell>
          <cell r="BI987">
            <v>14</v>
          </cell>
        </row>
        <row r="988">
          <cell r="AQ988">
            <v>197.9</v>
          </cell>
          <cell r="AY988">
            <v>0</v>
          </cell>
          <cell r="BI988">
            <v>14</v>
          </cell>
        </row>
        <row r="989">
          <cell r="AQ989">
            <v>362.3</v>
          </cell>
          <cell r="AY989">
            <v>0</v>
          </cell>
          <cell r="BI989">
            <v>6</v>
          </cell>
        </row>
        <row r="990">
          <cell r="AQ990">
            <v>159.53</v>
          </cell>
          <cell r="AY990">
            <v>0</v>
          </cell>
          <cell r="BI990">
            <v>7</v>
          </cell>
        </row>
        <row r="991">
          <cell r="AQ991">
            <v>149.52000000000001</v>
          </cell>
          <cell r="AY991">
            <v>0</v>
          </cell>
          <cell r="BI991">
            <v>8</v>
          </cell>
        </row>
        <row r="992">
          <cell r="AQ992">
            <v>206.32</v>
          </cell>
          <cell r="AY992">
            <v>0</v>
          </cell>
          <cell r="BI992">
            <v>12</v>
          </cell>
        </row>
        <row r="993">
          <cell r="AQ993">
            <v>308.58</v>
          </cell>
          <cell r="AY993">
            <v>0</v>
          </cell>
          <cell r="BI993">
            <v>12</v>
          </cell>
        </row>
        <row r="994">
          <cell r="AQ994">
            <v>91.34</v>
          </cell>
          <cell r="AY994">
            <v>0</v>
          </cell>
          <cell r="BI994">
            <v>6</v>
          </cell>
        </row>
        <row r="995">
          <cell r="AQ995">
            <v>455.44</v>
          </cell>
          <cell r="AY995">
            <v>0.2857142857142857</v>
          </cell>
          <cell r="BI995">
            <v>3</v>
          </cell>
        </row>
        <row r="996">
          <cell r="AQ996">
            <v>468.16</v>
          </cell>
          <cell r="AY996">
            <v>0.125</v>
          </cell>
          <cell r="BI996">
            <v>2</v>
          </cell>
        </row>
        <row r="997">
          <cell r="AQ997">
            <v>463.67</v>
          </cell>
          <cell r="AY997">
            <v>0.4</v>
          </cell>
          <cell r="BI997">
            <v>5</v>
          </cell>
        </row>
        <row r="998">
          <cell r="AQ998">
            <v>69.78</v>
          </cell>
          <cell r="AY998">
            <v>0</v>
          </cell>
          <cell r="BI998">
            <v>9</v>
          </cell>
        </row>
        <row r="999">
          <cell r="AQ999">
            <v>453.37</v>
          </cell>
          <cell r="AY999">
            <v>0</v>
          </cell>
          <cell r="BI999">
            <v>9</v>
          </cell>
        </row>
        <row r="1000">
          <cell r="AQ1000">
            <v>106.15</v>
          </cell>
          <cell r="AY1000">
            <v>0</v>
          </cell>
          <cell r="BI1000">
            <v>8</v>
          </cell>
        </row>
        <row r="1001">
          <cell r="AQ1001">
            <v>378.47</v>
          </cell>
          <cell r="AY1001">
            <v>0.16666666666666666</v>
          </cell>
          <cell r="BI1001">
            <v>2</v>
          </cell>
        </row>
      </sheetData>
      <sheetData sheetId="3" refreshError="1"/>
      <sheetData sheetId="4" refreshError="1"/>
      <sheetData sheetId="5" refreshError="1"/>
      <sheetData sheetId="6" refreshError="1"/>
      <sheetData sheetId="7" refreshError="1"/>
      <sheetData sheetId="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Marwa%20-%20Operational%20Performance%20(Final%20Dashboar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Azzam" refreshedDate="45900.799025810185" createdVersion="8" refreshedVersion="8" minRefreshableVersion="3" recordCount="997" xr:uid="{5C46236D-DEE0-4077-A67B-588A134A8626}">
  <cacheSource type="worksheet">
    <worksheetSource name="tbl_CleanedData"/>
  </cacheSource>
  <cacheFields count="33">
    <cacheField name="Customer_ID" numFmtId="0">
      <sharedItems/>
    </cacheField>
    <cacheField name="Age" numFmtId="0">
      <sharedItems containsSemiMixedTypes="0" containsString="0" containsNumber="1" containsInteger="1" minValue="18" maxValue="50"/>
    </cacheField>
    <cacheField name="Age Category" numFmtId="0">
      <sharedItems count="4">
        <s v="20-29"/>
        <s v="40-50"/>
        <s v="30-39"/>
        <s v="10-19"/>
      </sharedItems>
    </cacheField>
    <cacheField name="Gender" numFmtId="0">
      <sharedItems count="8">
        <s v="Female"/>
        <s v="Male"/>
        <s v="Bigender"/>
        <s v="Genderfluid"/>
        <s v="Non-binary"/>
        <s v="Polygender"/>
        <s v="Agender"/>
        <s v="Genderqueer"/>
      </sharedItems>
    </cacheField>
    <cacheField name="Income_Level" numFmtId="0">
      <sharedItems count="2">
        <s v="Middle"/>
        <s v="High"/>
      </sharedItems>
    </cacheField>
    <cacheField name="Marital_Status" numFmtId="0">
      <sharedItems/>
    </cacheField>
    <cacheField name="Education_Level" numFmtId="0">
      <sharedItems/>
    </cacheField>
    <cacheField name="Occupation" numFmtId="0">
      <sharedItems count="2">
        <s v="Middle"/>
        <s v="High"/>
      </sharedItems>
    </cacheField>
    <cacheField name="City" numFmtId="0">
      <sharedItems/>
    </cacheField>
    <cacheField name="Country" numFmtId="0">
      <sharedItems count="134">
        <s v="France"/>
        <s v="China"/>
        <s v="Nicaragua"/>
        <s v="Japan"/>
        <s v="Indonesia"/>
        <s v="Sweden"/>
        <s v="Russia"/>
        <s v="Belize"/>
        <s v="Hungary"/>
        <s v="Ukraine"/>
        <s v="United States"/>
        <s v="India"/>
        <s v="Canada"/>
        <s v="Spain"/>
        <s v="Brazil"/>
        <s v="Egypt"/>
        <s v="Czech Republic"/>
        <s v="Ireland"/>
        <s v="Poland"/>
        <s v="Philippines"/>
        <s v="Palestine"/>
        <s v="Uruguay"/>
        <s v="Guatemala"/>
        <s v="United Kingdom"/>
        <s v="Greece"/>
        <s v="Belgium"/>
        <s v="Portugal"/>
        <s v="Turkey"/>
        <s v="Puerto Rico"/>
        <s v="Nigeria"/>
        <s v="Kyrgyzstan"/>
        <s v="Cuba"/>
        <s v="Bolivia"/>
        <s v="Haiti"/>
        <s v="Mongolia"/>
        <s v="Honduras"/>
        <s v="Bangladesh"/>
        <s v="Albania"/>
        <s v="Colombia"/>
        <s v="Cameroon"/>
        <s v="Mexico"/>
        <s v="Yemen"/>
        <s v="Peru"/>
        <s v="South Korea"/>
        <s v="Libya"/>
        <s v="Italy"/>
        <s v="Norway"/>
        <s v="Serbia"/>
        <s v="Sri Lanka"/>
        <s v="Mali"/>
        <s v="Czechia"/>
        <s v="Pakistan"/>
        <s v="Luxembourg"/>
        <s v="Sudan"/>
        <s v="Algeria"/>
        <s v="Slovenia"/>
        <s v="Argentina"/>
        <s v="Kosovo"/>
        <s v="Germany"/>
        <s v="Jamaica"/>
        <s v="Finland"/>
        <s v="Thailand"/>
        <s v="Kazakhstan"/>
        <s v="Jordan"/>
        <s v="Kenya"/>
        <s v="Lithuania"/>
        <s v="New Zealand"/>
        <s v="Panama"/>
        <s v="Malaysia"/>
        <s v="Liberia"/>
        <s v="Tajikistan"/>
        <s v="Chile"/>
        <s v="Ghana"/>
        <s v="Ecuador"/>
        <s v="Afghanistan"/>
        <s v="Taiwan"/>
        <s v="Israel"/>
        <s v="South Africa"/>
        <s v="Iran"/>
        <s v="Morocco"/>
        <s v="Tunisia"/>
        <s v="Madagascar"/>
        <s v="Uganda"/>
        <s v="Burkina Faso"/>
        <s v="Vietnam"/>
        <s v="Gabon"/>
        <s v="Western Sahara"/>
        <s v="Malawi"/>
        <s v="Turks and Caicos Islands"/>
        <s v="Azerbaijan"/>
        <s v="Bosnia and Herzegovina"/>
        <s v="South Sudan"/>
        <s v="Uzbekistan"/>
        <s v="Netherlands"/>
        <s v="Dominican Republic"/>
        <s v="Trinidad and Tobago"/>
        <s v="Australia"/>
        <s v="Cape Verde"/>
        <s v="Bulgaria"/>
        <s v="Zimbabwe"/>
        <s v="Malta"/>
        <s v="Rwanda"/>
        <s v="Comoros"/>
        <s v="North Macedonia"/>
        <s v="Brunei"/>
        <s v="Denmark"/>
        <s v="Myanmar"/>
        <s v="Dominica"/>
        <s v="Belarus"/>
        <s v="Northern Ireland, United Kingdom"/>
        <s v="Angola"/>
        <s v="El Salvador"/>
        <s v="Tanzania"/>
        <s v="Vanuatu"/>
        <s v="Ethiopia"/>
        <s v="Saudi Arabia"/>
        <s v="Venezuela"/>
        <s v="Zambia"/>
        <s v="Côte d’Ivoire"/>
        <s v="Mauritius"/>
        <s v="Syria"/>
        <s v="Armenia"/>
        <s v="North Korea"/>
        <s v="Equatorial Guinea"/>
        <s v="Hong Kong"/>
        <s v="Benin"/>
        <s v="Austria"/>
        <s v="Nepal"/>
        <s v="Micronesia"/>
        <s v="Sierra Leone"/>
        <s v="Botswana"/>
        <s v="Central African Republic"/>
        <s v="Costa Rica"/>
        <s v="Unable to determine" u="1"/>
      </sharedItems>
    </cacheField>
    <cacheField name="Purchase_Category" numFmtId="0">
      <sharedItems count="24">
        <s v="Gardening &amp; Outdoors"/>
        <s v="Food &amp; Beverages"/>
        <s v="Office Supplies"/>
        <s v="Home Appliances"/>
        <s v="Furniture"/>
        <s v="Books"/>
        <s v="Sports &amp; Outdoors"/>
        <s v="Mobile Accessories"/>
        <s v="Luxury Goods"/>
        <s v="Animal Feed"/>
        <s v="Health Care"/>
        <s v="Hotels"/>
        <s v="Packages)"/>
        <s v="Electronics"/>
        <s v="Software &amp; Apps"/>
        <s v="Baby Products"/>
        <s v="Toys &amp; Games"/>
        <s v="Arts &amp; Crafts"/>
        <s v="Health Supplements"/>
        <s v="Groceries"/>
        <s v="Clothing"/>
        <s v="Beauty &amp; Personal Care"/>
        <s v="Travel &amp; Leisure (Flights"/>
        <s v="Jewelry &amp; Accessories"/>
      </sharedItems>
    </cacheField>
    <cacheField name="Purchase_Amount " numFmtId="44">
      <sharedItems containsSemiMixedTypes="0" containsString="0" containsNumber="1" minValue="50.71" maxValue="498.33"/>
    </cacheField>
    <cacheField name="Frequency_of_Purchase" numFmtId="0">
      <sharedItems containsSemiMixedTypes="0" containsString="0" containsNumber="1" containsInteger="1" minValue="2" maxValue="12"/>
    </cacheField>
    <cacheField name="Purchase_Channel" numFmtId="0">
      <sharedItems count="3">
        <s v="Mixed"/>
        <s v="In-Store"/>
        <s v="Online"/>
      </sharedItems>
    </cacheField>
    <cacheField name="Brand_Loyalty" numFmtId="0">
      <sharedItems containsSemiMixedTypes="0" containsString="0" containsNumber="1" containsInteger="1" minValue="1" maxValue="5"/>
    </cacheField>
    <cacheField name="Product_Rating" numFmtId="0">
      <sharedItems containsSemiMixedTypes="0" containsString="0" containsNumber="1" containsInteger="1" minValue="1" maxValue="5"/>
    </cacheField>
    <cacheField name="Time_Spent_on_Product_Research(Minutes)" numFmtId="0">
      <sharedItems containsSemiMixedTypes="0" containsString="0" containsNumber="1" minValue="0" maxValue="120"/>
    </cacheField>
    <cacheField name="Social_Media_Influence" numFmtId="0">
      <sharedItems count="4">
        <s v="None"/>
        <s v="Medium"/>
        <s v="Low"/>
        <s v="High"/>
      </sharedItems>
    </cacheField>
    <cacheField name="Discount_Sensitivity" numFmtId="0">
      <sharedItems count="3">
        <s v="Somewhat Sensitive"/>
        <s v="Not Sensitive"/>
        <s v="Very Sensitive"/>
      </sharedItems>
    </cacheField>
    <cacheField name="Return_Rate" numFmtId="9">
      <sharedItems containsSemiMixedTypes="0" containsString="0" containsNumber="1" minValue="0" maxValue="1"/>
    </cacheField>
    <cacheField name="Customer_Satisfaction" numFmtId="0">
      <sharedItems containsSemiMixedTypes="0" containsString="0" containsNumber="1" containsInteger="1" minValue="1" maxValue="10"/>
    </cacheField>
    <cacheField name="Engagement_with_Ads" numFmtId="0">
      <sharedItems count="4">
        <s v="None"/>
        <s v="High"/>
        <s v="Low"/>
        <s v="Medium"/>
      </sharedItems>
    </cacheField>
    <cacheField name="Device_Used_for_Shopping" numFmtId="0">
      <sharedItems/>
    </cacheField>
    <cacheField name="Payment_Method" numFmtId="0">
      <sharedItems count="5">
        <s v="Credit Card"/>
        <s v="PayPal"/>
        <s v="Debit Card"/>
        <s v="Other"/>
        <s v="Cash"/>
      </sharedItems>
    </cacheField>
    <cacheField name="Time_of_Purchase" numFmtId="14">
      <sharedItems containsSemiMixedTypes="0" containsNonDate="0" containsDate="1" containsString="0" minDate="2024-01-01T00:00:00" maxDate="2024-12-31T00:00:00"/>
    </cacheField>
    <cacheField name="Discount_Used" numFmtId="0">
      <sharedItems count="2">
        <s v="Yes"/>
        <s v="No"/>
      </sharedItems>
    </cacheField>
    <cacheField name="Customer_Loyalty_Program_Member" numFmtId="0">
      <sharedItems/>
    </cacheField>
    <cacheField name="Purchase_Intent" numFmtId="0">
      <sharedItems count="4">
        <s v="Need-based"/>
        <s v="Wants-based"/>
        <s v="Impulsive"/>
        <s v="Planned"/>
      </sharedItems>
    </cacheField>
    <cacheField name="Shipping_Preference" numFmtId="0">
      <sharedItems count="3">
        <s v="No Preference"/>
        <s v="Standard"/>
        <s v="Express"/>
      </sharedItems>
    </cacheField>
    <cacheField name="Time_to_Decision" numFmtId="0">
      <sharedItems containsSemiMixedTypes="0" containsString="0" containsNumber="1" containsInteger="1" minValue="1" maxValue="14"/>
    </cacheField>
    <cacheField name="Purchase_Month" numFmtId="0">
      <sharedItems count="12">
        <s v="March"/>
        <s v="April"/>
        <s v="October"/>
        <s v="January"/>
        <s v="June"/>
        <s v="July"/>
        <s v="December"/>
        <s v="August"/>
        <s v="February"/>
        <s v="May"/>
        <s v="September"/>
        <s v="November"/>
      </sharedItems>
    </cacheField>
    <cacheField name="Purchase_Quarter" numFmtId="0">
      <sharedItems/>
    </cacheField>
    <cacheField name="Continent" numFmtId="0">
      <sharedItems count="8">
        <s v="Europe"/>
        <s v="Asia"/>
        <s v="North America"/>
        <s v="Europe/Asia"/>
        <s v="South America"/>
        <s v="Africa"/>
        <s v="Oceania"/>
        <s v="—" u="1"/>
      </sharedItems>
    </cacheField>
  </cacheFields>
  <extLst>
    <ext xmlns:x14="http://schemas.microsoft.com/office/spreadsheetml/2009/9/main" uri="{725AE2AE-9491-48be-B2B4-4EB974FC3084}">
      <x14:pivotCacheDefinition pivotCacheId="4366727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wa abozeid" refreshedDate="45894.673894907406" createdVersion="8" refreshedVersion="8" minRefreshableVersion="3" recordCount="1000" xr:uid="{7B3247A3-90B9-4BCA-BF9B-EB0A3C611831}">
  <cacheSource type="worksheet">
    <worksheetSource name="tbl_CleanedData" r:id="rId2"/>
  </cacheSource>
  <cacheFields count="32">
    <cacheField name="Customer_ID" numFmtId="0">
      <sharedItems/>
    </cacheField>
    <cacheField name="Age" numFmtId="0">
      <sharedItems containsSemiMixedTypes="0" containsString="0" containsNumber="1" containsInteger="1" minValue="18" maxValue="50" count="33">
        <n v="22"/>
        <n v="49"/>
        <n v="24"/>
        <n v="29"/>
        <n v="33"/>
        <n v="45"/>
        <n v="21"/>
        <n v="39"/>
        <n v="25"/>
        <n v="38"/>
        <n v="34"/>
        <n v="32"/>
        <n v="30"/>
        <n v="40"/>
        <n v="37"/>
        <n v="36"/>
        <n v="31"/>
        <n v="50"/>
        <n v="48"/>
        <n v="46"/>
        <n v="43"/>
        <n v="42"/>
        <n v="35"/>
        <n v="27"/>
        <n v="19"/>
        <n v="23"/>
        <n v="47"/>
        <n v="18"/>
        <n v="20"/>
        <n v="26"/>
        <n v="41"/>
        <n v="28"/>
        <n v="44"/>
      </sharedItems>
    </cacheField>
    <cacheField name="Age Category" numFmtId="0">
      <sharedItems count="4">
        <s v="20-29"/>
        <s v="40-50"/>
        <s v="30-39"/>
        <s v="10-19"/>
      </sharedItems>
    </cacheField>
    <cacheField name="Gender" numFmtId="0">
      <sharedItems count="8">
        <s v="Female"/>
        <s v="Male"/>
        <s v="Bigender"/>
        <s v="Genderfluid"/>
        <s v="Non-binary"/>
        <s v="Polygender"/>
        <s v="Agender"/>
        <s v="Genderqueer"/>
      </sharedItems>
    </cacheField>
    <cacheField name="Income_Level" numFmtId="0">
      <sharedItems count="2">
        <s v="Middle"/>
        <s v="High"/>
      </sharedItems>
    </cacheField>
    <cacheField name="Marital_Status" numFmtId="0">
      <sharedItems count="4">
        <s v="Married"/>
        <s v="Single"/>
        <s v="Widowed"/>
        <s v="Divorced"/>
      </sharedItems>
    </cacheField>
    <cacheField name="Education_Level" numFmtId="0">
      <sharedItems count="3">
        <s v="Bachelor's"/>
        <s v="High School"/>
        <s v="Master's"/>
      </sharedItems>
    </cacheField>
    <cacheField name="Occupation" numFmtId="0">
      <sharedItems/>
    </cacheField>
    <cacheField name="City" numFmtId="0">
      <sharedItems/>
    </cacheField>
    <cacheField name="Country" numFmtId="0">
      <sharedItems/>
    </cacheField>
    <cacheField name="Purchase_Category" numFmtId="0">
      <sharedItems count="24">
        <s v="Gardening &amp; Outdoors"/>
        <s v="Food &amp; Beverages"/>
        <s v="Office Supplies"/>
        <s v="Home Appliances"/>
        <s v="Furniture"/>
        <s v="Books"/>
        <s v="Sports &amp; Outdoors"/>
        <s v="Mobile Accessories"/>
        <s v="Luxury Goods"/>
        <s v="Animal Feed"/>
        <s v="Health Care"/>
        <s v="Hotels"/>
        <s v="Packages)"/>
        <s v="Electronics"/>
        <s v="Software &amp; Apps"/>
        <s v="Baby Products"/>
        <s v="Toys &amp; Games"/>
        <s v="Arts &amp; Crafts"/>
        <s v="Health Supplements"/>
        <s v="Groceries"/>
        <s v="Clothing"/>
        <s v="Beauty &amp; Personal Care"/>
        <s v="Travel &amp; Leisure (Flights"/>
        <s v="Jewelry &amp; Accessories"/>
      </sharedItems>
    </cacheField>
    <cacheField name="Purchase_Amount " numFmtId="44">
      <sharedItems containsSemiMixedTypes="0" containsString="0" containsNumber="1" minValue="50.71" maxValue="498.33"/>
    </cacheField>
    <cacheField name="Frequency_of_Purchase" numFmtId="0">
      <sharedItems containsSemiMixedTypes="0" containsString="0" containsNumber="1" containsInteger="1" minValue="2" maxValue="12"/>
    </cacheField>
    <cacheField name="Purchase_Channel" numFmtId="0">
      <sharedItems/>
    </cacheField>
    <cacheField name="Brand_Loyalty" numFmtId="0">
      <sharedItems containsSemiMixedTypes="0" containsString="0" containsNumber="1" containsInteger="1" minValue="1" maxValue="5"/>
    </cacheField>
    <cacheField name="Product_Rating" numFmtId="0">
      <sharedItems containsSemiMixedTypes="0" containsString="0" containsNumber="1" containsInteger="1" minValue="1" maxValue="5"/>
    </cacheField>
    <cacheField name="Time_Spent_on_Product_Research(Minutes)" numFmtId="0">
      <sharedItems containsSemiMixedTypes="0" containsString="0" containsNumber="1" minValue="0" maxValue="120"/>
    </cacheField>
    <cacheField name="Social_Media_Influence" numFmtId="0">
      <sharedItems/>
    </cacheField>
    <cacheField name="Discount_Sensitivity" numFmtId="0">
      <sharedItems/>
    </cacheField>
    <cacheField name="Return_Rate" numFmtId="9">
      <sharedItems containsSemiMixedTypes="0" containsString="0" containsNumber="1" minValue="0" maxValue="1"/>
    </cacheField>
    <cacheField name="Customer_Satisfaction" numFmtId="0">
      <sharedItems containsSemiMixedTypes="0" containsString="0" containsNumber="1" containsInteger="1" minValue="1" maxValue="10" count="10">
        <n v="7"/>
        <n v="5"/>
        <n v="1"/>
        <n v="10"/>
        <n v="3"/>
        <n v="9"/>
        <n v="2"/>
        <n v="4"/>
        <n v="8"/>
        <n v="6"/>
      </sharedItems>
    </cacheField>
    <cacheField name="Engagement_with_Ads" numFmtId="0">
      <sharedItems/>
    </cacheField>
    <cacheField name="Device_Used_for_Shopping" numFmtId="0">
      <sharedItems count="3">
        <s v="Tablet"/>
        <s v="Smartphone"/>
        <s v="Desktop"/>
      </sharedItems>
    </cacheField>
    <cacheField name="Payment_Method" numFmtId="0">
      <sharedItems/>
    </cacheField>
    <cacheField name="Time_of_Purchase" numFmtId="14">
      <sharedItems containsSemiMixedTypes="0" containsNonDate="0" containsDate="1" containsString="0" minDate="2024-01-01T00:00:00" maxDate="2024-12-31T00:00:00"/>
    </cacheField>
    <cacheField name="Discount_Used" numFmtId="0">
      <sharedItems count="2">
        <s v="Yes"/>
        <s v="No"/>
      </sharedItems>
    </cacheField>
    <cacheField name="Customer_Loyalty_Program_Member" numFmtId="0">
      <sharedItems count="2">
        <s v="No"/>
        <s v="Yes"/>
      </sharedItems>
    </cacheField>
    <cacheField name="Purchase_Intent" numFmtId="0">
      <sharedItems count="4">
        <s v="Need-based"/>
        <s v="Wants-based"/>
        <s v="Impulsive"/>
        <s v="Planned"/>
      </sharedItems>
    </cacheField>
    <cacheField name="Shipping_Preference" numFmtId="0">
      <sharedItems count="3">
        <s v="No Preference"/>
        <s v="Standard"/>
        <s v="Express"/>
      </sharedItems>
    </cacheField>
    <cacheField name="Time_to_Decision" numFmtId="0">
      <sharedItems containsSemiMixedTypes="0" containsString="0" containsNumber="1" containsInteger="1" minValue="1" maxValue="14"/>
    </cacheField>
    <cacheField name="Purchase_Month" numFmtId="0">
      <sharedItems count="12">
        <s v="March"/>
        <s v="April"/>
        <s v="October"/>
        <s v="January"/>
        <s v="June"/>
        <s v="July"/>
        <s v="December"/>
        <s v="August"/>
        <s v="February"/>
        <s v="May"/>
        <s v="September"/>
        <s v="November"/>
      </sharedItems>
    </cacheField>
    <cacheField name="Purchase_Quarter" numFmtId="0">
      <sharedItems/>
    </cacheField>
  </cacheFields>
  <extLst>
    <ext xmlns:x14="http://schemas.microsoft.com/office/spreadsheetml/2009/9/main" uri="{725AE2AE-9491-48be-B2B4-4EB974FC3084}">
      <x14:pivotCacheDefinition pivotCacheId="1921350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
  <r>
    <s v="37-611-6911"/>
    <n v="22"/>
    <x v="0"/>
    <x v="0"/>
    <x v="0"/>
    <s v="Married"/>
    <s v="Bachelor's"/>
    <x v="0"/>
    <s v="Évry"/>
    <x v="0"/>
    <x v="0"/>
    <n v="333.8"/>
    <n v="4"/>
    <x v="0"/>
    <n v="5"/>
    <n v="5"/>
    <n v="120"/>
    <x v="0"/>
    <x v="0"/>
    <n v="0.25"/>
    <n v="7"/>
    <x v="0"/>
    <s v="Tablet"/>
    <x v="0"/>
    <d v="2024-03-01T00:00:00"/>
    <x v="0"/>
    <s v="No"/>
    <x v="0"/>
    <x v="0"/>
    <n v="2"/>
    <x v="0"/>
    <s v="Qtr-1"/>
    <x v="0"/>
  </r>
  <r>
    <s v="29-392-9296"/>
    <n v="49"/>
    <x v="1"/>
    <x v="1"/>
    <x v="1"/>
    <s v="Married"/>
    <s v="High School"/>
    <x v="1"/>
    <s v="Huocheng"/>
    <x v="1"/>
    <x v="1"/>
    <n v="222.22"/>
    <n v="11"/>
    <x v="1"/>
    <n v="3"/>
    <n v="1"/>
    <n v="120"/>
    <x v="1"/>
    <x v="1"/>
    <n v="9.0909090909090912E-2"/>
    <n v="5"/>
    <x v="1"/>
    <s v="Tablet"/>
    <x v="1"/>
    <d v="2024-04-16T00:00:00"/>
    <x v="0"/>
    <s v="No"/>
    <x v="1"/>
    <x v="1"/>
    <n v="6"/>
    <x v="1"/>
    <s v="Qtr-2"/>
    <x v="1"/>
  </r>
  <r>
    <s v="84-649-5117"/>
    <n v="24"/>
    <x v="0"/>
    <x v="0"/>
    <x v="0"/>
    <s v="Single"/>
    <s v="Master's"/>
    <x v="1"/>
    <s v="Huzhen"/>
    <x v="1"/>
    <x v="2"/>
    <n v="426.22"/>
    <n v="2"/>
    <x v="0"/>
    <n v="5"/>
    <n v="5"/>
    <n v="18"/>
    <x v="2"/>
    <x v="1"/>
    <n v="0.5"/>
    <n v="7"/>
    <x v="2"/>
    <s v="Smartphone"/>
    <x v="2"/>
    <d v="2024-03-15T00:00:00"/>
    <x v="0"/>
    <s v="Yes"/>
    <x v="2"/>
    <x v="0"/>
    <n v="3"/>
    <x v="0"/>
    <s v="Qtr-1"/>
    <x v="1"/>
  </r>
  <r>
    <s v="48-980-6078"/>
    <n v="29"/>
    <x v="0"/>
    <x v="0"/>
    <x v="0"/>
    <s v="Single"/>
    <s v="Master's"/>
    <x v="0"/>
    <s v="Wiwilí"/>
    <x v="2"/>
    <x v="3"/>
    <n v="101.31"/>
    <n v="6"/>
    <x v="0"/>
    <n v="3"/>
    <n v="1"/>
    <n v="60"/>
    <x v="3"/>
    <x v="0"/>
    <n v="0"/>
    <n v="1"/>
    <x v="0"/>
    <s v="Smartphone"/>
    <x v="3"/>
    <d v="2024-10-04T00:00:00"/>
    <x v="0"/>
    <s v="Yes"/>
    <x v="0"/>
    <x v="2"/>
    <n v="10"/>
    <x v="2"/>
    <s v="Qtr-4"/>
    <x v="2"/>
  </r>
  <r>
    <s v="91-170-9072"/>
    <n v="33"/>
    <x v="2"/>
    <x v="0"/>
    <x v="0"/>
    <s v="Widowed"/>
    <s v="High School"/>
    <x v="0"/>
    <s v="Nara"/>
    <x v="3"/>
    <x v="4"/>
    <n v="211.7"/>
    <n v="6"/>
    <x v="0"/>
    <n v="3"/>
    <n v="4"/>
    <n v="0"/>
    <x v="1"/>
    <x v="1"/>
    <n v="0.33333333333333331"/>
    <n v="10"/>
    <x v="0"/>
    <s v="Smartphone"/>
    <x v="2"/>
    <d v="2024-01-30T00:00:00"/>
    <x v="1"/>
    <s v="No"/>
    <x v="1"/>
    <x v="0"/>
    <n v="4"/>
    <x v="3"/>
    <s v="Qtr-1"/>
    <x v="1"/>
  </r>
  <r>
    <s v="82-561-4233"/>
    <n v="45"/>
    <x v="1"/>
    <x v="1"/>
    <x v="0"/>
    <s v="Married"/>
    <s v="Master's"/>
    <x v="1"/>
    <s v="Boro Utara"/>
    <x v="4"/>
    <x v="2"/>
    <n v="487.95"/>
    <n v="8"/>
    <x v="0"/>
    <n v="3"/>
    <n v="3"/>
    <n v="0"/>
    <x v="3"/>
    <x v="1"/>
    <n v="0.25"/>
    <n v="3"/>
    <x v="0"/>
    <s v="Tablet"/>
    <x v="2"/>
    <d v="2024-03-19T00:00:00"/>
    <x v="1"/>
    <s v="No"/>
    <x v="3"/>
    <x v="0"/>
    <n v="7"/>
    <x v="0"/>
    <s v="Qtr-1"/>
    <x v="1"/>
  </r>
  <r>
    <s v="90-144-9193"/>
    <n v="21"/>
    <x v="0"/>
    <x v="0"/>
    <x v="0"/>
    <s v="Divorced"/>
    <s v="High School"/>
    <x v="0"/>
    <s v="Liren"/>
    <x v="1"/>
    <x v="4"/>
    <n v="486.4"/>
    <n v="12"/>
    <x v="2"/>
    <n v="2"/>
    <n v="5"/>
    <n v="60"/>
    <x v="3"/>
    <x v="0"/>
    <n v="0"/>
    <n v="9"/>
    <x v="2"/>
    <s v="Desktop"/>
    <x v="2"/>
    <d v="2024-03-15T00:00:00"/>
    <x v="0"/>
    <s v="No"/>
    <x v="0"/>
    <x v="2"/>
    <n v="13"/>
    <x v="0"/>
    <s v="Qtr-1"/>
    <x v="1"/>
  </r>
  <r>
    <s v="88-661-4689"/>
    <n v="39"/>
    <x v="2"/>
    <x v="1"/>
    <x v="0"/>
    <s v="Single"/>
    <s v="High School"/>
    <x v="0"/>
    <s v="Taocheng"/>
    <x v="1"/>
    <x v="5"/>
    <n v="218.06"/>
    <n v="6"/>
    <x v="2"/>
    <n v="5"/>
    <n v="4"/>
    <n v="60"/>
    <x v="2"/>
    <x v="0"/>
    <n v="0.33333333333333331"/>
    <n v="9"/>
    <x v="0"/>
    <s v="Desktop"/>
    <x v="0"/>
    <d v="2024-03-17T00:00:00"/>
    <x v="1"/>
    <s v="Yes"/>
    <x v="2"/>
    <x v="0"/>
    <n v="13"/>
    <x v="0"/>
    <s v="Qtr-1"/>
    <x v="1"/>
  </r>
  <r>
    <s v="37-065-3182"/>
    <n v="24"/>
    <x v="0"/>
    <x v="0"/>
    <x v="1"/>
    <s v="Divorced"/>
    <s v="Master's"/>
    <x v="0"/>
    <s v="Gråbo"/>
    <x v="5"/>
    <x v="2"/>
    <n v="201.96"/>
    <n v="8"/>
    <x v="1"/>
    <n v="3"/>
    <n v="5"/>
    <n v="0"/>
    <x v="2"/>
    <x v="2"/>
    <n v="0.125"/>
    <n v="2"/>
    <x v="1"/>
    <s v="Desktop"/>
    <x v="4"/>
    <d v="2024-06-10T00:00:00"/>
    <x v="1"/>
    <s v="No"/>
    <x v="0"/>
    <x v="1"/>
    <n v="7"/>
    <x v="4"/>
    <s v="Qtr-2"/>
    <x v="0"/>
  </r>
  <r>
    <s v="84-894-9222"/>
    <n v="25"/>
    <x v="0"/>
    <x v="2"/>
    <x v="1"/>
    <s v="Married"/>
    <s v="Bachelor's"/>
    <x v="1"/>
    <s v="Pryamitsyno"/>
    <x v="6"/>
    <x v="6"/>
    <n v="418.83"/>
    <n v="7"/>
    <x v="2"/>
    <n v="2"/>
    <n v="5"/>
    <n v="60"/>
    <x v="0"/>
    <x v="0"/>
    <n v="0.14285714285714285"/>
    <n v="5"/>
    <x v="3"/>
    <s v="Tablet"/>
    <x v="1"/>
    <d v="2024-10-07T00:00:00"/>
    <x v="0"/>
    <s v="No"/>
    <x v="0"/>
    <x v="0"/>
    <n v="13"/>
    <x v="2"/>
    <s v="Qtr-4"/>
    <x v="3"/>
  </r>
  <r>
    <s v="44-674-4037"/>
    <n v="33"/>
    <x v="2"/>
    <x v="1"/>
    <x v="0"/>
    <s v="Divorced"/>
    <s v="Bachelor's"/>
    <x v="0"/>
    <s v="Punta Gorda"/>
    <x v="7"/>
    <x v="7"/>
    <n v="389.7"/>
    <n v="12"/>
    <x v="1"/>
    <n v="1"/>
    <n v="4"/>
    <n v="30"/>
    <x v="2"/>
    <x v="1"/>
    <n v="0"/>
    <n v="4"/>
    <x v="1"/>
    <s v="Desktop"/>
    <x v="1"/>
    <d v="2024-07-02T00:00:00"/>
    <x v="0"/>
    <s v="No"/>
    <x v="3"/>
    <x v="2"/>
    <n v="12"/>
    <x v="5"/>
    <s v="Qtr-3"/>
    <x v="2"/>
  </r>
  <r>
    <s v="78-116-8349"/>
    <n v="38"/>
    <x v="2"/>
    <x v="0"/>
    <x v="1"/>
    <s v="Widowed"/>
    <s v="Bachelor's"/>
    <x v="0"/>
    <s v="Gyar"/>
    <x v="8"/>
    <x v="6"/>
    <n v="238.93"/>
    <n v="5"/>
    <x v="2"/>
    <n v="4"/>
    <n v="3"/>
    <n v="60"/>
    <x v="1"/>
    <x v="2"/>
    <n v="0"/>
    <n v="10"/>
    <x v="1"/>
    <s v="Tablet"/>
    <x v="4"/>
    <d v="2024-12-27T00:00:00"/>
    <x v="0"/>
    <s v="No"/>
    <x v="3"/>
    <x v="0"/>
    <n v="1"/>
    <x v="6"/>
    <s v="Qtr-4"/>
    <x v="0"/>
  </r>
  <r>
    <s v="19-933-8095"/>
    <n v="34"/>
    <x v="2"/>
    <x v="1"/>
    <x v="0"/>
    <s v="Single"/>
    <s v="Bachelor's"/>
    <x v="1"/>
    <s v="Gaosheng"/>
    <x v="1"/>
    <x v="8"/>
    <n v="61.22"/>
    <n v="7"/>
    <x v="1"/>
    <n v="5"/>
    <n v="2"/>
    <n v="120"/>
    <x v="2"/>
    <x v="2"/>
    <n v="0.14285714285714285"/>
    <n v="7"/>
    <x v="1"/>
    <s v="Desktop"/>
    <x v="2"/>
    <d v="2024-08-05T00:00:00"/>
    <x v="0"/>
    <s v="Yes"/>
    <x v="0"/>
    <x v="0"/>
    <n v="5"/>
    <x v="7"/>
    <s v="Qtr-3"/>
    <x v="1"/>
  </r>
  <r>
    <s v="80-684-5072"/>
    <n v="32"/>
    <x v="2"/>
    <x v="1"/>
    <x v="1"/>
    <s v="Married"/>
    <s v="High School"/>
    <x v="0"/>
    <s v="Rokytne"/>
    <x v="9"/>
    <x v="9"/>
    <n v="79.81"/>
    <n v="4"/>
    <x v="0"/>
    <n v="5"/>
    <n v="5"/>
    <n v="0"/>
    <x v="3"/>
    <x v="1"/>
    <n v="0"/>
    <n v="9"/>
    <x v="1"/>
    <s v="Smartphone"/>
    <x v="2"/>
    <d v="2024-07-16T00:00:00"/>
    <x v="1"/>
    <s v="Yes"/>
    <x v="1"/>
    <x v="1"/>
    <n v="14"/>
    <x v="5"/>
    <s v="Qtr-3"/>
    <x v="0"/>
  </r>
  <r>
    <s v="23-302-7502"/>
    <n v="30"/>
    <x v="2"/>
    <x v="0"/>
    <x v="1"/>
    <s v="Widowed"/>
    <s v="High School"/>
    <x v="1"/>
    <s v="Alameda"/>
    <x v="10"/>
    <x v="10"/>
    <n v="58.51"/>
    <n v="2"/>
    <x v="2"/>
    <n v="4"/>
    <n v="4"/>
    <n v="30"/>
    <x v="0"/>
    <x v="1"/>
    <n v="0"/>
    <n v="4"/>
    <x v="3"/>
    <s v="Desktop"/>
    <x v="1"/>
    <d v="2024-12-14T00:00:00"/>
    <x v="0"/>
    <s v="Yes"/>
    <x v="3"/>
    <x v="0"/>
    <n v="14"/>
    <x v="6"/>
    <s v="Qtr-4"/>
    <x v="2"/>
  </r>
  <r>
    <s v="90-069-8934"/>
    <n v="40"/>
    <x v="1"/>
    <x v="1"/>
    <x v="1"/>
    <s v="Divorced"/>
    <s v="Master's"/>
    <x v="1"/>
    <s v="Dhankut?"/>
    <x v="11"/>
    <x v="11"/>
    <n v="109.29"/>
    <n v="3"/>
    <x v="2"/>
    <n v="3"/>
    <n v="4"/>
    <n v="0"/>
    <x v="1"/>
    <x v="0"/>
    <n v="0.66666666666666663"/>
    <n v="2"/>
    <x v="1"/>
    <s v="Desktop"/>
    <x v="2"/>
    <d v="2024-08-11T00:00:00"/>
    <x v="1"/>
    <s v="Yes"/>
    <x v="1"/>
    <x v="2"/>
    <n v="11"/>
    <x v="7"/>
    <s v="Qtr-3"/>
    <x v="1"/>
  </r>
  <r>
    <s v="45-073-7243"/>
    <n v="37"/>
    <x v="2"/>
    <x v="1"/>
    <x v="1"/>
    <s v="Single"/>
    <s v="Bachelor's"/>
    <x v="1"/>
    <s v="Jindong"/>
    <x v="1"/>
    <x v="4"/>
    <n v="356.45"/>
    <n v="6"/>
    <x v="0"/>
    <n v="5"/>
    <n v="5"/>
    <n v="120"/>
    <x v="2"/>
    <x v="2"/>
    <n v="0"/>
    <n v="7"/>
    <x v="3"/>
    <s v="Smartphone"/>
    <x v="0"/>
    <d v="2024-10-18T00:00:00"/>
    <x v="1"/>
    <s v="Yes"/>
    <x v="3"/>
    <x v="1"/>
    <n v="8"/>
    <x v="2"/>
    <s v="Qtr-4"/>
    <x v="1"/>
  </r>
  <r>
    <s v="89-883-2101"/>
    <n v="38"/>
    <x v="2"/>
    <x v="0"/>
    <x v="0"/>
    <s v="Divorced"/>
    <s v="Bachelor's"/>
    <x v="1"/>
    <s v="Ngeru"/>
    <x v="4"/>
    <x v="7"/>
    <n v="236.99"/>
    <n v="10"/>
    <x v="0"/>
    <n v="2"/>
    <n v="4"/>
    <n v="0"/>
    <x v="3"/>
    <x v="2"/>
    <n v="0"/>
    <n v="8"/>
    <x v="0"/>
    <s v="Tablet"/>
    <x v="1"/>
    <d v="2024-12-09T00:00:00"/>
    <x v="0"/>
    <s v="Yes"/>
    <x v="2"/>
    <x v="0"/>
    <n v="13"/>
    <x v="6"/>
    <s v="Qtr-4"/>
    <x v="1"/>
  </r>
  <r>
    <s v="00-477-9449"/>
    <n v="36"/>
    <x v="2"/>
    <x v="1"/>
    <x v="0"/>
    <s v="Widowed"/>
    <s v="Bachelor's"/>
    <x v="1"/>
    <s v="White Rock"/>
    <x v="12"/>
    <x v="12"/>
    <n v="454.39"/>
    <n v="10"/>
    <x v="1"/>
    <n v="2"/>
    <n v="4"/>
    <n v="120"/>
    <x v="1"/>
    <x v="1"/>
    <n v="0"/>
    <n v="3"/>
    <x v="0"/>
    <s v="Desktop"/>
    <x v="3"/>
    <d v="2024-07-23T00:00:00"/>
    <x v="1"/>
    <s v="Yes"/>
    <x v="2"/>
    <x v="1"/>
    <n v="3"/>
    <x v="5"/>
    <s v="Qtr-3"/>
    <x v="2"/>
  </r>
  <r>
    <s v="67-159-7366"/>
    <n v="29"/>
    <x v="0"/>
    <x v="0"/>
    <x v="1"/>
    <s v="Widowed"/>
    <s v="Bachelor's"/>
    <x v="0"/>
    <s v="Monastyrshchina"/>
    <x v="6"/>
    <x v="13"/>
    <n v="490.75"/>
    <n v="10"/>
    <x v="1"/>
    <n v="2"/>
    <n v="4"/>
    <n v="60"/>
    <x v="0"/>
    <x v="2"/>
    <n v="0.1"/>
    <n v="4"/>
    <x v="2"/>
    <s v="Smartphone"/>
    <x v="2"/>
    <d v="2024-07-08T00:00:00"/>
    <x v="1"/>
    <s v="No"/>
    <x v="1"/>
    <x v="1"/>
    <n v="13"/>
    <x v="5"/>
    <s v="Qtr-3"/>
    <x v="3"/>
  </r>
  <r>
    <s v="85-691-4293"/>
    <n v="21"/>
    <x v="0"/>
    <x v="0"/>
    <x v="0"/>
    <s v="Widowed"/>
    <s v="High School"/>
    <x v="0"/>
    <s v="Pangkalanbunut"/>
    <x v="4"/>
    <x v="14"/>
    <n v="463.07"/>
    <n v="7"/>
    <x v="0"/>
    <n v="4"/>
    <n v="2"/>
    <n v="0"/>
    <x v="0"/>
    <x v="2"/>
    <n v="0.14285714285714285"/>
    <n v="2"/>
    <x v="3"/>
    <s v="Smartphone"/>
    <x v="1"/>
    <d v="2024-07-23T00:00:00"/>
    <x v="0"/>
    <s v="No"/>
    <x v="1"/>
    <x v="0"/>
    <n v="11"/>
    <x v="5"/>
    <s v="Qtr-3"/>
    <x v="1"/>
  </r>
  <r>
    <s v="56-085-0464"/>
    <n v="36"/>
    <x v="2"/>
    <x v="0"/>
    <x v="1"/>
    <s v="Married"/>
    <s v="Master's"/>
    <x v="1"/>
    <s v="Lederaba"/>
    <x v="4"/>
    <x v="15"/>
    <n v="56.74"/>
    <n v="5"/>
    <x v="2"/>
    <n v="5"/>
    <n v="1"/>
    <n v="0"/>
    <x v="1"/>
    <x v="2"/>
    <n v="0"/>
    <n v="6"/>
    <x v="0"/>
    <s v="Smartphone"/>
    <x v="3"/>
    <d v="2024-07-31T00:00:00"/>
    <x v="0"/>
    <s v="No"/>
    <x v="2"/>
    <x v="2"/>
    <n v="7"/>
    <x v="5"/>
    <s v="Qtr-3"/>
    <x v="1"/>
  </r>
  <r>
    <s v="33-264-2822"/>
    <n v="38"/>
    <x v="2"/>
    <x v="1"/>
    <x v="1"/>
    <s v="Divorced"/>
    <s v="Bachelor's"/>
    <x v="0"/>
    <s v="Lugo"/>
    <x v="13"/>
    <x v="16"/>
    <n v="371.32"/>
    <n v="7"/>
    <x v="1"/>
    <n v="4"/>
    <n v="4"/>
    <n v="42"/>
    <x v="1"/>
    <x v="1"/>
    <n v="0.2857142857142857"/>
    <n v="1"/>
    <x v="0"/>
    <s v="Tablet"/>
    <x v="2"/>
    <d v="2024-02-25T00:00:00"/>
    <x v="0"/>
    <s v="Yes"/>
    <x v="2"/>
    <x v="1"/>
    <n v="6"/>
    <x v="8"/>
    <s v="Qtr-1"/>
    <x v="0"/>
  </r>
  <r>
    <s v="95-478-2650"/>
    <n v="37"/>
    <x v="2"/>
    <x v="0"/>
    <x v="0"/>
    <s v="Single"/>
    <s v="Bachelor's"/>
    <x v="0"/>
    <s v="São Roque"/>
    <x v="14"/>
    <x v="14"/>
    <n v="461"/>
    <n v="7"/>
    <x v="2"/>
    <n v="2"/>
    <n v="4"/>
    <n v="60"/>
    <x v="3"/>
    <x v="1"/>
    <n v="0"/>
    <n v="8"/>
    <x v="2"/>
    <s v="Tablet"/>
    <x v="4"/>
    <d v="2024-07-10T00:00:00"/>
    <x v="1"/>
    <s v="Yes"/>
    <x v="1"/>
    <x v="1"/>
    <n v="9"/>
    <x v="5"/>
    <s v="Qtr-3"/>
    <x v="4"/>
  </r>
  <r>
    <s v="04-349-6759"/>
    <n v="33"/>
    <x v="2"/>
    <x v="0"/>
    <x v="1"/>
    <s v="Married"/>
    <s v="Bachelor's"/>
    <x v="1"/>
    <s v="Ban? Khadd?sh"/>
    <x v="15"/>
    <x v="1"/>
    <n v="253.37"/>
    <n v="6"/>
    <x v="1"/>
    <n v="4"/>
    <n v="1"/>
    <n v="60"/>
    <x v="0"/>
    <x v="2"/>
    <n v="0.33333333333333331"/>
    <n v="10"/>
    <x v="1"/>
    <s v="Tablet"/>
    <x v="3"/>
    <d v="2024-12-25T00:00:00"/>
    <x v="0"/>
    <s v="No"/>
    <x v="2"/>
    <x v="1"/>
    <n v="8"/>
    <x v="6"/>
    <s v="Qtr-4"/>
    <x v="5"/>
  </r>
  <r>
    <s v="21-755-8745"/>
    <n v="37"/>
    <x v="2"/>
    <x v="1"/>
    <x v="1"/>
    <s v="Widowed"/>
    <s v="High School"/>
    <x v="1"/>
    <s v="Montpellier"/>
    <x v="0"/>
    <x v="12"/>
    <n v="136.53"/>
    <n v="3"/>
    <x v="0"/>
    <n v="2"/>
    <n v="4"/>
    <n v="120"/>
    <x v="3"/>
    <x v="1"/>
    <n v="0.33333333333333331"/>
    <n v="3"/>
    <x v="1"/>
    <s v="Smartphone"/>
    <x v="1"/>
    <d v="2024-05-31T00:00:00"/>
    <x v="0"/>
    <s v="Yes"/>
    <x v="3"/>
    <x v="1"/>
    <n v="10"/>
    <x v="9"/>
    <s v="Qtr-2"/>
    <x v="0"/>
  </r>
  <r>
    <s v="29-625-7057"/>
    <n v="31"/>
    <x v="2"/>
    <x v="0"/>
    <x v="0"/>
    <s v="Single"/>
    <s v="Master's"/>
    <x v="0"/>
    <s v="Nesovice"/>
    <x v="16"/>
    <x v="17"/>
    <n v="489.05"/>
    <n v="10"/>
    <x v="2"/>
    <n v="5"/>
    <n v="3"/>
    <n v="0"/>
    <x v="3"/>
    <x v="0"/>
    <n v="0.2"/>
    <n v="2"/>
    <x v="1"/>
    <s v="Desktop"/>
    <x v="1"/>
    <d v="2024-09-04T00:00:00"/>
    <x v="0"/>
    <s v="Yes"/>
    <x v="3"/>
    <x v="1"/>
    <n v="7"/>
    <x v="10"/>
    <s v="Qtr-3"/>
    <x v="0"/>
  </r>
  <r>
    <s v="58-623-8404"/>
    <n v="50"/>
    <x v="1"/>
    <x v="1"/>
    <x v="1"/>
    <s v="Single"/>
    <s v="Master's"/>
    <x v="1"/>
    <s v="Pasirhuni"/>
    <x v="4"/>
    <x v="13"/>
    <n v="81.91"/>
    <n v="10"/>
    <x v="1"/>
    <n v="3"/>
    <n v="4"/>
    <n v="60"/>
    <x v="1"/>
    <x v="2"/>
    <n v="0"/>
    <n v="4"/>
    <x v="0"/>
    <s v="Desktop"/>
    <x v="2"/>
    <d v="2024-07-24T00:00:00"/>
    <x v="1"/>
    <s v="Yes"/>
    <x v="0"/>
    <x v="2"/>
    <n v="2"/>
    <x v="5"/>
    <s v="Qtr-3"/>
    <x v="1"/>
  </r>
  <r>
    <s v="56-506-4709"/>
    <n v="50"/>
    <x v="1"/>
    <x v="1"/>
    <x v="0"/>
    <s v="Married"/>
    <s v="Bachelor's"/>
    <x v="0"/>
    <s v="Glendale"/>
    <x v="10"/>
    <x v="17"/>
    <n v="135.80000000000001"/>
    <n v="2"/>
    <x v="1"/>
    <n v="2"/>
    <n v="5"/>
    <n v="60"/>
    <x v="2"/>
    <x v="0"/>
    <n v="0.5"/>
    <n v="2"/>
    <x v="1"/>
    <s v="Desktop"/>
    <x v="2"/>
    <d v="2024-11-16T00:00:00"/>
    <x v="1"/>
    <s v="Yes"/>
    <x v="3"/>
    <x v="0"/>
    <n v="9"/>
    <x v="11"/>
    <s v="Qtr-4"/>
    <x v="2"/>
  </r>
  <r>
    <s v="25-839-8670"/>
    <n v="45"/>
    <x v="1"/>
    <x v="0"/>
    <x v="0"/>
    <s v="Widowed"/>
    <s v="High School"/>
    <x v="0"/>
    <s v="Tála"/>
    <x v="17"/>
    <x v="18"/>
    <n v="382.24"/>
    <n v="12"/>
    <x v="1"/>
    <n v="1"/>
    <n v="5"/>
    <n v="60"/>
    <x v="3"/>
    <x v="2"/>
    <n v="8.3333333333333329E-2"/>
    <n v="4"/>
    <x v="1"/>
    <s v="Tablet"/>
    <x v="1"/>
    <d v="2024-07-06T00:00:00"/>
    <x v="0"/>
    <s v="Yes"/>
    <x v="3"/>
    <x v="1"/>
    <n v="3"/>
    <x v="5"/>
    <s v="Qtr-3"/>
    <x v="0"/>
  </r>
  <r>
    <s v="89-194-0596"/>
    <n v="33"/>
    <x v="2"/>
    <x v="0"/>
    <x v="1"/>
    <s v="Married"/>
    <s v="Bachelor's"/>
    <x v="0"/>
    <s v="Marseille"/>
    <x v="0"/>
    <x v="0"/>
    <n v="354.7"/>
    <n v="5"/>
    <x v="2"/>
    <n v="4"/>
    <n v="2"/>
    <n v="0"/>
    <x v="0"/>
    <x v="2"/>
    <n v="0.4"/>
    <n v="7"/>
    <x v="0"/>
    <s v="Smartphone"/>
    <x v="3"/>
    <d v="2024-02-10T00:00:00"/>
    <x v="0"/>
    <s v="No"/>
    <x v="3"/>
    <x v="2"/>
    <n v="12"/>
    <x v="8"/>
    <s v="Qtr-1"/>
    <x v="0"/>
  </r>
  <r>
    <s v="55-163-1389"/>
    <n v="24"/>
    <x v="0"/>
    <x v="1"/>
    <x v="1"/>
    <s v="Divorced"/>
    <s v="Bachelor's"/>
    <x v="1"/>
    <s v="Nasielsk"/>
    <x v="18"/>
    <x v="7"/>
    <n v="433.82"/>
    <n v="6"/>
    <x v="2"/>
    <n v="3"/>
    <n v="2"/>
    <n v="60"/>
    <x v="1"/>
    <x v="0"/>
    <n v="0"/>
    <n v="8"/>
    <x v="3"/>
    <s v="Desktop"/>
    <x v="3"/>
    <d v="2024-06-29T00:00:00"/>
    <x v="1"/>
    <s v="Yes"/>
    <x v="3"/>
    <x v="2"/>
    <n v="10"/>
    <x v="4"/>
    <s v="Qtr-2"/>
    <x v="0"/>
  </r>
  <r>
    <s v="28-225-4286"/>
    <n v="39"/>
    <x v="2"/>
    <x v="3"/>
    <x v="1"/>
    <s v="Married"/>
    <s v="Bachelor's"/>
    <x v="0"/>
    <s v="Paris 06"/>
    <x v="0"/>
    <x v="7"/>
    <n v="282.13"/>
    <n v="5"/>
    <x v="0"/>
    <n v="4"/>
    <n v="5"/>
    <n v="60"/>
    <x v="0"/>
    <x v="0"/>
    <n v="0.2"/>
    <n v="2"/>
    <x v="0"/>
    <s v="Tablet"/>
    <x v="3"/>
    <d v="2024-01-26T00:00:00"/>
    <x v="0"/>
    <s v="No"/>
    <x v="0"/>
    <x v="1"/>
    <n v="9"/>
    <x v="3"/>
    <s v="Qtr-1"/>
    <x v="0"/>
  </r>
  <r>
    <s v="14-305-8712"/>
    <n v="48"/>
    <x v="1"/>
    <x v="1"/>
    <x v="1"/>
    <s v="Widowed"/>
    <s v="High School"/>
    <x v="0"/>
    <s v="Bronnitsy"/>
    <x v="6"/>
    <x v="7"/>
    <n v="454.38"/>
    <n v="10"/>
    <x v="2"/>
    <n v="3"/>
    <n v="4"/>
    <n v="0"/>
    <x v="0"/>
    <x v="0"/>
    <n v="0"/>
    <n v="10"/>
    <x v="3"/>
    <s v="Smartphone"/>
    <x v="1"/>
    <d v="2024-06-15T00:00:00"/>
    <x v="0"/>
    <s v="No"/>
    <x v="2"/>
    <x v="0"/>
    <n v="7"/>
    <x v="4"/>
    <s v="Qtr-2"/>
    <x v="3"/>
  </r>
  <r>
    <s v="85-738-6864"/>
    <n v="25"/>
    <x v="0"/>
    <x v="1"/>
    <x v="0"/>
    <s v="Married"/>
    <s v="High School"/>
    <x v="1"/>
    <s v="Inayauan"/>
    <x v="19"/>
    <x v="7"/>
    <n v="138.88"/>
    <n v="7"/>
    <x v="1"/>
    <n v="2"/>
    <n v="4"/>
    <n v="60"/>
    <x v="0"/>
    <x v="1"/>
    <n v="0.14285714285714285"/>
    <n v="3"/>
    <x v="0"/>
    <s v="Tablet"/>
    <x v="4"/>
    <d v="2024-06-08T00:00:00"/>
    <x v="0"/>
    <s v="No"/>
    <x v="3"/>
    <x v="0"/>
    <n v="4"/>
    <x v="4"/>
    <s v="Qtr-2"/>
    <x v="1"/>
  </r>
  <r>
    <s v="17-198-5155"/>
    <n v="30"/>
    <x v="2"/>
    <x v="0"/>
    <x v="1"/>
    <s v="Single"/>
    <s v="Bachelor's"/>
    <x v="1"/>
    <s v="Qianjin"/>
    <x v="1"/>
    <x v="5"/>
    <n v="52.34"/>
    <n v="6"/>
    <x v="1"/>
    <n v="3"/>
    <n v="4"/>
    <n v="60"/>
    <x v="2"/>
    <x v="0"/>
    <n v="0.16666666666666666"/>
    <n v="5"/>
    <x v="3"/>
    <s v="Tablet"/>
    <x v="1"/>
    <d v="2024-05-21T00:00:00"/>
    <x v="0"/>
    <s v="Yes"/>
    <x v="3"/>
    <x v="2"/>
    <n v="13"/>
    <x v="9"/>
    <s v="Qtr-2"/>
    <x v="1"/>
  </r>
  <r>
    <s v="15-354-9904"/>
    <n v="34"/>
    <x v="2"/>
    <x v="1"/>
    <x v="0"/>
    <s v="Single"/>
    <s v="Bachelor's"/>
    <x v="1"/>
    <s v="Bagahanlad"/>
    <x v="19"/>
    <x v="19"/>
    <n v="338.2"/>
    <n v="7"/>
    <x v="2"/>
    <n v="3"/>
    <n v="5"/>
    <n v="0"/>
    <x v="0"/>
    <x v="1"/>
    <n v="0.14285714285714285"/>
    <n v="9"/>
    <x v="3"/>
    <s v="Tablet"/>
    <x v="3"/>
    <d v="2024-09-01T00:00:00"/>
    <x v="0"/>
    <s v="No"/>
    <x v="1"/>
    <x v="1"/>
    <n v="7"/>
    <x v="10"/>
    <s v="Qtr-3"/>
    <x v="1"/>
  </r>
  <r>
    <s v="35-198-9248"/>
    <n v="21"/>
    <x v="0"/>
    <x v="0"/>
    <x v="0"/>
    <s v="Widowed"/>
    <s v="High School"/>
    <x v="0"/>
    <s v="Rzewnie"/>
    <x v="18"/>
    <x v="16"/>
    <n v="263.14999999999998"/>
    <n v="3"/>
    <x v="1"/>
    <n v="1"/>
    <n v="5"/>
    <n v="60"/>
    <x v="3"/>
    <x v="0"/>
    <n v="0.33333333333333331"/>
    <n v="10"/>
    <x v="1"/>
    <s v="Tablet"/>
    <x v="3"/>
    <d v="2024-03-04T00:00:00"/>
    <x v="0"/>
    <s v="No"/>
    <x v="2"/>
    <x v="2"/>
    <n v="10"/>
    <x v="0"/>
    <s v="Qtr-1"/>
    <x v="0"/>
  </r>
  <r>
    <s v="03-950-6074"/>
    <n v="36"/>
    <x v="2"/>
    <x v="0"/>
    <x v="0"/>
    <s v="Married"/>
    <s v="Master's"/>
    <x v="0"/>
    <s v="Strabychovo"/>
    <x v="9"/>
    <x v="14"/>
    <n v="371.58"/>
    <n v="2"/>
    <x v="0"/>
    <n v="2"/>
    <n v="1"/>
    <n v="120"/>
    <x v="3"/>
    <x v="1"/>
    <n v="0"/>
    <n v="10"/>
    <x v="0"/>
    <s v="Smartphone"/>
    <x v="4"/>
    <d v="2024-09-13T00:00:00"/>
    <x v="0"/>
    <s v="Yes"/>
    <x v="1"/>
    <x v="0"/>
    <n v="11"/>
    <x v="10"/>
    <s v="Qtr-3"/>
    <x v="0"/>
  </r>
  <r>
    <s v="19-999-0134"/>
    <n v="30"/>
    <x v="2"/>
    <x v="1"/>
    <x v="0"/>
    <s v="Widowed"/>
    <s v="Bachelor's"/>
    <x v="0"/>
    <s v="Hongqi"/>
    <x v="1"/>
    <x v="10"/>
    <n v="353.4"/>
    <n v="2"/>
    <x v="2"/>
    <n v="2"/>
    <n v="3"/>
    <n v="120"/>
    <x v="1"/>
    <x v="2"/>
    <n v="0"/>
    <n v="1"/>
    <x v="2"/>
    <s v="Tablet"/>
    <x v="0"/>
    <d v="2024-12-06T00:00:00"/>
    <x v="1"/>
    <s v="Yes"/>
    <x v="2"/>
    <x v="0"/>
    <n v="3"/>
    <x v="6"/>
    <s v="Qtr-4"/>
    <x v="1"/>
  </r>
  <r>
    <s v="57-989-1487"/>
    <n v="46"/>
    <x v="1"/>
    <x v="0"/>
    <x v="0"/>
    <s v="Divorced"/>
    <s v="High School"/>
    <x v="1"/>
    <s v="Oeoh"/>
    <x v="4"/>
    <x v="14"/>
    <n v="329.41"/>
    <n v="5"/>
    <x v="1"/>
    <n v="5"/>
    <n v="3"/>
    <n v="0"/>
    <x v="1"/>
    <x v="0"/>
    <n v="0.2"/>
    <n v="1"/>
    <x v="1"/>
    <s v="Desktop"/>
    <x v="4"/>
    <d v="2024-10-21T00:00:00"/>
    <x v="0"/>
    <s v="Yes"/>
    <x v="0"/>
    <x v="0"/>
    <n v="2"/>
    <x v="2"/>
    <s v="Qtr-4"/>
    <x v="1"/>
  </r>
  <r>
    <s v="07-816-2673"/>
    <n v="46"/>
    <x v="1"/>
    <x v="0"/>
    <x v="0"/>
    <s v="Married"/>
    <s v="Master's"/>
    <x v="0"/>
    <s v="Topol’noye"/>
    <x v="6"/>
    <x v="1"/>
    <n v="54.46"/>
    <n v="5"/>
    <x v="2"/>
    <n v="4"/>
    <n v="5"/>
    <n v="60"/>
    <x v="3"/>
    <x v="1"/>
    <n v="0.2"/>
    <n v="1"/>
    <x v="2"/>
    <s v="Tablet"/>
    <x v="3"/>
    <d v="2024-11-17T00:00:00"/>
    <x v="1"/>
    <s v="No"/>
    <x v="2"/>
    <x v="1"/>
    <n v="1"/>
    <x v="11"/>
    <s v="Qtr-4"/>
    <x v="3"/>
  </r>
  <r>
    <s v="70-761-3550"/>
    <n v="43"/>
    <x v="1"/>
    <x v="1"/>
    <x v="1"/>
    <s v="Widowed"/>
    <s v="Master's"/>
    <x v="0"/>
    <s v="Ková?ov"/>
    <x v="16"/>
    <x v="5"/>
    <n v="257.12"/>
    <n v="8"/>
    <x v="2"/>
    <n v="2"/>
    <n v="1"/>
    <n v="0"/>
    <x v="3"/>
    <x v="1"/>
    <n v="0.25"/>
    <n v="1"/>
    <x v="1"/>
    <s v="Smartphone"/>
    <x v="3"/>
    <d v="2024-07-24T00:00:00"/>
    <x v="0"/>
    <s v="No"/>
    <x v="2"/>
    <x v="0"/>
    <n v="11"/>
    <x v="5"/>
    <s v="Qtr-3"/>
    <x v="0"/>
  </r>
  <r>
    <s v="38-242-3251"/>
    <n v="43"/>
    <x v="1"/>
    <x v="1"/>
    <x v="1"/>
    <s v="Divorced"/>
    <s v="Bachelor's"/>
    <x v="0"/>
    <s v="Majdal Ban? Fa??l"/>
    <x v="20"/>
    <x v="17"/>
    <n v="293.04000000000002"/>
    <n v="11"/>
    <x v="1"/>
    <n v="4"/>
    <n v="2"/>
    <n v="60"/>
    <x v="0"/>
    <x v="2"/>
    <n v="9.0909090909090912E-2"/>
    <n v="3"/>
    <x v="2"/>
    <s v="Desktop"/>
    <x v="1"/>
    <d v="2024-03-03T00:00:00"/>
    <x v="0"/>
    <s v="No"/>
    <x v="3"/>
    <x v="1"/>
    <n v="6"/>
    <x v="0"/>
    <s v="Qtr-1"/>
    <x v="1"/>
  </r>
  <r>
    <s v="95-525-0842"/>
    <n v="34"/>
    <x v="2"/>
    <x v="1"/>
    <x v="1"/>
    <s v="Single"/>
    <s v="Master's"/>
    <x v="1"/>
    <s v="Delta del Tigre"/>
    <x v="21"/>
    <x v="5"/>
    <n v="110.4"/>
    <n v="12"/>
    <x v="0"/>
    <n v="5"/>
    <n v="1"/>
    <n v="120"/>
    <x v="0"/>
    <x v="0"/>
    <n v="8.3333333333333329E-2"/>
    <n v="3"/>
    <x v="3"/>
    <s v="Tablet"/>
    <x v="2"/>
    <d v="2024-11-13T00:00:00"/>
    <x v="1"/>
    <s v="No"/>
    <x v="0"/>
    <x v="1"/>
    <n v="12"/>
    <x v="11"/>
    <s v="Qtr-4"/>
    <x v="4"/>
  </r>
  <r>
    <s v="37-101-4922"/>
    <n v="42"/>
    <x v="1"/>
    <x v="0"/>
    <x v="0"/>
    <s v="Married"/>
    <s v="Master's"/>
    <x v="1"/>
    <s v="Santa Cruz La Laguna"/>
    <x v="22"/>
    <x v="7"/>
    <n v="76.27"/>
    <n v="4"/>
    <x v="1"/>
    <n v="2"/>
    <n v="3"/>
    <n v="0"/>
    <x v="0"/>
    <x v="1"/>
    <n v="0"/>
    <n v="8"/>
    <x v="3"/>
    <s v="Smartphone"/>
    <x v="0"/>
    <d v="2024-12-24T00:00:00"/>
    <x v="0"/>
    <s v="No"/>
    <x v="1"/>
    <x v="1"/>
    <n v="10"/>
    <x v="6"/>
    <s v="Qtr-4"/>
    <x v="2"/>
  </r>
  <r>
    <s v="37-128-5425"/>
    <n v="40"/>
    <x v="1"/>
    <x v="0"/>
    <x v="1"/>
    <s v="Widowed"/>
    <s v="Bachelor's"/>
    <x v="0"/>
    <s v="Manchester"/>
    <x v="23"/>
    <x v="16"/>
    <n v="392.08"/>
    <n v="6"/>
    <x v="2"/>
    <n v="2"/>
    <n v="5"/>
    <n v="60"/>
    <x v="0"/>
    <x v="2"/>
    <n v="0.33333333333333331"/>
    <n v="7"/>
    <x v="1"/>
    <s v="Tablet"/>
    <x v="3"/>
    <d v="2024-08-04T00:00:00"/>
    <x v="0"/>
    <s v="Yes"/>
    <x v="0"/>
    <x v="2"/>
    <n v="6"/>
    <x v="7"/>
    <s v="Qtr-3"/>
    <x v="0"/>
  </r>
  <r>
    <s v="27-439-9545"/>
    <n v="25"/>
    <x v="0"/>
    <x v="0"/>
    <x v="1"/>
    <s v="Married"/>
    <s v="Bachelor's"/>
    <x v="1"/>
    <s v="Norrköping"/>
    <x v="5"/>
    <x v="16"/>
    <n v="51.22"/>
    <n v="6"/>
    <x v="2"/>
    <n v="2"/>
    <n v="1"/>
    <n v="0"/>
    <x v="0"/>
    <x v="2"/>
    <n v="0.16666666666666666"/>
    <n v="5"/>
    <x v="3"/>
    <s v="Tablet"/>
    <x v="4"/>
    <d v="2024-08-25T00:00:00"/>
    <x v="0"/>
    <s v="Yes"/>
    <x v="3"/>
    <x v="1"/>
    <n v="5"/>
    <x v="7"/>
    <s v="Qtr-3"/>
    <x v="0"/>
  </r>
  <r>
    <s v="37-126-7954"/>
    <n v="38"/>
    <x v="2"/>
    <x v="1"/>
    <x v="0"/>
    <s v="Divorced"/>
    <s v="Bachelor's"/>
    <x v="1"/>
    <s v="So?no"/>
    <x v="18"/>
    <x v="20"/>
    <n v="227.57"/>
    <n v="2"/>
    <x v="2"/>
    <n v="1"/>
    <n v="2"/>
    <n v="0"/>
    <x v="3"/>
    <x v="0"/>
    <n v="0.5"/>
    <n v="6"/>
    <x v="0"/>
    <s v="Tablet"/>
    <x v="1"/>
    <d v="2024-08-17T00:00:00"/>
    <x v="1"/>
    <s v="Yes"/>
    <x v="1"/>
    <x v="0"/>
    <n v="14"/>
    <x v="7"/>
    <s v="Qtr-3"/>
    <x v="0"/>
  </r>
  <r>
    <s v="82-990-0504"/>
    <n v="46"/>
    <x v="1"/>
    <x v="0"/>
    <x v="0"/>
    <s v="Widowed"/>
    <s v="Bachelor's"/>
    <x v="0"/>
    <s v="Pélla"/>
    <x v="24"/>
    <x v="19"/>
    <n v="378.87"/>
    <n v="7"/>
    <x v="2"/>
    <n v="1"/>
    <n v="2"/>
    <n v="0"/>
    <x v="0"/>
    <x v="2"/>
    <n v="0.14285714285714285"/>
    <n v="2"/>
    <x v="2"/>
    <s v="Tablet"/>
    <x v="1"/>
    <d v="2024-04-01T00:00:00"/>
    <x v="0"/>
    <s v="No"/>
    <x v="3"/>
    <x v="0"/>
    <n v="5"/>
    <x v="1"/>
    <s v="Qtr-2"/>
    <x v="0"/>
  </r>
  <r>
    <s v="21-734-0212"/>
    <n v="24"/>
    <x v="0"/>
    <x v="0"/>
    <x v="0"/>
    <s v="Widowed"/>
    <s v="High School"/>
    <x v="1"/>
    <s v="Namur"/>
    <x v="25"/>
    <x v="21"/>
    <n v="423.92"/>
    <n v="8"/>
    <x v="0"/>
    <n v="3"/>
    <n v="1"/>
    <n v="120"/>
    <x v="2"/>
    <x v="0"/>
    <n v="0"/>
    <n v="9"/>
    <x v="1"/>
    <s v="Tablet"/>
    <x v="0"/>
    <d v="2024-08-24T00:00:00"/>
    <x v="1"/>
    <s v="Yes"/>
    <x v="0"/>
    <x v="1"/>
    <n v="8"/>
    <x v="7"/>
    <s v="Qtr-3"/>
    <x v="0"/>
  </r>
  <r>
    <s v="76-148-9413"/>
    <n v="43"/>
    <x v="1"/>
    <x v="4"/>
    <x v="1"/>
    <s v="Widowed"/>
    <s v="Master's"/>
    <x v="0"/>
    <s v="Benevides"/>
    <x v="14"/>
    <x v="17"/>
    <n v="111.24"/>
    <n v="9"/>
    <x v="0"/>
    <n v="5"/>
    <n v="2"/>
    <n v="0"/>
    <x v="1"/>
    <x v="0"/>
    <n v="0"/>
    <n v="2"/>
    <x v="1"/>
    <s v="Smartphone"/>
    <x v="0"/>
    <d v="2024-08-06T00:00:00"/>
    <x v="0"/>
    <s v="No"/>
    <x v="0"/>
    <x v="0"/>
    <n v="12"/>
    <x v="7"/>
    <s v="Qtr-3"/>
    <x v="4"/>
  </r>
  <r>
    <s v="53-639-3774"/>
    <n v="37"/>
    <x v="2"/>
    <x v="0"/>
    <x v="0"/>
    <s v="Single"/>
    <s v="Bachelor's"/>
    <x v="0"/>
    <s v="Qinghaihu (Qinghai Lake)"/>
    <x v="1"/>
    <x v="22"/>
    <n v="299.31"/>
    <n v="7"/>
    <x v="0"/>
    <n v="2"/>
    <n v="4"/>
    <n v="60"/>
    <x v="1"/>
    <x v="2"/>
    <n v="0.2857142857142857"/>
    <n v="3"/>
    <x v="0"/>
    <s v="Desktop"/>
    <x v="2"/>
    <d v="2024-02-01T00:00:00"/>
    <x v="0"/>
    <s v="No"/>
    <x v="0"/>
    <x v="2"/>
    <n v="3"/>
    <x v="8"/>
    <s v="Qtr-1"/>
    <x v="1"/>
  </r>
  <r>
    <s v="20-817-9584"/>
    <n v="42"/>
    <x v="1"/>
    <x v="1"/>
    <x v="0"/>
    <s v="Widowed"/>
    <s v="Master's"/>
    <x v="0"/>
    <s v="Alfeizerão"/>
    <x v="26"/>
    <x v="9"/>
    <n v="169.28"/>
    <n v="7"/>
    <x v="0"/>
    <n v="4"/>
    <n v="4"/>
    <n v="60"/>
    <x v="0"/>
    <x v="0"/>
    <n v="0.2857142857142857"/>
    <n v="1"/>
    <x v="2"/>
    <s v="Tablet"/>
    <x v="4"/>
    <d v="2024-06-17T00:00:00"/>
    <x v="0"/>
    <s v="Yes"/>
    <x v="2"/>
    <x v="0"/>
    <n v="6"/>
    <x v="4"/>
    <s v="Qtr-2"/>
    <x v="0"/>
  </r>
  <r>
    <s v="18-655-3670"/>
    <n v="29"/>
    <x v="0"/>
    <x v="1"/>
    <x v="0"/>
    <s v="Widowed"/>
    <s v="High School"/>
    <x v="1"/>
    <s v="Prost?ední Be?va"/>
    <x v="16"/>
    <x v="2"/>
    <n v="449.13"/>
    <n v="9"/>
    <x v="1"/>
    <n v="2"/>
    <n v="1"/>
    <n v="30"/>
    <x v="1"/>
    <x v="1"/>
    <n v="0.22222222222222221"/>
    <n v="2"/>
    <x v="2"/>
    <s v="Tablet"/>
    <x v="0"/>
    <d v="2024-06-12T00:00:00"/>
    <x v="1"/>
    <s v="No"/>
    <x v="3"/>
    <x v="0"/>
    <n v="14"/>
    <x v="4"/>
    <s v="Qtr-2"/>
    <x v="0"/>
  </r>
  <r>
    <s v="72-431-5021"/>
    <n v="35"/>
    <x v="2"/>
    <x v="0"/>
    <x v="1"/>
    <s v="Married"/>
    <s v="Master's"/>
    <x v="1"/>
    <s v="Oeiras"/>
    <x v="26"/>
    <x v="9"/>
    <n v="427.48"/>
    <n v="6"/>
    <x v="2"/>
    <n v="4"/>
    <n v="2"/>
    <n v="0"/>
    <x v="1"/>
    <x v="1"/>
    <n v="0.16666666666666666"/>
    <n v="1"/>
    <x v="2"/>
    <s v="Smartphone"/>
    <x v="2"/>
    <d v="2024-12-16T00:00:00"/>
    <x v="0"/>
    <s v="No"/>
    <x v="2"/>
    <x v="1"/>
    <n v="11"/>
    <x v="6"/>
    <s v="Qtr-4"/>
    <x v="0"/>
  </r>
  <r>
    <s v="07-479-3919"/>
    <n v="27"/>
    <x v="0"/>
    <x v="0"/>
    <x v="0"/>
    <s v="Single"/>
    <s v="High School"/>
    <x v="1"/>
    <s v="Kýthnos"/>
    <x v="24"/>
    <x v="6"/>
    <n v="171.61"/>
    <n v="3"/>
    <x v="2"/>
    <n v="3"/>
    <n v="1"/>
    <n v="120"/>
    <x v="2"/>
    <x v="2"/>
    <n v="0.33333333333333331"/>
    <n v="6"/>
    <x v="1"/>
    <s v="Desktop"/>
    <x v="0"/>
    <d v="2024-10-31T00:00:00"/>
    <x v="0"/>
    <s v="No"/>
    <x v="3"/>
    <x v="2"/>
    <n v="8"/>
    <x v="2"/>
    <s v="Qtr-4"/>
    <x v="0"/>
  </r>
  <r>
    <s v="17-032-6274"/>
    <n v="40"/>
    <x v="1"/>
    <x v="0"/>
    <x v="1"/>
    <s v="Married"/>
    <s v="Bachelor's"/>
    <x v="1"/>
    <s v="Rizal (Province)*"/>
    <x v="19"/>
    <x v="5"/>
    <n v="240.28"/>
    <n v="3"/>
    <x v="2"/>
    <n v="3"/>
    <n v="5"/>
    <n v="120"/>
    <x v="3"/>
    <x v="1"/>
    <n v="0.66666666666666663"/>
    <n v="7"/>
    <x v="3"/>
    <s v="Tablet"/>
    <x v="4"/>
    <d v="2024-12-07T00:00:00"/>
    <x v="0"/>
    <s v="Yes"/>
    <x v="2"/>
    <x v="1"/>
    <n v="4"/>
    <x v="6"/>
    <s v="Qtr-4"/>
    <x v="1"/>
  </r>
  <r>
    <s v="64-166-9097"/>
    <n v="34"/>
    <x v="2"/>
    <x v="0"/>
    <x v="1"/>
    <s v="Single"/>
    <s v="High School"/>
    <x v="1"/>
    <s v="Fullerton"/>
    <x v="10"/>
    <x v="4"/>
    <n v="310.17"/>
    <n v="6"/>
    <x v="1"/>
    <n v="2"/>
    <n v="3"/>
    <n v="120"/>
    <x v="1"/>
    <x v="2"/>
    <n v="0"/>
    <n v="10"/>
    <x v="0"/>
    <s v="Smartphone"/>
    <x v="2"/>
    <d v="2024-02-24T00:00:00"/>
    <x v="1"/>
    <s v="No"/>
    <x v="1"/>
    <x v="0"/>
    <n v="13"/>
    <x v="8"/>
    <s v="Qtr-1"/>
    <x v="2"/>
  </r>
  <r>
    <s v="39-499-3854"/>
    <n v="25"/>
    <x v="0"/>
    <x v="0"/>
    <x v="0"/>
    <s v="Married"/>
    <s v="Bachelor's"/>
    <x v="0"/>
    <s v="Huaidao"/>
    <x v="1"/>
    <x v="11"/>
    <n v="166"/>
    <n v="10"/>
    <x v="2"/>
    <n v="5"/>
    <n v="3"/>
    <n v="0"/>
    <x v="3"/>
    <x v="1"/>
    <n v="0.2"/>
    <n v="10"/>
    <x v="3"/>
    <s v="Smartphone"/>
    <x v="1"/>
    <d v="2024-06-11T00:00:00"/>
    <x v="1"/>
    <s v="No"/>
    <x v="2"/>
    <x v="2"/>
    <n v="5"/>
    <x v="4"/>
    <s v="Qtr-2"/>
    <x v="1"/>
  </r>
  <r>
    <s v="39-636-5871"/>
    <n v="38"/>
    <x v="2"/>
    <x v="1"/>
    <x v="1"/>
    <s v="Divorced"/>
    <s v="Bachelor's"/>
    <x v="1"/>
    <s v="Bilice"/>
    <x v="27"/>
    <x v="15"/>
    <n v="362.01"/>
    <n v="2"/>
    <x v="1"/>
    <n v="2"/>
    <n v="4"/>
    <n v="60"/>
    <x v="0"/>
    <x v="0"/>
    <n v="1"/>
    <n v="1"/>
    <x v="3"/>
    <s v="Tablet"/>
    <x v="2"/>
    <d v="2024-11-24T00:00:00"/>
    <x v="1"/>
    <s v="No"/>
    <x v="2"/>
    <x v="2"/>
    <n v="1"/>
    <x v="11"/>
    <s v="Qtr-4"/>
    <x v="3"/>
  </r>
  <r>
    <s v="71-667-2334"/>
    <n v="33"/>
    <x v="2"/>
    <x v="5"/>
    <x v="1"/>
    <s v="Married"/>
    <s v="Bachelor's"/>
    <x v="0"/>
    <s v="Isla Verde"/>
    <x v="28"/>
    <x v="22"/>
    <n v="348.5"/>
    <n v="3"/>
    <x v="0"/>
    <n v="2"/>
    <n v="3"/>
    <n v="120"/>
    <x v="0"/>
    <x v="1"/>
    <n v="0"/>
    <n v="6"/>
    <x v="3"/>
    <s v="Smartphone"/>
    <x v="2"/>
    <d v="2024-07-09T00:00:00"/>
    <x v="1"/>
    <s v="No"/>
    <x v="3"/>
    <x v="0"/>
    <n v="8"/>
    <x v="5"/>
    <s v="Qtr-3"/>
    <x v="2"/>
  </r>
  <r>
    <s v="35-192-9050"/>
    <n v="32"/>
    <x v="2"/>
    <x v="0"/>
    <x v="0"/>
    <s v="Married"/>
    <s v="Bachelor's"/>
    <x v="1"/>
    <s v="Hunkuyi"/>
    <x v="29"/>
    <x v="9"/>
    <n v="395.97"/>
    <n v="9"/>
    <x v="1"/>
    <n v="1"/>
    <n v="4"/>
    <n v="0"/>
    <x v="1"/>
    <x v="2"/>
    <n v="0.1111111111111111"/>
    <n v="6"/>
    <x v="2"/>
    <s v="Tablet"/>
    <x v="2"/>
    <d v="2024-08-18T00:00:00"/>
    <x v="0"/>
    <s v="Yes"/>
    <x v="1"/>
    <x v="1"/>
    <n v="1"/>
    <x v="7"/>
    <s v="Qtr-3"/>
    <x v="5"/>
  </r>
  <r>
    <s v="91-440-0011"/>
    <n v="50"/>
    <x v="1"/>
    <x v="0"/>
    <x v="0"/>
    <s v="Widowed"/>
    <s v="High School"/>
    <x v="0"/>
    <s v="Shiree"/>
    <x v="30"/>
    <x v="6"/>
    <n v="474.99"/>
    <n v="9"/>
    <x v="2"/>
    <n v="2"/>
    <n v="4"/>
    <n v="60"/>
    <x v="0"/>
    <x v="0"/>
    <n v="0"/>
    <n v="8"/>
    <x v="1"/>
    <s v="Desktop"/>
    <x v="0"/>
    <d v="2024-07-10T00:00:00"/>
    <x v="0"/>
    <s v="No"/>
    <x v="3"/>
    <x v="1"/>
    <n v="5"/>
    <x v="5"/>
    <s v="Qtr-3"/>
    <x v="1"/>
  </r>
  <r>
    <s v="20-830-4758"/>
    <n v="35"/>
    <x v="2"/>
    <x v="0"/>
    <x v="0"/>
    <s v="Widowed"/>
    <s v="High School"/>
    <x v="0"/>
    <s v="Strezhevoy"/>
    <x v="6"/>
    <x v="8"/>
    <n v="286.43"/>
    <n v="4"/>
    <x v="0"/>
    <n v="1"/>
    <n v="3"/>
    <n v="0"/>
    <x v="3"/>
    <x v="2"/>
    <n v="0.5"/>
    <n v="3"/>
    <x v="0"/>
    <s v="Desktop"/>
    <x v="4"/>
    <d v="2024-07-12T00:00:00"/>
    <x v="0"/>
    <s v="No"/>
    <x v="1"/>
    <x v="2"/>
    <n v="14"/>
    <x v="5"/>
    <s v="Qtr-3"/>
    <x v="3"/>
  </r>
  <r>
    <s v="84-337-1016"/>
    <n v="19"/>
    <x v="3"/>
    <x v="3"/>
    <x v="1"/>
    <s v="Widowed"/>
    <s v="High School"/>
    <x v="1"/>
    <s v="Longxing"/>
    <x v="1"/>
    <x v="10"/>
    <n v="333.32"/>
    <n v="8"/>
    <x v="2"/>
    <n v="1"/>
    <n v="5"/>
    <n v="0"/>
    <x v="2"/>
    <x v="2"/>
    <n v="0"/>
    <n v="3"/>
    <x v="1"/>
    <s v="Smartphone"/>
    <x v="0"/>
    <d v="2024-10-05T00:00:00"/>
    <x v="0"/>
    <s v="No"/>
    <x v="3"/>
    <x v="0"/>
    <n v="3"/>
    <x v="2"/>
    <s v="Qtr-4"/>
    <x v="1"/>
  </r>
  <r>
    <s v="09-346-4992"/>
    <n v="46"/>
    <x v="1"/>
    <x v="2"/>
    <x v="1"/>
    <s v="Single"/>
    <s v="Master's"/>
    <x v="1"/>
    <s v="Jesús Menéndez"/>
    <x v="31"/>
    <x v="13"/>
    <n v="223.47"/>
    <n v="9"/>
    <x v="0"/>
    <n v="2"/>
    <n v="1"/>
    <n v="60"/>
    <x v="3"/>
    <x v="0"/>
    <n v="0"/>
    <n v="2"/>
    <x v="0"/>
    <s v="Tablet"/>
    <x v="2"/>
    <d v="2024-09-20T00:00:00"/>
    <x v="0"/>
    <s v="Yes"/>
    <x v="0"/>
    <x v="1"/>
    <n v="8"/>
    <x v="10"/>
    <s v="Qtr-3"/>
    <x v="2"/>
  </r>
  <r>
    <s v="75-083-3608"/>
    <n v="23"/>
    <x v="0"/>
    <x v="1"/>
    <x v="0"/>
    <s v="Divorced"/>
    <s v="Master's"/>
    <x v="0"/>
    <s v="Hongguang"/>
    <x v="1"/>
    <x v="6"/>
    <n v="414.83"/>
    <n v="2"/>
    <x v="0"/>
    <n v="2"/>
    <n v="4"/>
    <n v="30"/>
    <x v="3"/>
    <x v="0"/>
    <n v="1"/>
    <n v="4"/>
    <x v="1"/>
    <s v="Desktop"/>
    <x v="0"/>
    <d v="2024-07-16T00:00:00"/>
    <x v="1"/>
    <s v="No"/>
    <x v="3"/>
    <x v="2"/>
    <n v="8"/>
    <x v="5"/>
    <s v="Qtr-3"/>
    <x v="1"/>
  </r>
  <r>
    <s v="29-779-7209"/>
    <n v="34"/>
    <x v="2"/>
    <x v="0"/>
    <x v="1"/>
    <s v="Widowed"/>
    <s v="Master's"/>
    <x v="1"/>
    <s v="Pilaya"/>
    <x v="32"/>
    <x v="5"/>
    <n v="391.38"/>
    <n v="5"/>
    <x v="1"/>
    <n v="5"/>
    <n v="2"/>
    <n v="120"/>
    <x v="2"/>
    <x v="1"/>
    <n v="0"/>
    <n v="7"/>
    <x v="2"/>
    <s v="Tablet"/>
    <x v="3"/>
    <d v="2024-04-02T00:00:00"/>
    <x v="1"/>
    <s v="No"/>
    <x v="0"/>
    <x v="0"/>
    <n v="8"/>
    <x v="1"/>
    <s v="Qtr-2"/>
    <x v="4"/>
  </r>
  <r>
    <s v="12-409-5166"/>
    <n v="48"/>
    <x v="1"/>
    <x v="1"/>
    <x v="0"/>
    <s v="Divorced"/>
    <s v="Bachelor's"/>
    <x v="1"/>
    <s v="Camp Ithier"/>
    <x v="33"/>
    <x v="4"/>
    <n v="368.4"/>
    <n v="11"/>
    <x v="2"/>
    <n v="2"/>
    <n v="5"/>
    <n v="60"/>
    <x v="3"/>
    <x v="1"/>
    <n v="0"/>
    <n v="3"/>
    <x v="1"/>
    <s v="Desktop"/>
    <x v="0"/>
    <d v="2024-06-21T00:00:00"/>
    <x v="1"/>
    <s v="No"/>
    <x v="0"/>
    <x v="0"/>
    <n v="13"/>
    <x v="4"/>
    <s v="Qtr-2"/>
    <x v="2"/>
  </r>
  <r>
    <s v="07-024-4995"/>
    <n v="27"/>
    <x v="0"/>
    <x v="2"/>
    <x v="0"/>
    <s v="Widowed"/>
    <s v="High School"/>
    <x v="0"/>
    <s v="Holboo"/>
    <x v="34"/>
    <x v="4"/>
    <n v="328.36"/>
    <n v="11"/>
    <x v="1"/>
    <n v="1"/>
    <n v="4"/>
    <n v="120"/>
    <x v="3"/>
    <x v="2"/>
    <n v="0"/>
    <n v="4"/>
    <x v="0"/>
    <s v="Tablet"/>
    <x v="4"/>
    <d v="2024-03-11T00:00:00"/>
    <x v="1"/>
    <s v="Yes"/>
    <x v="1"/>
    <x v="2"/>
    <n v="4"/>
    <x v="0"/>
    <s v="Qtr-1"/>
    <x v="1"/>
  </r>
  <r>
    <s v="74-478-5950"/>
    <n v="37"/>
    <x v="2"/>
    <x v="0"/>
    <x v="0"/>
    <s v="Divorced"/>
    <s v="Bachelor's"/>
    <x v="0"/>
    <s v="Luxi"/>
    <x v="1"/>
    <x v="3"/>
    <n v="424.39"/>
    <n v="9"/>
    <x v="0"/>
    <n v="3"/>
    <n v="1"/>
    <n v="60"/>
    <x v="3"/>
    <x v="0"/>
    <n v="0"/>
    <n v="7"/>
    <x v="2"/>
    <s v="Smartphone"/>
    <x v="0"/>
    <d v="2024-02-26T00:00:00"/>
    <x v="0"/>
    <s v="No"/>
    <x v="1"/>
    <x v="0"/>
    <n v="13"/>
    <x v="8"/>
    <s v="Qtr-1"/>
    <x v="1"/>
  </r>
  <r>
    <s v="31-395-1286"/>
    <n v="47"/>
    <x v="1"/>
    <x v="1"/>
    <x v="1"/>
    <s v="Married"/>
    <s v="High School"/>
    <x v="1"/>
    <s v="Ostashkov"/>
    <x v="6"/>
    <x v="18"/>
    <n v="197.12"/>
    <n v="10"/>
    <x v="1"/>
    <n v="4"/>
    <n v="4"/>
    <n v="0"/>
    <x v="2"/>
    <x v="0"/>
    <n v="0.1"/>
    <n v="1"/>
    <x v="3"/>
    <s v="Tablet"/>
    <x v="3"/>
    <d v="2024-06-14T00:00:00"/>
    <x v="0"/>
    <s v="Yes"/>
    <x v="1"/>
    <x v="1"/>
    <n v="10"/>
    <x v="4"/>
    <s v="Qtr-2"/>
    <x v="3"/>
  </r>
  <r>
    <s v="60-838-4334"/>
    <n v="45"/>
    <x v="1"/>
    <x v="1"/>
    <x v="1"/>
    <s v="Single"/>
    <s v="Bachelor's"/>
    <x v="1"/>
    <s v="Hongshanzui"/>
    <x v="1"/>
    <x v="5"/>
    <n v="454.57"/>
    <n v="9"/>
    <x v="0"/>
    <n v="2"/>
    <n v="5"/>
    <n v="60"/>
    <x v="2"/>
    <x v="0"/>
    <n v="0"/>
    <n v="1"/>
    <x v="3"/>
    <s v="Smartphone"/>
    <x v="2"/>
    <d v="2024-03-24T00:00:00"/>
    <x v="0"/>
    <s v="Yes"/>
    <x v="1"/>
    <x v="2"/>
    <n v="1"/>
    <x v="0"/>
    <s v="Qtr-1"/>
    <x v="1"/>
  </r>
  <r>
    <s v="71-197-8227"/>
    <n v="37"/>
    <x v="2"/>
    <x v="1"/>
    <x v="0"/>
    <s v="Divorced"/>
    <s v="High School"/>
    <x v="1"/>
    <s v="Tocoa"/>
    <x v="35"/>
    <x v="13"/>
    <n v="298.38"/>
    <n v="4"/>
    <x v="0"/>
    <n v="3"/>
    <n v="4"/>
    <n v="120"/>
    <x v="3"/>
    <x v="2"/>
    <n v="0"/>
    <n v="2"/>
    <x v="2"/>
    <s v="Tablet"/>
    <x v="4"/>
    <d v="2024-04-27T00:00:00"/>
    <x v="1"/>
    <s v="Yes"/>
    <x v="0"/>
    <x v="1"/>
    <n v="3"/>
    <x v="1"/>
    <s v="Qtr-2"/>
    <x v="2"/>
  </r>
  <r>
    <s v="15-530-3861"/>
    <n v="36"/>
    <x v="2"/>
    <x v="1"/>
    <x v="1"/>
    <s v="Divorced"/>
    <s v="High School"/>
    <x v="1"/>
    <s v="Bayan Tuohai"/>
    <x v="1"/>
    <x v="20"/>
    <n v="111.7"/>
    <n v="6"/>
    <x v="2"/>
    <n v="4"/>
    <n v="5"/>
    <n v="0"/>
    <x v="1"/>
    <x v="0"/>
    <n v="0.33333333333333331"/>
    <n v="5"/>
    <x v="1"/>
    <s v="Tablet"/>
    <x v="0"/>
    <d v="2024-11-07T00:00:00"/>
    <x v="1"/>
    <s v="No"/>
    <x v="3"/>
    <x v="1"/>
    <n v="7"/>
    <x v="11"/>
    <s v="Qtr-4"/>
    <x v="1"/>
  </r>
  <r>
    <s v="30-567-4471"/>
    <n v="34"/>
    <x v="2"/>
    <x v="1"/>
    <x v="0"/>
    <s v="Married"/>
    <s v="Bachelor's"/>
    <x v="0"/>
    <s v="Parumasan"/>
    <x v="4"/>
    <x v="20"/>
    <n v="373.69"/>
    <n v="10"/>
    <x v="2"/>
    <n v="3"/>
    <n v="2"/>
    <n v="120"/>
    <x v="1"/>
    <x v="1"/>
    <n v="0.1"/>
    <n v="8"/>
    <x v="0"/>
    <s v="Tablet"/>
    <x v="0"/>
    <d v="2024-12-04T00:00:00"/>
    <x v="1"/>
    <s v="Yes"/>
    <x v="2"/>
    <x v="2"/>
    <n v="14"/>
    <x v="6"/>
    <s v="Qtr-4"/>
    <x v="1"/>
  </r>
  <r>
    <s v="04-465-1819"/>
    <n v="37"/>
    <x v="2"/>
    <x v="1"/>
    <x v="1"/>
    <s v="Widowed"/>
    <s v="Master's"/>
    <x v="0"/>
    <s v="Karpogory"/>
    <x v="6"/>
    <x v="23"/>
    <n v="354.87"/>
    <n v="5"/>
    <x v="1"/>
    <n v="1"/>
    <n v="1"/>
    <n v="0"/>
    <x v="0"/>
    <x v="1"/>
    <n v="0.4"/>
    <n v="4"/>
    <x v="0"/>
    <s v="Desktop"/>
    <x v="4"/>
    <d v="2024-04-18T00:00:00"/>
    <x v="1"/>
    <s v="Yes"/>
    <x v="3"/>
    <x v="2"/>
    <n v="12"/>
    <x v="1"/>
    <s v="Qtr-2"/>
    <x v="3"/>
  </r>
  <r>
    <s v="69-692-0614"/>
    <n v="18"/>
    <x v="3"/>
    <x v="0"/>
    <x v="0"/>
    <s v="Widowed"/>
    <s v="Bachelor's"/>
    <x v="1"/>
    <s v="Shahzadpur"/>
    <x v="36"/>
    <x v="7"/>
    <n v="214.48"/>
    <n v="2"/>
    <x v="2"/>
    <n v="4"/>
    <n v="2"/>
    <n v="120"/>
    <x v="0"/>
    <x v="2"/>
    <n v="0.5"/>
    <n v="3"/>
    <x v="0"/>
    <s v="Tablet"/>
    <x v="4"/>
    <d v="2024-04-21T00:00:00"/>
    <x v="0"/>
    <s v="Yes"/>
    <x v="1"/>
    <x v="2"/>
    <n v="2"/>
    <x v="1"/>
    <s v="Qtr-2"/>
    <x v="1"/>
  </r>
  <r>
    <s v="12-839-8066"/>
    <n v="20"/>
    <x v="0"/>
    <x v="1"/>
    <x v="1"/>
    <s v="Divorced"/>
    <s v="Bachelor's"/>
    <x v="0"/>
    <s v="Muaratiga"/>
    <x v="4"/>
    <x v="14"/>
    <n v="399.58"/>
    <n v="6"/>
    <x v="1"/>
    <n v="3"/>
    <n v="4"/>
    <n v="0"/>
    <x v="0"/>
    <x v="2"/>
    <n v="0.16666666666666666"/>
    <n v="8"/>
    <x v="2"/>
    <s v="Tablet"/>
    <x v="3"/>
    <d v="2024-09-25T00:00:00"/>
    <x v="0"/>
    <s v="No"/>
    <x v="0"/>
    <x v="1"/>
    <n v="7"/>
    <x v="10"/>
    <s v="Qtr-3"/>
    <x v="1"/>
  </r>
  <r>
    <s v="05-465-8765"/>
    <n v="27"/>
    <x v="0"/>
    <x v="0"/>
    <x v="1"/>
    <s v="Widowed"/>
    <s v="High School"/>
    <x v="0"/>
    <s v="Gjegjan"/>
    <x v="37"/>
    <x v="8"/>
    <n v="380.99"/>
    <n v="7"/>
    <x v="0"/>
    <n v="1"/>
    <n v="2"/>
    <n v="60"/>
    <x v="2"/>
    <x v="0"/>
    <n v="0"/>
    <n v="1"/>
    <x v="3"/>
    <s v="Desktop"/>
    <x v="4"/>
    <d v="2024-12-09T00:00:00"/>
    <x v="0"/>
    <s v="Yes"/>
    <x v="0"/>
    <x v="0"/>
    <n v="8"/>
    <x v="6"/>
    <s v="Qtr-4"/>
    <x v="0"/>
  </r>
  <r>
    <s v="81-580-3810"/>
    <n v="36"/>
    <x v="2"/>
    <x v="1"/>
    <x v="0"/>
    <s v="Married"/>
    <s v="High School"/>
    <x v="1"/>
    <s v="Créteil"/>
    <x v="0"/>
    <x v="1"/>
    <n v="79"/>
    <n v="10"/>
    <x v="2"/>
    <n v="1"/>
    <n v="2"/>
    <n v="60"/>
    <x v="1"/>
    <x v="2"/>
    <n v="0.2"/>
    <n v="6"/>
    <x v="2"/>
    <s v="Smartphone"/>
    <x v="4"/>
    <d v="2024-09-14T00:00:00"/>
    <x v="1"/>
    <s v="Yes"/>
    <x v="3"/>
    <x v="1"/>
    <n v="7"/>
    <x v="10"/>
    <s v="Qtr-3"/>
    <x v="0"/>
  </r>
  <r>
    <s v="74-353-6312"/>
    <n v="46"/>
    <x v="1"/>
    <x v="0"/>
    <x v="0"/>
    <s v="Married"/>
    <s v="Bachelor's"/>
    <x v="0"/>
    <s v="Pameungpeuk"/>
    <x v="4"/>
    <x v="19"/>
    <n v="113.88"/>
    <n v="2"/>
    <x v="2"/>
    <n v="5"/>
    <n v="2"/>
    <n v="120"/>
    <x v="1"/>
    <x v="1"/>
    <n v="1"/>
    <n v="4"/>
    <x v="1"/>
    <s v="Tablet"/>
    <x v="1"/>
    <d v="2024-03-29T00:00:00"/>
    <x v="1"/>
    <s v="No"/>
    <x v="1"/>
    <x v="2"/>
    <n v="9"/>
    <x v="0"/>
    <s v="Qtr-1"/>
    <x v="1"/>
  </r>
  <r>
    <s v="78-824-1887"/>
    <n v="26"/>
    <x v="0"/>
    <x v="1"/>
    <x v="0"/>
    <s v="Married"/>
    <s v="High School"/>
    <x v="0"/>
    <s v="Junshan"/>
    <x v="1"/>
    <x v="22"/>
    <n v="121.57"/>
    <n v="4"/>
    <x v="0"/>
    <n v="1"/>
    <n v="5"/>
    <n v="0"/>
    <x v="3"/>
    <x v="1"/>
    <n v="0"/>
    <n v="4"/>
    <x v="1"/>
    <s v="Desktop"/>
    <x v="3"/>
    <d v="2024-06-06T00:00:00"/>
    <x v="1"/>
    <s v="Yes"/>
    <x v="2"/>
    <x v="0"/>
    <n v="13"/>
    <x v="4"/>
    <s v="Qtr-2"/>
    <x v="1"/>
  </r>
  <r>
    <s v="31-218-0024"/>
    <n v="21"/>
    <x v="0"/>
    <x v="0"/>
    <x v="1"/>
    <s v="Divorced"/>
    <s v="High School"/>
    <x v="0"/>
    <s v="Lewotola"/>
    <x v="4"/>
    <x v="18"/>
    <n v="215.54"/>
    <n v="11"/>
    <x v="2"/>
    <n v="3"/>
    <n v="1"/>
    <n v="120"/>
    <x v="2"/>
    <x v="0"/>
    <n v="0.18181818181818182"/>
    <n v="6"/>
    <x v="1"/>
    <s v="Desktop"/>
    <x v="0"/>
    <d v="2024-04-08T00:00:00"/>
    <x v="0"/>
    <s v="Yes"/>
    <x v="3"/>
    <x v="0"/>
    <n v="10"/>
    <x v="1"/>
    <s v="Qtr-2"/>
    <x v="1"/>
  </r>
  <r>
    <s v="15-711-4107"/>
    <n v="43"/>
    <x v="1"/>
    <x v="1"/>
    <x v="1"/>
    <s v="Married"/>
    <s v="Bachelor's"/>
    <x v="1"/>
    <s v="Laocheng"/>
    <x v="1"/>
    <x v="4"/>
    <n v="87.03"/>
    <n v="10"/>
    <x v="0"/>
    <n v="1"/>
    <n v="1"/>
    <n v="0"/>
    <x v="2"/>
    <x v="2"/>
    <n v="0.1"/>
    <n v="5"/>
    <x v="1"/>
    <s v="Desktop"/>
    <x v="1"/>
    <d v="2024-08-11T00:00:00"/>
    <x v="1"/>
    <s v="Yes"/>
    <x v="0"/>
    <x v="0"/>
    <n v="7"/>
    <x v="7"/>
    <s v="Qtr-3"/>
    <x v="1"/>
  </r>
  <r>
    <s v="76-672-1193"/>
    <n v="19"/>
    <x v="3"/>
    <x v="1"/>
    <x v="1"/>
    <s v="Divorced"/>
    <s v="High School"/>
    <x v="1"/>
    <s v="Guacarí"/>
    <x v="38"/>
    <x v="22"/>
    <n v="111.75"/>
    <n v="4"/>
    <x v="1"/>
    <n v="1"/>
    <n v="4"/>
    <n v="0"/>
    <x v="3"/>
    <x v="1"/>
    <n v="0.25"/>
    <n v="6"/>
    <x v="1"/>
    <s v="Tablet"/>
    <x v="2"/>
    <d v="2024-10-10T00:00:00"/>
    <x v="1"/>
    <s v="Yes"/>
    <x v="2"/>
    <x v="1"/>
    <n v="8"/>
    <x v="2"/>
    <s v="Qtr-4"/>
    <x v="4"/>
  </r>
  <r>
    <s v="46-503-5589"/>
    <n v="41"/>
    <x v="1"/>
    <x v="0"/>
    <x v="1"/>
    <s v="Widowed"/>
    <s v="Master's"/>
    <x v="1"/>
    <s v="Sancang"/>
    <x v="1"/>
    <x v="2"/>
    <n v="136.19999999999999"/>
    <n v="2"/>
    <x v="0"/>
    <n v="3"/>
    <n v="2"/>
    <n v="120"/>
    <x v="2"/>
    <x v="1"/>
    <n v="0"/>
    <n v="1"/>
    <x v="1"/>
    <s v="Tablet"/>
    <x v="1"/>
    <d v="2024-06-15T00:00:00"/>
    <x v="0"/>
    <s v="Yes"/>
    <x v="0"/>
    <x v="2"/>
    <n v="9"/>
    <x v="4"/>
    <s v="Qtr-2"/>
    <x v="1"/>
  </r>
  <r>
    <s v="87-499-6916"/>
    <n v="48"/>
    <x v="1"/>
    <x v="1"/>
    <x v="0"/>
    <s v="Married"/>
    <s v="High School"/>
    <x v="0"/>
    <s v="Ndewel"/>
    <x v="39"/>
    <x v="1"/>
    <n v="439.31"/>
    <n v="4"/>
    <x v="1"/>
    <n v="3"/>
    <n v="2"/>
    <n v="60"/>
    <x v="1"/>
    <x v="2"/>
    <n v="0"/>
    <n v="6"/>
    <x v="3"/>
    <s v="Smartphone"/>
    <x v="2"/>
    <d v="2024-08-11T00:00:00"/>
    <x v="1"/>
    <s v="Yes"/>
    <x v="1"/>
    <x v="0"/>
    <n v="7"/>
    <x v="7"/>
    <s v="Qtr-3"/>
    <x v="5"/>
  </r>
  <r>
    <s v="30-520-8656"/>
    <n v="19"/>
    <x v="3"/>
    <x v="0"/>
    <x v="0"/>
    <s v="Married"/>
    <s v="Bachelor's"/>
    <x v="0"/>
    <s v="San Patricio"/>
    <x v="40"/>
    <x v="10"/>
    <n v="194.93"/>
    <n v="9"/>
    <x v="2"/>
    <n v="4"/>
    <n v="4"/>
    <n v="60"/>
    <x v="3"/>
    <x v="0"/>
    <n v="0"/>
    <n v="4"/>
    <x v="0"/>
    <s v="Tablet"/>
    <x v="3"/>
    <d v="2024-03-28T00:00:00"/>
    <x v="0"/>
    <s v="Yes"/>
    <x v="2"/>
    <x v="0"/>
    <n v="5"/>
    <x v="0"/>
    <s v="Qtr-1"/>
    <x v="2"/>
  </r>
  <r>
    <s v="36-323-3504"/>
    <n v="29"/>
    <x v="0"/>
    <x v="1"/>
    <x v="0"/>
    <s v="Widowed"/>
    <s v="Master's"/>
    <x v="1"/>
    <s v="Fengtai"/>
    <x v="1"/>
    <x v="1"/>
    <n v="377.67"/>
    <n v="8"/>
    <x v="2"/>
    <n v="5"/>
    <n v="3"/>
    <n v="0"/>
    <x v="0"/>
    <x v="2"/>
    <n v="0.25"/>
    <n v="1"/>
    <x v="1"/>
    <s v="Desktop"/>
    <x v="1"/>
    <d v="2024-05-13T00:00:00"/>
    <x v="0"/>
    <s v="No"/>
    <x v="0"/>
    <x v="0"/>
    <n v="14"/>
    <x v="9"/>
    <s v="Qtr-2"/>
    <x v="1"/>
  </r>
  <r>
    <s v="93-810-4051"/>
    <n v="26"/>
    <x v="0"/>
    <x v="6"/>
    <x v="1"/>
    <s v="Single"/>
    <s v="Master's"/>
    <x v="1"/>
    <s v="?awr?n ad Daydah"/>
    <x v="41"/>
    <x v="21"/>
    <n v="108.61"/>
    <n v="10"/>
    <x v="1"/>
    <n v="3"/>
    <n v="2"/>
    <n v="0"/>
    <x v="0"/>
    <x v="2"/>
    <n v="0"/>
    <n v="3"/>
    <x v="2"/>
    <s v="Smartphone"/>
    <x v="4"/>
    <d v="2024-11-23T00:00:00"/>
    <x v="0"/>
    <s v="Yes"/>
    <x v="0"/>
    <x v="0"/>
    <n v="14"/>
    <x v="11"/>
    <s v="Qtr-4"/>
    <x v="1"/>
  </r>
  <r>
    <s v="66-515-3648"/>
    <n v="20"/>
    <x v="0"/>
    <x v="0"/>
    <x v="0"/>
    <s v="Married"/>
    <s v="Bachelor's"/>
    <x v="0"/>
    <s v="Magdalena"/>
    <x v="38"/>
    <x v="10"/>
    <n v="366.77"/>
    <n v="7"/>
    <x v="0"/>
    <n v="4"/>
    <n v="3"/>
    <n v="120"/>
    <x v="2"/>
    <x v="1"/>
    <n v="0"/>
    <n v="9"/>
    <x v="0"/>
    <s v="Smartphone"/>
    <x v="2"/>
    <d v="2024-09-18T00:00:00"/>
    <x v="1"/>
    <s v="No"/>
    <x v="2"/>
    <x v="1"/>
    <n v="1"/>
    <x v="10"/>
    <s v="Qtr-3"/>
    <x v="4"/>
  </r>
  <r>
    <s v="09-216-1957"/>
    <n v="31"/>
    <x v="2"/>
    <x v="0"/>
    <x v="1"/>
    <s v="Divorced"/>
    <s v="Master's"/>
    <x v="0"/>
    <s v="Le?nica"/>
    <x v="18"/>
    <x v="23"/>
    <n v="178.04"/>
    <n v="5"/>
    <x v="1"/>
    <n v="5"/>
    <n v="1"/>
    <n v="120"/>
    <x v="1"/>
    <x v="0"/>
    <n v="0"/>
    <n v="5"/>
    <x v="1"/>
    <s v="Tablet"/>
    <x v="0"/>
    <d v="2024-07-16T00:00:00"/>
    <x v="1"/>
    <s v="No"/>
    <x v="0"/>
    <x v="0"/>
    <n v="12"/>
    <x v="5"/>
    <s v="Qtr-3"/>
    <x v="0"/>
  </r>
  <r>
    <s v="23-253-2565"/>
    <n v="23"/>
    <x v="0"/>
    <x v="0"/>
    <x v="1"/>
    <s v="Divorced"/>
    <s v="High School"/>
    <x v="1"/>
    <s v="Hinlayagan Ilaud"/>
    <x v="19"/>
    <x v="16"/>
    <n v="461.09"/>
    <n v="8"/>
    <x v="2"/>
    <n v="4"/>
    <n v="1"/>
    <n v="0"/>
    <x v="1"/>
    <x v="0"/>
    <n v="0"/>
    <n v="4"/>
    <x v="3"/>
    <s v="Smartphone"/>
    <x v="2"/>
    <d v="2024-08-03T00:00:00"/>
    <x v="0"/>
    <s v="No"/>
    <x v="0"/>
    <x v="0"/>
    <n v="8"/>
    <x v="7"/>
    <s v="Qtr-3"/>
    <x v="1"/>
  </r>
  <r>
    <s v="74-509-4985"/>
    <n v="19"/>
    <x v="3"/>
    <x v="0"/>
    <x v="1"/>
    <s v="Single"/>
    <s v="High School"/>
    <x v="0"/>
    <s v="Forshaga"/>
    <x v="5"/>
    <x v="11"/>
    <n v="211.16"/>
    <n v="5"/>
    <x v="1"/>
    <n v="2"/>
    <n v="3"/>
    <n v="60"/>
    <x v="3"/>
    <x v="2"/>
    <n v="0"/>
    <n v="3"/>
    <x v="0"/>
    <s v="Smartphone"/>
    <x v="1"/>
    <d v="2024-06-28T00:00:00"/>
    <x v="1"/>
    <s v="No"/>
    <x v="3"/>
    <x v="1"/>
    <n v="2"/>
    <x v="4"/>
    <s v="Qtr-2"/>
    <x v="0"/>
  </r>
  <r>
    <s v="05-857-1572"/>
    <n v="23"/>
    <x v="0"/>
    <x v="0"/>
    <x v="0"/>
    <s v="Widowed"/>
    <s v="Bachelor's"/>
    <x v="1"/>
    <s v="Rakszawa"/>
    <x v="18"/>
    <x v="9"/>
    <n v="421.95"/>
    <n v="8"/>
    <x v="0"/>
    <n v="3"/>
    <n v="5"/>
    <n v="0"/>
    <x v="1"/>
    <x v="1"/>
    <n v="0.125"/>
    <n v="1"/>
    <x v="0"/>
    <s v="Smartphone"/>
    <x v="3"/>
    <d v="2024-03-18T00:00:00"/>
    <x v="1"/>
    <s v="Yes"/>
    <x v="0"/>
    <x v="0"/>
    <n v="7"/>
    <x v="0"/>
    <s v="Qtr-1"/>
    <x v="0"/>
  </r>
  <r>
    <s v="26-521-8328"/>
    <n v="49"/>
    <x v="1"/>
    <x v="0"/>
    <x v="0"/>
    <s v="Divorced"/>
    <s v="Bachelor's"/>
    <x v="1"/>
    <s v="Fengjiang"/>
    <x v="1"/>
    <x v="4"/>
    <n v="378.59"/>
    <n v="5"/>
    <x v="2"/>
    <n v="2"/>
    <n v="1"/>
    <n v="0"/>
    <x v="0"/>
    <x v="0"/>
    <n v="0"/>
    <n v="4"/>
    <x v="1"/>
    <s v="Desktop"/>
    <x v="3"/>
    <d v="2024-10-15T00:00:00"/>
    <x v="1"/>
    <s v="No"/>
    <x v="1"/>
    <x v="0"/>
    <n v="14"/>
    <x v="2"/>
    <s v="Qtr-4"/>
    <x v="1"/>
  </r>
  <r>
    <s v="31-147-6197"/>
    <n v="23"/>
    <x v="0"/>
    <x v="4"/>
    <x v="1"/>
    <s v="Divorced"/>
    <s v="High School"/>
    <x v="1"/>
    <s v="Jiangcun"/>
    <x v="1"/>
    <x v="2"/>
    <n v="268.93"/>
    <n v="2"/>
    <x v="0"/>
    <n v="5"/>
    <n v="5"/>
    <n v="60"/>
    <x v="1"/>
    <x v="2"/>
    <n v="0.5"/>
    <n v="3"/>
    <x v="0"/>
    <s v="Tablet"/>
    <x v="2"/>
    <d v="2024-11-23T00:00:00"/>
    <x v="1"/>
    <s v="No"/>
    <x v="2"/>
    <x v="2"/>
    <n v="8"/>
    <x v="11"/>
    <s v="Qtr-4"/>
    <x v="1"/>
  </r>
  <r>
    <s v="90-093-0469"/>
    <n v="42"/>
    <x v="1"/>
    <x v="1"/>
    <x v="0"/>
    <s v="Divorced"/>
    <s v="Bachelor's"/>
    <x v="1"/>
    <s v="?kuchi"/>
    <x v="3"/>
    <x v="10"/>
    <n v="444.87"/>
    <n v="11"/>
    <x v="2"/>
    <n v="5"/>
    <n v="4"/>
    <n v="0"/>
    <x v="1"/>
    <x v="1"/>
    <n v="9.0909090909090912E-2"/>
    <n v="8"/>
    <x v="2"/>
    <s v="Desktop"/>
    <x v="3"/>
    <d v="2024-11-29T00:00:00"/>
    <x v="1"/>
    <s v="No"/>
    <x v="1"/>
    <x v="0"/>
    <n v="7"/>
    <x v="11"/>
    <s v="Qtr-4"/>
    <x v="1"/>
  </r>
  <r>
    <s v="38-935-1865"/>
    <n v="18"/>
    <x v="3"/>
    <x v="0"/>
    <x v="1"/>
    <s v="Widowed"/>
    <s v="Bachelor's"/>
    <x v="1"/>
    <s v="Novoukrainskiy"/>
    <x v="6"/>
    <x v="21"/>
    <n v="160.82"/>
    <n v="7"/>
    <x v="1"/>
    <n v="3"/>
    <n v="1"/>
    <n v="60"/>
    <x v="3"/>
    <x v="0"/>
    <n v="0"/>
    <n v="1"/>
    <x v="1"/>
    <s v="Smartphone"/>
    <x v="4"/>
    <d v="2024-07-09T00:00:00"/>
    <x v="0"/>
    <s v="Yes"/>
    <x v="1"/>
    <x v="0"/>
    <n v="3"/>
    <x v="5"/>
    <s v="Qtr-3"/>
    <x v="3"/>
  </r>
  <r>
    <s v="75-953-8663"/>
    <n v="35"/>
    <x v="2"/>
    <x v="1"/>
    <x v="1"/>
    <s v="Single"/>
    <s v="Master's"/>
    <x v="0"/>
    <s v="Acobambilla"/>
    <x v="42"/>
    <x v="11"/>
    <n v="494.18"/>
    <n v="6"/>
    <x v="0"/>
    <n v="4"/>
    <n v="5"/>
    <n v="60"/>
    <x v="1"/>
    <x v="1"/>
    <n v="0.16666666666666666"/>
    <n v="2"/>
    <x v="0"/>
    <s v="Desktop"/>
    <x v="4"/>
    <d v="2024-08-03T00:00:00"/>
    <x v="1"/>
    <s v="No"/>
    <x v="0"/>
    <x v="1"/>
    <n v="14"/>
    <x v="7"/>
    <s v="Qtr-3"/>
    <x v="4"/>
  </r>
  <r>
    <s v="38-478-2681"/>
    <n v="22"/>
    <x v="0"/>
    <x v="1"/>
    <x v="0"/>
    <s v="Single"/>
    <s v="Bachelor's"/>
    <x v="0"/>
    <s v="Kyonju"/>
    <x v="43"/>
    <x v="3"/>
    <n v="177.05"/>
    <n v="5"/>
    <x v="2"/>
    <n v="3"/>
    <n v="1"/>
    <n v="60"/>
    <x v="0"/>
    <x v="0"/>
    <n v="0.4"/>
    <n v="1"/>
    <x v="2"/>
    <s v="Tablet"/>
    <x v="4"/>
    <d v="2024-12-04T00:00:00"/>
    <x v="0"/>
    <s v="Yes"/>
    <x v="2"/>
    <x v="1"/>
    <n v="1"/>
    <x v="6"/>
    <s v="Qtr-4"/>
    <x v="1"/>
  </r>
  <r>
    <s v="70-895-5298"/>
    <n v="28"/>
    <x v="0"/>
    <x v="0"/>
    <x v="0"/>
    <s v="Married"/>
    <s v="Master's"/>
    <x v="1"/>
    <s v="Pomar"/>
    <x v="26"/>
    <x v="1"/>
    <n v="450.66"/>
    <n v="7"/>
    <x v="1"/>
    <n v="2"/>
    <n v="5"/>
    <n v="0"/>
    <x v="3"/>
    <x v="0"/>
    <n v="0.2857142857142857"/>
    <n v="4"/>
    <x v="3"/>
    <s v="Tablet"/>
    <x v="0"/>
    <d v="2024-06-13T00:00:00"/>
    <x v="1"/>
    <s v="Yes"/>
    <x v="0"/>
    <x v="0"/>
    <n v="9"/>
    <x v="4"/>
    <s v="Qtr-2"/>
    <x v="0"/>
  </r>
  <r>
    <s v="02-653-5884"/>
    <n v="42"/>
    <x v="1"/>
    <x v="0"/>
    <x v="1"/>
    <s v="Married"/>
    <s v="Bachelor's"/>
    <x v="0"/>
    <s v="Zal?an"/>
    <x v="44"/>
    <x v="17"/>
    <n v="164.27"/>
    <n v="6"/>
    <x v="2"/>
    <n v="5"/>
    <n v="3"/>
    <n v="120"/>
    <x v="3"/>
    <x v="1"/>
    <n v="0.33333333333333331"/>
    <n v="7"/>
    <x v="2"/>
    <s v="Desktop"/>
    <x v="1"/>
    <d v="2024-07-13T00:00:00"/>
    <x v="0"/>
    <s v="No"/>
    <x v="1"/>
    <x v="0"/>
    <n v="14"/>
    <x v="5"/>
    <s v="Qtr-3"/>
    <x v="5"/>
  </r>
  <r>
    <s v="11-719-8800"/>
    <n v="37"/>
    <x v="2"/>
    <x v="0"/>
    <x v="0"/>
    <s v="Widowed"/>
    <s v="Master's"/>
    <x v="1"/>
    <s v="Trélazé"/>
    <x v="0"/>
    <x v="1"/>
    <n v="346.36"/>
    <n v="12"/>
    <x v="0"/>
    <n v="4"/>
    <n v="5"/>
    <n v="0"/>
    <x v="1"/>
    <x v="0"/>
    <n v="0"/>
    <n v="7"/>
    <x v="3"/>
    <s v="Smartphone"/>
    <x v="0"/>
    <d v="2024-09-04T00:00:00"/>
    <x v="1"/>
    <s v="No"/>
    <x v="0"/>
    <x v="1"/>
    <n v="14"/>
    <x v="10"/>
    <s v="Qtr-3"/>
    <x v="0"/>
  </r>
  <r>
    <s v="59-355-5251"/>
    <n v="33"/>
    <x v="2"/>
    <x v="0"/>
    <x v="0"/>
    <s v="Widowed"/>
    <s v="High School"/>
    <x v="1"/>
    <s v="Messina"/>
    <x v="45"/>
    <x v="9"/>
    <n v="377.77"/>
    <n v="9"/>
    <x v="0"/>
    <n v="4"/>
    <n v="2"/>
    <n v="60"/>
    <x v="1"/>
    <x v="1"/>
    <n v="0.1111111111111111"/>
    <n v="5"/>
    <x v="3"/>
    <s v="Tablet"/>
    <x v="0"/>
    <d v="2024-08-26T00:00:00"/>
    <x v="0"/>
    <s v="Yes"/>
    <x v="2"/>
    <x v="1"/>
    <n v="3"/>
    <x v="7"/>
    <s v="Qtr-3"/>
    <x v="0"/>
  </r>
  <r>
    <s v="82-572-9091"/>
    <n v="46"/>
    <x v="1"/>
    <x v="0"/>
    <x v="0"/>
    <s v="Widowed"/>
    <s v="High School"/>
    <x v="0"/>
    <s v="Mr?gowo"/>
    <x v="18"/>
    <x v="22"/>
    <n v="163.41"/>
    <n v="2"/>
    <x v="1"/>
    <n v="5"/>
    <n v="5"/>
    <n v="120"/>
    <x v="2"/>
    <x v="1"/>
    <n v="0.5"/>
    <n v="8"/>
    <x v="1"/>
    <s v="Desktop"/>
    <x v="3"/>
    <d v="2024-02-25T00:00:00"/>
    <x v="0"/>
    <s v="Yes"/>
    <x v="0"/>
    <x v="2"/>
    <n v="4"/>
    <x v="8"/>
    <s v="Qtr-1"/>
    <x v="0"/>
  </r>
  <r>
    <s v="86-044-1071"/>
    <n v="30"/>
    <x v="2"/>
    <x v="0"/>
    <x v="0"/>
    <s v="Divorced"/>
    <s v="Master's"/>
    <x v="0"/>
    <s v="Ngawi"/>
    <x v="4"/>
    <x v="11"/>
    <n v="467.58"/>
    <n v="10"/>
    <x v="0"/>
    <n v="1"/>
    <n v="2"/>
    <n v="0"/>
    <x v="0"/>
    <x v="0"/>
    <n v="0.1"/>
    <n v="6"/>
    <x v="2"/>
    <s v="Desktop"/>
    <x v="1"/>
    <d v="2024-04-15T00:00:00"/>
    <x v="0"/>
    <s v="Yes"/>
    <x v="1"/>
    <x v="1"/>
    <n v="7"/>
    <x v="1"/>
    <s v="Qtr-2"/>
    <x v="1"/>
  </r>
  <r>
    <s v="08-733-0300"/>
    <n v="39"/>
    <x v="2"/>
    <x v="0"/>
    <x v="0"/>
    <s v="Widowed"/>
    <s v="Bachelor's"/>
    <x v="1"/>
    <s v="Oslo"/>
    <x v="46"/>
    <x v="5"/>
    <n v="247.51"/>
    <n v="10"/>
    <x v="0"/>
    <n v="2"/>
    <n v="1"/>
    <n v="120"/>
    <x v="2"/>
    <x v="0"/>
    <n v="0.1"/>
    <n v="8"/>
    <x v="2"/>
    <s v="Tablet"/>
    <x v="0"/>
    <d v="2024-07-01T00:00:00"/>
    <x v="0"/>
    <s v="No"/>
    <x v="2"/>
    <x v="1"/>
    <n v="2"/>
    <x v="5"/>
    <s v="Qtr-3"/>
    <x v="0"/>
  </r>
  <r>
    <s v="70-108-1493"/>
    <n v="25"/>
    <x v="0"/>
    <x v="0"/>
    <x v="0"/>
    <s v="Single"/>
    <s v="High School"/>
    <x v="1"/>
    <s v="Dobrica"/>
    <x v="47"/>
    <x v="2"/>
    <n v="365.1"/>
    <n v="3"/>
    <x v="1"/>
    <n v="2"/>
    <n v="3"/>
    <n v="0"/>
    <x v="0"/>
    <x v="1"/>
    <n v="0.33333333333333331"/>
    <n v="3"/>
    <x v="1"/>
    <s v="Desktop"/>
    <x v="2"/>
    <d v="2024-08-30T00:00:00"/>
    <x v="1"/>
    <s v="Yes"/>
    <x v="1"/>
    <x v="0"/>
    <n v="1"/>
    <x v="7"/>
    <s v="Qtr-3"/>
    <x v="0"/>
  </r>
  <r>
    <s v="46-230-8307"/>
    <n v="38"/>
    <x v="2"/>
    <x v="0"/>
    <x v="1"/>
    <s v="Single"/>
    <s v="Master's"/>
    <x v="0"/>
    <s v="La Roche-sur-Yon"/>
    <x v="0"/>
    <x v="10"/>
    <n v="485.42"/>
    <n v="5"/>
    <x v="2"/>
    <n v="1"/>
    <n v="2"/>
    <n v="120"/>
    <x v="3"/>
    <x v="0"/>
    <n v="0.2"/>
    <n v="6"/>
    <x v="1"/>
    <s v="Desktop"/>
    <x v="3"/>
    <d v="2024-11-13T00:00:00"/>
    <x v="0"/>
    <s v="No"/>
    <x v="1"/>
    <x v="0"/>
    <n v="4"/>
    <x v="11"/>
    <s v="Qtr-4"/>
    <x v="0"/>
  </r>
  <r>
    <s v="74-431-0242"/>
    <n v="41"/>
    <x v="1"/>
    <x v="0"/>
    <x v="0"/>
    <s v="Widowed"/>
    <s v="Bachelor's"/>
    <x v="1"/>
    <s v="Point Pedro"/>
    <x v="48"/>
    <x v="10"/>
    <n v="250.54"/>
    <n v="4"/>
    <x v="1"/>
    <n v="3"/>
    <n v="3"/>
    <n v="60"/>
    <x v="3"/>
    <x v="1"/>
    <n v="0.5"/>
    <n v="10"/>
    <x v="0"/>
    <s v="Desktop"/>
    <x v="0"/>
    <d v="2024-12-27T00:00:00"/>
    <x v="1"/>
    <s v="No"/>
    <x v="1"/>
    <x v="0"/>
    <n v="3"/>
    <x v="6"/>
    <s v="Qtr-4"/>
    <x v="1"/>
  </r>
  <r>
    <s v="78-272-6417"/>
    <n v="49"/>
    <x v="1"/>
    <x v="0"/>
    <x v="0"/>
    <s v="Divorced"/>
    <s v="High School"/>
    <x v="1"/>
    <s v="Marseille"/>
    <x v="0"/>
    <x v="23"/>
    <n v="163.13999999999999"/>
    <n v="5"/>
    <x v="0"/>
    <n v="5"/>
    <n v="4"/>
    <n v="0"/>
    <x v="2"/>
    <x v="0"/>
    <n v="0.2"/>
    <n v="2"/>
    <x v="0"/>
    <s v="Desktop"/>
    <x v="2"/>
    <d v="2024-08-07T00:00:00"/>
    <x v="0"/>
    <s v="Yes"/>
    <x v="3"/>
    <x v="0"/>
    <n v="1"/>
    <x v="7"/>
    <s v="Qtr-3"/>
    <x v="0"/>
  </r>
  <r>
    <s v="13-792-4356"/>
    <n v="21"/>
    <x v="0"/>
    <x v="1"/>
    <x v="1"/>
    <s v="Divorced"/>
    <s v="Bachelor's"/>
    <x v="0"/>
    <s v="Tianbao"/>
    <x v="1"/>
    <x v="0"/>
    <n v="162.31"/>
    <n v="8"/>
    <x v="1"/>
    <n v="5"/>
    <n v="1"/>
    <n v="60"/>
    <x v="3"/>
    <x v="2"/>
    <n v="0.125"/>
    <n v="2"/>
    <x v="3"/>
    <s v="Tablet"/>
    <x v="0"/>
    <d v="2024-10-05T00:00:00"/>
    <x v="1"/>
    <s v="No"/>
    <x v="0"/>
    <x v="0"/>
    <n v="11"/>
    <x v="2"/>
    <s v="Qtr-4"/>
    <x v="1"/>
  </r>
  <r>
    <s v="04-563-9091"/>
    <n v="37"/>
    <x v="2"/>
    <x v="1"/>
    <x v="0"/>
    <s v="Widowed"/>
    <s v="Master's"/>
    <x v="1"/>
    <s v="Puqian"/>
    <x v="1"/>
    <x v="2"/>
    <n v="328.21"/>
    <n v="7"/>
    <x v="0"/>
    <n v="5"/>
    <n v="5"/>
    <n v="120"/>
    <x v="2"/>
    <x v="1"/>
    <n v="0.2857142857142857"/>
    <n v="2"/>
    <x v="2"/>
    <s v="Smartphone"/>
    <x v="0"/>
    <d v="2024-02-14T00:00:00"/>
    <x v="1"/>
    <s v="No"/>
    <x v="0"/>
    <x v="0"/>
    <n v="12"/>
    <x v="8"/>
    <s v="Qtr-1"/>
    <x v="1"/>
  </r>
  <r>
    <s v="79-592-5396"/>
    <n v="30"/>
    <x v="2"/>
    <x v="0"/>
    <x v="1"/>
    <s v="Married"/>
    <s v="Master's"/>
    <x v="1"/>
    <s v="Binalbagan"/>
    <x v="19"/>
    <x v="6"/>
    <n v="268.58999999999997"/>
    <n v="4"/>
    <x v="2"/>
    <n v="3"/>
    <n v="3"/>
    <n v="60"/>
    <x v="3"/>
    <x v="2"/>
    <n v="0.25"/>
    <n v="1"/>
    <x v="3"/>
    <s v="Desktop"/>
    <x v="2"/>
    <d v="2024-04-05T00:00:00"/>
    <x v="0"/>
    <s v="Yes"/>
    <x v="0"/>
    <x v="1"/>
    <n v="3"/>
    <x v="1"/>
    <s v="Qtr-2"/>
    <x v="1"/>
  </r>
  <r>
    <s v="39-952-4459"/>
    <n v="18"/>
    <x v="3"/>
    <x v="0"/>
    <x v="1"/>
    <s v="Divorced"/>
    <s v="High School"/>
    <x v="1"/>
    <s v="Tessalit"/>
    <x v="49"/>
    <x v="13"/>
    <n v="257.37"/>
    <n v="7"/>
    <x v="2"/>
    <n v="3"/>
    <n v="3"/>
    <n v="0"/>
    <x v="1"/>
    <x v="2"/>
    <n v="0.2857142857142857"/>
    <n v="5"/>
    <x v="3"/>
    <s v="Smartphone"/>
    <x v="1"/>
    <d v="2024-02-01T00:00:00"/>
    <x v="0"/>
    <s v="No"/>
    <x v="1"/>
    <x v="2"/>
    <n v="13"/>
    <x v="8"/>
    <s v="Qtr-1"/>
    <x v="5"/>
  </r>
  <r>
    <s v="67-935-7964"/>
    <n v="41"/>
    <x v="1"/>
    <x v="0"/>
    <x v="0"/>
    <s v="Single"/>
    <s v="High School"/>
    <x v="1"/>
    <s v="Nikolayevsk"/>
    <x v="6"/>
    <x v="2"/>
    <n v="205.49"/>
    <n v="4"/>
    <x v="1"/>
    <n v="5"/>
    <n v="3"/>
    <n v="120"/>
    <x v="2"/>
    <x v="0"/>
    <n v="0.5"/>
    <n v="2"/>
    <x v="1"/>
    <s v="Tablet"/>
    <x v="4"/>
    <d v="2024-11-09T00:00:00"/>
    <x v="0"/>
    <s v="No"/>
    <x v="0"/>
    <x v="2"/>
    <n v="11"/>
    <x v="11"/>
    <s v="Qtr-4"/>
    <x v="3"/>
  </r>
  <r>
    <s v="26-828-2720"/>
    <n v="40"/>
    <x v="1"/>
    <x v="1"/>
    <x v="1"/>
    <s v="Divorced"/>
    <s v="Master's"/>
    <x v="1"/>
    <s v="Dashuipo"/>
    <x v="1"/>
    <x v="7"/>
    <n v="407.91"/>
    <n v="7"/>
    <x v="1"/>
    <n v="2"/>
    <n v="5"/>
    <n v="0"/>
    <x v="2"/>
    <x v="1"/>
    <n v="0"/>
    <n v="5"/>
    <x v="2"/>
    <s v="Tablet"/>
    <x v="3"/>
    <d v="2024-06-17T00:00:00"/>
    <x v="0"/>
    <s v="Yes"/>
    <x v="0"/>
    <x v="1"/>
    <n v="14"/>
    <x v="4"/>
    <s v="Qtr-2"/>
    <x v="1"/>
  </r>
  <r>
    <s v="57-410-7415"/>
    <n v="33"/>
    <x v="2"/>
    <x v="0"/>
    <x v="1"/>
    <s v="Divorced"/>
    <s v="Bachelor's"/>
    <x v="1"/>
    <s v="Týn nad Vltavou"/>
    <x v="50"/>
    <x v="1"/>
    <n v="254.73"/>
    <n v="6"/>
    <x v="2"/>
    <n v="4"/>
    <n v="3"/>
    <n v="0"/>
    <x v="1"/>
    <x v="2"/>
    <n v="0"/>
    <n v="3"/>
    <x v="2"/>
    <s v="Smartphone"/>
    <x v="3"/>
    <d v="2024-06-01T00:00:00"/>
    <x v="0"/>
    <s v="Yes"/>
    <x v="2"/>
    <x v="2"/>
    <n v="3"/>
    <x v="4"/>
    <s v="Qtr-2"/>
    <x v="0"/>
  </r>
  <r>
    <s v="62-989-8214"/>
    <n v="30"/>
    <x v="2"/>
    <x v="0"/>
    <x v="0"/>
    <s v="Divorced"/>
    <s v="Bachelor's"/>
    <x v="1"/>
    <s v="Kaum Kaler"/>
    <x v="51"/>
    <x v="20"/>
    <n v="397.78"/>
    <n v="12"/>
    <x v="2"/>
    <n v="3"/>
    <n v="3"/>
    <n v="60"/>
    <x v="1"/>
    <x v="1"/>
    <n v="0.16666666666666666"/>
    <n v="7"/>
    <x v="3"/>
    <s v="Smartphone"/>
    <x v="1"/>
    <d v="2024-09-24T00:00:00"/>
    <x v="1"/>
    <s v="Yes"/>
    <x v="2"/>
    <x v="0"/>
    <n v="11"/>
    <x v="10"/>
    <s v="Qtr-3"/>
    <x v="1"/>
  </r>
  <r>
    <s v="73-827-2774"/>
    <n v="33"/>
    <x v="2"/>
    <x v="0"/>
    <x v="1"/>
    <s v="Married"/>
    <s v="Bachelor's"/>
    <x v="1"/>
    <s v="Gandapura"/>
    <x v="4"/>
    <x v="13"/>
    <n v="305.29000000000002"/>
    <n v="3"/>
    <x v="2"/>
    <n v="2"/>
    <n v="3"/>
    <n v="60"/>
    <x v="1"/>
    <x v="2"/>
    <n v="0.33333333333333331"/>
    <n v="8"/>
    <x v="3"/>
    <s v="Desktop"/>
    <x v="2"/>
    <d v="2024-09-05T00:00:00"/>
    <x v="0"/>
    <s v="Yes"/>
    <x v="2"/>
    <x v="1"/>
    <n v="10"/>
    <x v="10"/>
    <s v="Qtr-3"/>
    <x v="1"/>
  </r>
  <r>
    <s v="19-643-1879"/>
    <n v="45"/>
    <x v="1"/>
    <x v="1"/>
    <x v="0"/>
    <s v="Divorced"/>
    <s v="High School"/>
    <x v="1"/>
    <s v="Kawangkoan"/>
    <x v="4"/>
    <x v="1"/>
    <n v="257.86"/>
    <n v="6"/>
    <x v="2"/>
    <n v="2"/>
    <n v="2"/>
    <n v="0"/>
    <x v="0"/>
    <x v="0"/>
    <n v="0"/>
    <n v="4"/>
    <x v="1"/>
    <s v="Tablet"/>
    <x v="1"/>
    <d v="2024-06-12T00:00:00"/>
    <x v="0"/>
    <s v="Yes"/>
    <x v="0"/>
    <x v="2"/>
    <n v="1"/>
    <x v="4"/>
    <s v="Qtr-2"/>
    <x v="1"/>
  </r>
  <r>
    <s v="57-345-3921"/>
    <n v="42"/>
    <x v="1"/>
    <x v="0"/>
    <x v="1"/>
    <s v="Single"/>
    <s v="High School"/>
    <x v="0"/>
    <s v="Mondorf-les-Bains"/>
    <x v="52"/>
    <x v="23"/>
    <n v="393.45"/>
    <n v="12"/>
    <x v="1"/>
    <n v="3"/>
    <n v="1"/>
    <n v="0"/>
    <x v="2"/>
    <x v="0"/>
    <n v="0.16666666666666666"/>
    <n v="10"/>
    <x v="3"/>
    <s v="Desktop"/>
    <x v="0"/>
    <d v="2024-10-06T00:00:00"/>
    <x v="1"/>
    <s v="No"/>
    <x v="0"/>
    <x v="2"/>
    <n v="12"/>
    <x v="2"/>
    <s v="Qtr-4"/>
    <x v="0"/>
  </r>
  <r>
    <s v="98-817-6731"/>
    <n v="30"/>
    <x v="2"/>
    <x v="1"/>
    <x v="1"/>
    <s v="Married"/>
    <s v="Bachelor's"/>
    <x v="0"/>
    <s v="Manwakh"/>
    <x v="53"/>
    <x v="18"/>
    <n v="58.49"/>
    <n v="6"/>
    <x v="2"/>
    <n v="2"/>
    <n v="2"/>
    <n v="0"/>
    <x v="1"/>
    <x v="2"/>
    <n v="0"/>
    <n v="8"/>
    <x v="1"/>
    <s v="Tablet"/>
    <x v="3"/>
    <d v="2024-07-29T00:00:00"/>
    <x v="0"/>
    <s v="Yes"/>
    <x v="3"/>
    <x v="2"/>
    <n v="7"/>
    <x v="5"/>
    <s v="Qtr-3"/>
    <x v="5"/>
  </r>
  <r>
    <s v="31-788-0864"/>
    <n v="42"/>
    <x v="1"/>
    <x v="1"/>
    <x v="0"/>
    <s v="Single"/>
    <s v="High School"/>
    <x v="0"/>
    <s v="Karlstad"/>
    <x v="5"/>
    <x v="21"/>
    <n v="226.48"/>
    <n v="11"/>
    <x v="1"/>
    <n v="5"/>
    <n v="3"/>
    <n v="120"/>
    <x v="0"/>
    <x v="1"/>
    <n v="0.18181818181818182"/>
    <n v="7"/>
    <x v="1"/>
    <s v="Tablet"/>
    <x v="2"/>
    <d v="2024-10-18T00:00:00"/>
    <x v="0"/>
    <s v="No"/>
    <x v="0"/>
    <x v="2"/>
    <n v="11"/>
    <x v="2"/>
    <s v="Qtr-4"/>
    <x v="0"/>
  </r>
  <r>
    <s v="27-806-4972"/>
    <n v="26"/>
    <x v="0"/>
    <x v="0"/>
    <x v="1"/>
    <s v="Single"/>
    <s v="Master's"/>
    <x v="0"/>
    <s v="Obong"/>
    <x v="19"/>
    <x v="10"/>
    <n v="469.22"/>
    <n v="6"/>
    <x v="1"/>
    <n v="1"/>
    <n v="1"/>
    <n v="60"/>
    <x v="3"/>
    <x v="1"/>
    <n v="0"/>
    <n v="1"/>
    <x v="2"/>
    <s v="Tablet"/>
    <x v="0"/>
    <d v="2024-08-07T00:00:00"/>
    <x v="1"/>
    <s v="No"/>
    <x v="1"/>
    <x v="0"/>
    <n v="7"/>
    <x v="7"/>
    <s v="Qtr-3"/>
    <x v="1"/>
  </r>
  <r>
    <s v="48-343-1220"/>
    <n v="42"/>
    <x v="1"/>
    <x v="0"/>
    <x v="1"/>
    <s v="Divorced"/>
    <s v="High School"/>
    <x v="1"/>
    <s v="Kolsko"/>
    <x v="18"/>
    <x v="23"/>
    <n v="335.32"/>
    <n v="6"/>
    <x v="0"/>
    <n v="3"/>
    <n v="3"/>
    <n v="60"/>
    <x v="0"/>
    <x v="1"/>
    <n v="0"/>
    <n v="1"/>
    <x v="2"/>
    <s v="Desktop"/>
    <x v="3"/>
    <d v="2024-08-12T00:00:00"/>
    <x v="0"/>
    <s v="No"/>
    <x v="3"/>
    <x v="0"/>
    <n v="10"/>
    <x v="7"/>
    <s v="Qtr-3"/>
    <x v="0"/>
  </r>
  <r>
    <s v="15-640-6493"/>
    <n v="31"/>
    <x v="2"/>
    <x v="1"/>
    <x v="1"/>
    <s v="Divorced"/>
    <s v="High School"/>
    <x v="0"/>
    <s v="D?lband?n"/>
    <x v="51"/>
    <x v="9"/>
    <n v="184.74"/>
    <n v="5"/>
    <x v="1"/>
    <n v="4"/>
    <n v="4"/>
    <n v="0"/>
    <x v="1"/>
    <x v="2"/>
    <n v="0.2"/>
    <n v="5"/>
    <x v="1"/>
    <s v="Tablet"/>
    <x v="2"/>
    <d v="2024-11-27T00:00:00"/>
    <x v="1"/>
    <s v="Yes"/>
    <x v="2"/>
    <x v="0"/>
    <n v="10"/>
    <x v="11"/>
    <s v="Qtr-4"/>
    <x v="1"/>
  </r>
  <r>
    <s v="64-846-7450"/>
    <n v="37"/>
    <x v="2"/>
    <x v="7"/>
    <x v="1"/>
    <s v="Divorced"/>
    <s v="Bachelor's"/>
    <x v="0"/>
    <s v="Shazi"/>
    <x v="1"/>
    <x v="22"/>
    <n v="442.18"/>
    <n v="5"/>
    <x v="1"/>
    <n v="4"/>
    <n v="3"/>
    <n v="60"/>
    <x v="0"/>
    <x v="2"/>
    <n v="0.4"/>
    <n v="10"/>
    <x v="1"/>
    <s v="Smartphone"/>
    <x v="1"/>
    <d v="2024-01-25T00:00:00"/>
    <x v="1"/>
    <s v="No"/>
    <x v="2"/>
    <x v="2"/>
    <n v="12"/>
    <x v="3"/>
    <s v="Qtr-1"/>
    <x v="1"/>
  </r>
  <r>
    <s v="58-788-8938"/>
    <n v="49"/>
    <x v="1"/>
    <x v="1"/>
    <x v="1"/>
    <s v="Married"/>
    <s v="High School"/>
    <x v="0"/>
    <s v="Hachi?ji"/>
    <x v="3"/>
    <x v="18"/>
    <n v="427.1"/>
    <n v="8"/>
    <x v="0"/>
    <n v="1"/>
    <n v="2"/>
    <n v="60"/>
    <x v="3"/>
    <x v="0"/>
    <n v="0"/>
    <n v="2"/>
    <x v="3"/>
    <s v="Desktop"/>
    <x v="1"/>
    <d v="2024-05-10T00:00:00"/>
    <x v="1"/>
    <s v="Yes"/>
    <x v="3"/>
    <x v="0"/>
    <n v="5"/>
    <x v="9"/>
    <s v="Qtr-2"/>
    <x v="1"/>
  </r>
  <r>
    <s v="52-240-3825"/>
    <n v="34"/>
    <x v="2"/>
    <x v="1"/>
    <x v="1"/>
    <s v="Widowed"/>
    <s v="High School"/>
    <x v="1"/>
    <s v="Jolo"/>
    <x v="19"/>
    <x v="3"/>
    <n v="326.82"/>
    <n v="4"/>
    <x v="0"/>
    <n v="3"/>
    <n v="2"/>
    <n v="60"/>
    <x v="3"/>
    <x v="0"/>
    <n v="0.5"/>
    <n v="5"/>
    <x v="3"/>
    <s v="Tablet"/>
    <x v="0"/>
    <d v="2024-04-22T00:00:00"/>
    <x v="0"/>
    <s v="No"/>
    <x v="3"/>
    <x v="1"/>
    <n v="4"/>
    <x v="1"/>
    <s v="Qtr-2"/>
    <x v="1"/>
  </r>
  <r>
    <s v="60-618-2561"/>
    <n v="41"/>
    <x v="1"/>
    <x v="1"/>
    <x v="1"/>
    <s v="Widowed"/>
    <s v="High School"/>
    <x v="0"/>
    <s v="Pedra Azul"/>
    <x v="14"/>
    <x v="11"/>
    <n v="98.97"/>
    <n v="12"/>
    <x v="1"/>
    <n v="2"/>
    <n v="5"/>
    <n v="120"/>
    <x v="0"/>
    <x v="2"/>
    <n v="8.3333333333333329E-2"/>
    <n v="7"/>
    <x v="1"/>
    <s v="Tablet"/>
    <x v="3"/>
    <d v="2024-03-19T00:00:00"/>
    <x v="0"/>
    <s v="Yes"/>
    <x v="2"/>
    <x v="0"/>
    <n v="11"/>
    <x v="0"/>
    <s v="Qtr-1"/>
    <x v="4"/>
  </r>
  <r>
    <s v="94-969-6819"/>
    <n v="33"/>
    <x v="2"/>
    <x v="1"/>
    <x v="1"/>
    <s v="Single"/>
    <s v="High School"/>
    <x v="1"/>
    <s v="Gustavsberg"/>
    <x v="5"/>
    <x v="10"/>
    <n v="77.650000000000006"/>
    <n v="6"/>
    <x v="2"/>
    <n v="1"/>
    <n v="4"/>
    <n v="60"/>
    <x v="1"/>
    <x v="0"/>
    <n v="0.33333333333333331"/>
    <n v="3"/>
    <x v="0"/>
    <s v="Tablet"/>
    <x v="4"/>
    <d v="2024-01-24T00:00:00"/>
    <x v="0"/>
    <s v="Yes"/>
    <x v="3"/>
    <x v="0"/>
    <n v="1"/>
    <x v="3"/>
    <s v="Qtr-1"/>
    <x v="0"/>
  </r>
  <r>
    <s v="76-982-8107"/>
    <n v="47"/>
    <x v="1"/>
    <x v="0"/>
    <x v="0"/>
    <s v="Widowed"/>
    <s v="Master's"/>
    <x v="1"/>
    <s v="La Mohammedia"/>
    <x v="54"/>
    <x v="13"/>
    <n v="85.61"/>
    <n v="2"/>
    <x v="2"/>
    <n v="4"/>
    <n v="2"/>
    <n v="60"/>
    <x v="3"/>
    <x v="1"/>
    <n v="0.5"/>
    <n v="3"/>
    <x v="2"/>
    <s v="Desktop"/>
    <x v="3"/>
    <d v="2024-10-04T00:00:00"/>
    <x v="0"/>
    <s v="Yes"/>
    <x v="0"/>
    <x v="1"/>
    <n v="5"/>
    <x v="2"/>
    <s v="Qtr-4"/>
    <x v="5"/>
  </r>
  <r>
    <s v="52-779-8972"/>
    <n v="47"/>
    <x v="1"/>
    <x v="1"/>
    <x v="1"/>
    <s v="Widowed"/>
    <s v="High School"/>
    <x v="1"/>
    <s v="Florida"/>
    <x v="21"/>
    <x v="1"/>
    <n v="164.79"/>
    <n v="4"/>
    <x v="1"/>
    <n v="3"/>
    <n v="2"/>
    <n v="0"/>
    <x v="0"/>
    <x v="0"/>
    <n v="0.5"/>
    <n v="5"/>
    <x v="1"/>
    <s v="Tablet"/>
    <x v="0"/>
    <d v="2024-05-23T00:00:00"/>
    <x v="0"/>
    <s v="Yes"/>
    <x v="2"/>
    <x v="0"/>
    <n v="1"/>
    <x v="9"/>
    <s v="Qtr-2"/>
    <x v="4"/>
  </r>
  <r>
    <s v="40-520-3271"/>
    <n v="29"/>
    <x v="0"/>
    <x v="0"/>
    <x v="1"/>
    <s v="Widowed"/>
    <s v="High School"/>
    <x v="1"/>
    <s v="Zhongcheng"/>
    <x v="1"/>
    <x v="18"/>
    <n v="235.46"/>
    <n v="10"/>
    <x v="1"/>
    <n v="3"/>
    <n v="4"/>
    <n v="120"/>
    <x v="0"/>
    <x v="1"/>
    <n v="0"/>
    <n v="7"/>
    <x v="0"/>
    <s v="Desktop"/>
    <x v="0"/>
    <d v="2024-11-13T00:00:00"/>
    <x v="1"/>
    <s v="Yes"/>
    <x v="2"/>
    <x v="0"/>
    <n v="2"/>
    <x v="11"/>
    <s v="Qtr-4"/>
    <x v="1"/>
  </r>
  <r>
    <s v="79-884-5600"/>
    <n v="36"/>
    <x v="2"/>
    <x v="0"/>
    <x v="1"/>
    <s v="Widowed"/>
    <s v="Master's"/>
    <x v="0"/>
    <s v="Goiatuba"/>
    <x v="14"/>
    <x v="5"/>
    <n v="245.14"/>
    <n v="4"/>
    <x v="2"/>
    <n v="4"/>
    <n v="5"/>
    <n v="60"/>
    <x v="3"/>
    <x v="2"/>
    <n v="0.25"/>
    <n v="4"/>
    <x v="3"/>
    <s v="Smartphone"/>
    <x v="1"/>
    <d v="2024-03-03T00:00:00"/>
    <x v="0"/>
    <s v="No"/>
    <x v="2"/>
    <x v="1"/>
    <n v="3"/>
    <x v="0"/>
    <s v="Qtr-1"/>
    <x v="4"/>
  </r>
  <r>
    <s v="80-607-9947"/>
    <n v="43"/>
    <x v="1"/>
    <x v="1"/>
    <x v="1"/>
    <s v="Divorced"/>
    <s v="Bachelor's"/>
    <x v="0"/>
    <s v="Krajan Kidul Rojopolo"/>
    <x v="4"/>
    <x v="16"/>
    <n v="439.91"/>
    <n v="5"/>
    <x v="2"/>
    <n v="1"/>
    <n v="4"/>
    <n v="120"/>
    <x v="2"/>
    <x v="0"/>
    <n v="0"/>
    <n v="9"/>
    <x v="3"/>
    <s v="Smartphone"/>
    <x v="3"/>
    <d v="2024-03-03T00:00:00"/>
    <x v="1"/>
    <s v="No"/>
    <x v="0"/>
    <x v="2"/>
    <n v="10"/>
    <x v="0"/>
    <s v="Qtr-1"/>
    <x v="1"/>
  </r>
  <r>
    <s v="87-290-8263"/>
    <n v="31"/>
    <x v="2"/>
    <x v="1"/>
    <x v="1"/>
    <s v="Widowed"/>
    <s v="High School"/>
    <x v="1"/>
    <s v="Metchosin"/>
    <x v="12"/>
    <x v="3"/>
    <n v="309.22000000000003"/>
    <n v="5"/>
    <x v="0"/>
    <n v="3"/>
    <n v="5"/>
    <n v="120"/>
    <x v="2"/>
    <x v="1"/>
    <n v="0.4"/>
    <n v="4"/>
    <x v="0"/>
    <s v="Tablet"/>
    <x v="4"/>
    <d v="2024-03-24T00:00:00"/>
    <x v="1"/>
    <s v="No"/>
    <x v="3"/>
    <x v="1"/>
    <n v="10"/>
    <x v="0"/>
    <s v="Qtr-1"/>
    <x v="2"/>
  </r>
  <r>
    <s v="99-316-9993"/>
    <n v="27"/>
    <x v="0"/>
    <x v="1"/>
    <x v="0"/>
    <s v="Widowed"/>
    <s v="Master's"/>
    <x v="0"/>
    <s v="Staritsa"/>
    <x v="6"/>
    <x v="19"/>
    <n v="146.59"/>
    <n v="10"/>
    <x v="0"/>
    <n v="5"/>
    <n v="1"/>
    <n v="120"/>
    <x v="2"/>
    <x v="2"/>
    <n v="0"/>
    <n v="2"/>
    <x v="0"/>
    <s v="Smartphone"/>
    <x v="4"/>
    <d v="2024-01-22T00:00:00"/>
    <x v="1"/>
    <s v="Yes"/>
    <x v="2"/>
    <x v="0"/>
    <n v="3"/>
    <x v="3"/>
    <s v="Qtr-1"/>
    <x v="3"/>
  </r>
  <r>
    <s v="54-164-2243"/>
    <n v="48"/>
    <x v="1"/>
    <x v="1"/>
    <x v="0"/>
    <s v="Single"/>
    <s v="High School"/>
    <x v="0"/>
    <s v="Benito Juarez"/>
    <x v="40"/>
    <x v="11"/>
    <n v="298.73"/>
    <n v="4"/>
    <x v="2"/>
    <n v="1"/>
    <n v="5"/>
    <n v="60"/>
    <x v="3"/>
    <x v="1"/>
    <n v="0"/>
    <n v="2"/>
    <x v="2"/>
    <s v="Tablet"/>
    <x v="2"/>
    <d v="2024-11-02T00:00:00"/>
    <x v="1"/>
    <s v="Yes"/>
    <x v="0"/>
    <x v="0"/>
    <n v="4"/>
    <x v="11"/>
    <s v="Qtr-4"/>
    <x v="2"/>
  </r>
  <r>
    <s v="14-784-5606"/>
    <n v="19"/>
    <x v="3"/>
    <x v="7"/>
    <x v="1"/>
    <s v="Single"/>
    <s v="Bachelor's"/>
    <x v="1"/>
    <s v="Maní"/>
    <x v="40"/>
    <x v="1"/>
    <n v="395.01"/>
    <n v="2"/>
    <x v="0"/>
    <n v="1"/>
    <n v="2"/>
    <n v="120"/>
    <x v="1"/>
    <x v="2"/>
    <n v="0"/>
    <n v="6"/>
    <x v="3"/>
    <s v="Desktop"/>
    <x v="0"/>
    <d v="2024-04-18T00:00:00"/>
    <x v="0"/>
    <s v="No"/>
    <x v="1"/>
    <x v="1"/>
    <n v="3"/>
    <x v="1"/>
    <s v="Qtr-2"/>
    <x v="2"/>
  </r>
  <r>
    <s v="47-992-7446"/>
    <n v="41"/>
    <x v="1"/>
    <x v="1"/>
    <x v="0"/>
    <s v="Married"/>
    <s v="Bachelor's"/>
    <x v="1"/>
    <s v="Vitali"/>
    <x v="19"/>
    <x v="13"/>
    <n v="371.19"/>
    <n v="10"/>
    <x v="0"/>
    <n v="1"/>
    <n v="2"/>
    <n v="120"/>
    <x v="3"/>
    <x v="0"/>
    <n v="0.1"/>
    <n v="8"/>
    <x v="3"/>
    <s v="Desktop"/>
    <x v="0"/>
    <d v="2024-08-27T00:00:00"/>
    <x v="1"/>
    <s v="No"/>
    <x v="3"/>
    <x v="2"/>
    <n v="1"/>
    <x v="7"/>
    <s v="Qtr-3"/>
    <x v="1"/>
  </r>
  <r>
    <s v="37-513-5073"/>
    <n v="33"/>
    <x v="2"/>
    <x v="0"/>
    <x v="0"/>
    <s v="Married"/>
    <s v="Master's"/>
    <x v="1"/>
    <s v="Mizque"/>
    <x v="32"/>
    <x v="13"/>
    <n v="193.76"/>
    <n v="10"/>
    <x v="0"/>
    <n v="4"/>
    <n v="3"/>
    <n v="60"/>
    <x v="1"/>
    <x v="1"/>
    <n v="0"/>
    <n v="2"/>
    <x v="2"/>
    <s v="Desktop"/>
    <x v="2"/>
    <d v="2024-02-03T00:00:00"/>
    <x v="1"/>
    <s v="No"/>
    <x v="1"/>
    <x v="0"/>
    <n v="12"/>
    <x v="8"/>
    <s v="Qtr-1"/>
    <x v="4"/>
  </r>
  <r>
    <s v="93-473-7248"/>
    <n v="43"/>
    <x v="1"/>
    <x v="1"/>
    <x v="0"/>
    <s v="Divorced"/>
    <s v="Master's"/>
    <x v="1"/>
    <s v="Zgornje Pirni?e"/>
    <x v="55"/>
    <x v="15"/>
    <n v="424.27"/>
    <n v="6"/>
    <x v="2"/>
    <n v="1"/>
    <n v="4"/>
    <n v="120"/>
    <x v="0"/>
    <x v="1"/>
    <n v="0.33333333333333331"/>
    <n v="8"/>
    <x v="2"/>
    <s v="Tablet"/>
    <x v="4"/>
    <d v="2024-09-15T00:00:00"/>
    <x v="0"/>
    <s v="Yes"/>
    <x v="3"/>
    <x v="1"/>
    <n v="12"/>
    <x v="10"/>
    <s v="Qtr-3"/>
    <x v="0"/>
  </r>
  <r>
    <s v="72-830-1211"/>
    <n v="38"/>
    <x v="2"/>
    <x v="1"/>
    <x v="1"/>
    <s v="Single"/>
    <s v="Bachelor's"/>
    <x v="1"/>
    <s v="Cipolletti"/>
    <x v="56"/>
    <x v="23"/>
    <n v="496.11"/>
    <n v="2"/>
    <x v="0"/>
    <n v="2"/>
    <n v="3"/>
    <n v="60"/>
    <x v="3"/>
    <x v="0"/>
    <n v="1"/>
    <n v="8"/>
    <x v="1"/>
    <s v="Smartphone"/>
    <x v="1"/>
    <d v="2024-06-08T00:00:00"/>
    <x v="0"/>
    <s v="No"/>
    <x v="2"/>
    <x v="1"/>
    <n v="12"/>
    <x v="4"/>
    <s v="Qtr-2"/>
    <x v="4"/>
  </r>
  <r>
    <s v="87-934-6762"/>
    <n v="41"/>
    <x v="1"/>
    <x v="1"/>
    <x v="1"/>
    <s v="Widowed"/>
    <s v="Bachelor's"/>
    <x v="0"/>
    <s v="Sollefteå"/>
    <x v="5"/>
    <x v="15"/>
    <n v="341.91"/>
    <n v="3"/>
    <x v="2"/>
    <n v="4"/>
    <n v="4"/>
    <n v="0"/>
    <x v="2"/>
    <x v="1"/>
    <n v="0.33333333333333331"/>
    <n v="9"/>
    <x v="0"/>
    <s v="Tablet"/>
    <x v="4"/>
    <d v="2024-05-31T00:00:00"/>
    <x v="1"/>
    <s v="No"/>
    <x v="2"/>
    <x v="2"/>
    <n v="7"/>
    <x v="9"/>
    <s v="Qtr-2"/>
    <x v="0"/>
  </r>
  <r>
    <s v="71-975-9564"/>
    <n v="40"/>
    <x v="1"/>
    <x v="1"/>
    <x v="1"/>
    <s v="Married"/>
    <s v="Master's"/>
    <x v="1"/>
    <s v="Klonowa"/>
    <x v="18"/>
    <x v="0"/>
    <n v="127.66"/>
    <n v="11"/>
    <x v="2"/>
    <n v="1"/>
    <n v="2"/>
    <n v="120"/>
    <x v="2"/>
    <x v="1"/>
    <n v="0.18181818181818182"/>
    <n v="7"/>
    <x v="0"/>
    <s v="Smartphone"/>
    <x v="0"/>
    <d v="2024-02-23T00:00:00"/>
    <x v="1"/>
    <s v="Yes"/>
    <x v="3"/>
    <x v="1"/>
    <n v="7"/>
    <x v="8"/>
    <s v="Qtr-1"/>
    <x v="0"/>
  </r>
  <r>
    <s v="40-232-5631"/>
    <n v="47"/>
    <x v="1"/>
    <x v="3"/>
    <x v="0"/>
    <s v="Single"/>
    <s v="Bachelor's"/>
    <x v="0"/>
    <s v="Suvorov"/>
    <x v="6"/>
    <x v="14"/>
    <n v="227.47"/>
    <n v="2"/>
    <x v="2"/>
    <n v="2"/>
    <n v="2"/>
    <n v="120"/>
    <x v="2"/>
    <x v="2"/>
    <n v="0.5"/>
    <n v="4"/>
    <x v="1"/>
    <s v="Tablet"/>
    <x v="3"/>
    <d v="2024-10-30T00:00:00"/>
    <x v="0"/>
    <s v="No"/>
    <x v="0"/>
    <x v="2"/>
    <n v="9"/>
    <x v="2"/>
    <s v="Qtr-4"/>
    <x v="3"/>
  </r>
  <r>
    <s v="22-414-4955"/>
    <n v="35"/>
    <x v="2"/>
    <x v="1"/>
    <x v="1"/>
    <s v="Widowed"/>
    <s v="Bachelor's"/>
    <x v="1"/>
    <s v="Dragash"/>
    <x v="57"/>
    <x v="18"/>
    <n v="342.99"/>
    <n v="3"/>
    <x v="1"/>
    <n v="4"/>
    <n v="2"/>
    <n v="120"/>
    <x v="2"/>
    <x v="2"/>
    <n v="0"/>
    <n v="6"/>
    <x v="3"/>
    <s v="Smartphone"/>
    <x v="3"/>
    <d v="2024-11-22T00:00:00"/>
    <x v="1"/>
    <s v="Yes"/>
    <x v="2"/>
    <x v="2"/>
    <n v="6"/>
    <x v="11"/>
    <s v="Qtr-4"/>
    <x v="0"/>
  </r>
  <r>
    <s v="99-089-1930"/>
    <n v="49"/>
    <x v="1"/>
    <x v="4"/>
    <x v="1"/>
    <s v="Married"/>
    <s v="Master's"/>
    <x v="0"/>
    <s v="Freiburg im Breisgau"/>
    <x v="58"/>
    <x v="12"/>
    <n v="306.48"/>
    <n v="5"/>
    <x v="0"/>
    <n v="1"/>
    <n v="3"/>
    <n v="0"/>
    <x v="1"/>
    <x v="2"/>
    <n v="0"/>
    <n v="9"/>
    <x v="2"/>
    <s v="Tablet"/>
    <x v="0"/>
    <d v="2024-09-15T00:00:00"/>
    <x v="1"/>
    <s v="Yes"/>
    <x v="0"/>
    <x v="1"/>
    <n v="14"/>
    <x v="10"/>
    <s v="Qtr-3"/>
    <x v="0"/>
  </r>
  <r>
    <s v="62-198-2511"/>
    <n v="22"/>
    <x v="0"/>
    <x v="1"/>
    <x v="0"/>
    <s v="Divorced"/>
    <s v="Master's"/>
    <x v="1"/>
    <s v="Macau"/>
    <x v="1"/>
    <x v="3"/>
    <n v="308.54000000000002"/>
    <n v="3"/>
    <x v="0"/>
    <n v="1"/>
    <n v="3"/>
    <n v="0"/>
    <x v="3"/>
    <x v="1"/>
    <n v="0.33333333333333331"/>
    <n v="5"/>
    <x v="1"/>
    <s v="Desktop"/>
    <x v="0"/>
    <d v="2024-09-29T00:00:00"/>
    <x v="1"/>
    <s v="Yes"/>
    <x v="1"/>
    <x v="1"/>
    <n v="7"/>
    <x v="10"/>
    <s v="Qtr-3"/>
    <x v="1"/>
  </r>
  <r>
    <s v="21-297-1223"/>
    <n v="49"/>
    <x v="1"/>
    <x v="1"/>
    <x v="1"/>
    <s v="Single"/>
    <s v="Master's"/>
    <x v="0"/>
    <s v="Pancas"/>
    <x v="14"/>
    <x v="22"/>
    <n v="124.17"/>
    <n v="12"/>
    <x v="0"/>
    <n v="5"/>
    <n v="2"/>
    <n v="120"/>
    <x v="3"/>
    <x v="2"/>
    <n v="0.16666666666666666"/>
    <n v="4"/>
    <x v="1"/>
    <s v="Smartphone"/>
    <x v="2"/>
    <d v="2024-11-16T00:00:00"/>
    <x v="0"/>
    <s v="Yes"/>
    <x v="3"/>
    <x v="1"/>
    <n v="6"/>
    <x v="11"/>
    <s v="Qtr-4"/>
    <x v="4"/>
  </r>
  <r>
    <s v="10-961-9336"/>
    <n v="27"/>
    <x v="0"/>
    <x v="0"/>
    <x v="0"/>
    <s v="Married"/>
    <s v="Master's"/>
    <x v="0"/>
    <s v="Dayapan"/>
    <x v="19"/>
    <x v="22"/>
    <n v="78"/>
    <n v="5"/>
    <x v="2"/>
    <n v="1"/>
    <n v="5"/>
    <n v="0"/>
    <x v="0"/>
    <x v="1"/>
    <n v="0.2"/>
    <n v="1"/>
    <x v="2"/>
    <s v="Desktop"/>
    <x v="2"/>
    <d v="2024-11-09T00:00:00"/>
    <x v="0"/>
    <s v="No"/>
    <x v="1"/>
    <x v="0"/>
    <n v="11"/>
    <x v="11"/>
    <s v="Qtr-4"/>
    <x v="1"/>
  </r>
  <r>
    <s v="71-473-2656"/>
    <n v="27"/>
    <x v="0"/>
    <x v="0"/>
    <x v="1"/>
    <s v="Married"/>
    <s v="Bachelor's"/>
    <x v="0"/>
    <s v="Gordon Town"/>
    <x v="59"/>
    <x v="10"/>
    <n v="393.03"/>
    <n v="4"/>
    <x v="0"/>
    <n v="4"/>
    <n v="4"/>
    <n v="0"/>
    <x v="3"/>
    <x v="0"/>
    <n v="0.25"/>
    <n v="3"/>
    <x v="3"/>
    <s v="Smartphone"/>
    <x v="4"/>
    <d v="2024-09-03T00:00:00"/>
    <x v="0"/>
    <s v="Yes"/>
    <x v="3"/>
    <x v="1"/>
    <n v="7"/>
    <x v="10"/>
    <s v="Qtr-3"/>
    <x v="2"/>
  </r>
  <r>
    <s v="84-954-2973"/>
    <n v="37"/>
    <x v="2"/>
    <x v="0"/>
    <x v="1"/>
    <s v="Single"/>
    <s v="Master's"/>
    <x v="0"/>
    <s v="Proptisht"/>
    <x v="37"/>
    <x v="11"/>
    <n v="102.09"/>
    <n v="3"/>
    <x v="0"/>
    <n v="1"/>
    <n v="4"/>
    <n v="0"/>
    <x v="0"/>
    <x v="2"/>
    <n v="0.33333333333333331"/>
    <n v="9"/>
    <x v="3"/>
    <s v="Tablet"/>
    <x v="1"/>
    <d v="2024-03-13T00:00:00"/>
    <x v="1"/>
    <s v="Yes"/>
    <x v="0"/>
    <x v="2"/>
    <n v="1"/>
    <x v="0"/>
    <s v="Qtr-1"/>
    <x v="0"/>
  </r>
  <r>
    <s v="22-382-9636"/>
    <n v="32"/>
    <x v="2"/>
    <x v="1"/>
    <x v="0"/>
    <s v="Married"/>
    <s v="Bachelor's"/>
    <x v="1"/>
    <s v="Kamal"/>
    <x v="4"/>
    <x v="10"/>
    <n v="426.21"/>
    <n v="3"/>
    <x v="0"/>
    <n v="1"/>
    <n v="4"/>
    <n v="120"/>
    <x v="3"/>
    <x v="0"/>
    <n v="0.66666666666666663"/>
    <n v="5"/>
    <x v="1"/>
    <s v="Smartphone"/>
    <x v="3"/>
    <d v="2024-04-18T00:00:00"/>
    <x v="1"/>
    <s v="Yes"/>
    <x v="1"/>
    <x v="1"/>
    <n v="2"/>
    <x v="1"/>
    <s v="Qtr-2"/>
    <x v="1"/>
  </r>
  <r>
    <s v="89-724-2536"/>
    <n v="42"/>
    <x v="1"/>
    <x v="1"/>
    <x v="0"/>
    <s v="Widowed"/>
    <s v="Master's"/>
    <x v="1"/>
    <s v="Kouvola"/>
    <x v="60"/>
    <x v="17"/>
    <n v="140.31"/>
    <n v="2"/>
    <x v="2"/>
    <n v="2"/>
    <n v="4"/>
    <n v="60"/>
    <x v="2"/>
    <x v="2"/>
    <n v="1"/>
    <n v="5"/>
    <x v="0"/>
    <s v="Desktop"/>
    <x v="4"/>
    <d v="2024-05-21T00:00:00"/>
    <x v="0"/>
    <s v="Yes"/>
    <x v="2"/>
    <x v="2"/>
    <n v="8"/>
    <x v="9"/>
    <s v="Qtr-2"/>
    <x v="0"/>
  </r>
  <r>
    <s v="85-391-1888"/>
    <n v="18"/>
    <x v="3"/>
    <x v="0"/>
    <x v="1"/>
    <s v="Widowed"/>
    <s v="Master's"/>
    <x v="0"/>
    <s v="Zhongdong"/>
    <x v="1"/>
    <x v="14"/>
    <n v="413.7"/>
    <n v="8"/>
    <x v="0"/>
    <n v="3"/>
    <n v="3"/>
    <n v="18"/>
    <x v="2"/>
    <x v="2"/>
    <n v="0"/>
    <n v="9"/>
    <x v="1"/>
    <s v="Desktop"/>
    <x v="3"/>
    <d v="2024-06-17T00:00:00"/>
    <x v="1"/>
    <s v="Yes"/>
    <x v="0"/>
    <x v="0"/>
    <n v="6"/>
    <x v="4"/>
    <s v="Qtr-2"/>
    <x v="1"/>
  </r>
  <r>
    <s v="84-934-2483"/>
    <n v="49"/>
    <x v="1"/>
    <x v="1"/>
    <x v="1"/>
    <s v="Widowed"/>
    <s v="Master's"/>
    <x v="0"/>
    <s v="Betong"/>
    <x v="61"/>
    <x v="17"/>
    <n v="348.63"/>
    <n v="4"/>
    <x v="2"/>
    <n v="5"/>
    <n v="2"/>
    <n v="0"/>
    <x v="3"/>
    <x v="0"/>
    <n v="0"/>
    <n v="7"/>
    <x v="0"/>
    <s v="Smartphone"/>
    <x v="2"/>
    <d v="2024-04-01T00:00:00"/>
    <x v="1"/>
    <s v="No"/>
    <x v="3"/>
    <x v="0"/>
    <n v="6"/>
    <x v="1"/>
    <s v="Qtr-2"/>
    <x v="1"/>
  </r>
  <r>
    <s v="96-229-1698"/>
    <n v="23"/>
    <x v="0"/>
    <x v="0"/>
    <x v="0"/>
    <s v="Widowed"/>
    <s v="High School"/>
    <x v="0"/>
    <s v="Jinping"/>
    <x v="1"/>
    <x v="9"/>
    <n v="91.27"/>
    <n v="7"/>
    <x v="1"/>
    <n v="5"/>
    <n v="1"/>
    <n v="0"/>
    <x v="3"/>
    <x v="1"/>
    <n v="0.2857142857142857"/>
    <n v="6"/>
    <x v="0"/>
    <s v="Tablet"/>
    <x v="4"/>
    <d v="2024-06-21T00:00:00"/>
    <x v="0"/>
    <s v="Yes"/>
    <x v="3"/>
    <x v="2"/>
    <n v="13"/>
    <x v="4"/>
    <s v="Qtr-2"/>
    <x v="1"/>
  </r>
  <r>
    <s v="36-948-6994"/>
    <n v="29"/>
    <x v="0"/>
    <x v="0"/>
    <x v="1"/>
    <s v="Divorced"/>
    <s v="Bachelor's"/>
    <x v="1"/>
    <s v="Mgachi"/>
    <x v="6"/>
    <x v="8"/>
    <n v="359.94"/>
    <n v="11"/>
    <x v="0"/>
    <n v="2"/>
    <n v="5"/>
    <n v="120"/>
    <x v="0"/>
    <x v="2"/>
    <n v="9.0909090909090912E-2"/>
    <n v="8"/>
    <x v="2"/>
    <s v="Smartphone"/>
    <x v="4"/>
    <d v="2024-12-19T00:00:00"/>
    <x v="1"/>
    <s v="Yes"/>
    <x v="1"/>
    <x v="2"/>
    <n v="9"/>
    <x v="6"/>
    <s v="Qtr-4"/>
    <x v="3"/>
  </r>
  <r>
    <s v="43-172-9431"/>
    <n v="25"/>
    <x v="0"/>
    <x v="1"/>
    <x v="0"/>
    <s v="Divorced"/>
    <s v="High School"/>
    <x v="0"/>
    <s v="Lameira"/>
    <x v="26"/>
    <x v="0"/>
    <n v="138.19999999999999"/>
    <n v="8"/>
    <x v="1"/>
    <n v="1"/>
    <n v="2"/>
    <n v="120"/>
    <x v="3"/>
    <x v="1"/>
    <n v="0"/>
    <n v="6"/>
    <x v="2"/>
    <s v="Desktop"/>
    <x v="2"/>
    <d v="2024-03-02T00:00:00"/>
    <x v="1"/>
    <s v="Yes"/>
    <x v="0"/>
    <x v="0"/>
    <n v="12"/>
    <x v="0"/>
    <s v="Qtr-1"/>
    <x v="0"/>
  </r>
  <r>
    <s v="53-690-5759"/>
    <n v="38"/>
    <x v="2"/>
    <x v="6"/>
    <x v="1"/>
    <s v="Divorced"/>
    <s v="High School"/>
    <x v="1"/>
    <s v="Medicine Hat"/>
    <x v="12"/>
    <x v="3"/>
    <n v="196.33"/>
    <n v="11"/>
    <x v="2"/>
    <n v="4"/>
    <n v="3"/>
    <n v="60"/>
    <x v="1"/>
    <x v="1"/>
    <n v="0"/>
    <n v="5"/>
    <x v="0"/>
    <s v="Desktop"/>
    <x v="2"/>
    <d v="2024-06-29T00:00:00"/>
    <x v="0"/>
    <s v="Yes"/>
    <x v="3"/>
    <x v="1"/>
    <n v="11"/>
    <x v="4"/>
    <s v="Qtr-2"/>
    <x v="2"/>
  </r>
  <r>
    <s v="00-496-3067"/>
    <n v="32"/>
    <x v="2"/>
    <x v="0"/>
    <x v="0"/>
    <s v="Widowed"/>
    <s v="Bachelor's"/>
    <x v="0"/>
    <s v="Oslo"/>
    <x v="46"/>
    <x v="12"/>
    <n v="249.24"/>
    <n v="8"/>
    <x v="1"/>
    <n v="4"/>
    <n v="3"/>
    <n v="60"/>
    <x v="1"/>
    <x v="0"/>
    <n v="0.25"/>
    <n v="3"/>
    <x v="1"/>
    <s v="Smartphone"/>
    <x v="4"/>
    <d v="2024-08-29T00:00:00"/>
    <x v="1"/>
    <s v="Yes"/>
    <x v="0"/>
    <x v="1"/>
    <n v="7"/>
    <x v="7"/>
    <s v="Qtr-3"/>
    <x v="0"/>
  </r>
  <r>
    <s v="10-330-6387"/>
    <n v="45"/>
    <x v="1"/>
    <x v="1"/>
    <x v="1"/>
    <s v="Divorced"/>
    <s v="High School"/>
    <x v="1"/>
    <s v="Yeniköy"/>
    <x v="27"/>
    <x v="4"/>
    <n v="129.1"/>
    <n v="12"/>
    <x v="0"/>
    <n v="5"/>
    <n v="3"/>
    <n v="120"/>
    <x v="2"/>
    <x v="1"/>
    <n v="0"/>
    <n v="8"/>
    <x v="1"/>
    <s v="Desktop"/>
    <x v="0"/>
    <d v="2024-04-15T00:00:00"/>
    <x v="0"/>
    <s v="No"/>
    <x v="3"/>
    <x v="0"/>
    <n v="7"/>
    <x v="1"/>
    <s v="Qtr-2"/>
    <x v="3"/>
  </r>
  <r>
    <s v="87-590-8963"/>
    <n v="45"/>
    <x v="1"/>
    <x v="0"/>
    <x v="1"/>
    <s v="Married"/>
    <s v="Master's"/>
    <x v="1"/>
    <s v="Peer"/>
    <x v="25"/>
    <x v="15"/>
    <n v="112.69"/>
    <n v="10"/>
    <x v="1"/>
    <n v="1"/>
    <n v="4"/>
    <n v="0"/>
    <x v="3"/>
    <x v="1"/>
    <n v="0"/>
    <n v="7"/>
    <x v="3"/>
    <s v="Smartphone"/>
    <x v="2"/>
    <d v="2024-08-27T00:00:00"/>
    <x v="1"/>
    <s v="Yes"/>
    <x v="0"/>
    <x v="1"/>
    <n v="1"/>
    <x v="7"/>
    <s v="Qtr-3"/>
    <x v="0"/>
  </r>
  <r>
    <s v="47-931-2642"/>
    <n v="46"/>
    <x v="1"/>
    <x v="1"/>
    <x v="0"/>
    <s v="Widowed"/>
    <s v="Bachelor's"/>
    <x v="1"/>
    <s v="Belësovka"/>
    <x v="62"/>
    <x v="21"/>
    <n v="267.85000000000002"/>
    <n v="5"/>
    <x v="2"/>
    <n v="5"/>
    <n v="2"/>
    <n v="120"/>
    <x v="1"/>
    <x v="0"/>
    <n v="0.2"/>
    <n v="5"/>
    <x v="1"/>
    <s v="Smartphone"/>
    <x v="0"/>
    <d v="2024-03-20T00:00:00"/>
    <x v="1"/>
    <s v="Yes"/>
    <x v="0"/>
    <x v="1"/>
    <n v="7"/>
    <x v="0"/>
    <s v="Qtr-1"/>
    <x v="1"/>
  </r>
  <r>
    <s v="76-501-6422"/>
    <n v="24"/>
    <x v="0"/>
    <x v="1"/>
    <x v="0"/>
    <s v="Divorced"/>
    <s v="High School"/>
    <x v="0"/>
    <s v="Houston"/>
    <x v="10"/>
    <x v="3"/>
    <n v="205.36"/>
    <n v="12"/>
    <x v="2"/>
    <n v="1"/>
    <n v="5"/>
    <n v="120"/>
    <x v="3"/>
    <x v="2"/>
    <n v="0"/>
    <n v="1"/>
    <x v="2"/>
    <s v="Tablet"/>
    <x v="0"/>
    <d v="2024-04-27T00:00:00"/>
    <x v="1"/>
    <s v="No"/>
    <x v="2"/>
    <x v="2"/>
    <n v="5"/>
    <x v="1"/>
    <s v="Qtr-2"/>
    <x v="2"/>
  </r>
  <r>
    <s v="39-274-2175"/>
    <n v="48"/>
    <x v="1"/>
    <x v="5"/>
    <x v="1"/>
    <s v="Divorced"/>
    <s v="Master's"/>
    <x v="1"/>
    <s v="Hengdian"/>
    <x v="1"/>
    <x v="18"/>
    <n v="79.099999999999994"/>
    <n v="10"/>
    <x v="1"/>
    <n v="5"/>
    <n v="3"/>
    <n v="60"/>
    <x v="0"/>
    <x v="1"/>
    <n v="0"/>
    <n v="9"/>
    <x v="3"/>
    <s v="Tablet"/>
    <x v="2"/>
    <d v="2024-05-05T00:00:00"/>
    <x v="0"/>
    <s v="No"/>
    <x v="0"/>
    <x v="2"/>
    <n v="4"/>
    <x v="9"/>
    <s v="Qtr-2"/>
    <x v="1"/>
  </r>
  <r>
    <s v="62-493-5282"/>
    <n v="35"/>
    <x v="2"/>
    <x v="1"/>
    <x v="1"/>
    <s v="Widowed"/>
    <s v="High School"/>
    <x v="0"/>
    <s v="Shuigou"/>
    <x v="1"/>
    <x v="10"/>
    <n v="256.63"/>
    <n v="12"/>
    <x v="1"/>
    <n v="1"/>
    <n v="4"/>
    <n v="0"/>
    <x v="3"/>
    <x v="0"/>
    <n v="0.16666666666666666"/>
    <n v="2"/>
    <x v="0"/>
    <s v="Smartphone"/>
    <x v="2"/>
    <d v="2024-06-16T00:00:00"/>
    <x v="0"/>
    <s v="Yes"/>
    <x v="2"/>
    <x v="1"/>
    <n v="10"/>
    <x v="4"/>
    <s v="Qtr-2"/>
    <x v="1"/>
  </r>
  <r>
    <s v="18-841-7253"/>
    <n v="50"/>
    <x v="1"/>
    <x v="0"/>
    <x v="1"/>
    <s v="Divorced"/>
    <s v="High School"/>
    <x v="0"/>
    <s v="Xingxi"/>
    <x v="1"/>
    <x v="5"/>
    <n v="409.98"/>
    <n v="12"/>
    <x v="0"/>
    <n v="5"/>
    <n v="4"/>
    <n v="0"/>
    <x v="0"/>
    <x v="1"/>
    <n v="0.16666666666666666"/>
    <n v="1"/>
    <x v="3"/>
    <s v="Desktop"/>
    <x v="1"/>
    <d v="2024-10-15T00:00:00"/>
    <x v="0"/>
    <s v="No"/>
    <x v="1"/>
    <x v="2"/>
    <n v="8"/>
    <x v="2"/>
    <s v="Qtr-4"/>
    <x v="1"/>
  </r>
  <r>
    <s v="18-097-5707"/>
    <n v="34"/>
    <x v="2"/>
    <x v="1"/>
    <x v="0"/>
    <s v="Widowed"/>
    <s v="High School"/>
    <x v="1"/>
    <s v="Dh?b?n"/>
    <x v="63"/>
    <x v="6"/>
    <n v="291.60000000000002"/>
    <n v="2"/>
    <x v="1"/>
    <n v="3"/>
    <n v="3"/>
    <n v="120"/>
    <x v="3"/>
    <x v="0"/>
    <n v="0"/>
    <n v="7"/>
    <x v="0"/>
    <s v="Desktop"/>
    <x v="4"/>
    <d v="2024-08-01T00:00:00"/>
    <x v="1"/>
    <s v="Yes"/>
    <x v="0"/>
    <x v="1"/>
    <n v="3"/>
    <x v="7"/>
    <s v="Qtr-3"/>
    <x v="1"/>
  </r>
  <r>
    <s v="83-792-5141"/>
    <n v="50"/>
    <x v="1"/>
    <x v="0"/>
    <x v="0"/>
    <s v="Single"/>
    <s v="Bachelor's"/>
    <x v="0"/>
    <s v="Chengguan"/>
    <x v="1"/>
    <x v="3"/>
    <n v="101.7"/>
    <n v="7"/>
    <x v="2"/>
    <n v="3"/>
    <n v="4"/>
    <n v="120"/>
    <x v="1"/>
    <x v="1"/>
    <n v="0.2857142857142857"/>
    <n v="2"/>
    <x v="0"/>
    <s v="Tablet"/>
    <x v="2"/>
    <d v="2024-06-25T00:00:00"/>
    <x v="1"/>
    <s v="Yes"/>
    <x v="1"/>
    <x v="1"/>
    <n v="4"/>
    <x v="4"/>
    <s v="Qtr-2"/>
    <x v="1"/>
  </r>
  <r>
    <s v="65-036-2410"/>
    <n v="50"/>
    <x v="1"/>
    <x v="0"/>
    <x v="0"/>
    <s v="Single"/>
    <s v="High School"/>
    <x v="0"/>
    <s v="Paris 09"/>
    <x v="0"/>
    <x v="10"/>
    <n v="369.73"/>
    <n v="2"/>
    <x v="2"/>
    <n v="1"/>
    <n v="2"/>
    <n v="120"/>
    <x v="0"/>
    <x v="1"/>
    <n v="0"/>
    <n v="3"/>
    <x v="0"/>
    <s v="Tablet"/>
    <x v="2"/>
    <d v="2024-02-04T00:00:00"/>
    <x v="0"/>
    <s v="Yes"/>
    <x v="1"/>
    <x v="0"/>
    <n v="12"/>
    <x v="8"/>
    <s v="Qtr-1"/>
    <x v="0"/>
  </r>
  <r>
    <s v="67-593-9579"/>
    <n v="46"/>
    <x v="1"/>
    <x v="1"/>
    <x v="0"/>
    <s v="Single"/>
    <s v="Bachelor's"/>
    <x v="1"/>
    <s v="Rozhdestveno"/>
    <x v="6"/>
    <x v="15"/>
    <n v="71"/>
    <n v="12"/>
    <x v="2"/>
    <n v="1"/>
    <n v="5"/>
    <n v="120"/>
    <x v="3"/>
    <x v="1"/>
    <n v="0.16666666666666666"/>
    <n v="9"/>
    <x v="2"/>
    <s v="Smartphone"/>
    <x v="4"/>
    <d v="2024-06-26T00:00:00"/>
    <x v="1"/>
    <s v="No"/>
    <x v="1"/>
    <x v="0"/>
    <n v="13"/>
    <x v="4"/>
    <s v="Qtr-2"/>
    <x v="3"/>
  </r>
  <r>
    <s v="33-484-6674"/>
    <n v="47"/>
    <x v="1"/>
    <x v="1"/>
    <x v="0"/>
    <s v="Single"/>
    <s v="Master's"/>
    <x v="0"/>
    <s v="Porangatu"/>
    <x v="14"/>
    <x v="12"/>
    <n v="280.05"/>
    <n v="10"/>
    <x v="1"/>
    <n v="4"/>
    <n v="1"/>
    <n v="120"/>
    <x v="1"/>
    <x v="2"/>
    <n v="0.1"/>
    <n v="2"/>
    <x v="1"/>
    <s v="Smartphone"/>
    <x v="0"/>
    <d v="2024-07-06T00:00:00"/>
    <x v="0"/>
    <s v="No"/>
    <x v="1"/>
    <x v="0"/>
    <n v="11"/>
    <x v="5"/>
    <s v="Qtr-3"/>
    <x v="4"/>
  </r>
  <r>
    <s v="65-249-5416"/>
    <n v="35"/>
    <x v="2"/>
    <x v="1"/>
    <x v="1"/>
    <s v="Widowed"/>
    <s v="Master's"/>
    <x v="0"/>
    <s v="Shalkar"/>
    <x v="62"/>
    <x v="23"/>
    <n v="54.71"/>
    <n v="4"/>
    <x v="0"/>
    <n v="5"/>
    <n v="2"/>
    <n v="60"/>
    <x v="2"/>
    <x v="2"/>
    <n v="0.25"/>
    <n v="3"/>
    <x v="0"/>
    <s v="Desktop"/>
    <x v="1"/>
    <d v="2024-10-26T00:00:00"/>
    <x v="0"/>
    <s v="Yes"/>
    <x v="0"/>
    <x v="2"/>
    <n v="3"/>
    <x v="2"/>
    <s v="Qtr-4"/>
    <x v="1"/>
  </r>
  <r>
    <s v="17-328-4678"/>
    <n v="27"/>
    <x v="0"/>
    <x v="1"/>
    <x v="1"/>
    <s v="Widowed"/>
    <s v="Bachelor's"/>
    <x v="0"/>
    <s v="Quimbaya"/>
    <x v="38"/>
    <x v="12"/>
    <n v="119.51"/>
    <n v="11"/>
    <x v="0"/>
    <n v="5"/>
    <n v="5"/>
    <n v="120"/>
    <x v="2"/>
    <x v="2"/>
    <n v="0.18181818181818182"/>
    <n v="8"/>
    <x v="2"/>
    <s v="Desktop"/>
    <x v="1"/>
    <d v="2024-05-07T00:00:00"/>
    <x v="1"/>
    <s v="No"/>
    <x v="3"/>
    <x v="0"/>
    <n v="1"/>
    <x v="9"/>
    <s v="Qtr-2"/>
    <x v="4"/>
  </r>
  <r>
    <s v="00-733-8770"/>
    <n v="37"/>
    <x v="2"/>
    <x v="0"/>
    <x v="1"/>
    <s v="Single"/>
    <s v="Master's"/>
    <x v="1"/>
    <s v="Narok"/>
    <x v="64"/>
    <x v="17"/>
    <n v="57.5"/>
    <n v="12"/>
    <x v="2"/>
    <n v="5"/>
    <n v="1"/>
    <n v="60"/>
    <x v="0"/>
    <x v="1"/>
    <n v="0"/>
    <n v="3"/>
    <x v="0"/>
    <s v="Desktop"/>
    <x v="4"/>
    <d v="2024-12-08T00:00:00"/>
    <x v="0"/>
    <s v="Yes"/>
    <x v="2"/>
    <x v="0"/>
    <n v="13"/>
    <x v="6"/>
    <s v="Qtr-4"/>
    <x v="5"/>
  </r>
  <r>
    <s v="47-501-3435"/>
    <n v="38"/>
    <x v="2"/>
    <x v="0"/>
    <x v="1"/>
    <s v="Married"/>
    <s v="Bachelor's"/>
    <x v="1"/>
    <s v="Gimcheon"/>
    <x v="43"/>
    <x v="5"/>
    <n v="225.05"/>
    <n v="5"/>
    <x v="0"/>
    <n v="2"/>
    <n v="1"/>
    <n v="60"/>
    <x v="3"/>
    <x v="0"/>
    <n v="0.2"/>
    <n v="1"/>
    <x v="2"/>
    <s v="Desktop"/>
    <x v="0"/>
    <d v="2024-06-27T00:00:00"/>
    <x v="1"/>
    <s v="No"/>
    <x v="0"/>
    <x v="0"/>
    <n v="10"/>
    <x v="4"/>
    <s v="Qtr-2"/>
    <x v="1"/>
  </r>
  <r>
    <s v="46-779-7065"/>
    <n v="41"/>
    <x v="1"/>
    <x v="0"/>
    <x v="1"/>
    <s v="Divorced"/>
    <s v="High School"/>
    <x v="1"/>
    <s v="Visaginas"/>
    <x v="65"/>
    <x v="1"/>
    <n v="441.15"/>
    <n v="7"/>
    <x v="2"/>
    <n v="3"/>
    <n v="1"/>
    <n v="60"/>
    <x v="2"/>
    <x v="0"/>
    <n v="0.14285714285714285"/>
    <n v="1"/>
    <x v="0"/>
    <s v="Smartphone"/>
    <x v="2"/>
    <d v="2024-08-31T00:00:00"/>
    <x v="1"/>
    <s v="No"/>
    <x v="0"/>
    <x v="0"/>
    <n v="8"/>
    <x v="7"/>
    <s v="Qtr-3"/>
    <x v="0"/>
  </r>
  <r>
    <s v="91-603-1565"/>
    <n v="48"/>
    <x v="1"/>
    <x v="1"/>
    <x v="0"/>
    <s v="Divorced"/>
    <s v="High School"/>
    <x v="0"/>
    <s v="Shostka"/>
    <x v="9"/>
    <x v="9"/>
    <n v="481.21"/>
    <n v="3"/>
    <x v="0"/>
    <n v="1"/>
    <n v="2"/>
    <n v="60"/>
    <x v="3"/>
    <x v="1"/>
    <n v="0"/>
    <n v="1"/>
    <x v="0"/>
    <s v="Desktop"/>
    <x v="0"/>
    <d v="2024-11-13T00:00:00"/>
    <x v="1"/>
    <s v="No"/>
    <x v="1"/>
    <x v="0"/>
    <n v="11"/>
    <x v="11"/>
    <s v="Qtr-4"/>
    <x v="0"/>
  </r>
  <r>
    <s v="35-122-5020"/>
    <n v="48"/>
    <x v="1"/>
    <x v="0"/>
    <x v="1"/>
    <s v="Married"/>
    <s v="Bachelor's"/>
    <x v="0"/>
    <s v="Pukekohe East"/>
    <x v="66"/>
    <x v="17"/>
    <n v="102.96"/>
    <n v="3"/>
    <x v="0"/>
    <n v="1"/>
    <n v="1"/>
    <n v="60"/>
    <x v="2"/>
    <x v="2"/>
    <n v="0"/>
    <n v="7"/>
    <x v="2"/>
    <s v="Desktop"/>
    <x v="1"/>
    <d v="2024-12-19T00:00:00"/>
    <x v="1"/>
    <s v="Yes"/>
    <x v="1"/>
    <x v="1"/>
    <n v="4"/>
    <x v="6"/>
    <s v="Qtr-4"/>
    <x v="6"/>
  </r>
  <r>
    <s v="63-684-4073"/>
    <n v="45"/>
    <x v="1"/>
    <x v="0"/>
    <x v="1"/>
    <s v="Divorced"/>
    <s v="Bachelor's"/>
    <x v="1"/>
    <s v="Blokdesa Situgede"/>
    <x v="4"/>
    <x v="13"/>
    <n v="331.57"/>
    <n v="11"/>
    <x v="0"/>
    <n v="3"/>
    <n v="1"/>
    <n v="0"/>
    <x v="2"/>
    <x v="0"/>
    <n v="9.0909090909090912E-2"/>
    <n v="6"/>
    <x v="3"/>
    <s v="Desktop"/>
    <x v="2"/>
    <d v="2024-05-06T00:00:00"/>
    <x v="1"/>
    <s v="No"/>
    <x v="2"/>
    <x v="2"/>
    <n v="14"/>
    <x v="9"/>
    <s v="Qtr-2"/>
    <x v="1"/>
  </r>
  <r>
    <s v="74-483-2893"/>
    <n v="26"/>
    <x v="0"/>
    <x v="4"/>
    <x v="0"/>
    <s v="Widowed"/>
    <s v="High School"/>
    <x v="0"/>
    <s v="Yueyang"/>
    <x v="1"/>
    <x v="13"/>
    <n v="101.29"/>
    <n v="11"/>
    <x v="1"/>
    <n v="1"/>
    <n v="1"/>
    <n v="120"/>
    <x v="1"/>
    <x v="1"/>
    <n v="0.18181818181818182"/>
    <n v="7"/>
    <x v="3"/>
    <s v="Smartphone"/>
    <x v="4"/>
    <d v="2024-10-30T00:00:00"/>
    <x v="1"/>
    <s v="Yes"/>
    <x v="0"/>
    <x v="0"/>
    <n v="4"/>
    <x v="2"/>
    <s v="Qtr-4"/>
    <x v="1"/>
  </r>
  <r>
    <s v="72-728-4406"/>
    <n v="50"/>
    <x v="1"/>
    <x v="0"/>
    <x v="0"/>
    <s v="Single"/>
    <s v="Master's"/>
    <x v="1"/>
    <s v="Liutan"/>
    <x v="1"/>
    <x v="12"/>
    <n v="143.52000000000001"/>
    <n v="9"/>
    <x v="1"/>
    <n v="2"/>
    <n v="5"/>
    <n v="60"/>
    <x v="1"/>
    <x v="0"/>
    <n v="0.22222222222222221"/>
    <n v="3"/>
    <x v="0"/>
    <s v="Tablet"/>
    <x v="0"/>
    <d v="2024-04-11T00:00:00"/>
    <x v="0"/>
    <s v="No"/>
    <x v="2"/>
    <x v="2"/>
    <n v="12"/>
    <x v="1"/>
    <s v="Qtr-2"/>
    <x v="1"/>
  </r>
  <r>
    <s v="13-588-2488"/>
    <n v="39"/>
    <x v="2"/>
    <x v="1"/>
    <x v="0"/>
    <s v="Widowed"/>
    <s v="Bachelor's"/>
    <x v="0"/>
    <s v="Huanggang"/>
    <x v="1"/>
    <x v="6"/>
    <n v="276.48"/>
    <n v="3"/>
    <x v="0"/>
    <n v="1"/>
    <n v="2"/>
    <n v="60"/>
    <x v="0"/>
    <x v="0"/>
    <n v="0"/>
    <n v="4"/>
    <x v="2"/>
    <s v="Desktop"/>
    <x v="4"/>
    <d v="2024-05-05T00:00:00"/>
    <x v="1"/>
    <s v="No"/>
    <x v="0"/>
    <x v="2"/>
    <n v="7"/>
    <x v="9"/>
    <s v="Qtr-2"/>
    <x v="1"/>
  </r>
  <r>
    <s v="79-861-6506"/>
    <n v="20"/>
    <x v="0"/>
    <x v="1"/>
    <x v="1"/>
    <s v="Widowed"/>
    <s v="High School"/>
    <x v="1"/>
    <s v="Baturité"/>
    <x v="14"/>
    <x v="16"/>
    <n v="352.87"/>
    <n v="11"/>
    <x v="1"/>
    <n v="5"/>
    <n v="3"/>
    <n v="0"/>
    <x v="3"/>
    <x v="1"/>
    <n v="0"/>
    <n v="6"/>
    <x v="1"/>
    <s v="Tablet"/>
    <x v="1"/>
    <d v="2024-02-19T00:00:00"/>
    <x v="1"/>
    <s v="No"/>
    <x v="1"/>
    <x v="1"/>
    <n v="12"/>
    <x v="8"/>
    <s v="Qtr-1"/>
    <x v="4"/>
  </r>
  <r>
    <s v="66-974-6707"/>
    <n v="48"/>
    <x v="1"/>
    <x v="1"/>
    <x v="0"/>
    <s v="Married"/>
    <s v="Master's"/>
    <x v="0"/>
    <s v="Mi’ersi"/>
    <x v="1"/>
    <x v="7"/>
    <n v="228.68"/>
    <n v="3"/>
    <x v="0"/>
    <n v="2"/>
    <n v="1"/>
    <n v="120"/>
    <x v="2"/>
    <x v="2"/>
    <n v="0.33333333333333331"/>
    <n v="4"/>
    <x v="0"/>
    <s v="Tablet"/>
    <x v="2"/>
    <d v="2024-10-09T00:00:00"/>
    <x v="0"/>
    <s v="No"/>
    <x v="3"/>
    <x v="1"/>
    <n v="4"/>
    <x v="2"/>
    <s v="Qtr-4"/>
    <x v="1"/>
  </r>
  <r>
    <s v="95-112-6724"/>
    <n v="31"/>
    <x v="2"/>
    <x v="0"/>
    <x v="0"/>
    <s v="Divorced"/>
    <s v="Master's"/>
    <x v="1"/>
    <s v="Xuedian"/>
    <x v="1"/>
    <x v="1"/>
    <n v="301.39"/>
    <n v="6"/>
    <x v="2"/>
    <n v="2"/>
    <n v="1"/>
    <n v="0"/>
    <x v="0"/>
    <x v="2"/>
    <n v="0.16666666666666666"/>
    <n v="4"/>
    <x v="2"/>
    <s v="Desktop"/>
    <x v="2"/>
    <d v="2024-04-21T00:00:00"/>
    <x v="1"/>
    <s v="No"/>
    <x v="0"/>
    <x v="0"/>
    <n v="11"/>
    <x v="1"/>
    <s v="Qtr-2"/>
    <x v="1"/>
  </r>
  <r>
    <s v="27-262-6874"/>
    <n v="25"/>
    <x v="0"/>
    <x v="0"/>
    <x v="0"/>
    <s v="Married"/>
    <s v="Bachelor's"/>
    <x v="1"/>
    <s v="Yuyapichis"/>
    <x v="42"/>
    <x v="5"/>
    <n v="473.5"/>
    <n v="11"/>
    <x v="0"/>
    <n v="2"/>
    <n v="4"/>
    <n v="60"/>
    <x v="2"/>
    <x v="0"/>
    <n v="0.18181818181818182"/>
    <n v="3"/>
    <x v="1"/>
    <s v="Tablet"/>
    <x v="3"/>
    <d v="2024-07-24T00:00:00"/>
    <x v="1"/>
    <s v="Yes"/>
    <x v="2"/>
    <x v="2"/>
    <n v="10"/>
    <x v="5"/>
    <s v="Qtr-3"/>
    <x v="4"/>
  </r>
  <r>
    <s v="92-908-5062"/>
    <n v="18"/>
    <x v="3"/>
    <x v="6"/>
    <x v="0"/>
    <s v="Single"/>
    <s v="Bachelor's"/>
    <x v="1"/>
    <s v="Shiroishi"/>
    <x v="3"/>
    <x v="3"/>
    <n v="72.8"/>
    <n v="11"/>
    <x v="1"/>
    <n v="2"/>
    <n v="4"/>
    <n v="60"/>
    <x v="3"/>
    <x v="0"/>
    <n v="0.18181818181818182"/>
    <n v="10"/>
    <x v="1"/>
    <s v="Desktop"/>
    <x v="1"/>
    <d v="2024-08-20T00:00:00"/>
    <x v="0"/>
    <s v="No"/>
    <x v="0"/>
    <x v="2"/>
    <n v="3"/>
    <x v="7"/>
    <s v="Qtr-3"/>
    <x v="1"/>
  </r>
  <r>
    <s v="70-014-6406"/>
    <n v="18"/>
    <x v="3"/>
    <x v="1"/>
    <x v="0"/>
    <s v="Divorced"/>
    <s v="Bachelor's"/>
    <x v="1"/>
    <s v="Kobe"/>
    <x v="3"/>
    <x v="12"/>
    <n v="171.72"/>
    <n v="3"/>
    <x v="2"/>
    <n v="5"/>
    <n v="3"/>
    <n v="60"/>
    <x v="2"/>
    <x v="2"/>
    <n v="0.33333333333333331"/>
    <n v="2"/>
    <x v="0"/>
    <s v="Desktop"/>
    <x v="1"/>
    <d v="2024-03-24T00:00:00"/>
    <x v="1"/>
    <s v="Yes"/>
    <x v="2"/>
    <x v="1"/>
    <n v="12"/>
    <x v="0"/>
    <s v="Qtr-1"/>
    <x v="1"/>
  </r>
  <r>
    <s v="52-908-9971"/>
    <n v="31"/>
    <x v="2"/>
    <x v="1"/>
    <x v="0"/>
    <s v="Widowed"/>
    <s v="High School"/>
    <x v="0"/>
    <s v="Gulou"/>
    <x v="1"/>
    <x v="14"/>
    <n v="467.5"/>
    <n v="6"/>
    <x v="1"/>
    <n v="2"/>
    <n v="1"/>
    <n v="0"/>
    <x v="0"/>
    <x v="0"/>
    <n v="0.16666666666666666"/>
    <n v="1"/>
    <x v="1"/>
    <s v="Desktop"/>
    <x v="1"/>
    <d v="2024-04-04T00:00:00"/>
    <x v="1"/>
    <s v="No"/>
    <x v="3"/>
    <x v="0"/>
    <n v="6"/>
    <x v="1"/>
    <s v="Qtr-2"/>
    <x v="1"/>
  </r>
  <r>
    <s v="57-623-5362"/>
    <n v="43"/>
    <x v="1"/>
    <x v="7"/>
    <x v="1"/>
    <s v="Married"/>
    <s v="Bachelor's"/>
    <x v="1"/>
    <s v="Jilin"/>
    <x v="1"/>
    <x v="4"/>
    <n v="209.79"/>
    <n v="6"/>
    <x v="0"/>
    <n v="5"/>
    <n v="1"/>
    <n v="120"/>
    <x v="3"/>
    <x v="1"/>
    <n v="0.16666666666666666"/>
    <n v="9"/>
    <x v="2"/>
    <s v="Tablet"/>
    <x v="3"/>
    <d v="2024-09-13T00:00:00"/>
    <x v="0"/>
    <s v="Yes"/>
    <x v="0"/>
    <x v="1"/>
    <n v="10"/>
    <x v="10"/>
    <s v="Qtr-3"/>
    <x v="1"/>
  </r>
  <r>
    <s v="48-315-0196"/>
    <n v="23"/>
    <x v="0"/>
    <x v="1"/>
    <x v="0"/>
    <s v="Single"/>
    <s v="High School"/>
    <x v="0"/>
    <s v="Balboa"/>
    <x v="67"/>
    <x v="2"/>
    <n v="150.33000000000001"/>
    <n v="9"/>
    <x v="1"/>
    <n v="4"/>
    <n v="4"/>
    <n v="120"/>
    <x v="0"/>
    <x v="0"/>
    <n v="0.22222222222222221"/>
    <n v="9"/>
    <x v="3"/>
    <s v="Desktop"/>
    <x v="2"/>
    <d v="2024-04-24T00:00:00"/>
    <x v="0"/>
    <s v="No"/>
    <x v="1"/>
    <x v="2"/>
    <n v="6"/>
    <x v="1"/>
    <s v="Qtr-2"/>
    <x v="2"/>
  </r>
  <r>
    <s v="71-959-3896"/>
    <n v="29"/>
    <x v="0"/>
    <x v="1"/>
    <x v="1"/>
    <s v="Married"/>
    <s v="Bachelor's"/>
    <x v="1"/>
    <s v="Cipari"/>
    <x v="4"/>
    <x v="8"/>
    <n v="98.63"/>
    <n v="7"/>
    <x v="2"/>
    <n v="4"/>
    <n v="5"/>
    <n v="120"/>
    <x v="3"/>
    <x v="0"/>
    <n v="0.14285714285714285"/>
    <n v="3"/>
    <x v="2"/>
    <s v="Tablet"/>
    <x v="3"/>
    <d v="2024-01-09T00:00:00"/>
    <x v="1"/>
    <s v="Yes"/>
    <x v="3"/>
    <x v="1"/>
    <n v="6"/>
    <x v="3"/>
    <s v="Qtr-1"/>
    <x v="1"/>
  </r>
  <r>
    <s v="29-987-3969"/>
    <n v="21"/>
    <x v="0"/>
    <x v="0"/>
    <x v="0"/>
    <s v="Divorced"/>
    <s v="Master's"/>
    <x v="0"/>
    <s v="Orlando"/>
    <x v="10"/>
    <x v="21"/>
    <n v="193.3"/>
    <n v="11"/>
    <x v="0"/>
    <n v="4"/>
    <n v="2"/>
    <n v="120"/>
    <x v="0"/>
    <x v="2"/>
    <n v="0.18181818181818182"/>
    <n v="1"/>
    <x v="3"/>
    <s v="Tablet"/>
    <x v="3"/>
    <d v="2024-06-03T00:00:00"/>
    <x v="0"/>
    <s v="Yes"/>
    <x v="3"/>
    <x v="0"/>
    <n v="12"/>
    <x v="4"/>
    <s v="Qtr-2"/>
    <x v="2"/>
  </r>
  <r>
    <s v="78-613-1546"/>
    <n v="49"/>
    <x v="1"/>
    <x v="0"/>
    <x v="0"/>
    <s v="Single"/>
    <s v="High School"/>
    <x v="0"/>
    <s v="Torsby"/>
    <x v="5"/>
    <x v="8"/>
    <n v="145.02000000000001"/>
    <n v="7"/>
    <x v="1"/>
    <n v="3"/>
    <n v="2"/>
    <n v="0"/>
    <x v="3"/>
    <x v="2"/>
    <n v="0.14285714285714285"/>
    <n v="1"/>
    <x v="3"/>
    <s v="Desktop"/>
    <x v="0"/>
    <d v="2024-06-23T00:00:00"/>
    <x v="0"/>
    <s v="Yes"/>
    <x v="1"/>
    <x v="2"/>
    <n v="9"/>
    <x v="4"/>
    <s v="Qtr-2"/>
    <x v="0"/>
  </r>
  <r>
    <s v="43-664-4451"/>
    <n v="30"/>
    <x v="2"/>
    <x v="0"/>
    <x v="0"/>
    <s v="Divorced"/>
    <s v="Master's"/>
    <x v="0"/>
    <s v="San Pablo"/>
    <x v="19"/>
    <x v="18"/>
    <n v="294.99"/>
    <n v="4"/>
    <x v="2"/>
    <n v="3"/>
    <n v="5"/>
    <n v="120"/>
    <x v="2"/>
    <x v="0"/>
    <n v="0.25"/>
    <n v="4"/>
    <x v="1"/>
    <s v="Desktop"/>
    <x v="1"/>
    <d v="2024-11-30T00:00:00"/>
    <x v="1"/>
    <s v="No"/>
    <x v="0"/>
    <x v="1"/>
    <n v="5"/>
    <x v="11"/>
    <s v="Qtr-4"/>
    <x v="1"/>
  </r>
  <r>
    <s v="34-095-3364"/>
    <n v="31"/>
    <x v="2"/>
    <x v="5"/>
    <x v="0"/>
    <s v="Divorced"/>
    <s v="High School"/>
    <x v="0"/>
    <s v="Daszewice"/>
    <x v="18"/>
    <x v="2"/>
    <n v="305.45"/>
    <n v="2"/>
    <x v="0"/>
    <n v="5"/>
    <n v="5"/>
    <n v="60"/>
    <x v="0"/>
    <x v="2"/>
    <n v="0.5"/>
    <n v="1"/>
    <x v="1"/>
    <s v="Smartphone"/>
    <x v="1"/>
    <d v="2024-10-24T00:00:00"/>
    <x v="1"/>
    <s v="Yes"/>
    <x v="2"/>
    <x v="2"/>
    <n v="9"/>
    <x v="2"/>
    <s v="Qtr-4"/>
    <x v="0"/>
  </r>
  <r>
    <s v="72-393-6893"/>
    <n v="50"/>
    <x v="1"/>
    <x v="0"/>
    <x v="0"/>
    <s v="Widowed"/>
    <s v="High School"/>
    <x v="0"/>
    <s v="Villa Concepción del Tío"/>
    <x v="56"/>
    <x v="16"/>
    <n v="432.42"/>
    <n v="2"/>
    <x v="1"/>
    <n v="4"/>
    <n v="4"/>
    <n v="0"/>
    <x v="1"/>
    <x v="1"/>
    <n v="0"/>
    <n v="8"/>
    <x v="0"/>
    <s v="Tablet"/>
    <x v="1"/>
    <d v="2024-04-21T00:00:00"/>
    <x v="1"/>
    <s v="Yes"/>
    <x v="0"/>
    <x v="2"/>
    <n v="13"/>
    <x v="1"/>
    <s v="Qtr-2"/>
    <x v="4"/>
  </r>
  <r>
    <s v="73-707-2809"/>
    <n v="35"/>
    <x v="2"/>
    <x v="0"/>
    <x v="0"/>
    <s v="Single"/>
    <s v="Bachelor's"/>
    <x v="1"/>
    <s v="Hacienda La Calera"/>
    <x v="38"/>
    <x v="0"/>
    <n v="227.58"/>
    <n v="11"/>
    <x v="0"/>
    <n v="3"/>
    <n v="1"/>
    <n v="60"/>
    <x v="0"/>
    <x v="1"/>
    <n v="9.0909090909090912E-2"/>
    <n v="8"/>
    <x v="1"/>
    <s v="Smartphone"/>
    <x v="0"/>
    <d v="2024-01-23T00:00:00"/>
    <x v="1"/>
    <s v="Yes"/>
    <x v="0"/>
    <x v="2"/>
    <n v="6"/>
    <x v="3"/>
    <s v="Qtr-1"/>
    <x v="4"/>
  </r>
  <r>
    <s v="04-609-7885"/>
    <n v="36"/>
    <x v="2"/>
    <x v="1"/>
    <x v="0"/>
    <s v="Single"/>
    <s v="High School"/>
    <x v="1"/>
    <s v="Oslo"/>
    <x v="46"/>
    <x v="16"/>
    <n v="160.88999999999999"/>
    <n v="10"/>
    <x v="2"/>
    <n v="5"/>
    <n v="5"/>
    <n v="120"/>
    <x v="0"/>
    <x v="0"/>
    <n v="0.2"/>
    <n v="6"/>
    <x v="3"/>
    <s v="Desktop"/>
    <x v="1"/>
    <d v="2024-06-23T00:00:00"/>
    <x v="0"/>
    <s v="Yes"/>
    <x v="3"/>
    <x v="0"/>
    <n v="13"/>
    <x v="4"/>
    <s v="Qtr-2"/>
    <x v="0"/>
  </r>
  <r>
    <s v="73-139-4306"/>
    <n v="24"/>
    <x v="0"/>
    <x v="0"/>
    <x v="0"/>
    <s v="Married"/>
    <s v="Master's"/>
    <x v="1"/>
    <s v="Puerto López"/>
    <x v="38"/>
    <x v="8"/>
    <n v="139.1"/>
    <n v="7"/>
    <x v="2"/>
    <n v="2"/>
    <n v="5"/>
    <n v="0"/>
    <x v="2"/>
    <x v="0"/>
    <n v="0.2857142857142857"/>
    <n v="3"/>
    <x v="3"/>
    <s v="Desktop"/>
    <x v="1"/>
    <d v="2024-03-20T00:00:00"/>
    <x v="1"/>
    <s v="No"/>
    <x v="2"/>
    <x v="0"/>
    <n v="8"/>
    <x v="0"/>
    <s v="Qtr-1"/>
    <x v="4"/>
  </r>
  <r>
    <s v="23-794-8196"/>
    <n v="36"/>
    <x v="2"/>
    <x v="3"/>
    <x v="1"/>
    <s v="Married"/>
    <s v="Master's"/>
    <x v="0"/>
    <s v="Xinchengzi"/>
    <x v="1"/>
    <x v="4"/>
    <n v="268.27999999999997"/>
    <n v="9"/>
    <x v="0"/>
    <n v="5"/>
    <n v="2"/>
    <n v="120"/>
    <x v="3"/>
    <x v="2"/>
    <n v="0.22222222222222221"/>
    <n v="2"/>
    <x v="1"/>
    <s v="Smartphone"/>
    <x v="0"/>
    <d v="2024-04-09T00:00:00"/>
    <x v="1"/>
    <s v="Yes"/>
    <x v="0"/>
    <x v="1"/>
    <n v="8"/>
    <x v="1"/>
    <s v="Qtr-2"/>
    <x v="1"/>
  </r>
  <r>
    <s v="66-050-6391"/>
    <n v="45"/>
    <x v="1"/>
    <x v="0"/>
    <x v="0"/>
    <s v="Single"/>
    <s v="Master's"/>
    <x v="1"/>
    <s v="Tecpán Guatemala"/>
    <x v="22"/>
    <x v="6"/>
    <n v="64.489999999999995"/>
    <n v="6"/>
    <x v="2"/>
    <n v="2"/>
    <n v="1"/>
    <n v="0"/>
    <x v="0"/>
    <x v="2"/>
    <n v="0.16666666666666666"/>
    <n v="10"/>
    <x v="0"/>
    <s v="Tablet"/>
    <x v="3"/>
    <d v="2024-10-19T00:00:00"/>
    <x v="1"/>
    <s v="No"/>
    <x v="3"/>
    <x v="2"/>
    <n v="7"/>
    <x v="2"/>
    <s v="Qtr-4"/>
    <x v="2"/>
  </r>
  <r>
    <s v="22-311-5460"/>
    <n v="44"/>
    <x v="1"/>
    <x v="1"/>
    <x v="0"/>
    <s v="Widowed"/>
    <s v="High School"/>
    <x v="0"/>
    <s v="Bronnitsy"/>
    <x v="6"/>
    <x v="17"/>
    <n v="80.17"/>
    <n v="10"/>
    <x v="2"/>
    <n v="1"/>
    <n v="1"/>
    <n v="60"/>
    <x v="3"/>
    <x v="1"/>
    <n v="0.1"/>
    <n v="8"/>
    <x v="0"/>
    <s v="Tablet"/>
    <x v="0"/>
    <d v="2024-05-10T00:00:00"/>
    <x v="0"/>
    <s v="Yes"/>
    <x v="3"/>
    <x v="0"/>
    <n v="6"/>
    <x v="9"/>
    <s v="Qtr-2"/>
    <x v="3"/>
  </r>
  <r>
    <s v="51-917-0766"/>
    <n v="28"/>
    <x v="0"/>
    <x v="1"/>
    <x v="1"/>
    <s v="Married"/>
    <s v="Master's"/>
    <x v="1"/>
    <s v="Araci"/>
    <x v="14"/>
    <x v="19"/>
    <n v="277.52"/>
    <n v="11"/>
    <x v="1"/>
    <n v="4"/>
    <n v="1"/>
    <n v="0"/>
    <x v="0"/>
    <x v="1"/>
    <n v="9.0909090909090912E-2"/>
    <n v="7"/>
    <x v="3"/>
    <s v="Smartphone"/>
    <x v="1"/>
    <d v="2024-05-14T00:00:00"/>
    <x v="0"/>
    <s v="No"/>
    <x v="0"/>
    <x v="1"/>
    <n v="11"/>
    <x v="9"/>
    <s v="Qtr-2"/>
    <x v="4"/>
  </r>
  <r>
    <s v="53-013-1026"/>
    <n v="40"/>
    <x v="1"/>
    <x v="1"/>
    <x v="1"/>
    <s v="Widowed"/>
    <s v="Master's"/>
    <x v="0"/>
    <s v="Duyure"/>
    <x v="35"/>
    <x v="18"/>
    <n v="53.67"/>
    <n v="7"/>
    <x v="2"/>
    <n v="3"/>
    <n v="5"/>
    <n v="60"/>
    <x v="3"/>
    <x v="1"/>
    <n v="0"/>
    <n v="2"/>
    <x v="1"/>
    <s v="Desktop"/>
    <x v="1"/>
    <d v="2024-04-13T00:00:00"/>
    <x v="1"/>
    <s v="No"/>
    <x v="3"/>
    <x v="2"/>
    <n v="11"/>
    <x v="1"/>
    <s v="Qtr-2"/>
    <x v="2"/>
  </r>
  <r>
    <s v="29-779-3457"/>
    <n v="49"/>
    <x v="1"/>
    <x v="0"/>
    <x v="0"/>
    <s v="Widowed"/>
    <s v="Bachelor's"/>
    <x v="1"/>
    <s v="Huangni"/>
    <x v="1"/>
    <x v="2"/>
    <n v="323.39"/>
    <n v="10"/>
    <x v="1"/>
    <n v="2"/>
    <n v="3"/>
    <n v="120"/>
    <x v="0"/>
    <x v="2"/>
    <n v="0"/>
    <n v="7"/>
    <x v="1"/>
    <s v="Tablet"/>
    <x v="4"/>
    <d v="2024-01-04T00:00:00"/>
    <x v="0"/>
    <s v="Yes"/>
    <x v="0"/>
    <x v="0"/>
    <n v="11"/>
    <x v="3"/>
    <s v="Qtr-1"/>
    <x v="1"/>
  </r>
  <r>
    <s v="18-047-5540"/>
    <n v="50"/>
    <x v="1"/>
    <x v="0"/>
    <x v="1"/>
    <s v="Single"/>
    <s v="Bachelor's"/>
    <x v="1"/>
    <s v="Kuala Lumpur"/>
    <x v="68"/>
    <x v="6"/>
    <n v="98.02"/>
    <n v="5"/>
    <x v="1"/>
    <n v="3"/>
    <n v="3"/>
    <n v="60"/>
    <x v="2"/>
    <x v="1"/>
    <n v="0"/>
    <n v="3"/>
    <x v="1"/>
    <s v="Desktop"/>
    <x v="2"/>
    <d v="2024-06-30T00:00:00"/>
    <x v="0"/>
    <s v="No"/>
    <x v="3"/>
    <x v="0"/>
    <n v="10"/>
    <x v="4"/>
    <s v="Qtr-2"/>
    <x v="1"/>
  </r>
  <r>
    <s v="89-438-5310"/>
    <n v="24"/>
    <x v="0"/>
    <x v="1"/>
    <x v="1"/>
    <s v="Divorced"/>
    <s v="Bachelor's"/>
    <x v="1"/>
    <s v="Seleuš"/>
    <x v="47"/>
    <x v="22"/>
    <n v="231.26"/>
    <n v="10"/>
    <x v="1"/>
    <n v="5"/>
    <n v="1"/>
    <n v="120"/>
    <x v="2"/>
    <x v="2"/>
    <n v="0.2"/>
    <n v="5"/>
    <x v="2"/>
    <s v="Desktop"/>
    <x v="4"/>
    <d v="2024-04-30T00:00:00"/>
    <x v="1"/>
    <s v="Yes"/>
    <x v="2"/>
    <x v="0"/>
    <n v="10"/>
    <x v="1"/>
    <s v="Qtr-2"/>
    <x v="0"/>
  </r>
  <r>
    <s v="23-985-3535"/>
    <n v="26"/>
    <x v="0"/>
    <x v="1"/>
    <x v="1"/>
    <s v="Single"/>
    <s v="Master's"/>
    <x v="0"/>
    <s v="Monrovia"/>
    <x v="69"/>
    <x v="1"/>
    <n v="382.49"/>
    <n v="6"/>
    <x v="1"/>
    <n v="4"/>
    <n v="2"/>
    <n v="120"/>
    <x v="0"/>
    <x v="2"/>
    <n v="0.33333333333333331"/>
    <n v="3"/>
    <x v="3"/>
    <s v="Tablet"/>
    <x v="2"/>
    <d v="2024-02-01T00:00:00"/>
    <x v="0"/>
    <s v="No"/>
    <x v="2"/>
    <x v="0"/>
    <n v="1"/>
    <x v="8"/>
    <s v="Qtr-1"/>
    <x v="5"/>
  </r>
  <r>
    <s v="67-939-2463"/>
    <n v="28"/>
    <x v="0"/>
    <x v="1"/>
    <x v="0"/>
    <s v="Divorced"/>
    <s v="Master's"/>
    <x v="1"/>
    <s v="Kristinehamn"/>
    <x v="5"/>
    <x v="22"/>
    <n v="255.42"/>
    <n v="9"/>
    <x v="0"/>
    <n v="5"/>
    <n v="5"/>
    <n v="120"/>
    <x v="0"/>
    <x v="0"/>
    <n v="0.1111111111111111"/>
    <n v="9"/>
    <x v="0"/>
    <s v="Tablet"/>
    <x v="1"/>
    <d v="2024-07-01T00:00:00"/>
    <x v="0"/>
    <s v="Yes"/>
    <x v="2"/>
    <x v="1"/>
    <n v="11"/>
    <x v="5"/>
    <s v="Qtr-3"/>
    <x v="0"/>
  </r>
  <r>
    <s v="03-623-6767"/>
    <n v="48"/>
    <x v="1"/>
    <x v="0"/>
    <x v="0"/>
    <s v="Single"/>
    <s v="High School"/>
    <x v="1"/>
    <s v="Huancabamba"/>
    <x v="42"/>
    <x v="16"/>
    <n v="423.23"/>
    <n v="12"/>
    <x v="1"/>
    <n v="3"/>
    <n v="3"/>
    <n v="120"/>
    <x v="3"/>
    <x v="0"/>
    <n v="0"/>
    <n v="7"/>
    <x v="2"/>
    <s v="Tablet"/>
    <x v="2"/>
    <d v="2024-11-05T00:00:00"/>
    <x v="1"/>
    <s v="No"/>
    <x v="3"/>
    <x v="1"/>
    <n v="6"/>
    <x v="11"/>
    <s v="Qtr-4"/>
    <x v="4"/>
  </r>
  <r>
    <s v="86-749-6914"/>
    <n v="47"/>
    <x v="1"/>
    <x v="1"/>
    <x v="0"/>
    <s v="Single"/>
    <s v="High School"/>
    <x v="1"/>
    <s v="San José Acatempa"/>
    <x v="22"/>
    <x v="21"/>
    <n v="276.08"/>
    <n v="4"/>
    <x v="0"/>
    <n v="4"/>
    <n v="5"/>
    <n v="18"/>
    <x v="3"/>
    <x v="0"/>
    <n v="0.5"/>
    <n v="10"/>
    <x v="2"/>
    <s v="Smartphone"/>
    <x v="0"/>
    <d v="2024-01-29T00:00:00"/>
    <x v="1"/>
    <s v="Yes"/>
    <x v="0"/>
    <x v="0"/>
    <n v="10"/>
    <x v="3"/>
    <s v="Qtr-1"/>
    <x v="2"/>
  </r>
  <r>
    <s v="03-977-8103"/>
    <n v="25"/>
    <x v="0"/>
    <x v="1"/>
    <x v="0"/>
    <s v="Widowed"/>
    <s v="Bachelor's"/>
    <x v="0"/>
    <s v="Quebrada Canoa"/>
    <x v="67"/>
    <x v="5"/>
    <n v="333.56"/>
    <n v="3"/>
    <x v="0"/>
    <n v="4"/>
    <n v="5"/>
    <n v="60"/>
    <x v="2"/>
    <x v="1"/>
    <n v="0.66666666666666663"/>
    <n v="2"/>
    <x v="1"/>
    <s v="Smartphone"/>
    <x v="3"/>
    <d v="2024-10-25T00:00:00"/>
    <x v="0"/>
    <s v="Yes"/>
    <x v="2"/>
    <x v="0"/>
    <n v="14"/>
    <x v="2"/>
    <s v="Qtr-4"/>
    <x v="2"/>
  </r>
  <r>
    <s v="03-827-4021"/>
    <n v="39"/>
    <x v="2"/>
    <x v="1"/>
    <x v="1"/>
    <s v="Divorced"/>
    <s v="Bachelor's"/>
    <x v="0"/>
    <s v="Moate"/>
    <x v="17"/>
    <x v="19"/>
    <n v="129.82"/>
    <n v="12"/>
    <x v="0"/>
    <n v="1"/>
    <n v="2"/>
    <n v="0"/>
    <x v="3"/>
    <x v="1"/>
    <n v="0.16666666666666666"/>
    <n v="1"/>
    <x v="1"/>
    <s v="Tablet"/>
    <x v="4"/>
    <d v="2024-06-03T00:00:00"/>
    <x v="1"/>
    <s v="No"/>
    <x v="2"/>
    <x v="1"/>
    <n v="8"/>
    <x v="4"/>
    <s v="Qtr-2"/>
    <x v="0"/>
  </r>
  <r>
    <s v="68-507-4747"/>
    <n v="41"/>
    <x v="1"/>
    <x v="0"/>
    <x v="1"/>
    <s v="Widowed"/>
    <s v="High School"/>
    <x v="1"/>
    <s v="Kubangwaru"/>
    <x v="4"/>
    <x v="20"/>
    <n v="278.77999999999997"/>
    <n v="3"/>
    <x v="0"/>
    <n v="5"/>
    <n v="2"/>
    <n v="0"/>
    <x v="1"/>
    <x v="1"/>
    <n v="0"/>
    <n v="1"/>
    <x v="2"/>
    <s v="Desktop"/>
    <x v="0"/>
    <d v="2024-06-14T00:00:00"/>
    <x v="0"/>
    <s v="No"/>
    <x v="1"/>
    <x v="1"/>
    <n v="2"/>
    <x v="4"/>
    <s v="Qtr-2"/>
    <x v="1"/>
  </r>
  <r>
    <s v="21-821-6398"/>
    <n v="50"/>
    <x v="1"/>
    <x v="0"/>
    <x v="0"/>
    <s v="Divorced"/>
    <s v="Bachelor's"/>
    <x v="1"/>
    <s v="Xinquan"/>
    <x v="1"/>
    <x v="16"/>
    <n v="142.02000000000001"/>
    <n v="7"/>
    <x v="1"/>
    <n v="1"/>
    <n v="5"/>
    <n v="0"/>
    <x v="2"/>
    <x v="2"/>
    <n v="0.14285714285714285"/>
    <n v="9"/>
    <x v="3"/>
    <s v="Desktop"/>
    <x v="4"/>
    <d v="2024-07-09T00:00:00"/>
    <x v="0"/>
    <s v="No"/>
    <x v="2"/>
    <x v="1"/>
    <n v="3"/>
    <x v="5"/>
    <s v="Qtr-3"/>
    <x v="1"/>
  </r>
  <r>
    <s v="64-641-7874"/>
    <n v="33"/>
    <x v="2"/>
    <x v="0"/>
    <x v="1"/>
    <s v="Widowed"/>
    <s v="High School"/>
    <x v="1"/>
    <s v="Providence"/>
    <x v="10"/>
    <x v="12"/>
    <n v="481.84"/>
    <n v="10"/>
    <x v="1"/>
    <n v="1"/>
    <n v="4"/>
    <n v="120"/>
    <x v="3"/>
    <x v="0"/>
    <n v="0.1"/>
    <n v="1"/>
    <x v="3"/>
    <s v="Tablet"/>
    <x v="4"/>
    <d v="2024-08-14T00:00:00"/>
    <x v="1"/>
    <s v="No"/>
    <x v="1"/>
    <x v="2"/>
    <n v="9"/>
    <x v="7"/>
    <s v="Qtr-3"/>
    <x v="2"/>
  </r>
  <r>
    <s v="53-459-7870"/>
    <n v="50"/>
    <x v="1"/>
    <x v="6"/>
    <x v="1"/>
    <s v="Divorced"/>
    <s v="Master's"/>
    <x v="0"/>
    <s v="Autun"/>
    <x v="0"/>
    <x v="12"/>
    <n v="165.01"/>
    <n v="10"/>
    <x v="0"/>
    <n v="1"/>
    <n v="2"/>
    <n v="60"/>
    <x v="1"/>
    <x v="0"/>
    <n v="0.1"/>
    <n v="5"/>
    <x v="3"/>
    <s v="Desktop"/>
    <x v="1"/>
    <d v="2024-04-17T00:00:00"/>
    <x v="0"/>
    <s v="No"/>
    <x v="2"/>
    <x v="0"/>
    <n v="10"/>
    <x v="1"/>
    <s v="Qtr-2"/>
    <x v="0"/>
  </r>
  <r>
    <s v="36-240-3240"/>
    <n v="25"/>
    <x v="0"/>
    <x v="1"/>
    <x v="0"/>
    <s v="Divorced"/>
    <s v="High School"/>
    <x v="0"/>
    <s v="Shilin"/>
    <x v="1"/>
    <x v="15"/>
    <n v="56.85"/>
    <n v="5"/>
    <x v="2"/>
    <n v="2"/>
    <n v="1"/>
    <n v="120"/>
    <x v="0"/>
    <x v="2"/>
    <n v="0"/>
    <n v="1"/>
    <x v="1"/>
    <s v="Smartphone"/>
    <x v="4"/>
    <d v="2024-11-16T00:00:00"/>
    <x v="0"/>
    <s v="No"/>
    <x v="1"/>
    <x v="1"/>
    <n v="14"/>
    <x v="11"/>
    <s v="Qtr-4"/>
    <x v="1"/>
  </r>
  <r>
    <s v="54-936-4361"/>
    <n v="34"/>
    <x v="2"/>
    <x v="6"/>
    <x v="1"/>
    <s v="Single"/>
    <s v="Bachelor's"/>
    <x v="1"/>
    <s v="Paris 17"/>
    <x v="0"/>
    <x v="11"/>
    <n v="182.89"/>
    <n v="2"/>
    <x v="0"/>
    <n v="5"/>
    <n v="3"/>
    <n v="60"/>
    <x v="2"/>
    <x v="1"/>
    <n v="0.5"/>
    <n v="9"/>
    <x v="2"/>
    <s v="Smartphone"/>
    <x v="1"/>
    <d v="2024-08-12T00:00:00"/>
    <x v="1"/>
    <s v="No"/>
    <x v="1"/>
    <x v="2"/>
    <n v="5"/>
    <x v="7"/>
    <s v="Qtr-3"/>
    <x v="0"/>
  </r>
  <r>
    <s v="67-209-0990"/>
    <n v="39"/>
    <x v="2"/>
    <x v="1"/>
    <x v="1"/>
    <s v="Widowed"/>
    <s v="High School"/>
    <x v="1"/>
    <s v="Stoczek ?ukowski"/>
    <x v="18"/>
    <x v="5"/>
    <n v="373.01"/>
    <n v="5"/>
    <x v="1"/>
    <n v="5"/>
    <n v="5"/>
    <n v="60"/>
    <x v="2"/>
    <x v="0"/>
    <n v="0.2"/>
    <n v="4"/>
    <x v="3"/>
    <s v="Smartphone"/>
    <x v="1"/>
    <d v="2024-07-27T00:00:00"/>
    <x v="1"/>
    <s v="Yes"/>
    <x v="2"/>
    <x v="2"/>
    <n v="8"/>
    <x v="5"/>
    <s v="Qtr-3"/>
    <x v="0"/>
  </r>
  <r>
    <s v="19-667-0201"/>
    <n v="41"/>
    <x v="1"/>
    <x v="1"/>
    <x v="0"/>
    <s v="Single"/>
    <s v="Master's"/>
    <x v="0"/>
    <s v="Ormstown"/>
    <x v="12"/>
    <x v="3"/>
    <n v="220.77"/>
    <n v="7"/>
    <x v="2"/>
    <n v="4"/>
    <n v="2"/>
    <n v="120"/>
    <x v="2"/>
    <x v="1"/>
    <n v="0.2857142857142857"/>
    <n v="1"/>
    <x v="0"/>
    <s v="Smartphone"/>
    <x v="2"/>
    <d v="2024-04-15T00:00:00"/>
    <x v="0"/>
    <s v="Yes"/>
    <x v="0"/>
    <x v="1"/>
    <n v="11"/>
    <x v="1"/>
    <s v="Qtr-2"/>
    <x v="2"/>
  </r>
  <r>
    <s v="36-274-5269"/>
    <n v="27"/>
    <x v="0"/>
    <x v="1"/>
    <x v="0"/>
    <s v="Married"/>
    <s v="Master's"/>
    <x v="1"/>
    <s v="Ponte"/>
    <x v="26"/>
    <x v="11"/>
    <n v="291.08999999999997"/>
    <n v="11"/>
    <x v="2"/>
    <n v="2"/>
    <n v="2"/>
    <n v="120"/>
    <x v="0"/>
    <x v="0"/>
    <n v="0"/>
    <n v="9"/>
    <x v="1"/>
    <s v="Smartphone"/>
    <x v="1"/>
    <d v="2024-10-06T00:00:00"/>
    <x v="0"/>
    <s v="No"/>
    <x v="0"/>
    <x v="0"/>
    <n v="1"/>
    <x v="2"/>
    <s v="Qtr-4"/>
    <x v="0"/>
  </r>
  <r>
    <s v="09-948-3150"/>
    <n v="23"/>
    <x v="0"/>
    <x v="6"/>
    <x v="1"/>
    <s v="Married"/>
    <s v="Bachelor's"/>
    <x v="0"/>
    <s v="Boshkengash"/>
    <x v="70"/>
    <x v="14"/>
    <n v="414.06"/>
    <n v="9"/>
    <x v="0"/>
    <n v="1"/>
    <n v="4"/>
    <n v="120"/>
    <x v="1"/>
    <x v="0"/>
    <n v="0.22222222222222221"/>
    <n v="4"/>
    <x v="1"/>
    <s v="Desktop"/>
    <x v="1"/>
    <d v="2024-11-26T00:00:00"/>
    <x v="0"/>
    <s v="No"/>
    <x v="3"/>
    <x v="2"/>
    <n v="2"/>
    <x v="11"/>
    <s v="Qtr-4"/>
    <x v="1"/>
  </r>
  <r>
    <s v="37-748-4988"/>
    <n v="21"/>
    <x v="0"/>
    <x v="1"/>
    <x v="0"/>
    <s v="Married"/>
    <s v="High School"/>
    <x v="1"/>
    <s v="Rad?‘"/>
    <x v="41"/>
    <x v="4"/>
    <n v="103.4"/>
    <n v="9"/>
    <x v="1"/>
    <n v="4"/>
    <n v="1"/>
    <n v="120"/>
    <x v="3"/>
    <x v="1"/>
    <n v="0.1111111111111111"/>
    <n v="9"/>
    <x v="3"/>
    <s v="Smartphone"/>
    <x v="2"/>
    <d v="2024-11-04T00:00:00"/>
    <x v="0"/>
    <s v="No"/>
    <x v="3"/>
    <x v="1"/>
    <n v="9"/>
    <x v="11"/>
    <s v="Qtr-4"/>
    <x v="1"/>
  </r>
  <r>
    <s v="08-755-1170"/>
    <n v="47"/>
    <x v="1"/>
    <x v="1"/>
    <x v="0"/>
    <s v="Single"/>
    <s v="High School"/>
    <x v="1"/>
    <s v="Sinarwangi"/>
    <x v="4"/>
    <x v="4"/>
    <n v="67.92"/>
    <n v="3"/>
    <x v="1"/>
    <n v="1"/>
    <n v="3"/>
    <n v="0"/>
    <x v="2"/>
    <x v="1"/>
    <n v="0.33333333333333331"/>
    <n v="8"/>
    <x v="2"/>
    <s v="Tablet"/>
    <x v="4"/>
    <d v="2024-10-18T00:00:00"/>
    <x v="1"/>
    <s v="Yes"/>
    <x v="2"/>
    <x v="2"/>
    <n v="10"/>
    <x v="2"/>
    <s v="Qtr-4"/>
    <x v="1"/>
  </r>
  <r>
    <s v="07-402-7433"/>
    <n v="42"/>
    <x v="1"/>
    <x v="6"/>
    <x v="0"/>
    <s v="Single"/>
    <s v="High School"/>
    <x v="0"/>
    <s v="Dagup"/>
    <x v="19"/>
    <x v="18"/>
    <n v="354.16"/>
    <n v="8"/>
    <x v="1"/>
    <n v="1"/>
    <n v="1"/>
    <n v="60"/>
    <x v="2"/>
    <x v="1"/>
    <n v="0.25"/>
    <n v="3"/>
    <x v="2"/>
    <s v="Desktop"/>
    <x v="0"/>
    <d v="2024-06-13T00:00:00"/>
    <x v="0"/>
    <s v="No"/>
    <x v="3"/>
    <x v="2"/>
    <n v="5"/>
    <x v="4"/>
    <s v="Qtr-2"/>
    <x v="1"/>
  </r>
  <r>
    <s v="60-073-3575"/>
    <n v="30"/>
    <x v="2"/>
    <x v="1"/>
    <x v="0"/>
    <s v="Widowed"/>
    <s v="Bachelor's"/>
    <x v="0"/>
    <s v="E?k"/>
    <x v="18"/>
    <x v="5"/>
    <n v="276.77"/>
    <n v="2"/>
    <x v="0"/>
    <n v="1"/>
    <n v="1"/>
    <n v="120"/>
    <x v="2"/>
    <x v="2"/>
    <n v="0.5"/>
    <n v="2"/>
    <x v="1"/>
    <s v="Smartphone"/>
    <x v="4"/>
    <d v="2024-03-03T00:00:00"/>
    <x v="0"/>
    <s v="Yes"/>
    <x v="1"/>
    <x v="0"/>
    <n v="4"/>
    <x v="0"/>
    <s v="Qtr-1"/>
    <x v="0"/>
  </r>
  <r>
    <s v="97-237-3483"/>
    <n v="49"/>
    <x v="1"/>
    <x v="1"/>
    <x v="0"/>
    <s v="Single"/>
    <s v="High School"/>
    <x v="0"/>
    <s v="Moju"/>
    <x v="14"/>
    <x v="10"/>
    <n v="190.25"/>
    <n v="6"/>
    <x v="0"/>
    <n v="4"/>
    <n v="2"/>
    <n v="120"/>
    <x v="0"/>
    <x v="2"/>
    <n v="0.33333333333333331"/>
    <n v="9"/>
    <x v="0"/>
    <s v="Tablet"/>
    <x v="1"/>
    <d v="2024-06-03T00:00:00"/>
    <x v="1"/>
    <s v="No"/>
    <x v="3"/>
    <x v="2"/>
    <n v="13"/>
    <x v="4"/>
    <s v="Qtr-2"/>
    <x v="4"/>
  </r>
  <r>
    <s v="93-675-1619"/>
    <n v="28"/>
    <x v="0"/>
    <x v="0"/>
    <x v="0"/>
    <s v="Married"/>
    <s v="Master's"/>
    <x v="0"/>
    <s v="Vília"/>
    <x v="24"/>
    <x v="9"/>
    <n v="203.49"/>
    <n v="7"/>
    <x v="1"/>
    <n v="4"/>
    <n v="1"/>
    <n v="120"/>
    <x v="1"/>
    <x v="1"/>
    <n v="0.14285714285714285"/>
    <n v="8"/>
    <x v="1"/>
    <s v="Tablet"/>
    <x v="4"/>
    <d v="2024-08-10T00:00:00"/>
    <x v="1"/>
    <s v="Yes"/>
    <x v="0"/>
    <x v="2"/>
    <n v="11"/>
    <x v="7"/>
    <s v="Qtr-3"/>
    <x v="0"/>
  </r>
  <r>
    <s v="43-884-2577"/>
    <n v="24"/>
    <x v="0"/>
    <x v="1"/>
    <x v="0"/>
    <s v="Single"/>
    <s v="High School"/>
    <x v="1"/>
    <s v="Prince Rupert"/>
    <x v="12"/>
    <x v="18"/>
    <n v="263.5"/>
    <n v="6"/>
    <x v="0"/>
    <n v="3"/>
    <n v="2"/>
    <n v="120"/>
    <x v="0"/>
    <x v="1"/>
    <n v="0"/>
    <n v="8"/>
    <x v="2"/>
    <s v="Tablet"/>
    <x v="2"/>
    <d v="2024-11-18T00:00:00"/>
    <x v="1"/>
    <s v="No"/>
    <x v="3"/>
    <x v="1"/>
    <n v="1"/>
    <x v="11"/>
    <s v="Qtr-4"/>
    <x v="2"/>
  </r>
  <r>
    <s v="33-200-7615"/>
    <n v="40"/>
    <x v="1"/>
    <x v="0"/>
    <x v="1"/>
    <s v="Divorced"/>
    <s v="Bachelor's"/>
    <x v="0"/>
    <s v="Jiangmen"/>
    <x v="1"/>
    <x v="17"/>
    <n v="247.3"/>
    <n v="2"/>
    <x v="1"/>
    <n v="4"/>
    <n v="4"/>
    <n v="120"/>
    <x v="2"/>
    <x v="2"/>
    <n v="0"/>
    <n v="1"/>
    <x v="3"/>
    <s v="Desktop"/>
    <x v="0"/>
    <d v="2024-02-08T00:00:00"/>
    <x v="0"/>
    <s v="Yes"/>
    <x v="1"/>
    <x v="0"/>
    <n v="11"/>
    <x v="8"/>
    <s v="Qtr-1"/>
    <x v="1"/>
  </r>
  <r>
    <s v="63-631-8261"/>
    <n v="18"/>
    <x v="3"/>
    <x v="1"/>
    <x v="1"/>
    <s v="Married"/>
    <s v="Bachelor's"/>
    <x v="0"/>
    <s v="Alung"/>
    <x v="19"/>
    <x v="16"/>
    <n v="50.71"/>
    <n v="12"/>
    <x v="2"/>
    <n v="4"/>
    <n v="3"/>
    <n v="18"/>
    <x v="0"/>
    <x v="1"/>
    <n v="0"/>
    <n v="9"/>
    <x v="3"/>
    <s v="Smartphone"/>
    <x v="2"/>
    <d v="2024-03-17T00:00:00"/>
    <x v="0"/>
    <s v="Yes"/>
    <x v="1"/>
    <x v="0"/>
    <n v="8"/>
    <x v="0"/>
    <s v="Qtr-1"/>
    <x v="1"/>
  </r>
  <r>
    <s v="34-016-7909"/>
    <n v="42"/>
    <x v="1"/>
    <x v="1"/>
    <x v="1"/>
    <s v="Married"/>
    <s v="High School"/>
    <x v="0"/>
    <s v="Osorno"/>
    <x v="71"/>
    <x v="2"/>
    <n v="131.85"/>
    <n v="4"/>
    <x v="0"/>
    <n v="5"/>
    <n v="4"/>
    <n v="120"/>
    <x v="2"/>
    <x v="0"/>
    <n v="0.25"/>
    <n v="5"/>
    <x v="3"/>
    <s v="Smartphone"/>
    <x v="2"/>
    <d v="2024-01-04T00:00:00"/>
    <x v="0"/>
    <s v="No"/>
    <x v="0"/>
    <x v="0"/>
    <n v="6"/>
    <x v="3"/>
    <s v="Qtr-1"/>
    <x v="4"/>
  </r>
  <r>
    <s v="82-304-6495"/>
    <n v="19"/>
    <x v="3"/>
    <x v="1"/>
    <x v="1"/>
    <s v="Married"/>
    <s v="Master's"/>
    <x v="1"/>
    <s v="Labo"/>
    <x v="19"/>
    <x v="21"/>
    <n v="459.39"/>
    <n v="6"/>
    <x v="0"/>
    <n v="2"/>
    <n v="2"/>
    <n v="18"/>
    <x v="2"/>
    <x v="2"/>
    <n v="0.33333333333333331"/>
    <n v="4"/>
    <x v="1"/>
    <s v="Tablet"/>
    <x v="0"/>
    <d v="2024-09-29T00:00:00"/>
    <x v="1"/>
    <s v="No"/>
    <x v="3"/>
    <x v="0"/>
    <n v="14"/>
    <x v="10"/>
    <s v="Qtr-3"/>
    <x v="1"/>
  </r>
  <r>
    <s v="70-207-6999"/>
    <n v="36"/>
    <x v="2"/>
    <x v="0"/>
    <x v="1"/>
    <s v="Divorced"/>
    <s v="High School"/>
    <x v="0"/>
    <s v="Dakingari"/>
    <x v="29"/>
    <x v="2"/>
    <n v="383.33"/>
    <n v="6"/>
    <x v="2"/>
    <n v="3"/>
    <n v="4"/>
    <n v="120"/>
    <x v="1"/>
    <x v="2"/>
    <n v="0.16666666666666666"/>
    <n v="3"/>
    <x v="0"/>
    <s v="Smartphone"/>
    <x v="0"/>
    <d v="2024-08-05T00:00:00"/>
    <x v="1"/>
    <s v="No"/>
    <x v="3"/>
    <x v="1"/>
    <n v="12"/>
    <x v="7"/>
    <s v="Qtr-3"/>
    <x v="5"/>
  </r>
  <r>
    <s v="71-780-8195"/>
    <n v="26"/>
    <x v="0"/>
    <x v="0"/>
    <x v="1"/>
    <s v="Widowed"/>
    <s v="Bachelor's"/>
    <x v="1"/>
    <s v="Selasari"/>
    <x v="4"/>
    <x v="16"/>
    <n v="212.08"/>
    <n v="8"/>
    <x v="1"/>
    <n v="5"/>
    <n v="5"/>
    <n v="120"/>
    <x v="2"/>
    <x v="2"/>
    <n v="0.125"/>
    <n v="9"/>
    <x v="0"/>
    <s v="Tablet"/>
    <x v="0"/>
    <d v="2024-05-07T00:00:00"/>
    <x v="1"/>
    <s v="No"/>
    <x v="0"/>
    <x v="1"/>
    <n v="13"/>
    <x v="9"/>
    <s v="Qtr-2"/>
    <x v="1"/>
  </r>
  <r>
    <s v="93-356-8589"/>
    <n v="35"/>
    <x v="2"/>
    <x v="0"/>
    <x v="1"/>
    <s v="Married"/>
    <s v="Master's"/>
    <x v="1"/>
    <s v="Besko"/>
    <x v="18"/>
    <x v="17"/>
    <n v="370.73"/>
    <n v="7"/>
    <x v="2"/>
    <n v="3"/>
    <n v="2"/>
    <n v="60"/>
    <x v="3"/>
    <x v="1"/>
    <n v="0"/>
    <n v="9"/>
    <x v="1"/>
    <s v="Smartphone"/>
    <x v="2"/>
    <d v="2024-08-18T00:00:00"/>
    <x v="1"/>
    <s v="Yes"/>
    <x v="0"/>
    <x v="0"/>
    <n v="7"/>
    <x v="7"/>
    <s v="Qtr-3"/>
    <x v="0"/>
  </r>
  <r>
    <s v="92-142-9480"/>
    <n v="39"/>
    <x v="2"/>
    <x v="1"/>
    <x v="1"/>
    <s v="Divorced"/>
    <s v="Master's"/>
    <x v="0"/>
    <s v="Aubergenville"/>
    <x v="0"/>
    <x v="20"/>
    <n v="319.66000000000003"/>
    <n v="7"/>
    <x v="0"/>
    <n v="4"/>
    <n v="2"/>
    <n v="60"/>
    <x v="3"/>
    <x v="1"/>
    <n v="0.14285714285714285"/>
    <n v="10"/>
    <x v="0"/>
    <s v="Desktop"/>
    <x v="2"/>
    <d v="2024-02-18T00:00:00"/>
    <x v="1"/>
    <s v="No"/>
    <x v="1"/>
    <x v="2"/>
    <n v="3"/>
    <x v="8"/>
    <s v="Qtr-1"/>
    <x v="0"/>
  </r>
  <r>
    <s v="53-042-5685"/>
    <n v="44"/>
    <x v="1"/>
    <x v="0"/>
    <x v="0"/>
    <s v="Widowed"/>
    <s v="Bachelor's"/>
    <x v="1"/>
    <s v="Sula"/>
    <x v="35"/>
    <x v="23"/>
    <n v="373.05"/>
    <n v="3"/>
    <x v="1"/>
    <n v="3"/>
    <n v="4"/>
    <n v="18"/>
    <x v="2"/>
    <x v="1"/>
    <n v="0.33333333333333331"/>
    <n v="10"/>
    <x v="3"/>
    <s v="Tablet"/>
    <x v="4"/>
    <d v="2024-03-14T00:00:00"/>
    <x v="1"/>
    <s v="Yes"/>
    <x v="3"/>
    <x v="1"/>
    <n v="7"/>
    <x v="0"/>
    <s v="Qtr-1"/>
    <x v="2"/>
  </r>
  <r>
    <s v="35-853-2222"/>
    <n v="19"/>
    <x v="3"/>
    <x v="0"/>
    <x v="1"/>
    <s v="Married"/>
    <s v="Bachelor's"/>
    <x v="1"/>
    <s v="Valongo"/>
    <x v="26"/>
    <x v="6"/>
    <n v="393.78"/>
    <n v="6"/>
    <x v="2"/>
    <n v="3"/>
    <n v="4"/>
    <n v="60"/>
    <x v="1"/>
    <x v="2"/>
    <n v="0"/>
    <n v="5"/>
    <x v="2"/>
    <s v="Tablet"/>
    <x v="3"/>
    <d v="2024-03-25T00:00:00"/>
    <x v="0"/>
    <s v="No"/>
    <x v="0"/>
    <x v="0"/>
    <n v="14"/>
    <x v="0"/>
    <s v="Qtr-1"/>
    <x v="0"/>
  </r>
  <r>
    <s v="83-670-9273"/>
    <n v="27"/>
    <x v="0"/>
    <x v="0"/>
    <x v="1"/>
    <s v="Widowed"/>
    <s v="Master's"/>
    <x v="1"/>
    <s v="Al Kh?nkah"/>
    <x v="15"/>
    <x v="20"/>
    <n v="245.04"/>
    <n v="4"/>
    <x v="2"/>
    <n v="3"/>
    <n v="2"/>
    <n v="0"/>
    <x v="3"/>
    <x v="1"/>
    <n v="0.5"/>
    <n v="6"/>
    <x v="1"/>
    <s v="Tablet"/>
    <x v="3"/>
    <d v="2024-12-03T00:00:00"/>
    <x v="0"/>
    <s v="Yes"/>
    <x v="0"/>
    <x v="1"/>
    <n v="10"/>
    <x v="6"/>
    <s v="Qtr-4"/>
    <x v="5"/>
  </r>
  <r>
    <s v="37-783-6086"/>
    <n v="26"/>
    <x v="0"/>
    <x v="0"/>
    <x v="1"/>
    <s v="Divorced"/>
    <s v="Master's"/>
    <x v="0"/>
    <s v="Mértola"/>
    <x v="26"/>
    <x v="21"/>
    <n v="111.27"/>
    <n v="3"/>
    <x v="2"/>
    <n v="1"/>
    <n v="3"/>
    <n v="60"/>
    <x v="3"/>
    <x v="2"/>
    <n v="0.66666666666666663"/>
    <n v="10"/>
    <x v="0"/>
    <s v="Smartphone"/>
    <x v="1"/>
    <d v="2024-05-13T00:00:00"/>
    <x v="1"/>
    <s v="No"/>
    <x v="2"/>
    <x v="0"/>
    <n v="12"/>
    <x v="9"/>
    <s v="Qtr-2"/>
    <x v="0"/>
  </r>
  <r>
    <s v="79-902-8144"/>
    <n v="26"/>
    <x v="0"/>
    <x v="0"/>
    <x v="1"/>
    <s v="Single"/>
    <s v="Bachelor's"/>
    <x v="0"/>
    <s v="Rates"/>
    <x v="26"/>
    <x v="15"/>
    <n v="93.29"/>
    <n v="11"/>
    <x v="2"/>
    <n v="2"/>
    <n v="2"/>
    <n v="0"/>
    <x v="3"/>
    <x v="2"/>
    <n v="0"/>
    <n v="7"/>
    <x v="2"/>
    <s v="Tablet"/>
    <x v="3"/>
    <d v="2024-07-25T00:00:00"/>
    <x v="0"/>
    <s v="No"/>
    <x v="2"/>
    <x v="0"/>
    <n v="9"/>
    <x v="5"/>
    <s v="Qtr-3"/>
    <x v="0"/>
  </r>
  <r>
    <s v="41-009-7879"/>
    <n v="27"/>
    <x v="0"/>
    <x v="0"/>
    <x v="1"/>
    <s v="Married"/>
    <s v="High School"/>
    <x v="0"/>
    <s v="Anyang"/>
    <x v="1"/>
    <x v="11"/>
    <n v="156.5"/>
    <n v="5"/>
    <x v="0"/>
    <n v="1"/>
    <n v="1"/>
    <n v="60"/>
    <x v="3"/>
    <x v="2"/>
    <n v="0"/>
    <n v="3"/>
    <x v="1"/>
    <s v="Desktop"/>
    <x v="3"/>
    <d v="2024-01-10T00:00:00"/>
    <x v="0"/>
    <s v="No"/>
    <x v="1"/>
    <x v="1"/>
    <n v="14"/>
    <x v="3"/>
    <s v="Qtr-1"/>
    <x v="1"/>
  </r>
  <r>
    <s v="89-302-8461"/>
    <n v="37"/>
    <x v="2"/>
    <x v="1"/>
    <x v="0"/>
    <s v="Single"/>
    <s v="Master's"/>
    <x v="0"/>
    <s v="Nymburk"/>
    <x v="50"/>
    <x v="12"/>
    <n v="290.11"/>
    <n v="8"/>
    <x v="0"/>
    <n v="4"/>
    <n v="4"/>
    <n v="60"/>
    <x v="1"/>
    <x v="2"/>
    <n v="0.125"/>
    <n v="4"/>
    <x v="3"/>
    <s v="Smartphone"/>
    <x v="1"/>
    <d v="2024-10-30T00:00:00"/>
    <x v="1"/>
    <s v="No"/>
    <x v="2"/>
    <x v="0"/>
    <n v="14"/>
    <x v="2"/>
    <s v="Qtr-4"/>
    <x v="0"/>
  </r>
  <r>
    <s v="23-066-1915"/>
    <n v="23"/>
    <x v="0"/>
    <x v="0"/>
    <x v="0"/>
    <s v="Single"/>
    <s v="Bachelor's"/>
    <x v="0"/>
    <s v="Jiangcun"/>
    <x v="1"/>
    <x v="14"/>
    <n v="355.28"/>
    <n v="3"/>
    <x v="0"/>
    <n v="5"/>
    <n v="5"/>
    <n v="0"/>
    <x v="2"/>
    <x v="2"/>
    <n v="0.33333333333333331"/>
    <n v="4"/>
    <x v="2"/>
    <s v="Smartphone"/>
    <x v="0"/>
    <d v="2024-09-17T00:00:00"/>
    <x v="0"/>
    <s v="Yes"/>
    <x v="3"/>
    <x v="0"/>
    <n v="5"/>
    <x v="10"/>
    <s v="Qtr-3"/>
    <x v="1"/>
  </r>
  <r>
    <s v="39-090-0124"/>
    <n v="31"/>
    <x v="2"/>
    <x v="2"/>
    <x v="0"/>
    <s v="Single"/>
    <s v="Bachelor's"/>
    <x v="1"/>
    <s v="Tafo"/>
    <x v="72"/>
    <x v="0"/>
    <n v="73.739999999999995"/>
    <n v="7"/>
    <x v="2"/>
    <n v="4"/>
    <n v="2"/>
    <n v="18"/>
    <x v="3"/>
    <x v="1"/>
    <n v="0.14285714285714285"/>
    <n v="3"/>
    <x v="3"/>
    <s v="Smartphone"/>
    <x v="3"/>
    <d v="2024-08-17T00:00:00"/>
    <x v="1"/>
    <s v="No"/>
    <x v="1"/>
    <x v="1"/>
    <n v="13"/>
    <x v="7"/>
    <s v="Qtr-3"/>
    <x v="5"/>
  </r>
  <r>
    <s v="41-854-0707"/>
    <n v="21"/>
    <x v="0"/>
    <x v="0"/>
    <x v="0"/>
    <s v="Widowed"/>
    <s v="Master's"/>
    <x v="0"/>
    <s v="Cibaregbeg"/>
    <x v="4"/>
    <x v="6"/>
    <n v="170.35"/>
    <n v="10"/>
    <x v="1"/>
    <n v="2"/>
    <n v="1"/>
    <n v="60"/>
    <x v="1"/>
    <x v="2"/>
    <n v="0.1"/>
    <n v="10"/>
    <x v="2"/>
    <s v="Desktop"/>
    <x v="4"/>
    <d v="2024-06-03T00:00:00"/>
    <x v="0"/>
    <s v="Yes"/>
    <x v="0"/>
    <x v="1"/>
    <n v="1"/>
    <x v="4"/>
    <s v="Qtr-2"/>
    <x v="1"/>
  </r>
  <r>
    <s v="04-352-1558"/>
    <n v="36"/>
    <x v="2"/>
    <x v="0"/>
    <x v="1"/>
    <s v="Single"/>
    <s v="Master's"/>
    <x v="0"/>
    <s v="Wang Yang"/>
    <x v="61"/>
    <x v="3"/>
    <n v="123.7"/>
    <n v="6"/>
    <x v="2"/>
    <n v="2"/>
    <n v="5"/>
    <n v="0"/>
    <x v="3"/>
    <x v="2"/>
    <n v="0.16666666666666666"/>
    <n v="5"/>
    <x v="0"/>
    <s v="Smartphone"/>
    <x v="3"/>
    <d v="2024-07-28T00:00:00"/>
    <x v="1"/>
    <s v="No"/>
    <x v="2"/>
    <x v="2"/>
    <n v="2"/>
    <x v="5"/>
    <s v="Qtr-3"/>
    <x v="1"/>
  </r>
  <r>
    <s v="93-867-8303"/>
    <n v="21"/>
    <x v="0"/>
    <x v="0"/>
    <x v="0"/>
    <s v="Single"/>
    <s v="Master's"/>
    <x v="1"/>
    <s v="Liangnong"/>
    <x v="1"/>
    <x v="0"/>
    <n v="201.6"/>
    <n v="9"/>
    <x v="1"/>
    <n v="1"/>
    <n v="4"/>
    <n v="120"/>
    <x v="1"/>
    <x v="2"/>
    <n v="0.1111111111111111"/>
    <n v="4"/>
    <x v="1"/>
    <s v="Smartphone"/>
    <x v="1"/>
    <d v="2024-10-24T00:00:00"/>
    <x v="1"/>
    <s v="No"/>
    <x v="2"/>
    <x v="2"/>
    <n v="14"/>
    <x v="2"/>
    <s v="Qtr-4"/>
    <x v="1"/>
  </r>
  <r>
    <s v="31-088-6950"/>
    <n v="27"/>
    <x v="0"/>
    <x v="0"/>
    <x v="0"/>
    <s v="Single"/>
    <s v="Master's"/>
    <x v="1"/>
    <s v="Hengshi"/>
    <x v="1"/>
    <x v="4"/>
    <n v="116.14"/>
    <n v="11"/>
    <x v="0"/>
    <n v="1"/>
    <n v="4"/>
    <n v="60"/>
    <x v="3"/>
    <x v="0"/>
    <n v="0"/>
    <n v="8"/>
    <x v="3"/>
    <s v="Desktop"/>
    <x v="0"/>
    <d v="2024-04-01T00:00:00"/>
    <x v="1"/>
    <s v="Yes"/>
    <x v="1"/>
    <x v="2"/>
    <n v="14"/>
    <x v="1"/>
    <s v="Qtr-2"/>
    <x v="1"/>
  </r>
  <r>
    <s v="43-616-8365"/>
    <n v="29"/>
    <x v="0"/>
    <x v="0"/>
    <x v="0"/>
    <s v="Single"/>
    <s v="Master's"/>
    <x v="1"/>
    <s v="Kandangan"/>
    <x v="4"/>
    <x v="23"/>
    <n v="483.38"/>
    <n v="9"/>
    <x v="2"/>
    <n v="2"/>
    <n v="1"/>
    <n v="0"/>
    <x v="3"/>
    <x v="0"/>
    <n v="0.22222222222222221"/>
    <n v="3"/>
    <x v="1"/>
    <s v="Desktop"/>
    <x v="3"/>
    <d v="2024-06-09T00:00:00"/>
    <x v="1"/>
    <s v="Yes"/>
    <x v="0"/>
    <x v="1"/>
    <n v="8"/>
    <x v="4"/>
    <s v="Qtr-2"/>
    <x v="1"/>
  </r>
  <r>
    <s v="71-876-9118"/>
    <n v="24"/>
    <x v="0"/>
    <x v="1"/>
    <x v="0"/>
    <s v="Single"/>
    <s v="High School"/>
    <x v="0"/>
    <s v="Naranjal"/>
    <x v="73"/>
    <x v="18"/>
    <n v="418.62"/>
    <n v="9"/>
    <x v="1"/>
    <n v="1"/>
    <n v="2"/>
    <n v="0"/>
    <x v="2"/>
    <x v="1"/>
    <n v="0"/>
    <n v="9"/>
    <x v="0"/>
    <s v="Smartphone"/>
    <x v="3"/>
    <d v="2024-11-14T00:00:00"/>
    <x v="0"/>
    <s v="No"/>
    <x v="0"/>
    <x v="1"/>
    <n v="11"/>
    <x v="11"/>
    <s v="Qtr-4"/>
    <x v="4"/>
  </r>
  <r>
    <s v="18-263-0366"/>
    <n v="33"/>
    <x v="2"/>
    <x v="0"/>
    <x v="0"/>
    <s v="Divorced"/>
    <s v="Bachelor's"/>
    <x v="0"/>
    <s v="Abiko"/>
    <x v="3"/>
    <x v="5"/>
    <n v="139.83000000000001"/>
    <n v="12"/>
    <x v="2"/>
    <n v="2"/>
    <n v="4"/>
    <n v="120"/>
    <x v="0"/>
    <x v="1"/>
    <n v="0"/>
    <n v="1"/>
    <x v="0"/>
    <s v="Tablet"/>
    <x v="4"/>
    <d v="2024-10-08T00:00:00"/>
    <x v="1"/>
    <s v="No"/>
    <x v="2"/>
    <x v="2"/>
    <n v="10"/>
    <x v="2"/>
    <s v="Qtr-4"/>
    <x v="1"/>
  </r>
  <r>
    <s v="25-502-1415"/>
    <n v="38"/>
    <x v="2"/>
    <x v="0"/>
    <x v="1"/>
    <s v="Married"/>
    <s v="Master's"/>
    <x v="0"/>
    <s v="Longhuashan"/>
    <x v="1"/>
    <x v="17"/>
    <n v="54.17"/>
    <n v="4"/>
    <x v="0"/>
    <n v="4"/>
    <n v="5"/>
    <n v="0"/>
    <x v="1"/>
    <x v="0"/>
    <n v="0.5"/>
    <n v="2"/>
    <x v="3"/>
    <s v="Desktop"/>
    <x v="0"/>
    <d v="2024-01-11T00:00:00"/>
    <x v="1"/>
    <s v="Yes"/>
    <x v="3"/>
    <x v="0"/>
    <n v="7"/>
    <x v="3"/>
    <s v="Qtr-1"/>
    <x v="1"/>
  </r>
  <r>
    <s v="50-000-9588"/>
    <n v="47"/>
    <x v="1"/>
    <x v="1"/>
    <x v="1"/>
    <s v="Divorced"/>
    <s v="Master's"/>
    <x v="1"/>
    <s v="Zhovkva"/>
    <x v="9"/>
    <x v="23"/>
    <n v="437.59"/>
    <n v="10"/>
    <x v="1"/>
    <n v="1"/>
    <n v="4"/>
    <n v="0"/>
    <x v="0"/>
    <x v="2"/>
    <n v="0"/>
    <n v="4"/>
    <x v="1"/>
    <s v="Tablet"/>
    <x v="0"/>
    <d v="2024-02-26T00:00:00"/>
    <x v="0"/>
    <s v="Yes"/>
    <x v="2"/>
    <x v="2"/>
    <n v="9"/>
    <x v="8"/>
    <s v="Qtr-1"/>
    <x v="0"/>
  </r>
  <r>
    <s v="32-338-5967"/>
    <n v="32"/>
    <x v="2"/>
    <x v="1"/>
    <x v="0"/>
    <s v="Widowed"/>
    <s v="Bachelor's"/>
    <x v="1"/>
    <s v="Lebak"/>
    <x v="4"/>
    <x v="11"/>
    <n v="113.57"/>
    <n v="5"/>
    <x v="2"/>
    <n v="4"/>
    <n v="4"/>
    <n v="120"/>
    <x v="1"/>
    <x v="2"/>
    <n v="0.2"/>
    <n v="1"/>
    <x v="1"/>
    <s v="Tablet"/>
    <x v="4"/>
    <d v="2024-11-01T00:00:00"/>
    <x v="1"/>
    <s v="Yes"/>
    <x v="1"/>
    <x v="1"/>
    <n v="8"/>
    <x v="11"/>
    <s v="Qtr-4"/>
    <x v="1"/>
  </r>
  <r>
    <s v="19-311-9149"/>
    <n v="21"/>
    <x v="0"/>
    <x v="2"/>
    <x v="1"/>
    <s v="Single"/>
    <s v="High School"/>
    <x v="1"/>
    <s v="Gereshk"/>
    <x v="74"/>
    <x v="12"/>
    <n v="305.54000000000002"/>
    <n v="6"/>
    <x v="1"/>
    <n v="3"/>
    <n v="5"/>
    <n v="0"/>
    <x v="1"/>
    <x v="0"/>
    <n v="0"/>
    <n v="5"/>
    <x v="3"/>
    <s v="Smartphone"/>
    <x v="3"/>
    <d v="2024-03-28T00:00:00"/>
    <x v="0"/>
    <s v="No"/>
    <x v="1"/>
    <x v="0"/>
    <n v="7"/>
    <x v="0"/>
    <s v="Qtr-1"/>
    <x v="1"/>
  </r>
  <r>
    <s v="94-212-7169"/>
    <n v="23"/>
    <x v="0"/>
    <x v="0"/>
    <x v="1"/>
    <s v="Divorced"/>
    <s v="High School"/>
    <x v="1"/>
    <s v="Yonghe"/>
    <x v="75"/>
    <x v="1"/>
    <n v="339.12"/>
    <n v="2"/>
    <x v="1"/>
    <n v="4"/>
    <n v="4"/>
    <n v="0"/>
    <x v="1"/>
    <x v="1"/>
    <n v="0"/>
    <n v="5"/>
    <x v="2"/>
    <s v="Smartphone"/>
    <x v="1"/>
    <d v="2024-01-08T00:00:00"/>
    <x v="1"/>
    <s v="No"/>
    <x v="2"/>
    <x v="0"/>
    <n v="1"/>
    <x v="3"/>
    <s v="Qtr-1"/>
    <x v="1"/>
  </r>
  <r>
    <s v="17-246-6194"/>
    <n v="45"/>
    <x v="1"/>
    <x v="4"/>
    <x v="0"/>
    <s v="Divorced"/>
    <s v="Bachelor's"/>
    <x v="1"/>
    <s v="Dabai"/>
    <x v="1"/>
    <x v="23"/>
    <n v="323.39999999999998"/>
    <n v="11"/>
    <x v="0"/>
    <n v="2"/>
    <n v="3"/>
    <n v="120"/>
    <x v="2"/>
    <x v="2"/>
    <n v="0"/>
    <n v="8"/>
    <x v="0"/>
    <s v="Smartphone"/>
    <x v="0"/>
    <d v="2024-02-28T00:00:00"/>
    <x v="0"/>
    <s v="Yes"/>
    <x v="0"/>
    <x v="1"/>
    <n v="10"/>
    <x v="8"/>
    <s v="Qtr-1"/>
    <x v="1"/>
  </r>
  <r>
    <s v="26-672-1285"/>
    <n v="24"/>
    <x v="0"/>
    <x v="3"/>
    <x v="0"/>
    <s v="Married"/>
    <s v="High School"/>
    <x v="0"/>
    <s v="Moutnice"/>
    <x v="50"/>
    <x v="20"/>
    <n v="472.61"/>
    <n v="9"/>
    <x v="1"/>
    <n v="5"/>
    <n v="5"/>
    <n v="120"/>
    <x v="0"/>
    <x v="2"/>
    <n v="0.1111111111111111"/>
    <n v="4"/>
    <x v="0"/>
    <s v="Smartphone"/>
    <x v="1"/>
    <d v="2024-09-15T00:00:00"/>
    <x v="0"/>
    <s v="Yes"/>
    <x v="2"/>
    <x v="2"/>
    <n v="5"/>
    <x v="10"/>
    <s v="Qtr-3"/>
    <x v="0"/>
  </r>
  <r>
    <s v="00-265-0556"/>
    <n v="20"/>
    <x v="0"/>
    <x v="0"/>
    <x v="0"/>
    <s v="Widowed"/>
    <s v="High School"/>
    <x v="0"/>
    <s v="Qiryat Yam"/>
    <x v="76"/>
    <x v="4"/>
    <n v="68.02"/>
    <n v="10"/>
    <x v="2"/>
    <n v="3"/>
    <n v="2"/>
    <n v="60"/>
    <x v="0"/>
    <x v="2"/>
    <n v="0.1"/>
    <n v="6"/>
    <x v="0"/>
    <s v="Tablet"/>
    <x v="0"/>
    <d v="2024-11-01T00:00:00"/>
    <x v="0"/>
    <s v="Yes"/>
    <x v="0"/>
    <x v="2"/>
    <n v="6"/>
    <x v="11"/>
    <s v="Qtr-4"/>
    <x v="1"/>
  </r>
  <r>
    <s v="76-397-3294"/>
    <n v="27"/>
    <x v="0"/>
    <x v="1"/>
    <x v="1"/>
    <s v="Single"/>
    <s v="Master's"/>
    <x v="0"/>
    <s v="Pirané"/>
    <x v="56"/>
    <x v="16"/>
    <n v="199.44"/>
    <n v="7"/>
    <x v="2"/>
    <n v="2"/>
    <n v="1"/>
    <n v="120"/>
    <x v="0"/>
    <x v="2"/>
    <n v="0"/>
    <n v="3"/>
    <x v="0"/>
    <s v="Tablet"/>
    <x v="4"/>
    <d v="2024-07-14T00:00:00"/>
    <x v="1"/>
    <s v="Yes"/>
    <x v="0"/>
    <x v="1"/>
    <n v="1"/>
    <x v="5"/>
    <s v="Qtr-3"/>
    <x v="4"/>
  </r>
  <r>
    <s v="43-612-8079"/>
    <n v="47"/>
    <x v="1"/>
    <x v="1"/>
    <x v="1"/>
    <s v="Divorced"/>
    <s v="High School"/>
    <x v="0"/>
    <s v="Colima"/>
    <x v="40"/>
    <x v="6"/>
    <n v="250.73"/>
    <n v="4"/>
    <x v="2"/>
    <n v="3"/>
    <n v="2"/>
    <n v="60"/>
    <x v="2"/>
    <x v="0"/>
    <n v="0.25"/>
    <n v="10"/>
    <x v="0"/>
    <s v="Desktop"/>
    <x v="4"/>
    <d v="2024-04-24T00:00:00"/>
    <x v="1"/>
    <s v="Yes"/>
    <x v="3"/>
    <x v="0"/>
    <n v="10"/>
    <x v="1"/>
    <s v="Qtr-2"/>
    <x v="2"/>
  </r>
  <r>
    <s v="17-213-2834"/>
    <n v="34"/>
    <x v="2"/>
    <x v="1"/>
    <x v="0"/>
    <s v="Single"/>
    <s v="High School"/>
    <x v="0"/>
    <s v="Marshintsy"/>
    <x v="9"/>
    <x v="20"/>
    <n v="372.49"/>
    <n v="12"/>
    <x v="2"/>
    <n v="4"/>
    <n v="3"/>
    <n v="0"/>
    <x v="3"/>
    <x v="2"/>
    <n v="0"/>
    <n v="5"/>
    <x v="3"/>
    <s v="Desktop"/>
    <x v="2"/>
    <d v="2024-08-22T00:00:00"/>
    <x v="0"/>
    <s v="No"/>
    <x v="3"/>
    <x v="0"/>
    <n v="7"/>
    <x v="7"/>
    <s v="Qtr-3"/>
    <x v="0"/>
  </r>
  <r>
    <s v="36-214-1586"/>
    <n v="41"/>
    <x v="1"/>
    <x v="1"/>
    <x v="1"/>
    <s v="Widowed"/>
    <s v="High School"/>
    <x v="1"/>
    <s v="Halinów"/>
    <x v="18"/>
    <x v="5"/>
    <n v="186.85"/>
    <n v="2"/>
    <x v="2"/>
    <n v="3"/>
    <n v="1"/>
    <n v="120"/>
    <x v="3"/>
    <x v="1"/>
    <n v="1"/>
    <n v="8"/>
    <x v="2"/>
    <s v="Smartphone"/>
    <x v="3"/>
    <d v="2024-02-20T00:00:00"/>
    <x v="0"/>
    <s v="No"/>
    <x v="2"/>
    <x v="2"/>
    <n v="12"/>
    <x v="8"/>
    <s v="Qtr-1"/>
    <x v="0"/>
  </r>
  <r>
    <s v="32-414-1466"/>
    <n v="26"/>
    <x v="0"/>
    <x v="1"/>
    <x v="1"/>
    <s v="Widowed"/>
    <s v="Master's"/>
    <x v="0"/>
    <s v="Hallsberg"/>
    <x v="5"/>
    <x v="6"/>
    <n v="73.319999999999993"/>
    <n v="10"/>
    <x v="1"/>
    <n v="5"/>
    <n v="1"/>
    <n v="60"/>
    <x v="0"/>
    <x v="1"/>
    <n v="0.1"/>
    <n v="1"/>
    <x v="3"/>
    <s v="Smartphone"/>
    <x v="2"/>
    <d v="2024-01-27T00:00:00"/>
    <x v="0"/>
    <s v="No"/>
    <x v="1"/>
    <x v="1"/>
    <n v="14"/>
    <x v="3"/>
    <s v="Qtr-1"/>
    <x v="0"/>
  </r>
  <r>
    <s v="12-699-6543"/>
    <n v="49"/>
    <x v="1"/>
    <x v="1"/>
    <x v="0"/>
    <s v="Widowed"/>
    <s v="Bachelor's"/>
    <x v="0"/>
    <s v="Celso Ramos"/>
    <x v="14"/>
    <x v="20"/>
    <n v="214.59"/>
    <n v="6"/>
    <x v="2"/>
    <n v="1"/>
    <n v="1"/>
    <n v="0"/>
    <x v="0"/>
    <x v="0"/>
    <n v="0.16666666666666666"/>
    <n v="8"/>
    <x v="2"/>
    <s v="Tablet"/>
    <x v="3"/>
    <d v="2024-02-09T00:00:00"/>
    <x v="0"/>
    <s v="No"/>
    <x v="1"/>
    <x v="1"/>
    <n v="9"/>
    <x v="8"/>
    <s v="Qtr-1"/>
    <x v="4"/>
  </r>
  <r>
    <s v="83-427-3218"/>
    <n v="47"/>
    <x v="1"/>
    <x v="0"/>
    <x v="0"/>
    <s v="Widowed"/>
    <s v="High School"/>
    <x v="0"/>
    <s v="White River"/>
    <x v="77"/>
    <x v="4"/>
    <n v="467.32"/>
    <n v="12"/>
    <x v="1"/>
    <n v="4"/>
    <n v="4"/>
    <n v="120"/>
    <x v="1"/>
    <x v="0"/>
    <n v="0.16666666666666666"/>
    <n v="4"/>
    <x v="2"/>
    <s v="Smartphone"/>
    <x v="1"/>
    <d v="2024-01-28T00:00:00"/>
    <x v="1"/>
    <s v="Yes"/>
    <x v="0"/>
    <x v="0"/>
    <n v="11"/>
    <x v="3"/>
    <s v="Qtr-1"/>
    <x v="5"/>
  </r>
  <r>
    <s v="61-663-9008"/>
    <n v="18"/>
    <x v="3"/>
    <x v="1"/>
    <x v="0"/>
    <s v="Married"/>
    <s v="Master's"/>
    <x v="0"/>
    <s v="Taishihe"/>
    <x v="1"/>
    <x v="22"/>
    <n v="475.65"/>
    <n v="4"/>
    <x v="1"/>
    <n v="4"/>
    <n v="5"/>
    <n v="0"/>
    <x v="3"/>
    <x v="0"/>
    <n v="0.5"/>
    <n v="6"/>
    <x v="2"/>
    <s v="Smartphone"/>
    <x v="1"/>
    <d v="2024-06-23T00:00:00"/>
    <x v="0"/>
    <s v="Yes"/>
    <x v="1"/>
    <x v="2"/>
    <n v="14"/>
    <x v="4"/>
    <s v="Qtr-2"/>
    <x v="1"/>
  </r>
  <r>
    <s v="86-917-7481"/>
    <n v="48"/>
    <x v="1"/>
    <x v="0"/>
    <x v="0"/>
    <s v="Widowed"/>
    <s v="Master's"/>
    <x v="1"/>
    <s v="Shanghu"/>
    <x v="1"/>
    <x v="9"/>
    <n v="161.38"/>
    <n v="11"/>
    <x v="0"/>
    <n v="5"/>
    <n v="3"/>
    <n v="0"/>
    <x v="0"/>
    <x v="2"/>
    <n v="9.0909090909090912E-2"/>
    <n v="10"/>
    <x v="1"/>
    <s v="Tablet"/>
    <x v="2"/>
    <d v="2024-08-20T00:00:00"/>
    <x v="0"/>
    <s v="Yes"/>
    <x v="2"/>
    <x v="1"/>
    <n v="10"/>
    <x v="7"/>
    <s v="Qtr-3"/>
    <x v="1"/>
  </r>
  <r>
    <s v="66-086-2306"/>
    <n v="19"/>
    <x v="3"/>
    <x v="1"/>
    <x v="0"/>
    <s v="Single"/>
    <s v="Bachelor's"/>
    <x v="0"/>
    <s v="Brandsen"/>
    <x v="56"/>
    <x v="15"/>
    <n v="249.78"/>
    <n v="4"/>
    <x v="1"/>
    <n v="5"/>
    <n v="4"/>
    <n v="0"/>
    <x v="2"/>
    <x v="2"/>
    <n v="0"/>
    <n v="1"/>
    <x v="0"/>
    <s v="Desktop"/>
    <x v="1"/>
    <d v="2024-11-24T00:00:00"/>
    <x v="1"/>
    <s v="No"/>
    <x v="1"/>
    <x v="0"/>
    <n v="11"/>
    <x v="11"/>
    <s v="Qtr-4"/>
    <x v="4"/>
  </r>
  <r>
    <s v="43-671-9834"/>
    <n v="39"/>
    <x v="2"/>
    <x v="0"/>
    <x v="0"/>
    <s v="Divorced"/>
    <s v="High School"/>
    <x v="1"/>
    <s v="Ranot"/>
    <x v="61"/>
    <x v="20"/>
    <n v="149.88"/>
    <n v="9"/>
    <x v="0"/>
    <n v="3"/>
    <n v="2"/>
    <n v="0"/>
    <x v="2"/>
    <x v="0"/>
    <n v="0.1111111111111111"/>
    <n v="10"/>
    <x v="2"/>
    <s v="Smartphone"/>
    <x v="2"/>
    <d v="2024-04-19T00:00:00"/>
    <x v="1"/>
    <s v="No"/>
    <x v="2"/>
    <x v="1"/>
    <n v="4"/>
    <x v="1"/>
    <s v="Qtr-2"/>
    <x v="1"/>
  </r>
  <r>
    <s v="90-888-8726"/>
    <n v="48"/>
    <x v="1"/>
    <x v="0"/>
    <x v="1"/>
    <s v="Divorced"/>
    <s v="Master's"/>
    <x v="0"/>
    <s v="Saint-Jouan-des-Guérets"/>
    <x v="0"/>
    <x v="23"/>
    <n v="347.09"/>
    <n v="5"/>
    <x v="1"/>
    <n v="5"/>
    <n v="2"/>
    <n v="0"/>
    <x v="1"/>
    <x v="0"/>
    <n v="0.4"/>
    <n v="1"/>
    <x v="0"/>
    <s v="Smartphone"/>
    <x v="3"/>
    <d v="2024-01-26T00:00:00"/>
    <x v="1"/>
    <s v="No"/>
    <x v="3"/>
    <x v="0"/>
    <n v="7"/>
    <x v="3"/>
    <s v="Qtr-1"/>
    <x v="0"/>
  </r>
  <r>
    <s v="23-085-0811"/>
    <n v="43"/>
    <x v="1"/>
    <x v="0"/>
    <x v="1"/>
    <s v="Widowed"/>
    <s v="Master's"/>
    <x v="1"/>
    <s v="Da’an"/>
    <x v="1"/>
    <x v="10"/>
    <n v="345.49"/>
    <n v="9"/>
    <x v="0"/>
    <n v="3"/>
    <n v="1"/>
    <n v="120"/>
    <x v="3"/>
    <x v="1"/>
    <n v="0"/>
    <n v="10"/>
    <x v="3"/>
    <s v="Tablet"/>
    <x v="1"/>
    <d v="2024-09-06T00:00:00"/>
    <x v="0"/>
    <s v="No"/>
    <x v="2"/>
    <x v="2"/>
    <n v="3"/>
    <x v="10"/>
    <s v="Qtr-3"/>
    <x v="1"/>
  </r>
  <r>
    <s v="85-192-9218"/>
    <n v="31"/>
    <x v="2"/>
    <x v="0"/>
    <x v="1"/>
    <s v="Divorced"/>
    <s v="Bachelor's"/>
    <x v="1"/>
    <s v="Kisovec"/>
    <x v="55"/>
    <x v="10"/>
    <n v="297.24"/>
    <n v="2"/>
    <x v="0"/>
    <n v="1"/>
    <n v="4"/>
    <n v="0"/>
    <x v="1"/>
    <x v="1"/>
    <n v="0"/>
    <n v="9"/>
    <x v="1"/>
    <s v="Desktop"/>
    <x v="1"/>
    <d v="2024-06-29T00:00:00"/>
    <x v="0"/>
    <s v="Yes"/>
    <x v="3"/>
    <x v="2"/>
    <n v="7"/>
    <x v="4"/>
    <s v="Qtr-2"/>
    <x v="0"/>
  </r>
  <r>
    <s v="82-671-7236"/>
    <n v="28"/>
    <x v="0"/>
    <x v="0"/>
    <x v="0"/>
    <s v="Divorced"/>
    <s v="Bachelor's"/>
    <x v="1"/>
    <s v="?bd?n?n"/>
    <x v="78"/>
    <x v="3"/>
    <n v="494.34"/>
    <n v="12"/>
    <x v="2"/>
    <n v="5"/>
    <n v="3"/>
    <n v="15"/>
    <x v="3"/>
    <x v="2"/>
    <n v="8.3333333333333329E-2"/>
    <n v="8"/>
    <x v="2"/>
    <s v="Desktop"/>
    <x v="2"/>
    <d v="2024-03-03T00:00:00"/>
    <x v="1"/>
    <s v="No"/>
    <x v="1"/>
    <x v="2"/>
    <n v="3"/>
    <x v="0"/>
    <s v="Qtr-1"/>
    <x v="1"/>
  </r>
  <r>
    <s v="42-674-3987"/>
    <n v="29"/>
    <x v="0"/>
    <x v="7"/>
    <x v="0"/>
    <s v="Married"/>
    <s v="Master's"/>
    <x v="1"/>
    <s v="Dafeng"/>
    <x v="1"/>
    <x v="9"/>
    <n v="443.52"/>
    <n v="5"/>
    <x v="1"/>
    <n v="5"/>
    <n v="3"/>
    <n v="0"/>
    <x v="0"/>
    <x v="0"/>
    <n v="0"/>
    <n v="7"/>
    <x v="2"/>
    <s v="Tablet"/>
    <x v="4"/>
    <d v="2024-05-10T00:00:00"/>
    <x v="0"/>
    <s v="No"/>
    <x v="0"/>
    <x v="1"/>
    <n v="9"/>
    <x v="9"/>
    <s v="Qtr-2"/>
    <x v="1"/>
  </r>
  <r>
    <s v="41-934-7739"/>
    <n v="45"/>
    <x v="1"/>
    <x v="3"/>
    <x v="0"/>
    <s v="Divorced"/>
    <s v="High School"/>
    <x v="1"/>
    <s v="Campo Maior"/>
    <x v="26"/>
    <x v="23"/>
    <n v="457.18"/>
    <n v="7"/>
    <x v="1"/>
    <n v="4"/>
    <n v="3"/>
    <n v="120"/>
    <x v="3"/>
    <x v="2"/>
    <n v="0.2857142857142857"/>
    <n v="6"/>
    <x v="3"/>
    <s v="Smartphone"/>
    <x v="3"/>
    <d v="2024-08-20T00:00:00"/>
    <x v="0"/>
    <s v="Yes"/>
    <x v="1"/>
    <x v="2"/>
    <n v="10"/>
    <x v="7"/>
    <s v="Qtr-3"/>
    <x v="0"/>
  </r>
  <r>
    <s v="48-825-0400"/>
    <n v="38"/>
    <x v="2"/>
    <x v="1"/>
    <x v="0"/>
    <s v="Single"/>
    <s v="Master's"/>
    <x v="1"/>
    <s v="Sävedalen"/>
    <x v="5"/>
    <x v="5"/>
    <n v="407.88"/>
    <n v="4"/>
    <x v="1"/>
    <n v="1"/>
    <n v="3"/>
    <n v="60"/>
    <x v="0"/>
    <x v="2"/>
    <n v="0.25"/>
    <n v="10"/>
    <x v="3"/>
    <s v="Tablet"/>
    <x v="4"/>
    <d v="2024-11-11T00:00:00"/>
    <x v="1"/>
    <s v="No"/>
    <x v="3"/>
    <x v="1"/>
    <n v="14"/>
    <x v="11"/>
    <s v="Qtr-4"/>
    <x v="0"/>
  </r>
  <r>
    <s v="30-133-5120"/>
    <n v="30"/>
    <x v="2"/>
    <x v="1"/>
    <x v="0"/>
    <s v="Widowed"/>
    <s v="Bachelor's"/>
    <x v="0"/>
    <s v="Brikcha"/>
    <x v="79"/>
    <x v="5"/>
    <n v="448.68"/>
    <n v="8"/>
    <x v="1"/>
    <n v="4"/>
    <n v="4"/>
    <n v="120"/>
    <x v="3"/>
    <x v="0"/>
    <n v="0.125"/>
    <n v="3"/>
    <x v="3"/>
    <s v="Tablet"/>
    <x v="2"/>
    <d v="2024-05-25T00:00:00"/>
    <x v="0"/>
    <s v="No"/>
    <x v="1"/>
    <x v="2"/>
    <n v="8"/>
    <x v="9"/>
    <s v="Qtr-2"/>
    <x v="5"/>
  </r>
  <r>
    <s v="29-827-8515"/>
    <n v="40"/>
    <x v="1"/>
    <x v="0"/>
    <x v="1"/>
    <s v="Widowed"/>
    <s v="Bachelor's"/>
    <x v="1"/>
    <s v="Xidianzi"/>
    <x v="1"/>
    <x v="13"/>
    <n v="255.96"/>
    <n v="7"/>
    <x v="2"/>
    <n v="5"/>
    <n v="1"/>
    <n v="60"/>
    <x v="3"/>
    <x v="2"/>
    <n v="0"/>
    <n v="10"/>
    <x v="0"/>
    <s v="Tablet"/>
    <x v="4"/>
    <d v="2024-12-23T00:00:00"/>
    <x v="1"/>
    <s v="No"/>
    <x v="0"/>
    <x v="0"/>
    <n v="13"/>
    <x v="6"/>
    <s v="Qtr-4"/>
    <x v="1"/>
  </r>
  <r>
    <s v="91-724-4633"/>
    <n v="45"/>
    <x v="1"/>
    <x v="1"/>
    <x v="0"/>
    <s v="Married"/>
    <s v="High School"/>
    <x v="1"/>
    <s v="La Unión"/>
    <x v="38"/>
    <x v="8"/>
    <n v="146.07"/>
    <n v="7"/>
    <x v="1"/>
    <n v="4"/>
    <n v="2"/>
    <n v="60"/>
    <x v="2"/>
    <x v="2"/>
    <n v="0.14285714285714285"/>
    <n v="6"/>
    <x v="0"/>
    <s v="Tablet"/>
    <x v="0"/>
    <d v="2024-07-07T00:00:00"/>
    <x v="0"/>
    <s v="Yes"/>
    <x v="0"/>
    <x v="1"/>
    <n v="1"/>
    <x v="5"/>
    <s v="Qtr-3"/>
    <x v="4"/>
  </r>
  <r>
    <s v="10-328-5732"/>
    <n v="44"/>
    <x v="1"/>
    <x v="0"/>
    <x v="1"/>
    <s v="Single"/>
    <s v="High School"/>
    <x v="0"/>
    <s v="Kliteh"/>
    <x v="4"/>
    <x v="18"/>
    <n v="311.89999999999998"/>
    <n v="4"/>
    <x v="1"/>
    <n v="2"/>
    <n v="4"/>
    <n v="120"/>
    <x v="2"/>
    <x v="2"/>
    <n v="0"/>
    <n v="6"/>
    <x v="1"/>
    <s v="Smartphone"/>
    <x v="0"/>
    <d v="2024-12-30T00:00:00"/>
    <x v="1"/>
    <s v="Yes"/>
    <x v="3"/>
    <x v="0"/>
    <n v="2"/>
    <x v="6"/>
    <s v="Qtr-4"/>
    <x v="1"/>
  </r>
  <r>
    <s v="38-912-1128"/>
    <n v="38"/>
    <x v="2"/>
    <x v="0"/>
    <x v="0"/>
    <s v="Widowed"/>
    <s v="High School"/>
    <x v="0"/>
    <s v="Béja"/>
    <x v="80"/>
    <x v="0"/>
    <n v="301.60000000000002"/>
    <n v="4"/>
    <x v="0"/>
    <n v="4"/>
    <n v="5"/>
    <n v="60"/>
    <x v="2"/>
    <x v="1"/>
    <n v="0.5"/>
    <n v="10"/>
    <x v="1"/>
    <s v="Desktop"/>
    <x v="0"/>
    <d v="2024-03-11T00:00:00"/>
    <x v="1"/>
    <s v="No"/>
    <x v="2"/>
    <x v="1"/>
    <n v="13"/>
    <x v="0"/>
    <s v="Qtr-1"/>
    <x v="5"/>
  </r>
  <r>
    <s v="07-751-9620"/>
    <n v="23"/>
    <x v="0"/>
    <x v="5"/>
    <x v="0"/>
    <s v="Widowed"/>
    <s v="Bachelor's"/>
    <x v="1"/>
    <s v="Ferreira do Alentejo"/>
    <x v="26"/>
    <x v="14"/>
    <n v="297.45"/>
    <n v="3"/>
    <x v="0"/>
    <n v="1"/>
    <n v="5"/>
    <n v="0"/>
    <x v="1"/>
    <x v="2"/>
    <n v="0"/>
    <n v="7"/>
    <x v="2"/>
    <s v="Tablet"/>
    <x v="2"/>
    <d v="2024-07-07T00:00:00"/>
    <x v="1"/>
    <s v="No"/>
    <x v="3"/>
    <x v="0"/>
    <n v="4"/>
    <x v="5"/>
    <s v="Qtr-3"/>
    <x v="0"/>
  </r>
  <r>
    <s v="81-877-9170"/>
    <n v="30"/>
    <x v="2"/>
    <x v="7"/>
    <x v="1"/>
    <s v="Widowed"/>
    <s v="Bachelor's"/>
    <x v="1"/>
    <s v="Gegernoong"/>
    <x v="4"/>
    <x v="6"/>
    <n v="157.26"/>
    <n v="3"/>
    <x v="2"/>
    <n v="1"/>
    <n v="3"/>
    <n v="60"/>
    <x v="1"/>
    <x v="1"/>
    <n v="0.33333333333333331"/>
    <n v="1"/>
    <x v="0"/>
    <s v="Desktop"/>
    <x v="4"/>
    <d v="2024-07-24T00:00:00"/>
    <x v="1"/>
    <s v="No"/>
    <x v="0"/>
    <x v="1"/>
    <n v="8"/>
    <x v="5"/>
    <s v="Qtr-3"/>
    <x v="1"/>
  </r>
  <r>
    <s v="19-885-2597"/>
    <n v="42"/>
    <x v="1"/>
    <x v="1"/>
    <x v="1"/>
    <s v="Widowed"/>
    <s v="Master's"/>
    <x v="0"/>
    <s v="La Montañita"/>
    <x v="38"/>
    <x v="18"/>
    <n v="239.46"/>
    <n v="3"/>
    <x v="0"/>
    <n v="3"/>
    <n v="1"/>
    <n v="0"/>
    <x v="2"/>
    <x v="1"/>
    <n v="0.66666666666666663"/>
    <n v="8"/>
    <x v="1"/>
    <s v="Desktop"/>
    <x v="3"/>
    <d v="2024-08-04T00:00:00"/>
    <x v="0"/>
    <s v="Yes"/>
    <x v="3"/>
    <x v="1"/>
    <n v="7"/>
    <x v="7"/>
    <s v="Qtr-3"/>
    <x v="4"/>
  </r>
  <r>
    <s v="82-389-2029"/>
    <n v="28"/>
    <x v="0"/>
    <x v="0"/>
    <x v="1"/>
    <s v="Widowed"/>
    <s v="High School"/>
    <x v="1"/>
    <s v="Sarish?b?ri"/>
    <x v="36"/>
    <x v="0"/>
    <n v="240.82"/>
    <n v="10"/>
    <x v="0"/>
    <n v="1"/>
    <n v="3"/>
    <n v="120"/>
    <x v="3"/>
    <x v="0"/>
    <n v="0"/>
    <n v="3"/>
    <x v="3"/>
    <s v="Tablet"/>
    <x v="1"/>
    <d v="2024-01-02T00:00:00"/>
    <x v="0"/>
    <s v="No"/>
    <x v="3"/>
    <x v="0"/>
    <n v="8"/>
    <x v="3"/>
    <s v="Qtr-1"/>
    <x v="1"/>
  </r>
  <r>
    <s v="97-463-0048"/>
    <n v="44"/>
    <x v="1"/>
    <x v="0"/>
    <x v="0"/>
    <s v="Single"/>
    <s v="Master's"/>
    <x v="1"/>
    <s v="Mangge"/>
    <x v="1"/>
    <x v="6"/>
    <n v="302.07"/>
    <n v="6"/>
    <x v="0"/>
    <n v="1"/>
    <n v="5"/>
    <n v="60"/>
    <x v="1"/>
    <x v="1"/>
    <n v="0.33333333333333331"/>
    <n v="5"/>
    <x v="3"/>
    <s v="Desktop"/>
    <x v="3"/>
    <d v="2024-04-09T00:00:00"/>
    <x v="0"/>
    <s v="No"/>
    <x v="3"/>
    <x v="2"/>
    <n v="13"/>
    <x v="1"/>
    <s v="Qtr-2"/>
    <x v="1"/>
  </r>
  <r>
    <s v="91-572-6135"/>
    <n v="45"/>
    <x v="1"/>
    <x v="1"/>
    <x v="0"/>
    <s v="Widowed"/>
    <s v="Bachelor's"/>
    <x v="0"/>
    <s v="Chaba?ovice"/>
    <x v="16"/>
    <x v="14"/>
    <n v="367.99"/>
    <n v="2"/>
    <x v="2"/>
    <n v="2"/>
    <n v="5"/>
    <n v="60"/>
    <x v="0"/>
    <x v="1"/>
    <n v="1"/>
    <n v="2"/>
    <x v="1"/>
    <s v="Smartphone"/>
    <x v="2"/>
    <d v="2024-10-15T00:00:00"/>
    <x v="1"/>
    <s v="No"/>
    <x v="3"/>
    <x v="2"/>
    <n v="8"/>
    <x v="2"/>
    <s v="Qtr-4"/>
    <x v="0"/>
  </r>
  <r>
    <s v="10-232-0685"/>
    <n v="46"/>
    <x v="1"/>
    <x v="0"/>
    <x v="1"/>
    <s v="Married"/>
    <s v="Master's"/>
    <x v="0"/>
    <s v="Yangping"/>
    <x v="1"/>
    <x v="19"/>
    <n v="359.75"/>
    <n v="7"/>
    <x v="1"/>
    <n v="5"/>
    <n v="1"/>
    <n v="60"/>
    <x v="3"/>
    <x v="1"/>
    <n v="0.14285714285714285"/>
    <n v="6"/>
    <x v="2"/>
    <s v="Tablet"/>
    <x v="3"/>
    <d v="2024-01-23T00:00:00"/>
    <x v="1"/>
    <s v="No"/>
    <x v="1"/>
    <x v="1"/>
    <n v="3"/>
    <x v="3"/>
    <s v="Qtr-1"/>
    <x v="1"/>
  </r>
  <r>
    <s v="77-761-7475"/>
    <n v="28"/>
    <x v="0"/>
    <x v="0"/>
    <x v="0"/>
    <s v="Divorced"/>
    <s v="Bachelor's"/>
    <x v="1"/>
    <s v="Berezna"/>
    <x v="9"/>
    <x v="12"/>
    <n v="204.44"/>
    <n v="2"/>
    <x v="0"/>
    <n v="5"/>
    <n v="3"/>
    <n v="120"/>
    <x v="0"/>
    <x v="0"/>
    <n v="0.5"/>
    <n v="3"/>
    <x v="1"/>
    <s v="Desktop"/>
    <x v="2"/>
    <d v="2024-12-01T00:00:00"/>
    <x v="1"/>
    <s v="Yes"/>
    <x v="2"/>
    <x v="1"/>
    <n v="13"/>
    <x v="6"/>
    <s v="Qtr-4"/>
    <x v="0"/>
  </r>
  <r>
    <s v="78-826-3039"/>
    <n v="27"/>
    <x v="0"/>
    <x v="1"/>
    <x v="1"/>
    <s v="Single"/>
    <s v="Master's"/>
    <x v="1"/>
    <s v="Vidual"/>
    <x v="19"/>
    <x v="0"/>
    <n v="228.93"/>
    <n v="7"/>
    <x v="2"/>
    <n v="1"/>
    <n v="1"/>
    <n v="120"/>
    <x v="2"/>
    <x v="1"/>
    <n v="0.2857142857142857"/>
    <n v="2"/>
    <x v="3"/>
    <s v="Desktop"/>
    <x v="1"/>
    <d v="2024-02-19T00:00:00"/>
    <x v="0"/>
    <s v="Yes"/>
    <x v="2"/>
    <x v="2"/>
    <n v="11"/>
    <x v="8"/>
    <s v="Qtr-1"/>
    <x v="1"/>
  </r>
  <r>
    <s v="86-668-1045"/>
    <n v="20"/>
    <x v="0"/>
    <x v="0"/>
    <x v="1"/>
    <s v="Single"/>
    <s v="High School"/>
    <x v="0"/>
    <s v="Paris 17"/>
    <x v="0"/>
    <x v="2"/>
    <n v="355.31"/>
    <n v="11"/>
    <x v="2"/>
    <n v="1"/>
    <n v="1"/>
    <n v="0"/>
    <x v="3"/>
    <x v="1"/>
    <n v="9.0909090909090912E-2"/>
    <n v="2"/>
    <x v="3"/>
    <s v="Desktop"/>
    <x v="2"/>
    <d v="2024-08-19T00:00:00"/>
    <x v="1"/>
    <s v="Yes"/>
    <x v="2"/>
    <x v="2"/>
    <n v="12"/>
    <x v="7"/>
    <s v="Qtr-3"/>
    <x v="0"/>
  </r>
  <r>
    <s v="14-603-9698"/>
    <n v="40"/>
    <x v="1"/>
    <x v="1"/>
    <x v="1"/>
    <s v="Married"/>
    <s v="High School"/>
    <x v="1"/>
    <s v="Hultsfred"/>
    <x v="5"/>
    <x v="9"/>
    <n v="334.67"/>
    <n v="12"/>
    <x v="1"/>
    <n v="2"/>
    <n v="1"/>
    <n v="120"/>
    <x v="0"/>
    <x v="0"/>
    <n v="0.16666666666666666"/>
    <n v="5"/>
    <x v="0"/>
    <s v="Tablet"/>
    <x v="2"/>
    <d v="2024-11-18T00:00:00"/>
    <x v="0"/>
    <s v="No"/>
    <x v="0"/>
    <x v="1"/>
    <n v="13"/>
    <x v="11"/>
    <s v="Qtr-4"/>
    <x v="0"/>
  </r>
  <r>
    <s v="23-752-2213"/>
    <n v="36"/>
    <x v="2"/>
    <x v="1"/>
    <x v="0"/>
    <s v="Widowed"/>
    <s v="Master's"/>
    <x v="0"/>
    <s v="Níkaia"/>
    <x v="24"/>
    <x v="5"/>
    <n v="182.72"/>
    <n v="5"/>
    <x v="2"/>
    <n v="2"/>
    <n v="1"/>
    <n v="120"/>
    <x v="3"/>
    <x v="2"/>
    <n v="0.2"/>
    <n v="7"/>
    <x v="0"/>
    <s v="Desktop"/>
    <x v="3"/>
    <d v="2024-06-04T00:00:00"/>
    <x v="1"/>
    <s v="No"/>
    <x v="2"/>
    <x v="0"/>
    <n v="13"/>
    <x v="4"/>
    <s v="Qtr-2"/>
    <x v="0"/>
  </r>
  <r>
    <s v="71-486-8561"/>
    <n v="43"/>
    <x v="1"/>
    <x v="1"/>
    <x v="1"/>
    <s v="Widowed"/>
    <s v="High School"/>
    <x v="0"/>
    <s v="Macayug"/>
    <x v="19"/>
    <x v="23"/>
    <n v="260.22000000000003"/>
    <n v="11"/>
    <x v="1"/>
    <n v="4"/>
    <n v="3"/>
    <n v="0"/>
    <x v="0"/>
    <x v="1"/>
    <n v="0.18181818181818182"/>
    <n v="5"/>
    <x v="1"/>
    <s v="Desktop"/>
    <x v="0"/>
    <d v="2024-11-20T00:00:00"/>
    <x v="1"/>
    <s v="Yes"/>
    <x v="0"/>
    <x v="2"/>
    <n v="13"/>
    <x v="11"/>
    <s v="Qtr-4"/>
    <x v="1"/>
  </r>
  <r>
    <s v="76-382-7162"/>
    <n v="26"/>
    <x v="0"/>
    <x v="0"/>
    <x v="1"/>
    <s v="Single"/>
    <s v="High School"/>
    <x v="0"/>
    <s v="Mahanoro"/>
    <x v="81"/>
    <x v="1"/>
    <n v="454.93"/>
    <n v="8"/>
    <x v="2"/>
    <n v="3"/>
    <n v="5"/>
    <n v="0"/>
    <x v="2"/>
    <x v="0"/>
    <n v="0.25"/>
    <n v="7"/>
    <x v="3"/>
    <s v="Desktop"/>
    <x v="2"/>
    <d v="2024-04-21T00:00:00"/>
    <x v="1"/>
    <s v="No"/>
    <x v="1"/>
    <x v="0"/>
    <n v="11"/>
    <x v="1"/>
    <s v="Qtr-2"/>
    <x v="5"/>
  </r>
  <r>
    <s v="28-947-4295"/>
    <n v="29"/>
    <x v="0"/>
    <x v="1"/>
    <x v="0"/>
    <s v="Widowed"/>
    <s v="Bachelor's"/>
    <x v="1"/>
    <s v="Mozdok"/>
    <x v="6"/>
    <x v="21"/>
    <n v="325.42"/>
    <n v="11"/>
    <x v="1"/>
    <n v="2"/>
    <n v="4"/>
    <n v="120"/>
    <x v="2"/>
    <x v="1"/>
    <n v="9.0909090909090912E-2"/>
    <n v="1"/>
    <x v="1"/>
    <s v="Desktop"/>
    <x v="3"/>
    <d v="2024-10-20T00:00:00"/>
    <x v="0"/>
    <s v="No"/>
    <x v="2"/>
    <x v="2"/>
    <n v="7"/>
    <x v="2"/>
    <s v="Qtr-4"/>
    <x v="3"/>
  </r>
  <r>
    <s v="84-765-0748"/>
    <n v="34"/>
    <x v="2"/>
    <x v="0"/>
    <x v="0"/>
    <s v="Widowed"/>
    <s v="High School"/>
    <x v="1"/>
    <s v="Hoolt"/>
    <x v="34"/>
    <x v="23"/>
    <n v="351.36"/>
    <n v="2"/>
    <x v="1"/>
    <n v="5"/>
    <n v="3"/>
    <n v="120"/>
    <x v="3"/>
    <x v="2"/>
    <n v="1"/>
    <n v="6"/>
    <x v="0"/>
    <s v="Desktop"/>
    <x v="3"/>
    <d v="2024-02-09T00:00:00"/>
    <x v="1"/>
    <s v="Yes"/>
    <x v="0"/>
    <x v="1"/>
    <n v="7"/>
    <x v="8"/>
    <s v="Qtr-1"/>
    <x v="1"/>
  </r>
  <r>
    <s v="54-207-8349"/>
    <n v="40"/>
    <x v="1"/>
    <x v="1"/>
    <x v="1"/>
    <s v="Single"/>
    <s v="Bachelor's"/>
    <x v="0"/>
    <s v="San Luis"/>
    <x v="56"/>
    <x v="15"/>
    <n v="333.63"/>
    <n v="8"/>
    <x v="0"/>
    <n v="4"/>
    <n v="5"/>
    <n v="120"/>
    <x v="0"/>
    <x v="2"/>
    <n v="0.25"/>
    <n v="2"/>
    <x v="1"/>
    <s v="Smartphone"/>
    <x v="3"/>
    <d v="2024-12-05T00:00:00"/>
    <x v="1"/>
    <s v="No"/>
    <x v="0"/>
    <x v="2"/>
    <n v="14"/>
    <x v="6"/>
    <s v="Qtr-4"/>
    <x v="4"/>
  </r>
  <r>
    <s v="20-419-0341"/>
    <n v="42"/>
    <x v="1"/>
    <x v="0"/>
    <x v="1"/>
    <s v="Married"/>
    <s v="Bachelor's"/>
    <x v="0"/>
    <s v="Pergan"/>
    <x v="4"/>
    <x v="21"/>
    <n v="469.9"/>
    <n v="4"/>
    <x v="0"/>
    <n v="2"/>
    <n v="5"/>
    <n v="60"/>
    <x v="2"/>
    <x v="1"/>
    <n v="0.25"/>
    <n v="7"/>
    <x v="0"/>
    <s v="Desktop"/>
    <x v="4"/>
    <d v="2024-06-28T00:00:00"/>
    <x v="1"/>
    <s v="No"/>
    <x v="3"/>
    <x v="0"/>
    <n v="7"/>
    <x v="4"/>
    <s v="Qtr-2"/>
    <x v="1"/>
  </r>
  <r>
    <s v="52-005-9914"/>
    <n v="28"/>
    <x v="0"/>
    <x v="1"/>
    <x v="1"/>
    <s v="Married"/>
    <s v="Bachelor's"/>
    <x v="1"/>
    <s v="Kanoni"/>
    <x v="82"/>
    <x v="7"/>
    <n v="207.52"/>
    <n v="4"/>
    <x v="1"/>
    <n v="3"/>
    <n v="4"/>
    <n v="60"/>
    <x v="2"/>
    <x v="1"/>
    <n v="0.25"/>
    <n v="8"/>
    <x v="1"/>
    <s v="Desktop"/>
    <x v="2"/>
    <d v="2024-08-06T00:00:00"/>
    <x v="1"/>
    <s v="No"/>
    <x v="2"/>
    <x v="0"/>
    <n v="2"/>
    <x v="7"/>
    <s v="Qtr-3"/>
    <x v="5"/>
  </r>
  <r>
    <s v="34-846-7805"/>
    <n v="49"/>
    <x v="1"/>
    <x v="1"/>
    <x v="1"/>
    <s v="Single"/>
    <s v="Bachelor's"/>
    <x v="1"/>
    <s v="Gromadka"/>
    <x v="18"/>
    <x v="16"/>
    <n v="125.89"/>
    <n v="7"/>
    <x v="1"/>
    <n v="3"/>
    <n v="3"/>
    <n v="120"/>
    <x v="2"/>
    <x v="1"/>
    <n v="0.14285714285714285"/>
    <n v="6"/>
    <x v="3"/>
    <s v="Desktop"/>
    <x v="2"/>
    <d v="2024-11-22T00:00:00"/>
    <x v="1"/>
    <s v="No"/>
    <x v="1"/>
    <x v="0"/>
    <n v="13"/>
    <x v="11"/>
    <s v="Qtr-4"/>
    <x v="0"/>
  </r>
  <r>
    <s v="26-596-5461"/>
    <n v="46"/>
    <x v="1"/>
    <x v="0"/>
    <x v="1"/>
    <s v="Single"/>
    <s v="Master's"/>
    <x v="0"/>
    <s v="Payapa"/>
    <x v="19"/>
    <x v="13"/>
    <n v="170.77"/>
    <n v="9"/>
    <x v="2"/>
    <n v="5"/>
    <n v="2"/>
    <n v="60"/>
    <x v="1"/>
    <x v="0"/>
    <n v="0.22222222222222221"/>
    <n v="1"/>
    <x v="2"/>
    <s v="Smartphone"/>
    <x v="0"/>
    <d v="2024-08-04T00:00:00"/>
    <x v="1"/>
    <s v="No"/>
    <x v="2"/>
    <x v="0"/>
    <n v="4"/>
    <x v="7"/>
    <s v="Qtr-3"/>
    <x v="1"/>
  </r>
  <r>
    <s v="20-157-8631"/>
    <n v="44"/>
    <x v="1"/>
    <x v="0"/>
    <x v="1"/>
    <s v="Divorced"/>
    <s v="Master's"/>
    <x v="1"/>
    <s v="Rat Burana"/>
    <x v="61"/>
    <x v="13"/>
    <n v="63.91"/>
    <n v="2"/>
    <x v="2"/>
    <n v="1"/>
    <n v="4"/>
    <n v="120"/>
    <x v="0"/>
    <x v="1"/>
    <n v="0"/>
    <n v="6"/>
    <x v="3"/>
    <s v="Smartphone"/>
    <x v="4"/>
    <d v="2024-01-12T00:00:00"/>
    <x v="1"/>
    <s v="Yes"/>
    <x v="3"/>
    <x v="0"/>
    <n v="12"/>
    <x v="3"/>
    <s v="Qtr-1"/>
    <x v="1"/>
  </r>
  <r>
    <s v="91-199-9097"/>
    <n v="29"/>
    <x v="0"/>
    <x v="1"/>
    <x v="1"/>
    <s v="Married"/>
    <s v="High School"/>
    <x v="0"/>
    <s v="Trhové Sviny"/>
    <x v="16"/>
    <x v="20"/>
    <n v="340.55"/>
    <n v="7"/>
    <x v="1"/>
    <n v="4"/>
    <n v="5"/>
    <n v="0"/>
    <x v="2"/>
    <x v="1"/>
    <n v="0"/>
    <n v="7"/>
    <x v="0"/>
    <s v="Desktop"/>
    <x v="0"/>
    <d v="2024-11-19T00:00:00"/>
    <x v="1"/>
    <s v="Yes"/>
    <x v="3"/>
    <x v="2"/>
    <n v="1"/>
    <x v="11"/>
    <s v="Qtr-4"/>
    <x v="0"/>
  </r>
  <r>
    <s v="55-846-2579"/>
    <n v="47"/>
    <x v="1"/>
    <x v="1"/>
    <x v="0"/>
    <s v="Divorced"/>
    <s v="Bachelor's"/>
    <x v="1"/>
    <s v="Kiev"/>
    <x v="9"/>
    <x v="14"/>
    <n v="378.14"/>
    <n v="6"/>
    <x v="0"/>
    <n v="2"/>
    <n v="2"/>
    <n v="60"/>
    <x v="1"/>
    <x v="2"/>
    <n v="0.16666666666666666"/>
    <n v="6"/>
    <x v="1"/>
    <s v="Smartphone"/>
    <x v="1"/>
    <d v="2024-09-04T00:00:00"/>
    <x v="1"/>
    <s v="No"/>
    <x v="1"/>
    <x v="1"/>
    <n v="7"/>
    <x v="10"/>
    <s v="Qtr-3"/>
    <x v="0"/>
  </r>
  <r>
    <s v="83-455-7266"/>
    <n v="37"/>
    <x v="2"/>
    <x v="0"/>
    <x v="0"/>
    <s v="Married"/>
    <s v="Bachelor's"/>
    <x v="0"/>
    <s v="Créteil"/>
    <x v="0"/>
    <x v="16"/>
    <n v="235.84"/>
    <n v="9"/>
    <x v="0"/>
    <n v="5"/>
    <n v="2"/>
    <n v="0"/>
    <x v="0"/>
    <x v="2"/>
    <n v="0.22222222222222221"/>
    <n v="3"/>
    <x v="0"/>
    <s v="Desktop"/>
    <x v="4"/>
    <d v="2024-08-03T00:00:00"/>
    <x v="1"/>
    <s v="No"/>
    <x v="3"/>
    <x v="0"/>
    <n v="14"/>
    <x v="7"/>
    <s v="Qtr-3"/>
    <x v="0"/>
  </r>
  <r>
    <s v="67-599-9267"/>
    <n v="47"/>
    <x v="1"/>
    <x v="1"/>
    <x v="1"/>
    <s v="Widowed"/>
    <s v="High School"/>
    <x v="0"/>
    <s v="Lomintsevskiy"/>
    <x v="6"/>
    <x v="17"/>
    <n v="164.44"/>
    <n v="5"/>
    <x v="1"/>
    <n v="5"/>
    <n v="1"/>
    <n v="120"/>
    <x v="2"/>
    <x v="0"/>
    <n v="0.2"/>
    <n v="10"/>
    <x v="1"/>
    <s v="Smartphone"/>
    <x v="3"/>
    <d v="2024-04-08T00:00:00"/>
    <x v="1"/>
    <s v="No"/>
    <x v="2"/>
    <x v="0"/>
    <n v="5"/>
    <x v="1"/>
    <s v="Qtr-2"/>
    <x v="3"/>
  </r>
  <r>
    <s v="41-501-9276"/>
    <n v="24"/>
    <x v="0"/>
    <x v="1"/>
    <x v="1"/>
    <s v="Married"/>
    <s v="Bachelor's"/>
    <x v="1"/>
    <s v="Monchegorsk"/>
    <x v="6"/>
    <x v="6"/>
    <n v="455.81"/>
    <n v="3"/>
    <x v="2"/>
    <n v="2"/>
    <n v="3"/>
    <n v="60"/>
    <x v="2"/>
    <x v="0"/>
    <n v="0.33333333333333331"/>
    <n v="6"/>
    <x v="3"/>
    <s v="Smartphone"/>
    <x v="2"/>
    <d v="2024-04-21T00:00:00"/>
    <x v="1"/>
    <s v="No"/>
    <x v="1"/>
    <x v="2"/>
    <n v="6"/>
    <x v="1"/>
    <s v="Qtr-2"/>
    <x v="3"/>
  </r>
  <r>
    <s v="99-509-4653"/>
    <n v="36"/>
    <x v="2"/>
    <x v="1"/>
    <x v="1"/>
    <s v="Widowed"/>
    <s v="Master's"/>
    <x v="1"/>
    <s v="Olavarría"/>
    <x v="56"/>
    <x v="10"/>
    <n v="298.32"/>
    <n v="7"/>
    <x v="1"/>
    <n v="3"/>
    <n v="5"/>
    <n v="60"/>
    <x v="2"/>
    <x v="0"/>
    <n v="0.2857142857142857"/>
    <n v="8"/>
    <x v="0"/>
    <s v="Tablet"/>
    <x v="3"/>
    <d v="2024-06-17T00:00:00"/>
    <x v="0"/>
    <s v="No"/>
    <x v="1"/>
    <x v="1"/>
    <n v="12"/>
    <x v="4"/>
    <s v="Qtr-2"/>
    <x v="4"/>
  </r>
  <r>
    <s v="31-284-5722"/>
    <n v="36"/>
    <x v="2"/>
    <x v="0"/>
    <x v="1"/>
    <s v="Single"/>
    <s v="Bachelor's"/>
    <x v="1"/>
    <s v="Jianshan"/>
    <x v="1"/>
    <x v="11"/>
    <n v="351.71"/>
    <n v="7"/>
    <x v="1"/>
    <n v="2"/>
    <n v="2"/>
    <n v="0"/>
    <x v="1"/>
    <x v="2"/>
    <n v="0.14285714285714285"/>
    <n v="6"/>
    <x v="3"/>
    <s v="Tablet"/>
    <x v="3"/>
    <d v="2024-03-19T00:00:00"/>
    <x v="0"/>
    <s v="No"/>
    <x v="0"/>
    <x v="1"/>
    <n v="8"/>
    <x v="0"/>
    <s v="Qtr-1"/>
    <x v="1"/>
  </r>
  <r>
    <s v="88-000-9227"/>
    <n v="49"/>
    <x v="1"/>
    <x v="1"/>
    <x v="0"/>
    <s v="Divorced"/>
    <s v="Bachelor's"/>
    <x v="0"/>
    <s v="Shreveport"/>
    <x v="10"/>
    <x v="16"/>
    <n v="393.48"/>
    <n v="11"/>
    <x v="1"/>
    <n v="2"/>
    <n v="2"/>
    <n v="0"/>
    <x v="3"/>
    <x v="2"/>
    <n v="9.0909090909090912E-2"/>
    <n v="10"/>
    <x v="0"/>
    <s v="Tablet"/>
    <x v="3"/>
    <d v="2024-08-13T00:00:00"/>
    <x v="0"/>
    <s v="Yes"/>
    <x v="0"/>
    <x v="1"/>
    <n v="3"/>
    <x v="7"/>
    <s v="Qtr-3"/>
    <x v="2"/>
  </r>
  <r>
    <s v="52-726-9328"/>
    <n v="19"/>
    <x v="3"/>
    <x v="3"/>
    <x v="1"/>
    <s v="Single"/>
    <s v="High School"/>
    <x v="1"/>
    <s v="Pingzhuang"/>
    <x v="1"/>
    <x v="2"/>
    <n v="241.72"/>
    <n v="6"/>
    <x v="0"/>
    <n v="5"/>
    <n v="2"/>
    <n v="60"/>
    <x v="1"/>
    <x v="1"/>
    <n v="0"/>
    <n v="8"/>
    <x v="1"/>
    <s v="Desktop"/>
    <x v="2"/>
    <d v="2024-05-29T00:00:00"/>
    <x v="1"/>
    <s v="Yes"/>
    <x v="3"/>
    <x v="2"/>
    <n v="2"/>
    <x v="9"/>
    <s v="Qtr-2"/>
    <x v="1"/>
  </r>
  <r>
    <s v="60-198-5417"/>
    <n v="27"/>
    <x v="0"/>
    <x v="0"/>
    <x v="1"/>
    <s v="Single"/>
    <s v="Bachelor's"/>
    <x v="1"/>
    <s v="Celso Ramos"/>
    <x v="14"/>
    <x v="14"/>
    <n v="280.2"/>
    <n v="3"/>
    <x v="1"/>
    <n v="4"/>
    <n v="2"/>
    <n v="0"/>
    <x v="1"/>
    <x v="0"/>
    <n v="0.66666666666666663"/>
    <n v="7"/>
    <x v="0"/>
    <s v="Desktop"/>
    <x v="3"/>
    <d v="2024-12-03T00:00:00"/>
    <x v="1"/>
    <s v="No"/>
    <x v="0"/>
    <x v="0"/>
    <n v="13"/>
    <x v="6"/>
    <s v="Qtr-4"/>
    <x v="4"/>
  </r>
  <r>
    <s v="00-107-4749"/>
    <n v="36"/>
    <x v="2"/>
    <x v="0"/>
    <x v="0"/>
    <s v="Single"/>
    <s v="Master's"/>
    <x v="0"/>
    <s v="Merlo"/>
    <x v="56"/>
    <x v="18"/>
    <n v="178.04"/>
    <n v="5"/>
    <x v="0"/>
    <n v="1"/>
    <n v="1"/>
    <n v="120"/>
    <x v="0"/>
    <x v="0"/>
    <n v="0.4"/>
    <n v="10"/>
    <x v="1"/>
    <s v="Smartphone"/>
    <x v="0"/>
    <d v="2024-09-19T00:00:00"/>
    <x v="0"/>
    <s v="Yes"/>
    <x v="2"/>
    <x v="2"/>
    <n v="11"/>
    <x v="10"/>
    <s v="Qtr-3"/>
    <x v="4"/>
  </r>
  <r>
    <s v="88-428-8409"/>
    <n v="37"/>
    <x v="2"/>
    <x v="1"/>
    <x v="1"/>
    <s v="Married"/>
    <s v="Master's"/>
    <x v="0"/>
    <s v="Ziniaré"/>
    <x v="83"/>
    <x v="12"/>
    <n v="347.99"/>
    <n v="5"/>
    <x v="0"/>
    <n v="4"/>
    <n v="4"/>
    <n v="60"/>
    <x v="2"/>
    <x v="0"/>
    <n v="0"/>
    <n v="1"/>
    <x v="1"/>
    <s v="Desktop"/>
    <x v="1"/>
    <d v="2024-03-22T00:00:00"/>
    <x v="0"/>
    <s v="No"/>
    <x v="3"/>
    <x v="1"/>
    <n v="6"/>
    <x v="0"/>
    <s v="Qtr-1"/>
    <x v="5"/>
  </r>
  <r>
    <s v="21-313-7424"/>
    <n v="45"/>
    <x v="1"/>
    <x v="0"/>
    <x v="0"/>
    <s v="Single"/>
    <s v="Master's"/>
    <x v="1"/>
    <s v="Zdu?ska Wola"/>
    <x v="18"/>
    <x v="2"/>
    <n v="343.81"/>
    <n v="3"/>
    <x v="1"/>
    <n v="3"/>
    <n v="5"/>
    <n v="0"/>
    <x v="3"/>
    <x v="0"/>
    <n v="0"/>
    <n v="7"/>
    <x v="3"/>
    <s v="Desktop"/>
    <x v="0"/>
    <d v="2024-02-22T00:00:00"/>
    <x v="1"/>
    <s v="Yes"/>
    <x v="0"/>
    <x v="1"/>
    <n v="3"/>
    <x v="8"/>
    <s v="Qtr-1"/>
    <x v="0"/>
  </r>
  <r>
    <s v="79-973-7862"/>
    <n v="47"/>
    <x v="1"/>
    <x v="0"/>
    <x v="0"/>
    <s v="Married"/>
    <s v="Master's"/>
    <x v="0"/>
    <s v="Mount Ayliff"/>
    <x v="77"/>
    <x v="9"/>
    <n v="105.29"/>
    <n v="7"/>
    <x v="1"/>
    <n v="2"/>
    <n v="5"/>
    <n v="0"/>
    <x v="2"/>
    <x v="2"/>
    <n v="0"/>
    <n v="1"/>
    <x v="1"/>
    <s v="Desktop"/>
    <x v="4"/>
    <d v="2024-12-25T00:00:00"/>
    <x v="1"/>
    <s v="Yes"/>
    <x v="0"/>
    <x v="2"/>
    <n v="4"/>
    <x v="6"/>
    <s v="Qtr-4"/>
    <x v="5"/>
  </r>
  <r>
    <s v="81-814-3498"/>
    <n v="32"/>
    <x v="2"/>
    <x v="1"/>
    <x v="0"/>
    <s v="Single"/>
    <s v="High School"/>
    <x v="0"/>
    <s v="Pärgaaj"/>
    <x v="34"/>
    <x v="11"/>
    <n v="483.66"/>
    <n v="3"/>
    <x v="2"/>
    <n v="1"/>
    <n v="4"/>
    <n v="60"/>
    <x v="1"/>
    <x v="1"/>
    <n v="0.66666666666666663"/>
    <n v="1"/>
    <x v="3"/>
    <s v="Desktop"/>
    <x v="3"/>
    <d v="2024-08-27T00:00:00"/>
    <x v="1"/>
    <s v="No"/>
    <x v="2"/>
    <x v="1"/>
    <n v="9"/>
    <x v="7"/>
    <s v="Qtr-3"/>
    <x v="1"/>
  </r>
  <r>
    <s v="34-375-8138"/>
    <n v="48"/>
    <x v="1"/>
    <x v="1"/>
    <x v="0"/>
    <s v="Married"/>
    <s v="Bachelor's"/>
    <x v="0"/>
    <s v="Zbraslavice"/>
    <x v="16"/>
    <x v="3"/>
    <n v="69.41"/>
    <n v="8"/>
    <x v="0"/>
    <n v="5"/>
    <n v="3"/>
    <n v="0"/>
    <x v="3"/>
    <x v="0"/>
    <n v="0.125"/>
    <n v="9"/>
    <x v="1"/>
    <s v="Tablet"/>
    <x v="4"/>
    <d v="2024-01-28T00:00:00"/>
    <x v="1"/>
    <s v="No"/>
    <x v="1"/>
    <x v="1"/>
    <n v="5"/>
    <x v="3"/>
    <s v="Qtr-1"/>
    <x v="0"/>
  </r>
  <r>
    <s v="05-067-9686"/>
    <n v="20"/>
    <x v="0"/>
    <x v="3"/>
    <x v="1"/>
    <s v="Single"/>
    <s v="Master's"/>
    <x v="0"/>
    <s v="Xilu"/>
    <x v="1"/>
    <x v="16"/>
    <n v="207.18"/>
    <n v="11"/>
    <x v="2"/>
    <n v="1"/>
    <n v="3"/>
    <n v="0"/>
    <x v="2"/>
    <x v="0"/>
    <n v="9.0909090909090912E-2"/>
    <n v="5"/>
    <x v="1"/>
    <s v="Tablet"/>
    <x v="1"/>
    <d v="2024-11-16T00:00:00"/>
    <x v="1"/>
    <s v="No"/>
    <x v="1"/>
    <x v="1"/>
    <n v="8"/>
    <x v="11"/>
    <s v="Qtr-4"/>
    <x v="1"/>
  </r>
  <r>
    <s v="61-951-7929"/>
    <n v="32"/>
    <x v="2"/>
    <x v="1"/>
    <x v="0"/>
    <s v="Divorced"/>
    <s v="High School"/>
    <x v="1"/>
    <s v="Bamut"/>
    <x v="6"/>
    <x v="18"/>
    <n v="454.15"/>
    <n v="11"/>
    <x v="1"/>
    <n v="2"/>
    <n v="1"/>
    <n v="60"/>
    <x v="3"/>
    <x v="1"/>
    <n v="9.0909090909090912E-2"/>
    <n v="8"/>
    <x v="1"/>
    <s v="Smartphone"/>
    <x v="4"/>
    <d v="2024-12-08T00:00:00"/>
    <x v="0"/>
    <s v="Yes"/>
    <x v="3"/>
    <x v="2"/>
    <n v="13"/>
    <x v="6"/>
    <s v="Qtr-4"/>
    <x v="3"/>
  </r>
  <r>
    <s v="53-667-0793"/>
    <n v="25"/>
    <x v="0"/>
    <x v="1"/>
    <x v="1"/>
    <s v="Widowed"/>
    <s v="High School"/>
    <x v="1"/>
    <s v="La Tour-du-Pin"/>
    <x v="0"/>
    <x v="19"/>
    <n v="113.01"/>
    <n v="11"/>
    <x v="1"/>
    <n v="5"/>
    <n v="2"/>
    <n v="120"/>
    <x v="2"/>
    <x v="2"/>
    <n v="9.0909090909090912E-2"/>
    <n v="1"/>
    <x v="0"/>
    <s v="Tablet"/>
    <x v="0"/>
    <d v="2024-05-15T00:00:00"/>
    <x v="1"/>
    <s v="Yes"/>
    <x v="2"/>
    <x v="2"/>
    <n v="4"/>
    <x v="9"/>
    <s v="Qtr-2"/>
    <x v="0"/>
  </r>
  <r>
    <s v="61-212-1117"/>
    <n v="42"/>
    <x v="1"/>
    <x v="1"/>
    <x v="0"/>
    <s v="Divorced"/>
    <s v="Bachelor's"/>
    <x v="0"/>
    <s v="Pader Palwo"/>
    <x v="82"/>
    <x v="12"/>
    <n v="419.13"/>
    <n v="4"/>
    <x v="0"/>
    <n v="3"/>
    <n v="5"/>
    <n v="60"/>
    <x v="0"/>
    <x v="1"/>
    <n v="0"/>
    <n v="1"/>
    <x v="0"/>
    <s v="Smartphone"/>
    <x v="4"/>
    <d v="2024-08-03T00:00:00"/>
    <x v="1"/>
    <s v="Yes"/>
    <x v="1"/>
    <x v="2"/>
    <n v="6"/>
    <x v="7"/>
    <s v="Qtr-3"/>
    <x v="5"/>
  </r>
  <r>
    <s v="09-443-7536"/>
    <n v="37"/>
    <x v="2"/>
    <x v="0"/>
    <x v="1"/>
    <s v="Single"/>
    <s v="Bachelor's"/>
    <x v="1"/>
    <s v="Maurisu"/>
    <x v="4"/>
    <x v="23"/>
    <n v="183.86"/>
    <n v="5"/>
    <x v="0"/>
    <n v="1"/>
    <n v="1"/>
    <n v="120"/>
    <x v="1"/>
    <x v="1"/>
    <n v="0.2"/>
    <n v="4"/>
    <x v="2"/>
    <s v="Smartphone"/>
    <x v="2"/>
    <d v="2024-10-07T00:00:00"/>
    <x v="1"/>
    <s v="Yes"/>
    <x v="1"/>
    <x v="1"/>
    <n v="3"/>
    <x v="2"/>
    <s v="Qtr-4"/>
    <x v="1"/>
  </r>
  <r>
    <s v="27-463-5671"/>
    <n v="21"/>
    <x v="0"/>
    <x v="3"/>
    <x v="0"/>
    <s v="Widowed"/>
    <s v="Master's"/>
    <x v="0"/>
    <s v="Gorzyce"/>
    <x v="18"/>
    <x v="12"/>
    <n v="53.87"/>
    <n v="10"/>
    <x v="1"/>
    <n v="4"/>
    <n v="3"/>
    <n v="0"/>
    <x v="1"/>
    <x v="2"/>
    <n v="0"/>
    <n v="10"/>
    <x v="1"/>
    <s v="Tablet"/>
    <x v="4"/>
    <d v="2024-06-25T00:00:00"/>
    <x v="0"/>
    <s v="No"/>
    <x v="3"/>
    <x v="0"/>
    <n v="2"/>
    <x v="4"/>
    <s v="Qtr-2"/>
    <x v="0"/>
  </r>
  <r>
    <s v="53-380-3968"/>
    <n v="43"/>
    <x v="1"/>
    <x v="0"/>
    <x v="1"/>
    <s v="Widowed"/>
    <s v="Bachelor's"/>
    <x v="1"/>
    <s v="Qingyun"/>
    <x v="1"/>
    <x v="1"/>
    <n v="427.82"/>
    <n v="9"/>
    <x v="1"/>
    <n v="5"/>
    <n v="5"/>
    <n v="0"/>
    <x v="1"/>
    <x v="0"/>
    <n v="0.1111111111111111"/>
    <n v="2"/>
    <x v="3"/>
    <s v="Desktop"/>
    <x v="1"/>
    <d v="2024-04-04T00:00:00"/>
    <x v="0"/>
    <s v="No"/>
    <x v="1"/>
    <x v="0"/>
    <n v="14"/>
    <x v="1"/>
    <s v="Qtr-2"/>
    <x v="1"/>
  </r>
  <r>
    <s v="42-969-0735"/>
    <n v="29"/>
    <x v="0"/>
    <x v="0"/>
    <x v="1"/>
    <s v="Divorced"/>
    <s v="Bachelor's"/>
    <x v="0"/>
    <s v="Jiuxian"/>
    <x v="1"/>
    <x v="12"/>
    <n v="282.82"/>
    <n v="6"/>
    <x v="1"/>
    <n v="5"/>
    <n v="3"/>
    <n v="120"/>
    <x v="1"/>
    <x v="2"/>
    <n v="0.33333333333333331"/>
    <n v="7"/>
    <x v="0"/>
    <s v="Desktop"/>
    <x v="3"/>
    <d v="2024-02-29T00:00:00"/>
    <x v="1"/>
    <s v="Yes"/>
    <x v="1"/>
    <x v="1"/>
    <n v="3"/>
    <x v="8"/>
    <s v="Qtr-1"/>
    <x v="1"/>
  </r>
  <r>
    <s v="12-440-5464"/>
    <n v="28"/>
    <x v="0"/>
    <x v="1"/>
    <x v="0"/>
    <s v="Divorced"/>
    <s v="Master's"/>
    <x v="0"/>
    <s v="Ndungu"/>
    <x v="64"/>
    <x v="13"/>
    <n v="215.31"/>
    <n v="7"/>
    <x v="2"/>
    <n v="5"/>
    <n v="5"/>
    <n v="120"/>
    <x v="1"/>
    <x v="0"/>
    <n v="0.14285714285714285"/>
    <n v="8"/>
    <x v="3"/>
    <s v="Smartphone"/>
    <x v="3"/>
    <d v="2024-04-09T00:00:00"/>
    <x v="1"/>
    <s v="Yes"/>
    <x v="2"/>
    <x v="0"/>
    <n v="7"/>
    <x v="1"/>
    <s v="Qtr-2"/>
    <x v="5"/>
  </r>
  <r>
    <s v="33-467-2534"/>
    <n v="43"/>
    <x v="1"/>
    <x v="1"/>
    <x v="0"/>
    <s v="Widowed"/>
    <s v="Master's"/>
    <x v="1"/>
    <s v="Emiliano Zapata"/>
    <x v="40"/>
    <x v="4"/>
    <n v="183.66"/>
    <n v="11"/>
    <x v="2"/>
    <n v="3"/>
    <n v="1"/>
    <n v="60"/>
    <x v="2"/>
    <x v="2"/>
    <n v="0"/>
    <n v="10"/>
    <x v="3"/>
    <s v="Tablet"/>
    <x v="0"/>
    <d v="2024-04-18T00:00:00"/>
    <x v="0"/>
    <s v="Yes"/>
    <x v="3"/>
    <x v="0"/>
    <n v="6"/>
    <x v="1"/>
    <s v="Qtr-2"/>
    <x v="2"/>
  </r>
  <r>
    <s v="35-418-0288"/>
    <n v="48"/>
    <x v="1"/>
    <x v="0"/>
    <x v="1"/>
    <s v="Divorced"/>
    <s v="High School"/>
    <x v="0"/>
    <s v="Spasskoye"/>
    <x v="6"/>
    <x v="15"/>
    <n v="198.73"/>
    <n v="10"/>
    <x v="1"/>
    <n v="1"/>
    <n v="5"/>
    <n v="120"/>
    <x v="3"/>
    <x v="2"/>
    <n v="0.1"/>
    <n v="5"/>
    <x v="0"/>
    <s v="Desktop"/>
    <x v="3"/>
    <d v="2024-02-02T00:00:00"/>
    <x v="0"/>
    <s v="No"/>
    <x v="2"/>
    <x v="1"/>
    <n v="4"/>
    <x v="8"/>
    <s v="Qtr-1"/>
    <x v="3"/>
  </r>
  <r>
    <s v="33-787-2143"/>
    <n v="26"/>
    <x v="0"/>
    <x v="0"/>
    <x v="0"/>
    <s v="Married"/>
    <s v="High School"/>
    <x v="1"/>
    <s v="Giera?cice"/>
    <x v="18"/>
    <x v="22"/>
    <n v="265.72000000000003"/>
    <n v="5"/>
    <x v="0"/>
    <n v="5"/>
    <n v="4"/>
    <n v="0"/>
    <x v="0"/>
    <x v="2"/>
    <n v="0"/>
    <n v="9"/>
    <x v="0"/>
    <s v="Tablet"/>
    <x v="2"/>
    <d v="2024-04-22T00:00:00"/>
    <x v="0"/>
    <s v="Yes"/>
    <x v="3"/>
    <x v="2"/>
    <n v="13"/>
    <x v="1"/>
    <s v="Qtr-2"/>
    <x v="0"/>
  </r>
  <r>
    <s v="58-528-6262"/>
    <n v="42"/>
    <x v="1"/>
    <x v="1"/>
    <x v="0"/>
    <s v="Married"/>
    <s v="Master's"/>
    <x v="1"/>
    <s v="Sobue"/>
    <x v="3"/>
    <x v="14"/>
    <n v="138.35"/>
    <n v="2"/>
    <x v="2"/>
    <n v="4"/>
    <n v="5"/>
    <n v="120"/>
    <x v="2"/>
    <x v="1"/>
    <n v="0"/>
    <n v="2"/>
    <x v="2"/>
    <s v="Smartphone"/>
    <x v="3"/>
    <d v="2024-07-14T00:00:00"/>
    <x v="0"/>
    <s v="Yes"/>
    <x v="1"/>
    <x v="0"/>
    <n v="8"/>
    <x v="5"/>
    <s v="Qtr-3"/>
    <x v="1"/>
  </r>
  <r>
    <s v="31-060-2716"/>
    <n v="27"/>
    <x v="0"/>
    <x v="1"/>
    <x v="0"/>
    <s v="Divorced"/>
    <s v="Bachelor's"/>
    <x v="0"/>
    <s v="High Point"/>
    <x v="10"/>
    <x v="19"/>
    <n v="441.87"/>
    <n v="3"/>
    <x v="0"/>
    <n v="1"/>
    <n v="2"/>
    <n v="60"/>
    <x v="3"/>
    <x v="0"/>
    <n v="0"/>
    <n v="10"/>
    <x v="3"/>
    <s v="Smartphone"/>
    <x v="1"/>
    <d v="2024-09-10T00:00:00"/>
    <x v="0"/>
    <s v="No"/>
    <x v="1"/>
    <x v="0"/>
    <n v="13"/>
    <x v="10"/>
    <s v="Qtr-3"/>
    <x v="2"/>
  </r>
  <r>
    <s v="81-515-5823"/>
    <n v="40"/>
    <x v="1"/>
    <x v="0"/>
    <x v="0"/>
    <s v="Married"/>
    <s v="Master's"/>
    <x v="0"/>
    <s v="Qiankeng"/>
    <x v="1"/>
    <x v="20"/>
    <n v="178.29"/>
    <n v="4"/>
    <x v="0"/>
    <n v="4"/>
    <n v="3"/>
    <n v="120"/>
    <x v="2"/>
    <x v="2"/>
    <n v="0.5"/>
    <n v="10"/>
    <x v="1"/>
    <s v="Desktop"/>
    <x v="4"/>
    <d v="2024-07-29T00:00:00"/>
    <x v="1"/>
    <s v="Yes"/>
    <x v="3"/>
    <x v="0"/>
    <n v="8"/>
    <x v="5"/>
    <s v="Qtr-3"/>
    <x v="1"/>
  </r>
  <r>
    <s v="90-858-0453"/>
    <n v="23"/>
    <x v="0"/>
    <x v="1"/>
    <x v="0"/>
    <s v="Widowed"/>
    <s v="High School"/>
    <x v="1"/>
    <s v="Pandean"/>
    <x v="4"/>
    <x v="6"/>
    <n v="77.08"/>
    <n v="10"/>
    <x v="0"/>
    <n v="2"/>
    <n v="1"/>
    <n v="0"/>
    <x v="3"/>
    <x v="1"/>
    <n v="0"/>
    <n v="8"/>
    <x v="0"/>
    <s v="Tablet"/>
    <x v="1"/>
    <d v="2024-10-15T00:00:00"/>
    <x v="0"/>
    <s v="Yes"/>
    <x v="2"/>
    <x v="1"/>
    <n v="1"/>
    <x v="2"/>
    <s v="Qtr-4"/>
    <x v="1"/>
  </r>
  <r>
    <s v="28-874-8938"/>
    <n v="46"/>
    <x v="1"/>
    <x v="1"/>
    <x v="1"/>
    <s v="Married"/>
    <s v="High School"/>
    <x v="1"/>
    <s v="Phong ?i?n"/>
    <x v="84"/>
    <x v="2"/>
    <n v="266.89999999999998"/>
    <n v="11"/>
    <x v="0"/>
    <n v="4"/>
    <n v="2"/>
    <n v="120"/>
    <x v="2"/>
    <x v="1"/>
    <n v="9.0909090909090912E-2"/>
    <n v="8"/>
    <x v="3"/>
    <s v="Desktop"/>
    <x v="1"/>
    <d v="2024-07-01T00:00:00"/>
    <x v="1"/>
    <s v="Yes"/>
    <x v="1"/>
    <x v="2"/>
    <n v="13"/>
    <x v="5"/>
    <s v="Qtr-3"/>
    <x v="1"/>
  </r>
  <r>
    <s v="89-625-5542"/>
    <n v="38"/>
    <x v="2"/>
    <x v="0"/>
    <x v="0"/>
    <s v="Divorced"/>
    <s v="Bachelor's"/>
    <x v="1"/>
    <s v="Mirów"/>
    <x v="18"/>
    <x v="13"/>
    <n v="269.83999999999997"/>
    <n v="4"/>
    <x v="1"/>
    <n v="5"/>
    <n v="4"/>
    <n v="0"/>
    <x v="2"/>
    <x v="1"/>
    <n v="0.5"/>
    <n v="9"/>
    <x v="2"/>
    <s v="Tablet"/>
    <x v="0"/>
    <d v="2024-05-04T00:00:00"/>
    <x v="0"/>
    <s v="Yes"/>
    <x v="1"/>
    <x v="0"/>
    <n v="2"/>
    <x v="9"/>
    <s v="Qtr-2"/>
    <x v="0"/>
  </r>
  <r>
    <s v="07-966-8728"/>
    <n v="23"/>
    <x v="0"/>
    <x v="1"/>
    <x v="0"/>
    <s v="Married"/>
    <s v="Master's"/>
    <x v="1"/>
    <s v="Franceville"/>
    <x v="85"/>
    <x v="3"/>
    <n v="334.22"/>
    <n v="8"/>
    <x v="2"/>
    <n v="2"/>
    <n v="2"/>
    <n v="120"/>
    <x v="0"/>
    <x v="2"/>
    <n v="0.25"/>
    <n v="8"/>
    <x v="0"/>
    <s v="Tablet"/>
    <x v="4"/>
    <d v="2024-03-02T00:00:00"/>
    <x v="1"/>
    <s v="No"/>
    <x v="0"/>
    <x v="1"/>
    <n v="1"/>
    <x v="0"/>
    <s v="Qtr-1"/>
    <x v="5"/>
  </r>
  <r>
    <s v="94-408-2581"/>
    <n v="40"/>
    <x v="1"/>
    <x v="0"/>
    <x v="0"/>
    <s v="Married"/>
    <s v="High School"/>
    <x v="1"/>
    <s v="Bordeaux"/>
    <x v="0"/>
    <x v="22"/>
    <n v="474.56"/>
    <n v="8"/>
    <x v="1"/>
    <n v="1"/>
    <n v="5"/>
    <n v="120"/>
    <x v="2"/>
    <x v="1"/>
    <n v="0.125"/>
    <n v="6"/>
    <x v="1"/>
    <s v="Smartphone"/>
    <x v="1"/>
    <d v="2024-04-17T00:00:00"/>
    <x v="0"/>
    <s v="No"/>
    <x v="3"/>
    <x v="1"/>
    <n v="12"/>
    <x v="1"/>
    <s v="Qtr-2"/>
    <x v="0"/>
  </r>
  <r>
    <s v="55-301-9368"/>
    <n v="34"/>
    <x v="2"/>
    <x v="1"/>
    <x v="1"/>
    <s v="Married"/>
    <s v="Master's"/>
    <x v="1"/>
    <s v="Zamora"/>
    <x v="13"/>
    <x v="13"/>
    <n v="360.91"/>
    <n v="4"/>
    <x v="0"/>
    <n v="3"/>
    <n v="5"/>
    <n v="60"/>
    <x v="3"/>
    <x v="0"/>
    <n v="0"/>
    <n v="8"/>
    <x v="1"/>
    <s v="Desktop"/>
    <x v="0"/>
    <d v="2024-08-30T00:00:00"/>
    <x v="0"/>
    <s v="Yes"/>
    <x v="3"/>
    <x v="0"/>
    <n v="4"/>
    <x v="7"/>
    <s v="Qtr-3"/>
    <x v="0"/>
  </r>
  <r>
    <s v="72-336-1992"/>
    <n v="44"/>
    <x v="1"/>
    <x v="0"/>
    <x v="0"/>
    <s v="Widowed"/>
    <s v="Bachelor's"/>
    <x v="1"/>
    <s v="Jubaoshan"/>
    <x v="1"/>
    <x v="19"/>
    <n v="373.49"/>
    <n v="6"/>
    <x v="2"/>
    <n v="4"/>
    <n v="1"/>
    <n v="0"/>
    <x v="1"/>
    <x v="2"/>
    <n v="0"/>
    <n v="10"/>
    <x v="2"/>
    <s v="Tablet"/>
    <x v="4"/>
    <d v="2024-04-23T00:00:00"/>
    <x v="0"/>
    <s v="Yes"/>
    <x v="2"/>
    <x v="1"/>
    <n v="1"/>
    <x v="1"/>
    <s v="Qtr-2"/>
    <x v="1"/>
  </r>
  <r>
    <s v="06-008-2805"/>
    <n v="32"/>
    <x v="2"/>
    <x v="0"/>
    <x v="1"/>
    <s v="Married"/>
    <s v="Master's"/>
    <x v="0"/>
    <s v="Shidegen"/>
    <x v="1"/>
    <x v="6"/>
    <n v="462.3"/>
    <n v="5"/>
    <x v="0"/>
    <n v="3"/>
    <n v="3"/>
    <n v="120"/>
    <x v="0"/>
    <x v="1"/>
    <n v="0.4"/>
    <n v="4"/>
    <x v="3"/>
    <s v="Tablet"/>
    <x v="4"/>
    <d v="2024-11-25T00:00:00"/>
    <x v="0"/>
    <s v="Yes"/>
    <x v="2"/>
    <x v="1"/>
    <n v="4"/>
    <x v="11"/>
    <s v="Qtr-4"/>
    <x v="1"/>
  </r>
  <r>
    <s v="77-178-6086"/>
    <n v="42"/>
    <x v="1"/>
    <x v="0"/>
    <x v="0"/>
    <s v="Single"/>
    <s v="Master's"/>
    <x v="0"/>
    <s v="Gueltat Zemmour"/>
    <x v="86"/>
    <x v="16"/>
    <n v="332.67"/>
    <n v="8"/>
    <x v="1"/>
    <n v="1"/>
    <n v="4"/>
    <n v="120"/>
    <x v="1"/>
    <x v="0"/>
    <n v="0.125"/>
    <n v="2"/>
    <x v="1"/>
    <s v="Smartphone"/>
    <x v="3"/>
    <d v="2024-12-11T00:00:00"/>
    <x v="1"/>
    <s v="Yes"/>
    <x v="2"/>
    <x v="2"/>
    <n v="4"/>
    <x v="6"/>
    <s v="Qtr-4"/>
    <x v="5"/>
  </r>
  <r>
    <s v="28-832-2885"/>
    <n v="22"/>
    <x v="0"/>
    <x v="0"/>
    <x v="1"/>
    <s v="Divorced"/>
    <s v="Master's"/>
    <x v="0"/>
    <s v="Mosal’sk"/>
    <x v="6"/>
    <x v="3"/>
    <n v="235.39"/>
    <n v="9"/>
    <x v="2"/>
    <n v="5"/>
    <n v="4"/>
    <n v="60"/>
    <x v="0"/>
    <x v="1"/>
    <n v="0"/>
    <n v="6"/>
    <x v="0"/>
    <s v="Smartphone"/>
    <x v="0"/>
    <d v="2024-05-25T00:00:00"/>
    <x v="1"/>
    <s v="Yes"/>
    <x v="3"/>
    <x v="0"/>
    <n v="6"/>
    <x v="9"/>
    <s v="Qtr-2"/>
    <x v="3"/>
  </r>
  <r>
    <s v="75-210-7391"/>
    <n v="44"/>
    <x v="1"/>
    <x v="0"/>
    <x v="0"/>
    <s v="Married"/>
    <s v="High School"/>
    <x v="0"/>
    <s v="Kokstad"/>
    <x v="77"/>
    <x v="12"/>
    <n v="269.77999999999997"/>
    <n v="7"/>
    <x v="1"/>
    <n v="2"/>
    <n v="3"/>
    <n v="60"/>
    <x v="1"/>
    <x v="0"/>
    <n v="0.2857142857142857"/>
    <n v="7"/>
    <x v="3"/>
    <s v="Desktop"/>
    <x v="3"/>
    <d v="2024-07-25T00:00:00"/>
    <x v="0"/>
    <s v="Yes"/>
    <x v="0"/>
    <x v="0"/>
    <n v="5"/>
    <x v="5"/>
    <s v="Qtr-3"/>
    <x v="5"/>
  </r>
  <r>
    <s v="60-470-3563"/>
    <n v="29"/>
    <x v="0"/>
    <x v="1"/>
    <x v="0"/>
    <s v="Married"/>
    <s v="Bachelor's"/>
    <x v="0"/>
    <s v="Malasin"/>
    <x v="19"/>
    <x v="0"/>
    <n v="498.33"/>
    <n v="2"/>
    <x v="2"/>
    <n v="3"/>
    <n v="5"/>
    <n v="120"/>
    <x v="1"/>
    <x v="2"/>
    <n v="0.5"/>
    <n v="9"/>
    <x v="3"/>
    <s v="Smartphone"/>
    <x v="1"/>
    <d v="2024-05-08T00:00:00"/>
    <x v="0"/>
    <s v="Yes"/>
    <x v="1"/>
    <x v="2"/>
    <n v="1"/>
    <x v="9"/>
    <s v="Qtr-2"/>
    <x v="1"/>
  </r>
  <r>
    <s v="24-241-7171"/>
    <n v="30"/>
    <x v="2"/>
    <x v="0"/>
    <x v="1"/>
    <s v="Single"/>
    <s v="High School"/>
    <x v="1"/>
    <s v="Huaqiu"/>
    <x v="1"/>
    <x v="18"/>
    <n v="182.94"/>
    <n v="7"/>
    <x v="0"/>
    <n v="1"/>
    <n v="5"/>
    <n v="120"/>
    <x v="0"/>
    <x v="1"/>
    <n v="0.2857142857142857"/>
    <n v="7"/>
    <x v="2"/>
    <s v="Desktop"/>
    <x v="3"/>
    <d v="2024-05-28T00:00:00"/>
    <x v="0"/>
    <s v="Yes"/>
    <x v="0"/>
    <x v="2"/>
    <n v="12"/>
    <x v="9"/>
    <s v="Qtr-2"/>
    <x v="1"/>
  </r>
  <r>
    <s v="53-784-1855"/>
    <n v="19"/>
    <x v="3"/>
    <x v="0"/>
    <x v="0"/>
    <s v="Divorced"/>
    <s v="Master's"/>
    <x v="1"/>
    <s v="Loket"/>
    <x v="50"/>
    <x v="18"/>
    <n v="121.7"/>
    <n v="7"/>
    <x v="0"/>
    <n v="4"/>
    <n v="3"/>
    <n v="0"/>
    <x v="3"/>
    <x v="2"/>
    <n v="0.2857142857142857"/>
    <n v="5"/>
    <x v="0"/>
    <s v="Smartphone"/>
    <x v="0"/>
    <d v="2024-06-24T00:00:00"/>
    <x v="0"/>
    <s v="Yes"/>
    <x v="3"/>
    <x v="1"/>
    <n v="8"/>
    <x v="4"/>
    <s v="Qtr-2"/>
    <x v="0"/>
  </r>
  <r>
    <s v="83-561-3374"/>
    <n v="45"/>
    <x v="1"/>
    <x v="0"/>
    <x v="1"/>
    <s v="Widowed"/>
    <s v="Master's"/>
    <x v="0"/>
    <s v="Santa Maria do Souto"/>
    <x v="26"/>
    <x v="14"/>
    <n v="489.27"/>
    <n v="4"/>
    <x v="0"/>
    <n v="1"/>
    <n v="4"/>
    <n v="60"/>
    <x v="3"/>
    <x v="0"/>
    <n v="0.25"/>
    <n v="3"/>
    <x v="0"/>
    <s v="Tablet"/>
    <x v="2"/>
    <d v="2024-01-13T00:00:00"/>
    <x v="1"/>
    <s v="No"/>
    <x v="1"/>
    <x v="1"/>
    <n v="3"/>
    <x v="3"/>
    <s v="Qtr-1"/>
    <x v="0"/>
  </r>
  <r>
    <s v="96-121-0629"/>
    <n v="38"/>
    <x v="2"/>
    <x v="1"/>
    <x v="0"/>
    <s v="Married"/>
    <s v="Bachelor's"/>
    <x v="0"/>
    <s v="Yanshang"/>
    <x v="1"/>
    <x v="14"/>
    <n v="303.93"/>
    <n v="6"/>
    <x v="0"/>
    <n v="3"/>
    <n v="2"/>
    <n v="0"/>
    <x v="3"/>
    <x v="1"/>
    <n v="0.16666666666666666"/>
    <n v="10"/>
    <x v="2"/>
    <s v="Smartphone"/>
    <x v="2"/>
    <d v="2024-03-13T00:00:00"/>
    <x v="0"/>
    <s v="No"/>
    <x v="0"/>
    <x v="0"/>
    <n v="2"/>
    <x v="0"/>
    <s v="Qtr-1"/>
    <x v="1"/>
  </r>
  <r>
    <s v="00-275-9990"/>
    <n v="24"/>
    <x v="0"/>
    <x v="0"/>
    <x v="0"/>
    <s v="Married"/>
    <s v="Bachelor's"/>
    <x v="0"/>
    <s v="Tempuran"/>
    <x v="4"/>
    <x v="1"/>
    <n v="302.74"/>
    <n v="11"/>
    <x v="0"/>
    <n v="1"/>
    <n v="5"/>
    <n v="0"/>
    <x v="3"/>
    <x v="2"/>
    <n v="0"/>
    <n v="6"/>
    <x v="1"/>
    <s v="Smartphone"/>
    <x v="1"/>
    <d v="2024-06-28T00:00:00"/>
    <x v="0"/>
    <s v="Yes"/>
    <x v="1"/>
    <x v="2"/>
    <n v="5"/>
    <x v="4"/>
    <s v="Qtr-2"/>
    <x v="1"/>
  </r>
  <r>
    <s v="36-593-2907"/>
    <n v="42"/>
    <x v="1"/>
    <x v="7"/>
    <x v="1"/>
    <s v="Single"/>
    <s v="Bachelor's"/>
    <x v="1"/>
    <s v="Karafao"/>
    <x v="19"/>
    <x v="21"/>
    <n v="157.21"/>
    <n v="11"/>
    <x v="2"/>
    <n v="3"/>
    <n v="3"/>
    <n v="0"/>
    <x v="1"/>
    <x v="1"/>
    <n v="0"/>
    <n v="3"/>
    <x v="1"/>
    <s v="Tablet"/>
    <x v="2"/>
    <d v="2024-04-30T00:00:00"/>
    <x v="0"/>
    <s v="No"/>
    <x v="1"/>
    <x v="2"/>
    <n v="5"/>
    <x v="1"/>
    <s v="Qtr-2"/>
    <x v="1"/>
  </r>
  <r>
    <s v="22-692-3470"/>
    <n v="46"/>
    <x v="1"/>
    <x v="0"/>
    <x v="1"/>
    <s v="Widowed"/>
    <s v="High School"/>
    <x v="1"/>
    <s v="São Cristóvão"/>
    <x v="14"/>
    <x v="6"/>
    <n v="159.44999999999999"/>
    <n v="2"/>
    <x v="2"/>
    <n v="3"/>
    <n v="2"/>
    <n v="120"/>
    <x v="1"/>
    <x v="2"/>
    <n v="0"/>
    <n v="5"/>
    <x v="0"/>
    <s v="Smartphone"/>
    <x v="2"/>
    <d v="2024-06-14T00:00:00"/>
    <x v="0"/>
    <s v="No"/>
    <x v="2"/>
    <x v="1"/>
    <n v="14"/>
    <x v="4"/>
    <s v="Qtr-2"/>
    <x v="4"/>
  </r>
  <r>
    <s v="90-322-7329"/>
    <n v="44"/>
    <x v="1"/>
    <x v="0"/>
    <x v="1"/>
    <s v="Widowed"/>
    <s v="High School"/>
    <x v="0"/>
    <s v="Buensuseso"/>
    <x v="19"/>
    <x v="8"/>
    <n v="312.93"/>
    <n v="2"/>
    <x v="1"/>
    <n v="2"/>
    <n v="2"/>
    <n v="60"/>
    <x v="3"/>
    <x v="2"/>
    <n v="0"/>
    <n v="7"/>
    <x v="0"/>
    <s v="Smartphone"/>
    <x v="1"/>
    <d v="2024-08-04T00:00:00"/>
    <x v="0"/>
    <s v="Yes"/>
    <x v="1"/>
    <x v="0"/>
    <n v="3"/>
    <x v="7"/>
    <s v="Qtr-3"/>
    <x v="1"/>
  </r>
  <r>
    <s v="28-395-9872"/>
    <n v="38"/>
    <x v="2"/>
    <x v="1"/>
    <x v="1"/>
    <s v="Married"/>
    <s v="Master's"/>
    <x v="0"/>
    <s v="Blantyre"/>
    <x v="87"/>
    <x v="11"/>
    <n v="65.680000000000007"/>
    <n v="4"/>
    <x v="1"/>
    <n v="4"/>
    <n v="4"/>
    <n v="0"/>
    <x v="1"/>
    <x v="1"/>
    <n v="0"/>
    <n v="8"/>
    <x v="3"/>
    <s v="Smartphone"/>
    <x v="3"/>
    <d v="2024-05-07T00:00:00"/>
    <x v="1"/>
    <s v="No"/>
    <x v="2"/>
    <x v="1"/>
    <n v="12"/>
    <x v="9"/>
    <s v="Qtr-2"/>
    <x v="5"/>
  </r>
  <r>
    <s v="79-297-1061"/>
    <n v="44"/>
    <x v="1"/>
    <x v="1"/>
    <x v="0"/>
    <s v="Single"/>
    <s v="Master's"/>
    <x v="0"/>
    <s v="Kozel’shchyna"/>
    <x v="9"/>
    <x v="14"/>
    <n v="61.86"/>
    <n v="5"/>
    <x v="1"/>
    <n v="4"/>
    <n v="5"/>
    <n v="120"/>
    <x v="0"/>
    <x v="1"/>
    <n v="0.4"/>
    <n v="8"/>
    <x v="0"/>
    <s v="Smartphone"/>
    <x v="4"/>
    <d v="2024-11-15T00:00:00"/>
    <x v="1"/>
    <s v="Yes"/>
    <x v="0"/>
    <x v="1"/>
    <n v="9"/>
    <x v="11"/>
    <s v="Qtr-4"/>
    <x v="0"/>
  </r>
  <r>
    <s v="93-649-9356"/>
    <n v="18"/>
    <x v="3"/>
    <x v="0"/>
    <x v="1"/>
    <s v="Single"/>
    <s v="Master's"/>
    <x v="0"/>
    <s v="Cibuah"/>
    <x v="4"/>
    <x v="13"/>
    <n v="343.77"/>
    <n v="6"/>
    <x v="0"/>
    <n v="5"/>
    <n v="4"/>
    <n v="120"/>
    <x v="0"/>
    <x v="1"/>
    <n v="0.33333333333333331"/>
    <n v="4"/>
    <x v="3"/>
    <s v="Desktop"/>
    <x v="0"/>
    <d v="2024-02-16T00:00:00"/>
    <x v="0"/>
    <s v="No"/>
    <x v="2"/>
    <x v="0"/>
    <n v="3"/>
    <x v="8"/>
    <s v="Qtr-1"/>
    <x v="1"/>
  </r>
  <r>
    <s v="27-543-7069"/>
    <n v="37"/>
    <x v="2"/>
    <x v="1"/>
    <x v="0"/>
    <s v="Divorced"/>
    <s v="Master's"/>
    <x v="1"/>
    <s v="Cockburn Town"/>
    <x v="88"/>
    <x v="3"/>
    <n v="107.21"/>
    <n v="2"/>
    <x v="2"/>
    <n v="4"/>
    <n v="2"/>
    <n v="60"/>
    <x v="0"/>
    <x v="1"/>
    <n v="1"/>
    <n v="9"/>
    <x v="3"/>
    <s v="Desktop"/>
    <x v="3"/>
    <d v="2024-08-05T00:00:00"/>
    <x v="0"/>
    <s v="Yes"/>
    <x v="3"/>
    <x v="1"/>
    <n v="6"/>
    <x v="7"/>
    <s v="Qtr-3"/>
    <x v="2"/>
  </r>
  <r>
    <s v="96-079-9597"/>
    <n v="31"/>
    <x v="2"/>
    <x v="3"/>
    <x v="1"/>
    <s v="Single"/>
    <s v="Master's"/>
    <x v="0"/>
    <s v="Maslog"/>
    <x v="19"/>
    <x v="3"/>
    <n v="148.97999999999999"/>
    <n v="12"/>
    <x v="2"/>
    <n v="5"/>
    <n v="1"/>
    <n v="120"/>
    <x v="0"/>
    <x v="2"/>
    <n v="0"/>
    <n v="8"/>
    <x v="2"/>
    <s v="Tablet"/>
    <x v="2"/>
    <d v="2024-08-11T00:00:00"/>
    <x v="0"/>
    <s v="Yes"/>
    <x v="1"/>
    <x v="1"/>
    <n v="13"/>
    <x v="7"/>
    <s v="Qtr-3"/>
    <x v="1"/>
  </r>
  <r>
    <s v="38-940-4942"/>
    <n v="22"/>
    <x v="0"/>
    <x v="0"/>
    <x v="1"/>
    <s v="Widowed"/>
    <s v="Master's"/>
    <x v="0"/>
    <s v="Faqq?‘ah"/>
    <x v="20"/>
    <x v="10"/>
    <n v="490.41"/>
    <n v="4"/>
    <x v="0"/>
    <n v="3"/>
    <n v="4"/>
    <n v="0"/>
    <x v="2"/>
    <x v="0"/>
    <n v="0"/>
    <n v="2"/>
    <x v="1"/>
    <s v="Tablet"/>
    <x v="3"/>
    <d v="2024-12-15T00:00:00"/>
    <x v="1"/>
    <s v="Yes"/>
    <x v="3"/>
    <x v="2"/>
    <n v="3"/>
    <x v="6"/>
    <s v="Qtr-4"/>
    <x v="1"/>
  </r>
  <r>
    <s v="82-014-2564"/>
    <n v="33"/>
    <x v="2"/>
    <x v="1"/>
    <x v="1"/>
    <s v="Married"/>
    <s v="High School"/>
    <x v="0"/>
    <s v="Yelyzavethradka"/>
    <x v="9"/>
    <x v="19"/>
    <n v="461.34"/>
    <n v="4"/>
    <x v="1"/>
    <n v="3"/>
    <n v="1"/>
    <n v="0"/>
    <x v="3"/>
    <x v="0"/>
    <n v="0.25"/>
    <n v="9"/>
    <x v="2"/>
    <s v="Desktop"/>
    <x v="4"/>
    <d v="2024-03-06T00:00:00"/>
    <x v="1"/>
    <s v="Yes"/>
    <x v="1"/>
    <x v="2"/>
    <n v="7"/>
    <x v="0"/>
    <s v="Qtr-1"/>
    <x v="0"/>
  </r>
  <r>
    <s v="70-699-5799"/>
    <n v="20"/>
    <x v="0"/>
    <x v="0"/>
    <x v="1"/>
    <s v="Single"/>
    <s v="Master's"/>
    <x v="1"/>
    <s v="Jackson"/>
    <x v="10"/>
    <x v="2"/>
    <n v="338.89"/>
    <n v="7"/>
    <x v="1"/>
    <n v="4"/>
    <n v="2"/>
    <n v="60"/>
    <x v="2"/>
    <x v="0"/>
    <n v="0.2857142857142857"/>
    <n v="6"/>
    <x v="0"/>
    <s v="Desktop"/>
    <x v="0"/>
    <d v="2024-05-21T00:00:00"/>
    <x v="0"/>
    <s v="Yes"/>
    <x v="1"/>
    <x v="2"/>
    <n v="3"/>
    <x v="9"/>
    <s v="Qtr-2"/>
    <x v="2"/>
  </r>
  <r>
    <s v="53-240-2040"/>
    <n v="26"/>
    <x v="0"/>
    <x v="1"/>
    <x v="1"/>
    <s v="Married"/>
    <s v="High School"/>
    <x v="1"/>
    <s v="Itaguaí"/>
    <x v="14"/>
    <x v="0"/>
    <n v="222.63"/>
    <n v="3"/>
    <x v="0"/>
    <n v="1"/>
    <n v="1"/>
    <n v="0"/>
    <x v="1"/>
    <x v="0"/>
    <n v="0.66666666666666663"/>
    <n v="2"/>
    <x v="0"/>
    <s v="Tablet"/>
    <x v="4"/>
    <d v="2024-03-23T00:00:00"/>
    <x v="1"/>
    <s v="Yes"/>
    <x v="2"/>
    <x v="2"/>
    <n v="6"/>
    <x v="0"/>
    <s v="Qtr-1"/>
    <x v="4"/>
  </r>
  <r>
    <s v="27-742-2776"/>
    <n v="26"/>
    <x v="0"/>
    <x v="1"/>
    <x v="1"/>
    <s v="Married"/>
    <s v="High School"/>
    <x v="1"/>
    <s v="Fteliá"/>
    <x v="24"/>
    <x v="16"/>
    <n v="71.95"/>
    <n v="2"/>
    <x v="0"/>
    <n v="3"/>
    <n v="5"/>
    <n v="120"/>
    <x v="0"/>
    <x v="2"/>
    <n v="1"/>
    <n v="10"/>
    <x v="0"/>
    <s v="Desktop"/>
    <x v="2"/>
    <d v="2024-09-22T00:00:00"/>
    <x v="1"/>
    <s v="Yes"/>
    <x v="3"/>
    <x v="0"/>
    <n v="13"/>
    <x v="10"/>
    <s v="Qtr-3"/>
    <x v="0"/>
  </r>
  <r>
    <s v="55-620-7906"/>
    <n v="21"/>
    <x v="0"/>
    <x v="1"/>
    <x v="1"/>
    <s v="Divorced"/>
    <s v="High School"/>
    <x v="0"/>
    <s v="Kiambu"/>
    <x v="64"/>
    <x v="14"/>
    <n v="264.52"/>
    <n v="9"/>
    <x v="2"/>
    <n v="3"/>
    <n v="3"/>
    <n v="60"/>
    <x v="0"/>
    <x v="1"/>
    <n v="0"/>
    <n v="10"/>
    <x v="0"/>
    <s v="Smartphone"/>
    <x v="2"/>
    <d v="2024-04-02T00:00:00"/>
    <x v="0"/>
    <s v="Yes"/>
    <x v="3"/>
    <x v="0"/>
    <n v="6"/>
    <x v="1"/>
    <s v="Qtr-2"/>
    <x v="5"/>
  </r>
  <r>
    <s v="04-213-4617"/>
    <n v="43"/>
    <x v="1"/>
    <x v="1"/>
    <x v="1"/>
    <s v="Divorced"/>
    <s v="High School"/>
    <x v="1"/>
    <s v="Xibër-Murrizë"/>
    <x v="37"/>
    <x v="1"/>
    <n v="414.8"/>
    <n v="9"/>
    <x v="0"/>
    <n v="2"/>
    <n v="3"/>
    <n v="120"/>
    <x v="2"/>
    <x v="2"/>
    <n v="0.22222222222222221"/>
    <n v="9"/>
    <x v="0"/>
    <s v="Desktop"/>
    <x v="1"/>
    <d v="2024-01-30T00:00:00"/>
    <x v="1"/>
    <s v="Yes"/>
    <x v="3"/>
    <x v="0"/>
    <n v="7"/>
    <x v="3"/>
    <s v="Qtr-1"/>
    <x v="0"/>
  </r>
  <r>
    <s v="79-384-7469"/>
    <n v="50"/>
    <x v="1"/>
    <x v="1"/>
    <x v="0"/>
    <s v="Single"/>
    <s v="Bachelor's"/>
    <x v="1"/>
    <s v="Xudat"/>
    <x v="89"/>
    <x v="19"/>
    <n v="50.79"/>
    <n v="12"/>
    <x v="0"/>
    <n v="5"/>
    <n v="1"/>
    <n v="0"/>
    <x v="1"/>
    <x v="0"/>
    <n v="0"/>
    <n v="2"/>
    <x v="3"/>
    <s v="Desktop"/>
    <x v="3"/>
    <d v="2024-05-28T00:00:00"/>
    <x v="0"/>
    <s v="No"/>
    <x v="3"/>
    <x v="1"/>
    <n v="3"/>
    <x v="9"/>
    <s v="Qtr-2"/>
    <x v="1"/>
  </r>
  <r>
    <s v="30-839-5589"/>
    <n v="42"/>
    <x v="1"/>
    <x v="0"/>
    <x v="0"/>
    <s v="Married"/>
    <s v="High School"/>
    <x v="0"/>
    <s v="Yaodu"/>
    <x v="1"/>
    <x v="11"/>
    <n v="264.3"/>
    <n v="10"/>
    <x v="1"/>
    <n v="5"/>
    <n v="4"/>
    <n v="60"/>
    <x v="2"/>
    <x v="1"/>
    <n v="0.2"/>
    <n v="2"/>
    <x v="1"/>
    <s v="Smartphone"/>
    <x v="1"/>
    <d v="2024-08-20T00:00:00"/>
    <x v="0"/>
    <s v="Yes"/>
    <x v="3"/>
    <x v="0"/>
    <n v="5"/>
    <x v="7"/>
    <s v="Qtr-3"/>
    <x v="1"/>
  </r>
  <r>
    <s v="76-848-9229"/>
    <n v="29"/>
    <x v="0"/>
    <x v="1"/>
    <x v="1"/>
    <s v="Married"/>
    <s v="Bachelor's"/>
    <x v="0"/>
    <s v="Saint-Gratien"/>
    <x v="0"/>
    <x v="9"/>
    <n v="122.46"/>
    <n v="12"/>
    <x v="0"/>
    <n v="2"/>
    <n v="3"/>
    <n v="0"/>
    <x v="3"/>
    <x v="1"/>
    <n v="0"/>
    <n v="3"/>
    <x v="2"/>
    <s v="Tablet"/>
    <x v="0"/>
    <d v="2024-02-15T00:00:00"/>
    <x v="1"/>
    <s v="Yes"/>
    <x v="1"/>
    <x v="1"/>
    <n v="6"/>
    <x v="8"/>
    <s v="Qtr-1"/>
    <x v="0"/>
  </r>
  <r>
    <s v="98-559-6096"/>
    <n v="20"/>
    <x v="0"/>
    <x v="1"/>
    <x v="0"/>
    <s v="Widowed"/>
    <s v="High School"/>
    <x v="0"/>
    <s v="Totora"/>
    <x v="32"/>
    <x v="14"/>
    <n v="238.01"/>
    <n v="8"/>
    <x v="1"/>
    <n v="2"/>
    <n v="2"/>
    <n v="0"/>
    <x v="3"/>
    <x v="0"/>
    <n v="0"/>
    <n v="9"/>
    <x v="2"/>
    <s v="Desktop"/>
    <x v="4"/>
    <d v="2024-07-13T00:00:00"/>
    <x v="1"/>
    <s v="Yes"/>
    <x v="0"/>
    <x v="1"/>
    <n v="5"/>
    <x v="5"/>
    <s v="Qtr-3"/>
    <x v="4"/>
  </r>
  <r>
    <s v="56-810-2066"/>
    <n v="40"/>
    <x v="1"/>
    <x v="4"/>
    <x v="1"/>
    <s v="Married"/>
    <s v="Master's"/>
    <x v="0"/>
    <s v="Göteborg"/>
    <x v="5"/>
    <x v="3"/>
    <n v="490.34"/>
    <n v="4"/>
    <x v="1"/>
    <n v="5"/>
    <n v="2"/>
    <n v="120"/>
    <x v="0"/>
    <x v="1"/>
    <n v="0.5"/>
    <n v="7"/>
    <x v="1"/>
    <s v="Tablet"/>
    <x v="3"/>
    <d v="2024-04-17T00:00:00"/>
    <x v="1"/>
    <s v="Yes"/>
    <x v="0"/>
    <x v="0"/>
    <n v="2"/>
    <x v="1"/>
    <s v="Qtr-2"/>
    <x v="0"/>
  </r>
  <r>
    <s v="55-580-7707"/>
    <n v="38"/>
    <x v="2"/>
    <x v="1"/>
    <x v="1"/>
    <s v="Divorced"/>
    <s v="Bachelor's"/>
    <x v="0"/>
    <s v="?áslav"/>
    <x v="50"/>
    <x v="23"/>
    <n v="245.98"/>
    <n v="4"/>
    <x v="0"/>
    <n v="5"/>
    <n v="1"/>
    <n v="60"/>
    <x v="3"/>
    <x v="1"/>
    <n v="0"/>
    <n v="1"/>
    <x v="3"/>
    <s v="Desktop"/>
    <x v="1"/>
    <d v="2024-11-29T00:00:00"/>
    <x v="1"/>
    <s v="No"/>
    <x v="3"/>
    <x v="1"/>
    <n v="10"/>
    <x v="11"/>
    <s v="Qtr-4"/>
    <x v="0"/>
  </r>
  <r>
    <s v="18-605-0795"/>
    <n v="45"/>
    <x v="1"/>
    <x v="5"/>
    <x v="0"/>
    <s v="Widowed"/>
    <s v="High School"/>
    <x v="1"/>
    <s v="Rudnogorsk"/>
    <x v="6"/>
    <x v="11"/>
    <n v="390.83"/>
    <n v="9"/>
    <x v="2"/>
    <n v="5"/>
    <n v="5"/>
    <n v="0"/>
    <x v="1"/>
    <x v="0"/>
    <n v="0"/>
    <n v="5"/>
    <x v="1"/>
    <s v="Desktop"/>
    <x v="4"/>
    <d v="2024-10-28T00:00:00"/>
    <x v="1"/>
    <s v="Yes"/>
    <x v="2"/>
    <x v="0"/>
    <n v="8"/>
    <x v="2"/>
    <s v="Qtr-4"/>
    <x v="3"/>
  </r>
  <r>
    <s v="86-268-2904"/>
    <n v="49"/>
    <x v="1"/>
    <x v="1"/>
    <x v="1"/>
    <s v="Widowed"/>
    <s v="High School"/>
    <x v="0"/>
    <s v="Pindiga"/>
    <x v="29"/>
    <x v="23"/>
    <n v="158.84"/>
    <n v="6"/>
    <x v="2"/>
    <n v="2"/>
    <n v="1"/>
    <n v="60"/>
    <x v="0"/>
    <x v="1"/>
    <n v="0.16666666666666666"/>
    <n v="8"/>
    <x v="2"/>
    <s v="Desktop"/>
    <x v="4"/>
    <d v="2024-07-12T00:00:00"/>
    <x v="0"/>
    <s v="Yes"/>
    <x v="0"/>
    <x v="2"/>
    <n v="5"/>
    <x v="5"/>
    <s v="Qtr-3"/>
    <x v="5"/>
  </r>
  <r>
    <s v="75-847-7630"/>
    <n v="37"/>
    <x v="2"/>
    <x v="1"/>
    <x v="0"/>
    <s v="Single"/>
    <s v="High School"/>
    <x v="0"/>
    <s v="Adela"/>
    <x v="19"/>
    <x v="15"/>
    <n v="439.24"/>
    <n v="8"/>
    <x v="0"/>
    <n v="3"/>
    <n v="3"/>
    <n v="60"/>
    <x v="3"/>
    <x v="0"/>
    <n v="0.25"/>
    <n v="9"/>
    <x v="3"/>
    <s v="Tablet"/>
    <x v="3"/>
    <d v="2024-07-26T00:00:00"/>
    <x v="1"/>
    <s v="No"/>
    <x v="1"/>
    <x v="1"/>
    <n v="10"/>
    <x v="5"/>
    <s v="Qtr-3"/>
    <x v="1"/>
  </r>
  <r>
    <s v="76-910-2337"/>
    <n v="23"/>
    <x v="0"/>
    <x v="5"/>
    <x v="0"/>
    <s v="Widowed"/>
    <s v="Master's"/>
    <x v="1"/>
    <s v="Krajan Baru"/>
    <x v="4"/>
    <x v="16"/>
    <n v="92.43"/>
    <n v="12"/>
    <x v="0"/>
    <n v="4"/>
    <n v="1"/>
    <n v="0"/>
    <x v="1"/>
    <x v="0"/>
    <n v="0.16666666666666666"/>
    <n v="9"/>
    <x v="0"/>
    <s v="Smartphone"/>
    <x v="3"/>
    <d v="2024-12-05T00:00:00"/>
    <x v="1"/>
    <s v="Yes"/>
    <x v="0"/>
    <x v="1"/>
    <n v="6"/>
    <x v="6"/>
    <s v="Qtr-4"/>
    <x v="1"/>
  </r>
  <r>
    <s v="56-719-7145"/>
    <n v="48"/>
    <x v="1"/>
    <x v="0"/>
    <x v="1"/>
    <s v="Married"/>
    <s v="Master's"/>
    <x v="0"/>
    <s v="Jinqiao"/>
    <x v="1"/>
    <x v="20"/>
    <n v="333.15"/>
    <n v="9"/>
    <x v="0"/>
    <n v="1"/>
    <n v="5"/>
    <n v="60"/>
    <x v="3"/>
    <x v="2"/>
    <n v="0.1111111111111111"/>
    <n v="8"/>
    <x v="1"/>
    <s v="Smartphone"/>
    <x v="3"/>
    <d v="2024-08-12T00:00:00"/>
    <x v="1"/>
    <s v="No"/>
    <x v="2"/>
    <x v="1"/>
    <n v="14"/>
    <x v="7"/>
    <s v="Qtr-3"/>
    <x v="1"/>
  </r>
  <r>
    <s v="14-025-2335"/>
    <n v="19"/>
    <x v="3"/>
    <x v="1"/>
    <x v="0"/>
    <s v="Divorced"/>
    <s v="Master's"/>
    <x v="0"/>
    <s v="Barg-e Matal"/>
    <x v="74"/>
    <x v="8"/>
    <n v="64.22"/>
    <n v="9"/>
    <x v="2"/>
    <n v="1"/>
    <n v="1"/>
    <n v="120"/>
    <x v="3"/>
    <x v="0"/>
    <n v="0.1111111111111111"/>
    <n v="9"/>
    <x v="3"/>
    <s v="Smartphone"/>
    <x v="1"/>
    <d v="2024-01-02T00:00:00"/>
    <x v="0"/>
    <s v="No"/>
    <x v="2"/>
    <x v="0"/>
    <n v="10"/>
    <x v="3"/>
    <s v="Qtr-1"/>
    <x v="1"/>
  </r>
  <r>
    <s v="10-300-8072"/>
    <n v="46"/>
    <x v="1"/>
    <x v="0"/>
    <x v="1"/>
    <s v="Single"/>
    <s v="High School"/>
    <x v="1"/>
    <s v="Argenteuil"/>
    <x v="0"/>
    <x v="3"/>
    <n v="290.52999999999997"/>
    <n v="3"/>
    <x v="2"/>
    <n v="3"/>
    <n v="2"/>
    <n v="60"/>
    <x v="2"/>
    <x v="2"/>
    <n v="0"/>
    <n v="6"/>
    <x v="1"/>
    <s v="Desktop"/>
    <x v="2"/>
    <d v="2024-11-04T00:00:00"/>
    <x v="0"/>
    <s v="No"/>
    <x v="3"/>
    <x v="0"/>
    <n v="10"/>
    <x v="11"/>
    <s v="Qtr-4"/>
    <x v="0"/>
  </r>
  <r>
    <s v="73-698-2326"/>
    <n v="39"/>
    <x v="2"/>
    <x v="1"/>
    <x v="0"/>
    <s v="Divorced"/>
    <s v="Bachelor's"/>
    <x v="1"/>
    <s v="Daying"/>
    <x v="1"/>
    <x v="15"/>
    <n v="251.8"/>
    <n v="6"/>
    <x v="0"/>
    <n v="5"/>
    <n v="1"/>
    <n v="120"/>
    <x v="3"/>
    <x v="2"/>
    <n v="0.16666666666666666"/>
    <n v="8"/>
    <x v="2"/>
    <s v="Smartphone"/>
    <x v="2"/>
    <d v="2024-07-05T00:00:00"/>
    <x v="0"/>
    <s v="Yes"/>
    <x v="2"/>
    <x v="0"/>
    <n v="11"/>
    <x v="5"/>
    <s v="Qtr-3"/>
    <x v="1"/>
  </r>
  <r>
    <s v="01-023-2094"/>
    <n v="27"/>
    <x v="0"/>
    <x v="5"/>
    <x v="0"/>
    <s v="Divorced"/>
    <s v="Master's"/>
    <x v="0"/>
    <s v="Ngrejo"/>
    <x v="4"/>
    <x v="6"/>
    <n v="480.52"/>
    <n v="3"/>
    <x v="2"/>
    <n v="5"/>
    <n v="4"/>
    <n v="120"/>
    <x v="2"/>
    <x v="0"/>
    <n v="0.33333333333333331"/>
    <n v="5"/>
    <x v="0"/>
    <s v="Smartphone"/>
    <x v="4"/>
    <d v="2024-04-30T00:00:00"/>
    <x v="1"/>
    <s v="No"/>
    <x v="3"/>
    <x v="0"/>
    <n v="13"/>
    <x v="1"/>
    <s v="Qtr-2"/>
    <x v="1"/>
  </r>
  <r>
    <s v="65-359-4645"/>
    <n v="28"/>
    <x v="0"/>
    <x v="0"/>
    <x v="0"/>
    <s v="Married"/>
    <s v="High School"/>
    <x v="1"/>
    <s v="Xieba"/>
    <x v="1"/>
    <x v="12"/>
    <n v="461.71"/>
    <n v="10"/>
    <x v="0"/>
    <n v="3"/>
    <n v="1"/>
    <n v="0"/>
    <x v="2"/>
    <x v="1"/>
    <n v="0"/>
    <n v="9"/>
    <x v="1"/>
    <s v="Smartphone"/>
    <x v="4"/>
    <d v="2024-02-16T00:00:00"/>
    <x v="1"/>
    <s v="No"/>
    <x v="3"/>
    <x v="1"/>
    <n v="11"/>
    <x v="8"/>
    <s v="Qtr-1"/>
    <x v="1"/>
  </r>
  <r>
    <s v="33-405-7978"/>
    <n v="50"/>
    <x v="1"/>
    <x v="0"/>
    <x v="1"/>
    <s v="Married"/>
    <s v="High School"/>
    <x v="0"/>
    <s v="Sigli"/>
    <x v="4"/>
    <x v="14"/>
    <n v="288.33999999999997"/>
    <n v="12"/>
    <x v="0"/>
    <n v="5"/>
    <n v="2"/>
    <n v="120"/>
    <x v="0"/>
    <x v="2"/>
    <n v="0"/>
    <n v="8"/>
    <x v="2"/>
    <s v="Tablet"/>
    <x v="4"/>
    <d v="2024-03-20T00:00:00"/>
    <x v="1"/>
    <s v="No"/>
    <x v="0"/>
    <x v="2"/>
    <n v="6"/>
    <x v="0"/>
    <s v="Qtr-1"/>
    <x v="1"/>
  </r>
  <r>
    <s v="09-783-7921"/>
    <n v="19"/>
    <x v="3"/>
    <x v="0"/>
    <x v="1"/>
    <s v="Divorced"/>
    <s v="Bachelor's"/>
    <x v="1"/>
    <s v="Aristóbulo del Valle"/>
    <x v="56"/>
    <x v="0"/>
    <n v="194.08"/>
    <n v="3"/>
    <x v="1"/>
    <n v="5"/>
    <n v="5"/>
    <n v="60"/>
    <x v="2"/>
    <x v="1"/>
    <n v="0"/>
    <n v="2"/>
    <x v="0"/>
    <s v="Smartphone"/>
    <x v="1"/>
    <d v="2024-10-27T00:00:00"/>
    <x v="0"/>
    <s v="Yes"/>
    <x v="1"/>
    <x v="1"/>
    <n v="13"/>
    <x v="2"/>
    <s v="Qtr-4"/>
    <x v="4"/>
  </r>
  <r>
    <s v="76-561-2427"/>
    <n v="27"/>
    <x v="0"/>
    <x v="6"/>
    <x v="0"/>
    <s v="Widowed"/>
    <s v="High School"/>
    <x v="1"/>
    <s v="Cane"/>
    <x v="35"/>
    <x v="22"/>
    <n v="198.45"/>
    <n v="11"/>
    <x v="2"/>
    <n v="3"/>
    <n v="5"/>
    <n v="60"/>
    <x v="3"/>
    <x v="1"/>
    <n v="0.18181818181818182"/>
    <n v="8"/>
    <x v="1"/>
    <s v="Tablet"/>
    <x v="1"/>
    <d v="2024-05-04T00:00:00"/>
    <x v="0"/>
    <s v="No"/>
    <x v="1"/>
    <x v="0"/>
    <n v="5"/>
    <x v="9"/>
    <s v="Qtr-2"/>
    <x v="2"/>
  </r>
  <r>
    <s v="82-467-3300"/>
    <n v="23"/>
    <x v="0"/>
    <x v="1"/>
    <x v="1"/>
    <s v="Married"/>
    <s v="Master's"/>
    <x v="0"/>
    <s v="Podhum"/>
    <x v="90"/>
    <x v="15"/>
    <n v="216.45"/>
    <n v="5"/>
    <x v="0"/>
    <n v="5"/>
    <n v="2"/>
    <n v="0"/>
    <x v="1"/>
    <x v="2"/>
    <n v="0.4"/>
    <n v="7"/>
    <x v="2"/>
    <s v="Tablet"/>
    <x v="0"/>
    <d v="2024-10-31T00:00:00"/>
    <x v="1"/>
    <s v="No"/>
    <x v="0"/>
    <x v="0"/>
    <n v="3"/>
    <x v="2"/>
    <s v="Qtr-4"/>
    <x v="0"/>
  </r>
  <r>
    <s v="92-946-7398"/>
    <n v="19"/>
    <x v="3"/>
    <x v="0"/>
    <x v="1"/>
    <s v="Widowed"/>
    <s v="Bachelor's"/>
    <x v="1"/>
    <s v="Vilar"/>
    <x v="26"/>
    <x v="15"/>
    <n v="358.72"/>
    <n v="5"/>
    <x v="1"/>
    <n v="3"/>
    <n v="5"/>
    <n v="60"/>
    <x v="2"/>
    <x v="2"/>
    <n v="0"/>
    <n v="8"/>
    <x v="2"/>
    <s v="Tablet"/>
    <x v="0"/>
    <d v="2024-02-06T00:00:00"/>
    <x v="0"/>
    <s v="Yes"/>
    <x v="2"/>
    <x v="1"/>
    <n v="12"/>
    <x v="8"/>
    <s v="Qtr-1"/>
    <x v="0"/>
  </r>
  <r>
    <s v="59-891-2990"/>
    <n v="22"/>
    <x v="0"/>
    <x v="0"/>
    <x v="0"/>
    <s v="Widowed"/>
    <s v="Bachelor's"/>
    <x v="1"/>
    <s v="Portela"/>
    <x v="26"/>
    <x v="8"/>
    <n v="367.56"/>
    <n v="9"/>
    <x v="2"/>
    <n v="4"/>
    <n v="5"/>
    <n v="60"/>
    <x v="0"/>
    <x v="1"/>
    <n v="0"/>
    <n v="8"/>
    <x v="2"/>
    <s v="Smartphone"/>
    <x v="3"/>
    <d v="2024-07-18T00:00:00"/>
    <x v="1"/>
    <s v="No"/>
    <x v="0"/>
    <x v="1"/>
    <n v="14"/>
    <x v="5"/>
    <s v="Qtr-3"/>
    <x v="0"/>
  </r>
  <r>
    <s v="22-579-3978"/>
    <n v="40"/>
    <x v="1"/>
    <x v="1"/>
    <x v="0"/>
    <s v="Divorced"/>
    <s v="High School"/>
    <x v="1"/>
    <s v="Arendal"/>
    <x v="46"/>
    <x v="20"/>
    <n v="88.78"/>
    <n v="10"/>
    <x v="2"/>
    <n v="5"/>
    <n v="3"/>
    <n v="0"/>
    <x v="3"/>
    <x v="2"/>
    <n v="0.1"/>
    <n v="7"/>
    <x v="3"/>
    <s v="Desktop"/>
    <x v="1"/>
    <d v="2024-01-06T00:00:00"/>
    <x v="1"/>
    <s v="No"/>
    <x v="3"/>
    <x v="1"/>
    <n v="13"/>
    <x v="3"/>
    <s v="Qtr-1"/>
    <x v="0"/>
  </r>
  <r>
    <s v="22-352-0576"/>
    <n v="48"/>
    <x v="1"/>
    <x v="1"/>
    <x v="0"/>
    <s v="Married"/>
    <s v="Bachelor's"/>
    <x v="0"/>
    <s v="Nab?nagar"/>
    <x v="36"/>
    <x v="1"/>
    <n v="465.85"/>
    <n v="10"/>
    <x v="2"/>
    <n v="5"/>
    <n v="3"/>
    <n v="120"/>
    <x v="0"/>
    <x v="0"/>
    <n v="0.2"/>
    <n v="10"/>
    <x v="3"/>
    <s v="Desktop"/>
    <x v="1"/>
    <d v="2024-04-04T00:00:00"/>
    <x v="0"/>
    <s v="No"/>
    <x v="1"/>
    <x v="1"/>
    <n v="7"/>
    <x v="1"/>
    <s v="Qtr-2"/>
    <x v="1"/>
  </r>
  <r>
    <s v="28-676-0614"/>
    <n v="49"/>
    <x v="1"/>
    <x v="1"/>
    <x v="0"/>
    <s v="Married"/>
    <s v="High School"/>
    <x v="1"/>
    <s v="La Ravoire"/>
    <x v="0"/>
    <x v="20"/>
    <n v="262.61"/>
    <n v="3"/>
    <x v="1"/>
    <n v="2"/>
    <n v="5"/>
    <n v="60"/>
    <x v="1"/>
    <x v="0"/>
    <n v="0"/>
    <n v="10"/>
    <x v="3"/>
    <s v="Smartphone"/>
    <x v="3"/>
    <d v="2024-02-28T00:00:00"/>
    <x v="1"/>
    <s v="Yes"/>
    <x v="1"/>
    <x v="1"/>
    <n v="6"/>
    <x v="8"/>
    <s v="Qtr-1"/>
    <x v="0"/>
  </r>
  <r>
    <s v="07-211-9364"/>
    <n v="45"/>
    <x v="1"/>
    <x v="6"/>
    <x v="0"/>
    <s v="Widowed"/>
    <s v="Master's"/>
    <x v="0"/>
    <s v="Dostoyevka"/>
    <x v="6"/>
    <x v="3"/>
    <n v="91.24"/>
    <n v="8"/>
    <x v="1"/>
    <n v="4"/>
    <n v="3"/>
    <n v="0"/>
    <x v="3"/>
    <x v="0"/>
    <n v="0"/>
    <n v="4"/>
    <x v="2"/>
    <s v="Tablet"/>
    <x v="4"/>
    <d v="2024-10-28T00:00:00"/>
    <x v="0"/>
    <s v="No"/>
    <x v="1"/>
    <x v="1"/>
    <n v="4"/>
    <x v="2"/>
    <s v="Qtr-4"/>
    <x v="3"/>
  </r>
  <r>
    <s v="98-238-6733"/>
    <n v="42"/>
    <x v="1"/>
    <x v="0"/>
    <x v="1"/>
    <s v="Married"/>
    <s v="High School"/>
    <x v="1"/>
    <s v="Liuzhou"/>
    <x v="1"/>
    <x v="8"/>
    <n v="425.69"/>
    <n v="5"/>
    <x v="1"/>
    <n v="2"/>
    <n v="5"/>
    <n v="0"/>
    <x v="3"/>
    <x v="2"/>
    <n v="0"/>
    <n v="4"/>
    <x v="3"/>
    <s v="Tablet"/>
    <x v="0"/>
    <d v="2024-06-21T00:00:00"/>
    <x v="1"/>
    <s v="Yes"/>
    <x v="2"/>
    <x v="0"/>
    <n v="4"/>
    <x v="4"/>
    <s v="Qtr-2"/>
    <x v="1"/>
  </r>
  <r>
    <s v="72-006-3769"/>
    <n v="41"/>
    <x v="1"/>
    <x v="0"/>
    <x v="1"/>
    <s v="Married"/>
    <s v="Bachelor's"/>
    <x v="1"/>
    <s v="São Mateus do Maranhão"/>
    <x v="14"/>
    <x v="12"/>
    <n v="446.11"/>
    <n v="9"/>
    <x v="0"/>
    <n v="3"/>
    <n v="1"/>
    <n v="60"/>
    <x v="1"/>
    <x v="2"/>
    <n v="0"/>
    <n v="10"/>
    <x v="3"/>
    <s v="Desktop"/>
    <x v="1"/>
    <d v="2024-06-06T00:00:00"/>
    <x v="0"/>
    <s v="Yes"/>
    <x v="1"/>
    <x v="2"/>
    <n v="11"/>
    <x v="4"/>
    <s v="Qtr-2"/>
    <x v="4"/>
  </r>
  <r>
    <s v="75-845-3143"/>
    <n v="23"/>
    <x v="0"/>
    <x v="2"/>
    <x v="1"/>
    <s v="Single"/>
    <s v="High School"/>
    <x v="1"/>
    <s v="Rumbek"/>
    <x v="91"/>
    <x v="14"/>
    <n v="490.11"/>
    <n v="8"/>
    <x v="2"/>
    <n v="3"/>
    <n v="4"/>
    <n v="120"/>
    <x v="2"/>
    <x v="1"/>
    <n v="0.125"/>
    <n v="1"/>
    <x v="2"/>
    <s v="Smartphone"/>
    <x v="3"/>
    <d v="2024-12-24T00:00:00"/>
    <x v="1"/>
    <s v="No"/>
    <x v="3"/>
    <x v="1"/>
    <n v="14"/>
    <x v="6"/>
    <s v="Qtr-4"/>
    <x v="5"/>
  </r>
  <r>
    <s v="26-028-2671"/>
    <n v="44"/>
    <x v="1"/>
    <x v="0"/>
    <x v="1"/>
    <s v="Divorced"/>
    <s v="High School"/>
    <x v="0"/>
    <s v="Cigedang"/>
    <x v="4"/>
    <x v="6"/>
    <n v="403.57"/>
    <n v="6"/>
    <x v="2"/>
    <n v="2"/>
    <n v="2"/>
    <n v="120"/>
    <x v="3"/>
    <x v="1"/>
    <n v="0.33333333333333331"/>
    <n v="2"/>
    <x v="0"/>
    <s v="Smartphone"/>
    <x v="3"/>
    <d v="2024-11-14T00:00:00"/>
    <x v="1"/>
    <s v="No"/>
    <x v="2"/>
    <x v="2"/>
    <n v="1"/>
    <x v="11"/>
    <s v="Qtr-4"/>
    <x v="1"/>
  </r>
  <r>
    <s v="55-876-7407"/>
    <n v="42"/>
    <x v="1"/>
    <x v="0"/>
    <x v="1"/>
    <s v="Married"/>
    <s v="Bachelor's"/>
    <x v="0"/>
    <s v="Muaralabuh"/>
    <x v="4"/>
    <x v="12"/>
    <n v="442.15"/>
    <n v="10"/>
    <x v="0"/>
    <n v="2"/>
    <n v="3"/>
    <n v="60"/>
    <x v="3"/>
    <x v="1"/>
    <n v="0.2"/>
    <n v="1"/>
    <x v="0"/>
    <s v="Smartphone"/>
    <x v="0"/>
    <d v="2024-12-18T00:00:00"/>
    <x v="1"/>
    <s v="Yes"/>
    <x v="0"/>
    <x v="0"/>
    <n v="9"/>
    <x v="6"/>
    <s v="Qtr-4"/>
    <x v="1"/>
  </r>
  <r>
    <s v="47-720-9520"/>
    <n v="49"/>
    <x v="1"/>
    <x v="0"/>
    <x v="0"/>
    <s v="Widowed"/>
    <s v="Bachelor's"/>
    <x v="1"/>
    <s v="Che?miec"/>
    <x v="18"/>
    <x v="6"/>
    <n v="78.709999999999994"/>
    <n v="5"/>
    <x v="2"/>
    <n v="4"/>
    <n v="3"/>
    <n v="60"/>
    <x v="0"/>
    <x v="0"/>
    <n v="0.2"/>
    <n v="10"/>
    <x v="2"/>
    <s v="Smartphone"/>
    <x v="1"/>
    <d v="2024-04-10T00:00:00"/>
    <x v="0"/>
    <s v="Yes"/>
    <x v="3"/>
    <x v="0"/>
    <n v="4"/>
    <x v="1"/>
    <s v="Qtr-2"/>
    <x v="0"/>
  </r>
  <r>
    <s v="42-207-5005"/>
    <n v="45"/>
    <x v="1"/>
    <x v="0"/>
    <x v="0"/>
    <s v="Widowed"/>
    <s v="High School"/>
    <x v="1"/>
    <s v="Santa Marta"/>
    <x v="38"/>
    <x v="4"/>
    <n v="491.51"/>
    <n v="2"/>
    <x v="0"/>
    <n v="2"/>
    <n v="5"/>
    <n v="0"/>
    <x v="1"/>
    <x v="2"/>
    <n v="0.5"/>
    <n v="1"/>
    <x v="1"/>
    <s v="Smartphone"/>
    <x v="1"/>
    <d v="2024-12-06T00:00:00"/>
    <x v="0"/>
    <s v="No"/>
    <x v="0"/>
    <x v="0"/>
    <n v="7"/>
    <x v="6"/>
    <s v="Qtr-4"/>
    <x v="4"/>
  </r>
  <r>
    <s v="47-266-2261"/>
    <n v="36"/>
    <x v="2"/>
    <x v="0"/>
    <x v="0"/>
    <s v="Single"/>
    <s v="Bachelor's"/>
    <x v="0"/>
    <s v="Brändö"/>
    <x v="60"/>
    <x v="4"/>
    <n v="457.39"/>
    <n v="12"/>
    <x v="1"/>
    <n v="1"/>
    <n v="1"/>
    <n v="60"/>
    <x v="3"/>
    <x v="1"/>
    <n v="8.3333333333333329E-2"/>
    <n v="5"/>
    <x v="1"/>
    <s v="Desktop"/>
    <x v="0"/>
    <d v="2024-10-29T00:00:00"/>
    <x v="0"/>
    <s v="No"/>
    <x v="2"/>
    <x v="1"/>
    <n v="9"/>
    <x v="2"/>
    <s v="Qtr-4"/>
    <x v="0"/>
  </r>
  <r>
    <s v="77-642-7686"/>
    <n v="38"/>
    <x v="2"/>
    <x v="0"/>
    <x v="1"/>
    <s v="Divorced"/>
    <s v="High School"/>
    <x v="1"/>
    <s v="Liangshuihe"/>
    <x v="1"/>
    <x v="1"/>
    <n v="178.61"/>
    <n v="12"/>
    <x v="2"/>
    <n v="5"/>
    <n v="1"/>
    <n v="120"/>
    <x v="3"/>
    <x v="1"/>
    <n v="0"/>
    <n v="3"/>
    <x v="0"/>
    <s v="Smartphone"/>
    <x v="0"/>
    <d v="2024-07-10T00:00:00"/>
    <x v="0"/>
    <s v="No"/>
    <x v="2"/>
    <x v="0"/>
    <n v="8"/>
    <x v="5"/>
    <s v="Qtr-3"/>
    <x v="1"/>
  </r>
  <r>
    <s v="37-468-8133"/>
    <n v="44"/>
    <x v="1"/>
    <x v="1"/>
    <x v="0"/>
    <s v="Single"/>
    <s v="High School"/>
    <x v="0"/>
    <s v="Cimara"/>
    <x v="4"/>
    <x v="10"/>
    <n v="492.51"/>
    <n v="7"/>
    <x v="2"/>
    <n v="1"/>
    <n v="4"/>
    <n v="60"/>
    <x v="2"/>
    <x v="1"/>
    <n v="0"/>
    <n v="2"/>
    <x v="3"/>
    <s v="Desktop"/>
    <x v="1"/>
    <d v="2024-01-30T00:00:00"/>
    <x v="0"/>
    <s v="Yes"/>
    <x v="1"/>
    <x v="1"/>
    <n v="4"/>
    <x v="3"/>
    <s v="Qtr-1"/>
    <x v="1"/>
  </r>
  <r>
    <s v="00-335-5034"/>
    <n v="37"/>
    <x v="2"/>
    <x v="6"/>
    <x v="1"/>
    <s v="Married"/>
    <s v="Bachelor's"/>
    <x v="1"/>
    <s v="Sanxing"/>
    <x v="1"/>
    <x v="3"/>
    <n v="411.4"/>
    <n v="3"/>
    <x v="1"/>
    <n v="1"/>
    <n v="3"/>
    <n v="0"/>
    <x v="3"/>
    <x v="0"/>
    <n v="0.66666666666666663"/>
    <n v="9"/>
    <x v="0"/>
    <s v="Smartphone"/>
    <x v="1"/>
    <d v="2024-08-12T00:00:00"/>
    <x v="0"/>
    <s v="No"/>
    <x v="2"/>
    <x v="1"/>
    <n v="6"/>
    <x v="7"/>
    <s v="Qtr-3"/>
    <x v="1"/>
  </r>
  <r>
    <s v="95-148-1769"/>
    <n v="36"/>
    <x v="2"/>
    <x v="1"/>
    <x v="0"/>
    <s v="Divorced"/>
    <s v="Master's"/>
    <x v="1"/>
    <s v="Linao"/>
    <x v="19"/>
    <x v="20"/>
    <n v="96.52"/>
    <n v="11"/>
    <x v="1"/>
    <n v="5"/>
    <n v="3"/>
    <n v="120"/>
    <x v="2"/>
    <x v="1"/>
    <n v="9.0909090909090912E-2"/>
    <n v="3"/>
    <x v="0"/>
    <s v="Tablet"/>
    <x v="4"/>
    <d v="2024-03-17T00:00:00"/>
    <x v="1"/>
    <s v="No"/>
    <x v="3"/>
    <x v="1"/>
    <n v="11"/>
    <x v="0"/>
    <s v="Qtr-1"/>
    <x v="1"/>
  </r>
  <r>
    <s v="72-324-1243"/>
    <n v="34"/>
    <x v="2"/>
    <x v="1"/>
    <x v="1"/>
    <s v="Married"/>
    <s v="High School"/>
    <x v="0"/>
    <s v="Bairan"/>
    <x v="19"/>
    <x v="7"/>
    <n v="65.45"/>
    <n v="6"/>
    <x v="1"/>
    <n v="2"/>
    <n v="4"/>
    <n v="60"/>
    <x v="3"/>
    <x v="2"/>
    <n v="0"/>
    <n v="2"/>
    <x v="3"/>
    <s v="Smartphone"/>
    <x v="0"/>
    <d v="2024-09-21T00:00:00"/>
    <x v="0"/>
    <s v="Yes"/>
    <x v="2"/>
    <x v="0"/>
    <n v="3"/>
    <x v="10"/>
    <s v="Qtr-3"/>
    <x v="1"/>
  </r>
  <r>
    <s v="62-687-5354"/>
    <n v="23"/>
    <x v="0"/>
    <x v="1"/>
    <x v="0"/>
    <s v="Single"/>
    <s v="High School"/>
    <x v="0"/>
    <s v="Abaetetuba"/>
    <x v="14"/>
    <x v="10"/>
    <n v="255.86"/>
    <n v="3"/>
    <x v="2"/>
    <n v="4"/>
    <n v="5"/>
    <n v="120"/>
    <x v="3"/>
    <x v="2"/>
    <n v="0"/>
    <n v="1"/>
    <x v="2"/>
    <s v="Tablet"/>
    <x v="1"/>
    <d v="2024-03-25T00:00:00"/>
    <x v="0"/>
    <s v="No"/>
    <x v="3"/>
    <x v="0"/>
    <n v="4"/>
    <x v="0"/>
    <s v="Qtr-1"/>
    <x v="4"/>
  </r>
  <r>
    <s v="54-634-0814"/>
    <n v="35"/>
    <x v="2"/>
    <x v="1"/>
    <x v="1"/>
    <s v="Divorced"/>
    <s v="Bachelor's"/>
    <x v="1"/>
    <s v="Pasirjaya"/>
    <x v="4"/>
    <x v="4"/>
    <n v="74.69"/>
    <n v="10"/>
    <x v="1"/>
    <n v="5"/>
    <n v="3"/>
    <n v="60"/>
    <x v="2"/>
    <x v="0"/>
    <n v="0"/>
    <n v="6"/>
    <x v="3"/>
    <s v="Desktop"/>
    <x v="1"/>
    <d v="2024-11-12T00:00:00"/>
    <x v="1"/>
    <s v="Yes"/>
    <x v="0"/>
    <x v="0"/>
    <n v="3"/>
    <x v="11"/>
    <s v="Qtr-4"/>
    <x v="1"/>
  </r>
  <r>
    <s v="64-769-5737"/>
    <n v="45"/>
    <x v="1"/>
    <x v="1"/>
    <x v="0"/>
    <s v="Widowed"/>
    <s v="Master's"/>
    <x v="0"/>
    <s v="Acheng"/>
    <x v="1"/>
    <x v="3"/>
    <n v="430.75"/>
    <n v="8"/>
    <x v="0"/>
    <n v="3"/>
    <n v="4"/>
    <n v="120"/>
    <x v="2"/>
    <x v="2"/>
    <n v="0.125"/>
    <n v="5"/>
    <x v="0"/>
    <s v="Tablet"/>
    <x v="4"/>
    <d v="2024-04-06T00:00:00"/>
    <x v="1"/>
    <s v="No"/>
    <x v="0"/>
    <x v="0"/>
    <n v="6"/>
    <x v="1"/>
    <s v="Qtr-2"/>
    <x v="1"/>
  </r>
  <r>
    <s v="62-892-2088"/>
    <n v="38"/>
    <x v="2"/>
    <x v="1"/>
    <x v="1"/>
    <s v="Widowed"/>
    <s v="Master's"/>
    <x v="1"/>
    <s v="Huakoulongtan"/>
    <x v="1"/>
    <x v="14"/>
    <n v="370.17"/>
    <n v="2"/>
    <x v="0"/>
    <n v="5"/>
    <n v="4"/>
    <n v="120"/>
    <x v="1"/>
    <x v="1"/>
    <n v="0.5"/>
    <n v="9"/>
    <x v="2"/>
    <s v="Tablet"/>
    <x v="4"/>
    <d v="2024-11-23T00:00:00"/>
    <x v="1"/>
    <s v="Yes"/>
    <x v="0"/>
    <x v="2"/>
    <n v="1"/>
    <x v="11"/>
    <s v="Qtr-4"/>
    <x v="1"/>
  </r>
  <r>
    <s v="53-951-2529"/>
    <n v="25"/>
    <x v="0"/>
    <x v="1"/>
    <x v="0"/>
    <s v="Divorced"/>
    <s v="Master's"/>
    <x v="1"/>
    <s v="Burgastai"/>
    <x v="34"/>
    <x v="13"/>
    <n v="384.26"/>
    <n v="6"/>
    <x v="0"/>
    <n v="4"/>
    <n v="2"/>
    <n v="60"/>
    <x v="3"/>
    <x v="1"/>
    <n v="0"/>
    <n v="9"/>
    <x v="3"/>
    <s v="Smartphone"/>
    <x v="1"/>
    <d v="2024-07-11T00:00:00"/>
    <x v="1"/>
    <s v="Yes"/>
    <x v="0"/>
    <x v="0"/>
    <n v="11"/>
    <x v="5"/>
    <s v="Qtr-3"/>
    <x v="1"/>
  </r>
  <r>
    <s v="00-264-3797"/>
    <n v="26"/>
    <x v="0"/>
    <x v="1"/>
    <x v="0"/>
    <s v="Married"/>
    <s v="Master's"/>
    <x v="0"/>
    <s v="Chavarría"/>
    <x v="56"/>
    <x v="3"/>
    <n v="128.01"/>
    <n v="2"/>
    <x v="0"/>
    <n v="4"/>
    <n v="2"/>
    <n v="60"/>
    <x v="1"/>
    <x v="0"/>
    <n v="0"/>
    <n v="1"/>
    <x v="1"/>
    <s v="Smartphone"/>
    <x v="2"/>
    <d v="2024-04-17T00:00:00"/>
    <x v="0"/>
    <s v="No"/>
    <x v="0"/>
    <x v="0"/>
    <n v="10"/>
    <x v="1"/>
    <s v="Qtr-2"/>
    <x v="4"/>
  </r>
  <r>
    <s v="88-445-9235"/>
    <n v="46"/>
    <x v="1"/>
    <x v="0"/>
    <x v="1"/>
    <s v="Married"/>
    <s v="High School"/>
    <x v="1"/>
    <s v="Demuk"/>
    <x v="4"/>
    <x v="8"/>
    <n v="301.39999999999998"/>
    <n v="4"/>
    <x v="2"/>
    <n v="5"/>
    <n v="3"/>
    <n v="0"/>
    <x v="1"/>
    <x v="0"/>
    <n v="0"/>
    <n v="5"/>
    <x v="0"/>
    <s v="Desktop"/>
    <x v="2"/>
    <d v="2024-09-14T00:00:00"/>
    <x v="1"/>
    <s v="Yes"/>
    <x v="3"/>
    <x v="1"/>
    <n v="5"/>
    <x v="10"/>
    <s v="Qtr-3"/>
    <x v="1"/>
  </r>
  <r>
    <s v="65-539-9955"/>
    <n v="18"/>
    <x v="3"/>
    <x v="0"/>
    <x v="1"/>
    <s v="Single"/>
    <s v="High School"/>
    <x v="1"/>
    <s v="Sertolovo"/>
    <x v="6"/>
    <x v="18"/>
    <n v="397.25"/>
    <n v="6"/>
    <x v="0"/>
    <n v="5"/>
    <n v="2"/>
    <n v="60"/>
    <x v="2"/>
    <x v="1"/>
    <n v="0.16666666666666666"/>
    <n v="10"/>
    <x v="0"/>
    <s v="Desktop"/>
    <x v="4"/>
    <d v="2024-08-08T00:00:00"/>
    <x v="1"/>
    <s v="Yes"/>
    <x v="1"/>
    <x v="0"/>
    <n v="2"/>
    <x v="7"/>
    <s v="Qtr-3"/>
    <x v="3"/>
  </r>
  <r>
    <s v="89-730-1134"/>
    <n v="46"/>
    <x v="1"/>
    <x v="1"/>
    <x v="0"/>
    <s v="Divorced"/>
    <s v="High School"/>
    <x v="0"/>
    <s v="Jixian"/>
    <x v="1"/>
    <x v="0"/>
    <n v="96.18"/>
    <n v="3"/>
    <x v="0"/>
    <n v="3"/>
    <n v="4"/>
    <n v="0"/>
    <x v="0"/>
    <x v="0"/>
    <n v="0.33333333333333331"/>
    <n v="9"/>
    <x v="3"/>
    <s v="Smartphone"/>
    <x v="4"/>
    <d v="2024-05-05T00:00:00"/>
    <x v="1"/>
    <s v="No"/>
    <x v="3"/>
    <x v="2"/>
    <n v="10"/>
    <x v="9"/>
    <s v="Qtr-2"/>
    <x v="1"/>
  </r>
  <r>
    <s v="74-051-7865"/>
    <n v="19"/>
    <x v="3"/>
    <x v="0"/>
    <x v="1"/>
    <s v="Divorced"/>
    <s v="Bachelor's"/>
    <x v="1"/>
    <s v="Deqing"/>
    <x v="1"/>
    <x v="15"/>
    <n v="390.44"/>
    <n v="4"/>
    <x v="0"/>
    <n v="5"/>
    <n v="1"/>
    <n v="0"/>
    <x v="1"/>
    <x v="2"/>
    <n v="0"/>
    <n v="4"/>
    <x v="1"/>
    <s v="Desktop"/>
    <x v="3"/>
    <d v="2024-02-15T00:00:00"/>
    <x v="0"/>
    <s v="No"/>
    <x v="0"/>
    <x v="1"/>
    <n v="4"/>
    <x v="8"/>
    <s v="Qtr-1"/>
    <x v="1"/>
  </r>
  <r>
    <s v="40-450-4266"/>
    <n v="37"/>
    <x v="2"/>
    <x v="0"/>
    <x v="0"/>
    <s v="Single"/>
    <s v="Bachelor's"/>
    <x v="0"/>
    <s v="Sala"/>
    <x v="5"/>
    <x v="10"/>
    <n v="61.5"/>
    <n v="11"/>
    <x v="0"/>
    <n v="4"/>
    <n v="2"/>
    <n v="0"/>
    <x v="1"/>
    <x v="2"/>
    <n v="0"/>
    <n v="1"/>
    <x v="1"/>
    <s v="Smartphone"/>
    <x v="3"/>
    <d v="2024-01-26T00:00:00"/>
    <x v="0"/>
    <s v="Yes"/>
    <x v="3"/>
    <x v="2"/>
    <n v="8"/>
    <x v="3"/>
    <s v="Qtr-1"/>
    <x v="0"/>
  </r>
  <r>
    <s v="78-796-5651"/>
    <n v="35"/>
    <x v="2"/>
    <x v="0"/>
    <x v="0"/>
    <s v="Divorced"/>
    <s v="High School"/>
    <x v="1"/>
    <s v="D?utów"/>
    <x v="18"/>
    <x v="2"/>
    <n v="234.44"/>
    <n v="6"/>
    <x v="1"/>
    <n v="3"/>
    <n v="5"/>
    <n v="120"/>
    <x v="1"/>
    <x v="2"/>
    <n v="0"/>
    <n v="1"/>
    <x v="1"/>
    <s v="Desktop"/>
    <x v="3"/>
    <d v="2024-05-23T00:00:00"/>
    <x v="1"/>
    <s v="Yes"/>
    <x v="2"/>
    <x v="2"/>
    <n v="5"/>
    <x v="9"/>
    <s v="Qtr-2"/>
    <x v="0"/>
  </r>
  <r>
    <s v="78-163-4800"/>
    <n v="43"/>
    <x v="1"/>
    <x v="1"/>
    <x v="0"/>
    <s v="Single"/>
    <s v="Master's"/>
    <x v="0"/>
    <s v="Regimin"/>
    <x v="18"/>
    <x v="16"/>
    <n v="318.83999999999997"/>
    <n v="6"/>
    <x v="2"/>
    <n v="1"/>
    <n v="1"/>
    <n v="120"/>
    <x v="2"/>
    <x v="2"/>
    <n v="0"/>
    <n v="4"/>
    <x v="1"/>
    <s v="Tablet"/>
    <x v="3"/>
    <d v="2024-04-20T00:00:00"/>
    <x v="1"/>
    <s v="Yes"/>
    <x v="1"/>
    <x v="1"/>
    <n v="10"/>
    <x v="1"/>
    <s v="Qtr-2"/>
    <x v="0"/>
  </r>
  <r>
    <s v="90-272-5701"/>
    <n v="28"/>
    <x v="0"/>
    <x v="1"/>
    <x v="0"/>
    <s v="Single"/>
    <s v="Master's"/>
    <x v="1"/>
    <s v="Semiletka"/>
    <x v="6"/>
    <x v="16"/>
    <n v="327.32"/>
    <n v="6"/>
    <x v="0"/>
    <n v="4"/>
    <n v="5"/>
    <n v="0"/>
    <x v="0"/>
    <x v="0"/>
    <n v="0"/>
    <n v="4"/>
    <x v="1"/>
    <s v="Tablet"/>
    <x v="3"/>
    <d v="2024-06-09T00:00:00"/>
    <x v="0"/>
    <s v="Yes"/>
    <x v="2"/>
    <x v="2"/>
    <n v="13"/>
    <x v="4"/>
    <s v="Qtr-2"/>
    <x v="3"/>
  </r>
  <r>
    <s v="14-118-5229"/>
    <n v="25"/>
    <x v="0"/>
    <x v="1"/>
    <x v="0"/>
    <s v="Divorced"/>
    <s v="Master's"/>
    <x v="1"/>
    <s v="Dayr Sharaf"/>
    <x v="20"/>
    <x v="5"/>
    <n v="475.64"/>
    <n v="3"/>
    <x v="2"/>
    <n v="3"/>
    <n v="4"/>
    <n v="60"/>
    <x v="2"/>
    <x v="2"/>
    <n v="0.33333333333333331"/>
    <n v="2"/>
    <x v="3"/>
    <s v="Smartphone"/>
    <x v="1"/>
    <d v="2024-02-15T00:00:00"/>
    <x v="0"/>
    <s v="Yes"/>
    <x v="3"/>
    <x v="1"/>
    <n v="9"/>
    <x v="8"/>
    <s v="Qtr-1"/>
    <x v="1"/>
  </r>
  <r>
    <s v="24-662-2119"/>
    <n v="47"/>
    <x v="1"/>
    <x v="1"/>
    <x v="1"/>
    <s v="Widowed"/>
    <s v="Master's"/>
    <x v="0"/>
    <s v="Adani"/>
    <x v="41"/>
    <x v="11"/>
    <n v="68.59"/>
    <n v="9"/>
    <x v="0"/>
    <n v="3"/>
    <n v="4"/>
    <n v="0"/>
    <x v="1"/>
    <x v="0"/>
    <n v="0.22222222222222221"/>
    <n v="5"/>
    <x v="0"/>
    <s v="Smartphone"/>
    <x v="1"/>
    <d v="2024-04-18T00:00:00"/>
    <x v="1"/>
    <s v="Yes"/>
    <x v="1"/>
    <x v="1"/>
    <n v="5"/>
    <x v="1"/>
    <s v="Qtr-2"/>
    <x v="1"/>
  </r>
  <r>
    <s v="61-794-8438"/>
    <n v="45"/>
    <x v="1"/>
    <x v="5"/>
    <x v="0"/>
    <s v="Divorced"/>
    <s v="Bachelor's"/>
    <x v="0"/>
    <s v="Rakhiv"/>
    <x v="9"/>
    <x v="10"/>
    <n v="133.04"/>
    <n v="12"/>
    <x v="2"/>
    <n v="1"/>
    <n v="3"/>
    <n v="120"/>
    <x v="3"/>
    <x v="1"/>
    <n v="0.16666666666666666"/>
    <n v="6"/>
    <x v="0"/>
    <s v="Desktop"/>
    <x v="4"/>
    <d v="2024-07-07T00:00:00"/>
    <x v="0"/>
    <s v="Yes"/>
    <x v="2"/>
    <x v="1"/>
    <n v="11"/>
    <x v="5"/>
    <s v="Qtr-3"/>
    <x v="0"/>
  </r>
  <r>
    <s v="21-959-5766"/>
    <n v="24"/>
    <x v="0"/>
    <x v="4"/>
    <x v="1"/>
    <s v="Married"/>
    <s v="High School"/>
    <x v="0"/>
    <s v="Ma'an"/>
    <x v="63"/>
    <x v="8"/>
    <n v="196.63"/>
    <n v="9"/>
    <x v="2"/>
    <n v="4"/>
    <n v="2"/>
    <n v="120"/>
    <x v="1"/>
    <x v="0"/>
    <n v="0.1111111111111111"/>
    <n v="6"/>
    <x v="2"/>
    <s v="Tablet"/>
    <x v="3"/>
    <d v="2024-12-15T00:00:00"/>
    <x v="0"/>
    <s v="No"/>
    <x v="0"/>
    <x v="0"/>
    <n v="7"/>
    <x v="6"/>
    <s v="Qtr-4"/>
    <x v="1"/>
  </r>
  <r>
    <s v="42-518-2602"/>
    <n v="30"/>
    <x v="2"/>
    <x v="1"/>
    <x v="0"/>
    <s v="Divorced"/>
    <s v="Bachelor's"/>
    <x v="1"/>
    <s v="Navoiy"/>
    <x v="92"/>
    <x v="3"/>
    <n v="473.96"/>
    <n v="12"/>
    <x v="1"/>
    <n v="2"/>
    <n v="1"/>
    <n v="60"/>
    <x v="1"/>
    <x v="0"/>
    <n v="0.16666666666666666"/>
    <n v="9"/>
    <x v="0"/>
    <s v="Tablet"/>
    <x v="1"/>
    <d v="2024-07-28T00:00:00"/>
    <x v="0"/>
    <s v="No"/>
    <x v="2"/>
    <x v="2"/>
    <n v="14"/>
    <x v="5"/>
    <s v="Qtr-3"/>
    <x v="1"/>
  </r>
  <r>
    <s v="35-850-8676"/>
    <n v="24"/>
    <x v="0"/>
    <x v="0"/>
    <x v="1"/>
    <s v="Married"/>
    <s v="High School"/>
    <x v="0"/>
    <s v="Sishilichengzi"/>
    <x v="1"/>
    <x v="8"/>
    <n v="472.52"/>
    <n v="8"/>
    <x v="2"/>
    <n v="2"/>
    <n v="4"/>
    <n v="0"/>
    <x v="2"/>
    <x v="0"/>
    <n v="0.25"/>
    <n v="8"/>
    <x v="3"/>
    <s v="Tablet"/>
    <x v="4"/>
    <d v="2024-01-24T00:00:00"/>
    <x v="1"/>
    <s v="Yes"/>
    <x v="3"/>
    <x v="0"/>
    <n v="14"/>
    <x v="3"/>
    <s v="Qtr-1"/>
    <x v="1"/>
  </r>
  <r>
    <s v="07-958-2231"/>
    <n v="27"/>
    <x v="0"/>
    <x v="0"/>
    <x v="0"/>
    <s v="Married"/>
    <s v="Bachelor's"/>
    <x v="0"/>
    <s v="Tigaherang"/>
    <x v="4"/>
    <x v="15"/>
    <n v="335.8"/>
    <n v="9"/>
    <x v="0"/>
    <n v="3"/>
    <n v="5"/>
    <n v="60"/>
    <x v="0"/>
    <x v="0"/>
    <n v="0.22222222222222221"/>
    <n v="7"/>
    <x v="2"/>
    <s v="Smartphone"/>
    <x v="2"/>
    <d v="2024-02-10T00:00:00"/>
    <x v="0"/>
    <s v="No"/>
    <x v="1"/>
    <x v="1"/>
    <n v="5"/>
    <x v="8"/>
    <s v="Qtr-1"/>
    <x v="1"/>
  </r>
  <r>
    <s v="78-503-0416"/>
    <n v="25"/>
    <x v="0"/>
    <x v="1"/>
    <x v="0"/>
    <s v="Single"/>
    <s v="High School"/>
    <x v="1"/>
    <s v="Villa Dolores"/>
    <x v="56"/>
    <x v="8"/>
    <n v="85.57"/>
    <n v="12"/>
    <x v="1"/>
    <n v="2"/>
    <n v="1"/>
    <n v="60"/>
    <x v="2"/>
    <x v="2"/>
    <n v="0.16666666666666666"/>
    <n v="4"/>
    <x v="3"/>
    <s v="Tablet"/>
    <x v="2"/>
    <d v="2024-08-31T00:00:00"/>
    <x v="0"/>
    <s v="Yes"/>
    <x v="3"/>
    <x v="0"/>
    <n v="9"/>
    <x v="7"/>
    <s v="Qtr-3"/>
    <x v="4"/>
  </r>
  <r>
    <s v="46-167-7999"/>
    <n v="44"/>
    <x v="1"/>
    <x v="2"/>
    <x v="0"/>
    <s v="Single"/>
    <s v="Master's"/>
    <x v="0"/>
    <s v="Poá"/>
    <x v="14"/>
    <x v="21"/>
    <n v="108.5"/>
    <n v="11"/>
    <x v="0"/>
    <n v="5"/>
    <n v="5"/>
    <n v="0"/>
    <x v="0"/>
    <x v="2"/>
    <n v="9.0909090909090912E-2"/>
    <n v="2"/>
    <x v="3"/>
    <s v="Smartphone"/>
    <x v="1"/>
    <d v="2024-07-16T00:00:00"/>
    <x v="1"/>
    <s v="No"/>
    <x v="1"/>
    <x v="0"/>
    <n v="10"/>
    <x v="5"/>
    <s v="Qtr-3"/>
    <x v="4"/>
  </r>
  <r>
    <s v="93-989-8649"/>
    <n v="26"/>
    <x v="0"/>
    <x v="1"/>
    <x v="0"/>
    <s v="Divorced"/>
    <s v="Bachelor's"/>
    <x v="0"/>
    <s v="Shibushi"/>
    <x v="3"/>
    <x v="1"/>
    <n v="172.5"/>
    <n v="8"/>
    <x v="2"/>
    <n v="1"/>
    <n v="3"/>
    <n v="0"/>
    <x v="1"/>
    <x v="0"/>
    <n v="0"/>
    <n v="8"/>
    <x v="2"/>
    <s v="Desktop"/>
    <x v="0"/>
    <d v="2024-07-19T00:00:00"/>
    <x v="0"/>
    <s v="No"/>
    <x v="2"/>
    <x v="0"/>
    <n v="7"/>
    <x v="5"/>
    <s v="Qtr-3"/>
    <x v="1"/>
  </r>
  <r>
    <s v="98-130-8811"/>
    <n v="18"/>
    <x v="3"/>
    <x v="0"/>
    <x v="1"/>
    <s v="Single"/>
    <s v="High School"/>
    <x v="0"/>
    <s v="Tilburg"/>
    <x v="93"/>
    <x v="13"/>
    <n v="212.8"/>
    <n v="6"/>
    <x v="0"/>
    <n v="3"/>
    <n v="2"/>
    <n v="120"/>
    <x v="0"/>
    <x v="2"/>
    <n v="0.16666666666666666"/>
    <n v="7"/>
    <x v="1"/>
    <s v="Tablet"/>
    <x v="0"/>
    <d v="2024-05-17T00:00:00"/>
    <x v="0"/>
    <s v="Yes"/>
    <x v="3"/>
    <x v="1"/>
    <n v="1"/>
    <x v="9"/>
    <s v="Qtr-2"/>
    <x v="0"/>
  </r>
  <r>
    <s v="18-614-2070"/>
    <n v="47"/>
    <x v="1"/>
    <x v="0"/>
    <x v="0"/>
    <s v="Married"/>
    <s v="Bachelor's"/>
    <x v="1"/>
    <s v="Ugra"/>
    <x v="6"/>
    <x v="15"/>
    <n v="324.41000000000003"/>
    <n v="7"/>
    <x v="0"/>
    <n v="4"/>
    <n v="4"/>
    <n v="60"/>
    <x v="0"/>
    <x v="1"/>
    <n v="0"/>
    <n v="5"/>
    <x v="3"/>
    <s v="Tablet"/>
    <x v="2"/>
    <d v="2024-04-29T00:00:00"/>
    <x v="0"/>
    <s v="Yes"/>
    <x v="0"/>
    <x v="0"/>
    <n v="4"/>
    <x v="1"/>
    <s v="Qtr-2"/>
    <x v="3"/>
  </r>
  <r>
    <s v="80-277-3242"/>
    <n v="36"/>
    <x v="2"/>
    <x v="1"/>
    <x v="1"/>
    <s v="Widowed"/>
    <s v="High School"/>
    <x v="0"/>
    <s v="Montreuil"/>
    <x v="0"/>
    <x v="22"/>
    <n v="342.39"/>
    <n v="8"/>
    <x v="1"/>
    <n v="1"/>
    <n v="5"/>
    <n v="120"/>
    <x v="2"/>
    <x v="2"/>
    <n v="0.25"/>
    <n v="3"/>
    <x v="1"/>
    <s v="Desktop"/>
    <x v="3"/>
    <d v="2024-01-04T00:00:00"/>
    <x v="1"/>
    <s v="No"/>
    <x v="0"/>
    <x v="1"/>
    <n v="9"/>
    <x v="3"/>
    <s v="Qtr-1"/>
    <x v="0"/>
  </r>
  <r>
    <s v="44-949-9040"/>
    <n v="23"/>
    <x v="0"/>
    <x v="0"/>
    <x v="1"/>
    <s v="Divorced"/>
    <s v="Bachelor's"/>
    <x v="1"/>
    <s v="Garibaldi"/>
    <x v="14"/>
    <x v="10"/>
    <n v="446.86"/>
    <n v="9"/>
    <x v="1"/>
    <n v="2"/>
    <n v="1"/>
    <n v="120"/>
    <x v="0"/>
    <x v="2"/>
    <n v="0"/>
    <n v="2"/>
    <x v="3"/>
    <s v="Desktop"/>
    <x v="1"/>
    <d v="2024-11-07T00:00:00"/>
    <x v="1"/>
    <s v="No"/>
    <x v="1"/>
    <x v="0"/>
    <n v="5"/>
    <x v="11"/>
    <s v="Qtr-4"/>
    <x v="4"/>
  </r>
  <r>
    <s v="04-545-9162"/>
    <n v="49"/>
    <x v="1"/>
    <x v="1"/>
    <x v="1"/>
    <s v="Divorced"/>
    <s v="Master's"/>
    <x v="1"/>
    <s v="Tiang"/>
    <x v="1"/>
    <x v="13"/>
    <n v="463.15"/>
    <n v="3"/>
    <x v="0"/>
    <n v="1"/>
    <n v="1"/>
    <n v="60"/>
    <x v="0"/>
    <x v="0"/>
    <n v="0.33333333333333331"/>
    <n v="9"/>
    <x v="1"/>
    <s v="Smartphone"/>
    <x v="2"/>
    <d v="2024-04-25T00:00:00"/>
    <x v="0"/>
    <s v="Yes"/>
    <x v="0"/>
    <x v="1"/>
    <n v="9"/>
    <x v="1"/>
    <s v="Qtr-2"/>
    <x v="1"/>
  </r>
  <r>
    <s v="51-320-2801"/>
    <n v="27"/>
    <x v="0"/>
    <x v="0"/>
    <x v="1"/>
    <s v="Divorced"/>
    <s v="Bachelor's"/>
    <x v="1"/>
    <s v="Mouquim"/>
    <x v="26"/>
    <x v="19"/>
    <n v="122.99"/>
    <n v="12"/>
    <x v="1"/>
    <n v="1"/>
    <n v="5"/>
    <n v="60"/>
    <x v="3"/>
    <x v="2"/>
    <n v="8.3333333333333329E-2"/>
    <n v="8"/>
    <x v="0"/>
    <s v="Desktop"/>
    <x v="4"/>
    <d v="2024-10-03T00:00:00"/>
    <x v="0"/>
    <s v="No"/>
    <x v="3"/>
    <x v="0"/>
    <n v="1"/>
    <x v="2"/>
    <s v="Qtr-4"/>
    <x v="0"/>
  </r>
  <r>
    <s v="50-510-5119"/>
    <n v="43"/>
    <x v="1"/>
    <x v="1"/>
    <x v="1"/>
    <s v="Widowed"/>
    <s v="Master's"/>
    <x v="1"/>
    <s v="Montecristi"/>
    <x v="94"/>
    <x v="21"/>
    <n v="322.39999999999998"/>
    <n v="7"/>
    <x v="0"/>
    <n v="4"/>
    <n v="2"/>
    <n v="60"/>
    <x v="1"/>
    <x v="2"/>
    <n v="0.2857142857142857"/>
    <n v="3"/>
    <x v="3"/>
    <s v="Tablet"/>
    <x v="4"/>
    <d v="2024-08-07T00:00:00"/>
    <x v="0"/>
    <s v="Yes"/>
    <x v="0"/>
    <x v="2"/>
    <n v="2"/>
    <x v="7"/>
    <s v="Qtr-3"/>
    <x v="2"/>
  </r>
  <r>
    <s v="63-964-6954"/>
    <n v="19"/>
    <x v="3"/>
    <x v="0"/>
    <x v="1"/>
    <s v="Married"/>
    <s v="High School"/>
    <x v="0"/>
    <s v="Prince Albert"/>
    <x v="12"/>
    <x v="10"/>
    <n v="73.19"/>
    <n v="5"/>
    <x v="0"/>
    <n v="2"/>
    <n v="5"/>
    <n v="60"/>
    <x v="2"/>
    <x v="1"/>
    <n v="0.4"/>
    <n v="8"/>
    <x v="1"/>
    <s v="Smartphone"/>
    <x v="1"/>
    <d v="2024-04-11T00:00:00"/>
    <x v="1"/>
    <s v="Yes"/>
    <x v="0"/>
    <x v="0"/>
    <n v="3"/>
    <x v="1"/>
    <s v="Qtr-2"/>
    <x v="2"/>
  </r>
  <r>
    <s v="55-569-9247"/>
    <n v="41"/>
    <x v="1"/>
    <x v="0"/>
    <x v="0"/>
    <s v="Married"/>
    <s v="Master's"/>
    <x v="1"/>
    <s v="Göteborg"/>
    <x v="5"/>
    <x v="16"/>
    <n v="279.08"/>
    <n v="10"/>
    <x v="2"/>
    <n v="4"/>
    <n v="2"/>
    <n v="60"/>
    <x v="3"/>
    <x v="1"/>
    <n v="0.2"/>
    <n v="7"/>
    <x v="3"/>
    <s v="Smartphone"/>
    <x v="0"/>
    <d v="2024-04-25T00:00:00"/>
    <x v="1"/>
    <s v="Yes"/>
    <x v="1"/>
    <x v="0"/>
    <n v="3"/>
    <x v="1"/>
    <s v="Qtr-2"/>
    <x v="0"/>
  </r>
  <r>
    <s v="02-911-0447"/>
    <n v="29"/>
    <x v="0"/>
    <x v="0"/>
    <x v="0"/>
    <s v="Single"/>
    <s v="High School"/>
    <x v="0"/>
    <s v="Zaje?ov"/>
    <x v="16"/>
    <x v="22"/>
    <n v="478.85"/>
    <n v="10"/>
    <x v="1"/>
    <n v="4"/>
    <n v="2"/>
    <n v="120"/>
    <x v="0"/>
    <x v="1"/>
    <n v="0.2"/>
    <n v="2"/>
    <x v="0"/>
    <s v="Desktop"/>
    <x v="4"/>
    <d v="2024-04-28T00:00:00"/>
    <x v="1"/>
    <s v="No"/>
    <x v="3"/>
    <x v="0"/>
    <n v="4"/>
    <x v="1"/>
    <s v="Qtr-2"/>
    <x v="0"/>
  </r>
  <r>
    <s v="77-626-7240"/>
    <n v="25"/>
    <x v="0"/>
    <x v="1"/>
    <x v="1"/>
    <s v="Widowed"/>
    <s v="Master's"/>
    <x v="1"/>
    <s v="Liushun"/>
    <x v="1"/>
    <x v="1"/>
    <n v="86.39"/>
    <n v="5"/>
    <x v="0"/>
    <n v="4"/>
    <n v="5"/>
    <n v="60"/>
    <x v="3"/>
    <x v="0"/>
    <n v="0.2"/>
    <n v="1"/>
    <x v="3"/>
    <s v="Desktop"/>
    <x v="2"/>
    <d v="2024-09-09T00:00:00"/>
    <x v="1"/>
    <s v="No"/>
    <x v="0"/>
    <x v="1"/>
    <n v="7"/>
    <x v="10"/>
    <s v="Qtr-3"/>
    <x v="1"/>
  </r>
  <r>
    <s v="75-915-9803"/>
    <n v="45"/>
    <x v="1"/>
    <x v="1"/>
    <x v="1"/>
    <s v="Widowed"/>
    <s v="Bachelor's"/>
    <x v="0"/>
    <s v="Sancha"/>
    <x v="1"/>
    <x v="15"/>
    <n v="192.35"/>
    <n v="11"/>
    <x v="0"/>
    <n v="3"/>
    <n v="5"/>
    <n v="120"/>
    <x v="3"/>
    <x v="1"/>
    <n v="0.18181818181818182"/>
    <n v="1"/>
    <x v="1"/>
    <s v="Smartphone"/>
    <x v="0"/>
    <d v="2024-05-08T00:00:00"/>
    <x v="0"/>
    <s v="No"/>
    <x v="2"/>
    <x v="2"/>
    <n v="11"/>
    <x v="9"/>
    <s v="Qtr-2"/>
    <x v="1"/>
  </r>
  <r>
    <s v="78-905-2660"/>
    <n v="36"/>
    <x v="2"/>
    <x v="0"/>
    <x v="0"/>
    <s v="Divorced"/>
    <s v="Bachelor's"/>
    <x v="1"/>
    <s v="Damnoen Saduak"/>
    <x v="61"/>
    <x v="21"/>
    <n v="235.32"/>
    <n v="7"/>
    <x v="2"/>
    <n v="2"/>
    <n v="1"/>
    <n v="60"/>
    <x v="1"/>
    <x v="2"/>
    <n v="0.14285714285714285"/>
    <n v="10"/>
    <x v="1"/>
    <s v="Desktop"/>
    <x v="1"/>
    <d v="2024-06-09T00:00:00"/>
    <x v="1"/>
    <s v="Yes"/>
    <x v="2"/>
    <x v="2"/>
    <n v="11"/>
    <x v="4"/>
    <s v="Qtr-2"/>
    <x v="1"/>
  </r>
  <r>
    <s v="02-677-6735"/>
    <n v="21"/>
    <x v="0"/>
    <x v="0"/>
    <x v="1"/>
    <s v="Widowed"/>
    <s v="High School"/>
    <x v="1"/>
    <s v="Cianorte"/>
    <x v="14"/>
    <x v="13"/>
    <n v="212.63"/>
    <n v="8"/>
    <x v="2"/>
    <n v="4"/>
    <n v="2"/>
    <n v="60"/>
    <x v="2"/>
    <x v="2"/>
    <n v="0"/>
    <n v="4"/>
    <x v="1"/>
    <s v="Desktop"/>
    <x v="2"/>
    <d v="2024-08-27T00:00:00"/>
    <x v="1"/>
    <s v="Yes"/>
    <x v="0"/>
    <x v="0"/>
    <n v="6"/>
    <x v="7"/>
    <s v="Qtr-3"/>
    <x v="4"/>
  </r>
  <r>
    <s v="20-460-9796"/>
    <n v="47"/>
    <x v="1"/>
    <x v="0"/>
    <x v="0"/>
    <s v="Widowed"/>
    <s v="Master's"/>
    <x v="1"/>
    <s v="Liuzuo"/>
    <x v="1"/>
    <x v="1"/>
    <n v="246.63"/>
    <n v="8"/>
    <x v="1"/>
    <n v="2"/>
    <n v="3"/>
    <n v="60"/>
    <x v="0"/>
    <x v="0"/>
    <n v="0.25"/>
    <n v="3"/>
    <x v="0"/>
    <s v="Tablet"/>
    <x v="0"/>
    <d v="2024-04-01T00:00:00"/>
    <x v="0"/>
    <s v="No"/>
    <x v="2"/>
    <x v="2"/>
    <n v="10"/>
    <x v="1"/>
    <s v="Qtr-2"/>
    <x v="1"/>
  </r>
  <r>
    <s v="57-587-4005"/>
    <n v="26"/>
    <x v="0"/>
    <x v="0"/>
    <x v="0"/>
    <s v="Widowed"/>
    <s v="Bachelor's"/>
    <x v="1"/>
    <s v="Pameungpeuk"/>
    <x v="4"/>
    <x v="16"/>
    <n v="228.47"/>
    <n v="9"/>
    <x v="2"/>
    <n v="3"/>
    <n v="3"/>
    <n v="60"/>
    <x v="0"/>
    <x v="2"/>
    <n v="0.1111111111111111"/>
    <n v="7"/>
    <x v="0"/>
    <s v="Desktop"/>
    <x v="0"/>
    <d v="2024-08-29T00:00:00"/>
    <x v="1"/>
    <s v="Yes"/>
    <x v="2"/>
    <x v="2"/>
    <n v="12"/>
    <x v="7"/>
    <s v="Qtr-3"/>
    <x v="1"/>
  </r>
  <r>
    <s v="99-477-8256"/>
    <n v="25"/>
    <x v="0"/>
    <x v="0"/>
    <x v="0"/>
    <s v="Single"/>
    <s v="Master's"/>
    <x v="1"/>
    <s v="Kashmar"/>
    <x v="78"/>
    <x v="0"/>
    <n v="343.77"/>
    <n v="6"/>
    <x v="2"/>
    <n v="4"/>
    <n v="3"/>
    <n v="120"/>
    <x v="2"/>
    <x v="0"/>
    <n v="0.33333333333333331"/>
    <n v="9"/>
    <x v="1"/>
    <s v="Desktop"/>
    <x v="4"/>
    <d v="2024-09-18T00:00:00"/>
    <x v="0"/>
    <s v="Yes"/>
    <x v="1"/>
    <x v="2"/>
    <n v="6"/>
    <x v="10"/>
    <s v="Qtr-3"/>
    <x v="1"/>
  </r>
  <r>
    <s v="03-992-3728"/>
    <n v="26"/>
    <x v="0"/>
    <x v="2"/>
    <x v="0"/>
    <s v="Married"/>
    <s v="Bachelor's"/>
    <x v="1"/>
    <s v="‘Arad"/>
    <x v="76"/>
    <x v="19"/>
    <n v="339.32"/>
    <n v="9"/>
    <x v="1"/>
    <n v="2"/>
    <n v="4"/>
    <n v="0"/>
    <x v="1"/>
    <x v="2"/>
    <n v="0.1111111111111111"/>
    <n v="4"/>
    <x v="1"/>
    <s v="Tablet"/>
    <x v="3"/>
    <d v="2024-09-05T00:00:00"/>
    <x v="1"/>
    <s v="No"/>
    <x v="0"/>
    <x v="0"/>
    <n v="7"/>
    <x v="10"/>
    <s v="Qtr-3"/>
    <x v="1"/>
  </r>
  <r>
    <s v="24-878-4507"/>
    <n v="34"/>
    <x v="2"/>
    <x v="1"/>
    <x v="1"/>
    <s v="Divorced"/>
    <s v="Bachelor's"/>
    <x v="0"/>
    <s v="Lenart v Slov. Goricah"/>
    <x v="55"/>
    <x v="20"/>
    <n v="327.05"/>
    <n v="9"/>
    <x v="0"/>
    <n v="5"/>
    <n v="4"/>
    <n v="0"/>
    <x v="2"/>
    <x v="0"/>
    <n v="0.22222222222222221"/>
    <n v="3"/>
    <x v="1"/>
    <s v="Desktop"/>
    <x v="4"/>
    <d v="2024-08-06T00:00:00"/>
    <x v="1"/>
    <s v="Yes"/>
    <x v="0"/>
    <x v="0"/>
    <n v="7"/>
    <x v="7"/>
    <s v="Qtr-3"/>
    <x v="0"/>
  </r>
  <r>
    <s v="22-106-8347"/>
    <n v="48"/>
    <x v="1"/>
    <x v="1"/>
    <x v="1"/>
    <s v="Divorced"/>
    <s v="Master's"/>
    <x v="0"/>
    <s v="Bigaa"/>
    <x v="19"/>
    <x v="16"/>
    <n v="334.45"/>
    <n v="2"/>
    <x v="1"/>
    <n v="2"/>
    <n v="5"/>
    <n v="0"/>
    <x v="1"/>
    <x v="1"/>
    <n v="1"/>
    <n v="9"/>
    <x v="1"/>
    <s v="Tablet"/>
    <x v="0"/>
    <d v="2024-06-18T00:00:00"/>
    <x v="0"/>
    <s v="No"/>
    <x v="2"/>
    <x v="0"/>
    <n v="6"/>
    <x v="4"/>
    <s v="Qtr-2"/>
    <x v="1"/>
  </r>
  <r>
    <s v="81-479-0790"/>
    <n v="19"/>
    <x v="3"/>
    <x v="1"/>
    <x v="1"/>
    <s v="Single"/>
    <s v="Bachelor's"/>
    <x v="0"/>
    <s v="Guadalupe"/>
    <x v="40"/>
    <x v="1"/>
    <n v="366.16"/>
    <n v="12"/>
    <x v="0"/>
    <n v="4"/>
    <n v="4"/>
    <n v="120"/>
    <x v="1"/>
    <x v="0"/>
    <n v="8.3333333333333329E-2"/>
    <n v="5"/>
    <x v="2"/>
    <s v="Desktop"/>
    <x v="0"/>
    <d v="2024-08-26T00:00:00"/>
    <x v="1"/>
    <s v="No"/>
    <x v="0"/>
    <x v="0"/>
    <n v="4"/>
    <x v="7"/>
    <s v="Qtr-3"/>
    <x v="2"/>
  </r>
  <r>
    <s v="03-023-9932"/>
    <n v="37"/>
    <x v="2"/>
    <x v="0"/>
    <x v="1"/>
    <s v="Widowed"/>
    <s v="Bachelor's"/>
    <x v="0"/>
    <s v="Xiaruyue"/>
    <x v="1"/>
    <x v="19"/>
    <n v="481.78"/>
    <n v="8"/>
    <x v="1"/>
    <n v="5"/>
    <n v="2"/>
    <n v="0"/>
    <x v="1"/>
    <x v="2"/>
    <n v="0.25"/>
    <n v="4"/>
    <x v="2"/>
    <s v="Tablet"/>
    <x v="2"/>
    <d v="2024-04-24T00:00:00"/>
    <x v="0"/>
    <s v="Yes"/>
    <x v="1"/>
    <x v="2"/>
    <n v="1"/>
    <x v="1"/>
    <s v="Qtr-2"/>
    <x v="1"/>
  </r>
  <r>
    <s v="36-632-2460"/>
    <n v="23"/>
    <x v="0"/>
    <x v="0"/>
    <x v="1"/>
    <s v="Widowed"/>
    <s v="Bachelor's"/>
    <x v="0"/>
    <s v="Gweedore"/>
    <x v="17"/>
    <x v="0"/>
    <n v="131.47999999999999"/>
    <n v="8"/>
    <x v="0"/>
    <n v="3"/>
    <n v="5"/>
    <n v="0"/>
    <x v="0"/>
    <x v="0"/>
    <n v="0.25"/>
    <n v="1"/>
    <x v="2"/>
    <s v="Tablet"/>
    <x v="0"/>
    <d v="2024-08-08T00:00:00"/>
    <x v="0"/>
    <s v="Yes"/>
    <x v="1"/>
    <x v="0"/>
    <n v="12"/>
    <x v="7"/>
    <s v="Qtr-3"/>
    <x v="0"/>
  </r>
  <r>
    <s v="32-799-7704"/>
    <n v="34"/>
    <x v="2"/>
    <x v="0"/>
    <x v="1"/>
    <s v="Widowed"/>
    <s v="Master's"/>
    <x v="1"/>
    <s v="Przelewice"/>
    <x v="18"/>
    <x v="10"/>
    <n v="402.86"/>
    <n v="11"/>
    <x v="1"/>
    <n v="3"/>
    <n v="5"/>
    <n v="60"/>
    <x v="3"/>
    <x v="1"/>
    <n v="0"/>
    <n v="2"/>
    <x v="0"/>
    <s v="Desktop"/>
    <x v="4"/>
    <d v="2024-09-05T00:00:00"/>
    <x v="1"/>
    <s v="No"/>
    <x v="2"/>
    <x v="1"/>
    <n v="8"/>
    <x v="10"/>
    <s v="Qtr-3"/>
    <x v="0"/>
  </r>
  <r>
    <s v="09-369-0588"/>
    <n v="42"/>
    <x v="1"/>
    <x v="1"/>
    <x v="1"/>
    <s v="Single"/>
    <s v="Bachelor's"/>
    <x v="0"/>
    <s v="Dalumangcob"/>
    <x v="19"/>
    <x v="0"/>
    <n v="333.18"/>
    <n v="6"/>
    <x v="1"/>
    <n v="1"/>
    <n v="1"/>
    <n v="0"/>
    <x v="1"/>
    <x v="2"/>
    <n v="0.33333333333333331"/>
    <n v="5"/>
    <x v="2"/>
    <s v="Smartphone"/>
    <x v="3"/>
    <d v="2024-04-16T00:00:00"/>
    <x v="0"/>
    <s v="No"/>
    <x v="3"/>
    <x v="2"/>
    <n v="8"/>
    <x v="1"/>
    <s v="Qtr-2"/>
    <x v="1"/>
  </r>
  <r>
    <s v="87-727-6434"/>
    <n v="28"/>
    <x v="0"/>
    <x v="0"/>
    <x v="1"/>
    <s v="Widowed"/>
    <s v="Master's"/>
    <x v="0"/>
    <s v="Cravo Norte"/>
    <x v="38"/>
    <x v="17"/>
    <n v="73.23"/>
    <n v="8"/>
    <x v="2"/>
    <n v="2"/>
    <n v="2"/>
    <n v="120"/>
    <x v="2"/>
    <x v="2"/>
    <n v="0.125"/>
    <n v="2"/>
    <x v="2"/>
    <s v="Smartphone"/>
    <x v="0"/>
    <d v="2024-07-17T00:00:00"/>
    <x v="0"/>
    <s v="Yes"/>
    <x v="0"/>
    <x v="0"/>
    <n v="6"/>
    <x v="5"/>
    <s v="Qtr-3"/>
    <x v="4"/>
  </r>
  <r>
    <s v="18-793-9543"/>
    <n v="28"/>
    <x v="0"/>
    <x v="1"/>
    <x v="1"/>
    <s v="Divorced"/>
    <s v="Master's"/>
    <x v="0"/>
    <s v="Montería"/>
    <x v="38"/>
    <x v="4"/>
    <n v="450.47"/>
    <n v="11"/>
    <x v="2"/>
    <n v="5"/>
    <n v="2"/>
    <n v="120"/>
    <x v="0"/>
    <x v="1"/>
    <n v="0.18181818181818182"/>
    <n v="3"/>
    <x v="0"/>
    <s v="Smartphone"/>
    <x v="0"/>
    <d v="2024-03-18T00:00:00"/>
    <x v="0"/>
    <s v="Yes"/>
    <x v="1"/>
    <x v="2"/>
    <n v="10"/>
    <x v="0"/>
    <s v="Qtr-1"/>
    <x v="4"/>
  </r>
  <r>
    <s v="63-625-5757"/>
    <n v="33"/>
    <x v="2"/>
    <x v="1"/>
    <x v="0"/>
    <s v="Single"/>
    <s v="High School"/>
    <x v="1"/>
    <s v="Mikun’"/>
    <x v="6"/>
    <x v="1"/>
    <n v="175.74"/>
    <n v="5"/>
    <x v="2"/>
    <n v="5"/>
    <n v="4"/>
    <n v="60"/>
    <x v="1"/>
    <x v="1"/>
    <n v="0"/>
    <n v="6"/>
    <x v="0"/>
    <s v="Tablet"/>
    <x v="4"/>
    <d v="2024-07-18T00:00:00"/>
    <x v="1"/>
    <s v="Yes"/>
    <x v="2"/>
    <x v="0"/>
    <n v="6"/>
    <x v="5"/>
    <s v="Qtr-3"/>
    <x v="3"/>
  </r>
  <r>
    <s v="93-413-4758"/>
    <n v="31"/>
    <x v="2"/>
    <x v="0"/>
    <x v="0"/>
    <s v="Single"/>
    <s v="Master's"/>
    <x v="1"/>
    <s v="Samamiya"/>
    <x v="3"/>
    <x v="11"/>
    <n v="182.6"/>
    <n v="4"/>
    <x v="2"/>
    <n v="5"/>
    <n v="2"/>
    <n v="18"/>
    <x v="2"/>
    <x v="1"/>
    <n v="0.5"/>
    <n v="9"/>
    <x v="1"/>
    <s v="Tablet"/>
    <x v="1"/>
    <d v="2024-05-31T00:00:00"/>
    <x v="1"/>
    <s v="Yes"/>
    <x v="1"/>
    <x v="2"/>
    <n v="5"/>
    <x v="9"/>
    <s v="Qtr-2"/>
    <x v="1"/>
  </r>
  <r>
    <s v="15-663-7994"/>
    <n v="20"/>
    <x v="0"/>
    <x v="0"/>
    <x v="0"/>
    <s v="Widowed"/>
    <s v="Bachelor's"/>
    <x v="1"/>
    <s v="Tanahmerah"/>
    <x v="4"/>
    <x v="23"/>
    <n v="497.8"/>
    <n v="2"/>
    <x v="2"/>
    <n v="3"/>
    <n v="5"/>
    <n v="12"/>
    <x v="3"/>
    <x v="0"/>
    <n v="0.5"/>
    <n v="2"/>
    <x v="3"/>
    <s v="Smartphone"/>
    <x v="3"/>
    <d v="2024-01-21T00:00:00"/>
    <x v="0"/>
    <s v="No"/>
    <x v="1"/>
    <x v="0"/>
    <n v="9"/>
    <x v="3"/>
    <s v="Qtr-1"/>
    <x v="1"/>
  </r>
  <r>
    <s v="29-319-4519"/>
    <n v="32"/>
    <x v="2"/>
    <x v="1"/>
    <x v="1"/>
    <s v="Divorced"/>
    <s v="High School"/>
    <x v="1"/>
    <s v="Örebro"/>
    <x v="5"/>
    <x v="1"/>
    <n v="171.17"/>
    <n v="4"/>
    <x v="1"/>
    <n v="1"/>
    <n v="3"/>
    <n v="0"/>
    <x v="3"/>
    <x v="0"/>
    <n v="0"/>
    <n v="4"/>
    <x v="3"/>
    <s v="Desktop"/>
    <x v="2"/>
    <d v="2024-06-15T00:00:00"/>
    <x v="1"/>
    <s v="Yes"/>
    <x v="1"/>
    <x v="1"/>
    <n v="12"/>
    <x v="4"/>
    <s v="Qtr-2"/>
    <x v="0"/>
  </r>
  <r>
    <s v="40-347-2903"/>
    <n v="27"/>
    <x v="0"/>
    <x v="0"/>
    <x v="0"/>
    <s v="Single"/>
    <s v="Bachelor's"/>
    <x v="1"/>
    <s v="Kefar Yona"/>
    <x v="76"/>
    <x v="23"/>
    <n v="425.82"/>
    <n v="3"/>
    <x v="1"/>
    <n v="4"/>
    <n v="5"/>
    <n v="60"/>
    <x v="2"/>
    <x v="1"/>
    <n v="0.33333333333333331"/>
    <n v="6"/>
    <x v="1"/>
    <s v="Smartphone"/>
    <x v="4"/>
    <d v="2024-04-19T00:00:00"/>
    <x v="0"/>
    <s v="Yes"/>
    <x v="1"/>
    <x v="1"/>
    <n v="11"/>
    <x v="1"/>
    <s v="Qtr-2"/>
    <x v="1"/>
  </r>
  <r>
    <s v="18-452-1635"/>
    <n v="19"/>
    <x v="3"/>
    <x v="0"/>
    <x v="0"/>
    <s v="Widowed"/>
    <s v="Bachelor's"/>
    <x v="0"/>
    <s v="Pasto"/>
    <x v="38"/>
    <x v="6"/>
    <n v="210.58"/>
    <n v="10"/>
    <x v="1"/>
    <n v="5"/>
    <n v="1"/>
    <n v="120"/>
    <x v="2"/>
    <x v="0"/>
    <n v="0.1"/>
    <n v="3"/>
    <x v="2"/>
    <s v="Tablet"/>
    <x v="2"/>
    <d v="2024-09-12T00:00:00"/>
    <x v="0"/>
    <s v="Yes"/>
    <x v="3"/>
    <x v="0"/>
    <n v="8"/>
    <x v="10"/>
    <s v="Qtr-3"/>
    <x v="4"/>
  </r>
  <r>
    <s v="47-710-5471"/>
    <n v="50"/>
    <x v="1"/>
    <x v="1"/>
    <x v="0"/>
    <s v="Single"/>
    <s v="High School"/>
    <x v="0"/>
    <s v="Huangtan"/>
    <x v="1"/>
    <x v="21"/>
    <n v="199.64"/>
    <n v="11"/>
    <x v="2"/>
    <n v="5"/>
    <n v="4"/>
    <n v="60"/>
    <x v="3"/>
    <x v="0"/>
    <n v="9.0909090909090912E-2"/>
    <n v="5"/>
    <x v="1"/>
    <s v="Desktop"/>
    <x v="1"/>
    <d v="2024-09-04T00:00:00"/>
    <x v="1"/>
    <s v="Yes"/>
    <x v="3"/>
    <x v="2"/>
    <n v="8"/>
    <x v="10"/>
    <s v="Qtr-3"/>
    <x v="1"/>
  </r>
  <r>
    <s v="88-167-7129"/>
    <n v="40"/>
    <x v="1"/>
    <x v="5"/>
    <x v="1"/>
    <s v="Married"/>
    <s v="Bachelor's"/>
    <x v="0"/>
    <s v="Il’inskiy"/>
    <x v="6"/>
    <x v="12"/>
    <n v="162.22"/>
    <n v="10"/>
    <x v="1"/>
    <n v="5"/>
    <n v="5"/>
    <n v="12"/>
    <x v="3"/>
    <x v="0"/>
    <n v="0.1"/>
    <n v="1"/>
    <x v="3"/>
    <s v="Desktop"/>
    <x v="3"/>
    <d v="2024-04-28T00:00:00"/>
    <x v="0"/>
    <s v="Yes"/>
    <x v="1"/>
    <x v="0"/>
    <n v="8"/>
    <x v="1"/>
    <s v="Qtr-2"/>
    <x v="3"/>
  </r>
  <r>
    <s v="86-771-9082"/>
    <n v="20"/>
    <x v="0"/>
    <x v="1"/>
    <x v="1"/>
    <s v="Married"/>
    <s v="Bachelor's"/>
    <x v="1"/>
    <s v="Ugljevik"/>
    <x v="90"/>
    <x v="6"/>
    <n v="401.75"/>
    <n v="8"/>
    <x v="2"/>
    <n v="3"/>
    <n v="4"/>
    <n v="18"/>
    <x v="0"/>
    <x v="0"/>
    <n v="0.125"/>
    <n v="8"/>
    <x v="1"/>
    <s v="Smartphone"/>
    <x v="1"/>
    <d v="2024-12-08T00:00:00"/>
    <x v="1"/>
    <s v="Yes"/>
    <x v="1"/>
    <x v="1"/>
    <n v="6"/>
    <x v="6"/>
    <s v="Qtr-4"/>
    <x v="0"/>
  </r>
  <r>
    <s v="46-678-4172"/>
    <n v="24"/>
    <x v="0"/>
    <x v="0"/>
    <x v="0"/>
    <s v="Married"/>
    <s v="Master's"/>
    <x v="0"/>
    <s v="Na Chaluai"/>
    <x v="61"/>
    <x v="8"/>
    <n v="365.88"/>
    <n v="12"/>
    <x v="2"/>
    <n v="3"/>
    <n v="3"/>
    <n v="120"/>
    <x v="1"/>
    <x v="2"/>
    <n v="0"/>
    <n v="9"/>
    <x v="1"/>
    <s v="Smartphone"/>
    <x v="3"/>
    <d v="2024-11-05T00:00:00"/>
    <x v="0"/>
    <s v="No"/>
    <x v="0"/>
    <x v="2"/>
    <n v="7"/>
    <x v="11"/>
    <s v="Qtr-4"/>
    <x v="1"/>
  </r>
  <r>
    <s v="14-249-1256"/>
    <n v="46"/>
    <x v="1"/>
    <x v="1"/>
    <x v="0"/>
    <s v="Single"/>
    <s v="High School"/>
    <x v="0"/>
    <s v="Marolambo"/>
    <x v="81"/>
    <x v="21"/>
    <n v="58.29"/>
    <n v="6"/>
    <x v="0"/>
    <n v="2"/>
    <n v="3"/>
    <n v="120"/>
    <x v="1"/>
    <x v="0"/>
    <n v="0.16666666666666666"/>
    <n v="7"/>
    <x v="2"/>
    <s v="Tablet"/>
    <x v="3"/>
    <d v="2024-02-13T00:00:00"/>
    <x v="1"/>
    <s v="Yes"/>
    <x v="2"/>
    <x v="1"/>
    <n v="14"/>
    <x v="8"/>
    <s v="Qtr-1"/>
    <x v="5"/>
  </r>
  <r>
    <s v="75-617-1460"/>
    <n v="50"/>
    <x v="1"/>
    <x v="1"/>
    <x v="1"/>
    <s v="Married"/>
    <s v="Master's"/>
    <x v="1"/>
    <s v="Wiwilí"/>
    <x v="2"/>
    <x v="18"/>
    <n v="66.86"/>
    <n v="3"/>
    <x v="0"/>
    <n v="1"/>
    <n v="1"/>
    <n v="60"/>
    <x v="1"/>
    <x v="2"/>
    <n v="0"/>
    <n v="10"/>
    <x v="3"/>
    <s v="Desktop"/>
    <x v="3"/>
    <d v="2024-01-25T00:00:00"/>
    <x v="0"/>
    <s v="Yes"/>
    <x v="1"/>
    <x v="2"/>
    <n v="9"/>
    <x v="3"/>
    <s v="Qtr-1"/>
    <x v="2"/>
  </r>
  <r>
    <s v="10-247-0192"/>
    <n v="29"/>
    <x v="0"/>
    <x v="0"/>
    <x v="1"/>
    <s v="Single"/>
    <s v="Bachelor's"/>
    <x v="0"/>
    <s v="Cali"/>
    <x v="38"/>
    <x v="19"/>
    <n v="279.33999999999997"/>
    <n v="5"/>
    <x v="0"/>
    <n v="3"/>
    <n v="1"/>
    <n v="0"/>
    <x v="1"/>
    <x v="2"/>
    <n v="0.4"/>
    <n v="6"/>
    <x v="2"/>
    <s v="Tablet"/>
    <x v="1"/>
    <d v="2024-08-22T00:00:00"/>
    <x v="1"/>
    <s v="Yes"/>
    <x v="1"/>
    <x v="0"/>
    <n v="11"/>
    <x v="7"/>
    <s v="Qtr-3"/>
    <x v="4"/>
  </r>
  <r>
    <s v="94-120-9525"/>
    <n v="34"/>
    <x v="2"/>
    <x v="3"/>
    <x v="1"/>
    <s v="Divorced"/>
    <s v="Bachelor's"/>
    <x v="1"/>
    <s v="Tamana"/>
    <x v="95"/>
    <x v="13"/>
    <n v="358.5"/>
    <n v="3"/>
    <x v="2"/>
    <n v="3"/>
    <n v="4"/>
    <n v="120"/>
    <x v="1"/>
    <x v="2"/>
    <n v="0.66666666666666663"/>
    <n v="3"/>
    <x v="0"/>
    <s v="Tablet"/>
    <x v="4"/>
    <d v="2024-11-14T00:00:00"/>
    <x v="1"/>
    <s v="Yes"/>
    <x v="2"/>
    <x v="1"/>
    <n v="8"/>
    <x v="11"/>
    <s v="Qtr-4"/>
    <x v="2"/>
  </r>
  <r>
    <s v="22-234-9315"/>
    <n v="44"/>
    <x v="1"/>
    <x v="0"/>
    <x v="1"/>
    <s v="Widowed"/>
    <s v="Bachelor's"/>
    <x v="1"/>
    <s v="Miyazu"/>
    <x v="3"/>
    <x v="23"/>
    <n v="360.92"/>
    <n v="7"/>
    <x v="2"/>
    <n v="2"/>
    <n v="1"/>
    <n v="120"/>
    <x v="0"/>
    <x v="2"/>
    <n v="0"/>
    <n v="9"/>
    <x v="2"/>
    <s v="Smartphone"/>
    <x v="1"/>
    <d v="2024-11-10T00:00:00"/>
    <x v="1"/>
    <s v="Yes"/>
    <x v="2"/>
    <x v="1"/>
    <n v="8"/>
    <x v="11"/>
    <s v="Qtr-4"/>
    <x v="1"/>
  </r>
  <r>
    <s v="37-560-7247"/>
    <n v="38"/>
    <x v="2"/>
    <x v="7"/>
    <x v="0"/>
    <s v="Married"/>
    <s v="Master's"/>
    <x v="1"/>
    <s v="Gryfów ?l?ski"/>
    <x v="18"/>
    <x v="19"/>
    <n v="374.36"/>
    <n v="4"/>
    <x v="2"/>
    <n v="2"/>
    <n v="2"/>
    <n v="0"/>
    <x v="0"/>
    <x v="0"/>
    <n v="0.25"/>
    <n v="9"/>
    <x v="0"/>
    <s v="Smartphone"/>
    <x v="3"/>
    <d v="2024-10-03T00:00:00"/>
    <x v="1"/>
    <s v="No"/>
    <x v="1"/>
    <x v="1"/>
    <n v="1"/>
    <x v="2"/>
    <s v="Qtr-4"/>
    <x v="0"/>
  </r>
  <r>
    <s v="91-857-0797"/>
    <n v="22"/>
    <x v="0"/>
    <x v="3"/>
    <x v="1"/>
    <s v="Widowed"/>
    <s v="High School"/>
    <x v="0"/>
    <s v="Pinagsibaan"/>
    <x v="19"/>
    <x v="15"/>
    <n v="435.37"/>
    <n v="11"/>
    <x v="2"/>
    <n v="4"/>
    <n v="2"/>
    <n v="60"/>
    <x v="2"/>
    <x v="2"/>
    <n v="0"/>
    <n v="3"/>
    <x v="1"/>
    <s v="Tablet"/>
    <x v="0"/>
    <d v="2024-08-30T00:00:00"/>
    <x v="0"/>
    <s v="Yes"/>
    <x v="3"/>
    <x v="1"/>
    <n v="4"/>
    <x v="7"/>
    <s v="Qtr-3"/>
    <x v="1"/>
  </r>
  <r>
    <s v="19-344-0102"/>
    <n v="44"/>
    <x v="1"/>
    <x v="1"/>
    <x v="1"/>
    <s v="Single"/>
    <s v="Master's"/>
    <x v="1"/>
    <s v="Jardin"/>
    <x v="38"/>
    <x v="3"/>
    <n v="459.3"/>
    <n v="9"/>
    <x v="2"/>
    <n v="4"/>
    <n v="4"/>
    <n v="60"/>
    <x v="0"/>
    <x v="0"/>
    <n v="0.22222222222222221"/>
    <n v="5"/>
    <x v="3"/>
    <s v="Desktop"/>
    <x v="3"/>
    <d v="2024-10-09T00:00:00"/>
    <x v="1"/>
    <s v="Yes"/>
    <x v="3"/>
    <x v="0"/>
    <n v="1"/>
    <x v="2"/>
    <s v="Qtr-4"/>
    <x v="4"/>
  </r>
  <r>
    <s v="48-609-7715"/>
    <n v="43"/>
    <x v="1"/>
    <x v="0"/>
    <x v="1"/>
    <s v="Divorced"/>
    <s v="Master's"/>
    <x v="0"/>
    <s v="Aguilares"/>
    <x v="56"/>
    <x v="23"/>
    <n v="426.89"/>
    <n v="2"/>
    <x v="0"/>
    <n v="5"/>
    <n v="1"/>
    <n v="60"/>
    <x v="3"/>
    <x v="1"/>
    <n v="0.5"/>
    <n v="3"/>
    <x v="2"/>
    <s v="Smartphone"/>
    <x v="1"/>
    <d v="2024-11-02T00:00:00"/>
    <x v="0"/>
    <s v="No"/>
    <x v="1"/>
    <x v="2"/>
    <n v="10"/>
    <x v="11"/>
    <s v="Qtr-4"/>
    <x v="4"/>
  </r>
  <r>
    <s v="13-571-6506"/>
    <n v="25"/>
    <x v="0"/>
    <x v="1"/>
    <x v="0"/>
    <s v="Divorced"/>
    <s v="Master's"/>
    <x v="1"/>
    <s v="Muslyumovo"/>
    <x v="6"/>
    <x v="9"/>
    <n v="365.37"/>
    <n v="6"/>
    <x v="0"/>
    <n v="1"/>
    <n v="2"/>
    <n v="60"/>
    <x v="2"/>
    <x v="2"/>
    <n v="0.16666666666666666"/>
    <n v="5"/>
    <x v="2"/>
    <s v="Smartphone"/>
    <x v="1"/>
    <d v="2024-07-02T00:00:00"/>
    <x v="0"/>
    <s v="Yes"/>
    <x v="1"/>
    <x v="2"/>
    <n v="7"/>
    <x v="5"/>
    <s v="Qtr-3"/>
    <x v="3"/>
  </r>
  <r>
    <s v="47-073-6440"/>
    <n v="21"/>
    <x v="0"/>
    <x v="0"/>
    <x v="0"/>
    <s v="Divorced"/>
    <s v="Master's"/>
    <x v="1"/>
    <s v="Taiyuan"/>
    <x v="1"/>
    <x v="7"/>
    <n v="487.25"/>
    <n v="4"/>
    <x v="2"/>
    <n v="3"/>
    <n v="2"/>
    <n v="60"/>
    <x v="3"/>
    <x v="2"/>
    <n v="0"/>
    <n v="4"/>
    <x v="1"/>
    <s v="Desktop"/>
    <x v="4"/>
    <d v="2024-10-08T00:00:00"/>
    <x v="1"/>
    <s v="No"/>
    <x v="1"/>
    <x v="1"/>
    <n v="1"/>
    <x v="2"/>
    <s v="Qtr-4"/>
    <x v="1"/>
  </r>
  <r>
    <s v="50-303-1693"/>
    <n v="29"/>
    <x v="0"/>
    <x v="0"/>
    <x v="0"/>
    <s v="Married"/>
    <s v="High School"/>
    <x v="1"/>
    <s v="Chatturat"/>
    <x v="61"/>
    <x v="15"/>
    <n v="187.22"/>
    <n v="10"/>
    <x v="2"/>
    <n v="5"/>
    <n v="3"/>
    <n v="0"/>
    <x v="1"/>
    <x v="2"/>
    <n v="0.1"/>
    <n v="4"/>
    <x v="2"/>
    <s v="Desktop"/>
    <x v="0"/>
    <d v="2024-06-04T00:00:00"/>
    <x v="1"/>
    <s v="No"/>
    <x v="1"/>
    <x v="1"/>
    <n v="4"/>
    <x v="4"/>
    <s v="Qtr-2"/>
    <x v="1"/>
  </r>
  <r>
    <s v="69-157-9577"/>
    <n v="41"/>
    <x v="1"/>
    <x v="1"/>
    <x v="1"/>
    <s v="Divorced"/>
    <s v="Master's"/>
    <x v="1"/>
    <s v="Paisha"/>
    <x v="1"/>
    <x v="16"/>
    <n v="396.82"/>
    <n v="7"/>
    <x v="0"/>
    <n v="3"/>
    <n v="4"/>
    <n v="60"/>
    <x v="0"/>
    <x v="0"/>
    <n v="0.14285714285714285"/>
    <n v="9"/>
    <x v="1"/>
    <s v="Desktop"/>
    <x v="0"/>
    <d v="2024-08-13T00:00:00"/>
    <x v="0"/>
    <s v="Yes"/>
    <x v="0"/>
    <x v="0"/>
    <n v="9"/>
    <x v="7"/>
    <s v="Qtr-3"/>
    <x v="1"/>
  </r>
  <r>
    <s v="09-513-4923"/>
    <n v="38"/>
    <x v="2"/>
    <x v="3"/>
    <x v="1"/>
    <s v="Divorced"/>
    <s v="Master's"/>
    <x v="1"/>
    <s v="Kadugadung"/>
    <x v="4"/>
    <x v="22"/>
    <n v="246.74"/>
    <n v="10"/>
    <x v="2"/>
    <n v="2"/>
    <n v="3"/>
    <n v="0"/>
    <x v="1"/>
    <x v="1"/>
    <n v="0.1"/>
    <n v="6"/>
    <x v="1"/>
    <s v="Desktop"/>
    <x v="1"/>
    <d v="2024-03-27T00:00:00"/>
    <x v="1"/>
    <s v="No"/>
    <x v="0"/>
    <x v="2"/>
    <n v="8"/>
    <x v="0"/>
    <s v="Qtr-1"/>
    <x v="1"/>
  </r>
  <r>
    <s v="82-975-8569"/>
    <n v="26"/>
    <x v="0"/>
    <x v="1"/>
    <x v="1"/>
    <s v="Widowed"/>
    <s v="Bachelor's"/>
    <x v="1"/>
    <s v="Paris 15"/>
    <x v="0"/>
    <x v="8"/>
    <n v="128.74"/>
    <n v="12"/>
    <x v="0"/>
    <n v="5"/>
    <n v="1"/>
    <n v="60"/>
    <x v="1"/>
    <x v="0"/>
    <n v="8.3333333333333329E-2"/>
    <n v="8"/>
    <x v="1"/>
    <s v="Desktop"/>
    <x v="1"/>
    <d v="2024-01-06T00:00:00"/>
    <x v="1"/>
    <s v="Yes"/>
    <x v="3"/>
    <x v="1"/>
    <n v="1"/>
    <x v="3"/>
    <s v="Qtr-1"/>
    <x v="0"/>
  </r>
  <r>
    <s v="70-774-7728"/>
    <n v="41"/>
    <x v="1"/>
    <x v="0"/>
    <x v="0"/>
    <s v="Widowed"/>
    <s v="Master's"/>
    <x v="0"/>
    <s v="Dualing"/>
    <x v="19"/>
    <x v="16"/>
    <n v="339.63"/>
    <n v="2"/>
    <x v="1"/>
    <n v="3"/>
    <n v="3"/>
    <n v="120"/>
    <x v="1"/>
    <x v="2"/>
    <n v="1"/>
    <n v="1"/>
    <x v="2"/>
    <s v="Tablet"/>
    <x v="1"/>
    <d v="2024-08-26T00:00:00"/>
    <x v="0"/>
    <s v="No"/>
    <x v="2"/>
    <x v="0"/>
    <n v="6"/>
    <x v="7"/>
    <s v="Qtr-3"/>
    <x v="1"/>
  </r>
  <r>
    <s v="13-015-8097"/>
    <n v="46"/>
    <x v="1"/>
    <x v="0"/>
    <x v="1"/>
    <s v="Single"/>
    <s v="Bachelor's"/>
    <x v="1"/>
    <s v="Adelaide"/>
    <x v="96"/>
    <x v="6"/>
    <n v="223.58"/>
    <n v="11"/>
    <x v="0"/>
    <n v="4"/>
    <n v="3"/>
    <n v="0"/>
    <x v="3"/>
    <x v="2"/>
    <n v="0"/>
    <n v="6"/>
    <x v="0"/>
    <s v="Tablet"/>
    <x v="1"/>
    <d v="2024-05-20T00:00:00"/>
    <x v="1"/>
    <s v="No"/>
    <x v="2"/>
    <x v="0"/>
    <n v="11"/>
    <x v="9"/>
    <s v="Qtr-2"/>
    <x v="6"/>
  </r>
  <r>
    <s v="68-391-7279"/>
    <n v="39"/>
    <x v="2"/>
    <x v="7"/>
    <x v="1"/>
    <s v="Widowed"/>
    <s v="Bachelor's"/>
    <x v="0"/>
    <s v="Pingshi"/>
    <x v="1"/>
    <x v="0"/>
    <n v="446.92"/>
    <n v="5"/>
    <x v="0"/>
    <n v="1"/>
    <n v="1"/>
    <n v="60"/>
    <x v="1"/>
    <x v="2"/>
    <n v="0.4"/>
    <n v="6"/>
    <x v="0"/>
    <s v="Smartphone"/>
    <x v="1"/>
    <d v="2024-07-19T00:00:00"/>
    <x v="0"/>
    <s v="No"/>
    <x v="3"/>
    <x v="2"/>
    <n v="10"/>
    <x v="5"/>
    <s v="Qtr-3"/>
    <x v="1"/>
  </r>
  <r>
    <s v="28-764-3337"/>
    <n v="43"/>
    <x v="1"/>
    <x v="1"/>
    <x v="0"/>
    <s v="Divorced"/>
    <s v="Bachelor's"/>
    <x v="0"/>
    <s v="Renshan"/>
    <x v="1"/>
    <x v="13"/>
    <n v="175.65"/>
    <n v="11"/>
    <x v="0"/>
    <n v="4"/>
    <n v="3"/>
    <n v="120"/>
    <x v="2"/>
    <x v="1"/>
    <n v="9.0909090909090912E-2"/>
    <n v="7"/>
    <x v="0"/>
    <s v="Tablet"/>
    <x v="3"/>
    <d v="2024-12-08T00:00:00"/>
    <x v="1"/>
    <s v="Yes"/>
    <x v="1"/>
    <x v="2"/>
    <n v="8"/>
    <x v="6"/>
    <s v="Qtr-4"/>
    <x v="1"/>
  </r>
  <r>
    <s v="00-285-9607"/>
    <n v="44"/>
    <x v="1"/>
    <x v="3"/>
    <x v="0"/>
    <s v="Married"/>
    <s v="Bachelor's"/>
    <x v="0"/>
    <s v="Sobinka"/>
    <x v="6"/>
    <x v="20"/>
    <n v="491.49"/>
    <n v="10"/>
    <x v="0"/>
    <n v="1"/>
    <n v="1"/>
    <n v="0"/>
    <x v="2"/>
    <x v="0"/>
    <n v="0.2"/>
    <n v="7"/>
    <x v="0"/>
    <s v="Desktop"/>
    <x v="1"/>
    <d v="2024-05-28T00:00:00"/>
    <x v="1"/>
    <s v="No"/>
    <x v="3"/>
    <x v="1"/>
    <n v="1"/>
    <x v="9"/>
    <s v="Qtr-2"/>
    <x v="3"/>
  </r>
  <r>
    <s v="04-832-3559"/>
    <n v="26"/>
    <x v="0"/>
    <x v="1"/>
    <x v="0"/>
    <s v="Widowed"/>
    <s v="Bachelor's"/>
    <x v="0"/>
    <s v="Narol"/>
    <x v="18"/>
    <x v="21"/>
    <n v="88.4"/>
    <n v="5"/>
    <x v="1"/>
    <n v="5"/>
    <n v="2"/>
    <n v="0"/>
    <x v="1"/>
    <x v="1"/>
    <n v="0"/>
    <n v="4"/>
    <x v="3"/>
    <s v="Desktop"/>
    <x v="4"/>
    <d v="2024-05-26T00:00:00"/>
    <x v="0"/>
    <s v="No"/>
    <x v="0"/>
    <x v="0"/>
    <n v="4"/>
    <x v="9"/>
    <s v="Qtr-2"/>
    <x v="0"/>
  </r>
  <r>
    <s v="27-613-5005"/>
    <n v="29"/>
    <x v="0"/>
    <x v="1"/>
    <x v="0"/>
    <s v="Widowed"/>
    <s v="Master's"/>
    <x v="1"/>
    <s v="Fresno"/>
    <x v="10"/>
    <x v="2"/>
    <n v="430.9"/>
    <n v="8"/>
    <x v="2"/>
    <n v="4"/>
    <n v="5"/>
    <n v="60"/>
    <x v="3"/>
    <x v="1"/>
    <n v="0"/>
    <n v="6"/>
    <x v="0"/>
    <s v="Tablet"/>
    <x v="0"/>
    <d v="2024-06-06T00:00:00"/>
    <x v="1"/>
    <s v="No"/>
    <x v="1"/>
    <x v="1"/>
    <n v="11"/>
    <x v="4"/>
    <s v="Qtr-2"/>
    <x v="2"/>
  </r>
  <r>
    <s v="49-825-3438"/>
    <n v="50"/>
    <x v="1"/>
    <x v="1"/>
    <x v="1"/>
    <s v="Widowed"/>
    <s v="High School"/>
    <x v="1"/>
    <s v="Vabalninkas"/>
    <x v="65"/>
    <x v="7"/>
    <n v="435.23"/>
    <n v="2"/>
    <x v="1"/>
    <n v="2"/>
    <n v="4"/>
    <n v="0"/>
    <x v="0"/>
    <x v="0"/>
    <n v="1"/>
    <n v="2"/>
    <x v="3"/>
    <s v="Smartphone"/>
    <x v="4"/>
    <d v="2024-02-27T00:00:00"/>
    <x v="1"/>
    <s v="Yes"/>
    <x v="2"/>
    <x v="2"/>
    <n v="13"/>
    <x v="8"/>
    <s v="Qtr-1"/>
    <x v="0"/>
  </r>
  <r>
    <s v="31-783-9785"/>
    <n v="19"/>
    <x v="3"/>
    <x v="0"/>
    <x v="1"/>
    <s v="Divorced"/>
    <s v="Master's"/>
    <x v="0"/>
    <s v="Jambuwerkrajan"/>
    <x v="4"/>
    <x v="16"/>
    <n v="218.65"/>
    <n v="3"/>
    <x v="2"/>
    <n v="4"/>
    <n v="2"/>
    <n v="120"/>
    <x v="2"/>
    <x v="2"/>
    <n v="0"/>
    <n v="9"/>
    <x v="3"/>
    <s v="Smartphone"/>
    <x v="0"/>
    <d v="2024-07-17T00:00:00"/>
    <x v="0"/>
    <s v="Yes"/>
    <x v="2"/>
    <x v="1"/>
    <n v="4"/>
    <x v="5"/>
    <s v="Qtr-3"/>
    <x v="1"/>
  </r>
  <r>
    <s v="58-059-8187"/>
    <n v="27"/>
    <x v="0"/>
    <x v="1"/>
    <x v="1"/>
    <s v="Widowed"/>
    <s v="High School"/>
    <x v="0"/>
    <s v="Ozubulu"/>
    <x v="29"/>
    <x v="18"/>
    <n v="207.66"/>
    <n v="10"/>
    <x v="1"/>
    <n v="2"/>
    <n v="3"/>
    <n v="60"/>
    <x v="3"/>
    <x v="2"/>
    <n v="0.2"/>
    <n v="2"/>
    <x v="3"/>
    <s v="Desktop"/>
    <x v="3"/>
    <d v="2024-07-08T00:00:00"/>
    <x v="1"/>
    <s v="Yes"/>
    <x v="1"/>
    <x v="1"/>
    <n v="8"/>
    <x v="5"/>
    <s v="Qtr-3"/>
    <x v="5"/>
  </r>
  <r>
    <s v="74-882-6648"/>
    <n v="34"/>
    <x v="2"/>
    <x v="0"/>
    <x v="1"/>
    <s v="Married"/>
    <s v="High School"/>
    <x v="1"/>
    <s v="Nakhchivan"/>
    <x v="89"/>
    <x v="17"/>
    <n v="141.09"/>
    <n v="7"/>
    <x v="1"/>
    <n v="3"/>
    <n v="4"/>
    <n v="0"/>
    <x v="3"/>
    <x v="2"/>
    <n v="0.2857142857142857"/>
    <n v="3"/>
    <x v="1"/>
    <s v="Desktop"/>
    <x v="2"/>
    <d v="2024-06-19T00:00:00"/>
    <x v="1"/>
    <s v="Yes"/>
    <x v="1"/>
    <x v="2"/>
    <n v="1"/>
    <x v="4"/>
    <s v="Qtr-2"/>
    <x v="1"/>
  </r>
  <r>
    <s v="03-180-9200"/>
    <n v="39"/>
    <x v="2"/>
    <x v="1"/>
    <x v="1"/>
    <s v="Divorced"/>
    <s v="Bachelor's"/>
    <x v="0"/>
    <s v="Curumaní"/>
    <x v="38"/>
    <x v="12"/>
    <n v="142.69999999999999"/>
    <n v="6"/>
    <x v="1"/>
    <n v="3"/>
    <n v="2"/>
    <n v="60"/>
    <x v="0"/>
    <x v="2"/>
    <n v="0"/>
    <n v="4"/>
    <x v="0"/>
    <s v="Desktop"/>
    <x v="0"/>
    <d v="2024-05-17T00:00:00"/>
    <x v="1"/>
    <s v="Yes"/>
    <x v="2"/>
    <x v="0"/>
    <n v="11"/>
    <x v="9"/>
    <s v="Qtr-2"/>
    <x v="4"/>
  </r>
  <r>
    <s v="46-578-1425"/>
    <n v="44"/>
    <x v="1"/>
    <x v="1"/>
    <x v="1"/>
    <s v="Divorced"/>
    <s v="Master's"/>
    <x v="1"/>
    <s v="Praia"/>
    <x v="97"/>
    <x v="9"/>
    <n v="64.09"/>
    <n v="10"/>
    <x v="2"/>
    <n v="5"/>
    <n v="5"/>
    <n v="0"/>
    <x v="0"/>
    <x v="0"/>
    <n v="0"/>
    <n v="6"/>
    <x v="2"/>
    <s v="Desktop"/>
    <x v="0"/>
    <d v="2024-10-20T00:00:00"/>
    <x v="0"/>
    <s v="No"/>
    <x v="0"/>
    <x v="2"/>
    <n v="7"/>
    <x v="2"/>
    <s v="Qtr-4"/>
    <x v="5"/>
  </r>
  <r>
    <s v="13-588-5783"/>
    <n v="20"/>
    <x v="0"/>
    <x v="0"/>
    <x v="0"/>
    <s v="Married"/>
    <s v="High School"/>
    <x v="0"/>
    <s v="São Cristóvão"/>
    <x v="14"/>
    <x v="16"/>
    <n v="126.26"/>
    <n v="2"/>
    <x v="2"/>
    <n v="4"/>
    <n v="5"/>
    <n v="60"/>
    <x v="0"/>
    <x v="0"/>
    <n v="0.5"/>
    <n v="6"/>
    <x v="0"/>
    <s v="Smartphone"/>
    <x v="2"/>
    <d v="2024-09-19T00:00:00"/>
    <x v="0"/>
    <s v="No"/>
    <x v="3"/>
    <x v="1"/>
    <n v="13"/>
    <x v="10"/>
    <s v="Qtr-3"/>
    <x v="4"/>
  </r>
  <r>
    <s v="25-085-7917"/>
    <n v="42"/>
    <x v="1"/>
    <x v="0"/>
    <x v="0"/>
    <s v="Single"/>
    <s v="High School"/>
    <x v="1"/>
    <s v="Pallisa"/>
    <x v="82"/>
    <x v="11"/>
    <n v="195.05"/>
    <n v="5"/>
    <x v="1"/>
    <n v="2"/>
    <n v="1"/>
    <n v="120"/>
    <x v="1"/>
    <x v="1"/>
    <n v="0"/>
    <n v="10"/>
    <x v="1"/>
    <s v="Smartphone"/>
    <x v="3"/>
    <d v="2024-05-21T00:00:00"/>
    <x v="0"/>
    <s v="No"/>
    <x v="2"/>
    <x v="0"/>
    <n v="11"/>
    <x v="9"/>
    <s v="Qtr-2"/>
    <x v="5"/>
  </r>
  <r>
    <s v="66-085-1226"/>
    <n v="22"/>
    <x v="0"/>
    <x v="0"/>
    <x v="0"/>
    <s v="Married"/>
    <s v="Master's"/>
    <x v="1"/>
    <s v="San Pascual"/>
    <x v="19"/>
    <x v="19"/>
    <n v="432.84"/>
    <n v="7"/>
    <x v="0"/>
    <n v="4"/>
    <n v="5"/>
    <n v="120"/>
    <x v="3"/>
    <x v="2"/>
    <n v="0"/>
    <n v="1"/>
    <x v="1"/>
    <s v="Tablet"/>
    <x v="2"/>
    <d v="2024-02-05T00:00:00"/>
    <x v="1"/>
    <s v="No"/>
    <x v="1"/>
    <x v="0"/>
    <n v="4"/>
    <x v="8"/>
    <s v="Qtr-1"/>
    <x v="1"/>
  </r>
  <r>
    <s v="37-037-1765"/>
    <n v="30"/>
    <x v="2"/>
    <x v="1"/>
    <x v="1"/>
    <s v="Married"/>
    <s v="Bachelor's"/>
    <x v="0"/>
    <s v="‘A???rah ash Sham?l?yah"/>
    <x v="20"/>
    <x v="23"/>
    <n v="404.12"/>
    <n v="6"/>
    <x v="1"/>
    <n v="1"/>
    <n v="3"/>
    <n v="60"/>
    <x v="3"/>
    <x v="2"/>
    <n v="0"/>
    <n v="4"/>
    <x v="2"/>
    <s v="Smartphone"/>
    <x v="2"/>
    <d v="2024-02-29T00:00:00"/>
    <x v="1"/>
    <s v="No"/>
    <x v="2"/>
    <x v="2"/>
    <n v="11"/>
    <x v="8"/>
    <s v="Qtr-1"/>
    <x v="1"/>
  </r>
  <r>
    <s v="48-630-6410"/>
    <n v="39"/>
    <x v="2"/>
    <x v="1"/>
    <x v="1"/>
    <s v="Divorced"/>
    <s v="Master's"/>
    <x v="1"/>
    <s v="Dom Pedrito"/>
    <x v="14"/>
    <x v="19"/>
    <n v="438.26"/>
    <n v="10"/>
    <x v="1"/>
    <n v="3"/>
    <n v="4"/>
    <n v="60"/>
    <x v="0"/>
    <x v="0"/>
    <n v="0.1"/>
    <n v="3"/>
    <x v="3"/>
    <s v="Smartphone"/>
    <x v="2"/>
    <d v="2024-07-04T00:00:00"/>
    <x v="0"/>
    <s v="No"/>
    <x v="3"/>
    <x v="2"/>
    <n v="10"/>
    <x v="5"/>
    <s v="Qtr-3"/>
    <x v="4"/>
  </r>
  <r>
    <s v="50-471-0212"/>
    <n v="19"/>
    <x v="3"/>
    <x v="0"/>
    <x v="1"/>
    <s v="Single"/>
    <s v="Bachelor's"/>
    <x v="1"/>
    <s v="San Sebastián de Yalí"/>
    <x v="2"/>
    <x v="23"/>
    <n v="233.02"/>
    <n v="4"/>
    <x v="0"/>
    <n v="3"/>
    <n v="3"/>
    <n v="60"/>
    <x v="1"/>
    <x v="1"/>
    <n v="0"/>
    <n v="3"/>
    <x v="3"/>
    <s v="Smartphone"/>
    <x v="4"/>
    <d v="2024-10-29T00:00:00"/>
    <x v="1"/>
    <s v="No"/>
    <x v="2"/>
    <x v="1"/>
    <n v="8"/>
    <x v="2"/>
    <s v="Qtr-4"/>
    <x v="2"/>
  </r>
  <r>
    <s v="48-642-5768"/>
    <n v="26"/>
    <x v="0"/>
    <x v="0"/>
    <x v="0"/>
    <s v="Widowed"/>
    <s v="Bachelor's"/>
    <x v="0"/>
    <s v="Shchëkino"/>
    <x v="6"/>
    <x v="12"/>
    <n v="273.41000000000003"/>
    <n v="7"/>
    <x v="2"/>
    <n v="3"/>
    <n v="5"/>
    <n v="120"/>
    <x v="2"/>
    <x v="2"/>
    <n v="0"/>
    <n v="9"/>
    <x v="3"/>
    <s v="Tablet"/>
    <x v="3"/>
    <d v="2024-10-17T00:00:00"/>
    <x v="0"/>
    <s v="No"/>
    <x v="3"/>
    <x v="1"/>
    <n v="2"/>
    <x v="2"/>
    <s v="Qtr-4"/>
    <x v="3"/>
  </r>
  <r>
    <s v="15-152-9751"/>
    <n v="21"/>
    <x v="0"/>
    <x v="0"/>
    <x v="1"/>
    <s v="Married"/>
    <s v="High School"/>
    <x v="0"/>
    <s v="Turkestan"/>
    <x v="62"/>
    <x v="4"/>
    <n v="338.96"/>
    <n v="10"/>
    <x v="2"/>
    <n v="1"/>
    <n v="4"/>
    <n v="120"/>
    <x v="3"/>
    <x v="0"/>
    <n v="0.1"/>
    <n v="9"/>
    <x v="1"/>
    <s v="Desktop"/>
    <x v="2"/>
    <d v="2024-11-04T00:00:00"/>
    <x v="0"/>
    <s v="Yes"/>
    <x v="1"/>
    <x v="1"/>
    <n v="4"/>
    <x v="11"/>
    <s v="Qtr-4"/>
    <x v="1"/>
  </r>
  <r>
    <s v="23-451-9920"/>
    <n v="37"/>
    <x v="2"/>
    <x v="1"/>
    <x v="0"/>
    <s v="Divorced"/>
    <s v="Master's"/>
    <x v="1"/>
    <s v="Rzeczenica"/>
    <x v="18"/>
    <x v="8"/>
    <n v="75.91"/>
    <n v="12"/>
    <x v="0"/>
    <n v="3"/>
    <n v="5"/>
    <n v="120"/>
    <x v="2"/>
    <x v="2"/>
    <n v="0"/>
    <n v="6"/>
    <x v="0"/>
    <s v="Desktop"/>
    <x v="1"/>
    <d v="2024-11-21T00:00:00"/>
    <x v="0"/>
    <s v="Yes"/>
    <x v="3"/>
    <x v="0"/>
    <n v="1"/>
    <x v="11"/>
    <s v="Qtr-4"/>
    <x v="0"/>
  </r>
  <r>
    <s v="09-775-4058"/>
    <n v="23"/>
    <x v="0"/>
    <x v="1"/>
    <x v="1"/>
    <s v="Married"/>
    <s v="High School"/>
    <x v="1"/>
    <s v="Perzów"/>
    <x v="18"/>
    <x v="7"/>
    <n v="425.21"/>
    <n v="12"/>
    <x v="2"/>
    <n v="2"/>
    <n v="4"/>
    <n v="120"/>
    <x v="2"/>
    <x v="0"/>
    <n v="0"/>
    <n v="4"/>
    <x v="1"/>
    <s v="Desktop"/>
    <x v="3"/>
    <d v="2024-03-25T00:00:00"/>
    <x v="0"/>
    <s v="Yes"/>
    <x v="3"/>
    <x v="2"/>
    <n v="12"/>
    <x v="0"/>
    <s v="Qtr-1"/>
    <x v="0"/>
  </r>
  <r>
    <s v="43-595-0966"/>
    <n v="46"/>
    <x v="1"/>
    <x v="1"/>
    <x v="0"/>
    <s v="Married"/>
    <s v="Master's"/>
    <x v="0"/>
    <s v="Sabon Gari-Nangere"/>
    <x v="29"/>
    <x v="14"/>
    <n v="268.8"/>
    <n v="2"/>
    <x v="1"/>
    <n v="1"/>
    <n v="3"/>
    <n v="0"/>
    <x v="3"/>
    <x v="2"/>
    <n v="0.5"/>
    <n v="7"/>
    <x v="0"/>
    <s v="Desktop"/>
    <x v="2"/>
    <d v="2024-04-20T00:00:00"/>
    <x v="1"/>
    <s v="No"/>
    <x v="0"/>
    <x v="1"/>
    <n v="12"/>
    <x v="1"/>
    <s v="Qtr-2"/>
    <x v="5"/>
  </r>
  <r>
    <s v="56-592-0089"/>
    <n v="35"/>
    <x v="2"/>
    <x v="0"/>
    <x v="0"/>
    <s v="Divorced"/>
    <s v="Master's"/>
    <x v="1"/>
    <s v="Hengshui"/>
    <x v="1"/>
    <x v="10"/>
    <n v="170.71"/>
    <n v="10"/>
    <x v="0"/>
    <n v="5"/>
    <n v="3"/>
    <n v="0"/>
    <x v="2"/>
    <x v="0"/>
    <n v="0.1"/>
    <n v="9"/>
    <x v="2"/>
    <s v="Desktop"/>
    <x v="0"/>
    <d v="2024-04-14T00:00:00"/>
    <x v="0"/>
    <s v="Yes"/>
    <x v="3"/>
    <x v="0"/>
    <n v="7"/>
    <x v="1"/>
    <s v="Qtr-2"/>
    <x v="1"/>
  </r>
  <r>
    <s v="29-374-1297"/>
    <n v="33"/>
    <x v="2"/>
    <x v="4"/>
    <x v="0"/>
    <s v="Widowed"/>
    <s v="High School"/>
    <x v="0"/>
    <s v="Nantes"/>
    <x v="0"/>
    <x v="9"/>
    <n v="444.05"/>
    <n v="10"/>
    <x v="2"/>
    <n v="5"/>
    <n v="4"/>
    <n v="0"/>
    <x v="2"/>
    <x v="1"/>
    <n v="0.1"/>
    <n v="8"/>
    <x v="3"/>
    <s v="Desktop"/>
    <x v="1"/>
    <d v="2024-06-04T00:00:00"/>
    <x v="0"/>
    <s v="Yes"/>
    <x v="1"/>
    <x v="1"/>
    <n v="8"/>
    <x v="4"/>
    <s v="Qtr-2"/>
    <x v="0"/>
  </r>
  <r>
    <s v="80-728-6133"/>
    <n v="47"/>
    <x v="1"/>
    <x v="1"/>
    <x v="0"/>
    <s v="Divorced"/>
    <s v="High School"/>
    <x v="0"/>
    <s v="Tamorot"/>
    <x v="79"/>
    <x v="0"/>
    <n v="255.1"/>
    <n v="5"/>
    <x v="0"/>
    <n v="5"/>
    <n v="1"/>
    <n v="120"/>
    <x v="3"/>
    <x v="2"/>
    <n v="0.2"/>
    <n v="1"/>
    <x v="2"/>
    <s v="Desktop"/>
    <x v="1"/>
    <d v="2024-01-28T00:00:00"/>
    <x v="0"/>
    <s v="No"/>
    <x v="3"/>
    <x v="0"/>
    <n v="14"/>
    <x v="3"/>
    <s v="Qtr-1"/>
    <x v="5"/>
  </r>
  <r>
    <s v="58-502-7490"/>
    <n v="32"/>
    <x v="2"/>
    <x v="1"/>
    <x v="1"/>
    <s v="Widowed"/>
    <s v="Bachelor's"/>
    <x v="1"/>
    <s v="Sinchao"/>
    <x v="42"/>
    <x v="18"/>
    <n v="236.44"/>
    <n v="6"/>
    <x v="0"/>
    <n v="4"/>
    <n v="4"/>
    <n v="0"/>
    <x v="1"/>
    <x v="2"/>
    <n v="0.33333333333333331"/>
    <n v="2"/>
    <x v="0"/>
    <s v="Smartphone"/>
    <x v="1"/>
    <d v="2024-05-15T00:00:00"/>
    <x v="1"/>
    <s v="No"/>
    <x v="2"/>
    <x v="1"/>
    <n v="6"/>
    <x v="9"/>
    <s v="Qtr-2"/>
    <x v="4"/>
  </r>
  <r>
    <s v="23-537-0742"/>
    <n v="20"/>
    <x v="0"/>
    <x v="1"/>
    <x v="0"/>
    <s v="Widowed"/>
    <s v="Bachelor's"/>
    <x v="1"/>
    <s v="Anding"/>
    <x v="1"/>
    <x v="4"/>
    <n v="201.69"/>
    <n v="11"/>
    <x v="0"/>
    <n v="4"/>
    <n v="5"/>
    <n v="0"/>
    <x v="3"/>
    <x v="2"/>
    <n v="0.18181818181818182"/>
    <n v="8"/>
    <x v="2"/>
    <s v="Tablet"/>
    <x v="3"/>
    <d v="2024-07-19T00:00:00"/>
    <x v="0"/>
    <s v="No"/>
    <x v="3"/>
    <x v="0"/>
    <n v="3"/>
    <x v="5"/>
    <s v="Qtr-3"/>
    <x v="1"/>
  </r>
  <r>
    <s v="22-483-3115"/>
    <n v="37"/>
    <x v="2"/>
    <x v="0"/>
    <x v="1"/>
    <s v="Single"/>
    <s v="Bachelor's"/>
    <x v="0"/>
    <s v="Rukem"/>
    <x v="4"/>
    <x v="17"/>
    <n v="390.51"/>
    <n v="6"/>
    <x v="2"/>
    <n v="3"/>
    <n v="2"/>
    <n v="0"/>
    <x v="1"/>
    <x v="2"/>
    <n v="0"/>
    <n v="2"/>
    <x v="1"/>
    <s v="Desktop"/>
    <x v="4"/>
    <d v="2024-04-15T00:00:00"/>
    <x v="1"/>
    <s v="No"/>
    <x v="1"/>
    <x v="2"/>
    <n v="6"/>
    <x v="1"/>
    <s v="Qtr-2"/>
    <x v="1"/>
  </r>
  <r>
    <s v="57-372-5969"/>
    <n v="35"/>
    <x v="2"/>
    <x v="4"/>
    <x v="1"/>
    <s v="Divorced"/>
    <s v="Master's"/>
    <x v="1"/>
    <s v="Bogovarovo"/>
    <x v="6"/>
    <x v="20"/>
    <n v="442.29"/>
    <n v="9"/>
    <x v="0"/>
    <n v="1"/>
    <n v="2"/>
    <n v="0"/>
    <x v="1"/>
    <x v="0"/>
    <n v="0.1111111111111111"/>
    <n v="2"/>
    <x v="2"/>
    <s v="Tablet"/>
    <x v="1"/>
    <d v="2024-09-11T00:00:00"/>
    <x v="1"/>
    <s v="No"/>
    <x v="3"/>
    <x v="2"/>
    <n v="13"/>
    <x v="10"/>
    <s v="Qtr-3"/>
    <x v="3"/>
  </r>
  <r>
    <s v="37-283-9076"/>
    <n v="18"/>
    <x v="3"/>
    <x v="0"/>
    <x v="0"/>
    <s v="Single"/>
    <s v="High School"/>
    <x v="1"/>
    <s v="Valbo"/>
    <x v="5"/>
    <x v="4"/>
    <n v="89.6"/>
    <n v="7"/>
    <x v="1"/>
    <n v="5"/>
    <n v="3"/>
    <n v="120"/>
    <x v="0"/>
    <x v="1"/>
    <n v="0.14285714285714285"/>
    <n v="5"/>
    <x v="2"/>
    <s v="Desktop"/>
    <x v="4"/>
    <d v="2024-03-10T00:00:00"/>
    <x v="1"/>
    <s v="No"/>
    <x v="3"/>
    <x v="1"/>
    <n v="8"/>
    <x v="0"/>
    <s v="Qtr-1"/>
    <x v="0"/>
  </r>
  <r>
    <s v="39-075-3518"/>
    <n v="27"/>
    <x v="0"/>
    <x v="1"/>
    <x v="0"/>
    <s v="Widowed"/>
    <s v="High School"/>
    <x v="1"/>
    <s v="Jaguaruana"/>
    <x v="14"/>
    <x v="6"/>
    <n v="166.74"/>
    <n v="6"/>
    <x v="0"/>
    <n v="2"/>
    <n v="5"/>
    <n v="0"/>
    <x v="3"/>
    <x v="1"/>
    <n v="0"/>
    <n v="6"/>
    <x v="2"/>
    <s v="Desktop"/>
    <x v="3"/>
    <d v="2024-01-14T00:00:00"/>
    <x v="1"/>
    <s v="No"/>
    <x v="2"/>
    <x v="0"/>
    <n v="1"/>
    <x v="3"/>
    <s v="Qtr-1"/>
    <x v="4"/>
  </r>
  <r>
    <s v="84-315-7189"/>
    <n v="29"/>
    <x v="0"/>
    <x v="0"/>
    <x v="1"/>
    <s v="Married"/>
    <s v="Bachelor's"/>
    <x v="0"/>
    <s v="?qchah Kh?nah"/>
    <x v="74"/>
    <x v="7"/>
    <n v="299.27999999999997"/>
    <n v="12"/>
    <x v="0"/>
    <n v="4"/>
    <n v="5"/>
    <n v="60"/>
    <x v="3"/>
    <x v="0"/>
    <n v="0"/>
    <n v="9"/>
    <x v="1"/>
    <s v="Smartphone"/>
    <x v="2"/>
    <d v="2024-05-29T00:00:00"/>
    <x v="1"/>
    <s v="No"/>
    <x v="1"/>
    <x v="1"/>
    <n v="3"/>
    <x v="9"/>
    <s v="Qtr-2"/>
    <x v="1"/>
  </r>
  <r>
    <s v="75-964-5589"/>
    <n v="24"/>
    <x v="0"/>
    <x v="1"/>
    <x v="1"/>
    <s v="Widowed"/>
    <s v="Master's"/>
    <x v="1"/>
    <s v="Lipovci"/>
    <x v="55"/>
    <x v="6"/>
    <n v="404.57"/>
    <n v="5"/>
    <x v="0"/>
    <n v="4"/>
    <n v="3"/>
    <n v="0"/>
    <x v="1"/>
    <x v="1"/>
    <n v="0.4"/>
    <n v="7"/>
    <x v="0"/>
    <s v="Smartphone"/>
    <x v="2"/>
    <d v="2024-08-31T00:00:00"/>
    <x v="1"/>
    <s v="Yes"/>
    <x v="0"/>
    <x v="2"/>
    <n v="14"/>
    <x v="7"/>
    <s v="Qtr-3"/>
    <x v="0"/>
  </r>
  <r>
    <s v="06-594-3417"/>
    <n v="27"/>
    <x v="0"/>
    <x v="1"/>
    <x v="1"/>
    <s v="Single"/>
    <s v="Bachelor's"/>
    <x v="1"/>
    <s v="Panagyurishte"/>
    <x v="98"/>
    <x v="14"/>
    <n v="344.81"/>
    <n v="10"/>
    <x v="1"/>
    <n v="3"/>
    <n v="1"/>
    <n v="120"/>
    <x v="2"/>
    <x v="0"/>
    <n v="0.1"/>
    <n v="9"/>
    <x v="1"/>
    <s v="Desktop"/>
    <x v="3"/>
    <d v="2024-12-23T00:00:00"/>
    <x v="0"/>
    <s v="Yes"/>
    <x v="1"/>
    <x v="2"/>
    <n v="14"/>
    <x v="6"/>
    <s v="Qtr-4"/>
    <x v="0"/>
  </r>
  <r>
    <s v="08-297-3351"/>
    <n v="34"/>
    <x v="2"/>
    <x v="1"/>
    <x v="1"/>
    <s v="Single"/>
    <s v="Master's"/>
    <x v="1"/>
    <s v="Th? Tr?n Than Uyên"/>
    <x v="84"/>
    <x v="10"/>
    <n v="217.84"/>
    <n v="10"/>
    <x v="2"/>
    <n v="2"/>
    <n v="2"/>
    <n v="120"/>
    <x v="0"/>
    <x v="2"/>
    <n v="0"/>
    <n v="8"/>
    <x v="1"/>
    <s v="Tablet"/>
    <x v="4"/>
    <d v="2024-01-16T00:00:00"/>
    <x v="0"/>
    <s v="Yes"/>
    <x v="1"/>
    <x v="1"/>
    <n v="11"/>
    <x v="3"/>
    <s v="Qtr-1"/>
    <x v="1"/>
  </r>
  <r>
    <s v="05-546-5128"/>
    <n v="21"/>
    <x v="0"/>
    <x v="1"/>
    <x v="0"/>
    <s v="Divorced"/>
    <s v="Bachelor's"/>
    <x v="0"/>
    <s v="Clichy"/>
    <x v="0"/>
    <x v="6"/>
    <n v="445.34"/>
    <n v="9"/>
    <x v="1"/>
    <n v="5"/>
    <n v="2"/>
    <n v="60"/>
    <x v="2"/>
    <x v="0"/>
    <n v="0.1111111111111111"/>
    <n v="3"/>
    <x v="1"/>
    <s v="Tablet"/>
    <x v="4"/>
    <d v="2024-03-04T00:00:00"/>
    <x v="0"/>
    <s v="Yes"/>
    <x v="2"/>
    <x v="0"/>
    <n v="3"/>
    <x v="0"/>
    <s v="Qtr-1"/>
    <x v="0"/>
  </r>
  <r>
    <s v="79-759-6726"/>
    <n v="18"/>
    <x v="3"/>
    <x v="1"/>
    <x v="1"/>
    <s v="Widowed"/>
    <s v="High School"/>
    <x v="1"/>
    <s v="K?oczew"/>
    <x v="18"/>
    <x v="3"/>
    <n v="151.72999999999999"/>
    <n v="3"/>
    <x v="1"/>
    <n v="2"/>
    <n v="4"/>
    <n v="60"/>
    <x v="1"/>
    <x v="2"/>
    <n v="0.33333333333333331"/>
    <n v="3"/>
    <x v="0"/>
    <s v="Smartphone"/>
    <x v="3"/>
    <d v="2024-09-24T00:00:00"/>
    <x v="1"/>
    <s v="Yes"/>
    <x v="1"/>
    <x v="2"/>
    <n v="11"/>
    <x v="10"/>
    <s v="Qtr-3"/>
    <x v="0"/>
  </r>
  <r>
    <s v="12-851-1771"/>
    <n v="50"/>
    <x v="1"/>
    <x v="2"/>
    <x v="1"/>
    <s v="Married"/>
    <s v="High School"/>
    <x v="1"/>
    <s v="Zhukovo"/>
    <x v="6"/>
    <x v="13"/>
    <n v="123.73"/>
    <n v="9"/>
    <x v="2"/>
    <n v="1"/>
    <n v="4"/>
    <n v="0"/>
    <x v="3"/>
    <x v="1"/>
    <n v="0.22222222222222221"/>
    <n v="5"/>
    <x v="1"/>
    <s v="Smartphone"/>
    <x v="0"/>
    <d v="2024-10-07T00:00:00"/>
    <x v="1"/>
    <s v="Yes"/>
    <x v="0"/>
    <x v="0"/>
    <n v="10"/>
    <x v="2"/>
    <s v="Qtr-4"/>
    <x v="3"/>
  </r>
  <r>
    <s v="79-960-1714"/>
    <n v="31"/>
    <x v="2"/>
    <x v="1"/>
    <x v="0"/>
    <s v="Single"/>
    <s v="Master's"/>
    <x v="1"/>
    <s v="Nyköping"/>
    <x v="5"/>
    <x v="22"/>
    <n v="370.54"/>
    <n v="2"/>
    <x v="1"/>
    <n v="3"/>
    <n v="3"/>
    <n v="0"/>
    <x v="2"/>
    <x v="2"/>
    <n v="0.5"/>
    <n v="9"/>
    <x v="2"/>
    <s v="Smartphone"/>
    <x v="0"/>
    <d v="2024-03-25T00:00:00"/>
    <x v="0"/>
    <s v="No"/>
    <x v="2"/>
    <x v="0"/>
    <n v="7"/>
    <x v="0"/>
    <s v="Qtr-1"/>
    <x v="0"/>
  </r>
  <r>
    <s v="30-417-6981"/>
    <n v="45"/>
    <x v="1"/>
    <x v="1"/>
    <x v="1"/>
    <s v="Married"/>
    <s v="Master's"/>
    <x v="1"/>
    <s v="Jianmin"/>
    <x v="1"/>
    <x v="15"/>
    <n v="152.87"/>
    <n v="3"/>
    <x v="1"/>
    <n v="1"/>
    <n v="5"/>
    <n v="120"/>
    <x v="3"/>
    <x v="2"/>
    <n v="0.33333333333333331"/>
    <n v="8"/>
    <x v="0"/>
    <s v="Tablet"/>
    <x v="2"/>
    <d v="2024-08-20T00:00:00"/>
    <x v="1"/>
    <s v="No"/>
    <x v="2"/>
    <x v="2"/>
    <n v="11"/>
    <x v="7"/>
    <s v="Qtr-3"/>
    <x v="1"/>
  </r>
  <r>
    <s v="91-532-5399"/>
    <n v="29"/>
    <x v="0"/>
    <x v="1"/>
    <x v="0"/>
    <s v="Single"/>
    <s v="Master's"/>
    <x v="0"/>
    <s v="Bucaramanga"/>
    <x v="38"/>
    <x v="18"/>
    <n v="295.75"/>
    <n v="4"/>
    <x v="0"/>
    <n v="1"/>
    <n v="1"/>
    <n v="0"/>
    <x v="3"/>
    <x v="0"/>
    <n v="0.25"/>
    <n v="10"/>
    <x v="2"/>
    <s v="Tablet"/>
    <x v="0"/>
    <d v="2024-12-07T00:00:00"/>
    <x v="0"/>
    <s v="Yes"/>
    <x v="0"/>
    <x v="1"/>
    <n v="8"/>
    <x v="6"/>
    <s v="Qtr-4"/>
    <x v="4"/>
  </r>
  <r>
    <s v="89-997-9041"/>
    <n v="36"/>
    <x v="2"/>
    <x v="1"/>
    <x v="1"/>
    <s v="Widowed"/>
    <s v="High School"/>
    <x v="0"/>
    <s v="Kudanding"/>
    <x v="19"/>
    <x v="2"/>
    <n v="358.11"/>
    <n v="11"/>
    <x v="0"/>
    <n v="5"/>
    <n v="1"/>
    <n v="0"/>
    <x v="3"/>
    <x v="2"/>
    <n v="0"/>
    <n v="3"/>
    <x v="1"/>
    <s v="Desktop"/>
    <x v="0"/>
    <d v="2024-09-03T00:00:00"/>
    <x v="1"/>
    <s v="No"/>
    <x v="0"/>
    <x v="1"/>
    <n v="11"/>
    <x v="10"/>
    <s v="Qtr-3"/>
    <x v="1"/>
  </r>
  <r>
    <s v="26-235-6745"/>
    <n v="27"/>
    <x v="0"/>
    <x v="0"/>
    <x v="1"/>
    <s v="Widowed"/>
    <s v="Master's"/>
    <x v="1"/>
    <s v="Kyoto"/>
    <x v="3"/>
    <x v="23"/>
    <n v="63.6"/>
    <n v="12"/>
    <x v="0"/>
    <n v="5"/>
    <n v="1"/>
    <n v="0"/>
    <x v="3"/>
    <x v="1"/>
    <n v="0.16666666666666666"/>
    <n v="1"/>
    <x v="0"/>
    <s v="Desktop"/>
    <x v="1"/>
    <d v="2024-02-09T00:00:00"/>
    <x v="1"/>
    <s v="Yes"/>
    <x v="1"/>
    <x v="0"/>
    <n v="6"/>
    <x v="8"/>
    <s v="Qtr-1"/>
    <x v="1"/>
  </r>
  <r>
    <s v="99-080-9462"/>
    <n v="24"/>
    <x v="0"/>
    <x v="1"/>
    <x v="1"/>
    <s v="Single"/>
    <s v="High School"/>
    <x v="0"/>
    <s v="Saraburi"/>
    <x v="61"/>
    <x v="5"/>
    <n v="419.53"/>
    <n v="3"/>
    <x v="0"/>
    <n v="1"/>
    <n v="5"/>
    <n v="120"/>
    <x v="3"/>
    <x v="1"/>
    <n v="0.66666666666666663"/>
    <n v="10"/>
    <x v="3"/>
    <s v="Tablet"/>
    <x v="3"/>
    <d v="2024-03-27T00:00:00"/>
    <x v="1"/>
    <s v="No"/>
    <x v="1"/>
    <x v="2"/>
    <n v="6"/>
    <x v="0"/>
    <s v="Qtr-1"/>
    <x v="1"/>
  </r>
  <r>
    <s v="87-056-8987"/>
    <n v="49"/>
    <x v="1"/>
    <x v="6"/>
    <x v="1"/>
    <s v="Widowed"/>
    <s v="High School"/>
    <x v="0"/>
    <s v="Negeriagung"/>
    <x v="4"/>
    <x v="19"/>
    <n v="491.92"/>
    <n v="10"/>
    <x v="1"/>
    <n v="5"/>
    <n v="3"/>
    <n v="0"/>
    <x v="1"/>
    <x v="2"/>
    <n v="0.1"/>
    <n v="1"/>
    <x v="2"/>
    <s v="Desktop"/>
    <x v="0"/>
    <d v="2024-12-29T00:00:00"/>
    <x v="1"/>
    <s v="No"/>
    <x v="1"/>
    <x v="1"/>
    <n v="2"/>
    <x v="6"/>
    <s v="Qtr-4"/>
    <x v="1"/>
  </r>
  <r>
    <s v="06-160-8063"/>
    <n v="21"/>
    <x v="0"/>
    <x v="2"/>
    <x v="0"/>
    <s v="Divorced"/>
    <s v="High School"/>
    <x v="1"/>
    <s v="Latacunga"/>
    <x v="73"/>
    <x v="6"/>
    <n v="114.44"/>
    <n v="4"/>
    <x v="2"/>
    <n v="5"/>
    <n v="3"/>
    <n v="120"/>
    <x v="2"/>
    <x v="1"/>
    <n v="0.25"/>
    <n v="9"/>
    <x v="0"/>
    <s v="Desktop"/>
    <x v="0"/>
    <d v="2024-10-20T00:00:00"/>
    <x v="1"/>
    <s v="No"/>
    <x v="3"/>
    <x v="2"/>
    <n v="1"/>
    <x v="2"/>
    <s v="Qtr-4"/>
    <x v="4"/>
  </r>
  <r>
    <s v="73-434-2308"/>
    <n v="19"/>
    <x v="3"/>
    <x v="0"/>
    <x v="0"/>
    <s v="Married"/>
    <s v="Master's"/>
    <x v="1"/>
    <s v="Guanzhou"/>
    <x v="1"/>
    <x v="7"/>
    <n v="388.82"/>
    <n v="10"/>
    <x v="0"/>
    <n v="2"/>
    <n v="3"/>
    <n v="0"/>
    <x v="2"/>
    <x v="2"/>
    <n v="0"/>
    <n v="8"/>
    <x v="2"/>
    <s v="Desktop"/>
    <x v="3"/>
    <d v="2024-09-03T00:00:00"/>
    <x v="1"/>
    <s v="No"/>
    <x v="0"/>
    <x v="0"/>
    <n v="6"/>
    <x v="10"/>
    <s v="Qtr-3"/>
    <x v="1"/>
  </r>
  <r>
    <s v="84-260-6464"/>
    <n v="23"/>
    <x v="0"/>
    <x v="0"/>
    <x v="0"/>
    <s v="Married"/>
    <s v="Bachelor's"/>
    <x v="1"/>
    <s v="Tabuc Pontevedra"/>
    <x v="19"/>
    <x v="7"/>
    <n v="58.32"/>
    <n v="7"/>
    <x v="1"/>
    <n v="1"/>
    <n v="5"/>
    <n v="0"/>
    <x v="2"/>
    <x v="1"/>
    <n v="0.14285714285714285"/>
    <n v="6"/>
    <x v="2"/>
    <s v="Smartphone"/>
    <x v="1"/>
    <d v="2024-03-13T00:00:00"/>
    <x v="0"/>
    <s v="Yes"/>
    <x v="0"/>
    <x v="1"/>
    <n v="8"/>
    <x v="0"/>
    <s v="Qtr-1"/>
    <x v="1"/>
  </r>
  <r>
    <s v="00-149-4481"/>
    <n v="28"/>
    <x v="0"/>
    <x v="0"/>
    <x v="1"/>
    <s v="Divorced"/>
    <s v="Master's"/>
    <x v="1"/>
    <s v="Kabale"/>
    <x v="82"/>
    <x v="19"/>
    <n v="464.76"/>
    <n v="2"/>
    <x v="0"/>
    <n v="5"/>
    <n v="1"/>
    <n v="0"/>
    <x v="2"/>
    <x v="2"/>
    <n v="0"/>
    <n v="3"/>
    <x v="2"/>
    <s v="Desktop"/>
    <x v="2"/>
    <d v="2024-02-04T00:00:00"/>
    <x v="1"/>
    <s v="Yes"/>
    <x v="0"/>
    <x v="0"/>
    <n v="3"/>
    <x v="8"/>
    <s v="Qtr-1"/>
    <x v="5"/>
  </r>
  <r>
    <s v="05-710-6109"/>
    <n v="27"/>
    <x v="0"/>
    <x v="0"/>
    <x v="1"/>
    <s v="Divorced"/>
    <s v="Master's"/>
    <x v="1"/>
    <s v="Malveira"/>
    <x v="26"/>
    <x v="3"/>
    <n v="116.92"/>
    <n v="7"/>
    <x v="0"/>
    <n v="2"/>
    <n v="3"/>
    <n v="120"/>
    <x v="0"/>
    <x v="2"/>
    <n v="0.2857142857142857"/>
    <n v="3"/>
    <x v="2"/>
    <s v="Desktop"/>
    <x v="2"/>
    <d v="2024-03-31T00:00:00"/>
    <x v="0"/>
    <s v="No"/>
    <x v="2"/>
    <x v="0"/>
    <n v="14"/>
    <x v="0"/>
    <s v="Qtr-1"/>
    <x v="0"/>
  </r>
  <r>
    <s v="84-724-8407"/>
    <n v="47"/>
    <x v="1"/>
    <x v="0"/>
    <x v="1"/>
    <s v="Divorced"/>
    <s v="Bachelor's"/>
    <x v="0"/>
    <s v="Veiga"/>
    <x v="26"/>
    <x v="23"/>
    <n v="396.76"/>
    <n v="8"/>
    <x v="2"/>
    <n v="3"/>
    <n v="3"/>
    <n v="60"/>
    <x v="0"/>
    <x v="2"/>
    <n v="0.25"/>
    <n v="4"/>
    <x v="1"/>
    <s v="Tablet"/>
    <x v="4"/>
    <d v="2024-07-17T00:00:00"/>
    <x v="0"/>
    <s v="Yes"/>
    <x v="3"/>
    <x v="2"/>
    <n v="8"/>
    <x v="5"/>
    <s v="Qtr-3"/>
    <x v="0"/>
  </r>
  <r>
    <s v="45-795-1873"/>
    <n v="20"/>
    <x v="0"/>
    <x v="6"/>
    <x v="1"/>
    <s v="Widowed"/>
    <s v="Master's"/>
    <x v="0"/>
    <s v="Jagistay"/>
    <x v="6"/>
    <x v="12"/>
    <n v="393.35"/>
    <n v="7"/>
    <x v="0"/>
    <n v="3"/>
    <n v="4"/>
    <n v="120"/>
    <x v="3"/>
    <x v="1"/>
    <n v="0"/>
    <n v="4"/>
    <x v="1"/>
    <s v="Tablet"/>
    <x v="0"/>
    <d v="2024-06-16T00:00:00"/>
    <x v="0"/>
    <s v="Yes"/>
    <x v="0"/>
    <x v="0"/>
    <n v="12"/>
    <x v="4"/>
    <s v="Qtr-2"/>
    <x v="3"/>
  </r>
  <r>
    <s v="06-647-3248"/>
    <n v="26"/>
    <x v="0"/>
    <x v="0"/>
    <x v="1"/>
    <s v="Single"/>
    <s v="Master's"/>
    <x v="1"/>
    <s v="Yuannan"/>
    <x v="1"/>
    <x v="13"/>
    <n v="114.03"/>
    <n v="7"/>
    <x v="0"/>
    <n v="4"/>
    <n v="3"/>
    <n v="0"/>
    <x v="1"/>
    <x v="1"/>
    <n v="0.14285714285714285"/>
    <n v="10"/>
    <x v="1"/>
    <s v="Tablet"/>
    <x v="0"/>
    <d v="2024-04-13T00:00:00"/>
    <x v="0"/>
    <s v="Yes"/>
    <x v="3"/>
    <x v="0"/>
    <n v="6"/>
    <x v="1"/>
    <s v="Qtr-2"/>
    <x v="1"/>
  </r>
  <r>
    <s v="06-767-5206"/>
    <n v="49"/>
    <x v="1"/>
    <x v="1"/>
    <x v="1"/>
    <s v="Single"/>
    <s v="Bachelor's"/>
    <x v="0"/>
    <s v="Mount Darwin"/>
    <x v="99"/>
    <x v="18"/>
    <n v="109.97"/>
    <n v="4"/>
    <x v="1"/>
    <n v="4"/>
    <n v="4"/>
    <n v="60"/>
    <x v="0"/>
    <x v="2"/>
    <n v="0.25"/>
    <n v="5"/>
    <x v="0"/>
    <s v="Tablet"/>
    <x v="0"/>
    <d v="2024-08-12T00:00:00"/>
    <x v="0"/>
    <s v="No"/>
    <x v="1"/>
    <x v="0"/>
    <n v="1"/>
    <x v="7"/>
    <s v="Qtr-3"/>
    <x v="5"/>
  </r>
  <r>
    <s v="94-288-4423"/>
    <n v="39"/>
    <x v="2"/>
    <x v="0"/>
    <x v="1"/>
    <s v="Widowed"/>
    <s v="Master's"/>
    <x v="1"/>
    <s v="Qal‘eh-ye Khv?jeh"/>
    <x v="78"/>
    <x v="21"/>
    <n v="310.23"/>
    <n v="12"/>
    <x v="1"/>
    <n v="1"/>
    <n v="4"/>
    <n v="0"/>
    <x v="0"/>
    <x v="0"/>
    <n v="0"/>
    <n v="6"/>
    <x v="0"/>
    <s v="Desktop"/>
    <x v="1"/>
    <d v="2024-12-17T00:00:00"/>
    <x v="0"/>
    <s v="No"/>
    <x v="2"/>
    <x v="2"/>
    <n v="3"/>
    <x v="6"/>
    <s v="Qtr-4"/>
    <x v="1"/>
  </r>
  <r>
    <s v="49-891-9711"/>
    <n v="22"/>
    <x v="0"/>
    <x v="1"/>
    <x v="0"/>
    <s v="Divorced"/>
    <s v="Master's"/>
    <x v="0"/>
    <s v="Veiga"/>
    <x v="13"/>
    <x v="22"/>
    <n v="383.13"/>
    <n v="3"/>
    <x v="0"/>
    <n v="4"/>
    <n v="5"/>
    <n v="0"/>
    <x v="1"/>
    <x v="1"/>
    <n v="0.66666666666666663"/>
    <n v="6"/>
    <x v="0"/>
    <s v="Desktop"/>
    <x v="4"/>
    <d v="2024-09-25T00:00:00"/>
    <x v="1"/>
    <s v="No"/>
    <x v="0"/>
    <x v="0"/>
    <n v="7"/>
    <x v="10"/>
    <s v="Qtr-3"/>
    <x v="0"/>
  </r>
  <r>
    <s v="08-806-0588"/>
    <n v="25"/>
    <x v="0"/>
    <x v="1"/>
    <x v="1"/>
    <s v="Single"/>
    <s v="High School"/>
    <x v="0"/>
    <s v="Al Qar?rah"/>
    <x v="20"/>
    <x v="18"/>
    <n v="434.86"/>
    <n v="11"/>
    <x v="1"/>
    <n v="2"/>
    <n v="5"/>
    <n v="120"/>
    <x v="3"/>
    <x v="0"/>
    <n v="0"/>
    <n v="4"/>
    <x v="3"/>
    <s v="Smartphone"/>
    <x v="3"/>
    <d v="2024-06-24T00:00:00"/>
    <x v="0"/>
    <s v="No"/>
    <x v="2"/>
    <x v="2"/>
    <n v="11"/>
    <x v="4"/>
    <s v="Qtr-2"/>
    <x v="1"/>
  </r>
  <r>
    <s v="94-746-2001"/>
    <n v="30"/>
    <x v="2"/>
    <x v="0"/>
    <x v="0"/>
    <s v="Married"/>
    <s v="Bachelor's"/>
    <x v="0"/>
    <s v="Fandriana"/>
    <x v="81"/>
    <x v="2"/>
    <n v="489.1"/>
    <n v="9"/>
    <x v="0"/>
    <n v="3"/>
    <n v="4"/>
    <n v="60"/>
    <x v="2"/>
    <x v="0"/>
    <n v="0.22222222222222221"/>
    <n v="4"/>
    <x v="3"/>
    <s v="Smartphone"/>
    <x v="0"/>
    <d v="2024-11-18T00:00:00"/>
    <x v="0"/>
    <s v="No"/>
    <x v="0"/>
    <x v="1"/>
    <n v="13"/>
    <x v="11"/>
    <s v="Qtr-4"/>
    <x v="5"/>
  </r>
  <r>
    <s v="38-943-5744"/>
    <n v="19"/>
    <x v="3"/>
    <x v="5"/>
    <x v="1"/>
    <s v="Married"/>
    <s v="Bachelor's"/>
    <x v="1"/>
    <s v="Carregueira"/>
    <x v="26"/>
    <x v="23"/>
    <n v="288.14999999999998"/>
    <n v="3"/>
    <x v="2"/>
    <n v="1"/>
    <n v="4"/>
    <n v="60"/>
    <x v="3"/>
    <x v="0"/>
    <n v="0.33333333333333331"/>
    <n v="4"/>
    <x v="3"/>
    <s v="Tablet"/>
    <x v="4"/>
    <d v="2024-08-06T00:00:00"/>
    <x v="0"/>
    <s v="No"/>
    <x v="2"/>
    <x v="1"/>
    <n v="13"/>
    <x v="7"/>
    <s v="Qtr-3"/>
    <x v="0"/>
  </r>
  <r>
    <s v="98-535-8497"/>
    <n v="35"/>
    <x v="2"/>
    <x v="1"/>
    <x v="1"/>
    <s v="Divorced"/>
    <s v="Master's"/>
    <x v="0"/>
    <s v="Lincheng"/>
    <x v="1"/>
    <x v="20"/>
    <n v="105.87"/>
    <n v="12"/>
    <x v="0"/>
    <n v="3"/>
    <n v="2"/>
    <n v="60"/>
    <x v="2"/>
    <x v="1"/>
    <n v="8.3333333333333329E-2"/>
    <n v="1"/>
    <x v="3"/>
    <s v="Tablet"/>
    <x v="4"/>
    <d v="2024-09-15T00:00:00"/>
    <x v="1"/>
    <s v="No"/>
    <x v="3"/>
    <x v="2"/>
    <n v="4"/>
    <x v="10"/>
    <s v="Qtr-3"/>
    <x v="1"/>
  </r>
  <r>
    <s v="33-243-8793"/>
    <n v="45"/>
    <x v="1"/>
    <x v="1"/>
    <x v="0"/>
    <s v="Widowed"/>
    <s v="High School"/>
    <x v="1"/>
    <s v="Semenivka"/>
    <x v="9"/>
    <x v="8"/>
    <n v="163.4"/>
    <n v="3"/>
    <x v="1"/>
    <n v="3"/>
    <n v="5"/>
    <n v="60"/>
    <x v="3"/>
    <x v="0"/>
    <n v="0.66666666666666663"/>
    <n v="10"/>
    <x v="1"/>
    <s v="Desktop"/>
    <x v="4"/>
    <d v="2024-07-08T00:00:00"/>
    <x v="0"/>
    <s v="No"/>
    <x v="3"/>
    <x v="1"/>
    <n v="7"/>
    <x v="5"/>
    <s v="Qtr-3"/>
    <x v="0"/>
  </r>
  <r>
    <s v="99-581-5577"/>
    <n v="20"/>
    <x v="0"/>
    <x v="1"/>
    <x v="1"/>
    <s v="Single"/>
    <s v="High School"/>
    <x v="1"/>
    <s v="Yläne"/>
    <x v="60"/>
    <x v="0"/>
    <n v="422.92"/>
    <n v="6"/>
    <x v="0"/>
    <n v="4"/>
    <n v="1"/>
    <n v="120"/>
    <x v="0"/>
    <x v="0"/>
    <n v="0"/>
    <n v="6"/>
    <x v="2"/>
    <s v="Desktop"/>
    <x v="2"/>
    <d v="2024-10-17T00:00:00"/>
    <x v="1"/>
    <s v="Yes"/>
    <x v="3"/>
    <x v="0"/>
    <n v="6"/>
    <x v="2"/>
    <s v="Qtr-4"/>
    <x v="0"/>
  </r>
  <r>
    <s v="64-180-2404"/>
    <n v="48"/>
    <x v="1"/>
    <x v="1"/>
    <x v="0"/>
    <s v="Divorced"/>
    <s v="High School"/>
    <x v="1"/>
    <s v="Cendagah"/>
    <x v="4"/>
    <x v="0"/>
    <n v="361.48"/>
    <n v="10"/>
    <x v="2"/>
    <n v="1"/>
    <n v="4"/>
    <n v="60"/>
    <x v="1"/>
    <x v="0"/>
    <n v="0.2"/>
    <n v="9"/>
    <x v="1"/>
    <s v="Tablet"/>
    <x v="4"/>
    <d v="2024-06-16T00:00:00"/>
    <x v="0"/>
    <s v="Yes"/>
    <x v="1"/>
    <x v="2"/>
    <n v="13"/>
    <x v="4"/>
    <s v="Qtr-2"/>
    <x v="1"/>
  </r>
  <r>
    <s v="73-097-0986"/>
    <n v="23"/>
    <x v="0"/>
    <x v="1"/>
    <x v="0"/>
    <s v="Single"/>
    <s v="Master's"/>
    <x v="1"/>
    <s v="F?r?z?b?d"/>
    <x v="78"/>
    <x v="11"/>
    <n v="270.82"/>
    <n v="2"/>
    <x v="1"/>
    <n v="4"/>
    <n v="2"/>
    <n v="0"/>
    <x v="0"/>
    <x v="0"/>
    <n v="0.5"/>
    <n v="8"/>
    <x v="2"/>
    <s v="Tablet"/>
    <x v="3"/>
    <d v="2024-10-30T00:00:00"/>
    <x v="0"/>
    <s v="No"/>
    <x v="1"/>
    <x v="1"/>
    <n v="13"/>
    <x v="2"/>
    <s v="Qtr-4"/>
    <x v="1"/>
  </r>
  <r>
    <s v="88-051-0567"/>
    <n v="49"/>
    <x v="1"/>
    <x v="0"/>
    <x v="1"/>
    <s v="Widowed"/>
    <s v="High School"/>
    <x v="1"/>
    <s v="Trondheim"/>
    <x v="46"/>
    <x v="16"/>
    <n v="372.26"/>
    <n v="11"/>
    <x v="1"/>
    <n v="1"/>
    <n v="5"/>
    <n v="120"/>
    <x v="0"/>
    <x v="2"/>
    <n v="9.0909090909090912E-2"/>
    <n v="8"/>
    <x v="1"/>
    <s v="Smartphone"/>
    <x v="1"/>
    <d v="2024-08-13T00:00:00"/>
    <x v="1"/>
    <s v="Yes"/>
    <x v="1"/>
    <x v="2"/>
    <n v="6"/>
    <x v="7"/>
    <s v="Qtr-3"/>
    <x v="0"/>
  </r>
  <r>
    <s v="44-715-9594"/>
    <n v="23"/>
    <x v="0"/>
    <x v="0"/>
    <x v="0"/>
    <s v="Widowed"/>
    <s v="Bachelor's"/>
    <x v="1"/>
    <s v="Yakovlevo"/>
    <x v="6"/>
    <x v="13"/>
    <n v="208.59"/>
    <n v="3"/>
    <x v="0"/>
    <n v="1"/>
    <n v="1"/>
    <n v="120"/>
    <x v="1"/>
    <x v="0"/>
    <n v="0"/>
    <n v="4"/>
    <x v="0"/>
    <s v="Desktop"/>
    <x v="1"/>
    <d v="2024-09-03T00:00:00"/>
    <x v="0"/>
    <s v="No"/>
    <x v="2"/>
    <x v="2"/>
    <n v="1"/>
    <x v="10"/>
    <s v="Qtr-3"/>
    <x v="3"/>
  </r>
  <r>
    <s v="84-188-6577"/>
    <n v="39"/>
    <x v="2"/>
    <x v="1"/>
    <x v="0"/>
    <s v="Widowed"/>
    <s v="High School"/>
    <x v="1"/>
    <s v="Katav-Ivanovsk"/>
    <x v="6"/>
    <x v="0"/>
    <n v="163.22"/>
    <n v="8"/>
    <x v="2"/>
    <n v="5"/>
    <n v="3"/>
    <n v="0"/>
    <x v="3"/>
    <x v="0"/>
    <n v="0.125"/>
    <n v="3"/>
    <x v="0"/>
    <s v="Smartphone"/>
    <x v="1"/>
    <d v="2024-07-01T00:00:00"/>
    <x v="1"/>
    <s v="Yes"/>
    <x v="1"/>
    <x v="0"/>
    <n v="8"/>
    <x v="5"/>
    <s v="Qtr-3"/>
    <x v="3"/>
  </r>
  <r>
    <s v="19-116-4723"/>
    <n v="45"/>
    <x v="1"/>
    <x v="1"/>
    <x v="1"/>
    <s v="Married"/>
    <s v="High School"/>
    <x v="1"/>
    <s v="Voznesenskoye"/>
    <x v="6"/>
    <x v="9"/>
    <n v="364.98"/>
    <n v="7"/>
    <x v="1"/>
    <n v="4"/>
    <n v="1"/>
    <n v="0"/>
    <x v="2"/>
    <x v="2"/>
    <n v="0"/>
    <n v="1"/>
    <x v="0"/>
    <s v="Desktop"/>
    <x v="4"/>
    <d v="2024-05-11T00:00:00"/>
    <x v="0"/>
    <s v="No"/>
    <x v="1"/>
    <x v="1"/>
    <n v="8"/>
    <x v="9"/>
    <s v="Qtr-2"/>
    <x v="3"/>
  </r>
  <r>
    <s v="21-783-9242"/>
    <n v="31"/>
    <x v="2"/>
    <x v="7"/>
    <x v="1"/>
    <s v="Divorced"/>
    <s v="Master's"/>
    <x v="1"/>
    <s v="Voskhod"/>
    <x v="6"/>
    <x v="19"/>
    <n v="142.43"/>
    <n v="3"/>
    <x v="1"/>
    <n v="2"/>
    <n v="5"/>
    <n v="120"/>
    <x v="3"/>
    <x v="2"/>
    <n v="0.33333333333333331"/>
    <n v="9"/>
    <x v="0"/>
    <s v="Desktop"/>
    <x v="1"/>
    <d v="2024-09-28T00:00:00"/>
    <x v="0"/>
    <s v="No"/>
    <x v="3"/>
    <x v="2"/>
    <n v="8"/>
    <x v="10"/>
    <s v="Qtr-3"/>
    <x v="3"/>
  </r>
  <r>
    <s v="95-528-2313"/>
    <n v="19"/>
    <x v="3"/>
    <x v="0"/>
    <x v="0"/>
    <s v="Married"/>
    <s v="Bachelor's"/>
    <x v="1"/>
    <s v="Gudja"/>
    <x v="100"/>
    <x v="13"/>
    <n v="449.72"/>
    <n v="3"/>
    <x v="0"/>
    <n v="3"/>
    <n v="3"/>
    <n v="0"/>
    <x v="3"/>
    <x v="0"/>
    <n v="0.33333333333333331"/>
    <n v="9"/>
    <x v="0"/>
    <s v="Smartphone"/>
    <x v="3"/>
    <d v="2024-02-18T00:00:00"/>
    <x v="0"/>
    <s v="Yes"/>
    <x v="1"/>
    <x v="2"/>
    <n v="3"/>
    <x v="8"/>
    <s v="Qtr-1"/>
    <x v="0"/>
  </r>
  <r>
    <s v="94-682-4886"/>
    <n v="27"/>
    <x v="0"/>
    <x v="1"/>
    <x v="0"/>
    <s v="Single"/>
    <s v="Bachelor's"/>
    <x v="1"/>
    <s v="Gawul"/>
    <x v="29"/>
    <x v="0"/>
    <n v="241.56"/>
    <n v="12"/>
    <x v="0"/>
    <n v="3"/>
    <n v="2"/>
    <n v="0"/>
    <x v="3"/>
    <x v="1"/>
    <n v="0"/>
    <n v="5"/>
    <x v="1"/>
    <s v="Tablet"/>
    <x v="1"/>
    <d v="2024-11-28T00:00:00"/>
    <x v="0"/>
    <s v="No"/>
    <x v="0"/>
    <x v="2"/>
    <n v="2"/>
    <x v="11"/>
    <s v="Qtr-4"/>
    <x v="5"/>
  </r>
  <r>
    <s v="55-944-9669"/>
    <n v="32"/>
    <x v="2"/>
    <x v="2"/>
    <x v="0"/>
    <s v="Divorced"/>
    <s v="Master's"/>
    <x v="1"/>
    <s v="Sobeok"/>
    <x v="4"/>
    <x v="20"/>
    <n v="249.73"/>
    <n v="5"/>
    <x v="0"/>
    <n v="1"/>
    <n v="4"/>
    <n v="120"/>
    <x v="2"/>
    <x v="2"/>
    <n v="0.2"/>
    <n v="4"/>
    <x v="2"/>
    <s v="Desktop"/>
    <x v="4"/>
    <d v="2024-11-15T00:00:00"/>
    <x v="0"/>
    <s v="No"/>
    <x v="1"/>
    <x v="0"/>
    <n v="1"/>
    <x v="11"/>
    <s v="Qtr-4"/>
    <x v="1"/>
  </r>
  <r>
    <s v="32-314-2958"/>
    <n v="24"/>
    <x v="0"/>
    <x v="1"/>
    <x v="0"/>
    <s v="Married"/>
    <s v="Master's"/>
    <x v="1"/>
    <s v="Nanhuang"/>
    <x v="1"/>
    <x v="3"/>
    <n v="437.3"/>
    <n v="7"/>
    <x v="0"/>
    <n v="2"/>
    <n v="4"/>
    <n v="0"/>
    <x v="3"/>
    <x v="0"/>
    <n v="0"/>
    <n v="7"/>
    <x v="0"/>
    <s v="Tablet"/>
    <x v="4"/>
    <d v="2024-07-24T00:00:00"/>
    <x v="0"/>
    <s v="Yes"/>
    <x v="2"/>
    <x v="0"/>
    <n v="1"/>
    <x v="5"/>
    <s v="Qtr-3"/>
    <x v="1"/>
  </r>
  <r>
    <s v="67-697-2331"/>
    <n v="22"/>
    <x v="0"/>
    <x v="1"/>
    <x v="0"/>
    <s v="Married"/>
    <s v="Master's"/>
    <x v="1"/>
    <s v="Tanudan"/>
    <x v="19"/>
    <x v="19"/>
    <n v="277.29000000000002"/>
    <n v="4"/>
    <x v="0"/>
    <n v="1"/>
    <n v="4"/>
    <n v="60"/>
    <x v="0"/>
    <x v="0"/>
    <n v="0.5"/>
    <n v="8"/>
    <x v="2"/>
    <s v="Smartphone"/>
    <x v="0"/>
    <d v="2024-01-27T00:00:00"/>
    <x v="0"/>
    <s v="Yes"/>
    <x v="1"/>
    <x v="0"/>
    <n v="4"/>
    <x v="3"/>
    <s v="Qtr-1"/>
    <x v="1"/>
  </r>
  <r>
    <s v="28-855-1639"/>
    <n v="46"/>
    <x v="1"/>
    <x v="1"/>
    <x v="1"/>
    <s v="Single"/>
    <s v="High School"/>
    <x v="0"/>
    <s v="Jiaozuo"/>
    <x v="1"/>
    <x v="13"/>
    <n v="445.93"/>
    <n v="6"/>
    <x v="2"/>
    <n v="5"/>
    <n v="5"/>
    <n v="120"/>
    <x v="3"/>
    <x v="0"/>
    <n v="0.33333333333333331"/>
    <n v="4"/>
    <x v="1"/>
    <s v="Smartphone"/>
    <x v="2"/>
    <d v="2024-05-15T00:00:00"/>
    <x v="1"/>
    <s v="Yes"/>
    <x v="0"/>
    <x v="0"/>
    <n v="13"/>
    <x v="9"/>
    <s v="Qtr-2"/>
    <x v="1"/>
  </r>
  <r>
    <s v="38-069-8615"/>
    <n v="37"/>
    <x v="2"/>
    <x v="0"/>
    <x v="0"/>
    <s v="Married"/>
    <s v="Bachelor's"/>
    <x v="0"/>
    <s v="Tak?b"/>
    <x v="19"/>
    <x v="14"/>
    <n v="242.79"/>
    <n v="6"/>
    <x v="0"/>
    <n v="2"/>
    <n v="4"/>
    <n v="0"/>
    <x v="3"/>
    <x v="0"/>
    <n v="0.16666666666666666"/>
    <n v="7"/>
    <x v="0"/>
    <s v="Smartphone"/>
    <x v="3"/>
    <d v="2024-01-20T00:00:00"/>
    <x v="0"/>
    <s v="No"/>
    <x v="2"/>
    <x v="2"/>
    <n v="7"/>
    <x v="3"/>
    <s v="Qtr-1"/>
    <x v="1"/>
  </r>
  <r>
    <s v="58-233-5963"/>
    <n v="34"/>
    <x v="2"/>
    <x v="1"/>
    <x v="1"/>
    <s v="Single"/>
    <s v="Bachelor's"/>
    <x v="1"/>
    <s v="Gualeguay"/>
    <x v="56"/>
    <x v="22"/>
    <n v="393.09"/>
    <n v="8"/>
    <x v="2"/>
    <n v="5"/>
    <n v="3"/>
    <n v="120"/>
    <x v="1"/>
    <x v="0"/>
    <n v="0"/>
    <n v="3"/>
    <x v="3"/>
    <s v="Tablet"/>
    <x v="4"/>
    <d v="2024-04-11T00:00:00"/>
    <x v="1"/>
    <s v="Yes"/>
    <x v="3"/>
    <x v="1"/>
    <n v="1"/>
    <x v="1"/>
    <s v="Qtr-2"/>
    <x v="4"/>
  </r>
  <r>
    <s v="02-004-0620"/>
    <n v="32"/>
    <x v="2"/>
    <x v="1"/>
    <x v="0"/>
    <s v="Single"/>
    <s v="Master's"/>
    <x v="1"/>
    <s v="Lagoa Seca"/>
    <x v="14"/>
    <x v="19"/>
    <n v="167.61"/>
    <n v="2"/>
    <x v="2"/>
    <n v="3"/>
    <n v="5"/>
    <n v="60"/>
    <x v="0"/>
    <x v="1"/>
    <n v="1"/>
    <n v="2"/>
    <x v="2"/>
    <s v="Desktop"/>
    <x v="3"/>
    <d v="2024-11-10T00:00:00"/>
    <x v="0"/>
    <s v="No"/>
    <x v="0"/>
    <x v="0"/>
    <n v="13"/>
    <x v="11"/>
    <s v="Qtr-4"/>
    <x v="4"/>
  </r>
  <r>
    <s v="78-822-9328"/>
    <n v="44"/>
    <x v="1"/>
    <x v="1"/>
    <x v="1"/>
    <s v="Divorced"/>
    <s v="High School"/>
    <x v="0"/>
    <s v="Bugarama"/>
    <x v="101"/>
    <x v="0"/>
    <n v="324.22000000000003"/>
    <n v="2"/>
    <x v="1"/>
    <n v="4"/>
    <n v="2"/>
    <n v="0"/>
    <x v="0"/>
    <x v="0"/>
    <n v="0.5"/>
    <n v="6"/>
    <x v="3"/>
    <s v="Desktop"/>
    <x v="1"/>
    <d v="2024-04-18T00:00:00"/>
    <x v="1"/>
    <s v="No"/>
    <x v="1"/>
    <x v="2"/>
    <n v="14"/>
    <x v="1"/>
    <s v="Qtr-2"/>
    <x v="5"/>
  </r>
  <r>
    <s v="73-359-1998"/>
    <n v="24"/>
    <x v="0"/>
    <x v="0"/>
    <x v="0"/>
    <s v="Divorced"/>
    <s v="Bachelor's"/>
    <x v="0"/>
    <s v="Dicamay"/>
    <x v="19"/>
    <x v="7"/>
    <n v="159.30000000000001"/>
    <n v="11"/>
    <x v="0"/>
    <n v="5"/>
    <n v="4"/>
    <n v="0"/>
    <x v="1"/>
    <x v="0"/>
    <n v="0"/>
    <n v="6"/>
    <x v="1"/>
    <s v="Tablet"/>
    <x v="1"/>
    <d v="2024-04-24T00:00:00"/>
    <x v="1"/>
    <s v="Yes"/>
    <x v="2"/>
    <x v="2"/>
    <n v="2"/>
    <x v="1"/>
    <s v="Qtr-2"/>
    <x v="1"/>
  </r>
  <r>
    <s v="84-459-7736"/>
    <n v="22"/>
    <x v="0"/>
    <x v="7"/>
    <x v="0"/>
    <s v="Widowed"/>
    <s v="Master's"/>
    <x v="0"/>
    <s v="Xiluodu"/>
    <x v="1"/>
    <x v="8"/>
    <n v="324.39"/>
    <n v="5"/>
    <x v="2"/>
    <n v="2"/>
    <n v="2"/>
    <n v="0"/>
    <x v="3"/>
    <x v="2"/>
    <n v="0.2"/>
    <n v="6"/>
    <x v="3"/>
    <s v="Desktop"/>
    <x v="1"/>
    <d v="2024-11-19T00:00:00"/>
    <x v="0"/>
    <s v="No"/>
    <x v="0"/>
    <x v="2"/>
    <n v="1"/>
    <x v="11"/>
    <s v="Qtr-4"/>
    <x v="1"/>
  </r>
  <r>
    <s v="07-395-5818"/>
    <n v="37"/>
    <x v="2"/>
    <x v="6"/>
    <x v="1"/>
    <s v="Single"/>
    <s v="High School"/>
    <x v="1"/>
    <s v="?ab?bah"/>
    <x v="41"/>
    <x v="20"/>
    <n v="198.89"/>
    <n v="2"/>
    <x v="1"/>
    <n v="2"/>
    <n v="2"/>
    <n v="0"/>
    <x v="3"/>
    <x v="1"/>
    <n v="0"/>
    <n v="4"/>
    <x v="2"/>
    <s v="Tablet"/>
    <x v="0"/>
    <d v="2024-01-12T00:00:00"/>
    <x v="1"/>
    <s v="No"/>
    <x v="2"/>
    <x v="1"/>
    <n v="1"/>
    <x v="3"/>
    <s v="Qtr-1"/>
    <x v="1"/>
  </r>
  <r>
    <s v="07-560-6637"/>
    <n v="41"/>
    <x v="1"/>
    <x v="0"/>
    <x v="0"/>
    <s v="Divorced"/>
    <s v="Master's"/>
    <x v="1"/>
    <s v="Lobuk"/>
    <x v="4"/>
    <x v="20"/>
    <n v="287.18"/>
    <n v="7"/>
    <x v="1"/>
    <n v="4"/>
    <n v="5"/>
    <n v="0"/>
    <x v="0"/>
    <x v="1"/>
    <n v="0"/>
    <n v="1"/>
    <x v="0"/>
    <s v="Tablet"/>
    <x v="2"/>
    <d v="2024-03-11T00:00:00"/>
    <x v="0"/>
    <s v="No"/>
    <x v="3"/>
    <x v="0"/>
    <n v="8"/>
    <x v="0"/>
    <s v="Qtr-1"/>
    <x v="1"/>
  </r>
  <r>
    <s v="61-926-1691"/>
    <n v="32"/>
    <x v="2"/>
    <x v="1"/>
    <x v="1"/>
    <s v="Divorced"/>
    <s v="High School"/>
    <x v="0"/>
    <s v="Waiwukak"/>
    <x v="4"/>
    <x v="2"/>
    <n v="162.24"/>
    <n v="7"/>
    <x v="1"/>
    <n v="5"/>
    <n v="3"/>
    <n v="60"/>
    <x v="0"/>
    <x v="2"/>
    <n v="0.2857142857142857"/>
    <n v="6"/>
    <x v="2"/>
    <s v="Smartphone"/>
    <x v="1"/>
    <d v="2024-10-11T00:00:00"/>
    <x v="1"/>
    <s v="No"/>
    <x v="1"/>
    <x v="2"/>
    <n v="7"/>
    <x v="2"/>
    <s v="Qtr-4"/>
    <x v="1"/>
  </r>
  <r>
    <s v="68-129-1060"/>
    <n v="37"/>
    <x v="2"/>
    <x v="0"/>
    <x v="1"/>
    <s v="Divorced"/>
    <s v="Bachelor's"/>
    <x v="1"/>
    <s v="Abaeté"/>
    <x v="14"/>
    <x v="17"/>
    <n v="92.97"/>
    <n v="6"/>
    <x v="1"/>
    <n v="5"/>
    <n v="5"/>
    <n v="0"/>
    <x v="1"/>
    <x v="2"/>
    <n v="0"/>
    <n v="7"/>
    <x v="2"/>
    <s v="Desktop"/>
    <x v="3"/>
    <d v="2024-12-15T00:00:00"/>
    <x v="1"/>
    <s v="Yes"/>
    <x v="2"/>
    <x v="1"/>
    <n v="7"/>
    <x v="6"/>
    <s v="Qtr-4"/>
    <x v="4"/>
  </r>
  <r>
    <s v="04-052-5592"/>
    <n v="41"/>
    <x v="1"/>
    <x v="1"/>
    <x v="0"/>
    <s v="Widowed"/>
    <s v="High School"/>
    <x v="0"/>
    <s v="Xiaqiao"/>
    <x v="1"/>
    <x v="1"/>
    <n v="144.38999999999999"/>
    <n v="12"/>
    <x v="1"/>
    <n v="5"/>
    <n v="3"/>
    <n v="120"/>
    <x v="3"/>
    <x v="2"/>
    <n v="0"/>
    <n v="4"/>
    <x v="2"/>
    <s v="Desktop"/>
    <x v="4"/>
    <d v="2024-06-11T00:00:00"/>
    <x v="0"/>
    <s v="Yes"/>
    <x v="2"/>
    <x v="1"/>
    <n v="12"/>
    <x v="4"/>
    <s v="Qtr-2"/>
    <x v="1"/>
  </r>
  <r>
    <s v="41-215-6092"/>
    <n v="37"/>
    <x v="2"/>
    <x v="0"/>
    <x v="1"/>
    <s v="Single"/>
    <s v="High School"/>
    <x v="1"/>
    <s v="Zub?bah"/>
    <x v="41"/>
    <x v="5"/>
    <n v="253.37"/>
    <n v="12"/>
    <x v="1"/>
    <n v="2"/>
    <n v="5"/>
    <n v="0"/>
    <x v="0"/>
    <x v="2"/>
    <n v="0"/>
    <n v="9"/>
    <x v="2"/>
    <s v="Tablet"/>
    <x v="0"/>
    <d v="2024-05-08T00:00:00"/>
    <x v="1"/>
    <s v="Yes"/>
    <x v="3"/>
    <x v="2"/>
    <n v="6"/>
    <x v="9"/>
    <s v="Qtr-2"/>
    <x v="1"/>
  </r>
  <r>
    <s v="89-833-7175"/>
    <n v="43"/>
    <x v="1"/>
    <x v="1"/>
    <x v="0"/>
    <s v="Widowed"/>
    <s v="High School"/>
    <x v="1"/>
    <s v="Kósowo"/>
    <x v="18"/>
    <x v="9"/>
    <n v="209.62"/>
    <n v="12"/>
    <x v="0"/>
    <n v="1"/>
    <n v="2"/>
    <n v="60"/>
    <x v="1"/>
    <x v="2"/>
    <n v="0"/>
    <n v="7"/>
    <x v="3"/>
    <s v="Tablet"/>
    <x v="3"/>
    <d v="2024-10-12T00:00:00"/>
    <x v="0"/>
    <s v="No"/>
    <x v="3"/>
    <x v="1"/>
    <n v="9"/>
    <x v="2"/>
    <s v="Qtr-4"/>
    <x v="0"/>
  </r>
  <r>
    <s v="08-117-9893"/>
    <n v="49"/>
    <x v="1"/>
    <x v="1"/>
    <x v="1"/>
    <s v="Single"/>
    <s v="High School"/>
    <x v="0"/>
    <s v="Colombo"/>
    <x v="48"/>
    <x v="15"/>
    <n v="411.62"/>
    <n v="6"/>
    <x v="0"/>
    <n v="2"/>
    <n v="1"/>
    <n v="0"/>
    <x v="1"/>
    <x v="0"/>
    <n v="0.33333333333333331"/>
    <n v="7"/>
    <x v="3"/>
    <s v="Tablet"/>
    <x v="1"/>
    <d v="2024-10-05T00:00:00"/>
    <x v="0"/>
    <s v="No"/>
    <x v="1"/>
    <x v="2"/>
    <n v="12"/>
    <x v="2"/>
    <s v="Qtr-4"/>
    <x v="1"/>
  </r>
  <r>
    <s v="24-109-2173"/>
    <n v="27"/>
    <x v="0"/>
    <x v="0"/>
    <x v="1"/>
    <s v="Single"/>
    <s v="Bachelor's"/>
    <x v="1"/>
    <s v="Messíni"/>
    <x v="24"/>
    <x v="1"/>
    <n v="388.01"/>
    <n v="2"/>
    <x v="2"/>
    <n v="1"/>
    <n v="5"/>
    <n v="60"/>
    <x v="3"/>
    <x v="2"/>
    <n v="0.5"/>
    <n v="2"/>
    <x v="0"/>
    <s v="Tablet"/>
    <x v="1"/>
    <d v="2024-11-19T00:00:00"/>
    <x v="1"/>
    <s v="Yes"/>
    <x v="1"/>
    <x v="1"/>
    <n v="10"/>
    <x v="11"/>
    <s v="Qtr-4"/>
    <x v="0"/>
  </r>
  <r>
    <s v="79-939-2140"/>
    <n v="41"/>
    <x v="1"/>
    <x v="1"/>
    <x v="0"/>
    <s v="Widowed"/>
    <s v="High School"/>
    <x v="1"/>
    <s v="Yishui"/>
    <x v="1"/>
    <x v="10"/>
    <n v="50.78"/>
    <n v="6"/>
    <x v="2"/>
    <n v="5"/>
    <n v="1"/>
    <n v="60"/>
    <x v="2"/>
    <x v="0"/>
    <n v="0.16666666666666666"/>
    <n v="8"/>
    <x v="0"/>
    <s v="Tablet"/>
    <x v="2"/>
    <d v="2024-01-12T00:00:00"/>
    <x v="1"/>
    <s v="Yes"/>
    <x v="0"/>
    <x v="1"/>
    <n v="9"/>
    <x v="3"/>
    <s v="Qtr-1"/>
    <x v="1"/>
  </r>
  <r>
    <s v="95-999-0984"/>
    <n v="33"/>
    <x v="2"/>
    <x v="1"/>
    <x v="1"/>
    <s v="Divorced"/>
    <s v="Bachelor's"/>
    <x v="0"/>
    <s v="Nanyaojie"/>
    <x v="1"/>
    <x v="12"/>
    <n v="159.82"/>
    <n v="2"/>
    <x v="1"/>
    <n v="2"/>
    <n v="1"/>
    <n v="60"/>
    <x v="3"/>
    <x v="2"/>
    <n v="1"/>
    <n v="8"/>
    <x v="3"/>
    <s v="Tablet"/>
    <x v="4"/>
    <d v="2024-12-09T00:00:00"/>
    <x v="0"/>
    <s v="Yes"/>
    <x v="3"/>
    <x v="0"/>
    <n v="10"/>
    <x v="6"/>
    <s v="Qtr-4"/>
    <x v="1"/>
  </r>
  <r>
    <s v="64-799-3174"/>
    <n v="46"/>
    <x v="1"/>
    <x v="1"/>
    <x v="0"/>
    <s v="Divorced"/>
    <s v="Master's"/>
    <x v="0"/>
    <s v="Buzen"/>
    <x v="3"/>
    <x v="22"/>
    <n v="79.430000000000007"/>
    <n v="3"/>
    <x v="1"/>
    <n v="1"/>
    <n v="5"/>
    <n v="0"/>
    <x v="1"/>
    <x v="0"/>
    <n v="0.66666666666666663"/>
    <n v="7"/>
    <x v="0"/>
    <s v="Smartphone"/>
    <x v="1"/>
    <d v="2024-01-15T00:00:00"/>
    <x v="1"/>
    <s v="No"/>
    <x v="1"/>
    <x v="0"/>
    <n v="6"/>
    <x v="3"/>
    <s v="Qtr-1"/>
    <x v="1"/>
  </r>
  <r>
    <s v="27-018-2262"/>
    <n v="42"/>
    <x v="1"/>
    <x v="0"/>
    <x v="0"/>
    <s v="Married"/>
    <s v="Bachelor's"/>
    <x v="0"/>
    <s v="Bom Jesus do Itabapoana"/>
    <x v="14"/>
    <x v="22"/>
    <n v="131.36000000000001"/>
    <n v="4"/>
    <x v="1"/>
    <n v="4"/>
    <n v="4"/>
    <n v="120"/>
    <x v="0"/>
    <x v="0"/>
    <n v="0.25"/>
    <n v="6"/>
    <x v="1"/>
    <s v="Smartphone"/>
    <x v="2"/>
    <d v="2024-11-21T00:00:00"/>
    <x v="1"/>
    <s v="No"/>
    <x v="1"/>
    <x v="2"/>
    <n v="3"/>
    <x v="11"/>
    <s v="Qtr-4"/>
    <x v="4"/>
  </r>
  <r>
    <s v="38-881-0766"/>
    <n v="27"/>
    <x v="0"/>
    <x v="1"/>
    <x v="0"/>
    <s v="Widowed"/>
    <s v="High School"/>
    <x v="0"/>
    <s v="Centenario"/>
    <x v="56"/>
    <x v="21"/>
    <n v="299.75"/>
    <n v="12"/>
    <x v="0"/>
    <n v="2"/>
    <n v="5"/>
    <n v="18"/>
    <x v="2"/>
    <x v="2"/>
    <n v="0"/>
    <n v="4"/>
    <x v="2"/>
    <s v="Desktop"/>
    <x v="0"/>
    <d v="2024-07-05T00:00:00"/>
    <x v="1"/>
    <s v="Yes"/>
    <x v="0"/>
    <x v="0"/>
    <n v="7"/>
    <x v="5"/>
    <s v="Qtr-3"/>
    <x v="4"/>
  </r>
  <r>
    <s v="17-344-8603"/>
    <n v="29"/>
    <x v="0"/>
    <x v="1"/>
    <x v="1"/>
    <s v="Divorced"/>
    <s v="Bachelor's"/>
    <x v="0"/>
    <s v="Al J?zah"/>
    <x v="15"/>
    <x v="9"/>
    <n v="319.38"/>
    <n v="9"/>
    <x v="1"/>
    <n v="4"/>
    <n v="1"/>
    <n v="0"/>
    <x v="2"/>
    <x v="1"/>
    <n v="0.1111111111111111"/>
    <n v="6"/>
    <x v="1"/>
    <s v="Tablet"/>
    <x v="1"/>
    <d v="2024-11-15T00:00:00"/>
    <x v="0"/>
    <s v="Yes"/>
    <x v="0"/>
    <x v="0"/>
    <n v="8"/>
    <x v="11"/>
    <s v="Qtr-4"/>
    <x v="5"/>
  </r>
  <r>
    <s v="51-387-9144"/>
    <n v="38"/>
    <x v="2"/>
    <x v="1"/>
    <x v="1"/>
    <s v="Single"/>
    <s v="Master's"/>
    <x v="0"/>
    <s v="Th? Tr?n C?m Th?y"/>
    <x v="84"/>
    <x v="13"/>
    <n v="476.48"/>
    <n v="8"/>
    <x v="2"/>
    <n v="5"/>
    <n v="2"/>
    <n v="60"/>
    <x v="0"/>
    <x v="0"/>
    <n v="0.25"/>
    <n v="10"/>
    <x v="1"/>
    <s v="Desktop"/>
    <x v="1"/>
    <d v="2024-07-06T00:00:00"/>
    <x v="1"/>
    <s v="Yes"/>
    <x v="2"/>
    <x v="2"/>
    <n v="3"/>
    <x v="5"/>
    <s v="Qtr-3"/>
    <x v="1"/>
  </r>
  <r>
    <s v="42-101-8525"/>
    <n v="21"/>
    <x v="0"/>
    <x v="1"/>
    <x v="0"/>
    <s v="Widowed"/>
    <s v="Bachelor's"/>
    <x v="0"/>
    <s v="Curahkalak Tengah"/>
    <x v="4"/>
    <x v="0"/>
    <n v="301.01"/>
    <n v="9"/>
    <x v="0"/>
    <n v="2"/>
    <n v="1"/>
    <n v="120"/>
    <x v="3"/>
    <x v="1"/>
    <n v="0.22222222222222221"/>
    <n v="8"/>
    <x v="3"/>
    <s v="Smartphone"/>
    <x v="3"/>
    <d v="2024-08-23T00:00:00"/>
    <x v="1"/>
    <s v="Yes"/>
    <x v="0"/>
    <x v="2"/>
    <n v="13"/>
    <x v="7"/>
    <s v="Qtr-3"/>
    <x v="1"/>
  </r>
  <r>
    <s v="69-157-6752"/>
    <n v="18"/>
    <x v="3"/>
    <x v="1"/>
    <x v="0"/>
    <s v="Single"/>
    <s v="Bachelor's"/>
    <x v="0"/>
    <s v="Ebu"/>
    <x v="29"/>
    <x v="13"/>
    <n v="378.71"/>
    <n v="5"/>
    <x v="2"/>
    <n v="4"/>
    <n v="1"/>
    <n v="120"/>
    <x v="1"/>
    <x v="0"/>
    <n v="0.4"/>
    <n v="5"/>
    <x v="0"/>
    <s v="Desktop"/>
    <x v="3"/>
    <d v="2024-08-30T00:00:00"/>
    <x v="0"/>
    <s v="Yes"/>
    <x v="3"/>
    <x v="2"/>
    <n v="14"/>
    <x v="7"/>
    <s v="Qtr-3"/>
    <x v="5"/>
  </r>
  <r>
    <s v="27-843-5553"/>
    <n v="44"/>
    <x v="1"/>
    <x v="4"/>
    <x v="0"/>
    <s v="Single"/>
    <s v="Bachelor's"/>
    <x v="0"/>
    <s v="Tío Pujio"/>
    <x v="56"/>
    <x v="7"/>
    <n v="314.32"/>
    <n v="6"/>
    <x v="2"/>
    <n v="1"/>
    <n v="4"/>
    <n v="120"/>
    <x v="3"/>
    <x v="2"/>
    <n v="0.33333333333333331"/>
    <n v="5"/>
    <x v="2"/>
    <s v="Smartphone"/>
    <x v="0"/>
    <d v="2024-03-16T00:00:00"/>
    <x v="0"/>
    <s v="No"/>
    <x v="2"/>
    <x v="1"/>
    <n v="7"/>
    <x v="0"/>
    <s v="Qtr-1"/>
    <x v="4"/>
  </r>
  <r>
    <s v="04-468-5487"/>
    <n v="22"/>
    <x v="0"/>
    <x v="1"/>
    <x v="0"/>
    <s v="Married"/>
    <s v="High School"/>
    <x v="1"/>
    <s v="Créteil"/>
    <x v="0"/>
    <x v="2"/>
    <n v="210.9"/>
    <n v="12"/>
    <x v="1"/>
    <n v="2"/>
    <n v="1"/>
    <n v="120"/>
    <x v="0"/>
    <x v="0"/>
    <n v="8.3333333333333329E-2"/>
    <n v="1"/>
    <x v="0"/>
    <s v="Tablet"/>
    <x v="2"/>
    <d v="2024-08-17T00:00:00"/>
    <x v="1"/>
    <s v="No"/>
    <x v="2"/>
    <x v="1"/>
    <n v="12"/>
    <x v="7"/>
    <s v="Qtr-3"/>
    <x v="0"/>
  </r>
  <r>
    <s v="08-584-8296"/>
    <n v="18"/>
    <x v="3"/>
    <x v="0"/>
    <x v="0"/>
    <s v="Divorced"/>
    <s v="High School"/>
    <x v="1"/>
    <s v="Shaxi"/>
    <x v="1"/>
    <x v="1"/>
    <n v="218.26"/>
    <n v="4"/>
    <x v="0"/>
    <n v="3"/>
    <n v="1"/>
    <n v="120"/>
    <x v="2"/>
    <x v="2"/>
    <n v="0"/>
    <n v="8"/>
    <x v="1"/>
    <s v="Smartphone"/>
    <x v="2"/>
    <d v="2024-02-27T00:00:00"/>
    <x v="1"/>
    <s v="No"/>
    <x v="1"/>
    <x v="1"/>
    <n v="12"/>
    <x v="8"/>
    <s v="Qtr-1"/>
    <x v="1"/>
  </r>
  <r>
    <s v="81-014-4502"/>
    <n v="24"/>
    <x v="0"/>
    <x v="0"/>
    <x v="0"/>
    <s v="Widowed"/>
    <s v="Master's"/>
    <x v="0"/>
    <s v="Kel?sh?d va S?darj?n"/>
    <x v="78"/>
    <x v="9"/>
    <n v="424.18"/>
    <n v="5"/>
    <x v="0"/>
    <n v="4"/>
    <n v="4"/>
    <n v="60"/>
    <x v="0"/>
    <x v="1"/>
    <n v="0.4"/>
    <n v="4"/>
    <x v="3"/>
    <s v="Smartphone"/>
    <x v="2"/>
    <d v="2024-02-14T00:00:00"/>
    <x v="1"/>
    <s v="Yes"/>
    <x v="0"/>
    <x v="2"/>
    <n v="5"/>
    <x v="8"/>
    <s v="Qtr-1"/>
    <x v="1"/>
  </r>
  <r>
    <s v="65-167-9819"/>
    <n v="28"/>
    <x v="0"/>
    <x v="1"/>
    <x v="1"/>
    <s v="Divorced"/>
    <s v="High School"/>
    <x v="0"/>
    <s v="Punta Gorda"/>
    <x v="7"/>
    <x v="8"/>
    <n v="430.75"/>
    <n v="11"/>
    <x v="2"/>
    <n v="1"/>
    <n v="3"/>
    <n v="60"/>
    <x v="2"/>
    <x v="0"/>
    <n v="0"/>
    <n v="8"/>
    <x v="1"/>
    <s v="Tablet"/>
    <x v="0"/>
    <d v="2024-06-24T00:00:00"/>
    <x v="0"/>
    <s v="No"/>
    <x v="3"/>
    <x v="0"/>
    <n v="6"/>
    <x v="4"/>
    <s v="Qtr-2"/>
    <x v="2"/>
  </r>
  <r>
    <s v="19-925-2376"/>
    <n v="24"/>
    <x v="0"/>
    <x v="1"/>
    <x v="1"/>
    <s v="Single"/>
    <s v="Bachelor's"/>
    <x v="0"/>
    <s v="Segodim"/>
    <x v="4"/>
    <x v="7"/>
    <n v="162.94999999999999"/>
    <n v="11"/>
    <x v="1"/>
    <n v="1"/>
    <n v="2"/>
    <n v="120"/>
    <x v="3"/>
    <x v="2"/>
    <n v="9.0909090909090912E-2"/>
    <n v="8"/>
    <x v="2"/>
    <s v="Desktop"/>
    <x v="4"/>
    <d v="2024-07-21T00:00:00"/>
    <x v="1"/>
    <s v="Yes"/>
    <x v="2"/>
    <x v="2"/>
    <n v="14"/>
    <x v="5"/>
    <s v="Qtr-3"/>
    <x v="1"/>
  </r>
  <r>
    <s v="03-669-7519"/>
    <n v="40"/>
    <x v="1"/>
    <x v="0"/>
    <x v="0"/>
    <s v="Married"/>
    <s v="Master's"/>
    <x v="1"/>
    <s v="Yinying"/>
    <x v="1"/>
    <x v="18"/>
    <n v="209.68"/>
    <n v="2"/>
    <x v="2"/>
    <n v="3"/>
    <n v="1"/>
    <n v="60"/>
    <x v="0"/>
    <x v="1"/>
    <n v="0"/>
    <n v="1"/>
    <x v="3"/>
    <s v="Smartphone"/>
    <x v="3"/>
    <d v="2024-06-30T00:00:00"/>
    <x v="1"/>
    <s v="Yes"/>
    <x v="2"/>
    <x v="2"/>
    <n v="8"/>
    <x v="4"/>
    <s v="Qtr-2"/>
    <x v="1"/>
  </r>
  <r>
    <s v="00-520-4376"/>
    <n v="50"/>
    <x v="1"/>
    <x v="1"/>
    <x v="1"/>
    <s v="Widowed"/>
    <s v="Bachelor's"/>
    <x v="0"/>
    <s v="Harembo"/>
    <x v="102"/>
    <x v="21"/>
    <n v="97.97"/>
    <n v="2"/>
    <x v="1"/>
    <n v="5"/>
    <n v="5"/>
    <n v="60"/>
    <x v="2"/>
    <x v="0"/>
    <n v="0"/>
    <n v="10"/>
    <x v="0"/>
    <s v="Desktop"/>
    <x v="0"/>
    <d v="2024-10-03T00:00:00"/>
    <x v="0"/>
    <s v="No"/>
    <x v="3"/>
    <x v="0"/>
    <n v="1"/>
    <x v="2"/>
    <s v="Qtr-4"/>
    <x v="5"/>
  </r>
  <r>
    <s v="62-701-1037"/>
    <n v="49"/>
    <x v="1"/>
    <x v="1"/>
    <x v="0"/>
    <s v="Widowed"/>
    <s v="Master's"/>
    <x v="1"/>
    <s v="Lazarevac"/>
    <x v="47"/>
    <x v="5"/>
    <n v="192.51"/>
    <n v="9"/>
    <x v="0"/>
    <n v="2"/>
    <n v="5"/>
    <n v="120"/>
    <x v="1"/>
    <x v="2"/>
    <n v="0"/>
    <n v="2"/>
    <x v="3"/>
    <s v="Smartphone"/>
    <x v="0"/>
    <d v="2024-08-23T00:00:00"/>
    <x v="0"/>
    <s v="No"/>
    <x v="0"/>
    <x v="1"/>
    <n v="9"/>
    <x v="7"/>
    <s v="Qtr-3"/>
    <x v="0"/>
  </r>
  <r>
    <s v="87-806-4478"/>
    <n v="35"/>
    <x v="2"/>
    <x v="1"/>
    <x v="0"/>
    <s v="Widowed"/>
    <s v="Master's"/>
    <x v="0"/>
    <s v="Al J?zah"/>
    <x v="15"/>
    <x v="13"/>
    <n v="151.81"/>
    <n v="8"/>
    <x v="2"/>
    <n v="3"/>
    <n v="4"/>
    <n v="0"/>
    <x v="1"/>
    <x v="1"/>
    <n v="0.125"/>
    <n v="10"/>
    <x v="0"/>
    <s v="Tablet"/>
    <x v="2"/>
    <d v="2024-01-13T00:00:00"/>
    <x v="1"/>
    <s v="No"/>
    <x v="3"/>
    <x v="0"/>
    <n v="1"/>
    <x v="3"/>
    <s v="Qtr-1"/>
    <x v="5"/>
  </r>
  <r>
    <s v="04-809-8989"/>
    <n v="25"/>
    <x v="0"/>
    <x v="0"/>
    <x v="1"/>
    <s v="Married"/>
    <s v="High School"/>
    <x v="0"/>
    <s v="Zhongcun"/>
    <x v="1"/>
    <x v="4"/>
    <n v="239.28"/>
    <n v="8"/>
    <x v="2"/>
    <n v="1"/>
    <n v="4"/>
    <n v="60"/>
    <x v="1"/>
    <x v="0"/>
    <n v="0.25"/>
    <n v="5"/>
    <x v="3"/>
    <s v="Tablet"/>
    <x v="3"/>
    <d v="2024-11-08T00:00:00"/>
    <x v="1"/>
    <s v="Yes"/>
    <x v="2"/>
    <x v="0"/>
    <n v="10"/>
    <x v="11"/>
    <s v="Qtr-4"/>
    <x v="1"/>
  </r>
  <r>
    <s v="39-867-1989"/>
    <n v="40"/>
    <x v="1"/>
    <x v="0"/>
    <x v="1"/>
    <s v="Widowed"/>
    <s v="High School"/>
    <x v="1"/>
    <s v="Gaopeng"/>
    <x v="1"/>
    <x v="7"/>
    <n v="306.17"/>
    <n v="4"/>
    <x v="1"/>
    <n v="3"/>
    <n v="5"/>
    <n v="60"/>
    <x v="1"/>
    <x v="0"/>
    <n v="0"/>
    <n v="6"/>
    <x v="3"/>
    <s v="Tablet"/>
    <x v="1"/>
    <d v="2024-01-29T00:00:00"/>
    <x v="1"/>
    <s v="Yes"/>
    <x v="1"/>
    <x v="2"/>
    <n v="8"/>
    <x v="3"/>
    <s v="Qtr-1"/>
    <x v="1"/>
  </r>
  <r>
    <s v="45-584-7333"/>
    <n v="40"/>
    <x v="1"/>
    <x v="0"/>
    <x v="1"/>
    <s v="Widowed"/>
    <s v="Master's"/>
    <x v="1"/>
    <s v="Tabonok"/>
    <x v="19"/>
    <x v="13"/>
    <n v="370.38"/>
    <n v="11"/>
    <x v="1"/>
    <n v="1"/>
    <n v="2"/>
    <n v="60"/>
    <x v="0"/>
    <x v="1"/>
    <n v="9.0909090909090912E-2"/>
    <n v="1"/>
    <x v="1"/>
    <s v="Desktop"/>
    <x v="3"/>
    <d v="2024-03-04T00:00:00"/>
    <x v="0"/>
    <s v="Yes"/>
    <x v="1"/>
    <x v="0"/>
    <n v="9"/>
    <x v="0"/>
    <s v="Qtr-1"/>
    <x v="1"/>
  </r>
  <r>
    <s v="85-885-6579"/>
    <n v="50"/>
    <x v="1"/>
    <x v="1"/>
    <x v="0"/>
    <s v="Single"/>
    <s v="Bachelor's"/>
    <x v="0"/>
    <s v="Tirana"/>
    <x v="37"/>
    <x v="17"/>
    <n v="346.58"/>
    <n v="6"/>
    <x v="0"/>
    <n v="5"/>
    <n v="1"/>
    <n v="60"/>
    <x v="3"/>
    <x v="0"/>
    <n v="0"/>
    <n v="9"/>
    <x v="2"/>
    <s v="Tablet"/>
    <x v="3"/>
    <d v="2024-06-03T00:00:00"/>
    <x v="1"/>
    <s v="No"/>
    <x v="2"/>
    <x v="2"/>
    <n v="7"/>
    <x v="4"/>
    <s v="Qtr-2"/>
    <x v="0"/>
  </r>
  <r>
    <s v="65-457-2840"/>
    <n v="24"/>
    <x v="0"/>
    <x v="1"/>
    <x v="0"/>
    <s v="Single"/>
    <s v="High School"/>
    <x v="0"/>
    <s v="Maralal"/>
    <x v="64"/>
    <x v="14"/>
    <n v="292.64"/>
    <n v="5"/>
    <x v="1"/>
    <n v="1"/>
    <n v="1"/>
    <n v="60"/>
    <x v="0"/>
    <x v="0"/>
    <n v="0.4"/>
    <n v="10"/>
    <x v="3"/>
    <s v="Tablet"/>
    <x v="0"/>
    <d v="2024-12-06T00:00:00"/>
    <x v="0"/>
    <s v="No"/>
    <x v="1"/>
    <x v="1"/>
    <n v="1"/>
    <x v="6"/>
    <s v="Qtr-4"/>
    <x v="5"/>
  </r>
  <r>
    <s v="82-726-1255"/>
    <n v="30"/>
    <x v="2"/>
    <x v="0"/>
    <x v="0"/>
    <s v="Married"/>
    <s v="Bachelor's"/>
    <x v="1"/>
    <s v="Xinjiang"/>
    <x v="1"/>
    <x v="22"/>
    <n v="102.91"/>
    <n v="12"/>
    <x v="0"/>
    <n v="2"/>
    <n v="1"/>
    <n v="60"/>
    <x v="1"/>
    <x v="2"/>
    <n v="8.3333333333333329E-2"/>
    <n v="10"/>
    <x v="0"/>
    <s v="Desktop"/>
    <x v="1"/>
    <d v="2024-03-26T00:00:00"/>
    <x v="0"/>
    <s v="No"/>
    <x v="2"/>
    <x v="2"/>
    <n v="13"/>
    <x v="0"/>
    <s v="Qtr-1"/>
    <x v="1"/>
  </r>
  <r>
    <s v="90-602-3583"/>
    <n v="32"/>
    <x v="2"/>
    <x v="0"/>
    <x v="1"/>
    <s v="Widowed"/>
    <s v="Bachelor's"/>
    <x v="0"/>
    <s v="Mocho"/>
    <x v="59"/>
    <x v="3"/>
    <n v="283.77999999999997"/>
    <n v="4"/>
    <x v="0"/>
    <n v="2"/>
    <n v="4"/>
    <n v="72"/>
    <x v="0"/>
    <x v="0"/>
    <n v="0"/>
    <n v="6"/>
    <x v="0"/>
    <s v="Smartphone"/>
    <x v="2"/>
    <d v="2024-08-09T00:00:00"/>
    <x v="0"/>
    <s v="No"/>
    <x v="0"/>
    <x v="2"/>
    <n v="10"/>
    <x v="7"/>
    <s v="Qtr-3"/>
    <x v="2"/>
  </r>
  <r>
    <s v="02-711-1034"/>
    <n v="48"/>
    <x v="1"/>
    <x v="0"/>
    <x v="1"/>
    <s v="Widowed"/>
    <s v="High School"/>
    <x v="0"/>
    <s v="Likhoy"/>
    <x v="6"/>
    <x v="21"/>
    <n v="51.44"/>
    <n v="2"/>
    <x v="1"/>
    <n v="1"/>
    <n v="3"/>
    <n v="120"/>
    <x v="3"/>
    <x v="1"/>
    <n v="0"/>
    <n v="1"/>
    <x v="1"/>
    <s v="Tablet"/>
    <x v="3"/>
    <d v="2024-05-17T00:00:00"/>
    <x v="0"/>
    <s v="No"/>
    <x v="3"/>
    <x v="0"/>
    <n v="5"/>
    <x v="9"/>
    <s v="Qtr-2"/>
    <x v="3"/>
  </r>
  <r>
    <s v="27-347-7437"/>
    <n v="44"/>
    <x v="1"/>
    <x v="0"/>
    <x v="1"/>
    <s v="Married"/>
    <s v="Bachelor's"/>
    <x v="1"/>
    <s v="Mineiros"/>
    <x v="14"/>
    <x v="8"/>
    <n v="405.7"/>
    <n v="12"/>
    <x v="2"/>
    <n v="1"/>
    <n v="3"/>
    <n v="60"/>
    <x v="2"/>
    <x v="2"/>
    <n v="0.16666666666666666"/>
    <n v="10"/>
    <x v="2"/>
    <s v="Tablet"/>
    <x v="0"/>
    <d v="2024-02-17T00:00:00"/>
    <x v="0"/>
    <s v="Yes"/>
    <x v="1"/>
    <x v="1"/>
    <n v="14"/>
    <x v="8"/>
    <s v="Qtr-1"/>
    <x v="4"/>
  </r>
  <r>
    <s v="95-675-7816"/>
    <n v="19"/>
    <x v="3"/>
    <x v="0"/>
    <x v="1"/>
    <s v="Widowed"/>
    <s v="Master's"/>
    <x v="0"/>
    <s v="Noisy-le-Grand"/>
    <x v="0"/>
    <x v="19"/>
    <n v="311.74"/>
    <n v="11"/>
    <x v="0"/>
    <n v="1"/>
    <n v="4"/>
    <n v="120"/>
    <x v="2"/>
    <x v="0"/>
    <n v="0.18181818181818182"/>
    <n v="10"/>
    <x v="3"/>
    <s v="Smartphone"/>
    <x v="1"/>
    <d v="2024-01-17T00:00:00"/>
    <x v="0"/>
    <s v="No"/>
    <x v="2"/>
    <x v="2"/>
    <n v="11"/>
    <x v="3"/>
    <s v="Qtr-1"/>
    <x v="0"/>
  </r>
  <r>
    <s v="87-418-1400"/>
    <n v="39"/>
    <x v="2"/>
    <x v="1"/>
    <x v="0"/>
    <s v="Widowed"/>
    <s v="Bachelor's"/>
    <x v="1"/>
    <s v="Taoyuan"/>
    <x v="75"/>
    <x v="20"/>
    <n v="293.43"/>
    <n v="9"/>
    <x v="1"/>
    <n v="4"/>
    <n v="4"/>
    <n v="60"/>
    <x v="1"/>
    <x v="2"/>
    <n v="0"/>
    <n v="5"/>
    <x v="0"/>
    <s v="Desktop"/>
    <x v="4"/>
    <d v="2024-07-05T00:00:00"/>
    <x v="1"/>
    <s v="Yes"/>
    <x v="0"/>
    <x v="1"/>
    <n v="7"/>
    <x v="5"/>
    <s v="Qtr-3"/>
    <x v="1"/>
  </r>
  <r>
    <s v="73-991-0066"/>
    <n v="35"/>
    <x v="2"/>
    <x v="0"/>
    <x v="1"/>
    <s v="Single"/>
    <s v="Bachelor's"/>
    <x v="0"/>
    <s v="San Marcos de Colón"/>
    <x v="35"/>
    <x v="15"/>
    <n v="418.51"/>
    <n v="6"/>
    <x v="2"/>
    <n v="4"/>
    <n v="4"/>
    <n v="120"/>
    <x v="2"/>
    <x v="0"/>
    <n v="0.33333333333333331"/>
    <n v="2"/>
    <x v="1"/>
    <s v="Desktop"/>
    <x v="0"/>
    <d v="2024-05-01T00:00:00"/>
    <x v="1"/>
    <s v="Yes"/>
    <x v="0"/>
    <x v="1"/>
    <n v="3"/>
    <x v="9"/>
    <s v="Qtr-2"/>
    <x v="2"/>
  </r>
  <r>
    <s v="62-273-8089"/>
    <n v="39"/>
    <x v="2"/>
    <x v="1"/>
    <x v="0"/>
    <s v="Single"/>
    <s v="Master's"/>
    <x v="0"/>
    <s v="Pokrovka"/>
    <x v="6"/>
    <x v="10"/>
    <n v="85.03"/>
    <n v="9"/>
    <x v="1"/>
    <n v="5"/>
    <n v="4"/>
    <n v="60"/>
    <x v="1"/>
    <x v="1"/>
    <n v="0"/>
    <n v="9"/>
    <x v="1"/>
    <s v="Smartphone"/>
    <x v="0"/>
    <d v="2024-10-06T00:00:00"/>
    <x v="0"/>
    <s v="Yes"/>
    <x v="1"/>
    <x v="2"/>
    <n v="8"/>
    <x v="2"/>
    <s v="Qtr-4"/>
    <x v="3"/>
  </r>
  <r>
    <s v="51-220-3072"/>
    <n v="31"/>
    <x v="2"/>
    <x v="1"/>
    <x v="0"/>
    <s v="Married"/>
    <s v="Master's"/>
    <x v="1"/>
    <s v="Shuntian"/>
    <x v="1"/>
    <x v="7"/>
    <n v="164.94"/>
    <n v="4"/>
    <x v="1"/>
    <n v="4"/>
    <n v="4"/>
    <n v="120"/>
    <x v="3"/>
    <x v="0"/>
    <n v="0.5"/>
    <n v="2"/>
    <x v="2"/>
    <s v="Desktop"/>
    <x v="1"/>
    <d v="2024-07-18T00:00:00"/>
    <x v="0"/>
    <s v="Yes"/>
    <x v="1"/>
    <x v="2"/>
    <n v="6"/>
    <x v="5"/>
    <s v="Qtr-3"/>
    <x v="1"/>
  </r>
  <r>
    <s v="17-648-0171"/>
    <n v="38"/>
    <x v="2"/>
    <x v="0"/>
    <x v="1"/>
    <s v="Widowed"/>
    <s v="Bachelor's"/>
    <x v="0"/>
    <s v="João Câmara"/>
    <x v="14"/>
    <x v="19"/>
    <n v="89.32"/>
    <n v="11"/>
    <x v="2"/>
    <n v="1"/>
    <n v="1"/>
    <n v="18"/>
    <x v="2"/>
    <x v="0"/>
    <n v="9.0909090909090912E-2"/>
    <n v="3"/>
    <x v="1"/>
    <s v="Desktop"/>
    <x v="3"/>
    <d v="2024-04-23T00:00:00"/>
    <x v="0"/>
    <s v="No"/>
    <x v="1"/>
    <x v="0"/>
    <n v="12"/>
    <x v="1"/>
    <s v="Qtr-2"/>
    <x v="4"/>
  </r>
  <r>
    <s v="11-975-9054"/>
    <n v="33"/>
    <x v="2"/>
    <x v="1"/>
    <x v="0"/>
    <s v="Married"/>
    <s v="High School"/>
    <x v="1"/>
    <s v="Cunha"/>
    <x v="14"/>
    <x v="20"/>
    <n v="388.26"/>
    <n v="2"/>
    <x v="0"/>
    <n v="3"/>
    <n v="1"/>
    <n v="60"/>
    <x v="3"/>
    <x v="1"/>
    <n v="0"/>
    <n v="7"/>
    <x v="0"/>
    <s v="Smartphone"/>
    <x v="0"/>
    <d v="2024-04-02T00:00:00"/>
    <x v="1"/>
    <s v="No"/>
    <x v="3"/>
    <x v="0"/>
    <n v="5"/>
    <x v="1"/>
    <s v="Qtr-2"/>
    <x v="4"/>
  </r>
  <r>
    <s v="75-518-2831"/>
    <n v="33"/>
    <x v="2"/>
    <x v="1"/>
    <x v="0"/>
    <s v="Divorced"/>
    <s v="Master's"/>
    <x v="0"/>
    <s v="Fengyi"/>
    <x v="1"/>
    <x v="23"/>
    <n v="106.69"/>
    <n v="5"/>
    <x v="2"/>
    <n v="3"/>
    <n v="4"/>
    <n v="78"/>
    <x v="1"/>
    <x v="2"/>
    <n v="0.4"/>
    <n v="10"/>
    <x v="0"/>
    <s v="Desktop"/>
    <x v="1"/>
    <d v="2024-09-20T00:00:00"/>
    <x v="1"/>
    <s v="Yes"/>
    <x v="1"/>
    <x v="1"/>
    <n v="14"/>
    <x v="10"/>
    <s v="Qtr-3"/>
    <x v="1"/>
  </r>
  <r>
    <s v="13-297-9777"/>
    <n v="42"/>
    <x v="1"/>
    <x v="6"/>
    <x v="0"/>
    <s v="Married"/>
    <s v="Bachelor's"/>
    <x v="1"/>
    <s v="Myshkin"/>
    <x v="6"/>
    <x v="12"/>
    <n v="301.16000000000003"/>
    <n v="10"/>
    <x v="2"/>
    <n v="4"/>
    <n v="3"/>
    <n v="120"/>
    <x v="0"/>
    <x v="2"/>
    <n v="0.2"/>
    <n v="9"/>
    <x v="3"/>
    <s v="Tablet"/>
    <x v="4"/>
    <d v="2024-07-26T00:00:00"/>
    <x v="1"/>
    <s v="No"/>
    <x v="0"/>
    <x v="1"/>
    <n v="1"/>
    <x v="5"/>
    <s v="Qtr-3"/>
    <x v="3"/>
  </r>
  <r>
    <s v="81-604-7906"/>
    <n v="49"/>
    <x v="1"/>
    <x v="1"/>
    <x v="0"/>
    <s v="Divorced"/>
    <s v="High School"/>
    <x v="1"/>
    <s v="Tewulike"/>
    <x v="4"/>
    <x v="11"/>
    <n v="61.71"/>
    <n v="6"/>
    <x v="0"/>
    <n v="2"/>
    <n v="5"/>
    <n v="60"/>
    <x v="2"/>
    <x v="2"/>
    <n v="0.33333333333333331"/>
    <n v="7"/>
    <x v="2"/>
    <s v="Tablet"/>
    <x v="4"/>
    <d v="2024-10-03T00:00:00"/>
    <x v="1"/>
    <s v="No"/>
    <x v="2"/>
    <x v="0"/>
    <n v="12"/>
    <x v="2"/>
    <s v="Qtr-4"/>
    <x v="1"/>
  </r>
  <r>
    <s v="87-518-0375"/>
    <n v="46"/>
    <x v="1"/>
    <x v="4"/>
    <x v="0"/>
    <s v="Divorced"/>
    <s v="High School"/>
    <x v="1"/>
    <s v="Bistrinci"/>
    <x v="103"/>
    <x v="6"/>
    <n v="83.33"/>
    <n v="11"/>
    <x v="1"/>
    <n v="1"/>
    <n v="5"/>
    <n v="60"/>
    <x v="1"/>
    <x v="2"/>
    <n v="9.0909090909090912E-2"/>
    <n v="6"/>
    <x v="2"/>
    <s v="Desktop"/>
    <x v="2"/>
    <d v="2024-02-27T00:00:00"/>
    <x v="0"/>
    <s v="Yes"/>
    <x v="3"/>
    <x v="2"/>
    <n v="1"/>
    <x v="8"/>
    <s v="Qtr-1"/>
    <x v="0"/>
  </r>
  <r>
    <s v="53-437-2629"/>
    <n v="42"/>
    <x v="1"/>
    <x v="1"/>
    <x v="1"/>
    <s v="Single"/>
    <s v="Bachelor's"/>
    <x v="0"/>
    <s v="Chenguang"/>
    <x v="1"/>
    <x v="5"/>
    <n v="411.81"/>
    <n v="4"/>
    <x v="0"/>
    <n v="1"/>
    <n v="3"/>
    <n v="60"/>
    <x v="3"/>
    <x v="0"/>
    <n v="0.25"/>
    <n v="1"/>
    <x v="1"/>
    <s v="Smartphone"/>
    <x v="4"/>
    <d v="2024-04-08T00:00:00"/>
    <x v="0"/>
    <s v="Yes"/>
    <x v="3"/>
    <x v="1"/>
    <n v="1"/>
    <x v="1"/>
    <s v="Qtr-2"/>
    <x v="1"/>
  </r>
  <r>
    <s v="46-681-0764"/>
    <n v="44"/>
    <x v="1"/>
    <x v="0"/>
    <x v="0"/>
    <s v="Married"/>
    <s v="Master's"/>
    <x v="1"/>
    <s v="Muara"/>
    <x v="104"/>
    <x v="8"/>
    <n v="114.93"/>
    <n v="3"/>
    <x v="1"/>
    <n v="4"/>
    <n v="3"/>
    <n v="60"/>
    <x v="3"/>
    <x v="0"/>
    <n v="0"/>
    <n v="4"/>
    <x v="0"/>
    <s v="Desktop"/>
    <x v="3"/>
    <d v="2024-08-23T00:00:00"/>
    <x v="0"/>
    <s v="Yes"/>
    <x v="2"/>
    <x v="1"/>
    <n v="4"/>
    <x v="7"/>
    <s v="Qtr-3"/>
    <x v="1"/>
  </r>
  <r>
    <s v="43-990-6454"/>
    <n v="33"/>
    <x v="2"/>
    <x v="0"/>
    <x v="1"/>
    <s v="Divorced"/>
    <s v="Master's"/>
    <x v="0"/>
    <s v="Qorveh"/>
    <x v="78"/>
    <x v="23"/>
    <n v="438.42"/>
    <n v="11"/>
    <x v="2"/>
    <n v="3"/>
    <n v="2"/>
    <n v="120"/>
    <x v="1"/>
    <x v="2"/>
    <n v="0"/>
    <n v="4"/>
    <x v="2"/>
    <s v="Tablet"/>
    <x v="4"/>
    <d v="2024-09-10T00:00:00"/>
    <x v="0"/>
    <s v="No"/>
    <x v="3"/>
    <x v="2"/>
    <n v="4"/>
    <x v="10"/>
    <s v="Qtr-3"/>
    <x v="1"/>
  </r>
  <r>
    <s v="55-570-3804"/>
    <n v="36"/>
    <x v="2"/>
    <x v="1"/>
    <x v="0"/>
    <s v="Widowed"/>
    <s v="Master's"/>
    <x v="0"/>
    <s v="Bom Despacho"/>
    <x v="14"/>
    <x v="8"/>
    <n v="189.97"/>
    <n v="2"/>
    <x v="1"/>
    <n v="2"/>
    <n v="3"/>
    <n v="60"/>
    <x v="3"/>
    <x v="0"/>
    <n v="0"/>
    <n v="3"/>
    <x v="3"/>
    <s v="Smartphone"/>
    <x v="0"/>
    <d v="2024-03-06T00:00:00"/>
    <x v="0"/>
    <s v="No"/>
    <x v="0"/>
    <x v="1"/>
    <n v="8"/>
    <x v="0"/>
    <s v="Qtr-1"/>
    <x v="4"/>
  </r>
  <r>
    <s v="29-067-4901"/>
    <n v="35"/>
    <x v="2"/>
    <x v="1"/>
    <x v="1"/>
    <s v="Divorced"/>
    <s v="Master's"/>
    <x v="0"/>
    <s v="Arhust"/>
    <x v="105"/>
    <x v="18"/>
    <n v="227.03"/>
    <n v="12"/>
    <x v="2"/>
    <n v="2"/>
    <n v="2"/>
    <n v="0"/>
    <x v="3"/>
    <x v="2"/>
    <n v="0.16666666666666666"/>
    <n v="10"/>
    <x v="2"/>
    <s v="Desktop"/>
    <x v="1"/>
    <d v="2024-07-07T00:00:00"/>
    <x v="0"/>
    <s v="Yes"/>
    <x v="3"/>
    <x v="1"/>
    <n v="2"/>
    <x v="5"/>
    <s v="Qtr-3"/>
    <x v="0"/>
  </r>
  <r>
    <s v="93-957-6269"/>
    <n v="26"/>
    <x v="0"/>
    <x v="1"/>
    <x v="1"/>
    <s v="Divorced"/>
    <s v="Bachelor's"/>
    <x v="0"/>
    <s v="Thaton"/>
    <x v="106"/>
    <x v="3"/>
    <n v="278.49"/>
    <n v="4"/>
    <x v="0"/>
    <n v="5"/>
    <n v="5"/>
    <n v="0"/>
    <x v="2"/>
    <x v="0"/>
    <n v="0.25"/>
    <n v="5"/>
    <x v="2"/>
    <s v="Smartphone"/>
    <x v="0"/>
    <d v="2024-09-08T00:00:00"/>
    <x v="0"/>
    <s v="Yes"/>
    <x v="0"/>
    <x v="2"/>
    <n v="8"/>
    <x v="10"/>
    <s v="Qtr-3"/>
    <x v="1"/>
  </r>
  <r>
    <s v="81-225-6647"/>
    <n v="43"/>
    <x v="1"/>
    <x v="0"/>
    <x v="1"/>
    <s v="Widowed"/>
    <s v="Bachelor's"/>
    <x v="1"/>
    <s v="Changbai"/>
    <x v="1"/>
    <x v="9"/>
    <n v="120.56"/>
    <n v="5"/>
    <x v="2"/>
    <n v="4"/>
    <n v="3"/>
    <n v="120"/>
    <x v="0"/>
    <x v="1"/>
    <n v="0.4"/>
    <n v="7"/>
    <x v="2"/>
    <s v="Tablet"/>
    <x v="2"/>
    <d v="2024-06-03T00:00:00"/>
    <x v="1"/>
    <s v="No"/>
    <x v="0"/>
    <x v="2"/>
    <n v="7"/>
    <x v="4"/>
    <s v="Qtr-2"/>
    <x v="1"/>
  </r>
  <r>
    <s v="64-706-7841"/>
    <n v="25"/>
    <x v="0"/>
    <x v="1"/>
    <x v="1"/>
    <s v="Divorced"/>
    <s v="Bachelor's"/>
    <x v="0"/>
    <s v="Kragan"/>
    <x v="4"/>
    <x v="0"/>
    <n v="320.94"/>
    <n v="11"/>
    <x v="2"/>
    <n v="3"/>
    <n v="3"/>
    <n v="120"/>
    <x v="3"/>
    <x v="1"/>
    <n v="0.18181818181818182"/>
    <n v="10"/>
    <x v="0"/>
    <s v="Smartphone"/>
    <x v="4"/>
    <d v="2024-11-08T00:00:00"/>
    <x v="1"/>
    <s v="No"/>
    <x v="2"/>
    <x v="0"/>
    <n v="10"/>
    <x v="11"/>
    <s v="Qtr-4"/>
    <x v="1"/>
  </r>
  <r>
    <s v="47-178-9529"/>
    <n v="37"/>
    <x v="2"/>
    <x v="0"/>
    <x v="1"/>
    <s v="Divorced"/>
    <s v="Master's"/>
    <x v="0"/>
    <s v="Bida"/>
    <x v="29"/>
    <x v="23"/>
    <n v="217.72"/>
    <n v="3"/>
    <x v="1"/>
    <n v="4"/>
    <n v="4"/>
    <n v="120"/>
    <x v="1"/>
    <x v="1"/>
    <n v="0.33333333333333331"/>
    <n v="4"/>
    <x v="1"/>
    <s v="Tablet"/>
    <x v="2"/>
    <d v="2024-10-16T00:00:00"/>
    <x v="1"/>
    <s v="Yes"/>
    <x v="1"/>
    <x v="0"/>
    <n v="14"/>
    <x v="2"/>
    <s v="Qtr-4"/>
    <x v="5"/>
  </r>
  <r>
    <s v="63-808-3641"/>
    <n v="25"/>
    <x v="0"/>
    <x v="1"/>
    <x v="1"/>
    <s v="Widowed"/>
    <s v="Bachelor's"/>
    <x v="0"/>
    <s v="Pointe Michel"/>
    <x v="107"/>
    <x v="3"/>
    <n v="222.61"/>
    <n v="3"/>
    <x v="2"/>
    <n v="1"/>
    <n v="2"/>
    <n v="60"/>
    <x v="1"/>
    <x v="2"/>
    <n v="0.33333333333333331"/>
    <n v="1"/>
    <x v="0"/>
    <s v="Desktop"/>
    <x v="1"/>
    <d v="2024-07-03T00:00:00"/>
    <x v="1"/>
    <s v="Yes"/>
    <x v="0"/>
    <x v="1"/>
    <n v="3"/>
    <x v="5"/>
    <s v="Qtr-3"/>
    <x v="2"/>
  </r>
  <r>
    <s v="85-738-8909"/>
    <n v="40"/>
    <x v="1"/>
    <x v="0"/>
    <x v="0"/>
    <s v="Divorced"/>
    <s v="High School"/>
    <x v="0"/>
    <s v="Juyuan"/>
    <x v="1"/>
    <x v="21"/>
    <n v="102.73"/>
    <n v="3"/>
    <x v="0"/>
    <n v="4"/>
    <n v="5"/>
    <n v="18"/>
    <x v="0"/>
    <x v="1"/>
    <n v="0.66666666666666663"/>
    <n v="5"/>
    <x v="0"/>
    <s v="Tablet"/>
    <x v="2"/>
    <d v="2024-07-18T00:00:00"/>
    <x v="1"/>
    <s v="No"/>
    <x v="1"/>
    <x v="2"/>
    <n v="14"/>
    <x v="5"/>
    <s v="Qtr-3"/>
    <x v="1"/>
  </r>
  <r>
    <s v="40-224-1057"/>
    <n v="40"/>
    <x v="1"/>
    <x v="0"/>
    <x v="0"/>
    <s v="Married"/>
    <s v="Bachelor's"/>
    <x v="1"/>
    <s v="Sabugo"/>
    <x v="26"/>
    <x v="6"/>
    <n v="426.87"/>
    <n v="2"/>
    <x v="1"/>
    <n v="4"/>
    <n v="2"/>
    <n v="120"/>
    <x v="0"/>
    <x v="1"/>
    <n v="0"/>
    <n v="4"/>
    <x v="3"/>
    <s v="Smartphone"/>
    <x v="2"/>
    <d v="2024-03-14T00:00:00"/>
    <x v="1"/>
    <s v="No"/>
    <x v="1"/>
    <x v="0"/>
    <n v="3"/>
    <x v="0"/>
    <s v="Qtr-1"/>
    <x v="0"/>
  </r>
  <r>
    <s v="24-853-1635"/>
    <n v="20"/>
    <x v="0"/>
    <x v="0"/>
    <x v="0"/>
    <s v="Widowed"/>
    <s v="High School"/>
    <x v="0"/>
    <s v="Huangjin"/>
    <x v="1"/>
    <x v="23"/>
    <n v="473.28"/>
    <n v="5"/>
    <x v="2"/>
    <n v="5"/>
    <n v="5"/>
    <n v="60"/>
    <x v="1"/>
    <x v="2"/>
    <n v="0.2"/>
    <n v="9"/>
    <x v="0"/>
    <s v="Smartphone"/>
    <x v="4"/>
    <d v="2024-12-09T00:00:00"/>
    <x v="1"/>
    <s v="No"/>
    <x v="0"/>
    <x v="1"/>
    <n v="13"/>
    <x v="6"/>
    <s v="Qtr-4"/>
    <x v="1"/>
  </r>
  <r>
    <s v="61-627-1822"/>
    <n v="39"/>
    <x v="2"/>
    <x v="1"/>
    <x v="1"/>
    <s v="Widowed"/>
    <s v="Bachelor's"/>
    <x v="1"/>
    <s v="Huquan"/>
    <x v="1"/>
    <x v="23"/>
    <n v="446.03"/>
    <n v="9"/>
    <x v="1"/>
    <n v="2"/>
    <n v="1"/>
    <n v="120"/>
    <x v="2"/>
    <x v="0"/>
    <n v="0.22222222222222221"/>
    <n v="7"/>
    <x v="0"/>
    <s v="Tablet"/>
    <x v="3"/>
    <d v="2024-06-26T00:00:00"/>
    <x v="0"/>
    <s v="Yes"/>
    <x v="0"/>
    <x v="2"/>
    <n v="12"/>
    <x v="4"/>
    <s v="Qtr-2"/>
    <x v="1"/>
  </r>
  <r>
    <s v="89-392-5002"/>
    <n v="19"/>
    <x v="3"/>
    <x v="0"/>
    <x v="1"/>
    <s v="Single"/>
    <s v="Bachelor's"/>
    <x v="1"/>
    <s v="Xinqiao"/>
    <x v="1"/>
    <x v="17"/>
    <n v="287.95"/>
    <n v="3"/>
    <x v="0"/>
    <n v="2"/>
    <n v="3"/>
    <n v="120"/>
    <x v="0"/>
    <x v="2"/>
    <n v="0.66666666666666663"/>
    <n v="7"/>
    <x v="1"/>
    <s v="Tablet"/>
    <x v="1"/>
    <d v="2024-11-12T00:00:00"/>
    <x v="0"/>
    <s v="Yes"/>
    <x v="3"/>
    <x v="1"/>
    <n v="11"/>
    <x v="11"/>
    <s v="Qtr-4"/>
    <x v="1"/>
  </r>
  <r>
    <s v="71-573-6085"/>
    <n v="31"/>
    <x v="2"/>
    <x v="0"/>
    <x v="0"/>
    <s v="Widowed"/>
    <s v="Master's"/>
    <x v="1"/>
    <s v="Trzemeszno"/>
    <x v="18"/>
    <x v="8"/>
    <n v="132.52000000000001"/>
    <n v="6"/>
    <x v="0"/>
    <n v="1"/>
    <n v="2"/>
    <n v="0"/>
    <x v="1"/>
    <x v="0"/>
    <n v="0.33333333333333331"/>
    <n v="10"/>
    <x v="2"/>
    <s v="Smartphone"/>
    <x v="2"/>
    <d v="2024-12-20T00:00:00"/>
    <x v="0"/>
    <s v="Yes"/>
    <x v="2"/>
    <x v="2"/>
    <n v="12"/>
    <x v="6"/>
    <s v="Qtr-4"/>
    <x v="0"/>
  </r>
  <r>
    <s v="91-810-3612"/>
    <n v="36"/>
    <x v="2"/>
    <x v="0"/>
    <x v="0"/>
    <s v="Married"/>
    <s v="Bachelor's"/>
    <x v="0"/>
    <s v="Dashkawka"/>
    <x v="108"/>
    <x v="6"/>
    <n v="379.2"/>
    <n v="7"/>
    <x v="2"/>
    <n v="5"/>
    <n v="1"/>
    <n v="0"/>
    <x v="1"/>
    <x v="2"/>
    <n v="0.2857142857142857"/>
    <n v="2"/>
    <x v="1"/>
    <s v="Smartphone"/>
    <x v="2"/>
    <d v="2024-05-28T00:00:00"/>
    <x v="0"/>
    <s v="Yes"/>
    <x v="0"/>
    <x v="0"/>
    <n v="7"/>
    <x v="9"/>
    <s v="Qtr-2"/>
    <x v="0"/>
  </r>
  <r>
    <s v="07-323-0255"/>
    <n v="31"/>
    <x v="2"/>
    <x v="3"/>
    <x v="0"/>
    <s v="Married"/>
    <s v="High School"/>
    <x v="1"/>
    <s v="Sakura"/>
    <x v="3"/>
    <x v="19"/>
    <n v="447.53"/>
    <n v="4"/>
    <x v="2"/>
    <n v="2"/>
    <n v="1"/>
    <n v="120"/>
    <x v="3"/>
    <x v="0"/>
    <n v="0.25"/>
    <n v="6"/>
    <x v="0"/>
    <s v="Smartphone"/>
    <x v="1"/>
    <d v="2024-10-13T00:00:00"/>
    <x v="0"/>
    <s v="Yes"/>
    <x v="1"/>
    <x v="0"/>
    <n v="3"/>
    <x v="2"/>
    <s v="Qtr-4"/>
    <x v="1"/>
  </r>
  <r>
    <s v="81-054-5343"/>
    <n v="45"/>
    <x v="1"/>
    <x v="0"/>
    <x v="1"/>
    <s v="Divorced"/>
    <s v="Bachelor's"/>
    <x v="0"/>
    <s v="Lianghu"/>
    <x v="1"/>
    <x v="2"/>
    <n v="138.44"/>
    <n v="4"/>
    <x v="0"/>
    <n v="5"/>
    <n v="1"/>
    <n v="60"/>
    <x v="0"/>
    <x v="2"/>
    <n v="0.25"/>
    <n v="2"/>
    <x v="0"/>
    <s v="Smartphone"/>
    <x v="4"/>
    <d v="2024-02-22T00:00:00"/>
    <x v="1"/>
    <s v="Yes"/>
    <x v="1"/>
    <x v="2"/>
    <n v="1"/>
    <x v="8"/>
    <s v="Qtr-1"/>
    <x v="1"/>
  </r>
  <r>
    <s v="14-854-9545"/>
    <n v="45"/>
    <x v="1"/>
    <x v="6"/>
    <x v="0"/>
    <s v="Single"/>
    <s v="High School"/>
    <x v="0"/>
    <s v="Karabash"/>
    <x v="6"/>
    <x v="3"/>
    <n v="440.62"/>
    <n v="8"/>
    <x v="0"/>
    <n v="2"/>
    <n v="2"/>
    <n v="120"/>
    <x v="0"/>
    <x v="2"/>
    <n v="0.125"/>
    <n v="3"/>
    <x v="3"/>
    <s v="Tablet"/>
    <x v="2"/>
    <d v="2024-02-01T00:00:00"/>
    <x v="0"/>
    <s v="Yes"/>
    <x v="0"/>
    <x v="2"/>
    <n v="6"/>
    <x v="8"/>
    <s v="Qtr-1"/>
    <x v="3"/>
  </r>
  <r>
    <s v="52-150-4629"/>
    <n v="23"/>
    <x v="0"/>
    <x v="0"/>
    <x v="1"/>
    <s v="Divorced"/>
    <s v="Master's"/>
    <x v="1"/>
    <s v="Maomiaoji"/>
    <x v="1"/>
    <x v="6"/>
    <n v="145.97999999999999"/>
    <n v="4"/>
    <x v="1"/>
    <n v="1"/>
    <n v="2"/>
    <n v="60"/>
    <x v="2"/>
    <x v="2"/>
    <n v="0.5"/>
    <n v="5"/>
    <x v="1"/>
    <s v="Desktop"/>
    <x v="3"/>
    <d v="2024-09-16T00:00:00"/>
    <x v="1"/>
    <s v="No"/>
    <x v="0"/>
    <x v="0"/>
    <n v="1"/>
    <x v="10"/>
    <s v="Qtr-3"/>
    <x v="1"/>
  </r>
  <r>
    <s v="48-918-4473"/>
    <n v="28"/>
    <x v="0"/>
    <x v="1"/>
    <x v="0"/>
    <s v="Married"/>
    <s v="High School"/>
    <x v="1"/>
    <s v="Pingtian"/>
    <x v="1"/>
    <x v="14"/>
    <n v="405.66"/>
    <n v="11"/>
    <x v="2"/>
    <n v="5"/>
    <n v="2"/>
    <n v="60"/>
    <x v="1"/>
    <x v="0"/>
    <n v="9.0909090909090912E-2"/>
    <n v="3"/>
    <x v="1"/>
    <s v="Tablet"/>
    <x v="4"/>
    <d v="2024-04-27T00:00:00"/>
    <x v="0"/>
    <s v="No"/>
    <x v="2"/>
    <x v="2"/>
    <n v="11"/>
    <x v="1"/>
    <s v="Qtr-2"/>
    <x v="1"/>
  </r>
  <r>
    <s v="06-764-5496"/>
    <n v="26"/>
    <x v="0"/>
    <x v="0"/>
    <x v="1"/>
    <s v="Single"/>
    <s v="High School"/>
    <x v="0"/>
    <s v="Tišina"/>
    <x v="55"/>
    <x v="20"/>
    <n v="419.98"/>
    <n v="7"/>
    <x v="1"/>
    <n v="4"/>
    <n v="4"/>
    <n v="0"/>
    <x v="0"/>
    <x v="2"/>
    <n v="0"/>
    <n v="10"/>
    <x v="3"/>
    <s v="Desktop"/>
    <x v="1"/>
    <d v="2024-04-28T00:00:00"/>
    <x v="0"/>
    <s v="Yes"/>
    <x v="2"/>
    <x v="0"/>
    <n v="14"/>
    <x v="1"/>
    <s v="Qtr-2"/>
    <x v="0"/>
  </r>
  <r>
    <s v="67-036-4295"/>
    <n v="50"/>
    <x v="1"/>
    <x v="0"/>
    <x v="0"/>
    <s v="Divorced"/>
    <s v="Master's"/>
    <x v="1"/>
    <s v="Montceau-les-Mines"/>
    <x v="0"/>
    <x v="17"/>
    <n v="260.14"/>
    <n v="5"/>
    <x v="2"/>
    <n v="3"/>
    <n v="2"/>
    <n v="60"/>
    <x v="0"/>
    <x v="0"/>
    <n v="0.2"/>
    <n v="7"/>
    <x v="2"/>
    <s v="Smartphone"/>
    <x v="3"/>
    <d v="2024-09-01T00:00:00"/>
    <x v="0"/>
    <s v="Yes"/>
    <x v="0"/>
    <x v="1"/>
    <n v="7"/>
    <x v="10"/>
    <s v="Qtr-3"/>
    <x v="0"/>
  </r>
  <r>
    <s v="35-880-9374"/>
    <n v="36"/>
    <x v="2"/>
    <x v="0"/>
    <x v="0"/>
    <s v="Widowed"/>
    <s v="Bachelor's"/>
    <x v="1"/>
    <s v="Karengan"/>
    <x v="4"/>
    <x v="17"/>
    <n v="368.91"/>
    <n v="10"/>
    <x v="1"/>
    <n v="1"/>
    <n v="3"/>
    <n v="120"/>
    <x v="3"/>
    <x v="1"/>
    <n v="0.2"/>
    <n v="10"/>
    <x v="1"/>
    <s v="Desktop"/>
    <x v="2"/>
    <d v="2024-03-21T00:00:00"/>
    <x v="1"/>
    <s v="No"/>
    <x v="0"/>
    <x v="0"/>
    <n v="7"/>
    <x v="0"/>
    <s v="Qtr-1"/>
    <x v="1"/>
  </r>
  <r>
    <s v="08-614-6177"/>
    <n v="32"/>
    <x v="2"/>
    <x v="1"/>
    <x v="0"/>
    <s v="Widowed"/>
    <s v="Master's"/>
    <x v="0"/>
    <s v="Sungai Raya"/>
    <x v="4"/>
    <x v="3"/>
    <n v="100.32"/>
    <n v="2"/>
    <x v="1"/>
    <n v="5"/>
    <n v="1"/>
    <n v="60"/>
    <x v="2"/>
    <x v="2"/>
    <n v="0"/>
    <n v="1"/>
    <x v="3"/>
    <s v="Tablet"/>
    <x v="0"/>
    <d v="2024-12-11T00:00:00"/>
    <x v="1"/>
    <s v="Yes"/>
    <x v="3"/>
    <x v="2"/>
    <n v="8"/>
    <x v="6"/>
    <s v="Qtr-4"/>
    <x v="1"/>
  </r>
  <r>
    <s v="35-879-0014"/>
    <n v="34"/>
    <x v="2"/>
    <x v="1"/>
    <x v="1"/>
    <s v="Married"/>
    <s v="Master's"/>
    <x v="0"/>
    <s v="Zwedru"/>
    <x v="69"/>
    <x v="1"/>
    <n v="107.82"/>
    <n v="7"/>
    <x v="0"/>
    <n v="5"/>
    <n v="3"/>
    <n v="120"/>
    <x v="3"/>
    <x v="2"/>
    <n v="0.2857142857142857"/>
    <n v="10"/>
    <x v="2"/>
    <s v="Smartphone"/>
    <x v="0"/>
    <d v="2024-12-04T00:00:00"/>
    <x v="1"/>
    <s v="Yes"/>
    <x v="1"/>
    <x v="0"/>
    <n v="2"/>
    <x v="6"/>
    <s v="Qtr-4"/>
    <x v="5"/>
  </r>
  <r>
    <s v="91-570-2695"/>
    <n v="50"/>
    <x v="1"/>
    <x v="1"/>
    <x v="0"/>
    <s v="Married"/>
    <s v="High School"/>
    <x v="0"/>
    <s v="?ahbuz"/>
    <x v="89"/>
    <x v="15"/>
    <n v="83.88"/>
    <n v="11"/>
    <x v="2"/>
    <n v="4"/>
    <n v="2"/>
    <n v="60"/>
    <x v="1"/>
    <x v="1"/>
    <n v="0"/>
    <n v="6"/>
    <x v="2"/>
    <s v="Desktop"/>
    <x v="3"/>
    <d v="2024-02-24T00:00:00"/>
    <x v="0"/>
    <s v="Yes"/>
    <x v="3"/>
    <x v="2"/>
    <n v="4"/>
    <x v="8"/>
    <s v="Qtr-1"/>
    <x v="1"/>
  </r>
  <r>
    <s v="54-193-3526"/>
    <n v="24"/>
    <x v="0"/>
    <x v="0"/>
    <x v="0"/>
    <s v="Widowed"/>
    <s v="Bachelor's"/>
    <x v="0"/>
    <s v="Masaran"/>
    <x v="4"/>
    <x v="22"/>
    <n v="81.25"/>
    <n v="9"/>
    <x v="2"/>
    <n v="1"/>
    <n v="2"/>
    <n v="60"/>
    <x v="2"/>
    <x v="2"/>
    <n v="0.22222222222222221"/>
    <n v="8"/>
    <x v="3"/>
    <s v="Desktop"/>
    <x v="4"/>
    <d v="2024-05-24T00:00:00"/>
    <x v="0"/>
    <s v="Yes"/>
    <x v="3"/>
    <x v="0"/>
    <n v="10"/>
    <x v="9"/>
    <s v="Qtr-2"/>
    <x v="1"/>
  </r>
  <r>
    <s v="55-237-7991"/>
    <n v="49"/>
    <x v="1"/>
    <x v="1"/>
    <x v="0"/>
    <s v="Widowed"/>
    <s v="Master's"/>
    <x v="1"/>
    <s v="Huangtang"/>
    <x v="1"/>
    <x v="3"/>
    <n v="125.8"/>
    <n v="12"/>
    <x v="1"/>
    <n v="4"/>
    <n v="4"/>
    <n v="120"/>
    <x v="0"/>
    <x v="0"/>
    <n v="0"/>
    <n v="8"/>
    <x v="1"/>
    <s v="Desktop"/>
    <x v="1"/>
    <d v="2024-05-18T00:00:00"/>
    <x v="1"/>
    <s v="Yes"/>
    <x v="3"/>
    <x v="0"/>
    <n v="1"/>
    <x v="9"/>
    <s v="Qtr-2"/>
    <x v="1"/>
  </r>
  <r>
    <s v="90-569-7391"/>
    <n v="18"/>
    <x v="3"/>
    <x v="0"/>
    <x v="0"/>
    <s v="Single"/>
    <s v="Bachelor's"/>
    <x v="0"/>
    <s v="Skoútari"/>
    <x v="24"/>
    <x v="18"/>
    <n v="197.9"/>
    <n v="11"/>
    <x v="0"/>
    <n v="2"/>
    <n v="4"/>
    <n v="120"/>
    <x v="1"/>
    <x v="1"/>
    <n v="9.0909090909090912E-2"/>
    <n v="4"/>
    <x v="2"/>
    <s v="Desktop"/>
    <x v="2"/>
    <d v="2024-04-02T00:00:00"/>
    <x v="0"/>
    <s v="Yes"/>
    <x v="1"/>
    <x v="1"/>
    <n v="5"/>
    <x v="1"/>
    <s v="Qtr-2"/>
    <x v="0"/>
  </r>
  <r>
    <s v="88-395-8741"/>
    <n v="44"/>
    <x v="1"/>
    <x v="1"/>
    <x v="1"/>
    <s v="Divorced"/>
    <s v="High School"/>
    <x v="0"/>
    <s v="Jelat"/>
    <x v="4"/>
    <x v="22"/>
    <n v="299.08999999999997"/>
    <n v="8"/>
    <x v="1"/>
    <n v="1"/>
    <n v="1"/>
    <n v="120"/>
    <x v="3"/>
    <x v="2"/>
    <n v="0.25"/>
    <n v="7"/>
    <x v="1"/>
    <s v="Tablet"/>
    <x v="2"/>
    <d v="2024-06-24T00:00:00"/>
    <x v="1"/>
    <s v="No"/>
    <x v="2"/>
    <x v="1"/>
    <n v="14"/>
    <x v="4"/>
    <s v="Qtr-2"/>
    <x v="1"/>
  </r>
  <r>
    <s v="06-638-0433"/>
    <n v="41"/>
    <x v="1"/>
    <x v="1"/>
    <x v="1"/>
    <s v="Married"/>
    <s v="High School"/>
    <x v="0"/>
    <s v="Doibang"/>
    <x v="84"/>
    <x v="22"/>
    <n v="79.3"/>
    <n v="10"/>
    <x v="2"/>
    <n v="3"/>
    <n v="2"/>
    <n v="60"/>
    <x v="2"/>
    <x v="0"/>
    <n v="0.2"/>
    <n v="4"/>
    <x v="1"/>
    <s v="Smartphone"/>
    <x v="2"/>
    <d v="2024-09-03T00:00:00"/>
    <x v="1"/>
    <s v="No"/>
    <x v="3"/>
    <x v="0"/>
    <n v="2"/>
    <x v="10"/>
    <s v="Qtr-3"/>
    <x v="1"/>
  </r>
  <r>
    <s v="84-208-7045"/>
    <n v="33"/>
    <x v="2"/>
    <x v="1"/>
    <x v="1"/>
    <s v="Divorced"/>
    <s v="High School"/>
    <x v="1"/>
    <s v="Kazimierz Dolny"/>
    <x v="18"/>
    <x v="5"/>
    <n v="55.73"/>
    <n v="12"/>
    <x v="1"/>
    <n v="4"/>
    <n v="3"/>
    <n v="18"/>
    <x v="1"/>
    <x v="1"/>
    <n v="8.3333333333333329E-2"/>
    <n v="3"/>
    <x v="1"/>
    <s v="Tablet"/>
    <x v="1"/>
    <d v="2024-05-19T00:00:00"/>
    <x v="1"/>
    <s v="Yes"/>
    <x v="0"/>
    <x v="2"/>
    <n v="3"/>
    <x v="9"/>
    <s v="Qtr-2"/>
    <x v="0"/>
  </r>
  <r>
    <s v="71-568-0867"/>
    <n v="46"/>
    <x v="1"/>
    <x v="1"/>
    <x v="1"/>
    <s v="Single"/>
    <s v="Bachelor's"/>
    <x v="1"/>
    <s v="Margasari"/>
    <x v="4"/>
    <x v="14"/>
    <n v="256.44"/>
    <n v="8"/>
    <x v="1"/>
    <n v="4"/>
    <n v="1"/>
    <n v="120"/>
    <x v="3"/>
    <x v="0"/>
    <n v="0.125"/>
    <n v="6"/>
    <x v="3"/>
    <s v="Tablet"/>
    <x v="3"/>
    <d v="2024-08-04T00:00:00"/>
    <x v="1"/>
    <s v="No"/>
    <x v="1"/>
    <x v="2"/>
    <n v="3"/>
    <x v="7"/>
    <s v="Qtr-3"/>
    <x v="1"/>
  </r>
  <r>
    <s v="18-925-1867"/>
    <n v="23"/>
    <x v="0"/>
    <x v="0"/>
    <x v="1"/>
    <s v="Married"/>
    <s v="Bachelor's"/>
    <x v="1"/>
    <s v="Garça"/>
    <x v="14"/>
    <x v="16"/>
    <n v="337.21"/>
    <n v="12"/>
    <x v="2"/>
    <n v="1"/>
    <n v="5"/>
    <n v="60"/>
    <x v="2"/>
    <x v="0"/>
    <n v="0"/>
    <n v="9"/>
    <x v="0"/>
    <s v="Smartphone"/>
    <x v="2"/>
    <d v="2024-10-24T00:00:00"/>
    <x v="0"/>
    <s v="Yes"/>
    <x v="3"/>
    <x v="2"/>
    <n v="11"/>
    <x v="2"/>
    <s v="Qtr-4"/>
    <x v="4"/>
  </r>
  <r>
    <s v="69-394-1424"/>
    <n v="35"/>
    <x v="2"/>
    <x v="0"/>
    <x v="1"/>
    <s v="Single"/>
    <s v="Master's"/>
    <x v="0"/>
    <s v="Muff"/>
    <x v="109"/>
    <x v="14"/>
    <n v="494.97"/>
    <n v="12"/>
    <x v="1"/>
    <n v="5"/>
    <n v="4"/>
    <n v="120"/>
    <x v="2"/>
    <x v="1"/>
    <n v="8.3333333333333329E-2"/>
    <n v="5"/>
    <x v="2"/>
    <s v="Tablet"/>
    <x v="2"/>
    <d v="2024-08-16T00:00:00"/>
    <x v="1"/>
    <s v="No"/>
    <x v="3"/>
    <x v="0"/>
    <n v="7"/>
    <x v="7"/>
    <s v="Qtr-3"/>
    <x v="0"/>
  </r>
  <r>
    <s v="91-695-8237"/>
    <n v="31"/>
    <x v="2"/>
    <x v="0"/>
    <x v="0"/>
    <s v="Widowed"/>
    <s v="High School"/>
    <x v="1"/>
    <s v="Kryva Hora"/>
    <x v="9"/>
    <x v="17"/>
    <n v="238.58"/>
    <n v="6"/>
    <x v="2"/>
    <n v="3"/>
    <n v="2"/>
    <n v="120"/>
    <x v="1"/>
    <x v="2"/>
    <n v="0.33333333333333331"/>
    <n v="9"/>
    <x v="3"/>
    <s v="Tablet"/>
    <x v="1"/>
    <d v="2024-06-11T00:00:00"/>
    <x v="0"/>
    <s v="Yes"/>
    <x v="1"/>
    <x v="1"/>
    <n v="8"/>
    <x v="4"/>
    <s v="Qtr-2"/>
    <x v="0"/>
  </r>
  <r>
    <s v="68-458-0904"/>
    <n v="20"/>
    <x v="0"/>
    <x v="0"/>
    <x v="1"/>
    <s v="Single"/>
    <s v="Bachelor's"/>
    <x v="1"/>
    <s v="Pyra"/>
    <x v="11"/>
    <x v="6"/>
    <n v="131.9"/>
    <n v="8"/>
    <x v="0"/>
    <n v="3"/>
    <n v="5"/>
    <n v="0"/>
    <x v="0"/>
    <x v="1"/>
    <n v="0.25"/>
    <n v="4"/>
    <x v="3"/>
    <s v="Tablet"/>
    <x v="0"/>
    <d v="2024-11-01T00:00:00"/>
    <x v="0"/>
    <s v="Yes"/>
    <x v="3"/>
    <x v="0"/>
    <n v="4"/>
    <x v="11"/>
    <s v="Qtr-4"/>
    <x v="1"/>
  </r>
  <r>
    <s v="28-862-5550"/>
    <n v="49"/>
    <x v="1"/>
    <x v="0"/>
    <x v="0"/>
    <s v="Married"/>
    <s v="Bachelor's"/>
    <x v="1"/>
    <s v="General Lavalle"/>
    <x v="56"/>
    <x v="1"/>
    <n v="403.03"/>
    <n v="12"/>
    <x v="0"/>
    <n v="1"/>
    <n v="5"/>
    <n v="60"/>
    <x v="1"/>
    <x v="0"/>
    <n v="0"/>
    <n v="1"/>
    <x v="1"/>
    <s v="Tablet"/>
    <x v="3"/>
    <d v="2024-08-22T00:00:00"/>
    <x v="0"/>
    <s v="Yes"/>
    <x v="1"/>
    <x v="1"/>
    <n v="2"/>
    <x v="7"/>
    <s v="Qtr-3"/>
    <x v="4"/>
  </r>
  <r>
    <s v="85-666-7449"/>
    <n v="26"/>
    <x v="0"/>
    <x v="0"/>
    <x v="1"/>
    <s v="Widowed"/>
    <s v="Bachelor's"/>
    <x v="1"/>
    <s v="Zhongzhang"/>
    <x v="1"/>
    <x v="18"/>
    <n v="338.6"/>
    <n v="10"/>
    <x v="1"/>
    <n v="1"/>
    <n v="3"/>
    <n v="120"/>
    <x v="1"/>
    <x v="0"/>
    <n v="0.1"/>
    <n v="3"/>
    <x v="3"/>
    <s v="Desktop"/>
    <x v="3"/>
    <d v="2024-08-24T00:00:00"/>
    <x v="1"/>
    <s v="No"/>
    <x v="3"/>
    <x v="0"/>
    <n v="9"/>
    <x v="7"/>
    <s v="Qtr-3"/>
    <x v="1"/>
  </r>
  <r>
    <s v="30-987-7421"/>
    <n v="36"/>
    <x v="2"/>
    <x v="1"/>
    <x v="0"/>
    <s v="Widowed"/>
    <s v="High School"/>
    <x v="1"/>
    <s v="Estacion"/>
    <x v="71"/>
    <x v="4"/>
    <n v="365.38"/>
    <n v="11"/>
    <x v="2"/>
    <n v="1"/>
    <n v="4"/>
    <n v="0"/>
    <x v="3"/>
    <x v="0"/>
    <n v="0"/>
    <n v="9"/>
    <x v="3"/>
    <s v="Desktop"/>
    <x v="4"/>
    <d v="2024-08-01T00:00:00"/>
    <x v="1"/>
    <s v="No"/>
    <x v="1"/>
    <x v="2"/>
    <n v="14"/>
    <x v="7"/>
    <s v="Qtr-3"/>
    <x v="4"/>
  </r>
  <r>
    <s v="39-107-6852"/>
    <n v="21"/>
    <x v="0"/>
    <x v="1"/>
    <x v="0"/>
    <s v="Married"/>
    <s v="High School"/>
    <x v="1"/>
    <s v="Xinglongchang"/>
    <x v="1"/>
    <x v="6"/>
    <n v="433.99"/>
    <n v="11"/>
    <x v="0"/>
    <n v="3"/>
    <n v="2"/>
    <n v="60"/>
    <x v="3"/>
    <x v="1"/>
    <n v="0"/>
    <n v="2"/>
    <x v="0"/>
    <s v="Desktop"/>
    <x v="0"/>
    <d v="2024-02-09T00:00:00"/>
    <x v="1"/>
    <s v="No"/>
    <x v="0"/>
    <x v="0"/>
    <n v="8"/>
    <x v="8"/>
    <s v="Qtr-1"/>
    <x v="1"/>
  </r>
  <r>
    <s v="85-467-6564"/>
    <n v="35"/>
    <x v="2"/>
    <x v="0"/>
    <x v="0"/>
    <s v="Widowed"/>
    <s v="High School"/>
    <x v="0"/>
    <s v="San Nicolas"/>
    <x v="19"/>
    <x v="10"/>
    <n v="495.95"/>
    <n v="5"/>
    <x v="1"/>
    <n v="4"/>
    <n v="2"/>
    <n v="0"/>
    <x v="3"/>
    <x v="2"/>
    <n v="0.2"/>
    <n v="7"/>
    <x v="0"/>
    <s v="Smartphone"/>
    <x v="3"/>
    <d v="2024-04-10T00:00:00"/>
    <x v="1"/>
    <s v="No"/>
    <x v="3"/>
    <x v="0"/>
    <n v="6"/>
    <x v="1"/>
    <s v="Qtr-2"/>
    <x v="1"/>
  </r>
  <r>
    <s v="82-692-9306"/>
    <n v="41"/>
    <x v="1"/>
    <x v="1"/>
    <x v="1"/>
    <s v="Married"/>
    <s v="High School"/>
    <x v="0"/>
    <s v="Ropa"/>
    <x v="18"/>
    <x v="15"/>
    <n v="356.22"/>
    <n v="7"/>
    <x v="1"/>
    <n v="2"/>
    <n v="5"/>
    <n v="0"/>
    <x v="1"/>
    <x v="2"/>
    <n v="0.14285714285714285"/>
    <n v="7"/>
    <x v="1"/>
    <s v="Smartphone"/>
    <x v="0"/>
    <d v="2024-06-10T00:00:00"/>
    <x v="1"/>
    <s v="Yes"/>
    <x v="3"/>
    <x v="2"/>
    <n v="6"/>
    <x v="4"/>
    <s v="Qtr-2"/>
    <x v="0"/>
  </r>
  <r>
    <s v="18-593-8611"/>
    <n v="22"/>
    <x v="0"/>
    <x v="7"/>
    <x v="1"/>
    <s v="Single"/>
    <s v="High School"/>
    <x v="0"/>
    <s v="San Diego"/>
    <x v="10"/>
    <x v="18"/>
    <n v="156.4"/>
    <n v="7"/>
    <x v="1"/>
    <n v="4"/>
    <n v="5"/>
    <n v="120"/>
    <x v="2"/>
    <x v="0"/>
    <n v="0.14285714285714285"/>
    <n v="7"/>
    <x v="2"/>
    <s v="Desktop"/>
    <x v="0"/>
    <d v="2024-11-07T00:00:00"/>
    <x v="1"/>
    <s v="Yes"/>
    <x v="0"/>
    <x v="1"/>
    <n v="4"/>
    <x v="11"/>
    <s v="Qtr-4"/>
    <x v="2"/>
  </r>
  <r>
    <s v="93-093-0556"/>
    <n v="42"/>
    <x v="1"/>
    <x v="1"/>
    <x v="0"/>
    <s v="Single"/>
    <s v="Master's"/>
    <x v="0"/>
    <s v="Pan-an"/>
    <x v="1"/>
    <x v="6"/>
    <n v="454.36"/>
    <n v="3"/>
    <x v="1"/>
    <n v="4"/>
    <n v="5"/>
    <n v="60"/>
    <x v="2"/>
    <x v="2"/>
    <n v="0.33333333333333331"/>
    <n v="8"/>
    <x v="3"/>
    <s v="Tablet"/>
    <x v="4"/>
    <d v="2024-09-16T00:00:00"/>
    <x v="0"/>
    <s v="No"/>
    <x v="3"/>
    <x v="0"/>
    <n v="12"/>
    <x v="10"/>
    <s v="Qtr-3"/>
    <x v="1"/>
  </r>
  <r>
    <s v="59-080-5779"/>
    <n v="50"/>
    <x v="1"/>
    <x v="1"/>
    <x v="1"/>
    <s v="Single"/>
    <s v="Bachelor's"/>
    <x v="1"/>
    <s v="Shu"/>
    <x v="62"/>
    <x v="14"/>
    <n v="486.07"/>
    <n v="11"/>
    <x v="0"/>
    <n v="5"/>
    <n v="1"/>
    <n v="0"/>
    <x v="1"/>
    <x v="0"/>
    <n v="0.18181818181818182"/>
    <n v="6"/>
    <x v="0"/>
    <s v="Tablet"/>
    <x v="0"/>
    <d v="2024-01-16T00:00:00"/>
    <x v="1"/>
    <s v="No"/>
    <x v="3"/>
    <x v="1"/>
    <n v="12"/>
    <x v="3"/>
    <s v="Qtr-1"/>
    <x v="1"/>
  </r>
  <r>
    <s v="64-915-2968"/>
    <n v="30"/>
    <x v="2"/>
    <x v="0"/>
    <x v="1"/>
    <s v="Divorced"/>
    <s v="High School"/>
    <x v="0"/>
    <s v="Týn nad Vltavou"/>
    <x v="16"/>
    <x v="12"/>
    <n v="427.86"/>
    <n v="11"/>
    <x v="0"/>
    <n v="4"/>
    <n v="3"/>
    <n v="60"/>
    <x v="1"/>
    <x v="1"/>
    <n v="0"/>
    <n v="6"/>
    <x v="3"/>
    <s v="Desktop"/>
    <x v="2"/>
    <d v="2024-03-03T00:00:00"/>
    <x v="0"/>
    <s v="Yes"/>
    <x v="0"/>
    <x v="2"/>
    <n v="8"/>
    <x v="0"/>
    <s v="Qtr-1"/>
    <x v="0"/>
  </r>
  <r>
    <s v="94-495-3402"/>
    <n v="49"/>
    <x v="1"/>
    <x v="0"/>
    <x v="1"/>
    <s v="Divorced"/>
    <s v="Master's"/>
    <x v="1"/>
    <s v="Mojogajeh"/>
    <x v="4"/>
    <x v="21"/>
    <n v="235.13"/>
    <n v="10"/>
    <x v="2"/>
    <n v="5"/>
    <n v="4"/>
    <n v="60"/>
    <x v="1"/>
    <x v="2"/>
    <n v="0.2"/>
    <n v="3"/>
    <x v="0"/>
    <s v="Smartphone"/>
    <x v="3"/>
    <d v="2024-03-29T00:00:00"/>
    <x v="0"/>
    <s v="No"/>
    <x v="3"/>
    <x v="0"/>
    <n v="6"/>
    <x v="0"/>
    <s v="Qtr-1"/>
    <x v="1"/>
  </r>
  <r>
    <s v="84-458-6432"/>
    <n v="40"/>
    <x v="1"/>
    <x v="0"/>
    <x v="0"/>
    <s v="Divorced"/>
    <s v="Bachelor's"/>
    <x v="0"/>
    <s v="Mawu"/>
    <x v="1"/>
    <x v="19"/>
    <n v="361.27"/>
    <n v="4"/>
    <x v="2"/>
    <n v="3"/>
    <n v="3"/>
    <n v="60"/>
    <x v="0"/>
    <x v="1"/>
    <n v="0"/>
    <n v="5"/>
    <x v="1"/>
    <s v="Tablet"/>
    <x v="0"/>
    <d v="2024-09-15T00:00:00"/>
    <x v="0"/>
    <s v="No"/>
    <x v="0"/>
    <x v="1"/>
    <n v="2"/>
    <x v="10"/>
    <s v="Qtr-3"/>
    <x v="1"/>
  </r>
  <r>
    <s v="46-452-3822"/>
    <n v="38"/>
    <x v="2"/>
    <x v="0"/>
    <x v="0"/>
    <s v="Single"/>
    <s v="Bachelor's"/>
    <x v="0"/>
    <s v="Genting"/>
    <x v="68"/>
    <x v="4"/>
    <n v="195.83"/>
    <n v="10"/>
    <x v="0"/>
    <n v="1"/>
    <n v="2"/>
    <n v="120"/>
    <x v="0"/>
    <x v="1"/>
    <n v="0.1"/>
    <n v="7"/>
    <x v="1"/>
    <s v="Desktop"/>
    <x v="2"/>
    <d v="2024-01-25T00:00:00"/>
    <x v="0"/>
    <s v="No"/>
    <x v="0"/>
    <x v="0"/>
    <n v="13"/>
    <x v="3"/>
    <s v="Qtr-1"/>
    <x v="1"/>
  </r>
  <r>
    <s v="54-877-5699"/>
    <n v="21"/>
    <x v="0"/>
    <x v="1"/>
    <x v="1"/>
    <s v="Married"/>
    <s v="Master's"/>
    <x v="1"/>
    <s v="Madan"/>
    <x v="98"/>
    <x v="6"/>
    <n v="340.31"/>
    <n v="10"/>
    <x v="2"/>
    <n v="5"/>
    <n v="1"/>
    <n v="60"/>
    <x v="2"/>
    <x v="0"/>
    <n v="0"/>
    <n v="5"/>
    <x v="2"/>
    <s v="Desktop"/>
    <x v="3"/>
    <d v="2024-09-18T00:00:00"/>
    <x v="1"/>
    <s v="Yes"/>
    <x v="2"/>
    <x v="0"/>
    <n v="14"/>
    <x v="10"/>
    <s v="Qtr-3"/>
    <x v="0"/>
  </r>
  <r>
    <s v="15-146-4456"/>
    <n v="40"/>
    <x v="1"/>
    <x v="1"/>
    <x v="1"/>
    <s v="Divorced"/>
    <s v="Master's"/>
    <x v="1"/>
    <s v="Hexiangqiao"/>
    <x v="1"/>
    <x v="9"/>
    <n v="489.67"/>
    <n v="5"/>
    <x v="0"/>
    <n v="5"/>
    <n v="5"/>
    <n v="60"/>
    <x v="0"/>
    <x v="2"/>
    <n v="0.2"/>
    <n v="5"/>
    <x v="3"/>
    <s v="Tablet"/>
    <x v="2"/>
    <d v="2024-12-21T00:00:00"/>
    <x v="1"/>
    <s v="No"/>
    <x v="1"/>
    <x v="1"/>
    <n v="11"/>
    <x v="6"/>
    <s v="Qtr-4"/>
    <x v="1"/>
  </r>
  <r>
    <s v="76-620-2994"/>
    <n v="26"/>
    <x v="0"/>
    <x v="1"/>
    <x v="1"/>
    <s v="Divorced"/>
    <s v="Master's"/>
    <x v="0"/>
    <s v="Na Muen"/>
    <x v="61"/>
    <x v="7"/>
    <n v="482.5"/>
    <n v="11"/>
    <x v="0"/>
    <n v="1"/>
    <n v="1"/>
    <n v="60"/>
    <x v="0"/>
    <x v="2"/>
    <n v="0.18181818181818182"/>
    <n v="1"/>
    <x v="0"/>
    <s v="Smartphone"/>
    <x v="4"/>
    <d v="2024-09-28T00:00:00"/>
    <x v="0"/>
    <s v="Yes"/>
    <x v="0"/>
    <x v="0"/>
    <n v="13"/>
    <x v="10"/>
    <s v="Qtr-3"/>
    <x v="1"/>
  </r>
  <r>
    <s v="60-834-3348"/>
    <n v="32"/>
    <x v="2"/>
    <x v="0"/>
    <x v="0"/>
    <s v="Married"/>
    <s v="Master's"/>
    <x v="0"/>
    <s v="Gafargaon"/>
    <x v="36"/>
    <x v="23"/>
    <n v="433.14"/>
    <n v="10"/>
    <x v="1"/>
    <n v="3"/>
    <n v="1"/>
    <n v="120"/>
    <x v="1"/>
    <x v="1"/>
    <n v="0.2"/>
    <n v="3"/>
    <x v="1"/>
    <s v="Tablet"/>
    <x v="2"/>
    <d v="2024-07-09T00:00:00"/>
    <x v="1"/>
    <s v="No"/>
    <x v="2"/>
    <x v="0"/>
    <n v="5"/>
    <x v="5"/>
    <s v="Qtr-3"/>
    <x v="1"/>
  </r>
  <r>
    <s v="77-742-5663"/>
    <n v="47"/>
    <x v="1"/>
    <x v="0"/>
    <x v="0"/>
    <s v="Widowed"/>
    <s v="High School"/>
    <x v="1"/>
    <s v="Qingban"/>
    <x v="1"/>
    <x v="23"/>
    <n v="375.7"/>
    <n v="6"/>
    <x v="2"/>
    <n v="3"/>
    <n v="1"/>
    <n v="120"/>
    <x v="2"/>
    <x v="2"/>
    <n v="0.33333333333333331"/>
    <n v="10"/>
    <x v="3"/>
    <s v="Tablet"/>
    <x v="3"/>
    <d v="2024-09-27T00:00:00"/>
    <x v="0"/>
    <s v="No"/>
    <x v="1"/>
    <x v="0"/>
    <n v="10"/>
    <x v="10"/>
    <s v="Qtr-3"/>
    <x v="1"/>
  </r>
  <r>
    <s v="05-167-0833"/>
    <n v="21"/>
    <x v="0"/>
    <x v="1"/>
    <x v="0"/>
    <s v="Single"/>
    <s v="Master's"/>
    <x v="0"/>
    <s v="Labège"/>
    <x v="0"/>
    <x v="22"/>
    <n v="381.3"/>
    <n v="12"/>
    <x v="2"/>
    <n v="2"/>
    <n v="1"/>
    <n v="60"/>
    <x v="3"/>
    <x v="2"/>
    <n v="0"/>
    <n v="4"/>
    <x v="2"/>
    <s v="Desktop"/>
    <x v="0"/>
    <d v="2024-01-09T00:00:00"/>
    <x v="1"/>
    <s v="No"/>
    <x v="3"/>
    <x v="2"/>
    <n v="7"/>
    <x v="3"/>
    <s v="Qtr-1"/>
    <x v="0"/>
  </r>
  <r>
    <s v="86-182-9556"/>
    <n v="34"/>
    <x v="2"/>
    <x v="1"/>
    <x v="1"/>
    <s v="Widowed"/>
    <s v="High School"/>
    <x v="1"/>
    <s v="Port Elizabeth"/>
    <x v="77"/>
    <x v="13"/>
    <n v="210.21"/>
    <n v="4"/>
    <x v="0"/>
    <n v="4"/>
    <n v="1"/>
    <n v="120"/>
    <x v="3"/>
    <x v="2"/>
    <n v="0"/>
    <n v="10"/>
    <x v="1"/>
    <s v="Desktop"/>
    <x v="1"/>
    <d v="2024-07-05T00:00:00"/>
    <x v="1"/>
    <s v="Yes"/>
    <x v="0"/>
    <x v="0"/>
    <n v="14"/>
    <x v="5"/>
    <s v="Qtr-3"/>
    <x v="5"/>
  </r>
  <r>
    <s v="14-415-2802"/>
    <n v="29"/>
    <x v="0"/>
    <x v="1"/>
    <x v="0"/>
    <s v="Widowed"/>
    <s v="Master's"/>
    <x v="1"/>
    <s v="Sauri"/>
    <x v="64"/>
    <x v="18"/>
    <n v="408.81"/>
    <n v="8"/>
    <x v="0"/>
    <n v="5"/>
    <n v="4"/>
    <n v="120"/>
    <x v="2"/>
    <x v="2"/>
    <n v="0.125"/>
    <n v="3"/>
    <x v="3"/>
    <s v="Desktop"/>
    <x v="2"/>
    <d v="2024-07-16T00:00:00"/>
    <x v="1"/>
    <s v="Yes"/>
    <x v="1"/>
    <x v="2"/>
    <n v="12"/>
    <x v="5"/>
    <s v="Qtr-3"/>
    <x v="5"/>
  </r>
  <r>
    <s v="49-469-9163"/>
    <n v="20"/>
    <x v="0"/>
    <x v="0"/>
    <x v="0"/>
    <s v="Divorced"/>
    <s v="Bachelor's"/>
    <x v="1"/>
    <s v="Desakolot"/>
    <x v="4"/>
    <x v="23"/>
    <n v="118.65"/>
    <n v="10"/>
    <x v="0"/>
    <n v="1"/>
    <n v="3"/>
    <n v="0"/>
    <x v="2"/>
    <x v="2"/>
    <n v="0"/>
    <n v="2"/>
    <x v="2"/>
    <s v="Smartphone"/>
    <x v="0"/>
    <d v="2024-01-09T00:00:00"/>
    <x v="0"/>
    <s v="Yes"/>
    <x v="2"/>
    <x v="1"/>
    <n v="13"/>
    <x v="3"/>
    <s v="Qtr-1"/>
    <x v="1"/>
  </r>
  <r>
    <s v="67-937-6624"/>
    <n v="50"/>
    <x v="1"/>
    <x v="1"/>
    <x v="1"/>
    <s v="Divorced"/>
    <s v="Bachelor's"/>
    <x v="0"/>
    <s v="Huambo"/>
    <x v="110"/>
    <x v="14"/>
    <n v="166.45"/>
    <n v="7"/>
    <x v="0"/>
    <n v="5"/>
    <n v="2"/>
    <n v="120"/>
    <x v="2"/>
    <x v="2"/>
    <n v="0.2857142857142857"/>
    <n v="1"/>
    <x v="1"/>
    <s v="Smartphone"/>
    <x v="4"/>
    <d v="2024-08-13T00:00:00"/>
    <x v="0"/>
    <s v="No"/>
    <x v="3"/>
    <x v="2"/>
    <n v="12"/>
    <x v="7"/>
    <s v="Qtr-3"/>
    <x v="5"/>
  </r>
  <r>
    <s v="91-761-9492"/>
    <n v="29"/>
    <x v="0"/>
    <x v="0"/>
    <x v="0"/>
    <s v="Divorced"/>
    <s v="Master's"/>
    <x v="1"/>
    <s v="Luoting"/>
    <x v="1"/>
    <x v="22"/>
    <n v="385.32"/>
    <n v="10"/>
    <x v="2"/>
    <n v="1"/>
    <n v="1"/>
    <n v="60"/>
    <x v="2"/>
    <x v="2"/>
    <n v="0"/>
    <n v="1"/>
    <x v="3"/>
    <s v="Smartphone"/>
    <x v="1"/>
    <d v="2024-09-05T00:00:00"/>
    <x v="0"/>
    <s v="Yes"/>
    <x v="2"/>
    <x v="1"/>
    <n v="9"/>
    <x v="10"/>
    <s v="Qtr-3"/>
    <x v="1"/>
  </r>
  <r>
    <s v="19-184-7665"/>
    <n v="25"/>
    <x v="0"/>
    <x v="4"/>
    <x v="0"/>
    <s v="Married"/>
    <s v="Bachelor's"/>
    <x v="1"/>
    <s v="Stepnogorsk"/>
    <x v="62"/>
    <x v="7"/>
    <n v="293.99"/>
    <n v="10"/>
    <x v="0"/>
    <n v="3"/>
    <n v="4"/>
    <n v="0"/>
    <x v="0"/>
    <x v="0"/>
    <n v="0.2"/>
    <n v="7"/>
    <x v="0"/>
    <s v="Tablet"/>
    <x v="0"/>
    <d v="2024-09-29T00:00:00"/>
    <x v="1"/>
    <s v="Yes"/>
    <x v="1"/>
    <x v="0"/>
    <n v="5"/>
    <x v="10"/>
    <s v="Qtr-3"/>
    <x v="1"/>
  </r>
  <r>
    <s v="19-383-9741"/>
    <n v="37"/>
    <x v="2"/>
    <x v="1"/>
    <x v="0"/>
    <s v="Widowed"/>
    <s v="High School"/>
    <x v="0"/>
    <s v="Zarechnyy"/>
    <x v="6"/>
    <x v="16"/>
    <n v="161.41"/>
    <n v="9"/>
    <x v="0"/>
    <n v="1"/>
    <n v="4"/>
    <n v="0"/>
    <x v="2"/>
    <x v="2"/>
    <n v="0.1111111111111111"/>
    <n v="8"/>
    <x v="1"/>
    <s v="Desktop"/>
    <x v="1"/>
    <d v="2024-04-07T00:00:00"/>
    <x v="0"/>
    <s v="No"/>
    <x v="2"/>
    <x v="1"/>
    <n v="3"/>
    <x v="1"/>
    <s v="Qtr-2"/>
    <x v="3"/>
  </r>
  <r>
    <s v="15-625-4047"/>
    <n v="39"/>
    <x v="2"/>
    <x v="1"/>
    <x v="0"/>
    <s v="Single"/>
    <s v="Master's"/>
    <x v="0"/>
    <s v="La Unión"/>
    <x v="111"/>
    <x v="19"/>
    <n v="130.91999999999999"/>
    <n v="2"/>
    <x v="2"/>
    <n v="1"/>
    <n v="2"/>
    <n v="60"/>
    <x v="3"/>
    <x v="2"/>
    <n v="1"/>
    <n v="2"/>
    <x v="0"/>
    <s v="Tablet"/>
    <x v="4"/>
    <d v="2024-12-18T00:00:00"/>
    <x v="0"/>
    <s v="Yes"/>
    <x v="2"/>
    <x v="0"/>
    <n v="9"/>
    <x v="6"/>
    <s v="Qtr-4"/>
    <x v="2"/>
  </r>
  <r>
    <s v="81-820-4735"/>
    <n v="48"/>
    <x v="1"/>
    <x v="0"/>
    <x v="0"/>
    <s v="Divorced"/>
    <s v="Bachelor's"/>
    <x v="1"/>
    <s v="Banjar Medura"/>
    <x v="4"/>
    <x v="16"/>
    <n v="468.6"/>
    <n v="4"/>
    <x v="0"/>
    <n v="3"/>
    <n v="4"/>
    <n v="120"/>
    <x v="1"/>
    <x v="0"/>
    <n v="0"/>
    <n v="6"/>
    <x v="0"/>
    <s v="Desktop"/>
    <x v="1"/>
    <d v="2024-06-14T00:00:00"/>
    <x v="1"/>
    <s v="Yes"/>
    <x v="0"/>
    <x v="0"/>
    <n v="2"/>
    <x v="4"/>
    <s v="Qtr-2"/>
    <x v="1"/>
  </r>
  <r>
    <s v="71-436-6908"/>
    <n v="47"/>
    <x v="1"/>
    <x v="1"/>
    <x v="1"/>
    <s v="Divorced"/>
    <s v="Bachelor's"/>
    <x v="0"/>
    <s v="Arnprior"/>
    <x v="12"/>
    <x v="16"/>
    <n v="237.57"/>
    <n v="5"/>
    <x v="2"/>
    <n v="3"/>
    <n v="3"/>
    <n v="0"/>
    <x v="1"/>
    <x v="0"/>
    <n v="0"/>
    <n v="3"/>
    <x v="3"/>
    <s v="Smartphone"/>
    <x v="4"/>
    <d v="2024-04-25T00:00:00"/>
    <x v="0"/>
    <s v="Yes"/>
    <x v="0"/>
    <x v="0"/>
    <n v="11"/>
    <x v="1"/>
    <s v="Qtr-2"/>
    <x v="2"/>
  </r>
  <r>
    <s v="73-145-5784"/>
    <n v="50"/>
    <x v="1"/>
    <x v="0"/>
    <x v="0"/>
    <s v="Divorced"/>
    <s v="High School"/>
    <x v="1"/>
    <s v="Donglu"/>
    <x v="1"/>
    <x v="4"/>
    <n v="395.18"/>
    <n v="5"/>
    <x v="1"/>
    <n v="2"/>
    <n v="2"/>
    <n v="60"/>
    <x v="0"/>
    <x v="1"/>
    <n v="0"/>
    <n v="5"/>
    <x v="1"/>
    <s v="Smartphone"/>
    <x v="3"/>
    <d v="2024-07-20T00:00:00"/>
    <x v="0"/>
    <s v="Yes"/>
    <x v="0"/>
    <x v="1"/>
    <n v="6"/>
    <x v="5"/>
    <s v="Qtr-3"/>
    <x v="1"/>
  </r>
  <r>
    <s v="50-637-1630"/>
    <n v="42"/>
    <x v="1"/>
    <x v="5"/>
    <x v="1"/>
    <s v="Married"/>
    <s v="High School"/>
    <x v="0"/>
    <s v="Inderka"/>
    <x v="6"/>
    <x v="13"/>
    <n v="427.94"/>
    <n v="12"/>
    <x v="0"/>
    <n v="5"/>
    <n v="4"/>
    <n v="78"/>
    <x v="3"/>
    <x v="1"/>
    <n v="8.3333333333333329E-2"/>
    <n v="2"/>
    <x v="0"/>
    <s v="Smartphone"/>
    <x v="3"/>
    <d v="2024-03-29T00:00:00"/>
    <x v="1"/>
    <s v="No"/>
    <x v="2"/>
    <x v="0"/>
    <n v="10"/>
    <x v="0"/>
    <s v="Qtr-1"/>
    <x v="3"/>
  </r>
  <r>
    <s v="44-938-7475"/>
    <n v="28"/>
    <x v="0"/>
    <x v="0"/>
    <x v="1"/>
    <s v="Single"/>
    <s v="Bachelor's"/>
    <x v="1"/>
    <s v="Tochio-honch?"/>
    <x v="3"/>
    <x v="11"/>
    <n v="81.23"/>
    <n v="9"/>
    <x v="0"/>
    <n v="2"/>
    <n v="5"/>
    <n v="120"/>
    <x v="3"/>
    <x v="1"/>
    <n v="0.1111111111111111"/>
    <n v="10"/>
    <x v="3"/>
    <s v="Tablet"/>
    <x v="4"/>
    <d v="2024-03-26T00:00:00"/>
    <x v="1"/>
    <s v="Yes"/>
    <x v="1"/>
    <x v="1"/>
    <n v="6"/>
    <x v="0"/>
    <s v="Qtr-1"/>
    <x v="1"/>
  </r>
  <r>
    <s v="55-279-3045"/>
    <n v="23"/>
    <x v="0"/>
    <x v="1"/>
    <x v="0"/>
    <s v="Single"/>
    <s v="High School"/>
    <x v="0"/>
    <s v="Pasadena"/>
    <x v="10"/>
    <x v="11"/>
    <n v="257.43"/>
    <n v="5"/>
    <x v="2"/>
    <n v="4"/>
    <n v="2"/>
    <n v="0"/>
    <x v="2"/>
    <x v="0"/>
    <n v="0.2"/>
    <n v="7"/>
    <x v="2"/>
    <s v="Desktop"/>
    <x v="3"/>
    <d v="2024-04-14T00:00:00"/>
    <x v="0"/>
    <s v="Yes"/>
    <x v="0"/>
    <x v="1"/>
    <n v="13"/>
    <x v="1"/>
    <s v="Qtr-2"/>
    <x v="2"/>
  </r>
  <r>
    <s v="59-997-3903"/>
    <n v="42"/>
    <x v="1"/>
    <x v="1"/>
    <x v="1"/>
    <s v="Divorced"/>
    <s v="High School"/>
    <x v="1"/>
    <s v="Barish?l"/>
    <x v="36"/>
    <x v="17"/>
    <n v="305.73"/>
    <n v="7"/>
    <x v="0"/>
    <n v="2"/>
    <n v="5"/>
    <n v="60"/>
    <x v="1"/>
    <x v="1"/>
    <n v="0.2857142857142857"/>
    <n v="8"/>
    <x v="3"/>
    <s v="Tablet"/>
    <x v="4"/>
    <d v="2024-12-14T00:00:00"/>
    <x v="0"/>
    <s v="No"/>
    <x v="3"/>
    <x v="2"/>
    <n v="14"/>
    <x v="6"/>
    <s v="Qtr-4"/>
    <x v="1"/>
  </r>
  <r>
    <s v="12-029-9344"/>
    <n v="32"/>
    <x v="2"/>
    <x v="1"/>
    <x v="1"/>
    <s v="Single"/>
    <s v="Bachelor's"/>
    <x v="1"/>
    <s v="Kihurio"/>
    <x v="112"/>
    <x v="16"/>
    <n v="249.82"/>
    <n v="10"/>
    <x v="1"/>
    <n v="5"/>
    <n v="3"/>
    <n v="60"/>
    <x v="3"/>
    <x v="1"/>
    <n v="0.2"/>
    <n v="6"/>
    <x v="3"/>
    <s v="Tablet"/>
    <x v="1"/>
    <d v="2024-08-12T00:00:00"/>
    <x v="0"/>
    <s v="No"/>
    <x v="1"/>
    <x v="0"/>
    <n v="10"/>
    <x v="7"/>
    <s v="Qtr-3"/>
    <x v="5"/>
  </r>
  <r>
    <s v="41-130-2570"/>
    <n v="33"/>
    <x v="2"/>
    <x v="1"/>
    <x v="0"/>
    <s v="Divorced"/>
    <s v="Bachelor's"/>
    <x v="1"/>
    <s v="Oekero"/>
    <x v="5"/>
    <x v="9"/>
    <n v="332.79"/>
    <n v="11"/>
    <x v="2"/>
    <n v="3"/>
    <n v="5"/>
    <n v="120"/>
    <x v="0"/>
    <x v="1"/>
    <n v="0.18181818181818182"/>
    <n v="1"/>
    <x v="1"/>
    <s v="Tablet"/>
    <x v="1"/>
    <d v="2024-08-29T00:00:00"/>
    <x v="1"/>
    <s v="No"/>
    <x v="1"/>
    <x v="0"/>
    <n v="4"/>
    <x v="7"/>
    <s v="Qtr-3"/>
    <x v="0"/>
  </r>
  <r>
    <s v="25-285-7453"/>
    <n v="32"/>
    <x v="2"/>
    <x v="1"/>
    <x v="1"/>
    <s v="Single"/>
    <s v="Bachelor's"/>
    <x v="0"/>
    <s v="Cluses"/>
    <x v="0"/>
    <x v="17"/>
    <n v="78.900000000000006"/>
    <n v="3"/>
    <x v="1"/>
    <n v="4"/>
    <n v="1"/>
    <n v="60"/>
    <x v="2"/>
    <x v="1"/>
    <n v="0"/>
    <n v="1"/>
    <x v="3"/>
    <s v="Tablet"/>
    <x v="2"/>
    <d v="2024-09-07T00:00:00"/>
    <x v="1"/>
    <s v="Yes"/>
    <x v="3"/>
    <x v="1"/>
    <n v="10"/>
    <x v="10"/>
    <s v="Qtr-3"/>
    <x v="0"/>
  </r>
  <r>
    <s v="47-225-8686"/>
    <n v="29"/>
    <x v="0"/>
    <x v="1"/>
    <x v="1"/>
    <s v="Widowed"/>
    <s v="High School"/>
    <x v="1"/>
    <s v="Wrz?sowice"/>
    <x v="18"/>
    <x v="10"/>
    <n v="122.55"/>
    <n v="9"/>
    <x v="0"/>
    <n v="2"/>
    <n v="4"/>
    <n v="18"/>
    <x v="2"/>
    <x v="1"/>
    <n v="0.22222222222222221"/>
    <n v="3"/>
    <x v="3"/>
    <s v="Desktop"/>
    <x v="0"/>
    <d v="2024-06-28T00:00:00"/>
    <x v="1"/>
    <s v="No"/>
    <x v="2"/>
    <x v="2"/>
    <n v="4"/>
    <x v="4"/>
    <s v="Qtr-2"/>
    <x v="0"/>
  </r>
  <r>
    <s v="33-519-4214"/>
    <n v="25"/>
    <x v="0"/>
    <x v="4"/>
    <x v="1"/>
    <s v="Divorced"/>
    <s v="Bachelor's"/>
    <x v="0"/>
    <s v="Hengfeng"/>
    <x v="1"/>
    <x v="7"/>
    <n v="307.61"/>
    <n v="6"/>
    <x v="0"/>
    <n v="1"/>
    <n v="1"/>
    <n v="0"/>
    <x v="2"/>
    <x v="0"/>
    <n v="0"/>
    <n v="9"/>
    <x v="3"/>
    <s v="Smartphone"/>
    <x v="1"/>
    <d v="2024-09-12T00:00:00"/>
    <x v="0"/>
    <s v="Yes"/>
    <x v="0"/>
    <x v="0"/>
    <n v="10"/>
    <x v="10"/>
    <s v="Qtr-3"/>
    <x v="1"/>
  </r>
  <r>
    <s v="03-991-2098"/>
    <n v="41"/>
    <x v="1"/>
    <x v="0"/>
    <x v="1"/>
    <s v="Divorced"/>
    <s v="Bachelor's"/>
    <x v="0"/>
    <s v="Bor"/>
    <x v="47"/>
    <x v="14"/>
    <n v="152.33000000000001"/>
    <n v="2"/>
    <x v="1"/>
    <n v="1"/>
    <n v="5"/>
    <n v="60"/>
    <x v="0"/>
    <x v="1"/>
    <n v="0.5"/>
    <n v="6"/>
    <x v="1"/>
    <s v="Smartphone"/>
    <x v="2"/>
    <d v="2024-01-19T00:00:00"/>
    <x v="1"/>
    <s v="Yes"/>
    <x v="2"/>
    <x v="0"/>
    <n v="8"/>
    <x v="3"/>
    <s v="Qtr-1"/>
    <x v="0"/>
  </r>
  <r>
    <s v="30-735-8744"/>
    <n v="24"/>
    <x v="0"/>
    <x v="0"/>
    <x v="0"/>
    <s v="Divorced"/>
    <s v="Bachelor's"/>
    <x v="1"/>
    <s v="Nawu"/>
    <x v="1"/>
    <x v="7"/>
    <n v="465.07"/>
    <n v="8"/>
    <x v="2"/>
    <n v="2"/>
    <n v="4"/>
    <n v="0"/>
    <x v="1"/>
    <x v="1"/>
    <n v="0.125"/>
    <n v="2"/>
    <x v="1"/>
    <s v="Desktop"/>
    <x v="4"/>
    <d v="2024-03-02T00:00:00"/>
    <x v="1"/>
    <s v="No"/>
    <x v="1"/>
    <x v="0"/>
    <n v="8"/>
    <x v="0"/>
    <s v="Qtr-1"/>
    <x v="1"/>
  </r>
  <r>
    <s v="13-848-5757"/>
    <n v="32"/>
    <x v="2"/>
    <x v="0"/>
    <x v="1"/>
    <s v="Single"/>
    <s v="Master's"/>
    <x v="0"/>
    <s v="Longotea"/>
    <x v="113"/>
    <x v="6"/>
    <n v="498.23"/>
    <n v="10"/>
    <x v="2"/>
    <n v="5"/>
    <n v="2"/>
    <n v="0"/>
    <x v="0"/>
    <x v="2"/>
    <n v="0"/>
    <n v="7"/>
    <x v="3"/>
    <s v="Smartphone"/>
    <x v="3"/>
    <d v="2024-01-08T00:00:00"/>
    <x v="0"/>
    <s v="No"/>
    <x v="3"/>
    <x v="0"/>
    <n v="9"/>
    <x v="3"/>
    <s v="Qtr-1"/>
    <x v="6"/>
  </r>
  <r>
    <s v="21-300-2001"/>
    <n v="41"/>
    <x v="1"/>
    <x v="0"/>
    <x v="0"/>
    <s v="Widowed"/>
    <s v="High School"/>
    <x v="0"/>
    <s v="?b?l al Jabr"/>
    <x v="41"/>
    <x v="8"/>
    <n v="491.18"/>
    <n v="3"/>
    <x v="0"/>
    <n v="4"/>
    <n v="4"/>
    <n v="60"/>
    <x v="3"/>
    <x v="2"/>
    <n v="0"/>
    <n v="6"/>
    <x v="0"/>
    <s v="Smartphone"/>
    <x v="4"/>
    <d v="2024-08-27T00:00:00"/>
    <x v="1"/>
    <s v="No"/>
    <x v="2"/>
    <x v="0"/>
    <n v="14"/>
    <x v="7"/>
    <s v="Qtr-3"/>
    <x v="1"/>
  </r>
  <r>
    <s v="38-587-1781"/>
    <n v="18"/>
    <x v="3"/>
    <x v="1"/>
    <x v="0"/>
    <s v="Divorced"/>
    <s v="Bachelor's"/>
    <x v="0"/>
    <s v="Gueset"/>
    <x v="19"/>
    <x v="10"/>
    <n v="149.41999999999999"/>
    <n v="3"/>
    <x v="0"/>
    <n v="1"/>
    <n v="1"/>
    <n v="120"/>
    <x v="1"/>
    <x v="2"/>
    <n v="0"/>
    <n v="6"/>
    <x v="0"/>
    <s v="Desktop"/>
    <x v="4"/>
    <d v="2024-01-03T00:00:00"/>
    <x v="0"/>
    <s v="No"/>
    <x v="1"/>
    <x v="2"/>
    <n v="5"/>
    <x v="3"/>
    <s v="Qtr-1"/>
    <x v="1"/>
  </r>
  <r>
    <s v="66-557-1474"/>
    <n v="25"/>
    <x v="0"/>
    <x v="1"/>
    <x v="0"/>
    <s v="Single"/>
    <s v="Master's"/>
    <x v="0"/>
    <s v="L?kak"/>
    <x v="74"/>
    <x v="4"/>
    <n v="82.13"/>
    <n v="9"/>
    <x v="2"/>
    <n v="5"/>
    <n v="1"/>
    <n v="0"/>
    <x v="1"/>
    <x v="0"/>
    <n v="0.22222222222222221"/>
    <n v="6"/>
    <x v="1"/>
    <s v="Tablet"/>
    <x v="2"/>
    <d v="2024-04-09T00:00:00"/>
    <x v="0"/>
    <s v="Yes"/>
    <x v="0"/>
    <x v="2"/>
    <n v="6"/>
    <x v="1"/>
    <s v="Qtr-2"/>
    <x v="1"/>
  </r>
  <r>
    <s v="03-422-8710"/>
    <n v="49"/>
    <x v="1"/>
    <x v="1"/>
    <x v="0"/>
    <s v="Divorced"/>
    <s v="Bachelor's"/>
    <x v="1"/>
    <s v="Yuanguping"/>
    <x v="1"/>
    <x v="6"/>
    <n v="425.18"/>
    <n v="4"/>
    <x v="0"/>
    <n v="2"/>
    <n v="1"/>
    <n v="0"/>
    <x v="1"/>
    <x v="2"/>
    <n v="0.25"/>
    <n v="8"/>
    <x v="3"/>
    <s v="Tablet"/>
    <x v="1"/>
    <d v="2024-03-19T00:00:00"/>
    <x v="0"/>
    <s v="No"/>
    <x v="1"/>
    <x v="1"/>
    <n v="10"/>
    <x v="0"/>
    <s v="Qtr-1"/>
    <x v="1"/>
  </r>
  <r>
    <s v="39-731-8532"/>
    <n v="39"/>
    <x v="2"/>
    <x v="1"/>
    <x v="1"/>
    <s v="Married"/>
    <s v="Master's"/>
    <x v="0"/>
    <s v="Colón"/>
    <x v="67"/>
    <x v="17"/>
    <n v="176.12"/>
    <n v="8"/>
    <x v="2"/>
    <n v="2"/>
    <n v="3"/>
    <n v="72"/>
    <x v="1"/>
    <x v="0"/>
    <n v="0.125"/>
    <n v="10"/>
    <x v="2"/>
    <s v="Desktop"/>
    <x v="0"/>
    <d v="2024-06-15T00:00:00"/>
    <x v="0"/>
    <s v="Yes"/>
    <x v="2"/>
    <x v="1"/>
    <n v="14"/>
    <x v="4"/>
    <s v="Qtr-2"/>
    <x v="2"/>
  </r>
  <r>
    <s v="80-830-3184"/>
    <n v="47"/>
    <x v="1"/>
    <x v="0"/>
    <x v="1"/>
    <s v="Single"/>
    <s v="High School"/>
    <x v="0"/>
    <s v="Lyon"/>
    <x v="0"/>
    <x v="23"/>
    <n v="70.3"/>
    <n v="6"/>
    <x v="2"/>
    <n v="3"/>
    <n v="5"/>
    <n v="0"/>
    <x v="0"/>
    <x v="2"/>
    <n v="0.16666666666666666"/>
    <n v="8"/>
    <x v="3"/>
    <s v="Desktop"/>
    <x v="4"/>
    <d v="2024-03-03T00:00:00"/>
    <x v="0"/>
    <s v="Yes"/>
    <x v="0"/>
    <x v="1"/>
    <n v="3"/>
    <x v="0"/>
    <s v="Qtr-1"/>
    <x v="0"/>
  </r>
  <r>
    <s v="97-505-8416"/>
    <n v="43"/>
    <x v="1"/>
    <x v="1"/>
    <x v="0"/>
    <s v="Married"/>
    <s v="Bachelor's"/>
    <x v="0"/>
    <s v="Chamical"/>
    <x v="56"/>
    <x v="8"/>
    <n v="319.39"/>
    <n v="7"/>
    <x v="0"/>
    <n v="4"/>
    <n v="5"/>
    <n v="0"/>
    <x v="0"/>
    <x v="2"/>
    <n v="0.14285714285714285"/>
    <n v="10"/>
    <x v="1"/>
    <s v="Desktop"/>
    <x v="0"/>
    <d v="2024-11-17T00:00:00"/>
    <x v="1"/>
    <s v="Yes"/>
    <x v="3"/>
    <x v="1"/>
    <n v="3"/>
    <x v="11"/>
    <s v="Qtr-4"/>
    <x v="4"/>
  </r>
  <r>
    <s v="98-585-4742"/>
    <n v="38"/>
    <x v="2"/>
    <x v="0"/>
    <x v="1"/>
    <s v="Widowed"/>
    <s v="High School"/>
    <x v="1"/>
    <s v="Ágios Andréas"/>
    <x v="24"/>
    <x v="3"/>
    <n v="113.51"/>
    <n v="11"/>
    <x v="0"/>
    <n v="4"/>
    <n v="1"/>
    <n v="60"/>
    <x v="3"/>
    <x v="1"/>
    <n v="0.18181818181818182"/>
    <n v="2"/>
    <x v="2"/>
    <s v="Desktop"/>
    <x v="0"/>
    <d v="2024-02-14T00:00:00"/>
    <x v="0"/>
    <s v="Yes"/>
    <x v="3"/>
    <x v="2"/>
    <n v="8"/>
    <x v="8"/>
    <s v="Qtr-1"/>
    <x v="0"/>
  </r>
  <r>
    <s v="51-302-9537"/>
    <n v="40"/>
    <x v="1"/>
    <x v="0"/>
    <x v="1"/>
    <s v="Single"/>
    <s v="Bachelor's"/>
    <x v="0"/>
    <s v="Cibeusi"/>
    <x v="4"/>
    <x v="9"/>
    <n v="492.74"/>
    <n v="2"/>
    <x v="0"/>
    <n v="1"/>
    <n v="5"/>
    <n v="120"/>
    <x v="2"/>
    <x v="2"/>
    <n v="0.5"/>
    <n v="3"/>
    <x v="1"/>
    <s v="Tablet"/>
    <x v="3"/>
    <d v="2024-02-29T00:00:00"/>
    <x v="0"/>
    <s v="No"/>
    <x v="0"/>
    <x v="2"/>
    <n v="13"/>
    <x v="8"/>
    <s v="Qtr-1"/>
    <x v="1"/>
  </r>
  <r>
    <s v="88-313-2633"/>
    <n v="33"/>
    <x v="2"/>
    <x v="1"/>
    <x v="0"/>
    <s v="Divorced"/>
    <s v="Master's"/>
    <x v="0"/>
    <s v="Itsandzéni"/>
    <x v="102"/>
    <x v="4"/>
    <n v="143.80000000000001"/>
    <n v="9"/>
    <x v="1"/>
    <n v="2"/>
    <n v="2"/>
    <n v="120"/>
    <x v="2"/>
    <x v="0"/>
    <n v="0"/>
    <n v="7"/>
    <x v="0"/>
    <s v="Tablet"/>
    <x v="2"/>
    <d v="2024-02-22T00:00:00"/>
    <x v="0"/>
    <s v="No"/>
    <x v="1"/>
    <x v="0"/>
    <n v="11"/>
    <x v="8"/>
    <s v="Qtr-1"/>
    <x v="5"/>
  </r>
  <r>
    <s v="61-286-0069"/>
    <n v="18"/>
    <x v="3"/>
    <x v="6"/>
    <x v="0"/>
    <s v="Widowed"/>
    <s v="Bachelor's"/>
    <x v="0"/>
    <s v="Kosh-Agach"/>
    <x v="6"/>
    <x v="17"/>
    <n v="158.54"/>
    <n v="5"/>
    <x v="2"/>
    <n v="2"/>
    <n v="1"/>
    <n v="60"/>
    <x v="2"/>
    <x v="1"/>
    <n v="0.4"/>
    <n v="7"/>
    <x v="1"/>
    <s v="Smartphone"/>
    <x v="2"/>
    <d v="2024-03-31T00:00:00"/>
    <x v="1"/>
    <s v="No"/>
    <x v="3"/>
    <x v="2"/>
    <n v="5"/>
    <x v="0"/>
    <s v="Qtr-1"/>
    <x v="3"/>
  </r>
  <r>
    <s v="35-907-0586"/>
    <n v="39"/>
    <x v="2"/>
    <x v="0"/>
    <x v="1"/>
    <s v="Married"/>
    <s v="Bachelor's"/>
    <x v="1"/>
    <s v="Kuafeu"/>
    <x v="113"/>
    <x v="4"/>
    <n v="213.39"/>
    <n v="6"/>
    <x v="2"/>
    <n v="3"/>
    <n v="4"/>
    <n v="120"/>
    <x v="1"/>
    <x v="1"/>
    <n v="0.33333333333333331"/>
    <n v="5"/>
    <x v="3"/>
    <s v="Desktop"/>
    <x v="4"/>
    <d v="2024-10-27T00:00:00"/>
    <x v="1"/>
    <s v="Yes"/>
    <x v="3"/>
    <x v="1"/>
    <n v="4"/>
    <x v="2"/>
    <s v="Qtr-4"/>
    <x v="6"/>
  </r>
  <r>
    <s v="30-522-1574"/>
    <n v="31"/>
    <x v="2"/>
    <x v="1"/>
    <x v="0"/>
    <s v="Divorced"/>
    <s v="Bachelor's"/>
    <x v="1"/>
    <s v="Xincheng"/>
    <x v="1"/>
    <x v="18"/>
    <n v="127.18"/>
    <n v="2"/>
    <x v="1"/>
    <n v="5"/>
    <n v="5"/>
    <n v="60"/>
    <x v="1"/>
    <x v="0"/>
    <n v="0"/>
    <n v="2"/>
    <x v="3"/>
    <s v="Desktop"/>
    <x v="2"/>
    <d v="2024-12-21T00:00:00"/>
    <x v="1"/>
    <s v="No"/>
    <x v="3"/>
    <x v="1"/>
    <n v="4"/>
    <x v="6"/>
    <s v="Qtr-4"/>
    <x v="1"/>
  </r>
  <r>
    <s v="43-715-8777"/>
    <n v="27"/>
    <x v="0"/>
    <x v="1"/>
    <x v="0"/>
    <s v="Divorced"/>
    <s v="Master's"/>
    <x v="1"/>
    <s v="Minneapolis"/>
    <x v="10"/>
    <x v="8"/>
    <n v="476.63"/>
    <n v="9"/>
    <x v="1"/>
    <n v="3"/>
    <n v="5"/>
    <n v="120"/>
    <x v="1"/>
    <x v="1"/>
    <n v="0.22222222222222221"/>
    <n v="2"/>
    <x v="0"/>
    <s v="Desktop"/>
    <x v="2"/>
    <d v="2024-11-19T00:00:00"/>
    <x v="0"/>
    <s v="No"/>
    <x v="2"/>
    <x v="0"/>
    <n v="1"/>
    <x v="11"/>
    <s v="Qtr-4"/>
    <x v="2"/>
  </r>
  <r>
    <s v="94-692-4313"/>
    <n v="31"/>
    <x v="2"/>
    <x v="0"/>
    <x v="1"/>
    <s v="Single"/>
    <s v="Bachelor's"/>
    <x v="0"/>
    <s v="Péfki"/>
    <x v="24"/>
    <x v="9"/>
    <n v="56.02"/>
    <n v="3"/>
    <x v="2"/>
    <n v="5"/>
    <n v="3"/>
    <n v="60"/>
    <x v="0"/>
    <x v="2"/>
    <n v="0.33333333333333331"/>
    <n v="6"/>
    <x v="1"/>
    <s v="Desktop"/>
    <x v="1"/>
    <d v="2024-09-13T00:00:00"/>
    <x v="1"/>
    <s v="Yes"/>
    <x v="0"/>
    <x v="1"/>
    <n v="12"/>
    <x v="10"/>
    <s v="Qtr-3"/>
    <x v="0"/>
  </r>
  <r>
    <s v="96-915-4091"/>
    <n v="36"/>
    <x v="2"/>
    <x v="0"/>
    <x v="1"/>
    <s v="Widowed"/>
    <s v="Bachelor's"/>
    <x v="0"/>
    <s v="?walla"/>
    <x v="114"/>
    <x v="13"/>
    <n v="398.97"/>
    <n v="3"/>
    <x v="2"/>
    <n v="2"/>
    <n v="3"/>
    <n v="60"/>
    <x v="3"/>
    <x v="1"/>
    <n v="0.66666666666666663"/>
    <n v="3"/>
    <x v="1"/>
    <s v="Tablet"/>
    <x v="2"/>
    <d v="2024-09-26T00:00:00"/>
    <x v="1"/>
    <s v="No"/>
    <x v="2"/>
    <x v="0"/>
    <n v="9"/>
    <x v="10"/>
    <s v="Qtr-3"/>
    <x v="5"/>
  </r>
  <r>
    <s v="67-073-5578"/>
    <n v="27"/>
    <x v="0"/>
    <x v="0"/>
    <x v="0"/>
    <s v="Divorced"/>
    <s v="High School"/>
    <x v="0"/>
    <s v="São Mateus do Maranhão"/>
    <x v="14"/>
    <x v="19"/>
    <n v="53.45"/>
    <n v="6"/>
    <x v="0"/>
    <n v="2"/>
    <n v="3"/>
    <n v="60"/>
    <x v="3"/>
    <x v="0"/>
    <n v="0.16666666666666666"/>
    <n v="9"/>
    <x v="1"/>
    <s v="Tablet"/>
    <x v="2"/>
    <d v="2024-07-14T00:00:00"/>
    <x v="1"/>
    <s v="No"/>
    <x v="0"/>
    <x v="1"/>
    <n v="11"/>
    <x v="5"/>
    <s v="Qtr-3"/>
    <x v="4"/>
  </r>
  <r>
    <s v="27-010-9462"/>
    <n v="21"/>
    <x v="0"/>
    <x v="6"/>
    <x v="0"/>
    <s v="Married"/>
    <s v="Bachelor's"/>
    <x v="1"/>
    <s v="Imielin"/>
    <x v="18"/>
    <x v="19"/>
    <n v="61.19"/>
    <n v="2"/>
    <x v="0"/>
    <n v="4"/>
    <n v="5"/>
    <n v="60"/>
    <x v="0"/>
    <x v="1"/>
    <n v="1"/>
    <n v="6"/>
    <x v="1"/>
    <s v="Desktop"/>
    <x v="1"/>
    <d v="2024-08-12T00:00:00"/>
    <x v="0"/>
    <s v="Yes"/>
    <x v="1"/>
    <x v="0"/>
    <n v="3"/>
    <x v="7"/>
    <s v="Qtr-3"/>
    <x v="0"/>
  </r>
  <r>
    <s v="19-689-4556"/>
    <n v="50"/>
    <x v="1"/>
    <x v="0"/>
    <x v="0"/>
    <s v="Married"/>
    <s v="High School"/>
    <x v="0"/>
    <s v="Przeworsk"/>
    <x v="18"/>
    <x v="8"/>
    <n v="471.31"/>
    <n v="4"/>
    <x v="0"/>
    <n v="1"/>
    <n v="5"/>
    <n v="120"/>
    <x v="3"/>
    <x v="2"/>
    <n v="0"/>
    <n v="8"/>
    <x v="0"/>
    <s v="Smartphone"/>
    <x v="3"/>
    <d v="2024-12-17T00:00:00"/>
    <x v="1"/>
    <s v="Yes"/>
    <x v="2"/>
    <x v="2"/>
    <n v="7"/>
    <x v="6"/>
    <s v="Qtr-4"/>
    <x v="0"/>
  </r>
  <r>
    <s v="53-143-6147"/>
    <n v="49"/>
    <x v="1"/>
    <x v="0"/>
    <x v="1"/>
    <s v="Divorced"/>
    <s v="High School"/>
    <x v="1"/>
    <s v="Amsterdam Nieuw West"/>
    <x v="93"/>
    <x v="10"/>
    <n v="179.19"/>
    <n v="10"/>
    <x v="1"/>
    <n v="3"/>
    <n v="1"/>
    <n v="60"/>
    <x v="2"/>
    <x v="1"/>
    <n v="0.2"/>
    <n v="7"/>
    <x v="0"/>
    <s v="Tablet"/>
    <x v="1"/>
    <d v="2024-03-21T00:00:00"/>
    <x v="1"/>
    <s v="No"/>
    <x v="2"/>
    <x v="2"/>
    <n v="12"/>
    <x v="0"/>
    <s v="Qtr-1"/>
    <x v="0"/>
  </r>
  <r>
    <s v="02-725-7664"/>
    <n v="43"/>
    <x v="1"/>
    <x v="0"/>
    <x v="1"/>
    <s v="Divorced"/>
    <s v="High School"/>
    <x v="0"/>
    <s v="Klishkivtsi"/>
    <x v="9"/>
    <x v="1"/>
    <n v="294.61"/>
    <n v="6"/>
    <x v="1"/>
    <n v="2"/>
    <n v="1"/>
    <n v="0"/>
    <x v="0"/>
    <x v="2"/>
    <n v="0"/>
    <n v="2"/>
    <x v="0"/>
    <s v="Desktop"/>
    <x v="1"/>
    <d v="2024-10-03T00:00:00"/>
    <x v="1"/>
    <s v="Yes"/>
    <x v="1"/>
    <x v="2"/>
    <n v="4"/>
    <x v="2"/>
    <s v="Qtr-4"/>
    <x v="0"/>
  </r>
  <r>
    <s v="54-439-4748"/>
    <n v="35"/>
    <x v="2"/>
    <x v="4"/>
    <x v="1"/>
    <s v="Widowed"/>
    <s v="Bachelor's"/>
    <x v="1"/>
    <s v="Borova"/>
    <x v="9"/>
    <x v="10"/>
    <n v="375.45"/>
    <n v="6"/>
    <x v="2"/>
    <n v="3"/>
    <n v="4"/>
    <n v="0"/>
    <x v="3"/>
    <x v="1"/>
    <n v="0.16666666666666666"/>
    <n v="8"/>
    <x v="3"/>
    <s v="Smartphone"/>
    <x v="3"/>
    <d v="2024-04-14T00:00:00"/>
    <x v="1"/>
    <s v="Yes"/>
    <x v="2"/>
    <x v="2"/>
    <n v="1"/>
    <x v="1"/>
    <s v="Qtr-2"/>
    <x v="0"/>
  </r>
  <r>
    <s v="66-949-9895"/>
    <n v="21"/>
    <x v="0"/>
    <x v="1"/>
    <x v="0"/>
    <s v="Widowed"/>
    <s v="Master's"/>
    <x v="1"/>
    <s v="Vendargues"/>
    <x v="0"/>
    <x v="13"/>
    <n v="83.5"/>
    <n v="12"/>
    <x v="1"/>
    <n v="2"/>
    <n v="4"/>
    <n v="0"/>
    <x v="0"/>
    <x v="1"/>
    <n v="0.16666666666666666"/>
    <n v="7"/>
    <x v="2"/>
    <s v="Smartphone"/>
    <x v="4"/>
    <d v="2024-01-25T00:00:00"/>
    <x v="0"/>
    <s v="Yes"/>
    <x v="0"/>
    <x v="1"/>
    <n v="10"/>
    <x v="3"/>
    <s v="Qtr-1"/>
    <x v="0"/>
  </r>
  <r>
    <s v="20-648-1010"/>
    <n v="34"/>
    <x v="2"/>
    <x v="1"/>
    <x v="1"/>
    <s v="Married"/>
    <s v="High School"/>
    <x v="0"/>
    <s v="Zilang"/>
    <x v="1"/>
    <x v="3"/>
    <n v="109.88"/>
    <n v="7"/>
    <x v="2"/>
    <n v="4"/>
    <n v="4"/>
    <n v="60"/>
    <x v="2"/>
    <x v="2"/>
    <n v="0.14285714285714285"/>
    <n v="3"/>
    <x v="3"/>
    <s v="Smartphone"/>
    <x v="0"/>
    <d v="2024-01-05T00:00:00"/>
    <x v="1"/>
    <s v="Yes"/>
    <x v="2"/>
    <x v="1"/>
    <n v="11"/>
    <x v="3"/>
    <s v="Qtr-1"/>
    <x v="1"/>
  </r>
  <r>
    <s v="79-939-5393"/>
    <n v="21"/>
    <x v="0"/>
    <x v="0"/>
    <x v="1"/>
    <s v="Married"/>
    <s v="High School"/>
    <x v="1"/>
    <s v="Camalote"/>
    <x v="7"/>
    <x v="2"/>
    <n v="182.54"/>
    <n v="11"/>
    <x v="0"/>
    <n v="5"/>
    <n v="5"/>
    <n v="60"/>
    <x v="1"/>
    <x v="0"/>
    <n v="9.0909090909090912E-2"/>
    <n v="1"/>
    <x v="1"/>
    <s v="Tablet"/>
    <x v="4"/>
    <d v="2024-08-21T00:00:00"/>
    <x v="1"/>
    <s v="No"/>
    <x v="0"/>
    <x v="1"/>
    <n v="13"/>
    <x v="7"/>
    <s v="Qtr-3"/>
    <x v="2"/>
  </r>
  <r>
    <s v="89-249-8369"/>
    <n v="23"/>
    <x v="0"/>
    <x v="0"/>
    <x v="1"/>
    <s v="Widowed"/>
    <s v="Bachelor's"/>
    <x v="1"/>
    <s v="Julayjilah"/>
    <x v="115"/>
    <x v="4"/>
    <n v="465.48"/>
    <n v="3"/>
    <x v="0"/>
    <n v="3"/>
    <n v="3"/>
    <n v="120"/>
    <x v="1"/>
    <x v="2"/>
    <n v="0.33333333333333331"/>
    <n v="8"/>
    <x v="3"/>
    <s v="Tablet"/>
    <x v="4"/>
    <d v="2024-06-21T00:00:00"/>
    <x v="1"/>
    <s v="No"/>
    <x v="1"/>
    <x v="0"/>
    <n v="1"/>
    <x v="4"/>
    <s v="Qtr-2"/>
    <x v="1"/>
  </r>
  <r>
    <s v="85-366-1482"/>
    <n v="31"/>
    <x v="2"/>
    <x v="0"/>
    <x v="0"/>
    <s v="Married"/>
    <s v="High School"/>
    <x v="0"/>
    <s v="Badajoz"/>
    <x v="13"/>
    <x v="10"/>
    <n v="224.52"/>
    <n v="8"/>
    <x v="0"/>
    <n v="3"/>
    <n v="3"/>
    <n v="120"/>
    <x v="2"/>
    <x v="1"/>
    <n v="0.125"/>
    <n v="5"/>
    <x v="1"/>
    <s v="Desktop"/>
    <x v="0"/>
    <d v="2024-11-29T00:00:00"/>
    <x v="0"/>
    <s v="No"/>
    <x v="2"/>
    <x v="2"/>
    <n v="1"/>
    <x v="11"/>
    <s v="Qtr-4"/>
    <x v="0"/>
  </r>
  <r>
    <s v="34-874-7357"/>
    <n v="21"/>
    <x v="0"/>
    <x v="1"/>
    <x v="1"/>
    <s v="Widowed"/>
    <s v="Master's"/>
    <x v="0"/>
    <s v="Fort Wayne"/>
    <x v="10"/>
    <x v="21"/>
    <n v="281.37"/>
    <n v="12"/>
    <x v="2"/>
    <n v="2"/>
    <n v="3"/>
    <n v="120"/>
    <x v="2"/>
    <x v="2"/>
    <n v="0"/>
    <n v="2"/>
    <x v="2"/>
    <s v="Smartphone"/>
    <x v="2"/>
    <d v="2024-01-02T00:00:00"/>
    <x v="1"/>
    <s v="Yes"/>
    <x v="2"/>
    <x v="2"/>
    <n v="14"/>
    <x v="3"/>
    <s v="Qtr-1"/>
    <x v="2"/>
  </r>
  <r>
    <s v="11-820-5039"/>
    <n v="22"/>
    <x v="0"/>
    <x v="0"/>
    <x v="0"/>
    <s v="Married"/>
    <s v="Bachelor's"/>
    <x v="0"/>
    <s v="Galán"/>
    <x v="38"/>
    <x v="2"/>
    <n v="125.68"/>
    <n v="2"/>
    <x v="2"/>
    <n v="1"/>
    <n v="4"/>
    <n v="60"/>
    <x v="0"/>
    <x v="1"/>
    <n v="0.5"/>
    <n v="8"/>
    <x v="3"/>
    <s v="Smartphone"/>
    <x v="2"/>
    <d v="2024-06-21T00:00:00"/>
    <x v="0"/>
    <s v="No"/>
    <x v="0"/>
    <x v="2"/>
    <n v="9"/>
    <x v="4"/>
    <s v="Qtr-2"/>
    <x v="4"/>
  </r>
  <r>
    <s v="73-846-1423"/>
    <n v="38"/>
    <x v="2"/>
    <x v="0"/>
    <x v="1"/>
    <s v="Single"/>
    <s v="High School"/>
    <x v="1"/>
    <s v="Saint Joseph"/>
    <x v="10"/>
    <x v="21"/>
    <n v="178.21"/>
    <n v="7"/>
    <x v="1"/>
    <n v="1"/>
    <n v="5"/>
    <n v="120"/>
    <x v="2"/>
    <x v="0"/>
    <n v="0.2857142857142857"/>
    <n v="8"/>
    <x v="0"/>
    <s v="Desktop"/>
    <x v="1"/>
    <d v="2024-05-24T00:00:00"/>
    <x v="1"/>
    <s v="No"/>
    <x v="3"/>
    <x v="0"/>
    <n v="9"/>
    <x v="9"/>
    <s v="Qtr-2"/>
    <x v="2"/>
  </r>
  <r>
    <s v="90-363-8040"/>
    <n v="27"/>
    <x v="0"/>
    <x v="1"/>
    <x v="1"/>
    <s v="Divorced"/>
    <s v="Bachelor's"/>
    <x v="0"/>
    <s v="Hospitalet de Llobregat, L'"/>
    <x v="13"/>
    <x v="10"/>
    <n v="483.23"/>
    <n v="7"/>
    <x v="2"/>
    <n v="2"/>
    <n v="4"/>
    <n v="120"/>
    <x v="1"/>
    <x v="0"/>
    <n v="0"/>
    <n v="5"/>
    <x v="1"/>
    <s v="Smartphone"/>
    <x v="1"/>
    <d v="2024-12-19T00:00:00"/>
    <x v="0"/>
    <s v="No"/>
    <x v="2"/>
    <x v="2"/>
    <n v="9"/>
    <x v="6"/>
    <s v="Qtr-4"/>
    <x v="0"/>
  </r>
  <r>
    <s v="65-533-1660"/>
    <n v="18"/>
    <x v="3"/>
    <x v="1"/>
    <x v="0"/>
    <s v="Married"/>
    <s v="Master's"/>
    <x v="1"/>
    <s v="Palma de Mallorca"/>
    <x v="13"/>
    <x v="3"/>
    <n v="415.3"/>
    <n v="11"/>
    <x v="1"/>
    <n v="4"/>
    <n v="2"/>
    <n v="60"/>
    <x v="2"/>
    <x v="2"/>
    <n v="9.0909090909090912E-2"/>
    <n v="9"/>
    <x v="0"/>
    <s v="Tablet"/>
    <x v="1"/>
    <d v="2024-09-25T00:00:00"/>
    <x v="1"/>
    <s v="Yes"/>
    <x v="2"/>
    <x v="1"/>
    <n v="2"/>
    <x v="10"/>
    <s v="Qtr-3"/>
    <x v="0"/>
  </r>
  <r>
    <s v="98-376-8787"/>
    <n v="36"/>
    <x v="2"/>
    <x v="1"/>
    <x v="1"/>
    <s v="Married"/>
    <s v="Master's"/>
    <x v="0"/>
    <s v="Pho Duc"/>
    <x v="84"/>
    <x v="13"/>
    <n v="85.52"/>
    <n v="7"/>
    <x v="0"/>
    <n v="1"/>
    <n v="5"/>
    <n v="0"/>
    <x v="1"/>
    <x v="0"/>
    <n v="0.14285714285714285"/>
    <n v="3"/>
    <x v="2"/>
    <s v="Smartphone"/>
    <x v="3"/>
    <d v="2024-10-31T00:00:00"/>
    <x v="1"/>
    <s v="Yes"/>
    <x v="3"/>
    <x v="0"/>
    <n v="7"/>
    <x v="2"/>
    <s v="Qtr-4"/>
    <x v="1"/>
  </r>
  <r>
    <s v="18-938-9896"/>
    <n v="44"/>
    <x v="1"/>
    <x v="0"/>
    <x v="0"/>
    <s v="Widowed"/>
    <s v="High School"/>
    <x v="1"/>
    <s v="?eba"/>
    <x v="18"/>
    <x v="12"/>
    <n v="422.31"/>
    <n v="2"/>
    <x v="1"/>
    <n v="3"/>
    <n v="4"/>
    <n v="60"/>
    <x v="1"/>
    <x v="2"/>
    <n v="0"/>
    <n v="6"/>
    <x v="0"/>
    <s v="Smartphone"/>
    <x v="3"/>
    <d v="2024-08-09T00:00:00"/>
    <x v="0"/>
    <s v="Yes"/>
    <x v="2"/>
    <x v="0"/>
    <n v="3"/>
    <x v="7"/>
    <s v="Qtr-3"/>
    <x v="0"/>
  </r>
  <r>
    <s v="04-829-7037"/>
    <n v="48"/>
    <x v="1"/>
    <x v="2"/>
    <x v="1"/>
    <s v="Married"/>
    <s v="High School"/>
    <x v="1"/>
    <s v="Yaguaraparo"/>
    <x v="116"/>
    <x v="17"/>
    <n v="70.42"/>
    <n v="11"/>
    <x v="2"/>
    <n v="4"/>
    <n v="5"/>
    <n v="60"/>
    <x v="3"/>
    <x v="1"/>
    <n v="0.18181818181818182"/>
    <n v="7"/>
    <x v="2"/>
    <s v="Desktop"/>
    <x v="3"/>
    <d v="2024-10-01T00:00:00"/>
    <x v="1"/>
    <s v="Yes"/>
    <x v="0"/>
    <x v="2"/>
    <n v="14"/>
    <x v="2"/>
    <s v="Qtr-4"/>
    <x v="4"/>
  </r>
  <r>
    <s v="93-455-0576"/>
    <n v="23"/>
    <x v="0"/>
    <x v="0"/>
    <x v="0"/>
    <s v="Widowed"/>
    <s v="Master's"/>
    <x v="0"/>
    <s v="Novoorsk"/>
    <x v="6"/>
    <x v="16"/>
    <n v="437.4"/>
    <n v="6"/>
    <x v="0"/>
    <n v="1"/>
    <n v="4"/>
    <n v="60"/>
    <x v="3"/>
    <x v="0"/>
    <n v="0.33333333333333331"/>
    <n v="5"/>
    <x v="2"/>
    <s v="Tablet"/>
    <x v="0"/>
    <d v="2024-06-16T00:00:00"/>
    <x v="1"/>
    <s v="No"/>
    <x v="3"/>
    <x v="2"/>
    <n v="1"/>
    <x v="4"/>
    <s v="Qtr-2"/>
    <x v="3"/>
  </r>
  <r>
    <s v="84-637-9188"/>
    <n v="35"/>
    <x v="2"/>
    <x v="1"/>
    <x v="0"/>
    <s v="Divorced"/>
    <s v="Bachelor's"/>
    <x v="0"/>
    <s v="Wuyang"/>
    <x v="1"/>
    <x v="23"/>
    <n v="207.11"/>
    <n v="4"/>
    <x v="0"/>
    <n v="1"/>
    <n v="4"/>
    <n v="120"/>
    <x v="3"/>
    <x v="1"/>
    <n v="0"/>
    <n v="1"/>
    <x v="2"/>
    <s v="Tablet"/>
    <x v="3"/>
    <d v="2024-03-28T00:00:00"/>
    <x v="0"/>
    <s v="No"/>
    <x v="0"/>
    <x v="0"/>
    <n v="2"/>
    <x v="0"/>
    <s v="Qtr-1"/>
    <x v="1"/>
  </r>
  <r>
    <s v="81-111-7832"/>
    <n v="50"/>
    <x v="1"/>
    <x v="0"/>
    <x v="1"/>
    <s v="Widowed"/>
    <s v="Bachelor's"/>
    <x v="0"/>
    <s v="Pelasgía"/>
    <x v="24"/>
    <x v="9"/>
    <n v="378.87"/>
    <n v="2"/>
    <x v="2"/>
    <n v="5"/>
    <n v="2"/>
    <n v="120"/>
    <x v="0"/>
    <x v="2"/>
    <n v="1"/>
    <n v="2"/>
    <x v="3"/>
    <s v="Desktop"/>
    <x v="2"/>
    <d v="2024-06-16T00:00:00"/>
    <x v="0"/>
    <s v="No"/>
    <x v="3"/>
    <x v="0"/>
    <n v="9"/>
    <x v="4"/>
    <s v="Qtr-2"/>
    <x v="0"/>
  </r>
  <r>
    <s v="77-401-8183"/>
    <n v="30"/>
    <x v="2"/>
    <x v="0"/>
    <x v="1"/>
    <s v="Divorced"/>
    <s v="High School"/>
    <x v="1"/>
    <s v="Phúc Th?"/>
    <x v="84"/>
    <x v="15"/>
    <n v="349"/>
    <n v="10"/>
    <x v="0"/>
    <n v="3"/>
    <n v="5"/>
    <n v="60"/>
    <x v="2"/>
    <x v="1"/>
    <n v="0.1"/>
    <n v="5"/>
    <x v="2"/>
    <s v="Desktop"/>
    <x v="1"/>
    <d v="2024-01-15T00:00:00"/>
    <x v="1"/>
    <s v="Yes"/>
    <x v="3"/>
    <x v="0"/>
    <n v="10"/>
    <x v="3"/>
    <s v="Qtr-1"/>
    <x v="1"/>
  </r>
  <r>
    <s v="01-484-8220"/>
    <n v="38"/>
    <x v="2"/>
    <x v="1"/>
    <x v="0"/>
    <s v="Married"/>
    <s v="Bachelor's"/>
    <x v="0"/>
    <s v="Vsevolozhsk"/>
    <x v="6"/>
    <x v="11"/>
    <n v="330.27"/>
    <n v="3"/>
    <x v="1"/>
    <n v="3"/>
    <n v="2"/>
    <n v="60"/>
    <x v="3"/>
    <x v="1"/>
    <n v="0.33333333333333331"/>
    <n v="9"/>
    <x v="1"/>
    <s v="Smartphone"/>
    <x v="3"/>
    <d v="2024-02-10T00:00:00"/>
    <x v="0"/>
    <s v="No"/>
    <x v="2"/>
    <x v="0"/>
    <n v="9"/>
    <x v="8"/>
    <s v="Qtr-1"/>
    <x v="3"/>
  </r>
  <r>
    <s v="11-121-0709"/>
    <n v="42"/>
    <x v="1"/>
    <x v="1"/>
    <x v="0"/>
    <s v="Married"/>
    <s v="Master's"/>
    <x v="0"/>
    <s v="Kara Suu"/>
    <x v="30"/>
    <x v="18"/>
    <n v="410.29"/>
    <n v="10"/>
    <x v="2"/>
    <n v="2"/>
    <n v="4"/>
    <n v="60"/>
    <x v="2"/>
    <x v="1"/>
    <n v="0.2"/>
    <n v="4"/>
    <x v="1"/>
    <s v="Smartphone"/>
    <x v="0"/>
    <d v="2024-09-02T00:00:00"/>
    <x v="0"/>
    <s v="No"/>
    <x v="3"/>
    <x v="2"/>
    <n v="1"/>
    <x v="10"/>
    <s v="Qtr-3"/>
    <x v="1"/>
  </r>
  <r>
    <s v="36-649-0081"/>
    <n v="24"/>
    <x v="0"/>
    <x v="0"/>
    <x v="1"/>
    <s v="Divorced"/>
    <s v="Master's"/>
    <x v="0"/>
    <s v="Beigucheng"/>
    <x v="1"/>
    <x v="11"/>
    <n v="400.86"/>
    <n v="7"/>
    <x v="2"/>
    <n v="3"/>
    <n v="3"/>
    <n v="60"/>
    <x v="3"/>
    <x v="2"/>
    <n v="0.14285714285714285"/>
    <n v="7"/>
    <x v="2"/>
    <s v="Smartphone"/>
    <x v="0"/>
    <d v="2024-09-12T00:00:00"/>
    <x v="0"/>
    <s v="No"/>
    <x v="3"/>
    <x v="0"/>
    <n v="5"/>
    <x v="10"/>
    <s v="Qtr-3"/>
    <x v="1"/>
  </r>
  <r>
    <s v="61-176-8712"/>
    <n v="27"/>
    <x v="0"/>
    <x v="0"/>
    <x v="1"/>
    <s v="Married"/>
    <s v="Master's"/>
    <x v="0"/>
    <s v="Cerro"/>
    <x v="21"/>
    <x v="21"/>
    <n v="225.12"/>
    <n v="11"/>
    <x v="1"/>
    <n v="3"/>
    <n v="2"/>
    <n v="60"/>
    <x v="1"/>
    <x v="0"/>
    <n v="0"/>
    <n v="1"/>
    <x v="0"/>
    <s v="Desktop"/>
    <x v="4"/>
    <d v="2024-08-31T00:00:00"/>
    <x v="0"/>
    <s v="No"/>
    <x v="3"/>
    <x v="2"/>
    <n v="6"/>
    <x v="7"/>
    <s v="Qtr-3"/>
    <x v="4"/>
  </r>
  <r>
    <s v="75-526-2611"/>
    <n v="36"/>
    <x v="2"/>
    <x v="0"/>
    <x v="1"/>
    <s v="Widowed"/>
    <s v="Master's"/>
    <x v="1"/>
    <s v="Yamaga"/>
    <x v="3"/>
    <x v="21"/>
    <n v="273.48"/>
    <n v="12"/>
    <x v="2"/>
    <n v="5"/>
    <n v="3"/>
    <n v="120"/>
    <x v="2"/>
    <x v="2"/>
    <n v="0"/>
    <n v="5"/>
    <x v="3"/>
    <s v="Smartphone"/>
    <x v="3"/>
    <d v="2024-01-22T00:00:00"/>
    <x v="0"/>
    <s v="No"/>
    <x v="1"/>
    <x v="2"/>
    <n v="5"/>
    <x v="3"/>
    <s v="Qtr-1"/>
    <x v="1"/>
  </r>
  <r>
    <s v="72-339-1854"/>
    <n v="19"/>
    <x v="3"/>
    <x v="2"/>
    <x v="1"/>
    <s v="Single"/>
    <s v="Master's"/>
    <x v="0"/>
    <s v="Sacramento"/>
    <x v="10"/>
    <x v="4"/>
    <n v="363.84"/>
    <n v="11"/>
    <x v="2"/>
    <n v="3"/>
    <n v="2"/>
    <n v="60"/>
    <x v="2"/>
    <x v="1"/>
    <n v="0"/>
    <n v="3"/>
    <x v="3"/>
    <s v="Desktop"/>
    <x v="4"/>
    <d v="2024-08-30T00:00:00"/>
    <x v="0"/>
    <s v="No"/>
    <x v="2"/>
    <x v="2"/>
    <n v="5"/>
    <x v="7"/>
    <s v="Qtr-3"/>
    <x v="2"/>
  </r>
  <r>
    <s v="80-360-6324"/>
    <n v="24"/>
    <x v="0"/>
    <x v="0"/>
    <x v="1"/>
    <s v="Single"/>
    <s v="Bachelor's"/>
    <x v="0"/>
    <s v="Foso"/>
    <x v="72"/>
    <x v="12"/>
    <n v="302.60000000000002"/>
    <n v="9"/>
    <x v="2"/>
    <n v="1"/>
    <n v="4"/>
    <n v="120"/>
    <x v="1"/>
    <x v="2"/>
    <n v="0.22222222222222221"/>
    <n v="10"/>
    <x v="0"/>
    <s v="Desktop"/>
    <x v="2"/>
    <d v="2024-07-23T00:00:00"/>
    <x v="1"/>
    <s v="Yes"/>
    <x v="2"/>
    <x v="1"/>
    <n v="2"/>
    <x v="5"/>
    <s v="Qtr-3"/>
    <x v="5"/>
  </r>
  <r>
    <s v="24-591-4327"/>
    <n v="35"/>
    <x v="2"/>
    <x v="1"/>
    <x v="1"/>
    <s v="Divorced"/>
    <s v="High School"/>
    <x v="1"/>
    <s v="Nowe Brzesko"/>
    <x v="18"/>
    <x v="9"/>
    <n v="317.08999999999997"/>
    <n v="6"/>
    <x v="2"/>
    <n v="1"/>
    <n v="1"/>
    <n v="60"/>
    <x v="3"/>
    <x v="1"/>
    <n v="0.33333333333333331"/>
    <n v="2"/>
    <x v="1"/>
    <s v="Desktop"/>
    <x v="3"/>
    <d v="2024-04-11T00:00:00"/>
    <x v="0"/>
    <s v="No"/>
    <x v="2"/>
    <x v="1"/>
    <n v="4"/>
    <x v="1"/>
    <s v="Qtr-2"/>
    <x v="0"/>
  </r>
  <r>
    <s v="58-487-8848"/>
    <n v="38"/>
    <x v="2"/>
    <x v="0"/>
    <x v="1"/>
    <s v="Married"/>
    <s v="High School"/>
    <x v="1"/>
    <s v="Konyrat"/>
    <x v="62"/>
    <x v="21"/>
    <n v="193.32"/>
    <n v="9"/>
    <x v="0"/>
    <n v="4"/>
    <n v="3"/>
    <n v="0"/>
    <x v="0"/>
    <x v="2"/>
    <n v="0"/>
    <n v="8"/>
    <x v="1"/>
    <s v="Tablet"/>
    <x v="1"/>
    <d v="2024-07-11T00:00:00"/>
    <x v="1"/>
    <s v="Yes"/>
    <x v="1"/>
    <x v="2"/>
    <n v="6"/>
    <x v="5"/>
    <s v="Qtr-3"/>
    <x v="1"/>
  </r>
  <r>
    <s v="61-453-3503"/>
    <n v="34"/>
    <x v="2"/>
    <x v="1"/>
    <x v="1"/>
    <s v="Widowed"/>
    <s v="High School"/>
    <x v="1"/>
    <s v="Qingshandi"/>
    <x v="1"/>
    <x v="14"/>
    <n v="282.24"/>
    <n v="6"/>
    <x v="2"/>
    <n v="2"/>
    <n v="3"/>
    <n v="120"/>
    <x v="0"/>
    <x v="1"/>
    <n v="0.16666666666666666"/>
    <n v="7"/>
    <x v="3"/>
    <s v="Desktop"/>
    <x v="0"/>
    <d v="2024-09-16T00:00:00"/>
    <x v="0"/>
    <s v="Yes"/>
    <x v="0"/>
    <x v="0"/>
    <n v="1"/>
    <x v="10"/>
    <s v="Qtr-3"/>
    <x v="1"/>
  </r>
  <r>
    <s v="63-680-7694"/>
    <n v="29"/>
    <x v="0"/>
    <x v="0"/>
    <x v="1"/>
    <s v="Divorced"/>
    <s v="Master's"/>
    <x v="0"/>
    <s v="Mbala"/>
    <x v="117"/>
    <x v="11"/>
    <n v="154.19"/>
    <n v="6"/>
    <x v="2"/>
    <n v="5"/>
    <n v="4"/>
    <n v="60"/>
    <x v="1"/>
    <x v="2"/>
    <n v="0.33333333333333331"/>
    <n v="1"/>
    <x v="0"/>
    <s v="Tablet"/>
    <x v="1"/>
    <d v="2024-09-22T00:00:00"/>
    <x v="0"/>
    <s v="Yes"/>
    <x v="0"/>
    <x v="0"/>
    <n v="1"/>
    <x v="10"/>
    <s v="Qtr-3"/>
    <x v="5"/>
  </r>
  <r>
    <s v="51-431-7150"/>
    <n v="41"/>
    <x v="1"/>
    <x v="0"/>
    <x v="0"/>
    <s v="Widowed"/>
    <s v="Bachelor's"/>
    <x v="0"/>
    <s v="Shiqiao"/>
    <x v="1"/>
    <x v="4"/>
    <n v="84.15"/>
    <n v="10"/>
    <x v="1"/>
    <n v="1"/>
    <n v="3"/>
    <n v="60"/>
    <x v="3"/>
    <x v="1"/>
    <n v="0.2"/>
    <n v="1"/>
    <x v="1"/>
    <s v="Desktop"/>
    <x v="1"/>
    <d v="2024-11-03T00:00:00"/>
    <x v="0"/>
    <s v="Yes"/>
    <x v="2"/>
    <x v="1"/>
    <n v="1"/>
    <x v="11"/>
    <s v="Qtr-4"/>
    <x v="1"/>
  </r>
  <r>
    <s v="23-039-9347"/>
    <n v="41"/>
    <x v="1"/>
    <x v="1"/>
    <x v="0"/>
    <s v="Divorced"/>
    <s v="High School"/>
    <x v="1"/>
    <s v="Yatsuomachi-higashikumisaka"/>
    <x v="3"/>
    <x v="18"/>
    <n v="214.69"/>
    <n v="7"/>
    <x v="1"/>
    <n v="4"/>
    <n v="4"/>
    <n v="0"/>
    <x v="1"/>
    <x v="1"/>
    <n v="0.14285714285714285"/>
    <n v="7"/>
    <x v="0"/>
    <s v="Tablet"/>
    <x v="0"/>
    <d v="2024-05-15T00:00:00"/>
    <x v="0"/>
    <s v="Yes"/>
    <x v="1"/>
    <x v="1"/>
    <n v="9"/>
    <x v="9"/>
    <s v="Qtr-2"/>
    <x v="1"/>
  </r>
  <r>
    <s v="18-832-6916"/>
    <n v="32"/>
    <x v="2"/>
    <x v="1"/>
    <x v="1"/>
    <s v="Married"/>
    <s v="Bachelor's"/>
    <x v="1"/>
    <s v="Czarna D?brówka"/>
    <x v="18"/>
    <x v="9"/>
    <n v="61.21"/>
    <n v="12"/>
    <x v="0"/>
    <n v="5"/>
    <n v="5"/>
    <n v="0"/>
    <x v="0"/>
    <x v="1"/>
    <n v="0"/>
    <n v="5"/>
    <x v="2"/>
    <s v="Smartphone"/>
    <x v="0"/>
    <d v="2024-11-24T00:00:00"/>
    <x v="0"/>
    <s v="No"/>
    <x v="3"/>
    <x v="1"/>
    <n v="13"/>
    <x v="11"/>
    <s v="Qtr-4"/>
    <x v="0"/>
  </r>
  <r>
    <s v="29-438-8126"/>
    <n v="36"/>
    <x v="2"/>
    <x v="0"/>
    <x v="0"/>
    <s v="Single"/>
    <s v="High School"/>
    <x v="1"/>
    <s v="Pasirmadang"/>
    <x v="4"/>
    <x v="12"/>
    <n v="462.48"/>
    <n v="11"/>
    <x v="2"/>
    <n v="1"/>
    <n v="3"/>
    <n v="0"/>
    <x v="1"/>
    <x v="2"/>
    <n v="0.18181818181818182"/>
    <n v="2"/>
    <x v="2"/>
    <s v="Smartphone"/>
    <x v="2"/>
    <d v="2024-03-31T00:00:00"/>
    <x v="1"/>
    <s v="No"/>
    <x v="3"/>
    <x v="2"/>
    <n v="12"/>
    <x v="0"/>
    <s v="Qtr-1"/>
    <x v="1"/>
  </r>
  <r>
    <s v="68-201-1633"/>
    <n v="33"/>
    <x v="2"/>
    <x v="1"/>
    <x v="0"/>
    <s v="Married"/>
    <s v="Bachelor's"/>
    <x v="1"/>
    <s v="Maño"/>
    <x v="19"/>
    <x v="14"/>
    <n v="449.18"/>
    <n v="3"/>
    <x v="0"/>
    <n v="5"/>
    <n v="3"/>
    <n v="120"/>
    <x v="1"/>
    <x v="0"/>
    <n v="0"/>
    <n v="8"/>
    <x v="1"/>
    <s v="Tablet"/>
    <x v="0"/>
    <d v="2024-03-21T00:00:00"/>
    <x v="0"/>
    <s v="Yes"/>
    <x v="1"/>
    <x v="1"/>
    <n v="10"/>
    <x v="0"/>
    <s v="Qtr-1"/>
    <x v="1"/>
  </r>
  <r>
    <s v="07-314-2945"/>
    <n v="25"/>
    <x v="0"/>
    <x v="0"/>
    <x v="0"/>
    <s v="Married"/>
    <s v="Master's"/>
    <x v="0"/>
    <s v="Tiwi"/>
    <x v="19"/>
    <x v="7"/>
    <n v="314.36"/>
    <n v="7"/>
    <x v="1"/>
    <n v="3"/>
    <n v="5"/>
    <n v="120"/>
    <x v="1"/>
    <x v="2"/>
    <n v="0.14285714285714285"/>
    <n v="4"/>
    <x v="0"/>
    <s v="Desktop"/>
    <x v="4"/>
    <d v="2024-07-03T00:00:00"/>
    <x v="0"/>
    <s v="No"/>
    <x v="2"/>
    <x v="2"/>
    <n v="1"/>
    <x v="5"/>
    <s v="Qtr-3"/>
    <x v="1"/>
  </r>
  <r>
    <s v="64-490-6975"/>
    <n v="46"/>
    <x v="1"/>
    <x v="0"/>
    <x v="0"/>
    <s v="Married"/>
    <s v="Bachelor's"/>
    <x v="0"/>
    <s v="Ahar"/>
    <x v="78"/>
    <x v="23"/>
    <n v="367.7"/>
    <n v="3"/>
    <x v="0"/>
    <n v="3"/>
    <n v="5"/>
    <n v="120"/>
    <x v="0"/>
    <x v="0"/>
    <n v="0.66666666666666663"/>
    <n v="3"/>
    <x v="1"/>
    <s v="Desktop"/>
    <x v="0"/>
    <d v="2024-03-17T00:00:00"/>
    <x v="0"/>
    <s v="Yes"/>
    <x v="0"/>
    <x v="0"/>
    <n v="3"/>
    <x v="0"/>
    <s v="Qtr-1"/>
    <x v="1"/>
  </r>
  <r>
    <s v="91-789-3191"/>
    <n v="41"/>
    <x v="1"/>
    <x v="0"/>
    <x v="1"/>
    <s v="Single"/>
    <s v="High School"/>
    <x v="0"/>
    <s v="Dake"/>
    <x v="1"/>
    <x v="6"/>
    <n v="229.97"/>
    <n v="7"/>
    <x v="0"/>
    <n v="3"/>
    <n v="4"/>
    <n v="0"/>
    <x v="0"/>
    <x v="2"/>
    <n v="0.2857142857142857"/>
    <n v="9"/>
    <x v="0"/>
    <s v="Desktop"/>
    <x v="3"/>
    <d v="2024-11-21T00:00:00"/>
    <x v="1"/>
    <s v="Yes"/>
    <x v="0"/>
    <x v="1"/>
    <n v="6"/>
    <x v="11"/>
    <s v="Qtr-4"/>
    <x v="1"/>
  </r>
  <r>
    <s v="83-714-9649"/>
    <n v="28"/>
    <x v="0"/>
    <x v="0"/>
    <x v="0"/>
    <s v="Widowed"/>
    <s v="Bachelor's"/>
    <x v="0"/>
    <s v="Harstad"/>
    <x v="46"/>
    <x v="3"/>
    <n v="226.53"/>
    <n v="3"/>
    <x v="2"/>
    <n v="3"/>
    <n v="1"/>
    <n v="60"/>
    <x v="3"/>
    <x v="1"/>
    <n v="0.33333333333333331"/>
    <n v="10"/>
    <x v="3"/>
    <s v="Desktop"/>
    <x v="1"/>
    <d v="2024-08-02T00:00:00"/>
    <x v="0"/>
    <s v="No"/>
    <x v="1"/>
    <x v="0"/>
    <n v="13"/>
    <x v="7"/>
    <s v="Qtr-3"/>
    <x v="0"/>
  </r>
  <r>
    <s v="33-203-4230"/>
    <n v="23"/>
    <x v="0"/>
    <x v="1"/>
    <x v="1"/>
    <s v="Divorced"/>
    <s v="Master's"/>
    <x v="0"/>
    <s v="Perbaungan"/>
    <x v="4"/>
    <x v="14"/>
    <n v="218.32"/>
    <n v="2"/>
    <x v="0"/>
    <n v="5"/>
    <n v="3"/>
    <n v="0"/>
    <x v="3"/>
    <x v="1"/>
    <n v="1"/>
    <n v="7"/>
    <x v="2"/>
    <s v="Desktop"/>
    <x v="1"/>
    <d v="2024-09-24T00:00:00"/>
    <x v="1"/>
    <s v="No"/>
    <x v="0"/>
    <x v="2"/>
    <n v="3"/>
    <x v="10"/>
    <s v="Qtr-3"/>
    <x v="1"/>
  </r>
  <r>
    <s v="90-918-2833"/>
    <n v="48"/>
    <x v="1"/>
    <x v="0"/>
    <x v="1"/>
    <s v="Widowed"/>
    <s v="High School"/>
    <x v="1"/>
    <s v="Soroti"/>
    <x v="82"/>
    <x v="4"/>
    <n v="132.66999999999999"/>
    <n v="7"/>
    <x v="1"/>
    <n v="2"/>
    <n v="5"/>
    <n v="60"/>
    <x v="2"/>
    <x v="2"/>
    <n v="0.2857142857142857"/>
    <n v="3"/>
    <x v="2"/>
    <s v="Smartphone"/>
    <x v="3"/>
    <d v="2024-12-18T00:00:00"/>
    <x v="0"/>
    <s v="No"/>
    <x v="2"/>
    <x v="2"/>
    <n v="1"/>
    <x v="6"/>
    <s v="Qtr-4"/>
    <x v="5"/>
  </r>
  <r>
    <s v="53-409-1176"/>
    <n v="26"/>
    <x v="0"/>
    <x v="1"/>
    <x v="1"/>
    <s v="Single"/>
    <s v="Master's"/>
    <x v="1"/>
    <s v="Caruaru"/>
    <x v="14"/>
    <x v="17"/>
    <n v="416.96"/>
    <n v="7"/>
    <x v="1"/>
    <n v="5"/>
    <n v="1"/>
    <n v="60"/>
    <x v="3"/>
    <x v="1"/>
    <n v="0"/>
    <n v="1"/>
    <x v="1"/>
    <s v="Tablet"/>
    <x v="3"/>
    <d v="2024-05-25T00:00:00"/>
    <x v="1"/>
    <s v="No"/>
    <x v="3"/>
    <x v="2"/>
    <n v="7"/>
    <x v="9"/>
    <s v="Qtr-2"/>
    <x v="4"/>
  </r>
  <r>
    <s v="52-491-3386"/>
    <n v="39"/>
    <x v="2"/>
    <x v="0"/>
    <x v="1"/>
    <s v="Married"/>
    <s v="Master's"/>
    <x v="0"/>
    <s v="Kamiennik"/>
    <x v="18"/>
    <x v="17"/>
    <n v="459.51"/>
    <n v="7"/>
    <x v="1"/>
    <n v="1"/>
    <n v="2"/>
    <n v="120"/>
    <x v="3"/>
    <x v="1"/>
    <n v="0"/>
    <n v="5"/>
    <x v="3"/>
    <s v="Tablet"/>
    <x v="2"/>
    <d v="2024-01-05T00:00:00"/>
    <x v="0"/>
    <s v="No"/>
    <x v="0"/>
    <x v="0"/>
    <n v="11"/>
    <x v="3"/>
    <s v="Qtr-1"/>
    <x v="0"/>
  </r>
  <r>
    <s v="10-870-3357"/>
    <n v="45"/>
    <x v="1"/>
    <x v="1"/>
    <x v="0"/>
    <s v="Married"/>
    <s v="High School"/>
    <x v="1"/>
    <s v="Boundiali"/>
    <x v="118"/>
    <x v="6"/>
    <n v="487.96"/>
    <n v="2"/>
    <x v="0"/>
    <n v="5"/>
    <n v="3"/>
    <n v="120"/>
    <x v="2"/>
    <x v="2"/>
    <n v="0"/>
    <n v="2"/>
    <x v="0"/>
    <s v="Desktop"/>
    <x v="1"/>
    <d v="2024-03-15T00:00:00"/>
    <x v="0"/>
    <s v="Yes"/>
    <x v="0"/>
    <x v="0"/>
    <n v="12"/>
    <x v="0"/>
    <s v="Qtr-1"/>
    <x v="5"/>
  </r>
  <r>
    <s v="41-816-7753"/>
    <n v="22"/>
    <x v="0"/>
    <x v="1"/>
    <x v="0"/>
    <s v="Divorced"/>
    <s v="High School"/>
    <x v="1"/>
    <s v="Götene"/>
    <x v="5"/>
    <x v="16"/>
    <n v="150.11000000000001"/>
    <n v="7"/>
    <x v="0"/>
    <n v="4"/>
    <n v="4"/>
    <n v="90"/>
    <x v="2"/>
    <x v="2"/>
    <n v="0"/>
    <n v="3"/>
    <x v="1"/>
    <s v="Smartphone"/>
    <x v="0"/>
    <d v="2024-07-23T00:00:00"/>
    <x v="0"/>
    <s v="No"/>
    <x v="1"/>
    <x v="1"/>
    <n v="8"/>
    <x v="5"/>
    <s v="Qtr-3"/>
    <x v="0"/>
  </r>
  <r>
    <s v="68-296-5978"/>
    <n v="36"/>
    <x v="2"/>
    <x v="1"/>
    <x v="1"/>
    <s v="Married"/>
    <s v="High School"/>
    <x v="0"/>
    <s v="Kadumelati"/>
    <x v="4"/>
    <x v="11"/>
    <n v="218.87"/>
    <n v="5"/>
    <x v="0"/>
    <n v="4"/>
    <n v="3"/>
    <n v="0"/>
    <x v="1"/>
    <x v="2"/>
    <n v="0"/>
    <n v="4"/>
    <x v="3"/>
    <s v="Smartphone"/>
    <x v="4"/>
    <d v="2024-09-18T00:00:00"/>
    <x v="0"/>
    <s v="No"/>
    <x v="3"/>
    <x v="0"/>
    <n v="11"/>
    <x v="10"/>
    <s v="Qtr-3"/>
    <x v="1"/>
  </r>
  <r>
    <s v="03-874-9055"/>
    <n v="29"/>
    <x v="0"/>
    <x v="0"/>
    <x v="0"/>
    <s v="Married"/>
    <s v="Bachelor's"/>
    <x v="1"/>
    <s v="Amparo"/>
    <x v="14"/>
    <x v="7"/>
    <n v="437.06"/>
    <n v="7"/>
    <x v="1"/>
    <n v="3"/>
    <n v="5"/>
    <n v="120"/>
    <x v="2"/>
    <x v="2"/>
    <n v="0"/>
    <n v="6"/>
    <x v="2"/>
    <s v="Smartphone"/>
    <x v="4"/>
    <d v="2024-03-09T00:00:00"/>
    <x v="1"/>
    <s v="No"/>
    <x v="2"/>
    <x v="2"/>
    <n v="11"/>
    <x v="0"/>
    <s v="Qtr-1"/>
    <x v="4"/>
  </r>
  <r>
    <s v="28-123-8406"/>
    <n v="33"/>
    <x v="2"/>
    <x v="1"/>
    <x v="1"/>
    <s v="Married"/>
    <s v="Bachelor's"/>
    <x v="1"/>
    <s v="Shimen"/>
    <x v="1"/>
    <x v="21"/>
    <n v="122.58"/>
    <n v="2"/>
    <x v="1"/>
    <n v="5"/>
    <n v="4"/>
    <n v="90"/>
    <x v="2"/>
    <x v="1"/>
    <n v="1"/>
    <n v="5"/>
    <x v="0"/>
    <s v="Tablet"/>
    <x v="3"/>
    <d v="2024-01-29T00:00:00"/>
    <x v="0"/>
    <s v="No"/>
    <x v="2"/>
    <x v="2"/>
    <n v="12"/>
    <x v="3"/>
    <s v="Qtr-1"/>
    <x v="1"/>
  </r>
  <r>
    <s v="01-089-2223"/>
    <n v="35"/>
    <x v="2"/>
    <x v="1"/>
    <x v="1"/>
    <s v="Married"/>
    <s v="Master's"/>
    <x v="0"/>
    <s v="Philadelphia"/>
    <x v="10"/>
    <x v="1"/>
    <n v="195.07"/>
    <n v="8"/>
    <x v="2"/>
    <n v="3"/>
    <n v="1"/>
    <n v="60"/>
    <x v="3"/>
    <x v="0"/>
    <n v="0"/>
    <n v="6"/>
    <x v="0"/>
    <s v="Smartphone"/>
    <x v="2"/>
    <d v="2024-07-22T00:00:00"/>
    <x v="1"/>
    <s v="No"/>
    <x v="2"/>
    <x v="0"/>
    <n v="10"/>
    <x v="5"/>
    <s v="Qtr-3"/>
    <x v="2"/>
  </r>
  <r>
    <s v="23-758-1012"/>
    <n v="39"/>
    <x v="2"/>
    <x v="0"/>
    <x v="0"/>
    <s v="Single"/>
    <s v="High School"/>
    <x v="1"/>
    <s v="Myingyan"/>
    <x v="106"/>
    <x v="5"/>
    <n v="190.06"/>
    <n v="9"/>
    <x v="1"/>
    <n v="5"/>
    <n v="1"/>
    <n v="60"/>
    <x v="0"/>
    <x v="0"/>
    <n v="0.1111111111111111"/>
    <n v="2"/>
    <x v="2"/>
    <s v="Smartphone"/>
    <x v="3"/>
    <d v="2024-02-03T00:00:00"/>
    <x v="0"/>
    <s v="Yes"/>
    <x v="3"/>
    <x v="1"/>
    <n v="12"/>
    <x v="8"/>
    <s v="Qtr-1"/>
    <x v="1"/>
  </r>
  <r>
    <s v="34-788-8387"/>
    <n v="38"/>
    <x v="2"/>
    <x v="0"/>
    <x v="0"/>
    <s v="Single"/>
    <s v="High School"/>
    <x v="0"/>
    <s v="Qingqu"/>
    <x v="1"/>
    <x v="19"/>
    <n v="485.76"/>
    <n v="10"/>
    <x v="1"/>
    <n v="3"/>
    <n v="4"/>
    <n v="0"/>
    <x v="1"/>
    <x v="0"/>
    <n v="0"/>
    <n v="4"/>
    <x v="1"/>
    <s v="Desktop"/>
    <x v="2"/>
    <d v="2024-06-03T00:00:00"/>
    <x v="0"/>
    <s v="Yes"/>
    <x v="1"/>
    <x v="0"/>
    <n v="4"/>
    <x v="4"/>
    <s v="Qtr-2"/>
    <x v="1"/>
  </r>
  <r>
    <s v="53-865-9342"/>
    <n v="27"/>
    <x v="0"/>
    <x v="0"/>
    <x v="1"/>
    <s v="Single"/>
    <s v="Bachelor's"/>
    <x v="1"/>
    <s v="Poste de Flacq"/>
    <x v="119"/>
    <x v="5"/>
    <n v="242.57"/>
    <n v="7"/>
    <x v="1"/>
    <n v="1"/>
    <n v="1"/>
    <n v="60"/>
    <x v="2"/>
    <x v="1"/>
    <n v="0"/>
    <n v="10"/>
    <x v="2"/>
    <s v="Smartphone"/>
    <x v="1"/>
    <d v="2024-10-05T00:00:00"/>
    <x v="0"/>
    <s v="No"/>
    <x v="1"/>
    <x v="0"/>
    <n v="1"/>
    <x v="2"/>
    <s v="Qtr-4"/>
    <x v="5"/>
  </r>
  <r>
    <s v="79-052-8470"/>
    <n v="35"/>
    <x v="2"/>
    <x v="1"/>
    <x v="0"/>
    <s v="Widowed"/>
    <s v="High School"/>
    <x v="1"/>
    <s v="Zawr al Bay??’"/>
    <x v="120"/>
    <x v="17"/>
    <n v="303.13"/>
    <n v="2"/>
    <x v="2"/>
    <n v="1"/>
    <n v="1"/>
    <n v="60"/>
    <x v="3"/>
    <x v="1"/>
    <n v="0"/>
    <n v="7"/>
    <x v="3"/>
    <s v="Desktop"/>
    <x v="2"/>
    <d v="2024-01-04T00:00:00"/>
    <x v="1"/>
    <s v="Yes"/>
    <x v="0"/>
    <x v="1"/>
    <n v="10"/>
    <x v="3"/>
    <s v="Qtr-1"/>
    <x v="1"/>
  </r>
  <r>
    <s v="86-359-7320"/>
    <n v="43"/>
    <x v="1"/>
    <x v="0"/>
    <x v="0"/>
    <s v="Widowed"/>
    <s v="Master's"/>
    <x v="0"/>
    <s v="Phu Loc"/>
    <x v="84"/>
    <x v="16"/>
    <n v="136.1"/>
    <n v="5"/>
    <x v="1"/>
    <n v="3"/>
    <n v="5"/>
    <n v="120"/>
    <x v="2"/>
    <x v="2"/>
    <n v="0"/>
    <n v="2"/>
    <x v="1"/>
    <s v="Tablet"/>
    <x v="2"/>
    <d v="2024-02-27T00:00:00"/>
    <x v="1"/>
    <s v="Yes"/>
    <x v="3"/>
    <x v="2"/>
    <n v="14"/>
    <x v="8"/>
    <s v="Qtr-1"/>
    <x v="1"/>
  </r>
  <r>
    <s v="27-111-2242"/>
    <n v="40"/>
    <x v="1"/>
    <x v="2"/>
    <x v="1"/>
    <s v="Single"/>
    <s v="Bachelor's"/>
    <x v="0"/>
    <s v="Jembangan"/>
    <x v="4"/>
    <x v="13"/>
    <n v="249.02"/>
    <n v="11"/>
    <x v="0"/>
    <n v="3"/>
    <n v="2"/>
    <n v="18"/>
    <x v="1"/>
    <x v="1"/>
    <n v="9.0909090909090912E-2"/>
    <n v="1"/>
    <x v="3"/>
    <s v="Smartphone"/>
    <x v="1"/>
    <d v="2024-10-01T00:00:00"/>
    <x v="0"/>
    <s v="Yes"/>
    <x v="3"/>
    <x v="2"/>
    <n v="14"/>
    <x v="2"/>
    <s v="Qtr-4"/>
    <x v="1"/>
  </r>
  <r>
    <s v="84-538-0238"/>
    <n v="19"/>
    <x v="3"/>
    <x v="1"/>
    <x v="0"/>
    <s v="Divorced"/>
    <s v="High School"/>
    <x v="0"/>
    <s v="Harhorin"/>
    <x v="34"/>
    <x v="2"/>
    <n v="466.74"/>
    <n v="7"/>
    <x v="1"/>
    <n v="3"/>
    <n v="4"/>
    <n v="12"/>
    <x v="1"/>
    <x v="1"/>
    <n v="0.2857142857142857"/>
    <n v="3"/>
    <x v="1"/>
    <s v="Tablet"/>
    <x v="2"/>
    <d v="2024-12-11T00:00:00"/>
    <x v="0"/>
    <s v="Yes"/>
    <x v="0"/>
    <x v="2"/>
    <n v="5"/>
    <x v="6"/>
    <s v="Qtr-4"/>
    <x v="1"/>
  </r>
  <r>
    <s v="04-660-2742"/>
    <n v="46"/>
    <x v="1"/>
    <x v="6"/>
    <x v="1"/>
    <s v="Married"/>
    <s v="High School"/>
    <x v="1"/>
    <s v="Meijiang"/>
    <x v="1"/>
    <x v="9"/>
    <n v="229.3"/>
    <n v="6"/>
    <x v="1"/>
    <n v="4"/>
    <n v="5"/>
    <n v="120"/>
    <x v="0"/>
    <x v="0"/>
    <n v="0"/>
    <n v="6"/>
    <x v="0"/>
    <s v="Smartphone"/>
    <x v="3"/>
    <d v="2024-11-25T00:00:00"/>
    <x v="1"/>
    <s v="No"/>
    <x v="3"/>
    <x v="2"/>
    <n v="6"/>
    <x v="11"/>
    <s v="Qtr-4"/>
    <x v="1"/>
  </r>
  <r>
    <s v="96-496-9833"/>
    <n v="30"/>
    <x v="2"/>
    <x v="0"/>
    <x v="1"/>
    <s v="Single"/>
    <s v="High School"/>
    <x v="1"/>
    <s v="Lañgub"/>
    <x v="19"/>
    <x v="12"/>
    <n v="450.52"/>
    <n v="8"/>
    <x v="2"/>
    <n v="2"/>
    <n v="2"/>
    <n v="12"/>
    <x v="3"/>
    <x v="0"/>
    <n v="0"/>
    <n v="6"/>
    <x v="2"/>
    <s v="Desktop"/>
    <x v="1"/>
    <d v="2024-01-13T00:00:00"/>
    <x v="0"/>
    <s v="Yes"/>
    <x v="0"/>
    <x v="0"/>
    <n v="8"/>
    <x v="3"/>
    <s v="Qtr-1"/>
    <x v="1"/>
  </r>
  <r>
    <s v="27-672-6081"/>
    <n v="35"/>
    <x v="2"/>
    <x v="1"/>
    <x v="1"/>
    <s v="Divorced"/>
    <s v="Bachelor's"/>
    <x v="0"/>
    <s v="Bangbayang"/>
    <x v="4"/>
    <x v="19"/>
    <n v="246.44"/>
    <n v="4"/>
    <x v="0"/>
    <n v="3"/>
    <n v="1"/>
    <n v="60"/>
    <x v="1"/>
    <x v="0"/>
    <n v="0"/>
    <n v="3"/>
    <x v="3"/>
    <s v="Smartphone"/>
    <x v="2"/>
    <d v="2024-09-17T00:00:00"/>
    <x v="1"/>
    <s v="Yes"/>
    <x v="1"/>
    <x v="0"/>
    <n v="5"/>
    <x v="10"/>
    <s v="Qtr-3"/>
    <x v="1"/>
  </r>
  <r>
    <s v="66-033-0540"/>
    <n v="34"/>
    <x v="2"/>
    <x v="1"/>
    <x v="1"/>
    <s v="Widowed"/>
    <s v="High School"/>
    <x v="0"/>
    <s v="St?bo?ówice"/>
    <x v="18"/>
    <x v="3"/>
    <n v="93.52"/>
    <n v="2"/>
    <x v="2"/>
    <n v="1"/>
    <n v="5"/>
    <n v="60"/>
    <x v="0"/>
    <x v="0"/>
    <n v="0.5"/>
    <n v="2"/>
    <x v="1"/>
    <s v="Desktop"/>
    <x v="1"/>
    <d v="2024-08-12T00:00:00"/>
    <x v="1"/>
    <s v="Yes"/>
    <x v="3"/>
    <x v="0"/>
    <n v="12"/>
    <x v="7"/>
    <s v="Qtr-3"/>
    <x v="0"/>
  </r>
  <r>
    <s v="99-643-9845"/>
    <n v="28"/>
    <x v="0"/>
    <x v="0"/>
    <x v="0"/>
    <s v="Married"/>
    <s v="High School"/>
    <x v="1"/>
    <s v="Banturkrajan"/>
    <x v="4"/>
    <x v="19"/>
    <n v="137.75"/>
    <n v="6"/>
    <x v="2"/>
    <n v="3"/>
    <n v="3"/>
    <n v="120"/>
    <x v="3"/>
    <x v="2"/>
    <n v="0"/>
    <n v="1"/>
    <x v="3"/>
    <s v="Smartphone"/>
    <x v="4"/>
    <d v="2024-09-09T00:00:00"/>
    <x v="1"/>
    <s v="Yes"/>
    <x v="0"/>
    <x v="0"/>
    <n v="4"/>
    <x v="10"/>
    <s v="Qtr-3"/>
    <x v="1"/>
  </r>
  <r>
    <s v="27-571-9402"/>
    <n v="44"/>
    <x v="1"/>
    <x v="0"/>
    <x v="0"/>
    <s v="Married"/>
    <s v="Master's"/>
    <x v="0"/>
    <s v="São Torcato"/>
    <x v="26"/>
    <x v="3"/>
    <n v="78.64"/>
    <n v="5"/>
    <x v="0"/>
    <n v="3"/>
    <n v="4"/>
    <n v="120"/>
    <x v="3"/>
    <x v="0"/>
    <n v="0"/>
    <n v="3"/>
    <x v="1"/>
    <s v="Tablet"/>
    <x v="1"/>
    <d v="2024-05-26T00:00:00"/>
    <x v="0"/>
    <s v="No"/>
    <x v="3"/>
    <x v="1"/>
    <n v="12"/>
    <x v="9"/>
    <s v="Qtr-2"/>
    <x v="0"/>
  </r>
  <r>
    <s v="10-430-5821"/>
    <n v="25"/>
    <x v="0"/>
    <x v="1"/>
    <x v="1"/>
    <s v="Divorced"/>
    <s v="Master's"/>
    <x v="0"/>
    <s v="Kapan"/>
    <x v="121"/>
    <x v="14"/>
    <n v="214.82"/>
    <n v="9"/>
    <x v="0"/>
    <n v="5"/>
    <n v="4"/>
    <n v="18"/>
    <x v="0"/>
    <x v="2"/>
    <n v="0.1111111111111111"/>
    <n v="9"/>
    <x v="3"/>
    <s v="Tablet"/>
    <x v="3"/>
    <d v="2024-11-09T00:00:00"/>
    <x v="0"/>
    <s v="No"/>
    <x v="3"/>
    <x v="0"/>
    <n v="11"/>
    <x v="11"/>
    <s v="Qtr-4"/>
    <x v="1"/>
  </r>
  <r>
    <s v="36-835-7445"/>
    <n v="45"/>
    <x v="1"/>
    <x v="1"/>
    <x v="0"/>
    <s v="Married"/>
    <s v="Bachelor's"/>
    <x v="1"/>
    <s v="V?n Giang"/>
    <x v="84"/>
    <x v="7"/>
    <n v="57.39"/>
    <n v="3"/>
    <x v="0"/>
    <n v="2"/>
    <n v="5"/>
    <n v="15"/>
    <x v="0"/>
    <x v="0"/>
    <n v="0"/>
    <n v="10"/>
    <x v="3"/>
    <s v="Desktop"/>
    <x v="0"/>
    <d v="2024-07-19T00:00:00"/>
    <x v="1"/>
    <s v="No"/>
    <x v="2"/>
    <x v="1"/>
    <n v="3"/>
    <x v="5"/>
    <s v="Qtr-3"/>
    <x v="1"/>
  </r>
  <r>
    <s v="41-602-4042"/>
    <n v="47"/>
    <x v="1"/>
    <x v="0"/>
    <x v="1"/>
    <s v="Single"/>
    <s v="High School"/>
    <x v="0"/>
    <s v="Oslo"/>
    <x v="46"/>
    <x v="21"/>
    <n v="363.91"/>
    <n v="10"/>
    <x v="2"/>
    <n v="1"/>
    <n v="1"/>
    <n v="18"/>
    <x v="1"/>
    <x v="2"/>
    <n v="0"/>
    <n v="2"/>
    <x v="2"/>
    <s v="Smartphone"/>
    <x v="4"/>
    <d v="2024-01-07T00:00:00"/>
    <x v="0"/>
    <s v="Yes"/>
    <x v="3"/>
    <x v="1"/>
    <n v="9"/>
    <x v="3"/>
    <s v="Qtr-1"/>
    <x v="0"/>
  </r>
  <r>
    <s v="63-743-6962"/>
    <n v="39"/>
    <x v="2"/>
    <x v="1"/>
    <x v="0"/>
    <s v="Single"/>
    <s v="High School"/>
    <x v="0"/>
    <s v="Tanushimarumachi-toyoki"/>
    <x v="3"/>
    <x v="22"/>
    <n v="304.79000000000002"/>
    <n v="12"/>
    <x v="1"/>
    <n v="2"/>
    <n v="4"/>
    <n v="120"/>
    <x v="2"/>
    <x v="0"/>
    <n v="8.3333333333333329E-2"/>
    <n v="9"/>
    <x v="1"/>
    <s v="Desktop"/>
    <x v="3"/>
    <d v="2024-01-07T00:00:00"/>
    <x v="0"/>
    <s v="Yes"/>
    <x v="1"/>
    <x v="1"/>
    <n v="10"/>
    <x v="3"/>
    <s v="Qtr-1"/>
    <x v="1"/>
  </r>
  <r>
    <s v="66-772-9922"/>
    <n v="32"/>
    <x v="2"/>
    <x v="1"/>
    <x v="1"/>
    <s v="Divorced"/>
    <s v="High School"/>
    <x v="0"/>
    <s v="Kazo"/>
    <x v="3"/>
    <x v="23"/>
    <n v="363.98"/>
    <n v="4"/>
    <x v="2"/>
    <n v="4"/>
    <n v="4"/>
    <n v="60"/>
    <x v="0"/>
    <x v="0"/>
    <n v="0.5"/>
    <n v="7"/>
    <x v="0"/>
    <s v="Tablet"/>
    <x v="1"/>
    <d v="2024-05-27T00:00:00"/>
    <x v="0"/>
    <s v="Yes"/>
    <x v="3"/>
    <x v="2"/>
    <n v="1"/>
    <x v="9"/>
    <s v="Qtr-2"/>
    <x v="1"/>
  </r>
  <r>
    <s v="23-246-5927"/>
    <n v="47"/>
    <x v="1"/>
    <x v="1"/>
    <x v="0"/>
    <s v="Widowed"/>
    <s v="Bachelor's"/>
    <x v="1"/>
    <s v="Rawa Mazowiecka"/>
    <x v="18"/>
    <x v="5"/>
    <n v="249.6"/>
    <n v="7"/>
    <x v="0"/>
    <n v="4"/>
    <n v="1"/>
    <n v="60"/>
    <x v="2"/>
    <x v="0"/>
    <n v="0.2857142857142857"/>
    <n v="7"/>
    <x v="1"/>
    <s v="Smartphone"/>
    <x v="2"/>
    <d v="2024-05-11T00:00:00"/>
    <x v="0"/>
    <s v="No"/>
    <x v="1"/>
    <x v="1"/>
    <n v="11"/>
    <x v="9"/>
    <s v="Qtr-2"/>
    <x v="0"/>
  </r>
  <r>
    <s v="74-022-7557"/>
    <n v="19"/>
    <x v="3"/>
    <x v="1"/>
    <x v="1"/>
    <s v="Married"/>
    <s v="Bachelor's"/>
    <x v="0"/>
    <s v="W?nsan"/>
    <x v="122"/>
    <x v="13"/>
    <n v="345.04"/>
    <n v="12"/>
    <x v="1"/>
    <n v="1"/>
    <n v="5"/>
    <n v="60"/>
    <x v="2"/>
    <x v="0"/>
    <n v="0"/>
    <n v="8"/>
    <x v="3"/>
    <s v="Tablet"/>
    <x v="0"/>
    <d v="2024-10-16T00:00:00"/>
    <x v="0"/>
    <s v="Yes"/>
    <x v="3"/>
    <x v="2"/>
    <n v="13"/>
    <x v="2"/>
    <s v="Qtr-4"/>
    <x v="1"/>
  </r>
  <r>
    <s v="78-214-5658"/>
    <n v="48"/>
    <x v="1"/>
    <x v="0"/>
    <x v="0"/>
    <s v="Single"/>
    <s v="High School"/>
    <x v="1"/>
    <s v="Villavicencio"/>
    <x v="38"/>
    <x v="17"/>
    <n v="59.15"/>
    <n v="3"/>
    <x v="1"/>
    <n v="4"/>
    <n v="2"/>
    <n v="60"/>
    <x v="0"/>
    <x v="1"/>
    <n v="0"/>
    <n v="1"/>
    <x v="1"/>
    <s v="Desktop"/>
    <x v="2"/>
    <d v="2024-04-19T00:00:00"/>
    <x v="1"/>
    <s v="No"/>
    <x v="0"/>
    <x v="1"/>
    <n v="8"/>
    <x v="1"/>
    <s v="Qtr-2"/>
    <x v="4"/>
  </r>
  <r>
    <s v="25-286-8786"/>
    <n v="27"/>
    <x v="0"/>
    <x v="1"/>
    <x v="1"/>
    <s v="Single"/>
    <s v="Master's"/>
    <x v="1"/>
    <s v="Berlin"/>
    <x v="58"/>
    <x v="3"/>
    <n v="461.81"/>
    <n v="12"/>
    <x v="0"/>
    <n v="4"/>
    <n v="3"/>
    <n v="0"/>
    <x v="1"/>
    <x v="2"/>
    <n v="0"/>
    <n v="8"/>
    <x v="2"/>
    <s v="Desktop"/>
    <x v="3"/>
    <d v="2024-06-07T00:00:00"/>
    <x v="0"/>
    <s v="No"/>
    <x v="1"/>
    <x v="0"/>
    <n v="8"/>
    <x v="4"/>
    <s v="Qtr-2"/>
    <x v="0"/>
  </r>
  <r>
    <s v="55-955-9889"/>
    <n v="31"/>
    <x v="2"/>
    <x v="0"/>
    <x v="1"/>
    <s v="Divorced"/>
    <s v="Bachelor's"/>
    <x v="1"/>
    <s v="Wailang"/>
    <x v="4"/>
    <x v="10"/>
    <n v="280.88"/>
    <n v="4"/>
    <x v="0"/>
    <n v="3"/>
    <n v="4"/>
    <n v="60"/>
    <x v="3"/>
    <x v="1"/>
    <n v="0"/>
    <n v="2"/>
    <x v="1"/>
    <s v="Smartphone"/>
    <x v="0"/>
    <d v="2024-05-05T00:00:00"/>
    <x v="0"/>
    <s v="Yes"/>
    <x v="3"/>
    <x v="0"/>
    <n v="2"/>
    <x v="9"/>
    <s v="Qtr-2"/>
    <x v="1"/>
  </r>
  <r>
    <s v="34-237-3943"/>
    <n v="44"/>
    <x v="1"/>
    <x v="1"/>
    <x v="0"/>
    <s v="Married"/>
    <s v="Master's"/>
    <x v="0"/>
    <s v="Fangshan"/>
    <x v="1"/>
    <x v="8"/>
    <n v="283.7"/>
    <n v="8"/>
    <x v="0"/>
    <n v="2"/>
    <n v="5"/>
    <n v="60"/>
    <x v="1"/>
    <x v="1"/>
    <n v="0.125"/>
    <n v="3"/>
    <x v="2"/>
    <s v="Smartphone"/>
    <x v="4"/>
    <d v="2024-02-29T00:00:00"/>
    <x v="1"/>
    <s v="No"/>
    <x v="2"/>
    <x v="2"/>
    <n v="8"/>
    <x v="8"/>
    <s v="Qtr-1"/>
    <x v="1"/>
  </r>
  <r>
    <s v="19-386-9088"/>
    <n v="24"/>
    <x v="0"/>
    <x v="0"/>
    <x v="1"/>
    <s v="Widowed"/>
    <s v="High School"/>
    <x v="0"/>
    <s v="Tallahassee"/>
    <x v="10"/>
    <x v="8"/>
    <n v="411.95"/>
    <n v="10"/>
    <x v="1"/>
    <n v="5"/>
    <n v="3"/>
    <n v="60"/>
    <x v="0"/>
    <x v="1"/>
    <n v="0"/>
    <n v="4"/>
    <x v="0"/>
    <s v="Smartphone"/>
    <x v="1"/>
    <d v="2024-12-18T00:00:00"/>
    <x v="0"/>
    <s v="Yes"/>
    <x v="2"/>
    <x v="1"/>
    <n v="5"/>
    <x v="6"/>
    <s v="Qtr-4"/>
    <x v="2"/>
  </r>
  <r>
    <s v="16-583-2801"/>
    <n v="32"/>
    <x v="2"/>
    <x v="0"/>
    <x v="0"/>
    <s v="Widowed"/>
    <s v="Master's"/>
    <x v="0"/>
    <s v="Anchorage"/>
    <x v="10"/>
    <x v="0"/>
    <n v="476.11"/>
    <n v="5"/>
    <x v="1"/>
    <n v="1"/>
    <n v="4"/>
    <n v="60"/>
    <x v="0"/>
    <x v="2"/>
    <n v="0.4"/>
    <n v="10"/>
    <x v="1"/>
    <s v="Desktop"/>
    <x v="2"/>
    <d v="2024-10-29T00:00:00"/>
    <x v="0"/>
    <s v="No"/>
    <x v="1"/>
    <x v="1"/>
    <n v="1"/>
    <x v="2"/>
    <s v="Qtr-4"/>
    <x v="2"/>
  </r>
  <r>
    <s v="83-752-5439"/>
    <n v="28"/>
    <x v="0"/>
    <x v="0"/>
    <x v="0"/>
    <s v="Married"/>
    <s v="Master's"/>
    <x v="1"/>
    <s v="Mulhouse"/>
    <x v="0"/>
    <x v="0"/>
    <n v="399.24"/>
    <n v="7"/>
    <x v="1"/>
    <n v="4"/>
    <n v="2"/>
    <n v="60"/>
    <x v="1"/>
    <x v="2"/>
    <n v="0.14285714285714285"/>
    <n v="2"/>
    <x v="3"/>
    <s v="Smartphone"/>
    <x v="2"/>
    <d v="2024-06-21T00:00:00"/>
    <x v="1"/>
    <s v="No"/>
    <x v="0"/>
    <x v="1"/>
    <n v="10"/>
    <x v="4"/>
    <s v="Qtr-2"/>
    <x v="0"/>
  </r>
  <r>
    <s v="25-485-2023"/>
    <n v="26"/>
    <x v="0"/>
    <x v="1"/>
    <x v="0"/>
    <s v="Divorced"/>
    <s v="Master's"/>
    <x v="0"/>
    <s v="Tangkilsari"/>
    <x v="4"/>
    <x v="23"/>
    <n v="90.79"/>
    <n v="12"/>
    <x v="1"/>
    <n v="4"/>
    <n v="1"/>
    <n v="120"/>
    <x v="1"/>
    <x v="0"/>
    <n v="0"/>
    <n v="2"/>
    <x v="3"/>
    <s v="Tablet"/>
    <x v="3"/>
    <d v="2024-09-16T00:00:00"/>
    <x v="1"/>
    <s v="No"/>
    <x v="3"/>
    <x v="0"/>
    <n v="6"/>
    <x v="10"/>
    <s v="Qtr-3"/>
    <x v="1"/>
  </r>
  <r>
    <s v="90-822-7664"/>
    <n v="38"/>
    <x v="2"/>
    <x v="0"/>
    <x v="0"/>
    <s v="Married"/>
    <s v="Master's"/>
    <x v="0"/>
    <s v="San Carlos"/>
    <x v="19"/>
    <x v="9"/>
    <n v="229.56"/>
    <n v="9"/>
    <x v="2"/>
    <n v="1"/>
    <n v="2"/>
    <n v="60"/>
    <x v="0"/>
    <x v="0"/>
    <n v="0"/>
    <n v="9"/>
    <x v="2"/>
    <s v="Tablet"/>
    <x v="1"/>
    <d v="2024-01-14T00:00:00"/>
    <x v="0"/>
    <s v="Yes"/>
    <x v="0"/>
    <x v="0"/>
    <n v="11"/>
    <x v="3"/>
    <s v="Qtr-1"/>
    <x v="1"/>
  </r>
  <r>
    <s v="22-039-6819"/>
    <n v="28"/>
    <x v="0"/>
    <x v="0"/>
    <x v="0"/>
    <s v="Divorced"/>
    <s v="High School"/>
    <x v="0"/>
    <s v="Queluz"/>
    <x v="26"/>
    <x v="6"/>
    <n v="160.47"/>
    <n v="7"/>
    <x v="0"/>
    <n v="1"/>
    <n v="5"/>
    <n v="0"/>
    <x v="0"/>
    <x v="1"/>
    <n v="0"/>
    <n v="3"/>
    <x v="0"/>
    <s v="Smartphone"/>
    <x v="2"/>
    <d v="2024-03-17T00:00:00"/>
    <x v="0"/>
    <s v="No"/>
    <x v="1"/>
    <x v="0"/>
    <n v="6"/>
    <x v="0"/>
    <s v="Qtr-1"/>
    <x v="0"/>
  </r>
  <r>
    <s v="50-395-1941"/>
    <n v="30"/>
    <x v="2"/>
    <x v="7"/>
    <x v="1"/>
    <s v="Married"/>
    <s v="High School"/>
    <x v="1"/>
    <s v="Särkisalo"/>
    <x v="60"/>
    <x v="14"/>
    <n v="104.74"/>
    <n v="6"/>
    <x v="2"/>
    <n v="2"/>
    <n v="4"/>
    <n v="120"/>
    <x v="0"/>
    <x v="2"/>
    <n v="0"/>
    <n v="4"/>
    <x v="2"/>
    <s v="Smartphone"/>
    <x v="1"/>
    <d v="2024-09-22T00:00:00"/>
    <x v="1"/>
    <s v="No"/>
    <x v="2"/>
    <x v="0"/>
    <n v="1"/>
    <x v="10"/>
    <s v="Qtr-3"/>
    <x v="0"/>
  </r>
  <r>
    <s v="99-771-9310"/>
    <n v="37"/>
    <x v="2"/>
    <x v="0"/>
    <x v="1"/>
    <s v="Widowed"/>
    <s v="Master's"/>
    <x v="0"/>
    <s v="Vitoria-Gasteiz"/>
    <x v="13"/>
    <x v="1"/>
    <n v="399.95"/>
    <n v="10"/>
    <x v="1"/>
    <n v="2"/>
    <n v="1"/>
    <n v="0"/>
    <x v="2"/>
    <x v="1"/>
    <n v="0.1"/>
    <n v="2"/>
    <x v="1"/>
    <s v="Smartphone"/>
    <x v="4"/>
    <d v="2024-03-07T00:00:00"/>
    <x v="0"/>
    <s v="No"/>
    <x v="0"/>
    <x v="2"/>
    <n v="10"/>
    <x v="0"/>
    <s v="Qtr-1"/>
    <x v="0"/>
  </r>
  <r>
    <s v="18-518-0140"/>
    <n v="47"/>
    <x v="1"/>
    <x v="0"/>
    <x v="1"/>
    <s v="Divorced"/>
    <s v="Bachelor's"/>
    <x v="0"/>
    <s v="Coro"/>
    <x v="116"/>
    <x v="15"/>
    <n v="337.33"/>
    <n v="8"/>
    <x v="1"/>
    <n v="1"/>
    <n v="4"/>
    <n v="60"/>
    <x v="0"/>
    <x v="0"/>
    <n v="0"/>
    <n v="5"/>
    <x v="3"/>
    <s v="Desktop"/>
    <x v="2"/>
    <d v="2024-11-25T00:00:00"/>
    <x v="1"/>
    <s v="No"/>
    <x v="3"/>
    <x v="2"/>
    <n v="10"/>
    <x v="11"/>
    <s v="Qtr-4"/>
    <x v="4"/>
  </r>
  <r>
    <s v="57-000-8646"/>
    <n v="41"/>
    <x v="1"/>
    <x v="0"/>
    <x v="1"/>
    <s v="Widowed"/>
    <s v="Master's"/>
    <x v="0"/>
    <s v="Purwa"/>
    <x v="4"/>
    <x v="23"/>
    <n v="204.83"/>
    <n v="6"/>
    <x v="1"/>
    <n v="5"/>
    <n v="1"/>
    <n v="0"/>
    <x v="3"/>
    <x v="2"/>
    <n v="0.16666666666666666"/>
    <n v="5"/>
    <x v="3"/>
    <s v="Smartphone"/>
    <x v="2"/>
    <d v="2024-04-22T00:00:00"/>
    <x v="0"/>
    <s v="No"/>
    <x v="1"/>
    <x v="1"/>
    <n v="5"/>
    <x v="1"/>
    <s v="Qtr-2"/>
    <x v="1"/>
  </r>
  <r>
    <s v="81-926-9297"/>
    <n v="22"/>
    <x v="0"/>
    <x v="0"/>
    <x v="0"/>
    <s v="Widowed"/>
    <s v="Master's"/>
    <x v="1"/>
    <s v="Gävle"/>
    <x v="5"/>
    <x v="12"/>
    <n v="193.94"/>
    <n v="11"/>
    <x v="0"/>
    <n v="4"/>
    <n v="1"/>
    <n v="0"/>
    <x v="0"/>
    <x v="1"/>
    <n v="0"/>
    <n v="3"/>
    <x v="1"/>
    <s v="Desktop"/>
    <x v="3"/>
    <d v="2024-08-09T00:00:00"/>
    <x v="1"/>
    <s v="No"/>
    <x v="1"/>
    <x v="1"/>
    <n v="9"/>
    <x v="7"/>
    <s v="Qtr-3"/>
    <x v="0"/>
  </r>
  <r>
    <s v="53-070-2625"/>
    <n v="46"/>
    <x v="1"/>
    <x v="1"/>
    <x v="1"/>
    <s v="Married"/>
    <s v="Master's"/>
    <x v="0"/>
    <s v="Embu Guaçu"/>
    <x v="14"/>
    <x v="7"/>
    <n v="460.37"/>
    <n v="10"/>
    <x v="2"/>
    <n v="5"/>
    <n v="4"/>
    <n v="120"/>
    <x v="2"/>
    <x v="2"/>
    <n v="0.2"/>
    <n v="7"/>
    <x v="1"/>
    <s v="Desktop"/>
    <x v="0"/>
    <d v="2024-07-13T00:00:00"/>
    <x v="0"/>
    <s v="Yes"/>
    <x v="1"/>
    <x v="2"/>
    <n v="12"/>
    <x v="5"/>
    <s v="Qtr-3"/>
    <x v="4"/>
  </r>
  <r>
    <s v="63-217-7638"/>
    <n v="34"/>
    <x v="2"/>
    <x v="4"/>
    <x v="0"/>
    <s v="Single"/>
    <s v="Bachelor's"/>
    <x v="0"/>
    <s v="Colima"/>
    <x v="40"/>
    <x v="17"/>
    <n v="297.29000000000002"/>
    <n v="9"/>
    <x v="2"/>
    <n v="5"/>
    <n v="4"/>
    <n v="120"/>
    <x v="0"/>
    <x v="1"/>
    <n v="0"/>
    <n v="9"/>
    <x v="2"/>
    <s v="Smartphone"/>
    <x v="4"/>
    <d v="2024-01-01T00:00:00"/>
    <x v="0"/>
    <s v="Yes"/>
    <x v="0"/>
    <x v="1"/>
    <n v="3"/>
    <x v="3"/>
    <s v="Qtr-1"/>
    <x v="2"/>
  </r>
  <r>
    <s v="64-120-6212"/>
    <n v="31"/>
    <x v="2"/>
    <x v="1"/>
    <x v="0"/>
    <s v="Single"/>
    <s v="Bachelor's"/>
    <x v="0"/>
    <s v="Fubin"/>
    <x v="1"/>
    <x v="5"/>
    <n v="389.47"/>
    <n v="4"/>
    <x v="1"/>
    <n v="5"/>
    <n v="3"/>
    <n v="120"/>
    <x v="2"/>
    <x v="1"/>
    <n v="0.25"/>
    <n v="9"/>
    <x v="1"/>
    <s v="Desktop"/>
    <x v="0"/>
    <d v="2024-02-11T00:00:00"/>
    <x v="0"/>
    <s v="Yes"/>
    <x v="1"/>
    <x v="1"/>
    <n v="6"/>
    <x v="8"/>
    <s v="Qtr-1"/>
    <x v="1"/>
  </r>
  <r>
    <s v="01-404-3425"/>
    <n v="38"/>
    <x v="2"/>
    <x v="1"/>
    <x v="1"/>
    <s v="Single"/>
    <s v="Master's"/>
    <x v="1"/>
    <s v="Talshand"/>
    <x v="78"/>
    <x v="3"/>
    <n v="370.05"/>
    <n v="11"/>
    <x v="0"/>
    <n v="5"/>
    <n v="3"/>
    <n v="0"/>
    <x v="1"/>
    <x v="2"/>
    <n v="9.0909090909090912E-2"/>
    <n v="10"/>
    <x v="1"/>
    <s v="Smartphone"/>
    <x v="4"/>
    <d v="2024-10-30T00:00:00"/>
    <x v="0"/>
    <s v="Yes"/>
    <x v="2"/>
    <x v="0"/>
    <n v="10"/>
    <x v="2"/>
    <s v="Qtr-4"/>
    <x v="1"/>
  </r>
  <r>
    <s v="68-971-6148"/>
    <n v="45"/>
    <x v="1"/>
    <x v="1"/>
    <x v="1"/>
    <s v="Single"/>
    <s v="Master's"/>
    <x v="0"/>
    <s v="Palampal"/>
    <x v="19"/>
    <x v="23"/>
    <n v="462.24"/>
    <n v="2"/>
    <x v="0"/>
    <n v="4"/>
    <n v="5"/>
    <n v="0"/>
    <x v="2"/>
    <x v="1"/>
    <n v="1"/>
    <n v="1"/>
    <x v="0"/>
    <s v="Smartphone"/>
    <x v="3"/>
    <d v="2024-03-19T00:00:00"/>
    <x v="0"/>
    <s v="Yes"/>
    <x v="1"/>
    <x v="2"/>
    <n v="13"/>
    <x v="0"/>
    <s v="Qtr-1"/>
    <x v="1"/>
  </r>
  <r>
    <s v="22-053-4627"/>
    <n v="30"/>
    <x v="2"/>
    <x v="0"/>
    <x v="1"/>
    <s v="Married"/>
    <s v="High School"/>
    <x v="1"/>
    <s v="Kamárai"/>
    <x v="24"/>
    <x v="1"/>
    <n v="472.53"/>
    <n v="11"/>
    <x v="2"/>
    <n v="4"/>
    <n v="1"/>
    <n v="60"/>
    <x v="1"/>
    <x v="0"/>
    <n v="0.18181818181818182"/>
    <n v="7"/>
    <x v="3"/>
    <s v="Smartphone"/>
    <x v="2"/>
    <d v="2024-04-30T00:00:00"/>
    <x v="1"/>
    <s v="No"/>
    <x v="1"/>
    <x v="2"/>
    <n v="4"/>
    <x v="1"/>
    <s v="Qtr-2"/>
    <x v="0"/>
  </r>
  <r>
    <s v="09-258-0424"/>
    <n v="45"/>
    <x v="1"/>
    <x v="0"/>
    <x v="0"/>
    <s v="Married"/>
    <s v="High School"/>
    <x v="0"/>
    <s v="Ettelbruck"/>
    <x v="52"/>
    <x v="3"/>
    <n v="407.29"/>
    <n v="3"/>
    <x v="1"/>
    <n v="5"/>
    <n v="5"/>
    <n v="0"/>
    <x v="2"/>
    <x v="1"/>
    <n v="0"/>
    <n v="5"/>
    <x v="2"/>
    <s v="Tablet"/>
    <x v="3"/>
    <d v="2024-11-25T00:00:00"/>
    <x v="1"/>
    <s v="No"/>
    <x v="3"/>
    <x v="2"/>
    <n v="3"/>
    <x v="11"/>
    <s v="Qtr-4"/>
    <x v="0"/>
  </r>
  <r>
    <s v="56-782-9001"/>
    <n v="18"/>
    <x v="3"/>
    <x v="1"/>
    <x v="1"/>
    <s v="Married"/>
    <s v="Bachelor's"/>
    <x v="1"/>
    <s v="Cawayan"/>
    <x v="19"/>
    <x v="7"/>
    <n v="135.65"/>
    <n v="8"/>
    <x v="2"/>
    <n v="4"/>
    <n v="1"/>
    <n v="60"/>
    <x v="2"/>
    <x v="2"/>
    <n v="0"/>
    <n v="9"/>
    <x v="0"/>
    <s v="Desktop"/>
    <x v="3"/>
    <d v="2024-02-16T00:00:00"/>
    <x v="1"/>
    <s v="No"/>
    <x v="2"/>
    <x v="1"/>
    <n v="14"/>
    <x v="8"/>
    <s v="Qtr-1"/>
    <x v="1"/>
  </r>
  <r>
    <s v="05-506-7216"/>
    <n v="36"/>
    <x v="2"/>
    <x v="1"/>
    <x v="1"/>
    <s v="Single"/>
    <s v="Bachelor's"/>
    <x v="0"/>
    <s v="Don Carlos"/>
    <x v="19"/>
    <x v="9"/>
    <n v="352.35"/>
    <n v="4"/>
    <x v="2"/>
    <n v="2"/>
    <n v="2"/>
    <n v="0"/>
    <x v="2"/>
    <x v="2"/>
    <n v="0.25"/>
    <n v="1"/>
    <x v="2"/>
    <s v="Smartphone"/>
    <x v="0"/>
    <d v="2024-06-20T00:00:00"/>
    <x v="1"/>
    <s v="No"/>
    <x v="3"/>
    <x v="2"/>
    <n v="14"/>
    <x v="4"/>
    <s v="Qtr-2"/>
    <x v="1"/>
  </r>
  <r>
    <s v="47-356-9730"/>
    <n v="25"/>
    <x v="0"/>
    <x v="0"/>
    <x v="1"/>
    <s v="Single"/>
    <s v="High School"/>
    <x v="1"/>
    <s v="Seleuš"/>
    <x v="47"/>
    <x v="5"/>
    <n v="441.73"/>
    <n v="12"/>
    <x v="2"/>
    <n v="1"/>
    <n v="4"/>
    <n v="120"/>
    <x v="2"/>
    <x v="0"/>
    <n v="0"/>
    <n v="8"/>
    <x v="3"/>
    <s v="Smartphone"/>
    <x v="0"/>
    <d v="2024-02-04T00:00:00"/>
    <x v="0"/>
    <s v="No"/>
    <x v="3"/>
    <x v="1"/>
    <n v="8"/>
    <x v="8"/>
    <s v="Qtr-1"/>
    <x v="0"/>
  </r>
  <r>
    <s v="42-898-6421"/>
    <n v="21"/>
    <x v="0"/>
    <x v="0"/>
    <x v="1"/>
    <s v="Divorced"/>
    <s v="High School"/>
    <x v="0"/>
    <s v="Cervantes"/>
    <x v="13"/>
    <x v="8"/>
    <n v="105.95"/>
    <n v="12"/>
    <x v="0"/>
    <n v="1"/>
    <n v="4"/>
    <n v="120"/>
    <x v="2"/>
    <x v="2"/>
    <n v="8.3333333333333329E-2"/>
    <n v="7"/>
    <x v="3"/>
    <s v="Desktop"/>
    <x v="4"/>
    <d v="2024-08-04T00:00:00"/>
    <x v="1"/>
    <s v="No"/>
    <x v="2"/>
    <x v="1"/>
    <n v="11"/>
    <x v="7"/>
    <s v="Qtr-3"/>
    <x v="0"/>
  </r>
  <r>
    <s v="17-364-8685"/>
    <n v="26"/>
    <x v="0"/>
    <x v="1"/>
    <x v="1"/>
    <s v="Single"/>
    <s v="Master's"/>
    <x v="1"/>
    <s v="Ebebiyin"/>
    <x v="123"/>
    <x v="19"/>
    <n v="351.54"/>
    <n v="11"/>
    <x v="0"/>
    <n v="1"/>
    <n v="3"/>
    <n v="120"/>
    <x v="0"/>
    <x v="0"/>
    <n v="0"/>
    <n v="8"/>
    <x v="0"/>
    <s v="Tablet"/>
    <x v="1"/>
    <d v="2024-03-21T00:00:00"/>
    <x v="0"/>
    <s v="No"/>
    <x v="3"/>
    <x v="2"/>
    <n v="12"/>
    <x v="0"/>
    <s v="Qtr-1"/>
    <x v="5"/>
  </r>
  <r>
    <s v="13-618-9438"/>
    <n v="40"/>
    <x v="1"/>
    <x v="1"/>
    <x v="1"/>
    <s v="Divorced"/>
    <s v="Bachelor's"/>
    <x v="1"/>
    <s v="Chuquitira"/>
    <x v="42"/>
    <x v="3"/>
    <n v="321.26"/>
    <n v="12"/>
    <x v="2"/>
    <n v="4"/>
    <n v="1"/>
    <n v="0"/>
    <x v="0"/>
    <x v="2"/>
    <n v="0"/>
    <n v="6"/>
    <x v="0"/>
    <s v="Desktop"/>
    <x v="2"/>
    <d v="2024-06-13T00:00:00"/>
    <x v="1"/>
    <s v="No"/>
    <x v="0"/>
    <x v="1"/>
    <n v="14"/>
    <x v="4"/>
    <s v="Qtr-2"/>
    <x v="4"/>
  </r>
  <r>
    <s v="32-457-2982"/>
    <n v="47"/>
    <x v="1"/>
    <x v="0"/>
    <x v="1"/>
    <s v="Divorced"/>
    <s v="High School"/>
    <x v="0"/>
    <s v="Proletarsk"/>
    <x v="6"/>
    <x v="9"/>
    <n v="421.5"/>
    <n v="11"/>
    <x v="2"/>
    <n v="5"/>
    <n v="1"/>
    <n v="120"/>
    <x v="2"/>
    <x v="0"/>
    <n v="0"/>
    <n v="8"/>
    <x v="0"/>
    <s v="Desktop"/>
    <x v="1"/>
    <d v="2024-04-04T00:00:00"/>
    <x v="0"/>
    <s v="Yes"/>
    <x v="0"/>
    <x v="2"/>
    <n v="3"/>
    <x v="1"/>
    <s v="Qtr-2"/>
    <x v="3"/>
  </r>
  <r>
    <s v="43-386-2489"/>
    <n v="27"/>
    <x v="0"/>
    <x v="2"/>
    <x v="1"/>
    <s v="Widowed"/>
    <s v="High School"/>
    <x v="0"/>
    <s v="Naghalin"/>
    <x v="41"/>
    <x v="1"/>
    <n v="253.29"/>
    <n v="6"/>
    <x v="0"/>
    <n v="3"/>
    <n v="2"/>
    <n v="120"/>
    <x v="0"/>
    <x v="0"/>
    <n v="0.16666666666666666"/>
    <n v="4"/>
    <x v="0"/>
    <s v="Desktop"/>
    <x v="1"/>
    <d v="2024-05-02T00:00:00"/>
    <x v="0"/>
    <s v="No"/>
    <x v="3"/>
    <x v="1"/>
    <n v="8"/>
    <x v="9"/>
    <s v="Qtr-2"/>
    <x v="1"/>
  </r>
  <r>
    <s v="67-438-2378"/>
    <n v="29"/>
    <x v="0"/>
    <x v="0"/>
    <x v="0"/>
    <s v="Divorced"/>
    <s v="High School"/>
    <x v="1"/>
    <s v="Honolulu"/>
    <x v="10"/>
    <x v="23"/>
    <n v="217.62"/>
    <n v="3"/>
    <x v="2"/>
    <n v="5"/>
    <n v="2"/>
    <n v="60"/>
    <x v="3"/>
    <x v="2"/>
    <n v="0.66666666666666663"/>
    <n v="3"/>
    <x v="2"/>
    <s v="Smartphone"/>
    <x v="1"/>
    <d v="2024-02-14T00:00:00"/>
    <x v="1"/>
    <s v="Yes"/>
    <x v="2"/>
    <x v="0"/>
    <n v="5"/>
    <x v="8"/>
    <s v="Qtr-1"/>
    <x v="2"/>
  </r>
  <r>
    <s v="65-431-1264"/>
    <n v="21"/>
    <x v="0"/>
    <x v="1"/>
    <x v="0"/>
    <s v="Single"/>
    <s v="Bachelor's"/>
    <x v="1"/>
    <s v="Dhalie"/>
    <x v="41"/>
    <x v="5"/>
    <n v="226.04"/>
    <n v="11"/>
    <x v="2"/>
    <n v="4"/>
    <n v="1"/>
    <n v="60"/>
    <x v="0"/>
    <x v="2"/>
    <n v="0"/>
    <n v="9"/>
    <x v="3"/>
    <s v="Desktop"/>
    <x v="1"/>
    <d v="2024-05-14T00:00:00"/>
    <x v="0"/>
    <s v="No"/>
    <x v="1"/>
    <x v="2"/>
    <n v="12"/>
    <x v="9"/>
    <s v="Qtr-2"/>
    <x v="1"/>
  </r>
  <r>
    <s v="73-367-8478"/>
    <n v="41"/>
    <x v="1"/>
    <x v="3"/>
    <x v="1"/>
    <s v="Single"/>
    <s v="Bachelor's"/>
    <x v="1"/>
    <s v="Giesteira"/>
    <x v="26"/>
    <x v="12"/>
    <n v="52.79"/>
    <n v="4"/>
    <x v="2"/>
    <n v="2"/>
    <n v="2"/>
    <n v="0"/>
    <x v="2"/>
    <x v="1"/>
    <n v="0.25"/>
    <n v="7"/>
    <x v="0"/>
    <s v="Tablet"/>
    <x v="2"/>
    <d v="2024-02-06T00:00:00"/>
    <x v="0"/>
    <s v="Yes"/>
    <x v="2"/>
    <x v="2"/>
    <n v="4"/>
    <x v="8"/>
    <s v="Qtr-1"/>
    <x v="0"/>
  </r>
  <r>
    <s v="84-162-8799"/>
    <n v="43"/>
    <x v="1"/>
    <x v="1"/>
    <x v="0"/>
    <s v="Widowed"/>
    <s v="High School"/>
    <x v="1"/>
    <s v="Khilok"/>
    <x v="6"/>
    <x v="23"/>
    <n v="385.08"/>
    <n v="7"/>
    <x v="1"/>
    <n v="2"/>
    <n v="4"/>
    <n v="60"/>
    <x v="3"/>
    <x v="0"/>
    <n v="0.14285714285714285"/>
    <n v="1"/>
    <x v="2"/>
    <s v="Tablet"/>
    <x v="2"/>
    <d v="2024-11-12T00:00:00"/>
    <x v="1"/>
    <s v="Yes"/>
    <x v="2"/>
    <x v="0"/>
    <n v="1"/>
    <x v="11"/>
    <s v="Qtr-4"/>
    <x v="3"/>
  </r>
  <r>
    <s v="51-546-9992"/>
    <n v="33"/>
    <x v="2"/>
    <x v="1"/>
    <x v="1"/>
    <s v="Widowed"/>
    <s v="Master's"/>
    <x v="0"/>
    <s v="Cimara"/>
    <x v="4"/>
    <x v="11"/>
    <n v="181.1"/>
    <n v="2"/>
    <x v="2"/>
    <n v="2"/>
    <n v="5"/>
    <n v="120"/>
    <x v="2"/>
    <x v="1"/>
    <n v="1"/>
    <n v="7"/>
    <x v="2"/>
    <s v="Tablet"/>
    <x v="0"/>
    <d v="2024-12-26T00:00:00"/>
    <x v="1"/>
    <s v="No"/>
    <x v="2"/>
    <x v="0"/>
    <n v="5"/>
    <x v="6"/>
    <s v="Qtr-4"/>
    <x v="1"/>
  </r>
  <r>
    <s v="89-189-3295"/>
    <n v="23"/>
    <x v="0"/>
    <x v="0"/>
    <x v="0"/>
    <s v="Single"/>
    <s v="Master's"/>
    <x v="0"/>
    <s v="Vereshchagino"/>
    <x v="6"/>
    <x v="2"/>
    <n v="246.41"/>
    <n v="7"/>
    <x v="1"/>
    <n v="2"/>
    <n v="4"/>
    <n v="0"/>
    <x v="0"/>
    <x v="0"/>
    <n v="0.2857142857142857"/>
    <n v="8"/>
    <x v="2"/>
    <s v="Smartphone"/>
    <x v="4"/>
    <d v="2024-10-01T00:00:00"/>
    <x v="0"/>
    <s v="No"/>
    <x v="0"/>
    <x v="1"/>
    <n v="11"/>
    <x v="2"/>
    <s v="Qtr-4"/>
    <x v="3"/>
  </r>
  <r>
    <s v="45-776-7217"/>
    <n v="37"/>
    <x v="2"/>
    <x v="0"/>
    <x v="0"/>
    <s v="Divorced"/>
    <s v="Bachelor's"/>
    <x v="1"/>
    <s v="Binagadi"/>
    <x v="89"/>
    <x v="15"/>
    <n v="140.87"/>
    <n v="8"/>
    <x v="1"/>
    <n v="3"/>
    <n v="3"/>
    <n v="120"/>
    <x v="2"/>
    <x v="1"/>
    <n v="0.25"/>
    <n v="7"/>
    <x v="3"/>
    <s v="Tablet"/>
    <x v="3"/>
    <d v="2024-03-03T00:00:00"/>
    <x v="0"/>
    <s v="No"/>
    <x v="2"/>
    <x v="0"/>
    <n v="9"/>
    <x v="0"/>
    <s v="Qtr-1"/>
    <x v="1"/>
  </r>
  <r>
    <s v="71-354-5174"/>
    <n v="34"/>
    <x v="2"/>
    <x v="0"/>
    <x v="1"/>
    <s v="Single"/>
    <s v="Master's"/>
    <x v="1"/>
    <s v="Tsuen Wan"/>
    <x v="124"/>
    <x v="14"/>
    <n v="151.25"/>
    <n v="2"/>
    <x v="1"/>
    <n v="2"/>
    <n v="5"/>
    <n v="0"/>
    <x v="1"/>
    <x v="0"/>
    <n v="0.5"/>
    <n v="8"/>
    <x v="3"/>
    <s v="Tablet"/>
    <x v="2"/>
    <d v="2024-04-20T00:00:00"/>
    <x v="0"/>
    <s v="No"/>
    <x v="3"/>
    <x v="0"/>
    <n v="10"/>
    <x v="1"/>
    <s v="Qtr-2"/>
    <x v="1"/>
  </r>
  <r>
    <s v="05-975-6985"/>
    <n v="27"/>
    <x v="0"/>
    <x v="1"/>
    <x v="1"/>
    <s v="Divorced"/>
    <s v="Master's"/>
    <x v="0"/>
    <s v="Banjar Batanpoh"/>
    <x v="4"/>
    <x v="11"/>
    <n v="171.52"/>
    <n v="3"/>
    <x v="0"/>
    <n v="5"/>
    <n v="5"/>
    <n v="120"/>
    <x v="1"/>
    <x v="2"/>
    <n v="0.33333333333333331"/>
    <n v="9"/>
    <x v="3"/>
    <s v="Smartphone"/>
    <x v="4"/>
    <d v="2024-08-21T00:00:00"/>
    <x v="0"/>
    <s v="Yes"/>
    <x v="3"/>
    <x v="1"/>
    <n v="12"/>
    <x v="7"/>
    <s v="Qtr-3"/>
    <x v="1"/>
  </r>
  <r>
    <s v="42-859-2475"/>
    <n v="40"/>
    <x v="1"/>
    <x v="1"/>
    <x v="0"/>
    <s v="Widowed"/>
    <s v="Master's"/>
    <x v="1"/>
    <s v="Yenakiyeve"/>
    <x v="9"/>
    <x v="6"/>
    <n v="399.56"/>
    <n v="10"/>
    <x v="2"/>
    <n v="4"/>
    <n v="2"/>
    <n v="60"/>
    <x v="2"/>
    <x v="1"/>
    <n v="0"/>
    <n v="4"/>
    <x v="3"/>
    <s v="Desktop"/>
    <x v="4"/>
    <d v="2024-10-21T00:00:00"/>
    <x v="0"/>
    <s v="Yes"/>
    <x v="0"/>
    <x v="0"/>
    <n v="1"/>
    <x v="2"/>
    <s v="Qtr-4"/>
    <x v="0"/>
  </r>
  <r>
    <s v="34-094-1923"/>
    <n v="40"/>
    <x v="1"/>
    <x v="0"/>
    <x v="0"/>
    <s v="Widowed"/>
    <s v="Master's"/>
    <x v="0"/>
    <s v="San Ramon"/>
    <x v="19"/>
    <x v="6"/>
    <n v="173.46"/>
    <n v="4"/>
    <x v="0"/>
    <n v="5"/>
    <n v="3"/>
    <n v="60"/>
    <x v="0"/>
    <x v="1"/>
    <n v="0"/>
    <n v="9"/>
    <x v="3"/>
    <s v="Smartphone"/>
    <x v="1"/>
    <d v="2024-04-11T00:00:00"/>
    <x v="1"/>
    <s v="Yes"/>
    <x v="1"/>
    <x v="0"/>
    <n v="2"/>
    <x v="1"/>
    <s v="Qtr-2"/>
    <x v="1"/>
  </r>
  <r>
    <s v="57-797-8139"/>
    <n v="43"/>
    <x v="1"/>
    <x v="1"/>
    <x v="1"/>
    <s v="Widowed"/>
    <s v="Bachelor's"/>
    <x v="1"/>
    <s v="Sakété"/>
    <x v="125"/>
    <x v="16"/>
    <n v="332.14"/>
    <n v="10"/>
    <x v="2"/>
    <n v="4"/>
    <n v="4"/>
    <n v="0"/>
    <x v="2"/>
    <x v="0"/>
    <n v="0.1"/>
    <n v="2"/>
    <x v="0"/>
    <s v="Desktop"/>
    <x v="1"/>
    <d v="2024-02-09T00:00:00"/>
    <x v="0"/>
    <s v="Yes"/>
    <x v="3"/>
    <x v="0"/>
    <n v="13"/>
    <x v="8"/>
    <s v="Qtr-1"/>
    <x v="5"/>
  </r>
  <r>
    <s v="21-048-8669"/>
    <n v="37"/>
    <x v="2"/>
    <x v="4"/>
    <x v="0"/>
    <s v="Single"/>
    <s v="Bachelor's"/>
    <x v="0"/>
    <s v="Pantenan"/>
    <x v="4"/>
    <x v="1"/>
    <n v="247.05"/>
    <n v="8"/>
    <x v="1"/>
    <n v="3"/>
    <n v="2"/>
    <n v="60"/>
    <x v="2"/>
    <x v="0"/>
    <n v="0.125"/>
    <n v="8"/>
    <x v="1"/>
    <s v="Desktop"/>
    <x v="4"/>
    <d v="2024-05-25T00:00:00"/>
    <x v="1"/>
    <s v="No"/>
    <x v="1"/>
    <x v="1"/>
    <n v="2"/>
    <x v="9"/>
    <s v="Qtr-2"/>
    <x v="1"/>
  </r>
  <r>
    <s v="30-038-8752"/>
    <n v="49"/>
    <x v="1"/>
    <x v="1"/>
    <x v="1"/>
    <s v="Single"/>
    <s v="Bachelor's"/>
    <x v="1"/>
    <s v="Antrukan"/>
    <x v="4"/>
    <x v="2"/>
    <n v="365.88"/>
    <n v="10"/>
    <x v="0"/>
    <n v="4"/>
    <n v="5"/>
    <n v="60"/>
    <x v="0"/>
    <x v="0"/>
    <n v="0.1"/>
    <n v="1"/>
    <x v="3"/>
    <s v="Tablet"/>
    <x v="1"/>
    <d v="2024-04-16T00:00:00"/>
    <x v="1"/>
    <s v="No"/>
    <x v="1"/>
    <x v="2"/>
    <n v="9"/>
    <x v="1"/>
    <s v="Qtr-2"/>
    <x v="1"/>
  </r>
  <r>
    <s v="06-237-7338"/>
    <n v="27"/>
    <x v="0"/>
    <x v="0"/>
    <x v="0"/>
    <s v="Married"/>
    <s v="Bachelor's"/>
    <x v="0"/>
    <s v="Dhahab"/>
    <x v="41"/>
    <x v="16"/>
    <n v="354.92"/>
    <n v="8"/>
    <x v="0"/>
    <n v="5"/>
    <n v="4"/>
    <n v="0"/>
    <x v="0"/>
    <x v="0"/>
    <n v="0"/>
    <n v="1"/>
    <x v="0"/>
    <s v="Tablet"/>
    <x v="2"/>
    <d v="2024-02-17T00:00:00"/>
    <x v="0"/>
    <s v="Yes"/>
    <x v="1"/>
    <x v="2"/>
    <n v="13"/>
    <x v="8"/>
    <s v="Qtr-1"/>
    <x v="1"/>
  </r>
  <r>
    <s v="71-817-5422"/>
    <n v="19"/>
    <x v="3"/>
    <x v="0"/>
    <x v="1"/>
    <s v="Single"/>
    <s v="High School"/>
    <x v="1"/>
    <s v="Vetluga"/>
    <x v="6"/>
    <x v="23"/>
    <n v="195.46"/>
    <n v="10"/>
    <x v="0"/>
    <n v="5"/>
    <n v="3"/>
    <n v="120"/>
    <x v="0"/>
    <x v="1"/>
    <n v="0"/>
    <n v="10"/>
    <x v="2"/>
    <s v="Tablet"/>
    <x v="3"/>
    <d v="2024-07-07T00:00:00"/>
    <x v="0"/>
    <s v="No"/>
    <x v="2"/>
    <x v="1"/>
    <n v="9"/>
    <x v="5"/>
    <s v="Qtr-3"/>
    <x v="3"/>
  </r>
  <r>
    <s v="68-512-0568"/>
    <n v="40"/>
    <x v="1"/>
    <x v="0"/>
    <x v="1"/>
    <s v="Married"/>
    <s v="Master's"/>
    <x v="0"/>
    <s v="Wolfsberg"/>
    <x v="126"/>
    <x v="5"/>
    <n v="474.03"/>
    <n v="7"/>
    <x v="1"/>
    <n v="3"/>
    <n v="1"/>
    <n v="60"/>
    <x v="1"/>
    <x v="0"/>
    <n v="0"/>
    <n v="6"/>
    <x v="1"/>
    <s v="Desktop"/>
    <x v="3"/>
    <d v="2024-08-03T00:00:00"/>
    <x v="0"/>
    <s v="Yes"/>
    <x v="0"/>
    <x v="1"/>
    <n v="13"/>
    <x v="7"/>
    <s v="Qtr-3"/>
    <x v="0"/>
  </r>
  <r>
    <s v="18-633-9387"/>
    <n v="27"/>
    <x v="0"/>
    <x v="1"/>
    <x v="0"/>
    <s v="Married"/>
    <s v="Bachelor's"/>
    <x v="1"/>
    <s v="San Bautista"/>
    <x v="21"/>
    <x v="9"/>
    <n v="106.96"/>
    <n v="6"/>
    <x v="1"/>
    <n v="3"/>
    <n v="1"/>
    <n v="120"/>
    <x v="2"/>
    <x v="1"/>
    <n v="0"/>
    <n v="7"/>
    <x v="3"/>
    <s v="Tablet"/>
    <x v="2"/>
    <d v="2024-03-09T00:00:00"/>
    <x v="0"/>
    <s v="Yes"/>
    <x v="2"/>
    <x v="1"/>
    <n v="3"/>
    <x v="0"/>
    <s v="Qtr-1"/>
    <x v="4"/>
  </r>
  <r>
    <s v="08-977-4418"/>
    <n v="29"/>
    <x v="0"/>
    <x v="0"/>
    <x v="0"/>
    <s v="Married"/>
    <s v="Master's"/>
    <x v="1"/>
    <s v="Reuleuet"/>
    <x v="4"/>
    <x v="13"/>
    <n v="371.84"/>
    <n v="9"/>
    <x v="1"/>
    <n v="5"/>
    <n v="4"/>
    <n v="0"/>
    <x v="0"/>
    <x v="1"/>
    <n v="0.22222222222222221"/>
    <n v="6"/>
    <x v="0"/>
    <s v="Tablet"/>
    <x v="3"/>
    <d v="2024-07-28T00:00:00"/>
    <x v="1"/>
    <s v="Yes"/>
    <x v="2"/>
    <x v="1"/>
    <n v="2"/>
    <x v="5"/>
    <s v="Qtr-3"/>
    <x v="1"/>
  </r>
  <r>
    <s v="97-738-8095"/>
    <n v="45"/>
    <x v="1"/>
    <x v="5"/>
    <x v="1"/>
    <s v="Single"/>
    <s v="Bachelor's"/>
    <x v="1"/>
    <s v="Lonpao Dajah"/>
    <x v="4"/>
    <x v="18"/>
    <n v="461.16"/>
    <n v="8"/>
    <x v="0"/>
    <n v="1"/>
    <n v="4"/>
    <n v="60"/>
    <x v="3"/>
    <x v="1"/>
    <n v="0"/>
    <n v="3"/>
    <x v="3"/>
    <s v="Smartphone"/>
    <x v="3"/>
    <d v="2024-02-29T00:00:00"/>
    <x v="0"/>
    <s v="Yes"/>
    <x v="3"/>
    <x v="2"/>
    <n v="14"/>
    <x v="8"/>
    <s v="Qtr-1"/>
    <x v="1"/>
  </r>
  <r>
    <s v="15-421-1255"/>
    <n v="24"/>
    <x v="0"/>
    <x v="0"/>
    <x v="1"/>
    <s v="Single"/>
    <s v="High School"/>
    <x v="0"/>
    <s v="Nanqiao"/>
    <x v="1"/>
    <x v="5"/>
    <n v="497.75"/>
    <n v="11"/>
    <x v="1"/>
    <n v="4"/>
    <n v="1"/>
    <n v="120"/>
    <x v="0"/>
    <x v="2"/>
    <n v="0.18181818181818182"/>
    <n v="1"/>
    <x v="3"/>
    <s v="Smartphone"/>
    <x v="4"/>
    <d v="2024-07-03T00:00:00"/>
    <x v="0"/>
    <s v="No"/>
    <x v="1"/>
    <x v="2"/>
    <n v="13"/>
    <x v="5"/>
    <s v="Qtr-3"/>
    <x v="1"/>
  </r>
  <r>
    <s v="92-142-4328"/>
    <n v="45"/>
    <x v="1"/>
    <x v="0"/>
    <x v="0"/>
    <s v="Married"/>
    <s v="Master's"/>
    <x v="0"/>
    <s v="San Carlos"/>
    <x v="116"/>
    <x v="10"/>
    <n v="492.83"/>
    <n v="5"/>
    <x v="2"/>
    <n v="2"/>
    <n v="1"/>
    <n v="0"/>
    <x v="3"/>
    <x v="2"/>
    <n v="0"/>
    <n v="4"/>
    <x v="1"/>
    <s v="Tablet"/>
    <x v="2"/>
    <d v="2024-03-02T00:00:00"/>
    <x v="0"/>
    <s v="No"/>
    <x v="0"/>
    <x v="0"/>
    <n v="2"/>
    <x v="0"/>
    <s v="Qtr-1"/>
    <x v="4"/>
  </r>
  <r>
    <s v="06-357-6548"/>
    <n v="39"/>
    <x v="2"/>
    <x v="0"/>
    <x v="0"/>
    <s v="Divorced"/>
    <s v="High School"/>
    <x v="0"/>
    <s v="Ishikawa"/>
    <x v="3"/>
    <x v="19"/>
    <n v="295.54000000000002"/>
    <n v="8"/>
    <x v="2"/>
    <n v="3"/>
    <n v="3"/>
    <n v="60"/>
    <x v="0"/>
    <x v="2"/>
    <n v="0.25"/>
    <n v="4"/>
    <x v="2"/>
    <s v="Tablet"/>
    <x v="4"/>
    <d v="2024-07-27T00:00:00"/>
    <x v="1"/>
    <s v="No"/>
    <x v="3"/>
    <x v="2"/>
    <n v="14"/>
    <x v="5"/>
    <s v="Qtr-3"/>
    <x v="1"/>
  </r>
  <r>
    <s v="59-261-4453"/>
    <n v="40"/>
    <x v="1"/>
    <x v="1"/>
    <x v="1"/>
    <s v="Widowed"/>
    <s v="High School"/>
    <x v="1"/>
    <s v="Oguma"/>
    <x v="29"/>
    <x v="4"/>
    <n v="494.81"/>
    <n v="9"/>
    <x v="0"/>
    <n v="2"/>
    <n v="4"/>
    <n v="60"/>
    <x v="1"/>
    <x v="2"/>
    <n v="0.1111111111111111"/>
    <n v="7"/>
    <x v="3"/>
    <s v="Tablet"/>
    <x v="1"/>
    <d v="2024-05-26T00:00:00"/>
    <x v="0"/>
    <s v="Yes"/>
    <x v="0"/>
    <x v="1"/>
    <n v="6"/>
    <x v="9"/>
    <s v="Qtr-2"/>
    <x v="5"/>
  </r>
  <r>
    <s v="35-644-3184"/>
    <n v="21"/>
    <x v="0"/>
    <x v="0"/>
    <x v="1"/>
    <s v="Single"/>
    <s v="Master's"/>
    <x v="0"/>
    <s v="T?šany"/>
    <x v="50"/>
    <x v="7"/>
    <n v="160.25"/>
    <n v="7"/>
    <x v="2"/>
    <n v="2"/>
    <n v="3"/>
    <n v="120"/>
    <x v="0"/>
    <x v="2"/>
    <n v="0.2857142857142857"/>
    <n v="5"/>
    <x v="1"/>
    <s v="Desktop"/>
    <x v="1"/>
    <d v="2024-03-04T00:00:00"/>
    <x v="0"/>
    <s v="Yes"/>
    <x v="0"/>
    <x v="0"/>
    <n v="12"/>
    <x v="0"/>
    <s v="Qtr-1"/>
    <x v="0"/>
  </r>
  <r>
    <s v="30-528-9105"/>
    <n v="42"/>
    <x v="1"/>
    <x v="0"/>
    <x v="0"/>
    <s v="Married"/>
    <s v="Master's"/>
    <x v="1"/>
    <s v="Aksha"/>
    <x v="6"/>
    <x v="0"/>
    <n v="198.36"/>
    <n v="4"/>
    <x v="2"/>
    <n v="1"/>
    <n v="1"/>
    <n v="120"/>
    <x v="0"/>
    <x v="0"/>
    <n v="0.25"/>
    <n v="9"/>
    <x v="0"/>
    <s v="Desktop"/>
    <x v="4"/>
    <d v="2024-12-13T00:00:00"/>
    <x v="1"/>
    <s v="Yes"/>
    <x v="1"/>
    <x v="1"/>
    <n v="4"/>
    <x v="6"/>
    <s v="Qtr-4"/>
    <x v="3"/>
  </r>
  <r>
    <s v="14-709-8547"/>
    <n v="44"/>
    <x v="1"/>
    <x v="0"/>
    <x v="0"/>
    <s v="Divorced"/>
    <s v="Bachelor's"/>
    <x v="1"/>
    <s v="Lahan Sai"/>
    <x v="61"/>
    <x v="4"/>
    <n v="82.39"/>
    <n v="12"/>
    <x v="1"/>
    <n v="5"/>
    <n v="1"/>
    <n v="60"/>
    <x v="0"/>
    <x v="0"/>
    <n v="0"/>
    <n v="8"/>
    <x v="0"/>
    <s v="Smartphone"/>
    <x v="3"/>
    <d v="2024-02-24T00:00:00"/>
    <x v="1"/>
    <s v="No"/>
    <x v="3"/>
    <x v="2"/>
    <n v="1"/>
    <x v="8"/>
    <s v="Qtr-1"/>
    <x v="1"/>
  </r>
  <r>
    <s v="80-508-9866"/>
    <n v="46"/>
    <x v="1"/>
    <x v="0"/>
    <x v="0"/>
    <s v="Married"/>
    <s v="Master's"/>
    <x v="1"/>
    <s v="Estância"/>
    <x v="14"/>
    <x v="11"/>
    <n v="290.56"/>
    <n v="3"/>
    <x v="1"/>
    <n v="5"/>
    <n v="1"/>
    <n v="120"/>
    <x v="0"/>
    <x v="0"/>
    <n v="0.33333333333333331"/>
    <n v="1"/>
    <x v="0"/>
    <s v="Desktop"/>
    <x v="1"/>
    <d v="2024-03-12T00:00:00"/>
    <x v="0"/>
    <s v="No"/>
    <x v="1"/>
    <x v="0"/>
    <n v="4"/>
    <x v="0"/>
    <s v="Qtr-1"/>
    <x v="4"/>
  </r>
  <r>
    <s v="27-100-0661"/>
    <n v="29"/>
    <x v="0"/>
    <x v="1"/>
    <x v="1"/>
    <s v="Divorced"/>
    <s v="Master's"/>
    <x v="1"/>
    <s v="Las Lomas"/>
    <x v="56"/>
    <x v="9"/>
    <n v="206.79"/>
    <n v="5"/>
    <x v="1"/>
    <n v="1"/>
    <n v="3"/>
    <n v="120"/>
    <x v="3"/>
    <x v="2"/>
    <n v="0.2"/>
    <n v="2"/>
    <x v="2"/>
    <s v="Tablet"/>
    <x v="0"/>
    <d v="2024-08-21T00:00:00"/>
    <x v="1"/>
    <s v="No"/>
    <x v="3"/>
    <x v="1"/>
    <n v="4"/>
    <x v="7"/>
    <s v="Qtr-3"/>
    <x v="4"/>
  </r>
  <r>
    <s v="68-488-7343"/>
    <n v="19"/>
    <x v="3"/>
    <x v="0"/>
    <x v="0"/>
    <s v="Married"/>
    <s v="High School"/>
    <x v="1"/>
    <s v="Xiamayu"/>
    <x v="1"/>
    <x v="15"/>
    <n v="401.43"/>
    <n v="8"/>
    <x v="0"/>
    <n v="4"/>
    <n v="2"/>
    <n v="0"/>
    <x v="0"/>
    <x v="1"/>
    <n v="0"/>
    <n v="6"/>
    <x v="1"/>
    <s v="Tablet"/>
    <x v="3"/>
    <d v="2024-05-23T00:00:00"/>
    <x v="0"/>
    <s v="Yes"/>
    <x v="0"/>
    <x v="0"/>
    <n v="5"/>
    <x v="9"/>
    <s v="Qtr-2"/>
    <x v="1"/>
  </r>
  <r>
    <s v="63-304-1852"/>
    <n v="21"/>
    <x v="0"/>
    <x v="1"/>
    <x v="1"/>
    <s v="Widowed"/>
    <s v="Master's"/>
    <x v="1"/>
    <s v="Iñapari"/>
    <x v="42"/>
    <x v="6"/>
    <n v="188.17"/>
    <n v="9"/>
    <x v="2"/>
    <n v="5"/>
    <n v="5"/>
    <n v="0"/>
    <x v="1"/>
    <x v="1"/>
    <n v="0.1111111111111111"/>
    <n v="5"/>
    <x v="2"/>
    <s v="Desktop"/>
    <x v="2"/>
    <d v="2024-05-26T00:00:00"/>
    <x v="0"/>
    <s v="No"/>
    <x v="0"/>
    <x v="1"/>
    <n v="9"/>
    <x v="9"/>
    <s v="Qtr-2"/>
    <x v="4"/>
  </r>
  <r>
    <s v="53-843-5619"/>
    <n v="38"/>
    <x v="2"/>
    <x v="0"/>
    <x v="1"/>
    <s v="Single"/>
    <s v="High School"/>
    <x v="1"/>
    <s v="Orsay"/>
    <x v="0"/>
    <x v="0"/>
    <n v="83.21"/>
    <n v="10"/>
    <x v="2"/>
    <n v="4"/>
    <n v="3"/>
    <n v="120"/>
    <x v="2"/>
    <x v="0"/>
    <n v="0"/>
    <n v="4"/>
    <x v="1"/>
    <s v="Desktop"/>
    <x v="3"/>
    <d v="2024-03-20T00:00:00"/>
    <x v="1"/>
    <s v="No"/>
    <x v="2"/>
    <x v="1"/>
    <n v="7"/>
    <x v="0"/>
    <s v="Qtr-1"/>
    <x v="0"/>
  </r>
  <r>
    <s v="44-786-7696"/>
    <n v="41"/>
    <x v="1"/>
    <x v="2"/>
    <x v="0"/>
    <s v="Divorced"/>
    <s v="Master's"/>
    <x v="0"/>
    <s v="Zhongying"/>
    <x v="1"/>
    <x v="0"/>
    <n v="54.74"/>
    <n v="4"/>
    <x v="1"/>
    <n v="1"/>
    <n v="2"/>
    <n v="0"/>
    <x v="0"/>
    <x v="0"/>
    <n v="0"/>
    <n v="4"/>
    <x v="2"/>
    <s v="Smartphone"/>
    <x v="1"/>
    <d v="2024-10-03T00:00:00"/>
    <x v="0"/>
    <s v="Yes"/>
    <x v="2"/>
    <x v="0"/>
    <n v="14"/>
    <x v="2"/>
    <s v="Qtr-4"/>
    <x v="1"/>
  </r>
  <r>
    <s v="45-631-4619"/>
    <n v="49"/>
    <x v="1"/>
    <x v="0"/>
    <x v="1"/>
    <s v="Divorced"/>
    <s v="Master's"/>
    <x v="1"/>
    <s v="Bay?n"/>
    <x v="1"/>
    <x v="2"/>
    <n v="371.12"/>
    <n v="8"/>
    <x v="2"/>
    <n v="5"/>
    <n v="1"/>
    <n v="120"/>
    <x v="3"/>
    <x v="0"/>
    <n v="0.125"/>
    <n v="7"/>
    <x v="2"/>
    <s v="Smartphone"/>
    <x v="1"/>
    <d v="2024-08-23T00:00:00"/>
    <x v="1"/>
    <s v="Yes"/>
    <x v="1"/>
    <x v="0"/>
    <n v="8"/>
    <x v="7"/>
    <s v="Qtr-3"/>
    <x v="1"/>
  </r>
  <r>
    <s v="11-850-1953"/>
    <n v="32"/>
    <x v="2"/>
    <x v="3"/>
    <x v="0"/>
    <s v="Single"/>
    <s v="High School"/>
    <x v="0"/>
    <s v="Beizhakou"/>
    <x v="1"/>
    <x v="12"/>
    <n v="293.64"/>
    <n v="3"/>
    <x v="1"/>
    <n v="2"/>
    <n v="1"/>
    <n v="120"/>
    <x v="2"/>
    <x v="1"/>
    <n v="0.66666666666666663"/>
    <n v="8"/>
    <x v="0"/>
    <s v="Tablet"/>
    <x v="0"/>
    <d v="2024-09-17T00:00:00"/>
    <x v="0"/>
    <s v="No"/>
    <x v="2"/>
    <x v="2"/>
    <n v="5"/>
    <x v="10"/>
    <s v="Qtr-3"/>
    <x v="1"/>
  </r>
  <r>
    <s v="20-421-2544"/>
    <n v="24"/>
    <x v="0"/>
    <x v="1"/>
    <x v="1"/>
    <s v="Married"/>
    <s v="High School"/>
    <x v="1"/>
    <s v="Ky?ngs?ng"/>
    <x v="122"/>
    <x v="5"/>
    <n v="185.83"/>
    <n v="11"/>
    <x v="1"/>
    <n v="4"/>
    <n v="2"/>
    <n v="120"/>
    <x v="2"/>
    <x v="1"/>
    <n v="0.18181818181818182"/>
    <n v="9"/>
    <x v="3"/>
    <s v="Desktop"/>
    <x v="3"/>
    <d v="2024-10-17T00:00:00"/>
    <x v="1"/>
    <s v="Yes"/>
    <x v="2"/>
    <x v="1"/>
    <n v="1"/>
    <x v="2"/>
    <s v="Qtr-4"/>
    <x v="1"/>
  </r>
  <r>
    <s v="37-100-8709"/>
    <n v="27"/>
    <x v="0"/>
    <x v="1"/>
    <x v="1"/>
    <s v="Divorced"/>
    <s v="Master's"/>
    <x v="0"/>
    <s v="Turinsk"/>
    <x v="6"/>
    <x v="2"/>
    <n v="117.13"/>
    <n v="7"/>
    <x v="0"/>
    <n v="1"/>
    <n v="1"/>
    <n v="120"/>
    <x v="3"/>
    <x v="0"/>
    <n v="0.14285714285714285"/>
    <n v="10"/>
    <x v="1"/>
    <s v="Smartphone"/>
    <x v="0"/>
    <d v="2024-08-08T00:00:00"/>
    <x v="0"/>
    <s v="Yes"/>
    <x v="3"/>
    <x v="2"/>
    <n v="6"/>
    <x v="7"/>
    <s v="Qtr-3"/>
    <x v="3"/>
  </r>
  <r>
    <s v="78-361-5100"/>
    <n v="44"/>
    <x v="1"/>
    <x v="0"/>
    <x v="0"/>
    <s v="Married"/>
    <s v="Master's"/>
    <x v="1"/>
    <s v="As Sawd?"/>
    <x v="41"/>
    <x v="2"/>
    <n v="52.24"/>
    <n v="11"/>
    <x v="1"/>
    <n v="3"/>
    <n v="1"/>
    <n v="0"/>
    <x v="2"/>
    <x v="1"/>
    <n v="0.18181818181818182"/>
    <n v="4"/>
    <x v="1"/>
    <s v="Smartphone"/>
    <x v="0"/>
    <d v="2024-12-12T00:00:00"/>
    <x v="0"/>
    <s v="Yes"/>
    <x v="2"/>
    <x v="1"/>
    <n v="8"/>
    <x v="6"/>
    <s v="Qtr-4"/>
    <x v="1"/>
  </r>
  <r>
    <s v="67-676-5945"/>
    <n v="28"/>
    <x v="0"/>
    <x v="0"/>
    <x v="1"/>
    <s v="Married"/>
    <s v="Bachelor's"/>
    <x v="1"/>
    <s v="Legaspi"/>
    <x v="19"/>
    <x v="15"/>
    <n v="446.69"/>
    <n v="7"/>
    <x v="1"/>
    <n v="4"/>
    <n v="5"/>
    <n v="120"/>
    <x v="1"/>
    <x v="0"/>
    <n v="0.14285714285714285"/>
    <n v="5"/>
    <x v="1"/>
    <s v="Smartphone"/>
    <x v="4"/>
    <d v="2024-06-12T00:00:00"/>
    <x v="1"/>
    <s v="Yes"/>
    <x v="3"/>
    <x v="0"/>
    <n v="13"/>
    <x v="4"/>
    <s v="Qtr-2"/>
    <x v="1"/>
  </r>
  <r>
    <s v="67-639-5838"/>
    <n v="23"/>
    <x v="0"/>
    <x v="1"/>
    <x v="0"/>
    <s v="Married"/>
    <s v="High School"/>
    <x v="0"/>
    <s v="Shimorskoye"/>
    <x v="6"/>
    <x v="12"/>
    <n v="216.84"/>
    <n v="5"/>
    <x v="1"/>
    <n v="4"/>
    <n v="3"/>
    <n v="60"/>
    <x v="2"/>
    <x v="0"/>
    <n v="0.2"/>
    <n v="1"/>
    <x v="2"/>
    <s v="Tablet"/>
    <x v="1"/>
    <d v="2024-03-28T00:00:00"/>
    <x v="1"/>
    <s v="No"/>
    <x v="3"/>
    <x v="2"/>
    <n v="5"/>
    <x v="0"/>
    <s v="Qtr-1"/>
    <x v="3"/>
  </r>
  <r>
    <s v="51-415-1931"/>
    <n v="42"/>
    <x v="1"/>
    <x v="0"/>
    <x v="1"/>
    <s v="Divorced"/>
    <s v="High School"/>
    <x v="1"/>
    <s v="Ko?cielec"/>
    <x v="18"/>
    <x v="13"/>
    <n v="75.27"/>
    <n v="7"/>
    <x v="0"/>
    <n v="3"/>
    <n v="4"/>
    <n v="60"/>
    <x v="0"/>
    <x v="1"/>
    <n v="0.2857142857142857"/>
    <n v="3"/>
    <x v="0"/>
    <s v="Desktop"/>
    <x v="1"/>
    <d v="2024-12-27T00:00:00"/>
    <x v="0"/>
    <s v="Yes"/>
    <x v="2"/>
    <x v="2"/>
    <n v="1"/>
    <x v="6"/>
    <s v="Qtr-4"/>
    <x v="0"/>
  </r>
  <r>
    <s v="96-764-3843"/>
    <n v="20"/>
    <x v="0"/>
    <x v="1"/>
    <x v="0"/>
    <s v="Widowed"/>
    <s v="Master's"/>
    <x v="1"/>
    <s v="Yongfu"/>
    <x v="1"/>
    <x v="2"/>
    <n v="308.87"/>
    <n v="2"/>
    <x v="1"/>
    <n v="3"/>
    <n v="4"/>
    <n v="60"/>
    <x v="0"/>
    <x v="1"/>
    <n v="1"/>
    <n v="2"/>
    <x v="0"/>
    <s v="Tablet"/>
    <x v="4"/>
    <d v="2024-02-24T00:00:00"/>
    <x v="0"/>
    <s v="Yes"/>
    <x v="2"/>
    <x v="2"/>
    <n v="11"/>
    <x v="8"/>
    <s v="Qtr-1"/>
    <x v="1"/>
  </r>
  <r>
    <s v="16-730-2056"/>
    <n v="49"/>
    <x v="1"/>
    <x v="1"/>
    <x v="1"/>
    <s v="Divorced"/>
    <s v="Master's"/>
    <x v="0"/>
    <s v="Vinkkilä"/>
    <x v="60"/>
    <x v="22"/>
    <n v="169.77"/>
    <n v="5"/>
    <x v="1"/>
    <n v="1"/>
    <n v="4"/>
    <n v="0"/>
    <x v="1"/>
    <x v="2"/>
    <n v="0.4"/>
    <n v="9"/>
    <x v="0"/>
    <s v="Desktop"/>
    <x v="3"/>
    <d v="2024-06-15T00:00:00"/>
    <x v="0"/>
    <s v="Yes"/>
    <x v="1"/>
    <x v="1"/>
    <n v="7"/>
    <x v="4"/>
    <s v="Qtr-2"/>
    <x v="0"/>
  </r>
  <r>
    <s v="22-157-2494"/>
    <n v="19"/>
    <x v="3"/>
    <x v="1"/>
    <x v="1"/>
    <s v="Divorced"/>
    <s v="High School"/>
    <x v="1"/>
    <s v="Revolucion Verde"/>
    <x v="40"/>
    <x v="16"/>
    <n v="289.08"/>
    <n v="12"/>
    <x v="2"/>
    <n v="2"/>
    <n v="1"/>
    <n v="0"/>
    <x v="0"/>
    <x v="2"/>
    <n v="8.3333333333333329E-2"/>
    <n v="10"/>
    <x v="3"/>
    <s v="Desktop"/>
    <x v="3"/>
    <d v="2024-08-14T00:00:00"/>
    <x v="0"/>
    <s v="Yes"/>
    <x v="1"/>
    <x v="1"/>
    <n v="7"/>
    <x v="7"/>
    <s v="Qtr-3"/>
    <x v="2"/>
  </r>
  <r>
    <s v="29-341-6463"/>
    <n v="38"/>
    <x v="2"/>
    <x v="0"/>
    <x v="0"/>
    <s v="Single"/>
    <s v="High School"/>
    <x v="1"/>
    <s v="Newton"/>
    <x v="10"/>
    <x v="22"/>
    <n v="74.09"/>
    <n v="10"/>
    <x v="0"/>
    <n v="1"/>
    <n v="4"/>
    <n v="120"/>
    <x v="0"/>
    <x v="0"/>
    <n v="0.2"/>
    <n v="9"/>
    <x v="2"/>
    <s v="Tablet"/>
    <x v="3"/>
    <d v="2024-05-15T00:00:00"/>
    <x v="0"/>
    <s v="Yes"/>
    <x v="2"/>
    <x v="1"/>
    <n v="8"/>
    <x v="9"/>
    <s v="Qtr-2"/>
    <x v="2"/>
  </r>
  <r>
    <s v="64-906-4475"/>
    <n v="43"/>
    <x v="1"/>
    <x v="1"/>
    <x v="1"/>
    <s v="Married"/>
    <s v="High School"/>
    <x v="0"/>
    <s v="Nantang"/>
    <x v="1"/>
    <x v="22"/>
    <n v="201.53"/>
    <n v="5"/>
    <x v="2"/>
    <n v="2"/>
    <n v="3"/>
    <n v="60"/>
    <x v="0"/>
    <x v="1"/>
    <n v="0.2"/>
    <n v="6"/>
    <x v="1"/>
    <s v="Tablet"/>
    <x v="3"/>
    <d v="2024-06-01T00:00:00"/>
    <x v="1"/>
    <s v="Yes"/>
    <x v="1"/>
    <x v="0"/>
    <n v="11"/>
    <x v="4"/>
    <s v="Qtr-2"/>
    <x v="1"/>
  </r>
  <r>
    <s v="36-340-8494"/>
    <n v="38"/>
    <x v="2"/>
    <x v="1"/>
    <x v="0"/>
    <s v="Divorced"/>
    <s v="Bachelor's"/>
    <x v="1"/>
    <s v="Perugia"/>
    <x v="45"/>
    <x v="17"/>
    <n v="244.6"/>
    <n v="12"/>
    <x v="2"/>
    <n v="4"/>
    <n v="4"/>
    <n v="120"/>
    <x v="1"/>
    <x v="0"/>
    <n v="0"/>
    <n v="6"/>
    <x v="0"/>
    <s v="Tablet"/>
    <x v="3"/>
    <d v="2024-08-25T00:00:00"/>
    <x v="1"/>
    <s v="No"/>
    <x v="1"/>
    <x v="1"/>
    <n v="3"/>
    <x v="7"/>
    <s v="Qtr-3"/>
    <x v="0"/>
  </r>
  <r>
    <s v="77-031-4898"/>
    <n v="21"/>
    <x v="0"/>
    <x v="1"/>
    <x v="0"/>
    <s v="Widowed"/>
    <s v="Bachelor's"/>
    <x v="1"/>
    <s v="Tancheng"/>
    <x v="1"/>
    <x v="14"/>
    <n v="320.5"/>
    <n v="10"/>
    <x v="1"/>
    <n v="3"/>
    <n v="4"/>
    <n v="120"/>
    <x v="2"/>
    <x v="0"/>
    <n v="0"/>
    <n v="9"/>
    <x v="2"/>
    <s v="Tablet"/>
    <x v="4"/>
    <d v="2024-03-01T00:00:00"/>
    <x v="0"/>
    <s v="No"/>
    <x v="0"/>
    <x v="2"/>
    <n v="9"/>
    <x v="0"/>
    <s v="Qtr-1"/>
    <x v="1"/>
  </r>
  <r>
    <s v="86-097-9642"/>
    <n v="27"/>
    <x v="0"/>
    <x v="1"/>
    <x v="0"/>
    <s v="Widowed"/>
    <s v="Master's"/>
    <x v="0"/>
    <s v="Leon Postigo"/>
    <x v="19"/>
    <x v="23"/>
    <n v="91.63"/>
    <n v="3"/>
    <x v="1"/>
    <n v="5"/>
    <n v="2"/>
    <n v="120"/>
    <x v="0"/>
    <x v="1"/>
    <n v="0"/>
    <n v="10"/>
    <x v="0"/>
    <s v="Tablet"/>
    <x v="2"/>
    <d v="2024-06-30T00:00:00"/>
    <x v="0"/>
    <s v="Yes"/>
    <x v="1"/>
    <x v="1"/>
    <n v="2"/>
    <x v="4"/>
    <s v="Qtr-2"/>
    <x v="1"/>
  </r>
  <r>
    <s v="64-090-3433"/>
    <n v="35"/>
    <x v="2"/>
    <x v="1"/>
    <x v="0"/>
    <s v="Married"/>
    <s v="Master's"/>
    <x v="1"/>
    <s v="Bollène"/>
    <x v="0"/>
    <x v="6"/>
    <n v="251.93"/>
    <n v="8"/>
    <x v="1"/>
    <n v="3"/>
    <n v="2"/>
    <n v="60"/>
    <x v="3"/>
    <x v="2"/>
    <n v="0.25"/>
    <n v="3"/>
    <x v="0"/>
    <s v="Tablet"/>
    <x v="2"/>
    <d v="2024-01-02T00:00:00"/>
    <x v="1"/>
    <s v="No"/>
    <x v="0"/>
    <x v="1"/>
    <n v="7"/>
    <x v="3"/>
    <s v="Qtr-1"/>
    <x v="0"/>
  </r>
  <r>
    <s v="96-140-1936"/>
    <n v="30"/>
    <x v="2"/>
    <x v="1"/>
    <x v="0"/>
    <s v="Married"/>
    <s v="Bachelor's"/>
    <x v="0"/>
    <s v="Baihe"/>
    <x v="1"/>
    <x v="8"/>
    <n v="477.35"/>
    <n v="4"/>
    <x v="2"/>
    <n v="2"/>
    <n v="5"/>
    <n v="0"/>
    <x v="3"/>
    <x v="2"/>
    <n v="0.25"/>
    <n v="2"/>
    <x v="2"/>
    <s v="Desktop"/>
    <x v="1"/>
    <d v="2024-12-28T00:00:00"/>
    <x v="1"/>
    <s v="No"/>
    <x v="0"/>
    <x v="0"/>
    <n v="14"/>
    <x v="6"/>
    <s v="Qtr-4"/>
    <x v="1"/>
  </r>
  <r>
    <s v="38-830-6976"/>
    <n v="31"/>
    <x v="2"/>
    <x v="1"/>
    <x v="1"/>
    <s v="Widowed"/>
    <s v="Master's"/>
    <x v="0"/>
    <s v="Puqi"/>
    <x v="1"/>
    <x v="15"/>
    <n v="86.63"/>
    <n v="10"/>
    <x v="0"/>
    <n v="3"/>
    <n v="1"/>
    <n v="120"/>
    <x v="1"/>
    <x v="0"/>
    <n v="0.2"/>
    <n v="2"/>
    <x v="2"/>
    <s v="Tablet"/>
    <x v="4"/>
    <d v="2024-09-02T00:00:00"/>
    <x v="0"/>
    <s v="No"/>
    <x v="1"/>
    <x v="2"/>
    <n v="3"/>
    <x v="10"/>
    <s v="Qtr-3"/>
    <x v="1"/>
  </r>
  <r>
    <s v="82-864-1154"/>
    <n v="50"/>
    <x v="1"/>
    <x v="2"/>
    <x v="1"/>
    <s v="Divorced"/>
    <s v="High School"/>
    <x v="1"/>
    <s v="Pedraza"/>
    <x v="13"/>
    <x v="10"/>
    <n v="474.42"/>
    <n v="4"/>
    <x v="1"/>
    <n v="2"/>
    <n v="3"/>
    <n v="0"/>
    <x v="1"/>
    <x v="1"/>
    <n v="0.25"/>
    <n v="9"/>
    <x v="0"/>
    <s v="Desktop"/>
    <x v="2"/>
    <d v="2024-09-21T00:00:00"/>
    <x v="0"/>
    <s v="No"/>
    <x v="0"/>
    <x v="0"/>
    <n v="5"/>
    <x v="10"/>
    <s v="Qtr-3"/>
    <x v="0"/>
  </r>
  <r>
    <s v="79-711-6779"/>
    <n v="34"/>
    <x v="2"/>
    <x v="0"/>
    <x v="1"/>
    <s v="Widowed"/>
    <s v="High School"/>
    <x v="1"/>
    <s v="Hoolt"/>
    <x v="34"/>
    <x v="0"/>
    <n v="429.24"/>
    <n v="7"/>
    <x v="0"/>
    <n v="3"/>
    <n v="5"/>
    <n v="60"/>
    <x v="3"/>
    <x v="1"/>
    <n v="0"/>
    <n v="1"/>
    <x v="2"/>
    <s v="Tablet"/>
    <x v="2"/>
    <d v="2024-03-27T00:00:00"/>
    <x v="1"/>
    <s v="No"/>
    <x v="0"/>
    <x v="0"/>
    <n v="10"/>
    <x v="0"/>
    <s v="Qtr-1"/>
    <x v="1"/>
  </r>
  <r>
    <s v="22-860-9860"/>
    <n v="24"/>
    <x v="0"/>
    <x v="0"/>
    <x v="1"/>
    <s v="Married"/>
    <s v="High School"/>
    <x v="1"/>
    <s v="Pasinan Barat"/>
    <x v="4"/>
    <x v="3"/>
    <n v="470.38"/>
    <n v="8"/>
    <x v="0"/>
    <n v="2"/>
    <n v="4"/>
    <n v="0"/>
    <x v="1"/>
    <x v="1"/>
    <n v="0.25"/>
    <n v="3"/>
    <x v="1"/>
    <s v="Smartphone"/>
    <x v="3"/>
    <d v="2024-11-11T00:00:00"/>
    <x v="0"/>
    <s v="Yes"/>
    <x v="2"/>
    <x v="1"/>
    <n v="9"/>
    <x v="11"/>
    <s v="Qtr-4"/>
    <x v="1"/>
  </r>
  <r>
    <s v="72-590-6161"/>
    <n v="32"/>
    <x v="2"/>
    <x v="0"/>
    <x v="0"/>
    <s v="Single"/>
    <s v="Master's"/>
    <x v="1"/>
    <s v="Saltpond"/>
    <x v="72"/>
    <x v="0"/>
    <n v="495.8"/>
    <n v="4"/>
    <x v="0"/>
    <n v="1"/>
    <n v="2"/>
    <n v="60"/>
    <x v="2"/>
    <x v="1"/>
    <n v="0"/>
    <n v="7"/>
    <x v="0"/>
    <s v="Tablet"/>
    <x v="1"/>
    <d v="2024-09-16T00:00:00"/>
    <x v="0"/>
    <s v="Yes"/>
    <x v="1"/>
    <x v="1"/>
    <n v="10"/>
    <x v="10"/>
    <s v="Qtr-3"/>
    <x v="5"/>
  </r>
  <r>
    <s v="76-213-5806"/>
    <n v="21"/>
    <x v="0"/>
    <x v="0"/>
    <x v="1"/>
    <s v="Widowed"/>
    <s v="Bachelor's"/>
    <x v="0"/>
    <s v="Rende"/>
    <x v="1"/>
    <x v="13"/>
    <n v="129.63999999999999"/>
    <n v="4"/>
    <x v="1"/>
    <n v="3"/>
    <n v="1"/>
    <n v="120"/>
    <x v="0"/>
    <x v="1"/>
    <n v="0.25"/>
    <n v="3"/>
    <x v="2"/>
    <s v="Desktop"/>
    <x v="2"/>
    <d v="2024-05-27T00:00:00"/>
    <x v="1"/>
    <s v="Yes"/>
    <x v="0"/>
    <x v="2"/>
    <n v="3"/>
    <x v="9"/>
    <s v="Qtr-2"/>
    <x v="1"/>
  </r>
  <r>
    <s v="66-894-5431"/>
    <n v="41"/>
    <x v="1"/>
    <x v="1"/>
    <x v="0"/>
    <s v="Single"/>
    <s v="Master's"/>
    <x v="1"/>
    <s v="Zarasai"/>
    <x v="65"/>
    <x v="7"/>
    <n v="473.77"/>
    <n v="9"/>
    <x v="2"/>
    <n v="3"/>
    <n v="1"/>
    <n v="120"/>
    <x v="1"/>
    <x v="2"/>
    <n v="0.22222222222222221"/>
    <n v="9"/>
    <x v="0"/>
    <s v="Desktop"/>
    <x v="1"/>
    <d v="2024-05-02T00:00:00"/>
    <x v="1"/>
    <s v="No"/>
    <x v="1"/>
    <x v="0"/>
    <n v="13"/>
    <x v="9"/>
    <s v="Qtr-2"/>
    <x v="0"/>
  </r>
  <r>
    <s v="20-939-3906"/>
    <n v="40"/>
    <x v="1"/>
    <x v="0"/>
    <x v="1"/>
    <s v="Married"/>
    <s v="High School"/>
    <x v="0"/>
    <s v="Nanchangshan"/>
    <x v="1"/>
    <x v="13"/>
    <n v="130.84"/>
    <n v="4"/>
    <x v="2"/>
    <n v="5"/>
    <n v="5"/>
    <n v="120"/>
    <x v="1"/>
    <x v="2"/>
    <n v="0.5"/>
    <n v="10"/>
    <x v="2"/>
    <s v="Tablet"/>
    <x v="1"/>
    <d v="2024-09-13T00:00:00"/>
    <x v="0"/>
    <s v="Yes"/>
    <x v="0"/>
    <x v="1"/>
    <n v="13"/>
    <x v="10"/>
    <s v="Qtr-3"/>
    <x v="1"/>
  </r>
  <r>
    <s v="86-390-9555"/>
    <n v="48"/>
    <x v="1"/>
    <x v="1"/>
    <x v="0"/>
    <s v="Single"/>
    <s v="Master's"/>
    <x v="1"/>
    <s v="Pegões"/>
    <x v="26"/>
    <x v="19"/>
    <n v="436.54"/>
    <n v="12"/>
    <x v="2"/>
    <n v="3"/>
    <n v="3"/>
    <n v="0"/>
    <x v="1"/>
    <x v="2"/>
    <n v="8.3333333333333329E-2"/>
    <n v="8"/>
    <x v="2"/>
    <s v="Smartphone"/>
    <x v="2"/>
    <d v="2024-05-30T00:00:00"/>
    <x v="0"/>
    <s v="No"/>
    <x v="1"/>
    <x v="0"/>
    <n v="9"/>
    <x v="9"/>
    <s v="Qtr-2"/>
    <x v="0"/>
  </r>
  <r>
    <s v="91-602-0761"/>
    <n v="25"/>
    <x v="0"/>
    <x v="0"/>
    <x v="0"/>
    <s v="Widowed"/>
    <s v="Bachelor's"/>
    <x v="0"/>
    <s v="Espírito Santo do Pinhal"/>
    <x v="14"/>
    <x v="9"/>
    <n v="264.01"/>
    <n v="4"/>
    <x v="1"/>
    <n v="3"/>
    <n v="4"/>
    <n v="0"/>
    <x v="3"/>
    <x v="0"/>
    <n v="0.25"/>
    <n v="5"/>
    <x v="0"/>
    <s v="Desktop"/>
    <x v="3"/>
    <d v="2024-10-21T00:00:00"/>
    <x v="0"/>
    <s v="No"/>
    <x v="0"/>
    <x v="0"/>
    <n v="2"/>
    <x v="2"/>
    <s v="Qtr-4"/>
    <x v="4"/>
  </r>
  <r>
    <s v="62-974-7965"/>
    <n v="30"/>
    <x v="2"/>
    <x v="0"/>
    <x v="1"/>
    <s v="Divorced"/>
    <s v="Bachelor's"/>
    <x v="1"/>
    <s v="Újezd"/>
    <x v="50"/>
    <x v="22"/>
    <n v="58.27"/>
    <n v="2"/>
    <x v="1"/>
    <n v="5"/>
    <n v="4"/>
    <n v="60"/>
    <x v="1"/>
    <x v="0"/>
    <n v="0.5"/>
    <n v="4"/>
    <x v="3"/>
    <s v="Smartphone"/>
    <x v="4"/>
    <d v="2024-10-15T00:00:00"/>
    <x v="1"/>
    <s v="Yes"/>
    <x v="0"/>
    <x v="0"/>
    <n v="13"/>
    <x v="2"/>
    <s v="Qtr-4"/>
    <x v="0"/>
  </r>
  <r>
    <s v="21-232-1397"/>
    <n v="25"/>
    <x v="0"/>
    <x v="1"/>
    <x v="0"/>
    <s v="Single"/>
    <s v="Master's"/>
    <x v="1"/>
    <s v="Bhadrapur"/>
    <x v="127"/>
    <x v="6"/>
    <n v="190.76"/>
    <n v="10"/>
    <x v="1"/>
    <n v="5"/>
    <n v="5"/>
    <n v="120"/>
    <x v="0"/>
    <x v="1"/>
    <n v="0.1"/>
    <n v="3"/>
    <x v="1"/>
    <s v="Desktop"/>
    <x v="3"/>
    <d v="2024-11-07T00:00:00"/>
    <x v="1"/>
    <s v="No"/>
    <x v="3"/>
    <x v="2"/>
    <n v="11"/>
    <x v="11"/>
    <s v="Qtr-4"/>
    <x v="1"/>
  </r>
  <r>
    <s v="31-364-4144"/>
    <n v="40"/>
    <x v="1"/>
    <x v="0"/>
    <x v="1"/>
    <s v="Widowed"/>
    <s v="Master's"/>
    <x v="1"/>
    <s v="Kostrovo"/>
    <x v="6"/>
    <x v="9"/>
    <n v="105.76"/>
    <n v="8"/>
    <x v="2"/>
    <n v="4"/>
    <n v="4"/>
    <n v="120"/>
    <x v="0"/>
    <x v="2"/>
    <n v="0.125"/>
    <n v="8"/>
    <x v="3"/>
    <s v="Tablet"/>
    <x v="0"/>
    <d v="2024-01-18T00:00:00"/>
    <x v="1"/>
    <s v="No"/>
    <x v="3"/>
    <x v="2"/>
    <n v="4"/>
    <x v="3"/>
    <s v="Qtr-1"/>
    <x v="3"/>
  </r>
  <r>
    <s v="99-945-7193"/>
    <n v="24"/>
    <x v="0"/>
    <x v="0"/>
    <x v="0"/>
    <s v="Single"/>
    <s v="Master's"/>
    <x v="1"/>
    <s v="Lemery"/>
    <x v="19"/>
    <x v="11"/>
    <n v="254.29"/>
    <n v="9"/>
    <x v="0"/>
    <n v="5"/>
    <n v="4"/>
    <n v="0"/>
    <x v="1"/>
    <x v="0"/>
    <n v="0.1111111111111111"/>
    <n v="7"/>
    <x v="2"/>
    <s v="Smartphone"/>
    <x v="4"/>
    <d v="2024-04-30T00:00:00"/>
    <x v="1"/>
    <s v="No"/>
    <x v="2"/>
    <x v="2"/>
    <n v="3"/>
    <x v="1"/>
    <s v="Qtr-2"/>
    <x v="1"/>
  </r>
  <r>
    <s v="91-053-3261"/>
    <n v="49"/>
    <x v="1"/>
    <x v="1"/>
    <x v="0"/>
    <s v="Divorced"/>
    <s v="Bachelor's"/>
    <x v="1"/>
    <s v="Youcheng"/>
    <x v="1"/>
    <x v="6"/>
    <n v="435.52"/>
    <n v="9"/>
    <x v="2"/>
    <n v="5"/>
    <n v="3"/>
    <n v="120"/>
    <x v="3"/>
    <x v="1"/>
    <n v="0.1111111111111111"/>
    <n v="2"/>
    <x v="3"/>
    <s v="Desktop"/>
    <x v="2"/>
    <d v="2024-11-12T00:00:00"/>
    <x v="0"/>
    <s v="No"/>
    <x v="2"/>
    <x v="0"/>
    <n v="11"/>
    <x v="11"/>
    <s v="Qtr-4"/>
    <x v="1"/>
  </r>
  <r>
    <s v="50-447-5171"/>
    <n v="50"/>
    <x v="1"/>
    <x v="0"/>
    <x v="1"/>
    <s v="Married"/>
    <s v="Master's"/>
    <x v="0"/>
    <s v="Napoli"/>
    <x v="45"/>
    <x v="2"/>
    <n v="235.49"/>
    <n v="5"/>
    <x v="1"/>
    <n v="4"/>
    <n v="3"/>
    <n v="60"/>
    <x v="3"/>
    <x v="0"/>
    <n v="0.2"/>
    <n v="6"/>
    <x v="0"/>
    <s v="Smartphone"/>
    <x v="4"/>
    <d v="2024-05-13T00:00:00"/>
    <x v="0"/>
    <s v="No"/>
    <x v="2"/>
    <x v="2"/>
    <n v="5"/>
    <x v="9"/>
    <s v="Qtr-2"/>
    <x v="0"/>
  </r>
  <r>
    <s v="89-754-7244"/>
    <n v="45"/>
    <x v="1"/>
    <x v="1"/>
    <x v="1"/>
    <s v="Widowed"/>
    <s v="Master's"/>
    <x v="0"/>
    <s v="El Caño"/>
    <x v="67"/>
    <x v="7"/>
    <n v="161.34"/>
    <n v="3"/>
    <x v="0"/>
    <n v="2"/>
    <n v="3"/>
    <n v="120"/>
    <x v="3"/>
    <x v="2"/>
    <n v="0.33333333333333331"/>
    <n v="8"/>
    <x v="3"/>
    <s v="Tablet"/>
    <x v="0"/>
    <d v="2024-09-28T00:00:00"/>
    <x v="0"/>
    <s v="No"/>
    <x v="2"/>
    <x v="0"/>
    <n v="4"/>
    <x v="10"/>
    <s v="Qtr-3"/>
    <x v="2"/>
  </r>
  <r>
    <s v="56-072-7011"/>
    <n v="19"/>
    <x v="3"/>
    <x v="1"/>
    <x v="1"/>
    <s v="Single"/>
    <s v="Master's"/>
    <x v="1"/>
    <s v="Heemstede"/>
    <x v="93"/>
    <x v="7"/>
    <n v="167.67"/>
    <n v="11"/>
    <x v="1"/>
    <n v="5"/>
    <n v="2"/>
    <n v="60"/>
    <x v="3"/>
    <x v="2"/>
    <n v="0"/>
    <n v="6"/>
    <x v="3"/>
    <s v="Smartphone"/>
    <x v="0"/>
    <d v="2024-03-18T00:00:00"/>
    <x v="1"/>
    <s v="Yes"/>
    <x v="0"/>
    <x v="2"/>
    <n v="5"/>
    <x v="0"/>
    <s v="Qtr-1"/>
    <x v="0"/>
  </r>
  <r>
    <s v="74-281-3421"/>
    <n v="50"/>
    <x v="1"/>
    <x v="0"/>
    <x v="0"/>
    <s v="Widowed"/>
    <s v="High School"/>
    <x v="1"/>
    <s v="Panyam"/>
    <x v="29"/>
    <x v="1"/>
    <n v="96.68"/>
    <n v="10"/>
    <x v="0"/>
    <n v="5"/>
    <n v="2"/>
    <n v="120"/>
    <x v="3"/>
    <x v="0"/>
    <n v="0.2"/>
    <n v="3"/>
    <x v="0"/>
    <s v="Smartphone"/>
    <x v="0"/>
    <d v="2024-04-13T00:00:00"/>
    <x v="0"/>
    <s v="No"/>
    <x v="3"/>
    <x v="0"/>
    <n v="10"/>
    <x v="1"/>
    <s v="Qtr-2"/>
    <x v="5"/>
  </r>
  <r>
    <s v="86-068-2133"/>
    <n v="32"/>
    <x v="2"/>
    <x v="1"/>
    <x v="1"/>
    <s v="Married"/>
    <s v="Master's"/>
    <x v="1"/>
    <s v="Faraulep"/>
    <x v="128"/>
    <x v="0"/>
    <n v="234.58"/>
    <n v="3"/>
    <x v="0"/>
    <n v="5"/>
    <n v="5"/>
    <n v="120"/>
    <x v="2"/>
    <x v="2"/>
    <n v="0.66666666666666663"/>
    <n v="6"/>
    <x v="0"/>
    <s v="Desktop"/>
    <x v="1"/>
    <d v="2024-04-23T00:00:00"/>
    <x v="0"/>
    <s v="No"/>
    <x v="2"/>
    <x v="1"/>
    <n v="1"/>
    <x v="1"/>
    <s v="Qtr-2"/>
    <x v="6"/>
  </r>
  <r>
    <s v="03-102-0288"/>
    <n v="21"/>
    <x v="0"/>
    <x v="1"/>
    <x v="0"/>
    <s v="Married"/>
    <s v="Master's"/>
    <x v="0"/>
    <s v="San Isidro"/>
    <x v="19"/>
    <x v="4"/>
    <n v="156.47999999999999"/>
    <n v="7"/>
    <x v="1"/>
    <n v="5"/>
    <n v="1"/>
    <n v="0"/>
    <x v="2"/>
    <x v="1"/>
    <n v="0.2857142857142857"/>
    <n v="5"/>
    <x v="3"/>
    <s v="Desktop"/>
    <x v="3"/>
    <d v="2024-03-13T00:00:00"/>
    <x v="1"/>
    <s v="Yes"/>
    <x v="1"/>
    <x v="0"/>
    <n v="4"/>
    <x v="0"/>
    <s v="Qtr-1"/>
    <x v="1"/>
  </r>
  <r>
    <s v="74-033-1145"/>
    <n v="27"/>
    <x v="0"/>
    <x v="5"/>
    <x v="1"/>
    <s v="Widowed"/>
    <s v="Bachelor's"/>
    <x v="0"/>
    <s v="Mranggen"/>
    <x v="4"/>
    <x v="23"/>
    <n v="489.66"/>
    <n v="11"/>
    <x v="0"/>
    <n v="5"/>
    <n v="1"/>
    <n v="0"/>
    <x v="3"/>
    <x v="1"/>
    <n v="0.18181818181818182"/>
    <n v="6"/>
    <x v="0"/>
    <s v="Tablet"/>
    <x v="3"/>
    <d v="2024-01-18T00:00:00"/>
    <x v="0"/>
    <s v="No"/>
    <x v="1"/>
    <x v="1"/>
    <n v="3"/>
    <x v="3"/>
    <s v="Qtr-1"/>
    <x v="1"/>
  </r>
  <r>
    <s v="24-272-6205"/>
    <n v="39"/>
    <x v="2"/>
    <x v="6"/>
    <x v="1"/>
    <s v="Divorced"/>
    <s v="Master's"/>
    <x v="1"/>
    <s v="Cigadog"/>
    <x v="4"/>
    <x v="12"/>
    <n v="161.85"/>
    <n v="9"/>
    <x v="1"/>
    <n v="5"/>
    <n v="3"/>
    <n v="0"/>
    <x v="3"/>
    <x v="2"/>
    <n v="0"/>
    <n v="4"/>
    <x v="3"/>
    <s v="Smartphone"/>
    <x v="3"/>
    <d v="2024-04-25T00:00:00"/>
    <x v="0"/>
    <s v="No"/>
    <x v="0"/>
    <x v="0"/>
    <n v="10"/>
    <x v="1"/>
    <s v="Qtr-2"/>
    <x v="1"/>
  </r>
  <r>
    <s v="90-170-1951"/>
    <n v="34"/>
    <x v="2"/>
    <x v="1"/>
    <x v="0"/>
    <s v="Widowed"/>
    <s v="Master's"/>
    <x v="1"/>
    <s v="Caitang"/>
    <x v="1"/>
    <x v="13"/>
    <n v="204.47"/>
    <n v="7"/>
    <x v="2"/>
    <n v="2"/>
    <n v="1"/>
    <n v="60"/>
    <x v="0"/>
    <x v="2"/>
    <n v="0.2857142857142857"/>
    <n v="9"/>
    <x v="0"/>
    <s v="Smartphone"/>
    <x v="0"/>
    <d v="2024-08-15T00:00:00"/>
    <x v="0"/>
    <s v="Yes"/>
    <x v="1"/>
    <x v="0"/>
    <n v="3"/>
    <x v="7"/>
    <s v="Qtr-3"/>
    <x v="1"/>
  </r>
  <r>
    <s v="73-259-8940"/>
    <n v="34"/>
    <x v="2"/>
    <x v="0"/>
    <x v="0"/>
    <s v="Widowed"/>
    <s v="Bachelor's"/>
    <x v="0"/>
    <s v="Masoyila"/>
    <x v="129"/>
    <x v="11"/>
    <n v="315.02999999999997"/>
    <n v="4"/>
    <x v="2"/>
    <n v="1"/>
    <n v="5"/>
    <n v="0"/>
    <x v="3"/>
    <x v="2"/>
    <n v="0.25"/>
    <n v="6"/>
    <x v="2"/>
    <s v="Tablet"/>
    <x v="1"/>
    <d v="2024-11-10T00:00:00"/>
    <x v="0"/>
    <s v="No"/>
    <x v="3"/>
    <x v="2"/>
    <n v="2"/>
    <x v="11"/>
    <s v="Qtr-4"/>
    <x v="5"/>
  </r>
  <r>
    <s v="77-796-5786"/>
    <n v="42"/>
    <x v="1"/>
    <x v="1"/>
    <x v="0"/>
    <s v="Single"/>
    <s v="Master's"/>
    <x v="1"/>
    <s v="Beiyuan"/>
    <x v="1"/>
    <x v="4"/>
    <n v="330.36"/>
    <n v="12"/>
    <x v="1"/>
    <n v="5"/>
    <n v="5"/>
    <n v="60"/>
    <x v="2"/>
    <x v="2"/>
    <n v="8.3333333333333329E-2"/>
    <n v="4"/>
    <x v="2"/>
    <s v="Tablet"/>
    <x v="3"/>
    <d v="2024-06-29T00:00:00"/>
    <x v="0"/>
    <s v="Yes"/>
    <x v="0"/>
    <x v="0"/>
    <n v="3"/>
    <x v="4"/>
    <s v="Qtr-2"/>
    <x v="1"/>
  </r>
  <r>
    <s v="23-949-1954"/>
    <n v="42"/>
    <x v="1"/>
    <x v="1"/>
    <x v="0"/>
    <s v="Single"/>
    <s v="Bachelor's"/>
    <x v="0"/>
    <s v="Kariya"/>
    <x v="3"/>
    <x v="16"/>
    <n v="456.83"/>
    <n v="5"/>
    <x v="2"/>
    <n v="2"/>
    <n v="5"/>
    <n v="0"/>
    <x v="0"/>
    <x v="1"/>
    <n v="0"/>
    <n v="9"/>
    <x v="1"/>
    <s v="Tablet"/>
    <x v="0"/>
    <d v="2024-06-20T00:00:00"/>
    <x v="1"/>
    <s v="No"/>
    <x v="0"/>
    <x v="0"/>
    <n v="13"/>
    <x v="4"/>
    <s v="Qtr-2"/>
    <x v="1"/>
  </r>
  <r>
    <s v="51-313-7293"/>
    <n v="31"/>
    <x v="2"/>
    <x v="1"/>
    <x v="1"/>
    <s v="Widowed"/>
    <s v="Bachelor's"/>
    <x v="1"/>
    <s v="Malakhovka"/>
    <x v="6"/>
    <x v="23"/>
    <n v="236.05"/>
    <n v="6"/>
    <x v="1"/>
    <n v="2"/>
    <n v="3"/>
    <n v="0"/>
    <x v="0"/>
    <x v="2"/>
    <n v="0.16666666666666666"/>
    <n v="4"/>
    <x v="1"/>
    <s v="Desktop"/>
    <x v="3"/>
    <d v="2024-11-16T00:00:00"/>
    <x v="1"/>
    <s v="Yes"/>
    <x v="0"/>
    <x v="0"/>
    <n v="13"/>
    <x v="11"/>
    <s v="Qtr-4"/>
    <x v="3"/>
  </r>
  <r>
    <s v="62-797-9254"/>
    <n v="35"/>
    <x v="2"/>
    <x v="0"/>
    <x v="1"/>
    <s v="Widowed"/>
    <s v="High School"/>
    <x v="1"/>
    <s v="At-Bashi"/>
    <x v="30"/>
    <x v="3"/>
    <n v="289.27999999999997"/>
    <n v="9"/>
    <x v="2"/>
    <n v="3"/>
    <n v="5"/>
    <n v="60"/>
    <x v="3"/>
    <x v="0"/>
    <n v="0.22222222222222221"/>
    <n v="7"/>
    <x v="3"/>
    <s v="Tablet"/>
    <x v="1"/>
    <d v="2024-06-29T00:00:00"/>
    <x v="1"/>
    <s v="Yes"/>
    <x v="1"/>
    <x v="2"/>
    <n v="13"/>
    <x v="4"/>
    <s v="Qtr-2"/>
    <x v="1"/>
  </r>
  <r>
    <s v="27-941-4995"/>
    <n v="27"/>
    <x v="0"/>
    <x v="0"/>
    <x v="1"/>
    <s v="Married"/>
    <s v="High School"/>
    <x v="0"/>
    <s v="Sankeyushu"/>
    <x v="1"/>
    <x v="12"/>
    <n v="483.77"/>
    <n v="5"/>
    <x v="1"/>
    <n v="1"/>
    <n v="2"/>
    <n v="0"/>
    <x v="0"/>
    <x v="2"/>
    <n v="0"/>
    <n v="5"/>
    <x v="0"/>
    <s v="Desktop"/>
    <x v="0"/>
    <d v="2024-07-20T00:00:00"/>
    <x v="1"/>
    <s v="No"/>
    <x v="1"/>
    <x v="0"/>
    <n v="10"/>
    <x v="5"/>
    <s v="Qtr-3"/>
    <x v="1"/>
  </r>
  <r>
    <s v="01-799-2615"/>
    <n v="45"/>
    <x v="1"/>
    <x v="1"/>
    <x v="0"/>
    <s v="Married"/>
    <s v="High School"/>
    <x v="0"/>
    <s v="Limoges"/>
    <x v="0"/>
    <x v="4"/>
    <n v="64.5"/>
    <n v="7"/>
    <x v="1"/>
    <n v="3"/>
    <n v="4"/>
    <n v="60"/>
    <x v="3"/>
    <x v="0"/>
    <n v="0.14285714285714285"/>
    <n v="7"/>
    <x v="1"/>
    <s v="Desktop"/>
    <x v="0"/>
    <d v="2024-07-28T00:00:00"/>
    <x v="0"/>
    <s v="No"/>
    <x v="1"/>
    <x v="0"/>
    <n v="13"/>
    <x v="5"/>
    <s v="Qtr-3"/>
    <x v="0"/>
  </r>
  <r>
    <s v="82-133-0444"/>
    <n v="43"/>
    <x v="1"/>
    <x v="1"/>
    <x v="1"/>
    <s v="Married"/>
    <s v="Bachelor's"/>
    <x v="0"/>
    <s v="Hägersten"/>
    <x v="5"/>
    <x v="19"/>
    <n v="436.57"/>
    <n v="4"/>
    <x v="0"/>
    <n v="5"/>
    <n v="3"/>
    <n v="60"/>
    <x v="3"/>
    <x v="1"/>
    <n v="0.5"/>
    <n v="10"/>
    <x v="2"/>
    <s v="Desktop"/>
    <x v="2"/>
    <d v="2024-02-02T00:00:00"/>
    <x v="1"/>
    <s v="No"/>
    <x v="1"/>
    <x v="1"/>
    <n v="3"/>
    <x v="8"/>
    <s v="Qtr-1"/>
    <x v="0"/>
  </r>
  <r>
    <s v="43-920-9499"/>
    <n v="35"/>
    <x v="2"/>
    <x v="2"/>
    <x v="0"/>
    <s v="Widowed"/>
    <s v="High School"/>
    <x v="0"/>
    <s v="Tarata"/>
    <x v="32"/>
    <x v="1"/>
    <n v="364.48"/>
    <n v="2"/>
    <x v="0"/>
    <n v="3"/>
    <n v="3"/>
    <n v="12"/>
    <x v="0"/>
    <x v="2"/>
    <n v="1"/>
    <n v="5"/>
    <x v="0"/>
    <s v="Smartphone"/>
    <x v="3"/>
    <d v="2024-09-26T00:00:00"/>
    <x v="1"/>
    <s v="No"/>
    <x v="3"/>
    <x v="0"/>
    <n v="13"/>
    <x v="10"/>
    <s v="Qtr-3"/>
    <x v="4"/>
  </r>
  <r>
    <s v="17-551-9779"/>
    <n v="33"/>
    <x v="2"/>
    <x v="0"/>
    <x v="0"/>
    <s v="Widowed"/>
    <s v="Master's"/>
    <x v="1"/>
    <s v="Marabahan"/>
    <x v="4"/>
    <x v="21"/>
    <n v="221.88"/>
    <n v="12"/>
    <x v="1"/>
    <n v="1"/>
    <n v="4"/>
    <n v="120"/>
    <x v="2"/>
    <x v="0"/>
    <n v="8.3333333333333329E-2"/>
    <n v="6"/>
    <x v="0"/>
    <s v="Desktop"/>
    <x v="3"/>
    <d v="2024-04-04T00:00:00"/>
    <x v="0"/>
    <s v="No"/>
    <x v="0"/>
    <x v="2"/>
    <n v="9"/>
    <x v="1"/>
    <s v="Qtr-2"/>
    <x v="1"/>
  </r>
  <r>
    <s v="49-037-2300"/>
    <n v="31"/>
    <x v="2"/>
    <x v="0"/>
    <x v="0"/>
    <s v="Single"/>
    <s v="High School"/>
    <x v="0"/>
    <s v="Esl?m?b?d"/>
    <x v="78"/>
    <x v="20"/>
    <n v="278.20999999999998"/>
    <n v="3"/>
    <x v="0"/>
    <n v="5"/>
    <n v="1"/>
    <n v="120"/>
    <x v="2"/>
    <x v="0"/>
    <n v="0"/>
    <n v="7"/>
    <x v="2"/>
    <s v="Tablet"/>
    <x v="3"/>
    <d v="2024-10-22T00:00:00"/>
    <x v="0"/>
    <s v="No"/>
    <x v="0"/>
    <x v="0"/>
    <n v="14"/>
    <x v="2"/>
    <s v="Qtr-4"/>
    <x v="1"/>
  </r>
  <r>
    <s v="95-876-9757"/>
    <n v="31"/>
    <x v="2"/>
    <x v="0"/>
    <x v="1"/>
    <s v="Married"/>
    <s v="Master's"/>
    <x v="1"/>
    <s v="Emar"/>
    <x v="120"/>
    <x v="18"/>
    <n v="344.43"/>
    <n v="7"/>
    <x v="2"/>
    <n v="3"/>
    <n v="5"/>
    <n v="0"/>
    <x v="1"/>
    <x v="1"/>
    <n v="0.2857142857142857"/>
    <n v="4"/>
    <x v="3"/>
    <s v="Desktop"/>
    <x v="0"/>
    <d v="2024-07-12T00:00:00"/>
    <x v="0"/>
    <s v="No"/>
    <x v="2"/>
    <x v="1"/>
    <n v="5"/>
    <x v="5"/>
    <s v="Qtr-3"/>
    <x v="1"/>
  </r>
  <r>
    <s v="47-947-4888"/>
    <n v="26"/>
    <x v="0"/>
    <x v="1"/>
    <x v="1"/>
    <s v="Single"/>
    <s v="Master's"/>
    <x v="1"/>
    <s v="Baisha"/>
    <x v="1"/>
    <x v="15"/>
    <n v="326.08"/>
    <n v="11"/>
    <x v="1"/>
    <n v="4"/>
    <n v="3"/>
    <n v="120"/>
    <x v="1"/>
    <x v="1"/>
    <n v="0.18181818181818182"/>
    <n v="6"/>
    <x v="3"/>
    <s v="Tablet"/>
    <x v="1"/>
    <d v="2024-06-30T00:00:00"/>
    <x v="0"/>
    <s v="Yes"/>
    <x v="2"/>
    <x v="2"/>
    <n v="8"/>
    <x v="4"/>
    <s v="Qtr-2"/>
    <x v="1"/>
  </r>
  <r>
    <s v="83-003-2165"/>
    <n v="49"/>
    <x v="1"/>
    <x v="1"/>
    <x v="1"/>
    <s v="Married"/>
    <s v="Bachelor's"/>
    <x v="0"/>
    <s v="Magdalena"/>
    <x v="38"/>
    <x v="0"/>
    <n v="437.97"/>
    <n v="8"/>
    <x v="2"/>
    <n v="4"/>
    <n v="2"/>
    <n v="0"/>
    <x v="3"/>
    <x v="1"/>
    <n v="0"/>
    <n v="7"/>
    <x v="3"/>
    <s v="Tablet"/>
    <x v="2"/>
    <d v="2024-04-02T00:00:00"/>
    <x v="0"/>
    <s v="Yes"/>
    <x v="0"/>
    <x v="2"/>
    <n v="12"/>
    <x v="1"/>
    <s v="Qtr-2"/>
    <x v="4"/>
  </r>
  <r>
    <s v="27-619-9264"/>
    <n v="23"/>
    <x v="0"/>
    <x v="1"/>
    <x v="1"/>
    <s v="Single"/>
    <s v="Master's"/>
    <x v="1"/>
    <s v="Göteborg"/>
    <x v="5"/>
    <x v="12"/>
    <n v="391.87"/>
    <n v="3"/>
    <x v="2"/>
    <n v="1"/>
    <n v="4"/>
    <n v="120"/>
    <x v="3"/>
    <x v="2"/>
    <n v="0"/>
    <n v="2"/>
    <x v="3"/>
    <s v="Desktop"/>
    <x v="4"/>
    <d v="2024-02-16T00:00:00"/>
    <x v="0"/>
    <s v="No"/>
    <x v="3"/>
    <x v="1"/>
    <n v="6"/>
    <x v="8"/>
    <s v="Qtr-1"/>
    <x v="0"/>
  </r>
  <r>
    <s v="49-476-1729"/>
    <n v="42"/>
    <x v="1"/>
    <x v="1"/>
    <x v="1"/>
    <s v="Single"/>
    <s v="Master's"/>
    <x v="0"/>
    <s v="Skórzec"/>
    <x v="18"/>
    <x v="22"/>
    <n v="333.41"/>
    <n v="3"/>
    <x v="2"/>
    <n v="2"/>
    <n v="5"/>
    <n v="60"/>
    <x v="3"/>
    <x v="2"/>
    <n v="0.33333333333333331"/>
    <n v="6"/>
    <x v="0"/>
    <s v="Tablet"/>
    <x v="1"/>
    <d v="2024-01-31T00:00:00"/>
    <x v="1"/>
    <s v="No"/>
    <x v="3"/>
    <x v="1"/>
    <n v="3"/>
    <x v="3"/>
    <s v="Qtr-1"/>
    <x v="0"/>
  </r>
  <r>
    <s v="64-803-7087"/>
    <n v="32"/>
    <x v="2"/>
    <x v="1"/>
    <x v="0"/>
    <s v="Single"/>
    <s v="Bachelor's"/>
    <x v="1"/>
    <s v="São João dos Inhamuns"/>
    <x v="14"/>
    <x v="19"/>
    <n v="251.54"/>
    <n v="9"/>
    <x v="2"/>
    <n v="5"/>
    <n v="1"/>
    <n v="0"/>
    <x v="3"/>
    <x v="1"/>
    <n v="0.22222222222222221"/>
    <n v="10"/>
    <x v="2"/>
    <s v="Desktop"/>
    <x v="1"/>
    <d v="2024-10-09T00:00:00"/>
    <x v="0"/>
    <s v="No"/>
    <x v="2"/>
    <x v="0"/>
    <n v="1"/>
    <x v="2"/>
    <s v="Qtr-4"/>
    <x v="4"/>
  </r>
  <r>
    <s v="01-925-4021"/>
    <n v="37"/>
    <x v="2"/>
    <x v="0"/>
    <x v="0"/>
    <s v="Single"/>
    <s v="High School"/>
    <x v="0"/>
    <s v="Tambaksari"/>
    <x v="4"/>
    <x v="13"/>
    <n v="292.08"/>
    <n v="7"/>
    <x v="1"/>
    <n v="3"/>
    <n v="2"/>
    <n v="60"/>
    <x v="3"/>
    <x v="0"/>
    <n v="0.2857142857142857"/>
    <n v="9"/>
    <x v="2"/>
    <s v="Smartphone"/>
    <x v="0"/>
    <d v="2024-04-09T00:00:00"/>
    <x v="1"/>
    <s v="No"/>
    <x v="0"/>
    <x v="1"/>
    <n v="11"/>
    <x v="1"/>
    <s v="Qtr-2"/>
    <x v="1"/>
  </r>
  <r>
    <s v="51-116-5937"/>
    <n v="25"/>
    <x v="0"/>
    <x v="5"/>
    <x v="1"/>
    <s v="Widowed"/>
    <s v="Bachelor's"/>
    <x v="0"/>
    <s v="Lazarat"/>
    <x v="37"/>
    <x v="22"/>
    <n v="204.29"/>
    <n v="11"/>
    <x v="1"/>
    <n v="5"/>
    <n v="4"/>
    <n v="0"/>
    <x v="0"/>
    <x v="1"/>
    <n v="0.18181818181818182"/>
    <n v="1"/>
    <x v="3"/>
    <s v="Smartphone"/>
    <x v="1"/>
    <d v="2024-05-16T00:00:00"/>
    <x v="1"/>
    <s v="No"/>
    <x v="2"/>
    <x v="2"/>
    <n v="12"/>
    <x v="9"/>
    <s v="Qtr-2"/>
    <x v="0"/>
  </r>
  <r>
    <s v="72-454-2741"/>
    <n v="49"/>
    <x v="1"/>
    <x v="1"/>
    <x v="0"/>
    <s v="Single"/>
    <s v="High School"/>
    <x v="0"/>
    <s v="Belene"/>
    <x v="98"/>
    <x v="12"/>
    <n v="258.68"/>
    <n v="4"/>
    <x v="2"/>
    <n v="4"/>
    <n v="2"/>
    <n v="60"/>
    <x v="2"/>
    <x v="0"/>
    <n v="0"/>
    <n v="9"/>
    <x v="0"/>
    <s v="Desktop"/>
    <x v="0"/>
    <d v="2024-10-22T00:00:00"/>
    <x v="1"/>
    <s v="No"/>
    <x v="2"/>
    <x v="0"/>
    <n v="9"/>
    <x v="2"/>
    <s v="Qtr-4"/>
    <x v="0"/>
  </r>
  <r>
    <s v="96-484-1000"/>
    <n v="26"/>
    <x v="0"/>
    <x v="1"/>
    <x v="0"/>
    <s v="Married"/>
    <s v="Bachelor's"/>
    <x v="1"/>
    <s v="Xiangshan"/>
    <x v="1"/>
    <x v="0"/>
    <n v="258.02"/>
    <n v="2"/>
    <x v="1"/>
    <n v="3"/>
    <n v="2"/>
    <n v="60"/>
    <x v="2"/>
    <x v="2"/>
    <n v="1"/>
    <n v="4"/>
    <x v="1"/>
    <s v="Desktop"/>
    <x v="1"/>
    <d v="2024-11-08T00:00:00"/>
    <x v="0"/>
    <s v="Yes"/>
    <x v="0"/>
    <x v="2"/>
    <n v="13"/>
    <x v="11"/>
    <s v="Qtr-4"/>
    <x v="1"/>
  </r>
  <r>
    <s v="07-834-3350"/>
    <n v="29"/>
    <x v="0"/>
    <x v="0"/>
    <x v="1"/>
    <s v="Single"/>
    <s v="Master's"/>
    <x v="0"/>
    <s v="San Luis"/>
    <x v="56"/>
    <x v="0"/>
    <n v="181.87"/>
    <n v="12"/>
    <x v="0"/>
    <n v="4"/>
    <n v="1"/>
    <n v="60"/>
    <x v="1"/>
    <x v="1"/>
    <n v="0.16666666666666666"/>
    <n v="4"/>
    <x v="1"/>
    <s v="Desktop"/>
    <x v="2"/>
    <d v="2024-09-01T00:00:00"/>
    <x v="1"/>
    <s v="Yes"/>
    <x v="1"/>
    <x v="0"/>
    <n v="11"/>
    <x v="10"/>
    <s v="Qtr-3"/>
    <x v="4"/>
  </r>
  <r>
    <s v="11-802-5604"/>
    <n v="26"/>
    <x v="0"/>
    <x v="1"/>
    <x v="1"/>
    <s v="Divorced"/>
    <s v="High School"/>
    <x v="0"/>
    <s v="Zengfu"/>
    <x v="1"/>
    <x v="19"/>
    <n v="81.180000000000007"/>
    <n v="8"/>
    <x v="2"/>
    <n v="4"/>
    <n v="5"/>
    <n v="60"/>
    <x v="2"/>
    <x v="1"/>
    <n v="0.25"/>
    <n v="3"/>
    <x v="1"/>
    <s v="Tablet"/>
    <x v="4"/>
    <d v="2024-05-17T00:00:00"/>
    <x v="1"/>
    <s v="No"/>
    <x v="2"/>
    <x v="2"/>
    <n v="3"/>
    <x v="9"/>
    <s v="Qtr-2"/>
    <x v="1"/>
  </r>
  <r>
    <s v="41-750-4105"/>
    <n v="23"/>
    <x v="0"/>
    <x v="0"/>
    <x v="1"/>
    <s v="Divorced"/>
    <s v="Master's"/>
    <x v="1"/>
    <s v="Tingsryd"/>
    <x v="5"/>
    <x v="5"/>
    <n v="382.94"/>
    <n v="8"/>
    <x v="1"/>
    <n v="1"/>
    <n v="3"/>
    <n v="0"/>
    <x v="1"/>
    <x v="1"/>
    <n v="0"/>
    <n v="6"/>
    <x v="0"/>
    <s v="Desktop"/>
    <x v="2"/>
    <d v="2024-05-19T00:00:00"/>
    <x v="1"/>
    <s v="No"/>
    <x v="0"/>
    <x v="1"/>
    <n v="3"/>
    <x v="9"/>
    <s v="Qtr-2"/>
    <x v="0"/>
  </r>
  <r>
    <s v="31-491-8457"/>
    <n v="47"/>
    <x v="1"/>
    <x v="0"/>
    <x v="1"/>
    <s v="Single"/>
    <s v="Bachelor's"/>
    <x v="1"/>
    <s v="Tipaz"/>
    <x v="19"/>
    <x v="21"/>
    <n v="402.82"/>
    <n v="7"/>
    <x v="2"/>
    <n v="4"/>
    <n v="5"/>
    <n v="0"/>
    <x v="0"/>
    <x v="0"/>
    <n v="0.2857142857142857"/>
    <n v="2"/>
    <x v="2"/>
    <s v="Smartphone"/>
    <x v="2"/>
    <d v="2024-01-25T00:00:00"/>
    <x v="1"/>
    <s v="No"/>
    <x v="1"/>
    <x v="0"/>
    <n v="13"/>
    <x v="3"/>
    <s v="Qtr-1"/>
    <x v="1"/>
  </r>
  <r>
    <s v="86-257-9581"/>
    <n v="30"/>
    <x v="2"/>
    <x v="1"/>
    <x v="1"/>
    <s v="Single"/>
    <s v="Bachelor's"/>
    <x v="0"/>
    <s v="W?d? as Salq?"/>
    <x v="53"/>
    <x v="0"/>
    <n v="497.76"/>
    <n v="2"/>
    <x v="1"/>
    <n v="1"/>
    <n v="2"/>
    <n v="120"/>
    <x v="3"/>
    <x v="2"/>
    <n v="1"/>
    <n v="3"/>
    <x v="3"/>
    <s v="Smartphone"/>
    <x v="0"/>
    <d v="2024-03-08T00:00:00"/>
    <x v="0"/>
    <s v="Yes"/>
    <x v="1"/>
    <x v="0"/>
    <n v="4"/>
    <x v="0"/>
    <s v="Qtr-1"/>
    <x v="5"/>
  </r>
  <r>
    <s v="22-981-6595"/>
    <n v="26"/>
    <x v="0"/>
    <x v="0"/>
    <x v="1"/>
    <s v="Single"/>
    <s v="High School"/>
    <x v="1"/>
    <s v="Wasagu"/>
    <x v="29"/>
    <x v="4"/>
    <n v="227.58"/>
    <n v="5"/>
    <x v="2"/>
    <n v="4"/>
    <n v="2"/>
    <n v="60"/>
    <x v="3"/>
    <x v="1"/>
    <n v="0"/>
    <n v="1"/>
    <x v="2"/>
    <s v="Tablet"/>
    <x v="0"/>
    <d v="2024-07-13T00:00:00"/>
    <x v="0"/>
    <s v="No"/>
    <x v="0"/>
    <x v="0"/>
    <n v="11"/>
    <x v="5"/>
    <s v="Qtr-3"/>
    <x v="5"/>
  </r>
  <r>
    <s v="54-002-5845"/>
    <n v="35"/>
    <x v="2"/>
    <x v="0"/>
    <x v="1"/>
    <s v="Divorced"/>
    <s v="Bachelor's"/>
    <x v="1"/>
    <s v="Wangsi"/>
    <x v="1"/>
    <x v="13"/>
    <n v="263.57"/>
    <n v="2"/>
    <x v="0"/>
    <n v="2"/>
    <n v="3"/>
    <n v="0"/>
    <x v="3"/>
    <x v="0"/>
    <n v="0.5"/>
    <n v="9"/>
    <x v="0"/>
    <s v="Tablet"/>
    <x v="1"/>
    <d v="2024-11-21T00:00:00"/>
    <x v="0"/>
    <s v="Yes"/>
    <x v="2"/>
    <x v="2"/>
    <n v="8"/>
    <x v="11"/>
    <s v="Qtr-4"/>
    <x v="1"/>
  </r>
  <r>
    <s v="31-927-7787"/>
    <n v="40"/>
    <x v="1"/>
    <x v="1"/>
    <x v="1"/>
    <s v="Married"/>
    <s v="High School"/>
    <x v="1"/>
    <s v="Esmeralda"/>
    <x v="31"/>
    <x v="15"/>
    <n v="422.09"/>
    <n v="3"/>
    <x v="1"/>
    <n v="4"/>
    <n v="1"/>
    <n v="60"/>
    <x v="3"/>
    <x v="1"/>
    <n v="0"/>
    <n v="9"/>
    <x v="3"/>
    <s v="Tablet"/>
    <x v="1"/>
    <d v="2024-03-31T00:00:00"/>
    <x v="0"/>
    <s v="No"/>
    <x v="0"/>
    <x v="1"/>
    <n v="7"/>
    <x v="0"/>
    <s v="Qtr-1"/>
    <x v="2"/>
  </r>
  <r>
    <s v="46-098-9737"/>
    <n v="35"/>
    <x v="2"/>
    <x v="1"/>
    <x v="0"/>
    <s v="Married"/>
    <s v="Master's"/>
    <x v="1"/>
    <s v="Chivilcoy"/>
    <x v="56"/>
    <x v="0"/>
    <n v="411.83"/>
    <n v="2"/>
    <x v="1"/>
    <n v="2"/>
    <n v="3"/>
    <n v="120"/>
    <x v="3"/>
    <x v="1"/>
    <n v="0.5"/>
    <n v="3"/>
    <x v="3"/>
    <s v="Tablet"/>
    <x v="1"/>
    <d v="2024-04-28T00:00:00"/>
    <x v="0"/>
    <s v="Yes"/>
    <x v="2"/>
    <x v="1"/>
    <n v="10"/>
    <x v="1"/>
    <s v="Qtr-2"/>
    <x v="4"/>
  </r>
  <r>
    <s v="27-017-7173"/>
    <n v="21"/>
    <x v="0"/>
    <x v="1"/>
    <x v="0"/>
    <s v="Single"/>
    <s v="Master's"/>
    <x v="0"/>
    <s v="São Miguel do Araguaia"/>
    <x v="14"/>
    <x v="14"/>
    <n v="242.65"/>
    <n v="3"/>
    <x v="0"/>
    <n v="5"/>
    <n v="3"/>
    <n v="12"/>
    <x v="0"/>
    <x v="2"/>
    <n v="0.66666666666666663"/>
    <n v="8"/>
    <x v="0"/>
    <s v="Tablet"/>
    <x v="4"/>
    <d v="2024-07-09T00:00:00"/>
    <x v="1"/>
    <s v="Yes"/>
    <x v="3"/>
    <x v="0"/>
    <n v="9"/>
    <x v="5"/>
    <s v="Qtr-3"/>
    <x v="4"/>
  </r>
  <r>
    <s v="53-102-9949"/>
    <n v="41"/>
    <x v="1"/>
    <x v="1"/>
    <x v="0"/>
    <s v="Widowed"/>
    <s v="Master's"/>
    <x v="0"/>
    <s v="Libei"/>
    <x v="1"/>
    <x v="6"/>
    <n v="298.93"/>
    <n v="6"/>
    <x v="0"/>
    <n v="5"/>
    <n v="2"/>
    <n v="12"/>
    <x v="0"/>
    <x v="0"/>
    <n v="0.33333333333333331"/>
    <n v="1"/>
    <x v="0"/>
    <s v="Tablet"/>
    <x v="1"/>
    <d v="2024-09-22T00:00:00"/>
    <x v="0"/>
    <s v="Yes"/>
    <x v="3"/>
    <x v="2"/>
    <n v="2"/>
    <x v="10"/>
    <s v="Qtr-3"/>
    <x v="1"/>
  </r>
  <r>
    <s v="02-676-9312"/>
    <n v="44"/>
    <x v="1"/>
    <x v="0"/>
    <x v="1"/>
    <s v="Single"/>
    <s v="Bachelor's"/>
    <x v="1"/>
    <s v="Araci"/>
    <x v="14"/>
    <x v="7"/>
    <n v="191.21"/>
    <n v="7"/>
    <x v="0"/>
    <n v="5"/>
    <n v="4"/>
    <n v="60"/>
    <x v="2"/>
    <x v="2"/>
    <n v="0.2857142857142857"/>
    <n v="6"/>
    <x v="2"/>
    <s v="Smartphone"/>
    <x v="2"/>
    <d v="2024-04-04T00:00:00"/>
    <x v="1"/>
    <s v="No"/>
    <x v="0"/>
    <x v="0"/>
    <n v="13"/>
    <x v="1"/>
    <s v="Qtr-2"/>
    <x v="4"/>
  </r>
  <r>
    <s v="28-969-7540"/>
    <n v="44"/>
    <x v="1"/>
    <x v="0"/>
    <x v="1"/>
    <s v="Married"/>
    <s v="Master's"/>
    <x v="0"/>
    <s v="Kuçovë"/>
    <x v="37"/>
    <x v="13"/>
    <n v="136.66999999999999"/>
    <n v="3"/>
    <x v="2"/>
    <n v="3"/>
    <n v="1"/>
    <n v="60"/>
    <x v="2"/>
    <x v="0"/>
    <n v="0"/>
    <n v="2"/>
    <x v="1"/>
    <s v="Desktop"/>
    <x v="1"/>
    <d v="2024-06-20T00:00:00"/>
    <x v="1"/>
    <s v="Yes"/>
    <x v="2"/>
    <x v="1"/>
    <n v="1"/>
    <x v="4"/>
    <s v="Qtr-2"/>
    <x v="0"/>
  </r>
  <r>
    <s v="30-083-9565"/>
    <n v="37"/>
    <x v="2"/>
    <x v="1"/>
    <x v="0"/>
    <s v="Widowed"/>
    <s v="Master's"/>
    <x v="1"/>
    <s v="Bokong Timur"/>
    <x v="4"/>
    <x v="6"/>
    <n v="324.11"/>
    <n v="11"/>
    <x v="2"/>
    <n v="3"/>
    <n v="3"/>
    <n v="120"/>
    <x v="0"/>
    <x v="2"/>
    <n v="0"/>
    <n v="2"/>
    <x v="2"/>
    <s v="Smartphone"/>
    <x v="4"/>
    <d v="2024-03-22T00:00:00"/>
    <x v="1"/>
    <s v="No"/>
    <x v="2"/>
    <x v="0"/>
    <n v="7"/>
    <x v="0"/>
    <s v="Qtr-1"/>
    <x v="1"/>
  </r>
  <r>
    <s v="30-975-0306"/>
    <n v="40"/>
    <x v="1"/>
    <x v="0"/>
    <x v="1"/>
    <s v="Widowed"/>
    <s v="Bachelor's"/>
    <x v="1"/>
    <s v="Gaowu"/>
    <x v="1"/>
    <x v="9"/>
    <n v="105.64"/>
    <n v="6"/>
    <x v="2"/>
    <n v="1"/>
    <n v="3"/>
    <n v="0"/>
    <x v="2"/>
    <x v="2"/>
    <n v="0.33333333333333331"/>
    <n v="1"/>
    <x v="0"/>
    <s v="Smartphone"/>
    <x v="3"/>
    <d v="2024-04-06T00:00:00"/>
    <x v="0"/>
    <s v="Yes"/>
    <x v="3"/>
    <x v="0"/>
    <n v="12"/>
    <x v="1"/>
    <s v="Qtr-2"/>
    <x v="1"/>
  </r>
  <r>
    <s v="14-364-4904"/>
    <n v="43"/>
    <x v="1"/>
    <x v="1"/>
    <x v="1"/>
    <s v="Widowed"/>
    <s v="Master's"/>
    <x v="1"/>
    <s v="Guéret"/>
    <x v="0"/>
    <x v="13"/>
    <n v="295.60000000000002"/>
    <n v="10"/>
    <x v="2"/>
    <n v="1"/>
    <n v="2"/>
    <n v="60"/>
    <x v="3"/>
    <x v="0"/>
    <n v="0"/>
    <n v="9"/>
    <x v="2"/>
    <s v="Desktop"/>
    <x v="0"/>
    <d v="2024-05-20T00:00:00"/>
    <x v="0"/>
    <s v="Yes"/>
    <x v="0"/>
    <x v="1"/>
    <n v="5"/>
    <x v="9"/>
    <s v="Qtr-2"/>
    <x v="0"/>
  </r>
  <r>
    <s v="08-652-2085"/>
    <n v="48"/>
    <x v="1"/>
    <x v="1"/>
    <x v="0"/>
    <s v="Single"/>
    <s v="Master's"/>
    <x v="1"/>
    <s v="Post?ekov"/>
    <x v="16"/>
    <x v="9"/>
    <n v="227.03"/>
    <n v="9"/>
    <x v="1"/>
    <n v="4"/>
    <n v="4"/>
    <n v="120"/>
    <x v="2"/>
    <x v="1"/>
    <n v="0.22222222222222221"/>
    <n v="7"/>
    <x v="1"/>
    <s v="Tablet"/>
    <x v="3"/>
    <d v="2024-04-09T00:00:00"/>
    <x v="0"/>
    <s v="Yes"/>
    <x v="0"/>
    <x v="0"/>
    <n v="4"/>
    <x v="1"/>
    <s v="Qtr-2"/>
    <x v="0"/>
  </r>
  <r>
    <s v="67-037-2087"/>
    <n v="32"/>
    <x v="2"/>
    <x v="0"/>
    <x v="1"/>
    <s v="Divorced"/>
    <s v="Bachelor's"/>
    <x v="0"/>
    <s v="Gobojango"/>
    <x v="130"/>
    <x v="11"/>
    <n v="485.77"/>
    <n v="10"/>
    <x v="0"/>
    <n v="1"/>
    <n v="2"/>
    <n v="0"/>
    <x v="2"/>
    <x v="1"/>
    <n v="0.2"/>
    <n v="6"/>
    <x v="0"/>
    <s v="Tablet"/>
    <x v="4"/>
    <d v="2024-12-04T00:00:00"/>
    <x v="1"/>
    <s v="No"/>
    <x v="3"/>
    <x v="0"/>
    <n v="6"/>
    <x v="6"/>
    <s v="Qtr-4"/>
    <x v="5"/>
  </r>
  <r>
    <s v="09-737-8354"/>
    <n v="37"/>
    <x v="2"/>
    <x v="0"/>
    <x v="0"/>
    <s v="Widowed"/>
    <s v="High School"/>
    <x v="1"/>
    <s v="Tandahimba"/>
    <x v="112"/>
    <x v="9"/>
    <n v="173.43"/>
    <n v="4"/>
    <x v="1"/>
    <n v="3"/>
    <n v="3"/>
    <n v="0"/>
    <x v="1"/>
    <x v="1"/>
    <n v="0.5"/>
    <n v="1"/>
    <x v="2"/>
    <s v="Desktop"/>
    <x v="1"/>
    <d v="2024-05-27T00:00:00"/>
    <x v="0"/>
    <s v="Yes"/>
    <x v="0"/>
    <x v="0"/>
    <n v="14"/>
    <x v="9"/>
    <s v="Qtr-2"/>
    <x v="5"/>
  </r>
  <r>
    <s v="12-417-5609"/>
    <n v="29"/>
    <x v="0"/>
    <x v="0"/>
    <x v="0"/>
    <s v="Widowed"/>
    <s v="High School"/>
    <x v="0"/>
    <s v="Iwade"/>
    <x v="3"/>
    <x v="15"/>
    <n v="462.96"/>
    <n v="2"/>
    <x v="2"/>
    <n v="4"/>
    <n v="2"/>
    <n v="0"/>
    <x v="3"/>
    <x v="2"/>
    <n v="1"/>
    <n v="6"/>
    <x v="1"/>
    <s v="Tablet"/>
    <x v="4"/>
    <d v="2024-07-01T00:00:00"/>
    <x v="0"/>
    <s v="No"/>
    <x v="3"/>
    <x v="0"/>
    <n v="3"/>
    <x v="5"/>
    <s v="Qtr-3"/>
    <x v="1"/>
  </r>
  <r>
    <s v="25-096-6830"/>
    <n v="36"/>
    <x v="2"/>
    <x v="1"/>
    <x v="1"/>
    <s v="Divorced"/>
    <s v="High School"/>
    <x v="0"/>
    <s v="La Guata"/>
    <x v="35"/>
    <x v="7"/>
    <n v="203.13"/>
    <n v="10"/>
    <x v="2"/>
    <n v="4"/>
    <n v="3"/>
    <n v="120"/>
    <x v="0"/>
    <x v="0"/>
    <n v="0.1"/>
    <n v="5"/>
    <x v="1"/>
    <s v="Tablet"/>
    <x v="2"/>
    <d v="2024-08-15T00:00:00"/>
    <x v="0"/>
    <s v="No"/>
    <x v="2"/>
    <x v="1"/>
    <n v="6"/>
    <x v="7"/>
    <s v="Qtr-3"/>
    <x v="2"/>
  </r>
  <r>
    <s v="91-558-5922"/>
    <n v="50"/>
    <x v="1"/>
    <x v="0"/>
    <x v="1"/>
    <s v="Married"/>
    <s v="Master's"/>
    <x v="1"/>
    <s v="Saint-Brieuc"/>
    <x v="0"/>
    <x v="16"/>
    <n v="443.11"/>
    <n v="9"/>
    <x v="1"/>
    <n v="1"/>
    <n v="2"/>
    <n v="60"/>
    <x v="0"/>
    <x v="2"/>
    <n v="0"/>
    <n v="10"/>
    <x v="2"/>
    <s v="Tablet"/>
    <x v="3"/>
    <d v="2024-01-19T00:00:00"/>
    <x v="0"/>
    <s v="Yes"/>
    <x v="1"/>
    <x v="0"/>
    <n v="1"/>
    <x v="3"/>
    <s v="Qtr-1"/>
    <x v="0"/>
  </r>
  <r>
    <s v="25-560-4506"/>
    <n v="31"/>
    <x v="2"/>
    <x v="2"/>
    <x v="1"/>
    <s v="Divorced"/>
    <s v="High School"/>
    <x v="1"/>
    <s v="Paya Dapur"/>
    <x v="4"/>
    <x v="18"/>
    <n v="254.83"/>
    <n v="2"/>
    <x v="0"/>
    <n v="1"/>
    <n v="2"/>
    <n v="60"/>
    <x v="0"/>
    <x v="0"/>
    <n v="0.5"/>
    <n v="2"/>
    <x v="2"/>
    <s v="Desktop"/>
    <x v="0"/>
    <d v="2024-09-18T00:00:00"/>
    <x v="1"/>
    <s v="No"/>
    <x v="1"/>
    <x v="1"/>
    <n v="1"/>
    <x v="10"/>
    <s v="Qtr-3"/>
    <x v="1"/>
  </r>
  <r>
    <s v="33-609-0598"/>
    <n v="29"/>
    <x v="0"/>
    <x v="0"/>
    <x v="1"/>
    <s v="Single"/>
    <s v="Master's"/>
    <x v="0"/>
    <s v="Xinzha"/>
    <x v="1"/>
    <x v="8"/>
    <n v="336.89"/>
    <n v="4"/>
    <x v="2"/>
    <n v="2"/>
    <n v="1"/>
    <n v="120"/>
    <x v="1"/>
    <x v="2"/>
    <n v="0.25"/>
    <n v="7"/>
    <x v="1"/>
    <s v="Smartphone"/>
    <x v="0"/>
    <d v="2024-06-17T00:00:00"/>
    <x v="1"/>
    <s v="No"/>
    <x v="3"/>
    <x v="2"/>
    <n v="9"/>
    <x v="4"/>
    <s v="Qtr-2"/>
    <x v="1"/>
  </r>
  <r>
    <s v="45-337-1798"/>
    <n v="26"/>
    <x v="0"/>
    <x v="1"/>
    <x v="0"/>
    <s v="Married"/>
    <s v="Bachelor's"/>
    <x v="0"/>
    <s v="Al Q?rah"/>
    <x v="115"/>
    <x v="15"/>
    <n v="337.17"/>
    <n v="8"/>
    <x v="1"/>
    <n v="5"/>
    <n v="5"/>
    <n v="0"/>
    <x v="2"/>
    <x v="1"/>
    <n v="0.125"/>
    <n v="6"/>
    <x v="3"/>
    <s v="Tablet"/>
    <x v="0"/>
    <d v="2024-07-26T00:00:00"/>
    <x v="1"/>
    <s v="Yes"/>
    <x v="1"/>
    <x v="0"/>
    <n v="3"/>
    <x v="5"/>
    <s v="Qtr-3"/>
    <x v="1"/>
  </r>
  <r>
    <s v="34-265-8558"/>
    <n v="22"/>
    <x v="0"/>
    <x v="0"/>
    <x v="1"/>
    <s v="Single"/>
    <s v="High School"/>
    <x v="1"/>
    <s v="Antipolo"/>
    <x v="19"/>
    <x v="1"/>
    <n v="429.24"/>
    <n v="2"/>
    <x v="2"/>
    <n v="2"/>
    <n v="2"/>
    <n v="120"/>
    <x v="1"/>
    <x v="2"/>
    <n v="0"/>
    <n v="3"/>
    <x v="0"/>
    <s v="Desktop"/>
    <x v="4"/>
    <d v="2024-03-11T00:00:00"/>
    <x v="1"/>
    <s v="No"/>
    <x v="3"/>
    <x v="0"/>
    <n v="13"/>
    <x v="0"/>
    <s v="Qtr-1"/>
    <x v="1"/>
  </r>
  <r>
    <s v="67-323-7406"/>
    <n v="35"/>
    <x v="2"/>
    <x v="0"/>
    <x v="1"/>
    <s v="Married"/>
    <s v="High School"/>
    <x v="1"/>
    <s v="Yuyangguan"/>
    <x v="1"/>
    <x v="13"/>
    <n v="197.7"/>
    <n v="7"/>
    <x v="0"/>
    <n v="3"/>
    <n v="5"/>
    <n v="120"/>
    <x v="3"/>
    <x v="0"/>
    <n v="0.14285714285714285"/>
    <n v="6"/>
    <x v="3"/>
    <s v="Desktop"/>
    <x v="4"/>
    <d v="2024-09-27T00:00:00"/>
    <x v="1"/>
    <s v="No"/>
    <x v="0"/>
    <x v="1"/>
    <n v="9"/>
    <x v="10"/>
    <s v="Qtr-3"/>
    <x v="1"/>
  </r>
  <r>
    <s v="40-149-8247"/>
    <n v="23"/>
    <x v="0"/>
    <x v="1"/>
    <x v="0"/>
    <s v="Married"/>
    <s v="Bachelor's"/>
    <x v="0"/>
    <s v="Qiman"/>
    <x v="15"/>
    <x v="3"/>
    <n v="336.96"/>
    <n v="2"/>
    <x v="1"/>
    <n v="5"/>
    <n v="2"/>
    <n v="120"/>
    <x v="3"/>
    <x v="1"/>
    <n v="0"/>
    <n v="7"/>
    <x v="2"/>
    <s v="Tablet"/>
    <x v="1"/>
    <d v="2024-09-05T00:00:00"/>
    <x v="0"/>
    <s v="Yes"/>
    <x v="2"/>
    <x v="0"/>
    <n v="7"/>
    <x v="10"/>
    <s v="Qtr-3"/>
    <x v="5"/>
  </r>
  <r>
    <s v="37-361-8691"/>
    <n v="40"/>
    <x v="1"/>
    <x v="0"/>
    <x v="1"/>
    <s v="Married"/>
    <s v="High School"/>
    <x v="1"/>
    <s v="Maguwon"/>
    <x v="29"/>
    <x v="12"/>
    <n v="489.81"/>
    <n v="11"/>
    <x v="0"/>
    <n v="3"/>
    <n v="2"/>
    <n v="60"/>
    <x v="2"/>
    <x v="2"/>
    <n v="0"/>
    <n v="1"/>
    <x v="0"/>
    <s v="Tablet"/>
    <x v="0"/>
    <d v="2024-12-22T00:00:00"/>
    <x v="1"/>
    <s v="No"/>
    <x v="1"/>
    <x v="0"/>
    <n v="3"/>
    <x v="6"/>
    <s v="Qtr-4"/>
    <x v="5"/>
  </r>
  <r>
    <s v="17-763-9416"/>
    <n v="32"/>
    <x v="2"/>
    <x v="0"/>
    <x v="1"/>
    <s v="Single"/>
    <s v="High School"/>
    <x v="0"/>
    <s v="Tsibulev"/>
    <x v="9"/>
    <x v="14"/>
    <n v="455.55"/>
    <n v="8"/>
    <x v="0"/>
    <n v="4"/>
    <n v="4"/>
    <n v="60"/>
    <x v="3"/>
    <x v="0"/>
    <n v="0"/>
    <n v="6"/>
    <x v="1"/>
    <s v="Desktop"/>
    <x v="1"/>
    <d v="2024-10-29T00:00:00"/>
    <x v="1"/>
    <s v="No"/>
    <x v="3"/>
    <x v="0"/>
    <n v="10"/>
    <x v="2"/>
    <s v="Qtr-4"/>
    <x v="0"/>
  </r>
  <r>
    <s v="56-453-8263"/>
    <n v="29"/>
    <x v="0"/>
    <x v="1"/>
    <x v="0"/>
    <s v="Divorced"/>
    <s v="Master's"/>
    <x v="0"/>
    <s v="San Antonio Aguas Calientes"/>
    <x v="22"/>
    <x v="7"/>
    <n v="266.61"/>
    <n v="3"/>
    <x v="2"/>
    <n v="3"/>
    <n v="1"/>
    <n v="60"/>
    <x v="1"/>
    <x v="2"/>
    <n v="0.66666666666666663"/>
    <n v="8"/>
    <x v="0"/>
    <s v="Tablet"/>
    <x v="2"/>
    <d v="2024-06-06T00:00:00"/>
    <x v="0"/>
    <s v="No"/>
    <x v="0"/>
    <x v="1"/>
    <n v="7"/>
    <x v="4"/>
    <s v="Qtr-2"/>
    <x v="2"/>
  </r>
  <r>
    <s v="19-560-0717"/>
    <n v="50"/>
    <x v="1"/>
    <x v="5"/>
    <x v="0"/>
    <s v="Married"/>
    <s v="High School"/>
    <x v="1"/>
    <s v="Pombas"/>
    <x v="97"/>
    <x v="22"/>
    <n v="460.88"/>
    <n v="5"/>
    <x v="0"/>
    <n v="3"/>
    <n v="4"/>
    <n v="120"/>
    <x v="0"/>
    <x v="1"/>
    <n v="0.4"/>
    <n v="4"/>
    <x v="1"/>
    <s v="Tablet"/>
    <x v="4"/>
    <d v="2024-04-12T00:00:00"/>
    <x v="0"/>
    <s v="No"/>
    <x v="2"/>
    <x v="1"/>
    <n v="2"/>
    <x v="1"/>
    <s v="Qtr-2"/>
    <x v="5"/>
  </r>
  <r>
    <s v="40-199-1803"/>
    <n v="42"/>
    <x v="1"/>
    <x v="1"/>
    <x v="1"/>
    <s v="Single"/>
    <s v="High School"/>
    <x v="0"/>
    <s v="Ku‘aydinah"/>
    <x v="115"/>
    <x v="18"/>
    <n v="361.4"/>
    <n v="2"/>
    <x v="1"/>
    <n v="2"/>
    <n v="5"/>
    <n v="60"/>
    <x v="1"/>
    <x v="0"/>
    <n v="0"/>
    <n v="5"/>
    <x v="3"/>
    <s v="Desktop"/>
    <x v="0"/>
    <d v="2024-12-21T00:00:00"/>
    <x v="1"/>
    <s v="Yes"/>
    <x v="2"/>
    <x v="0"/>
    <n v="7"/>
    <x v="6"/>
    <s v="Qtr-4"/>
    <x v="1"/>
  </r>
  <r>
    <s v="09-332-0236"/>
    <n v="47"/>
    <x v="1"/>
    <x v="0"/>
    <x v="0"/>
    <s v="Divorced"/>
    <s v="Master's"/>
    <x v="0"/>
    <s v="San Marcos"/>
    <x v="22"/>
    <x v="15"/>
    <n v="51.86"/>
    <n v="4"/>
    <x v="0"/>
    <n v="3"/>
    <n v="5"/>
    <n v="12"/>
    <x v="1"/>
    <x v="1"/>
    <n v="0.5"/>
    <n v="6"/>
    <x v="1"/>
    <s v="Tablet"/>
    <x v="0"/>
    <d v="2024-12-25T00:00:00"/>
    <x v="1"/>
    <s v="Yes"/>
    <x v="0"/>
    <x v="0"/>
    <n v="6"/>
    <x v="6"/>
    <s v="Qtr-4"/>
    <x v="2"/>
  </r>
  <r>
    <s v="83-982-5300"/>
    <n v="27"/>
    <x v="0"/>
    <x v="1"/>
    <x v="0"/>
    <s v="Married"/>
    <s v="High School"/>
    <x v="0"/>
    <s v="Chum Phae"/>
    <x v="61"/>
    <x v="2"/>
    <n v="310.16000000000003"/>
    <n v="5"/>
    <x v="0"/>
    <n v="5"/>
    <n v="3"/>
    <n v="60"/>
    <x v="0"/>
    <x v="0"/>
    <n v="0"/>
    <n v="4"/>
    <x v="1"/>
    <s v="Desktop"/>
    <x v="4"/>
    <d v="2024-12-01T00:00:00"/>
    <x v="1"/>
    <s v="No"/>
    <x v="0"/>
    <x v="1"/>
    <n v="14"/>
    <x v="6"/>
    <s v="Qtr-4"/>
    <x v="1"/>
  </r>
  <r>
    <s v="46-662-1571"/>
    <n v="40"/>
    <x v="1"/>
    <x v="0"/>
    <x v="0"/>
    <s v="Widowed"/>
    <s v="Master's"/>
    <x v="0"/>
    <s v="La Laja"/>
    <x v="71"/>
    <x v="12"/>
    <n v="300.73"/>
    <n v="8"/>
    <x v="2"/>
    <n v="4"/>
    <n v="2"/>
    <n v="60"/>
    <x v="2"/>
    <x v="0"/>
    <n v="0.25"/>
    <n v="9"/>
    <x v="1"/>
    <s v="Desktop"/>
    <x v="4"/>
    <d v="2024-03-31T00:00:00"/>
    <x v="0"/>
    <s v="Yes"/>
    <x v="0"/>
    <x v="0"/>
    <n v="10"/>
    <x v="0"/>
    <s v="Qtr-1"/>
    <x v="4"/>
  </r>
  <r>
    <s v="20-699-9217"/>
    <n v="28"/>
    <x v="0"/>
    <x v="0"/>
    <x v="1"/>
    <s v="Married"/>
    <s v="High School"/>
    <x v="0"/>
    <s v="San Juan del Cesar"/>
    <x v="38"/>
    <x v="12"/>
    <n v="356.87"/>
    <n v="12"/>
    <x v="0"/>
    <n v="1"/>
    <n v="4"/>
    <n v="0"/>
    <x v="3"/>
    <x v="1"/>
    <n v="8.3333333333333329E-2"/>
    <n v="9"/>
    <x v="3"/>
    <s v="Smartphone"/>
    <x v="2"/>
    <d v="2024-10-12T00:00:00"/>
    <x v="1"/>
    <s v="Yes"/>
    <x v="2"/>
    <x v="1"/>
    <n v="10"/>
    <x v="2"/>
    <s v="Qtr-4"/>
    <x v="4"/>
  </r>
  <r>
    <s v="26-150-0209"/>
    <n v="28"/>
    <x v="0"/>
    <x v="1"/>
    <x v="0"/>
    <s v="Widowed"/>
    <s v="High School"/>
    <x v="0"/>
    <s v="Taiyigong"/>
    <x v="1"/>
    <x v="20"/>
    <n v="82.37"/>
    <n v="6"/>
    <x v="0"/>
    <n v="1"/>
    <n v="1"/>
    <n v="60"/>
    <x v="1"/>
    <x v="1"/>
    <n v="0"/>
    <n v="4"/>
    <x v="3"/>
    <s v="Smartphone"/>
    <x v="0"/>
    <d v="2024-12-25T00:00:00"/>
    <x v="1"/>
    <s v="No"/>
    <x v="2"/>
    <x v="1"/>
    <n v="2"/>
    <x v="6"/>
    <s v="Qtr-4"/>
    <x v="1"/>
  </r>
  <r>
    <s v="94-985-5336"/>
    <n v="29"/>
    <x v="0"/>
    <x v="0"/>
    <x v="1"/>
    <s v="Divorced"/>
    <s v="Bachelor's"/>
    <x v="1"/>
    <s v="Gävle"/>
    <x v="5"/>
    <x v="20"/>
    <n v="372.6"/>
    <n v="3"/>
    <x v="0"/>
    <n v="4"/>
    <n v="5"/>
    <n v="60"/>
    <x v="3"/>
    <x v="2"/>
    <n v="0.66666666666666663"/>
    <n v="6"/>
    <x v="2"/>
    <s v="Tablet"/>
    <x v="1"/>
    <d v="2024-01-11T00:00:00"/>
    <x v="0"/>
    <s v="Yes"/>
    <x v="3"/>
    <x v="2"/>
    <n v="10"/>
    <x v="3"/>
    <s v="Qtr-1"/>
    <x v="0"/>
  </r>
  <r>
    <s v="97-715-3606"/>
    <n v="29"/>
    <x v="0"/>
    <x v="0"/>
    <x v="0"/>
    <s v="Widowed"/>
    <s v="High School"/>
    <x v="1"/>
    <s v="Tayabamba"/>
    <x v="42"/>
    <x v="9"/>
    <n v="78.319999999999993"/>
    <n v="9"/>
    <x v="2"/>
    <n v="2"/>
    <n v="4"/>
    <n v="120"/>
    <x v="2"/>
    <x v="0"/>
    <n v="0.22222222222222221"/>
    <n v="10"/>
    <x v="2"/>
    <s v="Smartphone"/>
    <x v="1"/>
    <d v="2024-07-29T00:00:00"/>
    <x v="1"/>
    <s v="Yes"/>
    <x v="0"/>
    <x v="1"/>
    <n v="7"/>
    <x v="5"/>
    <s v="Qtr-3"/>
    <x v="4"/>
  </r>
  <r>
    <s v="02-100-4320"/>
    <n v="32"/>
    <x v="2"/>
    <x v="0"/>
    <x v="1"/>
    <s v="Single"/>
    <s v="Master's"/>
    <x v="1"/>
    <s v="Majennang"/>
    <x v="4"/>
    <x v="15"/>
    <n v="71.72"/>
    <n v="12"/>
    <x v="2"/>
    <n v="3"/>
    <n v="5"/>
    <n v="60"/>
    <x v="3"/>
    <x v="0"/>
    <n v="0.16666666666666666"/>
    <n v="5"/>
    <x v="2"/>
    <s v="Tablet"/>
    <x v="1"/>
    <d v="2024-01-11T00:00:00"/>
    <x v="0"/>
    <s v="Yes"/>
    <x v="1"/>
    <x v="2"/>
    <n v="13"/>
    <x v="3"/>
    <s v="Qtr-1"/>
    <x v="1"/>
  </r>
  <r>
    <s v="16-070-0138"/>
    <n v="39"/>
    <x v="2"/>
    <x v="0"/>
    <x v="1"/>
    <s v="Single"/>
    <s v="High School"/>
    <x v="1"/>
    <s v="Njeru"/>
    <x v="82"/>
    <x v="8"/>
    <n v="241.1"/>
    <n v="12"/>
    <x v="1"/>
    <n v="1"/>
    <n v="5"/>
    <n v="120"/>
    <x v="0"/>
    <x v="1"/>
    <n v="0.16666666666666666"/>
    <n v="2"/>
    <x v="3"/>
    <s v="Desktop"/>
    <x v="0"/>
    <d v="2024-07-30T00:00:00"/>
    <x v="1"/>
    <s v="Yes"/>
    <x v="3"/>
    <x v="0"/>
    <n v="8"/>
    <x v="5"/>
    <s v="Qtr-3"/>
    <x v="5"/>
  </r>
  <r>
    <s v="82-474-5074"/>
    <n v="22"/>
    <x v="0"/>
    <x v="1"/>
    <x v="0"/>
    <s v="Married"/>
    <s v="Bachelor's"/>
    <x v="1"/>
    <s v="Ambatolaona"/>
    <x v="81"/>
    <x v="22"/>
    <n v="96.86"/>
    <n v="9"/>
    <x v="0"/>
    <n v="5"/>
    <n v="5"/>
    <n v="0"/>
    <x v="0"/>
    <x v="1"/>
    <n v="0.22222222222222221"/>
    <n v="10"/>
    <x v="3"/>
    <s v="Desktop"/>
    <x v="2"/>
    <d v="2024-07-28T00:00:00"/>
    <x v="1"/>
    <s v="Yes"/>
    <x v="1"/>
    <x v="1"/>
    <n v="7"/>
    <x v="5"/>
    <s v="Qtr-3"/>
    <x v="5"/>
  </r>
  <r>
    <s v="36-444-5336"/>
    <n v="48"/>
    <x v="1"/>
    <x v="1"/>
    <x v="0"/>
    <s v="Divorced"/>
    <s v="Master's"/>
    <x v="1"/>
    <s v="Jianggang"/>
    <x v="1"/>
    <x v="1"/>
    <n v="276.25"/>
    <n v="11"/>
    <x v="1"/>
    <n v="2"/>
    <n v="1"/>
    <n v="120"/>
    <x v="3"/>
    <x v="1"/>
    <n v="0.18181818181818182"/>
    <n v="4"/>
    <x v="0"/>
    <s v="Smartphone"/>
    <x v="4"/>
    <d v="2024-11-11T00:00:00"/>
    <x v="0"/>
    <s v="Yes"/>
    <x v="2"/>
    <x v="2"/>
    <n v="8"/>
    <x v="11"/>
    <s v="Qtr-4"/>
    <x v="1"/>
  </r>
  <r>
    <s v="54-680-5344"/>
    <n v="29"/>
    <x v="0"/>
    <x v="1"/>
    <x v="0"/>
    <s v="Widowed"/>
    <s v="Master's"/>
    <x v="0"/>
    <s v="Langkou"/>
    <x v="1"/>
    <x v="2"/>
    <n v="318.45"/>
    <n v="10"/>
    <x v="1"/>
    <n v="2"/>
    <n v="1"/>
    <n v="120"/>
    <x v="0"/>
    <x v="0"/>
    <n v="0.2"/>
    <n v="4"/>
    <x v="1"/>
    <s v="Smartphone"/>
    <x v="3"/>
    <d v="2024-10-25T00:00:00"/>
    <x v="1"/>
    <s v="Yes"/>
    <x v="3"/>
    <x v="0"/>
    <n v="5"/>
    <x v="2"/>
    <s v="Qtr-4"/>
    <x v="1"/>
  </r>
  <r>
    <s v="16-364-8096"/>
    <n v="41"/>
    <x v="1"/>
    <x v="0"/>
    <x v="1"/>
    <s v="Married"/>
    <s v="High School"/>
    <x v="1"/>
    <s v="Horní Suchá"/>
    <x v="16"/>
    <x v="9"/>
    <n v="117.03"/>
    <n v="6"/>
    <x v="2"/>
    <n v="3"/>
    <n v="2"/>
    <n v="0"/>
    <x v="0"/>
    <x v="2"/>
    <n v="0.33333333333333331"/>
    <n v="9"/>
    <x v="3"/>
    <s v="Tablet"/>
    <x v="4"/>
    <d v="2024-09-20T00:00:00"/>
    <x v="1"/>
    <s v="No"/>
    <x v="2"/>
    <x v="1"/>
    <n v="5"/>
    <x v="10"/>
    <s v="Qtr-3"/>
    <x v="0"/>
  </r>
  <r>
    <s v="62-644-8183"/>
    <n v="50"/>
    <x v="1"/>
    <x v="0"/>
    <x v="0"/>
    <s v="Married"/>
    <s v="Master's"/>
    <x v="1"/>
    <s v="Haradok"/>
    <x v="108"/>
    <x v="16"/>
    <n v="490.41"/>
    <n v="7"/>
    <x v="2"/>
    <n v="3"/>
    <n v="5"/>
    <n v="60"/>
    <x v="1"/>
    <x v="2"/>
    <n v="0.14285714285714285"/>
    <n v="10"/>
    <x v="2"/>
    <s v="Tablet"/>
    <x v="3"/>
    <d v="2024-10-22T00:00:00"/>
    <x v="0"/>
    <s v="No"/>
    <x v="3"/>
    <x v="1"/>
    <n v="5"/>
    <x v="2"/>
    <s v="Qtr-4"/>
    <x v="0"/>
  </r>
  <r>
    <s v="59-971-0799"/>
    <n v="48"/>
    <x v="1"/>
    <x v="1"/>
    <x v="0"/>
    <s v="Divorced"/>
    <s v="Bachelor's"/>
    <x v="1"/>
    <s v="Vichuga"/>
    <x v="6"/>
    <x v="18"/>
    <n v="476.42"/>
    <n v="7"/>
    <x v="1"/>
    <n v="1"/>
    <n v="1"/>
    <n v="60"/>
    <x v="3"/>
    <x v="2"/>
    <n v="0"/>
    <n v="2"/>
    <x v="1"/>
    <s v="Desktop"/>
    <x v="2"/>
    <d v="2024-09-09T00:00:00"/>
    <x v="0"/>
    <s v="No"/>
    <x v="0"/>
    <x v="1"/>
    <n v="2"/>
    <x v="10"/>
    <s v="Qtr-3"/>
    <x v="3"/>
  </r>
  <r>
    <s v="64-031-2046"/>
    <n v="29"/>
    <x v="0"/>
    <x v="0"/>
    <x v="1"/>
    <s v="Divorced"/>
    <s v="Master's"/>
    <x v="1"/>
    <s v="Luci"/>
    <x v="1"/>
    <x v="21"/>
    <n v="392.27"/>
    <n v="5"/>
    <x v="0"/>
    <n v="4"/>
    <n v="5"/>
    <n v="60"/>
    <x v="3"/>
    <x v="1"/>
    <n v="0"/>
    <n v="2"/>
    <x v="2"/>
    <s v="Tablet"/>
    <x v="3"/>
    <d v="2024-07-17T00:00:00"/>
    <x v="0"/>
    <s v="No"/>
    <x v="1"/>
    <x v="0"/>
    <n v="7"/>
    <x v="5"/>
    <s v="Qtr-3"/>
    <x v="1"/>
  </r>
  <r>
    <s v="87-079-0237"/>
    <n v="36"/>
    <x v="2"/>
    <x v="1"/>
    <x v="1"/>
    <s v="Single"/>
    <s v="Bachelor's"/>
    <x v="0"/>
    <s v="Guolemude"/>
    <x v="1"/>
    <x v="11"/>
    <n v="207.24"/>
    <n v="9"/>
    <x v="2"/>
    <n v="2"/>
    <n v="2"/>
    <n v="0"/>
    <x v="2"/>
    <x v="1"/>
    <n v="0"/>
    <n v="6"/>
    <x v="0"/>
    <s v="Desktop"/>
    <x v="2"/>
    <d v="2024-05-12T00:00:00"/>
    <x v="0"/>
    <s v="No"/>
    <x v="2"/>
    <x v="0"/>
    <n v="3"/>
    <x v="9"/>
    <s v="Qtr-2"/>
    <x v="1"/>
  </r>
  <r>
    <s v="78-091-8662"/>
    <n v="43"/>
    <x v="1"/>
    <x v="1"/>
    <x v="1"/>
    <s v="Divorced"/>
    <s v="High School"/>
    <x v="0"/>
    <s v="Prengtale"/>
    <x v="4"/>
    <x v="0"/>
    <n v="141.63"/>
    <n v="3"/>
    <x v="2"/>
    <n v="4"/>
    <n v="1"/>
    <n v="60"/>
    <x v="0"/>
    <x v="0"/>
    <n v="0.33333333333333331"/>
    <n v="8"/>
    <x v="2"/>
    <s v="Smartphone"/>
    <x v="4"/>
    <d v="2024-10-11T00:00:00"/>
    <x v="0"/>
    <s v="Yes"/>
    <x v="3"/>
    <x v="2"/>
    <n v="11"/>
    <x v="2"/>
    <s v="Qtr-4"/>
    <x v="1"/>
  </r>
  <r>
    <s v="62-720-2922"/>
    <n v="30"/>
    <x v="2"/>
    <x v="1"/>
    <x v="1"/>
    <s v="Widowed"/>
    <s v="Bachelor's"/>
    <x v="1"/>
    <s v="Cabanas"/>
    <x v="111"/>
    <x v="3"/>
    <n v="244.47"/>
    <n v="5"/>
    <x v="2"/>
    <n v="3"/>
    <n v="4"/>
    <n v="60"/>
    <x v="3"/>
    <x v="2"/>
    <n v="0.2"/>
    <n v="5"/>
    <x v="2"/>
    <s v="Smartphone"/>
    <x v="4"/>
    <d v="2024-06-23T00:00:00"/>
    <x v="1"/>
    <s v="No"/>
    <x v="2"/>
    <x v="0"/>
    <n v="4"/>
    <x v="4"/>
    <s v="Qtr-2"/>
    <x v="2"/>
  </r>
  <r>
    <s v="21-808-2293"/>
    <n v="30"/>
    <x v="2"/>
    <x v="1"/>
    <x v="0"/>
    <s v="Divorced"/>
    <s v="Bachelor's"/>
    <x v="0"/>
    <s v="Sukumo"/>
    <x v="3"/>
    <x v="16"/>
    <n v="431.78"/>
    <n v="12"/>
    <x v="2"/>
    <n v="1"/>
    <n v="3"/>
    <n v="60"/>
    <x v="1"/>
    <x v="2"/>
    <n v="8.3333333333333329E-2"/>
    <n v="8"/>
    <x v="2"/>
    <s v="Smartphone"/>
    <x v="1"/>
    <d v="2024-02-15T00:00:00"/>
    <x v="0"/>
    <s v="No"/>
    <x v="2"/>
    <x v="0"/>
    <n v="7"/>
    <x v="8"/>
    <s v="Qtr-1"/>
    <x v="1"/>
  </r>
  <r>
    <s v="22-022-9256"/>
    <n v="37"/>
    <x v="2"/>
    <x v="0"/>
    <x v="0"/>
    <s v="Married"/>
    <s v="Master's"/>
    <x v="1"/>
    <s v="Fenglu"/>
    <x v="1"/>
    <x v="23"/>
    <n v="303.08999999999997"/>
    <n v="2"/>
    <x v="2"/>
    <n v="2"/>
    <n v="5"/>
    <n v="60"/>
    <x v="0"/>
    <x v="2"/>
    <n v="1"/>
    <n v="9"/>
    <x v="0"/>
    <s v="Tablet"/>
    <x v="3"/>
    <d v="2024-01-10T00:00:00"/>
    <x v="1"/>
    <s v="No"/>
    <x v="2"/>
    <x v="0"/>
    <n v="11"/>
    <x v="3"/>
    <s v="Qtr-1"/>
    <x v="1"/>
  </r>
  <r>
    <s v="96-772-7220"/>
    <n v="40"/>
    <x v="1"/>
    <x v="1"/>
    <x v="1"/>
    <s v="Married"/>
    <s v="Bachelor's"/>
    <x v="1"/>
    <s v="Tanjungbalai"/>
    <x v="4"/>
    <x v="22"/>
    <n v="341.24"/>
    <n v="9"/>
    <x v="0"/>
    <n v="5"/>
    <n v="5"/>
    <n v="120"/>
    <x v="2"/>
    <x v="0"/>
    <n v="0.1111111111111111"/>
    <n v="3"/>
    <x v="0"/>
    <s v="Tablet"/>
    <x v="0"/>
    <d v="2024-11-18T00:00:00"/>
    <x v="0"/>
    <s v="No"/>
    <x v="0"/>
    <x v="1"/>
    <n v="4"/>
    <x v="11"/>
    <s v="Qtr-4"/>
    <x v="1"/>
  </r>
  <r>
    <s v="25-866-7286"/>
    <n v="30"/>
    <x v="2"/>
    <x v="0"/>
    <x v="0"/>
    <s v="Divorced"/>
    <s v="Master's"/>
    <x v="1"/>
    <s v="Carrefour"/>
    <x v="33"/>
    <x v="13"/>
    <n v="211.39"/>
    <n v="10"/>
    <x v="2"/>
    <n v="4"/>
    <n v="5"/>
    <n v="60"/>
    <x v="1"/>
    <x v="1"/>
    <n v="0"/>
    <n v="1"/>
    <x v="2"/>
    <s v="Desktop"/>
    <x v="3"/>
    <d v="2024-05-10T00:00:00"/>
    <x v="0"/>
    <s v="No"/>
    <x v="3"/>
    <x v="2"/>
    <n v="1"/>
    <x v="9"/>
    <s v="Qtr-2"/>
    <x v="2"/>
  </r>
  <r>
    <s v="72-694-4159"/>
    <n v="39"/>
    <x v="2"/>
    <x v="0"/>
    <x v="0"/>
    <s v="Married"/>
    <s v="Bachelor's"/>
    <x v="0"/>
    <s v="Tewulike"/>
    <x v="4"/>
    <x v="13"/>
    <n v="379.21"/>
    <n v="9"/>
    <x v="0"/>
    <n v="1"/>
    <n v="5"/>
    <n v="60"/>
    <x v="2"/>
    <x v="0"/>
    <n v="0.1111111111111111"/>
    <n v="1"/>
    <x v="1"/>
    <s v="Smartphone"/>
    <x v="1"/>
    <d v="2024-09-18T00:00:00"/>
    <x v="0"/>
    <s v="Yes"/>
    <x v="2"/>
    <x v="0"/>
    <n v="1"/>
    <x v="10"/>
    <s v="Qtr-3"/>
    <x v="1"/>
  </r>
  <r>
    <s v="10-079-8237"/>
    <n v="46"/>
    <x v="1"/>
    <x v="0"/>
    <x v="1"/>
    <s v="Widowed"/>
    <s v="Master's"/>
    <x v="1"/>
    <s v="Hejiang"/>
    <x v="1"/>
    <x v="7"/>
    <n v="309.52999999999997"/>
    <n v="8"/>
    <x v="0"/>
    <n v="2"/>
    <n v="1"/>
    <n v="60"/>
    <x v="0"/>
    <x v="2"/>
    <n v="0.25"/>
    <n v="6"/>
    <x v="0"/>
    <s v="Smartphone"/>
    <x v="4"/>
    <d v="2024-04-14T00:00:00"/>
    <x v="1"/>
    <s v="Yes"/>
    <x v="3"/>
    <x v="1"/>
    <n v="5"/>
    <x v="1"/>
    <s v="Qtr-2"/>
    <x v="1"/>
  </r>
  <r>
    <s v="47-460-8015"/>
    <n v="48"/>
    <x v="1"/>
    <x v="1"/>
    <x v="0"/>
    <s v="Divorced"/>
    <s v="Master's"/>
    <x v="1"/>
    <s v="Yaizu"/>
    <x v="3"/>
    <x v="5"/>
    <n v="359.45"/>
    <n v="6"/>
    <x v="2"/>
    <n v="4"/>
    <n v="1"/>
    <n v="120"/>
    <x v="2"/>
    <x v="1"/>
    <n v="0.16666666666666666"/>
    <n v="8"/>
    <x v="3"/>
    <s v="Desktop"/>
    <x v="3"/>
    <d v="2024-03-06T00:00:00"/>
    <x v="1"/>
    <s v="No"/>
    <x v="2"/>
    <x v="1"/>
    <n v="11"/>
    <x v="0"/>
    <s v="Qtr-1"/>
    <x v="1"/>
  </r>
  <r>
    <s v="06-061-0023"/>
    <n v="20"/>
    <x v="0"/>
    <x v="0"/>
    <x v="1"/>
    <s v="Widowed"/>
    <s v="High School"/>
    <x v="0"/>
    <s v="Kembé"/>
    <x v="131"/>
    <x v="11"/>
    <n v="479.62"/>
    <n v="8"/>
    <x v="1"/>
    <n v="3"/>
    <n v="1"/>
    <n v="120"/>
    <x v="3"/>
    <x v="1"/>
    <n v="0.125"/>
    <n v="3"/>
    <x v="2"/>
    <s v="Tablet"/>
    <x v="3"/>
    <d v="2024-04-19T00:00:00"/>
    <x v="1"/>
    <s v="No"/>
    <x v="3"/>
    <x v="2"/>
    <n v="10"/>
    <x v="1"/>
    <s v="Qtr-2"/>
    <x v="5"/>
  </r>
  <r>
    <s v="80-487-2550"/>
    <n v="34"/>
    <x v="2"/>
    <x v="1"/>
    <x v="1"/>
    <s v="Married"/>
    <s v="Bachelor's"/>
    <x v="0"/>
    <s v="Novokayakent"/>
    <x v="6"/>
    <x v="13"/>
    <n v="208.6"/>
    <n v="2"/>
    <x v="0"/>
    <n v="5"/>
    <n v="1"/>
    <n v="120"/>
    <x v="0"/>
    <x v="0"/>
    <n v="0"/>
    <n v="5"/>
    <x v="1"/>
    <s v="Smartphone"/>
    <x v="0"/>
    <d v="2024-02-29T00:00:00"/>
    <x v="0"/>
    <s v="Yes"/>
    <x v="2"/>
    <x v="1"/>
    <n v="3"/>
    <x v="8"/>
    <s v="Qtr-1"/>
    <x v="3"/>
  </r>
  <r>
    <s v="23-617-2637"/>
    <n v="50"/>
    <x v="1"/>
    <x v="0"/>
    <x v="0"/>
    <s v="Single"/>
    <s v="Master's"/>
    <x v="1"/>
    <s v="Hekou"/>
    <x v="1"/>
    <x v="14"/>
    <n v="180.21"/>
    <n v="2"/>
    <x v="0"/>
    <n v="5"/>
    <n v="5"/>
    <n v="0"/>
    <x v="0"/>
    <x v="2"/>
    <n v="0.5"/>
    <n v="1"/>
    <x v="3"/>
    <s v="Desktop"/>
    <x v="4"/>
    <d v="2024-01-22T00:00:00"/>
    <x v="1"/>
    <s v="Yes"/>
    <x v="0"/>
    <x v="2"/>
    <n v="14"/>
    <x v="3"/>
    <s v="Qtr-1"/>
    <x v="1"/>
  </r>
  <r>
    <s v="60-005-5187"/>
    <n v="25"/>
    <x v="0"/>
    <x v="1"/>
    <x v="0"/>
    <s v="Single"/>
    <s v="High School"/>
    <x v="1"/>
    <s v="Bailadores"/>
    <x v="116"/>
    <x v="13"/>
    <n v="197.9"/>
    <n v="3"/>
    <x v="0"/>
    <n v="2"/>
    <n v="1"/>
    <n v="120"/>
    <x v="1"/>
    <x v="1"/>
    <n v="0"/>
    <n v="8"/>
    <x v="1"/>
    <s v="Desktop"/>
    <x v="2"/>
    <d v="2024-01-18T00:00:00"/>
    <x v="0"/>
    <s v="Yes"/>
    <x v="1"/>
    <x v="1"/>
    <n v="14"/>
    <x v="3"/>
    <s v="Qtr-1"/>
    <x v="4"/>
  </r>
  <r>
    <s v="24-371-5870"/>
    <n v="49"/>
    <x v="1"/>
    <x v="1"/>
    <x v="0"/>
    <s v="Single"/>
    <s v="Bachelor's"/>
    <x v="1"/>
    <s v="Masuda"/>
    <x v="3"/>
    <x v="3"/>
    <n v="362.3"/>
    <n v="7"/>
    <x v="2"/>
    <n v="4"/>
    <n v="2"/>
    <n v="12"/>
    <x v="2"/>
    <x v="1"/>
    <n v="0"/>
    <n v="4"/>
    <x v="2"/>
    <s v="Tablet"/>
    <x v="3"/>
    <d v="2024-09-30T00:00:00"/>
    <x v="0"/>
    <s v="Yes"/>
    <x v="3"/>
    <x v="1"/>
    <n v="6"/>
    <x v="10"/>
    <s v="Qtr-3"/>
    <x v="1"/>
  </r>
  <r>
    <s v="02-055-8248"/>
    <n v="25"/>
    <x v="0"/>
    <x v="0"/>
    <x v="1"/>
    <s v="Divorced"/>
    <s v="Bachelor's"/>
    <x v="1"/>
    <s v="Martanesh"/>
    <x v="37"/>
    <x v="18"/>
    <n v="159.53"/>
    <n v="11"/>
    <x v="0"/>
    <n v="3"/>
    <n v="4"/>
    <n v="120"/>
    <x v="2"/>
    <x v="2"/>
    <n v="0"/>
    <n v="3"/>
    <x v="2"/>
    <s v="Desktop"/>
    <x v="4"/>
    <d v="2024-04-27T00:00:00"/>
    <x v="0"/>
    <s v="Yes"/>
    <x v="2"/>
    <x v="2"/>
    <n v="7"/>
    <x v="1"/>
    <s v="Qtr-2"/>
    <x v="0"/>
  </r>
  <r>
    <s v="54-238-5459"/>
    <n v="40"/>
    <x v="1"/>
    <x v="0"/>
    <x v="1"/>
    <s v="Widowed"/>
    <s v="High School"/>
    <x v="1"/>
    <s v="Xinzhou"/>
    <x v="1"/>
    <x v="23"/>
    <n v="149.52000000000001"/>
    <n v="9"/>
    <x v="1"/>
    <n v="2"/>
    <n v="5"/>
    <n v="60"/>
    <x v="0"/>
    <x v="0"/>
    <n v="0"/>
    <n v="6"/>
    <x v="0"/>
    <s v="Smartphone"/>
    <x v="4"/>
    <d v="2024-03-10T00:00:00"/>
    <x v="1"/>
    <s v="No"/>
    <x v="1"/>
    <x v="0"/>
    <n v="8"/>
    <x v="0"/>
    <s v="Qtr-1"/>
    <x v="1"/>
  </r>
  <r>
    <s v="85-922-0190"/>
    <n v="19"/>
    <x v="3"/>
    <x v="0"/>
    <x v="1"/>
    <s v="Widowed"/>
    <s v="Bachelor's"/>
    <x v="1"/>
    <s v="Nanfeng"/>
    <x v="1"/>
    <x v="16"/>
    <n v="206.32"/>
    <n v="5"/>
    <x v="2"/>
    <n v="3"/>
    <n v="3"/>
    <n v="60"/>
    <x v="2"/>
    <x v="1"/>
    <n v="0"/>
    <n v="4"/>
    <x v="0"/>
    <s v="Desktop"/>
    <x v="1"/>
    <d v="2024-10-12T00:00:00"/>
    <x v="0"/>
    <s v="No"/>
    <x v="1"/>
    <x v="2"/>
    <n v="12"/>
    <x v="2"/>
    <s v="Qtr-4"/>
    <x v="1"/>
  </r>
  <r>
    <s v="48-271-1908"/>
    <n v="40"/>
    <x v="1"/>
    <x v="2"/>
    <x v="1"/>
    <s v="Single"/>
    <s v="Bachelor's"/>
    <x v="1"/>
    <s v="Oke Ila"/>
    <x v="29"/>
    <x v="15"/>
    <n v="308.58"/>
    <n v="11"/>
    <x v="2"/>
    <n v="2"/>
    <n v="5"/>
    <n v="120"/>
    <x v="1"/>
    <x v="1"/>
    <n v="0"/>
    <n v="7"/>
    <x v="3"/>
    <s v="Smartphone"/>
    <x v="2"/>
    <d v="2024-05-21T00:00:00"/>
    <x v="1"/>
    <s v="Yes"/>
    <x v="0"/>
    <x v="2"/>
    <n v="12"/>
    <x v="9"/>
    <s v="Qtr-2"/>
    <x v="5"/>
  </r>
  <r>
    <s v="46-978-3874"/>
    <n v="22"/>
    <x v="0"/>
    <x v="0"/>
    <x v="1"/>
    <s v="Single"/>
    <s v="High School"/>
    <x v="0"/>
    <s v="Rio Pardo"/>
    <x v="14"/>
    <x v="19"/>
    <n v="91.34"/>
    <n v="5"/>
    <x v="2"/>
    <n v="2"/>
    <n v="1"/>
    <n v="60"/>
    <x v="0"/>
    <x v="1"/>
    <n v="0"/>
    <n v="1"/>
    <x v="0"/>
    <s v="Smartphone"/>
    <x v="2"/>
    <d v="2024-01-10T00:00:00"/>
    <x v="0"/>
    <s v="Yes"/>
    <x v="2"/>
    <x v="2"/>
    <n v="6"/>
    <x v="3"/>
    <s v="Qtr-1"/>
    <x v="4"/>
  </r>
  <r>
    <s v="53-595-7635"/>
    <n v="25"/>
    <x v="0"/>
    <x v="0"/>
    <x v="1"/>
    <s v="Divorced"/>
    <s v="High School"/>
    <x v="0"/>
    <s v="Pingtang"/>
    <x v="1"/>
    <x v="8"/>
    <n v="455.44"/>
    <n v="7"/>
    <x v="0"/>
    <n v="4"/>
    <n v="2"/>
    <n v="60"/>
    <x v="2"/>
    <x v="2"/>
    <n v="0.2857142857142857"/>
    <n v="3"/>
    <x v="2"/>
    <s v="Smartphone"/>
    <x v="3"/>
    <d v="2024-05-07T00:00:00"/>
    <x v="1"/>
    <s v="No"/>
    <x v="0"/>
    <x v="0"/>
    <n v="3"/>
    <x v="9"/>
    <s v="Qtr-2"/>
    <x v="1"/>
  </r>
  <r>
    <s v="08-185-6608"/>
    <n v="32"/>
    <x v="2"/>
    <x v="0"/>
    <x v="1"/>
    <s v="Divorced"/>
    <s v="Master's"/>
    <x v="0"/>
    <s v="Podbrdo"/>
    <x v="55"/>
    <x v="15"/>
    <n v="468.16"/>
    <n v="8"/>
    <x v="2"/>
    <n v="3"/>
    <n v="5"/>
    <n v="60"/>
    <x v="2"/>
    <x v="0"/>
    <n v="0.125"/>
    <n v="5"/>
    <x v="1"/>
    <s v="Desktop"/>
    <x v="0"/>
    <d v="2024-01-22T00:00:00"/>
    <x v="1"/>
    <s v="No"/>
    <x v="3"/>
    <x v="1"/>
    <n v="2"/>
    <x v="3"/>
    <s v="Qtr-1"/>
    <x v="0"/>
  </r>
  <r>
    <s v="20-562-2569"/>
    <n v="44"/>
    <x v="1"/>
    <x v="0"/>
    <x v="1"/>
    <s v="Divorced"/>
    <s v="Bachelor's"/>
    <x v="1"/>
    <s v="Aramayuan"/>
    <x v="19"/>
    <x v="7"/>
    <n v="463.67"/>
    <n v="5"/>
    <x v="2"/>
    <n v="2"/>
    <n v="4"/>
    <n v="18"/>
    <x v="3"/>
    <x v="1"/>
    <n v="0.4"/>
    <n v="4"/>
    <x v="0"/>
    <s v="Tablet"/>
    <x v="1"/>
    <d v="2024-07-07T00:00:00"/>
    <x v="0"/>
    <s v="No"/>
    <x v="0"/>
    <x v="1"/>
    <n v="5"/>
    <x v="5"/>
    <s v="Qtr-3"/>
    <x v="1"/>
  </r>
  <r>
    <s v="41-366-4205"/>
    <n v="50"/>
    <x v="1"/>
    <x v="0"/>
    <x v="1"/>
    <s v="Single"/>
    <s v="High School"/>
    <x v="0"/>
    <s v="Paquera"/>
    <x v="132"/>
    <x v="0"/>
    <n v="69.78"/>
    <n v="9"/>
    <x v="0"/>
    <n v="4"/>
    <n v="3"/>
    <n v="120"/>
    <x v="2"/>
    <x v="2"/>
    <n v="0"/>
    <n v="6"/>
    <x v="2"/>
    <s v="Tablet"/>
    <x v="4"/>
    <d v="2024-03-28T00:00:00"/>
    <x v="0"/>
    <s v="No"/>
    <x v="1"/>
    <x v="0"/>
    <n v="9"/>
    <x v="0"/>
    <s v="Qtr-1"/>
    <x v="2"/>
  </r>
  <r>
    <s v="77-241-7621"/>
    <n v="26"/>
    <x v="0"/>
    <x v="1"/>
    <x v="1"/>
    <s v="Married"/>
    <s v="Bachelor's"/>
    <x v="1"/>
    <s v="Warudoyong"/>
    <x v="4"/>
    <x v="1"/>
    <n v="453.37"/>
    <n v="10"/>
    <x v="0"/>
    <n v="1"/>
    <n v="1"/>
    <n v="120"/>
    <x v="2"/>
    <x v="2"/>
    <n v="0"/>
    <n v="6"/>
    <x v="1"/>
    <s v="Desktop"/>
    <x v="0"/>
    <d v="2024-03-11T00:00:00"/>
    <x v="0"/>
    <s v="Yes"/>
    <x v="1"/>
    <x v="2"/>
    <n v="9"/>
    <x v="0"/>
    <s v="Qtr-1"/>
    <x v="1"/>
  </r>
  <r>
    <s v="53-091-2176"/>
    <n v="21"/>
    <x v="0"/>
    <x v="0"/>
    <x v="1"/>
    <s v="Widowed"/>
    <s v="Bachelor's"/>
    <x v="0"/>
    <s v="Béziers"/>
    <x v="0"/>
    <x v="15"/>
    <n v="106.15"/>
    <n v="12"/>
    <x v="1"/>
    <n v="4"/>
    <n v="4"/>
    <n v="18"/>
    <x v="2"/>
    <x v="0"/>
    <n v="0"/>
    <n v="5"/>
    <x v="3"/>
    <s v="Desktop"/>
    <x v="4"/>
    <d v="2024-03-30T00:00:00"/>
    <x v="0"/>
    <s v="Yes"/>
    <x v="2"/>
    <x v="1"/>
    <n v="8"/>
    <x v="0"/>
    <s v="Qtr-1"/>
    <x v="0"/>
  </r>
  <r>
    <s v="48-203-9118"/>
    <n v="21"/>
    <x v="0"/>
    <x v="0"/>
    <x v="0"/>
    <s v="Single"/>
    <s v="High School"/>
    <x v="1"/>
    <s v="Dongzhou"/>
    <x v="1"/>
    <x v="10"/>
    <n v="378.47"/>
    <n v="6"/>
    <x v="2"/>
    <n v="5"/>
    <n v="2"/>
    <n v="19.8"/>
    <x v="1"/>
    <x v="1"/>
    <n v="0.16666666666666666"/>
    <n v="10"/>
    <x v="2"/>
    <s v="Tablet"/>
    <x v="3"/>
    <d v="2024-12-08T00:00:00"/>
    <x v="1"/>
    <s v="No"/>
    <x v="3"/>
    <x v="2"/>
    <n v="2"/>
    <x v="6"/>
    <s v="Qtr-4"/>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37-611-6911"/>
    <x v="0"/>
    <x v="0"/>
    <x v="0"/>
    <x v="0"/>
    <x v="0"/>
    <x v="0"/>
    <s v="Middle"/>
    <s v="Évry"/>
    <s v="France"/>
    <x v="0"/>
    <n v="333.8"/>
    <n v="4"/>
    <s v="Mixed"/>
    <n v="5"/>
    <n v="5"/>
    <n v="120"/>
    <s v="None"/>
    <s v="Somewhat Sensitive"/>
    <n v="0.25"/>
    <x v="0"/>
    <s v="None"/>
    <x v="0"/>
    <s v="Credit Card"/>
    <d v="2024-03-01T00:00:00"/>
    <x v="0"/>
    <x v="0"/>
    <x v="0"/>
    <x v="0"/>
    <n v="2"/>
    <x v="0"/>
    <s v="Qtr-1"/>
  </r>
  <r>
    <s v="29-392-9296"/>
    <x v="1"/>
    <x v="1"/>
    <x v="1"/>
    <x v="1"/>
    <x v="0"/>
    <x v="1"/>
    <s v="High"/>
    <s v="Huocheng"/>
    <s v="China"/>
    <x v="1"/>
    <n v="222.22"/>
    <n v="11"/>
    <s v="In-Store"/>
    <n v="3"/>
    <n v="1"/>
    <n v="120"/>
    <s v="Medium"/>
    <s v="Not Sensitive"/>
    <n v="9.0909090909090912E-2"/>
    <x v="1"/>
    <s v="High"/>
    <x v="0"/>
    <s v="PayPal"/>
    <d v="2024-04-16T00:00:00"/>
    <x v="0"/>
    <x v="0"/>
    <x v="1"/>
    <x v="1"/>
    <n v="6"/>
    <x v="1"/>
    <s v="Qtr-2"/>
  </r>
  <r>
    <s v="84-649-5117"/>
    <x v="2"/>
    <x v="0"/>
    <x v="0"/>
    <x v="0"/>
    <x v="1"/>
    <x v="2"/>
    <s v="High"/>
    <s v="Huzhen"/>
    <s v="China"/>
    <x v="2"/>
    <n v="426.22"/>
    <n v="2"/>
    <s v="Mixed"/>
    <n v="5"/>
    <n v="5"/>
    <n v="18"/>
    <s v="Low"/>
    <s v="Not Sensitive"/>
    <n v="0.5"/>
    <x v="0"/>
    <s v="Low"/>
    <x v="1"/>
    <s v="Debit Card"/>
    <d v="2024-03-15T00:00:00"/>
    <x v="0"/>
    <x v="1"/>
    <x v="2"/>
    <x v="0"/>
    <n v="3"/>
    <x v="0"/>
    <s v="Qtr-1"/>
  </r>
  <r>
    <s v="48-980-6078"/>
    <x v="3"/>
    <x v="0"/>
    <x v="0"/>
    <x v="0"/>
    <x v="1"/>
    <x v="2"/>
    <s v="Middle"/>
    <s v="Wiwilí"/>
    <s v="Nicaragua"/>
    <x v="3"/>
    <n v="101.31"/>
    <n v="6"/>
    <s v="Mixed"/>
    <n v="3"/>
    <n v="1"/>
    <n v="60"/>
    <s v="High"/>
    <s v="Somewhat Sensitive"/>
    <n v="0"/>
    <x v="2"/>
    <s v="None"/>
    <x v="1"/>
    <s v="Other"/>
    <d v="2024-10-04T00:00:00"/>
    <x v="0"/>
    <x v="1"/>
    <x v="0"/>
    <x v="2"/>
    <n v="10"/>
    <x v="2"/>
    <s v="Qtr-4"/>
  </r>
  <r>
    <s v="91-170-9072"/>
    <x v="4"/>
    <x v="2"/>
    <x v="0"/>
    <x v="0"/>
    <x v="2"/>
    <x v="1"/>
    <s v="Middle"/>
    <s v="Nara"/>
    <s v="Japan"/>
    <x v="4"/>
    <n v="211.7"/>
    <n v="6"/>
    <s v="Mixed"/>
    <n v="3"/>
    <n v="4"/>
    <n v="0"/>
    <s v="Medium"/>
    <s v="Not Sensitive"/>
    <n v="0.33333333333333331"/>
    <x v="3"/>
    <s v="None"/>
    <x v="1"/>
    <s v="Debit Card"/>
    <d v="2024-01-30T00:00:00"/>
    <x v="1"/>
    <x v="0"/>
    <x v="1"/>
    <x v="0"/>
    <n v="4"/>
    <x v="3"/>
    <s v="Qtr-1"/>
  </r>
  <r>
    <s v="82-561-4233"/>
    <x v="5"/>
    <x v="1"/>
    <x v="1"/>
    <x v="0"/>
    <x v="0"/>
    <x v="2"/>
    <s v="High"/>
    <s v="Boro Utara"/>
    <s v="Indonesia"/>
    <x v="2"/>
    <n v="487.95"/>
    <n v="8"/>
    <s v="Mixed"/>
    <n v="3"/>
    <n v="3"/>
    <n v="0"/>
    <s v="High"/>
    <s v="Not Sensitive"/>
    <n v="0.25"/>
    <x v="4"/>
    <s v="None"/>
    <x v="0"/>
    <s v="Debit Card"/>
    <d v="2024-03-19T00:00:00"/>
    <x v="1"/>
    <x v="0"/>
    <x v="3"/>
    <x v="0"/>
    <n v="7"/>
    <x v="0"/>
    <s v="Qtr-1"/>
  </r>
  <r>
    <s v="90-144-9193"/>
    <x v="6"/>
    <x v="0"/>
    <x v="0"/>
    <x v="0"/>
    <x v="3"/>
    <x v="1"/>
    <s v="Middle"/>
    <s v="Liren"/>
    <s v="China"/>
    <x v="4"/>
    <n v="486.4"/>
    <n v="12"/>
    <s v="Online"/>
    <n v="2"/>
    <n v="5"/>
    <n v="60"/>
    <s v="High"/>
    <s v="Somewhat Sensitive"/>
    <n v="0"/>
    <x v="5"/>
    <s v="Low"/>
    <x v="2"/>
    <s v="Debit Card"/>
    <d v="2024-03-15T00:00:00"/>
    <x v="0"/>
    <x v="0"/>
    <x v="0"/>
    <x v="2"/>
    <n v="13"/>
    <x v="0"/>
    <s v="Qtr-1"/>
  </r>
  <r>
    <s v="88-661-4689"/>
    <x v="7"/>
    <x v="2"/>
    <x v="1"/>
    <x v="0"/>
    <x v="1"/>
    <x v="1"/>
    <s v="Middle"/>
    <s v="Taocheng"/>
    <s v="China"/>
    <x v="5"/>
    <n v="218.06"/>
    <n v="6"/>
    <s v="Online"/>
    <n v="5"/>
    <n v="4"/>
    <n v="60"/>
    <s v="Low"/>
    <s v="Somewhat Sensitive"/>
    <n v="0.33333333333333331"/>
    <x v="5"/>
    <s v="None"/>
    <x v="2"/>
    <s v="Credit Card"/>
    <d v="2024-03-17T00:00:00"/>
    <x v="1"/>
    <x v="1"/>
    <x v="2"/>
    <x v="0"/>
    <n v="13"/>
    <x v="0"/>
    <s v="Qtr-1"/>
  </r>
  <r>
    <s v="37-065-3182"/>
    <x v="2"/>
    <x v="0"/>
    <x v="0"/>
    <x v="1"/>
    <x v="3"/>
    <x v="2"/>
    <s v="Middle"/>
    <s v="Gråbo"/>
    <s v="Sweden"/>
    <x v="2"/>
    <n v="201.96"/>
    <n v="8"/>
    <s v="In-Store"/>
    <n v="3"/>
    <n v="5"/>
    <n v="0"/>
    <s v="Low"/>
    <s v="Very Sensitive"/>
    <n v="0.125"/>
    <x v="6"/>
    <s v="High"/>
    <x v="2"/>
    <s v="Cash"/>
    <d v="2024-06-10T00:00:00"/>
    <x v="1"/>
    <x v="0"/>
    <x v="0"/>
    <x v="1"/>
    <n v="7"/>
    <x v="4"/>
    <s v="Qtr-2"/>
  </r>
  <r>
    <s v="84-894-9222"/>
    <x v="8"/>
    <x v="0"/>
    <x v="2"/>
    <x v="1"/>
    <x v="0"/>
    <x v="0"/>
    <s v="High"/>
    <s v="Pryamitsyno"/>
    <s v="Russia"/>
    <x v="6"/>
    <n v="418.83"/>
    <n v="7"/>
    <s v="Online"/>
    <n v="2"/>
    <n v="5"/>
    <n v="60"/>
    <s v="None"/>
    <s v="Somewhat Sensitive"/>
    <n v="0.14285714285714285"/>
    <x v="1"/>
    <s v="Medium"/>
    <x v="0"/>
    <s v="PayPal"/>
    <d v="2024-10-07T00:00:00"/>
    <x v="0"/>
    <x v="0"/>
    <x v="0"/>
    <x v="0"/>
    <n v="13"/>
    <x v="2"/>
    <s v="Qtr-4"/>
  </r>
  <r>
    <s v="44-674-4037"/>
    <x v="4"/>
    <x v="2"/>
    <x v="1"/>
    <x v="0"/>
    <x v="3"/>
    <x v="0"/>
    <s v="Middle"/>
    <s v="Punta Gorda"/>
    <s v="Belize"/>
    <x v="7"/>
    <n v="389.7"/>
    <n v="12"/>
    <s v="In-Store"/>
    <n v="1"/>
    <n v="4"/>
    <n v="30"/>
    <s v="Low"/>
    <s v="Not Sensitive"/>
    <n v="0"/>
    <x v="7"/>
    <s v="High"/>
    <x v="2"/>
    <s v="PayPal"/>
    <d v="2024-07-02T00:00:00"/>
    <x v="0"/>
    <x v="0"/>
    <x v="3"/>
    <x v="2"/>
    <n v="12"/>
    <x v="5"/>
    <s v="Qtr-3"/>
  </r>
  <r>
    <s v="78-116-8349"/>
    <x v="9"/>
    <x v="2"/>
    <x v="0"/>
    <x v="1"/>
    <x v="2"/>
    <x v="0"/>
    <s v="Middle"/>
    <s v="Gyar"/>
    <s v="Hungary"/>
    <x v="6"/>
    <n v="238.93"/>
    <n v="5"/>
    <s v="Online"/>
    <n v="4"/>
    <n v="3"/>
    <n v="60"/>
    <s v="Medium"/>
    <s v="Very Sensitive"/>
    <n v="0"/>
    <x v="3"/>
    <s v="High"/>
    <x v="0"/>
    <s v="Cash"/>
    <d v="2024-12-27T00:00:00"/>
    <x v="0"/>
    <x v="0"/>
    <x v="3"/>
    <x v="0"/>
    <n v="1"/>
    <x v="6"/>
    <s v="Qtr-4"/>
  </r>
  <r>
    <s v="19-933-8095"/>
    <x v="10"/>
    <x v="2"/>
    <x v="1"/>
    <x v="0"/>
    <x v="1"/>
    <x v="0"/>
    <s v="High"/>
    <s v="Gaosheng"/>
    <s v="China"/>
    <x v="8"/>
    <n v="61.22"/>
    <n v="7"/>
    <s v="In-Store"/>
    <n v="5"/>
    <n v="2"/>
    <n v="120"/>
    <s v="Low"/>
    <s v="Very Sensitive"/>
    <n v="0.14285714285714285"/>
    <x v="0"/>
    <s v="High"/>
    <x v="2"/>
    <s v="Debit Card"/>
    <d v="2024-08-05T00:00:00"/>
    <x v="0"/>
    <x v="1"/>
    <x v="0"/>
    <x v="0"/>
    <n v="5"/>
    <x v="7"/>
    <s v="Qtr-3"/>
  </r>
  <r>
    <s v="80-684-5072"/>
    <x v="11"/>
    <x v="2"/>
    <x v="1"/>
    <x v="1"/>
    <x v="0"/>
    <x v="1"/>
    <s v="Middle"/>
    <s v="Rokytne"/>
    <s v="Ukraine"/>
    <x v="9"/>
    <n v="79.81"/>
    <n v="4"/>
    <s v="Mixed"/>
    <n v="5"/>
    <n v="5"/>
    <n v="0"/>
    <s v="High"/>
    <s v="Not Sensitive"/>
    <n v="0"/>
    <x v="5"/>
    <s v="High"/>
    <x v="1"/>
    <s v="Debit Card"/>
    <d v="2024-07-16T00:00:00"/>
    <x v="1"/>
    <x v="1"/>
    <x v="1"/>
    <x v="1"/>
    <n v="14"/>
    <x v="5"/>
    <s v="Qtr-3"/>
  </r>
  <r>
    <s v="23-302-7502"/>
    <x v="12"/>
    <x v="2"/>
    <x v="0"/>
    <x v="1"/>
    <x v="2"/>
    <x v="1"/>
    <s v="High"/>
    <s v="Alameda"/>
    <s v="United States"/>
    <x v="10"/>
    <n v="58.51"/>
    <n v="2"/>
    <s v="Online"/>
    <n v="4"/>
    <n v="4"/>
    <n v="30"/>
    <s v="None"/>
    <s v="Not Sensitive"/>
    <n v="0"/>
    <x v="7"/>
    <s v="Medium"/>
    <x v="2"/>
    <s v="PayPal"/>
    <d v="2024-12-14T00:00:00"/>
    <x v="0"/>
    <x v="1"/>
    <x v="3"/>
    <x v="0"/>
    <n v="14"/>
    <x v="6"/>
    <s v="Qtr-4"/>
  </r>
  <r>
    <s v="90-069-8934"/>
    <x v="13"/>
    <x v="1"/>
    <x v="1"/>
    <x v="1"/>
    <x v="3"/>
    <x v="2"/>
    <s v="High"/>
    <s v="Dhankut?"/>
    <s v="India"/>
    <x v="11"/>
    <n v="109.29"/>
    <n v="3"/>
    <s v="Online"/>
    <n v="3"/>
    <n v="4"/>
    <n v="0"/>
    <s v="Medium"/>
    <s v="Somewhat Sensitive"/>
    <n v="0.66666666666666663"/>
    <x v="6"/>
    <s v="High"/>
    <x v="2"/>
    <s v="Debit Card"/>
    <d v="2024-08-11T00:00:00"/>
    <x v="1"/>
    <x v="1"/>
    <x v="1"/>
    <x v="2"/>
    <n v="11"/>
    <x v="7"/>
    <s v="Qtr-3"/>
  </r>
  <r>
    <s v="45-073-7243"/>
    <x v="14"/>
    <x v="2"/>
    <x v="1"/>
    <x v="1"/>
    <x v="1"/>
    <x v="0"/>
    <s v="High"/>
    <s v="Jindong"/>
    <s v="China"/>
    <x v="4"/>
    <n v="356.45"/>
    <n v="6"/>
    <s v="Mixed"/>
    <n v="5"/>
    <n v="5"/>
    <n v="120"/>
    <s v="Low"/>
    <s v="Very Sensitive"/>
    <n v="0"/>
    <x v="0"/>
    <s v="Medium"/>
    <x v="1"/>
    <s v="Credit Card"/>
    <d v="2024-10-18T00:00:00"/>
    <x v="1"/>
    <x v="1"/>
    <x v="3"/>
    <x v="1"/>
    <n v="8"/>
    <x v="2"/>
    <s v="Qtr-4"/>
  </r>
  <r>
    <s v="89-883-2101"/>
    <x v="9"/>
    <x v="2"/>
    <x v="0"/>
    <x v="0"/>
    <x v="3"/>
    <x v="0"/>
    <s v="High"/>
    <s v="Ngeru"/>
    <s v="Indonesia"/>
    <x v="7"/>
    <n v="236.99"/>
    <n v="10"/>
    <s v="Mixed"/>
    <n v="2"/>
    <n v="4"/>
    <n v="0"/>
    <s v="High"/>
    <s v="Very Sensitive"/>
    <n v="0"/>
    <x v="8"/>
    <s v="None"/>
    <x v="0"/>
    <s v="PayPal"/>
    <d v="2024-12-09T00:00:00"/>
    <x v="0"/>
    <x v="1"/>
    <x v="2"/>
    <x v="0"/>
    <n v="13"/>
    <x v="6"/>
    <s v="Qtr-4"/>
  </r>
  <r>
    <s v="00-477-9449"/>
    <x v="15"/>
    <x v="2"/>
    <x v="1"/>
    <x v="0"/>
    <x v="2"/>
    <x v="0"/>
    <s v="High"/>
    <s v="White Rock"/>
    <s v="Canada"/>
    <x v="12"/>
    <n v="454.39"/>
    <n v="10"/>
    <s v="In-Store"/>
    <n v="2"/>
    <n v="4"/>
    <n v="120"/>
    <s v="Medium"/>
    <s v="Not Sensitive"/>
    <n v="0"/>
    <x v="4"/>
    <s v="None"/>
    <x v="2"/>
    <s v="Other"/>
    <d v="2024-07-23T00:00:00"/>
    <x v="1"/>
    <x v="1"/>
    <x v="2"/>
    <x v="1"/>
    <n v="3"/>
    <x v="5"/>
    <s v="Qtr-3"/>
  </r>
  <r>
    <s v="67-159-7366"/>
    <x v="3"/>
    <x v="0"/>
    <x v="0"/>
    <x v="1"/>
    <x v="2"/>
    <x v="0"/>
    <s v="Middle"/>
    <s v="Monastyrshchina"/>
    <s v="Russia"/>
    <x v="13"/>
    <n v="490.75"/>
    <n v="10"/>
    <s v="In-Store"/>
    <n v="2"/>
    <n v="4"/>
    <n v="60"/>
    <s v="None"/>
    <s v="Very Sensitive"/>
    <n v="0.1"/>
    <x v="7"/>
    <s v="Low"/>
    <x v="1"/>
    <s v="Debit Card"/>
    <d v="2024-07-08T00:00:00"/>
    <x v="1"/>
    <x v="0"/>
    <x v="1"/>
    <x v="1"/>
    <n v="13"/>
    <x v="5"/>
    <s v="Qtr-3"/>
  </r>
  <r>
    <s v="85-691-4293"/>
    <x v="6"/>
    <x v="0"/>
    <x v="0"/>
    <x v="0"/>
    <x v="2"/>
    <x v="1"/>
    <s v="Middle"/>
    <s v="Pangkalanbunut"/>
    <s v="Indonesia"/>
    <x v="14"/>
    <n v="463.07"/>
    <n v="7"/>
    <s v="Mixed"/>
    <n v="4"/>
    <n v="2"/>
    <n v="0"/>
    <s v="None"/>
    <s v="Very Sensitive"/>
    <n v="0.14285714285714285"/>
    <x v="6"/>
    <s v="Medium"/>
    <x v="1"/>
    <s v="PayPal"/>
    <d v="2024-07-23T00:00:00"/>
    <x v="0"/>
    <x v="0"/>
    <x v="1"/>
    <x v="0"/>
    <n v="11"/>
    <x v="5"/>
    <s v="Qtr-3"/>
  </r>
  <r>
    <s v="56-085-0464"/>
    <x v="15"/>
    <x v="2"/>
    <x v="0"/>
    <x v="1"/>
    <x v="0"/>
    <x v="2"/>
    <s v="High"/>
    <s v="Lederaba"/>
    <s v="Indonesia"/>
    <x v="15"/>
    <n v="56.74"/>
    <n v="5"/>
    <s v="Online"/>
    <n v="5"/>
    <n v="1"/>
    <n v="0"/>
    <s v="Medium"/>
    <s v="Very Sensitive"/>
    <n v="0"/>
    <x v="9"/>
    <s v="None"/>
    <x v="1"/>
    <s v="Other"/>
    <d v="2024-07-31T00:00:00"/>
    <x v="0"/>
    <x v="0"/>
    <x v="2"/>
    <x v="2"/>
    <n v="7"/>
    <x v="5"/>
    <s v="Qtr-3"/>
  </r>
  <r>
    <s v="33-264-2822"/>
    <x v="9"/>
    <x v="2"/>
    <x v="1"/>
    <x v="1"/>
    <x v="3"/>
    <x v="0"/>
    <s v="Middle"/>
    <s v="Lugo"/>
    <s v="Spain"/>
    <x v="16"/>
    <n v="371.32"/>
    <n v="7"/>
    <s v="In-Store"/>
    <n v="4"/>
    <n v="4"/>
    <n v="42"/>
    <s v="Medium"/>
    <s v="Not Sensitive"/>
    <n v="0.2857142857142857"/>
    <x v="2"/>
    <s v="None"/>
    <x v="0"/>
    <s v="Debit Card"/>
    <d v="2024-02-25T00:00:00"/>
    <x v="0"/>
    <x v="1"/>
    <x v="2"/>
    <x v="1"/>
    <n v="6"/>
    <x v="8"/>
    <s v="Qtr-1"/>
  </r>
  <r>
    <s v="95-478-2650"/>
    <x v="14"/>
    <x v="2"/>
    <x v="0"/>
    <x v="0"/>
    <x v="1"/>
    <x v="0"/>
    <s v="Middle"/>
    <s v="São Roque"/>
    <s v="Brazil"/>
    <x v="14"/>
    <n v="461"/>
    <n v="7"/>
    <s v="Online"/>
    <n v="2"/>
    <n v="4"/>
    <n v="60"/>
    <s v="High"/>
    <s v="Not Sensitive"/>
    <n v="0"/>
    <x v="8"/>
    <s v="Low"/>
    <x v="0"/>
    <s v="Cash"/>
    <d v="2024-07-10T00:00:00"/>
    <x v="1"/>
    <x v="1"/>
    <x v="1"/>
    <x v="1"/>
    <n v="9"/>
    <x v="5"/>
    <s v="Qtr-3"/>
  </r>
  <r>
    <s v="04-349-6759"/>
    <x v="4"/>
    <x v="2"/>
    <x v="0"/>
    <x v="1"/>
    <x v="0"/>
    <x v="0"/>
    <s v="High"/>
    <s v="Ban? Khadd?sh"/>
    <s v="Egypt"/>
    <x v="1"/>
    <n v="253.37"/>
    <n v="6"/>
    <s v="In-Store"/>
    <n v="4"/>
    <n v="1"/>
    <n v="60"/>
    <s v="None"/>
    <s v="Very Sensitive"/>
    <n v="0.33333333333333331"/>
    <x v="3"/>
    <s v="High"/>
    <x v="0"/>
    <s v="Other"/>
    <d v="2024-12-25T00:00:00"/>
    <x v="0"/>
    <x v="0"/>
    <x v="2"/>
    <x v="1"/>
    <n v="8"/>
    <x v="6"/>
    <s v="Qtr-4"/>
  </r>
  <r>
    <s v="21-755-8745"/>
    <x v="14"/>
    <x v="2"/>
    <x v="1"/>
    <x v="1"/>
    <x v="2"/>
    <x v="1"/>
    <s v="High"/>
    <s v="Montpellier"/>
    <s v="France"/>
    <x v="12"/>
    <n v="136.53"/>
    <n v="3"/>
    <s v="Mixed"/>
    <n v="2"/>
    <n v="4"/>
    <n v="120"/>
    <s v="High"/>
    <s v="Not Sensitive"/>
    <n v="0.33333333333333331"/>
    <x v="4"/>
    <s v="High"/>
    <x v="1"/>
    <s v="PayPal"/>
    <d v="2024-05-31T00:00:00"/>
    <x v="0"/>
    <x v="1"/>
    <x v="3"/>
    <x v="1"/>
    <n v="10"/>
    <x v="9"/>
    <s v="Qtr-2"/>
  </r>
  <r>
    <s v="29-625-7057"/>
    <x v="16"/>
    <x v="2"/>
    <x v="0"/>
    <x v="0"/>
    <x v="1"/>
    <x v="2"/>
    <s v="Middle"/>
    <s v="Nesovice"/>
    <s v="Czech Republic"/>
    <x v="17"/>
    <n v="489.05"/>
    <n v="10"/>
    <s v="Online"/>
    <n v="5"/>
    <n v="3"/>
    <n v="0"/>
    <s v="High"/>
    <s v="Somewhat Sensitive"/>
    <n v="0.2"/>
    <x v="6"/>
    <s v="High"/>
    <x v="2"/>
    <s v="PayPal"/>
    <d v="2024-09-04T00:00:00"/>
    <x v="0"/>
    <x v="1"/>
    <x v="3"/>
    <x v="1"/>
    <n v="7"/>
    <x v="10"/>
    <s v="Qtr-3"/>
  </r>
  <r>
    <s v="58-623-8404"/>
    <x v="17"/>
    <x v="1"/>
    <x v="1"/>
    <x v="1"/>
    <x v="1"/>
    <x v="2"/>
    <s v="High"/>
    <s v="Pasirhuni"/>
    <s v="Indonesia"/>
    <x v="13"/>
    <n v="81.91"/>
    <n v="10"/>
    <s v="In-Store"/>
    <n v="3"/>
    <n v="4"/>
    <n v="60"/>
    <s v="Medium"/>
    <s v="Very Sensitive"/>
    <n v="0"/>
    <x v="7"/>
    <s v="None"/>
    <x v="2"/>
    <s v="Debit Card"/>
    <d v="2024-07-24T00:00:00"/>
    <x v="1"/>
    <x v="1"/>
    <x v="0"/>
    <x v="2"/>
    <n v="2"/>
    <x v="5"/>
    <s v="Qtr-3"/>
  </r>
  <r>
    <s v="56-506-4709"/>
    <x v="17"/>
    <x v="1"/>
    <x v="1"/>
    <x v="0"/>
    <x v="0"/>
    <x v="0"/>
    <s v="Middle"/>
    <s v="Glendale"/>
    <s v="United States"/>
    <x v="17"/>
    <n v="135.80000000000001"/>
    <n v="2"/>
    <s v="In-Store"/>
    <n v="2"/>
    <n v="5"/>
    <n v="60"/>
    <s v="Low"/>
    <s v="Somewhat Sensitive"/>
    <n v="0.5"/>
    <x v="6"/>
    <s v="High"/>
    <x v="2"/>
    <s v="Debit Card"/>
    <d v="2024-11-16T00:00:00"/>
    <x v="1"/>
    <x v="1"/>
    <x v="3"/>
    <x v="0"/>
    <n v="9"/>
    <x v="11"/>
    <s v="Qtr-4"/>
  </r>
  <r>
    <s v="25-839-8670"/>
    <x v="5"/>
    <x v="1"/>
    <x v="0"/>
    <x v="0"/>
    <x v="2"/>
    <x v="1"/>
    <s v="Middle"/>
    <s v="Tála"/>
    <s v="Ireland"/>
    <x v="18"/>
    <n v="382.24"/>
    <n v="12"/>
    <s v="In-Store"/>
    <n v="1"/>
    <n v="5"/>
    <n v="60"/>
    <s v="High"/>
    <s v="Very Sensitive"/>
    <n v="8.3333333333333329E-2"/>
    <x v="7"/>
    <s v="High"/>
    <x v="0"/>
    <s v="PayPal"/>
    <d v="2024-07-06T00:00:00"/>
    <x v="0"/>
    <x v="1"/>
    <x v="3"/>
    <x v="1"/>
    <n v="3"/>
    <x v="5"/>
    <s v="Qtr-3"/>
  </r>
  <r>
    <s v="89-194-0596"/>
    <x v="4"/>
    <x v="2"/>
    <x v="0"/>
    <x v="1"/>
    <x v="0"/>
    <x v="0"/>
    <s v="Middle"/>
    <s v="Marseille"/>
    <s v="France"/>
    <x v="0"/>
    <n v="354.7"/>
    <n v="5"/>
    <s v="Online"/>
    <n v="4"/>
    <n v="2"/>
    <n v="0"/>
    <s v="None"/>
    <s v="Very Sensitive"/>
    <n v="0.4"/>
    <x v="0"/>
    <s v="None"/>
    <x v="1"/>
    <s v="Other"/>
    <d v="2024-02-10T00:00:00"/>
    <x v="0"/>
    <x v="0"/>
    <x v="3"/>
    <x v="2"/>
    <n v="12"/>
    <x v="8"/>
    <s v="Qtr-1"/>
  </r>
  <r>
    <s v="55-163-1389"/>
    <x v="2"/>
    <x v="0"/>
    <x v="1"/>
    <x v="1"/>
    <x v="3"/>
    <x v="0"/>
    <s v="High"/>
    <s v="Nasielsk"/>
    <s v="Poland"/>
    <x v="7"/>
    <n v="433.82"/>
    <n v="6"/>
    <s v="Online"/>
    <n v="3"/>
    <n v="2"/>
    <n v="60"/>
    <s v="Medium"/>
    <s v="Somewhat Sensitive"/>
    <n v="0"/>
    <x v="8"/>
    <s v="Medium"/>
    <x v="2"/>
    <s v="Other"/>
    <d v="2024-06-29T00:00:00"/>
    <x v="1"/>
    <x v="1"/>
    <x v="3"/>
    <x v="2"/>
    <n v="10"/>
    <x v="4"/>
    <s v="Qtr-2"/>
  </r>
  <r>
    <s v="28-225-4286"/>
    <x v="7"/>
    <x v="2"/>
    <x v="3"/>
    <x v="1"/>
    <x v="0"/>
    <x v="0"/>
    <s v="Middle"/>
    <s v="Paris 06"/>
    <s v="France"/>
    <x v="7"/>
    <n v="282.13"/>
    <n v="5"/>
    <s v="Mixed"/>
    <n v="4"/>
    <n v="5"/>
    <n v="60"/>
    <s v="None"/>
    <s v="Somewhat Sensitive"/>
    <n v="0.2"/>
    <x v="6"/>
    <s v="None"/>
    <x v="0"/>
    <s v="Other"/>
    <d v="2024-01-26T00:00:00"/>
    <x v="0"/>
    <x v="0"/>
    <x v="0"/>
    <x v="1"/>
    <n v="9"/>
    <x v="3"/>
    <s v="Qtr-1"/>
  </r>
  <r>
    <s v="14-305-8712"/>
    <x v="18"/>
    <x v="1"/>
    <x v="1"/>
    <x v="1"/>
    <x v="2"/>
    <x v="1"/>
    <s v="Middle"/>
    <s v="Bronnitsy"/>
    <s v="Russia"/>
    <x v="7"/>
    <n v="454.38"/>
    <n v="10"/>
    <s v="Online"/>
    <n v="3"/>
    <n v="4"/>
    <n v="0"/>
    <s v="None"/>
    <s v="Somewhat Sensitive"/>
    <n v="0"/>
    <x v="3"/>
    <s v="Medium"/>
    <x v="1"/>
    <s v="PayPal"/>
    <d v="2024-06-15T00:00:00"/>
    <x v="0"/>
    <x v="0"/>
    <x v="2"/>
    <x v="0"/>
    <n v="7"/>
    <x v="4"/>
    <s v="Qtr-2"/>
  </r>
  <r>
    <s v="85-738-6864"/>
    <x v="8"/>
    <x v="0"/>
    <x v="1"/>
    <x v="0"/>
    <x v="0"/>
    <x v="1"/>
    <s v="High"/>
    <s v="Inayauan"/>
    <s v="Philippines"/>
    <x v="7"/>
    <n v="138.88"/>
    <n v="7"/>
    <s v="In-Store"/>
    <n v="2"/>
    <n v="4"/>
    <n v="60"/>
    <s v="None"/>
    <s v="Not Sensitive"/>
    <n v="0.14285714285714285"/>
    <x v="4"/>
    <s v="None"/>
    <x v="0"/>
    <s v="Cash"/>
    <d v="2024-06-08T00:00:00"/>
    <x v="0"/>
    <x v="0"/>
    <x v="3"/>
    <x v="0"/>
    <n v="4"/>
    <x v="4"/>
    <s v="Qtr-2"/>
  </r>
  <r>
    <s v="17-198-5155"/>
    <x v="12"/>
    <x v="2"/>
    <x v="0"/>
    <x v="1"/>
    <x v="1"/>
    <x v="0"/>
    <s v="High"/>
    <s v="Qianjin"/>
    <s v="China"/>
    <x v="5"/>
    <n v="52.34"/>
    <n v="6"/>
    <s v="In-Store"/>
    <n v="3"/>
    <n v="4"/>
    <n v="60"/>
    <s v="Low"/>
    <s v="Somewhat Sensitive"/>
    <n v="0.16666666666666666"/>
    <x v="1"/>
    <s v="Medium"/>
    <x v="0"/>
    <s v="PayPal"/>
    <d v="2024-05-21T00:00:00"/>
    <x v="0"/>
    <x v="1"/>
    <x v="3"/>
    <x v="2"/>
    <n v="13"/>
    <x v="9"/>
    <s v="Qtr-2"/>
  </r>
  <r>
    <s v="15-354-9904"/>
    <x v="10"/>
    <x v="2"/>
    <x v="1"/>
    <x v="0"/>
    <x v="1"/>
    <x v="0"/>
    <s v="High"/>
    <s v="Bagahanlad"/>
    <s v="Philippines"/>
    <x v="19"/>
    <n v="338.2"/>
    <n v="7"/>
    <s v="Online"/>
    <n v="3"/>
    <n v="5"/>
    <n v="0"/>
    <s v="None"/>
    <s v="Not Sensitive"/>
    <n v="0.14285714285714285"/>
    <x v="5"/>
    <s v="Medium"/>
    <x v="0"/>
    <s v="Other"/>
    <d v="2024-09-01T00:00:00"/>
    <x v="0"/>
    <x v="0"/>
    <x v="1"/>
    <x v="1"/>
    <n v="7"/>
    <x v="10"/>
    <s v="Qtr-3"/>
  </r>
  <r>
    <s v="35-198-9248"/>
    <x v="6"/>
    <x v="0"/>
    <x v="0"/>
    <x v="0"/>
    <x v="2"/>
    <x v="1"/>
    <s v="Middle"/>
    <s v="Rzewnie"/>
    <s v="Poland"/>
    <x v="16"/>
    <n v="263.14999999999998"/>
    <n v="3"/>
    <s v="In-Store"/>
    <n v="1"/>
    <n v="5"/>
    <n v="60"/>
    <s v="High"/>
    <s v="Somewhat Sensitive"/>
    <n v="0.33333333333333331"/>
    <x v="3"/>
    <s v="High"/>
    <x v="0"/>
    <s v="Other"/>
    <d v="2024-03-04T00:00:00"/>
    <x v="0"/>
    <x v="0"/>
    <x v="2"/>
    <x v="2"/>
    <n v="10"/>
    <x v="0"/>
    <s v="Qtr-1"/>
  </r>
  <r>
    <s v="03-950-6074"/>
    <x v="15"/>
    <x v="2"/>
    <x v="0"/>
    <x v="0"/>
    <x v="0"/>
    <x v="2"/>
    <s v="Middle"/>
    <s v="Strabychovo"/>
    <s v="Ukraine"/>
    <x v="14"/>
    <n v="371.58"/>
    <n v="2"/>
    <s v="Mixed"/>
    <n v="2"/>
    <n v="1"/>
    <n v="120"/>
    <s v="High"/>
    <s v="Not Sensitive"/>
    <n v="0"/>
    <x v="3"/>
    <s v="None"/>
    <x v="1"/>
    <s v="Cash"/>
    <d v="2024-09-13T00:00:00"/>
    <x v="0"/>
    <x v="1"/>
    <x v="1"/>
    <x v="0"/>
    <n v="11"/>
    <x v="10"/>
    <s v="Qtr-3"/>
  </r>
  <r>
    <s v="19-999-0134"/>
    <x v="12"/>
    <x v="2"/>
    <x v="1"/>
    <x v="0"/>
    <x v="2"/>
    <x v="0"/>
    <s v="Middle"/>
    <s v="Hongqi"/>
    <s v="China"/>
    <x v="10"/>
    <n v="353.4"/>
    <n v="2"/>
    <s v="Online"/>
    <n v="2"/>
    <n v="3"/>
    <n v="120"/>
    <s v="Medium"/>
    <s v="Very Sensitive"/>
    <n v="0"/>
    <x v="2"/>
    <s v="Low"/>
    <x v="0"/>
    <s v="Credit Card"/>
    <d v="2024-12-06T00:00:00"/>
    <x v="1"/>
    <x v="1"/>
    <x v="2"/>
    <x v="0"/>
    <n v="3"/>
    <x v="6"/>
    <s v="Qtr-4"/>
  </r>
  <r>
    <s v="57-989-1487"/>
    <x v="19"/>
    <x v="1"/>
    <x v="0"/>
    <x v="0"/>
    <x v="3"/>
    <x v="1"/>
    <s v="High"/>
    <s v="Oeoh"/>
    <s v="Indonesia"/>
    <x v="14"/>
    <n v="329.41"/>
    <n v="5"/>
    <s v="In-Store"/>
    <n v="5"/>
    <n v="3"/>
    <n v="0"/>
    <s v="Medium"/>
    <s v="Somewhat Sensitive"/>
    <n v="0.2"/>
    <x v="2"/>
    <s v="High"/>
    <x v="2"/>
    <s v="Cash"/>
    <d v="2024-10-21T00:00:00"/>
    <x v="0"/>
    <x v="1"/>
    <x v="0"/>
    <x v="0"/>
    <n v="2"/>
    <x v="2"/>
    <s v="Qtr-4"/>
  </r>
  <r>
    <s v="07-816-2673"/>
    <x v="19"/>
    <x v="1"/>
    <x v="0"/>
    <x v="0"/>
    <x v="0"/>
    <x v="2"/>
    <s v="Middle"/>
    <s v="Topol’noye"/>
    <s v="Russia"/>
    <x v="1"/>
    <n v="54.46"/>
    <n v="5"/>
    <s v="Online"/>
    <n v="4"/>
    <n v="5"/>
    <n v="60"/>
    <s v="High"/>
    <s v="Not Sensitive"/>
    <n v="0.2"/>
    <x v="2"/>
    <s v="Low"/>
    <x v="0"/>
    <s v="Other"/>
    <d v="2024-11-17T00:00:00"/>
    <x v="1"/>
    <x v="0"/>
    <x v="2"/>
    <x v="1"/>
    <n v="1"/>
    <x v="11"/>
    <s v="Qtr-4"/>
  </r>
  <r>
    <s v="70-761-3550"/>
    <x v="20"/>
    <x v="1"/>
    <x v="1"/>
    <x v="1"/>
    <x v="2"/>
    <x v="2"/>
    <s v="Middle"/>
    <s v="Ková?ov"/>
    <s v="Czech Republic"/>
    <x v="5"/>
    <n v="257.12"/>
    <n v="8"/>
    <s v="Online"/>
    <n v="2"/>
    <n v="1"/>
    <n v="0"/>
    <s v="High"/>
    <s v="Not Sensitive"/>
    <n v="0.25"/>
    <x v="2"/>
    <s v="High"/>
    <x v="1"/>
    <s v="Other"/>
    <d v="2024-07-24T00:00:00"/>
    <x v="0"/>
    <x v="0"/>
    <x v="2"/>
    <x v="0"/>
    <n v="11"/>
    <x v="5"/>
    <s v="Qtr-3"/>
  </r>
  <r>
    <s v="38-242-3251"/>
    <x v="20"/>
    <x v="1"/>
    <x v="1"/>
    <x v="1"/>
    <x v="3"/>
    <x v="0"/>
    <s v="Middle"/>
    <s v="Majdal Ban? Fa??l"/>
    <s v="Palestine"/>
    <x v="17"/>
    <n v="293.04000000000002"/>
    <n v="11"/>
    <s v="In-Store"/>
    <n v="4"/>
    <n v="2"/>
    <n v="60"/>
    <s v="None"/>
    <s v="Very Sensitive"/>
    <n v="9.0909090909090912E-2"/>
    <x v="4"/>
    <s v="Low"/>
    <x v="2"/>
    <s v="PayPal"/>
    <d v="2024-03-03T00:00:00"/>
    <x v="0"/>
    <x v="0"/>
    <x v="3"/>
    <x v="1"/>
    <n v="6"/>
    <x v="0"/>
    <s v="Qtr-1"/>
  </r>
  <r>
    <s v="95-525-0842"/>
    <x v="10"/>
    <x v="2"/>
    <x v="1"/>
    <x v="1"/>
    <x v="1"/>
    <x v="2"/>
    <s v="High"/>
    <s v="Delta del Tigre"/>
    <s v="Uruguay"/>
    <x v="5"/>
    <n v="110.4"/>
    <n v="12"/>
    <s v="Mixed"/>
    <n v="5"/>
    <n v="1"/>
    <n v="120"/>
    <s v="None"/>
    <s v="Somewhat Sensitive"/>
    <n v="8.3333333333333329E-2"/>
    <x v="4"/>
    <s v="Medium"/>
    <x v="0"/>
    <s v="Debit Card"/>
    <d v="2024-11-13T00:00:00"/>
    <x v="1"/>
    <x v="0"/>
    <x v="0"/>
    <x v="1"/>
    <n v="12"/>
    <x v="11"/>
    <s v="Qtr-4"/>
  </r>
  <r>
    <s v="37-101-4922"/>
    <x v="21"/>
    <x v="1"/>
    <x v="0"/>
    <x v="0"/>
    <x v="0"/>
    <x v="2"/>
    <s v="High"/>
    <s v="Santa Cruz La Laguna"/>
    <s v="Guatemala"/>
    <x v="7"/>
    <n v="76.27"/>
    <n v="4"/>
    <s v="In-Store"/>
    <n v="2"/>
    <n v="3"/>
    <n v="0"/>
    <s v="None"/>
    <s v="Not Sensitive"/>
    <n v="0"/>
    <x v="8"/>
    <s v="Medium"/>
    <x v="1"/>
    <s v="Credit Card"/>
    <d v="2024-12-24T00:00:00"/>
    <x v="0"/>
    <x v="0"/>
    <x v="1"/>
    <x v="1"/>
    <n v="10"/>
    <x v="6"/>
    <s v="Qtr-4"/>
  </r>
  <r>
    <s v="37-128-5425"/>
    <x v="13"/>
    <x v="1"/>
    <x v="0"/>
    <x v="1"/>
    <x v="2"/>
    <x v="0"/>
    <s v="Middle"/>
    <s v="Manchester"/>
    <s v="United Kingdom"/>
    <x v="16"/>
    <n v="392.08"/>
    <n v="6"/>
    <s v="Online"/>
    <n v="2"/>
    <n v="5"/>
    <n v="60"/>
    <s v="None"/>
    <s v="Very Sensitive"/>
    <n v="0.33333333333333331"/>
    <x v="0"/>
    <s v="High"/>
    <x v="0"/>
    <s v="Other"/>
    <d v="2024-08-04T00:00:00"/>
    <x v="0"/>
    <x v="1"/>
    <x v="0"/>
    <x v="2"/>
    <n v="6"/>
    <x v="7"/>
    <s v="Qtr-3"/>
  </r>
  <r>
    <s v="27-439-9545"/>
    <x v="8"/>
    <x v="0"/>
    <x v="0"/>
    <x v="1"/>
    <x v="0"/>
    <x v="0"/>
    <s v="High"/>
    <s v="Norrköping"/>
    <s v="Sweden"/>
    <x v="16"/>
    <n v="51.22"/>
    <n v="6"/>
    <s v="Online"/>
    <n v="2"/>
    <n v="1"/>
    <n v="0"/>
    <s v="None"/>
    <s v="Very Sensitive"/>
    <n v="0.16666666666666666"/>
    <x v="1"/>
    <s v="Medium"/>
    <x v="0"/>
    <s v="Cash"/>
    <d v="2024-08-25T00:00:00"/>
    <x v="0"/>
    <x v="1"/>
    <x v="3"/>
    <x v="1"/>
    <n v="5"/>
    <x v="7"/>
    <s v="Qtr-3"/>
  </r>
  <r>
    <s v="37-126-7954"/>
    <x v="9"/>
    <x v="2"/>
    <x v="1"/>
    <x v="0"/>
    <x v="3"/>
    <x v="0"/>
    <s v="High"/>
    <s v="So?no"/>
    <s v="Poland"/>
    <x v="20"/>
    <n v="227.57"/>
    <n v="2"/>
    <s v="Online"/>
    <n v="1"/>
    <n v="2"/>
    <n v="0"/>
    <s v="High"/>
    <s v="Somewhat Sensitive"/>
    <n v="0.5"/>
    <x v="9"/>
    <s v="None"/>
    <x v="0"/>
    <s v="PayPal"/>
    <d v="2024-08-17T00:00:00"/>
    <x v="1"/>
    <x v="1"/>
    <x v="1"/>
    <x v="0"/>
    <n v="14"/>
    <x v="7"/>
    <s v="Qtr-3"/>
  </r>
  <r>
    <s v="82-990-0504"/>
    <x v="19"/>
    <x v="1"/>
    <x v="0"/>
    <x v="0"/>
    <x v="2"/>
    <x v="0"/>
    <s v="Middle"/>
    <s v="Pélla"/>
    <s v="Greece"/>
    <x v="19"/>
    <n v="378.87"/>
    <n v="7"/>
    <s v="Online"/>
    <n v="1"/>
    <n v="2"/>
    <n v="0"/>
    <s v="None"/>
    <s v="Very Sensitive"/>
    <n v="0.14285714285714285"/>
    <x v="6"/>
    <s v="Low"/>
    <x v="0"/>
    <s v="PayPal"/>
    <d v="2024-04-01T00:00:00"/>
    <x v="0"/>
    <x v="0"/>
    <x v="3"/>
    <x v="0"/>
    <n v="5"/>
    <x v="1"/>
    <s v="Qtr-2"/>
  </r>
  <r>
    <s v="21-734-0212"/>
    <x v="2"/>
    <x v="0"/>
    <x v="0"/>
    <x v="0"/>
    <x v="2"/>
    <x v="1"/>
    <s v="High"/>
    <s v="Namur"/>
    <s v="Belgium"/>
    <x v="21"/>
    <n v="423.92"/>
    <n v="8"/>
    <s v="Mixed"/>
    <n v="3"/>
    <n v="1"/>
    <n v="120"/>
    <s v="Low"/>
    <s v="Somewhat Sensitive"/>
    <n v="0"/>
    <x v="5"/>
    <s v="High"/>
    <x v="0"/>
    <s v="Credit Card"/>
    <d v="2024-08-24T00:00:00"/>
    <x v="1"/>
    <x v="1"/>
    <x v="0"/>
    <x v="1"/>
    <n v="8"/>
    <x v="7"/>
    <s v="Qtr-3"/>
  </r>
  <r>
    <s v="76-148-9413"/>
    <x v="20"/>
    <x v="1"/>
    <x v="4"/>
    <x v="1"/>
    <x v="2"/>
    <x v="2"/>
    <s v="Middle"/>
    <s v="Benevides"/>
    <s v="Brazil"/>
    <x v="17"/>
    <n v="111.24"/>
    <n v="9"/>
    <s v="Mixed"/>
    <n v="5"/>
    <n v="2"/>
    <n v="0"/>
    <s v="Medium"/>
    <s v="Somewhat Sensitive"/>
    <n v="0"/>
    <x v="6"/>
    <s v="High"/>
    <x v="1"/>
    <s v="Credit Card"/>
    <d v="2024-08-06T00:00:00"/>
    <x v="0"/>
    <x v="0"/>
    <x v="0"/>
    <x v="0"/>
    <n v="12"/>
    <x v="7"/>
    <s v="Qtr-3"/>
  </r>
  <r>
    <s v="53-639-3774"/>
    <x v="14"/>
    <x v="2"/>
    <x v="0"/>
    <x v="0"/>
    <x v="1"/>
    <x v="0"/>
    <s v="Middle"/>
    <s v="Qinghaihu (Qinghai Lake)"/>
    <s v="China"/>
    <x v="22"/>
    <n v="299.31"/>
    <n v="7"/>
    <s v="Mixed"/>
    <n v="2"/>
    <n v="4"/>
    <n v="60"/>
    <s v="Medium"/>
    <s v="Very Sensitive"/>
    <n v="0.2857142857142857"/>
    <x v="4"/>
    <s v="None"/>
    <x v="2"/>
    <s v="Debit Card"/>
    <d v="2024-02-01T00:00:00"/>
    <x v="0"/>
    <x v="0"/>
    <x v="0"/>
    <x v="2"/>
    <n v="3"/>
    <x v="8"/>
    <s v="Qtr-1"/>
  </r>
  <r>
    <s v="20-817-9584"/>
    <x v="21"/>
    <x v="1"/>
    <x v="1"/>
    <x v="0"/>
    <x v="2"/>
    <x v="2"/>
    <s v="Middle"/>
    <s v="Alfeizerão"/>
    <s v="Portugal"/>
    <x v="9"/>
    <n v="169.28"/>
    <n v="7"/>
    <s v="Mixed"/>
    <n v="4"/>
    <n v="4"/>
    <n v="60"/>
    <s v="None"/>
    <s v="Somewhat Sensitive"/>
    <n v="0.2857142857142857"/>
    <x v="2"/>
    <s v="Low"/>
    <x v="0"/>
    <s v="Cash"/>
    <d v="2024-06-17T00:00:00"/>
    <x v="0"/>
    <x v="1"/>
    <x v="2"/>
    <x v="0"/>
    <n v="6"/>
    <x v="4"/>
    <s v="Qtr-2"/>
  </r>
  <r>
    <s v="18-655-3670"/>
    <x v="3"/>
    <x v="0"/>
    <x v="1"/>
    <x v="0"/>
    <x v="2"/>
    <x v="1"/>
    <s v="High"/>
    <s v="Prost?ední Be?va"/>
    <s v="Czech Republic"/>
    <x v="2"/>
    <n v="449.13"/>
    <n v="9"/>
    <s v="In-Store"/>
    <n v="2"/>
    <n v="1"/>
    <n v="30"/>
    <s v="Medium"/>
    <s v="Not Sensitive"/>
    <n v="0.22222222222222221"/>
    <x v="6"/>
    <s v="Low"/>
    <x v="0"/>
    <s v="Credit Card"/>
    <d v="2024-06-12T00:00:00"/>
    <x v="1"/>
    <x v="0"/>
    <x v="3"/>
    <x v="0"/>
    <n v="14"/>
    <x v="4"/>
    <s v="Qtr-2"/>
  </r>
  <r>
    <s v="72-431-5021"/>
    <x v="22"/>
    <x v="2"/>
    <x v="0"/>
    <x v="1"/>
    <x v="0"/>
    <x v="2"/>
    <s v="High"/>
    <s v="Oeiras"/>
    <s v="Portugal"/>
    <x v="9"/>
    <n v="427.48"/>
    <n v="6"/>
    <s v="Online"/>
    <n v="4"/>
    <n v="2"/>
    <n v="0"/>
    <s v="Medium"/>
    <s v="Not Sensitive"/>
    <n v="0.16666666666666666"/>
    <x v="2"/>
    <s v="Low"/>
    <x v="1"/>
    <s v="Debit Card"/>
    <d v="2024-12-16T00:00:00"/>
    <x v="0"/>
    <x v="0"/>
    <x v="2"/>
    <x v="1"/>
    <n v="11"/>
    <x v="6"/>
    <s v="Qtr-4"/>
  </r>
  <r>
    <s v="07-479-3919"/>
    <x v="23"/>
    <x v="0"/>
    <x v="0"/>
    <x v="0"/>
    <x v="1"/>
    <x v="1"/>
    <s v="High"/>
    <s v="Kýthnos"/>
    <s v="Greece"/>
    <x v="6"/>
    <n v="171.61"/>
    <n v="3"/>
    <s v="Online"/>
    <n v="3"/>
    <n v="1"/>
    <n v="120"/>
    <s v="Low"/>
    <s v="Very Sensitive"/>
    <n v="0.33333333333333331"/>
    <x v="9"/>
    <s v="High"/>
    <x v="2"/>
    <s v="Credit Card"/>
    <d v="2024-10-31T00:00:00"/>
    <x v="0"/>
    <x v="0"/>
    <x v="3"/>
    <x v="2"/>
    <n v="8"/>
    <x v="2"/>
    <s v="Qtr-4"/>
  </r>
  <r>
    <s v="17-032-6274"/>
    <x v="13"/>
    <x v="1"/>
    <x v="0"/>
    <x v="1"/>
    <x v="0"/>
    <x v="0"/>
    <s v="High"/>
    <s v="Rizal (Province)*"/>
    <s v="Philippines"/>
    <x v="5"/>
    <n v="240.28"/>
    <n v="3"/>
    <s v="Online"/>
    <n v="3"/>
    <n v="5"/>
    <n v="120"/>
    <s v="High"/>
    <s v="Not Sensitive"/>
    <n v="0.66666666666666663"/>
    <x v="0"/>
    <s v="Medium"/>
    <x v="0"/>
    <s v="Cash"/>
    <d v="2024-12-07T00:00:00"/>
    <x v="0"/>
    <x v="1"/>
    <x v="2"/>
    <x v="1"/>
    <n v="4"/>
    <x v="6"/>
    <s v="Qtr-4"/>
  </r>
  <r>
    <s v="64-166-9097"/>
    <x v="10"/>
    <x v="2"/>
    <x v="0"/>
    <x v="1"/>
    <x v="1"/>
    <x v="1"/>
    <s v="High"/>
    <s v="Fullerton"/>
    <s v="United States"/>
    <x v="4"/>
    <n v="310.17"/>
    <n v="6"/>
    <s v="In-Store"/>
    <n v="2"/>
    <n v="3"/>
    <n v="120"/>
    <s v="Medium"/>
    <s v="Very Sensitive"/>
    <n v="0"/>
    <x v="3"/>
    <s v="None"/>
    <x v="1"/>
    <s v="Debit Card"/>
    <d v="2024-02-24T00:00:00"/>
    <x v="1"/>
    <x v="0"/>
    <x v="1"/>
    <x v="0"/>
    <n v="13"/>
    <x v="8"/>
    <s v="Qtr-1"/>
  </r>
  <r>
    <s v="39-499-3854"/>
    <x v="8"/>
    <x v="0"/>
    <x v="0"/>
    <x v="0"/>
    <x v="0"/>
    <x v="0"/>
    <s v="Middle"/>
    <s v="Huaidao"/>
    <s v="China"/>
    <x v="11"/>
    <n v="166"/>
    <n v="10"/>
    <s v="Online"/>
    <n v="5"/>
    <n v="3"/>
    <n v="0"/>
    <s v="High"/>
    <s v="Not Sensitive"/>
    <n v="0.2"/>
    <x v="3"/>
    <s v="Medium"/>
    <x v="1"/>
    <s v="PayPal"/>
    <d v="2024-06-11T00:00:00"/>
    <x v="1"/>
    <x v="0"/>
    <x v="2"/>
    <x v="2"/>
    <n v="5"/>
    <x v="4"/>
    <s v="Qtr-2"/>
  </r>
  <r>
    <s v="39-636-5871"/>
    <x v="9"/>
    <x v="2"/>
    <x v="1"/>
    <x v="1"/>
    <x v="3"/>
    <x v="0"/>
    <s v="High"/>
    <s v="Bilice"/>
    <s v="Turkey"/>
    <x v="15"/>
    <n v="362.01"/>
    <n v="2"/>
    <s v="In-Store"/>
    <n v="2"/>
    <n v="4"/>
    <n v="60"/>
    <s v="None"/>
    <s v="Somewhat Sensitive"/>
    <n v="1"/>
    <x v="2"/>
    <s v="Medium"/>
    <x v="0"/>
    <s v="Debit Card"/>
    <d v="2024-11-24T00:00:00"/>
    <x v="1"/>
    <x v="0"/>
    <x v="2"/>
    <x v="2"/>
    <n v="1"/>
    <x v="11"/>
    <s v="Qtr-4"/>
  </r>
  <r>
    <s v="71-667-2334"/>
    <x v="4"/>
    <x v="2"/>
    <x v="5"/>
    <x v="1"/>
    <x v="0"/>
    <x v="0"/>
    <s v="Middle"/>
    <s v="Isla Verde"/>
    <s v="Puerto Rico"/>
    <x v="22"/>
    <n v="348.5"/>
    <n v="3"/>
    <s v="Mixed"/>
    <n v="2"/>
    <n v="3"/>
    <n v="120"/>
    <s v="None"/>
    <s v="Not Sensitive"/>
    <n v="0"/>
    <x v="9"/>
    <s v="Medium"/>
    <x v="1"/>
    <s v="Debit Card"/>
    <d v="2024-07-09T00:00:00"/>
    <x v="1"/>
    <x v="0"/>
    <x v="3"/>
    <x v="0"/>
    <n v="8"/>
    <x v="5"/>
    <s v="Qtr-3"/>
  </r>
  <r>
    <s v="35-192-9050"/>
    <x v="11"/>
    <x v="2"/>
    <x v="0"/>
    <x v="0"/>
    <x v="0"/>
    <x v="0"/>
    <s v="High"/>
    <s v="Hunkuyi"/>
    <s v="Nigeria"/>
    <x v="9"/>
    <n v="395.97"/>
    <n v="9"/>
    <s v="In-Store"/>
    <n v="1"/>
    <n v="4"/>
    <n v="0"/>
    <s v="Medium"/>
    <s v="Very Sensitive"/>
    <n v="0.1111111111111111"/>
    <x v="9"/>
    <s v="Low"/>
    <x v="0"/>
    <s v="Debit Card"/>
    <d v="2024-08-18T00:00:00"/>
    <x v="0"/>
    <x v="1"/>
    <x v="1"/>
    <x v="1"/>
    <n v="1"/>
    <x v="7"/>
    <s v="Qtr-3"/>
  </r>
  <r>
    <s v="91-440-0011"/>
    <x v="17"/>
    <x v="1"/>
    <x v="0"/>
    <x v="0"/>
    <x v="2"/>
    <x v="1"/>
    <s v="Middle"/>
    <s v="Shiree"/>
    <s v="Kyrgyzstan"/>
    <x v="6"/>
    <n v="474.99"/>
    <n v="9"/>
    <s v="Online"/>
    <n v="2"/>
    <n v="4"/>
    <n v="60"/>
    <s v="None"/>
    <s v="Somewhat Sensitive"/>
    <n v="0"/>
    <x v="8"/>
    <s v="High"/>
    <x v="2"/>
    <s v="Credit Card"/>
    <d v="2024-07-10T00:00:00"/>
    <x v="0"/>
    <x v="0"/>
    <x v="3"/>
    <x v="1"/>
    <n v="5"/>
    <x v="5"/>
    <s v="Qtr-3"/>
  </r>
  <r>
    <s v="20-830-4758"/>
    <x v="22"/>
    <x v="2"/>
    <x v="0"/>
    <x v="0"/>
    <x v="2"/>
    <x v="1"/>
    <s v="Middle"/>
    <s v="Strezhevoy"/>
    <s v="Russia"/>
    <x v="8"/>
    <n v="286.43"/>
    <n v="4"/>
    <s v="Mixed"/>
    <n v="1"/>
    <n v="3"/>
    <n v="0"/>
    <s v="High"/>
    <s v="Very Sensitive"/>
    <n v="0.5"/>
    <x v="4"/>
    <s v="None"/>
    <x v="2"/>
    <s v="Cash"/>
    <d v="2024-07-12T00:00:00"/>
    <x v="0"/>
    <x v="0"/>
    <x v="1"/>
    <x v="2"/>
    <n v="14"/>
    <x v="5"/>
    <s v="Qtr-3"/>
  </r>
  <r>
    <s v="84-337-1016"/>
    <x v="24"/>
    <x v="3"/>
    <x v="3"/>
    <x v="1"/>
    <x v="2"/>
    <x v="1"/>
    <s v="High"/>
    <s v="Longxing"/>
    <s v="China"/>
    <x v="10"/>
    <n v="333.32"/>
    <n v="8"/>
    <s v="Online"/>
    <n v="1"/>
    <n v="5"/>
    <n v="0"/>
    <s v="Low"/>
    <s v="Very Sensitive"/>
    <n v="0"/>
    <x v="4"/>
    <s v="High"/>
    <x v="1"/>
    <s v="Credit Card"/>
    <d v="2024-10-05T00:00:00"/>
    <x v="0"/>
    <x v="0"/>
    <x v="3"/>
    <x v="0"/>
    <n v="3"/>
    <x v="2"/>
    <s v="Qtr-4"/>
  </r>
  <r>
    <s v="09-346-4992"/>
    <x v="19"/>
    <x v="1"/>
    <x v="2"/>
    <x v="1"/>
    <x v="1"/>
    <x v="2"/>
    <s v="High"/>
    <s v="Jesús Menéndez"/>
    <s v="Cuba"/>
    <x v="13"/>
    <n v="223.47"/>
    <n v="9"/>
    <s v="Mixed"/>
    <n v="2"/>
    <n v="1"/>
    <n v="60"/>
    <s v="High"/>
    <s v="Somewhat Sensitive"/>
    <n v="0"/>
    <x v="6"/>
    <s v="None"/>
    <x v="0"/>
    <s v="Debit Card"/>
    <d v="2024-09-20T00:00:00"/>
    <x v="0"/>
    <x v="1"/>
    <x v="0"/>
    <x v="1"/>
    <n v="8"/>
    <x v="10"/>
    <s v="Qtr-3"/>
  </r>
  <r>
    <s v="75-083-3608"/>
    <x v="25"/>
    <x v="0"/>
    <x v="1"/>
    <x v="0"/>
    <x v="3"/>
    <x v="2"/>
    <s v="Middle"/>
    <s v="Hongguang"/>
    <s v="China"/>
    <x v="6"/>
    <n v="414.83"/>
    <n v="2"/>
    <s v="Mixed"/>
    <n v="2"/>
    <n v="4"/>
    <n v="30"/>
    <s v="High"/>
    <s v="Somewhat Sensitive"/>
    <n v="1"/>
    <x v="7"/>
    <s v="High"/>
    <x v="2"/>
    <s v="Credit Card"/>
    <d v="2024-07-16T00:00:00"/>
    <x v="1"/>
    <x v="0"/>
    <x v="3"/>
    <x v="2"/>
    <n v="8"/>
    <x v="5"/>
    <s v="Qtr-3"/>
  </r>
  <r>
    <s v="29-779-7209"/>
    <x v="10"/>
    <x v="2"/>
    <x v="0"/>
    <x v="1"/>
    <x v="2"/>
    <x v="2"/>
    <s v="High"/>
    <s v="Pilaya"/>
    <s v="Bolivia"/>
    <x v="5"/>
    <n v="391.38"/>
    <n v="5"/>
    <s v="In-Store"/>
    <n v="5"/>
    <n v="2"/>
    <n v="120"/>
    <s v="Low"/>
    <s v="Not Sensitive"/>
    <n v="0"/>
    <x v="0"/>
    <s v="Low"/>
    <x v="0"/>
    <s v="Other"/>
    <d v="2024-04-02T00:00:00"/>
    <x v="1"/>
    <x v="0"/>
    <x v="0"/>
    <x v="0"/>
    <n v="8"/>
    <x v="1"/>
    <s v="Qtr-2"/>
  </r>
  <r>
    <s v="12-409-5166"/>
    <x v="18"/>
    <x v="1"/>
    <x v="1"/>
    <x v="0"/>
    <x v="3"/>
    <x v="0"/>
    <s v="High"/>
    <s v="Camp Ithier"/>
    <s v="Haiti"/>
    <x v="4"/>
    <n v="368.4"/>
    <n v="11"/>
    <s v="Online"/>
    <n v="2"/>
    <n v="5"/>
    <n v="60"/>
    <s v="High"/>
    <s v="Not Sensitive"/>
    <n v="0"/>
    <x v="4"/>
    <s v="High"/>
    <x v="2"/>
    <s v="Credit Card"/>
    <d v="2024-06-21T00:00:00"/>
    <x v="1"/>
    <x v="0"/>
    <x v="0"/>
    <x v="0"/>
    <n v="13"/>
    <x v="4"/>
    <s v="Qtr-2"/>
  </r>
  <r>
    <s v="07-024-4995"/>
    <x v="23"/>
    <x v="0"/>
    <x v="2"/>
    <x v="0"/>
    <x v="2"/>
    <x v="1"/>
    <s v="Middle"/>
    <s v="Holboo"/>
    <s v="Mongolia"/>
    <x v="4"/>
    <n v="328.36"/>
    <n v="11"/>
    <s v="In-Store"/>
    <n v="1"/>
    <n v="4"/>
    <n v="120"/>
    <s v="High"/>
    <s v="Very Sensitive"/>
    <n v="0"/>
    <x v="7"/>
    <s v="None"/>
    <x v="0"/>
    <s v="Cash"/>
    <d v="2024-03-11T00:00:00"/>
    <x v="1"/>
    <x v="1"/>
    <x v="1"/>
    <x v="2"/>
    <n v="4"/>
    <x v="0"/>
    <s v="Qtr-1"/>
  </r>
  <r>
    <s v="74-478-5950"/>
    <x v="14"/>
    <x v="2"/>
    <x v="0"/>
    <x v="0"/>
    <x v="3"/>
    <x v="0"/>
    <s v="Middle"/>
    <s v="Luxi"/>
    <s v="China"/>
    <x v="3"/>
    <n v="424.39"/>
    <n v="9"/>
    <s v="Mixed"/>
    <n v="3"/>
    <n v="1"/>
    <n v="60"/>
    <s v="High"/>
    <s v="Somewhat Sensitive"/>
    <n v="0"/>
    <x v="0"/>
    <s v="Low"/>
    <x v="1"/>
    <s v="Credit Card"/>
    <d v="2024-02-26T00:00:00"/>
    <x v="0"/>
    <x v="0"/>
    <x v="1"/>
    <x v="0"/>
    <n v="13"/>
    <x v="8"/>
    <s v="Qtr-1"/>
  </r>
  <r>
    <s v="31-395-1286"/>
    <x v="26"/>
    <x v="1"/>
    <x v="1"/>
    <x v="1"/>
    <x v="0"/>
    <x v="1"/>
    <s v="High"/>
    <s v="Ostashkov"/>
    <s v="Russia"/>
    <x v="18"/>
    <n v="197.12"/>
    <n v="10"/>
    <s v="In-Store"/>
    <n v="4"/>
    <n v="4"/>
    <n v="0"/>
    <s v="Low"/>
    <s v="Somewhat Sensitive"/>
    <n v="0.1"/>
    <x v="2"/>
    <s v="Medium"/>
    <x v="0"/>
    <s v="Other"/>
    <d v="2024-06-14T00:00:00"/>
    <x v="0"/>
    <x v="1"/>
    <x v="1"/>
    <x v="1"/>
    <n v="10"/>
    <x v="4"/>
    <s v="Qtr-2"/>
  </r>
  <r>
    <s v="60-838-4334"/>
    <x v="5"/>
    <x v="1"/>
    <x v="1"/>
    <x v="1"/>
    <x v="1"/>
    <x v="0"/>
    <s v="High"/>
    <s v="Hongshanzui"/>
    <s v="China"/>
    <x v="5"/>
    <n v="454.57"/>
    <n v="9"/>
    <s v="Mixed"/>
    <n v="2"/>
    <n v="5"/>
    <n v="60"/>
    <s v="Low"/>
    <s v="Somewhat Sensitive"/>
    <n v="0"/>
    <x v="2"/>
    <s v="Medium"/>
    <x v="1"/>
    <s v="Debit Card"/>
    <d v="2024-03-24T00:00:00"/>
    <x v="0"/>
    <x v="1"/>
    <x v="1"/>
    <x v="2"/>
    <n v="1"/>
    <x v="0"/>
    <s v="Qtr-1"/>
  </r>
  <r>
    <s v="71-197-8227"/>
    <x v="14"/>
    <x v="2"/>
    <x v="1"/>
    <x v="0"/>
    <x v="3"/>
    <x v="1"/>
    <s v="High"/>
    <s v="Tocoa"/>
    <s v="Honduras"/>
    <x v="13"/>
    <n v="298.38"/>
    <n v="4"/>
    <s v="Mixed"/>
    <n v="3"/>
    <n v="4"/>
    <n v="120"/>
    <s v="High"/>
    <s v="Very Sensitive"/>
    <n v="0"/>
    <x v="6"/>
    <s v="Low"/>
    <x v="0"/>
    <s v="Cash"/>
    <d v="2024-04-27T00:00:00"/>
    <x v="1"/>
    <x v="1"/>
    <x v="0"/>
    <x v="1"/>
    <n v="3"/>
    <x v="1"/>
    <s v="Qtr-2"/>
  </r>
  <r>
    <s v="15-530-3861"/>
    <x v="15"/>
    <x v="2"/>
    <x v="1"/>
    <x v="1"/>
    <x v="3"/>
    <x v="1"/>
    <s v="High"/>
    <s v="Bayan Tuohai"/>
    <s v="China"/>
    <x v="20"/>
    <n v="111.7"/>
    <n v="6"/>
    <s v="Online"/>
    <n v="4"/>
    <n v="5"/>
    <n v="0"/>
    <s v="Medium"/>
    <s v="Somewhat Sensitive"/>
    <n v="0.33333333333333331"/>
    <x v="1"/>
    <s v="High"/>
    <x v="0"/>
    <s v="Credit Card"/>
    <d v="2024-11-07T00:00:00"/>
    <x v="1"/>
    <x v="0"/>
    <x v="3"/>
    <x v="1"/>
    <n v="7"/>
    <x v="11"/>
    <s v="Qtr-4"/>
  </r>
  <r>
    <s v="30-567-4471"/>
    <x v="10"/>
    <x v="2"/>
    <x v="1"/>
    <x v="0"/>
    <x v="0"/>
    <x v="0"/>
    <s v="Middle"/>
    <s v="Parumasan"/>
    <s v="Indonesia"/>
    <x v="20"/>
    <n v="373.69"/>
    <n v="10"/>
    <s v="Online"/>
    <n v="3"/>
    <n v="2"/>
    <n v="120"/>
    <s v="Medium"/>
    <s v="Not Sensitive"/>
    <n v="0.1"/>
    <x v="8"/>
    <s v="None"/>
    <x v="0"/>
    <s v="Credit Card"/>
    <d v="2024-12-04T00:00:00"/>
    <x v="1"/>
    <x v="1"/>
    <x v="2"/>
    <x v="2"/>
    <n v="14"/>
    <x v="6"/>
    <s v="Qtr-4"/>
  </r>
  <r>
    <s v="04-465-1819"/>
    <x v="14"/>
    <x v="2"/>
    <x v="1"/>
    <x v="1"/>
    <x v="2"/>
    <x v="2"/>
    <s v="Middle"/>
    <s v="Karpogory"/>
    <s v="Russia"/>
    <x v="23"/>
    <n v="354.87"/>
    <n v="5"/>
    <s v="In-Store"/>
    <n v="1"/>
    <n v="1"/>
    <n v="0"/>
    <s v="None"/>
    <s v="Not Sensitive"/>
    <n v="0.4"/>
    <x v="7"/>
    <s v="None"/>
    <x v="2"/>
    <s v="Cash"/>
    <d v="2024-04-18T00:00:00"/>
    <x v="1"/>
    <x v="1"/>
    <x v="3"/>
    <x v="2"/>
    <n v="12"/>
    <x v="1"/>
    <s v="Qtr-2"/>
  </r>
  <r>
    <s v="69-692-0614"/>
    <x v="27"/>
    <x v="3"/>
    <x v="0"/>
    <x v="0"/>
    <x v="2"/>
    <x v="0"/>
    <s v="High"/>
    <s v="Shahzadpur"/>
    <s v="Bangladesh"/>
    <x v="7"/>
    <n v="214.48"/>
    <n v="2"/>
    <s v="Online"/>
    <n v="4"/>
    <n v="2"/>
    <n v="120"/>
    <s v="None"/>
    <s v="Very Sensitive"/>
    <n v="0.5"/>
    <x v="4"/>
    <s v="None"/>
    <x v="0"/>
    <s v="Cash"/>
    <d v="2024-04-21T00:00:00"/>
    <x v="0"/>
    <x v="1"/>
    <x v="1"/>
    <x v="2"/>
    <n v="2"/>
    <x v="1"/>
    <s v="Qtr-2"/>
  </r>
  <r>
    <s v="12-839-8066"/>
    <x v="28"/>
    <x v="0"/>
    <x v="1"/>
    <x v="1"/>
    <x v="3"/>
    <x v="0"/>
    <s v="Middle"/>
    <s v="Muaratiga"/>
    <s v="Indonesia"/>
    <x v="14"/>
    <n v="399.58"/>
    <n v="6"/>
    <s v="In-Store"/>
    <n v="3"/>
    <n v="4"/>
    <n v="0"/>
    <s v="None"/>
    <s v="Very Sensitive"/>
    <n v="0.16666666666666666"/>
    <x v="8"/>
    <s v="Low"/>
    <x v="0"/>
    <s v="Other"/>
    <d v="2024-09-25T00:00:00"/>
    <x v="0"/>
    <x v="0"/>
    <x v="0"/>
    <x v="1"/>
    <n v="7"/>
    <x v="10"/>
    <s v="Qtr-3"/>
  </r>
  <r>
    <s v="05-465-8765"/>
    <x v="23"/>
    <x v="0"/>
    <x v="0"/>
    <x v="1"/>
    <x v="2"/>
    <x v="1"/>
    <s v="Middle"/>
    <s v="Gjegjan"/>
    <s v="Albania"/>
    <x v="8"/>
    <n v="380.99"/>
    <n v="7"/>
    <s v="Mixed"/>
    <n v="1"/>
    <n v="2"/>
    <n v="60"/>
    <s v="Low"/>
    <s v="Somewhat Sensitive"/>
    <n v="0"/>
    <x v="2"/>
    <s v="Medium"/>
    <x v="2"/>
    <s v="Cash"/>
    <d v="2024-12-09T00:00:00"/>
    <x v="0"/>
    <x v="1"/>
    <x v="0"/>
    <x v="0"/>
    <n v="8"/>
    <x v="6"/>
    <s v="Qtr-4"/>
  </r>
  <r>
    <s v="81-580-3810"/>
    <x v="15"/>
    <x v="2"/>
    <x v="1"/>
    <x v="0"/>
    <x v="0"/>
    <x v="1"/>
    <s v="High"/>
    <s v="Créteil"/>
    <s v="France"/>
    <x v="1"/>
    <n v="79"/>
    <n v="10"/>
    <s v="Online"/>
    <n v="1"/>
    <n v="2"/>
    <n v="60"/>
    <s v="Medium"/>
    <s v="Very Sensitive"/>
    <n v="0.2"/>
    <x v="9"/>
    <s v="Low"/>
    <x v="1"/>
    <s v="Cash"/>
    <d v="2024-09-14T00:00:00"/>
    <x v="1"/>
    <x v="1"/>
    <x v="3"/>
    <x v="1"/>
    <n v="7"/>
    <x v="10"/>
    <s v="Qtr-3"/>
  </r>
  <r>
    <s v="74-353-6312"/>
    <x v="19"/>
    <x v="1"/>
    <x v="0"/>
    <x v="0"/>
    <x v="0"/>
    <x v="0"/>
    <s v="Middle"/>
    <s v="Pameungpeuk"/>
    <s v="Indonesia"/>
    <x v="19"/>
    <n v="113.88"/>
    <n v="2"/>
    <s v="Online"/>
    <n v="5"/>
    <n v="2"/>
    <n v="120"/>
    <s v="Medium"/>
    <s v="Not Sensitive"/>
    <n v="1"/>
    <x v="7"/>
    <s v="High"/>
    <x v="0"/>
    <s v="PayPal"/>
    <d v="2024-03-29T00:00:00"/>
    <x v="1"/>
    <x v="0"/>
    <x v="1"/>
    <x v="2"/>
    <n v="9"/>
    <x v="0"/>
    <s v="Qtr-1"/>
  </r>
  <r>
    <s v="78-824-1887"/>
    <x v="29"/>
    <x v="0"/>
    <x v="1"/>
    <x v="0"/>
    <x v="0"/>
    <x v="1"/>
    <s v="Middle"/>
    <s v="Junshan"/>
    <s v="China"/>
    <x v="22"/>
    <n v="121.57"/>
    <n v="4"/>
    <s v="Mixed"/>
    <n v="1"/>
    <n v="5"/>
    <n v="0"/>
    <s v="High"/>
    <s v="Not Sensitive"/>
    <n v="0"/>
    <x v="7"/>
    <s v="High"/>
    <x v="2"/>
    <s v="Other"/>
    <d v="2024-06-06T00:00:00"/>
    <x v="1"/>
    <x v="1"/>
    <x v="2"/>
    <x v="0"/>
    <n v="13"/>
    <x v="4"/>
    <s v="Qtr-2"/>
  </r>
  <r>
    <s v="31-218-0024"/>
    <x v="6"/>
    <x v="0"/>
    <x v="0"/>
    <x v="1"/>
    <x v="3"/>
    <x v="1"/>
    <s v="Middle"/>
    <s v="Lewotola"/>
    <s v="Indonesia"/>
    <x v="18"/>
    <n v="215.54"/>
    <n v="11"/>
    <s v="Online"/>
    <n v="3"/>
    <n v="1"/>
    <n v="120"/>
    <s v="Low"/>
    <s v="Somewhat Sensitive"/>
    <n v="0.18181818181818182"/>
    <x v="9"/>
    <s v="High"/>
    <x v="2"/>
    <s v="Credit Card"/>
    <d v="2024-04-08T00:00:00"/>
    <x v="0"/>
    <x v="1"/>
    <x v="3"/>
    <x v="0"/>
    <n v="10"/>
    <x v="1"/>
    <s v="Qtr-2"/>
  </r>
  <r>
    <s v="15-711-4107"/>
    <x v="20"/>
    <x v="1"/>
    <x v="1"/>
    <x v="1"/>
    <x v="0"/>
    <x v="0"/>
    <s v="High"/>
    <s v="Laocheng"/>
    <s v="China"/>
    <x v="4"/>
    <n v="87.03"/>
    <n v="10"/>
    <s v="Mixed"/>
    <n v="1"/>
    <n v="1"/>
    <n v="0"/>
    <s v="Low"/>
    <s v="Very Sensitive"/>
    <n v="0.1"/>
    <x v="1"/>
    <s v="High"/>
    <x v="2"/>
    <s v="PayPal"/>
    <d v="2024-08-11T00:00:00"/>
    <x v="1"/>
    <x v="1"/>
    <x v="0"/>
    <x v="0"/>
    <n v="7"/>
    <x v="7"/>
    <s v="Qtr-3"/>
  </r>
  <r>
    <s v="76-672-1193"/>
    <x v="24"/>
    <x v="3"/>
    <x v="1"/>
    <x v="1"/>
    <x v="3"/>
    <x v="1"/>
    <s v="High"/>
    <s v="Guacarí"/>
    <s v="Colombia"/>
    <x v="22"/>
    <n v="111.75"/>
    <n v="4"/>
    <s v="In-Store"/>
    <n v="1"/>
    <n v="4"/>
    <n v="0"/>
    <s v="High"/>
    <s v="Not Sensitive"/>
    <n v="0.25"/>
    <x v="9"/>
    <s v="High"/>
    <x v="0"/>
    <s v="Debit Card"/>
    <d v="2024-10-10T00:00:00"/>
    <x v="1"/>
    <x v="1"/>
    <x v="2"/>
    <x v="1"/>
    <n v="8"/>
    <x v="2"/>
    <s v="Qtr-4"/>
  </r>
  <r>
    <s v="46-503-5589"/>
    <x v="30"/>
    <x v="1"/>
    <x v="0"/>
    <x v="1"/>
    <x v="2"/>
    <x v="2"/>
    <s v="High"/>
    <s v="Sancang"/>
    <s v="China"/>
    <x v="2"/>
    <n v="136.19999999999999"/>
    <n v="2"/>
    <s v="Mixed"/>
    <n v="3"/>
    <n v="2"/>
    <n v="120"/>
    <s v="Low"/>
    <s v="Not Sensitive"/>
    <n v="0"/>
    <x v="2"/>
    <s v="High"/>
    <x v="0"/>
    <s v="PayPal"/>
    <d v="2024-06-15T00:00:00"/>
    <x v="0"/>
    <x v="1"/>
    <x v="0"/>
    <x v="2"/>
    <n v="9"/>
    <x v="4"/>
    <s v="Qtr-2"/>
  </r>
  <r>
    <s v="87-499-6916"/>
    <x v="18"/>
    <x v="1"/>
    <x v="1"/>
    <x v="0"/>
    <x v="0"/>
    <x v="1"/>
    <s v="Middle"/>
    <s v="Ndewel"/>
    <s v="Cameroon"/>
    <x v="1"/>
    <n v="439.31"/>
    <n v="4"/>
    <s v="In-Store"/>
    <n v="3"/>
    <n v="2"/>
    <n v="60"/>
    <s v="Medium"/>
    <s v="Very Sensitive"/>
    <n v="0"/>
    <x v="9"/>
    <s v="Medium"/>
    <x v="1"/>
    <s v="Debit Card"/>
    <d v="2024-08-11T00:00:00"/>
    <x v="1"/>
    <x v="1"/>
    <x v="1"/>
    <x v="0"/>
    <n v="7"/>
    <x v="7"/>
    <s v="Qtr-3"/>
  </r>
  <r>
    <s v="30-520-8656"/>
    <x v="24"/>
    <x v="3"/>
    <x v="0"/>
    <x v="0"/>
    <x v="0"/>
    <x v="0"/>
    <s v="Middle"/>
    <s v="San Patricio"/>
    <s v="Mexico"/>
    <x v="10"/>
    <n v="194.93"/>
    <n v="9"/>
    <s v="Online"/>
    <n v="4"/>
    <n v="4"/>
    <n v="60"/>
    <s v="High"/>
    <s v="Somewhat Sensitive"/>
    <n v="0"/>
    <x v="7"/>
    <s v="None"/>
    <x v="0"/>
    <s v="Other"/>
    <d v="2024-03-28T00:00:00"/>
    <x v="0"/>
    <x v="1"/>
    <x v="2"/>
    <x v="0"/>
    <n v="5"/>
    <x v="0"/>
    <s v="Qtr-1"/>
  </r>
  <r>
    <s v="36-323-3504"/>
    <x v="3"/>
    <x v="0"/>
    <x v="1"/>
    <x v="0"/>
    <x v="2"/>
    <x v="2"/>
    <s v="High"/>
    <s v="Fengtai"/>
    <s v="China"/>
    <x v="1"/>
    <n v="377.67"/>
    <n v="8"/>
    <s v="Online"/>
    <n v="5"/>
    <n v="3"/>
    <n v="0"/>
    <s v="None"/>
    <s v="Very Sensitive"/>
    <n v="0.25"/>
    <x v="2"/>
    <s v="High"/>
    <x v="2"/>
    <s v="PayPal"/>
    <d v="2024-05-13T00:00:00"/>
    <x v="0"/>
    <x v="0"/>
    <x v="0"/>
    <x v="0"/>
    <n v="14"/>
    <x v="9"/>
    <s v="Qtr-2"/>
  </r>
  <r>
    <s v="93-810-4051"/>
    <x v="29"/>
    <x v="0"/>
    <x v="6"/>
    <x v="1"/>
    <x v="1"/>
    <x v="2"/>
    <s v="High"/>
    <s v="?awr?n ad Daydah"/>
    <s v="Yemen"/>
    <x v="21"/>
    <n v="108.61"/>
    <n v="10"/>
    <s v="In-Store"/>
    <n v="3"/>
    <n v="2"/>
    <n v="0"/>
    <s v="None"/>
    <s v="Very Sensitive"/>
    <n v="0"/>
    <x v="4"/>
    <s v="Low"/>
    <x v="1"/>
    <s v="Cash"/>
    <d v="2024-11-23T00:00:00"/>
    <x v="0"/>
    <x v="1"/>
    <x v="0"/>
    <x v="0"/>
    <n v="14"/>
    <x v="11"/>
    <s v="Qtr-4"/>
  </r>
  <r>
    <s v="66-515-3648"/>
    <x v="28"/>
    <x v="0"/>
    <x v="0"/>
    <x v="0"/>
    <x v="0"/>
    <x v="0"/>
    <s v="Middle"/>
    <s v="Magdalena"/>
    <s v="Colombia"/>
    <x v="10"/>
    <n v="366.77"/>
    <n v="7"/>
    <s v="Mixed"/>
    <n v="4"/>
    <n v="3"/>
    <n v="120"/>
    <s v="Low"/>
    <s v="Not Sensitive"/>
    <n v="0"/>
    <x v="5"/>
    <s v="None"/>
    <x v="1"/>
    <s v="Debit Card"/>
    <d v="2024-09-18T00:00:00"/>
    <x v="1"/>
    <x v="0"/>
    <x v="2"/>
    <x v="1"/>
    <n v="1"/>
    <x v="10"/>
    <s v="Qtr-3"/>
  </r>
  <r>
    <s v="09-216-1957"/>
    <x v="16"/>
    <x v="2"/>
    <x v="0"/>
    <x v="1"/>
    <x v="3"/>
    <x v="2"/>
    <s v="Middle"/>
    <s v="Le?nica"/>
    <s v="Poland"/>
    <x v="23"/>
    <n v="178.04"/>
    <n v="5"/>
    <s v="In-Store"/>
    <n v="5"/>
    <n v="1"/>
    <n v="120"/>
    <s v="Medium"/>
    <s v="Somewhat Sensitive"/>
    <n v="0"/>
    <x v="1"/>
    <s v="High"/>
    <x v="0"/>
    <s v="Credit Card"/>
    <d v="2024-07-16T00:00:00"/>
    <x v="1"/>
    <x v="0"/>
    <x v="0"/>
    <x v="0"/>
    <n v="12"/>
    <x v="5"/>
    <s v="Qtr-3"/>
  </r>
  <r>
    <s v="23-253-2565"/>
    <x v="25"/>
    <x v="0"/>
    <x v="0"/>
    <x v="1"/>
    <x v="3"/>
    <x v="1"/>
    <s v="High"/>
    <s v="Hinlayagan Ilaud"/>
    <s v="Philippines"/>
    <x v="16"/>
    <n v="461.09"/>
    <n v="8"/>
    <s v="Online"/>
    <n v="4"/>
    <n v="1"/>
    <n v="0"/>
    <s v="Medium"/>
    <s v="Somewhat Sensitive"/>
    <n v="0"/>
    <x v="7"/>
    <s v="Medium"/>
    <x v="1"/>
    <s v="Debit Card"/>
    <d v="2024-08-03T00:00:00"/>
    <x v="0"/>
    <x v="0"/>
    <x v="0"/>
    <x v="0"/>
    <n v="8"/>
    <x v="7"/>
    <s v="Qtr-3"/>
  </r>
  <r>
    <s v="74-509-4985"/>
    <x v="24"/>
    <x v="3"/>
    <x v="0"/>
    <x v="1"/>
    <x v="1"/>
    <x v="1"/>
    <s v="Middle"/>
    <s v="Forshaga"/>
    <s v="Sweden"/>
    <x v="11"/>
    <n v="211.16"/>
    <n v="5"/>
    <s v="In-Store"/>
    <n v="2"/>
    <n v="3"/>
    <n v="60"/>
    <s v="High"/>
    <s v="Very Sensitive"/>
    <n v="0"/>
    <x v="4"/>
    <s v="None"/>
    <x v="1"/>
    <s v="PayPal"/>
    <d v="2024-06-28T00:00:00"/>
    <x v="1"/>
    <x v="0"/>
    <x v="3"/>
    <x v="1"/>
    <n v="2"/>
    <x v="4"/>
    <s v="Qtr-2"/>
  </r>
  <r>
    <s v="05-857-1572"/>
    <x v="25"/>
    <x v="0"/>
    <x v="0"/>
    <x v="0"/>
    <x v="2"/>
    <x v="0"/>
    <s v="High"/>
    <s v="Rakszawa"/>
    <s v="Poland"/>
    <x v="9"/>
    <n v="421.95"/>
    <n v="8"/>
    <s v="Mixed"/>
    <n v="3"/>
    <n v="5"/>
    <n v="0"/>
    <s v="Medium"/>
    <s v="Not Sensitive"/>
    <n v="0.125"/>
    <x v="2"/>
    <s v="None"/>
    <x v="1"/>
    <s v="Other"/>
    <d v="2024-03-18T00:00:00"/>
    <x v="1"/>
    <x v="1"/>
    <x v="0"/>
    <x v="0"/>
    <n v="7"/>
    <x v="0"/>
    <s v="Qtr-1"/>
  </r>
  <r>
    <s v="26-521-8328"/>
    <x v="1"/>
    <x v="1"/>
    <x v="0"/>
    <x v="0"/>
    <x v="3"/>
    <x v="0"/>
    <s v="High"/>
    <s v="Fengjiang"/>
    <s v="China"/>
    <x v="4"/>
    <n v="378.59"/>
    <n v="5"/>
    <s v="Online"/>
    <n v="2"/>
    <n v="1"/>
    <n v="0"/>
    <s v="None"/>
    <s v="Somewhat Sensitive"/>
    <n v="0"/>
    <x v="7"/>
    <s v="High"/>
    <x v="2"/>
    <s v="Other"/>
    <d v="2024-10-15T00:00:00"/>
    <x v="1"/>
    <x v="0"/>
    <x v="1"/>
    <x v="0"/>
    <n v="14"/>
    <x v="2"/>
    <s v="Qtr-4"/>
  </r>
  <r>
    <s v="31-147-6197"/>
    <x v="25"/>
    <x v="0"/>
    <x v="4"/>
    <x v="1"/>
    <x v="3"/>
    <x v="1"/>
    <s v="High"/>
    <s v="Jiangcun"/>
    <s v="China"/>
    <x v="2"/>
    <n v="268.93"/>
    <n v="2"/>
    <s v="Mixed"/>
    <n v="5"/>
    <n v="5"/>
    <n v="60"/>
    <s v="Medium"/>
    <s v="Very Sensitive"/>
    <n v="0.5"/>
    <x v="4"/>
    <s v="None"/>
    <x v="0"/>
    <s v="Debit Card"/>
    <d v="2024-11-23T00:00:00"/>
    <x v="1"/>
    <x v="0"/>
    <x v="2"/>
    <x v="2"/>
    <n v="8"/>
    <x v="11"/>
    <s v="Qtr-4"/>
  </r>
  <r>
    <s v="90-093-0469"/>
    <x v="21"/>
    <x v="1"/>
    <x v="1"/>
    <x v="0"/>
    <x v="3"/>
    <x v="0"/>
    <s v="High"/>
    <s v="?kuchi"/>
    <s v="Japan"/>
    <x v="10"/>
    <n v="444.87"/>
    <n v="11"/>
    <s v="Online"/>
    <n v="5"/>
    <n v="4"/>
    <n v="0"/>
    <s v="Medium"/>
    <s v="Not Sensitive"/>
    <n v="9.0909090909090912E-2"/>
    <x v="8"/>
    <s v="Low"/>
    <x v="2"/>
    <s v="Other"/>
    <d v="2024-11-29T00:00:00"/>
    <x v="1"/>
    <x v="0"/>
    <x v="1"/>
    <x v="0"/>
    <n v="7"/>
    <x v="11"/>
    <s v="Qtr-4"/>
  </r>
  <r>
    <s v="38-935-1865"/>
    <x v="27"/>
    <x v="3"/>
    <x v="0"/>
    <x v="1"/>
    <x v="2"/>
    <x v="0"/>
    <s v="High"/>
    <s v="Novoukrainskiy"/>
    <s v="Russia"/>
    <x v="21"/>
    <n v="160.82"/>
    <n v="7"/>
    <s v="In-Store"/>
    <n v="3"/>
    <n v="1"/>
    <n v="60"/>
    <s v="High"/>
    <s v="Somewhat Sensitive"/>
    <n v="0"/>
    <x v="2"/>
    <s v="High"/>
    <x v="1"/>
    <s v="Cash"/>
    <d v="2024-07-09T00:00:00"/>
    <x v="0"/>
    <x v="1"/>
    <x v="1"/>
    <x v="0"/>
    <n v="3"/>
    <x v="5"/>
    <s v="Qtr-3"/>
  </r>
  <r>
    <s v="75-953-8663"/>
    <x v="22"/>
    <x v="2"/>
    <x v="1"/>
    <x v="1"/>
    <x v="1"/>
    <x v="2"/>
    <s v="Middle"/>
    <s v="Acobambilla"/>
    <s v="Peru"/>
    <x v="11"/>
    <n v="494.18"/>
    <n v="6"/>
    <s v="Mixed"/>
    <n v="4"/>
    <n v="5"/>
    <n v="60"/>
    <s v="Medium"/>
    <s v="Not Sensitive"/>
    <n v="0.16666666666666666"/>
    <x v="6"/>
    <s v="None"/>
    <x v="2"/>
    <s v="Cash"/>
    <d v="2024-08-03T00:00:00"/>
    <x v="1"/>
    <x v="0"/>
    <x v="0"/>
    <x v="1"/>
    <n v="14"/>
    <x v="7"/>
    <s v="Qtr-3"/>
  </r>
  <r>
    <s v="38-478-2681"/>
    <x v="0"/>
    <x v="0"/>
    <x v="1"/>
    <x v="0"/>
    <x v="1"/>
    <x v="0"/>
    <s v="Middle"/>
    <s v="Kyonju"/>
    <s v="South Korea"/>
    <x v="3"/>
    <n v="177.05"/>
    <n v="5"/>
    <s v="Online"/>
    <n v="3"/>
    <n v="1"/>
    <n v="60"/>
    <s v="None"/>
    <s v="Somewhat Sensitive"/>
    <n v="0.4"/>
    <x v="2"/>
    <s v="Low"/>
    <x v="0"/>
    <s v="Cash"/>
    <d v="2024-12-04T00:00:00"/>
    <x v="0"/>
    <x v="1"/>
    <x v="2"/>
    <x v="1"/>
    <n v="1"/>
    <x v="6"/>
    <s v="Qtr-4"/>
  </r>
  <r>
    <s v="70-895-5298"/>
    <x v="31"/>
    <x v="0"/>
    <x v="0"/>
    <x v="0"/>
    <x v="0"/>
    <x v="2"/>
    <s v="High"/>
    <s v="Pomar"/>
    <s v="Portugal"/>
    <x v="1"/>
    <n v="450.66"/>
    <n v="7"/>
    <s v="In-Store"/>
    <n v="2"/>
    <n v="5"/>
    <n v="0"/>
    <s v="High"/>
    <s v="Somewhat Sensitive"/>
    <n v="0.2857142857142857"/>
    <x v="7"/>
    <s v="Medium"/>
    <x v="0"/>
    <s v="Credit Card"/>
    <d v="2024-06-13T00:00:00"/>
    <x v="1"/>
    <x v="1"/>
    <x v="0"/>
    <x v="0"/>
    <n v="9"/>
    <x v="4"/>
    <s v="Qtr-2"/>
  </r>
  <r>
    <s v="02-653-5884"/>
    <x v="21"/>
    <x v="1"/>
    <x v="0"/>
    <x v="1"/>
    <x v="0"/>
    <x v="0"/>
    <s v="Middle"/>
    <s v="Zal?an"/>
    <s v="Libya"/>
    <x v="17"/>
    <n v="164.27"/>
    <n v="6"/>
    <s v="Online"/>
    <n v="5"/>
    <n v="3"/>
    <n v="120"/>
    <s v="High"/>
    <s v="Not Sensitive"/>
    <n v="0.33333333333333331"/>
    <x v="0"/>
    <s v="Low"/>
    <x v="2"/>
    <s v="PayPal"/>
    <d v="2024-07-13T00:00:00"/>
    <x v="0"/>
    <x v="0"/>
    <x v="1"/>
    <x v="0"/>
    <n v="14"/>
    <x v="5"/>
    <s v="Qtr-3"/>
  </r>
  <r>
    <s v="11-719-8800"/>
    <x v="14"/>
    <x v="2"/>
    <x v="0"/>
    <x v="0"/>
    <x v="2"/>
    <x v="2"/>
    <s v="High"/>
    <s v="Trélazé"/>
    <s v="France"/>
    <x v="1"/>
    <n v="346.36"/>
    <n v="12"/>
    <s v="Mixed"/>
    <n v="4"/>
    <n v="5"/>
    <n v="0"/>
    <s v="Medium"/>
    <s v="Somewhat Sensitive"/>
    <n v="0"/>
    <x v="0"/>
    <s v="Medium"/>
    <x v="1"/>
    <s v="Credit Card"/>
    <d v="2024-09-04T00:00:00"/>
    <x v="1"/>
    <x v="0"/>
    <x v="0"/>
    <x v="1"/>
    <n v="14"/>
    <x v="10"/>
    <s v="Qtr-3"/>
  </r>
  <r>
    <s v="59-355-5251"/>
    <x v="4"/>
    <x v="2"/>
    <x v="0"/>
    <x v="0"/>
    <x v="2"/>
    <x v="1"/>
    <s v="High"/>
    <s v="Messina"/>
    <s v="Italy"/>
    <x v="9"/>
    <n v="377.77"/>
    <n v="9"/>
    <s v="Mixed"/>
    <n v="4"/>
    <n v="2"/>
    <n v="60"/>
    <s v="Medium"/>
    <s v="Not Sensitive"/>
    <n v="0.1111111111111111"/>
    <x v="1"/>
    <s v="Medium"/>
    <x v="0"/>
    <s v="Credit Card"/>
    <d v="2024-08-26T00:00:00"/>
    <x v="0"/>
    <x v="1"/>
    <x v="2"/>
    <x v="1"/>
    <n v="3"/>
    <x v="7"/>
    <s v="Qtr-3"/>
  </r>
  <r>
    <s v="82-572-9091"/>
    <x v="19"/>
    <x v="1"/>
    <x v="0"/>
    <x v="0"/>
    <x v="2"/>
    <x v="1"/>
    <s v="Middle"/>
    <s v="Mr?gowo"/>
    <s v="Poland"/>
    <x v="22"/>
    <n v="163.41"/>
    <n v="2"/>
    <s v="In-Store"/>
    <n v="5"/>
    <n v="5"/>
    <n v="120"/>
    <s v="Low"/>
    <s v="Not Sensitive"/>
    <n v="0.5"/>
    <x v="8"/>
    <s v="High"/>
    <x v="2"/>
    <s v="Other"/>
    <d v="2024-02-25T00:00:00"/>
    <x v="0"/>
    <x v="1"/>
    <x v="0"/>
    <x v="2"/>
    <n v="4"/>
    <x v="8"/>
    <s v="Qtr-1"/>
  </r>
  <r>
    <s v="86-044-1071"/>
    <x v="12"/>
    <x v="2"/>
    <x v="0"/>
    <x v="0"/>
    <x v="3"/>
    <x v="2"/>
    <s v="Middle"/>
    <s v="Ngawi"/>
    <s v="Indonesia"/>
    <x v="11"/>
    <n v="467.58"/>
    <n v="10"/>
    <s v="Mixed"/>
    <n v="1"/>
    <n v="2"/>
    <n v="0"/>
    <s v="None"/>
    <s v="Somewhat Sensitive"/>
    <n v="0.1"/>
    <x v="9"/>
    <s v="Low"/>
    <x v="2"/>
    <s v="PayPal"/>
    <d v="2024-04-15T00:00:00"/>
    <x v="0"/>
    <x v="1"/>
    <x v="1"/>
    <x v="1"/>
    <n v="7"/>
    <x v="1"/>
    <s v="Qtr-2"/>
  </r>
  <r>
    <s v="08-733-0300"/>
    <x v="7"/>
    <x v="2"/>
    <x v="0"/>
    <x v="0"/>
    <x v="2"/>
    <x v="0"/>
    <s v="High"/>
    <s v="Oslo"/>
    <s v="Norway"/>
    <x v="5"/>
    <n v="247.51"/>
    <n v="10"/>
    <s v="Mixed"/>
    <n v="2"/>
    <n v="1"/>
    <n v="120"/>
    <s v="Low"/>
    <s v="Somewhat Sensitive"/>
    <n v="0.1"/>
    <x v="8"/>
    <s v="Low"/>
    <x v="0"/>
    <s v="Credit Card"/>
    <d v="2024-07-01T00:00:00"/>
    <x v="0"/>
    <x v="0"/>
    <x v="2"/>
    <x v="1"/>
    <n v="2"/>
    <x v="5"/>
    <s v="Qtr-3"/>
  </r>
  <r>
    <s v="70-108-1493"/>
    <x v="8"/>
    <x v="0"/>
    <x v="0"/>
    <x v="0"/>
    <x v="1"/>
    <x v="1"/>
    <s v="High"/>
    <s v="Dobrica"/>
    <s v="Serbia"/>
    <x v="2"/>
    <n v="365.1"/>
    <n v="3"/>
    <s v="In-Store"/>
    <n v="2"/>
    <n v="3"/>
    <n v="0"/>
    <s v="None"/>
    <s v="Not Sensitive"/>
    <n v="0.33333333333333331"/>
    <x v="4"/>
    <s v="High"/>
    <x v="2"/>
    <s v="Debit Card"/>
    <d v="2024-08-30T00:00:00"/>
    <x v="1"/>
    <x v="1"/>
    <x v="1"/>
    <x v="0"/>
    <n v="1"/>
    <x v="7"/>
    <s v="Qtr-3"/>
  </r>
  <r>
    <s v="46-230-8307"/>
    <x v="9"/>
    <x v="2"/>
    <x v="0"/>
    <x v="1"/>
    <x v="1"/>
    <x v="2"/>
    <s v="Middle"/>
    <s v="La Roche-sur-Yon"/>
    <s v="France"/>
    <x v="10"/>
    <n v="485.42"/>
    <n v="5"/>
    <s v="Online"/>
    <n v="1"/>
    <n v="2"/>
    <n v="120"/>
    <s v="High"/>
    <s v="Somewhat Sensitive"/>
    <n v="0.2"/>
    <x v="9"/>
    <s v="High"/>
    <x v="2"/>
    <s v="Other"/>
    <d v="2024-11-13T00:00:00"/>
    <x v="0"/>
    <x v="0"/>
    <x v="1"/>
    <x v="0"/>
    <n v="4"/>
    <x v="11"/>
    <s v="Qtr-4"/>
  </r>
  <r>
    <s v="74-431-0242"/>
    <x v="30"/>
    <x v="1"/>
    <x v="0"/>
    <x v="0"/>
    <x v="2"/>
    <x v="0"/>
    <s v="High"/>
    <s v="Point Pedro"/>
    <s v="Sri Lanka"/>
    <x v="10"/>
    <n v="250.54"/>
    <n v="4"/>
    <s v="In-Store"/>
    <n v="3"/>
    <n v="3"/>
    <n v="60"/>
    <s v="High"/>
    <s v="Not Sensitive"/>
    <n v="0.5"/>
    <x v="3"/>
    <s v="None"/>
    <x v="2"/>
    <s v="Credit Card"/>
    <d v="2024-12-27T00:00:00"/>
    <x v="1"/>
    <x v="0"/>
    <x v="1"/>
    <x v="0"/>
    <n v="3"/>
    <x v="6"/>
    <s v="Qtr-4"/>
  </r>
  <r>
    <s v="78-272-6417"/>
    <x v="1"/>
    <x v="1"/>
    <x v="0"/>
    <x v="0"/>
    <x v="3"/>
    <x v="1"/>
    <s v="High"/>
    <s v="Marseille"/>
    <s v="France"/>
    <x v="23"/>
    <n v="163.13999999999999"/>
    <n v="5"/>
    <s v="Mixed"/>
    <n v="5"/>
    <n v="4"/>
    <n v="0"/>
    <s v="Low"/>
    <s v="Somewhat Sensitive"/>
    <n v="0.2"/>
    <x v="6"/>
    <s v="None"/>
    <x v="2"/>
    <s v="Debit Card"/>
    <d v="2024-08-07T00:00:00"/>
    <x v="0"/>
    <x v="1"/>
    <x v="3"/>
    <x v="0"/>
    <n v="1"/>
    <x v="7"/>
    <s v="Qtr-3"/>
  </r>
  <r>
    <s v="13-792-4356"/>
    <x v="6"/>
    <x v="0"/>
    <x v="1"/>
    <x v="1"/>
    <x v="3"/>
    <x v="0"/>
    <s v="Middle"/>
    <s v="Tianbao"/>
    <s v="China"/>
    <x v="0"/>
    <n v="162.31"/>
    <n v="8"/>
    <s v="In-Store"/>
    <n v="5"/>
    <n v="1"/>
    <n v="60"/>
    <s v="High"/>
    <s v="Very Sensitive"/>
    <n v="0.125"/>
    <x v="6"/>
    <s v="Medium"/>
    <x v="0"/>
    <s v="Credit Card"/>
    <d v="2024-10-05T00:00:00"/>
    <x v="1"/>
    <x v="0"/>
    <x v="0"/>
    <x v="0"/>
    <n v="11"/>
    <x v="2"/>
    <s v="Qtr-4"/>
  </r>
  <r>
    <s v="04-563-9091"/>
    <x v="14"/>
    <x v="2"/>
    <x v="1"/>
    <x v="0"/>
    <x v="2"/>
    <x v="2"/>
    <s v="High"/>
    <s v="Puqian"/>
    <s v="China"/>
    <x v="2"/>
    <n v="328.21"/>
    <n v="7"/>
    <s v="Mixed"/>
    <n v="5"/>
    <n v="5"/>
    <n v="120"/>
    <s v="Low"/>
    <s v="Not Sensitive"/>
    <n v="0.2857142857142857"/>
    <x v="6"/>
    <s v="Low"/>
    <x v="1"/>
    <s v="Credit Card"/>
    <d v="2024-02-14T00:00:00"/>
    <x v="1"/>
    <x v="0"/>
    <x v="0"/>
    <x v="0"/>
    <n v="12"/>
    <x v="8"/>
    <s v="Qtr-1"/>
  </r>
  <r>
    <s v="79-592-5396"/>
    <x v="12"/>
    <x v="2"/>
    <x v="0"/>
    <x v="1"/>
    <x v="0"/>
    <x v="2"/>
    <s v="High"/>
    <s v="Binalbagan"/>
    <s v="Philippines"/>
    <x v="6"/>
    <n v="268.58999999999997"/>
    <n v="4"/>
    <s v="Online"/>
    <n v="3"/>
    <n v="3"/>
    <n v="60"/>
    <s v="High"/>
    <s v="Very Sensitive"/>
    <n v="0.25"/>
    <x v="2"/>
    <s v="Medium"/>
    <x v="2"/>
    <s v="Debit Card"/>
    <d v="2024-04-05T00:00:00"/>
    <x v="0"/>
    <x v="1"/>
    <x v="0"/>
    <x v="1"/>
    <n v="3"/>
    <x v="1"/>
    <s v="Qtr-2"/>
  </r>
  <r>
    <s v="39-952-4459"/>
    <x v="27"/>
    <x v="3"/>
    <x v="0"/>
    <x v="1"/>
    <x v="3"/>
    <x v="1"/>
    <s v="High"/>
    <s v="Tessalit"/>
    <s v="Mali"/>
    <x v="13"/>
    <n v="257.37"/>
    <n v="7"/>
    <s v="Online"/>
    <n v="3"/>
    <n v="3"/>
    <n v="0"/>
    <s v="Medium"/>
    <s v="Very Sensitive"/>
    <n v="0.2857142857142857"/>
    <x v="1"/>
    <s v="Medium"/>
    <x v="1"/>
    <s v="PayPal"/>
    <d v="2024-02-01T00:00:00"/>
    <x v="0"/>
    <x v="0"/>
    <x v="1"/>
    <x v="2"/>
    <n v="13"/>
    <x v="8"/>
    <s v="Qtr-1"/>
  </r>
  <r>
    <s v="67-935-7964"/>
    <x v="30"/>
    <x v="1"/>
    <x v="0"/>
    <x v="0"/>
    <x v="1"/>
    <x v="1"/>
    <s v="High"/>
    <s v="Nikolayevsk"/>
    <s v="Russia"/>
    <x v="2"/>
    <n v="205.49"/>
    <n v="4"/>
    <s v="In-Store"/>
    <n v="5"/>
    <n v="3"/>
    <n v="120"/>
    <s v="Low"/>
    <s v="Somewhat Sensitive"/>
    <n v="0.5"/>
    <x v="6"/>
    <s v="High"/>
    <x v="0"/>
    <s v="Cash"/>
    <d v="2024-11-09T00:00:00"/>
    <x v="0"/>
    <x v="0"/>
    <x v="0"/>
    <x v="2"/>
    <n v="11"/>
    <x v="11"/>
    <s v="Qtr-4"/>
  </r>
  <r>
    <s v="26-828-2720"/>
    <x v="13"/>
    <x v="1"/>
    <x v="1"/>
    <x v="1"/>
    <x v="3"/>
    <x v="2"/>
    <s v="High"/>
    <s v="Dashuipo"/>
    <s v="China"/>
    <x v="7"/>
    <n v="407.91"/>
    <n v="7"/>
    <s v="In-Store"/>
    <n v="2"/>
    <n v="5"/>
    <n v="0"/>
    <s v="Low"/>
    <s v="Not Sensitive"/>
    <n v="0"/>
    <x v="1"/>
    <s v="Low"/>
    <x v="0"/>
    <s v="Other"/>
    <d v="2024-06-17T00:00:00"/>
    <x v="0"/>
    <x v="1"/>
    <x v="0"/>
    <x v="1"/>
    <n v="14"/>
    <x v="4"/>
    <s v="Qtr-2"/>
  </r>
  <r>
    <s v="57-410-7415"/>
    <x v="4"/>
    <x v="2"/>
    <x v="0"/>
    <x v="1"/>
    <x v="3"/>
    <x v="0"/>
    <s v="High"/>
    <s v="Týn nad Vltavou"/>
    <s v="Czechia"/>
    <x v="1"/>
    <n v="254.73"/>
    <n v="6"/>
    <s v="Online"/>
    <n v="4"/>
    <n v="3"/>
    <n v="0"/>
    <s v="Medium"/>
    <s v="Very Sensitive"/>
    <n v="0"/>
    <x v="4"/>
    <s v="Low"/>
    <x v="1"/>
    <s v="Other"/>
    <d v="2024-06-01T00:00:00"/>
    <x v="0"/>
    <x v="1"/>
    <x v="2"/>
    <x v="2"/>
    <n v="3"/>
    <x v="4"/>
    <s v="Qtr-2"/>
  </r>
  <r>
    <s v="62-989-8214"/>
    <x v="12"/>
    <x v="2"/>
    <x v="0"/>
    <x v="0"/>
    <x v="3"/>
    <x v="0"/>
    <s v="High"/>
    <s v="Kaum Kaler"/>
    <s v="Pakistan"/>
    <x v="20"/>
    <n v="397.78"/>
    <n v="12"/>
    <s v="Online"/>
    <n v="3"/>
    <n v="3"/>
    <n v="60"/>
    <s v="Medium"/>
    <s v="Not Sensitive"/>
    <n v="0.16666666666666666"/>
    <x v="0"/>
    <s v="Medium"/>
    <x v="1"/>
    <s v="PayPal"/>
    <d v="2024-09-24T00:00:00"/>
    <x v="1"/>
    <x v="1"/>
    <x v="2"/>
    <x v="0"/>
    <n v="11"/>
    <x v="10"/>
    <s v="Qtr-3"/>
  </r>
  <r>
    <s v="73-827-2774"/>
    <x v="4"/>
    <x v="2"/>
    <x v="0"/>
    <x v="1"/>
    <x v="0"/>
    <x v="0"/>
    <s v="High"/>
    <s v="Gandapura"/>
    <s v="Indonesia"/>
    <x v="13"/>
    <n v="305.29000000000002"/>
    <n v="3"/>
    <s v="Online"/>
    <n v="2"/>
    <n v="3"/>
    <n v="60"/>
    <s v="Medium"/>
    <s v="Very Sensitive"/>
    <n v="0.33333333333333331"/>
    <x v="8"/>
    <s v="Medium"/>
    <x v="2"/>
    <s v="Debit Card"/>
    <d v="2024-09-05T00:00:00"/>
    <x v="0"/>
    <x v="1"/>
    <x v="2"/>
    <x v="1"/>
    <n v="10"/>
    <x v="10"/>
    <s v="Qtr-3"/>
  </r>
  <r>
    <s v="19-643-1879"/>
    <x v="5"/>
    <x v="1"/>
    <x v="1"/>
    <x v="0"/>
    <x v="3"/>
    <x v="1"/>
    <s v="High"/>
    <s v="Kawangkoan"/>
    <s v="Indonesia"/>
    <x v="1"/>
    <n v="257.86"/>
    <n v="6"/>
    <s v="Online"/>
    <n v="2"/>
    <n v="2"/>
    <n v="0"/>
    <s v="None"/>
    <s v="Somewhat Sensitive"/>
    <n v="0"/>
    <x v="7"/>
    <s v="High"/>
    <x v="0"/>
    <s v="PayPal"/>
    <d v="2024-06-12T00:00:00"/>
    <x v="0"/>
    <x v="1"/>
    <x v="0"/>
    <x v="2"/>
    <n v="1"/>
    <x v="4"/>
    <s v="Qtr-2"/>
  </r>
  <r>
    <s v="57-345-3921"/>
    <x v="21"/>
    <x v="1"/>
    <x v="0"/>
    <x v="1"/>
    <x v="1"/>
    <x v="1"/>
    <s v="Middle"/>
    <s v="Mondorf-les-Bains"/>
    <s v="Luxembourg"/>
    <x v="23"/>
    <n v="393.45"/>
    <n v="12"/>
    <s v="In-Store"/>
    <n v="3"/>
    <n v="1"/>
    <n v="0"/>
    <s v="Low"/>
    <s v="Somewhat Sensitive"/>
    <n v="0.16666666666666666"/>
    <x v="3"/>
    <s v="Medium"/>
    <x v="2"/>
    <s v="Credit Card"/>
    <d v="2024-10-06T00:00:00"/>
    <x v="1"/>
    <x v="0"/>
    <x v="0"/>
    <x v="2"/>
    <n v="12"/>
    <x v="2"/>
    <s v="Qtr-4"/>
  </r>
  <r>
    <s v="98-817-6731"/>
    <x v="12"/>
    <x v="2"/>
    <x v="1"/>
    <x v="1"/>
    <x v="0"/>
    <x v="0"/>
    <s v="Middle"/>
    <s v="Manwakh"/>
    <s v="Sudan"/>
    <x v="18"/>
    <n v="58.49"/>
    <n v="6"/>
    <s v="Online"/>
    <n v="2"/>
    <n v="2"/>
    <n v="0"/>
    <s v="Medium"/>
    <s v="Very Sensitive"/>
    <n v="0"/>
    <x v="8"/>
    <s v="High"/>
    <x v="0"/>
    <s v="Other"/>
    <d v="2024-07-29T00:00:00"/>
    <x v="0"/>
    <x v="1"/>
    <x v="3"/>
    <x v="2"/>
    <n v="7"/>
    <x v="5"/>
    <s v="Qtr-3"/>
  </r>
  <r>
    <s v="31-788-0864"/>
    <x v="21"/>
    <x v="1"/>
    <x v="1"/>
    <x v="0"/>
    <x v="1"/>
    <x v="1"/>
    <s v="Middle"/>
    <s v="Karlstad"/>
    <s v="Sweden"/>
    <x v="21"/>
    <n v="226.48"/>
    <n v="11"/>
    <s v="In-Store"/>
    <n v="5"/>
    <n v="3"/>
    <n v="120"/>
    <s v="None"/>
    <s v="Not Sensitive"/>
    <n v="0.18181818181818182"/>
    <x v="0"/>
    <s v="High"/>
    <x v="0"/>
    <s v="Debit Card"/>
    <d v="2024-10-18T00:00:00"/>
    <x v="0"/>
    <x v="0"/>
    <x v="0"/>
    <x v="2"/>
    <n v="11"/>
    <x v="2"/>
    <s v="Qtr-4"/>
  </r>
  <r>
    <s v="27-806-4972"/>
    <x v="29"/>
    <x v="0"/>
    <x v="0"/>
    <x v="1"/>
    <x v="1"/>
    <x v="2"/>
    <s v="Middle"/>
    <s v="Obong"/>
    <s v="Philippines"/>
    <x v="10"/>
    <n v="469.22"/>
    <n v="6"/>
    <s v="In-Store"/>
    <n v="1"/>
    <n v="1"/>
    <n v="60"/>
    <s v="High"/>
    <s v="Not Sensitive"/>
    <n v="0"/>
    <x v="2"/>
    <s v="Low"/>
    <x v="0"/>
    <s v="Credit Card"/>
    <d v="2024-08-07T00:00:00"/>
    <x v="1"/>
    <x v="0"/>
    <x v="1"/>
    <x v="0"/>
    <n v="7"/>
    <x v="7"/>
    <s v="Qtr-3"/>
  </r>
  <r>
    <s v="48-343-1220"/>
    <x v="21"/>
    <x v="1"/>
    <x v="0"/>
    <x v="1"/>
    <x v="3"/>
    <x v="1"/>
    <s v="High"/>
    <s v="Kolsko"/>
    <s v="Poland"/>
    <x v="23"/>
    <n v="335.32"/>
    <n v="6"/>
    <s v="Mixed"/>
    <n v="3"/>
    <n v="3"/>
    <n v="60"/>
    <s v="None"/>
    <s v="Not Sensitive"/>
    <n v="0"/>
    <x v="2"/>
    <s v="Low"/>
    <x v="2"/>
    <s v="Other"/>
    <d v="2024-08-12T00:00:00"/>
    <x v="0"/>
    <x v="0"/>
    <x v="3"/>
    <x v="0"/>
    <n v="10"/>
    <x v="7"/>
    <s v="Qtr-3"/>
  </r>
  <r>
    <s v="15-640-6493"/>
    <x v="16"/>
    <x v="2"/>
    <x v="1"/>
    <x v="1"/>
    <x v="3"/>
    <x v="1"/>
    <s v="Middle"/>
    <s v="D?lband?n"/>
    <s v="Pakistan"/>
    <x v="9"/>
    <n v="184.74"/>
    <n v="5"/>
    <s v="In-Store"/>
    <n v="4"/>
    <n v="4"/>
    <n v="0"/>
    <s v="Medium"/>
    <s v="Very Sensitive"/>
    <n v="0.2"/>
    <x v="1"/>
    <s v="High"/>
    <x v="0"/>
    <s v="Debit Card"/>
    <d v="2024-11-27T00:00:00"/>
    <x v="1"/>
    <x v="1"/>
    <x v="2"/>
    <x v="0"/>
    <n v="10"/>
    <x v="11"/>
    <s v="Qtr-4"/>
  </r>
  <r>
    <s v="64-846-7450"/>
    <x v="14"/>
    <x v="2"/>
    <x v="7"/>
    <x v="1"/>
    <x v="3"/>
    <x v="0"/>
    <s v="Middle"/>
    <s v="Shazi"/>
    <s v="China"/>
    <x v="22"/>
    <n v="442.18"/>
    <n v="5"/>
    <s v="In-Store"/>
    <n v="4"/>
    <n v="3"/>
    <n v="60"/>
    <s v="None"/>
    <s v="Very Sensitive"/>
    <n v="0.4"/>
    <x v="3"/>
    <s v="High"/>
    <x v="1"/>
    <s v="PayPal"/>
    <d v="2024-01-25T00:00:00"/>
    <x v="1"/>
    <x v="0"/>
    <x v="2"/>
    <x v="2"/>
    <n v="12"/>
    <x v="3"/>
    <s v="Qtr-1"/>
  </r>
  <r>
    <s v="58-788-8938"/>
    <x v="1"/>
    <x v="1"/>
    <x v="1"/>
    <x v="1"/>
    <x v="0"/>
    <x v="1"/>
    <s v="Middle"/>
    <s v="Hachi?ji"/>
    <s v="Japan"/>
    <x v="18"/>
    <n v="427.1"/>
    <n v="8"/>
    <s v="Mixed"/>
    <n v="1"/>
    <n v="2"/>
    <n v="60"/>
    <s v="High"/>
    <s v="Somewhat Sensitive"/>
    <n v="0"/>
    <x v="6"/>
    <s v="Medium"/>
    <x v="2"/>
    <s v="PayPal"/>
    <d v="2024-05-10T00:00:00"/>
    <x v="1"/>
    <x v="1"/>
    <x v="3"/>
    <x v="0"/>
    <n v="5"/>
    <x v="9"/>
    <s v="Qtr-2"/>
  </r>
  <r>
    <s v="52-240-3825"/>
    <x v="10"/>
    <x v="2"/>
    <x v="1"/>
    <x v="1"/>
    <x v="2"/>
    <x v="1"/>
    <s v="High"/>
    <s v="Jolo"/>
    <s v="Philippines"/>
    <x v="3"/>
    <n v="326.82"/>
    <n v="4"/>
    <s v="Mixed"/>
    <n v="3"/>
    <n v="2"/>
    <n v="60"/>
    <s v="High"/>
    <s v="Somewhat Sensitive"/>
    <n v="0.5"/>
    <x v="1"/>
    <s v="Medium"/>
    <x v="0"/>
    <s v="Credit Card"/>
    <d v="2024-04-22T00:00:00"/>
    <x v="0"/>
    <x v="0"/>
    <x v="3"/>
    <x v="1"/>
    <n v="4"/>
    <x v="1"/>
    <s v="Qtr-2"/>
  </r>
  <r>
    <s v="60-618-2561"/>
    <x v="30"/>
    <x v="1"/>
    <x v="1"/>
    <x v="1"/>
    <x v="2"/>
    <x v="1"/>
    <s v="Middle"/>
    <s v="Pedra Azul"/>
    <s v="Brazil"/>
    <x v="11"/>
    <n v="98.97"/>
    <n v="12"/>
    <s v="In-Store"/>
    <n v="2"/>
    <n v="5"/>
    <n v="120"/>
    <s v="None"/>
    <s v="Very Sensitive"/>
    <n v="8.3333333333333329E-2"/>
    <x v="0"/>
    <s v="High"/>
    <x v="0"/>
    <s v="Other"/>
    <d v="2024-03-19T00:00:00"/>
    <x v="0"/>
    <x v="1"/>
    <x v="2"/>
    <x v="0"/>
    <n v="11"/>
    <x v="0"/>
    <s v="Qtr-1"/>
  </r>
  <r>
    <s v="94-969-6819"/>
    <x v="4"/>
    <x v="2"/>
    <x v="1"/>
    <x v="1"/>
    <x v="1"/>
    <x v="1"/>
    <s v="High"/>
    <s v="Gustavsberg"/>
    <s v="Sweden"/>
    <x v="10"/>
    <n v="77.650000000000006"/>
    <n v="6"/>
    <s v="Online"/>
    <n v="1"/>
    <n v="4"/>
    <n v="60"/>
    <s v="Medium"/>
    <s v="Somewhat Sensitive"/>
    <n v="0.33333333333333331"/>
    <x v="4"/>
    <s v="None"/>
    <x v="0"/>
    <s v="Cash"/>
    <d v="2024-01-24T00:00:00"/>
    <x v="0"/>
    <x v="1"/>
    <x v="3"/>
    <x v="0"/>
    <n v="1"/>
    <x v="3"/>
    <s v="Qtr-1"/>
  </r>
  <r>
    <s v="76-982-8107"/>
    <x v="26"/>
    <x v="1"/>
    <x v="0"/>
    <x v="0"/>
    <x v="2"/>
    <x v="2"/>
    <s v="High"/>
    <s v="La Mohammedia"/>
    <s v="Algeria"/>
    <x v="13"/>
    <n v="85.61"/>
    <n v="2"/>
    <s v="Online"/>
    <n v="4"/>
    <n v="2"/>
    <n v="60"/>
    <s v="High"/>
    <s v="Not Sensitive"/>
    <n v="0.5"/>
    <x v="4"/>
    <s v="Low"/>
    <x v="2"/>
    <s v="Other"/>
    <d v="2024-10-04T00:00:00"/>
    <x v="0"/>
    <x v="1"/>
    <x v="0"/>
    <x v="1"/>
    <n v="5"/>
    <x v="2"/>
    <s v="Qtr-4"/>
  </r>
  <r>
    <s v="52-779-8972"/>
    <x v="26"/>
    <x v="1"/>
    <x v="1"/>
    <x v="1"/>
    <x v="2"/>
    <x v="1"/>
    <s v="High"/>
    <s v="Florida"/>
    <s v="Uruguay"/>
    <x v="1"/>
    <n v="164.79"/>
    <n v="4"/>
    <s v="In-Store"/>
    <n v="3"/>
    <n v="2"/>
    <n v="0"/>
    <s v="None"/>
    <s v="Somewhat Sensitive"/>
    <n v="0.5"/>
    <x v="1"/>
    <s v="High"/>
    <x v="0"/>
    <s v="Credit Card"/>
    <d v="2024-05-23T00:00:00"/>
    <x v="0"/>
    <x v="1"/>
    <x v="2"/>
    <x v="0"/>
    <n v="1"/>
    <x v="9"/>
    <s v="Qtr-2"/>
  </r>
  <r>
    <s v="40-520-3271"/>
    <x v="3"/>
    <x v="0"/>
    <x v="0"/>
    <x v="1"/>
    <x v="2"/>
    <x v="1"/>
    <s v="High"/>
    <s v="Zhongcheng"/>
    <s v="China"/>
    <x v="18"/>
    <n v="235.46"/>
    <n v="10"/>
    <s v="In-Store"/>
    <n v="3"/>
    <n v="4"/>
    <n v="120"/>
    <s v="None"/>
    <s v="Not Sensitive"/>
    <n v="0"/>
    <x v="0"/>
    <s v="None"/>
    <x v="2"/>
    <s v="Credit Card"/>
    <d v="2024-11-13T00:00:00"/>
    <x v="1"/>
    <x v="1"/>
    <x v="2"/>
    <x v="0"/>
    <n v="2"/>
    <x v="11"/>
    <s v="Qtr-4"/>
  </r>
  <r>
    <s v="79-884-5600"/>
    <x v="15"/>
    <x v="2"/>
    <x v="0"/>
    <x v="1"/>
    <x v="2"/>
    <x v="2"/>
    <s v="Middle"/>
    <s v="Goiatuba"/>
    <s v="Brazil"/>
    <x v="5"/>
    <n v="245.14"/>
    <n v="4"/>
    <s v="Online"/>
    <n v="4"/>
    <n v="5"/>
    <n v="60"/>
    <s v="High"/>
    <s v="Very Sensitive"/>
    <n v="0.25"/>
    <x v="7"/>
    <s v="Medium"/>
    <x v="1"/>
    <s v="PayPal"/>
    <d v="2024-03-03T00:00:00"/>
    <x v="0"/>
    <x v="0"/>
    <x v="2"/>
    <x v="1"/>
    <n v="3"/>
    <x v="0"/>
    <s v="Qtr-1"/>
  </r>
  <r>
    <s v="80-607-9947"/>
    <x v="20"/>
    <x v="1"/>
    <x v="1"/>
    <x v="1"/>
    <x v="3"/>
    <x v="0"/>
    <s v="Middle"/>
    <s v="Krajan Kidul Rojopolo"/>
    <s v="Indonesia"/>
    <x v="16"/>
    <n v="439.91"/>
    <n v="5"/>
    <s v="Online"/>
    <n v="1"/>
    <n v="4"/>
    <n v="120"/>
    <s v="Low"/>
    <s v="Somewhat Sensitive"/>
    <n v="0"/>
    <x v="5"/>
    <s v="Medium"/>
    <x v="1"/>
    <s v="Other"/>
    <d v="2024-03-03T00:00:00"/>
    <x v="1"/>
    <x v="0"/>
    <x v="0"/>
    <x v="2"/>
    <n v="10"/>
    <x v="0"/>
    <s v="Qtr-1"/>
  </r>
  <r>
    <s v="87-290-8263"/>
    <x v="16"/>
    <x v="2"/>
    <x v="1"/>
    <x v="1"/>
    <x v="2"/>
    <x v="1"/>
    <s v="High"/>
    <s v="Metchosin"/>
    <s v="Canada"/>
    <x v="3"/>
    <n v="309.22000000000003"/>
    <n v="5"/>
    <s v="Mixed"/>
    <n v="3"/>
    <n v="5"/>
    <n v="120"/>
    <s v="Low"/>
    <s v="Not Sensitive"/>
    <n v="0.4"/>
    <x v="7"/>
    <s v="None"/>
    <x v="0"/>
    <s v="Cash"/>
    <d v="2024-03-24T00:00:00"/>
    <x v="1"/>
    <x v="0"/>
    <x v="3"/>
    <x v="1"/>
    <n v="10"/>
    <x v="0"/>
    <s v="Qtr-1"/>
  </r>
  <r>
    <s v="99-316-9993"/>
    <x v="23"/>
    <x v="0"/>
    <x v="1"/>
    <x v="0"/>
    <x v="2"/>
    <x v="2"/>
    <s v="Middle"/>
    <s v="Staritsa"/>
    <s v="Russia"/>
    <x v="19"/>
    <n v="146.59"/>
    <n v="10"/>
    <s v="Mixed"/>
    <n v="5"/>
    <n v="1"/>
    <n v="120"/>
    <s v="Low"/>
    <s v="Very Sensitive"/>
    <n v="0"/>
    <x v="6"/>
    <s v="None"/>
    <x v="1"/>
    <s v="Cash"/>
    <d v="2024-01-22T00:00:00"/>
    <x v="1"/>
    <x v="1"/>
    <x v="2"/>
    <x v="0"/>
    <n v="3"/>
    <x v="3"/>
    <s v="Qtr-1"/>
  </r>
  <r>
    <s v="54-164-2243"/>
    <x v="18"/>
    <x v="1"/>
    <x v="1"/>
    <x v="0"/>
    <x v="1"/>
    <x v="1"/>
    <s v="Middle"/>
    <s v="Benito Juarez"/>
    <s v="Mexico"/>
    <x v="11"/>
    <n v="298.73"/>
    <n v="4"/>
    <s v="Online"/>
    <n v="1"/>
    <n v="5"/>
    <n v="60"/>
    <s v="High"/>
    <s v="Not Sensitive"/>
    <n v="0"/>
    <x v="6"/>
    <s v="Low"/>
    <x v="0"/>
    <s v="Debit Card"/>
    <d v="2024-11-02T00:00:00"/>
    <x v="1"/>
    <x v="1"/>
    <x v="0"/>
    <x v="0"/>
    <n v="4"/>
    <x v="11"/>
    <s v="Qtr-4"/>
  </r>
  <r>
    <s v="14-784-5606"/>
    <x v="24"/>
    <x v="3"/>
    <x v="7"/>
    <x v="1"/>
    <x v="1"/>
    <x v="0"/>
    <s v="High"/>
    <s v="Maní"/>
    <s v="Mexico"/>
    <x v="1"/>
    <n v="395.01"/>
    <n v="2"/>
    <s v="Mixed"/>
    <n v="1"/>
    <n v="2"/>
    <n v="120"/>
    <s v="Medium"/>
    <s v="Very Sensitive"/>
    <n v="0"/>
    <x v="9"/>
    <s v="Medium"/>
    <x v="2"/>
    <s v="Credit Card"/>
    <d v="2024-04-18T00:00:00"/>
    <x v="0"/>
    <x v="0"/>
    <x v="1"/>
    <x v="1"/>
    <n v="3"/>
    <x v="1"/>
    <s v="Qtr-2"/>
  </r>
  <r>
    <s v="47-992-7446"/>
    <x v="30"/>
    <x v="1"/>
    <x v="1"/>
    <x v="0"/>
    <x v="0"/>
    <x v="0"/>
    <s v="High"/>
    <s v="Vitali"/>
    <s v="Philippines"/>
    <x v="13"/>
    <n v="371.19"/>
    <n v="10"/>
    <s v="Mixed"/>
    <n v="1"/>
    <n v="2"/>
    <n v="120"/>
    <s v="High"/>
    <s v="Somewhat Sensitive"/>
    <n v="0.1"/>
    <x v="8"/>
    <s v="Medium"/>
    <x v="2"/>
    <s v="Credit Card"/>
    <d v="2024-08-27T00:00:00"/>
    <x v="1"/>
    <x v="0"/>
    <x v="3"/>
    <x v="2"/>
    <n v="1"/>
    <x v="7"/>
    <s v="Qtr-3"/>
  </r>
  <r>
    <s v="37-513-5073"/>
    <x v="4"/>
    <x v="2"/>
    <x v="0"/>
    <x v="0"/>
    <x v="0"/>
    <x v="2"/>
    <s v="High"/>
    <s v="Mizque"/>
    <s v="Bolivia"/>
    <x v="13"/>
    <n v="193.76"/>
    <n v="10"/>
    <s v="Mixed"/>
    <n v="4"/>
    <n v="3"/>
    <n v="60"/>
    <s v="Medium"/>
    <s v="Not Sensitive"/>
    <n v="0"/>
    <x v="6"/>
    <s v="Low"/>
    <x v="2"/>
    <s v="Debit Card"/>
    <d v="2024-02-03T00:00:00"/>
    <x v="1"/>
    <x v="0"/>
    <x v="1"/>
    <x v="0"/>
    <n v="12"/>
    <x v="8"/>
    <s v="Qtr-1"/>
  </r>
  <r>
    <s v="93-473-7248"/>
    <x v="20"/>
    <x v="1"/>
    <x v="1"/>
    <x v="0"/>
    <x v="3"/>
    <x v="2"/>
    <s v="High"/>
    <s v="Zgornje Pirni?e"/>
    <s v="Slovenia"/>
    <x v="15"/>
    <n v="424.27"/>
    <n v="6"/>
    <s v="Online"/>
    <n v="1"/>
    <n v="4"/>
    <n v="120"/>
    <s v="None"/>
    <s v="Not Sensitive"/>
    <n v="0.33333333333333331"/>
    <x v="8"/>
    <s v="Low"/>
    <x v="0"/>
    <s v="Cash"/>
    <d v="2024-09-15T00:00:00"/>
    <x v="0"/>
    <x v="1"/>
    <x v="3"/>
    <x v="1"/>
    <n v="12"/>
    <x v="10"/>
    <s v="Qtr-3"/>
  </r>
  <r>
    <s v="72-830-1211"/>
    <x v="9"/>
    <x v="2"/>
    <x v="1"/>
    <x v="1"/>
    <x v="1"/>
    <x v="0"/>
    <s v="High"/>
    <s v="Cipolletti"/>
    <s v="Argentina"/>
    <x v="23"/>
    <n v="496.11"/>
    <n v="2"/>
    <s v="Mixed"/>
    <n v="2"/>
    <n v="3"/>
    <n v="60"/>
    <s v="High"/>
    <s v="Somewhat Sensitive"/>
    <n v="1"/>
    <x v="8"/>
    <s v="High"/>
    <x v="1"/>
    <s v="PayPal"/>
    <d v="2024-06-08T00:00:00"/>
    <x v="0"/>
    <x v="0"/>
    <x v="2"/>
    <x v="1"/>
    <n v="12"/>
    <x v="4"/>
    <s v="Qtr-2"/>
  </r>
  <r>
    <s v="87-934-6762"/>
    <x v="30"/>
    <x v="1"/>
    <x v="1"/>
    <x v="1"/>
    <x v="2"/>
    <x v="0"/>
    <s v="Middle"/>
    <s v="Sollefteå"/>
    <s v="Sweden"/>
    <x v="15"/>
    <n v="341.91"/>
    <n v="3"/>
    <s v="Online"/>
    <n v="4"/>
    <n v="4"/>
    <n v="0"/>
    <s v="Low"/>
    <s v="Not Sensitive"/>
    <n v="0.33333333333333331"/>
    <x v="5"/>
    <s v="None"/>
    <x v="0"/>
    <s v="Cash"/>
    <d v="2024-05-31T00:00:00"/>
    <x v="1"/>
    <x v="0"/>
    <x v="2"/>
    <x v="2"/>
    <n v="7"/>
    <x v="9"/>
    <s v="Qtr-2"/>
  </r>
  <r>
    <s v="71-975-9564"/>
    <x v="13"/>
    <x v="1"/>
    <x v="1"/>
    <x v="1"/>
    <x v="0"/>
    <x v="2"/>
    <s v="High"/>
    <s v="Klonowa"/>
    <s v="Poland"/>
    <x v="0"/>
    <n v="127.66"/>
    <n v="11"/>
    <s v="Online"/>
    <n v="1"/>
    <n v="2"/>
    <n v="120"/>
    <s v="Low"/>
    <s v="Not Sensitive"/>
    <n v="0.18181818181818182"/>
    <x v="0"/>
    <s v="None"/>
    <x v="1"/>
    <s v="Credit Card"/>
    <d v="2024-02-23T00:00:00"/>
    <x v="1"/>
    <x v="1"/>
    <x v="3"/>
    <x v="1"/>
    <n v="7"/>
    <x v="8"/>
    <s v="Qtr-1"/>
  </r>
  <r>
    <s v="40-232-5631"/>
    <x v="26"/>
    <x v="1"/>
    <x v="3"/>
    <x v="0"/>
    <x v="1"/>
    <x v="0"/>
    <s v="Middle"/>
    <s v="Suvorov"/>
    <s v="Russia"/>
    <x v="14"/>
    <n v="227.47"/>
    <n v="2"/>
    <s v="Online"/>
    <n v="2"/>
    <n v="2"/>
    <n v="120"/>
    <s v="Low"/>
    <s v="Very Sensitive"/>
    <n v="0.5"/>
    <x v="7"/>
    <s v="High"/>
    <x v="0"/>
    <s v="Other"/>
    <d v="2024-10-30T00:00:00"/>
    <x v="0"/>
    <x v="0"/>
    <x v="0"/>
    <x v="2"/>
    <n v="9"/>
    <x v="2"/>
    <s v="Qtr-4"/>
  </r>
  <r>
    <s v="22-414-4955"/>
    <x v="22"/>
    <x v="2"/>
    <x v="1"/>
    <x v="1"/>
    <x v="2"/>
    <x v="0"/>
    <s v="High"/>
    <s v="Dragash"/>
    <s v="Kosovo"/>
    <x v="18"/>
    <n v="342.99"/>
    <n v="3"/>
    <s v="In-Store"/>
    <n v="4"/>
    <n v="2"/>
    <n v="120"/>
    <s v="Low"/>
    <s v="Very Sensitive"/>
    <n v="0"/>
    <x v="9"/>
    <s v="Medium"/>
    <x v="1"/>
    <s v="Other"/>
    <d v="2024-11-22T00:00:00"/>
    <x v="1"/>
    <x v="1"/>
    <x v="2"/>
    <x v="2"/>
    <n v="6"/>
    <x v="11"/>
    <s v="Qtr-4"/>
  </r>
  <r>
    <s v="99-089-1930"/>
    <x v="1"/>
    <x v="1"/>
    <x v="4"/>
    <x v="1"/>
    <x v="0"/>
    <x v="2"/>
    <s v="Middle"/>
    <s v="Freiburg im Breisgau"/>
    <s v="Germany"/>
    <x v="12"/>
    <n v="306.48"/>
    <n v="5"/>
    <s v="Mixed"/>
    <n v="1"/>
    <n v="3"/>
    <n v="0"/>
    <s v="Medium"/>
    <s v="Very Sensitive"/>
    <n v="0"/>
    <x v="5"/>
    <s v="Low"/>
    <x v="0"/>
    <s v="Credit Card"/>
    <d v="2024-09-15T00:00:00"/>
    <x v="1"/>
    <x v="1"/>
    <x v="0"/>
    <x v="1"/>
    <n v="14"/>
    <x v="10"/>
    <s v="Qtr-3"/>
  </r>
  <r>
    <s v="62-198-2511"/>
    <x v="0"/>
    <x v="0"/>
    <x v="1"/>
    <x v="0"/>
    <x v="3"/>
    <x v="2"/>
    <s v="High"/>
    <s v="Macau"/>
    <s v="China"/>
    <x v="3"/>
    <n v="308.54000000000002"/>
    <n v="3"/>
    <s v="Mixed"/>
    <n v="1"/>
    <n v="3"/>
    <n v="0"/>
    <s v="High"/>
    <s v="Not Sensitive"/>
    <n v="0.33333333333333331"/>
    <x v="1"/>
    <s v="High"/>
    <x v="2"/>
    <s v="Credit Card"/>
    <d v="2024-09-29T00:00:00"/>
    <x v="1"/>
    <x v="1"/>
    <x v="1"/>
    <x v="1"/>
    <n v="7"/>
    <x v="10"/>
    <s v="Qtr-3"/>
  </r>
  <r>
    <s v="21-297-1223"/>
    <x v="1"/>
    <x v="1"/>
    <x v="1"/>
    <x v="1"/>
    <x v="1"/>
    <x v="2"/>
    <s v="Middle"/>
    <s v="Pancas"/>
    <s v="Brazil"/>
    <x v="22"/>
    <n v="124.17"/>
    <n v="12"/>
    <s v="Mixed"/>
    <n v="5"/>
    <n v="2"/>
    <n v="120"/>
    <s v="High"/>
    <s v="Very Sensitive"/>
    <n v="0.16666666666666666"/>
    <x v="7"/>
    <s v="High"/>
    <x v="1"/>
    <s v="Debit Card"/>
    <d v="2024-11-16T00:00:00"/>
    <x v="0"/>
    <x v="1"/>
    <x v="3"/>
    <x v="1"/>
    <n v="6"/>
    <x v="11"/>
    <s v="Qtr-4"/>
  </r>
  <r>
    <s v="10-961-9336"/>
    <x v="23"/>
    <x v="0"/>
    <x v="0"/>
    <x v="0"/>
    <x v="0"/>
    <x v="2"/>
    <s v="Middle"/>
    <s v="Dayapan"/>
    <s v="Philippines"/>
    <x v="22"/>
    <n v="78"/>
    <n v="5"/>
    <s v="Online"/>
    <n v="1"/>
    <n v="5"/>
    <n v="0"/>
    <s v="None"/>
    <s v="Not Sensitive"/>
    <n v="0.2"/>
    <x v="2"/>
    <s v="Low"/>
    <x v="2"/>
    <s v="Debit Card"/>
    <d v="2024-11-09T00:00:00"/>
    <x v="0"/>
    <x v="0"/>
    <x v="1"/>
    <x v="0"/>
    <n v="11"/>
    <x v="11"/>
    <s v="Qtr-4"/>
  </r>
  <r>
    <s v="71-473-2656"/>
    <x v="23"/>
    <x v="0"/>
    <x v="0"/>
    <x v="1"/>
    <x v="0"/>
    <x v="0"/>
    <s v="Middle"/>
    <s v="Gordon Town"/>
    <s v="Jamaica"/>
    <x v="10"/>
    <n v="393.03"/>
    <n v="4"/>
    <s v="Mixed"/>
    <n v="4"/>
    <n v="4"/>
    <n v="0"/>
    <s v="High"/>
    <s v="Somewhat Sensitive"/>
    <n v="0.25"/>
    <x v="4"/>
    <s v="Medium"/>
    <x v="1"/>
    <s v="Cash"/>
    <d v="2024-09-03T00:00:00"/>
    <x v="0"/>
    <x v="1"/>
    <x v="3"/>
    <x v="1"/>
    <n v="7"/>
    <x v="10"/>
    <s v="Qtr-3"/>
  </r>
  <r>
    <s v="84-954-2973"/>
    <x v="14"/>
    <x v="2"/>
    <x v="0"/>
    <x v="1"/>
    <x v="1"/>
    <x v="2"/>
    <s v="Middle"/>
    <s v="Proptisht"/>
    <s v="Albania"/>
    <x v="11"/>
    <n v="102.09"/>
    <n v="3"/>
    <s v="Mixed"/>
    <n v="1"/>
    <n v="4"/>
    <n v="0"/>
    <s v="None"/>
    <s v="Very Sensitive"/>
    <n v="0.33333333333333331"/>
    <x v="5"/>
    <s v="Medium"/>
    <x v="0"/>
    <s v="PayPal"/>
    <d v="2024-03-13T00:00:00"/>
    <x v="1"/>
    <x v="1"/>
    <x v="0"/>
    <x v="2"/>
    <n v="1"/>
    <x v="0"/>
    <s v="Qtr-1"/>
  </r>
  <r>
    <s v="22-382-9636"/>
    <x v="11"/>
    <x v="2"/>
    <x v="1"/>
    <x v="0"/>
    <x v="0"/>
    <x v="0"/>
    <s v="High"/>
    <s v="Kamal"/>
    <s v="Indonesia"/>
    <x v="10"/>
    <n v="426.21"/>
    <n v="3"/>
    <s v="Mixed"/>
    <n v="1"/>
    <n v="4"/>
    <n v="120"/>
    <s v="High"/>
    <s v="Somewhat Sensitive"/>
    <n v="0.66666666666666663"/>
    <x v="1"/>
    <s v="High"/>
    <x v="1"/>
    <s v="Other"/>
    <d v="2024-04-18T00:00:00"/>
    <x v="1"/>
    <x v="1"/>
    <x v="1"/>
    <x v="1"/>
    <n v="2"/>
    <x v="1"/>
    <s v="Qtr-2"/>
  </r>
  <r>
    <s v="89-724-2536"/>
    <x v="21"/>
    <x v="1"/>
    <x v="1"/>
    <x v="0"/>
    <x v="2"/>
    <x v="2"/>
    <s v="High"/>
    <s v="Kouvola"/>
    <s v="Finland"/>
    <x v="17"/>
    <n v="140.31"/>
    <n v="2"/>
    <s v="Online"/>
    <n v="2"/>
    <n v="4"/>
    <n v="60"/>
    <s v="Low"/>
    <s v="Very Sensitive"/>
    <n v="1"/>
    <x v="1"/>
    <s v="None"/>
    <x v="2"/>
    <s v="Cash"/>
    <d v="2024-05-21T00:00:00"/>
    <x v="0"/>
    <x v="1"/>
    <x v="2"/>
    <x v="2"/>
    <n v="8"/>
    <x v="9"/>
    <s v="Qtr-2"/>
  </r>
  <r>
    <s v="85-391-1888"/>
    <x v="27"/>
    <x v="3"/>
    <x v="0"/>
    <x v="1"/>
    <x v="2"/>
    <x v="2"/>
    <s v="Middle"/>
    <s v="Zhongdong"/>
    <s v="China"/>
    <x v="14"/>
    <n v="413.7"/>
    <n v="8"/>
    <s v="Mixed"/>
    <n v="3"/>
    <n v="3"/>
    <n v="18"/>
    <s v="Low"/>
    <s v="Very Sensitive"/>
    <n v="0"/>
    <x v="5"/>
    <s v="High"/>
    <x v="2"/>
    <s v="Other"/>
    <d v="2024-06-17T00:00:00"/>
    <x v="1"/>
    <x v="1"/>
    <x v="0"/>
    <x v="0"/>
    <n v="6"/>
    <x v="4"/>
    <s v="Qtr-2"/>
  </r>
  <r>
    <s v="84-934-2483"/>
    <x v="1"/>
    <x v="1"/>
    <x v="1"/>
    <x v="1"/>
    <x v="2"/>
    <x v="2"/>
    <s v="Middle"/>
    <s v="Betong"/>
    <s v="Thailand"/>
    <x v="17"/>
    <n v="348.63"/>
    <n v="4"/>
    <s v="Online"/>
    <n v="5"/>
    <n v="2"/>
    <n v="0"/>
    <s v="High"/>
    <s v="Somewhat Sensitive"/>
    <n v="0"/>
    <x v="0"/>
    <s v="None"/>
    <x v="1"/>
    <s v="Debit Card"/>
    <d v="2024-04-01T00:00:00"/>
    <x v="1"/>
    <x v="0"/>
    <x v="3"/>
    <x v="0"/>
    <n v="6"/>
    <x v="1"/>
    <s v="Qtr-2"/>
  </r>
  <r>
    <s v="96-229-1698"/>
    <x v="25"/>
    <x v="0"/>
    <x v="0"/>
    <x v="0"/>
    <x v="2"/>
    <x v="1"/>
    <s v="Middle"/>
    <s v="Jinping"/>
    <s v="China"/>
    <x v="9"/>
    <n v="91.27"/>
    <n v="7"/>
    <s v="In-Store"/>
    <n v="5"/>
    <n v="1"/>
    <n v="0"/>
    <s v="High"/>
    <s v="Not Sensitive"/>
    <n v="0.2857142857142857"/>
    <x v="9"/>
    <s v="None"/>
    <x v="0"/>
    <s v="Cash"/>
    <d v="2024-06-21T00:00:00"/>
    <x v="0"/>
    <x v="1"/>
    <x v="3"/>
    <x v="2"/>
    <n v="13"/>
    <x v="4"/>
    <s v="Qtr-2"/>
  </r>
  <r>
    <s v="36-948-6994"/>
    <x v="3"/>
    <x v="0"/>
    <x v="0"/>
    <x v="1"/>
    <x v="3"/>
    <x v="0"/>
    <s v="High"/>
    <s v="Mgachi"/>
    <s v="Russia"/>
    <x v="8"/>
    <n v="359.94"/>
    <n v="11"/>
    <s v="Mixed"/>
    <n v="2"/>
    <n v="5"/>
    <n v="120"/>
    <s v="None"/>
    <s v="Very Sensitive"/>
    <n v="9.0909090909090912E-2"/>
    <x v="8"/>
    <s v="Low"/>
    <x v="1"/>
    <s v="Cash"/>
    <d v="2024-12-19T00:00:00"/>
    <x v="1"/>
    <x v="1"/>
    <x v="1"/>
    <x v="2"/>
    <n v="9"/>
    <x v="6"/>
    <s v="Qtr-4"/>
  </r>
  <r>
    <s v="43-172-9431"/>
    <x v="8"/>
    <x v="0"/>
    <x v="1"/>
    <x v="0"/>
    <x v="3"/>
    <x v="1"/>
    <s v="Middle"/>
    <s v="Lameira"/>
    <s v="Portugal"/>
    <x v="0"/>
    <n v="138.19999999999999"/>
    <n v="8"/>
    <s v="In-Store"/>
    <n v="1"/>
    <n v="2"/>
    <n v="120"/>
    <s v="High"/>
    <s v="Not Sensitive"/>
    <n v="0"/>
    <x v="9"/>
    <s v="Low"/>
    <x v="2"/>
    <s v="Debit Card"/>
    <d v="2024-03-02T00:00:00"/>
    <x v="1"/>
    <x v="1"/>
    <x v="0"/>
    <x v="0"/>
    <n v="12"/>
    <x v="0"/>
    <s v="Qtr-1"/>
  </r>
  <r>
    <s v="53-690-5759"/>
    <x v="9"/>
    <x v="2"/>
    <x v="6"/>
    <x v="1"/>
    <x v="3"/>
    <x v="1"/>
    <s v="High"/>
    <s v="Medicine Hat"/>
    <s v="Canada"/>
    <x v="3"/>
    <n v="196.33"/>
    <n v="11"/>
    <s v="Online"/>
    <n v="4"/>
    <n v="3"/>
    <n v="60"/>
    <s v="Medium"/>
    <s v="Not Sensitive"/>
    <n v="0"/>
    <x v="1"/>
    <s v="None"/>
    <x v="2"/>
    <s v="Debit Card"/>
    <d v="2024-06-29T00:00:00"/>
    <x v="0"/>
    <x v="1"/>
    <x v="3"/>
    <x v="1"/>
    <n v="11"/>
    <x v="4"/>
    <s v="Qtr-2"/>
  </r>
  <r>
    <s v="00-496-3067"/>
    <x v="11"/>
    <x v="2"/>
    <x v="0"/>
    <x v="0"/>
    <x v="2"/>
    <x v="0"/>
    <s v="Middle"/>
    <s v="Oslo"/>
    <s v="Norway"/>
    <x v="12"/>
    <n v="249.24"/>
    <n v="8"/>
    <s v="In-Store"/>
    <n v="4"/>
    <n v="3"/>
    <n v="60"/>
    <s v="Medium"/>
    <s v="Somewhat Sensitive"/>
    <n v="0.25"/>
    <x v="4"/>
    <s v="High"/>
    <x v="1"/>
    <s v="Cash"/>
    <d v="2024-08-29T00:00:00"/>
    <x v="1"/>
    <x v="1"/>
    <x v="0"/>
    <x v="1"/>
    <n v="7"/>
    <x v="7"/>
    <s v="Qtr-3"/>
  </r>
  <r>
    <s v="10-330-6387"/>
    <x v="5"/>
    <x v="1"/>
    <x v="1"/>
    <x v="1"/>
    <x v="3"/>
    <x v="1"/>
    <s v="High"/>
    <s v="Yeniköy"/>
    <s v="Turkey"/>
    <x v="4"/>
    <n v="129.1"/>
    <n v="12"/>
    <s v="Mixed"/>
    <n v="5"/>
    <n v="3"/>
    <n v="120"/>
    <s v="Low"/>
    <s v="Not Sensitive"/>
    <n v="0"/>
    <x v="8"/>
    <s v="High"/>
    <x v="2"/>
    <s v="Credit Card"/>
    <d v="2024-04-15T00:00:00"/>
    <x v="0"/>
    <x v="0"/>
    <x v="3"/>
    <x v="0"/>
    <n v="7"/>
    <x v="1"/>
    <s v="Qtr-2"/>
  </r>
  <r>
    <s v="87-590-8963"/>
    <x v="5"/>
    <x v="1"/>
    <x v="0"/>
    <x v="1"/>
    <x v="0"/>
    <x v="2"/>
    <s v="High"/>
    <s v="Peer"/>
    <s v="Belgium"/>
    <x v="15"/>
    <n v="112.69"/>
    <n v="10"/>
    <s v="In-Store"/>
    <n v="1"/>
    <n v="4"/>
    <n v="0"/>
    <s v="High"/>
    <s v="Not Sensitive"/>
    <n v="0"/>
    <x v="0"/>
    <s v="Medium"/>
    <x v="1"/>
    <s v="Debit Card"/>
    <d v="2024-08-27T00:00:00"/>
    <x v="1"/>
    <x v="1"/>
    <x v="0"/>
    <x v="1"/>
    <n v="1"/>
    <x v="7"/>
    <s v="Qtr-3"/>
  </r>
  <r>
    <s v="47-931-2642"/>
    <x v="19"/>
    <x v="1"/>
    <x v="1"/>
    <x v="0"/>
    <x v="2"/>
    <x v="0"/>
    <s v="High"/>
    <s v="Belësovka"/>
    <s v="Kazakhstan"/>
    <x v="21"/>
    <n v="267.85000000000002"/>
    <n v="5"/>
    <s v="Online"/>
    <n v="5"/>
    <n v="2"/>
    <n v="120"/>
    <s v="Medium"/>
    <s v="Somewhat Sensitive"/>
    <n v="0.2"/>
    <x v="1"/>
    <s v="High"/>
    <x v="1"/>
    <s v="Credit Card"/>
    <d v="2024-03-20T00:00:00"/>
    <x v="1"/>
    <x v="1"/>
    <x v="0"/>
    <x v="1"/>
    <n v="7"/>
    <x v="0"/>
    <s v="Qtr-1"/>
  </r>
  <r>
    <s v="76-501-6422"/>
    <x v="2"/>
    <x v="0"/>
    <x v="1"/>
    <x v="0"/>
    <x v="3"/>
    <x v="1"/>
    <s v="Middle"/>
    <s v="Houston"/>
    <s v="United States"/>
    <x v="3"/>
    <n v="205.36"/>
    <n v="12"/>
    <s v="Online"/>
    <n v="1"/>
    <n v="5"/>
    <n v="120"/>
    <s v="High"/>
    <s v="Very Sensitive"/>
    <n v="0"/>
    <x v="2"/>
    <s v="Low"/>
    <x v="0"/>
    <s v="Credit Card"/>
    <d v="2024-04-27T00:00:00"/>
    <x v="1"/>
    <x v="0"/>
    <x v="2"/>
    <x v="2"/>
    <n v="5"/>
    <x v="1"/>
    <s v="Qtr-2"/>
  </r>
  <r>
    <s v="39-274-2175"/>
    <x v="18"/>
    <x v="1"/>
    <x v="5"/>
    <x v="1"/>
    <x v="3"/>
    <x v="2"/>
    <s v="High"/>
    <s v="Hengdian"/>
    <s v="China"/>
    <x v="18"/>
    <n v="79.099999999999994"/>
    <n v="10"/>
    <s v="In-Store"/>
    <n v="5"/>
    <n v="3"/>
    <n v="60"/>
    <s v="None"/>
    <s v="Not Sensitive"/>
    <n v="0"/>
    <x v="5"/>
    <s v="Medium"/>
    <x v="0"/>
    <s v="Debit Card"/>
    <d v="2024-05-05T00:00:00"/>
    <x v="0"/>
    <x v="0"/>
    <x v="0"/>
    <x v="2"/>
    <n v="4"/>
    <x v="9"/>
    <s v="Qtr-2"/>
  </r>
  <r>
    <s v="62-493-5282"/>
    <x v="22"/>
    <x v="2"/>
    <x v="1"/>
    <x v="1"/>
    <x v="2"/>
    <x v="1"/>
    <s v="Middle"/>
    <s v="Shuigou"/>
    <s v="China"/>
    <x v="10"/>
    <n v="256.63"/>
    <n v="12"/>
    <s v="In-Store"/>
    <n v="1"/>
    <n v="4"/>
    <n v="0"/>
    <s v="High"/>
    <s v="Somewhat Sensitive"/>
    <n v="0.16666666666666666"/>
    <x v="6"/>
    <s v="None"/>
    <x v="1"/>
    <s v="Debit Card"/>
    <d v="2024-06-16T00:00:00"/>
    <x v="0"/>
    <x v="1"/>
    <x v="2"/>
    <x v="1"/>
    <n v="10"/>
    <x v="4"/>
    <s v="Qtr-2"/>
  </r>
  <r>
    <s v="18-841-7253"/>
    <x v="17"/>
    <x v="1"/>
    <x v="0"/>
    <x v="1"/>
    <x v="3"/>
    <x v="1"/>
    <s v="Middle"/>
    <s v="Xingxi"/>
    <s v="China"/>
    <x v="5"/>
    <n v="409.98"/>
    <n v="12"/>
    <s v="Mixed"/>
    <n v="5"/>
    <n v="4"/>
    <n v="0"/>
    <s v="None"/>
    <s v="Not Sensitive"/>
    <n v="0.16666666666666666"/>
    <x v="2"/>
    <s v="Medium"/>
    <x v="2"/>
    <s v="PayPal"/>
    <d v="2024-10-15T00:00:00"/>
    <x v="0"/>
    <x v="0"/>
    <x v="1"/>
    <x v="2"/>
    <n v="8"/>
    <x v="2"/>
    <s v="Qtr-4"/>
  </r>
  <r>
    <s v="18-097-5707"/>
    <x v="10"/>
    <x v="2"/>
    <x v="1"/>
    <x v="0"/>
    <x v="2"/>
    <x v="1"/>
    <s v="High"/>
    <s v="Dh?b?n"/>
    <s v="Jordan"/>
    <x v="6"/>
    <n v="291.60000000000002"/>
    <n v="2"/>
    <s v="In-Store"/>
    <n v="3"/>
    <n v="3"/>
    <n v="120"/>
    <s v="High"/>
    <s v="Somewhat Sensitive"/>
    <n v="0"/>
    <x v="0"/>
    <s v="None"/>
    <x v="2"/>
    <s v="Cash"/>
    <d v="2024-08-01T00:00:00"/>
    <x v="1"/>
    <x v="1"/>
    <x v="0"/>
    <x v="1"/>
    <n v="3"/>
    <x v="7"/>
    <s v="Qtr-3"/>
  </r>
  <r>
    <s v="83-792-5141"/>
    <x v="17"/>
    <x v="1"/>
    <x v="0"/>
    <x v="0"/>
    <x v="1"/>
    <x v="0"/>
    <s v="Middle"/>
    <s v="Chengguan"/>
    <s v="China"/>
    <x v="3"/>
    <n v="101.7"/>
    <n v="7"/>
    <s v="Online"/>
    <n v="3"/>
    <n v="4"/>
    <n v="120"/>
    <s v="Medium"/>
    <s v="Not Sensitive"/>
    <n v="0.2857142857142857"/>
    <x v="6"/>
    <s v="None"/>
    <x v="0"/>
    <s v="Debit Card"/>
    <d v="2024-06-25T00:00:00"/>
    <x v="1"/>
    <x v="1"/>
    <x v="1"/>
    <x v="1"/>
    <n v="4"/>
    <x v="4"/>
    <s v="Qtr-2"/>
  </r>
  <r>
    <s v="65-036-2410"/>
    <x v="17"/>
    <x v="1"/>
    <x v="0"/>
    <x v="0"/>
    <x v="1"/>
    <x v="1"/>
    <s v="Middle"/>
    <s v="Paris 09"/>
    <s v="France"/>
    <x v="10"/>
    <n v="369.73"/>
    <n v="2"/>
    <s v="Online"/>
    <n v="1"/>
    <n v="2"/>
    <n v="120"/>
    <s v="None"/>
    <s v="Not Sensitive"/>
    <n v="0"/>
    <x v="4"/>
    <s v="None"/>
    <x v="0"/>
    <s v="Debit Card"/>
    <d v="2024-02-04T00:00:00"/>
    <x v="0"/>
    <x v="1"/>
    <x v="1"/>
    <x v="0"/>
    <n v="12"/>
    <x v="8"/>
    <s v="Qtr-1"/>
  </r>
  <r>
    <s v="67-593-9579"/>
    <x v="19"/>
    <x v="1"/>
    <x v="1"/>
    <x v="0"/>
    <x v="1"/>
    <x v="0"/>
    <s v="High"/>
    <s v="Rozhdestveno"/>
    <s v="Russia"/>
    <x v="15"/>
    <n v="71"/>
    <n v="12"/>
    <s v="Online"/>
    <n v="1"/>
    <n v="5"/>
    <n v="120"/>
    <s v="High"/>
    <s v="Not Sensitive"/>
    <n v="0.16666666666666666"/>
    <x v="5"/>
    <s v="Low"/>
    <x v="1"/>
    <s v="Cash"/>
    <d v="2024-06-26T00:00:00"/>
    <x v="1"/>
    <x v="0"/>
    <x v="1"/>
    <x v="0"/>
    <n v="13"/>
    <x v="4"/>
    <s v="Qtr-2"/>
  </r>
  <r>
    <s v="33-484-6674"/>
    <x v="26"/>
    <x v="1"/>
    <x v="1"/>
    <x v="0"/>
    <x v="1"/>
    <x v="2"/>
    <s v="Middle"/>
    <s v="Porangatu"/>
    <s v="Brazil"/>
    <x v="12"/>
    <n v="280.05"/>
    <n v="10"/>
    <s v="In-Store"/>
    <n v="4"/>
    <n v="1"/>
    <n v="120"/>
    <s v="Medium"/>
    <s v="Very Sensitive"/>
    <n v="0.1"/>
    <x v="6"/>
    <s v="High"/>
    <x v="1"/>
    <s v="Credit Card"/>
    <d v="2024-07-06T00:00:00"/>
    <x v="0"/>
    <x v="0"/>
    <x v="1"/>
    <x v="0"/>
    <n v="11"/>
    <x v="5"/>
    <s v="Qtr-3"/>
  </r>
  <r>
    <s v="65-249-5416"/>
    <x v="22"/>
    <x v="2"/>
    <x v="1"/>
    <x v="1"/>
    <x v="2"/>
    <x v="2"/>
    <s v="Middle"/>
    <s v="Shalkar"/>
    <s v="Kazakhstan"/>
    <x v="23"/>
    <n v="54.71"/>
    <n v="4"/>
    <s v="Mixed"/>
    <n v="5"/>
    <n v="2"/>
    <n v="60"/>
    <s v="Low"/>
    <s v="Very Sensitive"/>
    <n v="0.25"/>
    <x v="4"/>
    <s v="None"/>
    <x v="2"/>
    <s v="PayPal"/>
    <d v="2024-10-26T00:00:00"/>
    <x v="0"/>
    <x v="1"/>
    <x v="0"/>
    <x v="2"/>
    <n v="3"/>
    <x v="2"/>
    <s v="Qtr-4"/>
  </r>
  <r>
    <s v="17-328-4678"/>
    <x v="23"/>
    <x v="0"/>
    <x v="1"/>
    <x v="1"/>
    <x v="2"/>
    <x v="0"/>
    <s v="Middle"/>
    <s v="Quimbaya"/>
    <s v="Colombia"/>
    <x v="12"/>
    <n v="119.51"/>
    <n v="11"/>
    <s v="Mixed"/>
    <n v="5"/>
    <n v="5"/>
    <n v="120"/>
    <s v="Low"/>
    <s v="Very Sensitive"/>
    <n v="0.18181818181818182"/>
    <x v="8"/>
    <s v="Low"/>
    <x v="2"/>
    <s v="PayPal"/>
    <d v="2024-05-07T00:00:00"/>
    <x v="1"/>
    <x v="0"/>
    <x v="3"/>
    <x v="0"/>
    <n v="1"/>
    <x v="9"/>
    <s v="Qtr-2"/>
  </r>
  <r>
    <s v="00-733-8770"/>
    <x v="14"/>
    <x v="2"/>
    <x v="0"/>
    <x v="1"/>
    <x v="1"/>
    <x v="2"/>
    <s v="High"/>
    <s v="Narok"/>
    <s v="Kenya"/>
    <x v="17"/>
    <n v="57.5"/>
    <n v="12"/>
    <s v="Online"/>
    <n v="5"/>
    <n v="1"/>
    <n v="60"/>
    <s v="None"/>
    <s v="Not Sensitive"/>
    <n v="0"/>
    <x v="4"/>
    <s v="None"/>
    <x v="2"/>
    <s v="Cash"/>
    <d v="2024-12-08T00:00:00"/>
    <x v="0"/>
    <x v="1"/>
    <x v="2"/>
    <x v="0"/>
    <n v="13"/>
    <x v="6"/>
    <s v="Qtr-4"/>
  </r>
  <r>
    <s v="47-501-3435"/>
    <x v="9"/>
    <x v="2"/>
    <x v="0"/>
    <x v="1"/>
    <x v="0"/>
    <x v="0"/>
    <s v="High"/>
    <s v="Gimcheon"/>
    <s v="South Korea"/>
    <x v="5"/>
    <n v="225.05"/>
    <n v="5"/>
    <s v="Mixed"/>
    <n v="2"/>
    <n v="1"/>
    <n v="60"/>
    <s v="High"/>
    <s v="Somewhat Sensitive"/>
    <n v="0.2"/>
    <x v="2"/>
    <s v="Low"/>
    <x v="2"/>
    <s v="Credit Card"/>
    <d v="2024-06-27T00:00:00"/>
    <x v="1"/>
    <x v="0"/>
    <x v="0"/>
    <x v="0"/>
    <n v="10"/>
    <x v="4"/>
    <s v="Qtr-2"/>
  </r>
  <r>
    <s v="46-779-7065"/>
    <x v="30"/>
    <x v="1"/>
    <x v="0"/>
    <x v="1"/>
    <x v="3"/>
    <x v="1"/>
    <s v="High"/>
    <s v="Visaginas"/>
    <s v="Lithuania"/>
    <x v="1"/>
    <n v="441.15"/>
    <n v="7"/>
    <s v="Online"/>
    <n v="3"/>
    <n v="1"/>
    <n v="60"/>
    <s v="Low"/>
    <s v="Somewhat Sensitive"/>
    <n v="0.14285714285714285"/>
    <x v="2"/>
    <s v="None"/>
    <x v="1"/>
    <s v="Debit Card"/>
    <d v="2024-08-31T00:00:00"/>
    <x v="1"/>
    <x v="0"/>
    <x v="0"/>
    <x v="0"/>
    <n v="8"/>
    <x v="7"/>
    <s v="Qtr-3"/>
  </r>
  <r>
    <s v="91-603-1565"/>
    <x v="18"/>
    <x v="1"/>
    <x v="1"/>
    <x v="0"/>
    <x v="3"/>
    <x v="1"/>
    <s v="Middle"/>
    <s v="Shostka"/>
    <s v="Ukraine"/>
    <x v="9"/>
    <n v="481.21"/>
    <n v="3"/>
    <s v="Mixed"/>
    <n v="1"/>
    <n v="2"/>
    <n v="60"/>
    <s v="High"/>
    <s v="Not Sensitive"/>
    <n v="0"/>
    <x v="2"/>
    <s v="None"/>
    <x v="2"/>
    <s v="Credit Card"/>
    <d v="2024-11-13T00:00:00"/>
    <x v="1"/>
    <x v="0"/>
    <x v="1"/>
    <x v="0"/>
    <n v="11"/>
    <x v="11"/>
    <s v="Qtr-4"/>
  </r>
  <r>
    <s v="35-122-5020"/>
    <x v="18"/>
    <x v="1"/>
    <x v="0"/>
    <x v="1"/>
    <x v="0"/>
    <x v="0"/>
    <s v="Middle"/>
    <s v="Pukekohe East"/>
    <s v="New Zealand"/>
    <x v="17"/>
    <n v="102.96"/>
    <n v="3"/>
    <s v="Mixed"/>
    <n v="1"/>
    <n v="1"/>
    <n v="60"/>
    <s v="Low"/>
    <s v="Very Sensitive"/>
    <n v="0"/>
    <x v="0"/>
    <s v="Low"/>
    <x v="2"/>
    <s v="PayPal"/>
    <d v="2024-12-19T00:00:00"/>
    <x v="1"/>
    <x v="1"/>
    <x v="1"/>
    <x v="1"/>
    <n v="4"/>
    <x v="6"/>
    <s v="Qtr-4"/>
  </r>
  <r>
    <s v="63-684-4073"/>
    <x v="5"/>
    <x v="1"/>
    <x v="0"/>
    <x v="1"/>
    <x v="3"/>
    <x v="0"/>
    <s v="High"/>
    <s v="Blokdesa Situgede"/>
    <s v="Indonesia"/>
    <x v="13"/>
    <n v="331.57"/>
    <n v="11"/>
    <s v="Mixed"/>
    <n v="3"/>
    <n v="1"/>
    <n v="0"/>
    <s v="Low"/>
    <s v="Somewhat Sensitive"/>
    <n v="9.0909090909090912E-2"/>
    <x v="9"/>
    <s v="Medium"/>
    <x v="2"/>
    <s v="Debit Card"/>
    <d v="2024-05-06T00:00:00"/>
    <x v="1"/>
    <x v="0"/>
    <x v="2"/>
    <x v="2"/>
    <n v="14"/>
    <x v="9"/>
    <s v="Qtr-2"/>
  </r>
  <r>
    <s v="74-483-2893"/>
    <x v="29"/>
    <x v="0"/>
    <x v="4"/>
    <x v="0"/>
    <x v="2"/>
    <x v="1"/>
    <s v="Middle"/>
    <s v="Yueyang"/>
    <s v="China"/>
    <x v="13"/>
    <n v="101.29"/>
    <n v="11"/>
    <s v="In-Store"/>
    <n v="1"/>
    <n v="1"/>
    <n v="120"/>
    <s v="Medium"/>
    <s v="Not Sensitive"/>
    <n v="0.18181818181818182"/>
    <x v="0"/>
    <s v="Medium"/>
    <x v="1"/>
    <s v="Cash"/>
    <d v="2024-10-30T00:00:00"/>
    <x v="1"/>
    <x v="1"/>
    <x v="0"/>
    <x v="0"/>
    <n v="4"/>
    <x v="2"/>
    <s v="Qtr-4"/>
  </r>
  <r>
    <s v="72-728-4406"/>
    <x v="17"/>
    <x v="1"/>
    <x v="0"/>
    <x v="0"/>
    <x v="1"/>
    <x v="2"/>
    <s v="High"/>
    <s v="Liutan"/>
    <s v="China"/>
    <x v="12"/>
    <n v="143.52000000000001"/>
    <n v="9"/>
    <s v="In-Store"/>
    <n v="2"/>
    <n v="5"/>
    <n v="60"/>
    <s v="Medium"/>
    <s v="Somewhat Sensitive"/>
    <n v="0.22222222222222221"/>
    <x v="4"/>
    <s v="None"/>
    <x v="0"/>
    <s v="Credit Card"/>
    <d v="2024-04-11T00:00:00"/>
    <x v="0"/>
    <x v="0"/>
    <x v="2"/>
    <x v="2"/>
    <n v="12"/>
    <x v="1"/>
    <s v="Qtr-2"/>
  </r>
  <r>
    <s v="13-588-2488"/>
    <x v="7"/>
    <x v="2"/>
    <x v="1"/>
    <x v="0"/>
    <x v="2"/>
    <x v="0"/>
    <s v="Middle"/>
    <s v="Huanggang"/>
    <s v="China"/>
    <x v="6"/>
    <n v="276.48"/>
    <n v="3"/>
    <s v="Mixed"/>
    <n v="1"/>
    <n v="2"/>
    <n v="60"/>
    <s v="None"/>
    <s v="Somewhat Sensitive"/>
    <n v="0"/>
    <x v="7"/>
    <s v="Low"/>
    <x v="2"/>
    <s v="Cash"/>
    <d v="2024-05-05T00:00:00"/>
    <x v="1"/>
    <x v="0"/>
    <x v="0"/>
    <x v="2"/>
    <n v="7"/>
    <x v="9"/>
    <s v="Qtr-2"/>
  </r>
  <r>
    <s v="79-861-6506"/>
    <x v="28"/>
    <x v="0"/>
    <x v="1"/>
    <x v="1"/>
    <x v="2"/>
    <x v="1"/>
    <s v="High"/>
    <s v="Baturité"/>
    <s v="Brazil"/>
    <x v="16"/>
    <n v="352.87"/>
    <n v="11"/>
    <s v="In-Store"/>
    <n v="5"/>
    <n v="3"/>
    <n v="0"/>
    <s v="High"/>
    <s v="Not Sensitive"/>
    <n v="0"/>
    <x v="9"/>
    <s v="High"/>
    <x v="0"/>
    <s v="PayPal"/>
    <d v="2024-02-19T00:00:00"/>
    <x v="1"/>
    <x v="0"/>
    <x v="1"/>
    <x v="1"/>
    <n v="12"/>
    <x v="8"/>
    <s v="Qtr-1"/>
  </r>
  <r>
    <s v="66-974-6707"/>
    <x v="18"/>
    <x v="1"/>
    <x v="1"/>
    <x v="0"/>
    <x v="0"/>
    <x v="2"/>
    <s v="Middle"/>
    <s v="Mi’ersi"/>
    <s v="China"/>
    <x v="7"/>
    <n v="228.68"/>
    <n v="3"/>
    <s v="Mixed"/>
    <n v="2"/>
    <n v="1"/>
    <n v="120"/>
    <s v="Low"/>
    <s v="Very Sensitive"/>
    <n v="0.33333333333333331"/>
    <x v="7"/>
    <s v="None"/>
    <x v="0"/>
    <s v="Debit Card"/>
    <d v="2024-10-09T00:00:00"/>
    <x v="0"/>
    <x v="0"/>
    <x v="3"/>
    <x v="1"/>
    <n v="4"/>
    <x v="2"/>
    <s v="Qtr-4"/>
  </r>
  <r>
    <s v="95-112-6724"/>
    <x v="16"/>
    <x v="2"/>
    <x v="0"/>
    <x v="0"/>
    <x v="3"/>
    <x v="2"/>
    <s v="High"/>
    <s v="Xuedian"/>
    <s v="China"/>
    <x v="1"/>
    <n v="301.39"/>
    <n v="6"/>
    <s v="Online"/>
    <n v="2"/>
    <n v="1"/>
    <n v="0"/>
    <s v="None"/>
    <s v="Very Sensitive"/>
    <n v="0.16666666666666666"/>
    <x v="7"/>
    <s v="Low"/>
    <x v="2"/>
    <s v="Debit Card"/>
    <d v="2024-04-21T00:00:00"/>
    <x v="1"/>
    <x v="0"/>
    <x v="0"/>
    <x v="0"/>
    <n v="11"/>
    <x v="1"/>
    <s v="Qtr-2"/>
  </r>
  <r>
    <s v="27-262-6874"/>
    <x v="8"/>
    <x v="0"/>
    <x v="0"/>
    <x v="0"/>
    <x v="0"/>
    <x v="0"/>
    <s v="High"/>
    <s v="Yuyapichis"/>
    <s v="Peru"/>
    <x v="5"/>
    <n v="473.5"/>
    <n v="11"/>
    <s v="Mixed"/>
    <n v="2"/>
    <n v="4"/>
    <n v="60"/>
    <s v="Low"/>
    <s v="Somewhat Sensitive"/>
    <n v="0.18181818181818182"/>
    <x v="4"/>
    <s v="High"/>
    <x v="0"/>
    <s v="Other"/>
    <d v="2024-07-24T00:00:00"/>
    <x v="1"/>
    <x v="1"/>
    <x v="2"/>
    <x v="2"/>
    <n v="10"/>
    <x v="5"/>
    <s v="Qtr-3"/>
  </r>
  <r>
    <s v="92-908-5062"/>
    <x v="27"/>
    <x v="3"/>
    <x v="6"/>
    <x v="0"/>
    <x v="1"/>
    <x v="0"/>
    <s v="High"/>
    <s v="Shiroishi"/>
    <s v="Japan"/>
    <x v="3"/>
    <n v="72.8"/>
    <n v="11"/>
    <s v="In-Store"/>
    <n v="2"/>
    <n v="4"/>
    <n v="60"/>
    <s v="High"/>
    <s v="Somewhat Sensitive"/>
    <n v="0.18181818181818182"/>
    <x v="3"/>
    <s v="High"/>
    <x v="2"/>
    <s v="PayPal"/>
    <d v="2024-08-20T00:00:00"/>
    <x v="0"/>
    <x v="0"/>
    <x v="0"/>
    <x v="2"/>
    <n v="3"/>
    <x v="7"/>
    <s v="Qtr-3"/>
  </r>
  <r>
    <s v="70-014-6406"/>
    <x v="27"/>
    <x v="3"/>
    <x v="1"/>
    <x v="0"/>
    <x v="3"/>
    <x v="0"/>
    <s v="High"/>
    <s v="Kobe"/>
    <s v="Japan"/>
    <x v="12"/>
    <n v="171.72"/>
    <n v="3"/>
    <s v="Online"/>
    <n v="5"/>
    <n v="3"/>
    <n v="60"/>
    <s v="Low"/>
    <s v="Very Sensitive"/>
    <n v="0.33333333333333331"/>
    <x v="6"/>
    <s v="None"/>
    <x v="2"/>
    <s v="PayPal"/>
    <d v="2024-03-24T00:00:00"/>
    <x v="1"/>
    <x v="1"/>
    <x v="2"/>
    <x v="1"/>
    <n v="12"/>
    <x v="0"/>
    <s v="Qtr-1"/>
  </r>
  <r>
    <s v="52-908-9971"/>
    <x v="16"/>
    <x v="2"/>
    <x v="1"/>
    <x v="0"/>
    <x v="2"/>
    <x v="1"/>
    <s v="Middle"/>
    <s v="Gulou"/>
    <s v="China"/>
    <x v="14"/>
    <n v="467.5"/>
    <n v="6"/>
    <s v="In-Store"/>
    <n v="2"/>
    <n v="1"/>
    <n v="0"/>
    <s v="None"/>
    <s v="Somewhat Sensitive"/>
    <n v="0.16666666666666666"/>
    <x v="2"/>
    <s v="High"/>
    <x v="2"/>
    <s v="PayPal"/>
    <d v="2024-04-04T00:00:00"/>
    <x v="1"/>
    <x v="0"/>
    <x v="3"/>
    <x v="0"/>
    <n v="6"/>
    <x v="1"/>
    <s v="Qtr-2"/>
  </r>
  <r>
    <s v="57-623-5362"/>
    <x v="20"/>
    <x v="1"/>
    <x v="7"/>
    <x v="1"/>
    <x v="0"/>
    <x v="0"/>
    <s v="High"/>
    <s v="Jilin"/>
    <s v="China"/>
    <x v="4"/>
    <n v="209.79"/>
    <n v="6"/>
    <s v="Mixed"/>
    <n v="5"/>
    <n v="1"/>
    <n v="120"/>
    <s v="High"/>
    <s v="Not Sensitive"/>
    <n v="0.16666666666666666"/>
    <x v="5"/>
    <s v="Low"/>
    <x v="0"/>
    <s v="Other"/>
    <d v="2024-09-13T00:00:00"/>
    <x v="0"/>
    <x v="1"/>
    <x v="0"/>
    <x v="1"/>
    <n v="10"/>
    <x v="10"/>
    <s v="Qtr-3"/>
  </r>
  <r>
    <s v="48-315-0196"/>
    <x v="25"/>
    <x v="0"/>
    <x v="1"/>
    <x v="0"/>
    <x v="1"/>
    <x v="1"/>
    <s v="Middle"/>
    <s v="Balboa"/>
    <s v="Panama"/>
    <x v="2"/>
    <n v="150.33000000000001"/>
    <n v="9"/>
    <s v="In-Store"/>
    <n v="4"/>
    <n v="4"/>
    <n v="120"/>
    <s v="None"/>
    <s v="Somewhat Sensitive"/>
    <n v="0.22222222222222221"/>
    <x v="5"/>
    <s v="Medium"/>
    <x v="2"/>
    <s v="Debit Card"/>
    <d v="2024-04-24T00:00:00"/>
    <x v="0"/>
    <x v="0"/>
    <x v="1"/>
    <x v="2"/>
    <n v="6"/>
    <x v="1"/>
    <s v="Qtr-2"/>
  </r>
  <r>
    <s v="71-959-3896"/>
    <x v="3"/>
    <x v="0"/>
    <x v="1"/>
    <x v="1"/>
    <x v="0"/>
    <x v="0"/>
    <s v="High"/>
    <s v="Cipari"/>
    <s v="Indonesia"/>
    <x v="8"/>
    <n v="98.63"/>
    <n v="7"/>
    <s v="Online"/>
    <n v="4"/>
    <n v="5"/>
    <n v="120"/>
    <s v="High"/>
    <s v="Somewhat Sensitive"/>
    <n v="0.14285714285714285"/>
    <x v="4"/>
    <s v="Low"/>
    <x v="0"/>
    <s v="Other"/>
    <d v="2024-01-09T00:00:00"/>
    <x v="1"/>
    <x v="1"/>
    <x v="3"/>
    <x v="1"/>
    <n v="6"/>
    <x v="3"/>
    <s v="Qtr-1"/>
  </r>
  <r>
    <s v="29-987-3969"/>
    <x v="6"/>
    <x v="0"/>
    <x v="0"/>
    <x v="0"/>
    <x v="3"/>
    <x v="2"/>
    <s v="Middle"/>
    <s v="Orlando"/>
    <s v="United States"/>
    <x v="21"/>
    <n v="193.3"/>
    <n v="11"/>
    <s v="Mixed"/>
    <n v="4"/>
    <n v="2"/>
    <n v="120"/>
    <s v="None"/>
    <s v="Very Sensitive"/>
    <n v="0.18181818181818182"/>
    <x v="2"/>
    <s v="Medium"/>
    <x v="0"/>
    <s v="Other"/>
    <d v="2024-06-03T00:00:00"/>
    <x v="0"/>
    <x v="1"/>
    <x v="3"/>
    <x v="0"/>
    <n v="12"/>
    <x v="4"/>
    <s v="Qtr-2"/>
  </r>
  <r>
    <s v="78-613-1546"/>
    <x v="1"/>
    <x v="1"/>
    <x v="0"/>
    <x v="0"/>
    <x v="1"/>
    <x v="1"/>
    <s v="Middle"/>
    <s v="Torsby"/>
    <s v="Sweden"/>
    <x v="8"/>
    <n v="145.02000000000001"/>
    <n v="7"/>
    <s v="In-Store"/>
    <n v="3"/>
    <n v="2"/>
    <n v="0"/>
    <s v="High"/>
    <s v="Very Sensitive"/>
    <n v="0.14285714285714285"/>
    <x v="2"/>
    <s v="Medium"/>
    <x v="2"/>
    <s v="Credit Card"/>
    <d v="2024-06-23T00:00:00"/>
    <x v="0"/>
    <x v="1"/>
    <x v="1"/>
    <x v="2"/>
    <n v="9"/>
    <x v="4"/>
    <s v="Qtr-2"/>
  </r>
  <r>
    <s v="43-664-4451"/>
    <x v="12"/>
    <x v="2"/>
    <x v="0"/>
    <x v="0"/>
    <x v="3"/>
    <x v="2"/>
    <s v="Middle"/>
    <s v="San Pablo"/>
    <s v="Philippines"/>
    <x v="18"/>
    <n v="294.99"/>
    <n v="4"/>
    <s v="Online"/>
    <n v="3"/>
    <n v="5"/>
    <n v="120"/>
    <s v="Low"/>
    <s v="Somewhat Sensitive"/>
    <n v="0.25"/>
    <x v="7"/>
    <s v="High"/>
    <x v="2"/>
    <s v="PayPal"/>
    <d v="2024-11-30T00:00:00"/>
    <x v="1"/>
    <x v="0"/>
    <x v="0"/>
    <x v="1"/>
    <n v="5"/>
    <x v="11"/>
    <s v="Qtr-4"/>
  </r>
  <r>
    <s v="34-095-3364"/>
    <x v="16"/>
    <x v="2"/>
    <x v="5"/>
    <x v="0"/>
    <x v="3"/>
    <x v="1"/>
    <s v="Middle"/>
    <s v="Daszewice"/>
    <s v="Poland"/>
    <x v="2"/>
    <n v="305.45"/>
    <n v="2"/>
    <s v="Mixed"/>
    <n v="5"/>
    <n v="5"/>
    <n v="60"/>
    <s v="None"/>
    <s v="Very Sensitive"/>
    <n v="0.5"/>
    <x v="2"/>
    <s v="High"/>
    <x v="1"/>
    <s v="PayPal"/>
    <d v="2024-10-24T00:00:00"/>
    <x v="1"/>
    <x v="1"/>
    <x v="2"/>
    <x v="2"/>
    <n v="9"/>
    <x v="2"/>
    <s v="Qtr-4"/>
  </r>
  <r>
    <s v="72-393-6893"/>
    <x v="17"/>
    <x v="1"/>
    <x v="0"/>
    <x v="0"/>
    <x v="2"/>
    <x v="1"/>
    <s v="Middle"/>
    <s v="Villa Concepción del Tío"/>
    <s v="Argentina"/>
    <x v="16"/>
    <n v="432.42"/>
    <n v="2"/>
    <s v="In-Store"/>
    <n v="4"/>
    <n v="4"/>
    <n v="0"/>
    <s v="Medium"/>
    <s v="Not Sensitive"/>
    <n v="0"/>
    <x v="8"/>
    <s v="None"/>
    <x v="0"/>
    <s v="PayPal"/>
    <d v="2024-04-21T00:00:00"/>
    <x v="1"/>
    <x v="1"/>
    <x v="0"/>
    <x v="2"/>
    <n v="13"/>
    <x v="1"/>
    <s v="Qtr-2"/>
  </r>
  <r>
    <s v="73-707-2809"/>
    <x v="22"/>
    <x v="2"/>
    <x v="0"/>
    <x v="0"/>
    <x v="1"/>
    <x v="0"/>
    <s v="High"/>
    <s v="Hacienda La Calera"/>
    <s v="Colombia"/>
    <x v="0"/>
    <n v="227.58"/>
    <n v="11"/>
    <s v="Mixed"/>
    <n v="3"/>
    <n v="1"/>
    <n v="60"/>
    <s v="None"/>
    <s v="Not Sensitive"/>
    <n v="9.0909090909090912E-2"/>
    <x v="8"/>
    <s v="High"/>
    <x v="1"/>
    <s v="Credit Card"/>
    <d v="2024-01-23T00:00:00"/>
    <x v="1"/>
    <x v="1"/>
    <x v="0"/>
    <x v="2"/>
    <n v="6"/>
    <x v="3"/>
    <s v="Qtr-1"/>
  </r>
  <r>
    <s v="04-609-7885"/>
    <x v="15"/>
    <x v="2"/>
    <x v="1"/>
    <x v="0"/>
    <x v="1"/>
    <x v="1"/>
    <s v="High"/>
    <s v="Oslo"/>
    <s v="Norway"/>
    <x v="16"/>
    <n v="160.88999999999999"/>
    <n v="10"/>
    <s v="Online"/>
    <n v="5"/>
    <n v="5"/>
    <n v="120"/>
    <s v="None"/>
    <s v="Somewhat Sensitive"/>
    <n v="0.2"/>
    <x v="9"/>
    <s v="Medium"/>
    <x v="2"/>
    <s v="PayPal"/>
    <d v="2024-06-23T00:00:00"/>
    <x v="0"/>
    <x v="1"/>
    <x v="3"/>
    <x v="0"/>
    <n v="13"/>
    <x v="4"/>
    <s v="Qtr-2"/>
  </r>
  <r>
    <s v="73-139-4306"/>
    <x v="2"/>
    <x v="0"/>
    <x v="0"/>
    <x v="0"/>
    <x v="0"/>
    <x v="2"/>
    <s v="High"/>
    <s v="Puerto López"/>
    <s v="Colombia"/>
    <x v="8"/>
    <n v="139.1"/>
    <n v="7"/>
    <s v="Online"/>
    <n v="2"/>
    <n v="5"/>
    <n v="0"/>
    <s v="Low"/>
    <s v="Somewhat Sensitive"/>
    <n v="0.2857142857142857"/>
    <x v="4"/>
    <s v="Medium"/>
    <x v="2"/>
    <s v="PayPal"/>
    <d v="2024-03-20T00:00:00"/>
    <x v="1"/>
    <x v="0"/>
    <x v="2"/>
    <x v="0"/>
    <n v="8"/>
    <x v="0"/>
    <s v="Qtr-1"/>
  </r>
  <r>
    <s v="23-794-8196"/>
    <x v="15"/>
    <x v="2"/>
    <x v="3"/>
    <x v="1"/>
    <x v="0"/>
    <x v="2"/>
    <s v="Middle"/>
    <s v="Xinchengzi"/>
    <s v="China"/>
    <x v="4"/>
    <n v="268.27999999999997"/>
    <n v="9"/>
    <s v="Mixed"/>
    <n v="5"/>
    <n v="2"/>
    <n v="120"/>
    <s v="High"/>
    <s v="Very Sensitive"/>
    <n v="0.22222222222222221"/>
    <x v="6"/>
    <s v="High"/>
    <x v="1"/>
    <s v="Credit Card"/>
    <d v="2024-04-09T00:00:00"/>
    <x v="1"/>
    <x v="1"/>
    <x v="0"/>
    <x v="1"/>
    <n v="8"/>
    <x v="1"/>
    <s v="Qtr-2"/>
  </r>
  <r>
    <s v="66-050-6391"/>
    <x v="5"/>
    <x v="1"/>
    <x v="0"/>
    <x v="0"/>
    <x v="1"/>
    <x v="2"/>
    <s v="High"/>
    <s v="Tecpán Guatemala"/>
    <s v="Guatemala"/>
    <x v="6"/>
    <n v="64.489999999999995"/>
    <n v="6"/>
    <s v="Online"/>
    <n v="2"/>
    <n v="1"/>
    <n v="0"/>
    <s v="None"/>
    <s v="Very Sensitive"/>
    <n v="0.16666666666666666"/>
    <x v="3"/>
    <s v="None"/>
    <x v="0"/>
    <s v="Other"/>
    <d v="2024-10-19T00:00:00"/>
    <x v="1"/>
    <x v="0"/>
    <x v="3"/>
    <x v="2"/>
    <n v="7"/>
    <x v="2"/>
    <s v="Qtr-4"/>
  </r>
  <r>
    <s v="22-311-5460"/>
    <x v="32"/>
    <x v="1"/>
    <x v="1"/>
    <x v="0"/>
    <x v="2"/>
    <x v="1"/>
    <s v="Middle"/>
    <s v="Bronnitsy"/>
    <s v="Russia"/>
    <x v="17"/>
    <n v="80.17"/>
    <n v="10"/>
    <s v="Online"/>
    <n v="1"/>
    <n v="1"/>
    <n v="60"/>
    <s v="High"/>
    <s v="Not Sensitive"/>
    <n v="0.1"/>
    <x v="8"/>
    <s v="None"/>
    <x v="0"/>
    <s v="Credit Card"/>
    <d v="2024-05-10T00:00:00"/>
    <x v="0"/>
    <x v="1"/>
    <x v="3"/>
    <x v="0"/>
    <n v="6"/>
    <x v="9"/>
    <s v="Qtr-2"/>
  </r>
  <r>
    <s v="51-917-0766"/>
    <x v="31"/>
    <x v="0"/>
    <x v="1"/>
    <x v="1"/>
    <x v="0"/>
    <x v="2"/>
    <s v="High"/>
    <s v="Araci"/>
    <s v="Brazil"/>
    <x v="19"/>
    <n v="277.52"/>
    <n v="11"/>
    <s v="In-Store"/>
    <n v="4"/>
    <n v="1"/>
    <n v="0"/>
    <s v="None"/>
    <s v="Not Sensitive"/>
    <n v="9.0909090909090912E-2"/>
    <x v="0"/>
    <s v="Medium"/>
    <x v="1"/>
    <s v="PayPal"/>
    <d v="2024-05-14T00:00:00"/>
    <x v="0"/>
    <x v="0"/>
    <x v="0"/>
    <x v="1"/>
    <n v="11"/>
    <x v="9"/>
    <s v="Qtr-2"/>
  </r>
  <r>
    <s v="53-013-1026"/>
    <x v="13"/>
    <x v="1"/>
    <x v="1"/>
    <x v="1"/>
    <x v="2"/>
    <x v="2"/>
    <s v="Middle"/>
    <s v="Duyure"/>
    <s v="Honduras"/>
    <x v="18"/>
    <n v="53.67"/>
    <n v="7"/>
    <s v="Online"/>
    <n v="3"/>
    <n v="5"/>
    <n v="60"/>
    <s v="High"/>
    <s v="Not Sensitive"/>
    <n v="0"/>
    <x v="6"/>
    <s v="High"/>
    <x v="2"/>
    <s v="PayPal"/>
    <d v="2024-04-13T00:00:00"/>
    <x v="1"/>
    <x v="0"/>
    <x v="3"/>
    <x v="2"/>
    <n v="11"/>
    <x v="1"/>
    <s v="Qtr-2"/>
  </r>
  <r>
    <s v="29-779-3457"/>
    <x v="1"/>
    <x v="1"/>
    <x v="0"/>
    <x v="0"/>
    <x v="2"/>
    <x v="0"/>
    <s v="High"/>
    <s v="Huangni"/>
    <s v="China"/>
    <x v="2"/>
    <n v="323.39"/>
    <n v="10"/>
    <s v="In-Store"/>
    <n v="2"/>
    <n v="3"/>
    <n v="120"/>
    <s v="None"/>
    <s v="Very Sensitive"/>
    <n v="0"/>
    <x v="0"/>
    <s v="High"/>
    <x v="0"/>
    <s v="Cash"/>
    <d v="2024-01-04T00:00:00"/>
    <x v="0"/>
    <x v="1"/>
    <x v="0"/>
    <x v="0"/>
    <n v="11"/>
    <x v="3"/>
    <s v="Qtr-1"/>
  </r>
  <r>
    <s v="18-047-5540"/>
    <x v="17"/>
    <x v="1"/>
    <x v="0"/>
    <x v="1"/>
    <x v="1"/>
    <x v="0"/>
    <s v="High"/>
    <s v="Kuala Lumpur"/>
    <s v="Malaysia"/>
    <x v="6"/>
    <n v="98.02"/>
    <n v="5"/>
    <s v="In-Store"/>
    <n v="3"/>
    <n v="3"/>
    <n v="60"/>
    <s v="Low"/>
    <s v="Not Sensitive"/>
    <n v="0"/>
    <x v="4"/>
    <s v="High"/>
    <x v="2"/>
    <s v="Debit Card"/>
    <d v="2024-06-30T00:00:00"/>
    <x v="0"/>
    <x v="0"/>
    <x v="3"/>
    <x v="0"/>
    <n v="10"/>
    <x v="4"/>
    <s v="Qtr-2"/>
  </r>
  <r>
    <s v="89-438-5310"/>
    <x v="2"/>
    <x v="0"/>
    <x v="1"/>
    <x v="1"/>
    <x v="3"/>
    <x v="0"/>
    <s v="High"/>
    <s v="Seleuš"/>
    <s v="Serbia"/>
    <x v="22"/>
    <n v="231.26"/>
    <n v="10"/>
    <s v="In-Store"/>
    <n v="5"/>
    <n v="1"/>
    <n v="120"/>
    <s v="Low"/>
    <s v="Very Sensitive"/>
    <n v="0.2"/>
    <x v="1"/>
    <s v="Low"/>
    <x v="2"/>
    <s v="Cash"/>
    <d v="2024-04-30T00:00:00"/>
    <x v="1"/>
    <x v="1"/>
    <x v="2"/>
    <x v="0"/>
    <n v="10"/>
    <x v="1"/>
    <s v="Qtr-2"/>
  </r>
  <r>
    <s v="23-985-3535"/>
    <x v="29"/>
    <x v="0"/>
    <x v="1"/>
    <x v="1"/>
    <x v="1"/>
    <x v="2"/>
    <s v="Middle"/>
    <s v="Monrovia"/>
    <s v="Liberia"/>
    <x v="1"/>
    <n v="382.49"/>
    <n v="6"/>
    <s v="In-Store"/>
    <n v="4"/>
    <n v="2"/>
    <n v="120"/>
    <s v="None"/>
    <s v="Very Sensitive"/>
    <n v="0.33333333333333331"/>
    <x v="4"/>
    <s v="Medium"/>
    <x v="0"/>
    <s v="Debit Card"/>
    <d v="2024-02-01T00:00:00"/>
    <x v="0"/>
    <x v="0"/>
    <x v="2"/>
    <x v="0"/>
    <n v="1"/>
    <x v="8"/>
    <s v="Qtr-1"/>
  </r>
  <r>
    <s v="67-939-2463"/>
    <x v="31"/>
    <x v="0"/>
    <x v="1"/>
    <x v="0"/>
    <x v="3"/>
    <x v="2"/>
    <s v="High"/>
    <s v="Kristinehamn"/>
    <s v="Sweden"/>
    <x v="22"/>
    <n v="255.42"/>
    <n v="9"/>
    <s v="Mixed"/>
    <n v="5"/>
    <n v="5"/>
    <n v="120"/>
    <s v="None"/>
    <s v="Somewhat Sensitive"/>
    <n v="0.1111111111111111"/>
    <x v="5"/>
    <s v="None"/>
    <x v="0"/>
    <s v="PayPal"/>
    <d v="2024-07-01T00:00:00"/>
    <x v="0"/>
    <x v="1"/>
    <x v="2"/>
    <x v="1"/>
    <n v="11"/>
    <x v="5"/>
    <s v="Qtr-3"/>
  </r>
  <r>
    <s v="03-623-6767"/>
    <x v="18"/>
    <x v="1"/>
    <x v="0"/>
    <x v="0"/>
    <x v="1"/>
    <x v="1"/>
    <s v="High"/>
    <s v="Huancabamba"/>
    <s v="Peru"/>
    <x v="16"/>
    <n v="423.23"/>
    <n v="12"/>
    <s v="In-Store"/>
    <n v="3"/>
    <n v="3"/>
    <n v="120"/>
    <s v="High"/>
    <s v="Somewhat Sensitive"/>
    <n v="0"/>
    <x v="0"/>
    <s v="Low"/>
    <x v="0"/>
    <s v="Debit Card"/>
    <d v="2024-11-05T00:00:00"/>
    <x v="1"/>
    <x v="0"/>
    <x v="3"/>
    <x v="1"/>
    <n v="6"/>
    <x v="11"/>
    <s v="Qtr-4"/>
  </r>
  <r>
    <s v="86-749-6914"/>
    <x v="26"/>
    <x v="1"/>
    <x v="1"/>
    <x v="0"/>
    <x v="1"/>
    <x v="1"/>
    <s v="High"/>
    <s v="San José Acatempa"/>
    <s v="Guatemala"/>
    <x v="21"/>
    <n v="276.08"/>
    <n v="4"/>
    <s v="Mixed"/>
    <n v="4"/>
    <n v="5"/>
    <n v="18"/>
    <s v="High"/>
    <s v="Somewhat Sensitive"/>
    <n v="0.5"/>
    <x v="3"/>
    <s v="Low"/>
    <x v="1"/>
    <s v="Credit Card"/>
    <d v="2024-01-29T00:00:00"/>
    <x v="1"/>
    <x v="1"/>
    <x v="0"/>
    <x v="0"/>
    <n v="10"/>
    <x v="3"/>
    <s v="Qtr-1"/>
  </r>
  <r>
    <s v="03-977-8103"/>
    <x v="8"/>
    <x v="0"/>
    <x v="1"/>
    <x v="0"/>
    <x v="2"/>
    <x v="0"/>
    <s v="Middle"/>
    <s v="Quebrada Canoa"/>
    <s v="Panama"/>
    <x v="5"/>
    <n v="333.56"/>
    <n v="3"/>
    <s v="Mixed"/>
    <n v="4"/>
    <n v="5"/>
    <n v="60"/>
    <s v="Low"/>
    <s v="Not Sensitive"/>
    <n v="0.66666666666666663"/>
    <x v="6"/>
    <s v="High"/>
    <x v="1"/>
    <s v="Other"/>
    <d v="2024-10-25T00:00:00"/>
    <x v="0"/>
    <x v="1"/>
    <x v="2"/>
    <x v="0"/>
    <n v="14"/>
    <x v="2"/>
    <s v="Qtr-4"/>
  </r>
  <r>
    <s v="03-827-4021"/>
    <x v="7"/>
    <x v="2"/>
    <x v="1"/>
    <x v="1"/>
    <x v="3"/>
    <x v="0"/>
    <s v="Middle"/>
    <s v="Moate"/>
    <s v="Ireland"/>
    <x v="19"/>
    <n v="129.82"/>
    <n v="12"/>
    <s v="Mixed"/>
    <n v="1"/>
    <n v="2"/>
    <n v="0"/>
    <s v="High"/>
    <s v="Not Sensitive"/>
    <n v="0.16666666666666666"/>
    <x v="2"/>
    <s v="High"/>
    <x v="0"/>
    <s v="Cash"/>
    <d v="2024-06-03T00:00:00"/>
    <x v="1"/>
    <x v="0"/>
    <x v="2"/>
    <x v="1"/>
    <n v="8"/>
    <x v="4"/>
    <s v="Qtr-2"/>
  </r>
  <r>
    <s v="68-507-4747"/>
    <x v="30"/>
    <x v="1"/>
    <x v="0"/>
    <x v="1"/>
    <x v="2"/>
    <x v="1"/>
    <s v="High"/>
    <s v="Kubangwaru"/>
    <s v="Indonesia"/>
    <x v="20"/>
    <n v="278.77999999999997"/>
    <n v="3"/>
    <s v="Mixed"/>
    <n v="5"/>
    <n v="2"/>
    <n v="0"/>
    <s v="Medium"/>
    <s v="Not Sensitive"/>
    <n v="0"/>
    <x v="2"/>
    <s v="Low"/>
    <x v="2"/>
    <s v="Credit Card"/>
    <d v="2024-06-14T00:00:00"/>
    <x v="0"/>
    <x v="0"/>
    <x v="1"/>
    <x v="1"/>
    <n v="2"/>
    <x v="4"/>
    <s v="Qtr-2"/>
  </r>
  <r>
    <s v="73-942-8440"/>
    <x v="14"/>
    <x v="2"/>
    <x v="1"/>
    <x v="0"/>
    <x v="0"/>
    <x v="0"/>
    <s v="High"/>
    <s v="??????"/>
    <s v="Unknown"/>
    <x v="0"/>
    <n v="112.55"/>
    <n v="5"/>
    <s v="In-Store"/>
    <n v="1"/>
    <n v="4"/>
    <n v="120"/>
    <s v="None"/>
    <s v="Very Sensitive"/>
    <n v="0.4"/>
    <x v="2"/>
    <s v="Low"/>
    <x v="2"/>
    <s v="Credit Card"/>
    <d v="2024-10-22T00:00:00"/>
    <x v="0"/>
    <x v="0"/>
    <x v="3"/>
    <x v="1"/>
    <n v="2"/>
    <x v="2"/>
    <s v="Qtr-4"/>
  </r>
  <r>
    <s v="21-821-6398"/>
    <x v="17"/>
    <x v="1"/>
    <x v="0"/>
    <x v="0"/>
    <x v="3"/>
    <x v="0"/>
    <s v="High"/>
    <s v="Xinquan"/>
    <s v="China"/>
    <x v="16"/>
    <n v="142.02000000000001"/>
    <n v="7"/>
    <s v="In-Store"/>
    <n v="1"/>
    <n v="5"/>
    <n v="0"/>
    <s v="Low"/>
    <s v="Very Sensitive"/>
    <n v="0.14285714285714285"/>
    <x v="5"/>
    <s v="Medium"/>
    <x v="2"/>
    <s v="Cash"/>
    <d v="2024-07-09T00:00:00"/>
    <x v="0"/>
    <x v="0"/>
    <x v="2"/>
    <x v="1"/>
    <n v="3"/>
    <x v="5"/>
    <s v="Qtr-3"/>
  </r>
  <r>
    <s v="64-641-7874"/>
    <x v="4"/>
    <x v="2"/>
    <x v="0"/>
    <x v="1"/>
    <x v="2"/>
    <x v="1"/>
    <s v="High"/>
    <s v="Providence"/>
    <s v="United States"/>
    <x v="12"/>
    <n v="481.84"/>
    <n v="10"/>
    <s v="In-Store"/>
    <n v="1"/>
    <n v="4"/>
    <n v="120"/>
    <s v="High"/>
    <s v="Somewhat Sensitive"/>
    <n v="0.1"/>
    <x v="2"/>
    <s v="Medium"/>
    <x v="0"/>
    <s v="Cash"/>
    <d v="2024-08-14T00:00:00"/>
    <x v="1"/>
    <x v="0"/>
    <x v="1"/>
    <x v="2"/>
    <n v="9"/>
    <x v="7"/>
    <s v="Qtr-3"/>
  </r>
  <r>
    <s v="53-459-7870"/>
    <x v="17"/>
    <x v="1"/>
    <x v="6"/>
    <x v="1"/>
    <x v="3"/>
    <x v="2"/>
    <s v="Middle"/>
    <s v="Autun"/>
    <s v="France"/>
    <x v="12"/>
    <n v="165.01"/>
    <n v="10"/>
    <s v="Mixed"/>
    <n v="1"/>
    <n v="2"/>
    <n v="60"/>
    <s v="Medium"/>
    <s v="Somewhat Sensitive"/>
    <n v="0.1"/>
    <x v="1"/>
    <s v="Medium"/>
    <x v="2"/>
    <s v="PayPal"/>
    <d v="2024-04-17T00:00:00"/>
    <x v="0"/>
    <x v="0"/>
    <x v="2"/>
    <x v="0"/>
    <n v="10"/>
    <x v="1"/>
    <s v="Qtr-2"/>
  </r>
  <r>
    <s v="36-240-3240"/>
    <x v="8"/>
    <x v="0"/>
    <x v="1"/>
    <x v="0"/>
    <x v="3"/>
    <x v="1"/>
    <s v="Middle"/>
    <s v="Shilin"/>
    <s v="China"/>
    <x v="15"/>
    <n v="56.85"/>
    <n v="5"/>
    <s v="Online"/>
    <n v="2"/>
    <n v="1"/>
    <n v="120"/>
    <s v="None"/>
    <s v="Very Sensitive"/>
    <n v="0"/>
    <x v="2"/>
    <s v="High"/>
    <x v="1"/>
    <s v="Cash"/>
    <d v="2024-11-16T00:00:00"/>
    <x v="0"/>
    <x v="0"/>
    <x v="1"/>
    <x v="1"/>
    <n v="14"/>
    <x v="11"/>
    <s v="Qtr-4"/>
  </r>
  <r>
    <s v="54-936-4361"/>
    <x v="10"/>
    <x v="2"/>
    <x v="6"/>
    <x v="1"/>
    <x v="1"/>
    <x v="0"/>
    <s v="High"/>
    <s v="Paris 17"/>
    <s v="France"/>
    <x v="11"/>
    <n v="182.89"/>
    <n v="2"/>
    <s v="Mixed"/>
    <n v="5"/>
    <n v="3"/>
    <n v="60"/>
    <s v="Low"/>
    <s v="Not Sensitive"/>
    <n v="0.5"/>
    <x v="5"/>
    <s v="Low"/>
    <x v="1"/>
    <s v="PayPal"/>
    <d v="2024-08-12T00:00:00"/>
    <x v="1"/>
    <x v="0"/>
    <x v="1"/>
    <x v="2"/>
    <n v="5"/>
    <x v="7"/>
    <s v="Qtr-3"/>
  </r>
  <r>
    <s v="67-209-0990"/>
    <x v="7"/>
    <x v="2"/>
    <x v="1"/>
    <x v="1"/>
    <x v="2"/>
    <x v="1"/>
    <s v="High"/>
    <s v="Stoczek ?ukowski"/>
    <s v="Poland"/>
    <x v="5"/>
    <n v="373.01"/>
    <n v="5"/>
    <s v="In-Store"/>
    <n v="5"/>
    <n v="5"/>
    <n v="60"/>
    <s v="Low"/>
    <s v="Somewhat Sensitive"/>
    <n v="0.2"/>
    <x v="7"/>
    <s v="Medium"/>
    <x v="1"/>
    <s v="PayPal"/>
    <d v="2024-07-27T00:00:00"/>
    <x v="1"/>
    <x v="1"/>
    <x v="2"/>
    <x v="2"/>
    <n v="8"/>
    <x v="5"/>
    <s v="Qtr-3"/>
  </r>
  <r>
    <s v="19-667-0201"/>
    <x v="30"/>
    <x v="1"/>
    <x v="1"/>
    <x v="0"/>
    <x v="1"/>
    <x v="2"/>
    <s v="Middle"/>
    <s v="Ormstown"/>
    <s v="Canada"/>
    <x v="3"/>
    <n v="220.77"/>
    <n v="7"/>
    <s v="Online"/>
    <n v="4"/>
    <n v="2"/>
    <n v="120"/>
    <s v="Low"/>
    <s v="Not Sensitive"/>
    <n v="0.2857142857142857"/>
    <x v="2"/>
    <s v="None"/>
    <x v="1"/>
    <s v="Debit Card"/>
    <d v="2024-04-15T00:00:00"/>
    <x v="0"/>
    <x v="1"/>
    <x v="0"/>
    <x v="1"/>
    <n v="11"/>
    <x v="1"/>
    <s v="Qtr-2"/>
  </r>
  <r>
    <s v="36-274-5269"/>
    <x v="23"/>
    <x v="0"/>
    <x v="1"/>
    <x v="0"/>
    <x v="0"/>
    <x v="2"/>
    <s v="High"/>
    <s v="Ponte"/>
    <s v="Portugal"/>
    <x v="11"/>
    <n v="291.08999999999997"/>
    <n v="11"/>
    <s v="Online"/>
    <n v="2"/>
    <n v="2"/>
    <n v="120"/>
    <s v="None"/>
    <s v="Somewhat Sensitive"/>
    <n v="0"/>
    <x v="5"/>
    <s v="High"/>
    <x v="1"/>
    <s v="PayPal"/>
    <d v="2024-10-06T00:00:00"/>
    <x v="0"/>
    <x v="0"/>
    <x v="0"/>
    <x v="0"/>
    <n v="1"/>
    <x v="2"/>
    <s v="Qtr-4"/>
  </r>
  <r>
    <s v="09-948-3150"/>
    <x v="25"/>
    <x v="0"/>
    <x v="6"/>
    <x v="1"/>
    <x v="0"/>
    <x v="0"/>
    <s v="Middle"/>
    <s v="Boshkengash"/>
    <s v="Tajikistan"/>
    <x v="14"/>
    <n v="414.06"/>
    <n v="9"/>
    <s v="Mixed"/>
    <n v="1"/>
    <n v="4"/>
    <n v="120"/>
    <s v="Medium"/>
    <s v="Somewhat Sensitive"/>
    <n v="0.22222222222222221"/>
    <x v="7"/>
    <s v="High"/>
    <x v="2"/>
    <s v="PayPal"/>
    <d v="2024-11-26T00:00:00"/>
    <x v="0"/>
    <x v="0"/>
    <x v="3"/>
    <x v="2"/>
    <n v="2"/>
    <x v="11"/>
    <s v="Qtr-4"/>
  </r>
  <r>
    <s v="19-873-9468"/>
    <x v="14"/>
    <x v="2"/>
    <x v="1"/>
    <x v="0"/>
    <x v="2"/>
    <x v="0"/>
    <s v="Middle"/>
    <s v="?? T?h"/>
    <s v="Unknown"/>
    <x v="9"/>
    <n v="408.51"/>
    <n v="9"/>
    <s v="Online"/>
    <n v="2"/>
    <n v="1"/>
    <n v="120"/>
    <s v="High"/>
    <s v="Very Sensitive"/>
    <n v="0"/>
    <x v="0"/>
    <s v="Medium"/>
    <x v="1"/>
    <s v="Credit Card"/>
    <d v="2024-05-26T00:00:00"/>
    <x v="0"/>
    <x v="0"/>
    <x v="1"/>
    <x v="2"/>
    <n v="1"/>
    <x v="9"/>
    <s v="Qtr-2"/>
  </r>
  <r>
    <s v="37-748-4988"/>
    <x v="6"/>
    <x v="0"/>
    <x v="1"/>
    <x v="0"/>
    <x v="0"/>
    <x v="1"/>
    <s v="High"/>
    <s v="Rad?‘"/>
    <s v="Yemen"/>
    <x v="4"/>
    <n v="103.4"/>
    <n v="9"/>
    <s v="In-Store"/>
    <n v="4"/>
    <n v="1"/>
    <n v="120"/>
    <s v="High"/>
    <s v="Not Sensitive"/>
    <n v="0.1111111111111111"/>
    <x v="5"/>
    <s v="Medium"/>
    <x v="1"/>
    <s v="Debit Card"/>
    <d v="2024-11-04T00:00:00"/>
    <x v="0"/>
    <x v="0"/>
    <x v="3"/>
    <x v="1"/>
    <n v="9"/>
    <x v="11"/>
    <s v="Qtr-4"/>
  </r>
  <r>
    <s v="08-755-1170"/>
    <x v="26"/>
    <x v="1"/>
    <x v="1"/>
    <x v="0"/>
    <x v="1"/>
    <x v="1"/>
    <s v="High"/>
    <s v="Sinarwangi"/>
    <s v="Indonesia"/>
    <x v="4"/>
    <n v="67.92"/>
    <n v="3"/>
    <s v="In-Store"/>
    <n v="1"/>
    <n v="3"/>
    <n v="0"/>
    <s v="Low"/>
    <s v="Not Sensitive"/>
    <n v="0.33333333333333331"/>
    <x v="8"/>
    <s v="Low"/>
    <x v="0"/>
    <s v="Cash"/>
    <d v="2024-10-18T00:00:00"/>
    <x v="1"/>
    <x v="1"/>
    <x v="2"/>
    <x v="2"/>
    <n v="10"/>
    <x v="2"/>
    <s v="Qtr-4"/>
  </r>
  <r>
    <s v="07-402-7433"/>
    <x v="21"/>
    <x v="1"/>
    <x v="6"/>
    <x v="0"/>
    <x v="1"/>
    <x v="1"/>
    <s v="Middle"/>
    <s v="Dagup"/>
    <s v="Philippines"/>
    <x v="18"/>
    <n v="354.16"/>
    <n v="8"/>
    <s v="In-Store"/>
    <n v="1"/>
    <n v="1"/>
    <n v="60"/>
    <s v="Low"/>
    <s v="Not Sensitive"/>
    <n v="0.25"/>
    <x v="4"/>
    <s v="Low"/>
    <x v="2"/>
    <s v="Credit Card"/>
    <d v="2024-06-13T00:00:00"/>
    <x v="0"/>
    <x v="0"/>
    <x v="3"/>
    <x v="2"/>
    <n v="5"/>
    <x v="4"/>
    <s v="Qtr-2"/>
  </r>
  <r>
    <s v="60-073-3575"/>
    <x v="12"/>
    <x v="2"/>
    <x v="1"/>
    <x v="0"/>
    <x v="2"/>
    <x v="0"/>
    <s v="Middle"/>
    <s v="E?k"/>
    <s v="Poland"/>
    <x v="5"/>
    <n v="276.77"/>
    <n v="2"/>
    <s v="Mixed"/>
    <n v="1"/>
    <n v="1"/>
    <n v="120"/>
    <s v="Low"/>
    <s v="Very Sensitive"/>
    <n v="0.5"/>
    <x v="6"/>
    <s v="High"/>
    <x v="1"/>
    <s v="Cash"/>
    <d v="2024-03-03T00:00:00"/>
    <x v="0"/>
    <x v="1"/>
    <x v="1"/>
    <x v="0"/>
    <n v="4"/>
    <x v="0"/>
    <s v="Qtr-1"/>
  </r>
  <r>
    <s v="97-237-3483"/>
    <x v="1"/>
    <x v="1"/>
    <x v="1"/>
    <x v="0"/>
    <x v="1"/>
    <x v="1"/>
    <s v="Middle"/>
    <s v="Moju"/>
    <s v="Brazil"/>
    <x v="10"/>
    <n v="190.25"/>
    <n v="6"/>
    <s v="Mixed"/>
    <n v="4"/>
    <n v="2"/>
    <n v="120"/>
    <s v="None"/>
    <s v="Very Sensitive"/>
    <n v="0.33333333333333331"/>
    <x v="5"/>
    <s v="None"/>
    <x v="0"/>
    <s v="PayPal"/>
    <d v="2024-06-03T00:00:00"/>
    <x v="1"/>
    <x v="0"/>
    <x v="3"/>
    <x v="2"/>
    <n v="13"/>
    <x v="4"/>
    <s v="Qtr-2"/>
  </r>
  <r>
    <s v="93-675-1619"/>
    <x v="31"/>
    <x v="0"/>
    <x v="0"/>
    <x v="0"/>
    <x v="0"/>
    <x v="2"/>
    <s v="Middle"/>
    <s v="Vília"/>
    <s v="Greece"/>
    <x v="9"/>
    <n v="203.49"/>
    <n v="7"/>
    <s v="In-Store"/>
    <n v="4"/>
    <n v="1"/>
    <n v="120"/>
    <s v="Medium"/>
    <s v="Not Sensitive"/>
    <n v="0.14285714285714285"/>
    <x v="8"/>
    <s v="High"/>
    <x v="0"/>
    <s v="Cash"/>
    <d v="2024-08-10T00:00:00"/>
    <x v="1"/>
    <x v="1"/>
    <x v="0"/>
    <x v="2"/>
    <n v="11"/>
    <x v="7"/>
    <s v="Qtr-3"/>
  </r>
  <r>
    <s v="43-884-2577"/>
    <x v="2"/>
    <x v="0"/>
    <x v="1"/>
    <x v="0"/>
    <x v="1"/>
    <x v="1"/>
    <s v="High"/>
    <s v="Prince Rupert"/>
    <s v="Canada"/>
    <x v="18"/>
    <n v="263.5"/>
    <n v="6"/>
    <s v="Mixed"/>
    <n v="3"/>
    <n v="2"/>
    <n v="120"/>
    <s v="None"/>
    <s v="Not Sensitive"/>
    <n v="0"/>
    <x v="8"/>
    <s v="Low"/>
    <x v="0"/>
    <s v="Debit Card"/>
    <d v="2024-11-18T00:00:00"/>
    <x v="1"/>
    <x v="0"/>
    <x v="3"/>
    <x v="1"/>
    <n v="1"/>
    <x v="11"/>
    <s v="Qtr-4"/>
  </r>
  <r>
    <s v="33-200-7615"/>
    <x v="13"/>
    <x v="1"/>
    <x v="0"/>
    <x v="1"/>
    <x v="3"/>
    <x v="0"/>
    <s v="Middle"/>
    <s v="Jiangmen"/>
    <s v="China"/>
    <x v="17"/>
    <n v="247.3"/>
    <n v="2"/>
    <s v="In-Store"/>
    <n v="4"/>
    <n v="4"/>
    <n v="120"/>
    <s v="Low"/>
    <s v="Very Sensitive"/>
    <n v="0"/>
    <x v="2"/>
    <s v="Medium"/>
    <x v="2"/>
    <s v="Credit Card"/>
    <d v="2024-02-08T00:00:00"/>
    <x v="0"/>
    <x v="1"/>
    <x v="1"/>
    <x v="0"/>
    <n v="11"/>
    <x v="8"/>
    <s v="Qtr-1"/>
  </r>
  <r>
    <s v="63-631-8261"/>
    <x v="27"/>
    <x v="3"/>
    <x v="1"/>
    <x v="1"/>
    <x v="0"/>
    <x v="0"/>
    <s v="Middle"/>
    <s v="Alung"/>
    <s v="Philippines"/>
    <x v="16"/>
    <n v="50.71"/>
    <n v="12"/>
    <s v="Online"/>
    <n v="4"/>
    <n v="3"/>
    <n v="18"/>
    <s v="None"/>
    <s v="Not Sensitive"/>
    <n v="0"/>
    <x v="5"/>
    <s v="Medium"/>
    <x v="1"/>
    <s v="Debit Card"/>
    <d v="2024-03-17T00:00:00"/>
    <x v="0"/>
    <x v="1"/>
    <x v="1"/>
    <x v="0"/>
    <n v="8"/>
    <x v="0"/>
    <s v="Qtr-1"/>
  </r>
  <r>
    <s v="34-016-7909"/>
    <x v="21"/>
    <x v="1"/>
    <x v="1"/>
    <x v="1"/>
    <x v="0"/>
    <x v="1"/>
    <s v="Middle"/>
    <s v="Osorno"/>
    <s v="Chile"/>
    <x v="2"/>
    <n v="131.85"/>
    <n v="4"/>
    <s v="Mixed"/>
    <n v="5"/>
    <n v="4"/>
    <n v="120"/>
    <s v="Low"/>
    <s v="Somewhat Sensitive"/>
    <n v="0.25"/>
    <x v="1"/>
    <s v="Medium"/>
    <x v="1"/>
    <s v="Debit Card"/>
    <d v="2024-01-04T00:00:00"/>
    <x v="0"/>
    <x v="0"/>
    <x v="0"/>
    <x v="0"/>
    <n v="6"/>
    <x v="3"/>
    <s v="Qtr-1"/>
  </r>
  <r>
    <s v="82-304-6495"/>
    <x v="24"/>
    <x v="3"/>
    <x v="1"/>
    <x v="1"/>
    <x v="0"/>
    <x v="2"/>
    <s v="High"/>
    <s v="Labo"/>
    <s v="Philippines"/>
    <x v="21"/>
    <n v="459.39"/>
    <n v="6"/>
    <s v="Mixed"/>
    <n v="2"/>
    <n v="2"/>
    <n v="18"/>
    <s v="Low"/>
    <s v="Very Sensitive"/>
    <n v="0.33333333333333331"/>
    <x v="7"/>
    <s v="High"/>
    <x v="0"/>
    <s v="Credit Card"/>
    <d v="2024-09-29T00:00:00"/>
    <x v="1"/>
    <x v="0"/>
    <x v="3"/>
    <x v="0"/>
    <n v="14"/>
    <x v="10"/>
    <s v="Qtr-3"/>
  </r>
  <r>
    <s v="70-207-6999"/>
    <x v="15"/>
    <x v="2"/>
    <x v="0"/>
    <x v="1"/>
    <x v="3"/>
    <x v="1"/>
    <s v="Middle"/>
    <s v="Dakingari"/>
    <s v="Nigeria"/>
    <x v="2"/>
    <n v="383.33"/>
    <n v="6"/>
    <s v="Online"/>
    <n v="3"/>
    <n v="4"/>
    <n v="120"/>
    <s v="Medium"/>
    <s v="Very Sensitive"/>
    <n v="0.16666666666666666"/>
    <x v="4"/>
    <s v="None"/>
    <x v="1"/>
    <s v="Credit Card"/>
    <d v="2024-08-05T00:00:00"/>
    <x v="1"/>
    <x v="0"/>
    <x v="3"/>
    <x v="1"/>
    <n v="12"/>
    <x v="7"/>
    <s v="Qtr-3"/>
  </r>
  <r>
    <s v="71-780-8195"/>
    <x v="29"/>
    <x v="0"/>
    <x v="0"/>
    <x v="1"/>
    <x v="2"/>
    <x v="0"/>
    <s v="High"/>
    <s v="Selasari"/>
    <s v="Indonesia"/>
    <x v="16"/>
    <n v="212.08"/>
    <n v="8"/>
    <s v="In-Store"/>
    <n v="5"/>
    <n v="5"/>
    <n v="120"/>
    <s v="Low"/>
    <s v="Very Sensitive"/>
    <n v="0.125"/>
    <x v="5"/>
    <s v="None"/>
    <x v="0"/>
    <s v="Credit Card"/>
    <d v="2024-05-07T00:00:00"/>
    <x v="1"/>
    <x v="0"/>
    <x v="0"/>
    <x v="1"/>
    <n v="13"/>
    <x v="9"/>
    <s v="Qtr-2"/>
  </r>
  <r>
    <s v="93-356-8589"/>
    <x v="22"/>
    <x v="2"/>
    <x v="0"/>
    <x v="1"/>
    <x v="0"/>
    <x v="2"/>
    <s v="High"/>
    <s v="Besko"/>
    <s v="Poland"/>
    <x v="17"/>
    <n v="370.73"/>
    <n v="7"/>
    <s v="Online"/>
    <n v="3"/>
    <n v="2"/>
    <n v="60"/>
    <s v="High"/>
    <s v="Not Sensitive"/>
    <n v="0"/>
    <x v="5"/>
    <s v="High"/>
    <x v="1"/>
    <s v="Debit Card"/>
    <d v="2024-08-18T00:00:00"/>
    <x v="1"/>
    <x v="1"/>
    <x v="0"/>
    <x v="0"/>
    <n v="7"/>
    <x v="7"/>
    <s v="Qtr-3"/>
  </r>
  <r>
    <s v="92-142-9480"/>
    <x v="7"/>
    <x v="2"/>
    <x v="1"/>
    <x v="1"/>
    <x v="3"/>
    <x v="2"/>
    <s v="Middle"/>
    <s v="Aubergenville"/>
    <s v="France"/>
    <x v="20"/>
    <n v="319.66000000000003"/>
    <n v="7"/>
    <s v="Mixed"/>
    <n v="4"/>
    <n v="2"/>
    <n v="60"/>
    <s v="High"/>
    <s v="Not Sensitive"/>
    <n v="0.14285714285714285"/>
    <x v="3"/>
    <s v="None"/>
    <x v="2"/>
    <s v="Debit Card"/>
    <d v="2024-02-18T00:00:00"/>
    <x v="1"/>
    <x v="0"/>
    <x v="1"/>
    <x v="2"/>
    <n v="3"/>
    <x v="8"/>
    <s v="Qtr-1"/>
  </r>
  <r>
    <s v="53-042-5685"/>
    <x v="32"/>
    <x v="1"/>
    <x v="0"/>
    <x v="0"/>
    <x v="2"/>
    <x v="0"/>
    <s v="High"/>
    <s v="Sula"/>
    <s v="Honduras"/>
    <x v="23"/>
    <n v="373.05"/>
    <n v="3"/>
    <s v="In-Store"/>
    <n v="3"/>
    <n v="4"/>
    <n v="18"/>
    <s v="Low"/>
    <s v="Not Sensitive"/>
    <n v="0.33333333333333331"/>
    <x v="3"/>
    <s v="Medium"/>
    <x v="0"/>
    <s v="Cash"/>
    <d v="2024-03-14T00:00:00"/>
    <x v="1"/>
    <x v="1"/>
    <x v="3"/>
    <x v="1"/>
    <n v="7"/>
    <x v="0"/>
    <s v="Qtr-1"/>
  </r>
  <r>
    <s v="35-853-2222"/>
    <x v="24"/>
    <x v="3"/>
    <x v="0"/>
    <x v="1"/>
    <x v="0"/>
    <x v="0"/>
    <s v="High"/>
    <s v="Valongo"/>
    <s v="Portugal"/>
    <x v="6"/>
    <n v="393.78"/>
    <n v="6"/>
    <s v="Online"/>
    <n v="3"/>
    <n v="4"/>
    <n v="60"/>
    <s v="Medium"/>
    <s v="Very Sensitive"/>
    <n v="0"/>
    <x v="1"/>
    <s v="Low"/>
    <x v="0"/>
    <s v="Other"/>
    <d v="2024-03-25T00:00:00"/>
    <x v="0"/>
    <x v="0"/>
    <x v="0"/>
    <x v="0"/>
    <n v="14"/>
    <x v="0"/>
    <s v="Qtr-1"/>
  </r>
  <r>
    <s v="83-670-9273"/>
    <x v="23"/>
    <x v="0"/>
    <x v="0"/>
    <x v="1"/>
    <x v="2"/>
    <x v="2"/>
    <s v="High"/>
    <s v="Al Kh?nkah"/>
    <s v="Egypt"/>
    <x v="20"/>
    <n v="245.04"/>
    <n v="4"/>
    <s v="Online"/>
    <n v="3"/>
    <n v="2"/>
    <n v="0"/>
    <s v="High"/>
    <s v="Not Sensitive"/>
    <n v="0.5"/>
    <x v="9"/>
    <s v="High"/>
    <x v="0"/>
    <s v="Other"/>
    <d v="2024-12-03T00:00:00"/>
    <x v="0"/>
    <x v="1"/>
    <x v="0"/>
    <x v="1"/>
    <n v="10"/>
    <x v="6"/>
    <s v="Qtr-4"/>
  </r>
  <r>
    <s v="37-783-6086"/>
    <x v="29"/>
    <x v="0"/>
    <x v="0"/>
    <x v="1"/>
    <x v="3"/>
    <x v="2"/>
    <s v="Middle"/>
    <s v="Mértola"/>
    <s v="Portugal"/>
    <x v="21"/>
    <n v="111.27"/>
    <n v="3"/>
    <s v="Online"/>
    <n v="1"/>
    <n v="3"/>
    <n v="60"/>
    <s v="High"/>
    <s v="Very Sensitive"/>
    <n v="0.66666666666666663"/>
    <x v="3"/>
    <s v="None"/>
    <x v="1"/>
    <s v="PayPal"/>
    <d v="2024-05-13T00:00:00"/>
    <x v="1"/>
    <x v="0"/>
    <x v="2"/>
    <x v="0"/>
    <n v="12"/>
    <x v="9"/>
    <s v="Qtr-2"/>
  </r>
  <r>
    <s v="79-902-8144"/>
    <x v="29"/>
    <x v="0"/>
    <x v="0"/>
    <x v="1"/>
    <x v="1"/>
    <x v="0"/>
    <s v="Middle"/>
    <s v="Rates"/>
    <s v="Portugal"/>
    <x v="15"/>
    <n v="93.29"/>
    <n v="11"/>
    <s v="Online"/>
    <n v="2"/>
    <n v="2"/>
    <n v="0"/>
    <s v="High"/>
    <s v="Very Sensitive"/>
    <n v="0"/>
    <x v="0"/>
    <s v="Low"/>
    <x v="0"/>
    <s v="Other"/>
    <d v="2024-07-25T00:00:00"/>
    <x v="0"/>
    <x v="0"/>
    <x v="2"/>
    <x v="0"/>
    <n v="9"/>
    <x v="5"/>
    <s v="Qtr-3"/>
  </r>
  <r>
    <s v="41-009-7879"/>
    <x v="23"/>
    <x v="0"/>
    <x v="0"/>
    <x v="1"/>
    <x v="0"/>
    <x v="1"/>
    <s v="Middle"/>
    <s v="Anyang"/>
    <s v="China"/>
    <x v="11"/>
    <n v="156.5"/>
    <n v="5"/>
    <s v="Mixed"/>
    <n v="1"/>
    <n v="1"/>
    <n v="60"/>
    <s v="High"/>
    <s v="Very Sensitive"/>
    <n v="0"/>
    <x v="4"/>
    <s v="High"/>
    <x v="2"/>
    <s v="Other"/>
    <d v="2024-01-10T00:00:00"/>
    <x v="0"/>
    <x v="0"/>
    <x v="1"/>
    <x v="1"/>
    <n v="14"/>
    <x v="3"/>
    <s v="Qtr-1"/>
  </r>
  <r>
    <s v="89-302-8461"/>
    <x v="14"/>
    <x v="2"/>
    <x v="1"/>
    <x v="0"/>
    <x v="1"/>
    <x v="2"/>
    <s v="Middle"/>
    <s v="Nymburk"/>
    <s v="Czechia"/>
    <x v="12"/>
    <n v="290.11"/>
    <n v="8"/>
    <s v="Mixed"/>
    <n v="4"/>
    <n v="4"/>
    <n v="60"/>
    <s v="Medium"/>
    <s v="Very Sensitive"/>
    <n v="0.125"/>
    <x v="7"/>
    <s v="Medium"/>
    <x v="1"/>
    <s v="PayPal"/>
    <d v="2024-10-30T00:00:00"/>
    <x v="1"/>
    <x v="0"/>
    <x v="2"/>
    <x v="0"/>
    <n v="14"/>
    <x v="2"/>
    <s v="Qtr-4"/>
  </r>
  <r>
    <s v="23-066-1915"/>
    <x v="25"/>
    <x v="0"/>
    <x v="0"/>
    <x v="0"/>
    <x v="1"/>
    <x v="0"/>
    <s v="Middle"/>
    <s v="Jiangcun"/>
    <s v="China"/>
    <x v="14"/>
    <n v="355.28"/>
    <n v="3"/>
    <s v="Mixed"/>
    <n v="5"/>
    <n v="5"/>
    <n v="0"/>
    <s v="Low"/>
    <s v="Very Sensitive"/>
    <n v="0.33333333333333331"/>
    <x v="7"/>
    <s v="Low"/>
    <x v="1"/>
    <s v="Credit Card"/>
    <d v="2024-09-17T00:00:00"/>
    <x v="0"/>
    <x v="1"/>
    <x v="3"/>
    <x v="0"/>
    <n v="5"/>
    <x v="10"/>
    <s v="Qtr-3"/>
  </r>
  <r>
    <s v="39-090-0124"/>
    <x v="16"/>
    <x v="2"/>
    <x v="2"/>
    <x v="0"/>
    <x v="1"/>
    <x v="0"/>
    <s v="High"/>
    <s v="Tafo"/>
    <s v="Ghana"/>
    <x v="0"/>
    <n v="73.739999999999995"/>
    <n v="7"/>
    <s v="Online"/>
    <n v="4"/>
    <n v="2"/>
    <n v="18"/>
    <s v="High"/>
    <s v="Not Sensitive"/>
    <n v="0.14285714285714285"/>
    <x v="4"/>
    <s v="Medium"/>
    <x v="1"/>
    <s v="Other"/>
    <d v="2024-08-17T00:00:00"/>
    <x v="1"/>
    <x v="0"/>
    <x v="1"/>
    <x v="1"/>
    <n v="13"/>
    <x v="7"/>
    <s v="Qtr-3"/>
  </r>
  <r>
    <s v="41-854-0707"/>
    <x v="6"/>
    <x v="0"/>
    <x v="0"/>
    <x v="0"/>
    <x v="2"/>
    <x v="2"/>
    <s v="Middle"/>
    <s v="Cibaregbeg"/>
    <s v="Indonesia"/>
    <x v="6"/>
    <n v="170.35"/>
    <n v="10"/>
    <s v="In-Store"/>
    <n v="2"/>
    <n v="1"/>
    <n v="60"/>
    <s v="Medium"/>
    <s v="Very Sensitive"/>
    <n v="0.1"/>
    <x v="3"/>
    <s v="Low"/>
    <x v="2"/>
    <s v="Cash"/>
    <d v="2024-06-03T00:00:00"/>
    <x v="0"/>
    <x v="1"/>
    <x v="0"/>
    <x v="1"/>
    <n v="1"/>
    <x v="4"/>
    <s v="Qtr-2"/>
  </r>
  <r>
    <s v="04-352-1558"/>
    <x v="15"/>
    <x v="2"/>
    <x v="0"/>
    <x v="1"/>
    <x v="1"/>
    <x v="2"/>
    <s v="Middle"/>
    <s v="Wang Yang"/>
    <s v="Thailand"/>
    <x v="3"/>
    <n v="123.7"/>
    <n v="6"/>
    <s v="Online"/>
    <n v="2"/>
    <n v="5"/>
    <n v="0"/>
    <s v="High"/>
    <s v="Very Sensitive"/>
    <n v="0.16666666666666666"/>
    <x v="1"/>
    <s v="None"/>
    <x v="1"/>
    <s v="Other"/>
    <d v="2024-07-28T00:00:00"/>
    <x v="1"/>
    <x v="0"/>
    <x v="2"/>
    <x v="2"/>
    <n v="2"/>
    <x v="5"/>
    <s v="Qtr-3"/>
  </r>
  <r>
    <s v="93-867-8303"/>
    <x v="6"/>
    <x v="0"/>
    <x v="0"/>
    <x v="0"/>
    <x v="1"/>
    <x v="2"/>
    <s v="High"/>
    <s v="Liangnong"/>
    <s v="China"/>
    <x v="0"/>
    <n v="201.6"/>
    <n v="9"/>
    <s v="In-Store"/>
    <n v="1"/>
    <n v="4"/>
    <n v="120"/>
    <s v="Medium"/>
    <s v="Very Sensitive"/>
    <n v="0.1111111111111111"/>
    <x v="7"/>
    <s v="High"/>
    <x v="1"/>
    <s v="PayPal"/>
    <d v="2024-10-24T00:00:00"/>
    <x v="1"/>
    <x v="0"/>
    <x v="2"/>
    <x v="2"/>
    <n v="14"/>
    <x v="2"/>
    <s v="Qtr-4"/>
  </r>
  <r>
    <s v="31-088-6950"/>
    <x v="23"/>
    <x v="0"/>
    <x v="0"/>
    <x v="0"/>
    <x v="1"/>
    <x v="2"/>
    <s v="High"/>
    <s v="Hengshi"/>
    <s v="China"/>
    <x v="4"/>
    <n v="116.14"/>
    <n v="11"/>
    <s v="Mixed"/>
    <n v="1"/>
    <n v="4"/>
    <n v="60"/>
    <s v="High"/>
    <s v="Somewhat Sensitive"/>
    <n v="0"/>
    <x v="8"/>
    <s v="Medium"/>
    <x v="2"/>
    <s v="Credit Card"/>
    <d v="2024-04-01T00:00:00"/>
    <x v="1"/>
    <x v="1"/>
    <x v="1"/>
    <x v="2"/>
    <n v="14"/>
    <x v="1"/>
    <s v="Qtr-2"/>
  </r>
  <r>
    <s v="43-616-8365"/>
    <x v="3"/>
    <x v="0"/>
    <x v="0"/>
    <x v="0"/>
    <x v="1"/>
    <x v="2"/>
    <s v="High"/>
    <s v="Kandangan"/>
    <s v="Indonesia"/>
    <x v="23"/>
    <n v="483.38"/>
    <n v="9"/>
    <s v="Online"/>
    <n v="2"/>
    <n v="1"/>
    <n v="0"/>
    <s v="High"/>
    <s v="Somewhat Sensitive"/>
    <n v="0.22222222222222221"/>
    <x v="4"/>
    <s v="High"/>
    <x v="2"/>
    <s v="Other"/>
    <d v="2024-06-09T00:00:00"/>
    <x v="1"/>
    <x v="1"/>
    <x v="0"/>
    <x v="1"/>
    <n v="8"/>
    <x v="4"/>
    <s v="Qtr-2"/>
  </r>
  <r>
    <s v="71-876-9118"/>
    <x v="2"/>
    <x v="0"/>
    <x v="1"/>
    <x v="0"/>
    <x v="1"/>
    <x v="1"/>
    <s v="Middle"/>
    <s v="Naranjal"/>
    <s v="Ecuador"/>
    <x v="18"/>
    <n v="418.62"/>
    <n v="9"/>
    <s v="In-Store"/>
    <n v="1"/>
    <n v="2"/>
    <n v="0"/>
    <s v="Low"/>
    <s v="Not Sensitive"/>
    <n v="0"/>
    <x v="5"/>
    <s v="None"/>
    <x v="1"/>
    <s v="Other"/>
    <d v="2024-11-14T00:00:00"/>
    <x v="0"/>
    <x v="0"/>
    <x v="0"/>
    <x v="1"/>
    <n v="11"/>
    <x v="11"/>
    <s v="Qtr-4"/>
  </r>
  <r>
    <s v="18-263-0366"/>
    <x v="4"/>
    <x v="2"/>
    <x v="0"/>
    <x v="0"/>
    <x v="3"/>
    <x v="0"/>
    <s v="Middle"/>
    <s v="Abiko"/>
    <s v="Japan"/>
    <x v="5"/>
    <n v="139.83000000000001"/>
    <n v="12"/>
    <s v="Online"/>
    <n v="2"/>
    <n v="4"/>
    <n v="120"/>
    <s v="None"/>
    <s v="Not Sensitive"/>
    <n v="0"/>
    <x v="2"/>
    <s v="None"/>
    <x v="0"/>
    <s v="Cash"/>
    <d v="2024-10-08T00:00:00"/>
    <x v="1"/>
    <x v="0"/>
    <x v="2"/>
    <x v="2"/>
    <n v="10"/>
    <x v="2"/>
    <s v="Qtr-4"/>
  </r>
  <r>
    <s v="25-502-1415"/>
    <x v="9"/>
    <x v="2"/>
    <x v="0"/>
    <x v="1"/>
    <x v="0"/>
    <x v="2"/>
    <s v="Middle"/>
    <s v="Longhuashan"/>
    <s v="China"/>
    <x v="17"/>
    <n v="54.17"/>
    <n v="4"/>
    <s v="Mixed"/>
    <n v="4"/>
    <n v="5"/>
    <n v="0"/>
    <s v="Medium"/>
    <s v="Somewhat Sensitive"/>
    <n v="0.5"/>
    <x v="6"/>
    <s v="Medium"/>
    <x v="2"/>
    <s v="Credit Card"/>
    <d v="2024-01-11T00:00:00"/>
    <x v="1"/>
    <x v="1"/>
    <x v="3"/>
    <x v="0"/>
    <n v="7"/>
    <x v="3"/>
    <s v="Qtr-1"/>
  </r>
  <r>
    <s v="50-000-9588"/>
    <x v="26"/>
    <x v="1"/>
    <x v="1"/>
    <x v="1"/>
    <x v="3"/>
    <x v="2"/>
    <s v="High"/>
    <s v="Zhovkva"/>
    <s v="Ukraine"/>
    <x v="23"/>
    <n v="437.59"/>
    <n v="10"/>
    <s v="In-Store"/>
    <n v="1"/>
    <n v="4"/>
    <n v="0"/>
    <s v="None"/>
    <s v="Very Sensitive"/>
    <n v="0"/>
    <x v="7"/>
    <s v="High"/>
    <x v="0"/>
    <s v="Credit Card"/>
    <d v="2024-02-26T00:00:00"/>
    <x v="0"/>
    <x v="1"/>
    <x v="2"/>
    <x v="2"/>
    <n v="9"/>
    <x v="8"/>
    <s v="Qtr-1"/>
  </r>
  <r>
    <s v="32-338-5967"/>
    <x v="11"/>
    <x v="2"/>
    <x v="1"/>
    <x v="0"/>
    <x v="2"/>
    <x v="0"/>
    <s v="High"/>
    <s v="Lebak"/>
    <s v="Indonesia"/>
    <x v="11"/>
    <n v="113.57"/>
    <n v="5"/>
    <s v="Online"/>
    <n v="4"/>
    <n v="4"/>
    <n v="120"/>
    <s v="Medium"/>
    <s v="Very Sensitive"/>
    <n v="0.2"/>
    <x v="2"/>
    <s v="High"/>
    <x v="0"/>
    <s v="Cash"/>
    <d v="2024-11-01T00:00:00"/>
    <x v="1"/>
    <x v="1"/>
    <x v="1"/>
    <x v="1"/>
    <n v="8"/>
    <x v="11"/>
    <s v="Qtr-4"/>
  </r>
  <r>
    <s v="19-311-9149"/>
    <x v="6"/>
    <x v="0"/>
    <x v="2"/>
    <x v="1"/>
    <x v="1"/>
    <x v="1"/>
    <s v="High"/>
    <s v="Gereshk"/>
    <s v="Afghanistan"/>
    <x v="12"/>
    <n v="305.54000000000002"/>
    <n v="6"/>
    <s v="In-Store"/>
    <n v="3"/>
    <n v="5"/>
    <n v="0"/>
    <s v="Medium"/>
    <s v="Somewhat Sensitive"/>
    <n v="0"/>
    <x v="1"/>
    <s v="Medium"/>
    <x v="1"/>
    <s v="Other"/>
    <d v="2024-03-28T00:00:00"/>
    <x v="0"/>
    <x v="0"/>
    <x v="1"/>
    <x v="0"/>
    <n v="7"/>
    <x v="0"/>
    <s v="Qtr-1"/>
  </r>
  <r>
    <s v="94-212-7169"/>
    <x v="25"/>
    <x v="0"/>
    <x v="0"/>
    <x v="1"/>
    <x v="3"/>
    <x v="1"/>
    <s v="High"/>
    <s v="Yonghe"/>
    <s v="Taiwan"/>
    <x v="1"/>
    <n v="339.12"/>
    <n v="2"/>
    <s v="In-Store"/>
    <n v="4"/>
    <n v="4"/>
    <n v="0"/>
    <s v="Medium"/>
    <s v="Not Sensitive"/>
    <n v="0"/>
    <x v="1"/>
    <s v="Low"/>
    <x v="1"/>
    <s v="PayPal"/>
    <d v="2024-01-08T00:00:00"/>
    <x v="1"/>
    <x v="0"/>
    <x v="2"/>
    <x v="0"/>
    <n v="1"/>
    <x v="3"/>
    <s v="Qtr-1"/>
  </r>
  <r>
    <s v="17-246-6194"/>
    <x v="5"/>
    <x v="1"/>
    <x v="4"/>
    <x v="0"/>
    <x v="3"/>
    <x v="0"/>
    <s v="High"/>
    <s v="Dabai"/>
    <s v="China"/>
    <x v="23"/>
    <n v="323.39999999999998"/>
    <n v="11"/>
    <s v="Mixed"/>
    <n v="2"/>
    <n v="3"/>
    <n v="120"/>
    <s v="Low"/>
    <s v="Very Sensitive"/>
    <n v="0"/>
    <x v="8"/>
    <s v="None"/>
    <x v="1"/>
    <s v="Credit Card"/>
    <d v="2024-02-28T00:00:00"/>
    <x v="0"/>
    <x v="1"/>
    <x v="0"/>
    <x v="1"/>
    <n v="10"/>
    <x v="8"/>
    <s v="Qtr-1"/>
  </r>
  <r>
    <s v="26-672-1285"/>
    <x v="2"/>
    <x v="0"/>
    <x v="3"/>
    <x v="0"/>
    <x v="0"/>
    <x v="1"/>
    <s v="Middle"/>
    <s v="Moutnice"/>
    <s v="Czechia"/>
    <x v="20"/>
    <n v="472.61"/>
    <n v="9"/>
    <s v="In-Store"/>
    <n v="5"/>
    <n v="5"/>
    <n v="120"/>
    <s v="None"/>
    <s v="Very Sensitive"/>
    <n v="0.1111111111111111"/>
    <x v="7"/>
    <s v="None"/>
    <x v="1"/>
    <s v="PayPal"/>
    <d v="2024-09-15T00:00:00"/>
    <x v="0"/>
    <x v="1"/>
    <x v="2"/>
    <x v="2"/>
    <n v="5"/>
    <x v="10"/>
    <s v="Qtr-3"/>
  </r>
  <r>
    <s v="00-265-0556"/>
    <x v="28"/>
    <x v="0"/>
    <x v="0"/>
    <x v="0"/>
    <x v="2"/>
    <x v="1"/>
    <s v="Middle"/>
    <s v="Qiryat Yam"/>
    <s v="Israel"/>
    <x v="4"/>
    <n v="68.02"/>
    <n v="10"/>
    <s v="Online"/>
    <n v="3"/>
    <n v="2"/>
    <n v="60"/>
    <s v="None"/>
    <s v="Very Sensitive"/>
    <n v="0.1"/>
    <x v="9"/>
    <s v="None"/>
    <x v="0"/>
    <s v="Credit Card"/>
    <d v="2024-11-01T00:00:00"/>
    <x v="0"/>
    <x v="1"/>
    <x v="0"/>
    <x v="2"/>
    <n v="6"/>
    <x v="11"/>
    <s v="Qtr-4"/>
  </r>
  <r>
    <s v="76-397-3294"/>
    <x v="23"/>
    <x v="0"/>
    <x v="1"/>
    <x v="1"/>
    <x v="1"/>
    <x v="2"/>
    <s v="Middle"/>
    <s v="Pirané"/>
    <s v="Argentina"/>
    <x v="16"/>
    <n v="199.44"/>
    <n v="7"/>
    <s v="Online"/>
    <n v="2"/>
    <n v="1"/>
    <n v="120"/>
    <s v="None"/>
    <s v="Very Sensitive"/>
    <n v="0"/>
    <x v="4"/>
    <s v="None"/>
    <x v="0"/>
    <s v="Cash"/>
    <d v="2024-07-14T00:00:00"/>
    <x v="1"/>
    <x v="1"/>
    <x v="0"/>
    <x v="1"/>
    <n v="1"/>
    <x v="5"/>
    <s v="Qtr-3"/>
  </r>
  <r>
    <s v="43-612-8079"/>
    <x v="26"/>
    <x v="1"/>
    <x v="1"/>
    <x v="1"/>
    <x v="3"/>
    <x v="1"/>
    <s v="Middle"/>
    <s v="Colima"/>
    <s v="Mexico"/>
    <x v="6"/>
    <n v="250.73"/>
    <n v="4"/>
    <s v="Online"/>
    <n v="3"/>
    <n v="2"/>
    <n v="60"/>
    <s v="Low"/>
    <s v="Somewhat Sensitive"/>
    <n v="0.25"/>
    <x v="3"/>
    <s v="None"/>
    <x v="2"/>
    <s v="Cash"/>
    <d v="2024-04-24T00:00:00"/>
    <x v="1"/>
    <x v="1"/>
    <x v="3"/>
    <x v="0"/>
    <n v="10"/>
    <x v="1"/>
    <s v="Qtr-2"/>
  </r>
  <r>
    <s v="17-213-2834"/>
    <x v="10"/>
    <x v="2"/>
    <x v="1"/>
    <x v="0"/>
    <x v="1"/>
    <x v="1"/>
    <s v="Middle"/>
    <s v="Marshintsy"/>
    <s v="Ukraine"/>
    <x v="20"/>
    <n v="372.49"/>
    <n v="12"/>
    <s v="Online"/>
    <n v="4"/>
    <n v="3"/>
    <n v="0"/>
    <s v="High"/>
    <s v="Very Sensitive"/>
    <n v="0"/>
    <x v="1"/>
    <s v="Medium"/>
    <x v="2"/>
    <s v="Debit Card"/>
    <d v="2024-08-22T00:00:00"/>
    <x v="0"/>
    <x v="0"/>
    <x v="3"/>
    <x v="0"/>
    <n v="7"/>
    <x v="7"/>
    <s v="Qtr-3"/>
  </r>
  <r>
    <s v="36-214-1586"/>
    <x v="30"/>
    <x v="1"/>
    <x v="1"/>
    <x v="1"/>
    <x v="2"/>
    <x v="1"/>
    <s v="High"/>
    <s v="Halinów"/>
    <s v="Poland"/>
    <x v="5"/>
    <n v="186.85"/>
    <n v="2"/>
    <s v="Online"/>
    <n v="3"/>
    <n v="1"/>
    <n v="120"/>
    <s v="High"/>
    <s v="Not Sensitive"/>
    <n v="1"/>
    <x v="8"/>
    <s v="Low"/>
    <x v="1"/>
    <s v="Other"/>
    <d v="2024-02-20T00:00:00"/>
    <x v="0"/>
    <x v="0"/>
    <x v="2"/>
    <x v="2"/>
    <n v="12"/>
    <x v="8"/>
    <s v="Qtr-1"/>
  </r>
  <r>
    <s v="32-414-1466"/>
    <x v="29"/>
    <x v="0"/>
    <x v="1"/>
    <x v="1"/>
    <x v="2"/>
    <x v="2"/>
    <s v="Middle"/>
    <s v="Hallsberg"/>
    <s v="Sweden"/>
    <x v="6"/>
    <n v="73.319999999999993"/>
    <n v="10"/>
    <s v="In-Store"/>
    <n v="5"/>
    <n v="1"/>
    <n v="60"/>
    <s v="None"/>
    <s v="Not Sensitive"/>
    <n v="0.1"/>
    <x v="2"/>
    <s v="Medium"/>
    <x v="1"/>
    <s v="Debit Card"/>
    <d v="2024-01-27T00:00:00"/>
    <x v="0"/>
    <x v="0"/>
    <x v="1"/>
    <x v="1"/>
    <n v="14"/>
    <x v="3"/>
    <s v="Qtr-1"/>
  </r>
  <r>
    <s v="12-699-6543"/>
    <x v="1"/>
    <x v="1"/>
    <x v="1"/>
    <x v="0"/>
    <x v="2"/>
    <x v="0"/>
    <s v="Middle"/>
    <s v="Celso Ramos"/>
    <s v="Brazil"/>
    <x v="20"/>
    <n v="214.59"/>
    <n v="6"/>
    <s v="Online"/>
    <n v="1"/>
    <n v="1"/>
    <n v="0"/>
    <s v="None"/>
    <s v="Somewhat Sensitive"/>
    <n v="0.16666666666666666"/>
    <x v="8"/>
    <s v="Low"/>
    <x v="0"/>
    <s v="Other"/>
    <d v="2024-02-09T00:00:00"/>
    <x v="0"/>
    <x v="0"/>
    <x v="1"/>
    <x v="1"/>
    <n v="9"/>
    <x v="8"/>
    <s v="Qtr-1"/>
  </r>
  <r>
    <s v="83-427-3218"/>
    <x v="26"/>
    <x v="1"/>
    <x v="0"/>
    <x v="0"/>
    <x v="2"/>
    <x v="1"/>
    <s v="Middle"/>
    <s v="White River"/>
    <s v="South Africa"/>
    <x v="4"/>
    <n v="467.32"/>
    <n v="12"/>
    <s v="In-Store"/>
    <n v="4"/>
    <n v="4"/>
    <n v="120"/>
    <s v="Medium"/>
    <s v="Somewhat Sensitive"/>
    <n v="0.16666666666666666"/>
    <x v="7"/>
    <s v="Low"/>
    <x v="1"/>
    <s v="PayPal"/>
    <d v="2024-01-28T00:00:00"/>
    <x v="1"/>
    <x v="1"/>
    <x v="0"/>
    <x v="0"/>
    <n v="11"/>
    <x v="3"/>
    <s v="Qtr-1"/>
  </r>
  <r>
    <s v="61-663-9008"/>
    <x v="27"/>
    <x v="3"/>
    <x v="1"/>
    <x v="0"/>
    <x v="0"/>
    <x v="2"/>
    <s v="Middle"/>
    <s v="Taishihe"/>
    <s v="China"/>
    <x v="22"/>
    <n v="475.65"/>
    <n v="4"/>
    <s v="In-Store"/>
    <n v="4"/>
    <n v="5"/>
    <n v="0"/>
    <s v="High"/>
    <s v="Somewhat Sensitive"/>
    <n v="0.5"/>
    <x v="9"/>
    <s v="Low"/>
    <x v="1"/>
    <s v="PayPal"/>
    <d v="2024-06-23T00:00:00"/>
    <x v="0"/>
    <x v="1"/>
    <x v="1"/>
    <x v="2"/>
    <n v="14"/>
    <x v="4"/>
    <s v="Qtr-2"/>
  </r>
  <r>
    <s v="86-917-7481"/>
    <x v="18"/>
    <x v="1"/>
    <x v="0"/>
    <x v="0"/>
    <x v="2"/>
    <x v="2"/>
    <s v="High"/>
    <s v="Shanghu"/>
    <s v="China"/>
    <x v="9"/>
    <n v="161.38"/>
    <n v="11"/>
    <s v="Mixed"/>
    <n v="5"/>
    <n v="3"/>
    <n v="0"/>
    <s v="None"/>
    <s v="Very Sensitive"/>
    <n v="9.0909090909090912E-2"/>
    <x v="3"/>
    <s v="High"/>
    <x v="0"/>
    <s v="Debit Card"/>
    <d v="2024-08-20T00:00:00"/>
    <x v="0"/>
    <x v="1"/>
    <x v="2"/>
    <x v="1"/>
    <n v="10"/>
    <x v="7"/>
    <s v="Qtr-3"/>
  </r>
  <r>
    <s v="66-086-2306"/>
    <x v="24"/>
    <x v="3"/>
    <x v="1"/>
    <x v="0"/>
    <x v="1"/>
    <x v="0"/>
    <s v="Middle"/>
    <s v="Brandsen"/>
    <s v="Argentina"/>
    <x v="15"/>
    <n v="249.78"/>
    <n v="4"/>
    <s v="In-Store"/>
    <n v="5"/>
    <n v="4"/>
    <n v="0"/>
    <s v="Low"/>
    <s v="Very Sensitive"/>
    <n v="0"/>
    <x v="2"/>
    <s v="None"/>
    <x v="2"/>
    <s v="PayPal"/>
    <d v="2024-11-24T00:00:00"/>
    <x v="1"/>
    <x v="0"/>
    <x v="1"/>
    <x v="0"/>
    <n v="11"/>
    <x v="11"/>
    <s v="Qtr-4"/>
  </r>
  <r>
    <s v="43-671-9834"/>
    <x v="7"/>
    <x v="2"/>
    <x v="0"/>
    <x v="0"/>
    <x v="3"/>
    <x v="1"/>
    <s v="High"/>
    <s v="Ranot"/>
    <s v="Thailand"/>
    <x v="20"/>
    <n v="149.88"/>
    <n v="9"/>
    <s v="Mixed"/>
    <n v="3"/>
    <n v="2"/>
    <n v="0"/>
    <s v="Low"/>
    <s v="Somewhat Sensitive"/>
    <n v="0.1111111111111111"/>
    <x v="3"/>
    <s v="Low"/>
    <x v="1"/>
    <s v="Debit Card"/>
    <d v="2024-04-19T00:00:00"/>
    <x v="1"/>
    <x v="0"/>
    <x v="2"/>
    <x v="1"/>
    <n v="4"/>
    <x v="1"/>
    <s v="Qtr-2"/>
  </r>
  <r>
    <s v="90-888-8726"/>
    <x v="18"/>
    <x v="1"/>
    <x v="0"/>
    <x v="1"/>
    <x v="3"/>
    <x v="2"/>
    <s v="Middle"/>
    <s v="Saint-Jouan-des-Guérets"/>
    <s v="France"/>
    <x v="23"/>
    <n v="347.09"/>
    <n v="5"/>
    <s v="In-Store"/>
    <n v="5"/>
    <n v="2"/>
    <n v="0"/>
    <s v="Medium"/>
    <s v="Somewhat Sensitive"/>
    <n v="0.4"/>
    <x v="2"/>
    <s v="None"/>
    <x v="1"/>
    <s v="Other"/>
    <d v="2024-01-26T00:00:00"/>
    <x v="1"/>
    <x v="0"/>
    <x v="3"/>
    <x v="0"/>
    <n v="7"/>
    <x v="3"/>
    <s v="Qtr-1"/>
  </r>
  <r>
    <s v="23-085-0811"/>
    <x v="20"/>
    <x v="1"/>
    <x v="0"/>
    <x v="1"/>
    <x v="2"/>
    <x v="2"/>
    <s v="High"/>
    <s v="Da’an"/>
    <s v="China"/>
    <x v="10"/>
    <n v="345.49"/>
    <n v="9"/>
    <s v="Mixed"/>
    <n v="3"/>
    <n v="1"/>
    <n v="120"/>
    <s v="High"/>
    <s v="Not Sensitive"/>
    <n v="0"/>
    <x v="3"/>
    <s v="Medium"/>
    <x v="0"/>
    <s v="PayPal"/>
    <d v="2024-09-06T00:00:00"/>
    <x v="0"/>
    <x v="0"/>
    <x v="2"/>
    <x v="2"/>
    <n v="3"/>
    <x v="10"/>
    <s v="Qtr-3"/>
  </r>
  <r>
    <s v="85-192-9218"/>
    <x v="16"/>
    <x v="2"/>
    <x v="0"/>
    <x v="1"/>
    <x v="3"/>
    <x v="0"/>
    <s v="High"/>
    <s v="Kisovec"/>
    <s v="Slovenia"/>
    <x v="10"/>
    <n v="297.24"/>
    <n v="2"/>
    <s v="Mixed"/>
    <n v="1"/>
    <n v="4"/>
    <n v="0"/>
    <s v="Medium"/>
    <s v="Not Sensitive"/>
    <n v="0"/>
    <x v="5"/>
    <s v="High"/>
    <x v="2"/>
    <s v="PayPal"/>
    <d v="2024-06-29T00:00:00"/>
    <x v="0"/>
    <x v="1"/>
    <x v="3"/>
    <x v="2"/>
    <n v="7"/>
    <x v="4"/>
    <s v="Qtr-2"/>
  </r>
  <r>
    <s v="82-671-7236"/>
    <x v="31"/>
    <x v="0"/>
    <x v="0"/>
    <x v="0"/>
    <x v="3"/>
    <x v="0"/>
    <s v="High"/>
    <s v="?bd?n?n"/>
    <s v="Iran"/>
    <x v="3"/>
    <n v="494.34"/>
    <n v="12"/>
    <s v="Online"/>
    <n v="5"/>
    <n v="3"/>
    <n v="15"/>
    <s v="High"/>
    <s v="Very Sensitive"/>
    <n v="8.3333333333333329E-2"/>
    <x v="8"/>
    <s v="Low"/>
    <x v="2"/>
    <s v="Debit Card"/>
    <d v="2024-03-03T00:00:00"/>
    <x v="1"/>
    <x v="0"/>
    <x v="1"/>
    <x v="2"/>
    <n v="3"/>
    <x v="0"/>
    <s v="Qtr-1"/>
  </r>
  <r>
    <s v="42-674-3987"/>
    <x v="3"/>
    <x v="0"/>
    <x v="7"/>
    <x v="0"/>
    <x v="0"/>
    <x v="2"/>
    <s v="High"/>
    <s v="Dafeng"/>
    <s v="China"/>
    <x v="9"/>
    <n v="443.52"/>
    <n v="5"/>
    <s v="In-Store"/>
    <n v="5"/>
    <n v="3"/>
    <n v="0"/>
    <s v="None"/>
    <s v="Somewhat Sensitive"/>
    <n v="0"/>
    <x v="0"/>
    <s v="Low"/>
    <x v="0"/>
    <s v="Cash"/>
    <d v="2024-05-10T00:00:00"/>
    <x v="0"/>
    <x v="0"/>
    <x v="0"/>
    <x v="1"/>
    <n v="9"/>
    <x v="9"/>
    <s v="Qtr-2"/>
  </r>
  <r>
    <s v="41-934-7739"/>
    <x v="5"/>
    <x v="1"/>
    <x v="3"/>
    <x v="0"/>
    <x v="3"/>
    <x v="1"/>
    <s v="High"/>
    <s v="Campo Maior"/>
    <s v="Portugal"/>
    <x v="23"/>
    <n v="457.18"/>
    <n v="7"/>
    <s v="In-Store"/>
    <n v="4"/>
    <n v="3"/>
    <n v="120"/>
    <s v="High"/>
    <s v="Very Sensitive"/>
    <n v="0.2857142857142857"/>
    <x v="9"/>
    <s v="Medium"/>
    <x v="1"/>
    <s v="Other"/>
    <d v="2024-08-20T00:00:00"/>
    <x v="0"/>
    <x v="1"/>
    <x v="1"/>
    <x v="2"/>
    <n v="10"/>
    <x v="7"/>
    <s v="Qtr-3"/>
  </r>
  <r>
    <s v="48-825-0400"/>
    <x v="9"/>
    <x v="2"/>
    <x v="1"/>
    <x v="0"/>
    <x v="1"/>
    <x v="2"/>
    <s v="High"/>
    <s v="Sävedalen"/>
    <s v="Sweden"/>
    <x v="5"/>
    <n v="407.88"/>
    <n v="4"/>
    <s v="In-Store"/>
    <n v="1"/>
    <n v="3"/>
    <n v="60"/>
    <s v="None"/>
    <s v="Very Sensitive"/>
    <n v="0.25"/>
    <x v="3"/>
    <s v="Medium"/>
    <x v="0"/>
    <s v="Cash"/>
    <d v="2024-11-11T00:00:00"/>
    <x v="1"/>
    <x v="0"/>
    <x v="3"/>
    <x v="1"/>
    <n v="14"/>
    <x v="11"/>
    <s v="Qtr-4"/>
  </r>
  <r>
    <s v="30-133-5120"/>
    <x v="12"/>
    <x v="2"/>
    <x v="1"/>
    <x v="0"/>
    <x v="2"/>
    <x v="0"/>
    <s v="Middle"/>
    <s v="Brikcha"/>
    <s v="Morocco"/>
    <x v="5"/>
    <n v="448.68"/>
    <n v="8"/>
    <s v="In-Store"/>
    <n v="4"/>
    <n v="4"/>
    <n v="120"/>
    <s v="High"/>
    <s v="Somewhat Sensitive"/>
    <n v="0.125"/>
    <x v="4"/>
    <s v="Medium"/>
    <x v="0"/>
    <s v="Debit Card"/>
    <d v="2024-05-25T00:00:00"/>
    <x v="0"/>
    <x v="0"/>
    <x v="1"/>
    <x v="2"/>
    <n v="8"/>
    <x v="9"/>
    <s v="Qtr-2"/>
  </r>
  <r>
    <s v="29-827-8515"/>
    <x v="13"/>
    <x v="1"/>
    <x v="0"/>
    <x v="1"/>
    <x v="2"/>
    <x v="0"/>
    <s v="High"/>
    <s v="Xidianzi"/>
    <s v="China"/>
    <x v="13"/>
    <n v="255.96"/>
    <n v="7"/>
    <s v="Online"/>
    <n v="5"/>
    <n v="1"/>
    <n v="60"/>
    <s v="High"/>
    <s v="Very Sensitive"/>
    <n v="0"/>
    <x v="3"/>
    <s v="None"/>
    <x v="0"/>
    <s v="Cash"/>
    <d v="2024-12-23T00:00:00"/>
    <x v="1"/>
    <x v="0"/>
    <x v="0"/>
    <x v="0"/>
    <n v="13"/>
    <x v="6"/>
    <s v="Qtr-4"/>
  </r>
  <r>
    <s v="91-724-4633"/>
    <x v="5"/>
    <x v="1"/>
    <x v="1"/>
    <x v="0"/>
    <x v="0"/>
    <x v="1"/>
    <s v="High"/>
    <s v="La Unión"/>
    <s v="Colombia"/>
    <x v="8"/>
    <n v="146.07"/>
    <n v="7"/>
    <s v="In-Store"/>
    <n v="4"/>
    <n v="2"/>
    <n v="60"/>
    <s v="Low"/>
    <s v="Very Sensitive"/>
    <n v="0.14285714285714285"/>
    <x v="9"/>
    <s v="None"/>
    <x v="0"/>
    <s v="Credit Card"/>
    <d v="2024-07-07T00:00:00"/>
    <x v="0"/>
    <x v="1"/>
    <x v="0"/>
    <x v="1"/>
    <n v="1"/>
    <x v="5"/>
    <s v="Qtr-3"/>
  </r>
  <r>
    <s v="10-328-5732"/>
    <x v="32"/>
    <x v="1"/>
    <x v="0"/>
    <x v="1"/>
    <x v="1"/>
    <x v="1"/>
    <s v="Middle"/>
    <s v="Kliteh"/>
    <s v="Indonesia"/>
    <x v="18"/>
    <n v="311.89999999999998"/>
    <n v="4"/>
    <s v="In-Store"/>
    <n v="2"/>
    <n v="4"/>
    <n v="120"/>
    <s v="Low"/>
    <s v="Very Sensitive"/>
    <n v="0"/>
    <x v="9"/>
    <s v="High"/>
    <x v="1"/>
    <s v="Credit Card"/>
    <d v="2024-12-30T00:00:00"/>
    <x v="1"/>
    <x v="1"/>
    <x v="3"/>
    <x v="0"/>
    <n v="2"/>
    <x v="6"/>
    <s v="Qtr-4"/>
  </r>
  <r>
    <s v="38-912-1128"/>
    <x v="9"/>
    <x v="2"/>
    <x v="0"/>
    <x v="0"/>
    <x v="2"/>
    <x v="1"/>
    <s v="Middle"/>
    <s v="Béja"/>
    <s v="Tunisia"/>
    <x v="0"/>
    <n v="301.60000000000002"/>
    <n v="4"/>
    <s v="Mixed"/>
    <n v="4"/>
    <n v="5"/>
    <n v="60"/>
    <s v="Low"/>
    <s v="Not Sensitive"/>
    <n v="0.5"/>
    <x v="3"/>
    <s v="High"/>
    <x v="2"/>
    <s v="Credit Card"/>
    <d v="2024-03-11T00:00:00"/>
    <x v="1"/>
    <x v="0"/>
    <x v="2"/>
    <x v="1"/>
    <n v="13"/>
    <x v="0"/>
    <s v="Qtr-1"/>
  </r>
  <r>
    <s v="07-751-9620"/>
    <x v="25"/>
    <x v="0"/>
    <x v="5"/>
    <x v="0"/>
    <x v="2"/>
    <x v="0"/>
    <s v="High"/>
    <s v="Ferreira do Alentejo"/>
    <s v="Portugal"/>
    <x v="14"/>
    <n v="297.45"/>
    <n v="3"/>
    <s v="Mixed"/>
    <n v="1"/>
    <n v="5"/>
    <n v="0"/>
    <s v="Medium"/>
    <s v="Very Sensitive"/>
    <n v="0"/>
    <x v="0"/>
    <s v="Low"/>
    <x v="0"/>
    <s v="Debit Card"/>
    <d v="2024-07-07T00:00:00"/>
    <x v="1"/>
    <x v="0"/>
    <x v="3"/>
    <x v="0"/>
    <n v="4"/>
    <x v="5"/>
    <s v="Qtr-3"/>
  </r>
  <r>
    <s v="81-877-9170"/>
    <x v="12"/>
    <x v="2"/>
    <x v="7"/>
    <x v="1"/>
    <x v="2"/>
    <x v="0"/>
    <s v="High"/>
    <s v="Gegernoong"/>
    <s v="Indonesia"/>
    <x v="6"/>
    <n v="157.26"/>
    <n v="3"/>
    <s v="Online"/>
    <n v="1"/>
    <n v="3"/>
    <n v="60"/>
    <s v="Medium"/>
    <s v="Not Sensitive"/>
    <n v="0.33333333333333331"/>
    <x v="2"/>
    <s v="None"/>
    <x v="2"/>
    <s v="Cash"/>
    <d v="2024-07-24T00:00:00"/>
    <x v="1"/>
    <x v="0"/>
    <x v="0"/>
    <x v="1"/>
    <n v="8"/>
    <x v="5"/>
    <s v="Qtr-3"/>
  </r>
  <r>
    <s v="19-885-2597"/>
    <x v="21"/>
    <x v="1"/>
    <x v="1"/>
    <x v="1"/>
    <x v="2"/>
    <x v="2"/>
    <s v="Middle"/>
    <s v="La Montañita"/>
    <s v="Colombia"/>
    <x v="18"/>
    <n v="239.46"/>
    <n v="3"/>
    <s v="Mixed"/>
    <n v="3"/>
    <n v="1"/>
    <n v="0"/>
    <s v="Low"/>
    <s v="Not Sensitive"/>
    <n v="0.66666666666666663"/>
    <x v="8"/>
    <s v="High"/>
    <x v="2"/>
    <s v="Other"/>
    <d v="2024-08-04T00:00:00"/>
    <x v="0"/>
    <x v="1"/>
    <x v="3"/>
    <x v="1"/>
    <n v="7"/>
    <x v="7"/>
    <s v="Qtr-3"/>
  </r>
  <r>
    <s v="82-389-2029"/>
    <x v="31"/>
    <x v="0"/>
    <x v="0"/>
    <x v="1"/>
    <x v="2"/>
    <x v="1"/>
    <s v="High"/>
    <s v="Sarish?b?ri"/>
    <s v="Bangladesh"/>
    <x v="0"/>
    <n v="240.82"/>
    <n v="10"/>
    <s v="Mixed"/>
    <n v="1"/>
    <n v="3"/>
    <n v="120"/>
    <s v="High"/>
    <s v="Somewhat Sensitive"/>
    <n v="0"/>
    <x v="4"/>
    <s v="Medium"/>
    <x v="0"/>
    <s v="PayPal"/>
    <d v="2024-01-02T00:00:00"/>
    <x v="0"/>
    <x v="0"/>
    <x v="3"/>
    <x v="0"/>
    <n v="8"/>
    <x v="3"/>
    <s v="Qtr-1"/>
  </r>
  <r>
    <s v="97-463-0048"/>
    <x v="32"/>
    <x v="1"/>
    <x v="0"/>
    <x v="0"/>
    <x v="1"/>
    <x v="2"/>
    <s v="High"/>
    <s v="Mangge"/>
    <s v="China"/>
    <x v="6"/>
    <n v="302.07"/>
    <n v="6"/>
    <s v="Mixed"/>
    <n v="1"/>
    <n v="5"/>
    <n v="60"/>
    <s v="Medium"/>
    <s v="Not Sensitive"/>
    <n v="0.33333333333333331"/>
    <x v="1"/>
    <s v="Medium"/>
    <x v="2"/>
    <s v="Other"/>
    <d v="2024-04-09T00:00:00"/>
    <x v="0"/>
    <x v="0"/>
    <x v="3"/>
    <x v="2"/>
    <n v="13"/>
    <x v="1"/>
    <s v="Qtr-2"/>
  </r>
  <r>
    <s v="91-572-6135"/>
    <x v="5"/>
    <x v="1"/>
    <x v="1"/>
    <x v="0"/>
    <x v="2"/>
    <x v="0"/>
    <s v="Middle"/>
    <s v="Chaba?ovice"/>
    <s v="Czech Republic"/>
    <x v="14"/>
    <n v="367.99"/>
    <n v="2"/>
    <s v="Online"/>
    <n v="2"/>
    <n v="5"/>
    <n v="60"/>
    <s v="None"/>
    <s v="Not Sensitive"/>
    <n v="1"/>
    <x v="6"/>
    <s v="High"/>
    <x v="1"/>
    <s v="Debit Card"/>
    <d v="2024-10-15T00:00:00"/>
    <x v="1"/>
    <x v="0"/>
    <x v="3"/>
    <x v="2"/>
    <n v="8"/>
    <x v="2"/>
    <s v="Qtr-4"/>
  </r>
  <r>
    <s v="10-232-0685"/>
    <x v="19"/>
    <x v="1"/>
    <x v="0"/>
    <x v="1"/>
    <x v="0"/>
    <x v="2"/>
    <s v="Middle"/>
    <s v="Yangping"/>
    <s v="China"/>
    <x v="19"/>
    <n v="359.75"/>
    <n v="7"/>
    <s v="In-Store"/>
    <n v="5"/>
    <n v="1"/>
    <n v="60"/>
    <s v="High"/>
    <s v="Not Sensitive"/>
    <n v="0.14285714285714285"/>
    <x v="9"/>
    <s v="Low"/>
    <x v="0"/>
    <s v="Other"/>
    <d v="2024-01-23T00:00:00"/>
    <x v="1"/>
    <x v="0"/>
    <x v="1"/>
    <x v="1"/>
    <n v="3"/>
    <x v="3"/>
    <s v="Qtr-1"/>
  </r>
  <r>
    <s v="77-761-7475"/>
    <x v="31"/>
    <x v="0"/>
    <x v="0"/>
    <x v="0"/>
    <x v="3"/>
    <x v="0"/>
    <s v="High"/>
    <s v="Berezna"/>
    <s v="Ukraine"/>
    <x v="12"/>
    <n v="204.44"/>
    <n v="2"/>
    <s v="Mixed"/>
    <n v="5"/>
    <n v="3"/>
    <n v="120"/>
    <s v="None"/>
    <s v="Somewhat Sensitive"/>
    <n v="0.5"/>
    <x v="4"/>
    <s v="High"/>
    <x v="2"/>
    <s v="Debit Card"/>
    <d v="2024-12-01T00:00:00"/>
    <x v="1"/>
    <x v="1"/>
    <x v="2"/>
    <x v="1"/>
    <n v="13"/>
    <x v="6"/>
    <s v="Qtr-4"/>
  </r>
  <r>
    <s v="78-826-3039"/>
    <x v="23"/>
    <x v="0"/>
    <x v="1"/>
    <x v="1"/>
    <x v="1"/>
    <x v="2"/>
    <s v="High"/>
    <s v="Vidual"/>
    <s v="Philippines"/>
    <x v="0"/>
    <n v="228.93"/>
    <n v="7"/>
    <s v="Online"/>
    <n v="1"/>
    <n v="1"/>
    <n v="120"/>
    <s v="Low"/>
    <s v="Not Sensitive"/>
    <n v="0.2857142857142857"/>
    <x v="6"/>
    <s v="Medium"/>
    <x v="2"/>
    <s v="PayPal"/>
    <d v="2024-02-19T00:00:00"/>
    <x v="0"/>
    <x v="1"/>
    <x v="2"/>
    <x v="2"/>
    <n v="11"/>
    <x v="8"/>
    <s v="Qtr-1"/>
  </r>
  <r>
    <s v="86-668-1045"/>
    <x v="28"/>
    <x v="0"/>
    <x v="0"/>
    <x v="1"/>
    <x v="1"/>
    <x v="1"/>
    <s v="Middle"/>
    <s v="Paris 17"/>
    <s v="France"/>
    <x v="2"/>
    <n v="355.31"/>
    <n v="11"/>
    <s v="Online"/>
    <n v="1"/>
    <n v="1"/>
    <n v="0"/>
    <s v="High"/>
    <s v="Not Sensitive"/>
    <n v="9.0909090909090912E-2"/>
    <x v="6"/>
    <s v="Medium"/>
    <x v="2"/>
    <s v="Debit Card"/>
    <d v="2024-08-19T00:00:00"/>
    <x v="1"/>
    <x v="1"/>
    <x v="2"/>
    <x v="2"/>
    <n v="12"/>
    <x v="7"/>
    <s v="Qtr-3"/>
  </r>
  <r>
    <s v="14-603-9698"/>
    <x v="13"/>
    <x v="1"/>
    <x v="1"/>
    <x v="1"/>
    <x v="0"/>
    <x v="1"/>
    <s v="High"/>
    <s v="Hultsfred"/>
    <s v="Sweden"/>
    <x v="9"/>
    <n v="334.67"/>
    <n v="12"/>
    <s v="In-Store"/>
    <n v="2"/>
    <n v="1"/>
    <n v="120"/>
    <s v="None"/>
    <s v="Somewhat Sensitive"/>
    <n v="0.16666666666666666"/>
    <x v="1"/>
    <s v="None"/>
    <x v="0"/>
    <s v="Debit Card"/>
    <d v="2024-11-18T00:00:00"/>
    <x v="0"/>
    <x v="0"/>
    <x v="0"/>
    <x v="1"/>
    <n v="13"/>
    <x v="11"/>
    <s v="Qtr-4"/>
  </r>
  <r>
    <s v="23-752-2213"/>
    <x v="15"/>
    <x v="2"/>
    <x v="1"/>
    <x v="0"/>
    <x v="2"/>
    <x v="2"/>
    <s v="Middle"/>
    <s v="Níkaia"/>
    <s v="Greece"/>
    <x v="5"/>
    <n v="182.72"/>
    <n v="5"/>
    <s v="Online"/>
    <n v="2"/>
    <n v="1"/>
    <n v="120"/>
    <s v="High"/>
    <s v="Very Sensitive"/>
    <n v="0.2"/>
    <x v="0"/>
    <s v="None"/>
    <x v="2"/>
    <s v="Other"/>
    <d v="2024-06-04T00:00:00"/>
    <x v="1"/>
    <x v="0"/>
    <x v="2"/>
    <x v="0"/>
    <n v="13"/>
    <x v="4"/>
    <s v="Qtr-2"/>
  </r>
  <r>
    <s v="71-486-8561"/>
    <x v="20"/>
    <x v="1"/>
    <x v="1"/>
    <x v="1"/>
    <x v="2"/>
    <x v="1"/>
    <s v="Middle"/>
    <s v="Macayug"/>
    <s v="Philippines"/>
    <x v="23"/>
    <n v="260.22000000000003"/>
    <n v="11"/>
    <s v="In-Store"/>
    <n v="4"/>
    <n v="3"/>
    <n v="0"/>
    <s v="None"/>
    <s v="Not Sensitive"/>
    <n v="0.18181818181818182"/>
    <x v="1"/>
    <s v="High"/>
    <x v="2"/>
    <s v="Credit Card"/>
    <d v="2024-11-20T00:00:00"/>
    <x v="1"/>
    <x v="1"/>
    <x v="0"/>
    <x v="2"/>
    <n v="13"/>
    <x v="11"/>
    <s v="Qtr-4"/>
  </r>
  <r>
    <s v="76-382-7162"/>
    <x v="29"/>
    <x v="0"/>
    <x v="0"/>
    <x v="1"/>
    <x v="1"/>
    <x v="1"/>
    <s v="Middle"/>
    <s v="Mahanoro"/>
    <s v="Madagascar"/>
    <x v="1"/>
    <n v="454.93"/>
    <n v="8"/>
    <s v="Online"/>
    <n v="3"/>
    <n v="5"/>
    <n v="0"/>
    <s v="Low"/>
    <s v="Somewhat Sensitive"/>
    <n v="0.25"/>
    <x v="0"/>
    <s v="Medium"/>
    <x v="2"/>
    <s v="Debit Card"/>
    <d v="2024-04-21T00:00:00"/>
    <x v="1"/>
    <x v="0"/>
    <x v="1"/>
    <x v="0"/>
    <n v="11"/>
    <x v="1"/>
    <s v="Qtr-2"/>
  </r>
  <r>
    <s v="28-947-4295"/>
    <x v="3"/>
    <x v="0"/>
    <x v="1"/>
    <x v="0"/>
    <x v="2"/>
    <x v="0"/>
    <s v="High"/>
    <s v="Mozdok"/>
    <s v="Russia"/>
    <x v="21"/>
    <n v="325.42"/>
    <n v="11"/>
    <s v="In-Store"/>
    <n v="2"/>
    <n v="4"/>
    <n v="120"/>
    <s v="Low"/>
    <s v="Not Sensitive"/>
    <n v="9.0909090909090912E-2"/>
    <x v="2"/>
    <s v="High"/>
    <x v="2"/>
    <s v="Other"/>
    <d v="2024-10-20T00:00:00"/>
    <x v="0"/>
    <x v="0"/>
    <x v="2"/>
    <x v="2"/>
    <n v="7"/>
    <x v="2"/>
    <s v="Qtr-4"/>
  </r>
  <r>
    <s v="84-765-0748"/>
    <x v="10"/>
    <x v="2"/>
    <x v="0"/>
    <x v="0"/>
    <x v="2"/>
    <x v="1"/>
    <s v="High"/>
    <s v="Hoolt"/>
    <s v="Mongolia"/>
    <x v="23"/>
    <n v="351.36"/>
    <n v="2"/>
    <s v="In-Store"/>
    <n v="5"/>
    <n v="3"/>
    <n v="120"/>
    <s v="High"/>
    <s v="Very Sensitive"/>
    <n v="1"/>
    <x v="9"/>
    <s v="None"/>
    <x v="2"/>
    <s v="Other"/>
    <d v="2024-02-09T00:00:00"/>
    <x v="1"/>
    <x v="1"/>
    <x v="0"/>
    <x v="1"/>
    <n v="7"/>
    <x v="8"/>
    <s v="Qtr-1"/>
  </r>
  <r>
    <s v="54-207-8349"/>
    <x v="13"/>
    <x v="1"/>
    <x v="1"/>
    <x v="1"/>
    <x v="1"/>
    <x v="0"/>
    <s v="Middle"/>
    <s v="San Luis"/>
    <s v="Argentina"/>
    <x v="15"/>
    <n v="333.63"/>
    <n v="8"/>
    <s v="Mixed"/>
    <n v="4"/>
    <n v="5"/>
    <n v="120"/>
    <s v="None"/>
    <s v="Very Sensitive"/>
    <n v="0.25"/>
    <x v="6"/>
    <s v="High"/>
    <x v="1"/>
    <s v="Other"/>
    <d v="2024-12-05T00:00:00"/>
    <x v="1"/>
    <x v="0"/>
    <x v="0"/>
    <x v="2"/>
    <n v="14"/>
    <x v="6"/>
    <s v="Qtr-4"/>
  </r>
  <r>
    <s v="20-419-0341"/>
    <x v="21"/>
    <x v="1"/>
    <x v="0"/>
    <x v="1"/>
    <x v="0"/>
    <x v="0"/>
    <s v="Middle"/>
    <s v="Pergan"/>
    <s v="Indonesia"/>
    <x v="21"/>
    <n v="469.9"/>
    <n v="4"/>
    <s v="Mixed"/>
    <n v="2"/>
    <n v="5"/>
    <n v="60"/>
    <s v="Low"/>
    <s v="Not Sensitive"/>
    <n v="0.25"/>
    <x v="0"/>
    <s v="None"/>
    <x v="2"/>
    <s v="Cash"/>
    <d v="2024-06-28T00:00:00"/>
    <x v="1"/>
    <x v="0"/>
    <x v="3"/>
    <x v="0"/>
    <n v="7"/>
    <x v="4"/>
    <s v="Qtr-2"/>
  </r>
  <r>
    <s v="52-005-9914"/>
    <x v="31"/>
    <x v="0"/>
    <x v="1"/>
    <x v="1"/>
    <x v="0"/>
    <x v="0"/>
    <s v="High"/>
    <s v="Kanoni"/>
    <s v="Uganda"/>
    <x v="7"/>
    <n v="207.52"/>
    <n v="4"/>
    <s v="In-Store"/>
    <n v="3"/>
    <n v="4"/>
    <n v="60"/>
    <s v="Low"/>
    <s v="Not Sensitive"/>
    <n v="0.25"/>
    <x v="8"/>
    <s v="High"/>
    <x v="2"/>
    <s v="Debit Card"/>
    <d v="2024-08-06T00:00:00"/>
    <x v="1"/>
    <x v="0"/>
    <x v="2"/>
    <x v="0"/>
    <n v="2"/>
    <x v="7"/>
    <s v="Qtr-3"/>
  </r>
  <r>
    <s v="34-846-7805"/>
    <x v="1"/>
    <x v="1"/>
    <x v="1"/>
    <x v="1"/>
    <x v="1"/>
    <x v="0"/>
    <s v="High"/>
    <s v="Gromadka"/>
    <s v="Poland"/>
    <x v="16"/>
    <n v="125.89"/>
    <n v="7"/>
    <s v="In-Store"/>
    <n v="3"/>
    <n v="3"/>
    <n v="120"/>
    <s v="Low"/>
    <s v="Not Sensitive"/>
    <n v="0.14285714285714285"/>
    <x v="9"/>
    <s v="Medium"/>
    <x v="2"/>
    <s v="Debit Card"/>
    <d v="2024-11-22T00:00:00"/>
    <x v="1"/>
    <x v="0"/>
    <x v="1"/>
    <x v="0"/>
    <n v="13"/>
    <x v="11"/>
    <s v="Qtr-4"/>
  </r>
  <r>
    <s v="26-596-5461"/>
    <x v="19"/>
    <x v="1"/>
    <x v="0"/>
    <x v="1"/>
    <x v="1"/>
    <x v="2"/>
    <s v="Middle"/>
    <s v="Payapa"/>
    <s v="Philippines"/>
    <x v="13"/>
    <n v="170.77"/>
    <n v="9"/>
    <s v="Online"/>
    <n v="5"/>
    <n v="2"/>
    <n v="60"/>
    <s v="Medium"/>
    <s v="Somewhat Sensitive"/>
    <n v="0.22222222222222221"/>
    <x v="2"/>
    <s v="Low"/>
    <x v="1"/>
    <s v="Credit Card"/>
    <d v="2024-08-04T00:00:00"/>
    <x v="1"/>
    <x v="0"/>
    <x v="2"/>
    <x v="0"/>
    <n v="4"/>
    <x v="7"/>
    <s v="Qtr-3"/>
  </r>
  <r>
    <s v="20-157-8631"/>
    <x v="32"/>
    <x v="1"/>
    <x v="0"/>
    <x v="1"/>
    <x v="3"/>
    <x v="2"/>
    <s v="High"/>
    <s v="Rat Burana"/>
    <s v="Thailand"/>
    <x v="13"/>
    <n v="63.91"/>
    <n v="2"/>
    <s v="Online"/>
    <n v="1"/>
    <n v="4"/>
    <n v="120"/>
    <s v="None"/>
    <s v="Not Sensitive"/>
    <n v="0"/>
    <x v="9"/>
    <s v="Medium"/>
    <x v="1"/>
    <s v="Cash"/>
    <d v="2024-01-12T00:00:00"/>
    <x v="1"/>
    <x v="1"/>
    <x v="3"/>
    <x v="0"/>
    <n v="12"/>
    <x v="3"/>
    <s v="Qtr-1"/>
  </r>
  <r>
    <s v="91-199-9097"/>
    <x v="3"/>
    <x v="0"/>
    <x v="1"/>
    <x v="1"/>
    <x v="0"/>
    <x v="1"/>
    <s v="Middle"/>
    <s v="Trhové Sviny"/>
    <s v="Czech Republic"/>
    <x v="20"/>
    <n v="340.55"/>
    <n v="7"/>
    <s v="In-Store"/>
    <n v="4"/>
    <n v="5"/>
    <n v="0"/>
    <s v="Low"/>
    <s v="Not Sensitive"/>
    <n v="0"/>
    <x v="0"/>
    <s v="None"/>
    <x v="2"/>
    <s v="Credit Card"/>
    <d v="2024-11-19T00:00:00"/>
    <x v="1"/>
    <x v="1"/>
    <x v="3"/>
    <x v="2"/>
    <n v="1"/>
    <x v="11"/>
    <s v="Qtr-4"/>
  </r>
  <r>
    <s v="55-846-2579"/>
    <x v="26"/>
    <x v="1"/>
    <x v="1"/>
    <x v="0"/>
    <x v="3"/>
    <x v="0"/>
    <s v="High"/>
    <s v="Kiev"/>
    <s v="Ukraine"/>
    <x v="14"/>
    <n v="378.14"/>
    <n v="6"/>
    <s v="Mixed"/>
    <n v="2"/>
    <n v="2"/>
    <n v="60"/>
    <s v="Medium"/>
    <s v="Very Sensitive"/>
    <n v="0.16666666666666666"/>
    <x v="9"/>
    <s v="High"/>
    <x v="1"/>
    <s v="PayPal"/>
    <d v="2024-09-04T00:00:00"/>
    <x v="1"/>
    <x v="0"/>
    <x v="1"/>
    <x v="1"/>
    <n v="7"/>
    <x v="10"/>
    <s v="Qtr-3"/>
  </r>
  <r>
    <s v="83-455-7266"/>
    <x v="14"/>
    <x v="2"/>
    <x v="0"/>
    <x v="0"/>
    <x v="0"/>
    <x v="0"/>
    <s v="Middle"/>
    <s v="Créteil"/>
    <s v="France"/>
    <x v="16"/>
    <n v="235.84"/>
    <n v="9"/>
    <s v="Mixed"/>
    <n v="5"/>
    <n v="2"/>
    <n v="0"/>
    <s v="None"/>
    <s v="Very Sensitive"/>
    <n v="0.22222222222222221"/>
    <x v="4"/>
    <s v="None"/>
    <x v="2"/>
    <s v="Cash"/>
    <d v="2024-08-03T00:00:00"/>
    <x v="1"/>
    <x v="0"/>
    <x v="3"/>
    <x v="0"/>
    <n v="14"/>
    <x v="7"/>
    <s v="Qtr-3"/>
  </r>
  <r>
    <s v="67-599-9267"/>
    <x v="26"/>
    <x v="1"/>
    <x v="1"/>
    <x v="1"/>
    <x v="2"/>
    <x v="1"/>
    <s v="Middle"/>
    <s v="Lomintsevskiy"/>
    <s v="Russia"/>
    <x v="17"/>
    <n v="164.44"/>
    <n v="5"/>
    <s v="In-Store"/>
    <n v="5"/>
    <n v="1"/>
    <n v="120"/>
    <s v="Low"/>
    <s v="Somewhat Sensitive"/>
    <n v="0.2"/>
    <x v="3"/>
    <s v="High"/>
    <x v="1"/>
    <s v="Other"/>
    <d v="2024-04-08T00:00:00"/>
    <x v="1"/>
    <x v="0"/>
    <x v="2"/>
    <x v="0"/>
    <n v="5"/>
    <x v="1"/>
    <s v="Qtr-2"/>
  </r>
  <r>
    <s v="41-501-9276"/>
    <x v="2"/>
    <x v="0"/>
    <x v="1"/>
    <x v="1"/>
    <x v="0"/>
    <x v="0"/>
    <s v="High"/>
    <s v="Monchegorsk"/>
    <s v="Russia"/>
    <x v="6"/>
    <n v="455.81"/>
    <n v="3"/>
    <s v="Online"/>
    <n v="2"/>
    <n v="3"/>
    <n v="60"/>
    <s v="Low"/>
    <s v="Somewhat Sensitive"/>
    <n v="0.33333333333333331"/>
    <x v="9"/>
    <s v="Medium"/>
    <x v="1"/>
    <s v="Debit Card"/>
    <d v="2024-04-21T00:00:00"/>
    <x v="1"/>
    <x v="0"/>
    <x v="1"/>
    <x v="2"/>
    <n v="6"/>
    <x v="1"/>
    <s v="Qtr-2"/>
  </r>
  <r>
    <s v="99-509-4653"/>
    <x v="15"/>
    <x v="2"/>
    <x v="1"/>
    <x v="1"/>
    <x v="2"/>
    <x v="2"/>
    <s v="High"/>
    <s v="Olavarría"/>
    <s v="Argentina"/>
    <x v="10"/>
    <n v="298.32"/>
    <n v="7"/>
    <s v="In-Store"/>
    <n v="3"/>
    <n v="5"/>
    <n v="60"/>
    <s v="Low"/>
    <s v="Somewhat Sensitive"/>
    <n v="0.2857142857142857"/>
    <x v="8"/>
    <s v="None"/>
    <x v="0"/>
    <s v="Other"/>
    <d v="2024-06-17T00:00:00"/>
    <x v="0"/>
    <x v="0"/>
    <x v="1"/>
    <x v="1"/>
    <n v="12"/>
    <x v="4"/>
    <s v="Qtr-2"/>
  </r>
  <r>
    <s v="31-284-5722"/>
    <x v="15"/>
    <x v="2"/>
    <x v="0"/>
    <x v="1"/>
    <x v="1"/>
    <x v="0"/>
    <s v="High"/>
    <s v="Jianshan"/>
    <s v="China"/>
    <x v="11"/>
    <n v="351.71"/>
    <n v="7"/>
    <s v="In-Store"/>
    <n v="2"/>
    <n v="2"/>
    <n v="0"/>
    <s v="Medium"/>
    <s v="Very Sensitive"/>
    <n v="0.14285714285714285"/>
    <x v="9"/>
    <s v="Medium"/>
    <x v="0"/>
    <s v="Other"/>
    <d v="2024-03-19T00:00:00"/>
    <x v="0"/>
    <x v="0"/>
    <x v="0"/>
    <x v="1"/>
    <n v="8"/>
    <x v="0"/>
    <s v="Qtr-1"/>
  </r>
  <r>
    <s v="88-000-9227"/>
    <x v="1"/>
    <x v="1"/>
    <x v="1"/>
    <x v="0"/>
    <x v="3"/>
    <x v="0"/>
    <s v="Middle"/>
    <s v="Shreveport"/>
    <s v="United States"/>
    <x v="16"/>
    <n v="393.48"/>
    <n v="11"/>
    <s v="In-Store"/>
    <n v="2"/>
    <n v="2"/>
    <n v="0"/>
    <s v="High"/>
    <s v="Very Sensitive"/>
    <n v="9.0909090909090912E-2"/>
    <x v="3"/>
    <s v="None"/>
    <x v="0"/>
    <s v="Other"/>
    <d v="2024-08-13T00:00:00"/>
    <x v="0"/>
    <x v="1"/>
    <x v="0"/>
    <x v="1"/>
    <n v="3"/>
    <x v="7"/>
    <s v="Qtr-3"/>
  </r>
  <r>
    <s v="52-726-9328"/>
    <x v="24"/>
    <x v="3"/>
    <x v="3"/>
    <x v="1"/>
    <x v="1"/>
    <x v="1"/>
    <s v="High"/>
    <s v="Pingzhuang"/>
    <s v="China"/>
    <x v="2"/>
    <n v="241.72"/>
    <n v="6"/>
    <s v="Mixed"/>
    <n v="5"/>
    <n v="2"/>
    <n v="60"/>
    <s v="Medium"/>
    <s v="Not Sensitive"/>
    <n v="0"/>
    <x v="8"/>
    <s v="High"/>
    <x v="2"/>
    <s v="Debit Card"/>
    <d v="2024-05-29T00:00:00"/>
    <x v="1"/>
    <x v="1"/>
    <x v="3"/>
    <x v="2"/>
    <n v="2"/>
    <x v="9"/>
    <s v="Qtr-2"/>
  </r>
  <r>
    <s v="60-198-5417"/>
    <x v="23"/>
    <x v="0"/>
    <x v="0"/>
    <x v="1"/>
    <x v="1"/>
    <x v="0"/>
    <s v="High"/>
    <s v="Celso Ramos"/>
    <s v="Brazil"/>
    <x v="14"/>
    <n v="280.2"/>
    <n v="3"/>
    <s v="In-Store"/>
    <n v="4"/>
    <n v="2"/>
    <n v="0"/>
    <s v="Medium"/>
    <s v="Somewhat Sensitive"/>
    <n v="0.66666666666666663"/>
    <x v="0"/>
    <s v="None"/>
    <x v="2"/>
    <s v="Other"/>
    <d v="2024-12-03T00:00:00"/>
    <x v="1"/>
    <x v="0"/>
    <x v="0"/>
    <x v="0"/>
    <n v="13"/>
    <x v="6"/>
    <s v="Qtr-4"/>
  </r>
  <r>
    <s v="00-107-4749"/>
    <x v="15"/>
    <x v="2"/>
    <x v="0"/>
    <x v="0"/>
    <x v="1"/>
    <x v="2"/>
    <s v="Middle"/>
    <s v="Merlo"/>
    <s v="Argentina"/>
    <x v="18"/>
    <n v="178.04"/>
    <n v="5"/>
    <s v="Mixed"/>
    <n v="1"/>
    <n v="1"/>
    <n v="120"/>
    <s v="None"/>
    <s v="Somewhat Sensitive"/>
    <n v="0.4"/>
    <x v="3"/>
    <s v="High"/>
    <x v="1"/>
    <s v="Credit Card"/>
    <d v="2024-09-19T00:00:00"/>
    <x v="0"/>
    <x v="1"/>
    <x v="2"/>
    <x v="2"/>
    <n v="11"/>
    <x v="10"/>
    <s v="Qtr-3"/>
  </r>
  <r>
    <s v="88-428-8409"/>
    <x v="14"/>
    <x v="2"/>
    <x v="1"/>
    <x v="1"/>
    <x v="0"/>
    <x v="2"/>
    <s v="Middle"/>
    <s v="Ziniaré"/>
    <s v="Burkina Faso"/>
    <x v="12"/>
    <n v="347.99"/>
    <n v="5"/>
    <s v="Mixed"/>
    <n v="4"/>
    <n v="4"/>
    <n v="60"/>
    <s v="Low"/>
    <s v="Somewhat Sensitive"/>
    <n v="0"/>
    <x v="2"/>
    <s v="High"/>
    <x v="2"/>
    <s v="PayPal"/>
    <d v="2024-03-22T00:00:00"/>
    <x v="0"/>
    <x v="0"/>
    <x v="3"/>
    <x v="1"/>
    <n v="6"/>
    <x v="0"/>
    <s v="Qtr-1"/>
  </r>
  <r>
    <s v="21-313-7424"/>
    <x v="5"/>
    <x v="1"/>
    <x v="0"/>
    <x v="0"/>
    <x v="1"/>
    <x v="2"/>
    <s v="High"/>
    <s v="Zdu?ska Wola"/>
    <s v="Poland"/>
    <x v="2"/>
    <n v="343.81"/>
    <n v="3"/>
    <s v="In-Store"/>
    <n v="3"/>
    <n v="5"/>
    <n v="0"/>
    <s v="High"/>
    <s v="Somewhat Sensitive"/>
    <n v="0"/>
    <x v="0"/>
    <s v="Medium"/>
    <x v="2"/>
    <s v="Credit Card"/>
    <d v="2024-02-22T00:00:00"/>
    <x v="1"/>
    <x v="1"/>
    <x v="0"/>
    <x v="1"/>
    <n v="3"/>
    <x v="8"/>
    <s v="Qtr-1"/>
  </r>
  <r>
    <s v="79-973-7862"/>
    <x v="26"/>
    <x v="1"/>
    <x v="0"/>
    <x v="0"/>
    <x v="0"/>
    <x v="2"/>
    <s v="Middle"/>
    <s v="Mount Ayliff"/>
    <s v="South Africa"/>
    <x v="9"/>
    <n v="105.29"/>
    <n v="7"/>
    <s v="In-Store"/>
    <n v="2"/>
    <n v="5"/>
    <n v="0"/>
    <s v="Low"/>
    <s v="Very Sensitive"/>
    <n v="0"/>
    <x v="2"/>
    <s v="High"/>
    <x v="2"/>
    <s v="Cash"/>
    <d v="2024-12-25T00:00:00"/>
    <x v="1"/>
    <x v="1"/>
    <x v="0"/>
    <x v="2"/>
    <n v="4"/>
    <x v="6"/>
    <s v="Qtr-4"/>
  </r>
  <r>
    <s v="81-814-3498"/>
    <x v="11"/>
    <x v="2"/>
    <x v="1"/>
    <x v="0"/>
    <x v="1"/>
    <x v="1"/>
    <s v="Middle"/>
    <s v="Pärgaaj"/>
    <s v="Mongolia"/>
    <x v="11"/>
    <n v="483.66"/>
    <n v="3"/>
    <s v="Online"/>
    <n v="1"/>
    <n v="4"/>
    <n v="60"/>
    <s v="Medium"/>
    <s v="Not Sensitive"/>
    <n v="0.66666666666666663"/>
    <x v="2"/>
    <s v="Medium"/>
    <x v="2"/>
    <s v="Other"/>
    <d v="2024-08-27T00:00:00"/>
    <x v="1"/>
    <x v="0"/>
    <x v="2"/>
    <x v="1"/>
    <n v="9"/>
    <x v="7"/>
    <s v="Qtr-3"/>
  </r>
  <r>
    <s v="34-375-8138"/>
    <x v="18"/>
    <x v="1"/>
    <x v="1"/>
    <x v="0"/>
    <x v="0"/>
    <x v="0"/>
    <s v="Middle"/>
    <s v="Zbraslavice"/>
    <s v="Czech Republic"/>
    <x v="3"/>
    <n v="69.41"/>
    <n v="8"/>
    <s v="Mixed"/>
    <n v="5"/>
    <n v="3"/>
    <n v="0"/>
    <s v="High"/>
    <s v="Somewhat Sensitive"/>
    <n v="0.125"/>
    <x v="5"/>
    <s v="High"/>
    <x v="0"/>
    <s v="Cash"/>
    <d v="2024-01-28T00:00:00"/>
    <x v="1"/>
    <x v="0"/>
    <x v="1"/>
    <x v="1"/>
    <n v="5"/>
    <x v="3"/>
    <s v="Qtr-1"/>
  </r>
  <r>
    <s v="05-067-9686"/>
    <x v="28"/>
    <x v="0"/>
    <x v="3"/>
    <x v="1"/>
    <x v="1"/>
    <x v="2"/>
    <s v="Middle"/>
    <s v="Xilu"/>
    <s v="China"/>
    <x v="16"/>
    <n v="207.18"/>
    <n v="11"/>
    <s v="Online"/>
    <n v="1"/>
    <n v="3"/>
    <n v="0"/>
    <s v="Low"/>
    <s v="Somewhat Sensitive"/>
    <n v="9.0909090909090912E-2"/>
    <x v="1"/>
    <s v="High"/>
    <x v="0"/>
    <s v="PayPal"/>
    <d v="2024-11-16T00:00:00"/>
    <x v="1"/>
    <x v="0"/>
    <x v="1"/>
    <x v="1"/>
    <n v="8"/>
    <x v="11"/>
    <s v="Qtr-4"/>
  </r>
  <r>
    <s v="61-951-7929"/>
    <x v="11"/>
    <x v="2"/>
    <x v="1"/>
    <x v="0"/>
    <x v="3"/>
    <x v="1"/>
    <s v="High"/>
    <s v="Bamut"/>
    <s v="Russia"/>
    <x v="18"/>
    <n v="454.15"/>
    <n v="11"/>
    <s v="In-Store"/>
    <n v="2"/>
    <n v="1"/>
    <n v="60"/>
    <s v="High"/>
    <s v="Not Sensitive"/>
    <n v="9.0909090909090912E-2"/>
    <x v="8"/>
    <s v="High"/>
    <x v="1"/>
    <s v="Cash"/>
    <d v="2024-12-08T00:00:00"/>
    <x v="0"/>
    <x v="1"/>
    <x v="3"/>
    <x v="2"/>
    <n v="13"/>
    <x v="6"/>
    <s v="Qtr-4"/>
  </r>
  <r>
    <s v="53-667-0793"/>
    <x v="8"/>
    <x v="0"/>
    <x v="1"/>
    <x v="1"/>
    <x v="2"/>
    <x v="1"/>
    <s v="High"/>
    <s v="La Tour-du-Pin"/>
    <s v="France"/>
    <x v="19"/>
    <n v="113.01"/>
    <n v="11"/>
    <s v="In-Store"/>
    <n v="5"/>
    <n v="2"/>
    <n v="120"/>
    <s v="Low"/>
    <s v="Very Sensitive"/>
    <n v="9.0909090909090912E-2"/>
    <x v="2"/>
    <s v="None"/>
    <x v="0"/>
    <s v="Credit Card"/>
    <d v="2024-05-15T00:00:00"/>
    <x v="1"/>
    <x v="1"/>
    <x v="2"/>
    <x v="2"/>
    <n v="4"/>
    <x v="9"/>
    <s v="Qtr-2"/>
  </r>
  <r>
    <s v="61-212-1117"/>
    <x v="21"/>
    <x v="1"/>
    <x v="1"/>
    <x v="0"/>
    <x v="3"/>
    <x v="0"/>
    <s v="Middle"/>
    <s v="Pader Palwo"/>
    <s v="Uganda"/>
    <x v="12"/>
    <n v="419.13"/>
    <n v="4"/>
    <s v="Mixed"/>
    <n v="3"/>
    <n v="5"/>
    <n v="60"/>
    <s v="None"/>
    <s v="Not Sensitive"/>
    <n v="0"/>
    <x v="2"/>
    <s v="None"/>
    <x v="1"/>
    <s v="Cash"/>
    <d v="2024-08-03T00:00:00"/>
    <x v="1"/>
    <x v="1"/>
    <x v="1"/>
    <x v="2"/>
    <n v="6"/>
    <x v="7"/>
    <s v="Qtr-3"/>
  </r>
  <r>
    <s v="09-443-7536"/>
    <x v="14"/>
    <x v="2"/>
    <x v="0"/>
    <x v="1"/>
    <x v="1"/>
    <x v="0"/>
    <s v="High"/>
    <s v="Maurisu"/>
    <s v="Indonesia"/>
    <x v="23"/>
    <n v="183.86"/>
    <n v="5"/>
    <s v="Mixed"/>
    <n v="1"/>
    <n v="1"/>
    <n v="120"/>
    <s v="Medium"/>
    <s v="Not Sensitive"/>
    <n v="0.2"/>
    <x v="7"/>
    <s v="Low"/>
    <x v="1"/>
    <s v="Debit Card"/>
    <d v="2024-10-07T00:00:00"/>
    <x v="1"/>
    <x v="1"/>
    <x v="1"/>
    <x v="1"/>
    <n v="3"/>
    <x v="2"/>
    <s v="Qtr-4"/>
  </r>
  <r>
    <s v="27-463-5671"/>
    <x v="6"/>
    <x v="0"/>
    <x v="3"/>
    <x v="0"/>
    <x v="2"/>
    <x v="2"/>
    <s v="Middle"/>
    <s v="Gorzyce"/>
    <s v="Poland"/>
    <x v="12"/>
    <n v="53.87"/>
    <n v="10"/>
    <s v="In-Store"/>
    <n v="4"/>
    <n v="3"/>
    <n v="0"/>
    <s v="Medium"/>
    <s v="Very Sensitive"/>
    <n v="0"/>
    <x v="3"/>
    <s v="High"/>
    <x v="0"/>
    <s v="Cash"/>
    <d v="2024-06-25T00:00:00"/>
    <x v="0"/>
    <x v="0"/>
    <x v="3"/>
    <x v="0"/>
    <n v="2"/>
    <x v="4"/>
    <s v="Qtr-2"/>
  </r>
  <r>
    <s v="53-380-3968"/>
    <x v="20"/>
    <x v="1"/>
    <x v="0"/>
    <x v="1"/>
    <x v="2"/>
    <x v="0"/>
    <s v="High"/>
    <s v="Qingyun"/>
    <s v="China"/>
    <x v="1"/>
    <n v="427.82"/>
    <n v="9"/>
    <s v="In-Store"/>
    <n v="5"/>
    <n v="5"/>
    <n v="0"/>
    <s v="Medium"/>
    <s v="Somewhat Sensitive"/>
    <n v="0.1111111111111111"/>
    <x v="6"/>
    <s v="Medium"/>
    <x v="2"/>
    <s v="PayPal"/>
    <d v="2024-04-04T00:00:00"/>
    <x v="0"/>
    <x v="0"/>
    <x v="1"/>
    <x v="0"/>
    <n v="14"/>
    <x v="1"/>
    <s v="Qtr-2"/>
  </r>
  <r>
    <s v="42-969-0735"/>
    <x v="3"/>
    <x v="0"/>
    <x v="0"/>
    <x v="1"/>
    <x v="3"/>
    <x v="0"/>
    <s v="Middle"/>
    <s v="Jiuxian"/>
    <s v="China"/>
    <x v="12"/>
    <n v="282.82"/>
    <n v="6"/>
    <s v="In-Store"/>
    <n v="5"/>
    <n v="3"/>
    <n v="120"/>
    <s v="Medium"/>
    <s v="Very Sensitive"/>
    <n v="0.33333333333333331"/>
    <x v="0"/>
    <s v="None"/>
    <x v="2"/>
    <s v="Other"/>
    <d v="2024-02-29T00:00:00"/>
    <x v="1"/>
    <x v="1"/>
    <x v="1"/>
    <x v="1"/>
    <n v="3"/>
    <x v="8"/>
    <s v="Qtr-1"/>
  </r>
  <r>
    <s v="12-440-5464"/>
    <x v="31"/>
    <x v="0"/>
    <x v="1"/>
    <x v="0"/>
    <x v="3"/>
    <x v="2"/>
    <s v="Middle"/>
    <s v="Ndungu"/>
    <s v="Kenya"/>
    <x v="13"/>
    <n v="215.31"/>
    <n v="7"/>
    <s v="Online"/>
    <n v="5"/>
    <n v="5"/>
    <n v="120"/>
    <s v="Medium"/>
    <s v="Somewhat Sensitive"/>
    <n v="0.14285714285714285"/>
    <x v="8"/>
    <s v="Medium"/>
    <x v="1"/>
    <s v="Other"/>
    <d v="2024-04-09T00:00:00"/>
    <x v="1"/>
    <x v="1"/>
    <x v="2"/>
    <x v="0"/>
    <n v="7"/>
    <x v="1"/>
    <s v="Qtr-2"/>
  </r>
  <r>
    <s v="33-467-2534"/>
    <x v="20"/>
    <x v="1"/>
    <x v="1"/>
    <x v="0"/>
    <x v="2"/>
    <x v="2"/>
    <s v="High"/>
    <s v="Emiliano Zapata"/>
    <s v="Mexico"/>
    <x v="4"/>
    <n v="183.66"/>
    <n v="11"/>
    <s v="Online"/>
    <n v="3"/>
    <n v="1"/>
    <n v="60"/>
    <s v="Low"/>
    <s v="Very Sensitive"/>
    <n v="0"/>
    <x v="3"/>
    <s v="Medium"/>
    <x v="0"/>
    <s v="Credit Card"/>
    <d v="2024-04-18T00:00:00"/>
    <x v="0"/>
    <x v="1"/>
    <x v="3"/>
    <x v="0"/>
    <n v="6"/>
    <x v="1"/>
    <s v="Qtr-2"/>
  </r>
  <r>
    <s v="35-418-0288"/>
    <x v="18"/>
    <x v="1"/>
    <x v="0"/>
    <x v="1"/>
    <x v="3"/>
    <x v="1"/>
    <s v="Middle"/>
    <s v="Spasskoye"/>
    <s v="Russia"/>
    <x v="15"/>
    <n v="198.73"/>
    <n v="10"/>
    <s v="In-Store"/>
    <n v="1"/>
    <n v="5"/>
    <n v="120"/>
    <s v="High"/>
    <s v="Very Sensitive"/>
    <n v="0.1"/>
    <x v="1"/>
    <s v="None"/>
    <x v="2"/>
    <s v="Other"/>
    <d v="2024-02-02T00:00:00"/>
    <x v="0"/>
    <x v="0"/>
    <x v="2"/>
    <x v="1"/>
    <n v="4"/>
    <x v="8"/>
    <s v="Qtr-1"/>
  </r>
  <r>
    <s v="33-787-2143"/>
    <x v="29"/>
    <x v="0"/>
    <x v="0"/>
    <x v="0"/>
    <x v="0"/>
    <x v="1"/>
    <s v="High"/>
    <s v="Giera?cice"/>
    <s v="Poland"/>
    <x v="22"/>
    <n v="265.72000000000003"/>
    <n v="5"/>
    <s v="Mixed"/>
    <n v="5"/>
    <n v="4"/>
    <n v="0"/>
    <s v="None"/>
    <s v="Very Sensitive"/>
    <n v="0"/>
    <x v="5"/>
    <s v="None"/>
    <x v="0"/>
    <s v="Debit Card"/>
    <d v="2024-04-22T00:00:00"/>
    <x v="0"/>
    <x v="1"/>
    <x v="3"/>
    <x v="2"/>
    <n v="13"/>
    <x v="1"/>
    <s v="Qtr-2"/>
  </r>
  <r>
    <s v="58-528-6262"/>
    <x v="21"/>
    <x v="1"/>
    <x v="1"/>
    <x v="0"/>
    <x v="0"/>
    <x v="2"/>
    <s v="High"/>
    <s v="Sobue"/>
    <s v="Japan"/>
    <x v="14"/>
    <n v="138.35"/>
    <n v="2"/>
    <s v="Online"/>
    <n v="4"/>
    <n v="5"/>
    <n v="120"/>
    <s v="Low"/>
    <s v="Not Sensitive"/>
    <n v="0"/>
    <x v="6"/>
    <s v="Low"/>
    <x v="1"/>
    <s v="Other"/>
    <d v="2024-07-14T00:00:00"/>
    <x v="0"/>
    <x v="1"/>
    <x v="1"/>
    <x v="0"/>
    <n v="8"/>
    <x v="5"/>
    <s v="Qtr-3"/>
  </r>
  <r>
    <s v="31-060-2716"/>
    <x v="23"/>
    <x v="0"/>
    <x v="1"/>
    <x v="0"/>
    <x v="3"/>
    <x v="0"/>
    <s v="Middle"/>
    <s v="High Point"/>
    <s v="United States"/>
    <x v="19"/>
    <n v="441.87"/>
    <n v="3"/>
    <s v="Mixed"/>
    <n v="1"/>
    <n v="2"/>
    <n v="60"/>
    <s v="High"/>
    <s v="Somewhat Sensitive"/>
    <n v="0"/>
    <x v="3"/>
    <s v="Medium"/>
    <x v="1"/>
    <s v="PayPal"/>
    <d v="2024-09-10T00:00:00"/>
    <x v="0"/>
    <x v="0"/>
    <x v="1"/>
    <x v="0"/>
    <n v="13"/>
    <x v="10"/>
    <s v="Qtr-3"/>
  </r>
  <r>
    <s v="81-515-5823"/>
    <x v="13"/>
    <x v="1"/>
    <x v="0"/>
    <x v="0"/>
    <x v="0"/>
    <x v="2"/>
    <s v="Middle"/>
    <s v="Qiankeng"/>
    <s v="China"/>
    <x v="20"/>
    <n v="178.29"/>
    <n v="4"/>
    <s v="Mixed"/>
    <n v="4"/>
    <n v="3"/>
    <n v="120"/>
    <s v="Low"/>
    <s v="Very Sensitive"/>
    <n v="0.5"/>
    <x v="3"/>
    <s v="High"/>
    <x v="2"/>
    <s v="Cash"/>
    <d v="2024-07-29T00:00:00"/>
    <x v="1"/>
    <x v="1"/>
    <x v="3"/>
    <x v="0"/>
    <n v="8"/>
    <x v="5"/>
    <s v="Qtr-3"/>
  </r>
  <r>
    <s v="90-858-0453"/>
    <x v="25"/>
    <x v="0"/>
    <x v="1"/>
    <x v="0"/>
    <x v="2"/>
    <x v="1"/>
    <s v="High"/>
    <s v="Pandean"/>
    <s v="Indonesia"/>
    <x v="6"/>
    <n v="77.08"/>
    <n v="10"/>
    <s v="Mixed"/>
    <n v="2"/>
    <n v="1"/>
    <n v="0"/>
    <s v="High"/>
    <s v="Not Sensitive"/>
    <n v="0"/>
    <x v="8"/>
    <s v="None"/>
    <x v="0"/>
    <s v="PayPal"/>
    <d v="2024-10-15T00:00:00"/>
    <x v="0"/>
    <x v="1"/>
    <x v="2"/>
    <x v="1"/>
    <n v="1"/>
    <x v="2"/>
    <s v="Qtr-4"/>
  </r>
  <r>
    <s v="28-874-8938"/>
    <x v="19"/>
    <x v="1"/>
    <x v="1"/>
    <x v="1"/>
    <x v="0"/>
    <x v="1"/>
    <s v="High"/>
    <s v="Phong ?i?n"/>
    <s v="Vietnam"/>
    <x v="2"/>
    <n v="266.89999999999998"/>
    <n v="11"/>
    <s v="Mixed"/>
    <n v="4"/>
    <n v="2"/>
    <n v="120"/>
    <s v="Low"/>
    <s v="Not Sensitive"/>
    <n v="9.0909090909090912E-2"/>
    <x v="8"/>
    <s v="Medium"/>
    <x v="2"/>
    <s v="PayPal"/>
    <d v="2024-07-01T00:00:00"/>
    <x v="1"/>
    <x v="1"/>
    <x v="1"/>
    <x v="2"/>
    <n v="13"/>
    <x v="5"/>
    <s v="Qtr-3"/>
  </r>
  <r>
    <s v="89-625-5542"/>
    <x v="9"/>
    <x v="2"/>
    <x v="0"/>
    <x v="0"/>
    <x v="3"/>
    <x v="0"/>
    <s v="High"/>
    <s v="Mirów"/>
    <s v="Poland"/>
    <x v="13"/>
    <n v="269.83999999999997"/>
    <n v="4"/>
    <s v="In-Store"/>
    <n v="5"/>
    <n v="4"/>
    <n v="0"/>
    <s v="Low"/>
    <s v="Not Sensitive"/>
    <n v="0.5"/>
    <x v="5"/>
    <s v="Low"/>
    <x v="0"/>
    <s v="Credit Card"/>
    <d v="2024-05-04T00:00:00"/>
    <x v="0"/>
    <x v="1"/>
    <x v="1"/>
    <x v="0"/>
    <n v="2"/>
    <x v="9"/>
    <s v="Qtr-2"/>
  </r>
  <r>
    <s v="07-966-8728"/>
    <x v="25"/>
    <x v="0"/>
    <x v="1"/>
    <x v="0"/>
    <x v="0"/>
    <x v="2"/>
    <s v="High"/>
    <s v="Franceville"/>
    <s v="Gabon"/>
    <x v="3"/>
    <n v="334.22"/>
    <n v="8"/>
    <s v="Online"/>
    <n v="2"/>
    <n v="2"/>
    <n v="120"/>
    <s v="None"/>
    <s v="Very Sensitive"/>
    <n v="0.25"/>
    <x v="8"/>
    <s v="None"/>
    <x v="0"/>
    <s v="Cash"/>
    <d v="2024-03-02T00:00:00"/>
    <x v="1"/>
    <x v="0"/>
    <x v="0"/>
    <x v="1"/>
    <n v="1"/>
    <x v="0"/>
    <s v="Qtr-1"/>
  </r>
  <r>
    <s v="94-408-2581"/>
    <x v="13"/>
    <x v="1"/>
    <x v="0"/>
    <x v="0"/>
    <x v="0"/>
    <x v="1"/>
    <s v="High"/>
    <s v="Bordeaux"/>
    <s v="France"/>
    <x v="22"/>
    <n v="474.56"/>
    <n v="8"/>
    <s v="In-Store"/>
    <n v="1"/>
    <n v="5"/>
    <n v="120"/>
    <s v="Low"/>
    <s v="Not Sensitive"/>
    <n v="0.125"/>
    <x v="9"/>
    <s v="High"/>
    <x v="1"/>
    <s v="PayPal"/>
    <d v="2024-04-17T00:00:00"/>
    <x v="0"/>
    <x v="0"/>
    <x v="3"/>
    <x v="1"/>
    <n v="12"/>
    <x v="1"/>
    <s v="Qtr-2"/>
  </r>
  <r>
    <s v="55-301-9368"/>
    <x v="10"/>
    <x v="2"/>
    <x v="1"/>
    <x v="1"/>
    <x v="0"/>
    <x v="2"/>
    <s v="High"/>
    <s v="Zamora"/>
    <s v="Spain"/>
    <x v="13"/>
    <n v="360.91"/>
    <n v="4"/>
    <s v="Mixed"/>
    <n v="3"/>
    <n v="5"/>
    <n v="60"/>
    <s v="High"/>
    <s v="Somewhat Sensitive"/>
    <n v="0"/>
    <x v="8"/>
    <s v="High"/>
    <x v="2"/>
    <s v="Credit Card"/>
    <d v="2024-08-30T00:00:00"/>
    <x v="0"/>
    <x v="1"/>
    <x v="3"/>
    <x v="0"/>
    <n v="4"/>
    <x v="7"/>
    <s v="Qtr-3"/>
  </r>
  <r>
    <s v="72-336-1992"/>
    <x v="32"/>
    <x v="1"/>
    <x v="0"/>
    <x v="0"/>
    <x v="2"/>
    <x v="0"/>
    <s v="High"/>
    <s v="Jubaoshan"/>
    <s v="China"/>
    <x v="19"/>
    <n v="373.49"/>
    <n v="6"/>
    <s v="Online"/>
    <n v="4"/>
    <n v="1"/>
    <n v="0"/>
    <s v="Medium"/>
    <s v="Very Sensitive"/>
    <n v="0"/>
    <x v="3"/>
    <s v="Low"/>
    <x v="0"/>
    <s v="Cash"/>
    <d v="2024-04-23T00:00:00"/>
    <x v="0"/>
    <x v="1"/>
    <x v="2"/>
    <x v="1"/>
    <n v="1"/>
    <x v="1"/>
    <s v="Qtr-2"/>
  </r>
  <r>
    <s v="06-008-2805"/>
    <x v="11"/>
    <x v="2"/>
    <x v="0"/>
    <x v="1"/>
    <x v="0"/>
    <x v="2"/>
    <s v="Middle"/>
    <s v="Shidegen"/>
    <s v="China"/>
    <x v="6"/>
    <n v="462.3"/>
    <n v="5"/>
    <s v="Mixed"/>
    <n v="3"/>
    <n v="3"/>
    <n v="120"/>
    <s v="None"/>
    <s v="Not Sensitive"/>
    <n v="0.4"/>
    <x v="7"/>
    <s v="Medium"/>
    <x v="0"/>
    <s v="Cash"/>
    <d v="2024-11-25T00:00:00"/>
    <x v="0"/>
    <x v="1"/>
    <x v="2"/>
    <x v="1"/>
    <n v="4"/>
    <x v="11"/>
    <s v="Qtr-4"/>
  </r>
  <r>
    <s v="77-178-6086"/>
    <x v="21"/>
    <x v="1"/>
    <x v="0"/>
    <x v="0"/>
    <x v="1"/>
    <x v="2"/>
    <s v="Middle"/>
    <s v="Gueltat Zemmour"/>
    <s v="Western Sahara"/>
    <x v="16"/>
    <n v="332.67"/>
    <n v="8"/>
    <s v="In-Store"/>
    <n v="1"/>
    <n v="4"/>
    <n v="120"/>
    <s v="Medium"/>
    <s v="Somewhat Sensitive"/>
    <n v="0.125"/>
    <x v="6"/>
    <s v="High"/>
    <x v="1"/>
    <s v="Other"/>
    <d v="2024-12-11T00:00:00"/>
    <x v="1"/>
    <x v="1"/>
    <x v="2"/>
    <x v="2"/>
    <n v="4"/>
    <x v="6"/>
    <s v="Qtr-4"/>
  </r>
  <r>
    <s v="28-832-2885"/>
    <x v="0"/>
    <x v="0"/>
    <x v="0"/>
    <x v="1"/>
    <x v="3"/>
    <x v="2"/>
    <s v="Middle"/>
    <s v="Mosal’sk"/>
    <s v="Russia"/>
    <x v="3"/>
    <n v="235.39"/>
    <n v="9"/>
    <s v="Online"/>
    <n v="5"/>
    <n v="4"/>
    <n v="60"/>
    <s v="None"/>
    <s v="Not Sensitive"/>
    <n v="0"/>
    <x v="9"/>
    <s v="None"/>
    <x v="1"/>
    <s v="Credit Card"/>
    <d v="2024-05-25T00:00:00"/>
    <x v="1"/>
    <x v="1"/>
    <x v="3"/>
    <x v="0"/>
    <n v="6"/>
    <x v="9"/>
    <s v="Qtr-2"/>
  </r>
  <r>
    <s v="75-210-7391"/>
    <x v="32"/>
    <x v="1"/>
    <x v="0"/>
    <x v="0"/>
    <x v="0"/>
    <x v="1"/>
    <s v="Middle"/>
    <s v="Kokstad"/>
    <s v="South Africa"/>
    <x v="12"/>
    <n v="269.77999999999997"/>
    <n v="7"/>
    <s v="In-Store"/>
    <n v="2"/>
    <n v="3"/>
    <n v="60"/>
    <s v="Medium"/>
    <s v="Somewhat Sensitive"/>
    <n v="0.2857142857142857"/>
    <x v="0"/>
    <s v="Medium"/>
    <x v="2"/>
    <s v="Other"/>
    <d v="2024-07-25T00:00:00"/>
    <x v="0"/>
    <x v="1"/>
    <x v="0"/>
    <x v="0"/>
    <n v="5"/>
    <x v="5"/>
    <s v="Qtr-3"/>
  </r>
  <r>
    <s v="60-470-3563"/>
    <x v="3"/>
    <x v="0"/>
    <x v="1"/>
    <x v="0"/>
    <x v="0"/>
    <x v="0"/>
    <s v="Middle"/>
    <s v="Malasin"/>
    <s v="Philippines"/>
    <x v="0"/>
    <n v="498.33"/>
    <n v="2"/>
    <s v="Online"/>
    <n v="3"/>
    <n v="5"/>
    <n v="120"/>
    <s v="Medium"/>
    <s v="Very Sensitive"/>
    <n v="0.5"/>
    <x v="5"/>
    <s v="Medium"/>
    <x v="1"/>
    <s v="PayPal"/>
    <d v="2024-05-08T00:00:00"/>
    <x v="0"/>
    <x v="1"/>
    <x v="1"/>
    <x v="2"/>
    <n v="1"/>
    <x v="9"/>
    <s v="Qtr-2"/>
  </r>
  <r>
    <s v="24-241-7171"/>
    <x v="12"/>
    <x v="2"/>
    <x v="0"/>
    <x v="1"/>
    <x v="1"/>
    <x v="1"/>
    <s v="High"/>
    <s v="Huaqiu"/>
    <s v="China"/>
    <x v="18"/>
    <n v="182.94"/>
    <n v="7"/>
    <s v="Mixed"/>
    <n v="1"/>
    <n v="5"/>
    <n v="120"/>
    <s v="None"/>
    <s v="Not Sensitive"/>
    <n v="0.2857142857142857"/>
    <x v="0"/>
    <s v="Low"/>
    <x v="2"/>
    <s v="Other"/>
    <d v="2024-05-28T00:00:00"/>
    <x v="0"/>
    <x v="1"/>
    <x v="0"/>
    <x v="2"/>
    <n v="12"/>
    <x v="9"/>
    <s v="Qtr-2"/>
  </r>
  <r>
    <s v="53-784-1855"/>
    <x v="24"/>
    <x v="3"/>
    <x v="0"/>
    <x v="0"/>
    <x v="3"/>
    <x v="2"/>
    <s v="High"/>
    <s v="Loket"/>
    <s v="Czechia"/>
    <x v="18"/>
    <n v="121.7"/>
    <n v="7"/>
    <s v="Mixed"/>
    <n v="4"/>
    <n v="3"/>
    <n v="0"/>
    <s v="High"/>
    <s v="Very Sensitive"/>
    <n v="0.2857142857142857"/>
    <x v="1"/>
    <s v="None"/>
    <x v="1"/>
    <s v="Credit Card"/>
    <d v="2024-06-24T00:00:00"/>
    <x v="0"/>
    <x v="1"/>
    <x v="3"/>
    <x v="1"/>
    <n v="8"/>
    <x v="4"/>
    <s v="Qtr-2"/>
  </r>
  <r>
    <s v="83-561-3374"/>
    <x v="5"/>
    <x v="1"/>
    <x v="0"/>
    <x v="1"/>
    <x v="2"/>
    <x v="2"/>
    <s v="Middle"/>
    <s v="Santa Maria do Souto"/>
    <s v="Portugal"/>
    <x v="14"/>
    <n v="489.27"/>
    <n v="4"/>
    <s v="Mixed"/>
    <n v="1"/>
    <n v="4"/>
    <n v="60"/>
    <s v="High"/>
    <s v="Somewhat Sensitive"/>
    <n v="0.25"/>
    <x v="4"/>
    <s v="None"/>
    <x v="0"/>
    <s v="Debit Card"/>
    <d v="2024-01-13T00:00:00"/>
    <x v="1"/>
    <x v="0"/>
    <x v="1"/>
    <x v="1"/>
    <n v="3"/>
    <x v="3"/>
    <s v="Qtr-1"/>
  </r>
  <r>
    <s v="96-121-0629"/>
    <x v="9"/>
    <x v="2"/>
    <x v="1"/>
    <x v="0"/>
    <x v="0"/>
    <x v="0"/>
    <s v="Middle"/>
    <s v="Yanshang"/>
    <s v="China"/>
    <x v="14"/>
    <n v="303.93"/>
    <n v="6"/>
    <s v="Mixed"/>
    <n v="3"/>
    <n v="2"/>
    <n v="0"/>
    <s v="High"/>
    <s v="Not Sensitive"/>
    <n v="0.16666666666666666"/>
    <x v="3"/>
    <s v="Low"/>
    <x v="1"/>
    <s v="Debit Card"/>
    <d v="2024-03-13T00:00:00"/>
    <x v="0"/>
    <x v="0"/>
    <x v="0"/>
    <x v="0"/>
    <n v="2"/>
    <x v="0"/>
    <s v="Qtr-1"/>
  </r>
  <r>
    <s v="00-275-9990"/>
    <x v="2"/>
    <x v="0"/>
    <x v="0"/>
    <x v="0"/>
    <x v="0"/>
    <x v="0"/>
    <s v="Middle"/>
    <s v="Tempuran"/>
    <s v="Indonesia"/>
    <x v="1"/>
    <n v="302.74"/>
    <n v="11"/>
    <s v="Mixed"/>
    <n v="1"/>
    <n v="5"/>
    <n v="0"/>
    <s v="High"/>
    <s v="Very Sensitive"/>
    <n v="0"/>
    <x v="9"/>
    <s v="High"/>
    <x v="1"/>
    <s v="PayPal"/>
    <d v="2024-06-28T00:00:00"/>
    <x v="0"/>
    <x v="1"/>
    <x v="1"/>
    <x v="2"/>
    <n v="5"/>
    <x v="4"/>
    <s v="Qtr-2"/>
  </r>
  <r>
    <s v="36-593-2907"/>
    <x v="21"/>
    <x v="1"/>
    <x v="7"/>
    <x v="1"/>
    <x v="1"/>
    <x v="0"/>
    <s v="High"/>
    <s v="Karafao"/>
    <s v="Philippines"/>
    <x v="21"/>
    <n v="157.21"/>
    <n v="11"/>
    <s v="Online"/>
    <n v="3"/>
    <n v="3"/>
    <n v="0"/>
    <s v="Medium"/>
    <s v="Not Sensitive"/>
    <n v="0"/>
    <x v="4"/>
    <s v="High"/>
    <x v="0"/>
    <s v="Debit Card"/>
    <d v="2024-04-30T00:00:00"/>
    <x v="0"/>
    <x v="0"/>
    <x v="1"/>
    <x v="2"/>
    <n v="5"/>
    <x v="1"/>
    <s v="Qtr-2"/>
  </r>
  <r>
    <s v="22-692-3470"/>
    <x v="19"/>
    <x v="1"/>
    <x v="0"/>
    <x v="1"/>
    <x v="2"/>
    <x v="1"/>
    <s v="High"/>
    <s v="São Cristóvão"/>
    <s v="Brazil"/>
    <x v="6"/>
    <n v="159.44999999999999"/>
    <n v="2"/>
    <s v="Online"/>
    <n v="3"/>
    <n v="2"/>
    <n v="120"/>
    <s v="Medium"/>
    <s v="Very Sensitive"/>
    <n v="0"/>
    <x v="1"/>
    <s v="None"/>
    <x v="1"/>
    <s v="Debit Card"/>
    <d v="2024-06-14T00:00:00"/>
    <x v="0"/>
    <x v="0"/>
    <x v="2"/>
    <x v="1"/>
    <n v="14"/>
    <x v="4"/>
    <s v="Qtr-2"/>
  </r>
  <r>
    <s v="90-322-7329"/>
    <x v="32"/>
    <x v="1"/>
    <x v="0"/>
    <x v="1"/>
    <x v="2"/>
    <x v="1"/>
    <s v="Middle"/>
    <s v="Buensuseso"/>
    <s v="Philippines"/>
    <x v="8"/>
    <n v="312.93"/>
    <n v="2"/>
    <s v="In-Store"/>
    <n v="2"/>
    <n v="2"/>
    <n v="60"/>
    <s v="High"/>
    <s v="Very Sensitive"/>
    <n v="0"/>
    <x v="0"/>
    <s v="None"/>
    <x v="1"/>
    <s v="PayPal"/>
    <d v="2024-08-04T00:00:00"/>
    <x v="0"/>
    <x v="1"/>
    <x v="1"/>
    <x v="0"/>
    <n v="3"/>
    <x v="7"/>
    <s v="Qtr-3"/>
  </r>
  <r>
    <s v="28-395-9872"/>
    <x v="9"/>
    <x v="2"/>
    <x v="1"/>
    <x v="1"/>
    <x v="0"/>
    <x v="2"/>
    <s v="Middle"/>
    <s v="Blantyre"/>
    <s v="Malawi"/>
    <x v="11"/>
    <n v="65.680000000000007"/>
    <n v="4"/>
    <s v="In-Store"/>
    <n v="4"/>
    <n v="4"/>
    <n v="0"/>
    <s v="Medium"/>
    <s v="Not Sensitive"/>
    <n v="0"/>
    <x v="8"/>
    <s v="Medium"/>
    <x v="1"/>
    <s v="Other"/>
    <d v="2024-05-07T00:00:00"/>
    <x v="1"/>
    <x v="0"/>
    <x v="2"/>
    <x v="1"/>
    <n v="12"/>
    <x v="9"/>
    <s v="Qtr-2"/>
  </r>
  <r>
    <s v="79-297-1061"/>
    <x v="32"/>
    <x v="1"/>
    <x v="1"/>
    <x v="0"/>
    <x v="1"/>
    <x v="2"/>
    <s v="Middle"/>
    <s v="Kozel’shchyna"/>
    <s v="Ukraine"/>
    <x v="14"/>
    <n v="61.86"/>
    <n v="5"/>
    <s v="In-Store"/>
    <n v="4"/>
    <n v="5"/>
    <n v="120"/>
    <s v="None"/>
    <s v="Not Sensitive"/>
    <n v="0.4"/>
    <x v="8"/>
    <s v="None"/>
    <x v="1"/>
    <s v="Cash"/>
    <d v="2024-11-15T00:00:00"/>
    <x v="1"/>
    <x v="1"/>
    <x v="0"/>
    <x v="1"/>
    <n v="9"/>
    <x v="11"/>
    <s v="Qtr-4"/>
  </r>
  <r>
    <s v="93-649-9356"/>
    <x v="27"/>
    <x v="3"/>
    <x v="0"/>
    <x v="1"/>
    <x v="1"/>
    <x v="2"/>
    <s v="Middle"/>
    <s v="Cibuah"/>
    <s v="Indonesia"/>
    <x v="13"/>
    <n v="343.77"/>
    <n v="6"/>
    <s v="Mixed"/>
    <n v="5"/>
    <n v="4"/>
    <n v="120"/>
    <s v="None"/>
    <s v="Not Sensitive"/>
    <n v="0.33333333333333331"/>
    <x v="7"/>
    <s v="Medium"/>
    <x v="2"/>
    <s v="Credit Card"/>
    <d v="2024-02-16T00:00:00"/>
    <x v="0"/>
    <x v="0"/>
    <x v="2"/>
    <x v="0"/>
    <n v="3"/>
    <x v="8"/>
    <s v="Qtr-1"/>
  </r>
  <r>
    <s v="27-543-7069"/>
    <x v="14"/>
    <x v="2"/>
    <x v="1"/>
    <x v="0"/>
    <x v="3"/>
    <x v="2"/>
    <s v="High"/>
    <s v="Cockburn Town"/>
    <s v="Turks and Caicos Islands"/>
    <x v="3"/>
    <n v="107.21"/>
    <n v="2"/>
    <s v="Online"/>
    <n v="4"/>
    <n v="2"/>
    <n v="60"/>
    <s v="None"/>
    <s v="Not Sensitive"/>
    <n v="1"/>
    <x v="5"/>
    <s v="Medium"/>
    <x v="2"/>
    <s v="Other"/>
    <d v="2024-08-05T00:00:00"/>
    <x v="0"/>
    <x v="1"/>
    <x v="3"/>
    <x v="1"/>
    <n v="6"/>
    <x v="7"/>
    <s v="Qtr-3"/>
  </r>
  <r>
    <s v="96-079-9597"/>
    <x v="16"/>
    <x v="2"/>
    <x v="3"/>
    <x v="1"/>
    <x v="1"/>
    <x v="2"/>
    <s v="Middle"/>
    <s v="Maslog"/>
    <s v="Philippines"/>
    <x v="3"/>
    <n v="148.97999999999999"/>
    <n v="12"/>
    <s v="Online"/>
    <n v="5"/>
    <n v="1"/>
    <n v="120"/>
    <s v="None"/>
    <s v="Very Sensitive"/>
    <n v="0"/>
    <x v="8"/>
    <s v="Low"/>
    <x v="0"/>
    <s v="Debit Card"/>
    <d v="2024-08-11T00:00:00"/>
    <x v="0"/>
    <x v="1"/>
    <x v="1"/>
    <x v="1"/>
    <n v="13"/>
    <x v="7"/>
    <s v="Qtr-3"/>
  </r>
  <r>
    <s v="38-940-4942"/>
    <x v="0"/>
    <x v="0"/>
    <x v="0"/>
    <x v="1"/>
    <x v="2"/>
    <x v="2"/>
    <s v="Middle"/>
    <s v="Faqq?‘ah"/>
    <s v="Palestine"/>
    <x v="10"/>
    <n v="490.41"/>
    <n v="4"/>
    <s v="Mixed"/>
    <n v="3"/>
    <n v="4"/>
    <n v="0"/>
    <s v="Low"/>
    <s v="Somewhat Sensitive"/>
    <n v="0"/>
    <x v="6"/>
    <s v="High"/>
    <x v="0"/>
    <s v="Other"/>
    <d v="2024-12-15T00:00:00"/>
    <x v="1"/>
    <x v="1"/>
    <x v="3"/>
    <x v="2"/>
    <n v="3"/>
    <x v="6"/>
    <s v="Qtr-4"/>
  </r>
  <r>
    <s v="82-014-2564"/>
    <x v="4"/>
    <x v="2"/>
    <x v="1"/>
    <x v="1"/>
    <x v="0"/>
    <x v="1"/>
    <s v="Middle"/>
    <s v="Yelyzavethradka"/>
    <s v="Ukraine"/>
    <x v="19"/>
    <n v="461.34"/>
    <n v="4"/>
    <s v="In-Store"/>
    <n v="3"/>
    <n v="1"/>
    <n v="0"/>
    <s v="High"/>
    <s v="Somewhat Sensitive"/>
    <n v="0.25"/>
    <x v="5"/>
    <s v="Low"/>
    <x v="2"/>
    <s v="Cash"/>
    <d v="2024-03-06T00:00:00"/>
    <x v="1"/>
    <x v="1"/>
    <x v="1"/>
    <x v="2"/>
    <n v="7"/>
    <x v="0"/>
    <s v="Qtr-1"/>
  </r>
  <r>
    <s v="70-699-5799"/>
    <x v="28"/>
    <x v="0"/>
    <x v="0"/>
    <x v="1"/>
    <x v="1"/>
    <x v="2"/>
    <s v="High"/>
    <s v="Jackson"/>
    <s v="United States"/>
    <x v="2"/>
    <n v="338.89"/>
    <n v="7"/>
    <s v="In-Store"/>
    <n v="4"/>
    <n v="2"/>
    <n v="60"/>
    <s v="Low"/>
    <s v="Somewhat Sensitive"/>
    <n v="0.2857142857142857"/>
    <x v="9"/>
    <s v="None"/>
    <x v="2"/>
    <s v="Credit Card"/>
    <d v="2024-05-21T00:00:00"/>
    <x v="0"/>
    <x v="1"/>
    <x v="1"/>
    <x v="2"/>
    <n v="3"/>
    <x v="9"/>
    <s v="Qtr-2"/>
  </r>
  <r>
    <s v="53-240-2040"/>
    <x v="29"/>
    <x v="0"/>
    <x v="1"/>
    <x v="1"/>
    <x v="0"/>
    <x v="1"/>
    <s v="High"/>
    <s v="Itaguaí"/>
    <s v="Brazil"/>
    <x v="0"/>
    <n v="222.63"/>
    <n v="3"/>
    <s v="Mixed"/>
    <n v="1"/>
    <n v="1"/>
    <n v="0"/>
    <s v="Medium"/>
    <s v="Somewhat Sensitive"/>
    <n v="0.66666666666666663"/>
    <x v="6"/>
    <s v="None"/>
    <x v="0"/>
    <s v="Cash"/>
    <d v="2024-03-23T00:00:00"/>
    <x v="1"/>
    <x v="1"/>
    <x v="2"/>
    <x v="2"/>
    <n v="6"/>
    <x v="0"/>
    <s v="Qtr-1"/>
  </r>
  <r>
    <s v="27-742-2776"/>
    <x v="29"/>
    <x v="0"/>
    <x v="1"/>
    <x v="1"/>
    <x v="0"/>
    <x v="1"/>
    <s v="High"/>
    <s v="Fteliá"/>
    <s v="Greece"/>
    <x v="16"/>
    <n v="71.95"/>
    <n v="2"/>
    <s v="Mixed"/>
    <n v="3"/>
    <n v="5"/>
    <n v="120"/>
    <s v="None"/>
    <s v="Very Sensitive"/>
    <n v="1"/>
    <x v="3"/>
    <s v="None"/>
    <x v="2"/>
    <s v="Debit Card"/>
    <d v="2024-09-22T00:00:00"/>
    <x v="1"/>
    <x v="1"/>
    <x v="3"/>
    <x v="0"/>
    <n v="13"/>
    <x v="10"/>
    <s v="Qtr-3"/>
  </r>
  <r>
    <s v="55-620-7906"/>
    <x v="6"/>
    <x v="0"/>
    <x v="1"/>
    <x v="1"/>
    <x v="3"/>
    <x v="1"/>
    <s v="Middle"/>
    <s v="Kiambu"/>
    <s v="Kenya"/>
    <x v="14"/>
    <n v="264.52"/>
    <n v="9"/>
    <s v="Online"/>
    <n v="3"/>
    <n v="3"/>
    <n v="60"/>
    <s v="None"/>
    <s v="Not Sensitive"/>
    <n v="0"/>
    <x v="3"/>
    <s v="None"/>
    <x v="1"/>
    <s v="Debit Card"/>
    <d v="2024-04-02T00:00:00"/>
    <x v="0"/>
    <x v="1"/>
    <x v="3"/>
    <x v="0"/>
    <n v="6"/>
    <x v="1"/>
    <s v="Qtr-2"/>
  </r>
  <r>
    <s v="04-213-4617"/>
    <x v="20"/>
    <x v="1"/>
    <x v="1"/>
    <x v="1"/>
    <x v="3"/>
    <x v="1"/>
    <s v="High"/>
    <s v="Xibër-Murrizë"/>
    <s v="Albania"/>
    <x v="1"/>
    <n v="414.8"/>
    <n v="9"/>
    <s v="Mixed"/>
    <n v="2"/>
    <n v="3"/>
    <n v="120"/>
    <s v="Low"/>
    <s v="Very Sensitive"/>
    <n v="0.22222222222222221"/>
    <x v="5"/>
    <s v="None"/>
    <x v="2"/>
    <s v="PayPal"/>
    <d v="2024-01-30T00:00:00"/>
    <x v="1"/>
    <x v="1"/>
    <x v="3"/>
    <x v="0"/>
    <n v="7"/>
    <x v="3"/>
    <s v="Qtr-1"/>
  </r>
  <r>
    <s v="79-384-7469"/>
    <x v="17"/>
    <x v="1"/>
    <x v="1"/>
    <x v="0"/>
    <x v="1"/>
    <x v="0"/>
    <s v="High"/>
    <s v="Xudat"/>
    <s v="Azerbaijan"/>
    <x v="19"/>
    <n v="50.79"/>
    <n v="12"/>
    <s v="Mixed"/>
    <n v="5"/>
    <n v="1"/>
    <n v="0"/>
    <s v="Medium"/>
    <s v="Somewhat Sensitive"/>
    <n v="0"/>
    <x v="6"/>
    <s v="Medium"/>
    <x v="2"/>
    <s v="Other"/>
    <d v="2024-05-28T00:00:00"/>
    <x v="0"/>
    <x v="0"/>
    <x v="3"/>
    <x v="1"/>
    <n v="3"/>
    <x v="9"/>
    <s v="Qtr-2"/>
  </r>
  <r>
    <s v="30-839-5589"/>
    <x v="21"/>
    <x v="1"/>
    <x v="0"/>
    <x v="0"/>
    <x v="0"/>
    <x v="1"/>
    <s v="Middle"/>
    <s v="Yaodu"/>
    <s v="China"/>
    <x v="11"/>
    <n v="264.3"/>
    <n v="10"/>
    <s v="In-Store"/>
    <n v="5"/>
    <n v="4"/>
    <n v="60"/>
    <s v="Low"/>
    <s v="Not Sensitive"/>
    <n v="0.2"/>
    <x v="6"/>
    <s v="High"/>
    <x v="1"/>
    <s v="PayPal"/>
    <d v="2024-08-20T00:00:00"/>
    <x v="0"/>
    <x v="1"/>
    <x v="3"/>
    <x v="0"/>
    <n v="5"/>
    <x v="7"/>
    <s v="Qtr-3"/>
  </r>
  <r>
    <s v="76-848-9229"/>
    <x v="3"/>
    <x v="0"/>
    <x v="1"/>
    <x v="1"/>
    <x v="0"/>
    <x v="0"/>
    <s v="Middle"/>
    <s v="Saint-Gratien"/>
    <s v="France"/>
    <x v="9"/>
    <n v="122.46"/>
    <n v="12"/>
    <s v="Mixed"/>
    <n v="2"/>
    <n v="3"/>
    <n v="0"/>
    <s v="High"/>
    <s v="Not Sensitive"/>
    <n v="0"/>
    <x v="4"/>
    <s v="Low"/>
    <x v="0"/>
    <s v="Credit Card"/>
    <d v="2024-02-15T00:00:00"/>
    <x v="1"/>
    <x v="1"/>
    <x v="1"/>
    <x v="1"/>
    <n v="6"/>
    <x v="8"/>
    <s v="Qtr-1"/>
  </r>
  <r>
    <s v="98-559-6096"/>
    <x v="28"/>
    <x v="0"/>
    <x v="1"/>
    <x v="0"/>
    <x v="2"/>
    <x v="1"/>
    <s v="Middle"/>
    <s v="Totora"/>
    <s v="Bolivia"/>
    <x v="14"/>
    <n v="238.01"/>
    <n v="8"/>
    <s v="In-Store"/>
    <n v="2"/>
    <n v="2"/>
    <n v="0"/>
    <s v="High"/>
    <s v="Somewhat Sensitive"/>
    <n v="0"/>
    <x v="5"/>
    <s v="Low"/>
    <x v="2"/>
    <s v="Cash"/>
    <d v="2024-07-13T00:00:00"/>
    <x v="1"/>
    <x v="1"/>
    <x v="0"/>
    <x v="1"/>
    <n v="5"/>
    <x v="5"/>
    <s v="Qtr-3"/>
  </r>
  <r>
    <s v="56-810-2066"/>
    <x v="13"/>
    <x v="1"/>
    <x v="4"/>
    <x v="1"/>
    <x v="0"/>
    <x v="2"/>
    <s v="Middle"/>
    <s v="Göteborg"/>
    <s v="Sweden"/>
    <x v="3"/>
    <n v="490.34"/>
    <n v="4"/>
    <s v="In-Store"/>
    <n v="5"/>
    <n v="2"/>
    <n v="120"/>
    <s v="None"/>
    <s v="Not Sensitive"/>
    <n v="0.5"/>
    <x v="0"/>
    <s v="High"/>
    <x v="0"/>
    <s v="Other"/>
    <d v="2024-04-17T00:00:00"/>
    <x v="1"/>
    <x v="1"/>
    <x v="0"/>
    <x v="0"/>
    <n v="2"/>
    <x v="1"/>
    <s v="Qtr-2"/>
  </r>
  <r>
    <s v="55-580-7707"/>
    <x v="9"/>
    <x v="2"/>
    <x v="1"/>
    <x v="1"/>
    <x v="3"/>
    <x v="0"/>
    <s v="Middle"/>
    <s v="?áslav"/>
    <s v="Czechia"/>
    <x v="23"/>
    <n v="245.98"/>
    <n v="4"/>
    <s v="Mixed"/>
    <n v="5"/>
    <n v="1"/>
    <n v="60"/>
    <s v="High"/>
    <s v="Not Sensitive"/>
    <n v="0"/>
    <x v="2"/>
    <s v="Medium"/>
    <x v="2"/>
    <s v="PayPal"/>
    <d v="2024-11-29T00:00:00"/>
    <x v="1"/>
    <x v="0"/>
    <x v="3"/>
    <x v="1"/>
    <n v="10"/>
    <x v="11"/>
    <s v="Qtr-4"/>
  </r>
  <r>
    <s v="18-605-0795"/>
    <x v="5"/>
    <x v="1"/>
    <x v="5"/>
    <x v="0"/>
    <x v="2"/>
    <x v="1"/>
    <s v="High"/>
    <s v="Rudnogorsk"/>
    <s v="Russia"/>
    <x v="11"/>
    <n v="390.83"/>
    <n v="9"/>
    <s v="Online"/>
    <n v="5"/>
    <n v="5"/>
    <n v="0"/>
    <s v="Medium"/>
    <s v="Somewhat Sensitive"/>
    <n v="0"/>
    <x v="1"/>
    <s v="High"/>
    <x v="2"/>
    <s v="Cash"/>
    <d v="2024-10-28T00:00:00"/>
    <x v="1"/>
    <x v="1"/>
    <x v="2"/>
    <x v="0"/>
    <n v="8"/>
    <x v="2"/>
    <s v="Qtr-4"/>
  </r>
  <r>
    <s v="86-268-2904"/>
    <x v="1"/>
    <x v="1"/>
    <x v="1"/>
    <x v="1"/>
    <x v="2"/>
    <x v="1"/>
    <s v="Middle"/>
    <s v="Pindiga"/>
    <s v="Nigeria"/>
    <x v="23"/>
    <n v="158.84"/>
    <n v="6"/>
    <s v="Online"/>
    <n v="2"/>
    <n v="1"/>
    <n v="60"/>
    <s v="None"/>
    <s v="Not Sensitive"/>
    <n v="0.16666666666666666"/>
    <x v="8"/>
    <s v="Low"/>
    <x v="2"/>
    <s v="Cash"/>
    <d v="2024-07-12T00:00:00"/>
    <x v="0"/>
    <x v="1"/>
    <x v="0"/>
    <x v="2"/>
    <n v="5"/>
    <x v="5"/>
    <s v="Qtr-3"/>
  </r>
  <r>
    <s v="75-847-7630"/>
    <x v="14"/>
    <x v="2"/>
    <x v="1"/>
    <x v="0"/>
    <x v="1"/>
    <x v="1"/>
    <s v="Middle"/>
    <s v="Adela"/>
    <s v="Philippines"/>
    <x v="15"/>
    <n v="439.24"/>
    <n v="8"/>
    <s v="Mixed"/>
    <n v="3"/>
    <n v="3"/>
    <n v="60"/>
    <s v="High"/>
    <s v="Somewhat Sensitive"/>
    <n v="0.25"/>
    <x v="5"/>
    <s v="Medium"/>
    <x v="0"/>
    <s v="Other"/>
    <d v="2024-07-26T00:00:00"/>
    <x v="1"/>
    <x v="0"/>
    <x v="1"/>
    <x v="1"/>
    <n v="10"/>
    <x v="5"/>
    <s v="Qtr-3"/>
  </r>
  <r>
    <s v="76-910-2337"/>
    <x v="25"/>
    <x v="0"/>
    <x v="5"/>
    <x v="0"/>
    <x v="2"/>
    <x v="2"/>
    <s v="High"/>
    <s v="Krajan Baru"/>
    <s v="Indonesia"/>
    <x v="16"/>
    <n v="92.43"/>
    <n v="12"/>
    <s v="Mixed"/>
    <n v="4"/>
    <n v="1"/>
    <n v="0"/>
    <s v="Medium"/>
    <s v="Somewhat Sensitive"/>
    <n v="0.16666666666666666"/>
    <x v="5"/>
    <s v="None"/>
    <x v="1"/>
    <s v="Other"/>
    <d v="2024-12-05T00:00:00"/>
    <x v="1"/>
    <x v="1"/>
    <x v="0"/>
    <x v="1"/>
    <n v="6"/>
    <x v="6"/>
    <s v="Qtr-4"/>
  </r>
  <r>
    <s v="56-719-7145"/>
    <x v="18"/>
    <x v="1"/>
    <x v="0"/>
    <x v="1"/>
    <x v="0"/>
    <x v="2"/>
    <s v="Middle"/>
    <s v="Jinqiao"/>
    <s v="China"/>
    <x v="20"/>
    <n v="333.15"/>
    <n v="9"/>
    <s v="Mixed"/>
    <n v="1"/>
    <n v="5"/>
    <n v="60"/>
    <s v="High"/>
    <s v="Very Sensitive"/>
    <n v="0.1111111111111111"/>
    <x v="8"/>
    <s v="High"/>
    <x v="1"/>
    <s v="Other"/>
    <d v="2024-08-12T00:00:00"/>
    <x v="1"/>
    <x v="0"/>
    <x v="2"/>
    <x v="1"/>
    <n v="14"/>
    <x v="7"/>
    <s v="Qtr-3"/>
  </r>
  <r>
    <s v="14-025-2335"/>
    <x v="24"/>
    <x v="3"/>
    <x v="1"/>
    <x v="0"/>
    <x v="3"/>
    <x v="2"/>
    <s v="Middle"/>
    <s v="Barg-e Matal"/>
    <s v="Afghanistan"/>
    <x v="8"/>
    <n v="64.22"/>
    <n v="9"/>
    <s v="Online"/>
    <n v="1"/>
    <n v="1"/>
    <n v="120"/>
    <s v="High"/>
    <s v="Somewhat Sensitive"/>
    <n v="0.1111111111111111"/>
    <x v="5"/>
    <s v="Medium"/>
    <x v="1"/>
    <s v="PayPal"/>
    <d v="2024-01-02T00:00:00"/>
    <x v="0"/>
    <x v="0"/>
    <x v="2"/>
    <x v="0"/>
    <n v="10"/>
    <x v="3"/>
    <s v="Qtr-1"/>
  </r>
  <r>
    <s v="10-300-8072"/>
    <x v="19"/>
    <x v="1"/>
    <x v="0"/>
    <x v="1"/>
    <x v="1"/>
    <x v="1"/>
    <s v="High"/>
    <s v="Argenteuil"/>
    <s v="France"/>
    <x v="3"/>
    <n v="290.52999999999997"/>
    <n v="3"/>
    <s v="Online"/>
    <n v="3"/>
    <n v="2"/>
    <n v="60"/>
    <s v="Low"/>
    <s v="Very Sensitive"/>
    <n v="0"/>
    <x v="9"/>
    <s v="High"/>
    <x v="2"/>
    <s v="Debit Card"/>
    <d v="2024-11-04T00:00:00"/>
    <x v="0"/>
    <x v="0"/>
    <x v="3"/>
    <x v="0"/>
    <n v="10"/>
    <x v="11"/>
    <s v="Qtr-4"/>
  </r>
  <r>
    <s v="73-698-2326"/>
    <x v="7"/>
    <x v="2"/>
    <x v="1"/>
    <x v="0"/>
    <x v="3"/>
    <x v="0"/>
    <s v="High"/>
    <s v="Daying"/>
    <s v="China"/>
    <x v="15"/>
    <n v="251.8"/>
    <n v="6"/>
    <s v="Mixed"/>
    <n v="5"/>
    <n v="1"/>
    <n v="120"/>
    <s v="High"/>
    <s v="Very Sensitive"/>
    <n v="0.16666666666666666"/>
    <x v="8"/>
    <s v="Low"/>
    <x v="1"/>
    <s v="Debit Card"/>
    <d v="2024-07-05T00:00:00"/>
    <x v="0"/>
    <x v="1"/>
    <x v="2"/>
    <x v="0"/>
    <n v="11"/>
    <x v="5"/>
    <s v="Qtr-3"/>
  </r>
  <r>
    <s v="01-023-2094"/>
    <x v="23"/>
    <x v="0"/>
    <x v="5"/>
    <x v="0"/>
    <x v="3"/>
    <x v="2"/>
    <s v="Middle"/>
    <s v="Ngrejo"/>
    <s v="Indonesia"/>
    <x v="6"/>
    <n v="480.52"/>
    <n v="3"/>
    <s v="Online"/>
    <n v="5"/>
    <n v="4"/>
    <n v="120"/>
    <s v="Low"/>
    <s v="Somewhat Sensitive"/>
    <n v="0.33333333333333331"/>
    <x v="1"/>
    <s v="None"/>
    <x v="1"/>
    <s v="Cash"/>
    <d v="2024-04-30T00:00:00"/>
    <x v="1"/>
    <x v="0"/>
    <x v="3"/>
    <x v="0"/>
    <n v="13"/>
    <x v="1"/>
    <s v="Qtr-2"/>
  </r>
  <r>
    <s v="65-359-4645"/>
    <x v="31"/>
    <x v="0"/>
    <x v="0"/>
    <x v="0"/>
    <x v="0"/>
    <x v="1"/>
    <s v="High"/>
    <s v="Xieba"/>
    <s v="China"/>
    <x v="12"/>
    <n v="461.71"/>
    <n v="10"/>
    <s v="Mixed"/>
    <n v="3"/>
    <n v="1"/>
    <n v="0"/>
    <s v="Low"/>
    <s v="Not Sensitive"/>
    <n v="0"/>
    <x v="5"/>
    <s v="High"/>
    <x v="1"/>
    <s v="Cash"/>
    <d v="2024-02-16T00:00:00"/>
    <x v="1"/>
    <x v="0"/>
    <x v="3"/>
    <x v="1"/>
    <n v="11"/>
    <x v="8"/>
    <s v="Qtr-1"/>
  </r>
  <r>
    <s v="33-405-7978"/>
    <x v="17"/>
    <x v="1"/>
    <x v="0"/>
    <x v="1"/>
    <x v="0"/>
    <x v="1"/>
    <s v="Middle"/>
    <s v="Sigli"/>
    <s v="Indonesia"/>
    <x v="14"/>
    <n v="288.33999999999997"/>
    <n v="12"/>
    <s v="Mixed"/>
    <n v="5"/>
    <n v="2"/>
    <n v="120"/>
    <s v="None"/>
    <s v="Very Sensitive"/>
    <n v="0"/>
    <x v="8"/>
    <s v="Low"/>
    <x v="0"/>
    <s v="Cash"/>
    <d v="2024-03-20T00:00:00"/>
    <x v="1"/>
    <x v="0"/>
    <x v="0"/>
    <x v="2"/>
    <n v="6"/>
    <x v="0"/>
    <s v="Qtr-1"/>
  </r>
  <r>
    <s v="09-783-7921"/>
    <x v="24"/>
    <x v="3"/>
    <x v="0"/>
    <x v="1"/>
    <x v="3"/>
    <x v="0"/>
    <s v="High"/>
    <s v="Aristóbulo del Valle"/>
    <s v="Argentina"/>
    <x v="0"/>
    <n v="194.08"/>
    <n v="3"/>
    <s v="In-Store"/>
    <n v="5"/>
    <n v="5"/>
    <n v="60"/>
    <s v="Low"/>
    <s v="Not Sensitive"/>
    <n v="0"/>
    <x v="6"/>
    <s v="None"/>
    <x v="1"/>
    <s v="PayPal"/>
    <d v="2024-10-27T00:00:00"/>
    <x v="0"/>
    <x v="1"/>
    <x v="1"/>
    <x v="1"/>
    <n v="13"/>
    <x v="2"/>
    <s v="Qtr-4"/>
  </r>
  <r>
    <s v="76-561-2427"/>
    <x v="23"/>
    <x v="0"/>
    <x v="6"/>
    <x v="0"/>
    <x v="2"/>
    <x v="1"/>
    <s v="High"/>
    <s v="Cane"/>
    <s v="Honduras"/>
    <x v="22"/>
    <n v="198.45"/>
    <n v="11"/>
    <s v="Online"/>
    <n v="3"/>
    <n v="5"/>
    <n v="60"/>
    <s v="High"/>
    <s v="Not Sensitive"/>
    <n v="0.18181818181818182"/>
    <x v="8"/>
    <s v="High"/>
    <x v="0"/>
    <s v="PayPal"/>
    <d v="2024-05-04T00:00:00"/>
    <x v="0"/>
    <x v="0"/>
    <x v="1"/>
    <x v="0"/>
    <n v="5"/>
    <x v="9"/>
    <s v="Qtr-2"/>
  </r>
  <r>
    <s v="82-467-3300"/>
    <x v="25"/>
    <x v="0"/>
    <x v="1"/>
    <x v="1"/>
    <x v="0"/>
    <x v="2"/>
    <s v="Middle"/>
    <s v="Podhum"/>
    <s v="Bosnia and Herzegovina"/>
    <x v="15"/>
    <n v="216.45"/>
    <n v="5"/>
    <s v="Mixed"/>
    <n v="5"/>
    <n v="2"/>
    <n v="0"/>
    <s v="Medium"/>
    <s v="Very Sensitive"/>
    <n v="0.4"/>
    <x v="0"/>
    <s v="Low"/>
    <x v="0"/>
    <s v="Credit Card"/>
    <d v="2024-10-31T00:00:00"/>
    <x v="1"/>
    <x v="0"/>
    <x v="0"/>
    <x v="0"/>
    <n v="3"/>
    <x v="2"/>
    <s v="Qtr-4"/>
  </r>
  <r>
    <s v="92-946-7398"/>
    <x v="24"/>
    <x v="3"/>
    <x v="0"/>
    <x v="1"/>
    <x v="2"/>
    <x v="0"/>
    <s v="High"/>
    <s v="Vilar"/>
    <s v="Portugal"/>
    <x v="15"/>
    <n v="358.72"/>
    <n v="5"/>
    <s v="In-Store"/>
    <n v="3"/>
    <n v="5"/>
    <n v="60"/>
    <s v="Low"/>
    <s v="Very Sensitive"/>
    <n v="0"/>
    <x v="8"/>
    <s v="Low"/>
    <x v="0"/>
    <s v="Credit Card"/>
    <d v="2024-02-06T00:00:00"/>
    <x v="0"/>
    <x v="1"/>
    <x v="2"/>
    <x v="1"/>
    <n v="12"/>
    <x v="8"/>
    <s v="Qtr-1"/>
  </r>
  <r>
    <s v="59-891-2990"/>
    <x v="0"/>
    <x v="0"/>
    <x v="0"/>
    <x v="0"/>
    <x v="2"/>
    <x v="0"/>
    <s v="High"/>
    <s v="Portela"/>
    <s v="Portugal"/>
    <x v="8"/>
    <n v="367.56"/>
    <n v="9"/>
    <s v="Online"/>
    <n v="4"/>
    <n v="5"/>
    <n v="60"/>
    <s v="None"/>
    <s v="Not Sensitive"/>
    <n v="0"/>
    <x v="8"/>
    <s v="Low"/>
    <x v="1"/>
    <s v="Other"/>
    <d v="2024-07-18T00:00:00"/>
    <x v="1"/>
    <x v="0"/>
    <x v="0"/>
    <x v="1"/>
    <n v="14"/>
    <x v="5"/>
    <s v="Qtr-3"/>
  </r>
  <r>
    <s v="22-579-3978"/>
    <x v="13"/>
    <x v="1"/>
    <x v="1"/>
    <x v="0"/>
    <x v="3"/>
    <x v="1"/>
    <s v="High"/>
    <s v="Arendal"/>
    <s v="Norway"/>
    <x v="20"/>
    <n v="88.78"/>
    <n v="10"/>
    <s v="Online"/>
    <n v="5"/>
    <n v="3"/>
    <n v="0"/>
    <s v="High"/>
    <s v="Very Sensitive"/>
    <n v="0.1"/>
    <x v="0"/>
    <s v="Medium"/>
    <x v="2"/>
    <s v="PayPal"/>
    <d v="2024-01-06T00:00:00"/>
    <x v="1"/>
    <x v="0"/>
    <x v="3"/>
    <x v="1"/>
    <n v="13"/>
    <x v="3"/>
    <s v="Qtr-1"/>
  </r>
  <r>
    <s v="22-352-0576"/>
    <x v="18"/>
    <x v="1"/>
    <x v="1"/>
    <x v="0"/>
    <x v="0"/>
    <x v="0"/>
    <s v="Middle"/>
    <s v="Nab?nagar"/>
    <s v="Bangladesh"/>
    <x v="1"/>
    <n v="465.85"/>
    <n v="10"/>
    <s v="Online"/>
    <n v="5"/>
    <n v="3"/>
    <n v="120"/>
    <s v="None"/>
    <s v="Somewhat Sensitive"/>
    <n v="0.2"/>
    <x v="3"/>
    <s v="Medium"/>
    <x v="2"/>
    <s v="PayPal"/>
    <d v="2024-04-04T00:00:00"/>
    <x v="0"/>
    <x v="0"/>
    <x v="1"/>
    <x v="1"/>
    <n v="7"/>
    <x v="1"/>
    <s v="Qtr-2"/>
  </r>
  <r>
    <s v="28-676-0614"/>
    <x v="1"/>
    <x v="1"/>
    <x v="1"/>
    <x v="0"/>
    <x v="0"/>
    <x v="1"/>
    <s v="High"/>
    <s v="La Ravoire"/>
    <s v="France"/>
    <x v="20"/>
    <n v="262.61"/>
    <n v="3"/>
    <s v="In-Store"/>
    <n v="2"/>
    <n v="5"/>
    <n v="60"/>
    <s v="Medium"/>
    <s v="Somewhat Sensitive"/>
    <n v="0"/>
    <x v="3"/>
    <s v="Medium"/>
    <x v="1"/>
    <s v="Other"/>
    <d v="2024-02-28T00:00:00"/>
    <x v="1"/>
    <x v="1"/>
    <x v="1"/>
    <x v="1"/>
    <n v="6"/>
    <x v="8"/>
    <s v="Qtr-1"/>
  </r>
  <r>
    <s v="07-211-9364"/>
    <x v="5"/>
    <x v="1"/>
    <x v="6"/>
    <x v="0"/>
    <x v="2"/>
    <x v="2"/>
    <s v="Middle"/>
    <s v="Dostoyevka"/>
    <s v="Russia"/>
    <x v="3"/>
    <n v="91.24"/>
    <n v="8"/>
    <s v="In-Store"/>
    <n v="4"/>
    <n v="3"/>
    <n v="0"/>
    <s v="High"/>
    <s v="Somewhat Sensitive"/>
    <n v="0"/>
    <x v="7"/>
    <s v="Low"/>
    <x v="0"/>
    <s v="Cash"/>
    <d v="2024-10-28T00:00:00"/>
    <x v="0"/>
    <x v="0"/>
    <x v="1"/>
    <x v="1"/>
    <n v="4"/>
    <x v="2"/>
    <s v="Qtr-4"/>
  </r>
  <r>
    <s v="98-238-6733"/>
    <x v="21"/>
    <x v="1"/>
    <x v="0"/>
    <x v="1"/>
    <x v="0"/>
    <x v="1"/>
    <s v="High"/>
    <s v="Liuzhou"/>
    <s v="China"/>
    <x v="8"/>
    <n v="425.69"/>
    <n v="5"/>
    <s v="In-Store"/>
    <n v="2"/>
    <n v="5"/>
    <n v="0"/>
    <s v="High"/>
    <s v="Very Sensitive"/>
    <n v="0"/>
    <x v="7"/>
    <s v="Medium"/>
    <x v="0"/>
    <s v="Credit Card"/>
    <d v="2024-06-21T00:00:00"/>
    <x v="1"/>
    <x v="1"/>
    <x v="2"/>
    <x v="0"/>
    <n v="4"/>
    <x v="4"/>
    <s v="Qtr-2"/>
  </r>
  <r>
    <s v="72-006-3769"/>
    <x v="30"/>
    <x v="1"/>
    <x v="0"/>
    <x v="1"/>
    <x v="0"/>
    <x v="0"/>
    <s v="High"/>
    <s v="São Mateus do Maranhão"/>
    <s v="Brazil"/>
    <x v="12"/>
    <n v="446.11"/>
    <n v="9"/>
    <s v="Mixed"/>
    <n v="3"/>
    <n v="1"/>
    <n v="60"/>
    <s v="Medium"/>
    <s v="Very Sensitive"/>
    <n v="0"/>
    <x v="3"/>
    <s v="Medium"/>
    <x v="2"/>
    <s v="PayPal"/>
    <d v="2024-06-06T00:00:00"/>
    <x v="0"/>
    <x v="1"/>
    <x v="1"/>
    <x v="2"/>
    <n v="11"/>
    <x v="4"/>
    <s v="Qtr-2"/>
  </r>
  <r>
    <s v="75-845-3143"/>
    <x v="25"/>
    <x v="0"/>
    <x v="2"/>
    <x v="1"/>
    <x v="1"/>
    <x v="1"/>
    <s v="High"/>
    <s v="Rumbek"/>
    <s v="South Sudan"/>
    <x v="14"/>
    <n v="490.11"/>
    <n v="8"/>
    <s v="Online"/>
    <n v="3"/>
    <n v="4"/>
    <n v="120"/>
    <s v="Low"/>
    <s v="Not Sensitive"/>
    <n v="0.125"/>
    <x v="2"/>
    <s v="Low"/>
    <x v="1"/>
    <s v="Other"/>
    <d v="2024-12-24T00:00:00"/>
    <x v="1"/>
    <x v="0"/>
    <x v="3"/>
    <x v="1"/>
    <n v="14"/>
    <x v="6"/>
    <s v="Qtr-4"/>
  </r>
  <r>
    <s v="26-028-2671"/>
    <x v="32"/>
    <x v="1"/>
    <x v="0"/>
    <x v="1"/>
    <x v="3"/>
    <x v="1"/>
    <s v="Middle"/>
    <s v="Cigedang"/>
    <s v="Indonesia"/>
    <x v="6"/>
    <n v="403.57"/>
    <n v="6"/>
    <s v="Online"/>
    <n v="2"/>
    <n v="2"/>
    <n v="120"/>
    <s v="High"/>
    <s v="Not Sensitive"/>
    <n v="0.33333333333333331"/>
    <x v="6"/>
    <s v="None"/>
    <x v="1"/>
    <s v="Other"/>
    <d v="2024-11-14T00:00:00"/>
    <x v="1"/>
    <x v="0"/>
    <x v="2"/>
    <x v="2"/>
    <n v="1"/>
    <x v="11"/>
    <s v="Qtr-4"/>
  </r>
  <r>
    <s v="55-876-7407"/>
    <x v="21"/>
    <x v="1"/>
    <x v="0"/>
    <x v="1"/>
    <x v="0"/>
    <x v="0"/>
    <s v="Middle"/>
    <s v="Muaralabuh"/>
    <s v="Indonesia"/>
    <x v="12"/>
    <n v="442.15"/>
    <n v="10"/>
    <s v="Mixed"/>
    <n v="2"/>
    <n v="3"/>
    <n v="60"/>
    <s v="High"/>
    <s v="Not Sensitive"/>
    <n v="0.2"/>
    <x v="2"/>
    <s v="None"/>
    <x v="1"/>
    <s v="Credit Card"/>
    <d v="2024-12-18T00:00:00"/>
    <x v="1"/>
    <x v="1"/>
    <x v="0"/>
    <x v="0"/>
    <n v="9"/>
    <x v="6"/>
    <s v="Qtr-4"/>
  </r>
  <r>
    <s v="47-720-9520"/>
    <x v="1"/>
    <x v="1"/>
    <x v="0"/>
    <x v="0"/>
    <x v="2"/>
    <x v="0"/>
    <s v="High"/>
    <s v="Che?miec"/>
    <s v="Poland"/>
    <x v="6"/>
    <n v="78.709999999999994"/>
    <n v="5"/>
    <s v="Online"/>
    <n v="4"/>
    <n v="3"/>
    <n v="60"/>
    <s v="None"/>
    <s v="Somewhat Sensitive"/>
    <n v="0.2"/>
    <x v="3"/>
    <s v="Low"/>
    <x v="1"/>
    <s v="PayPal"/>
    <d v="2024-04-10T00:00:00"/>
    <x v="0"/>
    <x v="1"/>
    <x v="3"/>
    <x v="0"/>
    <n v="4"/>
    <x v="1"/>
    <s v="Qtr-2"/>
  </r>
  <r>
    <s v="42-207-5005"/>
    <x v="5"/>
    <x v="1"/>
    <x v="0"/>
    <x v="0"/>
    <x v="2"/>
    <x v="1"/>
    <s v="High"/>
    <s v="Santa Marta"/>
    <s v="Colombia"/>
    <x v="4"/>
    <n v="491.51"/>
    <n v="2"/>
    <s v="Mixed"/>
    <n v="2"/>
    <n v="5"/>
    <n v="0"/>
    <s v="Medium"/>
    <s v="Very Sensitive"/>
    <n v="0.5"/>
    <x v="2"/>
    <s v="High"/>
    <x v="1"/>
    <s v="PayPal"/>
    <d v="2024-12-06T00:00:00"/>
    <x v="0"/>
    <x v="0"/>
    <x v="0"/>
    <x v="0"/>
    <n v="7"/>
    <x v="6"/>
    <s v="Qtr-4"/>
  </r>
  <r>
    <s v="47-266-2261"/>
    <x v="15"/>
    <x v="2"/>
    <x v="0"/>
    <x v="0"/>
    <x v="1"/>
    <x v="0"/>
    <s v="Middle"/>
    <s v="Brändö"/>
    <s v="Finland"/>
    <x v="4"/>
    <n v="457.39"/>
    <n v="12"/>
    <s v="In-Store"/>
    <n v="1"/>
    <n v="1"/>
    <n v="60"/>
    <s v="High"/>
    <s v="Not Sensitive"/>
    <n v="8.3333333333333329E-2"/>
    <x v="1"/>
    <s v="High"/>
    <x v="2"/>
    <s v="Credit Card"/>
    <d v="2024-10-29T00:00:00"/>
    <x v="0"/>
    <x v="0"/>
    <x v="2"/>
    <x v="1"/>
    <n v="9"/>
    <x v="2"/>
    <s v="Qtr-4"/>
  </r>
  <r>
    <s v="77-642-7686"/>
    <x v="9"/>
    <x v="2"/>
    <x v="0"/>
    <x v="1"/>
    <x v="3"/>
    <x v="1"/>
    <s v="High"/>
    <s v="Liangshuihe"/>
    <s v="China"/>
    <x v="1"/>
    <n v="178.61"/>
    <n v="12"/>
    <s v="Online"/>
    <n v="5"/>
    <n v="1"/>
    <n v="120"/>
    <s v="High"/>
    <s v="Not Sensitive"/>
    <n v="0"/>
    <x v="4"/>
    <s v="None"/>
    <x v="1"/>
    <s v="Credit Card"/>
    <d v="2024-07-10T00:00:00"/>
    <x v="0"/>
    <x v="0"/>
    <x v="2"/>
    <x v="0"/>
    <n v="8"/>
    <x v="5"/>
    <s v="Qtr-3"/>
  </r>
  <r>
    <s v="37-468-8133"/>
    <x v="32"/>
    <x v="1"/>
    <x v="1"/>
    <x v="0"/>
    <x v="1"/>
    <x v="1"/>
    <s v="Middle"/>
    <s v="Cimara"/>
    <s v="Indonesia"/>
    <x v="10"/>
    <n v="492.51"/>
    <n v="7"/>
    <s v="Online"/>
    <n v="1"/>
    <n v="4"/>
    <n v="60"/>
    <s v="Low"/>
    <s v="Not Sensitive"/>
    <n v="0"/>
    <x v="6"/>
    <s v="Medium"/>
    <x v="2"/>
    <s v="PayPal"/>
    <d v="2024-01-30T00:00:00"/>
    <x v="0"/>
    <x v="1"/>
    <x v="1"/>
    <x v="1"/>
    <n v="4"/>
    <x v="3"/>
    <s v="Qtr-1"/>
  </r>
  <r>
    <s v="00-335-5034"/>
    <x v="14"/>
    <x v="2"/>
    <x v="6"/>
    <x v="1"/>
    <x v="0"/>
    <x v="0"/>
    <s v="High"/>
    <s v="Sanxing"/>
    <s v="China"/>
    <x v="3"/>
    <n v="411.4"/>
    <n v="3"/>
    <s v="In-Store"/>
    <n v="1"/>
    <n v="3"/>
    <n v="0"/>
    <s v="High"/>
    <s v="Somewhat Sensitive"/>
    <n v="0.66666666666666663"/>
    <x v="5"/>
    <s v="None"/>
    <x v="1"/>
    <s v="PayPal"/>
    <d v="2024-08-12T00:00:00"/>
    <x v="0"/>
    <x v="0"/>
    <x v="2"/>
    <x v="1"/>
    <n v="6"/>
    <x v="7"/>
    <s v="Qtr-3"/>
  </r>
  <r>
    <s v="95-148-1769"/>
    <x v="15"/>
    <x v="2"/>
    <x v="1"/>
    <x v="0"/>
    <x v="3"/>
    <x v="2"/>
    <s v="High"/>
    <s v="Linao"/>
    <s v="Philippines"/>
    <x v="20"/>
    <n v="96.52"/>
    <n v="11"/>
    <s v="In-Store"/>
    <n v="5"/>
    <n v="3"/>
    <n v="120"/>
    <s v="Low"/>
    <s v="Not Sensitive"/>
    <n v="9.0909090909090912E-2"/>
    <x v="4"/>
    <s v="None"/>
    <x v="0"/>
    <s v="Cash"/>
    <d v="2024-03-17T00:00:00"/>
    <x v="1"/>
    <x v="0"/>
    <x v="3"/>
    <x v="1"/>
    <n v="11"/>
    <x v="0"/>
    <s v="Qtr-1"/>
  </r>
  <r>
    <s v="72-324-1243"/>
    <x v="10"/>
    <x v="2"/>
    <x v="1"/>
    <x v="1"/>
    <x v="0"/>
    <x v="1"/>
    <s v="Middle"/>
    <s v="Bairan"/>
    <s v="Philippines"/>
    <x v="7"/>
    <n v="65.45"/>
    <n v="6"/>
    <s v="In-Store"/>
    <n v="2"/>
    <n v="4"/>
    <n v="60"/>
    <s v="High"/>
    <s v="Very Sensitive"/>
    <n v="0"/>
    <x v="6"/>
    <s v="Medium"/>
    <x v="1"/>
    <s v="Credit Card"/>
    <d v="2024-09-21T00:00:00"/>
    <x v="0"/>
    <x v="1"/>
    <x v="2"/>
    <x v="0"/>
    <n v="3"/>
    <x v="10"/>
    <s v="Qtr-3"/>
  </r>
  <r>
    <s v="62-687-5354"/>
    <x v="25"/>
    <x v="0"/>
    <x v="1"/>
    <x v="0"/>
    <x v="1"/>
    <x v="1"/>
    <s v="Middle"/>
    <s v="Abaetetuba"/>
    <s v="Brazil"/>
    <x v="10"/>
    <n v="255.86"/>
    <n v="3"/>
    <s v="Online"/>
    <n v="4"/>
    <n v="5"/>
    <n v="120"/>
    <s v="High"/>
    <s v="Very Sensitive"/>
    <n v="0"/>
    <x v="2"/>
    <s v="Low"/>
    <x v="0"/>
    <s v="PayPal"/>
    <d v="2024-03-25T00:00:00"/>
    <x v="0"/>
    <x v="0"/>
    <x v="3"/>
    <x v="0"/>
    <n v="4"/>
    <x v="0"/>
    <s v="Qtr-1"/>
  </r>
  <r>
    <s v="54-634-0814"/>
    <x v="22"/>
    <x v="2"/>
    <x v="1"/>
    <x v="1"/>
    <x v="3"/>
    <x v="0"/>
    <s v="High"/>
    <s v="Pasirjaya"/>
    <s v="Indonesia"/>
    <x v="4"/>
    <n v="74.69"/>
    <n v="10"/>
    <s v="In-Store"/>
    <n v="5"/>
    <n v="3"/>
    <n v="60"/>
    <s v="Low"/>
    <s v="Somewhat Sensitive"/>
    <n v="0"/>
    <x v="9"/>
    <s v="Medium"/>
    <x v="2"/>
    <s v="PayPal"/>
    <d v="2024-11-12T00:00:00"/>
    <x v="1"/>
    <x v="1"/>
    <x v="0"/>
    <x v="0"/>
    <n v="3"/>
    <x v="11"/>
    <s v="Qtr-4"/>
  </r>
  <r>
    <s v="64-769-5737"/>
    <x v="5"/>
    <x v="1"/>
    <x v="1"/>
    <x v="0"/>
    <x v="2"/>
    <x v="2"/>
    <s v="Middle"/>
    <s v="Acheng"/>
    <s v="China"/>
    <x v="3"/>
    <n v="430.75"/>
    <n v="8"/>
    <s v="Mixed"/>
    <n v="3"/>
    <n v="4"/>
    <n v="120"/>
    <s v="Low"/>
    <s v="Very Sensitive"/>
    <n v="0.125"/>
    <x v="1"/>
    <s v="None"/>
    <x v="0"/>
    <s v="Cash"/>
    <d v="2024-04-06T00:00:00"/>
    <x v="1"/>
    <x v="0"/>
    <x v="0"/>
    <x v="0"/>
    <n v="6"/>
    <x v="1"/>
    <s v="Qtr-2"/>
  </r>
  <r>
    <s v="62-892-2088"/>
    <x v="9"/>
    <x v="2"/>
    <x v="1"/>
    <x v="1"/>
    <x v="2"/>
    <x v="2"/>
    <s v="High"/>
    <s v="Huakoulongtan"/>
    <s v="China"/>
    <x v="14"/>
    <n v="370.17"/>
    <n v="2"/>
    <s v="Mixed"/>
    <n v="5"/>
    <n v="4"/>
    <n v="120"/>
    <s v="Medium"/>
    <s v="Not Sensitive"/>
    <n v="0.5"/>
    <x v="5"/>
    <s v="Low"/>
    <x v="0"/>
    <s v="Cash"/>
    <d v="2024-11-23T00:00:00"/>
    <x v="1"/>
    <x v="1"/>
    <x v="0"/>
    <x v="2"/>
    <n v="1"/>
    <x v="11"/>
    <s v="Qtr-4"/>
  </r>
  <r>
    <s v="53-951-2529"/>
    <x v="8"/>
    <x v="0"/>
    <x v="1"/>
    <x v="0"/>
    <x v="3"/>
    <x v="2"/>
    <s v="High"/>
    <s v="Burgastai"/>
    <s v="Mongolia"/>
    <x v="13"/>
    <n v="384.26"/>
    <n v="6"/>
    <s v="Mixed"/>
    <n v="4"/>
    <n v="2"/>
    <n v="60"/>
    <s v="High"/>
    <s v="Not Sensitive"/>
    <n v="0"/>
    <x v="5"/>
    <s v="Medium"/>
    <x v="1"/>
    <s v="PayPal"/>
    <d v="2024-07-11T00:00:00"/>
    <x v="1"/>
    <x v="1"/>
    <x v="0"/>
    <x v="0"/>
    <n v="11"/>
    <x v="5"/>
    <s v="Qtr-3"/>
  </r>
  <r>
    <s v="00-264-3797"/>
    <x v="29"/>
    <x v="0"/>
    <x v="1"/>
    <x v="0"/>
    <x v="0"/>
    <x v="2"/>
    <s v="Middle"/>
    <s v="Chavarría"/>
    <s v="Argentina"/>
    <x v="3"/>
    <n v="128.01"/>
    <n v="2"/>
    <s v="Mixed"/>
    <n v="4"/>
    <n v="2"/>
    <n v="60"/>
    <s v="Medium"/>
    <s v="Somewhat Sensitive"/>
    <n v="0"/>
    <x v="2"/>
    <s v="High"/>
    <x v="1"/>
    <s v="Debit Card"/>
    <d v="2024-04-17T00:00:00"/>
    <x v="0"/>
    <x v="0"/>
    <x v="0"/>
    <x v="0"/>
    <n v="10"/>
    <x v="1"/>
    <s v="Qtr-2"/>
  </r>
  <r>
    <s v="88-445-9235"/>
    <x v="19"/>
    <x v="1"/>
    <x v="0"/>
    <x v="1"/>
    <x v="0"/>
    <x v="1"/>
    <s v="High"/>
    <s v="Demuk"/>
    <s v="Indonesia"/>
    <x v="8"/>
    <n v="301.39999999999998"/>
    <n v="4"/>
    <s v="Online"/>
    <n v="5"/>
    <n v="3"/>
    <n v="0"/>
    <s v="Medium"/>
    <s v="Somewhat Sensitive"/>
    <n v="0"/>
    <x v="1"/>
    <s v="None"/>
    <x v="2"/>
    <s v="Debit Card"/>
    <d v="2024-09-14T00:00:00"/>
    <x v="1"/>
    <x v="1"/>
    <x v="3"/>
    <x v="1"/>
    <n v="5"/>
    <x v="10"/>
    <s v="Qtr-3"/>
  </r>
  <r>
    <s v="65-539-9955"/>
    <x v="27"/>
    <x v="3"/>
    <x v="0"/>
    <x v="1"/>
    <x v="1"/>
    <x v="1"/>
    <s v="High"/>
    <s v="Sertolovo"/>
    <s v="Russia"/>
    <x v="18"/>
    <n v="397.25"/>
    <n v="6"/>
    <s v="Mixed"/>
    <n v="5"/>
    <n v="2"/>
    <n v="60"/>
    <s v="Low"/>
    <s v="Not Sensitive"/>
    <n v="0.16666666666666666"/>
    <x v="3"/>
    <s v="None"/>
    <x v="2"/>
    <s v="Cash"/>
    <d v="2024-08-08T00:00:00"/>
    <x v="1"/>
    <x v="1"/>
    <x v="1"/>
    <x v="0"/>
    <n v="2"/>
    <x v="7"/>
    <s v="Qtr-3"/>
  </r>
  <r>
    <s v="89-730-1134"/>
    <x v="19"/>
    <x v="1"/>
    <x v="1"/>
    <x v="0"/>
    <x v="3"/>
    <x v="1"/>
    <s v="Middle"/>
    <s v="Jixian"/>
    <s v="China"/>
    <x v="0"/>
    <n v="96.18"/>
    <n v="3"/>
    <s v="Mixed"/>
    <n v="3"/>
    <n v="4"/>
    <n v="0"/>
    <s v="None"/>
    <s v="Somewhat Sensitive"/>
    <n v="0.33333333333333331"/>
    <x v="5"/>
    <s v="Medium"/>
    <x v="1"/>
    <s v="Cash"/>
    <d v="2024-05-05T00:00:00"/>
    <x v="1"/>
    <x v="0"/>
    <x v="3"/>
    <x v="2"/>
    <n v="10"/>
    <x v="9"/>
    <s v="Qtr-2"/>
  </r>
  <r>
    <s v="74-051-7865"/>
    <x v="24"/>
    <x v="3"/>
    <x v="0"/>
    <x v="1"/>
    <x v="3"/>
    <x v="0"/>
    <s v="High"/>
    <s v="Deqing"/>
    <s v="China"/>
    <x v="15"/>
    <n v="390.44"/>
    <n v="4"/>
    <s v="Mixed"/>
    <n v="5"/>
    <n v="1"/>
    <n v="0"/>
    <s v="Medium"/>
    <s v="Very Sensitive"/>
    <n v="0"/>
    <x v="7"/>
    <s v="High"/>
    <x v="2"/>
    <s v="Other"/>
    <d v="2024-02-15T00:00:00"/>
    <x v="0"/>
    <x v="0"/>
    <x v="0"/>
    <x v="1"/>
    <n v="4"/>
    <x v="8"/>
    <s v="Qtr-1"/>
  </r>
  <r>
    <s v="40-450-4266"/>
    <x v="14"/>
    <x v="2"/>
    <x v="0"/>
    <x v="0"/>
    <x v="1"/>
    <x v="0"/>
    <s v="Middle"/>
    <s v="Sala"/>
    <s v="Sweden"/>
    <x v="10"/>
    <n v="61.5"/>
    <n v="11"/>
    <s v="Mixed"/>
    <n v="4"/>
    <n v="2"/>
    <n v="0"/>
    <s v="Medium"/>
    <s v="Very Sensitive"/>
    <n v="0"/>
    <x v="2"/>
    <s v="High"/>
    <x v="1"/>
    <s v="Other"/>
    <d v="2024-01-26T00:00:00"/>
    <x v="0"/>
    <x v="1"/>
    <x v="3"/>
    <x v="2"/>
    <n v="8"/>
    <x v="3"/>
    <s v="Qtr-1"/>
  </r>
  <r>
    <s v="78-796-5651"/>
    <x v="22"/>
    <x v="2"/>
    <x v="0"/>
    <x v="0"/>
    <x v="3"/>
    <x v="1"/>
    <s v="High"/>
    <s v="D?utów"/>
    <s v="Poland"/>
    <x v="2"/>
    <n v="234.44"/>
    <n v="6"/>
    <s v="In-Store"/>
    <n v="3"/>
    <n v="5"/>
    <n v="120"/>
    <s v="Medium"/>
    <s v="Very Sensitive"/>
    <n v="0"/>
    <x v="2"/>
    <s v="High"/>
    <x v="2"/>
    <s v="Other"/>
    <d v="2024-05-23T00:00:00"/>
    <x v="1"/>
    <x v="1"/>
    <x v="2"/>
    <x v="2"/>
    <n v="5"/>
    <x v="9"/>
    <s v="Qtr-2"/>
  </r>
  <r>
    <s v="78-163-4800"/>
    <x v="20"/>
    <x v="1"/>
    <x v="1"/>
    <x v="0"/>
    <x v="1"/>
    <x v="2"/>
    <s v="Middle"/>
    <s v="Regimin"/>
    <s v="Poland"/>
    <x v="16"/>
    <n v="318.83999999999997"/>
    <n v="6"/>
    <s v="Online"/>
    <n v="1"/>
    <n v="1"/>
    <n v="120"/>
    <s v="Low"/>
    <s v="Very Sensitive"/>
    <n v="0"/>
    <x v="7"/>
    <s v="High"/>
    <x v="0"/>
    <s v="Other"/>
    <d v="2024-04-20T00:00:00"/>
    <x v="1"/>
    <x v="1"/>
    <x v="1"/>
    <x v="1"/>
    <n v="10"/>
    <x v="1"/>
    <s v="Qtr-2"/>
  </r>
  <r>
    <s v="90-272-5701"/>
    <x v="31"/>
    <x v="0"/>
    <x v="1"/>
    <x v="0"/>
    <x v="1"/>
    <x v="2"/>
    <s v="High"/>
    <s v="Semiletka"/>
    <s v="Russia"/>
    <x v="16"/>
    <n v="327.32"/>
    <n v="6"/>
    <s v="Mixed"/>
    <n v="4"/>
    <n v="5"/>
    <n v="0"/>
    <s v="None"/>
    <s v="Somewhat Sensitive"/>
    <n v="0"/>
    <x v="7"/>
    <s v="High"/>
    <x v="0"/>
    <s v="Other"/>
    <d v="2024-06-09T00:00:00"/>
    <x v="0"/>
    <x v="1"/>
    <x v="2"/>
    <x v="2"/>
    <n v="13"/>
    <x v="4"/>
    <s v="Qtr-2"/>
  </r>
  <r>
    <s v="14-118-5229"/>
    <x v="8"/>
    <x v="0"/>
    <x v="1"/>
    <x v="0"/>
    <x v="3"/>
    <x v="2"/>
    <s v="High"/>
    <s v="Dayr Sharaf"/>
    <s v="Palestine"/>
    <x v="5"/>
    <n v="475.64"/>
    <n v="3"/>
    <s v="Online"/>
    <n v="3"/>
    <n v="4"/>
    <n v="60"/>
    <s v="Low"/>
    <s v="Very Sensitive"/>
    <n v="0.33333333333333331"/>
    <x v="6"/>
    <s v="Medium"/>
    <x v="1"/>
    <s v="PayPal"/>
    <d v="2024-02-15T00:00:00"/>
    <x v="0"/>
    <x v="1"/>
    <x v="3"/>
    <x v="1"/>
    <n v="9"/>
    <x v="8"/>
    <s v="Qtr-1"/>
  </r>
  <r>
    <s v="24-662-2119"/>
    <x v="26"/>
    <x v="1"/>
    <x v="1"/>
    <x v="1"/>
    <x v="2"/>
    <x v="2"/>
    <s v="Middle"/>
    <s v="Adani"/>
    <s v="Yemen"/>
    <x v="11"/>
    <n v="68.59"/>
    <n v="9"/>
    <s v="Mixed"/>
    <n v="3"/>
    <n v="4"/>
    <n v="0"/>
    <s v="Medium"/>
    <s v="Somewhat Sensitive"/>
    <n v="0.22222222222222221"/>
    <x v="1"/>
    <s v="None"/>
    <x v="1"/>
    <s v="PayPal"/>
    <d v="2024-04-18T00:00:00"/>
    <x v="1"/>
    <x v="1"/>
    <x v="1"/>
    <x v="1"/>
    <n v="5"/>
    <x v="1"/>
    <s v="Qtr-2"/>
  </r>
  <r>
    <s v="61-794-8438"/>
    <x v="5"/>
    <x v="1"/>
    <x v="5"/>
    <x v="0"/>
    <x v="3"/>
    <x v="0"/>
    <s v="Middle"/>
    <s v="Rakhiv"/>
    <s v="Ukraine"/>
    <x v="10"/>
    <n v="133.04"/>
    <n v="12"/>
    <s v="Online"/>
    <n v="1"/>
    <n v="3"/>
    <n v="120"/>
    <s v="High"/>
    <s v="Not Sensitive"/>
    <n v="0.16666666666666666"/>
    <x v="9"/>
    <s v="None"/>
    <x v="2"/>
    <s v="Cash"/>
    <d v="2024-07-07T00:00:00"/>
    <x v="0"/>
    <x v="1"/>
    <x v="2"/>
    <x v="1"/>
    <n v="11"/>
    <x v="5"/>
    <s v="Qtr-3"/>
  </r>
  <r>
    <s v="21-959-5766"/>
    <x v="2"/>
    <x v="0"/>
    <x v="4"/>
    <x v="1"/>
    <x v="0"/>
    <x v="1"/>
    <s v="Middle"/>
    <s v="Ma'an"/>
    <s v="Jordan"/>
    <x v="8"/>
    <n v="196.63"/>
    <n v="9"/>
    <s v="Online"/>
    <n v="4"/>
    <n v="2"/>
    <n v="120"/>
    <s v="Medium"/>
    <s v="Somewhat Sensitive"/>
    <n v="0.1111111111111111"/>
    <x v="9"/>
    <s v="Low"/>
    <x v="0"/>
    <s v="Other"/>
    <d v="2024-12-15T00:00:00"/>
    <x v="0"/>
    <x v="0"/>
    <x v="0"/>
    <x v="0"/>
    <n v="7"/>
    <x v="6"/>
    <s v="Qtr-4"/>
  </r>
  <r>
    <s v="42-518-2602"/>
    <x v="12"/>
    <x v="2"/>
    <x v="1"/>
    <x v="0"/>
    <x v="3"/>
    <x v="0"/>
    <s v="High"/>
    <s v="Navoiy"/>
    <s v="Uzbekistan"/>
    <x v="3"/>
    <n v="473.96"/>
    <n v="12"/>
    <s v="In-Store"/>
    <n v="2"/>
    <n v="1"/>
    <n v="60"/>
    <s v="Medium"/>
    <s v="Somewhat Sensitive"/>
    <n v="0.16666666666666666"/>
    <x v="5"/>
    <s v="None"/>
    <x v="0"/>
    <s v="PayPal"/>
    <d v="2024-07-28T00:00:00"/>
    <x v="0"/>
    <x v="0"/>
    <x v="2"/>
    <x v="2"/>
    <n v="14"/>
    <x v="5"/>
    <s v="Qtr-3"/>
  </r>
  <r>
    <s v="35-850-8676"/>
    <x v="2"/>
    <x v="0"/>
    <x v="0"/>
    <x v="1"/>
    <x v="0"/>
    <x v="1"/>
    <s v="Middle"/>
    <s v="Sishilichengzi"/>
    <s v="China"/>
    <x v="8"/>
    <n v="472.52"/>
    <n v="8"/>
    <s v="Online"/>
    <n v="2"/>
    <n v="4"/>
    <n v="0"/>
    <s v="Low"/>
    <s v="Somewhat Sensitive"/>
    <n v="0.25"/>
    <x v="8"/>
    <s v="Medium"/>
    <x v="0"/>
    <s v="Cash"/>
    <d v="2024-01-24T00:00:00"/>
    <x v="1"/>
    <x v="1"/>
    <x v="3"/>
    <x v="0"/>
    <n v="14"/>
    <x v="3"/>
    <s v="Qtr-1"/>
  </r>
  <r>
    <s v="07-958-2231"/>
    <x v="23"/>
    <x v="0"/>
    <x v="0"/>
    <x v="0"/>
    <x v="0"/>
    <x v="0"/>
    <s v="Middle"/>
    <s v="Tigaherang"/>
    <s v="Indonesia"/>
    <x v="15"/>
    <n v="335.8"/>
    <n v="9"/>
    <s v="Mixed"/>
    <n v="3"/>
    <n v="5"/>
    <n v="60"/>
    <s v="None"/>
    <s v="Somewhat Sensitive"/>
    <n v="0.22222222222222221"/>
    <x v="0"/>
    <s v="Low"/>
    <x v="1"/>
    <s v="Debit Card"/>
    <d v="2024-02-10T00:00:00"/>
    <x v="0"/>
    <x v="0"/>
    <x v="1"/>
    <x v="1"/>
    <n v="5"/>
    <x v="8"/>
    <s v="Qtr-1"/>
  </r>
  <r>
    <s v="78-503-0416"/>
    <x v="8"/>
    <x v="0"/>
    <x v="1"/>
    <x v="0"/>
    <x v="1"/>
    <x v="1"/>
    <s v="High"/>
    <s v="Villa Dolores"/>
    <s v="Argentina"/>
    <x v="8"/>
    <n v="85.57"/>
    <n v="12"/>
    <s v="In-Store"/>
    <n v="2"/>
    <n v="1"/>
    <n v="60"/>
    <s v="Low"/>
    <s v="Very Sensitive"/>
    <n v="0.16666666666666666"/>
    <x v="7"/>
    <s v="Medium"/>
    <x v="0"/>
    <s v="Debit Card"/>
    <d v="2024-08-31T00:00:00"/>
    <x v="0"/>
    <x v="1"/>
    <x v="3"/>
    <x v="0"/>
    <n v="9"/>
    <x v="7"/>
    <s v="Qtr-3"/>
  </r>
  <r>
    <s v="46-167-7999"/>
    <x v="32"/>
    <x v="1"/>
    <x v="2"/>
    <x v="0"/>
    <x v="1"/>
    <x v="2"/>
    <s v="Middle"/>
    <s v="Poá"/>
    <s v="Brazil"/>
    <x v="21"/>
    <n v="108.5"/>
    <n v="11"/>
    <s v="Mixed"/>
    <n v="5"/>
    <n v="5"/>
    <n v="0"/>
    <s v="None"/>
    <s v="Very Sensitive"/>
    <n v="9.0909090909090912E-2"/>
    <x v="6"/>
    <s v="Medium"/>
    <x v="1"/>
    <s v="PayPal"/>
    <d v="2024-07-16T00:00:00"/>
    <x v="1"/>
    <x v="0"/>
    <x v="1"/>
    <x v="0"/>
    <n v="10"/>
    <x v="5"/>
    <s v="Qtr-3"/>
  </r>
  <r>
    <s v="93-989-8649"/>
    <x v="29"/>
    <x v="0"/>
    <x v="1"/>
    <x v="0"/>
    <x v="3"/>
    <x v="0"/>
    <s v="Middle"/>
    <s v="Shibushi"/>
    <s v="Japan"/>
    <x v="1"/>
    <n v="172.5"/>
    <n v="8"/>
    <s v="Online"/>
    <n v="1"/>
    <n v="3"/>
    <n v="0"/>
    <s v="Medium"/>
    <s v="Somewhat Sensitive"/>
    <n v="0"/>
    <x v="8"/>
    <s v="Low"/>
    <x v="2"/>
    <s v="Credit Card"/>
    <d v="2024-07-19T00:00:00"/>
    <x v="0"/>
    <x v="0"/>
    <x v="2"/>
    <x v="0"/>
    <n v="7"/>
    <x v="5"/>
    <s v="Qtr-3"/>
  </r>
  <r>
    <s v="98-130-8811"/>
    <x v="27"/>
    <x v="3"/>
    <x v="0"/>
    <x v="1"/>
    <x v="1"/>
    <x v="1"/>
    <s v="Middle"/>
    <s v="Tilburg"/>
    <s v="Netherlands"/>
    <x v="13"/>
    <n v="212.8"/>
    <n v="6"/>
    <s v="Mixed"/>
    <n v="3"/>
    <n v="2"/>
    <n v="120"/>
    <s v="None"/>
    <s v="Very Sensitive"/>
    <n v="0.16666666666666666"/>
    <x v="0"/>
    <s v="High"/>
    <x v="0"/>
    <s v="Credit Card"/>
    <d v="2024-05-17T00:00:00"/>
    <x v="0"/>
    <x v="1"/>
    <x v="3"/>
    <x v="1"/>
    <n v="1"/>
    <x v="9"/>
    <s v="Qtr-2"/>
  </r>
  <r>
    <s v="18-614-2070"/>
    <x v="26"/>
    <x v="1"/>
    <x v="0"/>
    <x v="0"/>
    <x v="0"/>
    <x v="0"/>
    <s v="High"/>
    <s v="Ugra"/>
    <s v="Russia"/>
    <x v="15"/>
    <n v="324.41000000000003"/>
    <n v="7"/>
    <s v="Mixed"/>
    <n v="4"/>
    <n v="4"/>
    <n v="60"/>
    <s v="None"/>
    <s v="Not Sensitive"/>
    <n v="0"/>
    <x v="1"/>
    <s v="Medium"/>
    <x v="0"/>
    <s v="Debit Card"/>
    <d v="2024-04-29T00:00:00"/>
    <x v="0"/>
    <x v="1"/>
    <x v="0"/>
    <x v="0"/>
    <n v="4"/>
    <x v="1"/>
    <s v="Qtr-2"/>
  </r>
  <r>
    <s v="80-277-3242"/>
    <x v="15"/>
    <x v="2"/>
    <x v="1"/>
    <x v="1"/>
    <x v="2"/>
    <x v="1"/>
    <s v="Middle"/>
    <s v="Montreuil"/>
    <s v="France"/>
    <x v="22"/>
    <n v="342.39"/>
    <n v="8"/>
    <s v="In-Store"/>
    <n v="1"/>
    <n v="5"/>
    <n v="120"/>
    <s v="Low"/>
    <s v="Very Sensitive"/>
    <n v="0.25"/>
    <x v="4"/>
    <s v="High"/>
    <x v="2"/>
    <s v="Other"/>
    <d v="2024-01-04T00:00:00"/>
    <x v="1"/>
    <x v="0"/>
    <x v="0"/>
    <x v="1"/>
    <n v="9"/>
    <x v="3"/>
    <s v="Qtr-1"/>
  </r>
  <r>
    <s v="44-949-9040"/>
    <x v="25"/>
    <x v="0"/>
    <x v="0"/>
    <x v="1"/>
    <x v="3"/>
    <x v="0"/>
    <s v="High"/>
    <s v="Garibaldi"/>
    <s v="Brazil"/>
    <x v="10"/>
    <n v="446.86"/>
    <n v="9"/>
    <s v="In-Store"/>
    <n v="2"/>
    <n v="1"/>
    <n v="120"/>
    <s v="None"/>
    <s v="Very Sensitive"/>
    <n v="0"/>
    <x v="6"/>
    <s v="Medium"/>
    <x v="2"/>
    <s v="PayPal"/>
    <d v="2024-11-07T00:00:00"/>
    <x v="1"/>
    <x v="0"/>
    <x v="1"/>
    <x v="0"/>
    <n v="5"/>
    <x v="11"/>
    <s v="Qtr-4"/>
  </r>
  <r>
    <s v="04-545-9162"/>
    <x v="1"/>
    <x v="1"/>
    <x v="1"/>
    <x v="1"/>
    <x v="3"/>
    <x v="2"/>
    <s v="High"/>
    <s v="Tiang"/>
    <s v="China"/>
    <x v="13"/>
    <n v="463.15"/>
    <n v="3"/>
    <s v="Mixed"/>
    <n v="1"/>
    <n v="1"/>
    <n v="60"/>
    <s v="None"/>
    <s v="Somewhat Sensitive"/>
    <n v="0.33333333333333331"/>
    <x v="5"/>
    <s v="High"/>
    <x v="1"/>
    <s v="Debit Card"/>
    <d v="2024-04-25T00:00:00"/>
    <x v="0"/>
    <x v="1"/>
    <x v="0"/>
    <x v="1"/>
    <n v="9"/>
    <x v="1"/>
    <s v="Qtr-2"/>
  </r>
  <r>
    <s v="51-320-2801"/>
    <x v="23"/>
    <x v="0"/>
    <x v="0"/>
    <x v="1"/>
    <x v="3"/>
    <x v="0"/>
    <s v="High"/>
    <s v="Mouquim"/>
    <s v="Portugal"/>
    <x v="19"/>
    <n v="122.99"/>
    <n v="12"/>
    <s v="In-Store"/>
    <n v="1"/>
    <n v="5"/>
    <n v="60"/>
    <s v="High"/>
    <s v="Very Sensitive"/>
    <n v="8.3333333333333329E-2"/>
    <x v="8"/>
    <s v="None"/>
    <x v="2"/>
    <s v="Cash"/>
    <d v="2024-10-03T00:00:00"/>
    <x v="0"/>
    <x v="0"/>
    <x v="3"/>
    <x v="0"/>
    <n v="1"/>
    <x v="2"/>
    <s v="Qtr-4"/>
  </r>
  <r>
    <s v="50-510-5119"/>
    <x v="20"/>
    <x v="1"/>
    <x v="1"/>
    <x v="1"/>
    <x v="2"/>
    <x v="2"/>
    <s v="High"/>
    <s v="Montecristi"/>
    <s v="Dominican Republic"/>
    <x v="21"/>
    <n v="322.39999999999998"/>
    <n v="7"/>
    <s v="Mixed"/>
    <n v="4"/>
    <n v="2"/>
    <n v="60"/>
    <s v="Medium"/>
    <s v="Very Sensitive"/>
    <n v="0.2857142857142857"/>
    <x v="4"/>
    <s v="Medium"/>
    <x v="0"/>
    <s v="Cash"/>
    <d v="2024-08-07T00:00:00"/>
    <x v="0"/>
    <x v="1"/>
    <x v="0"/>
    <x v="2"/>
    <n v="2"/>
    <x v="7"/>
    <s v="Qtr-3"/>
  </r>
  <r>
    <s v="63-964-6954"/>
    <x v="24"/>
    <x v="3"/>
    <x v="0"/>
    <x v="1"/>
    <x v="0"/>
    <x v="1"/>
    <s v="Middle"/>
    <s v="Prince Albert"/>
    <s v="Canada"/>
    <x v="10"/>
    <n v="73.19"/>
    <n v="5"/>
    <s v="Mixed"/>
    <n v="2"/>
    <n v="5"/>
    <n v="60"/>
    <s v="Low"/>
    <s v="Not Sensitive"/>
    <n v="0.4"/>
    <x v="8"/>
    <s v="High"/>
    <x v="1"/>
    <s v="PayPal"/>
    <d v="2024-04-11T00:00:00"/>
    <x v="1"/>
    <x v="1"/>
    <x v="0"/>
    <x v="0"/>
    <n v="3"/>
    <x v="1"/>
    <s v="Qtr-2"/>
  </r>
  <r>
    <s v="55-569-9247"/>
    <x v="30"/>
    <x v="1"/>
    <x v="0"/>
    <x v="0"/>
    <x v="0"/>
    <x v="2"/>
    <s v="High"/>
    <s v="Göteborg"/>
    <s v="Sweden"/>
    <x v="16"/>
    <n v="279.08"/>
    <n v="10"/>
    <s v="Online"/>
    <n v="4"/>
    <n v="2"/>
    <n v="60"/>
    <s v="High"/>
    <s v="Not Sensitive"/>
    <n v="0.2"/>
    <x v="0"/>
    <s v="Medium"/>
    <x v="1"/>
    <s v="Credit Card"/>
    <d v="2024-04-25T00:00:00"/>
    <x v="1"/>
    <x v="1"/>
    <x v="1"/>
    <x v="0"/>
    <n v="3"/>
    <x v="1"/>
    <s v="Qtr-2"/>
  </r>
  <r>
    <s v="02-911-0447"/>
    <x v="3"/>
    <x v="0"/>
    <x v="0"/>
    <x v="0"/>
    <x v="1"/>
    <x v="1"/>
    <s v="Middle"/>
    <s v="Zaje?ov"/>
    <s v="Czech Republic"/>
    <x v="22"/>
    <n v="478.85"/>
    <n v="10"/>
    <s v="In-Store"/>
    <n v="4"/>
    <n v="2"/>
    <n v="120"/>
    <s v="None"/>
    <s v="Not Sensitive"/>
    <n v="0.2"/>
    <x v="6"/>
    <s v="None"/>
    <x v="2"/>
    <s v="Cash"/>
    <d v="2024-04-28T00:00:00"/>
    <x v="1"/>
    <x v="0"/>
    <x v="3"/>
    <x v="0"/>
    <n v="4"/>
    <x v="1"/>
    <s v="Qtr-2"/>
  </r>
  <r>
    <s v="77-626-7240"/>
    <x v="8"/>
    <x v="0"/>
    <x v="1"/>
    <x v="1"/>
    <x v="2"/>
    <x v="2"/>
    <s v="High"/>
    <s v="Liushun"/>
    <s v="China"/>
    <x v="1"/>
    <n v="86.39"/>
    <n v="5"/>
    <s v="Mixed"/>
    <n v="4"/>
    <n v="5"/>
    <n v="60"/>
    <s v="High"/>
    <s v="Somewhat Sensitive"/>
    <n v="0.2"/>
    <x v="2"/>
    <s v="Medium"/>
    <x v="2"/>
    <s v="Debit Card"/>
    <d v="2024-09-09T00:00:00"/>
    <x v="1"/>
    <x v="0"/>
    <x v="0"/>
    <x v="1"/>
    <n v="7"/>
    <x v="10"/>
    <s v="Qtr-3"/>
  </r>
  <r>
    <s v="75-915-9803"/>
    <x v="5"/>
    <x v="1"/>
    <x v="1"/>
    <x v="1"/>
    <x v="2"/>
    <x v="0"/>
    <s v="Middle"/>
    <s v="Sancha"/>
    <s v="China"/>
    <x v="15"/>
    <n v="192.35"/>
    <n v="11"/>
    <s v="Mixed"/>
    <n v="3"/>
    <n v="5"/>
    <n v="120"/>
    <s v="High"/>
    <s v="Not Sensitive"/>
    <n v="0.18181818181818182"/>
    <x v="2"/>
    <s v="High"/>
    <x v="1"/>
    <s v="Credit Card"/>
    <d v="2024-05-08T00:00:00"/>
    <x v="0"/>
    <x v="0"/>
    <x v="2"/>
    <x v="2"/>
    <n v="11"/>
    <x v="9"/>
    <s v="Qtr-2"/>
  </r>
  <r>
    <s v="78-905-2660"/>
    <x v="15"/>
    <x v="2"/>
    <x v="0"/>
    <x v="0"/>
    <x v="3"/>
    <x v="0"/>
    <s v="High"/>
    <s v="Damnoen Saduak"/>
    <s v="Thailand"/>
    <x v="21"/>
    <n v="235.32"/>
    <n v="7"/>
    <s v="Online"/>
    <n v="2"/>
    <n v="1"/>
    <n v="60"/>
    <s v="Medium"/>
    <s v="Very Sensitive"/>
    <n v="0.14285714285714285"/>
    <x v="3"/>
    <s v="High"/>
    <x v="2"/>
    <s v="PayPal"/>
    <d v="2024-06-09T00:00:00"/>
    <x v="1"/>
    <x v="1"/>
    <x v="2"/>
    <x v="2"/>
    <n v="11"/>
    <x v="4"/>
    <s v="Qtr-2"/>
  </r>
  <r>
    <s v="02-677-6735"/>
    <x v="6"/>
    <x v="0"/>
    <x v="0"/>
    <x v="1"/>
    <x v="2"/>
    <x v="1"/>
    <s v="High"/>
    <s v="Cianorte"/>
    <s v="Brazil"/>
    <x v="13"/>
    <n v="212.63"/>
    <n v="8"/>
    <s v="Online"/>
    <n v="4"/>
    <n v="2"/>
    <n v="60"/>
    <s v="Low"/>
    <s v="Very Sensitive"/>
    <n v="0"/>
    <x v="7"/>
    <s v="High"/>
    <x v="2"/>
    <s v="Debit Card"/>
    <d v="2024-08-27T00:00:00"/>
    <x v="1"/>
    <x v="1"/>
    <x v="0"/>
    <x v="0"/>
    <n v="6"/>
    <x v="7"/>
    <s v="Qtr-3"/>
  </r>
  <r>
    <s v="20-460-9796"/>
    <x v="26"/>
    <x v="1"/>
    <x v="0"/>
    <x v="0"/>
    <x v="2"/>
    <x v="2"/>
    <s v="High"/>
    <s v="Liuzuo"/>
    <s v="China"/>
    <x v="1"/>
    <n v="246.63"/>
    <n v="8"/>
    <s v="In-Store"/>
    <n v="2"/>
    <n v="3"/>
    <n v="60"/>
    <s v="None"/>
    <s v="Somewhat Sensitive"/>
    <n v="0.25"/>
    <x v="4"/>
    <s v="None"/>
    <x v="0"/>
    <s v="Credit Card"/>
    <d v="2024-04-01T00:00:00"/>
    <x v="0"/>
    <x v="0"/>
    <x v="2"/>
    <x v="2"/>
    <n v="10"/>
    <x v="1"/>
    <s v="Qtr-2"/>
  </r>
  <r>
    <s v="57-587-4005"/>
    <x v="29"/>
    <x v="0"/>
    <x v="0"/>
    <x v="0"/>
    <x v="2"/>
    <x v="0"/>
    <s v="High"/>
    <s v="Pameungpeuk"/>
    <s v="Indonesia"/>
    <x v="16"/>
    <n v="228.47"/>
    <n v="9"/>
    <s v="Online"/>
    <n v="3"/>
    <n v="3"/>
    <n v="60"/>
    <s v="None"/>
    <s v="Very Sensitive"/>
    <n v="0.1111111111111111"/>
    <x v="0"/>
    <s v="None"/>
    <x v="2"/>
    <s v="Credit Card"/>
    <d v="2024-08-29T00:00:00"/>
    <x v="1"/>
    <x v="1"/>
    <x v="2"/>
    <x v="2"/>
    <n v="12"/>
    <x v="7"/>
    <s v="Qtr-3"/>
  </r>
  <r>
    <s v="99-477-8256"/>
    <x v="8"/>
    <x v="0"/>
    <x v="0"/>
    <x v="0"/>
    <x v="1"/>
    <x v="2"/>
    <s v="High"/>
    <s v="Kashmar"/>
    <s v="Iran"/>
    <x v="0"/>
    <n v="343.77"/>
    <n v="6"/>
    <s v="Online"/>
    <n v="4"/>
    <n v="3"/>
    <n v="120"/>
    <s v="Low"/>
    <s v="Somewhat Sensitive"/>
    <n v="0.33333333333333331"/>
    <x v="5"/>
    <s v="High"/>
    <x v="2"/>
    <s v="Cash"/>
    <d v="2024-09-18T00:00:00"/>
    <x v="0"/>
    <x v="1"/>
    <x v="1"/>
    <x v="2"/>
    <n v="6"/>
    <x v="10"/>
    <s v="Qtr-3"/>
  </r>
  <r>
    <s v="03-992-3728"/>
    <x v="29"/>
    <x v="0"/>
    <x v="2"/>
    <x v="0"/>
    <x v="0"/>
    <x v="0"/>
    <s v="High"/>
    <s v="‘Arad"/>
    <s v="Israel"/>
    <x v="19"/>
    <n v="339.32"/>
    <n v="9"/>
    <s v="In-Store"/>
    <n v="2"/>
    <n v="4"/>
    <n v="0"/>
    <s v="Medium"/>
    <s v="Very Sensitive"/>
    <n v="0.1111111111111111"/>
    <x v="7"/>
    <s v="High"/>
    <x v="0"/>
    <s v="Other"/>
    <d v="2024-09-05T00:00:00"/>
    <x v="1"/>
    <x v="0"/>
    <x v="0"/>
    <x v="0"/>
    <n v="7"/>
    <x v="10"/>
    <s v="Qtr-3"/>
  </r>
  <r>
    <s v="24-878-4507"/>
    <x v="10"/>
    <x v="2"/>
    <x v="1"/>
    <x v="1"/>
    <x v="3"/>
    <x v="0"/>
    <s v="Middle"/>
    <s v="Lenart v Slov. Goricah"/>
    <s v="Slovenia"/>
    <x v="20"/>
    <n v="327.05"/>
    <n v="9"/>
    <s v="Mixed"/>
    <n v="5"/>
    <n v="4"/>
    <n v="0"/>
    <s v="Low"/>
    <s v="Somewhat Sensitive"/>
    <n v="0.22222222222222221"/>
    <x v="4"/>
    <s v="High"/>
    <x v="2"/>
    <s v="Cash"/>
    <d v="2024-08-06T00:00:00"/>
    <x v="1"/>
    <x v="1"/>
    <x v="0"/>
    <x v="0"/>
    <n v="7"/>
    <x v="7"/>
    <s v="Qtr-3"/>
  </r>
  <r>
    <s v="22-106-8347"/>
    <x v="18"/>
    <x v="1"/>
    <x v="1"/>
    <x v="1"/>
    <x v="3"/>
    <x v="2"/>
    <s v="Middle"/>
    <s v="Bigaa"/>
    <s v="Philippines"/>
    <x v="16"/>
    <n v="334.45"/>
    <n v="2"/>
    <s v="In-Store"/>
    <n v="2"/>
    <n v="5"/>
    <n v="0"/>
    <s v="Medium"/>
    <s v="Not Sensitive"/>
    <n v="1"/>
    <x v="5"/>
    <s v="High"/>
    <x v="0"/>
    <s v="Credit Card"/>
    <d v="2024-06-18T00:00:00"/>
    <x v="0"/>
    <x v="0"/>
    <x v="2"/>
    <x v="0"/>
    <n v="6"/>
    <x v="4"/>
    <s v="Qtr-2"/>
  </r>
  <r>
    <s v="81-479-0790"/>
    <x v="24"/>
    <x v="3"/>
    <x v="1"/>
    <x v="1"/>
    <x v="1"/>
    <x v="0"/>
    <s v="Middle"/>
    <s v="Guadalupe"/>
    <s v="Mexico"/>
    <x v="1"/>
    <n v="366.16"/>
    <n v="12"/>
    <s v="Mixed"/>
    <n v="4"/>
    <n v="4"/>
    <n v="120"/>
    <s v="Medium"/>
    <s v="Somewhat Sensitive"/>
    <n v="8.3333333333333329E-2"/>
    <x v="1"/>
    <s v="Low"/>
    <x v="2"/>
    <s v="Credit Card"/>
    <d v="2024-08-26T00:00:00"/>
    <x v="1"/>
    <x v="0"/>
    <x v="0"/>
    <x v="0"/>
    <n v="4"/>
    <x v="7"/>
    <s v="Qtr-3"/>
  </r>
  <r>
    <s v="03-023-9932"/>
    <x v="14"/>
    <x v="2"/>
    <x v="0"/>
    <x v="1"/>
    <x v="2"/>
    <x v="0"/>
    <s v="Middle"/>
    <s v="Xiaruyue"/>
    <s v="China"/>
    <x v="19"/>
    <n v="481.78"/>
    <n v="8"/>
    <s v="In-Store"/>
    <n v="5"/>
    <n v="2"/>
    <n v="0"/>
    <s v="Medium"/>
    <s v="Very Sensitive"/>
    <n v="0.25"/>
    <x v="7"/>
    <s v="Low"/>
    <x v="0"/>
    <s v="Debit Card"/>
    <d v="2024-04-24T00:00:00"/>
    <x v="0"/>
    <x v="1"/>
    <x v="1"/>
    <x v="2"/>
    <n v="1"/>
    <x v="1"/>
    <s v="Qtr-2"/>
  </r>
  <r>
    <s v="36-632-2460"/>
    <x v="25"/>
    <x v="0"/>
    <x v="0"/>
    <x v="1"/>
    <x v="2"/>
    <x v="0"/>
    <s v="Middle"/>
    <s v="Gweedore"/>
    <s v="Ireland"/>
    <x v="0"/>
    <n v="131.47999999999999"/>
    <n v="8"/>
    <s v="Mixed"/>
    <n v="3"/>
    <n v="5"/>
    <n v="0"/>
    <s v="None"/>
    <s v="Somewhat Sensitive"/>
    <n v="0.25"/>
    <x v="2"/>
    <s v="Low"/>
    <x v="0"/>
    <s v="Credit Card"/>
    <d v="2024-08-08T00:00:00"/>
    <x v="0"/>
    <x v="1"/>
    <x v="1"/>
    <x v="0"/>
    <n v="12"/>
    <x v="7"/>
    <s v="Qtr-3"/>
  </r>
  <r>
    <s v="32-799-7704"/>
    <x v="10"/>
    <x v="2"/>
    <x v="0"/>
    <x v="1"/>
    <x v="2"/>
    <x v="2"/>
    <s v="High"/>
    <s v="Przelewice"/>
    <s v="Poland"/>
    <x v="10"/>
    <n v="402.86"/>
    <n v="11"/>
    <s v="In-Store"/>
    <n v="3"/>
    <n v="5"/>
    <n v="60"/>
    <s v="High"/>
    <s v="Not Sensitive"/>
    <n v="0"/>
    <x v="6"/>
    <s v="None"/>
    <x v="2"/>
    <s v="Cash"/>
    <d v="2024-09-05T00:00:00"/>
    <x v="1"/>
    <x v="0"/>
    <x v="2"/>
    <x v="1"/>
    <n v="8"/>
    <x v="10"/>
    <s v="Qtr-3"/>
  </r>
  <r>
    <s v="09-369-0588"/>
    <x v="21"/>
    <x v="1"/>
    <x v="1"/>
    <x v="1"/>
    <x v="1"/>
    <x v="0"/>
    <s v="Middle"/>
    <s v="Dalumangcob"/>
    <s v="Philippines"/>
    <x v="0"/>
    <n v="333.18"/>
    <n v="6"/>
    <s v="In-Store"/>
    <n v="1"/>
    <n v="1"/>
    <n v="0"/>
    <s v="Medium"/>
    <s v="Very Sensitive"/>
    <n v="0.33333333333333331"/>
    <x v="1"/>
    <s v="Low"/>
    <x v="1"/>
    <s v="Other"/>
    <d v="2024-04-16T00:00:00"/>
    <x v="0"/>
    <x v="0"/>
    <x v="3"/>
    <x v="2"/>
    <n v="8"/>
    <x v="1"/>
    <s v="Qtr-2"/>
  </r>
  <r>
    <s v="87-727-6434"/>
    <x v="31"/>
    <x v="0"/>
    <x v="0"/>
    <x v="1"/>
    <x v="2"/>
    <x v="2"/>
    <s v="Middle"/>
    <s v="Cravo Norte"/>
    <s v="Colombia"/>
    <x v="17"/>
    <n v="73.23"/>
    <n v="8"/>
    <s v="Online"/>
    <n v="2"/>
    <n v="2"/>
    <n v="120"/>
    <s v="Low"/>
    <s v="Very Sensitive"/>
    <n v="0.125"/>
    <x v="6"/>
    <s v="Low"/>
    <x v="1"/>
    <s v="Credit Card"/>
    <d v="2024-07-17T00:00:00"/>
    <x v="0"/>
    <x v="1"/>
    <x v="0"/>
    <x v="0"/>
    <n v="6"/>
    <x v="5"/>
    <s v="Qtr-3"/>
  </r>
  <r>
    <s v="18-793-9543"/>
    <x v="31"/>
    <x v="0"/>
    <x v="1"/>
    <x v="1"/>
    <x v="3"/>
    <x v="2"/>
    <s v="Middle"/>
    <s v="Montería"/>
    <s v="Colombia"/>
    <x v="4"/>
    <n v="450.47"/>
    <n v="11"/>
    <s v="Online"/>
    <n v="5"/>
    <n v="2"/>
    <n v="120"/>
    <s v="None"/>
    <s v="Not Sensitive"/>
    <n v="0.18181818181818182"/>
    <x v="4"/>
    <s v="None"/>
    <x v="1"/>
    <s v="Credit Card"/>
    <d v="2024-03-18T00:00:00"/>
    <x v="0"/>
    <x v="1"/>
    <x v="1"/>
    <x v="2"/>
    <n v="10"/>
    <x v="0"/>
    <s v="Qtr-1"/>
  </r>
  <r>
    <s v="63-625-5757"/>
    <x v="4"/>
    <x v="2"/>
    <x v="1"/>
    <x v="0"/>
    <x v="1"/>
    <x v="1"/>
    <s v="High"/>
    <s v="Mikun’"/>
    <s v="Russia"/>
    <x v="1"/>
    <n v="175.74"/>
    <n v="5"/>
    <s v="Online"/>
    <n v="5"/>
    <n v="4"/>
    <n v="60"/>
    <s v="Medium"/>
    <s v="Not Sensitive"/>
    <n v="0"/>
    <x v="9"/>
    <s v="None"/>
    <x v="0"/>
    <s v="Cash"/>
    <d v="2024-07-18T00:00:00"/>
    <x v="1"/>
    <x v="1"/>
    <x v="2"/>
    <x v="0"/>
    <n v="6"/>
    <x v="5"/>
    <s v="Qtr-3"/>
  </r>
  <r>
    <s v="93-413-4758"/>
    <x v="16"/>
    <x v="2"/>
    <x v="0"/>
    <x v="0"/>
    <x v="1"/>
    <x v="2"/>
    <s v="High"/>
    <s v="Samamiya"/>
    <s v="Japan"/>
    <x v="11"/>
    <n v="182.6"/>
    <n v="4"/>
    <s v="Online"/>
    <n v="5"/>
    <n v="2"/>
    <n v="18"/>
    <s v="Low"/>
    <s v="Not Sensitive"/>
    <n v="0.5"/>
    <x v="5"/>
    <s v="High"/>
    <x v="0"/>
    <s v="PayPal"/>
    <d v="2024-05-31T00:00:00"/>
    <x v="1"/>
    <x v="1"/>
    <x v="1"/>
    <x v="2"/>
    <n v="5"/>
    <x v="9"/>
    <s v="Qtr-2"/>
  </r>
  <r>
    <s v="15-663-7994"/>
    <x v="28"/>
    <x v="0"/>
    <x v="0"/>
    <x v="0"/>
    <x v="2"/>
    <x v="0"/>
    <s v="High"/>
    <s v="Tanahmerah"/>
    <s v="Indonesia"/>
    <x v="23"/>
    <n v="497.8"/>
    <n v="2"/>
    <s v="Online"/>
    <n v="3"/>
    <n v="5"/>
    <n v="12"/>
    <s v="High"/>
    <s v="Somewhat Sensitive"/>
    <n v="0.5"/>
    <x v="6"/>
    <s v="Medium"/>
    <x v="1"/>
    <s v="Other"/>
    <d v="2024-01-21T00:00:00"/>
    <x v="0"/>
    <x v="0"/>
    <x v="1"/>
    <x v="0"/>
    <n v="9"/>
    <x v="3"/>
    <s v="Qtr-1"/>
  </r>
  <r>
    <s v="29-319-4519"/>
    <x v="11"/>
    <x v="2"/>
    <x v="1"/>
    <x v="1"/>
    <x v="3"/>
    <x v="1"/>
    <s v="High"/>
    <s v="Örebro"/>
    <s v="Sweden"/>
    <x v="1"/>
    <n v="171.17"/>
    <n v="4"/>
    <s v="In-Store"/>
    <n v="1"/>
    <n v="3"/>
    <n v="0"/>
    <s v="High"/>
    <s v="Somewhat Sensitive"/>
    <n v="0"/>
    <x v="7"/>
    <s v="Medium"/>
    <x v="2"/>
    <s v="Debit Card"/>
    <d v="2024-06-15T00:00:00"/>
    <x v="1"/>
    <x v="1"/>
    <x v="1"/>
    <x v="1"/>
    <n v="12"/>
    <x v="4"/>
    <s v="Qtr-2"/>
  </r>
  <r>
    <s v="40-347-2903"/>
    <x v="23"/>
    <x v="0"/>
    <x v="0"/>
    <x v="0"/>
    <x v="1"/>
    <x v="0"/>
    <s v="High"/>
    <s v="Kefar Yona"/>
    <s v="Israel"/>
    <x v="23"/>
    <n v="425.82"/>
    <n v="3"/>
    <s v="In-Store"/>
    <n v="4"/>
    <n v="5"/>
    <n v="60"/>
    <s v="Low"/>
    <s v="Not Sensitive"/>
    <n v="0.33333333333333331"/>
    <x v="9"/>
    <s v="High"/>
    <x v="1"/>
    <s v="Cash"/>
    <d v="2024-04-19T00:00:00"/>
    <x v="0"/>
    <x v="1"/>
    <x v="1"/>
    <x v="1"/>
    <n v="11"/>
    <x v="1"/>
    <s v="Qtr-2"/>
  </r>
  <r>
    <s v="18-452-1635"/>
    <x v="24"/>
    <x v="3"/>
    <x v="0"/>
    <x v="0"/>
    <x v="2"/>
    <x v="0"/>
    <s v="Middle"/>
    <s v="Pasto"/>
    <s v="Colombia"/>
    <x v="6"/>
    <n v="210.58"/>
    <n v="10"/>
    <s v="In-Store"/>
    <n v="5"/>
    <n v="1"/>
    <n v="120"/>
    <s v="Low"/>
    <s v="Somewhat Sensitive"/>
    <n v="0.1"/>
    <x v="4"/>
    <s v="Low"/>
    <x v="0"/>
    <s v="Debit Card"/>
    <d v="2024-09-12T00:00:00"/>
    <x v="0"/>
    <x v="1"/>
    <x v="3"/>
    <x v="0"/>
    <n v="8"/>
    <x v="10"/>
    <s v="Qtr-3"/>
  </r>
  <r>
    <s v="47-710-5471"/>
    <x v="17"/>
    <x v="1"/>
    <x v="1"/>
    <x v="0"/>
    <x v="1"/>
    <x v="1"/>
    <s v="Middle"/>
    <s v="Huangtan"/>
    <s v="China"/>
    <x v="21"/>
    <n v="199.64"/>
    <n v="11"/>
    <s v="Online"/>
    <n v="5"/>
    <n v="4"/>
    <n v="60"/>
    <s v="High"/>
    <s v="Somewhat Sensitive"/>
    <n v="9.0909090909090912E-2"/>
    <x v="1"/>
    <s v="High"/>
    <x v="2"/>
    <s v="PayPal"/>
    <d v="2024-09-04T00:00:00"/>
    <x v="1"/>
    <x v="1"/>
    <x v="3"/>
    <x v="2"/>
    <n v="8"/>
    <x v="10"/>
    <s v="Qtr-3"/>
  </r>
  <r>
    <s v="88-167-7129"/>
    <x v="13"/>
    <x v="1"/>
    <x v="5"/>
    <x v="1"/>
    <x v="0"/>
    <x v="0"/>
    <s v="Middle"/>
    <s v="Il’inskiy"/>
    <s v="Russia"/>
    <x v="12"/>
    <n v="162.22"/>
    <n v="10"/>
    <s v="In-Store"/>
    <n v="5"/>
    <n v="5"/>
    <n v="12"/>
    <s v="High"/>
    <s v="Somewhat Sensitive"/>
    <n v="0.1"/>
    <x v="2"/>
    <s v="Medium"/>
    <x v="2"/>
    <s v="Other"/>
    <d v="2024-04-28T00:00:00"/>
    <x v="0"/>
    <x v="1"/>
    <x v="1"/>
    <x v="0"/>
    <n v="8"/>
    <x v="1"/>
    <s v="Qtr-2"/>
  </r>
  <r>
    <s v="86-771-9082"/>
    <x v="28"/>
    <x v="0"/>
    <x v="1"/>
    <x v="1"/>
    <x v="0"/>
    <x v="0"/>
    <s v="High"/>
    <s v="Ugljevik"/>
    <s v="Bosnia and Herzegovina"/>
    <x v="6"/>
    <n v="401.75"/>
    <n v="8"/>
    <s v="Online"/>
    <n v="3"/>
    <n v="4"/>
    <n v="18"/>
    <s v="None"/>
    <s v="Somewhat Sensitive"/>
    <n v="0.125"/>
    <x v="8"/>
    <s v="High"/>
    <x v="1"/>
    <s v="PayPal"/>
    <d v="2024-12-08T00:00:00"/>
    <x v="1"/>
    <x v="1"/>
    <x v="1"/>
    <x v="1"/>
    <n v="6"/>
    <x v="6"/>
    <s v="Qtr-4"/>
  </r>
  <r>
    <s v="46-678-4172"/>
    <x v="2"/>
    <x v="0"/>
    <x v="0"/>
    <x v="0"/>
    <x v="0"/>
    <x v="2"/>
    <s v="Middle"/>
    <s v="Na Chaluai"/>
    <s v="Thailand"/>
    <x v="8"/>
    <n v="365.88"/>
    <n v="12"/>
    <s v="Online"/>
    <n v="3"/>
    <n v="3"/>
    <n v="120"/>
    <s v="Medium"/>
    <s v="Very Sensitive"/>
    <n v="0"/>
    <x v="5"/>
    <s v="High"/>
    <x v="1"/>
    <s v="Other"/>
    <d v="2024-11-05T00:00:00"/>
    <x v="0"/>
    <x v="0"/>
    <x v="0"/>
    <x v="2"/>
    <n v="7"/>
    <x v="11"/>
    <s v="Qtr-4"/>
  </r>
  <r>
    <s v="14-249-1256"/>
    <x v="19"/>
    <x v="1"/>
    <x v="1"/>
    <x v="0"/>
    <x v="1"/>
    <x v="1"/>
    <s v="Middle"/>
    <s v="Marolambo"/>
    <s v="Madagascar"/>
    <x v="21"/>
    <n v="58.29"/>
    <n v="6"/>
    <s v="Mixed"/>
    <n v="2"/>
    <n v="3"/>
    <n v="120"/>
    <s v="Medium"/>
    <s v="Somewhat Sensitive"/>
    <n v="0.16666666666666666"/>
    <x v="0"/>
    <s v="Low"/>
    <x v="0"/>
    <s v="Other"/>
    <d v="2024-02-13T00:00:00"/>
    <x v="1"/>
    <x v="1"/>
    <x v="2"/>
    <x v="1"/>
    <n v="14"/>
    <x v="8"/>
    <s v="Qtr-1"/>
  </r>
  <r>
    <s v="75-617-1460"/>
    <x v="17"/>
    <x v="1"/>
    <x v="1"/>
    <x v="1"/>
    <x v="0"/>
    <x v="2"/>
    <s v="High"/>
    <s v="Wiwilí"/>
    <s v="Nicaragua"/>
    <x v="18"/>
    <n v="66.86"/>
    <n v="3"/>
    <s v="Mixed"/>
    <n v="1"/>
    <n v="1"/>
    <n v="60"/>
    <s v="Medium"/>
    <s v="Very Sensitive"/>
    <n v="0"/>
    <x v="3"/>
    <s v="Medium"/>
    <x v="2"/>
    <s v="Other"/>
    <d v="2024-01-25T00:00:00"/>
    <x v="0"/>
    <x v="1"/>
    <x v="1"/>
    <x v="2"/>
    <n v="9"/>
    <x v="3"/>
    <s v="Qtr-1"/>
  </r>
  <r>
    <s v="10-247-0192"/>
    <x v="3"/>
    <x v="0"/>
    <x v="0"/>
    <x v="1"/>
    <x v="1"/>
    <x v="0"/>
    <s v="Middle"/>
    <s v="Cali"/>
    <s v="Colombia"/>
    <x v="19"/>
    <n v="279.33999999999997"/>
    <n v="5"/>
    <s v="Mixed"/>
    <n v="3"/>
    <n v="1"/>
    <n v="0"/>
    <s v="Medium"/>
    <s v="Very Sensitive"/>
    <n v="0.4"/>
    <x v="9"/>
    <s v="Low"/>
    <x v="0"/>
    <s v="PayPal"/>
    <d v="2024-08-22T00:00:00"/>
    <x v="1"/>
    <x v="1"/>
    <x v="1"/>
    <x v="0"/>
    <n v="11"/>
    <x v="7"/>
    <s v="Qtr-3"/>
  </r>
  <r>
    <s v="94-120-9525"/>
    <x v="10"/>
    <x v="2"/>
    <x v="3"/>
    <x v="1"/>
    <x v="3"/>
    <x v="0"/>
    <s v="High"/>
    <s v="Tamana"/>
    <s v="Trinidad and Tobago"/>
    <x v="13"/>
    <n v="358.5"/>
    <n v="3"/>
    <s v="Online"/>
    <n v="3"/>
    <n v="4"/>
    <n v="120"/>
    <s v="Medium"/>
    <s v="Very Sensitive"/>
    <n v="0.66666666666666663"/>
    <x v="4"/>
    <s v="None"/>
    <x v="0"/>
    <s v="Cash"/>
    <d v="2024-11-14T00:00:00"/>
    <x v="1"/>
    <x v="1"/>
    <x v="2"/>
    <x v="1"/>
    <n v="8"/>
    <x v="11"/>
    <s v="Qtr-4"/>
  </r>
  <r>
    <s v="22-234-9315"/>
    <x v="32"/>
    <x v="1"/>
    <x v="0"/>
    <x v="1"/>
    <x v="2"/>
    <x v="0"/>
    <s v="High"/>
    <s v="Miyazu"/>
    <s v="Japan"/>
    <x v="23"/>
    <n v="360.92"/>
    <n v="7"/>
    <s v="Online"/>
    <n v="2"/>
    <n v="1"/>
    <n v="120"/>
    <s v="None"/>
    <s v="Very Sensitive"/>
    <n v="0"/>
    <x v="5"/>
    <s v="Low"/>
    <x v="1"/>
    <s v="PayPal"/>
    <d v="2024-11-10T00:00:00"/>
    <x v="1"/>
    <x v="1"/>
    <x v="2"/>
    <x v="1"/>
    <n v="8"/>
    <x v="11"/>
    <s v="Qtr-4"/>
  </r>
  <r>
    <s v="37-560-7247"/>
    <x v="9"/>
    <x v="2"/>
    <x v="7"/>
    <x v="0"/>
    <x v="0"/>
    <x v="2"/>
    <s v="High"/>
    <s v="Gryfów ?l?ski"/>
    <s v="Poland"/>
    <x v="19"/>
    <n v="374.36"/>
    <n v="4"/>
    <s v="Online"/>
    <n v="2"/>
    <n v="2"/>
    <n v="0"/>
    <s v="None"/>
    <s v="Somewhat Sensitive"/>
    <n v="0.25"/>
    <x v="5"/>
    <s v="None"/>
    <x v="1"/>
    <s v="Other"/>
    <d v="2024-10-03T00:00:00"/>
    <x v="1"/>
    <x v="0"/>
    <x v="1"/>
    <x v="1"/>
    <n v="1"/>
    <x v="2"/>
    <s v="Qtr-4"/>
  </r>
  <r>
    <s v="91-857-0797"/>
    <x v="0"/>
    <x v="0"/>
    <x v="3"/>
    <x v="1"/>
    <x v="2"/>
    <x v="1"/>
    <s v="Middle"/>
    <s v="Pinagsibaan"/>
    <s v="Philippines"/>
    <x v="15"/>
    <n v="435.37"/>
    <n v="11"/>
    <s v="Online"/>
    <n v="4"/>
    <n v="2"/>
    <n v="60"/>
    <s v="Low"/>
    <s v="Very Sensitive"/>
    <n v="0"/>
    <x v="4"/>
    <s v="High"/>
    <x v="0"/>
    <s v="Credit Card"/>
    <d v="2024-08-30T00:00:00"/>
    <x v="0"/>
    <x v="1"/>
    <x v="3"/>
    <x v="1"/>
    <n v="4"/>
    <x v="7"/>
    <s v="Qtr-3"/>
  </r>
  <r>
    <s v="19-344-0102"/>
    <x v="32"/>
    <x v="1"/>
    <x v="1"/>
    <x v="1"/>
    <x v="1"/>
    <x v="2"/>
    <s v="High"/>
    <s v="Jardin"/>
    <s v="Colombia"/>
    <x v="3"/>
    <n v="459.3"/>
    <n v="9"/>
    <s v="Online"/>
    <n v="4"/>
    <n v="4"/>
    <n v="60"/>
    <s v="None"/>
    <s v="Somewhat Sensitive"/>
    <n v="0.22222222222222221"/>
    <x v="1"/>
    <s v="Medium"/>
    <x v="2"/>
    <s v="Other"/>
    <d v="2024-10-09T00:00:00"/>
    <x v="1"/>
    <x v="1"/>
    <x v="3"/>
    <x v="0"/>
    <n v="1"/>
    <x v="2"/>
    <s v="Qtr-4"/>
  </r>
  <r>
    <s v="48-609-7715"/>
    <x v="20"/>
    <x v="1"/>
    <x v="0"/>
    <x v="1"/>
    <x v="3"/>
    <x v="2"/>
    <s v="Middle"/>
    <s v="Aguilares"/>
    <s v="Argentina"/>
    <x v="23"/>
    <n v="426.89"/>
    <n v="2"/>
    <s v="Mixed"/>
    <n v="5"/>
    <n v="1"/>
    <n v="60"/>
    <s v="High"/>
    <s v="Not Sensitive"/>
    <n v="0.5"/>
    <x v="4"/>
    <s v="Low"/>
    <x v="1"/>
    <s v="PayPal"/>
    <d v="2024-11-02T00:00:00"/>
    <x v="0"/>
    <x v="0"/>
    <x v="1"/>
    <x v="2"/>
    <n v="10"/>
    <x v="11"/>
    <s v="Qtr-4"/>
  </r>
  <r>
    <s v="13-571-6506"/>
    <x v="8"/>
    <x v="0"/>
    <x v="1"/>
    <x v="0"/>
    <x v="3"/>
    <x v="2"/>
    <s v="High"/>
    <s v="Muslyumovo"/>
    <s v="Russia"/>
    <x v="9"/>
    <n v="365.37"/>
    <n v="6"/>
    <s v="Mixed"/>
    <n v="1"/>
    <n v="2"/>
    <n v="60"/>
    <s v="Low"/>
    <s v="Very Sensitive"/>
    <n v="0.16666666666666666"/>
    <x v="1"/>
    <s v="Low"/>
    <x v="1"/>
    <s v="PayPal"/>
    <d v="2024-07-02T00:00:00"/>
    <x v="0"/>
    <x v="1"/>
    <x v="1"/>
    <x v="2"/>
    <n v="7"/>
    <x v="5"/>
    <s v="Qtr-3"/>
  </r>
  <r>
    <s v="47-073-6440"/>
    <x v="6"/>
    <x v="0"/>
    <x v="0"/>
    <x v="0"/>
    <x v="3"/>
    <x v="2"/>
    <s v="High"/>
    <s v="Taiyuan"/>
    <s v="China"/>
    <x v="7"/>
    <n v="487.25"/>
    <n v="4"/>
    <s v="Online"/>
    <n v="3"/>
    <n v="2"/>
    <n v="60"/>
    <s v="High"/>
    <s v="Very Sensitive"/>
    <n v="0"/>
    <x v="7"/>
    <s v="High"/>
    <x v="2"/>
    <s v="Cash"/>
    <d v="2024-10-08T00:00:00"/>
    <x v="1"/>
    <x v="0"/>
    <x v="1"/>
    <x v="1"/>
    <n v="1"/>
    <x v="2"/>
    <s v="Qtr-4"/>
  </r>
  <r>
    <s v="50-303-1693"/>
    <x v="3"/>
    <x v="0"/>
    <x v="0"/>
    <x v="0"/>
    <x v="0"/>
    <x v="1"/>
    <s v="High"/>
    <s v="Chatturat"/>
    <s v="Thailand"/>
    <x v="15"/>
    <n v="187.22"/>
    <n v="10"/>
    <s v="Online"/>
    <n v="5"/>
    <n v="3"/>
    <n v="0"/>
    <s v="Medium"/>
    <s v="Very Sensitive"/>
    <n v="0.1"/>
    <x v="7"/>
    <s v="Low"/>
    <x v="2"/>
    <s v="Credit Card"/>
    <d v="2024-06-04T00:00:00"/>
    <x v="1"/>
    <x v="0"/>
    <x v="1"/>
    <x v="1"/>
    <n v="4"/>
    <x v="4"/>
    <s v="Qtr-2"/>
  </r>
  <r>
    <s v="69-157-9577"/>
    <x v="30"/>
    <x v="1"/>
    <x v="1"/>
    <x v="1"/>
    <x v="3"/>
    <x v="2"/>
    <s v="High"/>
    <s v="Paisha"/>
    <s v="China"/>
    <x v="16"/>
    <n v="396.82"/>
    <n v="7"/>
    <s v="Mixed"/>
    <n v="3"/>
    <n v="4"/>
    <n v="60"/>
    <s v="None"/>
    <s v="Somewhat Sensitive"/>
    <n v="0.14285714285714285"/>
    <x v="5"/>
    <s v="High"/>
    <x v="2"/>
    <s v="Credit Card"/>
    <d v="2024-08-13T00:00:00"/>
    <x v="0"/>
    <x v="1"/>
    <x v="0"/>
    <x v="0"/>
    <n v="9"/>
    <x v="7"/>
    <s v="Qtr-3"/>
  </r>
  <r>
    <s v="09-513-4923"/>
    <x v="9"/>
    <x v="2"/>
    <x v="3"/>
    <x v="1"/>
    <x v="3"/>
    <x v="2"/>
    <s v="High"/>
    <s v="Kadugadung"/>
    <s v="Indonesia"/>
    <x v="22"/>
    <n v="246.74"/>
    <n v="10"/>
    <s v="Online"/>
    <n v="2"/>
    <n v="3"/>
    <n v="0"/>
    <s v="Medium"/>
    <s v="Not Sensitive"/>
    <n v="0.1"/>
    <x v="9"/>
    <s v="High"/>
    <x v="2"/>
    <s v="PayPal"/>
    <d v="2024-03-27T00:00:00"/>
    <x v="1"/>
    <x v="0"/>
    <x v="0"/>
    <x v="2"/>
    <n v="8"/>
    <x v="0"/>
    <s v="Qtr-1"/>
  </r>
  <r>
    <s v="82-975-8569"/>
    <x v="29"/>
    <x v="0"/>
    <x v="1"/>
    <x v="1"/>
    <x v="2"/>
    <x v="0"/>
    <s v="High"/>
    <s v="Paris 15"/>
    <s v="France"/>
    <x v="8"/>
    <n v="128.74"/>
    <n v="12"/>
    <s v="Mixed"/>
    <n v="5"/>
    <n v="1"/>
    <n v="60"/>
    <s v="Medium"/>
    <s v="Somewhat Sensitive"/>
    <n v="8.3333333333333329E-2"/>
    <x v="8"/>
    <s v="High"/>
    <x v="2"/>
    <s v="PayPal"/>
    <d v="2024-01-06T00:00:00"/>
    <x v="1"/>
    <x v="1"/>
    <x v="3"/>
    <x v="1"/>
    <n v="1"/>
    <x v="3"/>
    <s v="Qtr-1"/>
  </r>
  <r>
    <s v="70-774-7728"/>
    <x v="30"/>
    <x v="1"/>
    <x v="0"/>
    <x v="0"/>
    <x v="2"/>
    <x v="2"/>
    <s v="Middle"/>
    <s v="Dualing"/>
    <s v="Philippines"/>
    <x v="16"/>
    <n v="339.63"/>
    <n v="2"/>
    <s v="In-Store"/>
    <n v="3"/>
    <n v="3"/>
    <n v="120"/>
    <s v="Medium"/>
    <s v="Very Sensitive"/>
    <n v="1"/>
    <x v="2"/>
    <s v="Low"/>
    <x v="0"/>
    <s v="PayPal"/>
    <d v="2024-08-26T00:00:00"/>
    <x v="0"/>
    <x v="0"/>
    <x v="2"/>
    <x v="0"/>
    <n v="6"/>
    <x v="7"/>
    <s v="Qtr-3"/>
  </r>
  <r>
    <s v="13-015-8097"/>
    <x v="19"/>
    <x v="1"/>
    <x v="0"/>
    <x v="1"/>
    <x v="1"/>
    <x v="0"/>
    <s v="High"/>
    <s v="Adelaide"/>
    <s v="Australia"/>
    <x v="6"/>
    <n v="223.58"/>
    <n v="11"/>
    <s v="Mixed"/>
    <n v="4"/>
    <n v="3"/>
    <n v="0"/>
    <s v="High"/>
    <s v="Very Sensitive"/>
    <n v="0"/>
    <x v="9"/>
    <s v="None"/>
    <x v="0"/>
    <s v="PayPal"/>
    <d v="2024-05-20T00:00:00"/>
    <x v="1"/>
    <x v="0"/>
    <x v="2"/>
    <x v="0"/>
    <n v="11"/>
    <x v="9"/>
    <s v="Qtr-2"/>
  </r>
  <r>
    <s v="68-391-7279"/>
    <x v="7"/>
    <x v="2"/>
    <x v="7"/>
    <x v="1"/>
    <x v="2"/>
    <x v="0"/>
    <s v="Middle"/>
    <s v="Pingshi"/>
    <s v="China"/>
    <x v="0"/>
    <n v="446.92"/>
    <n v="5"/>
    <s v="Mixed"/>
    <n v="1"/>
    <n v="1"/>
    <n v="60"/>
    <s v="Medium"/>
    <s v="Very Sensitive"/>
    <n v="0.4"/>
    <x v="9"/>
    <s v="None"/>
    <x v="1"/>
    <s v="PayPal"/>
    <d v="2024-07-19T00:00:00"/>
    <x v="0"/>
    <x v="0"/>
    <x v="3"/>
    <x v="2"/>
    <n v="10"/>
    <x v="5"/>
    <s v="Qtr-3"/>
  </r>
  <r>
    <s v="28-764-3337"/>
    <x v="20"/>
    <x v="1"/>
    <x v="1"/>
    <x v="0"/>
    <x v="3"/>
    <x v="0"/>
    <s v="Middle"/>
    <s v="Renshan"/>
    <s v="China"/>
    <x v="13"/>
    <n v="175.65"/>
    <n v="11"/>
    <s v="Mixed"/>
    <n v="4"/>
    <n v="3"/>
    <n v="120"/>
    <s v="Low"/>
    <s v="Not Sensitive"/>
    <n v="9.0909090909090912E-2"/>
    <x v="0"/>
    <s v="None"/>
    <x v="0"/>
    <s v="Other"/>
    <d v="2024-12-08T00:00:00"/>
    <x v="1"/>
    <x v="1"/>
    <x v="1"/>
    <x v="2"/>
    <n v="8"/>
    <x v="6"/>
    <s v="Qtr-4"/>
  </r>
  <r>
    <s v="00-285-9607"/>
    <x v="32"/>
    <x v="1"/>
    <x v="3"/>
    <x v="0"/>
    <x v="0"/>
    <x v="0"/>
    <s v="Middle"/>
    <s v="Sobinka"/>
    <s v="Russia"/>
    <x v="20"/>
    <n v="491.49"/>
    <n v="10"/>
    <s v="Mixed"/>
    <n v="1"/>
    <n v="1"/>
    <n v="0"/>
    <s v="Low"/>
    <s v="Somewhat Sensitive"/>
    <n v="0.2"/>
    <x v="0"/>
    <s v="None"/>
    <x v="2"/>
    <s v="PayPal"/>
    <d v="2024-05-28T00:00:00"/>
    <x v="1"/>
    <x v="0"/>
    <x v="3"/>
    <x v="1"/>
    <n v="1"/>
    <x v="9"/>
    <s v="Qtr-2"/>
  </r>
  <r>
    <s v="04-832-3559"/>
    <x v="29"/>
    <x v="0"/>
    <x v="1"/>
    <x v="0"/>
    <x v="2"/>
    <x v="0"/>
    <s v="Middle"/>
    <s v="Narol"/>
    <s v="Poland"/>
    <x v="21"/>
    <n v="88.4"/>
    <n v="5"/>
    <s v="In-Store"/>
    <n v="5"/>
    <n v="2"/>
    <n v="0"/>
    <s v="Medium"/>
    <s v="Not Sensitive"/>
    <n v="0"/>
    <x v="7"/>
    <s v="Medium"/>
    <x v="2"/>
    <s v="Cash"/>
    <d v="2024-05-26T00:00:00"/>
    <x v="0"/>
    <x v="0"/>
    <x v="0"/>
    <x v="0"/>
    <n v="4"/>
    <x v="9"/>
    <s v="Qtr-2"/>
  </r>
  <r>
    <s v="27-613-5005"/>
    <x v="3"/>
    <x v="0"/>
    <x v="1"/>
    <x v="0"/>
    <x v="2"/>
    <x v="2"/>
    <s v="High"/>
    <s v="Fresno"/>
    <s v="United States"/>
    <x v="2"/>
    <n v="430.9"/>
    <n v="8"/>
    <s v="Online"/>
    <n v="4"/>
    <n v="5"/>
    <n v="60"/>
    <s v="High"/>
    <s v="Not Sensitive"/>
    <n v="0"/>
    <x v="9"/>
    <s v="None"/>
    <x v="0"/>
    <s v="Credit Card"/>
    <d v="2024-06-06T00:00:00"/>
    <x v="1"/>
    <x v="0"/>
    <x v="1"/>
    <x v="1"/>
    <n v="11"/>
    <x v="4"/>
    <s v="Qtr-2"/>
  </r>
  <r>
    <s v="49-825-3438"/>
    <x v="17"/>
    <x v="1"/>
    <x v="1"/>
    <x v="1"/>
    <x v="2"/>
    <x v="1"/>
    <s v="High"/>
    <s v="Vabalninkas"/>
    <s v="Lithuania"/>
    <x v="7"/>
    <n v="435.23"/>
    <n v="2"/>
    <s v="In-Store"/>
    <n v="2"/>
    <n v="4"/>
    <n v="0"/>
    <s v="None"/>
    <s v="Somewhat Sensitive"/>
    <n v="1"/>
    <x v="6"/>
    <s v="Medium"/>
    <x v="1"/>
    <s v="Cash"/>
    <d v="2024-02-27T00:00:00"/>
    <x v="1"/>
    <x v="1"/>
    <x v="2"/>
    <x v="2"/>
    <n v="13"/>
    <x v="8"/>
    <s v="Qtr-1"/>
  </r>
  <r>
    <s v="31-783-9785"/>
    <x v="24"/>
    <x v="3"/>
    <x v="0"/>
    <x v="1"/>
    <x v="3"/>
    <x v="2"/>
    <s v="Middle"/>
    <s v="Jambuwerkrajan"/>
    <s v="Indonesia"/>
    <x v="16"/>
    <n v="218.65"/>
    <n v="3"/>
    <s v="Online"/>
    <n v="4"/>
    <n v="2"/>
    <n v="120"/>
    <s v="Low"/>
    <s v="Very Sensitive"/>
    <n v="0"/>
    <x v="5"/>
    <s v="Medium"/>
    <x v="1"/>
    <s v="Credit Card"/>
    <d v="2024-07-17T00:00:00"/>
    <x v="0"/>
    <x v="1"/>
    <x v="2"/>
    <x v="1"/>
    <n v="4"/>
    <x v="5"/>
    <s v="Qtr-3"/>
  </r>
  <r>
    <s v="58-059-8187"/>
    <x v="23"/>
    <x v="0"/>
    <x v="1"/>
    <x v="1"/>
    <x v="2"/>
    <x v="1"/>
    <s v="Middle"/>
    <s v="Ozubulu"/>
    <s v="Nigeria"/>
    <x v="18"/>
    <n v="207.66"/>
    <n v="10"/>
    <s v="In-Store"/>
    <n v="2"/>
    <n v="3"/>
    <n v="60"/>
    <s v="High"/>
    <s v="Very Sensitive"/>
    <n v="0.2"/>
    <x v="6"/>
    <s v="Medium"/>
    <x v="2"/>
    <s v="Other"/>
    <d v="2024-07-08T00:00:00"/>
    <x v="1"/>
    <x v="1"/>
    <x v="1"/>
    <x v="1"/>
    <n v="8"/>
    <x v="5"/>
    <s v="Qtr-3"/>
  </r>
  <r>
    <s v="74-882-6648"/>
    <x v="10"/>
    <x v="2"/>
    <x v="0"/>
    <x v="1"/>
    <x v="0"/>
    <x v="1"/>
    <s v="High"/>
    <s v="Nakhchivan"/>
    <s v="Azerbaijan"/>
    <x v="17"/>
    <n v="141.09"/>
    <n v="7"/>
    <s v="In-Store"/>
    <n v="3"/>
    <n v="4"/>
    <n v="0"/>
    <s v="High"/>
    <s v="Very Sensitive"/>
    <n v="0.2857142857142857"/>
    <x v="4"/>
    <s v="High"/>
    <x v="2"/>
    <s v="Debit Card"/>
    <d v="2024-06-19T00:00:00"/>
    <x v="1"/>
    <x v="1"/>
    <x v="1"/>
    <x v="2"/>
    <n v="1"/>
    <x v="4"/>
    <s v="Qtr-2"/>
  </r>
  <r>
    <s v="03-180-9200"/>
    <x v="7"/>
    <x v="2"/>
    <x v="1"/>
    <x v="1"/>
    <x v="3"/>
    <x v="0"/>
    <s v="Middle"/>
    <s v="Curumaní"/>
    <s v="Colombia"/>
    <x v="12"/>
    <n v="142.69999999999999"/>
    <n v="6"/>
    <s v="In-Store"/>
    <n v="3"/>
    <n v="2"/>
    <n v="60"/>
    <s v="None"/>
    <s v="Very Sensitive"/>
    <n v="0"/>
    <x v="7"/>
    <s v="None"/>
    <x v="2"/>
    <s v="Credit Card"/>
    <d v="2024-05-17T00:00:00"/>
    <x v="1"/>
    <x v="1"/>
    <x v="2"/>
    <x v="0"/>
    <n v="11"/>
    <x v="9"/>
    <s v="Qtr-2"/>
  </r>
  <r>
    <s v="46-578-1425"/>
    <x v="32"/>
    <x v="1"/>
    <x v="1"/>
    <x v="1"/>
    <x v="3"/>
    <x v="2"/>
    <s v="High"/>
    <s v="Praia"/>
    <s v="Cape Verde"/>
    <x v="9"/>
    <n v="64.09"/>
    <n v="10"/>
    <s v="Online"/>
    <n v="5"/>
    <n v="5"/>
    <n v="0"/>
    <s v="None"/>
    <s v="Somewhat Sensitive"/>
    <n v="0"/>
    <x v="9"/>
    <s v="Low"/>
    <x v="2"/>
    <s v="Credit Card"/>
    <d v="2024-10-20T00:00:00"/>
    <x v="0"/>
    <x v="0"/>
    <x v="0"/>
    <x v="2"/>
    <n v="7"/>
    <x v="2"/>
    <s v="Qtr-4"/>
  </r>
  <r>
    <s v="13-588-5783"/>
    <x v="28"/>
    <x v="0"/>
    <x v="0"/>
    <x v="0"/>
    <x v="0"/>
    <x v="1"/>
    <s v="Middle"/>
    <s v="São Cristóvão"/>
    <s v="Brazil"/>
    <x v="16"/>
    <n v="126.26"/>
    <n v="2"/>
    <s v="Online"/>
    <n v="4"/>
    <n v="5"/>
    <n v="60"/>
    <s v="None"/>
    <s v="Somewhat Sensitive"/>
    <n v="0.5"/>
    <x v="9"/>
    <s v="None"/>
    <x v="1"/>
    <s v="Debit Card"/>
    <d v="2024-09-19T00:00:00"/>
    <x v="0"/>
    <x v="0"/>
    <x v="3"/>
    <x v="1"/>
    <n v="13"/>
    <x v="10"/>
    <s v="Qtr-3"/>
  </r>
  <r>
    <s v="25-085-7917"/>
    <x v="21"/>
    <x v="1"/>
    <x v="0"/>
    <x v="0"/>
    <x v="1"/>
    <x v="1"/>
    <s v="High"/>
    <s v="Pallisa"/>
    <s v="Uganda"/>
    <x v="11"/>
    <n v="195.05"/>
    <n v="5"/>
    <s v="In-Store"/>
    <n v="2"/>
    <n v="1"/>
    <n v="120"/>
    <s v="Medium"/>
    <s v="Not Sensitive"/>
    <n v="0"/>
    <x v="3"/>
    <s v="High"/>
    <x v="1"/>
    <s v="Other"/>
    <d v="2024-05-21T00:00:00"/>
    <x v="0"/>
    <x v="0"/>
    <x v="2"/>
    <x v="0"/>
    <n v="11"/>
    <x v="9"/>
    <s v="Qtr-2"/>
  </r>
  <r>
    <s v="66-085-1226"/>
    <x v="0"/>
    <x v="0"/>
    <x v="0"/>
    <x v="0"/>
    <x v="0"/>
    <x v="2"/>
    <s v="High"/>
    <s v="San Pascual"/>
    <s v="Philippines"/>
    <x v="19"/>
    <n v="432.84"/>
    <n v="7"/>
    <s v="Mixed"/>
    <n v="4"/>
    <n v="5"/>
    <n v="120"/>
    <s v="High"/>
    <s v="Very Sensitive"/>
    <n v="0"/>
    <x v="2"/>
    <s v="High"/>
    <x v="0"/>
    <s v="Debit Card"/>
    <d v="2024-02-05T00:00:00"/>
    <x v="1"/>
    <x v="0"/>
    <x v="1"/>
    <x v="0"/>
    <n v="4"/>
    <x v="8"/>
    <s v="Qtr-1"/>
  </r>
  <r>
    <s v="37-037-1765"/>
    <x v="12"/>
    <x v="2"/>
    <x v="1"/>
    <x v="1"/>
    <x v="0"/>
    <x v="0"/>
    <s v="Middle"/>
    <s v="‘A???rah ash Sham?l?yah"/>
    <s v="Palestine"/>
    <x v="23"/>
    <n v="404.12"/>
    <n v="6"/>
    <s v="In-Store"/>
    <n v="1"/>
    <n v="3"/>
    <n v="60"/>
    <s v="High"/>
    <s v="Very Sensitive"/>
    <n v="0"/>
    <x v="7"/>
    <s v="Low"/>
    <x v="1"/>
    <s v="Debit Card"/>
    <d v="2024-02-29T00:00:00"/>
    <x v="1"/>
    <x v="0"/>
    <x v="2"/>
    <x v="2"/>
    <n v="11"/>
    <x v="8"/>
    <s v="Qtr-1"/>
  </r>
  <r>
    <s v="48-630-6410"/>
    <x v="7"/>
    <x v="2"/>
    <x v="1"/>
    <x v="1"/>
    <x v="3"/>
    <x v="2"/>
    <s v="High"/>
    <s v="Dom Pedrito"/>
    <s v="Brazil"/>
    <x v="19"/>
    <n v="438.26"/>
    <n v="10"/>
    <s v="In-Store"/>
    <n v="3"/>
    <n v="4"/>
    <n v="60"/>
    <s v="None"/>
    <s v="Somewhat Sensitive"/>
    <n v="0.1"/>
    <x v="4"/>
    <s v="Medium"/>
    <x v="1"/>
    <s v="Debit Card"/>
    <d v="2024-07-04T00:00:00"/>
    <x v="0"/>
    <x v="0"/>
    <x v="3"/>
    <x v="2"/>
    <n v="10"/>
    <x v="5"/>
    <s v="Qtr-3"/>
  </r>
  <r>
    <s v="50-471-0212"/>
    <x v="24"/>
    <x v="3"/>
    <x v="0"/>
    <x v="1"/>
    <x v="1"/>
    <x v="0"/>
    <s v="High"/>
    <s v="San Sebastián de Yalí"/>
    <s v="Nicaragua"/>
    <x v="23"/>
    <n v="233.02"/>
    <n v="4"/>
    <s v="Mixed"/>
    <n v="3"/>
    <n v="3"/>
    <n v="60"/>
    <s v="Medium"/>
    <s v="Not Sensitive"/>
    <n v="0"/>
    <x v="4"/>
    <s v="Medium"/>
    <x v="1"/>
    <s v="Cash"/>
    <d v="2024-10-29T00:00:00"/>
    <x v="1"/>
    <x v="0"/>
    <x v="2"/>
    <x v="1"/>
    <n v="8"/>
    <x v="2"/>
    <s v="Qtr-4"/>
  </r>
  <r>
    <s v="48-642-5768"/>
    <x v="29"/>
    <x v="0"/>
    <x v="0"/>
    <x v="0"/>
    <x v="2"/>
    <x v="0"/>
    <s v="Middle"/>
    <s v="Shchëkino"/>
    <s v="Russia"/>
    <x v="12"/>
    <n v="273.41000000000003"/>
    <n v="7"/>
    <s v="Online"/>
    <n v="3"/>
    <n v="5"/>
    <n v="120"/>
    <s v="Low"/>
    <s v="Very Sensitive"/>
    <n v="0"/>
    <x v="5"/>
    <s v="Medium"/>
    <x v="0"/>
    <s v="Other"/>
    <d v="2024-10-17T00:00:00"/>
    <x v="0"/>
    <x v="0"/>
    <x v="3"/>
    <x v="1"/>
    <n v="2"/>
    <x v="2"/>
    <s v="Qtr-4"/>
  </r>
  <r>
    <s v="15-152-9751"/>
    <x v="6"/>
    <x v="0"/>
    <x v="0"/>
    <x v="1"/>
    <x v="0"/>
    <x v="1"/>
    <s v="Middle"/>
    <s v="Turkestan"/>
    <s v="Kazakhstan"/>
    <x v="4"/>
    <n v="338.96"/>
    <n v="10"/>
    <s v="Online"/>
    <n v="1"/>
    <n v="4"/>
    <n v="120"/>
    <s v="High"/>
    <s v="Somewhat Sensitive"/>
    <n v="0.1"/>
    <x v="5"/>
    <s v="High"/>
    <x v="2"/>
    <s v="Debit Card"/>
    <d v="2024-11-04T00:00:00"/>
    <x v="0"/>
    <x v="1"/>
    <x v="1"/>
    <x v="1"/>
    <n v="4"/>
    <x v="11"/>
    <s v="Qtr-4"/>
  </r>
  <r>
    <s v="23-451-9920"/>
    <x v="14"/>
    <x v="2"/>
    <x v="1"/>
    <x v="0"/>
    <x v="3"/>
    <x v="2"/>
    <s v="High"/>
    <s v="Rzeczenica"/>
    <s v="Poland"/>
    <x v="8"/>
    <n v="75.91"/>
    <n v="12"/>
    <s v="Mixed"/>
    <n v="3"/>
    <n v="5"/>
    <n v="120"/>
    <s v="Low"/>
    <s v="Very Sensitive"/>
    <n v="0"/>
    <x v="9"/>
    <s v="None"/>
    <x v="2"/>
    <s v="PayPal"/>
    <d v="2024-11-21T00:00:00"/>
    <x v="0"/>
    <x v="1"/>
    <x v="3"/>
    <x v="0"/>
    <n v="1"/>
    <x v="11"/>
    <s v="Qtr-4"/>
  </r>
  <r>
    <s v="09-775-4058"/>
    <x v="25"/>
    <x v="0"/>
    <x v="1"/>
    <x v="1"/>
    <x v="0"/>
    <x v="1"/>
    <s v="High"/>
    <s v="Perzów"/>
    <s v="Poland"/>
    <x v="7"/>
    <n v="425.21"/>
    <n v="12"/>
    <s v="Online"/>
    <n v="2"/>
    <n v="4"/>
    <n v="120"/>
    <s v="Low"/>
    <s v="Somewhat Sensitive"/>
    <n v="0"/>
    <x v="7"/>
    <s v="High"/>
    <x v="2"/>
    <s v="Other"/>
    <d v="2024-03-25T00:00:00"/>
    <x v="0"/>
    <x v="1"/>
    <x v="3"/>
    <x v="2"/>
    <n v="12"/>
    <x v="0"/>
    <s v="Qtr-1"/>
  </r>
  <r>
    <s v="43-595-0966"/>
    <x v="19"/>
    <x v="1"/>
    <x v="1"/>
    <x v="0"/>
    <x v="0"/>
    <x v="2"/>
    <s v="Middle"/>
    <s v="Sabon Gari-Nangere"/>
    <s v="Nigeria"/>
    <x v="14"/>
    <n v="268.8"/>
    <n v="2"/>
    <s v="In-Store"/>
    <n v="1"/>
    <n v="3"/>
    <n v="0"/>
    <s v="High"/>
    <s v="Very Sensitive"/>
    <n v="0.5"/>
    <x v="0"/>
    <s v="None"/>
    <x v="2"/>
    <s v="Debit Card"/>
    <d v="2024-04-20T00:00:00"/>
    <x v="1"/>
    <x v="0"/>
    <x v="0"/>
    <x v="1"/>
    <n v="12"/>
    <x v="1"/>
    <s v="Qtr-2"/>
  </r>
  <r>
    <s v="56-592-0089"/>
    <x v="22"/>
    <x v="2"/>
    <x v="0"/>
    <x v="0"/>
    <x v="3"/>
    <x v="2"/>
    <s v="High"/>
    <s v="Hengshui"/>
    <s v="China"/>
    <x v="10"/>
    <n v="170.71"/>
    <n v="10"/>
    <s v="Mixed"/>
    <n v="5"/>
    <n v="3"/>
    <n v="0"/>
    <s v="Low"/>
    <s v="Somewhat Sensitive"/>
    <n v="0.1"/>
    <x v="5"/>
    <s v="Low"/>
    <x v="2"/>
    <s v="Credit Card"/>
    <d v="2024-04-14T00:00:00"/>
    <x v="0"/>
    <x v="1"/>
    <x v="3"/>
    <x v="0"/>
    <n v="7"/>
    <x v="1"/>
    <s v="Qtr-2"/>
  </r>
  <r>
    <s v="29-374-1297"/>
    <x v="4"/>
    <x v="2"/>
    <x v="4"/>
    <x v="0"/>
    <x v="2"/>
    <x v="1"/>
    <s v="Middle"/>
    <s v="Nantes"/>
    <s v="France"/>
    <x v="9"/>
    <n v="444.05"/>
    <n v="10"/>
    <s v="Online"/>
    <n v="5"/>
    <n v="4"/>
    <n v="0"/>
    <s v="Low"/>
    <s v="Not Sensitive"/>
    <n v="0.1"/>
    <x v="8"/>
    <s v="Medium"/>
    <x v="2"/>
    <s v="PayPal"/>
    <d v="2024-06-04T00:00:00"/>
    <x v="0"/>
    <x v="1"/>
    <x v="1"/>
    <x v="1"/>
    <n v="8"/>
    <x v="4"/>
    <s v="Qtr-2"/>
  </r>
  <r>
    <s v="80-728-6133"/>
    <x v="26"/>
    <x v="1"/>
    <x v="1"/>
    <x v="0"/>
    <x v="3"/>
    <x v="1"/>
    <s v="Middle"/>
    <s v="Tamorot"/>
    <s v="Morocco"/>
    <x v="0"/>
    <n v="255.1"/>
    <n v="5"/>
    <s v="Mixed"/>
    <n v="5"/>
    <n v="1"/>
    <n v="120"/>
    <s v="High"/>
    <s v="Very Sensitive"/>
    <n v="0.2"/>
    <x v="2"/>
    <s v="Low"/>
    <x v="2"/>
    <s v="PayPal"/>
    <d v="2024-01-28T00:00:00"/>
    <x v="0"/>
    <x v="0"/>
    <x v="3"/>
    <x v="0"/>
    <n v="14"/>
    <x v="3"/>
    <s v="Qtr-1"/>
  </r>
  <r>
    <s v="58-502-7490"/>
    <x v="11"/>
    <x v="2"/>
    <x v="1"/>
    <x v="1"/>
    <x v="2"/>
    <x v="0"/>
    <s v="High"/>
    <s v="Sinchao"/>
    <s v="Peru"/>
    <x v="18"/>
    <n v="236.44"/>
    <n v="6"/>
    <s v="Mixed"/>
    <n v="4"/>
    <n v="4"/>
    <n v="0"/>
    <s v="Medium"/>
    <s v="Very Sensitive"/>
    <n v="0.33333333333333331"/>
    <x v="6"/>
    <s v="None"/>
    <x v="1"/>
    <s v="PayPal"/>
    <d v="2024-05-15T00:00:00"/>
    <x v="1"/>
    <x v="0"/>
    <x v="2"/>
    <x v="1"/>
    <n v="6"/>
    <x v="9"/>
    <s v="Qtr-2"/>
  </r>
  <r>
    <s v="23-537-0742"/>
    <x v="28"/>
    <x v="0"/>
    <x v="1"/>
    <x v="0"/>
    <x v="2"/>
    <x v="0"/>
    <s v="High"/>
    <s v="Anding"/>
    <s v="China"/>
    <x v="4"/>
    <n v="201.69"/>
    <n v="11"/>
    <s v="Mixed"/>
    <n v="4"/>
    <n v="5"/>
    <n v="0"/>
    <s v="High"/>
    <s v="Very Sensitive"/>
    <n v="0.18181818181818182"/>
    <x v="8"/>
    <s v="Low"/>
    <x v="0"/>
    <s v="Other"/>
    <d v="2024-07-19T00:00:00"/>
    <x v="0"/>
    <x v="0"/>
    <x v="3"/>
    <x v="0"/>
    <n v="3"/>
    <x v="5"/>
    <s v="Qtr-3"/>
  </r>
  <r>
    <s v="22-483-3115"/>
    <x v="14"/>
    <x v="2"/>
    <x v="0"/>
    <x v="1"/>
    <x v="1"/>
    <x v="0"/>
    <s v="Middle"/>
    <s v="Rukem"/>
    <s v="Indonesia"/>
    <x v="17"/>
    <n v="390.51"/>
    <n v="6"/>
    <s v="Online"/>
    <n v="3"/>
    <n v="2"/>
    <n v="0"/>
    <s v="Medium"/>
    <s v="Very Sensitive"/>
    <n v="0"/>
    <x v="6"/>
    <s v="High"/>
    <x v="2"/>
    <s v="Cash"/>
    <d v="2024-04-15T00:00:00"/>
    <x v="1"/>
    <x v="0"/>
    <x v="1"/>
    <x v="2"/>
    <n v="6"/>
    <x v="1"/>
    <s v="Qtr-2"/>
  </r>
  <r>
    <s v="57-372-5969"/>
    <x v="22"/>
    <x v="2"/>
    <x v="4"/>
    <x v="1"/>
    <x v="3"/>
    <x v="2"/>
    <s v="High"/>
    <s v="Bogovarovo"/>
    <s v="Russia"/>
    <x v="20"/>
    <n v="442.29"/>
    <n v="9"/>
    <s v="Mixed"/>
    <n v="1"/>
    <n v="2"/>
    <n v="0"/>
    <s v="Medium"/>
    <s v="Somewhat Sensitive"/>
    <n v="0.1111111111111111"/>
    <x v="6"/>
    <s v="Low"/>
    <x v="0"/>
    <s v="PayPal"/>
    <d v="2024-09-11T00:00:00"/>
    <x v="1"/>
    <x v="0"/>
    <x v="3"/>
    <x v="2"/>
    <n v="13"/>
    <x v="10"/>
    <s v="Qtr-3"/>
  </r>
  <r>
    <s v="37-283-9076"/>
    <x v="27"/>
    <x v="3"/>
    <x v="0"/>
    <x v="0"/>
    <x v="1"/>
    <x v="1"/>
    <s v="High"/>
    <s v="Valbo"/>
    <s v="Sweden"/>
    <x v="4"/>
    <n v="89.6"/>
    <n v="7"/>
    <s v="In-Store"/>
    <n v="5"/>
    <n v="3"/>
    <n v="120"/>
    <s v="None"/>
    <s v="Not Sensitive"/>
    <n v="0.14285714285714285"/>
    <x v="1"/>
    <s v="Low"/>
    <x v="2"/>
    <s v="Cash"/>
    <d v="2024-03-10T00:00:00"/>
    <x v="1"/>
    <x v="0"/>
    <x v="3"/>
    <x v="1"/>
    <n v="8"/>
    <x v="0"/>
    <s v="Qtr-1"/>
  </r>
  <r>
    <s v="39-075-3518"/>
    <x v="23"/>
    <x v="0"/>
    <x v="1"/>
    <x v="0"/>
    <x v="2"/>
    <x v="1"/>
    <s v="High"/>
    <s v="Jaguaruana"/>
    <s v="Brazil"/>
    <x v="6"/>
    <n v="166.74"/>
    <n v="6"/>
    <s v="Mixed"/>
    <n v="2"/>
    <n v="5"/>
    <n v="0"/>
    <s v="High"/>
    <s v="Not Sensitive"/>
    <n v="0"/>
    <x v="9"/>
    <s v="Low"/>
    <x v="2"/>
    <s v="Other"/>
    <d v="2024-01-14T00:00:00"/>
    <x v="1"/>
    <x v="0"/>
    <x v="2"/>
    <x v="0"/>
    <n v="1"/>
    <x v="3"/>
    <s v="Qtr-1"/>
  </r>
  <r>
    <s v="84-315-7189"/>
    <x v="3"/>
    <x v="0"/>
    <x v="0"/>
    <x v="1"/>
    <x v="0"/>
    <x v="0"/>
    <s v="Middle"/>
    <s v="?qchah Kh?nah"/>
    <s v="Afghanistan"/>
    <x v="7"/>
    <n v="299.27999999999997"/>
    <n v="12"/>
    <s v="Mixed"/>
    <n v="4"/>
    <n v="5"/>
    <n v="60"/>
    <s v="High"/>
    <s v="Somewhat Sensitive"/>
    <n v="0"/>
    <x v="5"/>
    <s v="High"/>
    <x v="1"/>
    <s v="Debit Card"/>
    <d v="2024-05-29T00:00:00"/>
    <x v="1"/>
    <x v="0"/>
    <x v="1"/>
    <x v="1"/>
    <n v="3"/>
    <x v="9"/>
    <s v="Qtr-2"/>
  </r>
  <r>
    <s v="75-964-5589"/>
    <x v="2"/>
    <x v="0"/>
    <x v="1"/>
    <x v="1"/>
    <x v="2"/>
    <x v="2"/>
    <s v="High"/>
    <s v="Lipovci"/>
    <s v="Slovenia"/>
    <x v="6"/>
    <n v="404.57"/>
    <n v="5"/>
    <s v="Mixed"/>
    <n v="4"/>
    <n v="3"/>
    <n v="0"/>
    <s v="Medium"/>
    <s v="Not Sensitive"/>
    <n v="0.4"/>
    <x v="0"/>
    <s v="None"/>
    <x v="1"/>
    <s v="Debit Card"/>
    <d v="2024-08-31T00:00:00"/>
    <x v="1"/>
    <x v="1"/>
    <x v="0"/>
    <x v="2"/>
    <n v="14"/>
    <x v="7"/>
    <s v="Qtr-3"/>
  </r>
  <r>
    <s v="06-594-3417"/>
    <x v="23"/>
    <x v="0"/>
    <x v="1"/>
    <x v="1"/>
    <x v="1"/>
    <x v="0"/>
    <s v="High"/>
    <s v="Panagyurishte"/>
    <s v="Bulgaria"/>
    <x v="14"/>
    <n v="344.81"/>
    <n v="10"/>
    <s v="In-Store"/>
    <n v="3"/>
    <n v="1"/>
    <n v="120"/>
    <s v="Low"/>
    <s v="Somewhat Sensitive"/>
    <n v="0.1"/>
    <x v="5"/>
    <s v="High"/>
    <x v="2"/>
    <s v="Other"/>
    <d v="2024-12-23T00:00:00"/>
    <x v="0"/>
    <x v="1"/>
    <x v="1"/>
    <x v="2"/>
    <n v="14"/>
    <x v="6"/>
    <s v="Qtr-4"/>
  </r>
  <r>
    <s v="08-297-3351"/>
    <x v="10"/>
    <x v="2"/>
    <x v="1"/>
    <x v="1"/>
    <x v="1"/>
    <x v="2"/>
    <s v="High"/>
    <s v="Th? Tr?n Than Uyên"/>
    <s v="Vietnam"/>
    <x v="10"/>
    <n v="217.84"/>
    <n v="10"/>
    <s v="Online"/>
    <n v="2"/>
    <n v="2"/>
    <n v="120"/>
    <s v="None"/>
    <s v="Very Sensitive"/>
    <n v="0"/>
    <x v="8"/>
    <s v="High"/>
    <x v="0"/>
    <s v="Cash"/>
    <d v="2024-01-16T00:00:00"/>
    <x v="0"/>
    <x v="1"/>
    <x v="1"/>
    <x v="1"/>
    <n v="11"/>
    <x v="3"/>
    <s v="Qtr-1"/>
  </r>
  <r>
    <s v="05-546-5128"/>
    <x v="6"/>
    <x v="0"/>
    <x v="1"/>
    <x v="0"/>
    <x v="3"/>
    <x v="0"/>
    <s v="Middle"/>
    <s v="Clichy"/>
    <s v="France"/>
    <x v="6"/>
    <n v="445.34"/>
    <n v="9"/>
    <s v="In-Store"/>
    <n v="5"/>
    <n v="2"/>
    <n v="60"/>
    <s v="Low"/>
    <s v="Somewhat Sensitive"/>
    <n v="0.1111111111111111"/>
    <x v="4"/>
    <s v="High"/>
    <x v="0"/>
    <s v="Cash"/>
    <d v="2024-03-04T00:00:00"/>
    <x v="0"/>
    <x v="1"/>
    <x v="2"/>
    <x v="0"/>
    <n v="3"/>
    <x v="0"/>
    <s v="Qtr-1"/>
  </r>
  <r>
    <s v="79-759-6726"/>
    <x v="27"/>
    <x v="3"/>
    <x v="1"/>
    <x v="1"/>
    <x v="2"/>
    <x v="1"/>
    <s v="High"/>
    <s v="K?oczew"/>
    <s v="Poland"/>
    <x v="3"/>
    <n v="151.72999999999999"/>
    <n v="3"/>
    <s v="In-Store"/>
    <n v="2"/>
    <n v="4"/>
    <n v="60"/>
    <s v="Medium"/>
    <s v="Very Sensitive"/>
    <n v="0.33333333333333331"/>
    <x v="4"/>
    <s v="None"/>
    <x v="1"/>
    <s v="Other"/>
    <d v="2024-09-24T00:00:00"/>
    <x v="1"/>
    <x v="1"/>
    <x v="1"/>
    <x v="2"/>
    <n v="11"/>
    <x v="10"/>
    <s v="Qtr-3"/>
  </r>
  <r>
    <s v="12-851-1771"/>
    <x v="17"/>
    <x v="1"/>
    <x v="2"/>
    <x v="1"/>
    <x v="0"/>
    <x v="1"/>
    <s v="High"/>
    <s v="Zhukovo"/>
    <s v="Russia"/>
    <x v="13"/>
    <n v="123.73"/>
    <n v="9"/>
    <s v="Online"/>
    <n v="1"/>
    <n v="4"/>
    <n v="0"/>
    <s v="High"/>
    <s v="Not Sensitive"/>
    <n v="0.22222222222222221"/>
    <x v="1"/>
    <s v="High"/>
    <x v="1"/>
    <s v="Credit Card"/>
    <d v="2024-10-07T00:00:00"/>
    <x v="1"/>
    <x v="1"/>
    <x v="0"/>
    <x v="0"/>
    <n v="10"/>
    <x v="2"/>
    <s v="Qtr-4"/>
  </r>
  <r>
    <s v="79-960-1714"/>
    <x v="16"/>
    <x v="2"/>
    <x v="1"/>
    <x v="0"/>
    <x v="1"/>
    <x v="2"/>
    <s v="High"/>
    <s v="Nyköping"/>
    <s v="Sweden"/>
    <x v="22"/>
    <n v="370.54"/>
    <n v="2"/>
    <s v="In-Store"/>
    <n v="3"/>
    <n v="3"/>
    <n v="0"/>
    <s v="Low"/>
    <s v="Very Sensitive"/>
    <n v="0.5"/>
    <x v="5"/>
    <s v="Low"/>
    <x v="1"/>
    <s v="Credit Card"/>
    <d v="2024-03-25T00:00:00"/>
    <x v="0"/>
    <x v="0"/>
    <x v="2"/>
    <x v="0"/>
    <n v="7"/>
    <x v="0"/>
    <s v="Qtr-1"/>
  </r>
  <r>
    <s v="30-417-6981"/>
    <x v="5"/>
    <x v="1"/>
    <x v="1"/>
    <x v="1"/>
    <x v="0"/>
    <x v="2"/>
    <s v="High"/>
    <s v="Jianmin"/>
    <s v="China"/>
    <x v="15"/>
    <n v="152.87"/>
    <n v="3"/>
    <s v="In-Store"/>
    <n v="1"/>
    <n v="5"/>
    <n v="120"/>
    <s v="High"/>
    <s v="Very Sensitive"/>
    <n v="0.33333333333333331"/>
    <x v="8"/>
    <s v="None"/>
    <x v="0"/>
    <s v="Debit Card"/>
    <d v="2024-08-20T00:00:00"/>
    <x v="1"/>
    <x v="0"/>
    <x v="2"/>
    <x v="2"/>
    <n v="11"/>
    <x v="7"/>
    <s v="Qtr-3"/>
  </r>
  <r>
    <s v="91-532-5399"/>
    <x v="3"/>
    <x v="0"/>
    <x v="1"/>
    <x v="0"/>
    <x v="1"/>
    <x v="2"/>
    <s v="Middle"/>
    <s v="Bucaramanga"/>
    <s v="Colombia"/>
    <x v="18"/>
    <n v="295.75"/>
    <n v="4"/>
    <s v="Mixed"/>
    <n v="1"/>
    <n v="1"/>
    <n v="0"/>
    <s v="High"/>
    <s v="Somewhat Sensitive"/>
    <n v="0.25"/>
    <x v="3"/>
    <s v="Low"/>
    <x v="0"/>
    <s v="Credit Card"/>
    <d v="2024-12-07T00:00:00"/>
    <x v="0"/>
    <x v="1"/>
    <x v="0"/>
    <x v="1"/>
    <n v="8"/>
    <x v="6"/>
    <s v="Qtr-4"/>
  </r>
  <r>
    <s v="89-997-9041"/>
    <x v="15"/>
    <x v="2"/>
    <x v="1"/>
    <x v="1"/>
    <x v="2"/>
    <x v="1"/>
    <s v="Middle"/>
    <s v="Kudanding"/>
    <s v="Philippines"/>
    <x v="2"/>
    <n v="358.11"/>
    <n v="11"/>
    <s v="Mixed"/>
    <n v="5"/>
    <n v="1"/>
    <n v="0"/>
    <s v="High"/>
    <s v="Very Sensitive"/>
    <n v="0"/>
    <x v="4"/>
    <s v="High"/>
    <x v="2"/>
    <s v="Credit Card"/>
    <d v="2024-09-03T00:00:00"/>
    <x v="1"/>
    <x v="0"/>
    <x v="0"/>
    <x v="1"/>
    <n v="11"/>
    <x v="10"/>
    <s v="Qtr-3"/>
  </r>
  <r>
    <s v="26-235-6745"/>
    <x v="23"/>
    <x v="0"/>
    <x v="0"/>
    <x v="1"/>
    <x v="2"/>
    <x v="2"/>
    <s v="High"/>
    <s v="Kyoto"/>
    <s v="Japan"/>
    <x v="23"/>
    <n v="63.6"/>
    <n v="12"/>
    <s v="Mixed"/>
    <n v="5"/>
    <n v="1"/>
    <n v="0"/>
    <s v="High"/>
    <s v="Not Sensitive"/>
    <n v="0.16666666666666666"/>
    <x v="2"/>
    <s v="None"/>
    <x v="2"/>
    <s v="PayPal"/>
    <d v="2024-02-09T00:00:00"/>
    <x v="1"/>
    <x v="1"/>
    <x v="1"/>
    <x v="0"/>
    <n v="6"/>
    <x v="8"/>
    <s v="Qtr-1"/>
  </r>
  <r>
    <s v="99-080-9462"/>
    <x v="2"/>
    <x v="0"/>
    <x v="1"/>
    <x v="1"/>
    <x v="1"/>
    <x v="1"/>
    <s v="Middle"/>
    <s v="Saraburi"/>
    <s v="Thailand"/>
    <x v="5"/>
    <n v="419.53"/>
    <n v="3"/>
    <s v="Mixed"/>
    <n v="1"/>
    <n v="5"/>
    <n v="120"/>
    <s v="High"/>
    <s v="Not Sensitive"/>
    <n v="0.66666666666666663"/>
    <x v="3"/>
    <s v="Medium"/>
    <x v="0"/>
    <s v="Other"/>
    <d v="2024-03-27T00:00:00"/>
    <x v="1"/>
    <x v="0"/>
    <x v="1"/>
    <x v="2"/>
    <n v="6"/>
    <x v="0"/>
    <s v="Qtr-1"/>
  </r>
  <r>
    <s v="87-056-8987"/>
    <x v="1"/>
    <x v="1"/>
    <x v="6"/>
    <x v="1"/>
    <x v="2"/>
    <x v="1"/>
    <s v="Middle"/>
    <s v="Negeriagung"/>
    <s v="Indonesia"/>
    <x v="19"/>
    <n v="491.92"/>
    <n v="10"/>
    <s v="In-Store"/>
    <n v="5"/>
    <n v="3"/>
    <n v="0"/>
    <s v="Medium"/>
    <s v="Very Sensitive"/>
    <n v="0.1"/>
    <x v="2"/>
    <s v="Low"/>
    <x v="2"/>
    <s v="Credit Card"/>
    <d v="2024-12-29T00:00:00"/>
    <x v="1"/>
    <x v="0"/>
    <x v="1"/>
    <x v="1"/>
    <n v="2"/>
    <x v="6"/>
    <s v="Qtr-4"/>
  </r>
  <r>
    <s v="06-160-8063"/>
    <x v="6"/>
    <x v="0"/>
    <x v="2"/>
    <x v="0"/>
    <x v="3"/>
    <x v="1"/>
    <s v="High"/>
    <s v="Latacunga"/>
    <s v="Ecuador"/>
    <x v="6"/>
    <n v="114.44"/>
    <n v="4"/>
    <s v="Online"/>
    <n v="5"/>
    <n v="3"/>
    <n v="120"/>
    <s v="Low"/>
    <s v="Not Sensitive"/>
    <n v="0.25"/>
    <x v="5"/>
    <s v="None"/>
    <x v="2"/>
    <s v="Credit Card"/>
    <d v="2024-10-20T00:00:00"/>
    <x v="1"/>
    <x v="0"/>
    <x v="3"/>
    <x v="2"/>
    <n v="1"/>
    <x v="2"/>
    <s v="Qtr-4"/>
  </r>
  <r>
    <s v="73-434-2308"/>
    <x v="24"/>
    <x v="3"/>
    <x v="0"/>
    <x v="0"/>
    <x v="0"/>
    <x v="2"/>
    <s v="High"/>
    <s v="Guanzhou"/>
    <s v="China"/>
    <x v="7"/>
    <n v="388.82"/>
    <n v="10"/>
    <s v="Mixed"/>
    <n v="2"/>
    <n v="3"/>
    <n v="0"/>
    <s v="Low"/>
    <s v="Very Sensitive"/>
    <n v="0"/>
    <x v="8"/>
    <s v="Low"/>
    <x v="2"/>
    <s v="Other"/>
    <d v="2024-09-03T00:00:00"/>
    <x v="1"/>
    <x v="0"/>
    <x v="0"/>
    <x v="0"/>
    <n v="6"/>
    <x v="10"/>
    <s v="Qtr-3"/>
  </r>
  <r>
    <s v="84-260-6464"/>
    <x v="25"/>
    <x v="0"/>
    <x v="0"/>
    <x v="0"/>
    <x v="0"/>
    <x v="0"/>
    <s v="High"/>
    <s v="Tabuc Pontevedra"/>
    <s v="Philippines"/>
    <x v="7"/>
    <n v="58.32"/>
    <n v="7"/>
    <s v="In-Store"/>
    <n v="1"/>
    <n v="5"/>
    <n v="0"/>
    <s v="Low"/>
    <s v="Not Sensitive"/>
    <n v="0.14285714285714285"/>
    <x v="9"/>
    <s v="Low"/>
    <x v="1"/>
    <s v="PayPal"/>
    <d v="2024-03-13T00:00:00"/>
    <x v="0"/>
    <x v="1"/>
    <x v="0"/>
    <x v="1"/>
    <n v="8"/>
    <x v="0"/>
    <s v="Qtr-1"/>
  </r>
  <r>
    <s v="00-149-4481"/>
    <x v="31"/>
    <x v="0"/>
    <x v="0"/>
    <x v="1"/>
    <x v="3"/>
    <x v="2"/>
    <s v="High"/>
    <s v="Kabale"/>
    <s v="Uganda"/>
    <x v="19"/>
    <n v="464.76"/>
    <n v="2"/>
    <s v="Mixed"/>
    <n v="5"/>
    <n v="1"/>
    <n v="0"/>
    <s v="Low"/>
    <s v="Very Sensitive"/>
    <n v="0"/>
    <x v="4"/>
    <s v="Low"/>
    <x v="2"/>
    <s v="Debit Card"/>
    <d v="2024-02-04T00:00:00"/>
    <x v="1"/>
    <x v="1"/>
    <x v="0"/>
    <x v="0"/>
    <n v="3"/>
    <x v="8"/>
    <s v="Qtr-1"/>
  </r>
  <r>
    <s v="05-710-6109"/>
    <x v="23"/>
    <x v="0"/>
    <x v="0"/>
    <x v="1"/>
    <x v="3"/>
    <x v="2"/>
    <s v="High"/>
    <s v="Malveira"/>
    <s v="Portugal"/>
    <x v="3"/>
    <n v="116.92"/>
    <n v="7"/>
    <s v="Mixed"/>
    <n v="2"/>
    <n v="3"/>
    <n v="120"/>
    <s v="None"/>
    <s v="Very Sensitive"/>
    <n v="0.2857142857142857"/>
    <x v="4"/>
    <s v="Low"/>
    <x v="2"/>
    <s v="Debit Card"/>
    <d v="2024-03-31T00:00:00"/>
    <x v="0"/>
    <x v="0"/>
    <x v="2"/>
    <x v="0"/>
    <n v="14"/>
    <x v="0"/>
    <s v="Qtr-1"/>
  </r>
  <r>
    <s v="84-724-8407"/>
    <x v="26"/>
    <x v="1"/>
    <x v="0"/>
    <x v="1"/>
    <x v="3"/>
    <x v="0"/>
    <s v="Middle"/>
    <s v="Veiga"/>
    <s v="Portugal"/>
    <x v="23"/>
    <n v="396.76"/>
    <n v="8"/>
    <s v="Online"/>
    <n v="3"/>
    <n v="3"/>
    <n v="60"/>
    <s v="None"/>
    <s v="Very Sensitive"/>
    <n v="0.25"/>
    <x v="7"/>
    <s v="High"/>
    <x v="0"/>
    <s v="Cash"/>
    <d v="2024-07-17T00:00:00"/>
    <x v="0"/>
    <x v="1"/>
    <x v="3"/>
    <x v="2"/>
    <n v="8"/>
    <x v="5"/>
    <s v="Qtr-3"/>
  </r>
  <r>
    <s v="45-795-1873"/>
    <x v="28"/>
    <x v="0"/>
    <x v="6"/>
    <x v="1"/>
    <x v="2"/>
    <x v="2"/>
    <s v="Middle"/>
    <s v="Jagistay"/>
    <s v="Russia"/>
    <x v="12"/>
    <n v="393.35"/>
    <n v="7"/>
    <s v="Mixed"/>
    <n v="3"/>
    <n v="4"/>
    <n v="120"/>
    <s v="High"/>
    <s v="Not Sensitive"/>
    <n v="0"/>
    <x v="7"/>
    <s v="High"/>
    <x v="0"/>
    <s v="Credit Card"/>
    <d v="2024-06-16T00:00:00"/>
    <x v="0"/>
    <x v="1"/>
    <x v="0"/>
    <x v="0"/>
    <n v="12"/>
    <x v="4"/>
    <s v="Qtr-2"/>
  </r>
  <r>
    <s v="06-647-3248"/>
    <x v="29"/>
    <x v="0"/>
    <x v="0"/>
    <x v="1"/>
    <x v="1"/>
    <x v="2"/>
    <s v="High"/>
    <s v="Yuannan"/>
    <s v="China"/>
    <x v="13"/>
    <n v="114.03"/>
    <n v="7"/>
    <s v="Mixed"/>
    <n v="4"/>
    <n v="3"/>
    <n v="0"/>
    <s v="Medium"/>
    <s v="Not Sensitive"/>
    <n v="0.14285714285714285"/>
    <x v="3"/>
    <s v="High"/>
    <x v="0"/>
    <s v="Credit Card"/>
    <d v="2024-04-13T00:00:00"/>
    <x v="0"/>
    <x v="1"/>
    <x v="3"/>
    <x v="0"/>
    <n v="6"/>
    <x v="1"/>
    <s v="Qtr-2"/>
  </r>
  <r>
    <s v="06-767-5206"/>
    <x v="1"/>
    <x v="1"/>
    <x v="1"/>
    <x v="1"/>
    <x v="1"/>
    <x v="0"/>
    <s v="Middle"/>
    <s v="Mount Darwin"/>
    <s v="Zimbabwe"/>
    <x v="18"/>
    <n v="109.97"/>
    <n v="4"/>
    <s v="In-Store"/>
    <n v="4"/>
    <n v="4"/>
    <n v="60"/>
    <s v="None"/>
    <s v="Very Sensitive"/>
    <n v="0.25"/>
    <x v="1"/>
    <s v="None"/>
    <x v="0"/>
    <s v="Credit Card"/>
    <d v="2024-08-12T00:00:00"/>
    <x v="0"/>
    <x v="0"/>
    <x v="1"/>
    <x v="0"/>
    <n v="1"/>
    <x v="7"/>
    <s v="Qtr-3"/>
  </r>
  <r>
    <s v="94-288-4423"/>
    <x v="7"/>
    <x v="2"/>
    <x v="0"/>
    <x v="1"/>
    <x v="2"/>
    <x v="2"/>
    <s v="High"/>
    <s v="Qal‘eh-ye Khv?jeh"/>
    <s v="Iran"/>
    <x v="21"/>
    <n v="310.23"/>
    <n v="12"/>
    <s v="In-Store"/>
    <n v="1"/>
    <n v="4"/>
    <n v="0"/>
    <s v="None"/>
    <s v="Somewhat Sensitive"/>
    <n v="0"/>
    <x v="9"/>
    <s v="None"/>
    <x v="2"/>
    <s v="PayPal"/>
    <d v="2024-12-17T00:00:00"/>
    <x v="0"/>
    <x v="0"/>
    <x v="2"/>
    <x v="2"/>
    <n v="3"/>
    <x v="6"/>
    <s v="Qtr-4"/>
  </r>
  <r>
    <s v="49-891-9711"/>
    <x v="0"/>
    <x v="0"/>
    <x v="1"/>
    <x v="0"/>
    <x v="3"/>
    <x v="2"/>
    <s v="Middle"/>
    <s v="Veiga"/>
    <s v="Spain"/>
    <x v="22"/>
    <n v="383.13"/>
    <n v="3"/>
    <s v="Mixed"/>
    <n v="4"/>
    <n v="5"/>
    <n v="0"/>
    <s v="Medium"/>
    <s v="Not Sensitive"/>
    <n v="0.66666666666666663"/>
    <x v="9"/>
    <s v="None"/>
    <x v="2"/>
    <s v="Cash"/>
    <d v="2024-09-25T00:00:00"/>
    <x v="1"/>
    <x v="0"/>
    <x v="0"/>
    <x v="0"/>
    <n v="7"/>
    <x v="10"/>
    <s v="Qtr-3"/>
  </r>
  <r>
    <s v="08-806-0588"/>
    <x v="8"/>
    <x v="0"/>
    <x v="1"/>
    <x v="1"/>
    <x v="1"/>
    <x v="1"/>
    <s v="Middle"/>
    <s v="Al Qar?rah"/>
    <s v="Palestine"/>
    <x v="18"/>
    <n v="434.86"/>
    <n v="11"/>
    <s v="In-Store"/>
    <n v="2"/>
    <n v="5"/>
    <n v="120"/>
    <s v="High"/>
    <s v="Somewhat Sensitive"/>
    <n v="0"/>
    <x v="7"/>
    <s v="Medium"/>
    <x v="1"/>
    <s v="Other"/>
    <d v="2024-06-24T00:00:00"/>
    <x v="0"/>
    <x v="0"/>
    <x v="2"/>
    <x v="2"/>
    <n v="11"/>
    <x v="4"/>
    <s v="Qtr-2"/>
  </r>
  <r>
    <s v="94-746-2001"/>
    <x v="12"/>
    <x v="2"/>
    <x v="0"/>
    <x v="0"/>
    <x v="0"/>
    <x v="0"/>
    <s v="Middle"/>
    <s v="Fandriana"/>
    <s v="Madagascar"/>
    <x v="2"/>
    <n v="489.1"/>
    <n v="9"/>
    <s v="Mixed"/>
    <n v="3"/>
    <n v="4"/>
    <n v="60"/>
    <s v="Low"/>
    <s v="Somewhat Sensitive"/>
    <n v="0.22222222222222221"/>
    <x v="7"/>
    <s v="Medium"/>
    <x v="1"/>
    <s v="Credit Card"/>
    <d v="2024-11-18T00:00:00"/>
    <x v="0"/>
    <x v="0"/>
    <x v="0"/>
    <x v="1"/>
    <n v="13"/>
    <x v="11"/>
    <s v="Qtr-4"/>
  </r>
  <r>
    <s v="38-943-5744"/>
    <x v="24"/>
    <x v="3"/>
    <x v="5"/>
    <x v="1"/>
    <x v="0"/>
    <x v="0"/>
    <s v="High"/>
    <s v="Carregueira"/>
    <s v="Portugal"/>
    <x v="23"/>
    <n v="288.14999999999998"/>
    <n v="3"/>
    <s v="Online"/>
    <n v="1"/>
    <n v="4"/>
    <n v="60"/>
    <s v="High"/>
    <s v="Somewhat Sensitive"/>
    <n v="0.33333333333333331"/>
    <x v="7"/>
    <s v="Medium"/>
    <x v="0"/>
    <s v="Cash"/>
    <d v="2024-08-06T00:00:00"/>
    <x v="0"/>
    <x v="0"/>
    <x v="2"/>
    <x v="1"/>
    <n v="13"/>
    <x v="7"/>
    <s v="Qtr-3"/>
  </r>
  <r>
    <s v="98-535-8497"/>
    <x v="22"/>
    <x v="2"/>
    <x v="1"/>
    <x v="1"/>
    <x v="3"/>
    <x v="2"/>
    <s v="Middle"/>
    <s v="Lincheng"/>
    <s v="China"/>
    <x v="20"/>
    <n v="105.87"/>
    <n v="12"/>
    <s v="Mixed"/>
    <n v="3"/>
    <n v="2"/>
    <n v="60"/>
    <s v="Low"/>
    <s v="Not Sensitive"/>
    <n v="8.3333333333333329E-2"/>
    <x v="2"/>
    <s v="Medium"/>
    <x v="0"/>
    <s v="Cash"/>
    <d v="2024-09-15T00:00:00"/>
    <x v="1"/>
    <x v="0"/>
    <x v="3"/>
    <x v="2"/>
    <n v="4"/>
    <x v="10"/>
    <s v="Qtr-3"/>
  </r>
  <r>
    <s v="33-243-8793"/>
    <x v="5"/>
    <x v="1"/>
    <x v="1"/>
    <x v="0"/>
    <x v="2"/>
    <x v="1"/>
    <s v="High"/>
    <s v="Semenivka"/>
    <s v="Ukraine"/>
    <x v="8"/>
    <n v="163.4"/>
    <n v="3"/>
    <s v="In-Store"/>
    <n v="3"/>
    <n v="5"/>
    <n v="60"/>
    <s v="High"/>
    <s v="Somewhat Sensitive"/>
    <n v="0.66666666666666663"/>
    <x v="3"/>
    <s v="High"/>
    <x v="2"/>
    <s v="Cash"/>
    <d v="2024-07-08T00:00:00"/>
    <x v="0"/>
    <x v="0"/>
    <x v="3"/>
    <x v="1"/>
    <n v="7"/>
    <x v="5"/>
    <s v="Qtr-3"/>
  </r>
  <r>
    <s v="99-581-5577"/>
    <x v="28"/>
    <x v="0"/>
    <x v="1"/>
    <x v="1"/>
    <x v="1"/>
    <x v="1"/>
    <s v="High"/>
    <s v="Yläne"/>
    <s v="Finland"/>
    <x v="0"/>
    <n v="422.92"/>
    <n v="6"/>
    <s v="Mixed"/>
    <n v="4"/>
    <n v="1"/>
    <n v="120"/>
    <s v="None"/>
    <s v="Somewhat Sensitive"/>
    <n v="0"/>
    <x v="9"/>
    <s v="Low"/>
    <x v="2"/>
    <s v="Debit Card"/>
    <d v="2024-10-17T00:00:00"/>
    <x v="1"/>
    <x v="1"/>
    <x v="3"/>
    <x v="0"/>
    <n v="6"/>
    <x v="2"/>
    <s v="Qtr-4"/>
  </r>
  <r>
    <s v="64-180-2404"/>
    <x v="18"/>
    <x v="1"/>
    <x v="1"/>
    <x v="0"/>
    <x v="3"/>
    <x v="1"/>
    <s v="High"/>
    <s v="Cendagah"/>
    <s v="Indonesia"/>
    <x v="0"/>
    <n v="361.48"/>
    <n v="10"/>
    <s v="Online"/>
    <n v="1"/>
    <n v="4"/>
    <n v="60"/>
    <s v="Medium"/>
    <s v="Somewhat Sensitive"/>
    <n v="0.2"/>
    <x v="5"/>
    <s v="High"/>
    <x v="0"/>
    <s v="Cash"/>
    <d v="2024-06-16T00:00:00"/>
    <x v="0"/>
    <x v="1"/>
    <x v="1"/>
    <x v="2"/>
    <n v="13"/>
    <x v="4"/>
    <s v="Qtr-2"/>
  </r>
  <r>
    <s v="73-097-0986"/>
    <x v="25"/>
    <x v="0"/>
    <x v="1"/>
    <x v="0"/>
    <x v="1"/>
    <x v="2"/>
    <s v="High"/>
    <s v="F?r?z?b?d"/>
    <s v="Iran"/>
    <x v="11"/>
    <n v="270.82"/>
    <n v="2"/>
    <s v="In-Store"/>
    <n v="4"/>
    <n v="2"/>
    <n v="0"/>
    <s v="None"/>
    <s v="Somewhat Sensitive"/>
    <n v="0.5"/>
    <x v="8"/>
    <s v="Low"/>
    <x v="0"/>
    <s v="Other"/>
    <d v="2024-10-30T00:00:00"/>
    <x v="0"/>
    <x v="0"/>
    <x v="1"/>
    <x v="1"/>
    <n v="13"/>
    <x v="2"/>
    <s v="Qtr-4"/>
  </r>
  <r>
    <s v="88-051-0567"/>
    <x v="1"/>
    <x v="1"/>
    <x v="0"/>
    <x v="1"/>
    <x v="2"/>
    <x v="1"/>
    <s v="High"/>
    <s v="Trondheim"/>
    <s v="Norway"/>
    <x v="16"/>
    <n v="372.26"/>
    <n v="11"/>
    <s v="In-Store"/>
    <n v="1"/>
    <n v="5"/>
    <n v="120"/>
    <s v="None"/>
    <s v="Very Sensitive"/>
    <n v="9.0909090909090912E-2"/>
    <x v="8"/>
    <s v="High"/>
    <x v="1"/>
    <s v="PayPal"/>
    <d v="2024-08-13T00:00:00"/>
    <x v="1"/>
    <x v="1"/>
    <x v="1"/>
    <x v="2"/>
    <n v="6"/>
    <x v="7"/>
    <s v="Qtr-3"/>
  </r>
  <r>
    <s v="44-715-9594"/>
    <x v="25"/>
    <x v="0"/>
    <x v="0"/>
    <x v="0"/>
    <x v="2"/>
    <x v="0"/>
    <s v="High"/>
    <s v="Yakovlevo"/>
    <s v="Russia"/>
    <x v="13"/>
    <n v="208.59"/>
    <n v="3"/>
    <s v="Mixed"/>
    <n v="1"/>
    <n v="1"/>
    <n v="120"/>
    <s v="Medium"/>
    <s v="Somewhat Sensitive"/>
    <n v="0"/>
    <x v="7"/>
    <s v="None"/>
    <x v="2"/>
    <s v="PayPal"/>
    <d v="2024-09-03T00:00:00"/>
    <x v="0"/>
    <x v="0"/>
    <x v="2"/>
    <x v="2"/>
    <n v="1"/>
    <x v="10"/>
    <s v="Qtr-3"/>
  </r>
  <r>
    <s v="84-188-6577"/>
    <x v="7"/>
    <x v="2"/>
    <x v="1"/>
    <x v="0"/>
    <x v="2"/>
    <x v="1"/>
    <s v="High"/>
    <s v="Katav-Ivanovsk"/>
    <s v="Russia"/>
    <x v="0"/>
    <n v="163.22"/>
    <n v="8"/>
    <s v="Online"/>
    <n v="5"/>
    <n v="3"/>
    <n v="0"/>
    <s v="High"/>
    <s v="Somewhat Sensitive"/>
    <n v="0.125"/>
    <x v="4"/>
    <s v="None"/>
    <x v="1"/>
    <s v="PayPal"/>
    <d v="2024-07-01T00:00:00"/>
    <x v="1"/>
    <x v="1"/>
    <x v="1"/>
    <x v="0"/>
    <n v="8"/>
    <x v="5"/>
    <s v="Qtr-3"/>
  </r>
  <r>
    <s v="19-116-4723"/>
    <x v="5"/>
    <x v="1"/>
    <x v="1"/>
    <x v="1"/>
    <x v="0"/>
    <x v="1"/>
    <s v="High"/>
    <s v="Voznesenskoye"/>
    <s v="Russia"/>
    <x v="9"/>
    <n v="364.98"/>
    <n v="7"/>
    <s v="In-Store"/>
    <n v="4"/>
    <n v="1"/>
    <n v="0"/>
    <s v="Low"/>
    <s v="Very Sensitive"/>
    <n v="0"/>
    <x v="2"/>
    <s v="None"/>
    <x v="2"/>
    <s v="Cash"/>
    <d v="2024-05-11T00:00:00"/>
    <x v="0"/>
    <x v="0"/>
    <x v="1"/>
    <x v="1"/>
    <n v="8"/>
    <x v="9"/>
    <s v="Qtr-2"/>
  </r>
  <r>
    <s v="21-783-9242"/>
    <x v="16"/>
    <x v="2"/>
    <x v="7"/>
    <x v="1"/>
    <x v="3"/>
    <x v="2"/>
    <s v="High"/>
    <s v="Voskhod"/>
    <s v="Russia"/>
    <x v="19"/>
    <n v="142.43"/>
    <n v="3"/>
    <s v="In-Store"/>
    <n v="2"/>
    <n v="5"/>
    <n v="120"/>
    <s v="High"/>
    <s v="Very Sensitive"/>
    <n v="0.33333333333333331"/>
    <x v="5"/>
    <s v="None"/>
    <x v="2"/>
    <s v="PayPal"/>
    <d v="2024-09-28T00:00:00"/>
    <x v="0"/>
    <x v="0"/>
    <x v="3"/>
    <x v="2"/>
    <n v="8"/>
    <x v="10"/>
    <s v="Qtr-3"/>
  </r>
  <r>
    <s v="95-528-2313"/>
    <x v="24"/>
    <x v="3"/>
    <x v="0"/>
    <x v="0"/>
    <x v="0"/>
    <x v="0"/>
    <s v="High"/>
    <s v="Gudja"/>
    <s v="Malta"/>
    <x v="13"/>
    <n v="449.72"/>
    <n v="3"/>
    <s v="Mixed"/>
    <n v="3"/>
    <n v="3"/>
    <n v="0"/>
    <s v="High"/>
    <s v="Somewhat Sensitive"/>
    <n v="0.33333333333333331"/>
    <x v="5"/>
    <s v="None"/>
    <x v="1"/>
    <s v="Other"/>
    <d v="2024-02-18T00:00:00"/>
    <x v="0"/>
    <x v="1"/>
    <x v="1"/>
    <x v="2"/>
    <n v="3"/>
    <x v="8"/>
    <s v="Qtr-1"/>
  </r>
  <r>
    <s v="94-682-4886"/>
    <x v="23"/>
    <x v="0"/>
    <x v="1"/>
    <x v="0"/>
    <x v="1"/>
    <x v="0"/>
    <s v="High"/>
    <s v="Gawul"/>
    <s v="Nigeria"/>
    <x v="0"/>
    <n v="241.56"/>
    <n v="12"/>
    <s v="Mixed"/>
    <n v="3"/>
    <n v="2"/>
    <n v="0"/>
    <s v="High"/>
    <s v="Not Sensitive"/>
    <n v="0"/>
    <x v="1"/>
    <s v="High"/>
    <x v="0"/>
    <s v="PayPal"/>
    <d v="2024-11-28T00:00:00"/>
    <x v="0"/>
    <x v="0"/>
    <x v="0"/>
    <x v="2"/>
    <n v="2"/>
    <x v="11"/>
    <s v="Qtr-4"/>
  </r>
  <r>
    <s v="55-944-9669"/>
    <x v="11"/>
    <x v="2"/>
    <x v="2"/>
    <x v="0"/>
    <x v="3"/>
    <x v="2"/>
    <s v="High"/>
    <s v="Sobeok"/>
    <s v="Indonesia"/>
    <x v="20"/>
    <n v="249.73"/>
    <n v="5"/>
    <s v="Mixed"/>
    <n v="1"/>
    <n v="4"/>
    <n v="120"/>
    <s v="Low"/>
    <s v="Very Sensitive"/>
    <n v="0.2"/>
    <x v="7"/>
    <s v="Low"/>
    <x v="2"/>
    <s v="Cash"/>
    <d v="2024-11-15T00:00:00"/>
    <x v="0"/>
    <x v="0"/>
    <x v="1"/>
    <x v="0"/>
    <n v="1"/>
    <x v="11"/>
    <s v="Qtr-4"/>
  </r>
  <r>
    <s v="32-314-2958"/>
    <x v="2"/>
    <x v="0"/>
    <x v="1"/>
    <x v="0"/>
    <x v="0"/>
    <x v="2"/>
    <s v="High"/>
    <s v="Nanhuang"/>
    <s v="China"/>
    <x v="3"/>
    <n v="437.3"/>
    <n v="7"/>
    <s v="Mixed"/>
    <n v="2"/>
    <n v="4"/>
    <n v="0"/>
    <s v="High"/>
    <s v="Somewhat Sensitive"/>
    <n v="0"/>
    <x v="0"/>
    <s v="None"/>
    <x v="0"/>
    <s v="Cash"/>
    <d v="2024-07-24T00:00:00"/>
    <x v="0"/>
    <x v="1"/>
    <x v="2"/>
    <x v="0"/>
    <n v="1"/>
    <x v="5"/>
    <s v="Qtr-3"/>
  </r>
  <r>
    <s v="67-697-2331"/>
    <x v="0"/>
    <x v="0"/>
    <x v="1"/>
    <x v="0"/>
    <x v="0"/>
    <x v="2"/>
    <s v="High"/>
    <s v="Tanudan"/>
    <s v="Philippines"/>
    <x v="19"/>
    <n v="277.29000000000002"/>
    <n v="4"/>
    <s v="Mixed"/>
    <n v="1"/>
    <n v="4"/>
    <n v="60"/>
    <s v="None"/>
    <s v="Somewhat Sensitive"/>
    <n v="0.5"/>
    <x v="8"/>
    <s v="Low"/>
    <x v="1"/>
    <s v="Credit Card"/>
    <d v="2024-01-27T00:00:00"/>
    <x v="0"/>
    <x v="1"/>
    <x v="1"/>
    <x v="0"/>
    <n v="4"/>
    <x v="3"/>
    <s v="Qtr-1"/>
  </r>
  <r>
    <s v="28-855-1639"/>
    <x v="19"/>
    <x v="1"/>
    <x v="1"/>
    <x v="1"/>
    <x v="1"/>
    <x v="1"/>
    <s v="Middle"/>
    <s v="Jiaozuo"/>
    <s v="China"/>
    <x v="13"/>
    <n v="445.93"/>
    <n v="6"/>
    <s v="Online"/>
    <n v="5"/>
    <n v="5"/>
    <n v="120"/>
    <s v="High"/>
    <s v="Somewhat Sensitive"/>
    <n v="0.33333333333333331"/>
    <x v="7"/>
    <s v="High"/>
    <x v="1"/>
    <s v="Debit Card"/>
    <d v="2024-05-15T00:00:00"/>
    <x v="1"/>
    <x v="1"/>
    <x v="0"/>
    <x v="0"/>
    <n v="13"/>
    <x v="9"/>
    <s v="Qtr-2"/>
  </r>
  <r>
    <s v="38-069-8615"/>
    <x v="14"/>
    <x v="2"/>
    <x v="0"/>
    <x v="0"/>
    <x v="0"/>
    <x v="0"/>
    <s v="Middle"/>
    <s v="Tak?b"/>
    <s v="Philippines"/>
    <x v="14"/>
    <n v="242.79"/>
    <n v="6"/>
    <s v="Mixed"/>
    <n v="2"/>
    <n v="4"/>
    <n v="0"/>
    <s v="High"/>
    <s v="Somewhat Sensitive"/>
    <n v="0.16666666666666666"/>
    <x v="0"/>
    <s v="None"/>
    <x v="1"/>
    <s v="Other"/>
    <d v="2024-01-20T00:00:00"/>
    <x v="0"/>
    <x v="0"/>
    <x v="2"/>
    <x v="2"/>
    <n v="7"/>
    <x v="3"/>
    <s v="Qtr-1"/>
  </r>
  <r>
    <s v="58-233-5963"/>
    <x v="10"/>
    <x v="2"/>
    <x v="1"/>
    <x v="1"/>
    <x v="1"/>
    <x v="0"/>
    <s v="High"/>
    <s v="Gualeguay"/>
    <s v="Argentina"/>
    <x v="22"/>
    <n v="393.09"/>
    <n v="8"/>
    <s v="Online"/>
    <n v="5"/>
    <n v="3"/>
    <n v="120"/>
    <s v="Medium"/>
    <s v="Somewhat Sensitive"/>
    <n v="0"/>
    <x v="4"/>
    <s v="Medium"/>
    <x v="0"/>
    <s v="Cash"/>
    <d v="2024-04-11T00:00:00"/>
    <x v="1"/>
    <x v="1"/>
    <x v="3"/>
    <x v="1"/>
    <n v="1"/>
    <x v="1"/>
    <s v="Qtr-2"/>
  </r>
  <r>
    <s v="02-004-0620"/>
    <x v="11"/>
    <x v="2"/>
    <x v="1"/>
    <x v="0"/>
    <x v="1"/>
    <x v="2"/>
    <s v="High"/>
    <s v="Lagoa Seca"/>
    <s v="Brazil"/>
    <x v="19"/>
    <n v="167.61"/>
    <n v="2"/>
    <s v="Online"/>
    <n v="3"/>
    <n v="5"/>
    <n v="60"/>
    <s v="None"/>
    <s v="Not Sensitive"/>
    <n v="1"/>
    <x v="6"/>
    <s v="Low"/>
    <x v="2"/>
    <s v="Other"/>
    <d v="2024-11-10T00:00:00"/>
    <x v="0"/>
    <x v="0"/>
    <x v="0"/>
    <x v="0"/>
    <n v="13"/>
    <x v="11"/>
    <s v="Qtr-4"/>
  </r>
  <r>
    <s v="78-822-9328"/>
    <x v="32"/>
    <x v="1"/>
    <x v="1"/>
    <x v="1"/>
    <x v="3"/>
    <x v="1"/>
    <s v="Middle"/>
    <s v="Bugarama"/>
    <s v="Rwanda"/>
    <x v="0"/>
    <n v="324.22000000000003"/>
    <n v="2"/>
    <s v="In-Store"/>
    <n v="4"/>
    <n v="2"/>
    <n v="0"/>
    <s v="None"/>
    <s v="Somewhat Sensitive"/>
    <n v="0.5"/>
    <x v="9"/>
    <s v="Medium"/>
    <x v="2"/>
    <s v="PayPal"/>
    <d v="2024-04-18T00:00:00"/>
    <x v="1"/>
    <x v="0"/>
    <x v="1"/>
    <x v="2"/>
    <n v="14"/>
    <x v="1"/>
    <s v="Qtr-2"/>
  </r>
  <r>
    <s v="73-359-1998"/>
    <x v="2"/>
    <x v="0"/>
    <x v="0"/>
    <x v="0"/>
    <x v="3"/>
    <x v="0"/>
    <s v="Middle"/>
    <s v="Dicamay"/>
    <s v="Philippines"/>
    <x v="7"/>
    <n v="159.30000000000001"/>
    <n v="11"/>
    <s v="Mixed"/>
    <n v="5"/>
    <n v="4"/>
    <n v="0"/>
    <s v="Medium"/>
    <s v="Somewhat Sensitive"/>
    <n v="0"/>
    <x v="9"/>
    <s v="High"/>
    <x v="0"/>
    <s v="PayPal"/>
    <d v="2024-04-24T00:00:00"/>
    <x v="1"/>
    <x v="1"/>
    <x v="2"/>
    <x v="2"/>
    <n v="2"/>
    <x v="1"/>
    <s v="Qtr-2"/>
  </r>
  <r>
    <s v="84-459-7736"/>
    <x v="0"/>
    <x v="0"/>
    <x v="7"/>
    <x v="0"/>
    <x v="2"/>
    <x v="2"/>
    <s v="Middle"/>
    <s v="Xiluodu"/>
    <s v="China"/>
    <x v="8"/>
    <n v="324.39"/>
    <n v="5"/>
    <s v="Online"/>
    <n v="2"/>
    <n v="2"/>
    <n v="0"/>
    <s v="High"/>
    <s v="Very Sensitive"/>
    <n v="0.2"/>
    <x v="9"/>
    <s v="Medium"/>
    <x v="2"/>
    <s v="PayPal"/>
    <d v="2024-11-19T00:00:00"/>
    <x v="0"/>
    <x v="0"/>
    <x v="0"/>
    <x v="2"/>
    <n v="1"/>
    <x v="11"/>
    <s v="Qtr-4"/>
  </r>
  <r>
    <s v="07-395-5818"/>
    <x v="14"/>
    <x v="2"/>
    <x v="6"/>
    <x v="1"/>
    <x v="1"/>
    <x v="1"/>
    <s v="High"/>
    <s v="?ab?bah"/>
    <s v="Yemen"/>
    <x v="20"/>
    <n v="198.89"/>
    <n v="2"/>
    <s v="In-Store"/>
    <n v="2"/>
    <n v="2"/>
    <n v="0"/>
    <s v="High"/>
    <s v="Not Sensitive"/>
    <n v="0"/>
    <x v="7"/>
    <s v="Low"/>
    <x v="0"/>
    <s v="Credit Card"/>
    <d v="2024-01-12T00:00:00"/>
    <x v="1"/>
    <x v="0"/>
    <x v="2"/>
    <x v="1"/>
    <n v="1"/>
    <x v="3"/>
    <s v="Qtr-1"/>
  </r>
  <r>
    <s v="07-560-6637"/>
    <x v="30"/>
    <x v="1"/>
    <x v="0"/>
    <x v="0"/>
    <x v="3"/>
    <x v="2"/>
    <s v="High"/>
    <s v="Lobuk"/>
    <s v="Indonesia"/>
    <x v="20"/>
    <n v="287.18"/>
    <n v="7"/>
    <s v="In-Store"/>
    <n v="4"/>
    <n v="5"/>
    <n v="0"/>
    <s v="None"/>
    <s v="Not Sensitive"/>
    <n v="0"/>
    <x v="2"/>
    <s v="None"/>
    <x v="0"/>
    <s v="Debit Card"/>
    <d v="2024-03-11T00:00:00"/>
    <x v="0"/>
    <x v="0"/>
    <x v="3"/>
    <x v="0"/>
    <n v="8"/>
    <x v="0"/>
    <s v="Qtr-1"/>
  </r>
  <r>
    <s v="61-926-1691"/>
    <x v="11"/>
    <x v="2"/>
    <x v="1"/>
    <x v="1"/>
    <x v="3"/>
    <x v="1"/>
    <s v="Middle"/>
    <s v="Waiwukak"/>
    <s v="Indonesia"/>
    <x v="2"/>
    <n v="162.24"/>
    <n v="7"/>
    <s v="In-Store"/>
    <n v="5"/>
    <n v="3"/>
    <n v="60"/>
    <s v="None"/>
    <s v="Very Sensitive"/>
    <n v="0.2857142857142857"/>
    <x v="9"/>
    <s v="Low"/>
    <x v="1"/>
    <s v="PayPal"/>
    <d v="2024-10-11T00:00:00"/>
    <x v="1"/>
    <x v="0"/>
    <x v="1"/>
    <x v="2"/>
    <n v="7"/>
    <x v="2"/>
    <s v="Qtr-4"/>
  </r>
  <r>
    <s v="68-129-1060"/>
    <x v="14"/>
    <x v="2"/>
    <x v="0"/>
    <x v="1"/>
    <x v="3"/>
    <x v="0"/>
    <s v="High"/>
    <s v="Abaeté"/>
    <s v="Brazil"/>
    <x v="17"/>
    <n v="92.97"/>
    <n v="6"/>
    <s v="In-Store"/>
    <n v="5"/>
    <n v="5"/>
    <n v="0"/>
    <s v="Medium"/>
    <s v="Very Sensitive"/>
    <n v="0"/>
    <x v="0"/>
    <s v="Low"/>
    <x v="2"/>
    <s v="Other"/>
    <d v="2024-12-15T00:00:00"/>
    <x v="1"/>
    <x v="1"/>
    <x v="2"/>
    <x v="1"/>
    <n v="7"/>
    <x v="6"/>
    <s v="Qtr-4"/>
  </r>
  <r>
    <s v="04-052-5592"/>
    <x v="30"/>
    <x v="1"/>
    <x v="1"/>
    <x v="0"/>
    <x v="2"/>
    <x v="1"/>
    <s v="Middle"/>
    <s v="Xiaqiao"/>
    <s v="China"/>
    <x v="1"/>
    <n v="144.38999999999999"/>
    <n v="12"/>
    <s v="In-Store"/>
    <n v="5"/>
    <n v="3"/>
    <n v="120"/>
    <s v="High"/>
    <s v="Very Sensitive"/>
    <n v="0"/>
    <x v="7"/>
    <s v="Low"/>
    <x v="2"/>
    <s v="Cash"/>
    <d v="2024-06-11T00:00:00"/>
    <x v="0"/>
    <x v="1"/>
    <x v="2"/>
    <x v="1"/>
    <n v="12"/>
    <x v="4"/>
    <s v="Qtr-2"/>
  </r>
  <r>
    <s v="41-215-6092"/>
    <x v="14"/>
    <x v="2"/>
    <x v="0"/>
    <x v="1"/>
    <x v="1"/>
    <x v="1"/>
    <s v="High"/>
    <s v="Zub?bah"/>
    <s v="Yemen"/>
    <x v="5"/>
    <n v="253.37"/>
    <n v="12"/>
    <s v="In-Store"/>
    <n v="2"/>
    <n v="5"/>
    <n v="0"/>
    <s v="None"/>
    <s v="Very Sensitive"/>
    <n v="0"/>
    <x v="5"/>
    <s v="Low"/>
    <x v="0"/>
    <s v="Credit Card"/>
    <d v="2024-05-08T00:00:00"/>
    <x v="1"/>
    <x v="1"/>
    <x v="3"/>
    <x v="2"/>
    <n v="6"/>
    <x v="9"/>
    <s v="Qtr-2"/>
  </r>
  <r>
    <s v="89-833-7175"/>
    <x v="20"/>
    <x v="1"/>
    <x v="1"/>
    <x v="0"/>
    <x v="2"/>
    <x v="1"/>
    <s v="High"/>
    <s v="Kósowo"/>
    <s v="Poland"/>
    <x v="9"/>
    <n v="209.62"/>
    <n v="12"/>
    <s v="Mixed"/>
    <n v="1"/>
    <n v="2"/>
    <n v="60"/>
    <s v="Medium"/>
    <s v="Very Sensitive"/>
    <n v="0"/>
    <x v="0"/>
    <s v="Medium"/>
    <x v="0"/>
    <s v="Other"/>
    <d v="2024-10-12T00:00:00"/>
    <x v="0"/>
    <x v="0"/>
    <x v="3"/>
    <x v="1"/>
    <n v="9"/>
    <x v="2"/>
    <s v="Qtr-4"/>
  </r>
  <r>
    <s v="08-117-9893"/>
    <x v="1"/>
    <x v="1"/>
    <x v="1"/>
    <x v="1"/>
    <x v="1"/>
    <x v="1"/>
    <s v="Middle"/>
    <s v="Colombo"/>
    <s v="Sri Lanka"/>
    <x v="15"/>
    <n v="411.62"/>
    <n v="6"/>
    <s v="Mixed"/>
    <n v="2"/>
    <n v="1"/>
    <n v="0"/>
    <s v="Medium"/>
    <s v="Somewhat Sensitive"/>
    <n v="0.33333333333333331"/>
    <x v="0"/>
    <s v="Medium"/>
    <x v="0"/>
    <s v="PayPal"/>
    <d v="2024-10-05T00:00:00"/>
    <x v="0"/>
    <x v="0"/>
    <x v="1"/>
    <x v="2"/>
    <n v="12"/>
    <x v="2"/>
    <s v="Qtr-4"/>
  </r>
  <r>
    <s v="24-109-2173"/>
    <x v="23"/>
    <x v="0"/>
    <x v="0"/>
    <x v="1"/>
    <x v="1"/>
    <x v="0"/>
    <s v="High"/>
    <s v="Messíni"/>
    <s v="Greece"/>
    <x v="1"/>
    <n v="388.01"/>
    <n v="2"/>
    <s v="Online"/>
    <n v="1"/>
    <n v="5"/>
    <n v="60"/>
    <s v="High"/>
    <s v="Very Sensitive"/>
    <n v="0.5"/>
    <x v="6"/>
    <s v="None"/>
    <x v="0"/>
    <s v="PayPal"/>
    <d v="2024-11-19T00:00:00"/>
    <x v="1"/>
    <x v="1"/>
    <x v="1"/>
    <x v="1"/>
    <n v="10"/>
    <x v="11"/>
    <s v="Qtr-4"/>
  </r>
  <r>
    <s v="79-939-2140"/>
    <x v="30"/>
    <x v="1"/>
    <x v="1"/>
    <x v="0"/>
    <x v="2"/>
    <x v="1"/>
    <s v="High"/>
    <s v="Yishui"/>
    <s v="China"/>
    <x v="10"/>
    <n v="50.78"/>
    <n v="6"/>
    <s v="Online"/>
    <n v="5"/>
    <n v="1"/>
    <n v="60"/>
    <s v="Low"/>
    <s v="Somewhat Sensitive"/>
    <n v="0.16666666666666666"/>
    <x v="8"/>
    <s v="None"/>
    <x v="0"/>
    <s v="Debit Card"/>
    <d v="2024-01-12T00:00:00"/>
    <x v="1"/>
    <x v="1"/>
    <x v="0"/>
    <x v="1"/>
    <n v="9"/>
    <x v="3"/>
    <s v="Qtr-1"/>
  </r>
  <r>
    <s v="95-999-0984"/>
    <x v="4"/>
    <x v="2"/>
    <x v="1"/>
    <x v="1"/>
    <x v="3"/>
    <x v="0"/>
    <s v="Middle"/>
    <s v="Nanyaojie"/>
    <s v="China"/>
    <x v="12"/>
    <n v="159.82"/>
    <n v="2"/>
    <s v="In-Store"/>
    <n v="2"/>
    <n v="1"/>
    <n v="60"/>
    <s v="High"/>
    <s v="Very Sensitive"/>
    <n v="1"/>
    <x v="8"/>
    <s v="Medium"/>
    <x v="0"/>
    <s v="Cash"/>
    <d v="2024-12-09T00:00:00"/>
    <x v="0"/>
    <x v="1"/>
    <x v="3"/>
    <x v="0"/>
    <n v="10"/>
    <x v="6"/>
    <s v="Qtr-4"/>
  </r>
  <r>
    <s v="64-799-3174"/>
    <x v="19"/>
    <x v="1"/>
    <x v="1"/>
    <x v="0"/>
    <x v="3"/>
    <x v="2"/>
    <s v="Middle"/>
    <s v="Buzen"/>
    <s v="Japan"/>
    <x v="22"/>
    <n v="79.430000000000007"/>
    <n v="3"/>
    <s v="In-Store"/>
    <n v="1"/>
    <n v="5"/>
    <n v="0"/>
    <s v="Medium"/>
    <s v="Somewhat Sensitive"/>
    <n v="0.66666666666666663"/>
    <x v="0"/>
    <s v="None"/>
    <x v="1"/>
    <s v="PayPal"/>
    <d v="2024-01-15T00:00:00"/>
    <x v="1"/>
    <x v="0"/>
    <x v="1"/>
    <x v="0"/>
    <n v="6"/>
    <x v="3"/>
    <s v="Qtr-1"/>
  </r>
  <r>
    <s v="27-018-2262"/>
    <x v="21"/>
    <x v="1"/>
    <x v="0"/>
    <x v="0"/>
    <x v="0"/>
    <x v="0"/>
    <s v="Middle"/>
    <s v="Bom Jesus do Itabapoana"/>
    <s v="Brazil"/>
    <x v="22"/>
    <n v="131.36000000000001"/>
    <n v="4"/>
    <s v="In-Store"/>
    <n v="4"/>
    <n v="4"/>
    <n v="120"/>
    <s v="None"/>
    <s v="Somewhat Sensitive"/>
    <n v="0.25"/>
    <x v="9"/>
    <s v="High"/>
    <x v="1"/>
    <s v="Debit Card"/>
    <d v="2024-11-21T00:00:00"/>
    <x v="1"/>
    <x v="0"/>
    <x v="1"/>
    <x v="2"/>
    <n v="3"/>
    <x v="11"/>
    <s v="Qtr-4"/>
  </r>
  <r>
    <s v="38-881-0766"/>
    <x v="23"/>
    <x v="0"/>
    <x v="1"/>
    <x v="0"/>
    <x v="2"/>
    <x v="1"/>
    <s v="Middle"/>
    <s v="Centenario"/>
    <s v="Argentina"/>
    <x v="21"/>
    <n v="299.75"/>
    <n v="12"/>
    <s v="Mixed"/>
    <n v="2"/>
    <n v="5"/>
    <n v="18"/>
    <s v="Low"/>
    <s v="Very Sensitive"/>
    <n v="0"/>
    <x v="7"/>
    <s v="Low"/>
    <x v="2"/>
    <s v="Credit Card"/>
    <d v="2024-07-05T00:00:00"/>
    <x v="1"/>
    <x v="1"/>
    <x v="0"/>
    <x v="0"/>
    <n v="7"/>
    <x v="5"/>
    <s v="Qtr-3"/>
  </r>
  <r>
    <s v="17-344-8603"/>
    <x v="3"/>
    <x v="0"/>
    <x v="1"/>
    <x v="1"/>
    <x v="3"/>
    <x v="0"/>
    <s v="Middle"/>
    <s v="Al J?zah"/>
    <s v="Egypt"/>
    <x v="9"/>
    <n v="319.38"/>
    <n v="9"/>
    <s v="In-Store"/>
    <n v="4"/>
    <n v="1"/>
    <n v="0"/>
    <s v="Low"/>
    <s v="Not Sensitive"/>
    <n v="0.1111111111111111"/>
    <x v="9"/>
    <s v="High"/>
    <x v="0"/>
    <s v="PayPal"/>
    <d v="2024-11-15T00:00:00"/>
    <x v="0"/>
    <x v="1"/>
    <x v="0"/>
    <x v="0"/>
    <n v="8"/>
    <x v="11"/>
    <s v="Qtr-4"/>
  </r>
  <r>
    <s v="51-387-9144"/>
    <x v="9"/>
    <x v="2"/>
    <x v="1"/>
    <x v="1"/>
    <x v="1"/>
    <x v="2"/>
    <s v="Middle"/>
    <s v="Th? Tr?n C?m Th?y"/>
    <s v="Vietnam"/>
    <x v="13"/>
    <n v="476.48"/>
    <n v="8"/>
    <s v="Online"/>
    <n v="5"/>
    <n v="2"/>
    <n v="60"/>
    <s v="None"/>
    <s v="Somewhat Sensitive"/>
    <n v="0.25"/>
    <x v="3"/>
    <s v="High"/>
    <x v="2"/>
    <s v="PayPal"/>
    <d v="2024-07-06T00:00:00"/>
    <x v="1"/>
    <x v="1"/>
    <x v="2"/>
    <x v="2"/>
    <n v="3"/>
    <x v="5"/>
    <s v="Qtr-3"/>
  </r>
  <r>
    <s v="42-101-8525"/>
    <x v="6"/>
    <x v="0"/>
    <x v="1"/>
    <x v="0"/>
    <x v="2"/>
    <x v="0"/>
    <s v="Middle"/>
    <s v="Curahkalak Tengah"/>
    <s v="Indonesia"/>
    <x v="0"/>
    <n v="301.01"/>
    <n v="9"/>
    <s v="Mixed"/>
    <n v="2"/>
    <n v="1"/>
    <n v="120"/>
    <s v="High"/>
    <s v="Not Sensitive"/>
    <n v="0.22222222222222221"/>
    <x v="8"/>
    <s v="Medium"/>
    <x v="1"/>
    <s v="Other"/>
    <d v="2024-08-23T00:00:00"/>
    <x v="1"/>
    <x v="1"/>
    <x v="0"/>
    <x v="2"/>
    <n v="13"/>
    <x v="7"/>
    <s v="Qtr-3"/>
  </r>
  <r>
    <s v="69-157-6752"/>
    <x v="27"/>
    <x v="3"/>
    <x v="1"/>
    <x v="0"/>
    <x v="1"/>
    <x v="0"/>
    <s v="Middle"/>
    <s v="Ebu"/>
    <s v="Nigeria"/>
    <x v="13"/>
    <n v="378.71"/>
    <n v="5"/>
    <s v="Online"/>
    <n v="4"/>
    <n v="1"/>
    <n v="120"/>
    <s v="Medium"/>
    <s v="Somewhat Sensitive"/>
    <n v="0.4"/>
    <x v="1"/>
    <s v="None"/>
    <x v="2"/>
    <s v="Other"/>
    <d v="2024-08-30T00:00:00"/>
    <x v="0"/>
    <x v="1"/>
    <x v="3"/>
    <x v="2"/>
    <n v="14"/>
    <x v="7"/>
    <s v="Qtr-3"/>
  </r>
  <r>
    <s v="27-843-5553"/>
    <x v="32"/>
    <x v="1"/>
    <x v="4"/>
    <x v="0"/>
    <x v="1"/>
    <x v="0"/>
    <s v="Middle"/>
    <s v="Tío Pujio"/>
    <s v="Argentina"/>
    <x v="7"/>
    <n v="314.32"/>
    <n v="6"/>
    <s v="Online"/>
    <n v="1"/>
    <n v="4"/>
    <n v="120"/>
    <s v="High"/>
    <s v="Very Sensitive"/>
    <n v="0.33333333333333331"/>
    <x v="1"/>
    <s v="Low"/>
    <x v="1"/>
    <s v="Credit Card"/>
    <d v="2024-03-16T00:00:00"/>
    <x v="0"/>
    <x v="0"/>
    <x v="2"/>
    <x v="1"/>
    <n v="7"/>
    <x v="0"/>
    <s v="Qtr-1"/>
  </r>
  <r>
    <s v="04-468-5487"/>
    <x v="0"/>
    <x v="0"/>
    <x v="1"/>
    <x v="0"/>
    <x v="0"/>
    <x v="1"/>
    <s v="High"/>
    <s v="Créteil"/>
    <s v="France"/>
    <x v="2"/>
    <n v="210.9"/>
    <n v="12"/>
    <s v="In-Store"/>
    <n v="2"/>
    <n v="1"/>
    <n v="120"/>
    <s v="None"/>
    <s v="Somewhat Sensitive"/>
    <n v="8.3333333333333329E-2"/>
    <x v="2"/>
    <s v="None"/>
    <x v="0"/>
    <s v="Debit Card"/>
    <d v="2024-08-17T00:00:00"/>
    <x v="1"/>
    <x v="0"/>
    <x v="2"/>
    <x v="1"/>
    <n v="12"/>
    <x v="7"/>
    <s v="Qtr-3"/>
  </r>
  <r>
    <s v="08-584-8296"/>
    <x v="27"/>
    <x v="3"/>
    <x v="0"/>
    <x v="0"/>
    <x v="3"/>
    <x v="1"/>
    <s v="High"/>
    <s v="Shaxi"/>
    <s v="China"/>
    <x v="1"/>
    <n v="218.26"/>
    <n v="4"/>
    <s v="Mixed"/>
    <n v="3"/>
    <n v="1"/>
    <n v="120"/>
    <s v="Low"/>
    <s v="Very Sensitive"/>
    <n v="0"/>
    <x v="8"/>
    <s v="High"/>
    <x v="1"/>
    <s v="Debit Card"/>
    <d v="2024-02-27T00:00:00"/>
    <x v="1"/>
    <x v="0"/>
    <x v="1"/>
    <x v="1"/>
    <n v="12"/>
    <x v="8"/>
    <s v="Qtr-1"/>
  </r>
  <r>
    <s v="81-014-4502"/>
    <x v="2"/>
    <x v="0"/>
    <x v="0"/>
    <x v="0"/>
    <x v="2"/>
    <x v="2"/>
    <s v="Middle"/>
    <s v="Kel?sh?d va S?darj?n"/>
    <s v="Iran"/>
    <x v="9"/>
    <n v="424.18"/>
    <n v="5"/>
    <s v="Mixed"/>
    <n v="4"/>
    <n v="4"/>
    <n v="60"/>
    <s v="None"/>
    <s v="Not Sensitive"/>
    <n v="0.4"/>
    <x v="7"/>
    <s v="Medium"/>
    <x v="1"/>
    <s v="Debit Card"/>
    <d v="2024-02-14T00:00:00"/>
    <x v="1"/>
    <x v="1"/>
    <x v="0"/>
    <x v="2"/>
    <n v="5"/>
    <x v="8"/>
    <s v="Qtr-1"/>
  </r>
  <r>
    <s v="65-167-9819"/>
    <x v="31"/>
    <x v="0"/>
    <x v="1"/>
    <x v="1"/>
    <x v="3"/>
    <x v="1"/>
    <s v="Middle"/>
    <s v="Punta Gorda"/>
    <s v="Belize"/>
    <x v="8"/>
    <n v="430.75"/>
    <n v="11"/>
    <s v="Online"/>
    <n v="1"/>
    <n v="3"/>
    <n v="60"/>
    <s v="Low"/>
    <s v="Somewhat Sensitive"/>
    <n v="0"/>
    <x v="8"/>
    <s v="High"/>
    <x v="0"/>
    <s v="Credit Card"/>
    <d v="2024-06-24T00:00:00"/>
    <x v="0"/>
    <x v="0"/>
    <x v="3"/>
    <x v="0"/>
    <n v="6"/>
    <x v="4"/>
    <s v="Qtr-2"/>
  </r>
  <r>
    <s v="19-925-2376"/>
    <x v="2"/>
    <x v="0"/>
    <x v="1"/>
    <x v="1"/>
    <x v="1"/>
    <x v="0"/>
    <s v="Middle"/>
    <s v="Segodim"/>
    <s v="Indonesia"/>
    <x v="7"/>
    <n v="162.94999999999999"/>
    <n v="11"/>
    <s v="In-Store"/>
    <n v="1"/>
    <n v="2"/>
    <n v="120"/>
    <s v="High"/>
    <s v="Very Sensitive"/>
    <n v="9.0909090909090912E-2"/>
    <x v="8"/>
    <s v="Low"/>
    <x v="2"/>
    <s v="Cash"/>
    <d v="2024-07-21T00:00:00"/>
    <x v="1"/>
    <x v="1"/>
    <x v="2"/>
    <x v="2"/>
    <n v="14"/>
    <x v="5"/>
    <s v="Qtr-3"/>
  </r>
  <r>
    <s v="03-669-7519"/>
    <x v="13"/>
    <x v="1"/>
    <x v="0"/>
    <x v="0"/>
    <x v="0"/>
    <x v="2"/>
    <s v="High"/>
    <s v="Yinying"/>
    <s v="China"/>
    <x v="18"/>
    <n v="209.68"/>
    <n v="2"/>
    <s v="Online"/>
    <n v="3"/>
    <n v="1"/>
    <n v="60"/>
    <s v="None"/>
    <s v="Not Sensitive"/>
    <n v="0"/>
    <x v="2"/>
    <s v="Medium"/>
    <x v="1"/>
    <s v="Other"/>
    <d v="2024-06-30T00:00:00"/>
    <x v="1"/>
    <x v="1"/>
    <x v="2"/>
    <x v="2"/>
    <n v="8"/>
    <x v="4"/>
    <s v="Qtr-2"/>
  </r>
  <r>
    <s v="00-520-4376"/>
    <x v="17"/>
    <x v="1"/>
    <x v="1"/>
    <x v="1"/>
    <x v="2"/>
    <x v="0"/>
    <s v="Middle"/>
    <s v="Harembo"/>
    <s v="Comoros"/>
    <x v="21"/>
    <n v="97.97"/>
    <n v="2"/>
    <s v="In-Store"/>
    <n v="5"/>
    <n v="5"/>
    <n v="60"/>
    <s v="Low"/>
    <s v="Somewhat Sensitive"/>
    <n v="0"/>
    <x v="3"/>
    <s v="None"/>
    <x v="2"/>
    <s v="Credit Card"/>
    <d v="2024-10-03T00:00:00"/>
    <x v="0"/>
    <x v="0"/>
    <x v="3"/>
    <x v="0"/>
    <n v="1"/>
    <x v="2"/>
    <s v="Qtr-4"/>
  </r>
  <r>
    <s v="62-701-1037"/>
    <x v="1"/>
    <x v="1"/>
    <x v="1"/>
    <x v="0"/>
    <x v="2"/>
    <x v="2"/>
    <s v="High"/>
    <s v="Lazarevac"/>
    <s v="Serbia"/>
    <x v="5"/>
    <n v="192.51"/>
    <n v="9"/>
    <s v="Mixed"/>
    <n v="2"/>
    <n v="5"/>
    <n v="120"/>
    <s v="Medium"/>
    <s v="Very Sensitive"/>
    <n v="0"/>
    <x v="6"/>
    <s v="Medium"/>
    <x v="1"/>
    <s v="Credit Card"/>
    <d v="2024-08-23T00:00:00"/>
    <x v="0"/>
    <x v="0"/>
    <x v="0"/>
    <x v="1"/>
    <n v="9"/>
    <x v="7"/>
    <s v="Qtr-3"/>
  </r>
  <r>
    <s v="87-806-4478"/>
    <x v="22"/>
    <x v="2"/>
    <x v="1"/>
    <x v="0"/>
    <x v="2"/>
    <x v="2"/>
    <s v="Middle"/>
    <s v="Al J?zah"/>
    <s v="Egypt"/>
    <x v="13"/>
    <n v="151.81"/>
    <n v="8"/>
    <s v="Online"/>
    <n v="3"/>
    <n v="4"/>
    <n v="0"/>
    <s v="Medium"/>
    <s v="Not Sensitive"/>
    <n v="0.125"/>
    <x v="3"/>
    <s v="None"/>
    <x v="0"/>
    <s v="Debit Card"/>
    <d v="2024-01-13T00:00:00"/>
    <x v="1"/>
    <x v="0"/>
    <x v="3"/>
    <x v="0"/>
    <n v="1"/>
    <x v="3"/>
    <s v="Qtr-1"/>
  </r>
  <r>
    <s v="04-809-8989"/>
    <x v="8"/>
    <x v="0"/>
    <x v="0"/>
    <x v="1"/>
    <x v="0"/>
    <x v="1"/>
    <s v="Middle"/>
    <s v="Zhongcun"/>
    <s v="China"/>
    <x v="4"/>
    <n v="239.28"/>
    <n v="8"/>
    <s v="Online"/>
    <n v="1"/>
    <n v="4"/>
    <n v="60"/>
    <s v="Medium"/>
    <s v="Somewhat Sensitive"/>
    <n v="0.25"/>
    <x v="1"/>
    <s v="Medium"/>
    <x v="0"/>
    <s v="Other"/>
    <d v="2024-11-08T00:00:00"/>
    <x v="1"/>
    <x v="1"/>
    <x v="2"/>
    <x v="0"/>
    <n v="10"/>
    <x v="11"/>
    <s v="Qtr-4"/>
  </r>
  <r>
    <s v="39-867-1989"/>
    <x v="13"/>
    <x v="1"/>
    <x v="0"/>
    <x v="1"/>
    <x v="2"/>
    <x v="1"/>
    <s v="High"/>
    <s v="Gaopeng"/>
    <s v="China"/>
    <x v="7"/>
    <n v="306.17"/>
    <n v="4"/>
    <s v="In-Store"/>
    <n v="3"/>
    <n v="5"/>
    <n v="60"/>
    <s v="Medium"/>
    <s v="Somewhat Sensitive"/>
    <n v="0"/>
    <x v="9"/>
    <s v="Medium"/>
    <x v="0"/>
    <s v="PayPal"/>
    <d v="2024-01-29T00:00:00"/>
    <x v="1"/>
    <x v="1"/>
    <x v="1"/>
    <x v="2"/>
    <n v="8"/>
    <x v="3"/>
    <s v="Qtr-1"/>
  </r>
  <r>
    <s v="45-584-7333"/>
    <x v="13"/>
    <x v="1"/>
    <x v="0"/>
    <x v="1"/>
    <x v="2"/>
    <x v="2"/>
    <s v="High"/>
    <s v="Tabonok"/>
    <s v="Philippines"/>
    <x v="13"/>
    <n v="370.38"/>
    <n v="11"/>
    <s v="In-Store"/>
    <n v="1"/>
    <n v="2"/>
    <n v="60"/>
    <s v="None"/>
    <s v="Not Sensitive"/>
    <n v="9.0909090909090912E-2"/>
    <x v="2"/>
    <s v="High"/>
    <x v="2"/>
    <s v="Other"/>
    <d v="2024-03-04T00:00:00"/>
    <x v="0"/>
    <x v="1"/>
    <x v="1"/>
    <x v="0"/>
    <n v="9"/>
    <x v="0"/>
    <s v="Qtr-1"/>
  </r>
  <r>
    <s v="85-885-6579"/>
    <x v="17"/>
    <x v="1"/>
    <x v="1"/>
    <x v="0"/>
    <x v="1"/>
    <x v="0"/>
    <s v="Middle"/>
    <s v="Tirana"/>
    <s v="Albania"/>
    <x v="17"/>
    <n v="346.58"/>
    <n v="6"/>
    <s v="Mixed"/>
    <n v="5"/>
    <n v="1"/>
    <n v="60"/>
    <s v="High"/>
    <s v="Somewhat Sensitive"/>
    <n v="0"/>
    <x v="5"/>
    <s v="Low"/>
    <x v="0"/>
    <s v="Other"/>
    <d v="2024-06-03T00:00:00"/>
    <x v="1"/>
    <x v="0"/>
    <x v="2"/>
    <x v="2"/>
    <n v="7"/>
    <x v="4"/>
    <s v="Qtr-2"/>
  </r>
  <r>
    <s v="65-457-2840"/>
    <x v="2"/>
    <x v="0"/>
    <x v="1"/>
    <x v="0"/>
    <x v="1"/>
    <x v="1"/>
    <s v="Middle"/>
    <s v="Maralal"/>
    <s v="Kenya"/>
    <x v="14"/>
    <n v="292.64"/>
    <n v="5"/>
    <s v="In-Store"/>
    <n v="1"/>
    <n v="1"/>
    <n v="60"/>
    <s v="None"/>
    <s v="Somewhat Sensitive"/>
    <n v="0.4"/>
    <x v="3"/>
    <s v="Medium"/>
    <x v="0"/>
    <s v="Credit Card"/>
    <d v="2024-12-06T00:00:00"/>
    <x v="0"/>
    <x v="0"/>
    <x v="1"/>
    <x v="1"/>
    <n v="1"/>
    <x v="6"/>
    <s v="Qtr-4"/>
  </r>
  <r>
    <s v="82-726-1255"/>
    <x v="12"/>
    <x v="2"/>
    <x v="0"/>
    <x v="0"/>
    <x v="0"/>
    <x v="0"/>
    <s v="High"/>
    <s v="Xinjiang"/>
    <s v="China"/>
    <x v="22"/>
    <n v="102.91"/>
    <n v="12"/>
    <s v="Mixed"/>
    <n v="2"/>
    <n v="1"/>
    <n v="60"/>
    <s v="Medium"/>
    <s v="Very Sensitive"/>
    <n v="8.3333333333333329E-2"/>
    <x v="3"/>
    <s v="None"/>
    <x v="2"/>
    <s v="PayPal"/>
    <d v="2024-03-26T00:00:00"/>
    <x v="0"/>
    <x v="0"/>
    <x v="2"/>
    <x v="2"/>
    <n v="13"/>
    <x v="0"/>
    <s v="Qtr-1"/>
  </r>
  <r>
    <s v="90-602-3583"/>
    <x v="11"/>
    <x v="2"/>
    <x v="0"/>
    <x v="1"/>
    <x v="2"/>
    <x v="0"/>
    <s v="Middle"/>
    <s v="Mocho"/>
    <s v="Jamaica"/>
    <x v="3"/>
    <n v="283.77999999999997"/>
    <n v="4"/>
    <s v="Mixed"/>
    <n v="2"/>
    <n v="4"/>
    <n v="72"/>
    <s v="None"/>
    <s v="Somewhat Sensitive"/>
    <n v="0"/>
    <x v="9"/>
    <s v="None"/>
    <x v="1"/>
    <s v="Debit Card"/>
    <d v="2024-08-09T00:00:00"/>
    <x v="0"/>
    <x v="0"/>
    <x v="0"/>
    <x v="2"/>
    <n v="10"/>
    <x v="7"/>
    <s v="Qtr-3"/>
  </r>
  <r>
    <s v="02-711-1034"/>
    <x v="18"/>
    <x v="1"/>
    <x v="0"/>
    <x v="1"/>
    <x v="2"/>
    <x v="1"/>
    <s v="Middle"/>
    <s v="Likhoy"/>
    <s v="Russia"/>
    <x v="21"/>
    <n v="51.44"/>
    <n v="2"/>
    <s v="In-Store"/>
    <n v="1"/>
    <n v="3"/>
    <n v="120"/>
    <s v="High"/>
    <s v="Not Sensitive"/>
    <n v="0"/>
    <x v="2"/>
    <s v="High"/>
    <x v="0"/>
    <s v="Other"/>
    <d v="2024-05-17T00:00:00"/>
    <x v="0"/>
    <x v="0"/>
    <x v="3"/>
    <x v="0"/>
    <n v="5"/>
    <x v="9"/>
    <s v="Qtr-2"/>
  </r>
  <r>
    <s v="27-347-7437"/>
    <x v="32"/>
    <x v="1"/>
    <x v="0"/>
    <x v="1"/>
    <x v="0"/>
    <x v="0"/>
    <s v="High"/>
    <s v="Mineiros"/>
    <s v="Brazil"/>
    <x v="8"/>
    <n v="405.7"/>
    <n v="12"/>
    <s v="Online"/>
    <n v="1"/>
    <n v="3"/>
    <n v="60"/>
    <s v="Low"/>
    <s v="Very Sensitive"/>
    <n v="0.16666666666666666"/>
    <x v="3"/>
    <s v="Low"/>
    <x v="0"/>
    <s v="Credit Card"/>
    <d v="2024-02-17T00:00:00"/>
    <x v="0"/>
    <x v="1"/>
    <x v="1"/>
    <x v="1"/>
    <n v="14"/>
    <x v="8"/>
    <s v="Qtr-1"/>
  </r>
  <r>
    <s v="95-675-7816"/>
    <x v="24"/>
    <x v="3"/>
    <x v="0"/>
    <x v="1"/>
    <x v="2"/>
    <x v="2"/>
    <s v="Middle"/>
    <s v="Noisy-le-Grand"/>
    <s v="France"/>
    <x v="19"/>
    <n v="311.74"/>
    <n v="11"/>
    <s v="Mixed"/>
    <n v="1"/>
    <n v="4"/>
    <n v="120"/>
    <s v="Low"/>
    <s v="Somewhat Sensitive"/>
    <n v="0.18181818181818182"/>
    <x v="3"/>
    <s v="Medium"/>
    <x v="1"/>
    <s v="PayPal"/>
    <d v="2024-01-17T00:00:00"/>
    <x v="0"/>
    <x v="0"/>
    <x v="2"/>
    <x v="2"/>
    <n v="11"/>
    <x v="3"/>
    <s v="Qtr-1"/>
  </r>
  <r>
    <s v="87-418-1400"/>
    <x v="7"/>
    <x v="2"/>
    <x v="1"/>
    <x v="0"/>
    <x v="2"/>
    <x v="0"/>
    <s v="High"/>
    <s v="Taoyuan"/>
    <s v="Taiwan"/>
    <x v="20"/>
    <n v="293.43"/>
    <n v="9"/>
    <s v="In-Store"/>
    <n v="4"/>
    <n v="4"/>
    <n v="60"/>
    <s v="Medium"/>
    <s v="Very Sensitive"/>
    <n v="0"/>
    <x v="1"/>
    <s v="None"/>
    <x v="2"/>
    <s v="Cash"/>
    <d v="2024-07-05T00:00:00"/>
    <x v="1"/>
    <x v="1"/>
    <x v="0"/>
    <x v="1"/>
    <n v="7"/>
    <x v="5"/>
    <s v="Qtr-3"/>
  </r>
  <r>
    <s v="73-991-0066"/>
    <x v="22"/>
    <x v="2"/>
    <x v="0"/>
    <x v="1"/>
    <x v="1"/>
    <x v="0"/>
    <s v="Middle"/>
    <s v="San Marcos de Colón"/>
    <s v="Honduras"/>
    <x v="15"/>
    <n v="418.51"/>
    <n v="6"/>
    <s v="Online"/>
    <n v="4"/>
    <n v="4"/>
    <n v="120"/>
    <s v="Low"/>
    <s v="Somewhat Sensitive"/>
    <n v="0.33333333333333331"/>
    <x v="6"/>
    <s v="High"/>
    <x v="2"/>
    <s v="Credit Card"/>
    <d v="2024-05-01T00:00:00"/>
    <x v="1"/>
    <x v="1"/>
    <x v="0"/>
    <x v="1"/>
    <n v="3"/>
    <x v="9"/>
    <s v="Qtr-2"/>
  </r>
  <r>
    <s v="62-273-8089"/>
    <x v="7"/>
    <x v="2"/>
    <x v="1"/>
    <x v="0"/>
    <x v="1"/>
    <x v="2"/>
    <s v="Middle"/>
    <s v="Pokrovka"/>
    <s v="Russia"/>
    <x v="10"/>
    <n v="85.03"/>
    <n v="9"/>
    <s v="In-Store"/>
    <n v="5"/>
    <n v="4"/>
    <n v="60"/>
    <s v="Medium"/>
    <s v="Not Sensitive"/>
    <n v="0"/>
    <x v="5"/>
    <s v="High"/>
    <x v="1"/>
    <s v="Credit Card"/>
    <d v="2024-10-06T00:00:00"/>
    <x v="0"/>
    <x v="1"/>
    <x v="1"/>
    <x v="2"/>
    <n v="8"/>
    <x v="2"/>
    <s v="Qtr-4"/>
  </r>
  <r>
    <s v="51-220-3072"/>
    <x v="16"/>
    <x v="2"/>
    <x v="1"/>
    <x v="0"/>
    <x v="0"/>
    <x v="2"/>
    <s v="High"/>
    <s v="Shuntian"/>
    <s v="China"/>
    <x v="7"/>
    <n v="164.94"/>
    <n v="4"/>
    <s v="In-Store"/>
    <n v="4"/>
    <n v="4"/>
    <n v="120"/>
    <s v="High"/>
    <s v="Somewhat Sensitive"/>
    <n v="0.5"/>
    <x v="6"/>
    <s v="Low"/>
    <x v="2"/>
    <s v="PayPal"/>
    <d v="2024-07-18T00:00:00"/>
    <x v="0"/>
    <x v="1"/>
    <x v="1"/>
    <x v="2"/>
    <n v="6"/>
    <x v="5"/>
    <s v="Qtr-3"/>
  </r>
  <r>
    <s v="17-648-0171"/>
    <x v="9"/>
    <x v="2"/>
    <x v="0"/>
    <x v="1"/>
    <x v="2"/>
    <x v="0"/>
    <s v="Middle"/>
    <s v="João Câmara"/>
    <s v="Brazil"/>
    <x v="19"/>
    <n v="89.32"/>
    <n v="11"/>
    <s v="Online"/>
    <n v="1"/>
    <n v="1"/>
    <n v="18"/>
    <s v="Low"/>
    <s v="Somewhat Sensitive"/>
    <n v="9.0909090909090912E-2"/>
    <x v="4"/>
    <s v="High"/>
    <x v="2"/>
    <s v="Other"/>
    <d v="2024-04-23T00:00:00"/>
    <x v="0"/>
    <x v="0"/>
    <x v="1"/>
    <x v="0"/>
    <n v="12"/>
    <x v="1"/>
    <s v="Qtr-2"/>
  </r>
  <r>
    <s v="11-975-9054"/>
    <x v="4"/>
    <x v="2"/>
    <x v="1"/>
    <x v="0"/>
    <x v="0"/>
    <x v="1"/>
    <s v="High"/>
    <s v="Cunha"/>
    <s v="Brazil"/>
    <x v="20"/>
    <n v="388.26"/>
    <n v="2"/>
    <s v="Mixed"/>
    <n v="3"/>
    <n v="1"/>
    <n v="60"/>
    <s v="High"/>
    <s v="Not Sensitive"/>
    <n v="0"/>
    <x v="0"/>
    <s v="None"/>
    <x v="1"/>
    <s v="Credit Card"/>
    <d v="2024-04-02T00:00:00"/>
    <x v="1"/>
    <x v="0"/>
    <x v="3"/>
    <x v="0"/>
    <n v="5"/>
    <x v="1"/>
    <s v="Qtr-2"/>
  </r>
  <r>
    <s v="75-518-2831"/>
    <x v="4"/>
    <x v="2"/>
    <x v="1"/>
    <x v="0"/>
    <x v="3"/>
    <x v="2"/>
    <s v="Middle"/>
    <s v="Fengyi"/>
    <s v="China"/>
    <x v="23"/>
    <n v="106.69"/>
    <n v="5"/>
    <s v="Online"/>
    <n v="3"/>
    <n v="4"/>
    <n v="78"/>
    <s v="Medium"/>
    <s v="Very Sensitive"/>
    <n v="0.4"/>
    <x v="3"/>
    <s v="None"/>
    <x v="2"/>
    <s v="PayPal"/>
    <d v="2024-09-20T00:00:00"/>
    <x v="1"/>
    <x v="1"/>
    <x v="1"/>
    <x v="1"/>
    <n v="14"/>
    <x v="10"/>
    <s v="Qtr-3"/>
  </r>
  <r>
    <s v="13-297-9777"/>
    <x v="21"/>
    <x v="1"/>
    <x v="6"/>
    <x v="0"/>
    <x v="0"/>
    <x v="0"/>
    <s v="High"/>
    <s v="Myshkin"/>
    <s v="Russia"/>
    <x v="12"/>
    <n v="301.16000000000003"/>
    <n v="10"/>
    <s v="Online"/>
    <n v="4"/>
    <n v="3"/>
    <n v="120"/>
    <s v="None"/>
    <s v="Very Sensitive"/>
    <n v="0.2"/>
    <x v="5"/>
    <s v="Medium"/>
    <x v="0"/>
    <s v="Cash"/>
    <d v="2024-07-26T00:00:00"/>
    <x v="1"/>
    <x v="0"/>
    <x v="0"/>
    <x v="1"/>
    <n v="1"/>
    <x v="5"/>
    <s v="Qtr-3"/>
  </r>
  <r>
    <s v="81-604-7906"/>
    <x v="1"/>
    <x v="1"/>
    <x v="1"/>
    <x v="0"/>
    <x v="3"/>
    <x v="1"/>
    <s v="High"/>
    <s v="Tewulike"/>
    <s v="Indonesia"/>
    <x v="11"/>
    <n v="61.71"/>
    <n v="6"/>
    <s v="Mixed"/>
    <n v="2"/>
    <n v="5"/>
    <n v="60"/>
    <s v="Low"/>
    <s v="Very Sensitive"/>
    <n v="0.33333333333333331"/>
    <x v="0"/>
    <s v="Low"/>
    <x v="0"/>
    <s v="Cash"/>
    <d v="2024-10-03T00:00:00"/>
    <x v="1"/>
    <x v="0"/>
    <x v="2"/>
    <x v="0"/>
    <n v="12"/>
    <x v="2"/>
    <s v="Qtr-4"/>
  </r>
  <r>
    <s v="87-518-0375"/>
    <x v="19"/>
    <x v="1"/>
    <x v="4"/>
    <x v="0"/>
    <x v="3"/>
    <x v="1"/>
    <s v="High"/>
    <s v="Bistrinci"/>
    <s v="North Macedonia"/>
    <x v="6"/>
    <n v="83.33"/>
    <n v="11"/>
    <s v="In-Store"/>
    <n v="1"/>
    <n v="5"/>
    <n v="60"/>
    <s v="Medium"/>
    <s v="Very Sensitive"/>
    <n v="9.0909090909090912E-2"/>
    <x v="9"/>
    <s v="Low"/>
    <x v="2"/>
    <s v="Debit Card"/>
    <d v="2024-02-27T00:00:00"/>
    <x v="0"/>
    <x v="1"/>
    <x v="3"/>
    <x v="2"/>
    <n v="1"/>
    <x v="8"/>
    <s v="Qtr-1"/>
  </r>
  <r>
    <s v="53-437-2629"/>
    <x v="21"/>
    <x v="1"/>
    <x v="1"/>
    <x v="1"/>
    <x v="1"/>
    <x v="0"/>
    <s v="Middle"/>
    <s v="Chenguang"/>
    <s v="China"/>
    <x v="5"/>
    <n v="411.81"/>
    <n v="4"/>
    <s v="Mixed"/>
    <n v="1"/>
    <n v="3"/>
    <n v="60"/>
    <s v="High"/>
    <s v="Somewhat Sensitive"/>
    <n v="0.25"/>
    <x v="2"/>
    <s v="High"/>
    <x v="1"/>
    <s v="Cash"/>
    <d v="2024-04-08T00:00:00"/>
    <x v="0"/>
    <x v="1"/>
    <x v="3"/>
    <x v="1"/>
    <n v="1"/>
    <x v="1"/>
    <s v="Qtr-2"/>
  </r>
  <r>
    <s v="46-681-0764"/>
    <x v="32"/>
    <x v="1"/>
    <x v="0"/>
    <x v="0"/>
    <x v="0"/>
    <x v="2"/>
    <s v="High"/>
    <s v="Muara"/>
    <s v="Brunei"/>
    <x v="8"/>
    <n v="114.93"/>
    <n v="3"/>
    <s v="In-Store"/>
    <n v="4"/>
    <n v="3"/>
    <n v="60"/>
    <s v="High"/>
    <s v="Somewhat Sensitive"/>
    <n v="0"/>
    <x v="7"/>
    <s v="None"/>
    <x v="2"/>
    <s v="Other"/>
    <d v="2024-08-23T00:00:00"/>
    <x v="0"/>
    <x v="1"/>
    <x v="2"/>
    <x v="1"/>
    <n v="4"/>
    <x v="7"/>
    <s v="Qtr-3"/>
  </r>
  <r>
    <s v="43-990-6454"/>
    <x v="4"/>
    <x v="2"/>
    <x v="0"/>
    <x v="1"/>
    <x v="3"/>
    <x v="2"/>
    <s v="Middle"/>
    <s v="Qorveh"/>
    <s v="Iran"/>
    <x v="23"/>
    <n v="438.42"/>
    <n v="11"/>
    <s v="Online"/>
    <n v="3"/>
    <n v="2"/>
    <n v="120"/>
    <s v="Medium"/>
    <s v="Very Sensitive"/>
    <n v="0"/>
    <x v="7"/>
    <s v="Low"/>
    <x v="0"/>
    <s v="Cash"/>
    <d v="2024-09-10T00:00:00"/>
    <x v="0"/>
    <x v="0"/>
    <x v="3"/>
    <x v="2"/>
    <n v="4"/>
    <x v="10"/>
    <s v="Qtr-3"/>
  </r>
  <r>
    <s v="55-570-3804"/>
    <x v="15"/>
    <x v="2"/>
    <x v="1"/>
    <x v="0"/>
    <x v="2"/>
    <x v="2"/>
    <s v="Middle"/>
    <s v="Bom Despacho"/>
    <s v="Brazil"/>
    <x v="8"/>
    <n v="189.97"/>
    <n v="2"/>
    <s v="In-Store"/>
    <n v="2"/>
    <n v="3"/>
    <n v="60"/>
    <s v="High"/>
    <s v="Somewhat Sensitive"/>
    <n v="0"/>
    <x v="4"/>
    <s v="Medium"/>
    <x v="1"/>
    <s v="Credit Card"/>
    <d v="2024-03-06T00:00:00"/>
    <x v="0"/>
    <x v="0"/>
    <x v="0"/>
    <x v="1"/>
    <n v="8"/>
    <x v="0"/>
    <s v="Qtr-1"/>
  </r>
  <r>
    <s v="29-067-4901"/>
    <x v="22"/>
    <x v="2"/>
    <x v="1"/>
    <x v="1"/>
    <x v="3"/>
    <x v="2"/>
    <s v="Middle"/>
    <s v="Arhust"/>
    <s v="Denmark"/>
    <x v="18"/>
    <n v="227.03"/>
    <n v="12"/>
    <s v="Online"/>
    <n v="2"/>
    <n v="2"/>
    <n v="0"/>
    <s v="High"/>
    <s v="Very Sensitive"/>
    <n v="0.16666666666666666"/>
    <x v="3"/>
    <s v="Low"/>
    <x v="2"/>
    <s v="PayPal"/>
    <d v="2024-07-07T00:00:00"/>
    <x v="0"/>
    <x v="1"/>
    <x v="3"/>
    <x v="1"/>
    <n v="2"/>
    <x v="5"/>
    <s v="Qtr-3"/>
  </r>
  <r>
    <s v="93-957-6269"/>
    <x v="29"/>
    <x v="0"/>
    <x v="1"/>
    <x v="1"/>
    <x v="3"/>
    <x v="0"/>
    <s v="Middle"/>
    <s v="Thaton"/>
    <s v="Myanmar"/>
    <x v="3"/>
    <n v="278.49"/>
    <n v="4"/>
    <s v="Mixed"/>
    <n v="5"/>
    <n v="5"/>
    <n v="0"/>
    <s v="Low"/>
    <s v="Somewhat Sensitive"/>
    <n v="0.25"/>
    <x v="1"/>
    <s v="Low"/>
    <x v="1"/>
    <s v="Credit Card"/>
    <d v="2024-09-08T00:00:00"/>
    <x v="0"/>
    <x v="1"/>
    <x v="0"/>
    <x v="2"/>
    <n v="8"/>
    <x v="10"/>
    <s v="Qtr-3"/>
  </r>
  <r>
    <s v="81-225-6647"/>
    <x v="20"/>
    <x v="1"/>
    <x v="0"/>
    <x v="1"/>
    <x v="2"/>
    <x v="0"/>
    <s v="High"/>
    <s v="Changbai"/>
    <s v="China"/>
    <x v="9"/>
    <n v="120.56"/>
    <n v="5"/>
    <s v="Online"/>
    <n v="4"/>
    <n v="3"/>
    <n v="120"/>
    <s v="None"/>
    <s v="Not Sensitive"/>
    <n v="0.4"/>
    <x v="0"/>
    <s v="Low"/>
    <x v="0"/>
    <s v="Debit Card"/>
    <d v="2024-06-03T00:00:00"/>
    <x v="1"/>
    <x v="0"/>
    <x v="0"/>
    <x v="2"/>
    <n v="7"/>
    <x v="4"/>
    <s v="Qtr-2"/>
  </r>
  <r>
    <s v="64-706-7841"/>
    <x v="8"/>
    <x v="0"/>
    <x v="1"/>
    <x v="1"/>
    <x v="3"/>
    <x v="0"/>
    <s v="Middle"/>
    <s v="Kragan"/>
    <s v="Indonesia"/>
    <x v="0"/>
    <n v="320.94"/>
    <n v="11"/>
    <s v="Online"/>
    <n v="3"/>
    <n v="3"/>
    <n v="120"/>
    <s v="High"/>
    <s v="Not Sensitive"/>
    <n v="0.18181818181818182"/>
    <x v="3"/>
    <s v="None"/>
    <x v="1"/>
    <s v="Cash"/>
    <d v="2024-11-08T00:00:00"/>
    <x v="1"/>
    <x v="0"/>
    <x v="2"/>
    <x v="0"/>
    <n v="10"/>
    <x v="11"/>
    <s v="Qtr-4"/>
  </r>
  <r>
    <s v="47-178-9529"/>
    <x v="14"/>
    <x v="2"/>
    <x v="0"/>
    <x v="1"/>
    <x v="3"/>
    <x v="2"/>
    <s v="Middle"/>
    <s v="Bida"/>
    <s v="Nigeria"/>
    <x v="23"/>
    <n v="217.72"/>
    <n v="3"/>
    <s v="In-Store"/>
    <n v="4"/>
    <n v="4"/>
    <n v="120"/>
    <s v="Medium"/>
    <s v="Not Sensitive"/>
    <n v="0.33333333333333331"/>
    <x v="7"/>
    <s v="High"/>
    <x v="0"/>
    <s v="Debit Card"/>
    <d v="2024-10-16T00:00:00"/>
    <x v="1"/>
    <x v="1"/>
    <x v="1"/>
    <x v="0"/>
    <n v="14"/>
    <x v="2"/>
    <s v="Qtr-4"/>
  </r>
  <r>
    <s v="63-808-3641"/>
    <x v="8"/>
    <x v="0"/>
    <x v="1"/>
    <x v="1"/>
    <x v="2"/>
    <x v="0"/>
    <s v="Middle"/>
    <s v="Pointe Michel"/>
    <s v="Dominica"/>
    <x v="3"/>
    <n v="222.61"/>
    <n v="3"/>
    <s v="Online"/>
    <n v="1"/>
    <n v="2"/>
    <n v="60"/>
    <s v="Medium"/>
    <s v="Very Sensitive"/>
    <n v="0.33333333333333331"/>
    <x v="2"/>
    <s v="None"/>
    <x v="2"/>
    <s v="PayPal"/>
    <d v="2024-07-03T00:00:00"/>
    <x v="1"/>
    <x v="1"/>
    <x v="0"/>
    <x v="1"/>
    <n v="3"/>
    <x v="5"/>
    <s v="Qtr-3"/>
  </r>
  <r>
    <s v="85-738-8909"/>
    <x v="13"/>
    <x v="1"/>
    <x v="0"/>
    <x v="0"/>
    <x v="3"/>
    <x v="1"/>
    <s v="Middle"/>
    <s v="Juyuan"/>
    <s v="China"/>
    <x v="21"/>
    <n v="102.73"/>
    <n v="3"/>
    <s v="Mixed"/>
    <n v="4"/>
    <n v="5"/>
    <n v="18"/>
    <s v="None"/>
    <s v="Not Sensitive"/>
    <n v="0.66666666666666663"/>
    <x v="1"/>
    <s v="None"/>
    <x v="0"/>
    <s v="Debit Card"/>
    <d v="2024-07-18T00:00:00"/>
    <x v="1"/>
    <x v="0"/>
    <x v="1"/>
    <x v="2"/>
    <n v="14"/>
    <x v="5"/>
    <s v="Qtr-3"/>
  </r>
  <r>
    <s v="40-224-1057"/>
    <x v="13"/>
    <x v="1"/>
    <x v="0"/>
    <x v="0"/>
    <x v="0"/>
    <x v="0"/>
    <s v="High"/>
    <s v="Sabugo"/>
    <s v="Portugal"/>
    <x v="6"/>
    <n v="426.87"/>
    <n v="2"/>
    <s v="In-Store"/>
    <n v="4"/>
    <n v="2"/>
    <n v="120"/>
    <s v="None"/>
    <s v="Not Sensitive"/>
    <n v="0"/>
    <x v="7"/>
    <s v="Medium"/>
    <x v="1"/>
    <s v="Debit Card"/>
    <d v="2024-03-14T00:00:00"/>
    <x v="1"/>
    <x v="0"/>
    <x v="1"/>
    <x v="0"/>
    <n v="3"/>
    <x v="0"/>
    <s v="Qtr-1"/>
  </r>
  <r>
    <s v="24-853-1635"/>
    <x v="28"/>
    <x v="0"/>
    <x v="0"/>
    <x v="0"/>
    <x v="2"/>
    <x v="1"/>
    <s v="Middle"/>
    <s v="Huangjin"/>
    <s v="China"/>
    <x v="23"/>
    <n v="473.28"/>
    <n v="5"/>
    <s v="Online"/>
    <n v="5"/>
    <n v="5"/>
    <n v="60"/>
    <s v="Medium"/>
    <s v="Very Sensitive"/>
    <n v="0.2"/>
    <x v="5"/>
    <s v="None"/>
    <x v="1"/>
    <s v="Cash"/>
    <d v="2024-12-09T00:00:00"/>
    <x v="1"/>
    <x v="0"/>
    <x v="0"/>
    <x v="1"/>
    <n v="13"/>
    <x v="6"/>
    <s v="Qtr-4"/>
  </r>
  <r>
    <s v="61-627-1822"/>
    <x v="7"/>
    <x v="2"/>
    <x v="1"/>
    <x v="1"/>
    <x v="2"/>
    <x v="0"/>
    <s v="High"/>
    <s v="Huquan"/>
    <s v="China"/>
    <x v="23"/>
    <n v="446.03"/>
    <n v="9"/>
    <s v="In-Store"/>
    <n v="2"/>
    <n v="1"/>
    <n v="120"/>
    <s v="Low"/>
    <s v="Somewhat Sensitive"/>
    <n v="0.22222222222222221"/>
    <x v="0"/>
    <s v="None"/>
    <x v="0"/>
    <s v="Other"/>
    <d v="2024-06-26T00:00:00"/>
    <x v="0"/>
    <x v="1"/>
    <x v="0"/>
    <x v="2"/>
    <n v="12"/>
    <x v="4"/>
    <s v="Qtr-2"/>
  </r>
  <r>
    <s v="89-392-5002"/>
    <x v="24"/>
    <x v="3"/>
    <x v="0"/>
    <x v="1"/>
    <x v="1"/>
    <x v="0"/>
    <s v="High"/>
    <s v="Xinqiao"/>
    <s v="China"/>
    <x v="17"/>
    <n v="287.95"/>
    <n v="3"/>
    <s v="Mixed"/>
    <n v="2"/>
    <n v="3"/>
    <n v="120"/>
    <s v="None"/>
    <s v="Very Sensitive"/>
    <n v="0.66666666666666663"/>
    <x v="0"/>
    <s v="High"/>
    <x v="0"/>
    <s v="PayPal"/>
    <d v="2024-11-12T00:00:00"/>
    <x v="0"/>
    <x v="1"/>
    <x v="3"/>
    <x v="1"/>
    <n v="11"/>
    <x v="11"/>
    <s v="Qtr-4"/>
  </r>
  <r>
    <s v="71-573-6085"/>
    <x v="16"/>
    <x v="2"/>
    <x v="0"/>
    <x v="0"/>
    <x v="2"/>
    <x v="2"/>
    <s v="High"/>
    <s v="Trzemeszno"/>
    <s v="Poland"/>
    <x v="8"/>
    <n v="132.52000000000001"/>
    <n v="6"/>
    <s v="Mixed"/>
    <n v="1"/>
    <n v="2"/>
    <n v="0"/>
    <s v="Medium"/>
    <s v="Somewhat Sensitive"/>
    <n v="0.33333333333333331"/>
    <x v="3"/>
    <s v="Low"/>
    <x v="1"/>
    <s v="Debit Card"/>
    <d v="2024-12-20T00:00:00"/>
    <x v="0"/>
    <x v="1"/>
    <x v="2"/>
    <x v="2"/>
    <n v="12"/>
    <x v="6"/>
    <s v="Qtr-4"/>
  </r>
  <r>
    <s v="91-810-3612"/>
    <x v="15"/>
    <x v="2"/>
    <x v="0"/>
    <x v="0"/>
    <x v="0"/>
    <x v="0"/>
    <s v="Middle"/>
    <s v="Dashkawka"/>
    <s v="Belarus"/>
    <x v="6"/>
    <n v="379.2"/>
    <n v="7"/>
    <s v="Online"/>
    <n v="5"/>
    <n v="1"/>
    <n v="0"/>
    <s v="Medium"/>
    <s v="Very Sensitive"/>
    <n v="0.2857142857142857"/>
    <x v="6"/>
    <s v="High"/>
    <x v="1"/>
    <s v="Debit Card"/>
    <d v="2024-05-28T00:00:00"/>
    <x v="0"/>
    <x v="1"/>
    <x v="0"/>
    <x v="0"/>
    <n v="7"/>
    <x v="9"/>
    <s v="Qtr-2"/>
  </r>
  <r>
    <s v="07-323-0255"/>
    <x v="16"/>
    <x v="2"/>
    <x v="3"/>
    <x v="0"/>
    <x v="0"/>
    <x v="1"/>
    <s v="High"/>
    <s v="Sakura"/>
    <s v="Japan"/>
    <x v="19"/>
    <n v="447.53"/>
    <n v="4"/>
    <s v="Online"/>
    <n v="2"/>
    <n v="1"/>
    <n v="120"/>
    <s v="High"/>
    <s v="Somewhat Sensitive"/>
    <n v="0.25"/>
    <x v="9"/>
    <s v="None"/>
    <x v="1"/>
    <s v="PayPal"/>
    <d v="2024-10-13T00:00:00"/>
    <x v="0"/>
    <x v="1"/>
    <x v="1"/>
    <x v="0"/>
    <n v="3"/>
    <x v="2"/>
    <s v="Qtr-4"/>
  </r>
  <r>
    <s v="81-054-5343"/>
    <x v="5"/>
    <x v="1"/>
    <x v="0"/>
    <x v="1"/>
    <x v="3"/>
    <x v="0"/>
    <s v="Middle"/>
    <s v="Lianghu"/>
    <s v="China"/>
    <x v="2"/>
    <n v="138.44"/>
    <n v="4"/>
    <s v="Mixed"/>
    <n v="5"/>
    <n v="1"/>
    <n v="60"/>
    <s v="None"/>
    <s v="Very Sensitive"/>
    <n v="0.25"/>
    <x v="6"/>
    <s v="None"/>
    <x v="1"/>
    <s v="Cash"/>
    <d v="2024-02-22T00:00:00"/>
    <x v="1"/>
    <x v="1"/>
    <x v="1"/>
    <x v="2"/>
    <n v="1"/>
    <x v="8"/>
    <s v="Qtr-1"/>
  </r>
  <r>
    <s v="14-854-9545"/>
    <x v="5"/>
    <x v="1"/>
    <x v="6"/>
    <x v="0"/>
    <x v="1"/>
    <x v="1"/>
    <s v="Middle"/>
    <s v="Karabash"/>
    <s v="Russia"/>
    <x v="3"/>
    <n v="440.62"/>
    <n v="8"/>
    <s v="Mixed"/>
    <n v="2"/>
    <n v="2"/>
    <n v="120"/>
    <s v="None"/>
    <s v="Very Sensitive"/>
    <n v="0.125"/>
    <x v="4"/>
    <s v="Medium"/>
    <x v="0"/>
    <s v="Debit Card"/>
    <d v="2024-02-01T00:00:00"/>
    <x v="0"/>
    <x v="1"/>
    <x v="0"/>
    <x v="2"/>
    <n v="6"/>
    <x v="8"/>
    <s v="Qtr-1"/>
  </r>
  <r>
    <s v="52-150-4629"/>
    <x v="25"/>
    <x v="0"/>
    <x v="0"/>
    <x v="1"/>
    <x v="3"/>
    <x v="2"/>
    <s v="High"/>
    <s v="Maomiaoji"/>
    <s v="China"/>
    <x v="6"/>
    <n v="145.97999999999999"/>
    <n v="4"/>
    <s v="In-Store"/>
    <n v="1"/>
    <n v="2"/>
    <n v="60"/>
    <s v="Low"/>
    <s v="Very Sensitive"/>
    <n v="0.5"/>
    <x v="1"/>
    <s v="High"/>
    <x v="2"/>
    <s v="Other"/>
    <d v="2024-09-16T00:00:00"/>
    <x v="1"/>
    <x v="0"/>
    <x v="0"/>
    <x v="0"/>
    <n v="1"/>
    <x v="10"/>
    <s v="Qtr-3"/>
  </r>
  <r>
    <s v="48-918-4473"/>
    <x v="31"/>
    <x v="0"/>
    <x v="1"/>
    <x v="0"/>
    <x v="0"/>
    <x v="1"/>
    <s v="High"/>
    <s v="Pingtian"/>
    <s v="China"/>
    <x v="14"/>
    <n v="405.66"/>
    <n v="11"/>
    <s v="Online"/>
    <n v="5"/>
    <n v="2"/>
    <n v="60"/>
    <s v="Medium"/>
    <s v="Somewhat Sensitive"/>
    <n v="9.0909090909090912E-2"/>
    <x v="4"/>
    <s v="High"/>
    <x v="0"/>
    <s v="Cash"/>
    <d v="2024-04-27T00:00:00"/>
    <x v="0"/>
    <x v="0"/>
    <x v="2"/>
    <x v="2"/>
    <n v="11"/>
    <x v="1"/>
    <s v="Qtr-2"/>
  </r>
  <r>
    <s v="06-764-5496"/>
    <x v="29"/>
    <x v="0"/>
    <x v="0"/>
    <x v="1"/>
    <x v="1"/>
    <x v="1"/>
    <s v="Middle"/>
    <s v="Tišina"/>
    <s v="Slovenia"/>
    <x v="20"/>
    <n v="419.98"/>
    <n v="7"/>
    <s v="In-Store"/>
    <n v="4"/>
    <n v="4"/>
    <n v="0"/>
    <s v="None"/>
    <s v="Very Sensitive"/>
    <n v="0"/>
    <x v="3"/>
    <s v="Medium"/>
    <x v="2"/>
    <s v="PayPal"/>
    <d v="2024-04-28T00:00:00"/>
    <x v="0"/>
    <x v="1"/>
    <x v="2"/>
    <x v="0"/>
    <n v="14"/>
    <x v="1"/>
    <s v="Qtr-2"/>
  </r>
  <r>
    <s v="67-036-4295"/>
    <x v="17"/>
    <x v="1"/>
    <x v="0"/>
    <x v="0"/>
    <x v="3"/>
    <x v="2"/>
    <s v="High"/>
    <s v="Montceau-les-Mines"/>
    <s v="France"/>
    <x v="17"/>
    <n v="260.14"/>
    <n v="5"/>
    <s v="Online"/>
    <n v="3"/>
    <n v="2"/>
    <n v="60"/>
    <s v="None"/>
    <s v="Somewhat Sensitive"/>
    <n v="0.2"/>
    <x v="0"/>
    <s v="Low"/>
    <x v="1"/>
    <s v="Other"/>
    <d v="2024-09-01T00:00:00"/>
    <x v="0"/>
    <x v="1"/>
    <x v="0"/>
    <x v="1"/>
    <n v="7"/>
    <x v="10"/>
    <s v="Qtr-3"/>
  </r>
  <r>
    <s v="35-880-9374"/>
    <x v="15"/>
    <x v="2"/>
    <x v="0"/>
    <x v="0"/>
    <x v="2"/>
    <x v="0"/>
    <s v="High"/>
    <s v="Karengan"/>
    <s v="Indonesia"/>
    <x v="17"/>
    <n v="368.91"/>
    <n v="10"/>
    <s v="In-Store"/>
    <n v="1"/>
    <n v="3"/>
    <n v="120"/>
    <s v="High"/>
    <s v="Not Sensitive"/>
    <n v="0.2"/>
    <x v="3"/>
    <s v="High"/>
    <x v="2"/>
    <s v="Debit Card"/>
    <d v="2024-03-21T00:00:00"/>
    <x v="1"/>
    <x v="0"/>
    <x v="0"/>
    <x v="0"/>
    <n v="7"/>
    <x v="0"/>
    <s v="Qtr-1"/>
  </r>
  <r>
    <s v="08-614-6177"/>
    <x v="11"/>
    <x v="2"/>
    <x v="1"/>
    <x v="0"/>
    <x v="2"/>
    <x v="2"/>
    <s v="Middle"/>
    <s v="Sungai Raya"/>
    <s v="Indonesia"/>
    <x v="3"/>
    <n v="100.32"/>
    <n v="2"/>
    <s v="In-Store"/>
    <n v="5"/>
    <n v="1"/>
    <n v="60"/>
    <s v="Low"/>
    <s v="Very Sensitive"/>
    <n v="0"/>
    <x v="2"/>
    <s v="Medium"/>
    <x v="0"/>
    <s v="Credit Card"/>
    <d v="2024-12-11T00:00:00"/>
    <x v="1"/>
    <x v="1"/>
    <x v="3"/>
    <x v="2"/>
    <n v="8"/>
    <x v="6"/>
    <s v="Qtr-4"/>
  </r>
  <r>
    <s v="35-879-0014"/>
    <x v="10"/>
    <x v="2"/>
    <x v="1"/>
    <x v="1"/>
    <x v="0"/>
    <x v="2"/>
    <s v="Middle"/>
    <s v="Zwedru"/>
    <s v="Liberia"/>
    <x v="1"/>
    <n v="107.82"/>
    <n v="7"/>
    <s v="Mixed"/>
    <n v="5"/>
    <n v="3"/>
    <n v="120"/>
    <s v="High"/>
    <s v="Very Sensitive"/>
    <n v="0.2857142857142857"/>
    <x v="3"/>
    <s v="Low"/>
    <x v="1"/>
    <s v="Credit Card"/>
    <d v="2024-12-04T00:00:00"/>
    <x v="1"/>
    <x v="1"/>
    <x v="1"/>
    <x v="0"/>
    <n v="2"/>
    <x v="6"/>
    <s v="Qtr-4"/>
  </r>
  <r>
    <s v="91-570-2695"/>
    <x v="17"/>
    <x v="1"/>
    <x v="1"/>
    <x v="0"/>
    <x v="0"/>
    <x v="1"/>
    <s v="Middle"/>
    <s v="?ahbuz"/>
    <s v="Azerbaijan"/>
    <x v="15"/>
    <n v="83.88"/>
    <n v="11"/>
    <s v="Online"/>
    <n v="4"/>
    <n v="2"/>
    <n v="60"/>
    <s v="Medium"/>
    <s v="Not Sensitive"/>
    <n v="0"/>
    <x v="9"/>
    <s v="Low"/>
    <x v="2"/>
    <s v="Other"/>
    <d v="2024-02-24T00:00:00"/>
    <x v="0"/>
    <x v="1"/>
    <x v="3"/>
    <x v="2"/>
    <n v="4"/>
    <x v="8"/>
    <s v="Qtr-1"/>
  </r>
  <r>
    <s v="54-193-3526"/>
    <x v="2"/>
    <x v="0"/>
    <x v="0"/>
    <x v="0"/>
    <x v="2"/>
    <x v="0"/>
    <s v="Middle"/>
    <s v="Masaran"/>
    <s v="Indonesia"/>
    <x v="22"/>
    <n v="81.25"/>
    <n v="9"/>
    <s v="Online"/>
    <n v="1"/>
    <n v="2"/>
    <n v="60"/>
    <s v="Low"/>
    <s v="Very Sensitive"/>
    <n v="0.22222222222222221"/>
    <x v="8"/>
    <s v="Medium"/>
    <x v="2"/>
    <s v="Cash"/>
    <d v="2024-05-24T00:00:00"/>
    <x v="0"/>
    <x v="1"/>
    <x v="3"/>
    <x v="0"/>
    <n v="10"/>
    <x v="9"/>
    <s v="Qtr-2"/>
  </r>
  <r>
    <s v="55-237-7991"/>
    <x v="1"/>
    <x v="1"/>
    <x v="1"/>
    <x v="0"/>
    <x v="2"/>
    <x v="2"/>
    <s v="High"/>
    <s v="Huangtang"/>
    <s v="China"/>
    <x v="3"/>
    <n v="125.8"/>
    <n v="12"/>
    <s v="In-Store"/>
    <n v="4"/>
    <n v="4"/>
    <n v="120"/>
    <s v="None"/>
    <s v="Somewhat Sensitive"/>
    <n v="0"/>
    <x v="8"/>
    <s v="High"/>
    <x v="2"/>
    <s v="PayPal"/>
    <d v="2024-05-18T00:00:00"/>
    <x v="1"/>
    <x v="1"/>
    <x v="3"/>
    <x v="0"/>
    <n v="1"/>
    <x v="9"/>
    <s v="Qtr-2"/>
  </r>
  <r>
    <s v="90-569-7391"/>
    <x v="27"/>
    <x v="3"/>
    <x v="0"/>
    <x v="0"/>
    <x v="1"/>
    <x v="0"/>
    <s v="Middle"/>
    <s v="Skoútari"/>
    <s v="Greece"/>
    <x v="18"/>
    <n v="197.9"/>
    <n v="11"/>
    <s v="Mixed"/>
    <n v="2"/>
    <n v="4"/>
    <n v="120"/>
    <s v="Medium"/>
    <s v="Not Sensitive"/>
    <n v="9.0909090909090912E-2"/>
    <x v="7"/>
    <s v="Low"/>
    <x v="2"/>
    <s v="Debit Card"/>
    <d v="2024-04-02T00:00:00"/>
    <x v="0"/>
    <x v="1"/>
    <x v="1"/>
    <x v="1"/>
    <n v="5"/>
    <x v="1"/>
    <s v="Qtr-2"/>
  </r>
  <r>
    <s v="88-395-8741"/>
    <x v="32"/>
    <x v="1"/>
    <x v="1"/>
    <x v="1"/>
    <x v="3"/>
    <x v="1"/>
    <s v="Middle"/>
    <s v="Jelat"/>
    <s v="Indonesia"/>
    <x v="22"/>
    <n v="299.08999999999997"/>
    <n v="8"/>
    <s v="In-Store"/>
    <n v="1"/>
    <n v="1"/>
    <n v="120"/>
    <s v="High"/>
    <s v="Very Sensitive"/>
    <n v="0.25"/>
    <x v="0"/>
    <s v="High"/>
    <x v="0"/>
    <s v="Debit Card"/>
    <d v="2024-06-24T00:00:00"/>
    <x v="1"/>
    <x v="0"/>
    <x v="2"/>
    <x v="1"/>
    <n v="14"/>
    <x v="4"/>
    <s v="Qtr-2"/>
  </r>
  <r>
    <s v="06-638-0433"/>
    <x v="30"/>
    <x v="1"/>
    <x v="1"/>
    <x v="1"/>
    <x v="0"/>
    <x v="1"/>
    <s v="Middle"/>
    <s v="Doibang"/>
    <s v="Vietnam"/>
    <x v="22"/>
    <n v="79.3"/>
    <n v="10"/>
    <s v="Online"/>
    <n v="3"/>
    <n v="2"/>
    <n v="60"/>
    <s v="Low"/>
    <s v="Somewhat Sensitive"/>
    <n v="0.2"/>
    <x v="7"/>
    <s v="High"/>
    <x v="1"/>
    <s v="Debit Card"/>
    <d v="2024-09-03T00:00:00"/>
    <x v="1"/>
    <x v="0"/>
    <x v="3"/>
    <x v="0"/>
    <n v="2"/>
    <x v="10"/>
    <s v="Qtr-3"/>
  </r>
  <r>
    <s v="84-208-7045"/>
    <x v="4"/>
    <x v="2"/>
    <x v="1"/>
    <x v="1"/>
    <x v="3"/>
    <x v="1"/>
    <s v="High"/>
    <s v="Kazimierz Dolny"/>
    <s v="Poland"/>
    <x v="5"/>
    <n v="55.73"/>
    <n v="12"/>
    <s v="In-Store"/>
    <n v="4"/>
    <n v="3"/>
    <n v="18"/>
    <s v="Medium"/>
    <s v="Not Sensitive"/>
    <n v="8.3333333333333329E-2"/>
    <x v="4"/>
    <s v="High"/>
    <x v="0"/>
    <s v="PayPal"/>
    <d v="2024-05-19T00:00:00"/>
    <x v="1"/>
    <x v="1"/>
    <x v="0"/>
    <x v="2"/>
    <n v="3"/>
    <x v="9"/>
    <s v="Qtr-2"/>
  </r>
  <r>
    <s v="71-568-0867"/>
    <x v="19"/>
    <x v="1"/>
    <x v="1"/>
    <x v="1"/>
    <x v="1"/>
    <x v="0"/>
    <s v="High"/>
    <s v="Margasari"/>
    <s v="Indonesia"/>
    <x v="14"/>
    <n v="256.44"/>
    <n v="8"/>
    <s v="In-Store"/>
    <n v="4"/>
    <n v="1"/>
    <n v="120"/>
    <s v="High"/>
    <s v="Somewhat Sensitive"/>
    <n v="0.125"/>
    <x v="9"/>
    <s v="Medium"/>
    <x v="0"/>
    <s v="Other"/>
    <d v="2024-08-04T00:00:00"/>
    <x v="1"/>
    <x v="0"/>
    <x v="1"/>
    <x v="2"/>
    <n v="3"/>
    <x v="7"/>
    <s v="Qtr-3"/>
  </r>
  <r>
    <s v="18-925-1867"/>
    <x v="25"/>
    <x v="0"/>
    <x v="0"/>
    <x v="1"/>
    <x v="0"/>
    <x v="0"/>
    <s v="High"/>
    <s v="Garça"/>
    <s v="Brazil"/>
    <x v="16"/>
    <n v="337.21"/>
    <n v="12"/>
    <s v="Online"/>
    <n v="1"/>
    <n v="5"/>
    <n v="60"/>
    <s v="Low"/>
    <s v="Somewhat Sensitive"/>
    <n v="0"/>
    <x v="5"/>
    <s v="None"/>
    <x v="1"/>
    <s v="Debit Card"/>
    <d v="2024-10-24T00:00:00"/>
    <x v="0"/>
    <x v="1"/>
    <x v="3"/>
    <x v="2"/>
    <n v="11"/>
    <x v="2"/>
    <s v="Qtr-4"/>
  </r>
  <r>
    <s v="69-394-1424"/>
    <x v="22"/>
    <x v="2"/>
    <x v="0"/>
    <x v="1"/>
    <x v="1"/>
    <x v="2"/>
    <s v="Middle"/>
    <s v="Muff"/>
    <s v="Northern Ireland, United Kingdom"/>
    <x v="14"/>
    <n v="494.97"/>
    <n v="12"/>
    <s v="In-Store"/>
    <n v="5"/>
    <n v="4"/>
    <n v="120"/>
    <s v="Low"/>
    <s v="Not Sensitive"/>
    <n v="8.3333333333333329E-2"/>
    <x v="1"/>
    <s v="Low"/>
    <x v="0"/>
    <s v="Debit Card"/>
    <d v="2024-08-16T00:00:00"/>
    <x v="1"/>
    <x v="0"/>
    <x v="3"/>
    <x v="0"/>
    <n v="7"/>
    <x v="7"/>
    <s v="Qtr-3"/>
  </r>
  <r>
    <s v="91-695-8237"/>
    <x v="16"/>
    <x v="2"/>
    <x v="0"/>
    <x v="0"/>
    <x v="2"/>
    <x v="1"/>
    <s v="High"/>
    <s v="Kryva Hora"/>
    <s v="Ukraine"/>
    <x v="17"/>
    <n v="238.58"/>
    <n v="6"/>
    <s v="Online"/>
    <n v="3"/>
    <n v="2"/>
    <n v="120"/>
    <s v="Medium"/>
    <s v="Very Sensitive"/>
    <n v="0.33333333333333331"/>
    <x v="5"/>
    <s v="Medium"/>
    <x v="0"/>
    <s v="PayPal"/>
    <d v="2024-06-11T00:00:00"/>
    <x v="0"/>
    <x v="1"/>
    <x v="1"/>
    <x v="1"/>
    <n v="8"/>
    <x v="4"/>
    <s v="Qtr-2"/>
  </r>
  <r>
    <s v="68-458-0904"/>
    <x v="28"/>
    <x v="0"/>
    <x v="0"/>
    <x v="1"/>
    <x v="1"/>
    <x v="0"/>
    <s v="High"/>
    <s v="Pyra"/>
    <s v="India"/>
    <x v="6"/>
    <n v="131.9"/>
    <n v="8"/>
    <s v="Mixed"/>
    <n v="3"/>
    <n v="5"/>
    <n v="0"/>
    <s v="None"/>
    <s v="Not Sensitive"/>
    <n v="0.25"/>
    <x v="7"/>
    <s v="Medium"/>
    <x v="0"/>
    <s v="Credit Card"/>
    <d v="2024-11-01T00:00:00"/>
    <x v="0"/>
    <x v="1"/>
    <x v="3"/>
    <x v="0"/>
    <n v="4"/>
    <x v="11"/>
    <s v="Qtr-4"/>
  </r>
  <r>
    <s v="28-862-5550"/>
    <x v="1"/>
    <x v="1"/>
    <x v="0"/>
    <x v="0"/>
    <x v="0"/>
    <x v="0"/>
    <s v="High"/>
    <s v="General Lavalle"/>
    <s v="Argentina"/>
    <x v="1"/>
    <n v="403.03"/>
    <n v="12"/>
    <s v="Mixed"/>
    <n v="1"/>
    <n v="5"/>
    <n v="60"/>
    <s v="Medium"/>
    <s v="Somewhat Sensitive"/>
    <n v="0"/>
    <x v="2"/>
    <s v="High"/>
    <x v="0"/>
    <s v="Other"/>
    <d v="2024-08-22T00:00:00"/>
    <x v="0"/>
    <x v="1"/>
    <x v="1"/>
    <x v="1"/>
    <n v="2"/>
    <x v="7"/>
    <s v="Qtr-3"/>
  </r>
  <r>
    <s v="85-666-7449"/>
    <x v="29"/>
    <x v="0"/>
    <x v="0"/>
    <x v="1"/>
    <x v="2"/>
    <x v="0"/>
    <s v="High"/>
    <s v="Zhongzhang"/>
    <s v="China"/>
    <x v="18"/>
    <n v="338.6"/>
    <n v="10"/>
    <s v="In-Store"/>
    <n v="1"/>
    <n v="3"/>
    <n v="120"/>
    <s v="Medium"/>
    <s v="Somewhat Sensitive"/>
    <n v="0.1"/>
    <x v="4"/>
    <s v="Medium"/>
    <x v="2"/>
    <s v="Other"/>
    <d v="2024-08-24T00:00:00"/>
    <x v="1"/>
    <x v="0"/>
    <x v="3"/>
    <x v="0"/>
    <n v="9"/>
    <x v="7"/>
    <s v="Qtr-3"/>
  </r>
  <r>
    <s v="30-987-7421"/>
    <x v="15"/>
    <x v="2"/>
    <x v="1"/>
    <x v="0"/>
    <x v="2"/>
    <x v="1"/>
    <s v="High"/>
    <s v="Estacion"/>
    <s v="Chile"/>
    <x v="4"/>
    <n v="365.38"/>
    <n v="11"/>
    <s v="Online"/>
    <n v="1"/>
    <n v="4"/>
    <n v="0"/>
    <s v="High"/>
    <s v="Somewhat Sensitive"/>
    <n v="0"/>
    <x v="5"/>
    <s v="Medium"/>
    <x v="2"/>
    <s v="Cash"/>
    <d v="2024-08-01T00:00:00"/>
    <x v="1"/>
    <x v="0"/>
    <x v="1"/>
    <x v="2"/>
    <n v="14"/>
    <x v="7"/>
    <s v="Qtr-3"/>
  </r>
  <r>
    <s v="39-107-6852"/>
    <x v="6"/>
    <x v="0"/>
    <x v="1"/>
    <x v="0"/>
    <x v="0"/>
    <x v="1"/>
    <s v="High"/>
    <s v="Xinglongchang"/>
    <s v="China"/>
    <x v="6"/>
    <n v="433.99"/>
    <n v="11"/>
    <s v="Mixed"/>
    <n v="3"/>
    <n v="2"/>
    <n v="60"/>
    <s v="High"/>
    <s v="Not Sensitive"/>
    <n v="0"/>
    <x v="6"/>
    <s v="None"/>
    <x v="2"/>
    <s v="Credit Card"/>
    <d v="2024-02-09T00:00:00"/>
    <x v="1"/>
    <x v="0"/>
    <x v="0"/>
    <x v="0"/>
    <n v="8"/>
    <x v="8"/>
    <s v="Qtr-1"/>
  </r>
  <r>
    <s v="85-467-6564"/>
    <x v="22"/>
    <x v="2"/>
    <x v="0"/>
    <x v="0"/>
    <x v="2"/>
    <x v="1"/>
    <s v="Middle"/>
    <s v="San Nicolas"/>
    <s v="Philippines"/>
    <x v="10"/>
    <n v="495.95"/>
    <n v="5"/>
    <s v="In-Store"/>
    <n v="4"/>
    <n v="2"/>
    <n v="0"/>
    <s v="High"/>
    <s v="Very Sensitive"/>
    <n v="0.2"/>
    <x v="0"/>
    <s v="None"/>
    <x v="1"/>
    <s v="Other"/>
    <d v="2024-04-10T00:00:00"/>
    <x v="1"/>
    <x v="0"/>
    <x v="3"/>
    <x v="0"/>
    <n v="6"/>
    <x v="1"/>
    <s v="Qtr-2"/>
  </r>
  <r>
    <s v="82-692-9306"/>
    <x v="30"/>
    <x v="1"/>
    <x v="1"/>
    <x v="1"/>
    <x v="0"/>
    <x v="1"/>
    <s v="Middle"/>
    <s v="Ropa"/>
    <s v="Poland"/>
    <x v="15"/>
    <n v="356.22"/>
    <n v="7"/>
    <s v="In-Store"/>
    <n v="2"/>
    <n v="5"/>
    <n v="0"/>
    <s v="Medium"/>
    <s v="Very Sensitive"/>
    <n v="0.14285714285714285"/>
    <x v="0"/>
    <s v="High"/>
    <x v="1"/>
    <s v="Credit Card"/>
    <d v="2024-06-10T00:00:00"/>
    <x v="1"/>
    <x v="1"/>
    <x v="3"/>
    <x v="2"/>
    <n v="6"/>
    <x v="4"/>
    <s v="Qtr-2"/>
  </r>
  <r>
    <s v="18-593-8611"/>
    <x v="0"/>
    <x v="0"/>
    <x v="7"/>
    <x v="1"/>
    <x v="1"/>
    <x v="1"/>
    <s v="Middle"/>
    <s v="San Diego"/>
    <s v="United States"/>
    <x v="18"/>
    <n v="156.4"/>
    <n v="7"/>
    <s v="In-Store"/>
    <n v="4"/>
    <n v="5"/>
    <n v="120"/>
    <s v="Low"/>
    <s v="Somewhat Sensitive"/>
    <n v="0.14285714285714285"/>
    <x v="0"/>
    <s v="Low"/>
    <x v="2"/>
    <s v="Credit Card"/>
    <d v="2024-11-07T00:00:00"/>
    <x v="1"/>
    <x v="1"/>
    <x v="0"/>
    <x v="1"/>
    <n v="4"/>
    <x v="11"/>
    <s v="Qtr-4"/>
  </r>
  <r>
    <s v="93-093-0556"/>
    <x v="21"/>
    <x v="1"/>
    <x v="1"/>
    <x v="0"/>
    <x v="1"/>
    <x v="2"/>
    <s v="Middle"/>
    <s v="Pan-an"/>
    <s v="China"/>
    <x v="6"/>
    <n v="454.36"/>
    <n v="3"/>
    <s v="In-Store"/>
    <n v="4"/>
    <n v="5"/>
    <n v="60"/>
    <s v="Low"/>
    <s v="Very Sensitive"/>
    <n v="0.33333333333333331"/>
    <x v="8"/>
    <s v="Medium"/>
    <x v="0"/>
    <s v="Cash"/>
    <d v="2024-09-16T00:00:00"/>
    <x v="0"/>
    <x v="0"/>
    <x v="3"/>
    <x v="0"/>
    <n v="12"/>
    <x v="10"/>
    <s v="Qtr-3"/>
  </r>
  <r>
    <s v="59-080-5779"/>
    <x v="17"/>
    <x v="1"/>
    <x v="1"/>
    <x v="1"/>
    <x v="1"/>
    <x v="0"/>
    <s v="High"/>
    <s v="Shu"/>
    <s v="Kazakhstan"/>
    <x v="14"/>
    <n v="486.07"/>
    <n v="11"/>
    <s v="Mixed"/>
    <n v="5"/>
    <n v="1"/>
    <n v="0"/>
    <s v="Medium"/>
    <s v="Somewhat Sensitive"/>
    <n v="0.18181818181818182"/>
    <x v="9"/>
    <s v="None"/>
    <x v="0"/>
    <s v="Credit Card"/>
    <d v="2024-01-16T00:00:00"/>
    <x v="1"/>
    <x v="0"/>
    <x v="3"/>
    <x v="1"/>
    <n v="12"/>
    <x v="3"/>
    <s v="Qtr-1"/>
  </r>
  <r>
    <s v="64-915-2968"/>
    <x v="12"/>
    <x v="2"/>
    <x v="0"/>
    <x v="1"/>
    <x v="3"/>
    <x v="1"/>
    <s v="Middle"/>
    <s v="Týn nad Vltavou"/>
    <s v="Czech Republic"/>
    <x v="12"/>
    <n v="427.86"/>
    <n v="11"/>
    <s v="Mixed"/>
    <n v="4"/>
    <n v="3"/>
    <n v="60"/>
    <s v="Medium"/>
    <s v="Not Sensitive"/>
    <n v="0"/>
    <x v="9"/>
    <s v="Medium"/>
    <x v="2"/>
    <s v="Debit Card"/>
    <d v="2024-03-03T00:00:00"/>
    <x v="0"/>
    <x v="1"/>
    <x v="0"/>
    <x v="2"/>
    <n v="8"/>
    <x v="0"/>
    <s v="Qtr-1"/>
  </r>
  <r>
    <s v="94-495-3402"/>
    <x v="1"/>
    <x v="1"/>
    <x v="0"/>
    <x v="1"/>
    <x v="3"/>
    <x v="2"/>
    <s v="High"/>
    <s v="Mojogajeh"/>
    <s v="Indonesia"/>
    <x v="21"/>
    <n v="235.13"/>
    <n v="10"/>
    <s v="Online"/>
    <n v="5"/>
    <n v="4"/>
    <n v="60"/>
    <s v="Medium"/>
    <s v="Very Sensitive"/>
    <n v="0.2"/>
    <x v="4"/>
    <s v="None"/>
    <x v="1"/>
    <s v="Other"/>
    <d v="2024-03-29T00:00:00"/>
    <x v="0"/>
    <x v="0"/>
    <x v="3"/>
    <x v="0"/>
    <n v="6"/>
    <x v="0"/>
    <s v="Qtr-1"/>
  </r>
  <r>
    <s v="84-458-6432"/>
    <x v="13"/>
    <x v="1"/>
    <x v="0"/>
    <x v="0"/>
    <x v="3"/>
    <x v="0"/>
    <s v="Middle"/>
    <s v="Mawu"/>
    <s v="China"/>
    <x v="19"/>
    <n v="361.27"/>
    <n v="4"/>
    <s v="Online"/>
    <n v="3"/>
    <n v="3"/>
    <n v="60"/>
    <s v="None"/>
    <s v="Not Sensitive"/>
    <n v="0"/>
    <x v="1"/>
    <s v="High"/>
    <x v="0"/>
    <s v="Credit Card"/>
    <d v="2024-09-15T00:00:00"/>
    <x v="0"/>
    <x v="0"/>
    <x v="0"/>
    <x v="1"/>
    <n v="2"/>
    <x v="10"/>
    <s v="Qtr-3"/>
  </r>
  <r>
    <s v="46-452-3822"/>
    <x v="9"/>
    <x v="2"/>
    <x v="0"/>
    <x v="0"/>
    <x v="1"/>
    <x v="0"/>
    <s v="Middle"/>
    <s v="Genting"/>
    <s v="Malaysia"/>
    <x v="4"/>
    <n v="195.83"/>
    <n v="10"/>
    <s v="Mixed"/>
    <n v="1"/>
    <n v="2"/>
    <n v="120"/>
    <s v="None"/>
    <s v="Not Sensitive"/>
    <n v="0.1"/>
    <x v="0"/>
    <s v="High"/>
    <x v="2"/>
    <s v="Debit Card"/>
    <d v="2024-01-25T00:00:00"/>
    <x v="0"/>
    <x v="0"/>
    <x v="0"/>
    <x v="0"/>
    <n v="13"/>
    <x v="3"/>
    <s v="Qtr-1"/>
  </r>
  <r>
    <s v="54-877-5699"/>
    <x v="6"/>
    <x v="0"/>
    <x v="1"/>
    <x v="1"/>
    <x v="0"/>
    <x v="2"/>
    <s v="High"/>
    <s v="Madan"/>
    <s v="Bulgaria"/>
    <x v="6"/>
    <n v="340.31"/>
    <n v="10"/>
    <s v="Online"/>
    <n v="5"/>
    <n v="1"/>
    <n v="60"/>
    <s v="Low"/>
    <s v="Somewhat Sensitive"/>
    <n v="0"/>
    <x v="1"/>
    <s v="Low"/>
    <x v="2"/>
    <s v="Other"/>
    <d v="2024-09-18T00:00:00"/>
    <x v="1"/>
    <x v="1"/>
    <x v="2"/>
    <x v="0"/>
    <n v="14"/>
    <x v="10"/>
    <s v="Qtr-3"/>
  </r>
  <r>
    <s v="15-146-4456"/>
    <x v="13"/>
    <x v="1"/>
    <x v="1"/>
    <x v="1"/>
    <x v="3"/>
    <x v="2"/>
    <s v="High"/>
    <s v="Hexiangqiao"/>
    <s v="China"/>
    <x v="9"/>
    <n v="489.67"/>
    <n v="5"/>
    <s v="Mixed"/>
    <n v="5"/>
    <n v="5"/>
    <n v="60"/>
    <s v="None"/>
    <s v="Very Sensitive"/>
    <n v="0.2"/>
    <x v="1"/>
    <s v="Medium"/>
    <x v="0"/>
    <s v="Debit Card"/>
    <d v="2024-12-21T00:00:00"/>
    <x v="1"/>
    <x v="0"/>
    <x v="1"/>
    <x v="1"/>
    <n v="11"/>
    <x v="6"/>
    <s v="Qtr-4"/>
  </r>
  <r>
    <s v="76-620-2994"/>
    <x v="29"/>
    <x v="0"/>
    <x v="1"/>
    <x v="1"/>
    <x v="3"/>
    <x v="2"/>
    <s v="Middle"/>
    <s v="Na Muen"/>
    <s v="Thailand"/>
    <x v="7"/>
    <n v="482.5"/>
    <n v="11"/>
    <s v="Mixed"/>
    <n v="1"/>
    <n v="1"/>
    <n v="60"/>
    <s v="None"/>
    <s v="Very Sensitive"/>
    <n v="0.18181818181818182"/>
    <x v="2"/>
    <s v="None"/>
    <x v="1"/>
    <s v="Cash"/>
    <d v="2024-09-28T00:00:00"/>
    <x v="0"/>
    <x v="1"/>
    <x v="0"/>
    <x v="0"/>
    <n v="13"/>
    <x v="10"/>
    <s v="Qtr-3"/>
  </r>
  <r>
    <s v="60-834-3348"/>
    <x v="11"/>
    <x v="2"/>
    <x v="0"/>
    <x v="0"/>
    <x v="0"/>
    <x v="2"/>
    <s v="Middle"/>
    <s v="Gafargaon"/>
    <s v="Bangladesh"/>
    <x v="23"/>
    <n v="433.14"/>
    <n v="10"/>
    <s v="In-Store"/>
    <n v="3"/>
    <n v="1"/>
    <n v="120"/>
    <s v="Medium"/>
    <s v="Not Sensitive"/>
    <n v="0.2"/>
    <x v="4"/>
    <s v="High"/>
    <x v="0"/>
    <s v="Debit Card"/>
    <d v="2024-07-09T00:00:00"/>
    <x v="1"/>
    <x v="0"/>
    <x v="2"/>
    <x v="0"/>
    <n v="5"/>
    <x v="5"/>
    <s v="Qtr-3"/>
  </r>
  <r>
    <s v="77-742-5663"/>
    <x v="26"/>
    <x v="1"/>
    <x v="0"/>
    <x v="0"/>
    <x v="2"/>
    <x v="1"/>
    <s v="High"/>
    <s v="Qingban"/>
    <s v="China"/>
    <x v="23"/>
    <n v="375.7"/>
    <n v="6"/>
    <s v="Online"/>
    <n v="3"/>
    <n v="1"/>
    <n v="120"/>
    <s v="Low"/>
    <s v="Very Sensitive"/>
    <n v="0.33333333333333331"/>
    <x v="3"/>
    <s v="Medium"/>
    <x v="0"/>
    <s v="Other"/>
    <d v="2024-09-27T00:00:00"/>
    <x v="0"/>
    <x v="0"/>
    <x v="1"/>
    <x v="0"/>
    <n v="10"/>
    <x v="10"/>
    <s v="Qtr-3"/>
  </r>
  <r>
    <s v="05-167-0833"/>
    <x v="6"/>
    <x v="0"/>
    <x v="1"/>
    <x v="0"/>
    <x v="1"/>
    <x v="2"/>
    <s v="Middle"/>
    <s v="Labège"/>
    <s v="France"/>
    <x v="22"/>
    <n v="381.3"/>
    <n v="12"/>
    <s v="Online"/>
    <n v="2"/>
    <n v="1"/>
    <n v="60"/>
    <s v="High"/>
    <s v="Very Sensitive"/>
    <n v="0"/>
    <x v="7"/>
    <s v="Low"/>
    <x v="2"/>
    <s v="Credit Card"/>
    <d v="2024-01-09T00:00:00"/>
    <x v="1"/>
    <x v="0"/>
    <x v="3"/>
    <x v="2"/>
    <n v="7"/>
    <x v="3"/>
    <s v="Qtr-1"/>
  </r>
  <r>
    <s v="86-182-9556"/>
    <x v="10"/>
    <x v="2"/>
    <x v="1"/>
    <x v="1"/>
    <x v="2"/>
    <x v="1"/>
    <s v="High"/>
    <s v="Port Elizabeth"/>
    <s v="South Africa"/>
    <x v="13"/>
    <n v="210.21"/>
    <n v="4"/>
    <s v="Mixed"/>
    <n v="4"/>
    <n v="1"/>
    <n v="120"/>
    <s v="High"/>
    <s v="Very Sensitive"/>
    <n v="0"/>
    <x v="3"/>
    <s v="High"/>
    <x v="2"/>
    <s v="PayPal"/>
    <d v="2024-07-05T00:00:00"/>
    <x v="1"/>
    <x v="1"/>
    <x v="0"/>
    <x v="0"/>
    <n v="14"/>
    <x v="5"/>
    <s v="Qtr-3"/>
  </r>
  <r>
    <s v="14-415-2802"/>
    <x v="3"/>
    <x v="0"/>
    <x v="1"/>
    <x v="0"/>
    <x v="2"/>
    <x v="2"/>
    <s v="High"/>
    <s v="Sauri"/>
    <s v="Kenya"/>
    <x v="18"/>
    <n v="408.81"/>
    <n v="8"/>
    <s v="Mixed"/>
    <n v="5"/>
    <n v="4"/>
    <n v="120"/>
    <s v="Low"/>
    <s v="Very Sensitive"/>
    <n v="0.125"/>
    <x v="4"/>
    <s v="Medium"/>
    <x v="2"/>
    <s v="Debit Card"/>
    <d v="2024-07-16T00:00:00"/>
    <x v="1"/>
    <x v="1"/>
    <x v="1"/>
    <x v="2"/>
    <n v="12"/>
    <x v="5"/>
    <s v="Qtr-3"/>
  </r>
  <r>
    <s v="49-469-9163"/>
    <x v="28"/>
    <x v="0"/>
    <x v="0"/>
    <x v="0"/>
    <x v="3"/>
    <x v="0"/>
    <s v="High"/>
    <s v="Desakolot"/>
    <s v="Indonesia"/>
    <x v="23"/>
    <n v="118.65"/>
    <n v="10"/>
    <s v="Mixed"/>
    <n v="1"/>
    <n v="3"/>
    <n v="0"/>
    <s v="Low"/>
    <s v="Very Sensitive"/>
    <n v="0"/>
    <x v="6"/>
    <s v="Low"/>
    <x v="1"/>
    <s v="Credit Card"/>
    <d v="2024-01-09T00:00:00"/>
    <x v="0"/>
    <x v="1"/>
    <x v="2"/>
    <x v="1"/>
    <n v="13"/>
    <x v="3"/>
    <s v="Qtr-1"/>
  </r>
  <r>
    <s v="67-937-6624"/>
    <x v="17"/>
    <x v="1"/>
    <x v="1"/>
    <x v="1"/>
    <x v="3"/>
    <x v="0"/>
    <s v="Middle"/>
    <s v="Huambo"/>
    <s v="Angola"/>
    <x v="14"/>
    <n v="166.45"/>
    <n v="7"/>
    <s v="Mixed"/>
    <n v="5"/>
    <n v="2"/>
    <n v="120"/>
    <s v="Low"/>
    <s v="Very Sensitive"/>
    <n v="0.2857142857142857"/>
    <x v="2"/>
    <s v="High"/>
    <x v="1"/>
    <s v="Cash"/>
    <d v="2024-08-13T00:00:00"/>
    <x v="0"/>
    <x v="0"/>
    <x v="3"/>
    <x v="2"/>
    <n v="12"/>
    <x v="7"/>
    <s v="Qtr-3"/>
  </r>
  <r>
    <s v="91-761-9492"/>
    <x v="3"/>
    <x v="0"/>
    <x v="0"/>
    <x v="0"/>
    <x v="3"/>
    <x v="2"/>
    <s v="High"/>
    <s v="Luoting"/>
    <s v="China"/>
    <x v="22"/>
    <n v="385.32"/>
    <n v="10"/>
    <s v="Online"/>
    <n v="1"/>
    <n v="1"/>
    <n v="60"/>
    <s v="Low"/>
    <s v="Very Sensitive"/>
    <n v="0"/>
    <x v="2"/>
    <s v="Medium"/>
    <x v="1"/>
    <s v="PayPal"/>
    <d v="2024-09-05T00:00:00"/>
    <x v="0"/>
    <x v="1"/>
    <x v="2"/>
    <x v="1"/>
    <n v="9"/>
    <x v="10"/>
    <s v="Qtr-3"/>
  </r>
  <r>
    <s v="19-184-7665"/>
    <x v="8"/>
    <x v="0"/>
    <x v="4"/>
    <x v="0"/>
    <x v="0"/>
    <x v="0"/>
    <s v="High"/>
    <s v="Stepnogorsk"/>
    <s v="Kazakhstan"/>
    <x v="7"/>
    <n v="293.99"/>
    <n v="10"/>
    <s v="Mixed"/>
    <n v="3"/>
    <n v="4"/>
    <n v="0"/>
    <s v="None"/>
    <s v="Somewhat Sensitive"/>
    <n v="0.2"/>
    <x v="0"/>
    <s v="None"/>
    <x v="0"/>
    <s v="Credit Card"/>
    <d v="2024-09-29T00:00:00"/>
    <x v="1"/>
    <x v="1"/>
    <x v="1"/>
    <x v="0"/>
    <n v="5"/>
    <x v="10"/>
    <s v="Qtr-3"/>
  </r>
  <r>
    <s v="19-383-9741"/>
    <x v="14"/>
    <x v="2"/>
    <x v="1"/>
    <x v="0"/>
    <x v="2"/>
    <x v="1"/>
    <s v="Middle"/>
    <s v="Zarechnyy"/>
    <s v="Russia"/>
    <x v="16"/>
    <n v="161.41"/>
    <n v="9"/>
    <s v="Mixed"/>
    <n v="1"/>
    <n v="4"/>
    <n v="0"/>
    <s v="Low"/>
    <s v="Very Sensitive"/>
    <n v="0.1111111111111111"/>
    <x v="8"/>
    <s v="High"/>
    <x v="2"/>
    <s v="PayPal"/>
    <d v="2024-04-07T00:00:00"/>
    <x v="0"/>
    <x v="0"/>
    <x v="2"/>
    <x v="1"/>
    <n v="3"/>
    <x v="1"/>
    <s v="Qtr-2"/>
  </r>
  <r>
    <s v="15-625-4047"/>
    <x v="7"/>
    <x v="2"/>
    <x v="1"/>
    <x v="0"/>
    <x v="1"/>
    <x v="2"/>
    <s v="Middle"/>
    <s v="La Unión"/>
    <s v="El Salvador"/>
    <x v="19"/>
    <n v="130.91999999999999"/>
    <n v="2"/>
    <s v="Online"/>
    <n v="1"/>
    <n v="2"/>
    <n v="60"/>
    <s v="High"/>
    <s v="Very Sensitive"/>
    <n v="1"/>
    <x v="6"/>
    <s v="None"/>
    <x v="0"/>
    <s v="Cash"/>
    <d v="2024-12-18T00:00:00"/>
    <x v="0"/>
    <x v="1"/>
    <x v="2"/>
    <x v="0"/>
    <n v="9"/>
    <x v="6"/>
    <s v="Qtr-4"/>
  </r>
  <r>
    <s v="81-820-4735"/>
    <x v="18"/>
    <x v="1"/>
    <x v="0"/>
    <x v="0"/>
    <x v="3"/>
    <x v="0"/>
    <s v="High"/>
    <s v="Banjar Medura"/>
    <s v="Indonesia"/>
    <x v="16"/>
    <n v="468.6"/>
    <n v="4"/>
    <s v="Mixed"/>
    <n v="3"/>
    <n v="4"/>
    <n v="120"/>
    <s v="Medium"/>
    <s v="Somewhat Sensitive"/>
    <n v="0"/>
    <x v="9"/>
    <s v="None"/>
    <x v="2"/>
    <s v="PayPal"/>
    <d v="2024-06-14T00:00:00"/>
    <x v="1"/>
    <x v="1"/>
    <x v="0"/>
    <x v="0"/>
    <n v="2"/>
    <x v="4"/>
    <s v="Qtr-2"/>
  </r>
  <r>
    <s v="71-436-6908"/>
    <x v="26"/>
    <x v="1"/>
    <x v="1"/>
    <x v="1"/>
    <x v="3"/>
    <x v="0"/>
    <s v="Middle"/>
    <s v="Arnprior"/>
    <s v="Canada"/>
    <x v="16"/>
    <n v="237.57"/>
    <n v="5"/>
    <s v="Online"/>
    <n v="3"/>
    <n v="3"/>
    <n v="0"/>
    <s v="Medium"/>
    <s v="Somewhat Sensitive"/>
    <n v="0"/>
    <x v="4"/>
    <s v="Medium"/>
    <x v="1"/>
    <s v="Cash"/>
    <d v="2024-04-25T00:00:00"/>
    <x v="0"/>
    <x v="1"/>
    <x v="0"/>
    <x v="0"/>
    <n v="11"/>
    <x v="1"/>
    <s v="Qtr-2"/>
  </r>
  <r>
    <s v="73-145-5784"/>
    <x v="17"/>
    <x v="1"/>
    <x v="0"/>
    <x v="0"/>
    <x v="3"/>
    <x v="1"/>
    <s v="High"/>
    <s v="Donglu"/>
    <s v="China"/>
    <x v="4"/>
    <n v="395.18"/>
    <n v="5"/>
    <s v="In-Store"/>
    <n v="2"/>
    <n v="2"/>
    <n v="60"/>
    <s v="None"/>
    <s v="Not Sensitive"/>
    <n v="0"/>
    <x v="1"/>
    <s v="High"/>
    <x v="1"/>
    <s v="Other"/>
    <d v="2024-07-20T00:00:00"/>
    <x v="0"/>
    <x v="1"/>
    <x v="0"/>
    <x v="1"/>
    <n v="6"/>
    <x v="5"/>
    <s v="Qtr-3"/>
  </r>
  <r>
    <s v="50-637-1630"/>
    <x v="21"/>
    <x v="1"/>
    <x v="5"/>
    <x v="1"/>
    <x v="0"/>
    <x v="1"/>
    <s v="Middle"/>
    <s v="Inderka"/>
    <s v="Russia"/>
    <x v="13"/>
    <n v="427.94"/>
    <n v="12"/>
    <s v="Mixed"/>
    <n v="5"/>
    <n v="4"/>
    <n v="78"/>
    <s v="High"/>
    <s v="Not Sensitive"/>
    <n v="8.3333333333333329E-2"/>
    <x v="6"/>
    <s v="None"/>
    <x v="1"/>
    <s v="Other"/>
    <d v="2024-03-29T00:00:00"/>
    <x v="1"/>
    <x v="0"/>
    <x v="2"/>
    <x v="0"/>
    <n v="10"/>
    <x v="0"/>
    <s v="Qtr-1"/>
  </r>
  <r>
    <s v="44-938-7475"/>
    <x v="31"/>
    <x v="0"/>
    <x v="0"/>
    <x v="1"/>
    <x v="1"/>
    <x v="0"/>
    <s v="High"/>
    <s v="Tochio-honch?"/>
    <s v="Japan"/>
    <x v="11"/>
    <n v="81.23"/>
    <n v="9"/>
    <s v="Mixed"/>
    <n v="2"/>
    <n v="5"/>
    <n v="120"/>
    <s v="High"/>
    <s v="Not Sensitive"/>
    <n v="0.1111111111111111"/>
    <x v="3"/>
    <s v="Medium"/>
    <x v="0"/>
    <s v="Cash"/>
    <d v="2024-03-26T00:00:00"/>
    <x v="1"/>
    <x v="1"/>
    <x v="1"/>
    <x v="1"/>
    <n v="6"/>
    <x v="0"/>
    <s v="Qtr-1"/>
  </r>
  <r>
    <s v="55-279-3045"/>
    <x v="25"/>
    <x v="0"/>
    <x v="1"/>
    <x v="0"/>
    <x v="1"/>
    <x v="1"/>
    <s v="Middle"/>
    <s v="Pasadena"/>
    <s v="United States"/>
    <x v="11"/>
    <n v="257.43"/>
    <n v="5"/>
    <s v="Online"/>
    <n v="4"/>
    <n v="2"/>
    <n v="0"/>
    <s v="Low"/>
    <s v="Somewhat Sensitive"/>
    <n v="0.2"/>
    <x v="0"/>
    <s v="Low"/>
    <x v="2"/>
    <s v="Other"/>
    <d v="2024-04-14T00:00:00"/>
    <x v="0"/>
    <x v="1"/>
    <x v="0"/>
    <x v="1"/>
    <n v="13"/>
    <x v="1"/>
    <s v="Qtr-2"/>
  </r>
  <r>
    <s v="59-997-3903"/>
    <x v="21"/>
    <x v="1"/>
    <x v="1"/>
    <x v="1"/>
    <x v="3"/>
    <x v="1"/>
    <s v="High"/>
    <s v="Barish?l"/>
    <s v="Bangladesh"/>
    <x v="17"/>
    <n v="305.73"/>
    <n v="7"/>
    <s v="Mixed"/>
    <n v="2"/>
    <n v="5"/>
    <n v="60"/>
    <s v="Medium"/>
    <s v="Not Sensitive"/>
    <n v="0.2857142857142857"/>
    <x v="8"/>
    <s v="Medium"/>
    <x v="0"/>
    <s v="Cash"/>
    <d v="2024-12-14T00:00:00"/>
    <x v="0"/>
    <x v="0"/>
    <x v="3"/>
    <x v="2"/>
    <n v="14"/>
    <x v="6"/>
    <s v="Qtr-4"/>
  </r>
  <r>
    <s v="12-029-9344"/>
    <x v="11"/>
    <x v="2"/>
    <x v="1"/>
    <x v="1"/>
    <x v="1"/>
    <x v="0"/>
    <s v="High"/>
    <s v="Kihurio"/>
    <s v="Tanzania"/>
    <x v="16"/>
    <n v="249.82"/>
    <n v="10"/>
    <s v="In-Store"/>
    <n v="5"/>
    <n v="3"/>
    <n v="60"/>
    <s v="High"/>
    <s v="Not Sensitive"/>
    <n v="0.2"/>
    <x v="9"/>
    <s v="Medium"/>
    <x v="0"/>
    <s v="PayPal"/>
    <d v="2024-08-12T00:00:00"/>
    <x v="0"/>
    <x v="0"/>
    <x v="1"/>
    <x v="0"/>
    <n v="10"/>
    <x v="7"/>
    <s v="Qtr-3"/>
  </r>
  <r>
    <s v="41-130-2570"/>
    <x v="4"/>
    <x v="2"/>
    <x v="1"/>
    <x v="0"/>
    <x v="3"/>
    <x v="0"/>
    <s v="High"/>
    <s v="Oekero"/>
    <s v="Sweden"/>
    <x v="9"/>
    <n v="332.79"/>
    <n v="11"/>
    <s v="Online"/>
    <n v="3"/>
    <n v="5"/>
    <n v="120"/>
    <s v="None"/>
    <s v="Not Sensitive"/>
    <n v="0.18181818181818182"/>
    <x v="2"/>
    <s v="High"/>
    <x v="0"/>
    <s v="PayPal"/>
    <d v="2024-08-29T00:00:00"/>
    <x v="1"/>
    <x v="0"/>
    <x v="1"/>
    <x v="0"/>
    <n v="4"/>
    <x v="7"/>
    <s v="Qtr-3"/>
  </r>
  <r>
    <s v="25-285-7453"/>
    <x v="11"/>
    <x v="2"/>
    <x v="1"/>
    <x v="1"/>
    <x v="1"/>
    <x v="0"/>
    <s v="Middle"/>
    <s v="Cluses"/>
    <s v="France"/>
    <x v="17"/>
    <n v="78.900000000000006"/>
    <n v="3"/>
    <s v="In-Store"/>
    <n v="4"/>
    <n v="1"/>
    <n v="60"/>
    <s v="Low"/>
    <s v="Not Sensitive"/>
    <n v="0"/>
    <x v="2"/>
    <s v="Medium"/>
    <x v="0"/>
    <s v="Debit Card"/>
    <d v="2024-09-07T00:00:00"/>
    <x v="1"/>
    <x v="1"/>
    <x v="3"/>
    <x v="1"/>
    <n v="10"/>
    <x v="10"/>
    <s v="Qtr-3"/>
  </r>
  <r>
    <s v="47-225-8686"/>
    <x v="3"/>
    <x v="0"/>
    <x v="1"/>
    <x v="1"/>
    <x v="2"/>
    <x v="1"/>
    <s v="High"/>
    <s v="Wrz?sowice"/>
    <s v="Poland"/>
    <x v="10"/>
    <n v="122.55"/>
    <n v="9"/>
    <s v="Mixed"/>
    <n v="2"/>
    <n v="4"/>
    <n v="18"/>
    <s v="Low"/>
    <s v="Not Sensitive"/>
    <n v="0.22222222222222221"/>
    <x v="4"/>
    <s v="Medium"/>
    <x v="2"/>
    <s v="Credit Card"/>
    <d v="2024-06-28T00:00:00"/>
    <x v="1"/>
    <x v="0"/>
    <x v="2"/>
    <x v="2"/>
    <n v="4"/>
    <x v="4"/>
    <s v="Qtr-2"/>
  </r>
  <r>
    <s v="33-519-4214"/>
    <x v="8"/>
    <x v="0"/>
    <x v="4"/>
    <x v="1"/>
    <x v="3"/>
    <x v="0"/>
    <s v="Middle"/>
    <s v="Hengfeng"/>
    <s v="China"/>
    <x v="7"/>
    <n v="307.61"/>
    <n v="6"/>
    <s v="Mixed"/>
    <n v="1"/>
    <n v="1"/>
    <n v="0"/>
    <s v="Low"/>
    <s v="Somewhat Sensitive"/>
    <n v="0"/>
    <x v="5"/>
    <s v="Medium"/>
    <x v="1"/>
    <s v="PayPal"/>
    <d v="2024-09-12T00:00:00"/>
    <x v="0"/>
    <x v="1"/>
    <x v="0"/>
    <x v="0"/>
    <n v="10"/>
    <x v="10"/>
    <s v="Qtr-3"/>
  </r>
  <r>
    <s v="03-991-2098"/>
    <x v="30"/>
    <x v="1"/>
    <x v="0"/>
    <x v="1"/>
    <x v="3"/>
    <x v="0"/>
    <s v="Middle"/>
    <s v="Bor"/>
    <s v="Serbia"/>
    <x v="14"/>
    <n v="152.33000000000001"/>
    <n v="2"/>
    <s v="In-Store"/>
    <n v="1"/>
    <n v="5"/>
    <n v="60"/>
    <s v="None"/>
    <s v="Not Sensitive"/>
    <n v="0.5"/>
    <x v="9"/>
    <s v="High"/>
    <x v="1"/>
    <s v="Debit Card"/>
    <d v="2024-01-19T00:00:00"/>
    <x v="1"/>
    <x v="1"/>
    <x v="2"/>
    <x v="0"/>
    <n v="8"/>
    <x v="3"/>
    <s v="Qtr-1"/>
  </r>
  <r>
    <s v="30-735-8744"/>
    <x v="2"/>
    <x v="0"/>
    <x v="0"/>
    <x v="0"/>
    <x v="3"/>
    <x v="0"/>
    <s v="High"/>
    <s v="Nawu"/>
    <s v="China"/>
    <x v="7"/>
    <n v="465.07"/>
    <n v="8"/>
    <s v="Online"/>
    <n v="2"/>
    <n v="4"/>
    <n v="0"/>
    <s v="Medium"/>
    <s v="Not Sensitive"/>
    <n v="0.125"/>
    <x v="6"/>
    <s v="High"/>
    <x v="2"/>
    <s v="Cash"/>
    <d v="2024-03-02T00:00:00"/>
    <x v="1"/>
    <x v="0"/>
    <x v="1"/>
    <x v="0"/>
    <n v="8"/>
    <x v="0"/>
    <s v="Qtr-1"/>
  </r>
  <r>
    <s v="13-848-5757"/>
    <x v="11"/>
    <x v="2"/>
    <x v="0"/>
    <x v="1"/>
    <x v="1"/>
    <x v="2"/>
    <s v="Middle"/>
    <s v="Longotea"/>
    <s v="Vanuatu"/>
    <x v="6"/>
    <n v="498.23"/>
    <n v="10"/>
    <s v="Online"/>
    <n v="5"/>
    <n v="2"/>
    <n v="0"/>
    <s v="None"/>
    <s v="Very Sensitive"/>
    <n v="0"/>
    <x v="0"/>
    <s v="Medium"/>
    <x v="1"/>
    <s v="Other"/>
    <d v="2024-01-08T00:00:00"/>
    <x v="0"/>
    <x v="0"/>
    <x v="3"/>
    <x v="0"/>
    <n v="9"/>
    <x v="3"/>
    <s v="Qtr-1"/>
  </r>
  <r>
    <s v="21-300-2001"/>
    <x v="30"/>
    <x v="1"/>
    <x v="0"/>
    <x v="0"/>
    <x v="2"/>
    <x v="1"/>
    <s v="Middle"/>
    <s v="?b?l al Jabr"/>
    <s v="Yemen"/>
    <x v="8"/>
    <n v="491.18"/>
    <n v="3"/>
    <s v="Mixed"/>
    <n v="4"/>
    <n v="4"/>
    <n v="60"/>
    <s v="High"/>
    <s v="Very Sensitive"/>
    <n v="0"/>
    <x v="9"/>
    <s v="None"/>
    <x v="1"/>
    <s v="Cash"/>
    <d v="2024-08-27T00:00:00"/>
    <x v="1"/>
    <x v="0"/>
    <x v="2"/>
    <x v="0"/>
    <n v="14"/>
    <x v="7"/>
    <s v="Qtr-3"/>
  </r>
  <r>
    <s v="38-587-1781"/>
    <x v="27"/>
    <x v="3"/>
    <x v="1"/>
    <x v="0"/>
    <x v="3"/>
    <x v="0"/>
    <s v="Middle"/>
    <s v="Gueset"/>
    <s v="Philippines"/>
    <x v="10"/>
    <n v="149.41999999999999"/>
    <n v="3"/>
    <s v="Mixed"/>
    <n v="1"/>
    <n v="1"/>
    <n v="120"/>
    <s v="Medium"/>
    <s v="Very Sensitive"/>
    <n v="0"/>
    <x v="9"/>
    <s v="None"/>
    <x v="2"/>
    <s v="Cash"/>
    <d v="2024-01-03T00:00:00"/>
    <x v="0"/>
    <x v="0"/>
    <x v="1"/>
    <x v="2"/>
    <n v="5"/>
    <x v="3"/>
    <s v="Qtr-1"/>
  </r>
  <r>
    <s v="66-557-1474"/>
    <x v="8"/>
    <x v="0"/>
    <x v="1"/>
    <x v="0"/>
    <x v="1"/>
    <x v="2"/>
    <s v="Middle"/>
    <s v="L?kak"/>
    <s v="Afghanistan"/>
    <x v="4"/>
    <n v="82.13"/>
    <n v="9"/>
    <s v="Online"/>
    <n v="5"/>
    <n v="1"/>
    <n v="0"/>
    <s v="Medium"/>
    <s v="Somewhat Sensitive"/>
    <n v="0.22222222222222221"/>
    <x v="9"/>
    <s v="High"/>
    <x v="0"/>
    <s v="Debit Card"/>
    <d v="2024-04-09T00:00:00"/>
    <x v="0"/>
    <x v="1"/>
    <x v="0"/>
    <x v="2"/>
    <n v="6"/>
    <x v="1"/>
    <s v="Qtr-2"/>
  </r>
  <r>
    <s v="03-422-8710"/>
    <x v="1"/>
    <x v="1"/>
    <x v="1"/>
    <x v="0"/>
    <x v="3"/>
    <x v="0"/>
    <s v="High"/>
    <s v="Yuanguping"/>
    <s v="China"/>
    <x v="6"/>
    <n v="425.18"/>
    <n v="4"/>
    <s v="Mixed"/>
    <n v="2"/>
    <n v="1"/>
    <n v="0"/>
    <s v="Medium"/>
    <s v="Very Sensitive"/>
    <n v="0.25"/>
    <x v="8"/>
    <s v="Medium"/>
    <x v="0"/>
    <s v="PayPal"/>
    <d v="2024-03-19T00:00:00"/>
    <x v="0"/>
    <x v="0"/>
    <x v="1"/>
    <x v="1"/>
    <n v="10"/>
    <x v="0"/>
    <s v="Qtr-1"/>
  </r>
  <r>
    <s v="39-731-8532"/>
    <x v="7"/>
    <x v="2"/>
    <x v="1"/>
    <x v="1"/>
    <x v="0"/>
    <x v="2"/>
    <s v="Middle"/>
    <s v="Colón"/>
    <s v="Panama"/>
    <x v="17"/>
    <n v="176.12"/>
    <n v="8"/>
    <s v="Online"/>
    <n v="2"/>
    <n v="3"/>
    <n v="72"/>
    <s v="Medium"/>
    <s v="Somewhat Sensitive"/>
    <n v="0.125"/>
    <x v="3"/>
    <s v="Low"/>
    <x v="2"/>
    <s v="Credit Card"/>
    <d v="2024-06-15T00:00:00"/>
    <x v="0"/>
    <x v="1"/>
    <x v="2"/>
    <x v="1"/>
    <n v="14"/>
    <x v="4"/>
    <s v="Qtr-2"/>
  </r>
  <r>
    <s v="80-830-3184"/>
    <x v="26"/>
    <x v="1"/>
    <x v="0"/>
    <x v="1"/>
    <x v="1"/>
    <x v="1"/>
    <s v="Middle"/>
    <s v="Lyon"/>
    <s v="France"/>
    <x v="23"/>
    <n v="70.3"/>
    <n v="6"/>
    <s v="Online"/>
    <n v="3"/>
    <n v="5"/>
    <n v="0"/>
    <s v="None"/>
    <s v="Very Sensitive"/>
    <n v="0.16666666666666666"/>
    <x v="8"/>
    <s v="Medium"/>
    <x v="2"/>
    <s v="Cash"/>
    <d v="2024-03-03T00:00:00"/>
    <x v="0"/>
    <x v="1"/>
    <x v="0"/>
    <x v="1"/>
    <n v="3"/>
    <x v="0"/>
    <s v="Qtr-1"/>
  </r>
  <r>
    <s v="97-505-8416"/>
    <x v="20"/>
    <x v="1"/>
    <x v="1"/>
    <x v="0"/>
    <x v="0"/>
    <x v="0"/>
    <s v="Middle"/>
    <s v="Chamical"/>
    <s v="Argentina"/>
    <x v="8"/>
    <n v="319.39"/>
    <n v="7"/>
    <s v="Mixed"/>
    <n v="4"/>
    <n v="5"/>
    <n v="0"/>
    <s v="None"/>
    <s v="Very Sensitive"/>
    <n v="0.14285714285714285"/>
    <x v="3"/>
    <s v="High"/>
    <x v="2"/>
    <s v="Credit Card"/>
    <d v="2024-11-17T00:00:00"/>
    <x v="1"/>
    <x v="1"/>
    <x v="3"/>
    <x v="1"/>
    <n v="3"/>
    <x v="11"/>
    <s v="Qtr-4"/>
  </r>
  <r>
    <s v="98-585-4742"/>
    <x v="9"/>
    <x v="2"/>
    <x v="0"/>
    <x v="1"/>
    <x v="2"/>
    <x v="1"/>
    <s v="High"/>
    <s v="Ágios Andréas"/>
    <s v="Greece"/>
    <x v="3"/>
    <n v="113.51"/>
    <n v="11"/>
    <s v="Mixed"/>
    <n v="4"/>
    <n v="1"/>
    <n v="60"/>
    <s v="High"/>
    <s v="Not Sensitive"/>
    <n v="0.18181818181818182"/>
    <x v="6"/>
    <s v="Low"/>
    <x v="2"/>
    <s v="Credit Card"/>
    <d v="2024-02-14T00:00:00"/>
    <x v="0"/>
    <x v="1"/>
    <x v="3"/>
    <x v="2"/>
    <n v="8"/>
    <x v="8"/>
    <s v="Qtr-1"/>
  </r>
  <r>
    <s v="51-302-9537"/>
    <x v="13"/>
    <x v="1"/>
    <x v="0"/>
    <x v="1"/>
    <x v="1"/>
    <x v="0"/>
    <s v="Middle"/>
    <s v="Cibeusi"/>
    <s v="Indonesia"/>
    <x v="9"/>
    <n v="492.74"/>
    <n v="2"/>
    <s v="Mixed"/>
    <n v="1"/>
    <n v="5"/>
    <n v="120"/>
    <s v="Low"/>
    <s v="Very Sensitive"/>
    <n v="0.5"/>
    <x v="4"/>
    <s v="High"/>
    <x v="0"/>
    <s v="Other"/>
    <d v="2024-02-29T00:00:00"/>
    <x v="0"/>
    <x v="0"/>
    <x v="0"/>
    <x v="2"/>
    <n v="13"/>
    <x v="8"/>
    <s v="Qtr-1"/>
  </r>
  <r>
    <s v="88-313-2633"/>
    <x v="4"/>
    <x v="2"/>
    <x v="1"/>
    <x v="0"/>
    <x v="3"/>
    <x v="2"/>
    <s v="Middle"/>
    <s v="Itsandzéni"/>
    <s v="Comoros"/>
    <x v="4"/>
    <n v="143.80000000000001"/>
    <n v="9"/>
    <s v="In-Store"/>
    <n v="2"/>
    <n v="2"/>
    <n v="120"/>
    <s v="Low"/>
    <s v="Somewhat Sensitive"/>
    <n v="0"/>
    <x v="0"/>
    <s v="None"/>
    <x v="0"/>
    <s v="Debit Card"/>
    <d v="2024-02-22T00:00:00"/>
    <x v="0"/>
    <x v="0"/>
    <x v="1"/>
    <x v="0"/>
    <n v="11"/>
    <x v="8"/>
    <s v="Qtr-1"/>
  </r>
  <r>
    <s v="61-286-0069"/>
    <x v="27"/>
    <x v="3"/>
    <x v="6"/>
    <x v="0"/>
    <x v="2"/>
    <x v="0"/>
    <s v="Middle"/>
    <s v="Kosh-Agach"/>
    <s v="Russia"/>
    <x v="17"/>
    <n v="158.54"/>
    <n v="5"/>
    <s v="Online"/>
    <n v="2"/>
    <n v="1"/>
    <n v="60"/>
    <s v="Low"/>
    <s v="Not Sensitive"/>
    <n v="0.4"/>
    <x v="0"/>
    <s v="High"/>
    <x v="1"/>
    <s v="Debit Card"/>
    <d v="2024-03-31T00:00:00"/>
    <x v="1"/>
    <x v="0"/>
    <x v="3"/>
    <x v="2"/>
    <n v="5"/>
    <x v="0"/>
    <s v="Qtr-1"/>
  </r>
  <r>
    <s v="35-907-0586"/>
    <x v="7"/>
    <x v="2"/>
    <x v="0"/>
    <x v="1"/>
    <x v="0"/>
    <x v="0"/>
    <s v="High"/>
    <s v="Kuafeu"/>
    <s v="Vanuatu"/>
    <x v="4"/>
    <n v="213.39"/>
    <n v="6"/>
    <s v="Online"/>
    <n v="3"/>
    <n v="4"/>
    <n v="120"/>
    <s v="Medium"/>
    <s v="Not Sensitive"/>
    <n v="0.33333333333333331"/>
    <x v="1"/>
    <s v="Medium"/>
    <x v="2"/>
    <s v="Cash"/>
    <d v="2024-10-27T00:00:00"/>
    <x v="1"/>
    <x v="1"/>
    <x v="3"/>
    <x v="1"/>
    <n v="4"/>
    <x v="2"/>
    <s v="Qtr-4"/>
  </r>
  <r>
    <s v="30-522-1574"/>
    <x v="16"/>
    <x v="2"/>
    <x v="1"/>
    <x v="0"/>
    <x v="3"/>
    <x v="0"/>
    <s v="High"/>
    <s v="Xincheng"/>
    <s v="China"/>
    <x v="18"/>
    <n v="127.18"/>
    <n v="2"/>
    <s v="In-Store"/>
    <n v="5"/>
    <n v="5"/>
    <n v="60"/>
    <s v="Medium"/>
    <s v="Somewhat Sensitive"/>
    <n v="0"/>
    <x v="6"/>
    <s v="Medium"/>
    <x v="2"/>
    <s v="Debit Card"/>
    <d v="2024-12-21T00:00:00"/>
    <x v="1"/>
    <x v="0"/>
    <x v="3"/>
    <x v="1"/>
    <n v="4"/>
    <x v="6"/>
    <s v="Qtr-4"/>
  </r>
  <r>
    <s v="43-715-8777"/>
    <x v="23"/>
    <x v="0"/>
    <x v="1"/>
    <x v="0"/>
    <x v="3"/>
    <x v="2"/>
    <s v="High"/>
    <s v="Minneapolis"/>
    <s v="United States"/>
    <x v="8"/>
    <n v="476.63"/>
    <n v="9"/>
    <s v="In-Store"/>
    <n v="3"/>
    <n v="5"/>
    <n v="120"/>
    <s v="Medium"/>
    <s v="Not Sensitive"/>
    <n v="0.22222222222222221"/>
    <x v="6"/>
    <s v="None"/>
    <x v="2"/>
    <s v="Debit Card"/>
    <d v="2024-11-19T00:00:00"/>
    <x v="0"/>
    <x v="0"/>
    <x v="2"/>
    <x v="0"/>
    <n v="1"/>
    <x v="11"/>
    <s v="Qtr-4"/>
  </r>
  <r>
    <s v="94-692-4313"/>
    <x v="16"/>
    <x v="2"/>
    <x v="0"/>
    <x v="1"/>
    <x v="1"/>
    <x v="0"/>
    <s v="Middle"/>
    <s v="Péfki"/>
    <s v="Greece"/>
    <x v="9"/>
    <n v="56.02"/>
    <n v="3"/>
    <s v="Online"/>
    <n v="5"/>
    <n v="3"/>
    <n v="60"/>
    <s v="None"/>
    <s v="Very Sensitive"/>
    <n v="0.33333333333333331"/>
    <x v="9"/>
    <s v="High"/>
    <x v="2"/>
    <s v="PayPal"/>
    <d v="2024-09-13T00:00:00"/>
    <x v="1"/>
    <x v="1"/>
    <x v="0"/>
    <x v="1"/>
    <n v="12"/>
    <x v="10"/>
    <s v="Qtr-3"/>
  </r>
  <r>
    <s v="96-915-4091"/>
    <x v="15"/>
    <x v="2"/>
    <x v="0"/>
    <x v="1"/>
    <x v="2"/>
    <x v="0"/>
    <s v="Middle"/>
    <s v="?walla"/>
    <s v="Ethiopia"/>
    <x v="13"/>
    <n v="398.97"/>
    <n v="3"/>
    <s v="Online"/>
    <n v="2"/>
    <n v="3"/>
    <n v="60"/>
    <s v="High"/>
    <s v="Not Sensitive"/>
    <n v="0.66666666666666663"/>
    <x v="4"/>
    <s v="High"/>
    <x v="0"/>
    <s v="Debit Card"/>
    <d v="2024-09-26T00:00:00"/>
    <x v="1"/>
    <x v="0"/>
    <x v="2"/>
    <x v="0"/>
    <n v="9"/>
    <x v="10"/>
    <s v="Qtr-3"/>
  </r>
  <r>
    <s v="67-073-5578"/>
    <x v="23"/>
    <x v="0"/>
    <x v="0"/>
    <x v="0"/>
    <x v="3"/>
    <x v="1"/>
    <s v="Middle"/>
    <s v="São Mateus do Maranhão"/>
    <s v="Brazil"/>
    <x v="19"/>
    <n v="53.45"/>
    <n v="6"/>
    <s v="Mixed"/>
    <n v="2"/>
    <n v="3"/>
    <n v="60"/>
    <s v="High"/>
    <s v="Somewhat Sensitive"/>
    <n v="0.16666666666666666"/>
    <x v="5"/>
    <s v="High"/>
    <x v="0"/>
    <s v="Debit Card"/>
    <d v="2024-07-14T00:00:00"/>
    <x v="1"/>
    <x v="0"/>
    <x v="0"/>
    <x v="1"/>
    <n v="11"/>
    <x v="5"/>
    <s v="Qtr-3"/>
  </r>
  <r>
    <s v="27-010-9462"/>
    <x v="6"/>
    <x v="0"/>
    <x v="6"/>
    <x v="0"/>
    <x v="0"/>
    <x v="0"/>
    <s v="High"/>
    <s v="Imielin"/>
    <s v="Poland"/>
    <x v="19"/>
    <n v="61.19"/>
    <n v="2"/>
    <s v="Mixed"/>
    <n v="4"/>
    <n v="5"/>
    <n v="60"/>
    <s v="None"/>
    <s v="Not Sensitive"/>
    <n v="1"/>
    <x v="9"/>
    <s v="High"/>
    <x v="2"/>
    <s v="PayPal"/>
    <d v="2024-08-12T00:00:00"/>
    <x v="0"/>
    <x v="1"/>
    <x v="1"/>
    <x v="0"/>
    <n v="3"/>
    <x v="7"/>
    <s v="Qtr-3"/>
  </r>
  <r>
    <s v="19-689-4556"/>
    <x v="17"/>
    <x v="1"/>
    <x v="0"/>
    <x v="0"/>
    <x v="0"/>
    <x v="1"/>
    <s v="Middle"/>
    <s v="Przeworsk"/>
    <s v="Poland"/>
    <x v="8"/>
    <n v="471.31"/>
    <n v="4"/>
    <s v="Mixed"/>
    <n v="1"/>
    <n v="5"/>
    <n v="120"/>
    <s v="High"/>
    <s v="Very Sensitive"/>
    <n v="0"/>
    <x v="8"/>
    <s v="None"/>
    <x v="1"/>
    <s v="Other"/>
    <d v="2024-12-17T00:00:00"/>
    <x v="1"/>
    <x v="1"/>
    <x v="2"/>
    <x v="2"/>
    <n v="7"/>
    <x v="6"/>
    <s v="Qtr-4"/>
  </r>
  <r>
    <s v="53-143-6147"/>
    <x v="1"/>
    <x v="1"/>
    <x v="0"/>
    <x v="1"/>
    <x v="3"/>
    <x v="1"/>
    <s v="High"/>
    <s v="Amsterdam Nieuw West"/>
    <s v="Netherlands"/>
    <x v="10"/>
    <n v="179.19"/>
    <n v="10"/>
    <s v="In-Store"/>
    <n v="3"/>
    <n v="1"/>
    <n v="60"/>
    <s v="Low"/>
    <s v="Not Sensitive"/>
    <n v="0.2"/>
    <x v="0"/>
    <s v="None"/>
    <x v="0"/>
    <s v="PayPal"/>
    <d v="2024-03-21T00:00:00"/>
    <x v="1"/>
    <x v="0"/>
    <x v="2"/>
    <x v="2"/>
    <n v="12"/>
    <x v="0"/>
    <s v="Qtr-1"/>
  </r>
  <r>
    <s v="02-725-7664"/>
    <x v="20"/>
    <x v="1"/>
    <x v="0"/>
    <x v="1"/>
    <x v="3"/>
    <x v="1"/>
    <s v="Middle"/>
    <s v="Klishkivtsi"/>
    <s v="Ukraine"/>
    <x v="1"/>
    <n v="294.61"/>
    <n v="6"/>
    <s v="In-Store"/>
    <n v="2"/>
    <n v="1"/>
    <n v="0"/>
    <s v="None"/>
    <s v="Very Sensitive"/>
    <n v="0"/>
    <x v="6"/>
    <s v="None"/>
    <x v="2"/>
    <s v="PayPal"/>
    <d v="2024-10-03T00:00:00"/>
    <x v="1"/>
    <x v="1"/>
    <x v="1"/>
    <x v="2"/>
    <n v="4"/>
    <x v="2"/>
    <s v="Qtr-4"/>
  </r>
  <r>
    <s v="54-439-4748"/>
    <x v="22"/>
    <x v="2"/>
    <x v="4"/>
    <x v="1"/>
    <x v="2"/>
    <x v="0"/>
    <s v="High"/>
    <s v="Borova"/>
    <s v="Ukraine"/>
    <x v="10"/>
    <n v="375.45"/>
    <n v="6"/>
    <s v="Online"/>
    <n v="3"/>
    <n v="4"/>
    <n v="0"/>
    <s v="High"/>
    <s v="Not Sensitive"/>
    <n v="0.16666666666666666"/>
    <x v="8"/>
    <s v="Medium"/>
    <x v="1"/>
    <s v="Other"/>
    <d v="2024-04-14T00:00:00"/>
    <x v="1"/>
    <x v="1"/>
    <x v="2"/>
    <x v="2"/>
    <n v="1"/>
    <x v="1"/>
    <s v="Qtr-2"/>
  </r>
  <r>
    <s v="66-949-9895"/>
    <x v="6"/>
    <x v="0"/>
    <x v="1"/>
    <x v="0"/>
    <x v="2"/>
    <x v="2"/>
    <s v="High"/>
    <s v="Vendargues"/>
    <s v="France"/>
    <x v="13"/>
    <n v="83.5"/>
    <n v="12"/>
    <s v="In-Store"/>
    <n v="2"/>
    <n v="4"/>
    <n v="0"/>
    <s v="None"/>
    <s v="Not Sensitive"/>
    <n v="0.16666666666666666"/>
    <x v="0"/>
    <s v="Low"/>
    <x v="1"/>
    <s v="Cash"/>
    <d v="2024-01-25T00:00:00"/>
    <x v="0"/>
    <x v="1"/>
    <x v="0"/>
    <x v="1"/>
    <n v="10"/>
    <x v="3"/>
    <s v="Qtr-1"/>
  </r>
  <r>
    <s v="20-648-1010"/>
    <x v="10"/>
    <x v="2"/>
    <x v="1"/>
    <x v="1"/>
    <x v="0"/>
    <x v="1"/>
    <s v="Middle"/>
    <s v="Zilang"/>
    <s v="China"/>
    <x v="3"/>
    <n v="109.88"/>
    <n v="7"/>
    <s v="Online"/>
    <n v="4"/>
    <n v="4"/>
    <n v="60"/>
    <s v="Low"/>
    <s v="Very Sensitive"/>
    <n v="0.14285714285714285"/>
    <x v="4"/>
    <s v="Medium"/>
    <x v="1"/>
    <s v="Credit Card"/>
    <d v="2024-01-05T00:00:00"/>
    <x v="1"/>
    <x v="1"/>
    <x v="2"/>
    <x v="1"/>
    <n v="11"/>
    <x v="3"/>
    <s v="Qtr-1"/>
  </r>
  <r>
    <s v="79-939-5393"/>
    <x v="6"/>
    <x v="0"/>
    <x v="0"/>
    <x v="1"/>
    <x v="0"/>
    <x v="1"/>
    <s v="High"/>
    <s v="Camalote"/>
    <s v="Belize"/>
    <x v="2"/>
    <n v="182.54"/>
    <n v="11"/>
    <s v="Mixed"/>
    <n v="5"/>
    <n v="5"/>
    <n v="60"/>
    <s v="Medium"/>
    <s v="Somewhat Sensitive"/>
    <n v="9.0909090909090912E-2"/>
    <x v="2"/>
    <s v="High"/>
    <x v="0"/>
    <s v="Cash"/>
    <d v="2024-08-21T00:00:00"/>
    <x v="1"/>
    <x v="0"/>
    <x v="0"/>
    <x v="1"/>
    <n v="13"/>
    <x v="7"/>
    <s v="Qtr-3"/>
  </r>
  <r>
    <s v="89-249-8369"/>
    <x v="25"/>
    <x v="0"/>
    <x v="0"/>
    <x v="1"/>
    <x v="2"/>
    <x v="0"/>
    <s v="High"/>
    <s v="Julayjilah"/>
    <s v="Saudi Arabia"/>
    <x v="4"/>
    <n v="465.48"/>
    <n v="3"/>
    <s v="Mixed"/>
    <n v="3"/>
    <n v="3"/>
    <n v="120"/>
    <s v="Medium"/>
    <s v="Very Sensitive"/>
    <n v="0.33333333333333331"/>
    <x v="8"/>
    <s v="Medium"/>
    <x v="0"/>
    <s v="Cash"/>
    <d v="2024-06-21T00:00:00"/>
    <x v="1"/>
    <x v="0"/>
    <x v="1"/>
    <x v="0"/>
    <n v="1"/>
    <x v="4"/>
    <s v="Qtr-2"/>
  </r>
  <r>
    <s v="85-366-1482"/>
    <x v="16"/>
    <x v="2"/>
    <x v="0"/>
    <x v="0"/>
    <x v="0"/>
    <x v="1"/>
    <s v="Middle"/>
    <s v="Badajoz"/>
    <s v="Spain"/>
    <x v="10"/>
    <n v="224.52"/>
    <n v="8"/>
    <s v="Mixed"/>
    <n v="3"/>
    <n v="3"/>
    <n v="120"/>
    <s v="Low"/>
    <s v="Not Sensitive"/>
    <n v="0.125"/>
    <x v="1"/>
    <s v="High"/>
    <x v="2"/>
    <s v="Credit Card"/>
    <d v="2024-11-29T00:00:00"/>
    <x v="0"/>
    <x v="0"/>
    <x v="2"/>
    <x v="2"/>
    <n v="1"/>
    <x v="11"/>
    <s v="Qtr-4"/>
  </r>
  <r>
    <s v="34-874-7357"/>
    <x v="6"/>
    <x v="0"/>
    <x v="1"/>
    <x v="1"/>
    <x v="2"/>
    <x v="2"/>
    <s v="Middle"/>
    <s v="Fort Wayne"/>
    <s v="United States"/>
    <x v="21"/>
    <n v="281.37"/>
    <n v="12"/>
    <s v="Online"/>
    <n v="2"/>
    <n v="3"/>
    <n v="120"/>
    <s v="Low"/>
    <s v="Very Sensitive"/>
    <n v="0"/>
    <x v="6"/>
    <s v="Low"/>
    <x v="1"/>
    <s v="Debit Card"/>
    <d v="2024-01-02T00:00:00"/>
    <x v="1"/>
    <x v="1"/>
    <x v="2"/>
    <x v="2"/>
    <n v="14"/>
    <x v="3"/>
    <s v="Qtr-1"/>
  </r>
  <r>
    <s v="11-820-5039"/>
    <x v="0"/>
    <x v="0"/>
    <x v="0"/>
    <x v="0"/>
    <x v="0"/>
    <x v="0"/>
    <s v="Middle"/>
    <s v="Galán"/>
    <s v="Colombia"/>
    <x v="2"/>
    <n v="125.68"/>
    <n v="2"/>
    <s v="Online"/>
    <n v="1"/>
    <n v="4"/>
    <n v="60"/>
    <s v="None"/>
    <s v="Not Sensitive"/>
    <n v="0.5"/>
    <x v="8"/>
    <s v="Medium"/>
    <x v="1"/>
    <s v="Debit Card"/>
    <d v="2024-06-21T00:00:00"/>
    <x v="0"/>
    <x v="0"/>
    <x v="0"/>
    <x v="2"/>
    <n v="9"/>
    <x v="4"/>
    <s v="Qtr-2"/>
  </r>
  <r>
    <s v="73-846-1423"/>
    <x v="9"/>
    <x v="2"/>
    <x v="0"/>
    <x v="1"/>
    <x v="1"/>
    <x v="1"/>
    <s v="High"/>
    <s v="Saint Joseph"/>
    <s v="United States"/>
    <x v="21"/>
    <n v="178.21"/>
    <n v="7"/>
    <s v="In-Store"/>
    <n v="1"/>
    <n v="5"/>
    <n v="120"/>
    <s v="Low"/>
    <s v="Somewhat Sensitive"/>
    <n v="0.2857142857142857"/>
    <x v="8"/>
    <s v="None"/>
    <x v="2"/>
    <s v="PayPal"/>
    <d v="2024-05-24T00:00:00"/>
    <x v="1"/>
    <x v="0"/>
    <x v="3"/>
    <x v="0"/>
    <n v="9"/>
    <x v="9"/>
    <s v="Qtr-2"/>
  </r>
  <r>
    <s v="90-363-8040"/>
    <x v="23"/>
    <x v="0"/>
    <x v="1"/>
    <x v="1"/>
    <x v="3"/>
    <x v="0"/>
    <s v="Middle"/>
    <s v="Hospitalet de Llobregat, L'"/>
    <s v="Spain"/>
    <x v="10"/>
    <n v="483.23"/>
    <n v="7"/>
    <s v="Online"/>
    <n v="2"/>
    <n v="4"/>
    <n v="120"/>
    <s v="Medium"/>
    <s v="Somewhat Sensitive"/>
    <n v="0"/>
    <x v="1"/>
    <s v="High"/>
    <x v="1"/>
    <s v="PayPal"/>
    <d v="2024-12-19T00:00:00"/>
    <x v="0"/>
    <x v="0"/>
    <x v="2"/>
    <x v="2"/>
    <n v="9"/>
    <x v="6"/>
    <s v="Qtr-4"/>
  </r>
  <r>
    <s v="65-533-1660"/>
    <x v="27"/>
    <x v="3"/>
    <x v="1"/>
    <x v="0"/>
    <x v="0"/>
    <x v="2"/>
    <s v="High"/>
    <s v="Palma de Mallorca"/>
    <s v="Spain"/>
    <x v="3"/>
    <n v="415.3"/>
    <n v="11"/>
    <s v="In-Store"/>
    <n v="4"/>
    <n v="2"/>
    <n v="60"/>
    <s v="Low"/>
    <s v="Very Sensitive"/>
    <n v="9.0909090909090912E-2"/>
    <x v="5"/>
    <s v="None"/>
    <x v="0"/>
    <s v="PayPal"/>
    <d v="2024-09-25T00:00:00"/>
    <x v="1"/>
    <x v="1"/>
    <x v="2"/>
    <x v="1"/>
    <n v="2"/>
    <x v="10"/>
    <s v="Qtr-3"/>
  </r>
  <r>
    <s v="98-376-8787"/>
    <x v="15"/>
    <x v="2"/>
    <x v="1"/>
    <x v="1"/>
    <x v="0"/>
    <x v="2"/>
    <s v="Middle"/>
    <s v="Pho Duc"/>
    <s v="Vietnam"/>
    <x v="13"/>
    <n v="85.52"/>
    <n v="7"/>
    <s v="Mixed"/>
    <n v="1"/>
    <n v="5"/>
    <n v="0"/>
    <s v="Medium"/>
    <s v="Somewhat Sensitive"/>
    <n v="0.14285714285714285"/>
    <x v="4"/>
    <s v="Low"/>
    <x v="1"/>
    <s v="Other"/>
    <d v="2024-10-31T00:00:00"/>
    <x v="1"/>
    <x v="1"/>
    <x v="3"/>
    <x v="0"/>
    <n v="7"/>
    <x v="2"/>
    <s v="Qtr-4"/>
  </r>
  <r>
    <s v="18-938-9896"/>
    <x v="32"/>
    <x v="1"/>
    <x v="0"/>
    <x v="0"/>
    <x v="2"/>
    <x v="1"/>
    <s v="High"/>
    <s v="?eba"/>
    <s v="Poland"/>
    <x v="12"/>
    <n v="422.31"/>
    <n v="2"/>
    <s v="In-Store"/>
    <n v="3"/>
    <n v="4"/>
    <n v="60"/>
    <s v="Medium"/>
    <s v="Very Sensitive"/>
    <n v="0"/>
    <x v="9"/>
    <s v="None"/>
    <x v="1"/>
    <s v="Other"/>
    <d v="2024-08-09T00:00:00"/>
    <x v="0"/>
    <x v="1"/>
    <x v="2"/>
    <x v="0"/>
    <n v="3"/>
    <x v="7"/>
    <s v="Qtr-3"/>
  </r>
  <r>
    <s v="04-829-7037"/>
    <x v="18"/>
    <x v="1"/>
    <x v="2"/>
    <x v="1"/>
    <x v="0"/>
    <x v="1"/>
    <s v="High"/>
    <s v="Yaguaraparo"/>
    <s v="Venezuela"/>
    <x v="17"/>
    <n v="70.42"/>
    <n v="11"/>
    <s v="Online"/>
    <n v="4"/>
    <n v="5"/>
    <n v="60"/>
    <s v="High"/>
    <s v="Not Sensitive"/>
    <n v="0.18181818181818182"/>
    <x v="0"/>
    <s v="Low"/>
    <x v="2"/>
    <s v="Other"/>
    <d v="2024-10-01T00:00:00"/>
    <x v="1"/>
    <x v="1"/>
    <x v="0"/>
    <x v="2"/>
    <n v="14"/>
    <x v="2"/>
    <s v="Qtr-4"/>
  </r>
  <r>
    <s v="93-455-0576"/>
    <x v="25"/>
    <x v="0"/>
    <x v="0"/>
    <x v="0"/>
    <x v="2"/>
    <x v="2"/>
    <s v="Middle"/>
    <s v="Novoorsk"/>
    <s v="Russia"/>
    <x v="16"/>
    <n v="437.4"/>
    <n v="6"/>
    <s v="Mixed"/>
    <n v="1"/>
    <n v="4"/>
    <n v="60"/>
    <s v="High"/>
    <s v="Somewhat Sensitive"/>
    <n v="0.33333333333333331"/>
    <x v="1"/>
    <s v="Low"/>
    <x v="0"/>
    <s v="Credit Card"/>
    <d v="2024-06-16T00:00:00"/>
    <x v="1"/>
    <x v="0"/>
    <x v="3"/>
    <x v="2"/>
    <n v="1"/>
    <x v="4"/>
    <s v="Qtr-2"/>
  </r>
  <r>
    <s v="84-637-9188"/>
    <x v="22"/>
    <x v="2"/>
    <x v="1"/>
    <x v="0"/>
    <x v="3"/>
    <x v="0"/>
    <s v="Middle"/>
    <s v="Wuyang"/>
    <s v="China"/>
    <x v="23"/>
    <n v="207.11"/>
    <n v="4"/>
    <s v="Mixed"/>
    <n v="1"/>
    <n v="4"/>
    <n v="120"/>
    <s v="High"/>
    <s v="Not Sensitive"/>
    <n v="0"/>
    <x v="2"/>
    <s v="Low"/>
    <x v="0"/>
    <s v="Other"/>
    <d v="2024-03-28T00:00:00"/>
    <x v="0"/>
    <x v="0"/>
    <x v="0"/>
    <x v="0"/>
    <n v="2"/>
    <x v="0"/>
    <s v="Qtr-1"/>
  </r>
  <r>
    <s v="81-111-7832"/>
    <x v="17"/>
    <x v="1"/>
    <x v="0"/>
    <x v="1"/>
    <x v="2"/>
    <x v="0"/>
    <s v="Middle"/>
    <s v="Pelasgía"/>
    <s v="Greece"/>
    <x v="9"/>
    <n v="378.87"/>
    <n v="2"/>
    <s v="Online"/>
    <n v="5"/>
    <n v="2"/>
    <n v="120"/>
    <s v="None"/>
    <s v="Very Sensitive"/>
    <n v="1"/>
    <x v="6"/>
    <s v="Medium"/>
    <x v="2"/>
    <s v="Debit Card"/>
    <d v="2024-06-16T00:00:00"/>
    <x v="0"/>
    <x v="0"/>
    <x v="3"/>
    <x v="0"/>
    <n v="9"/>
    <x v="4"/>
    <s v="Qtr-2"/>
  </r>
  <r>
    <s v="77-401-8183"/>
    <x v="12"/>
    <x v="2"/>
    <x v="0"/>
    <x v="1"/>
    <x v="3"/>
    <x v="1"/>
    <s v="High"/>
    <s v="Phúc Th?"/>
    <s v="Vietnam"/>
    <x v="15"/>
    <n v="349"/>
    <n v="10"/>
    <s v="Mixed"/>
    <n v="3"/>
    <n v="5"/>
    <n v="60"/>
    <s v="Low"/>
    <s v="Not Sensitive"/>
    <n v="0.1"/>
    <x v="1"/>
    <s v="Low"/>
    <x v="2"/>
    <s v="PayPal"/>
    <d v="2024-01-15T00:00:00"/>
    <x v="1"/>
    <x v="1"/>
    <x v="3"/>
    <x v="0"/>
    <n v="10"/>
    <x v="3"/>
    <s v="Qtr-1"/>
  </r>
  <r>
    <s v="01-484-8220"/>
    <x v="9"/>
    <x v="2"/>
    <x v="1"/>
    <x v="0"/>
    <x v="0"/>
    <x v="0"/>
    <s v="Middle"/>
    <s v="Vsevolozhsk"/>
    <s v="Russia"/>
    <x v="11"/>
    <n v="330.27"/>
    <n v="3"/>
    <s v="In-Store"/>
    <n v="3"/>
    <n v="2"/>
    <n v="60"/>
    <s v="High"/>
    <s v="Not Sensitive"/>
    <n v="0.33333333333333331"/>
    <x v="5"/>
    <s v="High"/>
    <x v="1"/>
    <s v="Other"/>
    <d v="2024-02-10T00:00:00"/>
    <x v="0"/>
    <x v="0"/>
    <x v="2"/>
    <x v="0"/>
    <n v="9"/>
    <x v="8"/>
    <s v="Qtr-1"/>
  </r>
  <r>
    <s v="11-121-0709"/>
    <x v="21"/>
    <x v="1"/>
    <x v="1"/>
    <x v="0"/>
    <x v="0"/>
    <x v="2"/>
    <s v="Middle"/>
    <s v="Kara Suu"/>
    <s v="Kyrgyzstan"/>
    <x v="18"/>
    <n v="410.29"/>
    <n v="10"/>
    <s v="Online"/>
    <n v="2"/>
    <n v="4"/>
    <n v="60"/>
    <s v="Low"/>
    <s v="Not Sensitive"/>
    <n v="0.2"/>
    <x v="7"/>
    <s v="High"/>
    <x v="1"/>
    <s v="Credit Card"/>
    <d v="2024-09-02T00:00:00"/>
    <x v="0"/>
    <x v="0"/>
    <x v="3"/>
    <x v="2"/>
    <n v="1"/>
    <x v="10"/>
    <s v="Qtr-3"/>
  </r>
  <r>
    <s v="36-649-0081"/>
    <x v="2"/>
    <x v="0"/>
    <x v="0"/>
    <x v="1"/>
    <x v="3"/>
    <x v="2"/>
    <s v="Middle"/>
    <s v="Beigucheng"/>
    <s v="China"/>
    <x v="11"/>
    <n v="400.86"/>
    <n v="7"/>
    <s v="Online"/>
    <n v="3"/>
    <n v="3"/>
    <n v="60"/>
    <s v="High"/>
    <s v="Very Sensitive"/>
    <n v="0.14285714285714285"/>
    <x v="0"/>
    <s v="Low"/>
    <x v="1"/>
    <s v="Credit Card"/>
    <d v="2024-09-12T00:00:00"/>
    <x v="0"/>
    <x v="0"/>
    <x v="3"/>
    <x v="0"/>
    <n v="5"/>
    <x v="10"/>
    <s v="Qtr-3"/>
  </r>
  <r>
    <s v="61-176-8712"/>
    <x v="23"/>
    <x v="0"/>
    <x v="0"/>
    <x v="1"/>
    <x v="0"/>
    <x v="2"/>
    <s v="Middle"/>
    <s v="Cerro"/>
    <s v="Uruguay"/>
    <x v="21"/>
    <n v="225.12"/>
    <n v="11"/>
    <s v="In-Store"/>
    <n v="3"/>
    <n v="2"/>
    <n v="60"/>
    <s v="Medium"/>
    <s v="Somewhat Sensitive"/>
    <n v="0"/>
    <x v="2"/>
    <s v="None"/>
    <x v="2"/>
    <s v="Cash"/>
    <d v="2024-08-31T00:00:00"/>
    <x v="0"/>
    <x v="0"/>
    <x v="3"/>
    <x v="2"/>
    <n v="6"/>
    <x v="7"/>
    <s v="Qtr-3"/>
  </r>
  <r>
    <s v="75-526-2611"/>
    <x v="15"/>
    <x v="2"/>
    <x v="0"/>
    <x v="1"/>
    <x v="2"/>
    <x v="2"/>
    <s v="High"/>
    <s v="Yamaga"/>
    <s v="Japan"/>
    <x v="21"/>
    <n v="273.48"/>
    <n v="12"/>
    <s v="Online"/>
    <n v="5"/>
    <n v="3"/>
    <n v="120"/>
    <s v="Low"/>
    <s v="Very Sensitive"/>
    <n v="0"/>
    <x v="1"/>
    <s v="Medium"/>
    <x v="1"/>
    <s v="Other"/>
    <d v="2024-01-22T00:00:00"/>
    <x v="0"/>
    <x v="0"/>
    <x v="1"/>
    <x v="2"/>
    <n v="5"/>
    <x v="3"/>
    <s v="Qtr-1"/>
  </r>
  <r>
    <s v="72-339-1854"/>
    <x v="24"/>
    <x v="3"/>
    <x v="2"/>
    <x v="1"/>
    <x v="1"/>
    <x v="2"/>
    <s v="Middle"/>
    <s v="Sacramento"/>
    <s v="United States"/>
    <x v="4"/>
    <n v="363.84"/>
    <n v="11"/>
    <s v="Online"/>
    <n v="3"/>
    <n v="2"/>
    <n v="60"/>
    <s v="Low"/>
    <s v="Not Sensitive"/>
    <n v="0"/>
    <x v="4"/>
    <s v="Medium"/>
    <x v="2"/>
    <s v="Cash"/>
    <d v="2024-08-30T00:00:00"/>
    <x v="0"/>
    <x v="0"/>
    <x v="2"/>
    <x v="2"/>
    <n v="5"/>
    <x v="7"/>
    <s v="Qtr-3"/>
  </r>
  <r>
    <s v="80-360-6324"/>
    <x v="2"/>
    <x v="0"/>
    <x v="0"/>
    <x v="1"/>
    <x v="1"/>
    <x v="0"/>
    <s v="Middle"/>
    <s v="Foso"/>
    <s v="Ghana"/>
    <x v="12"/>
    <n v="302.60000000000002"/>
    <n v="9"/>
    <s v="Online"/>
    <n v="1"/>
    <n v="4"/>
    <n v="120"/>
    <s v="Medium"/>
    <s v="Very Sensitive"/>
    <n v="0.22222222222222221"/>
    <x v="3"/>
    <s v="None"/>
    <x v="2"/>
    <s v="Debit Card"/>
    <d v="2024-07-23T00:00:00"/>
    <x v="1"/>
    <x v="1"/>
    <x v="2"/>
    <x v="1"/>
    <n v="2"/>
    <x v="5"/>
    <s v="Qtr-3"/>
  </r>
  <r>
    <s v="24-591-4327"/>
    <x v="22"/>
    <x v="2"/>
    <x v="1"/>
    <x v="1"/>
    <x v="3"/>
    <x v="1"/>
    <s v="High"/>
    <s v="Nowe Brzesko"/>
    <s v="Poland"/>
    <x v="9"/>
    <n v="317.08999999999997"/>
    <n v="6"/>
    <s v="Online"/>
    <n v="1"/>
    <n v="1"/>
    <n v="60"/>
    <s v="High"/>
    <s v="Not Sensitive"/>
    <n v="0.33333333333333331"/>
    <x v="6"/>
    <s v="High"/>
    <x v="2"/>
    <s v="Other"/>
    <d v="2024-04-11T00:00:00"/>
    <x v="0"/>
    <x v="0"/>
    <x v="2"/>
    <x v="1"/>
    <n v="4"/>
    <x v="1"/>
    <s v="Qtr-2"/>
  </r>
  <r>
    <s v="58-487-8848"/>
    <x v="9"/>
    <x v="2"/>
    <x v="0"/>
    <x v="1"/>
    <x v="0"/>
    <x v="1"/>
    <s v="High"/>
    <s v="Konyrat"/>
    <s v="Kazakhstan"/>
    <x v="21"/>
    <n v="193.32"/>
    <n v="9"/>
    <s v="Mixed"/>
    <n v="4"/>
    <n v="3"/>
    <n v="0"/>
    <s v="None"/>
    <s v="Very Sensitive"/>
    <n v="0"/>
    <x v="8"/>
    <s v="High"/>
    <x v="0"/>
    <s v="PayPal"/>
    <d v="2024-07-11T00:00:00"/>
    <x v="1"/>
    <x v="1"/>
    <x v="1"/>
    <x v="2"/>
    <n v="6"/>
    <x v="5"/>
    <s v="Qtr-3"/>
  </r>
  <r>
    <s v="61-453-3503"/>
    <x v="10"/>
    <x v="2"/>
    <x v="1"/>
    <x v="1"/>
    <x v="2"/>
    <x v="1"/>
    <s v="High"/>
    <s v="Qingshandi"/>
    <s v="China"/>
    <x v="14"/>
    <n v="282.24"/>
    <n v="6"/>
    <s v="Online"/>
    <n v="2"/>
    <n v="3"/>
    <n v="120"/>
    <s v="None"/>
    <s v="Not Sensitive"/>
    <n v="0.16666666666666666"/>
    <x v="0"/>
    <s v="Medium"/>
    <x v="2"/>
    <s v="Credit Card"/>
    <d v="2024-09-16T00:00:00"/>
    <x v="0"/>
    <x v="1"/>
    <x v="0"/>
    <x v="0"/>
    <n v="1"/>
    <x v="10"/>
    <s v="Qtr-3"/>
  </r>
  <r>
    <s v="63-680-7694"/>
    <x v="3"/>
    <x v="0"/>
    <x v="0"/>
    <x v="1"/>
    <x v="3"/>
    <x v="2"/>
    <s v="Middle"/>
    <s v="Mbala"/>
    <s v="Zambia"/>
    <x v="11"/>
    <n v="154.19"/>
    <n v="6"/>
    <s v="Online"/>
    <n v="5"/>
    <n v="4"/>
    <n v="60"/>
    <s v="Medium"/>
    <s v="Very Sensitive"/>
    <n v="0.33333333333333331"/>
    <x v="2"/>
    <s v="None"/>
    <x v="0"/>
    <s v="PayPal"/>
    <d v="2024-09-22T00:00:00"/>
    <x v="0"/>
    <x v="1"/>
    <x v="0"/>
    <x v="0"/>
    <n v="1"/>
    <x v="10"/>
    <s v="Qtr-3"/>
  </r>
  <r>
    <s v="51-431-7150"/>
    <x v="30"/>
    <x v="1"/>
    <x v="0"/>
    <x v="0"/>
    <x v="2"/>
    <x v="0"/>
    <s v="Middle"/>
    <s v="Shiqiao"/>
    <s v="China"/>
    <x v="4"/>
    <n v="84.15"/>
    <n v="10"/>
    <s v="In-Store"/>
    <n v="1"/>
    <n v="3"/>
    <n v="60"/>
    <s v="High"/>
    <s v="Not Sensitive"/>
    <n v="0.2"/>
    <x v="2"/>
    <s v="High"/>
    <x v="2"/>
    <s v="PayPal"/>
    <d v="2024-11-03T00:00:00"/>
    <x v="0"/>
    <x v="1"/>
    <x v="2"/>
    <x v="1"/>
    <n v="1"/>
    <x v="11"/>
    <s v="Qtr-4"/>
  </r>
  <r>
    <s v="23-039-9347"/>
    <x v="30"/>
    <x v="1"/>
    <x v="1"/>
    <x v="0"/>
    <x v="3"/>
    <x v="1"/>
    <s v="High"/>
    <s v="Yatsuomachi-higashikumisaka"/>
    <s v="Japan"/>
    <x v="18"/>
    <n v="214.69"/>
    <n v="7"/>
    <s v="In-Store"/>
    <n v="4"/>
    <n v="4"/>
    <n v="0"/>
    <s v="Medium"/>
    <s v="Not Sensitive"/>
    <n v="0.14285714285714285"/>
    <x v="0"/>
    <s v="None"/>
    <x v="0"/>
    <s v="Credit Card"/>
    <d v="2024-05-15T00:00:00"/>
    <x v="0"/>
    <x v="1"/>
    <x v="1"/>
    <x v="1"/>
    <n v="9"/>
    <x v="9"/>
    <s v="Qtr-2"/>
  </r>
  <r>
    <s v="18-832-6916"/>
    <x v="11"/>
    <x v="2"/>
    <x v="1"/>
    <x v="1"/>
    <x v="0"/>
    <x v="0"/>
    <s v="High"/>
    <s v="Czarna D?brówka"/>
    <s v="Poland"/>
    <x v="9"/>
    <n v="61.21"/>
    <n v="12"/>
    <s v="Mixed"/>
    <n v="5"/>
    <n v="5"/>
    <n v="0"/>
    <s v="None"/>
    <s v="Not Sensitive"/>
    <n v="0"/>
    <x v="1"/>
    <s v="Low"/>
    <x v="1"/>
    <s v="Credit Card"/>
    <d v="2024-11-24T00:00:00"/>
    <x v="0"/>
    <x v="0"/>
    <x v="3"/>
    <x v="1"/>
    <n v="13"/>
    <x v="11"/>
    <s v="Qtr-4"/>
  </r>
  <r>
    <s v="29-438-8126"/>
    <x v="15"/>
    <x v="2"/>
    <x v="0"/>
    <x v="0"/>
    <x v="1"/>
    <x v="1"/>
    <s v="High"/>
    <s v="Pasirmadang"/>
    <s v="Indonesia"/>
    <x v="12"/>
    <n v="462.48"/>
    <n v="11"/>
    <s v="Online"/>
    <n v="1"/>
    <n v="3"/>
    <n v="0"/>
    <s v="Medium"/>
    <s v="Very Sensitive"/>
    <n v="0.18181818181818182"/>
    <x v="6"/>
    <s v="Low"/>
    <x v="1"/>
    <s v="Debit Card"/>
    <d v="2024-03-31T00:00:00"/>
    <x v="1"/>
    <x v="0"/>
    <x v="3"/>
    <x v="2"/>
    <n v="12"/>
    <x v="0"/>
    <s v="Qtr-1"/>
  </r>
  <r>
    <s v="68-201-1633"/>
    <x v="4"/>
    <x v="2"/>
    <x v="1"/>
    <x v="0"/>
    <x v="0"/>
    <x v="0"/>
    <s v="High"/>
    <s v="Maño"/>
    <s v="Philippines"/>
    <x v="14"/>
    <n v="449.18"/>
    <n v="3"/>
    <s v="Mixed"/>
    <n v="5"/>
    <n v="3"/>
    <n v="120"/>
    <s v="Medium"/>
    <s v="Somewhat Sensitive"/>
    <n v="0"/>
    <x v="8"/>
    <s v="High"/>
    <x v="0"/>
    <s v="Credit Card"/>
    <d v="2024-03-21T00:00:00"/>
    <x v="0"/>
    <x v="1"/>
    <x v="1"/>
    <x v="1"/>
    <n v="10"/>
    <x v="0"/>
    <s v="Qtr-1"/>
  </r>
  <r>
    <s v="07-314-2945"/>
    <x v="8"/>
    <x v="0"/>
    <x v="0"/>
    <x v="0"/>
    <x v="0"/>
    <x v="2"/>
    <s v="Middle"/>
    <s v="Tiwi"/>
    <s v="Philippines"/>
    <x v="7"/>
    <n v="314.36"/>
    <n v="7"/>
    <s v="In-Store"/>
    <n v="3"/>
    <n v="5"/>
    <n v="120"/>
    <s v="Medium"/>
    <s v="Very Sensitive"/>
    <n v="0.14285714285714285"/>
    <x v="7"/>
    <s v="None"/>
    <x v="2"/>
    <s v="Cash"/>
    <d v="2024-07-03T00:00:00"/>
    <x v="0"/>
    <x v="0"/>
    <x v="2"/>
    <x v="2"/>
    <n v="1"/>
    <x v="5"/>
    <s v="Qtr-3"/>
  </r>
  <r>
    <s v="64-490-6975"/>
    <x v="19"/>
    <x v="1"/>
    <x v="0"/>
    <x v="0"/>
    <x v="0"/>
    <x v="0"/>
    <s v="Middle"/>
    <s v="Ahar"/>
    <s v="Iran"/>
    <x v="23"/>
    <n v="367.7"/>
    <n v="3"/>
    <s v="Mixed"/>
    <n v="3"/>
    <n v="5"/>
    <n v="120"/>
    <s v="None"/>
    <s v="Somewhat Sensitive"/>
    <n v="0.66666666666666663"/>
    <x v="4"/>
    <s v="High"/>
    <x v="2"/>
    <s v="Credit Card"/>
    <d v="2024-03-17T00:00:00"/>
    <x v="0"/>
    <x v="1"/>
    <x v="0"/>
    <x v="0"/>
    <n v="3"/>
    <x v="0"/>
    <s v="Qtr-1"/>
  </r>
  <r>
    <s v="91-789-3191"/>
    <x v="30"/>
    <x v="1"/>
    <x v="0"/>
    <x v="1"/>
    <x v="1"/>
    <x v="1"/>
    <s v="Middle"/>
    <s v="Dake"/>
    <s v="China"/>
    <x v="6"/>
    <n v="229.97"/>
    <n v="7"/>
    <s v="Mixed"/>
    <n v="3"/>
    <n v="4"/>
    <n v="0"/>
    <s v="None"/>
    <s v="Very Sensitive"/>
    <n v="0.2857142857142857"/>
    <x v="5"/>
    <s v="None"/>
    <x v="2"/>
    <s v="Other"/>
    <d v="2024-11-21T00:00:00"/>
    <x v="1"/>
    <x v="1"/>
    <x v="0"/>
    <x v="1"/>
    <n v="6"/>
    <x v="11"/>
    <s v="Qtr-4"/>
  </r>
  <r>
    <s v="83-714-9649"/>
    <x v="31"/>
    <x v="0"/>
    <x v="0"/>
    <x v="0"/>
    <x v="2"/>
    <x v="0"/>
    <s v="Middle"/>
    <s v="Harstad"/>
    <s v="Norway"/>
    <x v="3"/>
    <n v="226.53"/>
    <n v="3"/>
    <s v="Online"/>
    <n v="3"/>
    <n v="1"/>
    <n v="60"/>
    <s v="High"/>
    <s v="Not Sensitive"/>
    <n v="0.33333333333333331"/>
    <x v="3"/>
    <s v="Medium"/>
    <x v="2"/>
    <s v="PayPal"/>
    <d v="2024-08-02T00:00:00"/>
    <x v="0"/>
    <x v="0"/>
    <x v="1"/>
    <x v="0"/>
    <n v="13"/>
    <x v="7"/>
    <s v="Qtr-3"/>
  </r>
  <r>
    <s v="33-203-4230"/>
    <x v="25"/>
    <x v="0"/>
    <x v="1"/>
    <x v="1"/>
    <x v="3"/>
    <x v="2"/>
    <s v="Middle"/>
    <s v="Perbaungan"/>
    <s v="Indonesia"/>
    <x v="14"/>
    <n v="218.32"/>
    <n v="2"/>
    <s v="Mixed"/>
    <n v="5"/>
    <n v="3"/>
    <n v="0"/>
    <s v="High"/>
    <s v="Not Sensitive"/>
    <n v="1"/>
    <x v="0"/>
    <s v="Low"/>
    <x v="2"/>
    <s v="PayPal"/>
    <d v="2024-09-24T00:00:00"/>
    <x v="1"/>
    <x v="0"/>
    <x v="0"/>
    <x v="2"/>
    <n v="3"/>
    <x v="10"/>
    <s v="Qtr-3"/>
  </r>
  <r>
    <s v="90-918-2833"/>
    <x v="18"/>
    <x v="1"/>
    <x v="0"/>
    <x v="1"/>
    <x v="2"/>
    <x v="1"/>
    <s v="High"/>
    <s v="Soroti"/>
    <s v="Uganda"/>
    <x v="4"/>
    <n v="132.66999999999999"/>
    <n v="7"/>
    <s v="In-Store"/>
    <n v="2"/>
    <n v="5"/>
    <n v="60"/>
    <s v="Low"/>
    <s v="Very Sensitive"/>
    <n v="0.2857142857142857"/>
    <x v="4"/>
    <s v="Low"/>
    <x v="1"/>
    <s v="Other"/>
    <d v="2024-12-18T00:00:00"/>
    <x v="0"/>
    <x v="0"/>
    <x v="2"/>
    <x v="2"/>
    <n v="1"/>
    <x v="6"/>
    <s v="Qtr-4"/>
  </r>
  <r>
    <s v="53-409-1176"/>
    <x v="29"/>
    <x v="0"/>
    <x v="1"/>
    <x v="1"/>
    <x v="1"/>
    <x v="2"/>
    <s v="High"/>
    <s v="Caruaru"/>
    <s v="Brazil"/>
    <x v="17"/>
    <n v="416.96"/>
    <n v="7"/>
    <s v="In-Store"/>
    <n v="5"/>
    <n v="1"/>
    <n v="60"/>
    <s v="High"/>
    <s v="Not Sensitive"/>
    <n v="0"/>
    <x v="2"/>
    <s v="High"/>
    <x v="0"/>
    <s v="Other"/>
    <d v="2024-05-25T00:00:00"/>
    <x v="1"/>
    <x v="0"/>
    <x v="3"/>
    <x v="2"/>
    <n v="7"/>
    <x v="9"/>
    <s v="Qtr-2"/>
  </r>
  <r>
    <s v="52-491-3386"/>
    <x v="7"/>
    <x v="2"/>
    <x v="0"/>
    <x v="1"/>
    <x v="0"/>
    <x v="2"/>
    <s v="Middle"/>
    <s v="Kamiennik"/>
    <s v="Poland"/>
    <x v="17"/>
    <n v="459.51"/>
    <n v="7"/>
    <s v="In-Store"/>
    <n v="1"/>
    <n v="2"/>
    <n v="120"/>
    <s v="High"/>
    <s v="Not Sensitive"/>
    <n v="0"/>
    <x v="1"/>
    <s v="Medium"/>
    <x v="0"/>
    <s v="Debit Card"/>
    <d v="2024-01-05T00:00:00"/>
    <x v="0"/>
    <x v="0"/>
    <x v="0"/>
    <x v="0"/>
    <n v="11"/>
    <x v="3"/>
    <s v="Qtr-1"/>
  </r>
  <r>
    <s v="10-870-3357"/>
    <x v="5"/>
    <x v="1"/>
    <x v="1"/>
    <x v="0"/>
    <x v="0"/>
    <x v="1"/>
    <s v="High"/>
    <s v="Boundiali"/>
    <s v="Côte d’Ivoire"/>
    <x v="6"/>
    <n v="487.96"/>
    <n v="2"/>
    <s v="Mixed"/>
    <n v="5"/>
    <n v="3"/>
    <n v="120"/>
    <s v="Low"/>
    <s v="Very Sensitive"/>
    <n v="0"/>
    <x v="6"/>
    <s v="None"/>
    <x v="2"/>
    <s v="PayPal"/>
    <d v="2024-03-15T00:00:00"/>
    <x v="0"/>
    <x v="1"/>
    <x v="0"/>
    <x v="0"/>
    <n v="12"/>
    <x v="0"/>
    <s v="Qtr-1"/>
  </r>
  <r>
    <s v="41-816-7753"/>
    <x v="0"/>
    <x v="0"/>
    <x v="1"/>
    <x v="0"/>
    <x v="3"/>
    <x v="1"/>
    <s v="High"/>
    <s v="Götene"/>
    <s v="Sweden"/>
    <x v="16"/>
    <n v="150.11000000000001"/>
    <n v="7"/>
    <s v="Mixed"/>
    <n v="4"/>
    <n v="4"/>
    <n v="90"/>
    <s v="Low"/>
    <s v="Very Sensitive"/>
    <n v="0"/>
    <x v="4"/>
    <s v="High"/>
    <x v="1"/>
    <s v="Credit Card"/>
    <d v="2024-07-23T00:00:00"/>
    <x v="0"/>
    <x v="0"/>
    <x v="1"/>
    <x v="1"/>
    <n v="8"/>
    <x v="5"/>
    <s v="Qtr-3"/>
  </r>
  <r>
    <s v="68-296-5978"/>
    <x v="15"/>
    <x v="2"/>
    <x v="1"/>
    <x v="1"/>
    <x v="0"/>
    <x v="1"/>
    <s v="Middle"/>
    <s v="Kadumelati"/>
    <s v="Indonesia"/>
    <x v="11"/>
    <n v="218.87"/>
    <n v="5"/>
    <s v="Mixed"/>
    <n v="4"/>
    <n v="3"/>
    <n v="0"/>
    <s v="Medium"/>
    <s v="Very Sensitive"/>
    <n v="0"/>
    <x v="7"/>
    <s v="Medium"/>
    <x v="1"/>
    <s v="Cash"/>
    <d v="2024-09-18T00:00:00"/>
    <x v="0"/>
    <x v="0"/>
    <x v="3"/>
    <x v="0"/>
    <n v="11"/>
    <x v="10"/>
    <s v="Qtr-3"/>
  </r>
  <r>
    <s v="03-874-9055"/>
    <x v="3"/>
    <x v="0"/>
    <x v="0"/>
    <x v="0"/>
    <x v="0"/>
    <x v="0"/>
    <s v="High"/>
    <s v="Amparo"/>
    <s v="Brazil"/>
    <x v="7"/>
    <n v="437.06"/>
    <n v="7"/>
    <s v="In-Store"/>
    <n v="3"/>
    <n v="5"/>
    <n v="120"/>
    <s v="Low"/>
    <s v="Very Sensitive"/>
    <n v="0"/>
    <x v="9"/>
    <s v="Low"/>
    <x v="1"/>
    <s v="Cash"/>
    <d v="2024-03-09T00:00:00"/>
    <x v="1"/>
    <x v="0"/>
    <x v="2"/>
    <x v="2"/>
    <n v="11"/>
    <x v="0"/>
    <s v="Qtr-1"/>
  </r>
  <r>
    <s v="28-123-8406"/>
    <x v="4"/>
    <x v="2"/>
    <x v="1"/>
    <x v="1"/>
    <x v="0"/>
    <x v="0"/>
    <s v="High"/>
    <s v="Shimen"/>
    <s v="China"/>
    <x v="21"/>
    <n v="122.58"/>
    <n v="2"/>
    <s v="In-Store"/>
    <n v="5"/>
    <n v="4"/>
    <n v="90"/>
    <s v="Low"/>
    <s v="Not Sensitive"/>
    <n v="1"/>
    <x v="1"/>
    <s v="None"/>
    <x v="0"/>
    <s v="Other"/>
    <d v="2024-01-29T00:00:00"/>
    <x v="0"/>
    <x v="0"/>
    <x v="2"/>
    <x v="2"/>
    <n v="12"/>
    <x v="3"/>
    <s v="Qtr-1"/>
  </r>
  <r>
    <s v="01-089-2223"/>
    <x v="22"/>
    <x v="2"/>
    <x v="1"/>
    <x v="1"/>
    <x v="0"/>
    <x v="2"/>
    <s v="Middle"/>
    <s v="Philadelphia"/>
    <s v="United States"/>
    <x v="1"/>
    <n v="195.07"/>
    <n v="8"/>
    <s v="Online"/>
    <n v="3"/>
    <n v="1"/>
    <n v="60"/>
    <s v="High"/>
    <s v="Somewhat Sensitive"/>
    <n v="0"/>
    <x v="9"/>
    <s v="None"/>
    <x v="1"/>
    <s v="Debit Card"/>
    <d v="2024-07-22T00:00:00"/>
    <x v="1"/>
    <x v="0"/>
    <x v="2"/>
    <x v="0"/>
    <n v="10"/>
    <x v="5"/>
    <s v="Qtr-3"/>
  </r>
  <r>
    <s v="23-758-1012"/>
    <x v="7"/>
    <x v="2"/>
    <x v="0"/>
    <x v="0"/>
    <x v="1"/>
    <x v="1"/>
    <s v="High"/>
    <s v="Myingyan"/>
    <s v="Myanmar"/>
    <x v="5"/>
    <n v="190.06"/>
    <n v="9"/>
    <s v="In-Store"/>
    <n v="5"/>
    <n v="1"/>
    <n v="60"/>
    <s v="None"/>
    <s v="Somewhat Sensitive"/>
    <n v="0.1111111111111111"/>
    <x v="6"/>
    <s v="Low"/>
    <x v="1"/>
    <s v="Other"/>
    <d v="2024-02-03T00:00:00"/>
    <x v="0"/>
    <x v="1"/>
    <x v="3"/>
    <x v="1"/>
    <n v="12"/>
    <x v="8"/>
    <s v="Qtr-1"/>
  </r>
  <r>
    <s v="34-788-8387"/>
    <x v="9"/>
    <x v="2"/>
    <x v="0"/>
    <x v="0"/>
    <x v="1"/>
    <x v="1"/>
    <s v="Middle"/>
    <s v="Qingqu"/>
    <s v="China"/>
    <x v="19"/>
    <n v="485.76"/>
    <n v="10"/>
    <s v="In-Store"/>
    <n v="3"/>
    <n v="4"/>
    <n v="0"/>
    <s v="Medium"/>
    <s v="Somewhat Sensitive"/>
    <n v="0"/>
    <x v="7"/>
    <s v="High"/>
    <x v="2"/>
    <s v="Debit Card"/>
    <d v="2024-06-03T00:00:00"/>
    <x v="0"/>
    <x v="1"/>
    <x v="1"/>
    <x v="0"/>
    <n v="4"/>
    <x v="4"/>
    <s v="Qtr-2"/>
  </r>
  <r>
    <s v="53-865-9342"/>
    <x v="23"/>
    <x v="0"/>
    <x v="0"/>
    <x v="1"/>
    <x v="1"/>
    <x v="0"/>
    <s v="High"/>
    <s v="Poste de Flacq"/>
    <s v="Mauritius"/>
    <x v="5"/>
    <n v="242.57"/>
    <n v="7"/>
    <s v="In-Store"/>
    <n v="1"/>
    <n v="1"/>
    <n v="60"/>
    <s v="Low"/>
    <s v="Not Sensitive"/>
    <n v="0"/>
    <x v="3"/>
    <s v="Low"/>
    <x v="1"/>
    <s v="PayPal"/>
    <d v="2024-10-05T00:00:00"/>
    <x v="0"/>
    <x v="0"/>
    <x v="1"/>
    <x v="0"/>
    <n v="1"/>
    <x v="2"/>
    <s v="Qtr-4"/>
  </r>
  <r>
    <s v="79-052-8470"/>
    <x v="22"/>
    <x v="2"/>
    <x v="1"/>
    <x v="0"/>
    <x v="2"/>
    <x v="1"/>
    <s v="High"/>
    <s v="Zawr al Bay??’"/>
    <s v="Syria"/>
    <x v="17"/>
    <n v="303.13"/>
    <n v="2"/>
    <s v="Online"/>
    <n v="1"/>
    <n v="1"/>
    <n v="60"/>
    <s v="High"/>
    <s v="Not Sensitive"/>
    <n v="0"/>
    <x v="0"/>
    <s v="Medium"/>
    <x v="2"/>
    <s v="Debit Card"/>
    <d v="2024-01-04T00:00:00"/>
    <x v="1"/>
    <x v="1"/>
    <x v="0"/>
    <x v="1"/>
    <n v="10"/>
    <x v="3"/>
    <s v="Qtr-1"/>
  </r>
  <r>
    <s v="86-359-7320"/>
    <x v="20"/>
    <x v="1"/>
    <x v="0"/>
    <x v="0"/>
    <x v="2"/>
    <x v="2"/>
    <s v="Middle"/>
    <s v="Phu Loc"/>
    <s v="Vietnam"/>
    <x v="16"/>
    <n v="136.1"/>
    <n v="5"/>
    <s v="In-Store"/>
    <n v="3"/>
    <n v="5"/>
    <n v="120"/>
    <s v="Low"/>
    <s v="Very Sensitive"/>
    <n v="0"/>
    <x v="6"/>
    <s v="High"/>
    <x v="0"/>
    <s v="Debit Card"/>
    <d v="2024-02-27T00:00:00"/>
    <x v="1"/>
    <x v="1"/>
    <x v="3"/>
    <x v="2"/>
    <n v="14"/>
    <x v="8"/>
    <s v="Qtr-1"/>
  </r>
  <r>
    <s v="27-111-2242"/>
    <x v="13"/>
    <x v="1"/>
    <x v="2"/>
    <x v="1"/>
    <x v="1"/>
    <x v="0"/>
    <s v="Middle"/>
    <s v="Jembangan"/>
    <s v="Indonesia"/>
    <x v="13"/>
    <n v="249.02"/>
    <n v="11"/>
    <s v="Mixed"/>
    <n v="3"/>
    <n v="2"/>
    <n v="18"/>
    <s v="Medium"/>
    <s v="Not Sensitive"/>
    <n v="9.0909090909090912E-2"/>
    <x v="2"/>
    <s v="Medium"/>
    <x v="1"/>
    <s v="PayPal"/>
    <d v="2024-10-01T00:00:00"/>
    <x v="0"/>
    <x v="1"/>
    <x v="3"/>
    <x v="2"/>
    <n v="14"/>
    <x v="2"/>
    <s v="Qtr-4"/>
  </r>
  <r>
    <s v="84-538-0238"/>
    <x v="24"/>
    <x v="3"/>
    <x v="1"/>
    <x v="0"/>
    <x v="3"/>
    <x v="1"/>
    <s v="Middle"/>
    <s v="Harhorin"/>
    <s v="Mongolia"/>
    <x v="2"/>
    <n v="466.74"/>
    <n v="7"/>
    <s v="In-Store"/>
    <n v="3"/>
    <n v="4"/>
    <n v="12"/>
    <s v="Medium"/>
    <s v="Not Sensitive"/>
    <n v="0.2857142857142857"/>
    <x v="4"/>
    <s v="High"/>
    <x v="0"/>
    <s v="Debit Card"/>
    <d v="2024-12-11T00:00:00"/>
    <x v="0"/>
    <x v="1"/>
    <x v="0"/>
    <x v="2"/>
    <n v="5"/>
    <x v="6"/>
    <s v="Qtr-4"/>
  </r>
  <r>
    <s v="04-660-2742"/>
    <x v="19"/>
    <x v="1"/>
    <x v="6"/>
    <x v="1"/>
    <x v="0"/>
    <x v="1"/>
    <s v="High"/>
    <s v="Meijiang"/>
    <s v="China"/>
    <x v="9"/>
    <n v="229.3"/>
    <n v="6"/>
    <s v="In-Store"/>
    <n v="4"/>
    <n v="5"/>
    <n v="120"/>
    <s v="None"/>
    <s v="Somewhat Sensitive"/>
    <n v="0"/>
    <x v="9"/>
    <s v="None"/>
    <x v="1"/>
    <s v="Other"/>
    <d v="2024-11-25T00:00:00"/>
    <x v="1"/>
    <x v="0"/>
    <x v="3"/>
    <x v="2"/>
    <n v="6"/>
    <x v="11"/>
    <s v="Qtr-4"/>
  </r>
  <r>
    <s v="96-496-9833"/>
    <x v="12"/>
    <x v="2"/>
    <x v="0"/>
    <x v="1"/>
    <x v="1"/>
    <x v="1"/>
    <s v="High"/>
    <s v="Lañgub"/>
    <s v="Philippines"/>
    <x v="12"/>
    <n v="450.52"/>
    <n v="8"/>
    <s v="Online"/>
    <n v="2"/>
    <n v="2"/>
    <n v="12"/>
    <s v="High"/>
    <s v="Somewhat Sensitive"/>
    <n v="0"/>
    <x v="9"/>
    <s v="Low"/>
    <x v="2"/>
    <s v="PayPal"/>
    <d v="2024-01-13T00:00:00"/>
    <x v="0"/>
    <x v="1"/>
    <x v="0"/>
    <x v="0"/>
    <n v="8"/>
    <x v="3"/>
    <s v="Qtr-1"/>
  </r>
  <r>
    <s v="27-672-6081"/>
    <x v="22"/>
    <x v="2"/>
    <x v="1"/>
    <x v="1"/>
    <x v="3"/>
    <x v="0"/>
    <s v="Middle"/>
    <s v="Bangbayang"/>
    <s v="Indonesia"/>
    <x v="19"/>
    <n v="246.44"/>
    <n v="4"/>
    <s v="Mixed"/>
    <n v="3"/>
    <n v="1"/>
    <n v="60"/>
    <s v="Medium"/>
    <s v="Somewhat Sensitive"/>
    <n v="0"/>
    <x v="4"/>
    <s v="Medium"/>
    <x v="1"/>
    <s v="Debit Card"/>
    <d v="2024-09-17T00:00:00"/>
    <x v="1"/>
    <x v="1"/>
    <x v="1"/>
    <x v="0"/>
    <n v="5"/>
    <x v="10"/>
    <s v="Qtr-3"/>
  </r>
  <r>
    <s v="66-033-0540"/>
    <x v="10"/>
    <x v="2"/>
    <x v="1"/>
    <x v="1"/>
    <x v="2"/>
    <x v="1"/>
    <s v="Middle"/>
    <s v="St?bo?ówice"/>
    <s v="Poland"/>
    <x v="3"/>
    <n v="93.52"/>
    <n v="2"/>
    <s v="Online"/>
    <n v="1"/>
    <n v="5"/>
    <n v="60"/>
    <s v="None"/>
    <s v="Somewhat Sensitive"/>
    <n v="0.5"/>
    <x v="6"/>
    <s v="High"/>
    <x v="2"/>
    <s v="PayPal"/>
    <d v="2024-08-12T00:00:00"/>
    <x v="1"/>
    <x v="1"/>
    <x v="3"/>
    <x v="0"/>
    <n v="12"/>
    <x v="7"/>
    <s v="Qtr-3"/>
  </r>
  <r>
    <s v="99-643-9845"/>
    <x v="31"/>
    <x v="0"/>
    <x v="0"/>
    <x v="0"/>
    <x v="0"/>
    <x v="1"/>
    <s v="High"/>
    <s v="Banturkrajan"/>
    <s v="Indonesia"/>
    <x v="19"/>
    <n v="137.75"/>
    <n v="6"/>
    <s v="Online"/>
    <n v="3"/>
    <n v="3"/>
    <n v="120"/>
    <s v="High"/>
    <s v="Very Sensitive"/>
    <n v="0"/>
    <x v="2"/>
    <s v="Medium"/>
    <x v="1"/>
    <s v="Cash"/>
    <d v="2024-09-09T00:00:00"/>
    <x v="1"/>
    <x v="1"/>
    <x v="0"/>
    <x v="0"/>
    <n v="4"/>
    <x v="10"/>
    <s v="Qtr-3"/>
  </r>
  <r>
    <s v="27-571-9402"/>
    <x v="32"/>
    <x v="1"/>
    <x v="0"/>
    <x v="0"/>
    <x v="0"/>
    <x v="2"/>
    <s v="Middle"/>
    <s v="São Torcato"/>
    <s v="Portugal"/>
    <x v="3"/>
    <n v="78.64"/>
    <n v="5"/>
    <s v="Mixed"/>
    <n v="3"/>
    <n v="4"/>
    <n v="120"/>
    <s v="High"/>
    <s v="Somewhat Sensitive"/>
    <n v="0"/>
    <x v="4"/>
    <s v="High"/>
    <x v="0"/>
    <s v="PayPal"/>
    <d v="2024-05-26T00:00:00"/>
    <x v="0"/>
    <x v="0"/>
    <x v="3"/>
    <x v="1"/>
    <n v="12"/>
    <x v="9"/>
    <s v="Qtr-2"/>
  </r>
  <r>
    <s v="10-430-5821"/>
    <x v="8"/>
    <x v="0"/>
    <x v="1"/>
    <x v="1"/>
    <x v="3"/>
    <x v="2"/>
    <s v="Middle"/>
    <s v="Kapan"/>
    <s v="Armenia"/>
    <x v="14"/>
    <n v="214.82"/>
    <n v="9"/>
    <s v="Mixed"/>
    <n v="5"/>
    <n v="4"/>
    <n v="18"/>
    <s v="None"/>
    <s v="Very Sensitive"/>
    <n v="0.1111111111111111"/>
    <x v="5"/>
    <s v="Medium"/>
    <x v="0"/>
    <s v="Other"/>
    <d v="2024-11-09T00:00:00"/>
    <x v="0"/>
    <x v="0"/>
    <x v="3"/>
    <x v="0"/>
    <n v="11"/>
    <x v="11"/>
    <s v="Qtr-4"/>
  </r>
  <r>
    <s v="36-835-7445"/>
    <x v="5"/>
    <x v="1"/>
    <x v="1"/>
    <x v="0"/>
    <x v="0"/>
    <x v="0"/>
    <s v="High"/>
    <s v="V?n Giang"/>
    <s v="Vietnam"/>
    <x v="7"/>
    <n v="57.39"/>
    <n v="3"/>
    <s v="Mixed"/>
    <n v="2"/>
    <n v="5"/>
    <n v="15"/>
    <s v="None"/>
    <s v="Somewhat Sensitive"/>
    <n v="0"/>
    <x v="3"/>
    <s v="Medium"/>
    <x v="2"/>
    <s v="Credit Card"/>
    <d v="2024-07-19T00:00:00"/>
    <x v="1"/>
    <x v="0"/>
    <x v="2"/>
    <x v="1"/>
    <n v="3"/>
    <x v="5"/>
    <s v="Qtr-3"/>
  </r>
  <r>
    <s v="41-602-4042"/>
    <x v="26"/>
    <x v="1"/>
    <x v="0"/>
    <x v="1"/>
    <x v="1"/>
    <x v="1"/>
    <s v="Middle"/>
    <s v="Oslo"/>
    <s v="Norway"/>
    <x v="21"/>
    <n v="363.91"/>
    <n v="10"/>
    <s v="Online"/>
    <n v="1"/>
    <n v="1"/>
    <n v="18"/>
    <s v="Medium"/>
    <s v="Very Sensitive"/>
    <n v="0"/>
    <x v="6"/>
    <s v="Low"/>
    <x v="1"/>
    <s v="Cash"/>
    <d v="2024-01-07T00:00:00"/>
    <x v="0"/>
    <x v="1"/>
    <x v="3"/>
    <x v="1"/>
    <n v="9"/>
    <x v="3"/>
    <s v="Qtr-1"/>
  </r>
  <r>
    <s v="63-743-6962"/>
    <x v="7"/>
    <x v="2"/>
    <x v="1"/>
    <x v="0"/>
    <x v="1"/>
    <x v="1"/>
    <s v="Middle"/>
    <s v="Tanushimarumachi-toyoki"/>
    <s v="Japan"/>
    <x v="22"/>
    <n v="304.79000000000002"/>
    <n v="12"/>
    <s v="In-Store"/>
    <n v="2"/>
    <n v="4"/>
    <n v="120"/>
    <s v="Low"/>
    <s v="Somewhat Sensitive"/>
    <n v="8.3333333333333329E-2"/>
    <x v="5"/>
    <s v="High"/>
    <x v="2"/>
    <s v="Other"/>
    <d v="2024-01-07T00:00:00"/>
    <x v="0"/>
    <x v="1"/>
    <x v="1"/>
    <x v="1"/>
    <n v="10"/>
    <x v="3"/>
    <s v="Qtr-1"/>
  </r>
  <r>
    <s v="66-772-9922"/>
    <x v="11"/>
    <x v="2"/>
    <x v="1"/>
    <x v="1"/>
    <x v="3"/>
    <x v="1"/>
    <s v="Middle"/>
    <s v="Kazo"/>
    <s v="Japan"/>
    <x v="23"/>
    <n v="363.98"/>
    <n v="4"/>
    <s v="Online"/>
    <n v="4"/>
    <n v="4"/>
    <n v="60"/>
    <s v="None"/>
    <s v="Somewhat Sensitive"/>
    <n v="0.5"/>
    <x v="0"/>
    <s v="None"/>
    <x v="0"/>
    <s v="PayPal"/>
    <d v="2024-05-27T00:00:00"/>
    <x v="0"/>
    <x v="1"/>
    <x v="3"/>
    <x v="2"/>
    <n v="1"/>
    <x v="9"/>
    <s v="Qtr-2"/>
  </r>
  <r>
    <s v="23-246-5927"/>
    <x v="26"/>
    <x v="1"/>
    <x v="1"/>
    <x v="0"/>
    <x v="2"/>
    <x v="0"/>
    <s v="High"/>
    <s v="Rawa Mazowiecka"/>
    <s v="Poland"/>
    <x v="5"/>
    <n v="249.6"/>
    <n v="7"/>
    <s v="Mixed"/>
    <n v="4"/>
    <n v="1"/>
    <n v="60"/>
    <s v="Low"/>
    <s v="Somewhat Sensitive"/>
    <n v="0.2857142857142857"/>
    <x v="0"/>
    <s v="High"/>
    <x v="1"/>
    <s v="Debit Card"/>
    <d v="2024-05-11T00:00:00"/>
    <x v="0"/>
    <x v="0"/>
    <x v="1"/>
    <x v="1"/>
    <n v="11"/>
    <x v="9"/>
    <s v="Qtr-2"/>
  </r>
  <r>
    <s v="74-022-7557"/>
    <x v="24"/>
    <x v="3"/>
    <x v="1"/>
    <x v="1"/>
    <x v="0"/>
    <x v="0"/>
    <s v="Middle"/>
    <s v="W?nsan"/>
    <s v="North Korea"/>
    <x v="13"/>
    <n v="345.04"/>
    <n v="12"/>
    <s v="In-Store"/>
    <n v="1"/>
    <n v="5"/>
    <n v="60"/>
    <s v="Low"/>
    <s v="Somewhat Sensitive"/>
    <n v="0"/>
    <x v="8"/>
    <s v="Medium"/>
    <x v="0"/>
    <s v="Credit Card"/>
    <d v="2024-10-16T00:00:00"/>
    <x v="0"/>
    <x v="1"/>
    <x v="3"/>
    <x v="2"/>
    <n v="13"/>
    <x v="2"/>
    <s v="Qtr-4"/>
  </r>
  <r>
    <s v="78-214-5658"/>
    <x v="18"/>
    <x v="1"/>
    <x v="0"/>
    <x v="0"/>
    <x v="1"/>
    <x v="1"/>
    <s v="High"/>
    <s v="Villavicencio"/>
    <s v="Colombia"/>
    <x v="17"/>
    <n v="59.15"/>
    <n v="3"/>
    <s v="In-Store"/>
    <n v="4"/>
    <n v="2"/>
    <n v="60"/>
    <s v="None"/>
    <s v="Not Sensitive"/>
    <n v="0"/>
    <x v="2"/>
    <s v="High"/>
    <x v="2"/>
    <s v="Debit Card"/>
    <d v="2024-04-19T00:00:00"/>
    <x v="1"/>
    <x v="0"/>
    <x v="0"/>
    <x v="1"/>
    <n v="8"/>
    <x v="1"/>
    <s v="Qtr-2"/>
  </r>
  <r>
    <s v="25-286-8786"/>
    <x v="23"/>
    <x v="0"/>
    <x v="1"/>
    <x v="1"/>
    <x v="1"/>
    <x v="2"/>
    <s v="High"/>
    <s v="Berlin"/>
    <s v="Germany"/>
    <x v="3"/>
    <n v="461.81"/>
    <n v="12"/>
    <s v="Mixed"/>
    <n v="4"/>
    <n v="3"/>
    <n v="0"/>
    <s v="Medium"/>
    <s v="Very Sensitive"/>
    <n v="0"/>
    <x v="8"/>
    <s v="Low"/>
    <x v="2"/>
    <s v="Other"/>
    <d v="2024-06-07T00:00:00"/>
    <x v="0"/>
    <x v="0"/>
    <x v="1"/>
    <x v="0"/>
    <n v="8"/>
    <x v="4"/>
    <s v="Qtr-2"/>
  </r>
  <r>
    <s v="55-955-9889"/>
    <x v="16"/>
    <x v="2"/>
    <x v="0"/>
    <x v="1"/>
    <x v="3"/>
    <x v="0"/>
    <s v="High"/>
    <s v="Wailang"/>
    <s v="Indonesia"/>
    <x v="10"/>
    <n v="280.88"/>
    <n v="4"/>
    <s v="Mixed"/>
    <n v="3"/>
    <n v="4"/>
    <n v="60"/>
    <s v="High"/>
    <s v="Not Sensitive"/>
    <n v="0"/>
    <x v="6"/>
    <s v="High"/>
    <x v="1"/>
    <s v="Credit Card"/>
    <d v="2024-05-05T00:00:00"/>
    <x v="0"/>
    <x v="1"/>
    <x v="3"/>
    <x v="0"/>
    <n v="2"/>
    <x v="9"/>
    <s v="Qtr-2"/>
  </r>
  <r>
    <s v="34-237-3943"/>
    <x v="32"/>
    <x v="1"/>
    <x v="1"/>
    <x v="0"/>
    <x v="0"/>
    <x v="2"/>
    <s v="Middle"/>
    <s v="Fangshan"/>
    <s v="China"/>
    <x v="8"/>
    <n v="283.7"/>
    <n v="8"/>
    <s v="Mixed"/>
    <n v="2"/>
    <n v="5"/>
    <n v="60"/>
    <s v="Medium"/>
    <s v="Not Sensitive"/>
    <n v="0.125"/>
    <x v="4"/>
    <s v="Low"/>
    <x v="1"/>
    <s v="Cash"/>
    <d v="2024-02-29T00:00:00"/>
    <x v="1"/>
    <x v="0"/>
    <x v="2"/>
    <x v="2"/>
    <n v="8"/>
    <x v="8"/>
    <s v="Qtr-1"/>
  </r>
  <r>
    <s v="19-386-9088"/>
    <x v="2"/>
    <x v="0"/>
    <x v="0"/>
    <x v="1"/>
    <x v="2"/>
    <x v="1"/>
    <s v="Middle"/>
    <s v="Tallahassee"/>
    <s v="United States"/>
    <x v="8"/>
    <n v="411.95"/>
    <n v="10"/>
    <s v="In-Store"/>
    <n v="5"/>
    <n v="3"/>
    <n v="60"/>
    <s v="None"/>
    <s v="Not Sensitive"/>
    <n v="0"/>
    <x v="7"/>
    <s v="None"/>
    <x v="1"/>
    <s v="PayPal"/>
    <d v="2024-12-18T00:00:00"/>
    <x v="0"/>
    <x v="1"/>
    <x v="2"/>
    <x v="1"/>
    <n v="5"/>
    <x v="6"/>
    <s v="Qtr-4"/>
  </r>
  <r>
    <s v="16-583-2801"/>
    <x v="11"/>
    <x v="2"/>
    <x v="0"/>
    <x v="0"/>
    <x v="2"/>
    <x v="2"/>
    <s v="Middle"/>
    <s v="Anchorage"/>
    <s v="United States"/>
    <x v="0"/>
    <n v="476.11"/>
    <n v="5"/>
    <s v="In-Store"/>
    <n v="1"/>
    <n v="4"/>
    <n v="60"/>
    <s v="None"/>
    <s v="Very Sensitive"/>
    <n v="0.4"/>
    <x v="3"/>
    <s v="High"/>
    <x v="2"/>
    <s v="Debit Card"/>
    <d v="2024-10-29T00:00:00"/>
    <x v="0"/>
    <x v="0"/>
    <x v="1"/>
    <x v="1"/>
    <n v="1"/>
    <x v="2"/>
    <s v="Qtr-4"/>
  </r>
  <r>
    <s v="83-752-5439"/>
    <x v="31"/>
    <x v="0"/>
    <x v="0"/>
    <x v="0"/>
    <x v="0"/>
    <x v="2"/>
    <s v="High"/>
    <s v="Mulhouse"/>
    <s v="France"/>
    <x v="0"/>
    <n v="399.24"/>
    <n v="7"/>
    <s v="In-Store"/>
    <n v="4"/>
    <n v="2"/>
    <n v="60"/>
    <s v="Medium"/>
    <s v="Very Sensitive"/>
    <n v="0.14285714285714285"/>
    <x v="6"/>
    <s v="Medium"/>
    <x v="1"/>
    <s v="Debit Card"/>
    <d v="2024-06-21T00:00:00"/>
    <x v="1"/>
    <x v="0"/>
    <x v="0"/>
    <x v="1"/>
    <n v="10"/>
    <x v="4"/>
    <s v="Qtr-2"/>
  </r>
  <r>
    <s v="25-485-2023"/>
    <x v="29"/>
    <x v="0"/>
    <x v="1"/>
    <x v="0"/>
    <x v="3"/>
    <x v="2"/>
    <s v="Middle"/>
    <s v="Tangkilsari"/>
    <s v="Indonesia"/>
    <x v="23"/>
    <n v="90.79"/>
    <n v="12"/>
    <s v="In-Store"/>
    <n v="4"/>
    <n v="1"/>
    <n v="120"/>
    <s v="Medium"/>
    <s v="Somewhat Sensitive"/>
    <n v="0"/>
    <x v="6"/>
    <s v="Medium"/>
    <x v="0"/>
    <s v="Other"/>
    <d v="2024-09-16T00:00:00"/>
    <x v="1"/>
    <x v="0"/>
    <x v="3"/>
    <x v="0"/>
    <n v="6"/>
    <x v="10"/>
    <s v="Qtr-3"/>
  </r>
  <r>
    <s v="90-822-7664"/>
    <x v="9"/>
    <x v="2"/>
    <x v="0"/>
    <x v="0"/>
    <x v="0"/>
    <x v="2"/>
    <s v="Middle"/>
    <s v="San Carlos"/>
    <s v="Philippines"/>
    <x v="9"/>
    <n v="229.56"/>
    <n v="9"/>
    <s v="Online"/>
    <n v="1"/>
    <n v="2"/>
    <n v="60"/>
    <s v="None"/>
    <s v="Somewhat Sensitive"/>
    <n v="0"/>
    <x v="5"/>
    <s v="Low"/>
    <x v="0"/>
    <s v="PayPal"/>
    <d v="2024-01-14T00:00:00"/>
    <x v="0"/>
    <x v="1"/>
    <x v="0"/>
    <x v="0"/>
    <n v="11"/>
    <x v="3"/>
    <s v="Qtr-1"/>
  </r>
  <r>
    <s v="22-039-6819"/>
    <x v="31"/>
    <x v="0"/>
    <x v="0"/>
    <x v="0"/>
    <x v="3"/>
    <x v="1"/>
    <s v="Middle"/>
    <s v="Queluz"/>
    <s v="Portugal"/>
    <x v="6"/>
    <n v="160.47"/>
    <n v="7"/>
    <s v="Mixed"/>
    <n v="1"/>
    <n v="5"/>
    <n v="0"/>
    <s v="None"/>
    <s v="Not Sensitive"/>
    <n v="0"/>
    <x v="4"/>
    <s v="None"/>
    <x v="1"/>
    <s v="Debit Card"/>
    <d v="2024-03-17T00:00:00"/>
    <x v="0"/>
    <x v="0"/>
    <x v="1"/>
    <x v="0"/>
    <n v="6"/>
    <x v="0"/>
    <s v="Qtr-1"/>
  </r>
  <r>
    <s v="50-395-1941"/>
    <x v="12"/>
    <x v="2"/>
    <x v="7"/>
    <x v="1"/>
    <x v="0"/>
    <x v="1"/>
    <s v="High"/>
    <s v="Särkisalo"/>
    <s v="Finland"/>
    <x v="14"/>
    <n v="104.74"/>
    <n v="6"/>
    <s v="Online"/>
    <n v="2"/>
    <n v="4"/>
    <n v="120"/>
    <s v="None"/>
    <s v="Very Sensitive"/>
    <n v="0"/>
    <x v="7"/>
    <s v="Low"/>
    <x v="1"/>
    <s v="PayPal"/>
    <d v="2024-09-22T00:00:00"/>
    <x v="1"/>
    <x v="0"/>
    <x v="2"/>
    <x v="0"/>
    <n v="1"/>
    <x v="10"/>
    <s v="Qtr-3"/>
  </r>
  <r>
    <s v="99-771-9310"/>
    <x v="14"/>
    <x v="2"/>
    <x v="0"/>
    <x v="1"/>
    <x v="2"/>
    <x v="2"/>
    <s v="Middle"/>
    <s v="Vitoria-Gasteiz"/>
    <s v="Spain"/>
    <x v="1"/>
    <n v="399.95"/>
    <n v="10"/>
    <s v="In-Store"/>
    <n v="2"/>
    <n v="1"/>
    <n v="0"/>
    <s v="Low"/>
    <s v="Not Sensitive"/>
    <n v="0.1"/>
    <x v="6"/>
    <s v="High"/>
    <x v="1"/>
    <s v="Cash"/>
    <d v="2024-03-07T00:00:00"/>
    <x v="0"/>
    <x v="0"/>
    <x v="0"/>
    <x v="2"/>
    <n v="10"/>
    <x v="0"/>
    <s v="Qtr-1"/>
  </r>
  <r>
    <s v="18-518-0140"/>
    <x v="26"/>
    <x v="1"/>
    <x v="0"/>
    <x v="1"/>
    <x v="3"/>
    <x v="0"/>
    <s v="Middle"/>
    <s v="Coro"/>
    <s v="Venezuela"/>
    <x v="15"/>
    <n v="337.33"/>
    <n v="8"/>
    <s v="In-Store"/>
    <n v="1"/>
    <n v="4"/>
    <n v="60"/>
    <s v="None"/>
    <s v="Somewhat Sensitive"/>
    <n v="0"/>
    <x v="1"/>
    <s v="Medium"/>
    <x v="2"/>
    <s v="Debit Card"/>
    <d v="2024-11-25T00:00:00"/>
    <x v="1"/>
    <x v="0"/>
    <x v="3"/>
    <x v="2"/>
    <n v="10"/>
    <x v="11"/>
    <s v="Qtr-4"/>
  </r>
  <r>
    <s v="57-000-8646"/>
    <x v="30"/>
    <x v="1"/>
    <x v="0"/>
    <x v="1"/>
    <x v="2"/>
    <x v="2"/>
    <s v="Middle"/>
    <s v="Purwa"/>
    <s v="Indonesia"/>
    <x v="23"/>
    <n v="204.83"/>
    <n v="6"/>
    <s v="In-Store"/>
    <n v="5"/>
    <n v="1"/>
    <n v="0"/>
    <s v="High"/>
    <s v="Very Sensitive"/>
    <n v="0.16666666666666666"/>
    <x v="1"/>
    <s v="Medium"/>
    <x v="1"/>
    <s v="Debit Card"/>
    <d v="2024-04-22T00:00:00"/>
    <x v="0"/>
    <x v="0"/>
    <x v="1"/>
    <x v="1"/>
    <n v="5"/>
    <x v="1"/>
    <s v="Qtr-2"/>
  </r>
  <r>
    <s v="81-926-9297"/>
    <x v="0"/>
    <x v="0"/>
    <x v="0"/>
    <x v="0"/>
    <x v="2"/>
    <x v="2"/>
    <s v="High"/>
    <s v="Gävle"/>
    <s v="Sweden"/>
    <x v="12"/>
    <n v="193.94"/>
    <n v="11"/>
    <s v="Mixed"/>
    <n v="4"/>
    <n v="1"/>
    <n v="0"/>
    <s v="None"/>
    <s v="Not Sensitive"/>
    <n v="0"/>
    <x v="4"/>
    <s v="High"/>
    <x v="2"/>
    <s v="Other"/>
    <d v="2024-08-09T00:00:00"/>
    <x v="1"/>
    <x v="0"/>
    <x v="1"/>
    <x v="1"/>
    <n v="9"/>
    <x v="7"/>
    <s v="Qtr-3"/>
  </r>
  <r>
    <s v="53-070-2625"/>
    <x v="19"/>
    <x v="1"/>
    <x v="1"/>
    <x v="1"/>
    <x v="0"/>
    <x v="2"/>
    <s v="Middle"/>
    <s v="Embu Guaçu"/>
    <s v="Brazil"/>
    <x v="7"/>
    <n v="460.37"/>
    <n v="10"/>
    <s v="Online"/>
    <n v="5"/>
    <n v="4"/>
    <n v="120"/>
    <s v="Low"/>
    <s v="Very Sensitive"/>
    <n v="0.2"/>
    <x v="0"/>
    <s v="High"/>
    <x v="2"/>
    <s v="Credit Card"/>
    <d v="2024-07-13T00:00:00"/>
    <x v="0"/>
    <x v="1"/>
    <x v="1"/>
    <x v="2"/>
    <n v="12"/>
    <x v="5"/>
    <s v="Qtr-3"/>
  </r>
  <r>
    <s v="63-217-7638"/>
    <x v="10"/>
    <x v="2"/>
    <x v="4"/>
    <x v="0"/>
    <x v="1"/>
    <x v="0"/>
    <s v="Middle"/>
    <s v="Colima"/>
    <s v="Mexico"/>
    <x v="17"/>
    <n v="297.29000000000002"/>
    <n v="9"/>
    <s v="Online"/>
    <n v="5"/>
    <n v="4"/>
    <n v="120"/>
    <s v="None"/>
    <s v="Not Sensitive"/>
    <n v="0"/>
    <x v="5"/>
    <s v="Low"/>
    <x v="1"/>
    <s v="Cash"/>
    <d v="2024-01-01T00:00:00"/>
    <x v="0"/>
    <x v="1"/>
    <x v="0"/>
    <x v="1"/>
    <n v="3"/>
    <x v="3"/>
    <s v="Qtr-1"/>
  </r>
  <r>
    <s v="64-120-6212"/>
    <x v="16"/>
    <x v="2"/>
    <x v="1"/>
    <x v="0"/>
    <x v="1"/>
    <x v="0"/>
    <s v="Middle"/>
    <s v="Fubin"/>
    <s v="China"/>
    <x v="5"/>
    <n v="389.47"/>
    <n v="4"/>
    <s v="In-Store"/>
    <n v="5"/>
    <n v="3"/>
    <n v="120"/>
    <s v="Low"/>
    <s v="Not Sensitive"/>
    <n v="0.25"/>
    <x v="5"/>
    <s v="High"/>
    <x v="2"/>
    <s v="Credit Card"/>
    <d v="2024-02-11T00:00:00"/>
    <x v="0"/>
    <x v="1"/>
    <x v="1"/>
    <x v="1"/>
    <n v="6"/>
    <x v="8"/>
    <s v="Qtr-1"/>
  </r>
  <r>
    <s v="01-404-3425"/>
    <x v="9"/>
    <x v="2"/>
    <x v="1"/>
    <x v="1"/>
    <x v="1"/>
    <x v="2"/>
    <s v="High"/>
    <s v="Talshand"/>
    <s v="Iran"/>
    <x v="3"/>
    <n v="370.05"/>
    <n v="11"/>
    <s v="Mixed"/>
    <n v="5"/>
    <n v="3"/>
    <n v="0"/>
    <s v="Medium"/>
    <s v="Very Sensitive"/>
    <n v="9.0909090909090912E-2"/>
    <x v="3"/>
    <s v="High"/>
    <x v="1"/>
    <s v="Cash"/>
    <d v="2024-10-30T00:00:00"/>
    <x v="0"/>
    <x v="1"/>
    <x v="2"/>
    <x v="0"/>
    <n v="10"/>
    <x v="2"/>
    <s v="Qtr-4"/>
  </r>
  <r>
    <s v="68-971-6148"/>
    <x v="5"/>
    <x v="1"/>
    <x v="1"/>
    <x v="1"/>
    <x v="1"/>
    <x v="2"/>
    <s v="Middle"/>
    <s v="Palampal"/>
    <s v="Philippines"/>
    <x v="23"/>
    <n v="462.24"/>
    <n v="2"/>
    <s v="Mixed"/>
    <n v="4"/>
    <n v="5"/>
    <n v="0"/>
    <s v="Low"/>
    <s v="Not Sensitive"/>
    <n v="1"/>
    <x v="2"/>
    <s v="None"/>
    <x v="1"/>
    <s v="Other"/>
    <d v="2024-03-19T00:00:00"/>
    <x v="0"/>
    <x v="1"/>
    <x v="1"/>
    <x v="2"/>
    <n v="13"/>
    <x v="0"/>
    <s v="Qtr-1"/>
  </r>
  <r>
    <s v="22-053-4627"/>
    <x v="12"/>
    <x v="2"/>
    <x v="0"/>
    <x v="1"/>
    <x v="0"/>
    <x v="1"/>
    <s v="High"/>
    <s v="Kamárai"/>
    <s v="Greece"/>
    <x v="1"/>
    <n v="472.53"/>
    <n v="11"/>
    <s v="Online"/>
    <n v="4"/>
    <n v="1"/>
    <n v="60"/>
    <s v="Medium"/>
    <s v="Somewhat Sensitive"/>
    <n v="0.18181818181818182"/>
    <x v="0"/>
    <s v="Medium"/>
    <x v="1"/>
    <s v="Debit Card"/>
    <d v="2024-04-30T00:00:00"/>
    <x v="1"/>
    <x v="0"/>
    <x v="1"/>
    <x v="2"/>
    <n v="4"/>
    <x v="1"/>
    <s v="Qtr-2"/>
  </r>
  <r>
    <s v="09-258-0424"/>
    <x v="5"/>
    <x v="1"/>
    <x v="0"/>
    <x v="0"/>
    <x v="0"/>
    <x v="1"/>
    <s v="Middle"/>
    <s v="Ettelbruck"/>
    <s v="Luxembourg"/>
    <x v="3"/>
    <n v="407.29"/>
    <n v="3"/>
    <s v="In-Store"/>
    <n v="5"/>
    <n v="5"/>
    <n v="0"/>
    <s v="Low"/>
    <s v="Not Sensitive"/>
    <n v="0"/>
    <x v="1"/>
    <s v="Low"/>
    <x v="0"/>
    <s v="Other"/>
    <d v="2024-11-25T00:00:00"/>
    <x v="1"/>
    <x v="0"/>
    <x v="3"/>
    <x v="2"/>
    <n v="3"/>
    <x v="11"/>
    <s v="Qtr-4"/>
  </r>
  <r>
    <s v="56-782-9001"/>
    <x v="27"/>
    <x v="3"/>
    <x v="1"/>
    <x v="1"/>
    <x v="0"/>
    <x v="0"/>
    <s v="High"/>
    <s v="Cawayan"/>
    <s v="Philippines"/>
    <x v="7"/>
    <n v="135.65"/>
    <n v="8"/>
    <s v="Online"/>
    <n v="4"/>
    <n v="1"/>
    <n v="60"/>
    <s v="Low"/>
    <s v="Very Sensitive"/>
    <n v="0"/>
    <x v="5"/>
    <s v="None"/>
    <x v="2"/>
    <s v="Other"/>
    <d v="2024-02-16T00:00:00"/>
    <x v="1"/>
    <x v="0"/>
    <x v="2"/>
    <x v="1"/>
    <n v="14"/>
    <x v="8"/>
    <s v="Qtr-1"/>
  </r>
  <r>
    <s v="05-506-7216"/>
    <x v="15"/>
    <x v="2"/>
    <x v="1"/>
    <x v="1"/>
    <x v="1"/>
    <x v="0"/>
    <s v="Middle"/>
    <s v="Don Carlos"/>
    <s v="Philippines"/>
    <x v="9"/>
    <n v="352.35"/>
    <n v="4"/>
    <s v="Online"/>
    <n v="2"/>
    <n v="2"/>
    <n v="0"/>
    <s v="Low"/>
    <s v="Very Sensitive"/>
    <n v="0.25"/>
    <x v="2"/>
    <s v="Low"/>
    <x v="1"/>
    <s v="Credit Card"/>
    <d v="2024-06-20T00:00:00"/>
    <x v="1"/>
    <x v="0"/>
    <x v="3"/>
    <x v="2"/>
    <n v="14"/>
    <x v="4"/>
    <s v="Qtr-2"/>
  </r>
  <r>
    <s v="47-356-9730"/>
    <x v="8"/>
    <x v="0"/>
    <x v="0"/>
    <x v="1"/>
    <x v="1"/>
    <x v="1"/>
    <s v="High"/>
    <s v="Seleuš"/>
    <s v="Serbia"/>
    <x v="5"/>
    <n v="441.73"/>
    <n v="12"/>
    <s v="Online"/>
    <n v="1"/>
    <n v="4"/>
    <n v="120"/>
    <s v="Low"/>
    <s v="Somewhat Sensitive"/>
    <n v="0"/>
    <x v="8"/>
    <s v="Medium"/>
    <x v="1"/>
    <s v="Credit Card"/>
    <d v="2024-02-04T00:00:00"/>
    <x v="0"/>
    <x v="0"/>
    <x v="3"/>
    <x v="1"/>
    <n v="8"/>
    <x v="8"/>
    <s v="Qtr-1"/>
  </r>
  <r>
    <s v="42-898-6421"/>
    <x v="6"/>
    <x v="0"/>
    <x v="0"/>
    <x v="1"/>
    <x v="3"/>
    <x v="1"/>
    <s v="Middle"/>
    <s v="Cervantes"/>
    <s v="Spain"/>
    <x v="8"/>
    <n v="105.95"/>
    <n v="12"/>
    <s v="Mixed"/>
    <n v="1"/>
    <n v="4"/>
    <n v="120"/>
    <s v="Low"/>
    <s v="Very Sensitive"/>
    <n v="8.3333333333333329E-2"/>
    <x v="0"/>
    <s v="Medium"/>
    <x v="2"/>
    <s v="Cash"/>
    <d v="2024-08-04T00:00:00"/>
    <x v="1"/>
    <x v="0"/>
    <x v="2"/>
    <x v="1"/>
    <n v="11"/>
    <x v="7"/>
    <s v="Qtr-3"/>
  </r>
  <r>
    <s v="17-364-8685"/>
    <x v="29"/>
    <x v="0"/>
    <x v="1"/>
    <x v="1"/>
    <x v="1"/>
    <x v="2"/>
    <s v="High"/>
    <s v="Ebebiyin"/>
    <s v="Equatorial Guinea"/>
    <x v="19"/>
    <n v="351.54"/>
    <n v="11"/>
    <s v="Mixed"/>
    <n v="1"/>
    <n v="3"/>
    <n v="120"/>
    <s v="None"/>
    <s v="Somewhat Sensitive"/>
    <n v="0"/>
    <x v="8"/>
    <s v="None"/>
    <x v="0"/>
    <s v="PayPal"/>
    <d v="2024-03-21T00:00:00"/>
    <x v="0"/>
    <x v="0"/>
    <x v="3"/>
    <x v="2"/>
    <n v="12"/>
    <x v="0"/>
    <s v="Qtr-1"/>
  </r>
  <r>
    <s v="13-618-9438"/>
    <x v="13"/>
    <x v="1"/>
    <x v="1"/>
    <x v="1"/>
    <x v="3"/>
    <x v="0"/>
    <s v="High"/>
    <s v="Chuquitira"/>
    <s v="Peru"/>
    <x v="3"/>
    <n v="321.26"/>
    <n v="12"/>
    <s v="Online"/>
    <n v="4"/>
    <n v="1"/>
    <n v="0"/>
    <s v="None"/>
    <s v="Very Sensitive"/>
    <n v="0"/>
    <x v="9"/>
    <s v="None"/>
    <x v="2"/>
    <s v="Debit Card"/>
    <d v="2024-06-13T00:00:00"/>
    <x v="1"/>
    <x v="0"/>
    <x v="0"/>
    <x v="1"/>
    <n v="14"/>
    <x v="4"/>
    <s v="Qtr-2"/>
  </r>
  <r>
    <s v="32-457-2982"/>
    <x v="26"/>
    <x v="1"/>
    <x v="0"/>
    <x v="1"/>
    <x v="3"/>
    <x v="1"/>
    <s v="Middle"/>
    <s v="Proletarsk"/>
    <s v="Russia"/>
    <x v="9"/>
    <n v="421.5"/>
    <n v="11"/>
    <s v="Online"/>
    <n v="5"/>
    <n v="1"/>
    <n v="120"/>
    <s v="Low"/>
    <s v="Somewhat Sensitive"/>
    <n v="0"/>
    <x v="8"/>
    <s v="None"/>
    <x v="2"/>
    <s v="PayPal"/>
    <d v="2024-04-04T00:00:00"/>
    <x v="0"/>
    <x v="1"/>
    <x v="0"/>
    <x v="2"/>
    <n v="3"/>
    <x v="1"/>
    <s v="Qtr-2"/>
  </r>
  <r>
    <s v="43-386-2489"/>
    <x v="23"/>
    <x v="0"/>
    <x v="2"/>
    <x v="1"/>
    <x v="2"/>
    <x v="1"/>
    <s v="Middle"/>
    <s v="Naghalin"/>
    <s v="Yemen"/>
    <x v="1"/>
    <n v="253.29"/>
    <n v="6"/>
    <s v="Mixed"/>
    <n v="3"/>
    <n v="2"/>
    <n v="120"/>
    <s v="None"/>
    <s v="Somewhat Sensitive"/>
    <n v="0.16666666666666666"/>
    <x v="7"/>
    <s v="None"/>
    <x v="2"/>
    <s v="PayPal"/>
    <d v="2024-05-02T00:00:00"/>
    <x v="0"/>
    <x v="0"/>
    <x v="3"/>
    <x v="1"/>
    <n v="8"/>
    <x v="9"/>
    <s v="Qtr-2"/>
  </r>
  <r>
    <s v="67-438-2378"/>
    <x v="3"/>
    <x v="0"/>
    <x v="0"/>
    <x v="0"/>
    <x v="3"/>
    <x v="1"/>
    <s v="High"/>
    <s v="Honolulu"/>
    <s v="United States"/>
    <x v="23"/>
    <n v="217.62"/>
    <n v="3"/>
    <s v="Online"/>
    <n v="5"/>
    <n v="2"/>
    <n v="60"/>
    <s v="High"/>
    <s v="Very Sensitive"/>
    <n v="0.66666666666666663"/>
    <x v="4"/>
    <s v="Low"/>
    <x v="1"/>
    <s v="PayPal"/>
    <d v="2024-02-14T00:00:00"/>
    <x v="1"/>
    <x v="1"/>
    <x v="2"/>
    <x v="0"/>
    <n v="5"/>
    <x v="8"/>
    <s v="Qtr-1"/>
  </r>
  <r>
    <s v="65-431-1264"/>
    <x v="6"/>
    <x v="0"/>
    <x v="1"/>
    <x v="0"/>
    <x v="1"/>
    <x v="0"/>
    <s v="High"/>
    <s v="Dhalie"/>
    <s v="Yemen"/>
    <x v="5"/>
    <n v="226.04"/>
    <n v="11"/>
    <s v="Online"/>
    <n v="4"/>
    <n v="1"/>
    <n v="60"/>
    <s v="None"/>
    <s v="Very Sensitive"/>
    <n v="0"/>
    <x v="5"/>
    <s v="Medium"/>
    <x v="2"/>
    <s v="PayPal"/>
    <d v="2024-05-14T00:00:00"/>
    <x v="0"/>
    <x v="0"/>
    <x v="1"/>
    <x v="2"/>
    <n v="12"/>
    <x v="9"/>
    <s v="Qtr-2"/>
  </r>
  <r>
    <s v="73-367-8478"/>
    <x v="30"/>
    <x v="1"/>
    <x v="3"/>
    <x v="1"/>
    <x v="1"/>
    <x v="0"/>
    <s v="High"/>
    <s v="Giesteira"/>
    <s v="Portugal"/>
    <x v="12"/>
    <n v="52.79"/>
    <n v="4"/>
    <s v="Online"/>
    <n v="2"/>
    <n v="2"/>
    <n v="0"/>
    <s v="Low"/>
    <s v="Not Sensitive"/>
    <n v="0.25"/>
    <x v="0"/>
    <s v="None"/>
    <x v="0"/>
    <s v="Debit Card"/>
    <d v="2024-02-06T00:00:00"/>
    <x v="0"/>
    <x v="1"/>
    <x v="2"/>
    <x v="2"/>
    <n v="4"/>
    <x v="8"/>
    <s v="Qtr-1"/>
  </r>
  <r>
    <s v="84-162-8799"/>
    <x v="20"/>
    <x v="1"/>
    <x v="1"/>
    <x v="0"/>
    <x v="2"/>
    <x v="1"/>
    <s v="High"/>
    <s v="Khilok"/>
    <s v="Russia"/>
    <x v="23"/>
    <n v="385.08"/>
    <n v="7"/>
    <s v="In-Store"/>
    <n v="2"/>
    <n v="4"/>
    <n v="60"/>
    <s v="High"/>
    <s v="Somewhat Sensitive"/>
    <n v="0.14285714285714285"/>
    <x v="2"/>
    <s v="Low"/>
    <x v="0"/>
    <s v="Debit Card"/>
    <d v="2024-11-12T00:00:00"/>
    <x v="1"/>
    <x v="1"/>
    <x v="2"/>
    <x v="0"/>
    <n v="1"/>
    <x v="11"/>
    <s v="Qtr-4"/>
  </r>
  <r>
    <s v="51-546-9992"/>
    <x v="4"/>
    <x v="2"/>
    <x v="1"/>
    <x v="1"/>
    <x v="2"/>
    <x v="2"/>
    <s v="Middle"/>
    <s v="Cimara"/>
    <s v="Indonesia"/>
    <x v="11"/>
    <n v="181.1"/>
    <n v="2"/>
    <s v="Online"/>
    <n v="2"/>
    <n v="5"/>
    <n v="120"/>
    <s v="Low"/>
    <s v="Not Sensitive"/>
    <n v="1"/>
    <x v="0"/>
    <s v="Low"/>
    <x v="0"/>
    <s v="Credit Card"/>
    <d v="2024-12-26T00:00:00"/>
    <x v="1"/>
    <x v="0"/>
    <x v="2"/>
    <x v="0"/>
    <n v="5"/>
    <x v="6"/>
    <s v="Qtr-4"/>
  </r>
  <r>
    <s v="89-189-3295"/>
    <x v="25"/>
    <x v="0"/>
    <x v="0"/>
    <x v="0"/>
    <x v="1"/>
    <x v="2"/>
    <s v="Middle"/>
    <s v="Vereshchagino"/>
    <s v="Russia"/>
    <x v="2"/>
    <n v="246.41"/>
    <n v="7"/>
    <s v="In-Store"/>
    <n v="2"/>
    <n v="4"/>
    <n v="0"/>
    <s v="None"/>
    <s v="Somewhat Sensitive"/>
    <n v="0.2857142857142857"/>
    <x v="8"/>
    <s v="Low"/>
    <x v="1"/>
    <s v="Cash"/>
    <d v="2024-10-01T00:00:00"/>
    <x v="0"/>
    <x v="0"/>
    <x v="0"/>
    <x v="1"/>
    <n v="11"/>
    <x v="2"/>
    <s v="Qtr-4"/>
  </r>
  <r>
    <s v="45-776-7217"/>
    <x v="14"/>
    <x v="2"/>
    <x v="0"/>
    <x v="0"/>
    <x v="3"/>
    <x v="0"/>
    <s v="High"/>
    <s v="Binagadi"/>
    <s v="Azerbaijan"/>
    <x v="15"/>
    <n v="140.87"/>
    <n v="8"/>
    <s v="In-Store"/>
    <n v="3"/>
    <n v="3"/>
    <n v="120"/>
    <s v="Low"/>
    <s v="Not Sensitive"/>
    <n v="0.25"/>
    <x v="0"/>
    <s v="Medium"/>
    <x v="0"/>
    <s v="Other"/>
    <d v="2024-03-03T00:00:00"/>
    <x v="0"/>
    <x v="0"/>
    <x v="2"/>
    <x v="0"/>
    <n v="9"/>
    <x v="0"/>
    <s v="Qtr-1"/>
  </r>
  <r>
    <s v="71-354-5174"/>
    <x v="10"/>
    <x v="2"/>
    <x v="0"/>
    <x v="1"/>
    <x v="1"/>
    <x v="2"/>
    <s v="High"/>
    <s v="Tsuen Wan"/>
    <s v="Hong Kong"/>
    <x v="14"/>
    <n v="151.25"/>
    <n v="2"/>
    <s v="In-Store"/>
    <n v="2"/>
    <n v="5"/>
    <n v="0"/>
    <s v="Medium"/>
    <s v="Somewhat Sensitive"/>
    <n v="0.5"/>
    <x v="8"/>
    <s v="Medium"/>
    <x v="0"/>
    <s v="Debit Card"/>
    <d v="2024-04-20T00:00:00"/>
    <x v="0"/>
    <x v="0"/>
    <x v="3"/>
    <x v="0"/>
    <n v="10"/>
    <x v="1"/>
    <s v="Qtr-2"/>
  </r>
  <r>
    <s v="05-975-6985"/>
    <x v="23"/>
    <x v="0"/>
    <x v="1"/>
    <x v="1"/>
    <x v="3"/>
    <x v="2"/>
    <s v="Middle"/>
    <s v="Banjar Batanpoh"/>
    <s v="Indonesia"/>
    <x v="11"/>
    <n v="171.52"/>
    <n v="3"/>
    <s v="Mixed"/>
    <n v="5"/>
    <n v="5"/>
    <n v="120"/>
    <s v="Medium"/>
    <s v="Very Sensitive"/>
    <n v="0.33333333333333331"/>
    <x v="5"/>
    <s v="Medium"/>
    <x v="1"/>
    <s v="Cash"/>
    <d v="2024-08-21T00:00:00"/>
    <x v="0"/>
    <x v="1"/>
    <x v="3"/>
    <x v="1"/>
    <n v="12"/>
    <x v="7"/>
    <s v="Qtr-3"/>
  </r>
  <r>
    <s v="42-859-2475"/>
    <x v="13"/>
    <x v="1"/>
    <x v="1"/>
    <x v="0"/>
    <x v="2"/>
    <x v="2"/>
    <s v="High"/>
    <s v="Yenakiyeve"/>
    <s v="Ukraine"/>
    <x v="6"/>
    <n v="399.56"/>
    <n v="10"/>
    <s v="Online"/>
    <n v="4"/>
    <n v="2"/>
    <n v="60"/>
    <s v="Low"/>
    <s v="Not Sensitive"/>
    <n v="0"/>
    <x v="7"/>
    <s v="Medium"/>
    <x v="2"/>
    <s v="Cash"/>
    <d v="2024-10-21T00:00:00"/>
    <x v="0"/>
    <x v="1"/>
    <x v="0"/>
    <x v="0"/>
    <n v="1"/>
    <x v="2"/>
    <s v="Qtr-4"/>
  </r>
  <r>
    <s v="34-094-1923"/>
    <x v="13"/>
    <x v="1"/>
    <x v="0"/>
    <x v="0"/>
    <x v="2"/>
    <x v="2"/>
    <s v="Middle"/>
    <s v="San Ramon"/>
    <s v="Philippines"/>
    <x v="6"/>
    <n v="173.46"/>
    <n v="4"/>
    <s v="Mixed"/>
    <n v="5"/>
    <n v="3"/>
    <n v="60"/>
    <s v="None"/>
    <s v="Not Sensitive"/>
    <n v="0"/>
    <x v="5"/>
    <s v="Medium"/>
    <x v="1"/>
    <s v="PayPal"/>
    <d v="2024-04-11T00:00:00"/>
    <x v="1"/>
    <x v="1"/>
    <x v="1"/>
    <x v="0"/>
    <n v="2"/>
    <x v="1"/>
    <s v="Qtr-2"/>
  </r>
  <r>
    <s v="57-797-8139"/>
    <x v="20"/>
    <x v="1"/>
    <x v="1"/>
    <x v="1"/>
    <x v="2"/>
    <x v="0"/>
    <s v="High"/>
    <s v="Sakété"/>
    <s v="Benin"/>
    <x v="16"/>
    <n v="332.14"/>
    <n v="10"/>
    <s v="Online"/>
    <n v="4"/>
    <n v="4"/>
    <n v="0"/>
    <s v="Low"/>
    <s v="Somewhat Sensitive"/>
    <n v="0.1"/>
    <x v="6"/>
    <s v="None"/>
    <x v="2"/>
    <s v="PayPal"/>
    <d v="2024-02-09T00:00:00"/>
    <x v="0"/>
    <x v="1"/>
    <x v="3"/>
    <x v="0"/>
    <n v="13"/>
    <x v="8"/>
    <s v="Qtr-1"/>
  </r>
  <r>
    <s v="21-048-8669"/>
    <x v="14"/>
    <x v="2"/>
    <x v="4"/>
    <x v="0"/>
    <x v="1"/>
    <x v="0"/>
    <s v="Middle"/>
    <s v="Pantenan"/>
    <s v="Indonesia"/>
    <x v="1"/>
    <n v="247.05"/>
    <n v="8"/>
    <s v="In-Store"/>
    <n v="3"/>
    <n v="2"/>
    <n v="60"/>
    <s v="Low"/>
    <s v="Somewhat Sensitive"/>
    <n v="0.125"/>
    <x v="8"/>
    <s v="High"/>
    <x v="2"/>
    <s v="Cash"/>
    <d v="2024-05-25T00:00:00"/>
    <x v="1"/>
    <x v="0"/>
    <x v="1"/>
    <x v="1"/>
    <n v="2"/>
    <x v="9"/>
    <s v="Qtr-2"/>
  </r>
  <r>
    <s v="30-038-8752"/>
    <x v="1"/>
    <x v="1"/>
    <x v="1"/>
    <x v="1"/>
    <x v="1"/>
    <x v="0"/>
    <s v="High"/>
    <s v="Antrukan"/>
    <s v="Indonesia"/>
    <x v="2"/>
    <n v="365.88"/>
    <n v="10"/>
    <s v="Mixed"/>
    <n v="4"/>
    <n v="5"/>
    <n v="60"/>
    <s v="None"/>
    <s v="Somewhat Sensitive"/>
    <n v="0.1"/>
    <x v="2"/>
    <s v="Medium"/>
    <x v="0"/>
    <s v="PayPal"/>
    <d v="2024-04-16T00:00:00"/>
    <x v="1"/>
    <x v="0"/>
    <x v="1"/>
    <x v="2"/>
    <n v="9"/>
    <x v="1"/>
    <s v="Qtr-2"/>
  </r>
  <r>
    <s v="06-237-7338"/>
    <x v="23"/>
    <x v="0"/>
    <x v="0"/>
    <x v="0"/>
    <x v="0"/>
    <x v="0"/>
    <s v="Middle"/>
    <s v="Dhahab"/>
    <s v="Yemen"/>
    <x v="16"/>
    <n v="354.92"/>
    <n v="8"/>
    <s v="Mixed"/>
    <n v="5"/>
    <n v="4"/>
    <n v="0"/>
    <s v="None"/>
    <s v="Somewhat Sensitive"/>
    <n v="0"/>
    <x v="2"/>
    <s v="None"/>
    <x v="0"/>
    <s v="Debit Card"/>
    <d v="2024-02-17T00:00:00"/>
    <x v="0"/>
    <x v="1"/>
    <x v="1"/>
    <x v="2"/>
    <n v="13"/>
    <x v="8"/>
    <s v="Qtr-1"/>
  </r>
  <r>
    <s v="71-817-5422"/>
    <x v="24"/>
    <x v="3"/>
    <x v="0"/>
    <x v="1"/>
    <x v="1"/>
    <x v="1"/>
    <s v="High"/>
    <s v="Vetluga"/>
    <s v="Russia"/>
    <x v="23"/>
    <n v="195.46"/>
    <n v="10"/>
    <s v="Mixed"/>
    <n v="5"/>
    <n v="3"/>
    <n v="120"/>
    <s v="None"/>
    <s v="Not Sensitive"/>
    <n v="0"/>
    <x v="3"/>
    <s v="Low"/>
    <x v="0"/>
    <s v="Other"/>
    <d v="2024-07-07T00:00:00"/>
    <x v="0"/>
    <x v="0"/>
    <x v="2"/>
    <x v="1"/>
    <n v="9"/>
    <x v="5"/>
    <s v="Qtr-3"/>
  </r>
  <r>
    <s v="68-512-0568"/>
    <x v="13"/>
    <x v="1"/>
    <x v="0"/>
    <x v="1"/>
    <x v="0"/>
    <x v="2"/>
    <s v="Middle"/>
    <s v="Wolfsberg"/>
    <s v="Austria"/>
    <x v="5"/>
    <n v="474.03"/>
    <n v="7"/>
    <s v="In-Store"/>
    <n v="3"/>
    <n v="1"/>
    <n v="60"/>
    <s v="Medium"/>
    <s v="Somewhat Sensitive"/>
    <n v="0"/>
    <x v="9"/>
    <s v="High"/>
    <x v="2"/>
    <s v="Other"/>
    <d v="2024-08-03T00:00:00"/>
    <x v="0"/>
    <x v="1"/>
    <x v="0"/>
    <x v="1"/>
    <n v="13"/>
    <x v="7"/>
    <s v="Qtr-3"/>
  </r>
  <r>
    <s v="18-633-9387"/>
    <x v="23"/>
    <x v="0"/>
    <x v="1"/>
    <x v="0"/>
    <x v="0"/>
    <x v="0"/>
    <s v="High"/>
    <s v="San Bautista"/>
    <s v="Uruguay"/>
    <x v="9"/>
    <n v="106.96"/>
    <n v="6"/>
    <s v="In-Store"/>
    <n v="3"/>
    <n v="1"/>
    <n v="120"/>
    <s v="Low"/>
    <s v="Not Sensitive"/>
    <n v="0"/>
    <x v="0"/>
    <s v="Medium"/>
    <x v="0"/>
    <s v="Debit Card"/>
    <d v="2024-03-09T00:00:00"/>
    <x v="0"/>
    <x v="1"/>
    <x v="2"/>
    <x v="1"/>
    <n v="3"/>
    <x v="0"/>
    <s v="Qtr-1"/>
  </r>
  <r>
    <s v="08-977-4418"/>
    <x v="3"/>
    <x v="0"/>
    <x v="0"/>
    <x v="0"/>
    <x v="0"/>
    <x v="2"/>
    <s v="High"/>
    <s v="Reuleuet"/>
    <s v="Indonesia"/>
    <x v="13"/>
    <n v="371.84"/>
    <n v="9"/>
    <s v="In-Store"/>
    <n v="5"/>
    <n v="4"/>
    <n v="0"/>
    <s v="None"/>
    <s v="Not Sensitive"/>
    <n v="0.22222222222222221"/>
    <x v="9"/>
    <s v="None"/>
    <x v="0"/>
    <s v="Other"/>
    <d v="2024-07-28T00:00:00"/>
    <x v="1"/>
    <x v="1"/>
    <x v="2"/>
    <x v="1"/>
    <n v="2"/>
    <x v="5"/>
    <s v="Qtr-3"/>
  </r>
  <r>
    <s v="97-738-8095"/>
    <x v="5"/>
    <x v="1"/>
    <x v="5"/>
    <x v="1"/>
    <x v="1"/>
    <x v="0"/>
    <s v="High"/>
    <s v="Lonpao Dajah"/>
    <s v="Indonesia"/>
    <x v="18"/>
    <n v="461.16"/>
    <n v="8"/>
    <s v="Mixed"/>
    <n v="1"/>
    <n v="4"/>
    <n v="60"/>
    <s v="High"/>
    <s v="Not Sensitive"/>
    <n v="0"/>
    <x v="4"/>
    <s v="Medium"/>
    <x v="1"/>
    <s v="Other"/>
    <d v="2024-02-29T00:00:00"/>
    <x v="0"/>
    <x v="1"/>
    <x v="3"/>
    <x v="2"/>
    <n v="14"/>
    <x v="8"/>
    <s v="Qtr-1"/>
  </r>
  <r>
    <s v="15-421-1255"/>
    <x v="2"/>
    <x v="0"/>
    <x v="0"/>
    <x v="1"/>
    <x v="1"/>
    <x v="1"/>
    <s v="Middle"/>
    <s v="Nanqiao"/>
    <s v="China"/>
    <x v="5"/>
    <n v="497.75"/>
    <n v="11"/>
    <s v="In-Store"/>
    <n v="4"/>
    <n v="1"/>
    <n v="120"/>
    <s v="None"/>
    <s v="Very Sensitive"/>
    <n v="0.18181818181818182"/>
    <x v="2"/>
    <s v="Medium"/>
    <x v="1"/>
    <s v="Cash"/>
    <d v="2024-07-03T00:00:00"/>
    <x v="0"/>
    <x v="0"/>
    <x v="1"/>
    <x v="2"/>
    <n v="13"/>
    <x v="5"/>
    <s v="Qtr-3"/>
  </r>
  <r>
    <s v="92-142-4328"/>
    <x v="5"/>
    <x v="1"/>
    <x v="0"/>
    <x v="0"/>
    <x v="0"/>
    <x v="2"/>
    <s v="Middle"/>
    <s v="San Carlos"/>
    <s v="Venezuela"/>
    <x v="10"/>
    <n v="492.83"/>
    <n v="5"/>
    <s v="Online"/>
    <n v="2"/>
    <n v="1"/>
    <n v="0"/>
    <s v="High"/>
    <s v="Very Sensitive"/>
    <n v="0"/>
    <x v="7"/>
    <s v="High"/>
    <x v="0"/>
    <s v="Debit Card"/>
    <d v="2024-03-02T00:00:00"/>
    <x v="0"/>
    <x v="0"/>
    <x v="0"/>
    <x v="0"/>
    <n v="2"/>
    <x v="0"/>
    <s v="Qtr-1"/>
  </r>
  <r>
    <s v="06-357-6548"/>
    <x v="7"/>
    <x v="2"/>
    <x v="0"/>
    <x v="0"/>
    <x v="3"/>
    <x v="1"/>
    <s v="Middle"/>
    <s v="Ishikawa"/>
    <s v="Japan"/>
    <x v="19"/>
    <n v="295.54000000000002"/>
    <n v="8"/>
    <s v="Online"/>
    <n v="3"/>
    <n v="3"/>
    <n v="60"/>
    <s v="None"/>
    <s v="Very Sensitive"/>
    <n v="0.25"/>
    <x v="7"/>
    <s v="Low"/>
    <x v="0"/>
    <s v="Cash"/>
    <d v="2024-07-27T00:00:00"/>
    <x v="1"/>
    <x v="0"/>
    <x v="3"/>
    <x v="2"/>
    <n v="14"/>
    <x v="5"/>
    <s v="Qtr-3"/>
  </r>
  <r>
    <s v="59-261-4453"/>
    <x v="13"/>
    <x v="1"/>
    <x v="1"/>
    <x v="1"/>
    <x v="2"/>
    <x v="1"/>
    <s v="High"/>
    <s v="Oguma"/>
    <s v="Nigeria"/>
    <x v="4"/>
    <n v="494.81"/>
    <n v="9"/>
    <s v="Mixed"/>
    <n v="2"/>
    <n v="4"/>
    <n v="60"/>
    <s v="Medium"/>
    <s v="Very Sensitive"/>
    <n v="0.1111111111111111"/>
    <x v="0"/>
    <s v="Medium"/>
    <x v="0"/>
    <s v="PayPal"/>
    <d v="2024-05-26T00:00:00"/>
    <x v="0"/>
    <x v="1"/>
    <x v="0"/>
    <x v="1"/>
    <n v="6"/>
    <x v="9"/>
    <s v="Qtr-2"/>
  </r>
  <r>
    <s v="35-644-3184"/>
    <x v="6"/>
    <x v="0"/>
    <x v="0"/>
    <x v="1"/>
    <x v="1"/>
    <x v="2"/>
    <s v="Middle"/>
    <s v="T?šany"/>
    <s v="Czechia"/>
    <x v="7"/>
    <n v="160.25"/>
    <n v="7"/>
    <s v="Online"/>
    <n v="2"/>
    <n v="3"/>
    <n v="120"/>
    <s v="None"/>
    <s v="Very Sensitive"/>
    <n v="0.2857142857142857"/>
    <x v="1"/>
    <s v="High"/>
    <x v="2"/>
    <s v="PayPal"/>
    <d v="2024-03-04T00:00:00"/>
    <x v="0"/>
    <x v="1"/>
    <x v="0"/>
    <x v="0"/>
    <n v="12"/>
    <x v="0"/>
    <s v="Qtr-1"/>
  </r>
  <r>
    <s v="30-528-9105"/>
    <x v="21"/>
    <x v="1"/>
    <x v="0"/>
    <x v="0"/>
    <x v="0"/>
    <x v="2"/>
    <s v="High"/>
    <s v="Aksha"/>
    <s v="Russia"/>
    <x v="0"/>
    <n v="198.36"/>
    <n v="4"/>
    <s v="Online"/>
    <n v="1"/>
    <n v="1"/>
    <n v="120"/>
    <s v="None"/>
    <s v="Somewhat Sensitive"/>
    <n v="0.25"/>
    <x v="5"/>
    <s v="None"/>
    <x v="2"/>
    <s v="Cash"/>
    <d v="2024-12-13T00:00:00"/>
    <x v="1"/>
    <x v="1"/>
    <x v="1"/>
    <x v="1"/>
    <n v="4"/>
    <x v="6"/>
    <s v="Qtr-4"/>
  </r>
  <r>
    <s v="14-709-8547"/>
    <x v="32"/>
    <x v="1"/>
    <x v="0"/>
    <x v="0"/>
    <x v="3"/>
    <x v="0"/>
    <s v="High"/>
    <s v="Lahan Sai"/>
    <s v="Thailand"/>
    <x v="4"/>
    <n v="82.39"/>
    <n v="12"/>
    <s v="In-Store"/>
    <n v="5"/>
    <n v="1"/>
    <n v="60"/>
    <s v="None"/>
    <s v="Somewhat Sensitive"/>
    <n v="0"/>
    <x v="8"/>
    <s v="None"/>
    <x v="1"/>
    <s v="Other"/>
    <d v="2024-02-24T00:00:00"/>
    <x v="1"/>
    <x v="0"/>
    <x v="3"/>
    <x v="2"/>
    <n v="1"/>
    <x v="8"/>
    <s v="Qtr-1"/>
  </r>
  <r>
    <s v="80-508-9866"/>
    <x v="19"/>
    <x v="1"/>
    <x v="0"/>
    <x v="0"/>
    <x v="0"/>
    <x v="2"/>
    <s v="High"/>
    <s v="Estância"/>
    <s v="Brazil"/>
    <x v="11"/>
    <n v="290.56"/>
    <n v="3"/>
    <s v="In-Store"/>
    <n v="5"/>
    <n v="1"/>
    <n v="120"/>
    <s v="None"/>
    <s v="Somewhat Sensitive"/>
    <n v="0.33333333333333331"/>
    <x v="2"/>
    <s v="None"/>
    <x v="2"/>
    <s v="PayPal"/>
    <d v="2024-03-12T00:00:00"/>
    <x v="0"/>
    <x v="0"/>
    <x v="1"/>
    <x v="0"/>
    <n v="4"/>
    <x v="0"/>
    <s v="Qtr-1"/>
  </r>
  <r>
    <s v="27-100-0661"/>
    <x v="3"/>
    <x v="0"/>
    <x v="1"/>
    <x v="1"/>
    <x v="3"/>
    <x v="2"/>
    <s v="High"/>
    <s v="Las Lomas"/>
    <s v="Argentina"/>
    <x v="9"/>
    <n v="206.79"/>
    <n v="5"/>
    <s v="In-Store"/>
    <n v="1"/>
    <n v="3"/>
    <n v="120"/>
    <s v="High"/>
    <s v="Very Sensitive"/>
    <n v="0.2"/>
    <x v="6"/>
    <s v="Low"/>
    <x v="0"/>
    <s v="Credit Card"/>
    <d v="2024-08-21T00:00:00"/>
    <x v="1"/>
    <x v="0"/>
    <x v="3"/>
    <x v="1"/>
    <n v="4"/>
    <x v="7"/>
    <s v="Qtr-3"/>
  </r>
  <r>
    <s v="68-488-7343"/>
    <x v="24"/>
    <x v="3"/>
    <x v="0"/>
    <x v="0"/>
    <x v="0"/>
    <x v="1"/>
    <s v="High"/>
    <s v="Xiamayu"/>
    <s v="China"/>
    <x v="15"/>
    <n v="401.43"/>
    <n v="8"/>
    <s v="Mixed"/>
    <n v="4"/>
    <n v="2"/>
    <n v="0"/>
    <s v="None"/>
    <s v="Not Sensitive"/>
    <n v="0"/>
    <x v="9"/>
    <s v="High"/>
    <x v="0"/>
    <s v="Other"/>
    <d v="2024-05-23T00:00:00"/>
    <x v="0"/>
    <x v="1"/>
    <x v="0"/>
    <x v="0"/>
    <n v="5"/>
    <x v="9"/>
    <s v="Qtr-2"/>
  </r>
  <r>
    <s v="63-304-1852"/>
    <x v="6"/>
    <x v="0"/>
    <x v="1"/>
    <x v="1"/>
    <x v="2"/>
    <x v="2"/>
    <s v="High"/>
    <s v="Iñapari"/>
    <s v="Peru"/>
    <x v="6"/>
    <n v="188.17"/>
    <n v="9"/>
    <s v="Online"/>
    <n v="5"/>
    <n v="5"/>
    <n v="0"/>
    <s v="Medium"/>
    <s v="Not Sensitive"/>
    <n v="0.1111111111111111"/>
    <x v="1"/>
    <s v="Low"/>
    <x v="2"/>
    <s v="Debit Card"/>
    <d v="2024-05-26T00:00:00"/>
    <x v="0"/>
    <x v="0"/>
    <x v="0"/>
    <x v="1"/>
    <n v="9"/>
    <x v="9"/>
    <s v="Qtr-2"/>
  </r>
  <r>
    <s v="53-843-5619"/>
    <x v="9"/>
    <x v="2"/>
    <x v="0"/>
    <x v="1"/>
    <x v="1"/>
    <x v="1"/>
    <s v="High"/>
    <s v="Orsay"/>
    <s v="France"/>
    <x v="0"/>
    <n v="83.21"/>
    <n v="10"/>
    <s v="Online"/>
    <n v="4"/>
    <n v="3"/>
    <n v="120"/>
    <s v="Low"/>
    <s v="Somewhat Sensitive"/>
    <n v="0"/>
    <x v="7"/>
    <s v="High"/>
    <x v="2"/>
    <s v="Other"/>
    <d v="2024-03-20T00:00:00"/>
    <x v="1"/>
    <x v="0"/>
    <x v="2"/>
    <x v="1"/>
    <n v="7"/>
    <x v="0"/>
    <s v="Qtr-1"/>
  </r>
  <r>
    <s v="44-786-7696"/>
    <x v="30"/>
    <x v="1"/>
    <x v="2"/>
    <x v="0"/>
    <x v="3"/>
    <x v="2"/>
    <s v="Middle"/>
    <s v="Zhongying"/>
    <s v="China"/>
    <x v="0"/>
    <n v="54.74"/>
    <n v="4"/>
    <s v="In-Store"/>
    <n v="1"/>
    <n v="2"/>
    <n v="0"/>
    <s v="None"/>
    <s v="Somewhat Sensitive"/>
    <n v="0"/>
    <x v="7"/>
    <s v="Low"/>
    <x v="1"/>
    <s v="PayPal"/>
    <d v="2024-10-03T00:00:00"/>
    <x v="0"/>
    <x v="1"/>
    <x v="2"/>
    <x v="0"/>
    <n v="14"/>
    <x v="2"/>
    <s v="Qtr-4"/>
  </r>
  <r>
    <s v="45-631-4619"/>
    <x v="1"/>
    <x v="1"/>
    <x v="0"/>
    <x v="1"/>
    <x v="3"/>
    <x v="2"/>
    <s v="High"/>
    <s v="Bay?n"/>
    <s v="China"/>
    <x v="2"/>
    <n v="371.12"/>
    <n v="8"/>
    <s v="Online"/>
    <n v="5"/>
    <n v="1"/>
    <n v="120"/>
    <s v="High"/>
    <s v="Somewhat Sensitive"/>
    <n v="0.125"/>
    <x v="0"/>
    <s v="Low"/>
    <x v="1"/>
    <s v="PayPal"/>
    <d v="2024-08-23T00:00:00"/>
    <x v="1"/>
    <x v="1"/>
    <x v="1"/>
    <x v="0"/>
    <n v="8"/>
    <x v="7"/>
    <s v="Qtr-3"/>
  </r>
  <r>
    <s v="11-850-1953"/>
    <x v="11"/>
    <x v="2"/>
    <x v="3"/>
    <x v="0"/>
    <x v="1"/>
    <x v="1"/>
    <s v="Middle"/>
    <s v="Beizhakou"/>
    <s v="China"/>
    <x v="12"/>
    <n v="293.64"/>
    <n v="3"/>
    <s v="In-Store"/>
    <n v="2"/>
    <n v="1"/>
    <n v="120"/>
    <s v="Low"/>
    <s v="Not Sensitive"/>
    <n v="0.66666666666666663"/>
    <x v="8"/>
    <s v="None"/>
    <x v="0"/>
    <s v="Credit Card"/>
    <d v="2024-09-17T00:00:00"/>
    <x v="0"/>
    <x v="0"/>
    <x v="2"/>
    <x v="2"/>
    <n v="5"/>
    <x v="10"/>
    <s v="Qtr-3"/>
  </r>
  <r>
    <s v="20-421-2544"/>
    <x v="2"/>
    <x v="0"/>
    <x v="1"/>
    <x v="1"/>
    <x v="0"/>
    <x v="1"/>
    <s v="High"/>
    <s v="Ky?ngs?ng"/>
    <s v="North Korea"/>
    <x v="5"/>
    <n v="185.83"/>
    <n v="11"/>
    <s v="In-Store"/>
    <n v="4"/>
    <n v="2"/>
    <n v="120"/>
    <s v="Low"/>
    <s v="Not Sensitive"/>
    <n v="0.18181818181818182"/>
    <x v="5"/>
    <s v="Medium"/>
    <x v="2"/>
    <s v="Other"/>
    <d v="2024-10-17T00:00:00"/>
    <x v="1"/>
    <x v="1"/>
    <x v="2"/>
    <x v="1"/>
    <n v="1"/>
    <x v="2"/>
    <s v="Qtr-4"/>
  </r>
  <r>
    <s v="37-100-8709"/>
    <x v="23"/>
    <x v="0"/>
    <x v="1"/>
    <x v="1"/>
    <x v="3"/>
    <x v="2"/>
    <s v="Middle"/>
    <s v="Turinsk"/>
    <s v="Russia"/>
    <x v="2"/>
    <n v="117.13"/>
    <n v="7"/>
    <s v="Mixed"/>
    <n v="1"/>
    <n v="1"/>
    <n v="120"/>
    <s v="High"/>
    <s v="Somewhat Sensitive"/>
    <n v="0.14285714285714285"/>
    <x v="3"/>
    <s v="High"/>
    <x v="1"/>
    <s v="Credit Card"/>
    <d v="2024-08-08T00:00:00"/>
    <x v="0"/>
    <x v="1"/>
    <x v="3"/>
    <x v="2"/>
    <n v="6"/>
    <x v="7"/>
    <s v="Qtr-3"/>
  </r>
  <r>
    <s v="78-361-5100"/>
    <x v="32"/>
    <x v="1"/>
    <x v="0"/>
    <x v="0"/>
    <x v="0"/>
    <x v="2"/>
    <s v="High"/>
    <s v="As Sawd?"/>
    <s v="Yemen"/>
    <x v="2"/>
    <n v="52.24"/>
    <n v="11"/>
    <s v="In-Store"/>
    <n v="3"/>
    <n v="1"/>
    <n v="0"/>
    <s v="Low"/>
    <s v="Not Sensitive"/>
    <n v="0.18181818181818182"/>
    <x v="7"/>
    <s v="High"/>
    <x v="1"/>
    <s v="Credit Card"/>
    <d v="2024-12-12T00:00:00"/>
    <x v="0"/>
    <x v="1"/>
    <x v="2"/>
    <x v="1"/>
    <n v="8"/>
    <x v="6"/>
    <s v="Qtr-4"/>
  </r>
  <r>
    <s v="67-676-5945"/>
    <x v="31"/>
    <x v="0"/>
    <x v="0"/>
    <x v="1"/>
    <x v="0"/>
    <x v="0"/>
    <s v="High"/>
    <s v="Legaspi"/>
    <s v="Philippines"/>
    <x v="15"/>
    <n v="446.69"/>
    <n v="7"/>
    <s v="In-Store"/>
    <n v="4"/>
    <n v="5"/>
    <n v="120"/>
    <s v="Medium"/>
    <s v="Somewhat Sensitive"/>
    <n v="0.14285714285714285"/>
    <x v="1"/>
    <s v="High"/>
    <x v="1"/>
    <s v="Cash"/>
    <d v="2024-06-12T00:00:00"/>
    <x v="1"/>
    <x v="1"/>
    <x v="3"/>
    <x v="0"/>
    <n v="13"/>
    <x v="4"/>
    <s v="Qtr-2"/>
  </r>
  <r>
    <s v="67-639-5838"/>
    <x v="25"/>
    <x v="0"/>
    <x v="1"/>
    <x v="0"/>
    <x v="0"/>
    <x v="1"/>
    <s v="Middle"/>
    <s v="Shimorskoye"/>
    <s v="Russia"/>
    <x v="12"/>
    <n v="216.84"/>
    <n v="5"/>
    <s v="In-Store"/>
    <n v="4"/>
    <n v="3"/>
    <n v="60"/>
    <s v="Low"/>
    <s v="Somewhat Sensitive"/>
    <n v="0.2"/>
    <x v="2"/>
    <s v="Low"/>
    <x v="0"/>
    <s v="PayPal"/>
    <d v="2024-03-28T00:00:00"/>
    <x v="1"/>
    <x v="0"/>
    <x v="3"/>
    <x v="2"/>
    <n v="5"/>
    <x v="0"/>
    <s v="Qtr-1"/>
  </r>
  <r>
    <s v="51-415-1931"/>
    <x v="21"/>
    <x v="1"/>
    <x v="0"/>
    <x v="1"/>
    <x v="3"/>
    <x v="1"/>
    <s v="High"/>
    <s v="Ko?cielec"/>
    <s v="Poland"/>
    <x v="13"/>
    <n v="75.27"/>
    <n v="7"/>
    <s v="Mixed"/>
    <n v="3"/>
    <n v="4"/>
    <n v="60"/>
    <s v="None"/>
    <s v="Not Sensitive"/>
    <n v="0.2857142857142857"/>
    <x v="4"/>
    <s v="None"/>
    <x v="2"/>
    <s v="PayPal"/>
    <d v="2024-12-27T00:00:00"/>
    <x v="0"/>
    <x v="1"/>
    <x v="2"/>
    <x v="2"/>
    <n v="1"/>
    <x v="6"/>
    <s v="Qtr-4"/>
  </r>
  <r>
    <s v="96-764-3843"/>
    <x v="28"/>
    <x v="0"/>
    <x v="1"/>
    <x v="0"/>
    <x v="2"/>
    <x v="2"/>
    <s v="High"/>
    <s v="Yongfu"/>
    <s v="China"/>
    <x v="2"/>
    <n v="308.87"/>
    <n v="2"/>
    <s v="In-Store"/>
    <n v="3"/>
    <n v="4"/>
    <n v="60"/>
    <s v="None"/>
    <s v="Not Sensitive"/>
    <n v="1"/>
    <x v="6"/>
    <s v="None"/>
    <x v="0"/>
    <s v="Cash"/>
    <d v="2024-02-24T00:00:00"/>
    <x v="0"/>
    <x v="1"/>
    <x v="2"/>
    <x v="2"/>
    <n v="11"/>
    <x v="8"/>
    <s v="Qtr-1"/>
  </r>
  <r>
    <s v="16-730-2056"/>
    <x v="1"/>
    <x v="1"/>
    <x v="1"/>
    <x v="1"/>
    <x v="3"/>
    <x v="2"/>
    <s v="Middle"/>
    <s v="Vinkkilä"/>
    <s v="Finland"/>
    <x v="22"/>
    <n v="169.77"/>
    <n v="5"/>
    <s v="In-Store"/>
    <n v="1"/>
    <n v="4"/>
    <n v="0"/>
    <s v="Medium"/>
    <s v="Very Sensitive"/>
    <n v="0.4"/>
    <x v="5"/>
    <s v="None"/>
    <x v="2"/>
    <s v="Other"/>
    <d v="2024-06-15T00:00:00"/>
    <x v="0"/>
    <x v="1"/>
    <x v="1"/>
    <x v="1"/>
    <n v="7"/>
    <x v="4"/>
    <s v="Qtr-2"/>
  </r>
  <r>
    <s v="22-157-2494"/>
    <x v="24"/>
    <x v="3"/>
    <x v="1"/>
    <x v="1"/>
    <x v="3"/>
    <x v="1"/>
    <s v="High"/>
    <s v="Revolucion Verde"/>
    <s v="Mexico"/>
    <x v="16"/>
    <n v="289.08"/>
    <n v="12"/>
    <s v="Online"/>
    <n v="2"/>
    <n v="1"/>
    <n v="0"/>
    <s v="None"/>
    <s v="Very Sensitive"/>
    <n v="8.3333333333333329E-2"/>
    <x v="3"/>
    <s v="Medium"/>
    <x v="2"/>
    <s v="Other"/>
    <d v="2024-08-14T00:00:00"/>
    <x v="0"/>
    <x v="1"/>
    <x v="1"/>
    <x v="1"/>
    <n v="7"/>
    <x v="7"/>
    <s v="Qtr-3"/>
  </r>
  <r>
    <s v="29-341-6463"/>
    <x v="9"/>
    <x v="2"/>
    <x v="0"/>
    <x v="0"/>
    <x v="1"/>
    <x v="1"/>
    <s v="High"/>
    <s v="Newton"/>
    <s v="United States"/>
    <x v="22"/>
    <n v="74.09"/>
    <n v="10"/>
    <s v="Mixed"/>
    <n v="1"/>
    <n v="4"/>
    <n v="120"/>
    <s v="None"/>
    <s v="Somewhat Sensitive"/>
    <n v="0.2"/>
    <x v="5"/>
    <s v="Low"/>
    <x v="0"/>
    <s v="Other"/>
    <d v="2024-05-15T00:00:00"/>
    <x v="0"/>
    <x v="1"/>
    <x v="2"/>
    <x v="1"/>
    <n v="8"/>
    <x v="9"/>
    <s v="Qtr-2"/>
  </r>
  <r>
    <s v="64-906-4475"/>
    <x v="20"/>
    <x v="1"/>
    <x v="1"/>
    <x v="1"/>
    <x v="0"/>
    <x v="1"/>
    <s v="Middle"/>
    <s v="Nantang"/>
    <s v="China"/>
    <x v="22"/>
    <n v="201.53"/>
    <n v="5"/>
    <s v="Online"/>
    <n v="2"/>
    <n v="3"/>
    <n v="60"/>
    <s v="None"/>
    <s v="Not Sensitive"/>
    <n v="0.2"/>
    <x v="9"/>
    <s v="High"/>
    <x v="0"/>
    <s v="Other"/>
    <d v="2024-06-01T00:00:00"/>
    <x v="1"/>
    <x v="1"/>
    <x v="1"/>
    <x v="0"/>
    <n v="11"/>
    <x v="4"/>
    <s v="Qtr-2"/>
  </r>
  <r>
    <s v="36-340-8494"/>
    <x v="9"/>
    <x v="2"/>
    <x v="1"/>
    <x v="0"/>
    <x v="3"/>
    <x v="0"/>
    <s v="High"/>
    <s v="Perugia"/>
    <s v="Italy"/>
    <x v="17"/>
    <n v="244.6"/>
    <n v="12"/>
    <s v="Online"/>
    <n v="4"/>
    <n v="4"/>
    <n v="120"/>
    <s v="Medium"/>
    <s v="Somewhat Sensitive"/>
    <n v="0"/>
    <x v="9"/>
    <s v="None"/>
    <x v="0"/>
    <s v="Other"/>
    <d v="2024-08-25T00:00:00"/>
    <x v="1"/>
    <x v="0"/>
    <x v="1"/>
    <x v="1"/>
    <n v="3"/>
    <x v="7"/>
    <s v="Qtr-3"/>
  </r>
  <r>
    <s v="77-031-4898"/>
    <x v="6"/>
    <x v="0"/>
    <x v="1"/>
    <x v="0"/>
    <x v="2"/>
    <x v="0"/>
    <s v="High"/>
    <s v="Tancheng"/>
    <s v="China"/>
    <x v="14"/>
    <n v="320.5"/>
    <n v="10"/>
    <s v="In-Store"/>
    <n v="3"/>
    <n v="4"/>
    <n v="120"/>
    <s v="Low"/>
    <s v="Somewhat Sensitive"/>
    <n v="0"/>
    <x v="5"/>
    <s v="Low"/>
    <x v="0"/>
    <s v="Cash"/>
    <d v="2024-03-01T00:00:00"/>
    <x v="0"/>
    <x v="0"/>
    <x v="0"/>
    <x v="2"/>
    <n v="9"/>
    <x v="0"/>
    <s v="Qtr-1"/>
  </r>
  <r>
    <s v="86-097-9642"/>
    <x v="23"/>
    <x v="0"/>
    <x v="1"/>
    <x v="0"/>
    <x v="2"/>
    <x v="2"/>
    <s v="Middle"/>
    <s v="Leon Postigo"/>
    <s v="Philippines"/>
    <x v="23"/>
    <n v="91.63"/>
    <n v="3"/>
    <s v="In-Store"/>
    <n v="5"/>
    <n v="2"/>
    <n v="120"/>
    <s v="None"/>
    <s v="Not Sensitive"/>
    <n v="0"/>
    <x v="3"/>
    <s v="None"/>
    <x v="0"/>
    <s v="Debit Card"/>
    <d v="2024-06-30T00:00:00"/>
    <x v="0"/>
    <x v="1"/>
    <x v="1"/>
    <x v="1"/>
    <n v="2"/>
    <x v="4"/>
    <s v="Qtr-2"/>
  </r>
  <r>
    <s v="64-090-3433"/>
    <x v="22"/>
    <x v="2"/>
    <x v="1"/>
    <x v="0"/>
    <x v="0"/>
    <x v="2"/>
    <s v="High"/>
    <s v="Bollène"/>
    <s v="France"/>
    <x v="6"/>
    <n v="251.93"/>
    <n v="8"/>
    <s v="In-Store"/>
    <n v="3"/>
    <n v="2"/>
    <n v="60"/>
    <s v="High"/>
    <s v="Very Sensitive"/>
    <n v="0.25"/>
    <x v="4"/>
    <s v="None"/>
    <x v="0"/>
    <s v="Debit Card"/>
    <d v="2024-01-02T00:00:00"/>
    <x v="1"/>
    <x v="0"/>
    <x v="0"/>
    <x v="1"/>
    <n v="7"/>
    <x v="3"/>
    <s v="Qtr-1"/>
  </r>
  <r>
    <s v="96-140-1936"/>
    <x v="12"/>
    <x v="2"/>
    <x v="1"/>
    <x v="0"/>
    <x v="0"/>
    <x v="0"/>
    <s v="Middle"/>
    <s v="Baihe"/>
    <s v="China"/>
    <x v="8"/>
    <n v="477.35"/>
    <n v="4"/>
    <s v="Online"/>
    <n v="2"/>
    <n v="5"/>
    <n v="0"/>
    <s v="High"/>
    <s v="Very Sensitive"/>
    <n v="0.25"/>
    <x v="6"/>
    <s v="Low"/>
    <x v="2"/>
    <s v="PayPal"/>
    <d v="2024-12-28T00:00:00"/>
    <x v="1"/>
    <x v="0"/>
    <x v="0"/>
    <x v="0"/>
    <n v="14"/>
    <x v="6"/>
    <s v="Qtr-4"/>
  </r>
  <r>
    <s v="38-830-6976"/>
    <x v="16"/>
    <x v="2"/>
    <x v="1"/>
    <x v="1"/>
    <x v="2"/>
    <x v="2"/>
    <s v="Middle"/>
    <s v="Puqi"/>
    <s v="China"/>
    <x v="15"/>
    <n v="86.63"/>
    <n v="10"/>
    <s v="Mixed"/>
    <n v="3"/>
    <n v="1"/>
    <n v="120"/>
    <s v="Medium"/>
    <s v="Somewhat Sensitive"/>
    <n v="0.2"/>
    <x v="6"/>
    <s v="Low"/>
    <x v="0"/>
    <s v="Cash"/>
    <d v="2024-09-02T00:00:00"/>
    <x v="0"/>
    <x v="0"/>
    <x v="1"/>
    <x v="2"/>
    <n v="3"/>
    <x v="10"/>
    <s v="Qtr-3"/>
  </r>
  <r>
    <s v="82-864-1154"/>
    <x v="17"/>
    <x v="1"/>
    <x v="2"/>
    <x v="1"/>
    <x v="3"/>
    <x v="1"/>
    <s v="High"/>
    <s v="Pedraza"/>
    <s v="Spain"/>
    <x v="10"/>
    <n v="474.42"/>
    <n v="4"/>
    <s v="In-Store"/>
    <n v="2"/>
    <n v="3"/>
    <n v="0"/>
    <s v="Medium"/>
    <s v="Not Sensitive"/>
    <n v="0.25"/>
    <x v="5"/>
    <s v="None"/>
    <x v="2"/>
    <s v="Debit Card"/>
    <d v="2024-09-21T00:00:00"/>
    <x v="0"/>
    <x v="0"/>
    <x v="0"/>
    <x v="0"/>
    <n v="5"/>
    <x v="10"/>
    <s v="Qtr-3"/>
  </r>
  <r>
    <s v="79-711-6779"/>
    <x v="10"/>
    <x v="2"/>
    <x v="0"/>
    <x v="1"/>
    <x v="2"/>
    <x v="1"/>
    <s v="High"/>
    <s v="Hoolt"/>
    <s v="Mongolia"/>
    <x v="0"/>
    <n v="429.24"/>
    <n v="7"/>
    <s v="Mixed"/>
    <n v="3"/>
    <n v="5"/>
    <n v="60"/>
    <s v="High"/>
    <s v="Not Sensitive"/>
    <n v="0"/>
    <x v="2"/>
    <s v="Low"/>
    <x v="0"/>
    <s v="Debit Card"/>
    <d v="2024-03-27T00:00:00"/>
    <x v="1"/>
    <x v="0"/>
    <x v="0"/>
    <x v="0"/>
    <n v="10"/>
    <x v="0"/>
    <s v="Qtr-1"/>
  </r>
  <r>
    <s v="22-860-9860"/>
    <x v="2"/>
    <x v="0"/>
    <x v="0"/>
    <x v="1"/>
    <x v="0"/>
    <x v="1"/>
    <s v="High"/>
    <s v="Pasinan Barat"/>
    <s v="Indonesia"/>
    <x v="3"/>
    <n v="470.38"/>
    <n v="8"/>
    <s v="Mixed"/>
    <n v="2"/>
    <n v="4"/>
    <n v="0"/>
    <s v="Medium"/>
    <s v="Not Sensitive"/>
    <n v="0.25"/>
    <x v="4"/>
    <s v="High"/>
    <x v="1"/>
    <s v="Other"/>
    <d v="2024-11-11T00:00:00"/>
    <x v="0"/>
    <x v="1"/>
    <x v="2"/>
    <x v="1"/>
    <n v="9"/>
    <x v="11"/>
    <s v="Qtr-4"/>
  </r>
  <r>
    <s v="72-590-6161"/>
    <x v="11"/>
    <x v="2"/>
    <x v="0"/>
    <x v="0"/>
    <x v="1"/>
    <x v="2"/>
    <s v="High"/>
    <s v="Saltpond"/>
    <s v="Ghana"/>
    <x v="0"/>
    <n v="495.8"/>
    <n v="4"/>
    <s v="Mixed"/>
    <n v="1"/>
    <n v="2"/>
    <n v="60"/>
    <s v="Low"/>
    <s v="Not Sensitive"/>
    <n v="0"/>
    <x v="0"/>
    <s v="None"/>
    <x v="0"/>
    <s v="PayPal"/>
    <d v="2024-09-16T00:00:00"/>
    <x v="0"/>
    <x v="1"/>
    <x v="1"/>
    <x v="1"/>
    <n v="10"/>
    <x v="10"/>
    <s v="Qtr-3"/>
  </r>
  <r>
    <s v="76-213-5806"/>
    <x v="6"/>
    <x v="0"/>
    <x v="0"/>
    <x v="1"/>
    <x v="2"/>
    <x v="0"/>
    <s v="Middle"/>
    <s v="Rende"/>
    <s v="China"/>
    <x v="13"/>
    <n v="129.63999999999999"/>
    <n v="4"/>
    <s v="In-Store"/>
    <n v="3"/>
    <n v="1"/>
    <n v="120"/>
    <s v="None"/>
    <s v="Not Sensitive"/>
    <n v="0.25"/>
    <x v="4"/>
    <s v="Low"/>
    <x v="2"/>
    <s v="Debit Card"/>
    <d v="2024-05-27T00:00:00"/>
    <x v="1"/>
    <x v="1"/>
    <x v="0"/>
    <x v="2"/>
    <n v="3"/>
    <x v="9"/>
    <s v="Qtr-2"/>
  </r>
  <r>
    <s v="66-894-5431"/>
    <x v="30"/>
    <x v="1"/>
    <x v="1"/>
    <x v="0"/>
    <x v="1"/>
    <x v="2"/>
    <s v="High"/>
    <s v="Zarasai"/>
    <s v="Lithuania"/>
    <x v="7"/>
    <n v="473.77"/>
    <n v="9"/>
    <s v="Online"/>
    <n v="3"/>
    <n v="1"/>
    <n v="120"/>
    <s v="Medium"/>
    <s v="Very Sensitive"/>
    <n v="0.22222222222222221"/>
    <x v="5"/>
    <s v="None"/>
    <x v="2"/>
    <s v="PayPal"/>
    <d v="2024-05-02T00:00:00"/>
    <x v="1"/>
    <x v="0"/>
    <x v="1"/>
    <x v="0"/>
    <n v="13"/>
    <x v="9"/>
    <s v="Qtr-2"/>
  </r>
  <r>
    <s v="20-939-3906"/>
    <x v="13"/>
    <x v="1"/>
    <x v="0"/>
    <x v="1"/>
    <x v="0"/>
    <x v="1"/>
    <s v="Middle"/>
    <s v="Nanchangshan"/>
    <s v="China"/>
    <x v="13"/>
    <n v="130.84"/>
    <n v="4"/>
    <s v="Online"/>
    <n v="5"/>
    <n v="5"/>
    <n v="120"/>
    <s v="Medium"/>
    <s v="Very Sensitive"/>
    <n v="0.5"/>
    <x v="3"/>
    <s v="Low"/>
    <x v="0"/>
    <s v="PayPal"/>
    <d v="2024-09-13T00:00:00"/>
    <x v="0"/>
    <x v="1"/>
    <x v="0"/>
    <x v="1"/>
    <n v="13"/>
    <x v="10"/>
    <s v="Qtr-3"/>
  </r>
  <r>
    <s v="86-390-9555"/>
    <x v="18"/>
    <x v="1"/>
    <x v="1"/>
    <x v="0"/>
    <x v="1"/>
    <x v="2"/>
    <s v="High"/>
    <s v="Pegões"/>
    <s v="Portugal"/>
    <x v="19"/>
    <n v="436.54"/>
    <n v="12"/>
    <s v="Online"/>
    <n v="3"/>
    <n v="3"/>
    <n v="0"/>
    <s v="Medium"/>
    <s v="Very Sensitive"/>
    <n v="8.3333333333333329E-2"/>
    <x v="8"/>
    <s v="Low"/>
    <x v="1"/>
    <s v="Debit Card"/>
    <d v="2024-05-30T00:00:00"/>
    <x v="0"/>
    <x v="0"/>
    <x v="1"/>
    <x v="0"/>
    <n v="9"/>
    <x v="9"/>
    <s v="Qtr-2"/>
  </r>
  <r>
    <s v="91-602-0761"/>
    <x v="8"/>
    <x v="0"/>
    <x v="0"/>
    <x v="0"/>
    <x v="2"/>
    <x v="0"/>
    <s v="Middle"/>
    <s v="Espírito Santo do Pinhal"/>
    <s v="Brazil"/>
    <x v="9"/>
    <n v="264.01"/>
    <n v="4"/>
    <s v="In-Store"/>
    <n v="3"/>
    <n v="4"/>
    <n v="0"/>
    <s v="High"/>
    <s v="Somewhat Sensitive"/>
    <n v="0.25"/>
    <x v="1"/>
    <s v="None"/>
    <x v="2"/>
    <s v="Other"/>
    <d v="2024-10-21T00:00:00"/>
    <x v="0"/>
    <x v="0"/>
    <x v="0"/>
    <x v="0"/>
    <n v="2"/>
    <x v="2"/>
    <s v="Qtr-4"/>
  </r>
  <r>
    <s v="62-974-7965"/>
    <x v="12"/>
    <x v="2"/>
    <x v="0"/>
    <x v="1"/>
    <x v="3"/>
    <x v="0"/>
    <s v="High"/>
    <s v="Újezd"/>
    <s v="Czechia"/>
    <x v="22"/>
    <n v="58.27"/>
    <n v="2"/>
    <s v="In-Store"/>
    <n v="5"/>
    <n v="4"/>
    <n v="60"/>
    <s v="Medium"/>
    <s v="Somewhat Sensitive"/>
    <n v="0.5"/>
    <x v="7"/>
    <s v="Medium"/>
    <x v="1"/>
    <s v="Cash"/>
    <d v="2024-10-15T00:00:00"/>
    <x v="1"/>
    <x v="1"/>
    <x v="0"/>
    <x v="0"/>
    <n v="13"/>
    <x v="2"/>
    <s v="Qtr-4"/>
  </r>
  <r>
    <s v="21-232-1397"/>
    <x v="8"/>
    <x v="0"/>
    <x v="1"/>
    <x v="0"/>
    <x v="1"/>
    <x v="2"/>
    <s v="High"/>
    <s v="Bhadrapur"/>
    <s v="Nepal"/>
    <x v="6"/>
    <n v="190.76"/>
    <n v="10"/>
    <s v="In-Store"/>
    <n v="5"/>
    <n v="5"/>
    <n v="120"/>
    <s v="None"/>
    <s v="Not Sensitive"/>
    <n v="0.1"/>
    <x v="4"/>
    <s v="High"/>
    <x v="2"/>
    <s v="Other"/>
    <d v="2024-11-07T00:00:00"/>
    <x v="1"/>
    <x v="0"/>
    <x v="3"/>
    <x v="2"/>
    <n v="11"/>
    <x v="11"/>
    <s v="Qtr-4"/>
  </r>
  <r>
    <s v="31-364-4144"/>
    <x v="13"/>
    <x v="1"/>
    <x v="0"/>
    <x v="1"/>
    <x v="2"/>
    <x v="2"/>
    <s v="High"/>
    <s v="Kostrovo"/>
    <s v="Russia"/>
    <x v="9"/>
    <n v="105.76"/>
    <n v="8"/>
    <s v="Online"/>
    <n v="4"/>
    <n v="4"/>
    <n v="120"/>
    <s v="None"/>
    <s v="Very Sensitive"/>
    <n v="0.125"/>
    <x v="8"/>
    <s v="Medium"/>
    <x v="0"/>
    <s v="Credit Card"/>
    <d v="2024-01-18T00:00:00"/>
    <x v="1"/>
    <x v="0"/>
    <x v="3"/>
    <x v="2"/>
    <n v="4"/>
    <x v="3"/>
    <s v="Qtr-1"/>
  </r>
  <r>
    <s v="99-945-7193"/>
    <x v="2"/>
    <x v="0"/>
    <x v="0"/>
    <x v="0"/>
    <x v="1"/>
    <x v="2"/>
    <s v="High"/>
    <s v="Lemery"/>
    <s v="Philippines"/>
    <x v="11"/>
    <n v="254.29"/>
    <n v="9"/>
    <s v="Mixed"/>
    <n v="5"/>
    <n v="4"/>
    <n v="0"/>
    <s v="Medium"/>
    <s v="Somewhat Sensitive"/>
    <n v="0.1111111111111111"/>
    <x v="0"/>
    <s v="Low"/>
    <x v="1"/>
    <s v="Cash"/>
    <d v="2024-04-30T00:00:00"/>
    <x v="1"/>
    <x v="0"/>
    <x v="2"/>
    <x v="2"/>
    <n v="3"/>
    <x v="1"/>
    <s v="Qtr-2"/>
  </r>
  <r>
    <s v="91-053-3261"/>
    <x v="1"/>
    <x v="1"/>
    <x v="1"/>
    <x v="0"/>
    <x v="3"/>
    <x v="0"/>
    <s v="High"/>
    <s v="Youcheng"/>
    <s v="China"/>
    <x v="6"/>
    <n v="435.52"/>
    <n v="9"/>
    <s v="Online"/>
    <n v="5"/>
    <n v="3"/>
    <n v="120"/>
    <s v="High"/>
    <s v="Not Sensitive"/>
    <n v="0.1111111111111111"/>
    <x v="6"/>
    <s v="Medium"/>
    <x v="2"/>
    <s v="Debit Card"/>
    <d v="2024-11-12T00:00:00"/>
    <x v="0"/>
    <x v="0"/>
    <x v="2"/>
    <x v="0"/>
    <n v="11"/>
    <x v="11"/>
    <s v="Qtr-4"/>
  </r>
  <r>
    <s v="50-447-5171"/>
    <x v="17"/>
    <x v="1"/>
    <x v="0"/>
    <x v="1"/>
    <x v="0"/>
    <x v="2"/>
    <s v="Middle"/>
    <s v="Napoli"/>
    <s v="Italy"/>
    <x v="2"/>
    <n v="235.49"/>
    <n v="5"/>
    <s v="In-Store"/>
    <n v="4"/>
    <n v="3"/>
    <n v="60"/>
    <s v="High"/>
    <s v="Somewhat Sensitive"/>
    <n v="0.2"/>
    <x v="9"/>
    <s v="None"/>
    <x v="1"/>
    <s v="Cash"/>
    <d v="2024-05-13T00:00:00"/>
    <x v="0"/>
    <x v="0"/>
    <x v="2"/>
    <x v="2"/>
    <n v="5"/>
    <x v="9"/>
    <s v="Qtr-2"/>
  </r>
  <r>
    <s v="89-754-7244"/>
    <x v="5"/>
    <x v="1"/>
    <x v="1"/>
    <x v="1"/>
    <x v="2"/>
    <x v="2"/>
    <s v="Middle"/>
    <s v="El Caño"/>
    <s v="Panama"/>
    <x v="7"/>
    <n v="161.34"/>
    <n v="3"/>
    <s v="Mixed"/>
    <n v="2"/>
    <n v="3"/>
    <n v="120"/>
    <s v="High"/>
    <s v="Very Sensitive"/>
    <n v="0.33333333333333331"/>
    <x v="8"/>
    <s v="Medium"/>
    <x v="0"/>
    <s v="Credit Card"/>
    <d v="2024-09-28T00:00:00"/>
    <x v="0"/>
    <x v="0"/>
    <x v="2"/>
    <x v="0"/>
    <n v="4"/>
    <x v="10"/>
    <s v="Qtr-3"/>
  </r>
  <r>
    <s v="56-072-7011"/>
    <x v="24"/>
    <x v="3"/>
    <x v="1"/>
    <x v="1"/>
    <x v="1"/>
    <x v="2"/>
    <s v="High"/>
    <s v="Heemstede"/>
    <s v="Netherlands"/>
    <x v="7"/>
    <n v="167.67"/>
    <n v="11"/>
    <s v="In-Store"/>
    <n v="5"/>
    <n v="2"/>
    <n v="60"/>
    <s v="High"/>
    <s v="Very Sensitive"/>
    <n v="0"/>
    <x v="9"/>
    <s v="Medium"/>
    <x v="1"/>
    <s v="Credit Card"/>
    <d v="2024-03-18T00:00:00"/>
    <x v="1"/>
    <x v="1"/>
    <x v="0"/>
    <x v="2"/>
    <n v="5"/>
    <x v="0"/>
    <s v="Qtr-1"/>
  </r>
  <r>
    <s v="74-281-3421"/>
    <x v="17"/>
    <x v="1"/>
    <x v="0"/>
    <x v="0"/>
    <x v="2"/>
    <x v="1"/>
    <s v="High"/>
    <s v="Panyam"/>
    <s v="Nigeria"/>
    <x v="1"/>
    <n v="96.68"/>
    <n v="10"/>
    <s v="Mixed"/>
    <n v="5"/>
    <n v="2"/>
    <n v="120"/>
    <s v="High"/>
    <s v="Somewhat Sensitive"/>
    <n v="0.2"/>
    <x v="4"/>
    <s v="None"/>
    <x v="1"/>
    <s v="Credit Card"/>
    <d v="2024-04-13T00:00:00"/>
    <x v="0"/>
    <x v="0"/>
    <x v="3"/>
    <x v="0"/>
    <n v="10"/>
    <x v="1"/>
    <s v="Qtr-2"/>
  </r>
  <r>
    <s v="86-068-2133"/>
    <x v="11"/>
    <x v="2"/>
    <x v="1"/>
    <x v="1"/>
    <x v="0"/>
    <x v="2"/>
    <s v="High"/>
    <s v="Faraulep"/>
    <s v="Micronesia"/>
    <x v="0"/>
    <n v="234.58"/>
    <n v="3"/>
    <s v="Mixed"/>
    <n v="5"/>
    <n v="5"/>
    <n v="120"/>
    <s v="Low"/>
    <s v="Very Sensitive"/>
    <n v="0.66666666666666663"/>
    <x v="9"/>
    <s v="None"/>
    <x v="2"/>
    <s v="PayPal"/>
    <d v="2024-04-23T00:00:00"/>
    <x v="0"/>
    <x v="0"/>
    <x v="2"/>
    <x v="1"/>
    <n v="1"/>
    <x v="1"/>
    <s v="Qtr-2"/>
  </r>
  <r>
    <s v="03-102-0288"/>
    <x v="6"/>
    <x v="0"/>
    <x v="1"/>
    <x v="0"/>
    <x v="0"/>
    <x v="2"/>
    <s v="Middle"/>
    <s v="San Isidro"/>
    <s v="Philippines"/>
    <x v="4"/>
    <n v="156.47999999999999"/>
    <n v="7"/>
    <s v="In-Store"/>
    <n v="5"/>
    <n v="1"/>
    <n v="0"/>
    <s v="Low"/>
    <s v="Not Sensitive"/>
    <n v="0.2857142857142857"/>
    <x v="1"/>
    <s v="Medium"/>
    <x v="2"/>
    <s v="Other"/>
    <d v="2024-03-13T00:00:00"/>
    <x v="1"/>
    <x v="1"/>
    <x v="1"/>
    <x v="0"/>
    <n v="4"/>
    <x v="0"/>
    <s v="Qtr-1"/>
  </r>
  <r>
    <s v="74-033-1145"/>
    <x v="23"/>
    <x v="0"/>
    <x v="5"/>
    <x v="1"/>
    <x v="2"/>
    <x v="0"/>
    <s v="Middle"/>
    <s v="Mranggen"/>
    <s v="Indonesia"/>
    <x v="23"/>
    <n v="489.66"/>
    <n v="11"/>
    <s v="Mixed"/>
    <n v="5"/>
    <n v="1"/>
    <n v="0"/>
    <s v="High"/>
    <s v="Not Sensitive"/>
    <n v="0.18181818181818182"/>
    <x v="9"/>
    <s v="None"/>
    <x v="0"/>
    <s v="Other"/>
    <d v="2024-01-18T00:00:00"/>
    <x v="0"/>
    <x v="0"/>
    <x v="1"/>
    <x v="1"/>
    <n v="3"/>
    <x v="3"/>
    <s v="Qtr-1"/>
  </r>
  <r>
    <s v="24-272-6205"/>
    <x v="7"/>
    <x v="2"/>
    <x v="6"/>
    <x v="1"/>
    <x v="3"/>
    <x v="2"/>
    <s v="High"/>
    <s v="Cigadog"/>
    <s v="Indonesia"/>
    <x v="12"/>
    <n v="161.85"/>
    <n v="9"/>
    <s v="In-Store"/>
    <n v="5"/>
    <n v="3"/>
    <n v="0"/>
    <s v="High"/>
    <s v="Very Sensitive"/>
    <n v="0"/>
    <x v="7"/>
    <s v="Medium"/>
    <x v="1"/>
    <s v="Other"/>
    <d v="2024-04-25T00:00:00"/>
    <x v="0"/>
    <x v="0"/>
    <x v="0"/>
    <x v="0"/>
    <n v="10"/>
    <x v="1"/>
    <s v="Qtr-2"/>
  </r>
  <r>
    <s v="90-170-1951"/>
    <x v="10"/>
    <x v="2"/>
    <x v="1"/>
    <x v="0"/>
    <x v="2"/>
    <x v="2"/>
    <s v="High"/>
    <s v="Caitang"/>
    <s v="China"/>
    <x v="13"/>
    <n v="204.47"/>
    <n v="7"/>
    <s v="Online"/>
    <n v="2"/>
    <n v="1"/>
    <n v="60"/>
    <s v="None"/>
    <s v="Very Sensitive"/>
    <n v="0.2857142857142857"/>
    <x v="5"/>
    <s v="None"/>
    <x v="1"/>
    <s v="Credit Card"/>
    <d v="2024-08-15T00:00:00"/>
    <x v="0"/>
    <x v="1"/>
    <x v="1"/>
    <x v="0"/>
    <n v="3"/>
    <x v="7"/>
    <s v="Qtr-3"/>
  </r>
  <r>
    <s v="73-259-8940"/>
    <x v="10"/>
    <x v="2"/>
    <x v="0"/>
    <x v="0"/>
    <x v="2"/>
    <x v="0"/>
    <s v="Middle"/>
    <s v="Masoyila"/>
    <s v="Sierra Leone"/>
    <x v="11"/>
    <n v="315.02999999999997"/>
    <n v="4"/>
    <s v="Online"/>
    <n v="1"/>
    <n v="5"/>
    <n v="0"/>
    <s v="High"/>
    <s v="Very Sensitive"/>
    <n v="0.25"/>
    <x v="9"/>
    <s v="Low"/>
    <x v="0"/>
    <s v="PayPal"/>
    <d v="2024-11-10T00:00:00"/>
    <x v="0"/>
    <x v="0"/>
    <x v="3"/>
    <x v="2"/>
    <n v="2"/>
    <x v="11"/>
    <s v="Qtr-4"/>
  </r>
  <r>
    <s v="77-796-5786"/>
    <x v="21"/>
    <x v="1"/>
    <x v="1"/>
    <x v="0"/>
    <x v="1"/>
    <x v="2"/>
    <s v="High"/>
    <s v="Beiyuan"/>
    <s v="China"/>
    <x v="4"/>
    <n v="330.36"/>
    <n v="12"/>
    <s v="In-Store"/>
    <n v="5"/>
    <n v="5"/>
    <n v="60"/>
    <s v="Low"/>
    <s v="Very Sensitive"/>
    <n v="8.3333333333333329E-2"/>
    <x v="7"/>
    <s v="Low"/>
    <x v="0"/>
    <s v="Other"/>
    <d v="2024-06-29T00:00:00"/>
    <x v="0"/>
    <x v="1"/>
    <x v="0"/>
    <x v="0"/>
    <n v="3"/>
    <x v="4"/>
    <s v="Qtr-2"/>
  </r>
  <r>
    <s v="23-949-1954"/>
    <x v="21"/>
    <x v="1"/>
    <x v="1"/>
    <x v="0"/>
    <x v="1"/>
    <x v="0"/>
    <s v="Middle"/>
    <s v="Kariya"/>
    <s v="Japan"/>
    <x v="16"/>
    <n v="456.83"/>
    <n v="5"/>
    <s v="Online"/>
    <n v="2"/>
    <n v="5"/>
    <n v="0"/>
    <s v="None"/>
    <s v="Not Sensitive"/>
    <n v="0"/>
    <x v="5"/>
    <s v="High"/>
    <x v="0"/>
    <s v="Credit Card"/>
    <d v="2024-06-20T00:00:00"/>
    <x v="1"/>
    <x v="0"/>
    <x v="0"/>
    <x v="0"/>
    <n v="13"/>
    <x v="4"/>
    <s v="Qtr-2"/>
  </r>
  <r>
    <s v="51-313-7293"/>
    <x v="16"/>
    <x v="2"/>
    <x v="1"/>
    <x v="1"/>
    <x v="2"/>
    <x v="0"/>
    <s v="High"/>
    <s v="Malakhovka"/>
    <s v="Russia"/>
    <x v="23"/>
    <n v="236.05"/>
    <n v="6"/>
    <s v="In-Store"/>
    <n v="2"/>
    <n v="3"/>
    <n v="0"/>
    <s v="None"/>
    <s v="Very Sensitive"/>
    <n v="0.16666666666666666"/>
    <x v="7"/>
    <s v="High"/>
    <x v="2"/>
    <s v="Other"/>
    <d v="2024-11-16T00:00:00"/>
    <x v="1"/>
    <x v="1"/>
    <x v="0"/>
    <x v="0"/>
    <n v="13"/>
    <x v="11"/>
    <s v="Qtr-4"/>
  </r>
  <r>
    <s v="62-797-9254"/>
    <x v="22"/>
    <x v="2"/>
    <x v="0"/>
    <x v="1"/>
    <x v="2"/>
    <x v="1"/>
    <s v="High"/>
    <s v="At-Bashi"/>
    <s v="Kyrgyzstan"/>
    <x v="3"/>
    <n v="289.27999999999997"/>
    <n v="9"/>
    <s v="Online"/>
    <n v="3"/>
    <n v="5"/>
    <n v="60"/>
    <s v="High"/>
    <s v="Somewhat Sensitive"/>
    <n v="0.22222222222222221"/>
    <x v="0"/>
    <s v="Medium"/>
    <x v="0"/>
    <s v="PayPal"/>
    <d v="2024-06-29T00:00:00"/>
    <x v="1"/>
    <x v="1"/>
    <x v="1"/>
    <x v="2"/>
    <n v="13"/>
    <x v="4"/>
    <s v="Qtr-2"/>
  </r>
  <r>
    <s v="27-941-4995"/>
    <x v="23"/>
    <x v="0"/>
    <x v="0"/>
    <x v="1"/>
    <x v="0"/>
    <x v="1"/>
    <s v="Middle"/>
    <s v="Sankeyushu"/>
    <s v="China"/>
    <x v="12"/>
    <n v="483.77"/>
    <n v="5"/>
    <s v="In-Store"/>
    <n v="1"/>
    <n v="2"/>
    <n v="0"/>
    <s v="None"/>
    <s v="Very Sensitive"/>
    <n v="0"/>
    <x v="1"/>
    <s v="None"/>
    <x v="2"/>
    <s v="Credit Card"/>
    <d v="2024-07-20T00:00:00"/>
    <x v="1"/>
    <x v="0"/>
    <x v="1"/>
    <x v="0"/>
    <n v="10"/>
    <x v="5"/>
    <s v="Qtr-3"/>
  </r>
  <r>
    <s v="01-799-2615"/>
    <x v="5"/>
    <x v="1"/>
    <x v="1"/>
    <x v="0"/>
    <x v="0"/>
    <x v="1"/>
    <s v="Middle"/>
    <s v="Limoges"/>
    <s v="France"/>
    <x v="4"/>
    <n v="64.5"/>
    <n v="7"/>
    <s v="In-Store"/>
    <n v="3"/>
    <n v="4"/>
    <n v="60"/>
    <s v="High"/>
    <s v="Somewhat Sensitive"/>
    <n v="0.14285714285714285"/>
    <x v="0"/>
    <s v="High"/>
    <x v="2"/>
    <s v="Credit Card"/>
    <d v="2024-07-28T00:00:00"/>
    <x v="0"/>
    <x v="0"/>
    <x v="1"/>
    <x v="0"/>
    <n v="13"/>
    <x v="5"/>
    <s v="Qtr-3"/>
  </r>
  <r>
    <s v="82-133-0444"/>
    <x v="20"/>
    <x v="1"/>
    <x v="1"/>
    <x v="1"/>
    <x v="0"/>
    <x v="0"/>
    <s v="Middle"/>
    <s v="Hägersten"/>
    <s v="Sweden"/>
    <x v="19"/>
    <n v="436.57"/>
    <n v="4"/>
    <s v="Mixed"/>
    <n v="5"/>
    <n v="3"/>
    <n v="60"/>
    <s v="High"/>
    <s v="Not Sensitive"/>
    <n v="0.5"/>
    <x v="3"/>
    <s v="Low"/>
    <x v="2"/>
    <s v="Debit Card"/>
    <d v="2024-02-02T00:00:00"/>
    <x v="1"/>
    <x v="0"/>
    <x v="1"/>
    <x v="1"/>
    <n v="3"/>
    <x v="8"/>
    <s v="Qtr-1"/>
  </r>
  <r>
    <s v="43-920-9499"/>
    <x v="22"/>
    <x v="2"/>
    <x v="2"/>
    <x v="0"/>
    <x v="2"/>
    <x v="1"/>
    <s v="Middle"/>
    <s v="Tarata"/>
    <s v="Bolivia"/>
    <x v="1"/>
    <n v="364.48"/>
    <n v="2"/>
    <s v="Mixed"/>
    <n v="3"/>
    <n v="3"/>
    <n v="12"/>
    <s v="None"/>
    <s v="Very Sensitive"/>
    <n v="1"/>
    <x v="1"/>
    <s v="None"/>
    <x v="1"/>
    <s v="Other"/>
    <d v="2024-09-26T00:00:00"/>
    <x v="1"/>
    <x v="0"/>
    <x v="3"/>
    <x v="0"/>
    <n v="13"/>
    <x v="10"/>
    <s v="Qtr-3"/>
  </r>
  <r>
    <s v="17-551-9779"/>
    <x v="4"/>
    <x v="2"/>
    <x v="0"/>
    <x v="0"/>
    <x v="2"/>
    <x v="2"/>
    <s v="High"/>
    <s v="Marabahan"/>
    <s v="Indonesia"/>
    <x v="21"/>
    <n v="221.88"/>
    <n v="12"/>
    <s v="In-Store"/>
    <n v="1"/>
    <n v="4"/>
    <n v="120"/>
    <s v="Low"/>
    <s v="Somewhat Sensitive"/>
    <n v="8.3333333333333329E-2"/>
    <x v="9"/>
    <s v="None"/>
    <x v="2"/>
    <s v="Other"/>
    <d v="2024-04-04T00:00:00"/>
    <x v="0"/>
    <x v="0"/>
    <x v="0"/>
    <x v="2"/>
    <n v="9"/>
    <x v="1"/>
    <s v="Qtr-2"/>
  </r>
  <r>
    <s v="49-037-2300"/>
    <x v="16"/>
    <x v="2"/>
    <x v="0"/>
    <x v="0"/>
    <x v="1"/>
    <x v="1"/>
    <s v="Middle"/>
    <s v="Esl?m?b?d"/>
    <s v="Iran"/>
    <x v="20"/>
    <n v="278.20999999999998"/>
    <n v="3"/>
    <s v="Mixed"/>
    <n v="5"/>
    <n v="1"/>
    <n v="120"/>
    <s v="Low"/>
    <s v="Somewhat Sensitive"/>
    <n v="0"/>
    <x v="0"/>
    <s v="Low"/>
    <x v="0"/>
    <s v="Other"/>
    <d v="2024-10-22T00:00:00"/>
    <x v="0"/>
    <x v="0"/>
    <x v="0"/>
    <x v="0"/>
    <n v="14"/>
    <x v="2"/>
    <s v="Qtr-4"/>
  </r>
  <r>
    <s v="95-876-9757"/>
    <x v="16"/>
    <x v="2"/>
    <x v="0"/>
    <x v="1"/>
    <x v="0"/>
    <x v="2"/>
    <s v="High"/>
    <s v="Emar"/>
    <s v="Syria"/>
    <x v="18"/>
    <n v="344.43"/>
    <n v="7"/>
    <s v="Online"/>
    <n v="3"/>
    <n v="5"/>
    <n v="0"/>
    <s v="Medium"/>
    <s v="Not Sensitive"/>
    <n v="0.2857142857142857"/>
    <x v="7"/>
    <s v="Medium"/>
    <x v="2"/>
    <s v="Credit Card"/>
    <d v="2024-07-12T00:00:00"/>
    <x v="0"/>
    <x v="0"/>
    <x v="2"/>
    <x v="1"/>
    <n v="5"/>
    <x v="5"/>
    <s v="Qtr-3"/>
  </r>
  <r>
    <s v="47-947-4888"/>
    <x v="29"/>
    <x v="0"/>
    <x v="1"/>
    <x v="1"/>
    <x v="1"/>
    <x v="2"/>
    <s v="High"/>
    <s v="Baisha"/>
    <s v="China"/>
    <x v="15"/>
    <n v="326.08"/>
    <n v="11"/>
    <s v="In-Store"/>
    <n v="4"/>
    <n v="3"/>
    <n v="120"/>
    <s v="Medium"/>
    <s v="Not Sensitive"/>
    <n v="0.18181818181818182"/>
    <x v="9"/>
    <s v="Medium"/>
    <x v="0"/>
    <s v="PayPal"/>
    <d v="2024-06-30T00:00:00"/>
    <x v="0"/>
    <x v="1"/>
    <x v="2"/>
    <x v="2"/>
    <n v="8"/>
    <x v="4"/>
    <s v="Qtr-2"/>
  </r>
  <r>
    <s v="83-003-2165"/>
    <x v="1"/>
    <x v="1"/>
    <x v="1"/>
    <x v="1"/>
    <x v="0"/>
    <x v="0"/>
    <s v="Middle"/>
    <s v="Magdalena"/>
    <s v="Colombia"/>
    <x v="0"/>
    <n v="437.97"/>
    <n v="8"/>
    <s v="Online"/>
    <n v="4"/>
    <n v="2"/>
    <n v="0"/>
    <s v="High"/>
    <s v="Not Sensitive"/>
    <n v="0"/>
    <x v="0"/>
    <s v="Medium"/>
    <x v="0"/>
    <s v="Debit Card"/>
    <d v="2024-04-02T00:00:00"/>
    <x v="0"/>
    <x v="1"/>
    <x v="0"/>
    <x v="2"/>
    <n v="12"/>
    <x v="1"/>
    <s v="Qtr-2"/>
  </r>
  <r>
    <s v="27-619-9264"/>
    <x v="25"/>
    <x v="0"/>
    <x v="1"/>
    <x v="1"/>
    <x v="1"/>
    <x v="2"/>
    <s v="High"/>
    <s v="Göteborg"/>
    <s v="Sweden"/>
    <x v="12"/>
    <n v="391.87"/>
    <n v="3"/>
    <s v="Online"/>
    <n v="1"/>
    <n v="4"/>
    <n v="120"/>
    <s v="High"/>
    <s v="Very Sensitive"/>
    <n v="0"/>
    <x v="6"/>
    <s v="Medium"/>
    <x v="2"/>
    <s v="Cash"/>
    <d v="2024-02-16T00:00:00"/>
    <x v="0"/>
    <x v="0"/>
    <x v="3"/>
    <x v="1"/>
    <n v="6"/>
    <x v="8"/>
    <s v="Qtr-1"/>
  </r>
  <r>
    <s v="49-476-1729"/>
    <x v="21"/>
    <x v="1"/>
    <x v="1"/>
    <x v="1"/>
    <x v="1"/>
    <x v="2"/>
    <s v="Middle"/>
    <s v="Skórzec"/>
    <s v="Poland"/>
    <x v="22"/>
    <n v="333.41"/>
    <n v="3"/>
    <s v="Online"/>
    <n v="2"/>
    <n v="5"/>
    <n v="60"/>
    <s v="High"/>
    <s v="Very Sensitive"/>
    <n v="0.33333333333333331"/>
    <x v="9"/>
    <s v="None"/>
    <x v="0"/>
    <s v="PayPal"/>
    <d v="2024-01-31T00:00:00"/>
    <x v="1"/>
    <x v="0"/>
    <x v="3"/>
    <x v="1"/>
    <n v="3"/>
    <x v="3"/>
    <s v="Qtr-1"/>
  </r>
  <r>
    <s v="64-803-7087"/>
    <x v="11"/>
    <x v="2"/>
    <x v="1"/>
    <x v="0"/>
    <x v="1"/>
    <x v="0"/>
    <s v="High"/>
    <s v="São João dos Inhamuns"/>
    <s v="Brazil"/>
    <x v="19"/>
    <n v="251.54"/>
    <n v="9"/>
    <s v="Online"/>
    <n v="5"/>
    <n v="1"/>
    <n v="0"/>
    <s v="High"/>
    <s v="Not Sensitive"/>
    <n v="0.22222222222222221"/>
    <x v="3"/>
    <s v="Low"/>
    <x v="2"/>
    <s v="PayPal"/>
    <d v="2024-10-09T00:00:00"/>
    <x v="0"/>
    <x v="0"/>
    <x v="2"/>
    <x v="0"/>
    <n v="1"/>
    <x v="2"/>
    <s v="Qtr-4"/>
  </r>
  <r>
    <s v="01-925-4021"/>
    <x v="14"/>
    <x v="2"/>
    <x v="0"/>
    <x v="0"/>
    <x v="1"/>
    <x v="1"/>
    <s v="Middle"/>
    <s v="Tambaksari"/>
    <s v="Indonesia"/>
    <x v="13"/>
    <n v="292.08"/>
    <n v="7"/>
    <s v="In-Store"/>
    <n v="3"/>
    <n v="2"/>
    <n v="60"/>
    <s v="High"/>
    <s v="Somewhat Sensitive"/>
    <n v="0.2857142857142857"/>
    <x v="5"/>
    <s v="Low"/>
    <x v="1"/>
    <s v="Credit Card"/>
    <d v="2024-04-09T00:00:00"/>
    <x v="1"/>
    <x v="0"/>
    <x v="0"/>
    <x v="1"/>
    <n v="11"/>
    <x v="1"/>
    <s v="Qtr-2"/>
  </r>
  <r>
    <s v="51-116-5937"/>
    <x v="8"/>
    <x v="0"/>
    <x v="5"/>
    <x v="1"/>
    <x v="2"/>
    <x v="0"/>
    <s v="Middle"/>
    <s v="Lazarat"/>
    <s v="Albania"/>
    <x v="22"/>
    <n v="204.29"/>
    <n v="11"/>
    <s v="In-Store"/>
    <n v="5"/>
    <n v="4"/>
    <n v="0"/>
    <s v="None"/>
    <s v="Not Sensitive"/>
    <n v="0.18181818181818182"/>
    <x v="2"/>
    <s v="Medium"/>
    <x v="1"/>
    <s v="PayPal"/>
    <d v="2024-05-16T00:00:00"/>
    <x v="1"/>
    <x v="0"/>
    <x v="2"/>
    <x v="2"/>
    <n v="12"/>
    <x v="9"/>
    <s v="Qtr-2"/>
  </r>
  <r>
    <s v="72-454-2741"/>
    <x v="1"/>
    <x v="1"/>
    <x v="1"/>
    <x v="0"/>
    <x v="1"/>
    <x v="1"/>
    <s v="Middle"/>
    <s v="Belene"/>
    <s v="Bulgaria"/>
    <x v="12"/>
    <n v="258.68"/>
    <n v="4"/>
    <s v="Online"/>
    <n v="4"/>
    <n v="2"/>
    <n v="60"/>
    <s v="Low"/>
    <s v="Somewhat Sensitive"/>
    <n v="0"/>
    <x v="5"/>
    <s v="None"/>
    <x v="2"/>
    <s v="Credit Card"/>
    <d v="2024-10-22T00:00:00"/>
    <x v="1"/>
    <x v="0"/>
    <x v="2"/>
    <x v="0"/>
    <n v="9"/>
    <x v="2"/>
    <s v="Qtr-4"/>
  </r>
  <r>
    <s v="96-484-1000"/>
    <x v="29"/>
    <x v="0"/>
    <x v="1"/>
    <x v="0"/>
    <x v="0"/>
    <x v="0"/>
    <s v="High"/>
    <s v="Xiangshan"/>
    <s v="China"/>
    <x v="0"/>
    <n v="258.02"/>
    <n v="2"/>
    <s v="In-Store"/>
    <n v="3"/>
    <n v="2"/>
    <n v="60"/>
    <s v="Low"/>
    <s v="Very Sensitive"/>
    <n v="1"/>
    <x v="7"/>
    <s v="High"/>
    <x v="2"/>
    <s v="PayPal"/>
    <d v="2024-11-08T00:00:00"/>
    <x v="0"/>
    <x v="1"/>
    <x v="0"/>
    <x v="2"/>
    <n v="13"/>
    <x v="11"/>
    <s v="Qtr-4"/>
  </r>
  <r>
    <s v="07-834-3350"/>
    <x v="3"/>
    <x v="0"/>
    <x v="0"/>
    <x v="1"/>
    <x v="1"/>
    <x v="2"/>
    <s v="Middle"/>
    <s v="San Luis"/>
    <s v="Argentina"/>
    <x v="0"/>
    <n v="181.87"/>
    <n v="12"/>
    <s v="Mixed"/>
    <n v="4"/>
    <n v="1"/>
    <n v="60"/>
    <s v="Medium"/>
    <s v="Not Sensitive"/>
    <n v="0.16666666666666666"/>
    <x v="7"/>
    <s v="High"/>
    <x v="2"/>
    <s v="Debit Card"/>
    <d v="2024-09-01T00:00:00"/>
    <x v="1"/>
    <x v="1"/>
    <x v="1"/>
    <x v="0"/>
    <n v="11"/>
    <x v="10"/>
    <s v="Qtr-3"/>
  </r>
  <r>
    <s v="11-802-5604"/>
    <x v="29"/>
    <x v="0"/>
    <x v="1"/>
    <x v="1"/>
    <x v="3"/>
    <x v="1"/>
    <s v="Middle"/>
    <s v="Zengfu"/>
    <s v="China"/>
    <x v="19"/>
    <n v="81.180000000000007"/>
    <n v="8"/>
    <s v="Online"/>
    <n v="4"/>
    <n v="5"/>
    <n v="60"/>
    <s v="Low"/>
    <s v="Not Sensitive"/>
    <n v="0.25"/>
    <x v="4"/>
    <s v="High"/>
    <x v="0"/>
    <s v="Cash"/>
    <d v="2024-05-17T00:00:00"/>
    <x v="1"/>
    <x v="0"/>
    <x v="2"/>
    <x v="2"/>
    <n v="3"/>
    <x v="9"/>
    <s v="Qtr-2"/>
  </r>
  <r>
    <s v="41-750-4105"/>
    <x v="25"/>
    <x v="0"/>
    <x v="0"/>
    <x v="1"/>
    <x v="3"/>
    <x v="2"/>
    <s v="High"/>
    <s v="Tingsryd"/>
    <s v="Sweden"/>
    <x v="5"/>
    <n v="382.94"/>
    <n v="8"/>
    <s v="In-Store"/>
    <n v="1"/>
    <n v="3"/>
    <n v="0"/>
    <s v="Medium"/>
    <s v="Not Sensitive"/>
    <n v="0"/>
    <x v="9"/>
    <s v="None"/>
    <x v="2"/>
    <s v="Debit Card"/>
    <d v="2024-05-19T00:00:00"/>
    <x v="1"/>
    <x v="0"/>
    <x v="0"/>
    <x v="1"/>
    <n v="3"/>
    <x v="9"/>
    <s v="Qtr-2"/>
  </r>
  <r>
    <s v="31-491-8457"/>
    <x v="26"/>
    <x v="1"/>
    <x v="0"/>
    <x v="1"/>
    <x v="1"/>
    <x v="0"/>
    <s v="High"/>
    <s v="Tipaz"/>
    <s v="Philippines"/>
    <x v="21"/>
    <n v="402.82"/>
    <n v="7"/>
    <s v="Online"/>
    <n v="4"/>
    <n v="5"/>
    <n v="0"/>
    <s v="None"/>
    <s v="Somewhat Sensitive"/>
    <n v="0.2857142857142857"/>
    <x v="6"/>
    <s v="Low"/>
    <x v="1"/>
    <s v="Debit Card"/>
    <d v="2024-01-25T00:00:00"/>
    <x v="1"/>
    <x v="0"/>
    <x v="1"/>
    <x v="0"/>
    <n v="13"/>
    <x v="3"/>
    <s v="Qtr-1"/>
  </r>
  <r>
    <s v="86-257-9581"/>
    <x v="12"/>
    <x v="2"/>
    <x v="1"/>
    <x v="1"/>
    <x v="1"/>
    <x v="0"/>
    <s v="Middle"/>
    <s v="W?d? as Salq?"/>
    <s v="Sudan"/>
    <x v="0"/>
    <n v="497.76"/>
    <n v="2"/>
    <s v="In-Store"/>
    <n v="1"/>
    <n v="2"/>
    <n v="120"/>
    <s v="High"/>
    <s v="Very Sensitive"/>
    <n v="1"/>
    <x v="4"/>
    <s v="Medium"/>
    <x v="1"/>
    <s v="Credit Card"/>
    <d v="2024-03-08T00:00:00"/>
    <x v="0"/>
    <x v="1"/>
    <x v="1"/>
    <x v="0"/>
    <n v="4"/>
    <x v="0"/>
    <s v="Qtr-1"/>
  </r>
  <r>
    <s v="22-981-6595"/>
    <x v="29"/>
    <x v="0"/>
    <x v="0"/>
    <x v="1"/>
    <x v="1"/>
    <x v="1"/>
    <s v="High"/>
    <s v="Wasagu"/>
    <s v="Nigeria"/>
    <x v="4"/>
    <n v="227.58"/>
    <n v="5"/>
    <s v="Online"/>
    <n v="4"/>
    <n v="2"/>
    <n v="60"/>
    <s v="High"/>
    <s v="Not Sensitive"/>
    <n v="0"/>
    <x v="2"/>
    <s v="Low"/>
    <x v="0"/>
    <s v="Credit Card"/>
    <d v="2024-07-13T00:00:00"/>
    <x v="0"/>
    <x v="0"/>
    <x v="0"/>
    <x v="0"/>
    <n v="11"/>
    <x v="5"/>
    <s v="Qtr-3"/>
  </r>
  <r>
    <s v="54-002-5845"/>
    <x v="22"/>
    <x v="2"/>
    <x v="0"/>
    <x v="1"/>
    <x v="3"/>
    <x v="0"/>
    <s v="High"/>
    <s v="Wangsi"/>
    <s v="China"/>
    <x v="13"/>
    <n v="263.57"/>
    <n v="2"/>
    <s v="Mixed"/>
    <n v="2"/>
    <n v="3"/>
    <n v="0"/>
    <s v="High"/>
    <s v="Somewhat Sensitive"/>
    <n v="0.5"/>
    <x v="5"/>
    <s v="None"/>
    <x v="0"/>
    <s v="PayPal"/>
    <d v="2024-11-21T00:00:00"/>
    <x v="0"/>
    <x v="1"/>
    <x v="2"/>
    <x v="2"/>
    <n v="8"/>
    <x v="11"/>
    <s v="Qtr-4"/>
  </r>
  <r>
    <s v="31-927-7787"/>
    <x v="13"/>
    <x v="1"/>
    <x v="1"/>
    <x v="1"/>
    <x v="0"/>
    <x v="1"/>
    <s v="High"/>
    <s v="Esmeralda"/>
    <s v="Cuba"/>
    <x v="15"/>
    <n v="422.09"/>
    <n v="3"/>
    <s v="In-Store"/>
    <n v="4"/>
    <n v="1"/>
    <n v="60"/>
    <s v="High"/>
    <s v="Not Sensitive"/>
    <n v="0"/>
    <x v="5"/>
    <s v="Medium"/>
    <x v="0"/>
    <s v="PayPal"/>
    <d v="2024-03-31T00:00:00"/>
    <x v="0"/>
    <x v="0"/>
    <x v="0"/>
    <x v="1"/>
    <n v="7"/>
    <x v="0"/>
    <s v="Qtr-1"/>
  </r>
  <r>
    <s v="46-098-9737"/>
    <x v="22"/>
    <x v="2"/>
    <x v="1"/>
    <x v="0"/>
    <x v="0"/>
    <x v="2"/>
    <s v="High"/>
    <s v="Chivilcoy"/>
    <s v="Argentina"/>
    <x v="0"/>
    <n v="411.83"/>
    <n v="2"/>
    <s v="In-Store"/>
    <n v="2"/>
    <n v="3"/>
    <n v="120"/>
    <s v="High"/>
    <s v="Not Sensitive"/>
    <n v="0.5"/>
    <x v="4"/>
    <s v="Medium"/>
    <x v="0"/>
    <s v="PayPal"/>
    <d v="2024-04-28T00:00:00"/>
    <x v="0"/>
    <x v="1"/>
    <x v="2"/>
    <x v="1"/>
    <n v="10"/>
    <x v="1"/>
    <s v="Qtr-2"/>
  </r>
  <r>
    <s v="27-017-7173"/>
    <x v="6"/>
    <x v="0"/>
    <x v="1"/>
    <x v="0"/>
    <x v="1"/>
    <x v="2"/>
    <s v="Middle"/>
    <s v="São Miguel do Araguaia"/>
    <s v="Brazil"/>
    <x v="14"/>
    <n v="242.65"/>
    <n v="3"/>
    <s v="Mixed"/>
    <n v="5"/>
    <n v="3"/>
    <n v="12"/>
    <s v="None"/>
    <s v="Very Sensitive"/>
    <n v="0.66666666666666663"/>
    <x v="8"/>
    <s v="None"/>
    <x v="0"/>
    <s v="Cash"/>
    <d v="2024-07-09T00:00:00"/>
    <x v="1"/>
    <x v="1"/>
    <x v="3"/>
    <x v="0"/>
    <n v="9"/>
    <x v="5"/>
    <s v="Qtr-3"/>
  </r>
  <r>
    <s v="53-102-9949"/>
    <x v="30"/>
    <x v="1"/>
    <x v="1"/>
    <x v="0"/>
    <x v="2"/>
    <x v="2"/>
    <s v="Middle"/>
    <s v="Libei"/>
    <s v="China"/>
    <x v="6"/>
    <n v="298.93"/>
    <n v="6"/>
    <s v="Mixed"/>
    <n v="5"/>
    <n v="2"/>
    <n v="12"/>
    <s v="None"/>
    <s v="Somewhat Sensitive"/>
    <n v="0.33333333333333331"/>
    <x v="2"/>
    <s v="None"/>
    <x v="0"/>
    <s v="PayPal"/>
    <d v="2024-09-22T00:00:00"/>
    <x v="0"/>
    <x v="1"/>
    <x v="3"/>
    <x v="2"/>
    <n v="2"/>
    <x v="10"/>
    <s v="Qtr-3"/>
  </r>
  <r>
    <s v="02-676-9312"/>
    <x v="32"/>
    <x v="1"/>
    <x v="0"/>
    <x v="1"/>
    <x v="1"/>
    <x v="0"/>
    <s v="High"/>
    <s v="Araci"/>
    <s v="Brazil"/>
    <x v="7"/>
    <n v="191.21"/>
    <n v="7"/>
    <s v="Mixed"/>
    <n v="5"/>
    <n v="4"/>
    <n v="60"/>
    <s v="Low"/>
    <s v="Very Sensitive"/>
    <n v="0.2857142857142857"/>
    <x v="9"/>
    <s v="Low"/>
    <x v="1"/>
    <s v="Debit Card"/>
    <d v="2024-04-04T00:00:00"/>
    <x v="1"/>
    <x v="0"/>
    <x v="0"/>
    <x v="0"/>
    <n v="13"/>
    <x v="1"/>
    <s v="Qtr-2"/>
  </r>
  <r>
    <s v="28-969-7540"/>
    <x v="32"/>
    <x v="1"/>
    <x v="0"/>
    <x v="1"/>
    <x v="0"/>
    <x v="2"/>
    <s v="Middle"/>
    <s v="Kuçovë"/>
    <s v="Albania"/>
    <x v="13"/>
    <n v="136.66999999999999"/>
    <n v="3"/>
    <s v="Online"/>
    <n v="3"/>
    <n v="1"/>
    <n v="60"/>
    <s v="Low"/>
    <s v="Somewhat Sensitive"/>
    <n v="0"/>
    <x v="6"/>
    <s v="High"/>
    <x v="2"/>
    <s v="PayPal"/>
    <d v="2024-06-20T00:00:00"/>
    <x v="1"/>
    <x v="1"/>
    <x v="2"/>
    <x v="1"/>
    <n v="1"/>
    <x v="4"/>
    <s v="Qtr-2"/>
  </r>
  <r>
    <s v="30-083-9565"/>
    <x v="14"/>
    <x v="2"/>
    <x v="1"/>
    <x v="0"/>
    <x v="2"/>
    <x v="2"/>
    <s v="High"/>
    <s v="Bokong Timur"/>
    <s v="Indonesia"/>
    <x v="6"/>
    <n v="324.11"/>
    <n v="11"/>
    <s v="Online"/>
    <n v="3"/>
    <n v="3"/>
    <n v="120"/>
    <s v="None"/>
    <s v="Very Sensitive"/>
    <n v="0"/>
    <x v="6"/>
    <s v="Low"/>
    <x v="1"/>
    <s v="Cash"/>
    <d v="2024-03-22T00:00:00"/>
    <x v="1"/>
    <x v="0"/>
    <x v="2"/>
    <x v="0"/>
    <n v="7"/>
    <x v="0"/>
    <s v="Qtr-1"/>
  </r>
  <r>
    <s v="30-975-0306"/>
    <x v="13"/>
    <x v="1"/>
    <x v="0"/>
    <x v="1"/>
    <x v="2"/>
    <x v="0"/>
    <s v="High"/>
    <s v="Gaowu"/>
    <s v="China"/>
    <x v="9"/>
    <n v="105.64"/>
    <n v="6"/>
    <s v="Online"/>
    <n v="1"/>
    <n v="3"/>
    <n v="0"/>
    <s v="Low"/>
    <s v="Very Sensitive"/>
    <n v="0.33333333333333331"/>
    <x v="2"/>
    <s v="None"/>
    <x v="1"/>
    <s v="Other"/>
    <d v="2024-04-06T00:00:00"/>
    <x v="0"/>
    <x v="1"/>
    <x v="3"/>
    <x v="0"/>
    <n v="12"/>
    <x v="1"/>
    <s v="Qtr-2"/>
  </r>
  <r>
    <s v="14-364-4904"/>
    <x v="20"/>
    <x v="1"/>
    <x v="1"/>
    <x v="1"/>
    <x v="2"/>
    <x v="2"/>
    <s v="High"/>
    <s v="Guéret"/>
    <s v="France"/>
    <x v="13"/>
    <n v="295.60000000000002"/>
    <n v="10"/>
    <s v="Online"/>
    <n v="1"/>
    <n v="2"/>
    <n v="60"/>
    <s v="High"/>
    <s v="Somewhat Sensitive"/>
    <n v="0"/>
    <x v="5"/>
    <s v="Low"/>
    <x v="2"/>
    <s v="Credit Card"/>
    <d v="2024-05-20T00:00:00"/>
    <x v="0"/>
    <x v="1"/>
    <x v="0"/>
    <x v="1"/>
    <n v="5"/>
    <x v="9"/>
    <s v="Qtr-2"/>
  </r>
  <r>
    <s v="08-652-2085"/>
    <x v="18"/>
    <x v="1"/>
    <x v="1"/>
    <x v="0"/>
    <x v="1"/>
    <x v="2"/>
    <s v="High"/>
    <s v="Post?ekov"/>
    <s v="Czech Republic"/>
    <x v="9"/>
    <n v="227.03"/>
    <n v="9"/>
    <s v="In-Store"/>
    <n v="4"/>
    <n v="4"/>
    <n v="120"/>
    <s v="Low"/>
    <s v="Not Sensitive"/>
    <n v="0.22222222222222221"/>
    <x v="0"/>
    <s v="High"/>
    <x v="0"/>
    <s v="Other"/>
    <d v="2024-04-09T00:00:00"/>
    <x v="0"/>
    <x v="1"/>
    <x v="0"/>
    <x v="0"/>
    <n v="4"/>
    <x v="1"/>
    <s v="Qtr-2"/>
  </r>
  <r>
    <s v="67-037-2087"/>
    <x v="11"/>
    <x v="2"/>
    <x v="0"/>
    <x v="1"/>
    <x v="3"/>
    <x v="0"/>
    <s v="Middle"/>
    <s v="Gobojango"/>
    <s v="Botswana"/>
    <x v="11"/>
    <n v="485.77"/>
    <n v="10"/>
    <s v="Mixed"/>
    <n v="1"/>
    <n v="2"/>
    <n v="0"/>
    <s v="Low"/>
    <s v="Not Sensitive"/>
    <n v="0.2"/>
    <x v="9"/>
    <s v="None"/>
    <x v="0"/>
    <s v="Cash"/>
    <d v="2024-12-04T00:00:00"/>
    <x v="1"/>
    <x v="0"/>
    <x v="3"/>
    <x v="0"/>
    <n v="6"/>
    <x v="6"/>
    <s v="Qtr-4"/>
  </r>
  <r>
    <s v="09-737-8354"/>
    <x v="14"/>
    <x v="2"/>
    <x v="0"/>
    <x v="0"/>
    <x v="2"/>
    <x v="1"/>
    <s v="High"/>
    <s v="Tandahimba"/>
    <s v="Tanzania"/>
    <x v="9"/>
    <n v="173.43"/>
    <n v="4"/>
    <s v="In-Store"/>
    <n v="3"/>
    <n v="3"/>
    <n v="0"/>
    <s v="Medium"/>
    <s v="Not Sensitive"/>
    <n v="0.5"/>
    <x v="2"/>
    <s v="Low"/>
    <x v="2"/>
    <s v="PayPal"/>
    <d v="2024-05-27T00:00:00"/>
    <x v="0"/>
    <x v="1"/>
    <x v="0"/>
    <x v="0"/>
    <n v="14"/>
    <x v="9"/>
    <s v="Qtr-2"/>
  </r>
  <r>
    <s v="12-417-5609"/>
    <x v="3"/>
    <x v="0"/>
    <x v="0"/>
    <x v="0"/>
    <x v="2"/>
    <x v="1"/>
    <s v="Middle"/>
    <s v="Iwade"/>
    <s v="Japan"/>
    <x v="15"/>
    <n v="462.96"/>
    <n v="2"/>
    <s v="Online"/>
    <n v="4"/>
    <n v="2"/>
    <n v="0"/>
    <s v="High"/>
    <s v="Very Sensitive"/>
    <n v="1"/>
    <x v="9"/>
    <s v="High"/>
    <x v="0"/>
    <s v="Cash"/>
    <d v="2024-07-01T00:00:00"/>
    <x v="0"/>
    <x v="0"/>
    <x v="3"/>
    <x v="0"/>
    <n v="3"/>
    <x v="5"/>
    <s v="Qtr-3"/>
  </r>
  <r>
    <s v="25-096-6830"/>
    <x v="15"/>
    <x v="2"/>
    <x v="1"/>
    <x v="1"/>
    <x v="3"/>
    <x v="1"/>
    <s v="Middle"/>
    <s v="La Guata"/>
    <s v="Honduras"/>
    <x v="7"/>
    <n v="203.13"/>
    <n v="10"/>
    <s v="Online"/>
    <n v="4"/>
    <n v="3"/>
    <n v="120"/>
    <s v="None"/>
    <s v="Somewhat Sensitive"/>
    <n v="0.1"/>
    <x v="1"/>
    <s v="High"/>
    <x v="0"/>
    <s v="Debit Card"/>
    <d v="2024-08-15T00:00:00"/>
    <x v="0"/>
    <x v="0"/>
    <x v="2"/>
    <x v="1"/>
    <n v="6"/>
    <x v="7"/>
    <s v="Qtr-3"/>
  </r>
  <r>
    <s v="91-558-5922"/>
    <x v="17"/>
    <x v="1"/>
    <x v="0"/>
    <x v="1"/>
    <x v="0"/>
    <x v="2"/>
    <s v="High"/>
    <s v="Saint-Brieuc"/>
    <s v="France"/>
    <x v="16"/>
    <n v="443.11"/>
    <n v="9"/>
    <s v="In-Store"/>
    <n v="1"/>
    <n v="2"/>
    <n v="60"/>
    <s v="None"/>
    <s v="Very Sensitive"/>
    <n v="0"/>
    <x v="3"/>
    <s v="Low"/>
    <x v="0"/>
    <s v="Other"/>
    <d v="2024-01-19T00:00:00"/>
    <x v="0"/>
    <x v="1"/>
    <x v="1"/>
    <x v="0"/>
    <n v="1"/>
    <x v="3"/>
    <s v="Qtr-1"/>
  </r>
  <r>
    <s v="25-560-4506"/>
    <x v="16"/>
    <x v="2"/>
    <x v="2"/>
    <x v="1"/>
    <x v="3"/>
    <x v="1"/>
    <s v="High"/>
    <s v="Paya Dapur"/>
    <s v="Indonesia"/>
    <x v="18"/>
    <n v="254.83"/>
    <n v="2"/>
    <s v="Mixed"/>
    <n v="1"/>
    <n v="2"/>
    <n v="60"/>
    <s v="None"/>
    <s v="Somewhat Sensitive"/>
    <n v="0.5"/>
    <x v="6"/>
    <s v="Low"/>
    <x v="2"/>
    <s v="Credit Card"/>
    <d v="2024-09-18T00:00:00"/>
    <x v="1"/>
    <x v="0"/>
    <x v="1"/>
    <x v="1"/>
    <n v="1"/>
    <x v="10"/>
    <s v="Qtr-3"/>
  </r>
  <r>
    <s v="33-609-0598"/>
    <x v="3"/>
    <x v="0"/>
    <x v="0"/>
    <x v="1"/>
    <x v="1"/>
    <x v="2"/>
    <s v="Middle"/>
    <s v="Xinzha"/>
    <s v="China"/>
    <x v="8"/>
    <n v="336.89"/>
    <n v="4"/>
    <s v="Online"/>
    <n v="2"/>
    <n v="1"/>
    <n v="120"/>
    <s v="Medium"/>
    <s v="Very Sensitive"/>
    <n v="0.25"/>
    <x v="0"/>
    <s v="High"/>
    <x v="1"/>
    <s v="Credit Card"/>
    <d v="2024-06-17T00:00:00"/>
    <x v="1"/>
    <x v="0"/>
    <x v="3"/>
    <x v="2"/>
    <n v="9"/>
    <x v="4"/>
    <s v="Qtr-2"/>
  </r>
  <r>
    <s v="45-337-1798"/>
    <x v="29"/>
    <x v="0"/>
    <x v="1"/>
    <x v="0"/>
    <x v="0"/>
    <x v="0"/>
    <s v="Middle"/>
    <s v="Al Q?rah"/>
    <s v="Saudi Arabia"/>
    <x v="15"/>
    <n v="337.17"/>
    <n v="8"/>
    <s v="In-Store"/>
    <n v="5"/>
    <n v="5"/>
    <n v="0"/>
    <s v="Low"/>
    <s v="Not Sensitive"/>
    <n v="0.125"/>
    <x v="9"/>
    <s v="Medium"/>
    <x v="0"/>
    <s v="Credit Card"/>
    <d v="2024-07-26T00:00:00"/>
    <x v="1"/>
    <x v="1"/>
    <x v="1"/>
    <x v="0"/>
    <n v="3"/>
    <x v="5"/>
    <s v="Qtr-3"/>
  </r>
  <r>
    <s v="34-265-8558"/>
    <x v="0"/>
    <x v="0"/>
    <x v="0"/>
    <x v="1"/>
    <x v="1"/>
    <x v="1"/>
    <s v="High"/>
    <s v="Antipolo"/>
    <s v="Philippines"/>
    <x v="1"/>
    <n v="429.24"/>
    <n v="2"/>
    <s v="Online"/>
    <n v="2"/>
    <n v="2"/>
    <n v="120"/>
    <s v="Medium"/>
    <s v="Very Sensitive"/>
    <n v="0"/>
    <x v="4"/>
    <s v="None"/>
    <x v="2"/>
    <s v="Cash"/>
    <d v="2024-03-11T00:00:00"/>
    <x v="1"/>
    <x v="0"/>
    <x v="3"/>
    <x v="0"/>
    <n v="13"/>
    <x v="0"/>
    <s v="Qtr-1"/>
  </r>
  <r>
    <s v="67-323-7406"/>
    <x v="22"/>
    <x v="2"/>
    <x v="0"/>
    <x v="1"/>
    <x v="0"/>
    <x v="1"/>
    <s v="High"/>
    <s v="Yuyangguan"/>
    <s v="China"/>
    <x v="13"/>
    <n v="197.7"/>
    <n v="7"/>
    <s v="Mixed"/>
    <n v="3"/>
    <n v="5"/>
    <n v="120"/>
    <s v="High"/>
    <s v="Somewhat Sensitive"/>
    <n v="0.14285714285714285"/>
    <x v="9"/>
    <s v="Medium"/>
    <x v="2"/>
    <s v="Cash"/>
    <d v="2024-09-27T00:00:00"/>
    <x v="1"/>
    <x v="0"/>
    <x v="0"/>
    <x v="1"/>
    <n v="9"/>
    <x v="10"/>
    <s v="Qtr-3"/>
  </r>
  <r>
    <s v="40-149-8247"/>
    <x v="25"/>
    <x v="0"/>
    <x v="1"/>
    <x v="0"/>
    <x v="0"/>
    <x v="0"/>
    <s v="Middle"/>
    <s v="Qiman"/>
    <s v="Egypt"/>
    <x v="3"/>
    <n v="336.96"/>
    <n v="2"/>
    <s v="In-Store"/>
    <n v="5"/>
    <n v="2"/>
    <n v="120"/>
    <s v="High"/>
    <s v="Not Sensitive"/>
    <n v="0"/>
    <x v="0"/>
    <s v="Low"/>
    <x v="0"/>
    <s v="PayPal"/>
    <d v="2024-09-05T00:00:00"/>
    <x v="0"/>
    <x v="1"/>
    <x v="2"/>
    <x v="0"/>
    <n v="7"/>
    <x v="10"/>
    <s v="Qtr-3"/>
  </r>
  <r>
    <s v="37-361-8691"/>
    <x v="13"/>
    <x v="1"/>
    <x v="0"/>
    <x v="1"/>
    <x v="0"/>
    <x v="1"/>
    <s v="High"/>
    <s v="Maguwon"/>
    <s v="Nigeria"/>
    <x v="12"/>
    <n v="489.81"/>
    <n v="11"/>
    <s v="Mixed"/>
    <n v="3"/>
    <n v="2"/>
    <n v="60"/>
    <s v="Low"/>
    <s v="Very Sensitive"/>
    <n v="0"/>
    <x v="2"/>
    <s v="None"/>
    <x v="0"/>
    <s v="Credit Card"/>
    <d v="2024-12-22T00:00:00"/>
    <x v="1"/>
    <x v="0"/>
    <x v="1"/>
    <x v="0"/>
    <n v="3"/>
    <x v="6"/>
    <s v="Qtr-4"/>
  </r>
  <r>
    <s v="17-763-9416"/>
    <x v="11"/>
    <x v="2"/>
    <x v="0"/>
    <x v="1"/>
    <x v="1"/>
    <x v="1"/>
    <s v="Middle"/>
    <s v="Tsibulev"/>
    <s v="Ukraine"/>
    <x v="14"/>
    <n v="455.55"/>
    <n v="8"/>
    <s v="Mixed"/>
    <n v="4"/>
    <n v="4"/>
    <n v="60"/>
    <s v="High"/>
    <s v="Somewhat Sensitive"/>
    <n v="0"/>
    <x v="9"/>
    <s v="High"/>
    <x v="2"/>
    <s v="PayPal"/>
    <d v="2024-10-29T00:00:00"/>
    <x v="1"/>
    <x v="0"/>
    <x v="3"/>
    <x v="0"/>
    <n v="10"/>
    <x v="2"/>
    <s v="Qtr-4"/>
  </r>
  <r>
    <s v="56-453-8263"/>
    <x v="3"/>
    <x v="0"/>
    <x v="1"/>
    <x v="0"/>
    <x v="3"/>
    <x v="2"/>
    <s v="Middle"/>
    <s v="San Antonio Aguas Calientes"/>
    <s v="Guatemala"/>
    <x v="7"/>
    <n v="266.61"/>
    <n v="3"/>
    <s v="Online"/>
    <n v="3"/>
    <n v="1"/>
    <n v="60"/>
    <s v="Medium"/>
    <s v="Very Sensitive"/>
    <n v="0.66666666666666663"/>
    <x v="8"/>
    <s v="None"/>
    <x v="0"/>
    <s v="Debit Card"/>
    <d v="2024-06-06T00:00:00"/>
    <x v="0"/>
    <x v="0"/>
    <x v="0"/>
    <x v="1"/>
    <n v="7"/>
    <x v="4"/>
    <s v="Qtr-2"/>
  </r>
  <r>
    <s v="19-560-0717"/>
    <x v="17"/>
    <x v="1"/>
    <x v="5"/>
    <x v="0"/>
    <x v="0"/>
    <x v="1"/>
    <s v="High"/>
    <s v="Pombas"/>
    <s v="Cape Verde"/>
    <x v="22"/>
    <n v="460.88"/>
    <n v="5"/>
    <s v="Mixed"/>
    <n v="3"/>
    <n v="4"/>
    <n v="120"/>
    <s v="None"/>
    <s v="Not Sensitive"/>
    <n v="0.4"/>
    <x v="7"/>
    <s v="High"/>
    <x v="0"/>
    <s v="Cash"/>
    <d v="2024-04-12T00:00:00"/>
    <x v="0"/>
    <x v="0"/>
    <x v="2"/>
    <x v="1"/>
    <n v="2"/>
    <x v="1"/>
    <s v="Qtr-2"/>
  </r>
  <r>
    <s v="40-199-1803"/>
    <x v="21"/>
    <x v="1"/>
    <x v="1"/>
    <x v="1"/>
    <x v="1"/>
    <x v="1"/>
    <s v="Middle"/>
    <s v="Ku‘aydinah"/>
    <s v="Saudi Arabia"/>
    <x v="18"/>
    <n v="361.4"/>
    <n v="2"/>
    <s v="In-Store"/>
    <n v="2"/>
    <n v="5"/>
    <n v="60"/>
    <s v="Medium"/>
    <s v="Somewhat Sensitive"/>
    <n v="0"/>
    <x v="1"/>
    <s v="Medium"/>
    <x v="2"/>
    <s v="Credit Card"/>
    <d v="2024-12-21T00:00:00"/>
    <x v="1"/>
    <x v="1"/>
    <x v="2"/>
    <x v="0"/>
    <n v="7"/>
    <x v="6"/>
    <s v="Qtr-4"/>
  </r>
  <r>
    <s v="09-332-0236"/>
    <x v="26"/>
    <x v="1"/>
    <x v="0"/>
    <x v="0"/>
    <x v="3"/>
    <x v="2"/>
    <s v="Middle"/>
    <s v="San Marcos"/>
    <s v="Guatemala"/>
    <x v="15"/>
    <n v="51.86"/>
    <n v="4"/>
    <s v="Mixed"/>
    <n v="3"/>
    <n v="5"/>
    <n v="12"/>
    <s v="Medium"/>
    <s v="Not Sensitive"/>
    <n v="0.5"/>
    <x v="9"/>
    <s v="High"/>
    <x v="0"/>
    <s v="Credit Card"/>
    <d v="2024-12-25T00:00:00"/>
    <x v="1"/>
    <x v="1"/>
    <x v="0"/>
    <x v="0"/>
    <n v="6"/>
    <x v="6"/>
    <s v="Qtr-4"/>
  </r>
  <r>
    <s v="83-982-5300"/>
    <x v="23"/>
    <x v="0"/>
    <x v="1"/>
    <x v="0"/>
    <x v="0"/>
    <x v="1"/>
    <s v="Middle"/>
    <s v="Chum Phae"/>
    <s v="Thailand"/>
    <x v="2"/>
    <n v="310.16000000000003"/>
    <n v="5"/>
    <s v="Mixed"/>
    <n v="5"/>
    <n v="3"/>
    <n v="60"/>
    <s v="None"/>
    <s v="Somewhat Sensitive"/>
    <n v="0"/>
    <x v="7"/>
    <s v="High"/>
    <x v="2"/>
    <s v="Cash"/>
    <d v="2024-12-01T00:00:00"/>
    <x v="1"/>
    <x v="0"/>
    <x v="0"/>
    <x v="1"/>
    <n v="14"/>
    <x v="6"/>
    <s v="Qtr-4"/>
  </r>
  <r>
    <s v="46-662-1571"/>
    <x v="13"/>
    <x v="1"/>
    <x v="0"/>
    <x v="0"/>
    <x v="2"/>
    <x v="2"/>
    <s v="Middle"/>
    <s v="La Laja"/>
    <s v="Chile"/>
    <x v="12"/>
    <n v="300.73"/>
    <n v="8"/>
    <s v="Online"/>
    <n v="4"/>
    <n v="2"/>
    <n v="60"/>
    <s v="Low"/>
    <s v="Somewhat Sensitive"/>
    <n v="0.25"/>
    <x v="5"/>
    <s v="High"/>
    <x v="2"/>
    <s v="Cash"/>
    <d v="2024-03-31T00:00:00"/>
    <x v="0"/>
    <x v="1"/>
    <x v="0"/>
    <x v="0"/>
    <n v="10"/>
    <x v="0"/>
    <s v="Qtr-1"/>
  </r>
  <r>
    <s v="20-699-9217"/>
    <x v="31"/>
    <x v="0"/>
    <x v="0"/>
    <x v="1"/>
    <x v="0"/>
    <x v="1"/>
    <s v="Middle"/>
    <s v="San Juan del Cesar"/>
    <s v="Colombia"/>
    <x v="12"/>
    <n v="356.87"/>
    <n v="12"/>
    <s v="Mixed"/>
    <n v="1"/>
    <n v="4"/>
    <n v="0"/>
    <s v="High"/>
    <s v="Not Sensitive"/>
    <n v="8.3333333333333329E-2"/>
    <x v="5"/>
    <s v="Medium"/>
    <x v="1"/>
    <s v="Debit Card"/>
    <d v="2024-10-12T00:00:00"/>
    <x v="1"/>
    <x v="1"/>
    <x v="2"/>
    <x v="1"/>
    <n v="10"/>
    <x v="2"/>
    <s v="Qtr-4"/>
  </r>
  <r>
    <s v="26-150-0209"/>
    <x v="31"/>
    <x v="0"/>
    <x v="1"/>
    <x v="0"/>
    <x v="2"/>
    <x v="1"/>
    <s v="Middle"/>
    <s v="Taiyigong"/>
    <s v="China"/>
    <x v="20"/>
    <n v="82.37"/>
    <n v="6"/>
    <s v="Mixed"/>
    <n v="1"/>
    <n v="1"/>
    <n v="60"/>
    <s v="Medium"/>
    <s v="Not Sensitive"/>
    <n v="0"/>
    <x v="7"/>
    <s v="Medium"/>
    <x v="1"/>
    <s v="Credit Card"/>
    <d v="2024-12-25T00:00:00"/>
    <x v="1"/>
    <x v="0"/>
    <x v="2"/>
    <x v="1"/>
    <n v="2"/>
    <x v="6"/>
    <s v="Qtr-4"/>
  </r>
  <r>
    <s v="94-985-5336"/>
    <x v="3"/>
    <x v="0"/>
    <x v="0"/>
    <x v="1"/>
    <x v="3"/>
    <x v="0"/>
    <s v="High"/>
    <s v="Gävle"/>
    <s v="Sweden"/>
    <x v="20"/>
    <n v="372.6"/>
    <n v="3"/>
    <s v="Mixed"/>
    <n v="4"/>
    <n v="5"/>
    <n v="60"/>
    <s v="High"/>
    <s v="Very Sensitive"/>
    <n v="0.66666666666666663"/>
    <x v="9"/>
    <s v="Low"/>
    <x v="0"/>
    <s v="PayPal"/>
    <d v="2024-01-11T00:00:00"/>
    <x v="0"/>
    <x v="1"/>
    <x v="3"/>
    <x v="2"/>
    <n v="10"/>
    <x v="3"/>
    <s v="Qtr-1"/>
  </r>
  <r>
    <s v="97-715-3606"/>
    <x v="3"/>
    <x v="0"/>
    <x v="0"/>
    <x v="0"/>
    <x v="2"/>
    <x v="1"/>
    <s v="High"/>
    <s v="Tayabamba"/>
    <s v="Peru"/>
    <x v="9"/>
    <n v="78.319999999999993"/>
    <n v="9"/>
    <s v="Online"/>
    <n v="2"/>
    <n v="4"/>
    <n v="120"/>
    <s v="Low"/>
    <s v="Somewhat Sensitive"/>
    <n v="0.22222222222222221"/>
    <x v="3"/>
    <s v="Low"/>
    <x v="1"/>
    <s v="PayPal"/>
    <d v="2024-07-29T00:00:00"/>
    <x v="1"/>
    <x v="1"/>
    <x v="0"/>
    <x v="1"/>
    <n v="7"/>
    <x v="5"/>
    <s v="Qtr-3"/>
  </r>
  <r>
    <s v="02-100-4320"/>
    <x v="11"/>
    <x v="2"/>
    <x v="0"/>
    <x v="1"/>
    <x v="1"/>
    <x v="2"/>
    <s v="High"/>
    <s v="Majennang"/>
    <s v="Indonesia"/>
    <x v="15"/>
    <n v="71.72"/>
    <n v="12"/>
    <s v="Online"/>
    <n v="3"/>
    <n v="5"/>
    <n v="60"/>
    <s v="High"/>
    <s v="Somewhat Sensitive"/>
    <n v="0.16666666666666666"/>
    <x v="1"/>
    <s v="Low"/>
    <x v="0"/>
    <s v="PayPal"/>
    <d v="2024-01-11T00:00:00"/>
    <x v="0"/>
    <x v="1"/>
    <x v="1"/>
    <x v="2"/>
    <n v="13"/>
    <x v="3"/>
    <s v="Qtr-1"/>
  </r>
  <r>
    <s v="16-070-0138"/>
    <x v="7"/>
    <x v="2"/>
    <x v="0"/>
    <x v="1"/>
    <x v="1"/>
    <x v="1"/>
    <s v="High"/>
    <s v="Njeru"/>
    <s v="Uganda"/>
    <x v="8"/>
    <n v="241.1"/>
    <n v="12"/>
    <s v="In-Store"/>
    <n v="1"/>
    <n v="5"/>
    <n v="120"/>
    <s v="None"/>
    <s v="Not Sensitive"/>
    <n v="0.16666666666666666"/>
    <x v="6"/>
    <s v="Medium"/>
    <x v="2"/>
    <s v="Credit Card"/>
    <d v="2024-07-30T00:00:00"/>
    <x v="1"/>
    <x v="1"/>
    <x v="3"/>
    <x v="0"/>
    <n v="8"/>
    <x v="5"/>
    <s v="Qtr-3"/>
  </r>
  <r>
    <s v="82-474-5074"/>
    <x v="0"/>
    <x v="0"/>
    <x v="1"/>
    <x v="0"/>
    <x v="0"/>
    <x v="0"/>
    <s v="High"/>
    <s v="Ambatolaona"/>
    <s v="Madagascar"/>
    <x v="22"/>
    <n v="96.86"/>
    <n v="9"/>
    <s v="Mixed"/>
    <n v="5"/>
    <n v="5"/>
    <n v="0"/>
    <s v="None"/>
    <s v="Not Sensitive"/>
    <n v="0.22222222222222221"/>
    <x v="3"/>
    <s v="Medium"/>
    <x v="2"/>
    <s v="Debit Card"/>
    <d v="2024-07-28T00:00:00"/>
    <x v="1"/>
    <x v="1"/>
    <x v="1"/>
    <x v="1"/>
    <n v="7"/>
    <x v="5"/>
    <s v="Qtr-3"/>
  </r>
  <r>
    <s v="36-444-5336"/>
    <x v="18"/>
    <x v="1"/>
    <x v="1"/>
    <x v="0"/>
    <x v="3"/>
    <x v="2"/>
    <s v="High"/>
    <s v="Jianggang"/>
    <s v="China"/>
    <x v="1"/>
    <n v="276.25"/>
    <n v="11"/>
    <s v="In-Store"/>
    <n v="2"/>
    <n v="1"/>
    <n v="120"/>
    <s v="High"/>
    <s v="Not Sensitive"/>
    <n v="0.18181818181818182"/>
    <x v="7"/>
    <s v="None"/>
    <x v="1"/>
    <s v="Cash"/>
    <d v="2024-11-11T00:00:00"/>
    <x v="0"/>
    <x v="1"/>
    <x v="2"/>
    <x v="2"/>
    <n v="8"/>
    <x v="11"/>
    <s v="Qtr-4"/>
  </r>
  <r>
    <s v="54-680-5344"/>
    <x v="3"/>
    <x v="0"/>
    <x v="1"/>
    <x v="0"/>
    <x v="2"/>
    <x v="2"/>
    <s v="Middle"/>
    <s v="Langkou"/>
    <s v="China"/>
    <x v="2"/>
    <n v="318.45"/>
    <n v="10"/>
    <s v="In-Store"/>
    <n v="2"/>
    <n v="1"/>
    <n v="120"/>
    <s v="None"/>
    <s v="Somewhat Sensitive"/>
    <n v="0.2"/>
    <x v="7"/>
    <s v="High"/>
    <x v="1"/>
    <s v="Other"/>
    <d v="2024-10-25T00:00:00"/>
    <x v="1"/>
    <x v="1"/>
    <x v="3"/>
    <x v="0"/>
    <n v="5"/>
    <x v="2"/>
    <s v="Qtr-4"/>
  </r>
  <r>
    <s v="16-364-8096"/>
    <x v="30"/>
    <x v="1"/>
    <x v="0"/>
    <x v="1"/>
    <x v="0"/>
    <x v="1"/>
    <s v="High"/>
    <s v="Horní Suchá"/>
    <s v="Czech Republic"/>
    <x v="9"/>
    <n v="117.03"/>
    <n v="6"/>
    <s v="Online"/>
    <n v="3"/>
    <n v="2"/>
    <n v="0"/>
    <s v="None"/>
    <s v="Very Sensitive"/>
    <n v="0.33333333333333331"/>
    <x v="5"/>
    <s v="Medium"/>
    <x v="0"/>
    <s v="Cash"/>
    <d v="2024-09-20T00:00:00"/>
    <x v="1"/>
    <x v="0"/>
    <x v="2"/>
    <x v="1"/>
    <n v="5"/>
    <x v="10"/>
    <s v="Qtr-3"/>
  </r>
  <r>
    <s v="62-644-8183"/>
    <x v="17"/>
    <x v="1"/>
    <x v="0"/>
    <x v="0"/>
    <x v="0"/>
    <x v="2"/>
    <s v="High"/>
    <s v="Haradok"/>
    <s v="Belarus"/>
    <x v="16"/>
    <n v="490.41"/>
    <n v="7"/>
    <s v="Online"/>
    <n v="3"/>
    <n v="5"/>
    <n v="60"/>
    <s v="Medium"/>
    <s v="Very Sensitive"/>
    <n v="0.14285714285714285"/>
    <x v="3"/>
    <s v="Low"/>
    <x v="0"/>
    <s v="Other"/>
    <d v="2024-10-22T00:00:00"/>
    <x v="0"/>
    <x v="0"/>
    <x v="3"/>
    <x v="1"/>
    <n v="5"/>
    <x v="2"/>
    <s v="Qtr-4"/>
  </r>
  <r>
    <s v="59-971-0799"/>
    <x v="18"/>
    <x v="1"/>
    <x v="1"/>
    <x v="0"/>
    <x v="3"/>
    <x v="0"/>
    <s v="High"/>
    <s v="Vichuga"/>
    <s v="Russia"/>
    <x v="18"/>
    <n v="476.42"/>
    <n v="7"/>
    <s v="In-Store"/>
    <n v="1"/>
    <n v="1"/>
    <n v="60"/>
    <s v="High"/>
    <s v="Very Sensitive"/>
    <n v="0"/>
    <x v="6"/>
    <s v="High"/>
    <x v="2"/>
    <s v="Debit Card"/>
    <d v="2024-09-09T00:00:00"/>
    <x v="0"/>
    <x v="0"/>
    <x v="0"/>
    <x v="1"/>
    <n v="2"/>
    <x v="10"/>
    <s v="Qtr-3"/>
  </r>
  <r>
    <s v="64-031-2046"/>
    <x v="3"/>
    <x v="0"/>
    <x v="0"/>
    <x v="1"/>
    <x v="3"/>
    <x v="2"/>
    <s v="High"/>
    <s v="Luci"/>
    <s v="China"/>
    <x v="21"/>
    <n v="392.27"/>
    <n v="5"/>
    <s v="Mixed"/>
    <n v="4"/>
    <n v="5"/>
    <n v="60"/>
    <s v="High"/>
    <s v="Not Sensitive"/>
    <n v="0"/>
    <x v="6"/>
    <s v="Low"/>
    <x v="0"/>
    <s v="Other"/>
    <d v="2024-07-17T00:00:00"/>
    <x v="0"/>
    <x v="0"/>
    <x v="1"/>
    <x v="0"/>
    <n v="7"/>
    <x v="5"/>
    <s v="Qtr-3"/>
  </r>
  <r>
    <s v="87-079-0237"/>
    <x v="15"/>
    <x v="2"/>
    <x v="1"/>
    <x v="1"/>
    <x v="1"/>
    <x v="0"/>
    <s v="Middle"/>
    <s v="Guolemude"/>
    <s v="China"/>
    <x v="11"/>
    <n v="207.24"/>
    <n v="9"/>
    <s v="Online"/>
    <n v="2"/>
    <n v="2"/>
    <n v="0"/>
    <s v="Low"/>
    <s v="Not Sensitive"/>
    <n v="0"/>
    <x v="9"/>
    <s v="None"/>
    <x v="2"/>
    <s v="Debit Card"/>
    <d v="2024-05-12T00:00:00"/>
    <x v="0"/>
    <x v="0"/>
    <x v="2"/>
    <x v="0"/>
    <n v="3"/>
    <x v="9"/>
    <s v="Qtr-2"/>
  </r>
  <r>
    <s v="78-091-8662"/>
    <x v="20"/>
    <x v="1"/>
    <x v="1"/>
    <x v="1"/>
    <x v="3"/>
    <x v="1"/>
    <s v="Middle"/>
    <s v="Prengtale"/>
    <s v="Indonesia"/>
    <x v="0"/>
    <n v="141.63"/>
    <n v="3"/>
    <s v="Online"/>
    <n v="4"/>
    <n v="1"/>
    <n v="60"/>
    <s v="None"/>
    <s v="Somewhat Sensitive"/>
    <n v="0.33333333333333331"/>
    <x v="8"/>
    <s v="Low"/>
    <x v="1"/>
    <s v="Cash"/>
    <d v="2024-10-11T00:00:00"/>
    <x v="0"/>
    <x v="1"/>
    <x v="3"/>
    <x v="2"/>
    <n v="11"/>
    <x v="2"/>
    <s v="Qtr-4"/>
  </r>
  <r>
    <s v="62-720-2922"/>
    <x v="12"/>
    <x v="2"/>
    <x v="1"/>
    <x v="1"/>
    <x v="2"/>
    <x v="0"/>
    <s v="High"/>
    <s v="Cabanas"/>
    <s v="El Salvador"/>
    <x v="3"/>
    <n v="244.47"/>
    <n v="5"/>
    <s v="Online"/>
    <n v="3"/>
    <n v="4"/>
    <n v="60"/>
    <s v="High"/>
    <s v="Very Sensitive"/>
    <n v="0.2"/>
    <x v="1"/>
    <s v="Low"/>
    <x v="1"/>
    <s v="Cash"/>
    <d v="2024-06-23T00:00:00"/>
    <x v="1"/>
    <x v="0"/>
    <x v="2"/>
    <x v="0"/>
    <n v="4"/>
    <x v="4"/>
    <s v="Qtr-2"/>
  </r>
  <r>
    <s v="47-528-3961"/>
    <x v="2"/>
    <x v="0"/>
    <x v="1"/>
    <x v="1"/>
    <x v="0"/>
    <x v="2"/>
    <s v="High"/>
    <s v="Fa???b?d"/>
    <s v="Unable to determine"/>
    <x v="0"/>
    <n v="251.63"/>
    <n v="9"/>
    <s v="Online"/>
    <n v="3"/>
    <n v="1"/>
    <n v="0"/>
    <s v="Low"/>
    <s v="Not Sensitive"/>
    <n v="0"/>
    <x v="6"/>
    <s v="High"/>
    <x v="2"/>
    <s v="Credit Card"/>
    <d v="2024-08-23T00:00:00"/>
    <x v="0"/>
    <x v="1"/>
    <x v="0"/>
    <x v="2"/>
    <n v="10"/>
    <x v="7"/>
    <s v="Qtr-3"/>
  </r>
  <r>
    <s v="21-808-2293"/>
    <x v="12"/>
    <x v="2"/>
    <x v="1"/>
    <x v="0"/>
    <x v="3"/>
    <x v="0"/>
    <s v="Middle"/>
    <s v="Sukumo"/>
    <s v="Japan"/>
    <x v="16"/>
    <n v="431.78"/>
    <n v="12"/>
    <s v="Online"/>
    <n v="1"/>
    <n v="3"/>
    <n v="60"/>
    <s v="Medium"/>
    <s v="Very Sensitive"/>
    <n v="8.3333333333333329E-2"/>
    <x v="8"/>
    <s v="Low"/>
    <x v="1"/>
    <s v="PayPal"/>
    <d v="2024-02-15T00:00:00"/>
    <x v="0"/>
    <x v="0"/>
    <x v="2"/>
    <x v="0"/>
    <n v="7"/>
    <x v="8"/>
    <s v="Qtr-1"/>
  </r>
  <r>
    <s v="22-022-9256"/>
    <x v="14"/>
    <x v="2"/>
    <x v="0"/>
    <x v="0"/>
    <x v="0"/>
    <x v="2"/>
    <s v="High"/>
    <s v="Fenglu"/>
    <s v="China"/>
    <x v="23"/>
    <n v="303.08999999999997"/>
    <n v="2"/>
    <s v="Online"/>
    <n v="2"/>
    <n v="5"/>
    <n v="60"/>
    <s v="None"/>
    <s v="Very Sensitive"/>
    <n v="1"/>
    <x v="5"/>
    <s v="None"/>
    <x v="0"/>
    <s v="Other"/>
    <d v="2024-01-10T00:00:00"/>
    <x v="1"/>
    <x v="0"/>
    <x v="2"/>
    <x v="0"/>
    <n v="11"/>
    <x v="3"/>
    <s v="Qtr-1"/>
  </r>
  <r>
    <s v="96-772-7220"/>
    <x v="13"/>
    <x v="1"/>
    <x v="1"/>
    <x v="1"/>
    <x v="0"/>
    <x v="0"/>
    <s v="High"/>
    <s v="Tanjungbalai"/>
    <s v="Indonesia"/>
    <x v="22"/>
    <n v="341.24"/>
    <n v="9"/>
    <s v="Mixed"/>
    <n v="5"/>
    <n v="5"/>
    <n v="120"/>
    <s v="Low"/>
    <s v="Somewhat Sensitive"/>
    <n v="0.1111111111111111"/>
    <x v="4"/>
    <s v="None"/>
    <x v="0"/>
    <s v="Credit Card"/>
    <d v="2024-11-18T00:00:00"/>
    <x v="0"/>
    <x v="0"/>
    <x v="0"/>
    <x v="1"/>
    <n v="4"/>
    <x v="11"/>
    <s v="Qtr-4"/>
  </r>
  <r>
    <s v="25-866-7286"/>
    <x v="12"/>
    <x v="2"/>
    <x v="0"/>
    <x v="0"/>
    <x v="3"/>
    <x v="2"/>
    <s v="High"/>
    <s v="Carrefour"/>
    <s v="Haiti"/>
    <x v="13"/>
    <n v="211.39"/>
    <n v="10"/>
    <s v="Online"/>
    <n v="4"/>
    <n v="5"/>
    <n v="60"/>
    <s v="Medium"/>
    <s v="Not Sensitive"/>
    <n v="0"/>
    <x v="2"/>
    <s v="Low"/>
    <x v="2"/>
    <s v="Other"/>
    <d v="2024-05-10T00:00:00"/>
    <x v="0"/>
    <x v="0"/>
    <x v="3"/>
    <x v="2"/>
    <n v="1"/>
    <x v="9"/>
    <s v="Qtr-2"/>
  </r>
  <r>
    <s v="72-694-4159"/>
    <x v="7"/>
    <x v="2"/>
    <x v="0"/>
    <x v="0"/>
    <x v="0"/>
    <x v="0"/>
    <s v="Middle"/>
    <s v="Tewulike"/>
    <s v="Indonesia"/>
    <x v="13"/>
    <n v="379.21"/>
    <n v="9"/>
    <s v="Mixed"/>
    <n v="1"/>
    <n v="5"/>
    <n v="60"/>
    <s v="Low"/>
    <s v="Somewhat Sensitive"/>
    <n v="0.1111111111111111"/>
    <x v="2"/>
    <s v="High"/>
    <x v="1"/>
    <s v="PayPal"/>
    <d v="2024-09-18T00:00:00"/>
    <x v="0"/>
    <x v="1"/>
    <x v="2"/>
    <x v="0"/>
    <n v="1"/>
    <x v="10"/>
    <s v="Qtr-3"/>
  </r>
  <r>
    <s v="10-079-8237"/>
    <x v="19"/>
    <x v="1"/>
    <x v="0"/>
    <x v="1"/>
    <x v="2"/>
    <x v="2"/>
    <s v="High"/>
    <s v="Hejiang"/>
    <s v="China"/>
    <x v="7"/>
    <n v="309.52999999999997"/>
    <n v="8"/>
    <s v="Mixed"/>
    <n v="2"/>
    <n v="1"/>
    <n v="60"/>
    <s v="None"/>
    <s v="Very Sensitive"/>
    <n v="0.25"/>
    <x v="9"/>
    <s v="None"/>
    <x v="1"/>
    <s v="Cash"/>
    <d v="2024-04-14T00:00:00"/>
    <x v="1"/>
    <x v="1"/>
    <x v="3"/>
    <x v="1"/>
    <n v="5"/>
    <x v="1"/>
    <s v="Qtr-2"/>
  </r>
  <r>
    <s v="47-460-8015"/>
    <x v="18"/>
    <x v="1"/>
    <x v="1"/>
    <x v="0"/>
    <x v="3"/>
    <x v="2"/>
    <s v="High"/>
    <s v="Yaizu"/>
    <s v="Japan"/>
    <x v="5"/>
    <n v="359.45"/>
    <n v="6"/>
    <s v="Online"/>
    <n v="4"/>
    <n v="1"/>
    <n v="120"/>
    <s v="Low"/>
    <s v="Not Sensitive"/>
    <n v="0.16666666666666666"/>
    <x v="8"/>
    <s v="Medium"/>
    <x v="2"/>
    <s v="Other"/>
    <d v="2024-03-06T00:00:00"/>
    <x v="1"/>
    <x v="0"/>
    <x v="2"/>
    <x v="1"/>
    <n v="11"/>
    <x v="0"/>
    <s v="Qtr-1"/>
  </r>
  <r>
    <s v="06-061-0023"/>
    <x v="28"/>
    <x v="0"/>
    <x v="0"/>
    <x v="1"/>
    <x v="2"/>
    <x v="1"/>
    <s v="Middle"/>
    <s v="Kembé"/>
    <s v="Central African Republic"/>
    <x v="11"/>
    <n v="479.62"/>
    <n v="8"/>
    <s v="In-Store"/>
    <n v="3"/>
    <n v="1"/>
    <n v="120"/>
    <s v="High"/>
    <s v="Not Sensitive"/>
    <n v="0.125"/>
    <x v="4"/>
    <s v="Low"/>
    <x v="0"/>
    <s v="Other"/>
    <d v="2024-04-19T00:00:00"/>
    <x v="1"/>
    <x v="0"/>
    <x v="3"/>
    <x v="2"/>
    <n v="10"/>
    <x v="1"/>
    <s v="Qtr-2"/>
  </r>
  <r>
    <s v="80-487-2550"/>
    <x v="10"/>
    <x v="2"/>
    <x v="1"/>
    <x v="1"/>
    <x v="0"/>
    <x v="0"/>
    <s v="Middle"/>
    <s v="Novokayakent"/>
    <s v="Russia"/>
    <x v="13"/>
    <n v="208.6"/>
    <n v="2"/>
    <s v="Mixed"/>
    <n v="5"/>
    <n v="1"/>
    <n v="120"/>
    <s v="None"/>
    <s v="Somewhat Sensitive"/>
    <n v="0"/>
    <x v="1"/>
    <s v="High"/>
    <x v="1"/>
    <s v="Credit Card"/>
    <d v="2024-02-29T00:00:00"/>
    <x v="0"/>
    <x v="1"/>
    <x v="2"/>
    <x v="1"/>
    <n v="3"/>
    <x v="8"/>
    <s v="Qtr-1"/>
  </r>
  <r>
    <s v="23-617-2637"/>
    <x v="17"/>
    <x v="1"/>
    <x v="0"/>
    <x v="0"/>
    <x v="1"/>
    <x v="2"/>
    <s v="High"/>
    <s v="Hekou"/>
    <s v="China"/>
    <x v="14"/>
    <n v="180.21"/>
    <n v="2"/>
    <s v="Mixed"/>
    <n v="5"/>
    <n v="5"/>
    <n v="0"/>
    <s v="None"/>
    <s v="Very Sensitive"/>
    <n v="0.5"/>
    <x v="2"/>
    <s v="Medium"/>
    <x v="2"/>
    <s v="Cash"/>
    <d v="2024-01-22T00:00:00"/>
    <x v="1"/>
    <x v="1"/>
    <x v="0"/>
    <x v="2"/>
    <n v="14"/>
    <x v="3"/>
    <s v="Qtr-1"/>
  </r>
  <r>
    <s v="60-005-5187"/>
    <x v="8"/>
    <x v="0"/>
    <x v="1"/>
    <x v="0"/>
    <x v="1"/>
    <x v="1"/>
    <s v="High"/>
    <s v="Bailadores"/>
    <s v="Venezuela"/>
    <x v="13"/>
    <n v="197.9"/>
    <n v="3"/>
    <s v="Mixed"/>
    <n v="2"/>
    <n v="1"/>
    <n v="120"/>
    <s v="Medium"/>
    <s v="Not Sensitive"/>
    <n v="0"/>
    <x v="8"/>
    <s v="High"/>
    <x v="2"/>
    <s v="Debit Card"/>
    <d v="2024-01-18T00:00:00"/>
    <x v="0"/>
    <x v="1"/>
    <x v="1"/>
    <x v="1"/>
    <n v="14"/>
    <x v="3"/>
    <s v="Qtr-1"/>
  </r>
  <r>
    <s v="24-371-5870"/>
    <x v="1"/>
    <x v="1"/>
    <x v="1"/>
    <x v="0"/>
    <x v="1"/>
    <x v="0"/>
    <s v="High"/>
    <s v="Masuda"/>
    <s v="Japan"/>
    <x v="3"/>
    <n v="362.3"/>
    <n v="7"/>
    <s v="Online"/>
    <n v="4"/>
    <n v="2"/>
    <n v="12"/>
    <s v="Low"/>
    <s v="Not Sensitive"/>
    <n v="0"/>
    <x v="7"/>
    <s v="Low"/>
    <x v="0"/>
    <s v="Other"/>
    <d v="2024-09-30T00:00:00"/>
    <x v="0"/>
    <x v="1"/>
    <x v="3"/>
    <x v="1"/>
    <n v="6"/>
    <x v="10"/>
    <s v="Qtr-3"/>
  </r>
  <r>
    <s v="02-055-8248"/>
    <x v="8"/>
    <x v="0"/>
    <x v="0"/>
    <x v="1"/>
    <x v="3"/>
    <x v="0"/>
    <s v="High"/>
    <s v="Martanesh"/>
    <s v="Albania"/>
    <x v="18"/>
    <n v="159.53"/>
    <n v="11"/>
    <s v="Mixed"/>
    <n v="3"/>
    <n v="4"/>
    <n v="120"/>
    <s v="Low"/>
    <s v="Very Sensitive"/>
    <n v="0"/>
    <x v="4"/>
    <s v="Low"/>
    <x v="2"/>
    <s v="Cash"/>
    <d v="2024-04-27T00:00:00"/>
    <x v="0"/>
    <x v="1"/>
    <x v="2"/>
    <x v="2"/>
    <n v="7"/>
    <x v="1"/>
    <s v="Qtr-2"/>
  </r>
  <r>
    <s v="54-238-5459"/>
    <x v="13"/>
    <x v="1"/>
    <x v="0"/>
    <x v="1"/>
    <x v="2"/>
    <x v="1"/>
    <s v="High"/>
    <s v="Xinzhou"/>
    <s v="China"/>
    <x v="23"/>
    <n v="149.52000000000001"/>
    <n v="9"/>
    <s v="In-Store"/>
    <n v="2"/>
    <n v="5"/>
    <n v="60"/>
    <s v="None"/>
    <s v="Somewhat Sensitive"/>
    <n v="0"/>
    <x v="9"/>
    <s v="None"/>
    <x v="1"/>
    <s v="Cash"/>
    <d v="2024-03-10T00:00:00"/>
    <x v="1"/>
    <x v="0"/>
    <x v="1"/>
    <x v="0"/>
    <n v="8"/>
    <x v="0"/>
    <s v="Qtr-1"/>
  </r>
  <r>
    <s v="85-922-0190"/>
    <x v="24"/>
    <x v="3"/>
    <x v="0"/>
    <x v="1"/>
    <x v="2"/>
    <x v="0"/>
    <s v="High"/>
    <s v="Nanfeng"/>
    <s v="China"/>
    <x v="16"/>
    <n v="206.32"/>
    <n v="5"/>
    <s v="Online"/>
    <n v="3"/>
    <n v="3"/>
    <n v="60"/>
    <s v="Low"/>
    <s v="Not Sensitive"/>
    <n v="0"/>
    <x v="7"/>
    <s v="None"/>
    <x v="2"/>
    <s v="PayPal"/>
    <d v="2024-10-12T00:00:00"/>
    <x v="0"/>
    <x v="0"/>
    <x v="1"/>
    <x v="2"/>
    <n v="12"/>
    <x v="2"/>
    <s v="Qtr-4"/>
  </r>
  <r>
    <s v="48-271-1908"/>
    <x v="13"/>
    <x v="1"/>
    <x v="2"/>
    <x v="1"/>
    <x v="1"/>
    <x v="0"/>
    <s v="High"/>
    <s v="Oke Ila"/>
    <s v="Nigeria"/>
    <x v="15"/>
    <n v="308.58"/>
    <n v="11"/>
    <s v="Online"/>
    <n v="2"/>
    <n v="5"/>
    <n v="120"/>
    <s v="Medium"/>
    <s v="Not Sensitive"/>
    <n v="0"/>
    <x v="0"/>
    <s v="Medium"/>
    <x v="1"/>
    <s v="Debit Card"/>
    <d v="2024-05-21T00:00:00"/>
    <x v="1"/>
    <x v="1"/>
    <x v="0"/>
    <x v="2"/>
    <n v="12"/>
    <x v="9"/>
    <s v="Qtr-2"/>
  </r>
  <r>
    <s v="46-978-3874"/>
    <x v="0"/>
    <x v="0"/>
    <x v="0"/>
    <x v="1"/>
    <x v="1"/>
    <x v="1"/>
    <s v="Middle"/>
    <s v="Rio Pardo"/>
    <s v="Brazil"/>
    <x v="19"/>
    <n v="91.34"/>
    <n v="5"/>
    <s v="Online"/>
    <n v="2"/>
    <n v="1"/>
    <n v="60"/>
    <s v="None"/>
    <s v="Not Sensitive"/>
    <n v="0"/>
    <x v="2"/>
    <s v="None"/>
    <x v="1"/>
    <s v="Debit Card"/>
    <d v="2024-01-10T00:00:00"/>
    <x v="0"/>
    <x v="1"/>
    <x v="2"/>
    <x v="2"/>
    <n v="6"/>
    <x v="3"/>
    <s v="Qtr-1"/>
  </r>
  <r>
    <s v="53-595-7635"/>
    <x v="8"/>
    <x v="0"/>
    <x v="0"/>
    <x v="1"/>
    <x v="3"/>
    <x v="1"/>
    <s v="Middle"/>
    <s v="Pingtang"/>
    <s v="China"/>
    <x v="8"/>
    <n v="455.44"/>
    <n v="7"/>
    <s v="Mixed"/>
    <n v="4"/>
    <n v="2"/>
    <n v="60"/>
    <s v="Low"/>
    <s v="Very Sensitive"/>
    <n v="0.2857142857142857"/>
    <x v="4"/>
    <s v="Low"/>
    <x v="1"/>
    <s v="Other"/>
    <d v="2024-05-07T00:00:00"/>
    <x v="1"/>
    <x v="0"/>
    <x v="0"/>
    <x v="0"/>
    <n v="3"/>
    <x v="9"/>
    <s v="Qtr-2"/>
  </r>
  <r>
    <s v="08-185-6608"/>
    <x v="11"/>
    <x v="2"/>
    <x v="0"/>
    <x v="1"/>
    <x v="3"/>
    <x v="2"/>
    <s v="Middle"/>
    <s v="Podbrdo"/>
    <s v="Slovenia"/>
    <x v="15"/>
    <n v="468.16"/>
    <n v="8"/>
    <s v="Online"/>
    <n v="3"/>
    <n v="5"/>
    <n v="60"/>
    <s v="Low"/>
    <s v="Somewhat Sensitive"/>
    <n v="0.125"/>
    <x v="1"/>
    <s v="High"/>
    <x v="2"/>
    <s v="Credit Card"/>
    <d v="2024-01-22T00:00:00"/>
    <x v="1"/>
    <x v="0"/>
    <x v="3"/>
    <x v="1"/>
    <n v="2"/>
    <x v="3"/>
    <s v="Qtr-1"/>
  </r>
  <r>
    <s v="20-562-2569"/>
    <x v="32"/>
    <x v="1"/>
    <x v="0"/>
    <x v="1"/>
    <x v="3"/>
    <x v="0"/>
    <s v="High"/>
    <s v="Aramayuan"/>
    <s v="Philippines"/>
    <x v="7"/>
    <n v="463.67"/>
    <n v="5"/>
    <s v="Online"/>
    <n v="2"/>
    <n v="4"/>
    <n v="18"/>
    <s v="High"/>
    <s v="Not Sensitive"/>
    <n v="0.4"/>
    <x v="7"/>
    <s v="None"/>
    <x v="0"/>
    <s v="PayPal"/>
    <d v="2024-07-07T00:00:00"/>
    <x v="0"/>
    <x v="0"/>
    <x v="0"/>
    <x v="1"/>
    <n v="5"/>
    <x v="5"/>
    <s v="Qtr-3"/>
  </r>
  <r>
    <s v="41-366-4205"/>
    <x v="17"/>
    <x v="1"/>
    <x v="0"/>
    <x v="1"/>
    <x v="1"/>
    <x v="1"/>
    <s v="Middle"/>
    <s v="Paquera"/>
    <s v="Costa Rica"/>
    <x v="0"/>
    <n v="69.78"/>
    <n v="9"/>
    <s v="Mixed"/>
    <n v="4"/>
    <n v="3"/>
    <n v="120"/>
    <s v="Low"/>
    <s v="Very Sensitive"/>
    <n v="0"/>
    <x v="9"/>
    <s v="Low"/>
    <x v="0"/>
    <s v="Cash"/>
    <d v="2024-03-28T00:00:00"/>
    <x v="0"/>
    <x v="0"/>
    <x v="1"/>
    <x v="0"/>
    <n v="9"/>
    <x v="0"/>
    <s v="Qtr-1"/>
  </r>
  <r>
    <s v="77-241-7621"/>
    <x v="29"/>
    <x v="0"/>
    <x v="1"/>
    <x v="1"/>
    <x v="0"/>
    <x v="0"/>
    <s v="High"/>
    <s v="Warudoyong"/>
    <s v="Indonesia"/>
    <x v="1"/>
    <n v="453.37"/>
    <n v="10"/>
    <s v="Mixed"/>
    <n v="1"/>
    <n v="1"/>
    <n v="120"/>
    <s v="Low"/>
    <s v="Very Sensitive"/>
    <n v="0"/>
    <x v="9"/>
    <s v="High"/>
    <x v="2"/>
    <s v="Credit Card"/>
    <d v="2024-03-11T00:00:00"/>
    <x v="0"/>
    <x v="1"/>
    <x v="1"/>
    <x v="2"/>
    <n v="9"/>
    <x v="0"/>
    <s v="Qtr-1"/>
  </r>
  <r>
    <s v="53-091-2176"/>
    <x v="6"/>
    <x v="0"/>
    <x v="0"/>
    <x v="1"/>
    <x v="2"/>
    <x v="0"/>
    <s v="Middle"/>
    <s v="Béziers"/>
    <s v="France"/>
    <x v="15"/>
    <n v="106.15"/>
    <n v="12"/>
    <s v="In-Store"/>
    <n v="4"/>
    <n v="4"/>
    <n v="18"/>
    <s v="Low"/>
    <s v="Somewhat Sensitive"/>
    <n v="0"/>
    <x v="1"/>
    <s v="Medium"/>
    <x v="2"/>
    <s v="Cash"/>
    <d v="2024-03-30T00:00:00"/>
    <x v="0"/>
    <x v="1"/>
    <x v="2"/>
    <x v="1"/>
    <n v="8"/>
    <x v="0"/>
    <s v="Qtr-1"/>
  </r>
  <r>
    <s v="48-203-9118"/>
    <x v="6"/>
    <x v="0"/>
    <x v="0"/>
    <x v="0"/>
    <x v="1"/>
    <x v="1"/>
    <s v="High"/>
    <s v="Dongzhou"/>
    <s v="China"/>
    <x v="10"/>
    <n v="378.47"/>
    <n v="6"/>
    <s v="Online"/>
    <n v="5"/>
    <n v="2"/>
    <n v="19.8"/>
    <s v="Medium"/>
    <s v="Not Sensitive"/>
    <n v="0.16666666666666666"/>
    <x v="3"/>
    <s v="Low"/>
    <x v="0"/>
    <s v="Other"/>
    <d v="2024-12-08T00:00:00"/>
    <x v="1"/>
    <x v="0"/>
    <x v="3"/>
    <x v="2"/>
    <n v="2"/>
    <x v="6"/>
    <s v="Qtr-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72572F-2A93-43E8-A92C-E8145839277D}" name="Discount Usage vs. No Discount – Sales Volume &amp; Average Value "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7">
  <location ref="AG3:AI5" firstHeaderRow="0" firstDataRow="1" firstDataCol="1"/>
  <pivotFields count="32">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h="1" x="3"/>
        <item h="1" x="0"/>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4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5"/>
  </rowFields>
  <rowItems count="2">
    <i>
      <x/>
    </i>
    <i>
      <x v="1"/>
    </i>
  </rowItems>
  <colFields count="1">
    <field x="-2"/>
  </colFields>
  <colItems count="2">
    <i>
      <x/>
    </i>
    <i i="1">
      <x v="1"/>
    </i>
  </colItems>
  <dataFields count="2">
    <dataField name="Sum of Purchase_Amount (revenue)" fld="11" baseField="0" baseItem="0" numFmtId="44"/>
    <dataField name="Average of Purchase_Amount " fld="11" subtotal="average" baseField="25" baseItem="0" numFmtId="5"/>
  </dataFields>
  <formats count="9">
    <format dxfId="8">
      <pivotArea outline="0" collapsedLevelsAreSubtotals="1" fieldPosition="0"/>
    </format>
    <format dxfId="7">
      <pivotArea type="all" dataOnly="0" outline="0" fieldPosition="0"/>
    </format>
    <format dxfId="6">
      <pivotArea outline="0" collapsedLevelsAreSubtotals="1" fieldPosition="0"/>
    </format>
    <format dxfId="5">
      <pivotArea field="27" type="button" dataOnly="0" labelOnly="1" outline="0"/>
    </format>
    <format dxfId="4">
      <pivotArea dataOnly="0" labelOnly="1" outline="0" axis="axisValues" fieldPosition="0"/>
    </format>
    <format dxfId="3">
      <pivotArea field="27" type="button" dataOnly="0" labelOnly="1" outline="0"/>
    </format>
    <format dxfId="2">
      <pivotArea dataOnly="0" labelOnly="1" outline="0" axis="axisValues" fieldPosition="0"/>
    </format>
    <format dxfId="1">
      <pivotArea outline="0" collapsedLevelsAreSubtotals="1" fieldPosition="0"/>
    </format>
    <format dxfId="0">
      <pivotArea outline="0" fieldPosition="0">
        <references count="1">
          <reference field="4294967294" count="1">
            <x v="1"/>
          </reference>
        </references>
      </pivotArea>
    </format>
  </formats>
  <chartFormats count="14">
    <chartFormat chart="54" format="0" series="1">
      <pivotArea type="data" outline="0" fieldPosition="0">
        <references count="1">
          <reference field="4294967294" count="1" selected="0">
            <x v="0"/>
          </reference>
        </references>
      </pivotArea>
    </chartFormat>
    <chartFormat chart="57" format="5" series="1">
      <pivotArea type="data" outline="0" fieldPosition="0">
        <references count="1">
          <reference field="4294967294" count="1" selected="0">
            <x v="0"/>
          </reference>
        </references>
      </pivotArea>
    </chartFormat>
    <chartFormat chart="58" format="3"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2" format="8" series="1">
      <pivotArea type="data" outline="0" fieldPosition="0">
        <references count="1">
          <reference field="4294967294" count="1" selected="0">
            <x v="0"/>
          </reference>
        </references>
      </pivotArea>
    </chartFormat>
    <chartFormat chart="62" format="12" series="1">
      <pivotArea type="data" outline="0" fieldPosition="0">
        <references count="1">
          <reference field="4294967294" count="1" selected="0">
            <x v="1"/>
          </reference>
        </references>
      </pivotArea>
    </chartFormat>
    <chartFormat chart="59" format="4" series="1">
      <pivotArea type="data" outline="0" fieldPosition="0">
        <references count="1">
          <reference field="4294967294" count="1" selected="0">
            <x v="1"/>
          </reference>
        </references>
      </pivotArea>
    </chartFormat>
    <chartFormat chart="58" format="5" series="1">
      <pivotArea type="data" outline="0" fieldPosition="0">
        <references count="1">
          <reference field="4294967294" count="1" selected="0">
            <x v="1"/>
          </reference>
        </references>
      </pivotArea>
    </chartFormat>
    <chartFormat chart="59" format="5">
      <pivotArea type="data" outline="0" fieldPosition="0">
        <references count="2">
          <reference field="4294967294" count="1" selected="0">
            <x v="1"/>
          </reference>
          <reference field="25" count="1" selected="0">
            <x v="1"/>
          </reference>
        </references>
      </pivotArea>
    </chartFormat>
    <chartFormat chart="59" format="6">
      <pivotArea type="data" outline="0" fieldPosition="0">
        <references count="2">
          <reference field="4294967294" count="1" selected="0">
            <x v="1"/>
          </reference>
          <reference field="25" count="1" selected="0">
            <x v="0"/>
          </reference>
        </references>
      </pivotArea>
    </chartFormat>
    <chartFormat chart="65" format="11" series="1">
      <pivotArea type="data" outline="0" fieldPosition="0">
        <references count="1">
          <reference field="4294967294" count="1" selected="0">
            <x v="0"/>
          </reference>
        </references>
      </pivotArea>
    </chartFormat>
    <chartFormat chart="65" format="12" series="1">
      <pivotArea type="data" outline="0" fieldPosition="0">
        <references count="1">
          <reference field="4294967294" count="1" selected="0">
            <x v="1"/>
          </reference>
        </references>
      </pivotArea>
    </chartFormat>
    <chartFormat chart="65" format="13">
      <pivotArea type="data" outline="0" fieldPosition="0">
        <references count="2">
          <reference field="4294967294" count="1" selected="0">
            <x v="1"/>
          </reference>
          <reference field="25" count="1" selected="0">
            <x v="0"/>
          </reference>
        </references>
      </pivotArea>
    </chartFormat>
    <chartFormat chart="65" format="14">
      <pivotArea type="data" outline="0" fieldPosition="0">
        <references count="2">
          <reference field="4294967294" count="1" selected="0">
            <x v="1"/>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45555B-F526-4124-97E3-C2FA729FC487}" name="PivotTable8" cacheId="5"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3">
  <location ref="AU3:AV29" firstHeaderRow="1" firstDataRow="2" firstDataCol="1"/>
  <pivotFields count="32">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4">
        <item h="1" x="3"/>
        <item h="1" x="0"/>
        <item h="1" x="2"/>
        <item x="1"/>
      </items>
      <extLst>
        <ext xmlns:x14="http://schemas.microsoft.com/office/spreadsheetml/2009/9/main" uri="{2946ED86-A175-432a-8AC1-64E0C546D7DE}">
          <x14:pivotField fillDownLabels="1"/>
        </ext>
      </extLst>
    </pivotField>
    <pivotField compact="0" outline="0" showAll="0" defaultSubtotal="0">
      <items count="8">
        <item x="6"/>
        <item x="2"/>
        <item x="0"/>
        <item x="3"/>
        <item x="7"/>
        <item x="1"/>
        <item x="4"/>
        <item x="5"/>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4">
        <item x="9"/>
        <item x="17"/>
        <item x="15"/>
        <item x="21"/>
        <item x="5"/>
        <item x="20"/>
        <item x="13"/>
        <item x="1"/>
        <item x="4"/>
        <item x="0"/>
        <item x="19"/>
        <item x="10"/>
        <item x="18"/>
        <item x="3"/>
        <item x="11"/>
        <item x="23"/>
        <item x="8"/>
        <item x="7"/>
        <item x="2"/>
        <item x="12"/>
        <item x="14"/>
        <item x="6"/>
        <item x="16"/>
        <item x="22"/>
      </items>
      <extLst>
        <ext xmlns:x14="http://schemas.microsoft.com/office/spreadsheetml/2009/9/main" uri="{2946ED86-A175-432a-8AC1-64E0C546D7DE}">
          <x14:pivotField fillDownLabels="1"/>
        </ext>
      </extLst>
    </pivotField>
    <pivotField dataField="1" compact="0" numFmtId="4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1">
    <i>
      <x v="3"/>
    </i>
  </colItems>
  <dataFields count="1">
    <dataField name="Sum of Purchase_Amount " fld="11" baseField="0" baseItem="0" numFmtId="44"/>
  </dataFields>
  <formats count="20">
    <format dxfId="28">
      <pivotArea outline="0" collapsedLevelsAreSubtotals="1" fieldPosition="0"/>
    </format>
    <format dxfId="27">
      <pivotArea type="all" dataOnly="0" outline="0" fieldPosition="0"/>
    </format>
    <format dxfId="26">
      <pivotArea outline="0" collapsedLevelsAreSubtotals="1" fieldPosition="0"/>
    </format>
    <format dxfId="25">
      <pivotArea dataOnly="0" labelOnly="1" grandRow="1" outline="0" fieldPosition="0"/>
    </format>
    <format dxfId="24">
      <pivotArea field="10" type="button" dataOnly="0" labelOnly="1" outline="0" axis="axisRow"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type="origin" dataOnly="0" labelOnly="1" outline="0" fieldPosition="0"/>
    </format>
    <format dxfId="19">
      <pivotArea field="2" type="button" dataOnly="0" labelOnly="1" outline="0" axis="axisCol" fieldPosition="0"/>
    </format>
    <format dxfId="18">
      <pivotArea type="topRight" dataOnly="0" labelOnly="1" outline="0" fieldPosition="0"/>
    </format>
    <format dxfId="17">
      <pivotArea field="10" type="button" dataOnly="0" labelOnly="1" outline="0" axis="axisRow" fieldPosition="0"/>
    </format>
    <format dxfId="16">
      <pivotArea dataOnly="0" labelOnly="1" outline="0" fieldPosition="0">
        <references count="1">
          <reference field="10" count="0"/>
        </references>
      </pivotArea>
    </format>
    <format dxfId="15">
      <pivotArea dataOnly="0" labelOnly="1" grandRow="1" outline="0" fieldPosition="0"/>
    </format>
    <format dxfId="14">
      <pivotArea dataOnly="0" labelOnly="1" outline="0" fieldPosition="0">
        <references count="1">
          <reference field="2" count="0"/>
        </references>
      </pivotArea>
    </format>
    <format dxfId="13">
      <pivotArea type="all" dataOnly="0" outline="0" fieldPosition="0"/>
    </format>
    <format dxfId="12">
      <pivotArea type="all" dataOnly="0" outline="0" fieldPosition="0"/>
    </format>
    <format dxfId="11">
      <pivotArea dataOnly="0" outline="0" fieldPosition="0">
        <references count="1">
          <reference field="10" count="1">
            <x v="21"/>
          </reference>
        </references>
      </pivotArea>
    </format>
    <format dxfId="10">
      <pivotArea outline="0" fieldPosition="0">
        <references count="1">
          <reference field="10" count="1" selected="0">
            <x v="21"/>
          </reference>
        </references>
      </pivotArea>
    </format>
    <format dxfId="9">
      <pivotArea dataOnly="0" labelOnly="1" outline="0" fieldPosition="0">
        <references count="1">
          <reference field="10" count="1">
            <x v="21"/>
          </reference>
        </references>
      </pivotArea>
    </format>
  </formats>
  <conditionalFormats count="1">
    <conditionalFormat priority="1">
      <pivotAreas count="1">
        <pivotArea type="data" outline="0" collapsedLevelsAreSubtotals="1" fieldPosition="0">
          <references count="2">
            <reference field="4294967294" count="1" selected="0">
              <x v="0"/>
            </reference>
            <reference field="10" count="24" selected="0">
              <x v="0"/>
              <x v="1"/>
              <x v="2"/>
              <x v="3"/>
              <x v="4"/>
              <x v="5"/>
              <x v="6"/>
              <x v="7"/>
              <x v="8"/>
              <x v="9"/>
              <x v="10"/>
              <x v="11"/>
              <x v="12"/>
              <x v="13"/>
              <x v="14"/>
              <x v="15"/>
              <x v="16"/>
              <x v="17"/>
              <x v="18"/>
              <x v="19"/>
              <x v="20"/>
              <x v="21"/>
              <x v="22"/>
              <x v="2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EED773-94C7-4571-82CF-A27E035F20B8}" name="Average Purchase Amount Per Shipping Preferenc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1:C25"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dataField="1" numFmtId="44" showAll="0"/>
    <pivotField showAll="0"/>
    <pivotField showAll="0"/>
    <pivotField showAll="0"/>
    <pivotField showAll="0"/>
    <pivotField showAll="0"/>
    <pivotField showAll="0"/>
    <pivotField showAll="0"/>
    <pivotField numFmtId="9" showAll="0"/>
    <pivotField showAll="0"/>
    <pivotField showAll="0"/>
    <pivotField showAll="0"/>
    <pivotField showAll="0"/>
    <pivotField numFmtId="14" showAll="0"/>
    <pivotField showAll="0"/>
    <pivotField showAll="0"/>
    <pivotField showAll="0"/>
    <pivotField axis="axisRow" showAll="0">
      <items count="4">
        <item x="1"/>
        <item x="2"/>
        <item x="0"/>
        <item t="default"/>
      </items>
    </pivotField>
    <pivotField showAll="0"/>
    <pivotField showAll="0"/>
    <pivotField showAll="0"/>
    <pivotField showAll="0"/>
  </pivotFields>
  <rowFields count="1">
    <field x="28"/>
  </rowFields>
  <rowItems count="4">
    <i>
      <x/>
    </i>
    <i>
      <x v="1"/>
    </i>
    <i>
      <x v="2"/>
    </i>
    <i t="grand">
      <x/>
    </i>
  </rowItems>
  <colItems count="1">
    <i/>
  </colItems>
  <dataFields count="1">
    <dataField name="Average of Purchase_Amount " fld="11" subtotal="average" baseField="28" baseItem="1" numFmtId="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FC8B28-BF94-42B6-BAF3-86E4C0B3B9AF}" name="PivotTable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8">
  <location ref="AG22:AI47" firstHeaderRow="1" firstDataRow="2" firstDataCol="1"/>
  <pivotFields count="32">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h="1" x="3"/>
        <item h="1" x="0"/>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4">
        <item x="9"/>
        <item x="17"/>
        <item x="15"/>
        <item x="21"/>
        <item x="5"/>
        <item x="20"/>
        <item x="13"/>
        <item x="1"/>
        <item x="4"/>
        <item x="0"/>
        <item x="19"/>
        <item x="10"/>
        <item x="18"/>
        <item x="3"/>
        <item x="11"/>
        <item x="23"/>
        <item x="8"/>
        <item x="7"/>
        <item x="2"/>
        <item x="12"/>
        <item x="14"/>
        <item x="6"/>
        <item x="16"/>
        <item x="22"/>
      </items>
      <extLst>
        <ext xmlns:x14="http://schemas.microsoft.com/office/spreadsheetml/2009/9/main" uri="{2946ED86-A175-432a-8AC1-64E0C546D7DE}">
          <x14:pivotField fillDownLabels="1"/>
        </ext>
      </extLst>
    </pivotField>
    <pivotField dataField="1" compact="0" numFmtId="4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0"/>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25"/>
  </colFields>
  <colItems count="2">
    <i>
      <x/>
    </i>
    <i>
      <x v="1"/>
    </i>
  </colItems>
  <dataFields count="1">
    <dataField name="Average of Purchase_Amount (revenue)" fld="11" subtotal="average" baseField="25" baseItem="0" numFmtId="44"/>
  </dataFields>
  <formats count="30">
    <format dxfId="58">
      <pivotArea outline="0" collapsedLevelsAreSubtotals="1" fieldPosition="0"/>
    </format>
    <format dxfId="57">
      <pivotArea type="all" dataOnly="0" outline="0" fieldPosition="0"/>
    </format>
    <format dxfId="56">
      <pivotArea outline="0" collapsedLevelsAreSubtotals="1" fieldPosition="0"/>
    </format>
    <format dxfId="55">
      <pivotArea field="27" type="button" dataOnly="0" labelOnly="1" outline="0"/>
    </format>
    <format dxfId="54">
      <pivotArea dataOnly="0" labelOnly="1" outline="0" axis="axisValues" fieldPosition="0"/>
    </format>
    <format dxfId="53">
      <pivotArea field="27" type="button" dataOnly="0" labelOnly="1" outline="0"/>
    </format>
    <format dxfId="52">
      <pivotArea dataOnly="0" labelOnly="1" outline="0" axis="axisValues"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25" type="button" dataOnly="0" labelOnly="1" outline="0" axis="axisCol" fieldPosition="0"/>
    </format>
    <format dxfId="46">
      <pivotArea type="topRight" dataOnly="0" labelOnly="1" outline="0" fieldPosition="0"/>
    </format>
    <format dxfId="45">
      <pivotArea field="10" type="button" dataOnly="0" labelOnly="1" outline="0" axis="axisRow" fieldPosition="0"/>
    </format>
    <format dxfId="44">
      <pivotArea dataOnly="0" labelOnly="1" outline="0" fieldPosition="0">
        <references count="1">
          <reference field="10" count="0"/>
        </references>
      </pivotArea>
    </format>
    <format dxfId="43">
      <pivotArea dataOnly="0" labelOnly="1" outline="0" fieldPosition="0">
        <references count="1">
          <reference field="25" count="0"/>
        </references>
      </pivotArea>
    </format>
    <format dxfId="42">
      <pivotArea type="all" dataOnly="0" outline="0" fieldPosition="0"/>
    </format>
    <format dxfId="41">
      <pivotArea outline="0" collapsedLevelsAreSubtotals="1" fieldPosition="0"/>
    </format>
    <format dxfId="40">
      <pivotArea type="origin" dataOnly="0" labelOnly="1" outline="0" fieldPosition="0"/>
    </format>
    <format dxfId="39">
      <pivotArea field="25" type="button" dataOnly="0" labelOnly="1" outline="0" axis="axisCol" fieldPosition="0"/>
    </format>
    <format dxfId="38">
      <pivotArea type="topRight" dataOnly="0" labelOnly="1" outline="0" fieldPosition="0"/>
    </format>
    <format dxfId="37">
      <pivotArea field="10" type="button" dataOnly="0" labelOnly="1" outline="0" axis="axisRow" fieldPosition="0"/>
    </format>
    <format dxfId="36">
      <pivotArea dataOnly="0" labelOnly="1" outline="0" fieldPosition="0">
        <references count="1">
          <reference field="10" count="0"/>
        </references>
      </pivotArea>
    </format>
    <format dxfId="35">
      <pivotArea dataOnly="0" labelOnly="1" outline="0" fieldPosition="0">
        <references count="1">
          <reference field="25" count="0"/>
        </references>
      </pivotArea>
    </format>
    <format dxfId="34">
      <pivotArea outline="0" fieldPosition="0">
        <references count="1">
          <reference field="25" count="1" selected="0">
            <x v="0"/>
          </reference>
        </references>
      </pivotArea>
    </format>
    <format dxfId="33">
      <pivotArea dataOnly="0" labelOnly="1" outline="0" fieldPosition="0">
        <references count="1">
          <reference field="25" count="1">
            <x v="0"/>
          </reference>
        </references>
      </pivotArea>
    </format>
    <format dxfId="32">
      <pivotArea outline="0" fieldPosition="0">
        <references count="1">
          <reference field="25" count="1" selected="0">
            <x v="0"/>
          </reference>
        </references>
      </pivotArea>
    </format>
    <format dxfId="31">
      <pivotArea dataOnly="0" labelOnly="1" outline="0" fieldPosition="0">
        <references count="1">
          <reference field="25" count="1">
            <x v="0"/>
          </reference>
        </references>
      </pivotArea>
    </format>
    <format dxfId="30">
      <pivotArea field="10" type="button" dataOnly="0" labelOnly="1" outline="0" axis="axisRow" fieldPosition="0"/>
    </format>
    <format dxfId="29">
      <pivotArea dataOnly="0" labelOnly="1" outline="0" fieldPosition="0">
        <references count="1">
          <reference field="25" count="0"/>
        </references>
      </pivotArea>
    </format>
  </formats>
  <chartFormats count="1">
    <chartFormat chart="5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48190E-C4CD-4B4C-85EE-F4AD7629488D}" name="return_rate_per_category " cacheId="5"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1">
  <location ref="BN3:BO14" firstHeaderRow="1" firstDataRow="1" firstDataCol="1"/>
  <pivotFields count="32">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h="1" x="3"/>
        <item h="1" x="0"/>
        <item h="1" x="2"/>
        <item x="1"/>
      </items>
      <extLst>
        <ext xmlns:x14="http://schemas.microsoft.com/office/spreadsheetml/2009/9/main" uri="{2946ED86-A175-432a-8AC1-64E0C546D7DE}">
          <x14:pivotField fillDownLabels="1"/>
        </ext>
      </extLst>
    </pivotField>
    <pivotField compact="0" outline="0" showAll="0" defaultSubtotal="0">
      <items count="8">
        <item x="6"/>
        <item x="2"/>
        <item x="0"/>
        <item x="3"/>
        <item x="7"/>
        <item x="1"/>
        <item x="4"/>
        <item x="5"/>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measureFilter="1" sortType="descending" defaultSubtotal="0">
      <items count="24">
        <item x="22"/>
        <item x="16"/>
        <item x="6"/>
        <item x="14"/>
        <item x="12"/>
        <item x="2"/>
        <item x="7"/>
        <item x="8"/>
        <item x="23"/>
        <item x="11"/>
        <item x="3"/>
        <item x="18"/>
        <item x="10"/>
        <item x="19"/>
        <item x="0"/>
        <item x="4"/>
        <item x="1"/>
        <item x="13"/>
        <item x="20"/>
        <item x="5"/>
        <item x="21"/>
        <item x="15"/>
        <item x="17"/>
        <item x="9"/>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numFmtId="4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0"/>
  </rowFields>
  <rowItems count="11">
    <i>
      <x v="3"/>
    </i>
    <i>
      <x/>
    </i>
    <i>
      <x v="19"/>
    </i>
    <i>
      <x v="8"/>
    </i>
    <i>
      <x v="6"/>
    </i>
    <i>
      <x v="13"/>
    </i>
    <i>
      <x v="14"/>
    </i>
    <i>
      <x v="9"/>
    </i>
    <i>
      <x v="23"/>
    </i>
    <i>
      <x v="20"/>
    </i>
    <i t="grand">
      <x/>
    </i>
  </rowItems>
  <colItems count="1">
    <i/>
  </colItems>
  <dataFields count="1">
    <dataField name="Average of Return_Rate" fld="19" subtotal="average" baseField="10" baseItem="0" numFmtId="9"/>
  </dataFields>
  <formats count="8">
    <format dxfId="66">
      <pivotArea outline="0" collapsedLevelsAreSubtotals="1" fieldPosition="0"/>
    </format>
    <format dxfId="65">
      <pivotArea type="all" dataOnly="0" outline="0" fieldPosition="0"/>
    </format>
    <format dxfId="64">
      <pivotArea outline="0" collapsedLevelsAreSubtotals="1" fieldPosition="0"/>
    </format>
    <format dxfId="63">
      <pivotArea dataOnly="0" labelOnly="1" grandRow="1" outline="0" fieldPosition="0"/>
    </format>
    <format dxfId="62">
      <pivotArea field="10" type="button" dataOnly="0" labelOnly="1" outline="0" axis="axisRow" fieldPosition="0"/>
    </format>
    <format dxfId="61">
      <pivotArea dataOnly="0" labelOnly="1" outline="0" axis="axisValues" fieldPosition="0"/>
    </format>
    <format dxfId="60">
      <pivotArea outline="0" fieldPosition="0">
        <references count="1">
          <reference field="10" count="22" selected="0">
            <x v="2"/>
            <x v="3"/>
            <x v="4"/>
            <x v="5"/>
            <x v="6"/>
            <x v="7"/>
            <x v="8"/>
            <x v="9"/>
            <x v="10"/>
            <x v="11"/>
            <x v="12"/>
            <x v="13"/>
            <x v="14"/>
            <x v="15"/>
            <x v="16"/>
            <x v="17"/>
            <x v="18"/>
            <x v="19"/>
            <x v="20"/>
            <x v="21"/>
            <x v="22"/>
            <x v="23"/>
          </reference>
        </references>
      </pivotArea>
    </format>
    <format dxfId="59">
      <pivotArea outline="0" fieldPosition="0">
        <references count="1">
          <reference field="10" count="1" selected="0">
            <x v="0"/>
          </reference>
        </references>
      </pivotArea>
    </format>
  </formats>
  <chartFormats count="4">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B995AD-4D77-4334-A475-16B410A8AFC6}" name="pvt_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3">
  <location ref="B3:D6" firstHeaderRow="0" firstDataRow="1" firstDataCol="1"/>
  <pivotFields count="32">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h="1" x="3"/>
        <item h="1" x="0"/>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dataField="1" compact="0" outline="0" showAll="0" defaultSubtotal="0">
      <items count="10">
        <item x="2"/>
        <item x="6"/>
        <item x="4"/>
        <item x="7"/>
        <item x="1"/>
        <item x="9"/>
        <item x="0"/>
        <item x="8"/>
        <item x="5"/>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8"/>
  </rowFields>
  <rowItems count="3">
    <i>
      <x/>
    </i>
    <i>
      <x v="1"/>
    </i>
    <i>
      <x v="2"/>
    </i>
  </rowItems>
  <colFields count="1">
    <field x="-2"/>
  </colFields>
  <colItems count="2">
    <i>
      <x/>
    </i>
    <i i="1">
      <x v="1"/>
    </i>
  </colItems>
  <dataFields count="2">
    <dataField name="Count of Customer_ID" fld="0" subtotal="count" baseField="0" baseItem="0"/>
    <dataField name="Average of Customer_Satisfaction" fld="20" subtotal="average" baseField="28" baseItem="1"/>
  </dataFields>
  <formats count="5">
    <format dxfId="71">
      <pivotArea outline="0" collapsedLevelsAreSubtotals="1" fieldPosition="0"/>
    </format>
    <format dxfId="70">
      <pivotArea type="all" dataOnly="0" outline="0" fieldPosition="0"/>
    </format>
    <format dxfId="69">
      <pivotArea outline="0" collapsedLevelsAreSubtotals="1" fieldPosition="0"/>
    </format>
    <format dxfId="68">
      <pivotArea dataOnly="0" labelOnly="1" outline="0" fieldPosition="0">
        <references count="1">
          <reference field="28" count="0"/>
        </references>
      </pivotArea>
    </format>
    <format dxfId="67">
      <pivotArea field="28" type="button" dataOnly="0" labelOnly="1" outline="0" axis="axisRow" fieldPosition="0"/>
    </format>
  </formats>
  <chartFormats count="11">
    <chartFormat chart="58" format="33"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4" format="3" series="1">
      <pivotArea type="data" outline="0" fieldPosition="0">
        <references count="1">
          <reference field="4294967294" count="1" selected="0">
            <x v="1"/>
          </reference>
        </references>
      </pivotArea>
    </chartFormat>
    <chartFormat chart="58" format="36" series="1">
      <pivotArea type="data" outline="0" fieldPosition="0">
        <references count="1">
          <reference field="4294967294" count="1" selected="0">
            <x v="1"/>
          </reference>
        </references>
      </pivotArea>
    </chartFormat>
    <chartFormat chart="64" format="4">
      <pivotArea type="data" outline="0" fieldPosition="0">
        <references count="2">
          <reference field="4294967294" count="1" selected="0">
            <x v="1"/>
          </reference>
          <reference field="28" count="1" selected="0">
            <x v="0"/>
          </reference>
        </references>
      </pivotArea>
    </chartFormat>
    <chartFormat chart="64" format="5">
      <pivotArea type="data" outline="0" fieldPosition="0">
        <references count="2">
          <reference field="4294967294" count="1" selected="0">
            <x v="1"/>
          </reference>
          <reference field="28" count="1" selected="0">
            <x v="1"/>
          </reference>
        </references>
      </pivotArea>
    </chartFormat>
    <chartFormat chart="64" format="6">
      <pivotArea type="data" outline="0" fieldPosition="0">
        <references count="2">
          <reference field="4294967294" count="1" selected="0">
            <x v="1"/>
          </reference>
          <reference field="28" count="1" selected="0">
            <x v="2"/>
          </reference>
        </references>
      </pivotArea>
    </chartFormat>
    <chartFormat chart="76" format="9" series="1">
      <pivotArea type="data" outline="0" fieldPosition="0">
        <references count="1">
          <reference field="4294967294" count="1" selected="0">
            <x v="1"/>
          </reference>
        </references>
      </pivotArea>
    </chartFormat>
    <chartFormat chart="76" format="10" series="1">
      <pivotArea type="data" outline="0" fieldPosition="0">
        <references count="1">
          <reference field="4294967294" count="1" selected="0">
            <x v="0"/>
          </reference>
        </references>
      </pivotArea>
    </chartFormat>
    <chartFormat chart="78" format="39" series="1">
      <pivotArea type="data" outline="0" fieldPosition="0">
        <references count="1">
          <reference field="4294967294" count="1" selected="0">
            <x v="0"/>
          </reference>
        </references>
      </pivotArea>
    </chartFormat>
    <chartFormat chart="78" format="4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89D89A-CB3F-4091-B77F-1968048E99DA}" name="Revenue_Contribution_by_Purchase_Intent "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5">
  <location ref="R4:S8" firstHeaderRow="1" firstDataRow="1" firstDataCol="1"/>
  <pivotFields count="32">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h="1" x="3"/>
        <item h="1" x="0"/>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4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7"/>
  </rowFields>
  <rowItems count="4">
    <i>
      <x/>
    </i>
    <i>
      <x v="1"/>
    </i>
    <i>
      <x v="2"/>
    </i>
    <i>
      <x v="3"/>
    </i>
  </rowItems>
  <colItems count="1">
    <i/>
  </colItems>
  <dataFields count="1">
    <dataField name="Sum of Purchase_Amount " fld="11" showDataAs="percentOfCol" baseField="0" baseItem="0" numFmtId="169"/>
  </dataFields>
  <formats count="11">
    <format dxfId="82">
      <pivotArea outline="0" collapsedLevelsAreSubtotals="1" fieldPosition="0"/>
    </format>
    <format dxfId="81">
      <pivotArea type="all" dataOnly="0" outline="0" fieldPosition="0"/>
    </format>
    <format dxfId="80">
      <pivotArea outline="0" collapsedLevelsAreSubtotals="1" fieldPosition="0"/>
    </format>
    <format dxfId="79">
      <pivotArea field="27" type="button" dataOnly="0" labelOnly="1" outline="0" axis="axisRow" fieldPosition="0"/>
    </format>
    <format dxfId="78">
      <pivotArea dataOnly="0" labelOnly="1" outline="0" fieldPosition="0">
        <references count="1">
          <reference field="27" count="0"/>
        </references>
      </pivotArea>
    </format>
    <format dxfId="77">
      <pivotArea dataOnly="0" labelOnly="1" outline="0" axis="axisValues" fieldPosition="0"/>
    </format>
    <format dxfId="76">
      <pivotArea field="27" type="button" dataOnly="0" labelOnly="1" outline="0" axis="axisRow" fieldPosition="0"/>
    </format>
    <format dxfId="75">
      <pivotArea dataOnly="0" labelOnly="1" outline="0" axis="axisValues" fieldPosition="0"/>
    </format>
    <format dxfId="74">
      <pivotArea outline="0" collapsedLevelsAreSubtotals="1" fieldPosition="0"/>
    </format>
    <format dxfId="73">
      <pivotArea outline="0" fieldPosition="0">
        <references count="1">
          <reference field="27" count="1" selected="0">
            <x v="1"/>
          </reference>
        </references>
      </pivotArea>
    </format>
    <format dxfId="72">
      <pivotArea outline="0" fieldPosition="0">
        <references count="1">
          <reference field="4294967294" count="1">
            <x v="0"/>
          </reference>
        </references>
      </pivotArea>
    </format>
  </formats>
  <chartFormats count="7">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9" format="4" series="1">
      <pivotArea type="data" outline="0" fieldPosition="0">
        <references count="1">
          <reference field="4294967294" count="1" selected="0">
            <x v="0"/>
          </reference>
        </references>
      </pivotArea>
    </chartFormat>
    <chartFormat chart="61" format="1"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 chart="63" format="3" series="1">
      <pivotArea type="data" outline="0" fieldPosition="0">
        <references count="1">
          <reference field="4294967294" count="1" selected="0">
            <x v="0"/>
          </reference>
        </references>
      </pivotArea>
    </chartFormat>
    <chartFormat chart="63" format="4">
      <pivotArea type="data" outline="0" fieldPosition="0">
        <references count="2">
          <reference field="4294967294" count="1" selected="0">
            <x v="0"/>
          </reference>
          <reference field="2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0C9EC7B3-0D4C-4B67-8B57-86E9A973F0F5}" sourceName="Age Category">
  <pivotTables>
    <pivotTable tabId="21" name="pvt_7"/>
    <pivotTable tabId="21" name="Revenue_Contribution_by_Purchase_Intent "/>
    <pivotTable tabId="21" name="Discount Usage vs. No Discount – Sales Volume &amp; Average Value "/>
    <pivotTable tabId="21" name="PivotTable7"/>
    <pivotTable tabId="21" name="PivotTable8"/>
    <pivotTable tabId="21" name="return_rate_per_category "/>
  </pivotTables>
  <data>
    <tabular pivotCacheId="1921350787">
      <items count="4">
        <i x="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1" xr10:uid="{35188654-771F-4B8E-BED5-2786790E537E}" cache="Slicer_Age_Category" caption="Age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2" xr10:uid="{CBB18925-7BC2-4EE7-97FC-4A9EF1F12D84}" cache="Slicer_Age_Category" caption="Age Category" columnCount="2" rowHeight="241788"/>
  <slicer name="Age Category" xr10:uid="{568BD494-DD91-4107-A448-B6046A37E8D1}" cache="Slicer_Age_Category" caption="Age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OriginalData" displayName="tbl_OriginalData" ref="A1:AB998" totalsRowShown="0">
  <autoFilter ref="A1:AB998" xr:uid="{00000000-0009-0000-0100-000001000000}"/>
  <tableColumns count="28">
    <tableColumn id="1" xr3:uid="{00000000-0010-0000-0000-000001000000}" name="Customer_ID"/>
    <tableColumn id="2" xr3:uid="{00000000-0010-0000-0000-000002000000}" name="Age"/>
    <tableColumn id="3" xr3:uid="{00000000-0010-0000-0000-000003000000}" name="Gender"/>
    <tableColumn id="4" xr3:uid="{00000000-0010-0000-0000-000004000000}" name="Income_Level"/>
    <tableColumn id="5" xr3:uid="{00000000-0010-0000-0000-000005000000}" name="Marital_Status"/>
    <tableColumn id="6" xr3:uid="{00000000-0010-0000-0000-000006000000}" name="Education_Level"/>
    <tableColumn id="7" xr3:uid="{00000000-0010-0000-0000-000007000000}" name="Occupation"/>
    <tableColumn id="8" xr3:uid="{00000000-0010-0000-0000-000008000000}" name="Location"/>
    <tableColumn id="9" xr3:uid="{00000000-0010-0000-0000-000009000000}" name="Purchase_Category"/>
    <tableColumn id="10" xr3:uid="{00000000-0010-0000-0000-00000A000000}" name="Purchase_Amount"/>
    <tableColumn id="11" xr3:uid="{00000000-0010-0000-0000-00000B000000}" name="Frequency_of_Purchase"/>
    <tableColumn id="12" xr3:uid="{00000000-0010-0000-0000-00000C000000}" name="Purchase_Channel"/>
    <tableColumn id="13" xr3:uid="{00000000-0010-0000-0000-00000D000000}" name="Brand_Loyalty"/>
    <tableColumn id="14" xr3:uid="{00000000-0010-0000-0000-00000E000000}" name="Product_Rating"/>
    <tableColumn id="15" xr3:uid="{00000000-0010-0000-0000-00000F000000}" name="Time_Spent_on_Product_Research(hours)"/>
    <tableColumn id="16" xr3:uid="{00000000-0010-0000-0000-000010000000}" name="Social_Media_Influence"/>
    <tableColumn id="17" xr3:uid="{00000000-0010-0000-0000-000011000000}" name="Discount_Sensitivity"/>
    <tableColumn id="18" xr3:uid="{00000000-0010-0000-0000-000012000000}" name="Return_Rate"/>
    <tableColumn id="19" xr3:uid="{00000000-0010-0000-0000-000013000000}" name="Customer_Satisfaction"/>
    <tableColumn id="20" xr3:uid="{00000000-0010-0000-0000-000014000000}" name="Engagement_with_Ads"/>
    <tableColumn id="21" xr3:uid="{00000000-0010-0000-0000-000015000000}" name="Device_Used_for_Shopping"/>
    <tableColumn id="22" xr3:uid="{00000000-0010-0000-0000-000016000000}" name="Payment_Method"/>
    <tableColumn id="23" xr3:uid="{00000000-0010-0000-0000-000017000000}" name="Time_of_Purchase" dataDxfId="93"/>
    <tableColumn id="24" xr3:uid="{00000000-0010-0000-0000-000018000000}" name="Discount_Used"/>
    <tableColumn id="25" xr3:uid="{00000000-0010-0000-0000-000019000000}" name="Customer_Loyalty_Program_Member"/>
    <tableColumn id="26" xr3:uid="{00000000-0010-0000-0000-00001A000000}" name="Purchase_Intent"/>
    <tableColumn id="27" xr3:uid="{00000000-0010-0000-0000-00001B000000}" name="Shipping_Preference"/>
    <tableColumn id="28" xr3:uid="{00000000-0010-0000-0000-00001C000000}" name="Time_to_Decis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CleanedData" displayName="tbl_CleanedData" ref="AF1:BL999" totalsRowCount="1">
  <autoFilter ref="AF1:BL998" xr:uid="{00000000-0009-0000-0100-000002000000}"/>
  <tableColumns count="33">
    <tableColumn id="1" xr3:uid="{00000000-0010-0000-0100-000001000000}" name="Customer_ID" totalsRowLabel="Total">
      <calculatedColumnFormula>tbl_OriginalData[[#This Row],[Customer_ID]]</calculatedColumnFormula>
    </tableColumn>
    <tableColumn id="2" xr3:uid="{00000000-0010-0000-0100-000002000000}" name="Age">
      <calculatedColumnFormula>tbl_OriginalData[[#This Row],[Age]]</calculatedColumnFormula>
    </tableColumn>
    <tableColumn id="30" xr3:uid="{C3004945-9D2B-435F-A206-01F0D707F82C}" name="Age Category" dataDxfId="92">
      <calculatedColumnFormula array="1">_xlfn.IFS(AND(tbl_CleanedData[[#This Row],[Age]]&lt;20,tbl_CleanedData[[#This Row],[Age]]&gt;=10),"10-19",AND(tbl_CleanedData[[#This Row],[Age]]&lt;30,tbl_CleanedData[[#This Row],[Age]]&gt;=20),"20-29",AND(tbl_CleanedData[[#This Row],[Age]]&lt;40,tbl_CleanedData[[#This Row],[Age]]&gt;=30),"30-39",AND(tbl_CleanedData[[#This Row],[Age]]&lt;=50,tbl_CleanedData[[#This Row],[Age]]&gt;=40),"40-50")</calculatedColumnFormula>
    </tableColumn>
    <tableColumn id="3" xr3:uid="{00000000-0010-0000-0100-000003000000}" name="Gender">
      <calculatedColumnFormula>tbl_OriginalData[[#This Row],[Gender]]</calculatedColumnFormula>
    </tableColumn>
    <tableColumn id="4" xr3:uid="{00000000-0010-0000-0100-000004000000}" name="Income_Level">
      <calculatedColumnFormula>tbl_OriginalData[[#This Row],[Income_Level]]</calculatedColumnFormula>
    </tableColumn>
    <tableColumn id="5" xr3:uid="{00000000-0010-0000-0100-000005000000}" name="Marital_Status">
      <calculatedColumnFormula>tbl_OriginalData[[#This Row],[Marital_Status]]</calculatedColumnFormula>
    </tableColumn>
    <tableColumn id="6" xr3:uid="{00000000-0010-0000-0100-000006000000}" name="Education_Level">
      <calculatedColumnFormula>tbl_OriginalData[[#This Row],[Education_Level]]</calculatedColumnFormula>
    </tableColumn>
    <tableColumn id="7" xr3:uid="{00000000-0010-0000-0100-000007000000}" name="Occupation">
      <calculatedColumnFormula>tbl_OriginalData[[#This Row],[Occupation]]</calculatedColumnFormula>
    </tableColumn>
    <tableColumn id="8" xr3:uid="{00000000-0010-0000-0100-000008000000}" name="City"/>
    <tableColumn id="9" xr3:uid="{00000000-0010-0000-0100-000009000000}" name="Country"/>
    <tableColumn id="10" xr3:uid="{00000000-0010-0000-0100-00000A000000}" name="Purchase_Category" dataDxfId="91">
      <calculatedColumnFormula>tbl_OriginalData[[#This Row],[Purchase_Category]]</calculatedColumnFormula>
    </tableColumn>
    <tableColumn id="11" xr3:uid="{00000000-0010-0000-0100-00000B000000}" name="Purchase_Amount " totalsRowFunction="sum" totalsRowDxfId="90" dataCellStyle="Currency">
      <calculatedColumnFormula>tbl_OriginalData[[#This Row],[Purchase_Amount]]</calculatedColumnFormula>
    </tableColumn>
    <tableColumn id="12" xr3:uid="{00000000-0010-0000-0100-00000C000000}" name="Frequency_of_Purchase">
      <calculatedColumnFormula>tbl_OriginalData[[#This Row],[Frequency_of_Purchase]]</calculatedColumnFormula>
    </tableColumn>
    <tableColumn id="13" xr3:uid="{00000000-0010-0000-0100-00000D000000}" name="Purchase_Channel">
      <calculatedColumnFormula>tbl_OriginalData[[#This Row],[Purchase_Channel]]</calculatedColumnFormula>
    </tableColumn>
    <tableColumn id="14" xr3:uid="{00000000-0010-0000-0100-00000E000000}" name="Brand_Loyalty">
      <calculatedColumnFormula>tbl_OriginalData[[#This Row],[Brand_Loyalty]]</calculatedColumnFormula>
    </tableColumn>
    <tableColumn id="15" xr3:uid="{00000000-0010-0000-0100-00000F000000}" name="Product_Rating">
      <calculatedColumnFormula>tbl_OriginalData[[#This Row],[Product_Rating]]</calculatedColumnFormula>
    </tableColumn>
    <tableColumn id="16" xr3:uid="{00000000-0010-0000-0100-000010000000}" name="Time_Spent_on_Product_Research(Minutes)" dataDxfId="89">
      <calculatedColumnFormula>tbl_OriginalData[[#This Row],[Time_Spent_on_Product_Research(hours)]]*60</calculatedColumnFormula>
    </tableColumn>
    <tableColumn id="17" xr3:uid="{00000000-0010-0000-0100-000011000000}" name="Social_Media_Influence" dataDxfId="88">
      <calculatedColumnFormula>tbl_OriginalData[[#This Row],[Social_Media_Influence]]</calculatedColumnFormula>
    </tableColumn>
    <tableColumn id="18" xr3:uid="{00000000-0010-0000-0100-000012000000}" name="Discount_Sensitivity">
      <calculatedColumnFormula>tbl_OriginalData[[#This Row],[Discount_Sensitivity]]</calculatedColumnFormula>
    </tableColumn>
    <tableColumn id="19" xr3:uid="{00000000-0010-0000-0100-000013000000}" name="Return_Rate" dataDxfId="87">
      <calculatedColumnFormula>tbl_OriginalData[[#This Row],[Return_Rate]]/tbl_OriginalData[[#This Row],[Frequency_of_Purchase]]</calculatedColumnFormula>
    </tableColumn>
    <tableColumn id="20" xr3:uid="{00000000-0010-0000-0100-000014000000}" name="Customer_Satisfaction" dataDxfId="86">
      <calculatedColumnFormula>tbl_OriginalData[[#This Row],[Customer_Satisfaction]]</calculatedColumnFormula>
    </tableColumn>
    <tableColumn id="21" xr3:uid="{00000000-0010-0000-0100-000015000000}" name="Engagement_with_Ads">
      <calculatedColumnFormula>tbl_OriginalData[[#This Row],[Engagement_with_Ads]]</calculatedColumnFormula>
    </tableColumn>
    <tableColumn id="22" xr3:uid="{00000000-0010-0000-0100-000016000000}" name="Device_Used_for_Shopping">
      <calculatedColumnFormula>tbl_OriginalData[[#This Row],[Device_Used_for_Shopping]]</calculatedColumnFormula>
    </tableColumn>
    <tableColumn id="23" xr3:uid="{00000000-0010-0000-0100-000017000000}" name="Payment_Method">
      <calculatedColumnFormula>tbl_OriginalData[[#This Row],[Payment_Method]]</calculatedColumnFormula>
    </tableColumn>
    <tableColumn id="24" xr3:uid="{00000000-0010-0000-0100-000018000000}" name="Time_of_Purchase" dataDxfId="85">
      <calculatedColumnFormula>tbl_OriginalData[[#This Row],[Time_of_Purchase]]</calculatedColumnFormula>
    </tableColumn>
    <tableColumn id="25" xr3:uid="{00000000-0010-0000-0100-000019000000}" name="Discount_Used" dataDxfId="84">
      <calculatedColumnFormula>IF(tbl_OriginalData[[#This Row],[Discount_Used]]=TRUE,"Yes","No")</calculatedColumnFormula>
    </tableColumn>
    <tableColumn id="26" xr3:uid="{00000000-0010-0000-0100-00001A000000}" name="Customer_Loyalty_Program_Member">
      <calculatedColumnFormula>IF(tbl_OriginalData[[#This Row],[Customer_Loyalty_Program_Member]]=TRUE,"Yes","No")</calculatedColumnFormula>
    </tableColumn>
    <tableColumn id="27" xr3:uid="{00000000-0010-0000-0100-00001B000000}" name="Purchase_Intent" dataDxfId="83">
      <calculatedColumnFormula>tbl_OriginalData[[#This Row],[Purchase_Intent]]</calculatedColumnFormula>
    </tableColumn>
    <tableColumn id="28" xr3:uid="{00000000-0010-0000-0100-00001C000000}" name="Shipping_Preference">
      <calculatedColumnFormula>tbl_OriginalData[[#This Row],[Shipping_Preference]]</calculatedColumnFormula>
    </tableColumn>
    <tableColumn id="29" xr3:uid="{00000000-0010-0000-0100-00001D000000}" name="Time_to_Decision">
      <calculatedColumnFormula>tbl_OriginalData[[#This Row],[Time_to_Decision]]</calculatedColumnFormula>
    </tableColumn>
    <tableColumn id="31" xr3:uid="{00000000-0010-0000-0100-00001F000000}" name="Purchase_Month"/>
    <tableColumn id="32" xr3:uid="{00000000-0010-0000-0100-000020000000}" name="Purchase_Quarter" totalsRowFunction="count"/>
    <tableColumn id="33" xr3:uid="{0E78AFCA-D3AC-4E8C-961A-3B68E3705079}" name="Continen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hatgpt.com/share/689e14be-3640-800a-9a73-c71c71415981" TargetMode="Externa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1"/>
  <sheetViews>
    <sheetView workbookViewId="0">
      <selection activeCell="O5" sqref="O5"/>
    </sheetView>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32</v>
      </c>
      <c r="B2">
        <v>22</v>
      </c>
      <c r="C2" t="s">
        <v>33</v>
      </c>
      <c r="D2" t="s">
        <v>34</v>
      </c>
      <c r="E2" t="s">
        <v>35</v>
      </c>
      <c r="F2" t="s">
        <v>36</v>
      </c>
      <c r="G2" t="s">
        <v>34</v>
      </c>
      <c r="H2" t="s">
        <v>2236</v>
      </c>
      <c r="I2" t="s">
        <v>38</v>
      </c>
      <c r="J2" s="2">
        <v>333.8</v>
      </c>
      <c r="K2">
        <v>4</v>
      </c>
      <c r="L2" t="s">
        <v>39</v>
      </c>
      <c r="M2">
        <v>5</v>
      </c>
      <c r="N2">
        <v>5</v>
      </c>
      <c r="O2">
        <v>2</v>
      </c>
      <c r="P2" t="s">
        <v>40</v>
      </c>
      <c r="Q2" t="s">
        <v>41</v>
      </c>
      <c r="R2">
        <v>1</v>
      </c>
      <c r="S2">
        <v>7</v>
      </c>
      <c r="T2" t="s">
        <v>40</v>
      </c>
      <c r="U2" t="s">
        <v>42</v>
      </c>
      <c r="V2" t="s">
        <v>43</v>
      </c>
      <c r="W2" s="1">
        <v>45352</v>
      </c>
      <c r="X2" t="b">
        <v>1</v>
      </c>
      <c r="Y2" t="b">
        <v>0</v>
      </c>
      <c r="Z2" t="s">
        <v>44</v>
      </c>
      <c r="AA2" t="s">
        <v>45</v>
      </c>
      <c r="AB2">
        <v>2</v>
      </c>
    </row>
    <row r="3" spans="1:28">
      <c r="A3" t="s">
        <v>49</v>
      </c>
      <c r="B3">
        <v>49</v>
      </c>
      <c r="C3" t="s">
        <v>50</v>
      </c>
      <c r="D3" t="s">
        <v>51</v>
      </c>
      <c r="E3" t="s">
        <v>35</v>
      </c>
      <c r="F3" t="s">
        <v>52</v>
      </c>
      <c r="G3" t="s">
        <v>51</v>
      </c>
      <c r="H3" t="s">
        <v>53</v>
      </c>
      <c r="I3" t="s">
        <v>54</v>
      </c>
      <c r="J3" s="2">
        <v>222.22</v>
      </c>
      <c r="K3">
        <v>11</v>
      </c>
      <c r="L3" t="s">
        <v>55</v>
      </c>
      <c r="M3">
        <v>3</v>
      </c>
      <c r="N3">
        <v>1</v>
      </c>
      <c r="O3">
        <v>2</v>
      </c>
      <c r="P3" t="s">
        <v>56</v>
      </c>
      <c r="Q3" t="s">
        <v>57</v>
      </c>
      <c r="R3">
        <v>1</v>
      </c>
      <c r="S3">
        <v>5</v>
      </c>
      <c r="T3" t="s">
        <v>51</v>
      </c>
      <c r="U3" t="s">
        <v>42</v>
      </c>
      <c r="V3" t="s">
        <v>58</v>
      </c>
      <c r="W3" s="1">
        <v>45398</v>
      </c>
      <c r="X3" t="b">
        <v>1</v>
      </c>
      <c r="Y3" t="b">
        <v>0</v>
      </c>
      <c r="Z3" t="s">
        <v>59</v>
      </c>
      <c r="AA3" t="s">
        <v>60</v>
      </c>
      <c r="AB3">
        <v>6</v>
      </c>
    </row>
    <row r="4" spans="1:28">
      <c r="A4" t="s">
        <v>64</v>
      </c>
      <c r="B4">
        <v>24</v>
      </c>
      <c r="C4" t="s">
        <v>33</v>
      </c>
      <c r="D4" t="s">
        <v>34</v>
      </c>
      <c r="E4" t="s">
        <v>65</v>
      </c>
      <c r="F4" t="s">
        <v>66</v>
      </c>
      <c r="G4" t="s">
        <v>51</v>
      </c>
      <c r="H4" t="s">
        <v>67</v>
      </c>
      <c r="I4" t="s">
        <v>68</v>
      </c>
      <c r="J4" s="2">
        <v>426.22</v>
      </c>
      <c r="K4">
        <v>2</v>
      </c>
      <c r="L4" t="s">
        <v>39</v>
      </c>
      <c r="M4">
        <v>5</v>
      </c>
      <c r="N4">
        <v>5</v>
      </c>
      <c r="O4">
        <v>0.3</v>
      </c>
      <c r="P4" t="s">
        <v>69</v>
      </c>
      <c r="Q4" t="s">
        <v>57</v>
      </c>
      <c r="R4">
        <v>1</v>
      </c>
      <c r="S4">
        <v>7</v>
      </c>
      <c r="T4" t="s">
        <v>69</v>
      </c>
      <c r="U4" t="s">
        <v>70</v>
      </c>
      <c r="V4" t="s">
        <v>71</v>
      </c>
      <c r="W4" s="1">
        <v>45366</v>
      </c>
      <c r="X4" t="b">
        <v>1</v>
      </c>
      <c r="Y4" t="b">
        <v>1</v>
      </c>
      <c r="Z4" t="s">
        <v>72</v>
      </c>
      <c r="AA4" t="s">
        <v>45</v>
      </c>
      <c r="AB4">
        <v>3</v>
      </c>
    </row>
    <row r="5" spans="1:28">
      <c r="A5" t="s">
        <v>73</v>
      </c>
      <c r="B5">
        <v>29</v>
      </c>
      <c r="C5" t="s">
        <v>33</v>
      </c>
      <c r="D5" t="s">
        <v>34</v>
      </c>
      <c r="E5" t="s">
        <v>65</v>
      </c>
      <c r="F5" t="s">
        <v>66</v>
      </c>
      <c r="G5" t="s">
        <v>34</v>
      </c>
      <c r="H5" t="s">
        <v>2237</v>
      </c>
      <c r="I5" t="s">
        <v>75</v>
      </c>
      <c r="J5" s="2">
        <v>101.31</v>
      </c>
      <c r="K5">
        <v>6</v>
      </c>
      <c r="L5" t="s">
        <v>39</v>
      </c>
      <c r="M5">
        <v>3</v>
      </c>
      <c r="N5">
        <v>1</v>
      </c>
      <c r="O5">
        <v>1</v>
      </c>
      <c r="P5" t="s">
        <v>51</v>
      </c>
      <c r="Q5" t="s">
        <v>41</v>
      </c>
      <c r="R5">
        <v>0</v>
      </c>
      <c r="S5">
        <v>1</v>
      </c>
      <c r="T5" t="s">
        <v>40</v>
      </c>
      <c r="U5" t="s">
        <v>70</v>
      </c>
      <c r="V5" t="s">
        <v>76</v>
      </c>
      <c r="W5" s="1">
        <v>45569</v>
      </c>
      <c r="X5" t="b">
        <v>1</v>
      </c>
      <c r="Y5" t="b">
        <v>1</v>
      </c>
      <c r="Z5" t="s">
        <v>44</v>
      </c>
      <c r="AA5" t="s">
        <v>77</v>
      </c>
      <c r="AB5">
        <v>10</v>
      </c>
    </row>
    <row r="6" spans="1:28">
      <c r="A6" t="s">
        <v>81</v>
      </c>
      <c r="B6">
        <v>33</v>
      </c>
      <c r="C6" t="s">
        <v>33</v>
      </c>
      <c r="D6" t="s">
        <v>34</v>
      </c>
      <c r="E6" t="s">
        <v>82</v>
      </c>
      <c r="F6" t="s">
        <v>52</v>
      </c>
      <c r="G6" t="s">
        <v>34</v>
      </c>
      <c r="H6" t="s">
        <v>83</v>
      </c>
      <c r="I6" t="s">
        <v>84</v>
      </c>
      <c r="J6" s="2">
        <v>211.7</v>
      </c>
      <c r="K6">
        <v>6</v>
      </c>
      <c r="L6" t="s">
        <v>39</v>
      </c>
      <c r="M6">
        <v>3</v>
      </c>
      <c r="N6">
        <v>4</v>
      </c>
      <c r="O6">
        <v>0</v>
      </c>
      <c r="P6" t="s">
        <v>56</v>
      </c>
      <c r="Q6" t="s">
        <v>57</v>
      </c>
      <c r="R6">
        <v>2</v>
      </c>
      <c r="S6">
        <v>10</v>
      </c>
      <c r="T6" t="s">
        <v>40</v>
      </c>
      <c r="U6" t="s">
        <v>70</v>
      </c>
      <c r="V6" t="s">
        <v>71</v>
      </c>
      <c r="W6" s="1">
        <v>45321</v>
      </c>
      <c r="X6" t="b">
        <v>0</v>
      </c>
      <c r="Y6" t="b">
        <v>0</v>
      </c>
      <c r="Z6" t="s">
        <v>59</v>
      </c>
      <c r="AA6" t="s">
        <v>45</v>
      </c>
      <c r="AB6">
        <v>4</v>
      </c>
    </row>
    <row r="7" spans="1:28">
      <c r="A7" t="s">
        <v>87</v>
      </c>
      <c r="B7">
        <v>45</v>
      </c>
      <c r="C7" t="s">
        <v>50</v>
      </c>
      <c r="D7" t="s">
        <v>34</v>
      </c>
      <c r="E7" t="s">
        <v>35</v>
      </c>
      <c r="F7" t="s">
        <v>66</v>
      </c>
      <c r="G7" t="s">
        <v>51</v>
      </c>
      <c r="H7" t="s">
        <v>88</v>
      </c>
      <c r="I7" t="s">
        <v>68</v>
      </c>
      <c r="J7" s="2">
        <v>487.95</v>
      </c>
      <c r="K7">
        <v>8</v>
      </c>
      <c r="L7" t="s">
        <v>39</v>
      </c>
      <c r="M7">
        <v>3</v>
      </c>
      <c r="N7">
        <v>3</v>
      </c>
      <c r="O7">
        <v>0</v>
      </c>
      <c r="P7" t="s">
        <v>51</v>
      </c>
      <c r="Q7" t="s">
        <v>57</v>
      </c>
      <c r="R7">
        <v>2</v>
      </c>
      <c r="S7">
        <v>3</v>
      </c>
      <c r="T7" t="s">
        <v>40</v>
      </c>
      <c r="U7" t="s">
        <v>42</v>
      </c>
      <c r="V7" t="s">
        <v>71</v>
      </c>
      <c r="W7" s="1">
        <v>45370</v>
      </c>
      <c r="X7" t="b">
        <v>0</v>
      </c>
      <c r="Y7" t="b">
        <v>0</v>
      </c>
      <c r="Z7" t="s">
        <v>89</v>
      </c>
      <c r="AA7" t="s">
        <v>45</v>
      </c>
      <c r="AB7">
        <v>7</v>
      </c>
    </row>
    <row r="8" spans="1:28">
      <c r="A8" t="s">
        <v>91</v>
      </c>
      <c r="B8">
        <v>21</v>
      </c>
      <c r="C8" t="s">
        <v>33</v>
      </c>
      <c r="D8" t="s">
        <v>34</v>
      </c>
      <c r="E8" t="s">
        <v>92</v>
      </c>
      <c r="F8" t="s">
        <v>52</v>
      </c>
      <c r="G8" t="s">
        <v>34</v>
      </c>
      <c r="H8" t="s">
        <v>93</v>
      </c>
      <c r="I8" t="s">
        <v>84</v>
      </c>
      <c r="J8" s="2">
        <v>486.4</v>
      </c>
      <c r="K8">
        <v>12</v>
      </c>
      <c r="L8" t="s">
        <v>94</v>
      </c>
      <c r="M8">
        <v>2</v>
      </c>
      <c r="N8">
        <v>5</v>
      </c>
      <c r="O8">
        <v>1</v>
      </c>
      <c r="P8" t="s">
        <v>51</v>
      </c>
      <c r="Q8" t="s">
        <v>41</v>
      </c>
      <c r="R8">
        <v>0</v>
      </c>
      <c r="S8">
        <v>9</v>
      </c>
      <c r="T8" t="s">
        <v>69</v>
      </c>
      <c r="U8" t="s">
        <v>95</v>
      </c>
      <c r="V8" t="s">
        <v>71</v>
      </c>
      <c r="W8" s="1">
        <v>45366</v>
      </c>
      <c r="X8" t="b">
        <v>1</v>
      </c>
      <c r="Y8" t="b">
        <v>0</v>
      </c>
      <c r="Z8" t="s">
        <v>44</v>
      </c>
      <c r="AA8" t="s">
        <v>77</v>
      </c>
      <c r="AB8">
        <v>13</v>
      </c>
    </row>
    <row r="9" spans="1:28">
      <c r="A9" t="s">
        <v>96</v>
      </c>
      <c r="B9">
        <v>39</v>
      </c>
      <c r="C9" t="s">
        <v>50</v>
      </c>
      <c r="D9" t="s">
        <v>34</v>
      </c>
      <c r="E9" t="s">
        <v>65</v>
      </c>
      <c r="F9" t="s">
        <v>52</v>
      </c>
      <c r="G9" t="s">
        <v>34</v>
      </c>
      <c r="H9" t="s">
        <v>97</v>
      </c>
      <c r="I9" t="s">
        <v>98</v>
      </c>
      <c r="J9" s="2">
        <v>218.06</v>
      </c>
      <c r="K9">
        <v>6</v>
      </c>
      <c r="L9" t="s">
        <v>94</v>
      </c>
      <c r="M9">
        <v>5</v>
      </c>
      <c r="N9">
        <v>4</v>
      </c>
      <c r="O9">
        <v>1</v>
      </c>
      <c r="P9" t="s">
        <v>69</v>
      </c>
      <c r="Q9" t="s">
        <v>41</v>
      </c>
      <c r="R9">
        <v>2</v>
      </c>
      <c r="S9">
        <v>9</v>
      </c>
      <c r="T9" t="s">
        <v>40</v>
      </c>
      <c r="U9" t="s">
        <v>95</v>
      </c>
      <c r="V9" t="s">
        <v>43</v>
      </c>
      <c r="W9" s="1">
        <v>45368</v>
      </c>
      <c r="X9" t="b">
        <v>0</v>
      </c>
      <c r="Y9" t="b">
        <v>1</v>
      </c>
      <c r="Z9" t="s">
        <v>72</v>
      </c>
      <c r="AA9" t="s">
        <v>45</v>
      </c>
      <c r="AB9">
        <v>13</v>
      </c>
    </row>
    <row r="10" spans="1:28">
      <c r="A10" t="s">
        <v>99</v>
      </c>
      <c r="B10">
        <v>24</v>
      </c>
      <c r="C10" t="s">
        <v>33</v>
      </c>
      <c r="D10" t="s">
        <v>51</v>
      </c>
      <c r="E10" t="s">
        <v>92</v>
      </c>
      <c r="F10" t="s">
        <v>66</v>
      </c>
      <c r="G10" t="s">
        <v>34</v>
      </c>
      <c r="H10" t="s">
        <v>2238</v>
      </c>
      <c r="I10" t="s">
        <v>68</v>
      </c>
      <c r="J10" s="2">
        <v>201.96</v>
      </c>
      <c r="K10">
        <v>8</v>
      </c>
      <c r="L10" t="s">
        <v>55</v>
      </c>
      <c r="M10">
        <v>3</v>
      </c>
      <c r="N10">
        <v>5</v>
      </c>
      <c r="O10">
        <v>0</v>
      </c>
      <c r="P10" t="s">
        <v>69</v>
      </c>
      <c r="Q10" t="s">
        <v>101</v>
      </c>
      <c r="R10">
        <v>1</v>
      </c>
      <c r="S10">
        <v>2</v>
      </c>
      <c r="T10" t="s">
        <v>51</v>
      </c>
      <c r="U10" t="s">
        <v>95</v>
      </c>
      <c r="V10" t="s">
        <v>102</v>
      </c>
      <c r="W10" s="1">
        <v>45453</v>
      </c>
      <c r="X10" t="b">
        <v>0</v>
      </c>
      <c r="Y10" t="b">
        <v>0</v>
      </c>
      <c r="Z10" t="s">
        <v>44</v>
      </c>
      <c r="AA10" t="s">
        <v>60</v>
      </c>
      <c r="AB10">
        <v>7</v>
      </c>
    </row>
    <row r="11" spans="1:28">
      <c r="A11" t="s">
        <v>105</v>
      </c>
      <c r="B11">
        <v>25</v>
      </c>
      <c r="C11" t="s">
        <v>106</v>
      </c>
      <c r="D11" t="s">
        <v>51</v>
      </c>
      <c r="E11" t="s">
        <v>35</v>
      </c>
      <c r="F11" t="s">
        <v>36</v>
      </c>
      <c r="G11" t="s">
        <v>51</v>
      </c>
      <c r="H11" t="s">
        <v>107</v>
      </c>
      <c r="I11" t="s">
        <v>108</v>
      </c>
      <c r="J11" s="2">
        <v>418.83</v>
      </c>
      <c r="K11">
        <v>7</v>
      </c>
      <c r="L11" t="s">
        <v>94</v>
      </c>
      <c r="M11">
        <v>2</v>
      </c>
      <c r="N11">
        <v>5</v>
      </c>
      <c r="O11">
        <v>1</v>
      </c>
      <c r="P11" t="s">
        <v>40</v>
      </c>
      <c r="Q11" t="s">
        <v>41</v>
      </c>
      <c r="R11">
        <v>1</v>
      </c>
      <c r="S11">
        <v>5</v>
      </c>
      <c r="T11" t="s">
        <v>56</v>
      </c>
      <c r="U11" t="s">
        <v>42</v>
      </c>
      <c r="V11" t="s">
        <v>58</v>
      </c>
      <c r="W11" s="1">
        <v>45572</v>
      </c>
      <c r="X11" t="b">
        <v>1</v>
      </c>
      <c r="Y11" t="b">
        <v>0</v>
      </c>
      <c r="Z11" t="s">
        <v>44</v>
      </c>
      <c r="AA11" t="s">
        <v>45</v>
      </c>
      <c r="AB11">
        <v>13</v>
      </c>
    </row>
    <row r="12" spans="1:28">
      <c r="A12" t="s">
        <v>110</v>
      </c>
      <c r="B12">
        <v>33</v>
      </c>
      <c r="C12" t="s">
        <v>50</v>
      </c>
      <c r="D12" t="s">
        <v>34</v>
      </c>
      <c r="E12" t="s">
        <v>92</v>
      </c>
      <c r="F12" t="s">
        <v>36</v>
      </c>
      <c r="G12" t="s">
        <v>34</v>
      </c>
      <c r="H12" t="s">
        <v>111</v>
      </c>
      <c r="I12" t="s">
        <v>112</v>
      </c>
      <c r="J12" s="2">
        <v>389.7</v>
      </c>
      <c r="K12">
        <v>12</v>
      </c>
      <c r="L12" t="s">
        <v>55</v>
      </c>
      <c r="M12">
        <v>1</v>
      </c>
      <c r="N12">
        <v>4</v>
      </c>
      <c r="O12">
        <v>0.5</v>
      </c>
      <c r="P12" t="s">
        <v>69</v>
      </c>
      <c r="Q12" t="s">
        <v>57</v>
      </c>
      <c r="R12">
        <v>0</v>
      </c>
      <c r="S12">
        <v>4</v>
      </c>
      <c r="T12" t="s">
        <v>51</v>
      </c>
      <c r="U12" t="s">
        <v>95</v>
      </c>
      <c r="V12" t="s">
        <v>58</v>
      </c>
      <c r="W12" s="1">
        <v>45475</v>
      </c>
      <c r="X12" t="b">
        <v>1</v>
      </c>
      <c r="Y12" t="b">
        <v>0</v>
      </c>
      <c r="Z12" t="s">
        <v>89</v>
      </c>
      <c r="AA12" t="s">
        <v>77</v>
      </c>
      <c r="AB12">
        <v>12</v>
      </c>
    </row>
    <row r="13" spans="1:28">
      <c r="A13" t="s">
        <v>116</v>
      </c>
      <c r="B13">
        <v>38</v>
      </c>
      <c r="C13" t="s">
        <v>33</v>
      </c>
      <c r="D13" t="s">
        <v>51</v>
      </c>
      <c r="E13" t="s">
        <v>82</v>
      </c>
      <c r="F13" t="s">
        <v>36</v>
      </c>
      <c r="G13" t="s">
        <v>34</v>
      </c>
      <c r="H13" t="s">
        <v>2239</v>
      </c>
      <c r="I13" t="s">
        <v>108</v>
      </c>
      <c r="J13" s="2">
        <v>238.93</v>
      </c>
      <c r="K13">
        <v>5</v>
      </c>
      <c r="L13" t="s">
        <v>94</v>
      </c>
      <c r="M13">
        <v>4</v>
      </c>
      <c r="N13">
        <v>3</v>
      </c>
      <c r="O13">
        <v>1</v>
      </c>
      <c r="P13" t="s">
        <v>56</v>
      </c>
      <c r="Q13" t="s">
        <v>101</v>
      </c>
      <c r="R13">
        <v>0</v>
      </c>
      <c r="S13">
        <v>10</v>
      </c>
      <c r="T13" t="s">
        <v>51</v>
      </c>
      <c r="U13" t="s">
        <v>42</v>
      </c>
      <c r="V13" t="s">
        <v>102</v>
      </c>
      <c r="W13" s="1">
        <v>45653</v>
      </c>
      <c r="X13" t="b">
        <v>1</v>
      </c>
      <c r="Y13" t="b">
        <v>0</v>
      </c>
      <c r="Z13" t="s">
        <v>89</v>
      </c>
      <c r="AA13" t="s">
        <v>45</v>
      </c>
      <c r="AB13">
        <v>1</v>
      </c>
    </row>
    <row r="14" spans="1:28">
      <c r="A14" t="s">
        <v>121</v>
      </c>
      <c r="B14">
        <v>34</v>
      </c>
      <c r="C14" t="s">
        <v>50</v>
      </c>
      <c r="D14" t="s">
        <v>34</v>
      </c>
      <c r="E14" t="s">
        <v>65</v>
      </c>
      <c r="F14" t="s">
        <v>36</v>
      </c>
      <c r="G14" t="s">
        <v>51</v>
      </c>
      <c r="H14" t="s">
        <v>122</v>
      </c>
      <c r="I14" t="s">
        <v>123</v>
      </c>
      <c r="J14" s="2">
        <v>61.22</v>
      </c>
      <c r="K14">
        <v>7</v>
      </c>
      <c r="L14" t="s">
        <v>55</v>
      </c>
      <c r="M14">
        <v>5</v>
      </c>
      <c r="N14">
        <v>2</v>
      </c>
      <c r="O14">
        <v>2</v>
      </c>
      <c r="P14" t="s">
        <v>69</v>
      </c>
      <c r="Q14" t="s">
        <v>101</v>
      </c>
      <c r="R14">
        <v>1</v>
      </c>
      <c r="S14">
        <v>7</v>
      </c>
      <c r="T14" t="s">
        <v>51</v>
      </c>
      <c r="U14" t="s">
        <v>95</v>
      </c>
      <c r="V14" t="s">
        <v>71</v>
      </c>
      <c r="W14" s="1">
        <v>45509</v>
      </c>
      <c r="X14" t="b">
        <v>1</v>
      </c>
      <c r="Y14" t="b">
        <v>1</v>
      </c>
      <c r="Z14" t="s">
        <v>44</v>
      </c>
      <c r="AA14" t="s">
        <v>45</v>
      </c>
      <c r="AB14">
        <v>5</v>
      </c>
    </row>
    <row r="15" spans="1:28">
      <c r="A15" t="s">
        <v>125</v>
      </c>
      <c r="B15">
        <v>32</v>
      </c>
      <c r="C15" t="s">
        <v>50</v>
      </c>
      <c r="D15" t="s">
        <v>51</v>
      </c>
      <c r="E15" t="s">
        <v>35</v>
      </c>
      <c r="F15" t="s">
        <v>52</v>
      </c>
      <c r="G15" t="s">
        <v>34</v>
      </c>
      <c r="H15" t="s">
        <v>126</v>
      </c>
      <c r="I15" t="s">
        <v>127</v>
      </c>
      <c r="J15" s="2">
        <v>79.81</v>
      </c>
      <c r="K15">
        <v>4</v>
      </c>
      <c r="L15" t="s">
        <v>39</v>
      </c>
      <c r="M15">
        <v>5</v>
      </c>
      <c r="N15">
        <v>5</v>
      </c>
      <c r="O15">
        <v>0</v>
      </c>
      <c r="P15" t="s">
        <v>51</v>
      </c>
      <c r="Q15" t="s">
        <v>57</v>
      </c>
      <c r="R15">
        <v>0</v>
      </c>
      <c r="S15">
        <v>9</v>
      </c>
      <c r="T15" t="s">
        <v>51</v>
      </c>
      <c r="U15" t="s">
        <v>70</v>
      </c>
      <c r="V15" t="s">
        <v>71</v>
      </c>
      <c r="W15" s="1">
        <v>45489</v>
      </c>
      <c r="X15" t="b">
        <v>0</v>
      </c>
      <c r="Y15" t="b">
        <v>1</v>
      </c>
      <c r="Z15" t="s">
        <v>59</v>
      </c>
      <c r="AA15" t="s">
        <v>60</v>
      </c>
      <c r="AB15">
        <v>14</v>
      </c>
    </row>
    <row r="16" spans="1:28">
      <c r="A16" t="s">
        <v>129</v>
      </c>
      <c r="B16">
        <v>30</v>
      </c>
      <c r="C16" t="s">
        <v>33</v>
      </c>
      <c r="D16" t="s">
        <v>51</v>
      </c>
      <c r="E16" t="s">
        <v>82</v>
      </c>
      <c r="F16" t="s">
        <v>52</v>
      </c>
      <c r="G16" t="s">
        <v>51</v>
      </c>
      <c r="H16" t="s">
        <v>130</v>
      </c>
      <c r="I16" t="s">
        <v>131</v>
      </c>
      <c r="J16" s="2">
        <v>58.51</v>
      </c>
      <c r="K16">
        <v>2</v>
      </c>
      <c r="L16" t="s">
        <v>94</v>
      </c>
      <c r="M16">
        <v>4</v>
      </c>
      <c r="N16">
        <v>4</v>
      </c>
      <c r="O16">
        <v>0.5</v>
      </c>
      <c r="P16" t="s">
        <v>40</v>
      </c>
      <c r="Q16" t="s">
        <v>57</v>
      </c>
      <c r="R16">
        <v>0</v>
      </c>
      <c r="S16">
        <v>4</v>
      </c>
      <c r="T16" t="s">
        <v>56</v>
      </c>
      <c r="U16" t="s">
        <v>95</v>
      </c>
      <c r="V16" t="s">
        <v>58</v>
      </c>
      <c r="W16" s="1">
        <v>45640</v>
      </c>
      <c r="X16" t="b">
        <v>1</v>
      </c>
      <c r="Y16" t="b">
        <v>1</v>
      </c>
      <c r="Z16" t="s">
        <v>89</v>
      </c>
      <c r="AA16" t="s">
        <v>45</v>
      </c>
      <c r="AB16">
        <v>14</v>
      </c>
    </row>
    <row r="17" spans="1:28">
      <c r="A17" t="s">
        <v>133</v>
      </c>
      <c r="B17">
        <v>40</v>
      </c>
      <c r="C17" t="s">
        <v>50</v>
      </c>
      <c r="D17" t="s">
        <v>51</v>
      </c>
      <c r="E17" t="s">
        <v>92</v>
      </c>
      <c r="F17" t="s">
        <v>66</v>
      </c>
      <c r="G17" t="s">
        <v>51</v>
      </c>
      <c r="H17" t="s">
        <v>2240</v>
      </c>
      <c r="I17" t="s">
        <v>135</v>
      </c>
      <c r="J17" s="2">
        <v>109.29</v>
      </c>
      <c r="K17">
        <v>3</v>
      </c>
      <c r="L17" t="s">
        <v>94</v>
      </c>
      <c r="M17">
        <v>3</v>
      </c>
      <c r="N17">
        <v>4</v>
      </c>
      <c r="O17">
        <v>0</v>
      </c>
      <c r="P17" t="s">
        <v>56</v>
      </c>
      <c r="Q17" t="s">
        <v>41</v>
      </c>
      <c r="R17">
        <v>2</v>
      </c>
      <c r="S17">
        <v>2</v>
      </c>
      <c r="T17" t="s">
        <v>51</v>
      </c>
      <c r="U17" t="s">
        <v>95</v>
      </c>
      <c r="V17" t="s">
        <v>71</v>
      </c>
      <c r="W17" s="1">
        <v>45515</v>
      </c>
      <c r="X17" t="b">
        <v>0</v>
      </c>
      <c r="Y17" t="b">
        <v>1</v>
      </c>
      <c r="Z17" t="s">
        <v>59</v>
      </c>
      <c r="AA17" t="s">
        <v>77</v>
      </c>
      <c r="AB17">
        <v>11</v>
      </c>
    </row>
    <row r="18" spans="1:28">
      <c r="A18" t="s">
        <v>137</v>
      </c>
      <c r="B18">
        <v>37</v>
      </c>
      <c r="C18" t="s">
        <v>50</v>
      </c>
      <c r="D18" t="s">
        <v>51</v>
      </c>
      <c r="E18" t="s">
        <v>65</v>
      </c>
      <c r="F18" t="s">
        <v>36</v>
      </c>
      <c r="G18" t="s">
        <v>51</v>
      </c>
      <c r="H18" t="s">
        <v>138</v>
      </c>
      <c r="I18" t="s">
        <v>84</v>
      </c>
      <c r="J18" s="2">
        <v>356.45</v>
      </c>
      <c r="K18">
        <v>6</v>
      </c>
      <c r="L18" t="s">
        <v>39</v>
      </c>
      <c r="M18">
        <v>5</v>
      </c>
      <c r="N18">
        <v>5</v>
      </c>
      <c r="O18">
        <v>2</v>
      </c>
      <c r="P18" t="s">
        <v>69</v>
      </c>
      <c r="Q18" t="s">
        <v>101</v>
      </c>
      <c r="R18">
        <v>0</v>
      </c>
      <c r="S18">
        <v>7</v>
      </c>
      <c r="T18" t="s">
        <v>56</v>
      </c>
      <c r="U18" t="s">
        <v>70</v>
      </c>
      <c r="V18" t="s">
        <v>43</v>
      </c>
      <c r="W18" s="1">
        <v>45583</v>
      </c>
      <c r="X18" t="b">
        <v>0</v>
      </c>
      <c r="Y18" t="b">
        <v>1</v>
      </c>
      <c r="Z18" t="s">
        <v>89</v>
      </c>
      <c r="AA18" t="s">
        <v>60</v>
      </c>
      <c r="AB18">
        <v>8</v>
      </c>
    </row>
    <row r="19" spans="1:28">
      <c r="A19" t="s">
        <v>139</v>
      </c>
      <c r="B19">
        <v>38</v>
      </c>
      <c r="C19" t="s">
        <v>33</v>
      </c>
      <c r="D19" t="s">
        <v>34</v>
      </c>
      <c r="E19" t="s">
        <v>92</v>
      </c>
      <c r="F19" t="s">
        <v>36</v>
      </c>
      <c r="G19" t="s">
        <v>51</v>
      </c>
      <c r="H19" t="s">
        <v>140</v>
      </c>
      <c r="I19" t="s">
        <v>112</v>
      </c>
      <c r="J19" s="2">
        <v>236.99</v>
      </c>
      <c r="K19">
        <v>10</v>
      </c>
      <c r="L19" t="s">
        <v>39</v>
      </c>
      <c r="M19">
        <v>2</v>
      </c>
      <c r="N19">
        <v>4</v>
      </c>
      <c r="O19">
        <v>0</v>
      </c>
      <c r="P19" t="s">
        <v>51</v>
      </c>
      <c r="Q19" t="s">
        <v>101</v>
      </c>
      <c r="R19">
        <v>0</v>
      </c>
      <c r="S19">
        <v>8</v>
      </c>
      <c r="T19" t="s">
        <v>40</v>
      </c>
      <c r="U19" t="s">
        <v>42</v>
      </c>
      <c r="V19" t="s">
        <v>58</v>
      </c>
      <c r="W19" s="1">
        <v>45635</v>
      </c>
      <c r="X19" t="b">
        <v>1</v>
      </c>
      <c r="Y19" t="b">
        <v>1</v>
      </c>
      <c r="Z19" t="s">
        <v>72</v>
      </c>
      <c r="AA19" t="s">
        <v>45</v>
      </c>
      <c r="AB19">
        <v>13</v>
      </c>
    </row>
    <row r="20" spans="1:28">
      <c r="A20" t="s">
        <v>141</v>
      </c>
      <c r="B20">
        <v>36</v>
      </c>
      <c r="C20" t="s">
        <v>50</v>
      </c>
      <c r="D20" t="s">
        <v>34</v>
      </c>
      <c r="E20" t="s">
        <v>82</v>
      </c>
      <c r="F20" t="s">
        <v>36</v>
      </c>
      <c r="G20" t="s">
        <v>51</v>
      </c>
      <c r="H20" t="s">
        <v>142</v>
      </c>
      <c r="I20" t="s">
        <v>143</v>
      </c>
      <c r="J20" s="2">
        <v>454.39</v>
      </c>
      <c r="K20">
        <v>10</v>
      </c>
      <c r="L20" t="s">
        <v>55</v>
      </c>
      <c r="M20">
        <v>2</v>
      </c>
      <c r="N20">
        <v>4</v>
      </c>
      <c r="O20">
        <v>2</v>
      </c>
      <c r="P20" t="s">
        <v>56</v>
      </c>
      <c r="Q20" t="s">
        <v>57</v>
      </c>
      <c r="R20">
        <v>0</v>
      </c>
      <c r="S20">
        <v>3</v>
      </c>
      <c r="T20" t="s">
        <v>40</v>
      </c>
      <c r="U20" t="s">
        <v>95</v>
      </c>
      <c r="V20" t="s">
        <v>76</v>
      </c>
      <c r="W20" s="1">
        <v>45496</v>
      </c>
      <c r="X20" t="b">
        <v>0</v>
      </c>
      <c r="Y20" t="b">
        <v>1</v>
      </c>
      <c r="Z20" t="s">
        <v>72</v>
      </c>
      <c r="AA20" t="s">
        <v>60</v>
      </c>
      <c r="AB20">
        <v>3</v>
      </c>
    </row>
    <row r="21" spans="1:28">
      <c r="A21" t="s">
        <v>145</v>
      </c>
      <c r="B21">
        <v>29</v>
      </c>
      <c r="C21" t="s">
        <v>33</v>
      </c>
      <c r="D21" t="s">
        <v>51</v>
      </c>
      <c r="E21" t="s">
        <v>82</v>
      </c>
      <c r="F21" t="s">
        <v>36</v>
      </c>
      <c r="G21" t="s">
        <v>34</v>
      </c>
      <c r="H21" t="s">
        <v>146</v>
      </c>
      <c r="I21" t="s">
        <v>147</v>
      </c>
      <c r="J21" s="2">
        <v>490.75</v>
      </c>
      <c r="K21">
        <v>10</v>
      </c>
      <c r="L21" t="s">
        <v>55</v>
      </c>
      <c r="M21">
        <v>2</v>
      </c>
      <c r="N21">
        <v>4</v>
      </c>
      <c r="O21">
        <v>1</v>
      </c>
      <c r="P21" t="s">
        <v>40</v>
      </c>
      <c r="Q21" t="s">
        <v>101</v>
      </c>
      <c r="R21">
        <v>1</v>
      </c>
      <c r="S21">
        <v>4</v>
      </c>
      <c r="T21" t="s">
        <v>69</v>
      </c>
      <c r="U21" t="s">
        <v>70</v>
      </c>
      <c r="V21" t="s">
        <v>71</v>
      </c>
      <c r="W21" s="1">
        <v>45481</v>
      </c>
      <c r="X21" t="b">
        <v>0</v>
      </c>
      <c r="Y21" t="b">
        <v>0</v>
      </c>
      <c r="Z21" t="s">
        <v>59</v>
      </c>
      <c r="AA21" t="s">
        <v>60</v>
      </c>
      <c r="AB21">
        <v>13</v>
      </c>
    </row>
    <row r="22" spans="1:28">
      <c r="A22" t="s">
        <v>148</v>
      </c>
      <c r="B22">
        <v>21</v>
      </c>
      <c r="C22" t="s">
        <v>33</v>
      </c>
      <c r="D22" t="s">
        <v>34</v>
      </c>
      <c r="E22" t="s">
        <v>82</v>
      </c>
      <c r="F22" t="s">
        <v>52</v>
      </c>
      <c r="G22" t="s">
        <v>34</v>
      </c>
      <c r="H22" t="s">
        <v>149</v>
      </c>
      <c r="I22" t="s">
        <v>150</v>
      </c>
      <c r="J22" s="2">
        <v>463.07</v>
      </c>
      <c r="K22">
        <v>7</v>
      </c>
      <c r="L22" t="s">
        <v>39</v>
      </c>
      <c r="M22">
        <v>4</v>
      </c>
      <c r="N22">
        <v>2</v>
      </c>
      <c r="O22">
        <v>0</v>
      </c>
      <c r="P22" t="s">
        <v>40</v>
      </c>
      <c r="Q22" t="s">
        <v>101</v>
      </c>
      <c r="R22">
        <v>1</v>
      </c>
      <c r="S22">
        <v>2</v>
      </c>
      <c r="T22" t="s">
        <v>56</v>
      </c>
      <c r="U22" t="s">
        <v>70</v>
      </c>
      <c r="V22" t="s">
        <v>58</v>
      </c>
      <c r="W22" s="1">
        <v>45496</v>
      </c>
      <c r="X22" t="b">
        <v>1</v>
      </c>
      <c r="Y22" t="b">
        <v>0</v>
      </c>
      <c r="Z22" t="s">
        <v>59</v>
      </c>
      <c r="AA22" t="s">
        <v>45</v>
      </c>
      <c r="AB22">
        <v>11</v>
      </c>
    </row>
    <row r="23" spans="1:28">
      <c r="A23" t="s">
        <v>151</v>
      </c>
      <c r="B23">
        <v>36</v>
      </c>
      <c r="C23" t="s">
        <v>33</v>
      </c>
      <c r="D23" t="s">
        <v>51</v>
      </c>
      <c r="E23" t="s">
        <v>35</v>
      </c>
      <c r="F23" t="s">
        <v>66</v>
      </c>
      <c r="G23" t="s">
        <v>51</v>
      </c>
      <c r="H23" t="s">
        <v>152</v>
      </c>
      <c r="I23" t="s">
        <v>153</v>
      </c>
      <c r="J23" s="2">
        <v>56.74</v>
      </c>
      <c r="K23">
        <v>5</v>
      </c>
      <c r="L23" t="s">
        <v>94</v>
      </c>
      <c r="M23">
        <v>5</v>
      </c>
      <c r="N23">
        <v>1</v>
      </c>
      <c r="O23">
        <v>0</v>
      </c>
      <c r="P23" t="s">
        <v>56</v>
      </c>
      <c r="Q23" t="s">
        <v>101</v>
      </c>
      <c r="R23">
        <v>0</v>
      </c>
      <c r="S23">
        <v>6</v>
      </c>
      <c r="T23" t="s">
        <v>40</v>
      </c>
      <c r="U23" t="s">
        <v>70</v>
      </c>
      <c r="V23" t="s">
        <v>76</v>
      </c>
      <c r="W23" s="1">
        <v>45504</v>
      </c>
      <c r="X23" t="b">
        <v>1</v>
      </c>
      <c r="Y23" t="b">
        <v>0</v>
      </c>
      <c r="Z23" t="s">
        <v>72</v>
      </c>
      <c r="AA23" t="s">
        <v>77</v>
      </c>
      <c r="AB23">
        <v>7</v>
      </c>
    </row>
    <row r="24" spans="1:28">
      <c r="A24" t="s">
        <v>154</v>
      </c>
      <c r="B24">
        <v>38</v>
      </c>
      <c r="C24" t="s">
        <v>50</v>
      </c>
      <c r="D24" t="s">
        <v>51</v>
      </c>
      <c r="E24" t="s">
        <v>92</v>
      </c>
      <c r="F24" t="s">
        <v>36</v>
      </c>
      <c r="G24" t="s">
        <v>34</v>
      </c>
      <c r="H24" t="s">
        <v>155</v>
      </c>
      <c r="I24" t="s">
        <v>156</v>
      </c>
      <c r="J24" s="2">
        <v>371.32</v>
      </c>
      <c r="K24">
        <v>7</v>
      </c>
      <c r="L24" t="s">
        <v>55</v>
      </c>
      <c r="M24">
        <v>4</v>
      </c>
      <c r="N24">
        <v>4</v>
      </c>
      <c r="O24">
        <v>0.7</v>
      </c>
      <c r="P24" t="s">
        <v>56</v>
      </c>
      <c r="Q24" t="s">
        <v>57</v>
      </c>
      <c r="R24">
        <v>2</v>
      </c>
      <c r="S24">
        <v>1</v>
      </c>
      <c r="T24" t="s">
        <v>40</v>
      </c>
      <c r="U24" t="s">
        <v>42</v>
      </c>
      <c r="V24" t="s">
        <v>71</v>
      </c>
      <c r="W24" s="1">
        <v>45347</v>
      </c>
      <c r="X24" t="b">
        <v>1</v>
      </c>
      <c r="Y24" t="b">
        <v>1</v>
      </c>
      <c r="Z24" t="s">
        <v>72</v>
      </c>
      <c r="AA24" t="s">
        <v>60</v>
      </c>
      <c r="AB24">
        <v>6</v>
      </c>
    </row>
    <row r="25" spans="1:28">
      <c r="A25" t="s">
        <v>159</v>
      </c>
      <c r="B25">
        <v>37</v>
      </c>
      <c r="C25" t="s">
        <v>33</v>
      </c>
      <c r="D25" t="s">
        <v>34</v>
      </c>
      <c r="E25" t="s">
        <v>65</v>
      </c>
      <c r="F25" t="s">
        <v>36</v>
      </c>
      <c r="G25" t="s">
        <v>34</v>
      </c>
      <c r="H25" t="s">
        <v>2241</v>
      </c>
      <c r="I25" t="s">
        <v>150</v>
      </c>
      <c r="J25" s="2">
        <v>461</v>
      </c>
      <c r="K25">
        <v>7</v>
      </c>
      <c r="L25" t="s">
        <v>94</v>
      </c>
      <c r="M25">
        <v>2</v>
      </c>
      <c r="N25">
        <v>4</v>
      </c>
      <c r="O25">
        <v>1</v>
      </c>
      <c r="P25" t="s">
        <v>51</v>
      </c>
      <c r="Q25" t="s">
        <v>57</v>
      </c>
      <c r="R25">
        <v>0</v>
      </c>
      <c r="S25">
        <v>8</v>
      </c>
      <c r="T25" t="s">
        <v>69</v>
      </c>
      <c r="U25" t="s">
        <v>42</v>
      </c>
      <c r="V25" t="s">
        <v>102</v>
      </c>
      <c r="W25" s="1">
        <v>45483</v>
      </c>
      <c r="X25" t="b">
        <v>0</v>
      </c>
      <c r="Y25" t="b">
        <v>1</v>
      </c>
      <c r="Z25" t="s">
        <v>59</v>
      </c>
      <c r="AA25" t="s">
        <v>60</v>
      </c>
      <c r="AB25">
        <v>9</v>
      </c>
    </row>
    <row r="26" spans="1:28">
      <c r="A26" t="s">
        <v>162</v>
      </c>
      <c r="B26">
        <v>33</v>
      </c>
      <c r="C26" t="s">
        <v>33</v>
      </c>
      <c r="D26" t="s">
        <v>51</v>
      </c>
      <c r="E26" t="s">
        <v>35</v>
      </c>
      <c r="F26" t="s">
        <v>36</v>
      </c>
      <c r="G26" t="s">
        <v>51</v>
      </c>
      <c r="H26" t="s">
        <v>2242</v>
      </c>
      <c r="I26" t="s">
        <v>54</v>
      </c>
      <c r="J26" s="2">
        <v>253.37</v>
      </c>
      <c r="K26">
        <v>6</v>
      </c>
      <c r="L26" t="s">
        <v>55</v>
      </c>
      <c r="M26">
        <v>4</v>
      </c>
      <c r="N26">
        <v>1</v>
      </c>
      <c r="O26">
        <v>1</v>
      </c>
      <c r="P26" t="s">
        <v>40</v>
      </c>
      <c r="Q26" t="s">
        <v>101</v>
      </c>
      <c r="R26">
        <v>2</v>
      </c>
      <c r="S26">
        <v>10</v>
      </c>
      <c r="T26" t="s">
        <v>51</v>
      </c>
      <c r="U26" t="s">
        <v>42</v>
      </c>
      <c r="V26" t="s">
        <v>76</v>
      </c>
      <c r="W26" s="1">
        <v>45651</v>
      </c>
      <c r="X26" t="b">
        <v>1</v>
      </c>
      <c r="Y26" t="b">
        <v>0</v>
      </c>
      <c r="Z26" t="s">
        <v>72</v>
      </c>
      <c r="AA26" t="s">
        <v>60</v>
      </c>
      <c r="AB26">
        <v>8</v>
      </c>
    </row>
    <row r="27" spans="1:28">
      <c r="A27" t="s">
        <v>165</v>
      </c>
      <c r="B27">
        <v>37</v>
      </c>
      <c r="C27" t="s">
        <v>50</v>
      </c>
      <c r="D27" t="s">
        <v>51</v>
      </c>
      <c r="E27" t="s">
        <v>82</v>
      </c>
      <c r="F27" t="s">
        <v>52</v>
      </c>
      <c r="G27" t="s">
        <v>51</v>
      </c>
      <c r="H27" t="s">
        <v>166</v>
      </c>
      <c r="I27" t="s">
        <v>143</v>
      </c>
      <c r="J27" s="2">
        <v>136.53</v>
      </c>
      <c r="K27">
        <v>3</v>
      </c>
      <c r="L27" t="s">
        <v>39</v>
      </c>
      <c r="M27">
        <v>2</v>
      </c>
      <c r="N27">
        <v>4</v>
      </c>
      <c r="O27">
        <v>2</v>
      </c>
      <c r="P27" t="s">
        <v>51</v>
      </c>
      <c r="Q27" t="s">
        <v>57</v>
      </c>
      <c r="R27">
        <v>1</v>
      </c>
      <c r="S27">
        <v>3</v>
      </c>
      <c r="T27" t="s">
        <v>51</v>
      </c>
      <c r="U27" t="s">
        <v>70</v>
      </c>
      <c r="V27" t="s">
        <v>58</v>
      </c>
      <c r="W27" s="1">
        <v>45443</v>
      </c>
      <c r="X27" t="b">
        <v>1</v>
      </c>
      <c r="Y27" t="b">
        <v>1</v>
      </c>
      <c r="Z27" t="s">
        <v>89</v>
      </c>
      <c r="AA27" t="s">
        <v>60</v>
      </c>
      <c r="AB27">
        <v>10</v>
      </c>
    </row>
    <row r="28" spans="1:28">
      <c r="A28" t="s">
        <v>168</v>
      </c>
      <c r="B28">
        <v>31</v>
      </c>
      <c r="C28" t="s">
        <v>33</v>
      </c>
      <c r="D28" t="s">
        <v>34</v>
      </c>
      <c r="E28" t="s">
        <v>65</v>
      </c>
      <c r="F28" t="s">
        <v>66</v>
      </c>
      <c r="G28" t="s">
        <v>34</v>
      </c>
      <c r="H28" t="s">
        <v>169</v>
      </c>
      <c r="I28" t="s">
        <v>170</v>
      </c>
      <c r="J28" s="2">
        <v>489.05</v>
      </c>
      <c r="K28">
        <v>10</v>
      </c>
      <c r="L28" t="s">
        <v>94</v>
      </c>
      <c r="M28">
        <v>5</v>
      </c>
      <c r="N28">
        <v>3</v>
      </c>
      <c r="O28">
        <v>0</v>
      </c>
      <c r="P28" t="s">
        <v>51</v>
      </c>
      <c r="Q28" t="s">
        <v>41</v>
      </c>
      <c r="R28">
        <v>2</v>
      </c>
      <c r="S28">
        <v>2</v>
      </c>
      <c r="T28" t="s">
        <v>51</v>
      </c>
      <c r="U28" t="s">
        <v>95</v>
      </c>
      <c r="V28" t="s">
        <v>58</v>
      </c>
      <c r="W28" s="1">
        <v>45539</v>
      </c>
      <c r="X28" t="b">
        <v>1</v>
      </c>
      <c r="Y28" t="b">
        <v>1</v>
      </c>
      <c r="Z28" t="s">
        <v>89</v>
      </c>
      <c r="AA28" t="s">
        <v>60</v>
      </c>
      <c r="AB28">
        <v>7</v>
      </c>
    </row>
    <row r="29" spans="1:28">
      <c r="A29" t="s">
        <v>173</v>
      </c>
      <c r="B29">
        <v>50</v>
      </c>
      <c r="C29" t="s">
        <v>50</v>
      </c>
      <c r="D29" t="s">
        <v>51</v>
      </c>
      <c r="E29" t="s">
        <v>65</v>
      </c>
      <c r="F29" t="s">
        <v>66</v>
      </c>
      <c r="G29" t="s">
        <v>51</v>
      </c>
      <c r="H29" t="s">
        <v>174</v>
      </c>
      <c r="I29" t="s">
        <v>147</v>
      </c>
      <c r="J29" s="2">
        <v>81.91</v>
      </c>
      <c r="K29">
        <v>10</v>
      </c>
      <c r="L29" t="s">
        <v>55</v>
      </c>
      <c r="M29">
        <v>3</v>
      </c>
      <c r="N29">
        <v>4</v>
      </c>
      <c r="O29">
        <v>1</v>
      </c>
      <c r="P29" t="s">
        <v>56</v>
      </c>
      <c r="Q29" t="s">
        <v>101</v>
      </c>
      <c r="R29">
        <v>0</v>
      </c>
      <c r="S29">
        <v>4</v>
      </c>
      <c r="T29" t="s">
        <v>40</v>
      </c>
      <c r="U29" t="s">
        <v>95</v>
      </c>
      <c r="V29" t="s">
        <v>71</v>
      </c>
      <c r="W29" s="1">
        <v>45497</v>
      </c>
      <c r="X29" t="b">
        <v>0</v>
      </c>
      <c r="Y29" t="b">
        <v>1</v>
      </c>
      <c r="Z29" t="s">
        <v>44</v>
      </c>
      <c r="AA29" t="s">
        <v>77</v>
      </c>
      <c r="AB29">
        <v>2</v>
      </c>
    </row>
    <row r="30" spans="1:28">
      <c r="A30" t="s">
        <v>175</v>
      </c>
      <c r="B30">
        <v>50</v>
      </c>
      <c r="C30" t="s">
        <v>50</v>
      </c>
      <c r="D30" t="s">
        <v>34</v>
      </c>
      <c r="E30" t="s">
        <v>35</v>
      </c>
      <c r="F30" t="s">
        <v>36</v>
      </c>
      <c r="G30" t="s">
        <v>34</v>
      </c>
      <c r="H30" t="s">
        <v>176</v>
      </c>
      <c r="I30" t="s">
        <v>170</v>
      </c>
      <c r="J30" s="2">
        <v>135.80000000000001</v>
      </c>
      <c r="K30">
        <v>2</v>
      </c>
      <c r="L30" t="s">
        <v>55</v>
      </c>
      <c r="M30">
        <v>2</v>
      </c>
      <c r="N30">
        <v>5</v>
      </c>
      <c r="O30">
        <v>1</v>
      </c>
      <c r="P30" t="s">
        <v>69</v>
      </c>
      <c r="Q30" t="s">
        <v>41</v>
      </c>
      <c r="R30">
        <v>1</v>
      </c>
      <c r="S30">
        <v>2</v>
      </c>
      <c r="T30" t="s">
        <v>51</v>
      </c>
      <c r="U30" t="s">
        <v>95</v>
      </c>
      <c r="V30" t="s">
        <v>71</v>
      </c>
      <c r="W30" s="1">
        <v>45612</v>
      </c>
      <c r="X30" t="b">
        <v>0</v>
      </c>
      <c r="Y30" t="b">
        <v>1</v>
      </c>
      <c r="Z30" t="s">
        <v>89</v>
      </c>
      <c r="AA30" t="s">
        <v>45</v>
      </c>
      <c r="AB30">
        <v>9</v>
      </c>
    </row>
    <row r="31" spans="1:28">
      <c r="A31" t="s">
        <v>178</v>
      </c>
      <c r="B31">
        <v>45</v>
      </c>
      <c r="C31" t="s">
        <v>33</v>
      </c>
      <c r="D31" t="s">
        <v>34</v>
      </c>
      <c r="E31" t="s">
        <v>82</v>
      </c>
      <c r="F31" t="s">
        <v>52</v>
      </c>
      <c r="G31" t="s">
        <v>34</v>
      </c>
      <c r="H31" t="s">
        <v>2243</v>
      </c>
      <c r="I31" t="s">
        <v>180</v>
      </c>
      <c r="J31" s="2">
        <v>382.24</v>
      </c>
      <c r="K31">
        <v>12</v>
      </c>
      <c r="L31" t="s">
        <v>55</v>
      </c>
      <c r="M31">
        <v>1</v>
      </c>
      <c r="N31">
        <v>5</v>
      </c>
      <c r="O31">
        <v>1</v>
      </c>
      <c r="P31" t="s">
        <v>51</v>
      </c>
      <c r="Q31" t="s">
        <v>101</v>
      </c>
      <c r="R31">
        <v>1</v>
      </c>
      <c r="S31">
        <v>4</v>
      </c>
      <c r="T31" t="s">
        <v>51</v>
      </c>
      <c r="U31" t="s">
        <v>42</v>
      </c>
      <c r="V31" t="s">
        <v>58</v>
      </c>
      <c r="W31" s="1">
        <v>45479</v>
      </c>
      <c r="X31" t="b">
        <v>1</v>
      </c>
      <c r="Y31" t="b">
        <v>1</v>
      </c>
      <c r="Z31" t="s">
        <v>89</v>
      </c>
      <c r="AA31" t="s">
        <v>60</v>
      </c>
      <c r="AB31">
        <v>3</v>
      </c>
    </row>
    <row r="32" spans="1:28">
      <c r="A32" t="s">
        <v>182</v>
      </c>
      <c r="B32">
        <v>33</v>
      </c>
      <c r="C32" t="s">
        <v>33</v>
      </c>
      <c r="D32" t="s">
        <v>51</v>
      </c>
      <c r="E32" t="s">
        <v>35</v>
      </c>
      <c r="F32" t="s">
        <v>36</v>
      </c>
      <c r="G32" t="s">
        <v>34</v>
      </c>
      <c r="H32" t="s">
        <v>183</v>
      </c>
      <c r="I32" t="s">
        <v>38</v>
      </c>
      <c r="J32" s="2">
        <v>354.7</v>
      </c>
      <c r="K32">
        <v>5</v>
      </c>
      <c r="L32" t="s">
        <v>94</v>
      </c>
      <c r="M32">
        <v>4</v>
      </c>
      <c r="N32">
        <v>2</v>
      </c>
      <c r="O32">
        <v>0</v>
      </c>
      <c r="P32" t="s">
        <v>40</v>
      </c>
      <c r="Q32" t="s">
        <v>101</v>
      </c>
      <c r="R32">
        <v>2</v>
      </c>
      <c r="S32">
        <v>7</v>
      </c>
      <c r="T32" t="s">
        <v>40</v>
      </c>
      <c r="U32" t="s">
        <v>70</v>
      </c>
      <c r="V32" t="s">
        <v>76</v>
      </c>
      <c r="W32" s="1">
        <v>45332</v>
      </c>
      <c r="X32" t="b">
        <v>1</v>
      </c>
      <c r="Y32" t="b">
        <v>0</v>
      </c>
      <c r="Z32" t="s">
        <v>89</v>
      </c>
      <c r="AA32" t="s">
        <v>77</v>
      </c>
      <c r="AB32">
        <v>12</v>
      </c>
    </row>
    <row r="33" spans="1:28">
      <c r="A33" t="s">
        <v>184</v>
      </c>
      <c r="B33">
        <v>24</v>
      </c>
      <c r="C33" t="s">
        <v>50</v>
      </c>
      <c r="D33" t="s">
        <v>51</v>
      </c>
      <c r="E33" t="s">
        <v>92</v>
      </c>
      <c r="F33" t="s">
        <v>36</v>
      </c>
      <c r="G33" t="s">
        <v>51</v>
      </c>
      <c r="H33" t="s">
        <v>185</v>
      </c>
      <c r="I33" t="s">
        <v>112</v>
      </c>
      <c r="J33" s="2">
        <v>433.82</v>
      </c>
      <c r="K33">
        <v>6</v>
      </c>
      <c r="L33" t="s">
        <v>94</v>
      </c>
      <c r="M33">
        <v>3</v>
      </c>
      <c r="N33">
        <v>2</v>
      </c>
      <c r="O33">
        <v>1</v>
      </c>
      <c r="P33" t="s">
        <v>56</v>
      </c>
      <c r="Q33" t="s">
        <v>41</v>
      </c>
      <c r="R33">
        <v>0</v>
      </c>
      <c r="S33">
        <v>8</v>
      </c>
      <c r="T33" t="s">
        <v>56</v>
      </c>
      <c r="U33" t="s">
        <v>95</v>
      </c>
      <c r="V33" t="s">
        <v>76</v>
      </c>
      <c r="W33" s="1">
        <v>45472</v>
      </c>
      <c r="X33" t="b">
        <v>0</v>
      </c>
      <c r="Y33" t="b">
        <v>1</v>
      </c>
      <c r="Z33" t="s">
        <v>89</v>
      </c>
      <c r="AA33" t="s">
        <v>77</v>
      </c>
      <c r="AB33">
        <v>10</v>
      </c>
    </row>
    <row r="34" spans="1:28">
      <c r="A34" t="s">
        <v>187</v>
      </c>
      <c r="B34">
        <v>39</v>
      </c>
      <c r="C34" t="s">
        <v>188</v>
      </c>
      <c r="D34" t="s">
        <v>51</v>
      </c>
      <c r="E34" t="s">
        <v>35</v>
      </c>
      <c r="F34" t="s">
        <v>36</v>
      </c>
      <c r="G34" t="s">
        <v>34</v>
      </c>
      <c r="H34" t="s">
        <v>189</v>
      </c>
      <c r="I34" t="s">
        <v>112</v>
      </c>
      <c r="J34" s="2">
        <v>282.13</v>
      </c>
      <c r="K34">
        <v>5</v>
      </c>
      <c r="L34" t="s">
        <v>39</v>
      </c>
      <c r="M34">
        <v>4</v>
      </c>
      <c r="N34">
        <v>5</v>
      </c>
      <c r="O34">
        <v>1</v>
      </c>
      <c r="P34" t="s">
        <v>40</v>
      </c>
      <c r="Q34" t="s">
        <v>41</v>
      </c>
      <c r="R34">
        <v>1</v>
      </c>
      <c r="S34">
        <v>2</v>
      </c>
      <c r="T34" t="s">
        <v>40</v>
      </c>
      <c r="U34" t="s">
        <v>42</v>
      </c>
      <c r="V34" t="s">
        <v>76</v>
      </c>
      <c r="W34" s="1">
        <v>45317</v>
      </c>
      <c r="X34" t="b">
        <v>1</v>
      </c>
      <c r="Y34" t="b">
        <v>0</v>
      </c>
      <c r="Z34" t="s">
        <v>44</v>
      </c>
      <c r="AA34" t="s">
        <v>60</v>
      </c>
      <c r="AB34">
        <v>9</v>
      </c>
    </row>
    <row r="35" spans="1:28">
      <c r="A35" t="s">
        <v>190</v>
      </c>
      <c r="B35">
        <v>48</v>
      </c>
      <c r="C35" t="s">
        <v>50</v>
      </c>
      <c r="D35" t="s">
        <v>51</v>
      </c>
      <c r="E35" t="s">
        <v>82</v>
      </c>
      <c r="F35" t="s">
        <v>52</v>
      </c>
      <c r="G35" t="s">
        <v>34</v>
      </c>
      <c r="H35" t="s">
        <v>191</v>
      </c>
      <c r="I35" t="s">
        <v>112</v>
      </c>
      <c r="J35" s="2">
        <v>454.38</v>
      </c>
      <c r="K35">
        <v>10</v>
      </c>
      <c r="L35" t="s">
        <v>94</v>
      </c>
      <c r="M35">
        <v>3</v>
      </c>
      <c r="N35">
        <v>4</v>
      </c>
      <c r="O35">
        <v>0</v>
      </c>
      <c r="P35" t="s">
        <v>40</v>
      </c>
      <c r="Q35" t="s">
        <v>41</v>
      </c>
      <c r="R35">
        <v>0</v>
      </c>
      <c r="S35">
        <v>10</v>
      </c>
      <c r="T35" t="s">
        <v>56</v>
      </c>
      <c r="U35" t="s">
        <v>70</v>
      </c>
      <c r="V35" t="s">
        <v>58</v>
      </c>
      <c r="W35" s="1">
        <v>45458</v>
      </c>
      <c r="X35" t="b">
        <v>1</v>
      </c>
      <c r="Y35" t="b">
        <v>0</v>
      </c>
      <c r="Z35" t="s">
        <v>72</v>
      </c>
      <c r="AA35" t="s">
        <v>45</v>
      </c>
      <c r="AB35">
        <v>7</v>
      </c>
    </row>
    <row r="36" spans="1:28">
      <c r="A36" t="s">
        <v>192</v>
      </c>
      <c r="B36">
        <v>25</v>
      </c>
      <c r="C36" t="s">
        <v>50</v>
      </c>
      <c r="D36" t="s">
        <v>34</v>
      </c>
      <c r="E36" t="s">
        <v>35</v>
      </c>
      <c r="F36" t="s">
        <v>52</v>
      </c>
      <c r="G36" t="s">
        <v>51</v>
      </c>
      <c r="H36" t="s">
        <v>193</v>
      </c>
      <c r="I36" t="s">
        <v>112</v>
      </c>
      <c r="J36" s="2">
        <v>138.88</v>
      </c>
      <c r="K36">
        <v>7</v>
      </c>
      <c r="L36" t="s">
        <v>55</v>
      </c>
      <c r="M36">
        <v>2</v>
      </c>
      <c r="N36">
        <v>4</v>
      </c>
      <c r="O36">
        <v>1</v>
      </c>
      <c r="P36" t="s">
        <v>40</v>
      </c>
      <c r="Q36" t="s">
        <v>57</v>
      </c>
      <c r="R36">
        <v>1</v>
      </c>
      <c r="S36">
        <v>3</v>
      </c>
      <c r="T36" t="s">
        <v>40</v>
      </c>
      <c r="U36" t="s">
        <v>42</v>
      </c>
      <c r="V36" t="s">
        <v>102</v>
      </c>
      <c r="W36" s="1">
        <v>45451</v>
      </c>
      <c r="X36" t="b">
        <v>1</v>
      </c>
      <c r="Y36" t="b">
        <v>0</v>
      </c>
      <c r="Z36" t="s">
        <v>89</v>
      </c>
      <c r="AA36" t="s">
        <v>45</v>
      </c>
      <c r="AB36">
        <v>4</v>
      </c>
    </row>
    <row r="37" spans="1:28">
      <c r="A37" t="s">
        <v>195</v>
      </c>
      <c r="B37">
        <v>30</v>
      </c>
      <c r="C37" t="s">
        <v>33</v>
      </c>
      <c r="D37" t="s">
        <v>51</v>
      </c>
      <c r="E37" t="s">
        <v>65</v>
      </c>
      <c r="F37" t="s">
        <v>36</v>
      </c>
      <c r="G37" t="s">
        <v>51</v>
      </c>
      <c r="H37" t="s">
        <v>196</v>
      </c>
      <c r="I37" t="s">
        <v>98</v>
      </c>
      <c r="J37" s="2">
        <v>52.34</v>
      </c>
      <c r="K37">
        <v>6</v>
      </c>
      <c r="L37" t="s">
        <v>55</v>
      </c>
      <c r="M37">
        <v>3</v>
      </c>
      <c r="N37">
        <v>4</v>
      </c>
      <c r="O37">
        <v>1</v>
      </c>
      <c r="P37" t="s">
        <v>69</v>
      </c>
      <c r="Q37" t="s">
        <v>41</v>
      </c>
      <c r="R37">
        <v>1</v>
      </c>
      <c r="S37">
        <v>5</v>
      </c>
      <c r="T37" t="s">
        <v>56</v>
      </c>
      <c r="U37" t="s">
        <v>42</v>
      </c>
      <c r="V37" t="s">
        <v>58</v>
      </c>
      <c r="W37" s="1">
        <v>45433</v>
      </c>
      <c r="X37" t="b">
        <v>1</v>
      </c>
      <c r="Y37" t="b">
        <v>1</v>
      </c>
      <c r="Z37" t="s">
        <v>89</v>
      </c>
      <c r="AA37" t="s">
        <v>77</v>
      </c>
      <c r="AB37">
        <v>13</v>
      </c>
    </row>
    <row r="38" spans="1:28">
      <c r="A38" t="s">
        <v>197</v>
      </c>
      <c r="B38">
        <v>34</v>
      </c>
      <c r="C38" t="s">
        <v>50</v>
      </c>
      <c r="D38" t="s">
        <v>34</v>
      </c>
      <c r="E38" t="s">
        <v>65</v>
      </c>
      <c r="F38" t="s">
        <v>36</v>
      </c>
      <c r="G38" t="s">
        <v>51</v>
      </c>
      <c r="H38" t="s">
        <v>198</v>
      </c>
      <c r="I38" t="s">
        <v>199</v>
      </c>
      <c r="J38" s="2">
        <v>338.2</v>
      </c>
      <c r="K38">
        <v>7</v>
      </c>
      <c r="L38" t="s">
        <v>94</v>
      </c>
      <c r="M38">
        <v>3</v>
      </c>
      <c r="N38">
        <v>5</v>
      </c>
      <c r="O38">
        <v>0</v>
      </c>
      <c r="P38" t="s">
        <v>40</v>
      </c>
      <c r="Q38" t="s">
        <v>57</v>
      </c>
      <c r="R38">
        <v>1</v>
      </c>
      <c r="S38">
        <v>9</v>
      </c>
      <c r="T38" t="s">
        <v>56</v>
      </c>
      <c r="U38" t="s">
        <v>42</v>
      </c>
      <c r="V38" t="s">
        <v>76</v>
      </c>
      <c r="W38" s="1">
        <v>45536</v>
      </c>
      <c r="X38" t="b">
        <v>1</v>
      </c>
      <c r="Y38" t="b">
        <v>0</v>
      </c>
      <c r="Z38" t="s">
        <v>59</v>
      </c>
      <c r="AA38" t="s">
        <v>60</v>
      </c>
      <c r="AB38">
        <v>7</v>
      </c>
    </row>
    <row r="39" spans="1:28">
      <c r="A39" t="s">
        <v>200</v>
      </c>
      <c r="B39">
        <v>21</v>
      </c>
      <c r="C39" t="s">
        <v>33</v>
      </c>
      <c r="D39" t="s">
        <v>34</v>
      </c>
      <c r="E39" t="s">
        <v>82</v>
      </c>
      <c r="F39" t="s">
        <v>52</v>
      </c>
      <c r="G39" t="s">
        <v>34</v>
      </c>
      <c r="H39" t="s">
        <v>201</v>
      </c>
      <c r="I39" t="s">
        <v>156</v>
      </c>
      <c r="J39" s="2">
        <v>263.14999999999998</v>
      </c>
      <c r="K39">
        <v>3</v>
      </c>
      <c r="L39" t="s">
        <v>55</v>
      </c>
      <c r="M39">
        <v>1</v>
      </c>
      <c r="N39">
        <v>5</v>
      </c>
      <c r="O39">
        <v>1</v>
      </c>
      <c r="P39" t="s">
        <v>51</v>
      </c>
      <c r="Q39" t="s">
        <v>41</v>
      </c>
      <c r="R39">
        <v>1</v>
      </c>
      <c r="S39">
        <v>10</v>
      </c>
      <c r="T39" t="s">
        <v>51</v>
      </c>
      <c r="U39" t="s">
        <v>42</v>
      </c>
      <c r="V39" t="s">
        <v>76</v>
      </c>
      <c r="W39" s="1">
        <v>45355</v>
      </c>
      <c r="X39" t="b">
        <v>1</v>
      </c>
      <c r="Y39" t="b">
        <v>0</v>
      </c>
      <c r="Z39" t="s">
        <v>72</v>
      </c>
      <c r="AA39" t="s">
        <v>77</v>
      </c>
      <c r="AB39">
        <v>10</v>
      </c>
    </row>
    <row r="40" spans="1:28">
      <c r="A40" t="s">
        <v>202</v>
      </c>
      <c r="B40">
        <v>36</v>
      </c>
      <c r="C40" t="s">
        <v>33</v>
      </c>
      <c r="D40" t="s">
        <v>34</v>
      </c>
      <c r="E40" t="s">
        <v>35</v>
      </c>
      <c r="F40" t="s">
        <v>66</v>
      </c>
      <c r="G40" t="s">
        <v>34</v>
      </c>
      <c r="H40" t="s">
        <v>203</v>
      </c>
      <c r="I40" t="s">
        <v>150</v>
      </c>
      <c r="J40" s="2">
        <v>371.58</v>
      </c>
      <c r="K40">
        <v>2</v>
      </c>
      <c r="L40" t="s">
        <v>39</v>
      </c>
      <c r="M40">
        <v>2</v>
      </c>
      <c r="N40">
        <v>1</v>
      </c>
      <c r="O40">
        <v>2</v>
      </c>
      <c r="P40" t="s">
        <v>51</v>
      </c>
      <c r="Q40" t="s">
        <v>57</v>
      </c>
      <c r="R40">
        <v>0</v>
      </c>
      <c r="S40">
        <v>10</v>
      </c>
      <c r="T40" t="s">
        <v>40</v>
      </c>
      <c r="U40" t="s">
        <v>70</v>
      </c>
      <c r="V40" t="s">
        <v>102</v>
      </c>
      <c r="W40" s="1">
        <v>45548</v>
      </c>
      <c r="X40" t="b">
        <v>1</v>
      </c>
      <c r="Y40" t="b">
        <v>1</v>
      </c>
      <c r="Z40" t="s">
        <v>59</v>
      </c>
      <c r="AA40" t="s">
        <v>45</v>
      </c>
      <c r="AB40">
        <v>11</v>
      </c>
    </row>
    <row r="41" spans="1:28">
      <c r="A41" t="s">
        <v>204</v>
      </c>
      <c r="B41">
        <v>30</v>
      </c>
      <c r="C41" t="s">
        <v>50</v>
      </c>
      <c r="D41" t="s">
        <v>34</v>
      </c>
      <c r="E41" t="s">
        <v>82</v>
      </c>
      <c r="F41" t="s">
        <v>36</v>
      </c>
      <c r="G41" t="s">
        <v>34</v>
      </c>
      <c r="H41" t="s">
        <v>205</v>
      </c>
      <c r="I41" t="s">
        <v>131</v>
      </c>
      <c r="J41" s="2">
        <v>353.4</v>
      </c>
      <c r="K41">
        <v>2</v>
      </c>
      <c r="L41" t="s">
        <v>94</v>
      </c>
      <c r="M41">
        <v>2</v>
      </c>
      <c r="N41">
        <v>3</v>
      </c>
      <c r="O41">
        <v>2</v>
      </c>
      <c r="P41" t="s">
        <v>56</v>
      </c>
      <c r="Q41" t="s">
        <v>101</v>
      </c>
      <c r="R41">
        <v>0</v>
      </c>
      <c r="S41">
        <v>1</v>
      </c>
      <c r="T41" t="s">
        <v>69</v>
      </c>
      <c r="U41" t="s">
        <v>42</v>
      </c>
      <c r="V41" t="s">
        <v>43</v>
      </c>
      <c r="W41" s="1">
        <v>45632</v>
      </c>
      <c r="X41" t="b">
        <v>0</v>
      </c>
      <c r="Y41" t="b">
        <v>1</v>
      </c>
      <c r="Z41" t="s">
        <v>72</v>
      </c>
      <c r="AA41" t="s">
        <v>45</v>
      </c>
      <c r="AB41">
        <v>3</v>
      </c>
    </row>
    <row r="42" spans="1:28">
      <c r="A42" t="s">
        <v>206</v>
      </c>
      <c r="B42">
        <v>46</v>
      </c>
      <c r="C42" t="s">
        <v>33</v>
      </c>
      <c r="D42" t="s">
        <v>34</v>
      </c>
      <c r="E42" t="s">
        <v>92</v>
      </c>
      <c r="F42" t="s">
        <v>52</v>
      </c>
      <c r="G42" t="s">
        <v>51</v>
      </c>
      <c r="H42" t="s">
        <v>207</v>
      </c>
      <c r="I42" t="s">
        <v>150</v>
      </c>
      <c r="J42" s="2">
        <v>329.41</v>
      </c>
      <c r="K42">
        <v>5</v>
      </c>
      <c r="L42" t="s">
        <v>55</v>
      </c>
      <c r="M42">
        <v>5</v>
      </c>
      <c r="N42">
        <v>3</v>
      </c>
      <c r="O42">
        <v>0</v>
      </c>
      <c r="P42" t="s">
        <v>56</v>
      </c>
      <c r="Q42" t="s">
        <v>41</v>
      </c>
      <c r="R42">
        <v>1</v>
      </c>
      <c r="S42">
        <v>1</v>
      </c>
      <c r="T42" t="s">
        <v>51</v>
      </c>
      <c r="U42" t="s">
        <v>95</v>
      </c>
      <c r="V42" t="s">
        <v>102</v>
      </c>
      <c r="W42" s="1">
        <v>45586</v>
      </c>
      <c r="X42" t="b">
        <v>1</v>
      </c>
      <c r="Y42" t="b">
        <v>1</v>
      </c>
      <c r="Z42" t="s">
        <v>44</v>
      </c>
      <c r="AA42" t="s">
        <v>45</v>
      </c>
      <c r="AB42">
        <v>2</v>
      </c>
    </row>
    <row r="43" spans="1:28">
      <c r="A43" t="s">
        <v>208</v>
      </c>
      <c r="B43">
        <v>46</v>
      </c>
      <c r="C43" t="s">
        <v>33</v>
      </c>
      <c r="D43" t="s">
        <v>34</v>
      </c>
      <c r="E43" t="s">
        <v>35</v>
      </c>
      <c r="F43" t="s">
        <v>66</v>
      </c>
      <c r="G43" t="s">
        <v>34</v>
      </c>
      <c r="H43" t="s">
        <v>2244</v>
      </c>
      <c r="I43" t="s">
        <v>54</v>
      </c>
      <c r="J43" s="2">
        <v>54.46</v>
      </c>
      <c r="K43">
        <v>5</v>
      </c>
      <c r="L43" t="s">
        <v>94</v>
      </c>
      <c r="M43">
        <v>4</v>
      </c>
      <c r="N43">
        <v>5</v>
      </c>
      <c r="O43">
        <v>1</v>
      </c>
      <c r="P43" t="s">
        <v>51</v>
      </c>
      <c r="Q43" t="s">
        <v>57</v>
      </c>
      <c r="R43">
        <v>1</v>
      </c>
      <c r="S43">
        <v>1</v>
      </c>
      <c r="T43" t="s">
        <v>69</v>
      </c>
      <c r="U43" t="s">
        <v>42</v>
      </c>
      <c r="V43" t="s">
        <v>76</v>
      </c>
      <c r="W43" s="1">
        <v>45613</v>
      </c>
      <c r="X43" t="b">
        <v>0</v>
      </c>
      <c r="Y43" t="b">
        <v>0</v>
      </c>
      <c r="Z43" t="s">
        <v>72</v>
      </c>
      <c r="AA43" t="s">
        <v>60</v>
      </c>
      <c r="AB43">
        <v>1</v>
      </c>
    </row>
    <row r="44" spans="1:28">
      <c r="A44" t="s">
        <v>210</v>
      </c>
      <c r="B44">
        <v>43</v>
      </c>
      <c r="C44" t="s">
        <v>50</v>
      </c>
      <c r="D44" t="s">
        <v>51</v>
      </c>
      <c r="E44" t="s">
        <v>82</v>
      </c>
      <c r="F44" t="s">
        <v>66</v>
      </c>
      <c r="G44" t="s">
        <v>34</v>
      </c>
      <c r="H44" t="s">
        <v>2245</v>
      </c>
      <c r="I44" t="s">
        <v>98</v>
      </c>
      <c r="J44" s="2">
        <v>257.12</v>
      </c>
      <c r="K44">
        <v>8</v>
      </c>
      <c r="L44" t="s">
        <v>94</v>
      </c>
      <c r="M44">
        <v>2</v>
      </c>
      <c r="N44">
        <v>1</v>
      </c>
      <c r="O44">
        <v>0</v>
      </c>
      <c r="P44" t="s">
        <v>51</v>
      </c>
      <c r="Q44" t="s">
        <v>57</v>
      </c>
      <c r="R44">
        <v>2</v>
      </c>
      <c r="S44">
        <v>1</v>
      </c>
      <c r="T44" t="s">
        <v>51</v>
      </c>
      <c r="U44" t="s">
        <v>70</v>
      </c>
      <c r="V44" t="s">
        <v>76</v>
      </c>
      <c r="W44" s="1">
        <v>45497</v>
      </c>
      <c r="X44" t="b">
        <v>1</v>
      </c>
      <c r="Y44" t="b">
        <v>0</v>
      </c>
      <c r="Z44" t="s">
        <v>72</v>
      </c>
      <c r="AA44" t="s">
        <v>45</v>
      </c>
      <c r="AB44">
        <v>11</v>
      </c>
    </row>
    <row r="45" spans="1:28">
      <c r="A45" t="s">
        <v>212</v>
      </c>
      <c r="B45">
        <v>43</v>
      </c>
      <c r="C45" t="s">
        <v>50</v>
      </c>
      <c r="D45" t="s">
        <v>51</v>
      </c>
      <c r="E45" t="s">
        <v>92</v>
      </c>
      <c r="F45" t="s">
        <v>36</v>
      </c>
      <c r="G45" t="s">
        <v>34</v>
      </c>
      <c r="H45" t="s">
        <v>2246</v>
      </c>
      <c r="I45" t="s">
        <v>170</v>
      </c>
      <c r="J45" s="2">
        <v>293.04000000000002</v>
      </c>
      <c r="K45">
        <v>11</v>
      </c>
      <c r="L45" t="s">
        <v>55</v>
      </c>
      <c r="M45">
        <v>4</v>
      </c>
      <c r="N45">
        <v>2</v>
      </c>
      <c r="O45">
        <v>1</v>
      </c>
      <c r="P45" t="s">
        <v>40</v>
      </c>
      <c r="Q45" t="s">
        <v>101</v>
      </c>
      <c r="R45">
        <v>1</v>
      </c>
      <c r="S45">
        <v>3</v>
      </c>
      <c r="T45" t="s">
        <v>69</v>
      </c>
      <c r="U45" t="s">
        <v>95</v>
      </c>
      <c r="V45" t="s">
        <v>58</v>
      </c>
      <c r="W45" s="1">
        <v>45354</v>
      </c>
      <c r="X45" t="b">
        <v>1</v>
      </c>
      <c r="Y45" t="b">
        <v>0</v>
      </c>
      <c r="Z45" t="s">
        <v>89</v>
      </c>
      <c r="AA45" t="s">
        <v>60</v>
      </c>
      <c r="AB45">
        <v>6</v>
      </c>
    </row>
    <row r="46" spans="1:28">
      <c r="A46" t="s">
        <v>216</v>
      </c>
      <c r="B46">
        <v>34</v>
      </c>
      <c r="C46" t="s">
        <v>50</v>
      </c>
      <c r="D46" t="s">
        <v>51</v>
      </c>
      <c r="E46" t="s">
        <v>65</v>
      </c>
      <c r="F46" t="s">
        <v>66</v>
      </c>
      <c r="G46" t="s">
        <v>51</v>
      </c>
      <c r="H46" t="s">
        <v>217</v>
      </c>
      <c r="I46" t="s">
        <v>98</v>
      </c>
      <c r="J46" s="2">
        <v>110.4</v>
      </c>
      <c r="K46">
        <v>12</v>
      </c>
      <c r="L46" t="s">
        <v>39</v>
      </c>
      <c r="M46">
        <v>5</v>
      </c>
      <c r="N46">
        <v>1</v>
      </c>
      <c r="O46">
        <v>2</v>
      </c>
      <c r="P46" t="s">
        <v>40</v>
      </c>
      <c r="Q46" t="s">
        <v>41</v>
      </c>
      <c r="R46">
        <v>1</v>
      </c>
      <c r="S46">
        <v>3</v>
      </c>
      <c r="T46" t="s">
        <v>56</v>
      </c>
      <c r="U46" t="s">
        <v>42</v>
      </c>
      <c r="V46" t="s">
        <v>71</v>
      </c>
      <c r="W46" s="1">
        <v>45609</v>
      </c>
      <c r="X46" t="b">
        <v>0</v>
      </c>
      <c r="Y46" t="b">
        <v>0</v>
      </c>
      <c r="Z46" t="s">
        <v>44</v>
      </c>
      <c r="AA46" t="s">
        <v>60</v>
      </c>
      <c r="AB46">
        <v>12</v>
      </c>
    </row>
    <row r="47" spans="1:28">
      <c r="A47" t="s">
        <v>219</v>
      </c>
      <c r="B47">
        <v>42</v>
      </c>
      <c r="C47" t="s">
        <v>33</v>
      </c>
      <c r="D47" t="s">
        <v>34</v>
      </c>
      <c r="E47" t="s">
        <v>35</v>
      </c>
      <c r="F47" t="s">
        <v>66</v>
      </c>
      <c r="G47" t="s">
        <v>51</v>
      </c>
      <c r="H47" t="s">
        <v>220</v>
      </c>
      <c r="I47" t="s">
        <v>112</v>
      </c>
      <c r="J47" s="2">
        <v>76.27</v>
      </c>
      <c r="K47">
        <v>4</v>
      </c>
      <c r="L47" t="s">
        <v>55</v>
      </c>
      <c r="M47">
        <v>2</v>
      </c>
      <c r="N47">
        <v>3</v>
      </c>
      <c r="O47">
        <v>0</v>
      </c>
      <c r="P47" t="s">
        <v>40</v>
      </c>
      <c r="Q47" t="s">
        <v>57</v>
      </c>
      <c r="R47">
        <v>0</v>
      </c>
      <c r="S47">
        <v>8</v>
      </c>
      <c r="T47" t="s">
        <v>56</v>
      </c>
      <c r="U47" t="s">
        <v>70</v>
      </c>
      <c r="V47" t="s">
        <v>43</v>
      </c>
      <c r="W47" s="1">
        <v>45650</v>
      </c>
      <c r="X47" t="b">
        <v>1</v>
      </c>
      <c r="Y47" t="b">
        <v>0</v>
      </c>
      <c r="Z47" t="s">
        <v>59</v>
      </c>
      <c r="AA47" t="s">
        <v>60</v>
      </c>
      <c r="AB47">
        <v>10</v>
      </c>
    </row>
    <row r="48" spans="1:28">
      <c r="A48" t="s">
        <v>222</v>
      </c>
      <c r="B48">
        <v>40</v>
      </c>
      <c r="C48" t="s">
        <v>33</v>
      </c>
      <c r="D48" t="s">
        <v>51</v>
      </c>
      <c r="E48" t="s">
        <v>82</v>
      </c>
      <c r="F48" t="s">
        <v>36</v>
      </c>
      <c r="G48" t="s">
        <v>34</v>
      </c>
      <c r="H48" t="s">
        <v>223</v>
      </c>
      <c r="I48" t="s">
        <v>156</v>
      </c>
      <c r="J48" s="2">
        <v>392.08</v>
      </c>
      <c r="K48">
        <v>6</v>
      </c>
      <c r="L48" t="s">
        <v>94</v>
      </c>
      <c r="M48">
        <v>2</v>
      </c>
      <c r="N48">
        <v>5</v>
      </c>
      <c r="O48">
        <v>1</v>
      </c>
      <c r="P48" t="s">
        <v>40</v>
      </c>
      <c r="Q48" t="s">
        <v>101</v>
      </c>
      <c r="R48">
        <v>2</v>
      </c>
      <c r="S48">
        <v>7</v>
      </c>
      <c r="T48" t="s">
        <v>51</v>
      </c>
      <c r="U48" t="s">
        <v>42</v>
      </c>
      <c r="V48" t="s">
        <v>76</v>
      </c>
      <c r="W48" s="1">
        <v>45508</v>
      </c>
      <c r="X48" t="b">
        <v>1</v>
      </c>
      <c r="Y48" t="b">
        <v>1</v>
      </c>
      <c r="Z48" t="s">
        <v>44</v>
      </c>
      <c r="AA48" t="s">
        <v>77</v>
      </c>
      <c r="AB48">
        <v>6</v>
      </c>
    </row>
    <row r="49" spans="1:28">
      <c r="A49" t="s">
        <v>225</v>
      </c>
      <c r="B49">
        <v>25</v>
      </c>
      <c r="C49" t="s">
        <v>33</v>
      </c>
      <c r="D49" t="s">
        <v>51</v>
      </c>
      <c r="E49" t="s">
        <v>35</v>
      </c>
      <c r="F49" t="s">
        <v>36</v>
      </c>
      <c r="G49" t="s">
        <v>51</v>
      </c>
      <c r="H49" t="s">
        <v>2247</v>
      </c>
      <c r="I49" t="s">
        <v>156</v>
      </c>
      <c r="J49" s="2">
        <v>51.22</v>
      </c>
      <c r="K49">
        <v>6</v>
      </c>
      <c r="L49" t="s">
        <v>94</v>
      </c>
      <c r="M49">
        <v>2</v>
      </c>
      <c r="N49">
        <v>1</v>
      </c>
      <c r="O49">
        <v>0</v>
      </c>
      <c r="P49" t="s">
        <v>40</v>
      </c>
      <c r="Q49" t="s">
        <v>101</v>
      </c>
      <c r="R49">
        <v>1</v>
      </c>
      <c r="S49">
        <v>5</v>
      </c>
      <c r="T49" t="s">
        <v>56</v>
      </c>
      <c r="U49" t="s">
        <v>42</v>
      </c>
      <c r="V49" t="s">
        <v>102</v>
      </c>
      <c r="W49" s="1">
        <v>45529</v>
      </c>
      <c r="X49" t="b">
        <v>1</v>
      </c>
      <c r="Y49" t="b">
        <v>1</v>
      </c>
      <c r="Z49" t="s">
        <v>89</v>
      </c>
      <c r="AA49" t="s">
        <v>60</v>
      </c>
      <c r="AB49">
        <v>5</v>
      </c>
    </row>
    <row r="50" spans="1:28">
      <c r="A50" t="s">
        <v>227</v>
      </c>
      <c r="B50">
        <v>38</v>
      </c>
      <c r="C50" t="s">
        <v>50</v>
      </c>
      <c r="D50" t="s">
        <v>34</v>
      </c>
      <c r="E50" t="s">
        <v>92</v>
      </c>
      <c r="F50" t="s">
        <v>36</v>
      </c>
      <c r="G50" t="s">
        <v>51</v>
      </c>
      <c r="H50" t="s">
        <v>2248</v>
      </c>
      <c r="I50" t="s">
        <v>229</v>
      </c>
      <c r="J50" s="2">
        <v>227.57</v>
      </c>
      <c r="K50">
        <v>2</v>
      </c>
      <c r="L50" t="s">
        <v>94</v>
      </c>
      <c r="M50">
        <v>1</v>
      </c>
      <c r="N50">
        <v>2</v>
      </c>
      <c r="O50">
        <v>0</v>
      </c>
      <c r="P50" t="s">
        <v>51</v>
      </c>
      <c r="Q50" t="s">
        <v>41</v>
      </c>
      <c r="R50">
        <v>1</v>
      </c>
      <c r="S50">
        <v>6</v>
      </c>
      <c r="T50" t="s">
        <v>40</v>
      </c>
      <c r="U50" t="s">
        <v>42</v>
      </c>
      <c r="V50" t="s">
        <v>58</v>
      </c>
      <c r="W50" s="1">
        <v>45521</v>
      </c>
      <c r="X50" t="b">
        <v>0</v>
      </c>
      <c r="Y50" t="b">
        <v>1</v>
      </c>
      <c r="Z50" t="s">
        <v>59</v>
      </c>
      <c r="AA50" t="s">
        <v>45</v>
      </c>
      <c r="AB50">
        <v>14</v>
      </c>
    </row>
    <row r="51" spans="1:28">
      <c r="A51" t="s">
        <v>230</v>
      </c>
      <c r="B51">
        <v>46</v>
      </c>
      <c r="C51" t="s">
        <v>33</v>
      </c>
      <c r="D51" t="s">
        <v>34</v>
      </c>
      <c r="E51" t="s">
        <v>82</v>
      </c>
      <c r="F51" t="s">
        <v>36</v>
      </c>
      <c r="G51" t="s">
        <v>34</v>
      </c>
      <c r="H51" t="s">
        <v>2249</v>
      </c>
      <c r="I51" t="s">
        <v>199</v>
      </c>
      <c r="J51" s="2">
        <v>378.87</v>
      </c>
      <c r="K51">
        <v>7</v>
      </c>
      <c r="L51" t="s">
        <v>94</v>
      </c>
      <c r="M51">
        <v>1</v>
      </c>
      <c r="N51">
        <v>2</v>
      </c>
      <c r="O51">
        <v>0</v>
      </c>
      <c r="P51" t="s">
        <v>40</v>
      </c>
      <c r="Q51" t="s">
        <v>101</v>
      </c>
      <c r="R51">
        <v>1</v>
      </c>
      <c r="S51">
        <v>2</v>
      </c>
      <c r="T51" t="s">
        <v>69</v>
      </c>
      <c r="U51" t="s">
        <v>42</v>
      </c>
      <c r="V51" t="s">
        <v>58</v>
      </c>
      <c r="W51" s="1">
        <v>45383</v>
      </c>
      <c r="X51" t="b">
        <v>1</v>
      </c>
      <c r="Y51" t="b">
        <v>0</v>
      </c>
      <c r="Z51" t="s">
        <v>89</v>
      </c>
      <c r="AA51" t="s">
        <v>45</v>
      </c>
      <c r="AB51">
        <v>5</v>
      </c>
    </row>
    <row r="52" spans="1:28">
      <c r="A52" t="s">
        <v>233</v>
      </c>
      <c r="B52">
        <v>24</v>
      </c>
      <c r="C52" t="s">
        <v>33</v>
      </c>
      <c r="D52" t="s">
        <v>34</v>
      </c>
      <c r="E52" t="s">
        <v>82</v>
      </c>
      <c r="F52" t="s">
        <v>52</v>
      </c>
      <c r="G52" t="s">
        <v>51</v>
      </c>
      <c r="H52" t="s">
        <v>234</v>
      </c>
      <c r="I52" t="s">
        <v>235</v>
      </c>
      <c r="J52" s="2">
        <v>423.92</v>
      </c>
      <c r="K52">
        <v>8</v>
      </c>
      <c r="L52" t="s">
        <v>39</v>
      </c>
      <c r="M52">
        <v>3</v>
      </c>
      <c r="N52">
        <v>1</v>
      </c>
      <c r="O52">
        <v>2</v>
      </c>
      <c r="P52" t="s">
        <v>69</v>
      </c>
      <c r="Q52" t="s">
        <v>41</v>
      </c>
      <c r="R52">
        <v>0</v>
      </c>
      <c r="S52">
        <v>9</v>
      </c>
      <c r="T52" t="s">
        <v>51</v>
      </c>
      <c r="U52" t="s">
        <v>42</v>
      </c>
      <c r="V52" t="s">
        <v>43</v>
      </c>
      <c r="W52" s="1">
        <v>45528</v>
      </c>
      <c r="X52" t="b">
        <v>0</v>
      </c>
      <c r="Y52" t="b">
        <v>1</v>
      </c>
      <c r="Z52" t="s">
        <v>44</v>
      </c>
      <c r="AA52" t="s">
        <v>60</v>
      </c>
      <c r="AB52">
        <v>8</v>
      </c>
    </row>
    <row r="53" spans="1:28">
      <c r="A53" t="s">
        <v>237</v>
      </c>
      <c r="B53">
        <v>43</v>
      </c>
      <c r="C53" t="s">
        <v>238</v>
      </c>
      <c r="D53" t="s">
        <v>51</v>
      </c>
      <c r="E53" t="s">
        <v>82</v>
      </c>
      <c r="F53" t="s">
        <v>66</v>
      </c>
      <c r="G53" t="s">
        <v>34</v>
      </c>
      <c r="H53" t="s">
        <v>239</v>
      </c>
      <c r="I53" t="s">
        <v>170</v>
      </c>
      <c r="J53" s="2">
        <v>111.24</v>
      </c>
      <c r="K53">
        <v>9</v>
      </c>
      <c r="L53" t="s">
        <v>39</v>
      </c>
      <c r="M53">
        <v>5</v>
      </c>
      <c r="N53">
        <v>2</v>
      </c>
      <c r="O53">
        <v>0</v>
      </c>
      <c r="P53" t="s">
        <v>56</v>
      </c>
      <c r="Q53" t="s">
        <v>41</v>
      </c>
      <c r="R53">
        <v>0</v>
      </c>
      <c r="S53">
        <v>2</v>
      </c>
      <c r="T53" t="s">
        <v>51</v>
      </c>
      <c r="U53" t="s">
        <v>70</v>
      </c>
      <c r="V53" t="s">
        <v>43</v>
      </c>
      <c r="W53" s="1">
        <v>45510</v>
      </c>
      <c r="X53" t="b">
        <v>1</v>
      </c>
      <c r="Y53" t="b">
        <v>0</v>
      </c>
      <c r="Z53" t="s">
        <v>44</v>
      </c>
      <c r="AA53" t="s">
        <v>45</v>
      </c>
      <c r="AB53">
        <v>12</v>
      </c>
    </row>
    <row r="54" spans="1:28">
      <c r="A54" t="s">
        <v>240</v>
      </c>
      <c r="B54">
        <v>37</v>
      </c>
      <c r="C54" t="s">
        <v>33</v>
      </c>
      <c r="D54" t="s">
        <v>34</v>
      </c>
      <c r="E54" t="s">
        <v>65</v>
      </c>
      <c r="F54" t="s">
        <v>36</v>
      </c>
      <c r="G54" t="s">
        <v>34</v>
      </c>
      <c r="H54" t="s">
        <v>241</v>
      </c>
      <c r="I54" t="s">
        <v>242</v>
      </c>
      <c r="J54" s="2">
        <v>299.31</v>
      </c>
      <c r="K54">
        <v>7</v>
      </c>
      <c r="L54" t="s">
        <v>39</v>
      </c>
      <c r="M54">
        <v>2</v>
      </c>
      <c r="N54">
        <v>4</v>
      </c>
      <c r="O54">
        <v>1</v>
      </c>
      <c r="P54" t="s">
        <v>56</v>
      </c>
      <c r="Q54" t="s">
        <v>101</v>
      </c>
      <c r="R54">
        <v>2</v>
      </c>
      <c r="S54">
        <v>3</v>
      </c>
      <c r="T54" t="s">
        <v>40</v>
      </c>
      <c r="U54" t="s">
        <v>95</v>
      </c>
      <c r="V54" t="s">
        <v>71</v>
      </c>
      <c r="W54" s="1">
        <v>45323</v>
      </c>
      <c r="X54" t="b">
        <v>1</v>
      </c>
      <c r="Y54" t="b">
        <v>0</v>
      </c>
      <c r="Z54" t="s">
        <v>44</v>
      </c>
      <c r="AA54" t="s">
        <v>77</v>
      </c>
      <c r="AB54">
        <v>3</v>
      </c>
    </row>
    <row r="55" spans="1:28">
      <c r="A55" t="s">
        <v>244</v>
      </c>
      <c r="B55">
        <v>42</v>
      </c>
      <c r="C55" t="s">
        <v>50</v>
      </c>
      <c r="D55" t="s">
        <v>34</v>
      </c>
      <c r="E55" t="s">
        <v>82</v>
      </c>
      <c r="F55" t="s">
        <v>66</v>
      </c>
      <c r="G55" t="s">
        <v>34</v>
      </c>
      <c r="H55" t="s">
        <v>2250</v>
      </c>
      <c r="I55" t="s">
        <v>127</v>
      </c>
      <c r="J55" s="2">
        <v>169.28</v>
      </c>
      <c r="K55">
        <v>7</v>
      </c>
      <c r="L55" t="s">
        <v>39</v>
      </c>
      <c r="M55">
        <v>4</v>
      </c>
      <c r="N55">
        <v>4</v>
      </c>
      <c r="O55">
        <v>1</v>
      </c>
      <c r="P55" t="s">
        <v>40</v>
      </c>
      <c r="Q55" t="s">
        <v>41</v>
      </c>
      <c r="R55">
        <v>2</v>
      </c>
      <c r="S55">
        <v>1</v>
      </c>
      <c r="T55" t="s">
        <v>69</v>
      </c>
      <c r="U55" t="s">
        <v>42</v>
      </c>
      <c r="V55" t="s">
        <v>102</v>
      </c>
      <c r="W55" s="1">
        <v>45460</v>
      </c>
      <c r="X55" t="b">
        <v>1</v>
      </c>
      <c r="Y55" t="b">
        <v>1</v>
      </c>
      <c r="Z55" t="s">
        <v>72</v>
      </c>
      <c r="AA55" t="s">
        <v>45</v>
      </c>
      <c r="AB55">
        <v>6</v>
      </c>
    </row>
    <row r="56" spans="1:28">
      <c r="A56" t="s">
        <v>247</v>
      </c>
      <c r="B56">
        <v>29</v>
      </c>
      <c r="C56" t="s">
        <v>50</v>
      </c>
      <c r="D56" t="s">
        <v>34</v>
      </c>
      <c r="E56" t="s">
        <v>82</v>
      </c>
      <c r="F56" t="s">
        <v>52</v>
      </c>
      <c r="G56" t="s">
        <v>51</v>
      </c>
      <c r="H56" t="s">
        <v>2251</v>
      </c>
      <c r="I56" t="s">
        <v>68</v>
      </c>
      <c r="J56" s="2">
        <v>449.13</v>
      </c>
      <c r="K56">
        <v>9</v>
      </c>
      <c r="L56" t="s">
        <v>55</v>
      </c>
      <c r="M56">
        <v>2</v>
      </c>
      <c r="N56">
        <v>1</v>
      </c>
      <c r="O56">
        <v>0.5</v>
      </c>
      <c r="P56" t="s">
        <v>56</v>
      </c>
      <c r="Q56" t="s">
        <v>57</v>
      </c>
      <c r="R56">
        <v>2</v>
      </c>
      <c r="S56">
        <v>2</v>
      </c>
      <c r="T56" t="s">
        <v>69</v>
      </c>
      <c r="U56" t="s">
        <v>42</v>
      </c>
      <c r="V56" t="s">
        <v>43</v>
      </c>
      <c r="W56" s="1">
        <v>45455</v>
      </c>
      <c r="X56" t="b">
        <v>0</v>
      </c>
      <c r="Y56" t="b">
        <v>0</v>
      </c>
      <c r="Z56" t="s">
        <v>89</v>
      </c>
      <c r="AA56" t="s">
        <v>45</v>
      </c>
      <c r="AB56">
        <v>14</v>
      </c>
    </row>
    <row r="57" spans="1:28">
      <c r="A57" t="s">
        <v>249</v>
      </c>
      <c r="B57">
        <v>35</v>
      </c>
      <c r="C57" t="s">
        <v>33</v>
      </c>
      <c r="D57" t="s">
        <v>51</v>
      </c>
      <c r="E57" t="s">
        <v>35</v>
      </c>
      <c r="F57" t="s">
        <v>66</v>
      </c>
      <c r="G57" t="s">
        <v>51</v>
      </c>
      <c r="H57" t="s">
        <v>250</v>
      </c>
      <c r="I57" t="s">
        <v>127</v>
      </c>
      <c r="J57" s="2">
        <v>427.48</v>
      </c>
      <c r="K57">
        <v>6</v>
      </c>
      <c r="L57" t="s">
        <v>94</v>
      </c>
      <c r="M57">
        <v>4</v>
      </c>
      <c r="N57">
        <v>2</v>
      </c>
      <c r="O57">
        <v>0</v>
      </c>
      <c r="P57" t="s">
        <v>56</v>
      </c>
      <c r="Q57" t="s">
        <v>57</v>
      </c>
      <c r="R57">
        <v>1</v>
      </c>
      <c r="S57">
        <v>1</v>
      </c>
      <c r="T57" t="s">
        <v>69</v>
      </c>
      <c r="U57" t="s">
        <v>70</v>
      </c>
      <c r="V57" t="s">
        <v>71</v>
      </c>
      <c r="W57" s="1">
        <v>45642</v>
      </c>
      <c r="X57" t="b">
        <v>1</v>
      </c>
      <c r="Y57" t="b">
        <v>0</v>
      </c>
      <c r="Z57" t="s">
        <v>72</v>
      </c>
      <c r="AA57" t="s">
        <v>60</v>
      </c>
      <c r="AB57">
        <v>11</v>
      </c>
    </row>
    <row r="58" spans="1:28">
      <c r="A58" t="s">
        <v>251</v>
      </c>
      <c r="B58">
        <v>27</v>
      </c>
      <c r="C58" t="s">
        <v>33</v>
      </c>
      <c r="D58" t="s">
        <v>34</v>
      </c>
      <c r="E58" t="s">
        <v>65</v>
      </c>
      <c r="F58" t="s">
        <v>52</v>
      </c>
      <c r="G58" t="s">
        <v>51</v>
      </c>
      <c r="H58" t="s">
        <v>2252</v>
      </c>
      <c r="I58" t="s">
        <v>108</v>
      </c>
      <c r="J58" s="2">
        <v>171.61</v>
      </c>
      <c r="K58">
        <v>3</v>
      </c>
      <c r="L58" t="s">
        <v>94</v>
      </c>
      <c r="M58">
        <v>3</v>
      </c>
      <c r="N58">
        <v>1</v>
      </c>
      <c r="O58">
        <v>2</v>
      </c>
      <c r="P58" t="s">
        <v>69</v>
      </c>
      <c r="Q58" t="s">
        <v>101</v>
      </c>
      <c r="R58">
        <v>1</v>
      </c>
      <c r="S58">
        <v>6</v>
      </c>
      <c r="T58" t="s">
        <v>51</v>
      </c>
      <c r="U58" t="s">
        <v>95</v>
      </c>
      <c r="V58" t="s">
        <v>43</v>
      </c>
      <c r="W58" s="1">
        <v>45596</v>
      </c>
      <c r="X58" t="b">
        <v>1</v>
      </c>
      <c r="Y58" t="b">
        <v>0</v>
      </c>
      <c r="Z58" t="s">
        <v>89</v>
      </c>
      <c r="AA58" t="s">
        <v>77</v>
      </c>
      <c r="AB58">
        <v>8</v>
      </c>
    </row>
    <row r="59" spans="1:28">
      <c r="A59" t="s">
        <v>253</v>
      </c>
      <c r="B59">
        <v>40</v>
      </c>
      <c r="C59" t="s">
        <v>33</v>
      </c>
      <c r="D59" t="s">
        <v>51</v>
      </c>
      <c r="E59" t="s">
        <v>35</v>
      </c>
      <c r="F59" t="s">
        <v>36</v>
      </c>
      <c r="G59" t="s">
        <v>51</v>
      </c>
      <c r="H59" t="s">
        <v>254</v>
      </c>
      <c r="I59" t="s">
        <v>98</v>
      </c>
      <c r="J59" s="2">
        <v>240.28</v>
      </c>
      <c r="K59">
        <v>3</v>
      </c>
      <c r="L59" t="s">
        <v>94</v>
      </c>
      <c r="M59">
        <v>3</v>
      </c>
      <c r="N59">
        <v>5</v>
      </c>
      <c r="O59">
        <v>2</v>
      </c>
      <c r="P59" t="s">
        <v>51</v>
      </c>
      <c r="Q59" t="s">
        <v>57</v>
      </c>
      <c r="R59">
        <v>2</v>
      </c>
      <c r="S59">
        <v>7</v>
      </c>
      <c r="T59" t="s">
        <v>56</v>
      </c>
      <c r="U59" t="s">
        <v>42</v>
      </c>
      <c r="V59" t="s">
        <v>102</v>
      </c>
      <c r="W59" s="1">
        <v>45633</v>
      </c>
      <c r="X59" t="b">
        <v>1</v>
      </c>
      <c r="Y59" t="b">
        <v>1</v>
      </c>
      <c r="Z59" t="s">
        <v>72</v>
      </c>
      <c r="AA59" t="s">
        <v>60</v>
      </c>
      <c r="AB59">
        <v>4</v>
      </c>
    </row>
    <row r="60" spans="1:28">
      <c r="A60" t="s">
        <v>256</v>
      </c>
      <c r="B60">
        <v>34</v>
      </c>
      <c r="C60" t="s">
        <v>33</v>
      </c>
      <c r="D60" t="s">
        <v>51</v>
      </c>
      <c r="E60" t="s">
        <v>65</v>
      </c>
      <c r="F60" t="s">
        <v>52</v>
      </c>
      <c r="G60" t="s">
        <v>51</v>
      </c>
      <c r="H60" t="s">
        <v>257</v>
      </c>
      <c r="I60" t="s">
        <v>84</v>
      </c>
      <c r="J60" s="2">
        <v>310.17</v>
      </c>
      <c r="K60">
        <v>6</v>
      </c>
      <c r="L60" t="s">
        <v>55</v>
      </c>
      <c r="M60">
        <v>2</v>
      </c>
      <c r="N60">
        <v>3</v>
      </c>
      <c r="O60">
        <v>2</v>
      </c>
      <c r="P60" t="s">
        <v>56</v>
      </c>
      <c r="Q60" t="s">
        <v>101</v>
      </c>
      <c r="R60">
        <v>0</v>
      </c>
      <c r="S60">
        <v>10</v>
      </c>
      <c r="T60" t="s">
        <v>40</v>
      </c>
      <c r="U60" t="s">
        <v>70</v>
      </c>
      <c r="V60" t="s">
        <v>71</v>
      </c>
      <c r="W60" s="1">
        <v>45346</v>
      </c>
      <c r="X60" t="b">
        <v>0</v>
      </c>
      <c r="Y60" t="b">
        <v>0</v>
      </c>
      <c r="Z60" t="s">
        <v>59</v>
      </c>
      <c r="AA60" t="s">
        <v>45</v>
      </c>
      <c r="AB60">
        <v>13</v>
      </c>
    </row>
    <row r="61" spans="1:28">
      <c r="A61" t="s">
        <v>258</v>
      </c>
      <c r="B61">
        <v>25</v>
      </c>
      <c r="C61" t="s">
        <v>33</v>
      </c>
      <c r="D61" t="s">
        <v>34</v>
      </c>
      <c r="E61" t="s">
        <v>35</v>
      </c>
      <c r="F61" t="s">
        <v>36</v>
      </c>
      <c r="G61" t="s">
        <v>34</v>
      </c>
      <c r="H61" t="s">
        <v>259</v>
      </c>
      <c r="I61" t="s">
        <v>135</v>
      </c>
      <c r="J61" s="2">
        <v>166</v>
      </c>
      <c r="K61">
        <v>10</v>
      </c>
      <c r="L61" t="s">
        <v>94</v>
      </c>
      <c r="M61">
        <v>5</v>
      </c>
      <c r="N61">
        <v>3</v>
      </c>
      <c r="O61">
        <v>0</v>
      </c>
      <c r="P61" t="s">
        <v>51</v>
      </c>
      <c r="Q61" t="s">
        <v>57</v>
      </c>
      <c r="R61">
        <v>2</v>
      </c>
      <c r="S61">
        <v>10</v>
      </c>
      <c r="T61" t="s">
        <v>56</v>
      </c>
      <c r="U61" t="s">
        <v>70</v>
      </c>
      <c r="V61" t="s">
        <v>58</v>
      </c>
      <c r="W61" s="1">
        <v>45454</v>
      </c>
      <c r="X61" t="b">
        <v>0</v>
      </c>
      <c r="Y61" t="b">
        <v>0</v>
      </c>
      <c r="Z61" t="s">
        <v>72</v>
      </c>
      <c r="AA61" t="s">
        <v>77</v>
      </c>
      <c r="AB61">
        <v>5</v>
      </c>
    </row>
    <row r="62" spans="1:28">
      <c r="A62" t="s">
        <v>260</v>
      </c>
      <c r="B62">
        <v>38</v>
      </c>
      <c r="C62" t="s">
        <v>50</v>
      </c>
      <c r="D62" t="s">
        <v>51</v>
      </c>
      <c r="E62" t="s">
        <v>92</v>
      </c>
      <c r="F62" t="s">
        <v>36</v>
      </c>
      <c r="G62" t="s">
        <v>51</v>
      </c>
      <c r="H62" t="s">
        <v>261</v>
      </c>
      <c r="I62" t="s">
        <v>153</v>
      </c>
      <c r="J62" s="2">
        <v>362.01</v>
      </c>
      <c r="K62">
        <v>2</v>
      </c>
      <c r="L62" t="s">
        <v>55</v>
      </c>
      <c r="M62">
        <v>2</v>
      </c>
      <c r="N62">
        <v>4</v>
      </c>
      <c r="O62">
        <v>1</v>
      </c>
      <c r="P62" t="s">
        <v>40</v>
      </c>
      <c r="Q62" t="s">
        <v>41</v>
      </c>
      <c r="R62">
        <v>2</v>
      </c>
      <c r="S62">
        <v>1</v>
      </c>
      <c r="T62" t="s">
        <v>56</v>
      </c>
      <c r="U62" t="s">
        <v>42</v>
      </c>
      <c r="V62" t="s">
        <v>71</v>
      </c>
      <c r="W62" s="1">
        <v>45620</v>
      </c>
      <c r="X62" t="b">
        <v>0</v>
      </c>
      <c r="Y62" t="b">
        <v>0</v>
      </c>
      <c r="Z62" t="s">
        <v>72</v>
      </c>
      <c r="AA62" t="s">
        <v>77</v>
      </c>
      <c r="AB62">
        <v>1</v>
      </c>
    </row>
    <row r="63" spans="1:28">
      <c r="A63" t="s">
        <v>263</v>
      </c>
      <c r="B63">
        <v>33</v>
      </c>
      <c r="C63" t="s">
        <v>264</v>
      </c>
      <c r="D63" t="s">
        <v>51</v>
      </c>
      <c r="E63" t="s">
        <v>35</v>
      </c>
      <c r="F63" t="s">
        <v>36</v>
      </c>
      <c r="G63" t="s">
        <v>34</v>
      </c>
      <c r="H63" t="s">
        <v>265</v>
      </c>
      <c r="I63" t="s">
        <v>242</v>
      </c>
      <c r="J63" s="2">
        <v>348.5</v>
      </c>
      <c r="K63">
        <v>3</v>
      </c>
      <c r="L63" t="s">
        <v>39</v>
      </c>
      <c r="M63">
        <v>2</v>
      </c>
      <c r="N63">
        <v>3</v>
      </c>
      <c r="O63">
        <v>2</v>
      </c>
      <c r="P63" t="s">
        <v>40</v>
      </c>
      <c r="Q63" t="s">
        <v>57</v>
      </c>
      <c r="R63">
        <v>0</v>
      </c>
      <c r="S63">
        <v>6</v>
      </c>
      <c r="T63" t="s">
        <v>56</v>
      </c>
      <c r="U63" t="s">
        <v>70</v>
      </c>
      <c r="V63" t="s">
        <v>71</v>
      </c>
      <c r="W63" s="1">
        <v>45482</v>
      </c>
      <c r="X63" t="b">
        <v>0</v>
      </c>
      <c r="Y63" t="b">
        <v>0</v>
      </c>
      <c r="Z63" t="s">
        <v>89</v>
      </c>
      <c r="AA63" t="s">
        <v>45</v>
      </c>
      <c r="AB63">
        <v>8</v>
      </c>
    </row>
    <row r="64" spans="1:28">
      <c r="A64" t="s">
        <v>267</v>
      </c>
      <c r="B64">
        <v>32</v>
      </c>
      <c r="C64" t="s">
        <v>33</v>
      </c>
      <c r="D64" t="s">
        <v>34</v>
      </c>
      <c r="E64" t="s">
        <v>35</v>
      </c>
      <c r="F64" t="s">
        <v>36</v>
      </c>
      <c r="G64" t="s">
        <v>51</v>
      </c>
      <c r="H64" t="s">
        <v>268</v>
      </c>
      <c r="I64" t="s">
        <v>127</v>
      </c>
      <c r="J64" s="2">
        <v>395.97</v>
      </c>
      <c r="K64">
        <v>9</v>
      </c>
      <c r="L64" t="s">
        <v>55</v>
      </c>
      <c r="M64">
        <v>1</v>
      </c>
      <c r="N64">
        <v>4</v>
      </c>
      <c r="O64">
        <v>0</v>
      </c>
      <c r="P64" t="s">
        <v>56</v>
      </c>
      <c r="Q64" t="s">
        <v>101</v>
      </c>
      <c r="R64">
        <v>1</v>
      </c>
      <c r="S64">
        <v>6</v>
      </c>
      <c r="T64" t="s">
        <v>69</v>
      </c>
      <c r="U64" t="s">
        <v>42</v>
      </c>
      <c r="V64" t="s">
        <v>71</v>
      </c>
      <c r="W64" s="1">
        <v>45522</v>
      </c>
      <c r="X64" t="b">
        <v>1</v>
      </c>
      <c r="Y64" t="b">
        <v>1</v>
      </c>
      <c r="Z64" t="s">
        <v>59</v>
      </c>
      <c r="AA64" t="s">
        <v>60</v>
      </c>
      <c r="AB64">
        <v>1</v>
      </c>
    </row>
    <row r="65" spans="1:28">
      <c r="A65" t="s">
        <v>270</v>
      </c>
      <c r="B65">
        <v>50</v>
      </c>
      <c r="C65" t="s">
        <v>33</v>
      </c>
      <c r="D65" t="s">
        <v>34</v>
      </c>
      <c r="E65" t="s">
        <v>82</v>
      </c>
      <c r="F65" t="s">
        <v>52</v>
      </c>
      <c r="G65" t="s">
        <v>34</v>
      </c>
      <c r="H65" t="s">
        <v>271</v>
      </c>
      <c r="I65" t="s">
        <v>108</v>
      </c>
      <c r="J65" s="2">
        <v>474.99</v>
      </c>
      <c r="K65">
        <v>9</v>
      </c>
      <c r="L65" t="s">
        <v>94</v>
      </c>
      <c r="M65">
        <v>2</v>
      </c>
      <c r="N65">
        <v>4</v>
      </c>
      <c r="O65">
        <v>1</v>
      </c>
      <c r="P65" t="s">
        <v>40</v>
      </c>
      <c r="Q65" t="s">
        <v>41</v>
      </c>
      <c r="R65">
        <v>0</v>
      </c>
      <c r="S65">
        <v>8</v>
      </c>
      <c r="T65" t="s">
        <v>51</v>
      </c>
      <c r="U65" t="s">
        <v>95</v>
      </c>
      <c r="V65" t="s">
        <v>43</v>
      </c>
      <c r="W65" s="1">
        <v>45483</v>
      </c>
      <c r="X65" t="b">
        <v>1</v>
      </c>
      <c r="Y65" t="b">
        <v>0</v>
      </c>
      <c r="Z65" t="s">
        <v>89</v>
      </c>
      <c r="AA65" t="s">
        <v>60</v>
      </c>
      <c r="AB65">
        <v>5</v>
      </c>
    </row>
    <row r="66" spans="1:28">
      <c r="A66" t="s">
        <v>273</v>
      </c>
      <c r="B66">
        <v>35</v>
      </c>
      <c r="C66" t="s">
        <v>33</v>
      </c>
      <c r="D66" t="s">
        <v>34</v>
      </c>
      <c r="E66" t="s">
        <v>82</v>
      </c>
      <c r="F66" t="s">
        <v>52</v>
      </c>
      <c r="G66" t="s">
        <v>34</v>
      </c>
      <c r="H66" t="s">
        <v>274</v>
      </c>
      <c r="I66" t="s">
        <v>123</v>
      </c>
      <c r="J66" s="2">
        <v>286.43</v>
      </c>
      <c r="K66">
        <v>4</v>
      </c>
      <c r="L66" t="s">
        <v>39</v>
      </c>
      <c r="M66">
        <v>1</v>
      </c>
      <c r="N66">
        <v>3</v>
      </c>
      <c r="O66">
        <v>0</v>
      </c>
      <c r="P66" t="s">
        <v>51</v>
      </c>
      <c r="Q66" t="s">
        <v>101</v>
      </c>
      <c r="R66">
        <v>2</v>
      </c>
      <c r="S66">
        <v>3</v>
      </c>
      <c r="T66" t="s">
        <v>40</v>
      </c>
      <c r="U66" t="s">
        <v>95</v>
      </c>
      <c r="V66" t="s">
        <v>102</v>
      </c>
      <c r="W66" s="1">
        <v>45485</v>
      </c>
      <c r="X66" t="b">
        <v>1</v>
      </c>
      <c r="Y66" t="b">
        <v>0</v>
      </c>
      <c r="Z66" t="s">
        <v>59</v>
      </c>
      <c r="AA66" t="s">
        <v>77</v>
      </c>
      <c r="AB66">
        <v>14</v>
      </c>
    </row>
    <row r="67" spans="1:28">
      <c r="A67" t="s">
        <v>275</v>
      </c>
      <c r="B67">
        <v>19</v>
      </c>
      <c r="C67" t="s">
        <v>188</v>
      </c>
      <c r="D67" t="s">
        <v>51</v>
      </c>
      <c r="E67" t="s">
        <v>82</v>
      </c>
      <c r="F67" t="s">
        <v>52</v>
      </c>
      <c r="G67" t="s">
        <v>51</v>
      </c>
      <c r="H67" t="s">
        <v>276</v>
      </c>
      <c r="I67" t="s">
        <v>131</v>
      </c>
      <c r="J67" s="2">
        <v>333.32</v>
      </c>
      <c r="K67">
        <v>8</v>
      </c>
      <c r="L67" t="s">
        <v>94</v>
      </c>
      <c r="M67">
        <v>1</v>
      </c>
      <c r="N67">
        <v>5</v>
      </c>
      <c r="O67">
        <v>0</v>
      </c>
      <c r="P67" t="s">
        <v>69</v>
      </c>
      <c r="Q67" t="s">
        <v>101</v>
      </c>
      <c r="R67">
        <v>0</v>
      </c>
      <c r="S67">
        <v>3</v>
      </c>
      <c r="T67" t="s">
        <v>51</v>
      </c>
      <c r="U67" t="s">
        <v>70</v>
      </c>
      <c r="V67" t="s">
        <v>43</v>
      </c>
      <c r="W67" s="1">
        <v>45570</v>
      </c>
      <c r="X67" t="b">
        <v>1</v>
      </c>
      <c r="Y67" t="b">
        <v>0</v>
      </c>
      <c r="Z67" t="s">
        <v>89</v>
      </c>
      <c r="AA67" t="s">
        <v>45</v>
      </c>
      <c r="AB67">
        <v>3</v>
      </c>
    </row>
    <row r="68" spans="1:28">
      <c r="A68" t="s">
        <v>277</v>
      </c>
      <c r="B68">
        <v>46</v>
      </c>
      <c r="C68" t="s">
        <v>106</v>
      </c>
      <c r="D68" t="s">
        <v>51</v>
      </c>
      <c r="E68" t="s">
        <v>65</v>
      </c>
      <c r="F68" t="s">
        <v>66</v>
      </c>
      <c r="G68" t="s">
        <v>51</v>
      </c>
      <c r="H68" t="s">
        <v>2253</v>
      </c>
      <c r="I68" t="s">
        <v>147</v>
      </c>
      <c r="J68" s="2">
        <v>223.47</v>
      </c>
      <c r="K68">
        <v>9</v>
      </c>
      <c r="L68" t="s">
        <v>39</v>
      </c>
      <c r="M68">
        <v>2</v>
      </c>
      <c r="N68">
        <v>1</v>
      </c>
      <c r="O68">
        <v>1</v>
      </c>
      <c r="P68" t="s">
        <v>51</v>
      </c>
      <c r="Q68" t="s">
        <v>41</v>
      </c>
      <c r="R68">
        <v>0</v>
      </c>
      <c r="S68">
        <v>2</v>
      </c>
      <c r="T68" t="s">
        <v>40</v>
      </c>
      <c r="U68" t="s">
        <v>42</v>
      </c>
      <c r="V68" t="s">
        <v>71</v>
      </c>
      <c r="W68" s="1">
        <v>45555</v>
      </c>
      <c r="X68" t="b">
        <v>1</v>
      </c>
      <c r="Y68" t="b">
        <v>1</v>
      </c>
      <c r="Z68" t="s">
        <v>44</v>
      </c>
      <c r="AA68" t="s">
        <v>60</v>
      </c>
      <c r="AB68">
        <v>8</v>
      </c>
    </row>
    <row r="69" spans="1:28">
      <c r="A69" t="s">
        <v>280</v>
      </c>
      <c r="B69">
        <v>23</v>
      </c>
      <c r="C69" t="s">
        <v>50</v>
      </c>
      <c r="D69" t="s">
        <v>34</v>
      </c>
      <c r="E69" t="s">
        <v>92</v>
      </c>
      <c r="F69" t="s">
        <v>66</v>
      </c>
      <c r="G69" t="s">
        <v>34</v>
      </c>
      <c r="H69" t="s">
        <v>281</v>
      </c>
      <c r="I69" t="s">
        <v>108</v>
      </c>
      <c r="J69" s="2">
        <v>414.83</v>
      </c>
      <c r="K69">
        <v>2</v>
      </c>
      <c r="L69" t="s">
        <v>39</v>
      </c>
      <c r="M69">
        <v>2</v>
      </c>
      <c r="N69">
        <v>4</v>
      </c>
      <c r="O69">
        <v>0.5</v>
      </c>
      <c r="P69" t="s">
        <v>51</v>
      </c>
      <c r="Q69" t="s">
        <v>41</v>
      </c>
      <c r="R69">
        <v>2</v>
      </c>
      <c r="S69">
        <v>4</v>
      </c>
      <c r="T69" t="s">
        <v>51</v>
      </c>
      <c r="U69" t="s">
        <v>95</v>
      </c>
      <c r="V69" t="s">
        <v>43</v>
      </c>
      <c r="W69" s="1">
        <v>45489</v>
      </c>
      <c r="X69" t="b">
        <v>0</v>
      </c>
      <c r="Y69" t="b">
        <v>0</v>
      </c>
      <c r="Z69" t="s">
        <v>89</v>
      </c>
      <c r="AA69" t="s">
        <v>77</v>
      </c>
      <c r="AB69">
        <v>8</v>
      </c>
    </row>
    <row r="70" spans="1:28">
      <c r="A70" t="s">
        <v>282</v>
      </c>
      <c r="B70">
        <v>34</v>
      </c>
      <c r="C70" t="s">
        <v>33</v>
      </c>
      <c r="D70" t="s">
        <v>51</v>
      </c>
      <c r="E70" t="s">
        <v>82</v>
      </c>
      <c r="F70" t="s">
        <v>66</v>
      </c>
      <c r="G70" t="s">
        <v>51</v>
      </c>
      <c r="H70" t="s">
        <v>283</v>
      </c>
      <c r="I70" t="s">
        <v>98</v>
      </c>
      <c r="J70" s="2">
        <v>391.38</v>
      </c>
      <c r="K70">
        <v>5</v>
      </c>
      <c r="L70" t="s">
        <v>55</v>
      </c>
      <c r="M70">
        <v>5</v>
      </c>
      <c r="N70">
        <v>2</v>
      </c>
      <c r="O70">
        <v>2</v>
      </c>
      <c r="P70" t="s">
        <v>69</v>
      </c>
      <c r="Q70" t="s">
        <v>57</v>
      </c>
      <c r="R70">
        <v>0</v>
      </c>
      <c r="S70">
        <v>7</v>
      </c>
      <c r="T70" t="s">
        <v>69</v>
      </c>
      <c r="U70" t="s">
        <v>42</v>
      </c>
      <c r="V70" t="s">
        <v>76</v>
      </c>
      <c r="W70" s="1">
        <v>45384</v>
      </c>
      <c r="X70" t="b">
        <v>0</v>
      </c>
      <c r="Y70" t="b">
        <v>0</v>
      </c>
      <c r="Z70" t="s">
        <v>44</v>
      </c>
      <c r="AA70" t="s">
        <v>45</v>
      </c>
      <c r="AB70">
        <v>8</v>
      </c>
    </row>
    <row r="71" spans="1:28">
      <c r="A71" t="s">
        <v>285</v>
      </c>
      <c r="B71">
        <v>48</v>
      </c>
      <c r="C71" t="s">
        <v>50</v>
      </c>
      <c r="D71" t="s">
        <v>34</v>
      </c>
      <c r="E71" t="s">
        <v>92</v>
      </c>
      <c r="F71" t="s">
        <v>36</v>
      </c>
      <c r="G71" t="s">
        <v>51</v>
      </c>
      <c r="H71" t="s">
        <v>286</v>
      </c>
      <c r="I71" t="s">
        <v>84</v>
      </c>
      <c r="J71" s="2">
        <v>368.4</v>
      </c>
      <c r="K71">
        <v>11</v>
      </c>
      <c r="L71" t="s">
        <v>94</v>
      </c>
      <c r="M71">
        <v>2</v>
      </c>
      <c r="N71">
        <v>5</v>
      </c>
      <c r="O71">
        <v>1</v>
      </c>
      <c r="P71" t="s">
        <v>51</v>
      </c>
      <c r="Q71" t="s">
        <v>57</v>
      </c>
      <c r="R71">
        <v>0</v>
      </c>
      <c r="S71">
        <v>3</v>
      </c>
      <c r="T71" t="s">
        <v>51</v>
      </c>
      <c r="U71" t="s">
        <v>95</v>
      </c>
      <c r="V71" t="s">
        <v>43</v>
      </c>
      <c r="W71" s="1">
        <v>45464</v>
      </c>
      <c r="X71" t="b">
        <v>0</v>
      </c>
      <c r="Y71" t="b">
        <v>0</v>
      </c>
      <c r="Z71" t="s">
        <v>44</v>
      </c>
      <c r="AA71" t="s">
        <v>45</v>
      </c>
      <c r="AB71">
        <v>13</v>
      </c>
    </row>
    <row r="72" spans="1:28">
      <c r="A72" t="s">
        <v>288</v>
      </c>
      <c r="B72">
        <v>27</v>
      </c>
      <c r="C72" t="s">
        <v>106</v>
      </c>
      <c r="D72" t="s">
        <v>34</v>
      </c>
      <c r="E72" t="s">
        <v>82</v>
      </c>
      <c r="F72" t="s">
        <v>52</v>
      </c>
      <c r="G72" t="s">
        <v>34</v>
      </c>
      <c r="H72" t="s">
        <v>289</v>
      </c>
      <c r="I72" t="s">
        <v>84</v>
      </c>
      <c r="J72" s="2">
        <v>328.36</v>
      </c>
      <c r="K72">
        <v>11</v>
      </c>
      <c r="L72" t="s">
        <v>55</v>
      </c>
      <c r="M72">
        <v>1</v>
      </c>
      <c r="N72">
        <v>4</v>
      </c>
      <c r="O72">
        <v>2</v>
      </c>
      <c r="P72" t="s">
        <v>51</v>
      </c>
      <c r="Q72" t="s">
        <v>101</v>
      </c>
      <c r="R72">
        <v>0</v>
      </c>
      <c r="S72">
        <v>4</v>
      </c>
      <c r="T72" t="s">
        <v>40</v>
      </c>
      <c r="U72" t="s">
        <v>42</v>
      </c>
      <c r="V72" t="s">
        <v>102</v>
      </c>
      <c r="W72" s="1">
        <v>45362</v>
      </c>
      <c r="X72" t="b">
        <v>0</v>
      </c>
      <c r="Y72" t="b">
        <v>1</v>
      </c>
      <c r="Z72" t="s">
        <v>59</v>
      </c>
      <c r="AA72" t="s">
        <v>77</v>
      </c>
      <c r="AB72">
        <v>4</v>
      </c>
    </row>
    <row r="73" spans="1:28">
      <c r="A73" t="s">
        <v>291</v>
      </c>
      <c r="B73">
        <v>37</v>
      </c>
      <c r="C73" t="s">
        <v>33</v>
      </c>
      <c r="D73" t="s">
        <v>34</v>
      </c>
      <c r="E73" t="s">
        <v>92</v>
      </c>
      <c r="F73" t="s">
        <v>36</v>
      </c>
      <c r="G73" t="s">
        <v>34</v>
      </c>
      <c r="H73" t="s">
        <v>292</v>
      </c>
      <c r="I73" t="s">
        <v>75</v>
      </c>
      <c r="J73" s="2">
        <v>424.39</v>
      </c>
      <c r="K73">
        <v>9</v>
      </c>
      <c r="L73" t="s">
        <v>39</v>
      </c>
      <c r="M73">
        <v>3</v>
      </c>
      <c r="N73">
        <v>1</v>
      </c>
      <c r="O73">
        <v>1</v>
      </c>
      <c r="P73" t="s">
        <v>51</v>
      </c>
      <c r="Q73" t="s">
        <v>41</v>
      </c>
      <c r="R73">
        <v>0</v>
      </c>
      <c r="S73">
        <v>7</v>
      </c>
      <c r="T73" t="s">
        <v>69</v>
      </c>
      <c r="U73" t="s">
        <v>70</v>
      </c>
      <c r="V73" t="s">
        <v>43</v>
      </c>
      <c r="W73" s="1">
        <v>45348</v>
      </c>
      <c r="X73" t="b">
        <v>1</v>
      </c>
      <c r="Y73" t="b">
        <v>0</v>
      </c>
      <c r="Z73" t="s">
        <v>59</v>
      </c>
      <c r="AA73" t="s">
        <v>45</v>
      </c>
      <c r="AB73">
        <v>13</v>
      </c>
    </row>
    <row r="74" spans="1:28">
      <c r="A74" t="s">
        <v>293</v>
      </c>
      <c r="B74">
        <v>47</v>
      </c>
      <c r="C74" t="s">
        <v>50</v>
      </c>
      <c r="D74" t="s">
        <v>51</v>
      </c>
      <c r="E74" t="s">
        <v>35</v>
      </c>
      <c r="F74" t="s">
        <v>52</v>
      </c>
      <c r="G74" t="s">
        <v>51</v>
      </c>
      <c r="H74" t="s">
        <v>294</v>
      </c>
      <c r="I74" t="s">
        <v>180</v>
      </c>
      <c r="J74" s="2">
        <v>197.12</v>
      </c>
      <c r="K74">
        <v>10</v>
      </c>
      <c r="L74" t="s">
        <v>55</v>
      </c>
      <c r="M74">
        <v>4</v>
      </c>
      <c r="N74">
        <v>4</v>
      </c>
      <c r="O74">
        <v>0</v>
      </c>
      <c r="P74" t="s">
        <v>69</v>
      </c>
      <c r="Q74" t="s">
        <v>41</v>
      </c>
      <c r="R74">
        <v>1</v>
      </c>
      <c r="S74">
        <v>1</v>
      </c>
      <c r="T74" t="s">
        <v>56</v>
      </c>
      <c r="U74" t="s">
        <v>42</v>
      </c>
      <c r="V74" t="s">
        <v>76</v>
      </c>
      <c r="W74" s="1">
        <v>45457</v>
      </c>
      <c r="X74" t="b">
        <v>1</v>
      </c>
      <c r="Y74" t="b">
        <v>1</v>
      </c>
      <c r="Z74" t="s">
        <v>59</v>
      </c>
      <c r="AA74" t="s">
        <v>60</v>
      </c>
      <c r="AB74">
        <v>10</v>
      </c>
    </row>
    <row r="75" spans="1:28">
      <c r="A75" t="s">
        <v>295</v>
      </c>
      <c r="B75">
        <v>45</v>
      </c>
      <c r="C75" t="s">
        <v>50</v>
      </c>
      <c r="D75" t="s">
        <v>51</v>
      </c>
      <c r="E75" t="s">
        <v>65</v>
      </c>
      <c r="F75" t="s">
        <v>36</v>
      </c>
      <c r="G75" t="s">
        <v>51</v>
      </c>
      <c r="H75" t="s">
        <v>296</v>
      </c>
      <c r="I75" t="s">
        <v>98</v>
      </c>
      <c r="J75" s="2">
        <v>454.57</v>
      </c>
      <c r="K75">
        <v>9</v>
      </c>
      <c r="L75" t="s">
        <v>39</v>
      </c>
      <c r="M75">
        <v>2</v>
      </c>
      <c r="N75">
        <v>5</v>
      </c>
      <c r="O75">
        <v>1</v>
      </c>
      <c r="P75" t="s">
        <v>69</v>
      </c>
      <c r="Q75" t="s">
        <v>41</v>
      </c>
      <c r="R75">
        <v>0</v>
      </c>
      <c r="S75">
        <v>1</v>
      </c>
      <c r="T75" t="s">
        <v>56</v>
      </c>
      <c r="U75" t="s">
        <v>70</v>
      </c>
      <c r="V75" t="s">
        <v>71</v>
      </c>
      <c r="W75" s="1">
        <v>45375</v>
      </c>
      <c r="X75" t="b">
        <v>1</v>
      </c>
      <c r="Y75" t="b">
        <v>1</v>
      </c>
      <c r="Z75" t="s">
        <v>59</v>
      </c>
      <c r="AA75" t="s">
        <v>77</v>
      </c>
      <c r="AB75">
        <v>1</v>
      </c>
    </row>
    <row r="76" spans="1:28">
      <c r="A76" t="s">
        <v>297</v>
      </c>
      <c r="B76">
        <v>37</v>
      </c>
      <c r="C76" t="s">
        <v>50</v>
      </c>
      <c r="D76" t="s">
        <v>34</v>
      </c>
      <c r="E76" t="s">
        <v>92</v>
      </c>
      <c r="F76" t="s">
        <v>52</v>
      </c>
      <c r="G76" t="s">
        <v>51</v>
      </c>
      <c r="H76" t="s">
        <v>298</v>
      </c>
      <c r="I76" t="s">
        <v>147</v>
      </c>
      <c r="J76" s="2">
        <v>298.38</v>
      </c>
      <c r="K76">
        <v>4</v>
      </c>
      <c r="L76" t="s">
        <v>39</v>
      </c>
      <c r="M76">
        <v>3</v>
      </c>
      <c r="N76">
        <v>4</v>
      </c>
      <c r="O76">
        <v>2</v>
      </c>
      <c r="P76" t="s">
        <v>51</v>
      </c>
      <c r="Q76" t="s">
        <v>101</v>
      </c>
      <c r="R76">
        <v>0</v>
      </c>
      <c r="S76">
        <v>2</v>
      </c>
      <c r="T76" t="s">
        <v>69</v>
      </c>
      <c r="U76" t="s">
        <v>42</v>
      </c>
      <c r="V76" t="s">
        <v>102</v>
      </c>
      <c r="W76" s="1">
        <v>45409</v>
      </c>
      <c r="X76" t="b">
        <v>0</v>
      </c>
      <c r="Y76" t="b">
        <v>1</v>
      </c>
      <c r="Z76" t="s">
        <v>44</v>
      </c>
      <c r="AA76" t="s">
        <v>60</v>
      </c>
      <c r="AB76">
        <v>3</v>
      </c>
    </row>
    <row r="77" spans="1:28">
      <c r="A77" t="s">
        <v>300</v>
      </c>
      <c r="B77">
        <v>36</v>
      </c>
      <c r="C77" t="s">
        <v>50</v>
      </c>
      <c r="D77" t="s">
        <v>51</v>
      </c>
      <c r="E77" t="s">
        <v>92</v>
      </c>
      <c r="F77" t="s">
        <v>52</v>
      </c>
      <c r="G77" t="s">
        <v>51</v>
      </c>
      <c r="H77" t="s">
        <v>301</v>
      </c>
      <c r="I77" t="s">
        <v>229</v>
      </c>
      <c r="J77" s="2">
        <v>111.7</v>
      </c>
      <c r="K77">
        <v>6</v>
      </c>
      <c r="L77" t="s">
        <v>94</v>
      </c>
      <c r="M77">
        <v>4</v>
      </c>
      <c r="N77">
        <v>5</v>
      </c>
      <c r="O77">
        <v>0</v>
      </c>
      <c r="P77" t="s">
        <v>56</v>
      </c>
      <c r="Q77" t="s">
        <v>41</v>
      </c>
      <c r="R77">
        <v>2</v>
      </c>
      <c r="S77">
        <v>5</v>
      </c>
      <c r="T77" t="s">
        <v>51</v>
      </c>
      <c r="U77" t="s">
        <v>42</v>
      </c>
      <c r="V77" t="s">
        <v>43</v>
      </c>
      <c r="W77" s="1">
        <v>45603</v>
      </c>
      <c r="X77" t="b">
        <v>0</v>
      </c>
      <c r="Y77" t="b">
        <v>0</v>
      </c>
      <c r="Z77" t="s">
        <v>89</v>
      </c>
      <c r="AA77" t="s">
        <v>60</v>
      </c>
      <c r="AB77">
        <v>7</v>
      </c>
    </row>
    <row r="78" spans="1:28">
      <c r="A78" t="s">
        <v>302</v>
      </c>
      <c r="B78">
        <v>34</v>
      </c>
      <c r="C78" t="s">
        <v>50</v>
      </c>
      <c r="D78" t="s">
        <v>34</v>
      </c>
      <c r="E78" t="s">
        <v>35</v>
      </c>
      <c r="F78" t="s">
        <v>36</v>
      </c>
      <c r="G78" t="s">
        <v>34</v>
      </c>
      <c r="H78" t="s">
        <v>303</v>
      </c>
      <c r="I78" t="s">
        <v>229</v>
      </c>
      <c r="J78" s="2">
        <v>373.69</v>
      </c>
      <c r="K78">
        <v>10</v>
      </c>
      <c r="L78" t="s">
        <v>94</v>
      </c>
      <c r="M78">
        <v>3</v>
      </c>
      <c r="N78">
        <v>2</v>
      </c>
      <c r="O78">
        <v>2</v>
      </c>
      <c r="P78" t="s">
        <v>56</v>
      </c>
      <c r="Q78" t="s">
        <v>57</v>
      </c>
      <c r="R78">
        <v>1</v>
      </c>
      <c r="S78">
        <v>8</v>
      </c>
      <c r="T78" t="s">
        <v>40</v>
      </c>
      <c r="U78" t="s">
        <v>42</v>
      </c>
      <c r="V78" t="s">
        <v>43</v>
      </c>
      <c r="W78" s="1">
        <v>45630</v>
      </c>
      <c r="X78" t="b">
        <v>0</v>
      </c>
      <c r="Y78" t="b">
        <v>1</v>
      </c>
      <c r="Z78" t="s">
        <v>72</v>
      </c>
      <c r="AA78" t="s">
        <v>77</v>
      </c>
      <c r="AB78">
        <v>14</v>
      </c>
    </row>
    <row r="79" spans="1:28">
      <c r="A79" t="s">
        <v>304</v>
      </c>
      <c r="B79">
        <v>37</v>
      </c>
      <c r="C79" t="s">
        <v>50</v>
      </c>
      <c r="D79" t="s">
        <v>51</v>
      </c>
      <c r="E79" t="s">
        <v>82</v>
      </c>
      <c r="F79" t="s">
        <v>66</v>
      </c>
      <c r="G79" t="s">
        <v>34</v>
      </c>
      <c r="H79" t="s">
        <v>305</v>
      </c>
      <c r="I79" t="s">
        <v>306</v>
      </c>
      <c r="J79" s="2">
        <v>354.87</v>
      </c>
      <c r="K79">
        <v>5</v>
      </c>
      <c r="L79" t="s">
        <v>55</v>
      </c>
      <c r="M79">
        <v>1</v>
      </c>
      <c r="N79">
        <v>1</v>
      </c>
      <c r="O79">
        <v>0</v>
      </c>
      <c r="P79" t="s">
        <v>40</v>
      </c>
      <c r="Q79" t="s">
        <v>57</v>
      </c>
      <c r="R79">
        <v>2</v>
      </c>
      <c r="S79">
        <v>4</v>
      </c>
      <c r="T79" t="s">
        <v>40</v>
      </c>
      <c r="U79" t="s">
        <v>95</v>
      </c>
      <c r="V79" t="s">
        <v>102</v>
      </c>
      <c r="W79" s="1">
        <v>45400</v>
      </c>
      <c r="X79" t="b">
        <v>0</v>
      </c>
      <c r="Y79" t="b">
        <v>1</v>
      </c>
      <c r="Z79" t="s">
        <v>89</v>
      </c>
      <c r="AA79" t="s">
        <v>77</v>
      </c>
      <c r="AB79">
        <v>12</v>
      </c>
    </row>
    <row r="80" spans="1:28">
      <c r="A80" t="s">
        <v>307</v>
      </c>
      <c r="B80">
        <v>18</v>
      </c>
      <c r="C80" t="s">
        <v>33</v>
      </c>
      <c r="D80" t="s">
        <v>34</v>
      </c>
      <c r="E80" t="s">
        <v>82</v>
      </c>
      <c r="F80" t="s">
        <v>36</v>
      </c>
      <c r="G80" t="s">
        <v>51</v>
      </c>
      <c r="H80" t="s">
        <v>2254</v>
      </c>
      <c r="I80" t="s">
        <v>112</v>
      </c>
      <c r="J80" s="2">
        <v>214.48</v>
      </c>
      <c r="K80">
        <v>2</v>
      </c>
      <c r="L80" t="s">
        <v>94</v>
      </c>
      <c r="M80">
        <v>4</v>
      </c>
      <c r="N80">
        <v>2</v>
      </c>
      <c r="O80">
        <v>2</v>
      </c>
      <c r="P80" t="s">
        <v>40</v>
      </c>
      <c r="Q80" t="s">
        <v>101</v>
      </c>
      <c r="R80">
        <v>1</v>
      </c>
      <c r="S80">
        <v>3</v>
      </c>
      <c r="T80" t="s">
        <v>40</v>
      </c>
      <c r="U80" t="s">
        <v>42</v>
      </c>
      <c r="V80" t="s">
        <v>102</v>
      </c>
      <c r="W80" s="1">
        <v>45403</v>
      </c>
      <c r="X80" t="b">
        <v>1</v>
      </c>
      <c r="Y80" t="b">
        <v>1</v>
      </c>
      <c r="Z80" t="s">
        <v>59</v>
      </c>
      <c r="AA80" t="s">
        <v>77</v>
      </c>
      <c r="AB80">
        <v>2</v>
      </c>
    </row>
    <row r="81" spans="1:28">
      <c r="A81" t="s">
        <v>311</v>
      </c>
      <c r="B81">
        <v>20</v>
      </c>
      <c r="C81" t="s">
        <v>50</v>
      </c>
      <c r="D81" t="s">
        <v>51</v>
      </c>
      <c r="E81" t="s">
        <v>92</v>
      </c>
      <c r="F81" t="s">
        <v>36</v>
      </c>
      <c r="G81" t="s">
        <v>34</v>
      </c>
      <c r="H81" t="s">
        <v>312</v>
      </c>
      <c r="I81" t="s">
        <v>150</v>
      </c>
      <c r="J81" s="2">
        <v>399.58</v>
      </c>
      <c r="K81">
        <v>6</v>
      </c>
      <c r="L81" t="s">
        <v>55</v>
      </c>
      <c r="M81">
        <v>3</v>
      </c>
      <c r="N81">
        <v>4</v>
      </c>
      <c r="O81">
        <v>0</v>
      </c>
      <c r="P81" t="s">
        <v>40</v>
      </c>
      <c r="Q81" t="s">
        <v>101</v>
      </c>
      <c r="R81">
        <v>1</v>
      </c>
      <c r="S81">
        <v>8</v>
      </c>
      <c r="T81" t="s">
        <v>69</v>
      </c>
      <c r="U81" t="s">
        <v>42</v>
      </c>
      <c r="V81" t="s">
        <v>76</v>
      </c>
      <c r="W81" s="1">
        <v>45560</v>
      </c>
      <c r="X81" t="b">
        <v>1</v>
      </c>
      <c r="Y81" t="b">
        <v>0</v>
      </c>
      <c r="Z81" t="s">
        <v>44</v>
      </c>
      <c r="AA81" t="s">
        <v>60</v>
      </c>
      <c r="AB81">
        <v>7</v>
      </c>
    </row>
    <row r="82" spans="1:28">
      <c r="A82" t="s">
        <v>313</v>
      </c>
      <c r="B82">
        <v>27</v>
      </c>
      <c r="C82" t="s">
        <v>33</v>
      </c>
      <c r="D82" t="s">
        <v>51</v>
      </c>
      <c r="E82" t="s">
        <v>82</v>
      </c>
      <c r="F82" t="s">
        <v>52</v>
      </c>
      <c r="G82" t="s">
        <v>34</v>
      </c>
      <c r="H82" t="s">
        <v>314</v>
      </c>
      <c r="I82" t="s">
        <v>123</v>
      </c>
      <c r="J82" s="2">
        <v>380.99</v>
      </c>
      <c r="K82">
        <v>7</v>
      </c>
      <c r="L82" t="s">
        <v>39</v>
      </c>
      <c r="M82">
        <v>1</v>
      </c>
      <c r="N82">
        <v>2</v>
      </c>
      <c r="O82">
        <v>1</v>
      </c>
      <c r="P82" t="s">
        <v>69</v>
      </c>
      <c r="Q82" t="s">
        <v>41</v>
      </c>
      <c r="R82">
        <v>0</v>
      </c>
      <c r="S82">
        <v>1</v>
      </c>
      <c r="T82" t="s">
        <v>56</v>
      </c>
      <c r="U82" t="s">
        <v>95</v>
      </c>
      <c r="V82" t="s">
        <v>102</v>
      </c>
      <c r="W82" s="1">
        <v>45635</v>
      </c>
      <c r="X82" t="b">
        <v>1</v>
      </c>
      <c r="Y82" t="b">
        <v>1</v>
      </c>
      <c r="Z82" t="s">
        <v>44</v>
      </c>
      <c r="AA82" t="s">
        <v>45</v>
      </c>
      <c r="AB82">
        <v>8</v>
      </c>
    </row>
    <row r="83" spans="1:28">
      <c r="A83" t="s">
        <v>316</v>
      </c>
      <c r="B83">
        <v>36</v>
      </c>
      <c r="C83" t="s">
        <v>50</v>
      </c>
      <c r="D83" t="s">
        <v>34</v>
      </c>
      <c r="E83" t="s">
        <v>35</v>
      </c>
      <c r="F83" t="s">
        <v>52</v>
      </c>
      <c r="G83" t="s">
        <v>51</v>
      </c>
      <c r="H83" t="s">
        <v>2255</v>
      </c>
      <c r="I83" t="s">
        <v>54</v>
      </c>
      <c r="J83" s="2">
        <v>79</v>
      </c>
      <c r="K83">
        <v>10</v>
      </c>
      <c r="L83" t="s">
        <v>94</v>
      </c>
      <c r="M83">
        <v>1</v>
      </c>
      <c r="N83">
        <v>2</v>
      </c>
      <c r="O83">
        <v>1</v>
      </c>
      <c r="P83" t="s">
        <v>56</v>
      </c>
      <c r="Q83" t="s">
        <v>101</v>
      </c>
      <c r="R83">
        <v>2</v>
      </c>
      <c r="S83">
        <v>6</v>
      </c>
      <c r="T83" t="s">
        <v>69</v>
      </c>
      <c r="U83" t="s">
        <v>70</v>
      </c>
      <c r="V83" t="s">
        <v>102</v>
      </c>
      <c r="W83" s="1">
        <v>45549</v>
      </c>
      <c r="X83" t="b">
        <v>0</v>
      </c>
      <c r="Y83" t="b">
        <v>1</v>
      </c>
      <c r="Z83" t="s">
        <v>89</v>
      </c>
      <c r="AA83" t="s">
        <v>60</v>
      </c>
      <c r="AB83">
        <v>7</v>
      </c>
    </row>
    <row r="84" spans="1:28">
      <c r="A84" t="s">
        <v>318</v>
      </c>
      <c r="B84">
        <v>46</v>
      </c>
      <c r="C84" t="s">
        <v>33</v>
      </c>
      <c r="D84" t="s">
        <v>34</v>
      </c>
      <c r="E84" t="s">
        <v>35</v>
      </c>
      <c r="F84" t="s">
        <v>36</v>
      </c>
      <c r="G84" t="s">
        <v>34</v>
      </c>
      <c r="H84" t="s">
        <v>319</v>
      </c>
      <c r="I84" t="s">
        <v>199</v>
      </c>
      <c r="J84" s="2">
        <v>113.88</v>
      </c>
      <c r="K84">
        <v>2</v>
      </c>
      <c r="L84" t="s">
        <v>94</v>
      </c>
      <c r="M84">
        <v>5</v>
      </c>
      <c r="N84">
        <v>2</v>
      </c>
      <c r="O84">
        <v>2</v>
      </c>
      <c r="P84" t="s">
        <v>56</v>
      </c>
      <c r="Q84" t="s">
        <v>57</v>
      </c>
      <c r="R84">
        <v>2</v>
      </c>
      <c r="S84">
        <v>4</v>
      </c>
      <c r="T84" t="s">
        <v>51</v>
      </c>
      <c r="U84" t="s">
        <v>42</v>
      </c>
      <c r="V84" t="s">
        <v>58</v>
      </c>
      <c r="W84" s="1">
        <v>45380</v>
      </c>
      <c r="X84" t="b">
        <v>0</v>
      </c>
      <c r="Y84" t="b">
        <v>0</v>
      </c>
      <c r="Z84" t="s">
        <v>59</v>
      </c>
      <c r="AA84" t="s">
        <v>77</v>
      </c>
      <c r="AB84">
        <v>9</v>
      </c>
    </row>
    <row r="85" spans="1:28">
      <c r="A85" t="s">
        <v>320</v>
      </c>
      <c r="B85">
        <v>26</v>
      </c>
      <c r="C85" t="s">
        <v>50</v>
      </c>
      <c r="D85" t="s">
        <v>34</v>
      </c>
      <c r="E85" t="s">
        <v>35</v>
      </c>
      <c r="F85" t="s">
        <v>52</v>
      </c>
      <c r="G85" t="s">
        <v>34</v>
      </c>
      <c r="H85" t="s">
        <v>321</v>
      </c>
      <c r="I85" t="s">
        <v>242</v>
      </c>
      <c r="J85" s="2">
        <v>121.57</v>
      </c>
      <c r="K85">
        <v>4</v>
      </c>
      <c r="L85" t="s">
        <v>39</v>
      </c>
      <c r="M85">
        <v>1</v>
      </c>
      <c r="N85">
        <v>5</v>
      </c>
      <c r="O85">
        <v>0</v>
      </c>
      <c r="P85" t="s">
        <v>51</v>
      </c>
      <c r="Q85" t="s">
        <v>57</v>
      </c>
      <c r="R85">
        <v>0</v>
      </c>
      <c r="S85">
        <v>4</v>
      </c>
      <c r="T85" t="s">
        <v>51</v>
      </c>
      <c r="U85" t="s">
        <v>95</v>
      </c>
      <c r="V85" t="s">
        <v>76</v>
      </c>
      <c r="W85" s="1">
        <v>45449</v>
      </c>
      <c r="X85" t="b">
        <v>0</v>
      </c>
      <c r="Y85" t="b">
        <v>1</v>
      </c>
      <c r="Z85" t="s">
        <v>72</v>
      </c>
      <c r="AA85" t="s">
        <v>45</v>
      </c>
      <c r="AB85">
        <v>13</v>
      </c>
    </row>
    <row r="86" spans="1:28">
      <c r="A86" t="s">
        <v>322</v>
      </c>
      <c r="B86">
        <v>21</v>
      </c>
      <c r="C86" t="s">
        <v>33</v>
      </c>
      <c r="D86" t="s">
        <v>51</v>
      </c>
      <c r="E86" t="s">
        <v>92</v>
      </c>
      <c r="F86" t="s">
        <v>52</v>
      </c>
      <c r="G86" t="s">
        <v>34</v>
      </c>
      <c r="H86" t="s">
        <v>323</v>
      </c>
      <c r="I86" t="s">
        <v>180</v>
      </c>
      <c r="J86" s="2">
        <v>215.54</v>
      </c>
      <c r="K86">
        <v>11</v>
      </c>
      <c r="L86" t="s">
        <v>94</v>
      </c>
      <c r="M86">
        <v>3</v>
      </c>
      <c r="N86">
        <v>1</v>
      </c>
      <c r="O86">
        <v>2</v>
      </c>
      <c r="P86" t="s">
        <v>69</v>
      </c>
      <c r="Q86" t="s">
        <v>41</v>
      </c>
      <c r="R86">
        <v>2</v>
      </c>
      <c r="S86">
        <v>6</v>
      </c>
      <c r="T86" t="s">
        <v>51</v>
      </c>
      <c r="U86" t="s">
        <v>95</v>
      </c>
      <c r="V86" t="s">
        <v>43</v>
      </c>
      <c r="W86" s="1">
        <v>45390</v>
      </c>
      <c r="X86" t="b">
        <v>1</v>
      </c>
      <c r="Y86" t="b">
        <v>1</v>
      </c>
      <c r="Z86" t="s">
        <v>89</v>
      </c>
      <c r="AA86" t="s">
        <v>45</v>
      </c>
      <c r="AB86">
        <v>10</v>
      </c>
    </row>
    <row r="87" spans="1:28">
      <c r="A87" t="s">
        <v>324</v>
      </c>
      <c r="B87">
        <v>43</v>
      </c>
      <c r="C87" t="s">
        <v>50</v>
      </c>
      <c r="D87" t="s">
        <v>51</v>
      </c>
      <c r="E87" t="s">
        <v>35</v>
      </c>
      <c r="F87" t="s">
        <v>36</v>
      </c>
      <c r="G87" t="s">
        <v>51</v>
      </c>
      <c r="H87" t="s">
        <v>325</v>
      </c>
      <c r="I87" t="s">
        <v>84</v>
      </c>
      <c r="J87" s="2">
        <v>87.03</v>
      </c>
      <c r="K87">
        <v>10</v>
      </c>
      <c r="L87" t="s">
        <v>39</v>
      </c>
      <c r="M87">
        <v>1</v>
      </c>
      <c r="N87">
        <v>1</v>
      </c>
      <c r="O87">
        <v>0</v>
      </c>
      <c r="P87" t="s">
        <v>69</v>
      </c>
      <c r="Q87" t="s">
        <v>101</v>
      </c>
      <c r="R87">
        <v>1</v>
      </c>
      <c r="S87">
        <v>5</v>
      </c>
      <c r="T87" t="s">
        <v>51</v>
      </c>
      <c r="U87" t="s">
        <v>95</v>
      </c>
      <c r="V87" t="s">
        <v>58</v>
      </c>
      <c r="W87" s="1">
        <v>45515</v>
      </c>
      <c r="X87" t="b">
        <v>0</v>
      </c>
      <c r="Y87" t="b">
        <v>1</v>
      </c>
      <c r="Z87" t="s">
        <v>44</v>
      </c>
      <c r="AA87" t="s">
        <v>45</v>
      </c>
      <c r="AB87">
        <v>7</v>
      </c>
    </row>
    <row r="88" spans="1:28">
      <c r="A88" t="s">
        <v>326</v>
      </c>
      <c r="B88">
        <v>19</v>
      </c>
      <c r="C88" t="s">
        <v>50</v>
      </c>
      <c r="D88" t="s">
        <v>51</v>
      </c>
      <c r="E88" t="s">
        <v>92</v>
      </c>
      <c r="F88" t="s">
        <v>52</v>
      </c>
      <c r="G88" t="s">
        <v>51</v>
      </c>
      <c r="H88" t="s">
        <v>2256</v>
      </c>
      <c r="I88" t="s">
        <v>242</v>
      </c>
      <c r="J88" s="2">
        <v>111.75</v>
      </c>
      <c r="K88">
        <v>4</v>
      </c>
      <c r="L88" t="s">
        <v>55</v>
      </c>
      <c r="M88">
        <v>1</v>
      </c>
      <c r="N88">
        <v>4</v>
      </c>
      <c r="O88">
        <v>0</v>
      </c>
      <c r="P88" t="s">
        <v>51</v>
      </c>
      <c r="Q88" t="s">
        <v>57</v>
      </c>
      <c r="R88">
        <v>1</v>
      </c>
      <c r="S88">
        <v>6</v>
      </c>
      <c r="T88" t="s">
        <v>51</v>
      </c>
      <c r="U88" t="s">
        <v>42</v>
      </c>
      <c r="V88" t="s">
        <v>71</v>
      </c>
      <c r="W88" s="1">
        <v>45575</v>
      </c>
      <c r="X88" t="b">
        <v>0</v>
      </c>
      <c r="Y88" t="b">
        <v>1</v>
      </c>
      <c r="Z88" t="s">
        <v>72</v>
      </c>
      <c r="AA88" t="s">
        <v>60</v>
      </c>
      <c r="AB88">
        <v>8</v>
      </c>
    </row>
    <row r="89" spans="1:28">
      <c r="A89" t="s">
        <v>329</v>
      </c>
      <c r="B89">
        <v>41</v>
      </c>
      <c r="C89" t="s">
        <v>33</v>
      </c>
      <c r="D89" t="s">
        <v>51</v>
      </c>
      <c r="E89" t="s">
        <v>82</v>
      </c>
      <c r="F89" t="s">
        <v>66</v>
      </c>
      <c r="G89" t="s">
        <v>51</v>
      </c>
      <c r="H89" t="s">
        <v>330</v>
      </c>
      <c r="I89" t="s">
        <v>68</v>
      </c>
      <c r="J89" s="2">
        <v>136.19999999999999</v>
      </c>
      <c r="K89">
        <v>2</v>
      </c>
      <c r="L89" t="s">
        <v>39</v>
      </c>
      <c r="M89">
        <v>3</v>
      </c>
      <c r="N89">
        <v>2</v>
      </c>
      <c r="O89">
        <v>2</v>
      </c>
      <c r="P89" t="s">
        <v>69</v>
      </c>
      <c r="Q89" t="s">
        <v>57</v>
      </c>
      <c r="R89">
        <v>0</v>
      </c>
      <c r="S89">
        <v>1</v>
      </c>
      <c r="T89" t="s">
        <v>51</v>
      </c>
      <c r="U89" t="s">
        <v>42</v>
      </c>
      <c r="V89" t="s">
        <v>58</v>
      </c>
      <c r="W89" s="1">
        <v>45458</v>
      </c>
      <c r="X89" t="b">
        <v>1</v>
      </c>
      <c r="Y89" t="b">
        <v>1</v>
      </c>
      <c r="Z89" t="s">
        <v>44</v>
      </c>
      <c r="AA89" t="s">
        <v>77</v>
      </c>
      <c r="AB89">
        <v>9</v>
      </c>
    </row>
    <row r="90" spans="1:28">
      <c r="A90" t="s">
        <v>331</v>
      </c>
      <c r="B90">
        <v>48</v>
      </c>
      <c r="C90" t="s">
        <v>50</v>
      </c>
      <c r="D90" t="s">
        <v>34</v>
      </c>
      <c r="E90" t="s">
        <v>35</v>
      </c>
      <c r="F90" t="s">
        <v>52</v>
      </c>
      <c r="G90" t="s">
        <v>34</v>
      </c>
      <c r="H90" t="s">
        <v>332</v>
      </c>
      <c r="I90" t="s">
        <v>54</v>
      </c>
      <c r="J90" s="2">
        <v>439.31</v>
      </c>
      <c r="K90">
        <v>4</v>
      </c>
      <c r="L90" t="s">
        <v>55</v>
      </c>
      <c r="M90">
        <v>3</v>
      </c>
      <c r="N90">
        <v>2</v>
      </c>
      <c r="O90">
        <v>1</v>
      </c>
      <c r="P90" t="s">
        <v>56</v>
      </c>
      <c r="Q90" t="s">
        <v>101</v>
      </c>
      <c r="R90">
        <v>0</v>
      </c>
      <c r="S90">
        <v>6</v>
      </c>
      <c r="T90" t="s">
        <v>56</v>
      </c>
      <c r="U90" t="s">
        <v>70</v>
      </c>
      <c r="V90" t="s">
        <v>71</v>
      </c>
      <c r="W90" s="1">
        <v>45515</v>
      </c>
      <c r="X90" t="b">
        <v>0</v>
      </c>
      <c r="Y90" t="b">
        <v>1</v>
      </c>
      <c r="Z90" t="s">
        <v>59</v>
      </c>
      <c r="AA90" t="s">
        <v>45</v>
      </c>
      <c r="AB90">
        <v>7</v>
      </c>
    </row>
    <row r="91" spans="1:28">
      <c r="A91" t="s">
        <v>334</v>
      </c>
      <c r="B91">
        <v>19</v>
      </c>
      <c r="C91" t="s">
        <v>33</v>
      </c>
      <c r="D91" t="s">
        <v>34</v>
      </c>
      <c r="E91" t="s">
        <v>35</v>
      </c>
      <c r="F91" t="s">
        <v>36</v>
      </c>
      <c r="G91" t="s">
        <v>34</v>
      </c>
      <c r="H91" t="s">
        <v>335</v>
      </c>
      <c r="I91" t="s">
        <v>131</v>
      </c>
      <c r="J91" s="2">
        <v>194.93</v>
      </c>
      <c r="K91">
        <v>9</v>
      </c>
      <c r="L91" t="s">
        <v>94</v>
      </c>
      <c r="M91">
        <v>4</v>
      </c>
      <c r="N91">
        <v>4</v>
      </c>
      <c r="O91">
        <v>1</v>
      </c>
      <c r="P91" t="s">
        <v>51</v>
      </c>
      <c r="Q91" t="s">
        <v>41</v>
      </c>
      <c r="R91">
        <v>0</v>
      </c>
      <c r="S91">
        <v>4</v>
      </c>
      <c r="T91" t="s">
        <v>40</v>
      </c>
      <c r="U91" t="s">
        <v>42</v>
      </c>
      <c r="V91" t="s">
        <v>76</v>
      </c>
      <c r="W91" s="1">
        <v>45379</v>
      </c>
      <c r="X91" t="b">
        <v>1</v>
      </c>
      <c r="Y91" t="b">
        <v>1</v>
      </c>
      <c r="Z91" t="s">
        <v>72</v>
      </c>
      <c r="AA91" t="s">
        <v>45</v>
      </c>
      <c r="AB91">
        <v>5</v>
      </c>
    </row>
    <row r="92" spans="1:28">
      <c r="A92" t="s">
        <v>337</v>
      </c>
      <c r="B92">
        <v>29</v>
      </c>
      <c r="C92" t="s">
        <v>50</v>
      </c>
      <c r="D92" t="s">
        <v>34</v>
      </c>
      <c r="E92" t="s">
        <v>82</v>
      </c>
      <c r="F92" t="s">
        <v>66</v>
      </c>
      <c r="G92" t="s">
        <v>51</v>
      </c>
      <c r="H92" t="s">
        <v>338</v>
      </c>
      <c r="I92" t="s">
        <v>54</v>
      </c>
      <c r="J92" s="2">
        <v>377.67</v>
      </c>
      <c r="K92">
        <v>8</v>
      </c>
      <c r="L92" t="s">
        <v>94</v>
      </c>
      <c r="M92">
        <v>5</v>
      </c>
      <c r="N92">
        <v>3</v>
      </c>
      <c r="O92">
        <v>0</v>
      </c>
      <c r="P92" t="s">
        <v>40</v>
      </c>
      <c r="Q92" t="s">
        <v>101</v>
      </c>
      <c r="R92">
        <v>2</v>
      </c>
      <c r="S92">
        <v>1</v>
      </c>
      <c r="T92" t="s">
        <v>51</v>
      </c>
      <c r="U92" t="s">
        <v>95</v>
      </c>
      <c r="V92" t="s">
        <v>58</v>
      </c>
      <c r="W92" s="1">
        <v>45425</v>
      </c>
      <c r="X92" t="b">
        <v>1</v>
      </c>
      <c r="Y92" t="b">
        <v>0</v>
      </c>
      <c r="Z92" t="s">
        <v>44</v>
      </c>
      <c r="AA92" t="s">
        <v>45</v>
      </c>
      <c r="AB92">
        <v>14</v>
      </c>
    </row>
    <row r="93" spans="1:28">
      <c r="A93" t="s">
        <v>339</v>
      </c>
      <c r="B93">
        <v>26</v>
      </c>
      <c r="C93" t="s">
        <v>340</v>
      </c>
      <c r="D93" t="s">
        <v>51</v>
      </c>
      <c r="E93" t="s">
        <v>65</v>
      </c>
      <c r="F93" t="s">
        <v>66</v>
      </c>
      <c r="G93" t="s">
        <v>51</v>
      </c>
      <c r="H93" t="s">
        <v>2257</v>
      </c>
      <c r="I93" t="s">
        <v>235</v>
      </c>
      <c r="J93" s="2">
        <v>108.61</v>
      </c>
      <c r="K93">
        <v>10</v>
      </c>
      <c r="L93" t="s">
        <v>55</v>
      </c>
      <c r="M93">
        <v>3</v>
      </c>
      <c r="N93">
        <v>2</v>
      </c>
      <c r="O93">
        <v>0</v>
      </c>
      <c r="P93" t="s">
        <v>40</v>
      </c>
      <c r="Q93" t="s">
        <v>101</v>
      </c>
      <c r="R93">
        <v>0</v>
      </c>
      <c r="S93">
        <v>3</v>
      </c>
      <c r="T93" t="s">
        <v>69</v>
      </c>
      <c r="U93" t="s">
        <v>70</v>
      </c>
      <c r="V93" t="s">
        <v>102</v>
      </c>
      <c r="W93" s="1">
        <v>45619</v>
      </c>
      <c r="X93" t="b">
        <v>1</v>
      </c>
      <c r="Y93" t="b">
        <v>1</v>
      </c>
      <c r="Z93" t="s">
        <v>44</v>
      </c>
      <c r="AA93" t="s">
        <v>45</v>
      </c>
      <c r="AB93">
        <v>14</v>
      </c>
    </row>
    <row r="94" spans="1:28">
      <c r="A94" t="s">
        <v>343</v>
      </c>
      <c r="B94">
        <v>20</v>
      </c>
      <c r="C94" t="s">
        <v>33</v>
      </c>
      <c r="D94" t="s">
        <v>34</v>
      </c>
      <c r="E94" t="s">
        <v>35</v>
      </c>
      <c r="F94" t="s">
        <v>36</v>
      </c>
      <c r="G94" t="s">
        <v>34</v>
      </c>
      <c r="H94" t="s">
        <v>344</v>
      </c>
      <c r="I94" t="s">
        <v>131</v>
      </c>
      <c r="J94" s="2">
        <v>366.77</v>
      </c>
      <c r="K94">
        <v>7</v>
      </c>
      <c r="L94" t="s">
        <v>39</v>
      </c>
      <c r="M94">
        <v>4</v>
      </c>
      <c r="N94">
        <v>3</v>
      </c>
      <c r="O94">
        <v>2</v>
      </c>
      <c r="P94" t="s">
        <v>69</v>
      </c>
      <c r="Q94" t="s">
        <v>57</v>
      </c>
      <c r="R94">
        <v>0</v>
      </c>
      <c r="S94">
        <v>9</v>
      </c>
      <c r="T94" t="s">
        <v>40</v>
      </c>
      <c r="U94" t="s">
        <v>70</v>
      </c>
      <c r="V94" t="s">
        <v>71</v>
      </c>
      <c r="W94" s="1">
        <v>45553</v>
      </c>
      <c r="X94" t="b">
        <v>0</v>
      </c>
      <c r="Y94" t="b">
        <v>0</v>
      </c>
      <c r="Z94" t="s">
        <v>72</v>
      </c>
      <c r="AA94" t="s">
        <v>60</v>
      </c>
      <c r="AB94">
        <v>1</v>
      </c>
    </row>
    <row r="95" spans="1:28">
      <c r="A95" t="s">
        <v>345</v>
      </c>
      <c r="B95">
        <v>31</v>
      </c>
      <c r="C95" t="s">
        <v>33</v>
      </c>
      <c r="D95" t="s">
        <v>51</v>
      </c>
      <c r="E95" t="s">
        <v>92</v>
      </c>
      <c r="F95" t="s">
        <v>66</v>
      </c>
      <c r="G95" t="s">
        <v>34</v>
      </c>
      <c r="H95" t="s">
        <v>2258</v>
      </c>
      <c r="I95" t="s">
        <v>306</v>
      </c>
      <c r="J95" s="2">
        <v>178.04</v>
      </c>
      <c r="K95">
        <v>5</v>
      </c>
      <c r="L95" t="s">
        <v>55</v>
      </c>
      <c r="M95">
        <v>5</v>
      </c>
      <c r="N95">
        <v>1</v>
      </c>
      <c r="O95">
        <v>2</v>
      </c>
      <c r="P95" t="s">
        <v>56</v>
      </c>
      <c r="Q95" t="s">
        <v>41</v>
      </c>
      <c r="R95">
        <v>0</v>
      </c>
      <c r="S95">
        <v>5</v>
      </c>
      <c r="T95" t="s">
        <v>51</v>
      </c>
      <c r="U95" t="s">
        <v>42</v>
      </c>
      <c r="V95" t="s">
        <v>43</v>
      </c>
      <c r="W95" s="1">
        <v>45489</v>
      </c>
      <c r="X95" t="b">
        <v>0</v>
      </c>
      <c r="Y95" t="b">
        <v>0</v>
      </c>
      <c r="Z95" t="s">
        <v>44</v>
      </c>
      <c r="AA95" t="s">
        <v>45</v>
      </c>
      <c r="AB95">
        <v>12</v>
      </c>
    </row>
    <row r="96" spans="1:28">
      <c r="A96" t="s">
        <v>347</v>
      </c>
      <c r="B96">
        <v>23</v>
      </c>
      <c r="C96" t="s">
        <v>33</v>
      </c>
      <c r="D96" t="s">
        <v>51</v>
      </c>
      <c r="E96" t="s">
        <v>92</v>
      </c>
      <c r="F96" t="s">
        <v>52</v>
      </c>
      <c r="G96" t="s">
        <v>51</v>
      </c>
      <c r="H96" t="s">
        <v>348</v>
      </c>
      <c r="I96" t="s">
        <v>156</v>
      </c>
      <c r="J96" s="2">
        <v>461.09</v>
      </c>
      <c r="K96">
        <v>8</v>
      </c>
      <c r="L96" t="s">
        <v>94</v>
      </c>
      <c r="M96">
        <v>4</v>
      </c>
      <c r="N96">
        <v>1</v>
      </c>
      <c r="O96">
        <v>0</v>
      </c>
      <c r="P96" t="s">
        <v>56</v>
      </c>
      <c r="Q96" t="s">
        <v>41</v>
      </c>
      <c r="R96">
        <v>0</v>
      </c>
      <c r="S96">
        <v>4</v>
      </c>
      <c r="T96" t="s">
        <v>56</v>
      </c>
      <c r="U96" t="s">
        <v>70</v>
      </c>
      <c r="V96" t="s">
        <v>71</v>
      </c>
      <c r="W96" s="1">
        <v>45507</v>
      </c>
      <c r="X96" t="b">
        <v>1</v>
      </c>
      <c r="Y96" t="b">
        <v>0</v>
      </c>
      <c r="Z96" t="s">
        <v>44</v>
      </c>
      <c r="AA96" t="s">
        <v>45</v>
      </c>
      <c r="AB96">
        <v>8</v>
      </c>
    </row>
    <row r="97" spans="1:28">
      <c r="A97" t="s">
        <v>349</v>
      </c>
      <c r="B97">
        <v>19</v>
      </c>
      <c r="C97" t="s">
        <v>33</v>
      </c>
      <c r="D97" t="s">
        <v>51</v>
      </c>
      <c r="E97" t="s">
        <v>65</v>
      </c>
      <c r="F97" t="s">
        <v>52</v>
      </c>
      <c r="G97" t="s">
        <v>34</v>
      </c>
      <c r="H97" t="s">
        <v>350</v>
      </c>
      <c r="I97" t="s">
        <v>135</v>
      </c>
      <c r="J97" s="2">
        <v>211.16</v>
      </c>
      <c r="K97">
        <v>5</v>
      </c>
      <c r="L97" t="s">
        <v>55</v>
      </c>
      <c r="M97">
        <v>2</v>
      </c>
      <c r="N97">
        <v>3</v>
      </c>
      <c r="O97">
        <v>1</v>
      </c>
      <c r="P97" t="s">
        <v>51</v>
      </c>
      <c r="Q97" t="s">
        <v>101</v>
      </c>
      <c r="R97">
        <v>0</v>
      </c>
      <c r="S97">
        <v>3</v>
      </c>
      <c r="T97" t="s">
        <v>40</v>
      </c>
      <c r="U97" t="s">
        <v>70</v>
      </c>
      <c r="V97" t="s">
        <v>58</v>
      </c>
      <c r="W97" s="1">
        <v>45471</v>
      </c>
      <c r="X97" t="b">
        <v>0</v>
      </c>
      <c r="Y97" t="b">
        <v>0</v>
      </c>
      <c r="Z97" t="s">
        <v>89</v>
      </c>
      <c r="AA97" t="s">
        <v>60</v>
      </c>
      <c r="AB97">
        <v>2</v>
      </c>
    </row>
    <row r="98" spans="1:28">
      <c r="A98" t="s">
        <v>351</v>
      </c>
      <c r="B98">
        <v>23</v>
      </c>
      <c r="C98" t="s">
        <v>33</v>
      </c>
      <c r="D98" t="s">
        <v>34</v>
      </c>
      <c r="E98" t="s">
        <v>82</v>
      </c>
      <c r="F98" t="s">
        <v>36</v>
      </c>
      <c r="G98" t="s">
        <v>51</v>
      </c>
      <c r="H98" t="s">
        <v>352</v>
      </c>
      <c r="I98" t="s">
        <v>127</v>
      </c>
      <c r="J98" s="2">
        <v>421.95</v>
      </c>
      <c r="K98">
        <v>8</v>
      </c>
      <c r="L98" t="s">
        <v>39</v>
      </c>
      <c r="M98">
        <v>3</v>
      </c>
      <c r="N98">
        <v>5</v>
      </c>
      <c r="O98">
        <v>0</v>
      </c>
      <c r="P98" t="s">
        <v>56</v>
      </c>
      <c r="Q98" t="s">
        <v>57</v>
      </c>
      <c r="R98">
        <v>1</v>
      </c>
      <c r="S98">
        <v>1</v>
      </c>
      <c r="T98" t="s">
        <v>40</v>
      </c>
      <c r="U98" t="s">
        <v>70</v>
      </c>
      <c r="V98" t="s">
        <v>76</v>
      </c>
      <c r="W98" s="1">
        <v>45369</v>
      </c>
      <c r="X98" t="b">
        <v>0</v>
      </c>
      <c r="Y98" t="b">
        <v>1</v>
      </c>
      <c r="Z98" t="s">
        <v>44</v>
      </c>
      <c r="AA98" t="s">
        <v>45</v>
      </c>
      <c r="AB98">
        <v>7</v>
      </c>
    </row>
    <row r="99" spans="1:28">
      <c r="A99" t="s">
        <v>353</v>
      </c>
      <c r="B99">
        <v>49</v>
      </c>
      <c r="C99" t="s">
        <v>33</v>
      </c>
      <c r="D99" t="s">
        <v>34</v>
      </c>
      <c r="E99" t="s">
        <v>92</v>
      </c>
      <c r="F99" t="s">
        <v>36</v>
      </c>
      <c r="G99" t="s">
        <v>51</v>
      </c>
      <c r="H99" t="s">
        <v>354</v>
      </c>
      <c r="I99" t="s">
        <v>84</v>
      </c>
      <c r="J99" s="2">
        <v>378.59</v>
      </c>
      <c r="K99">
        <v>5</v>
      </c>
      <c r="L99" t="s">
        <v>94</v>
      </c>
      <c r="M99">
        <v>2</v>
      </c>
      <c r="N99">
        <v>1</v>
      </c>
      <c r="O99">
        <v>0</v>
      </c>
      <c r="P99" t="s">
        <v>40</v>
      </c>
      <c r="Q99" t="s">
        <v>41</v>
      </c>
      <c r="R99">
        <v>0</v>
      </c>
      <c r="S99">
        <v>4</v>
      </c>
      <c r="T99" t="s">
        <v>51</v>
      </c>
      <c r="U99" t="s">
        <v>95</v>
      </c>
      <c r="V99" t="s">
        <v>76</v>
      </c>
      <c r="W99" s="1">
        <v>45580</v>
      </c>
      <c r="X99" t="b">
        <v>0</v>
      </c>
      <c r="Y99" t="b">
        <v>0</v>
      </c>
      <c r="Z99" t="s">
        <v>59</v>
      </c>
      <c r="AA99" t="s">
        <v>45</v>
      </c>
      <c r="AB99">
        <v>14</v>
      </c>
    </row>
    <row r="100" spans="1:28">
      <c r="A100" t="s">
        <v>355</v>
      </c>
      <c r="B100">
        <v>23</v>
      </c>
      <c r="C100" t="s">
        <v>238</v>
      </c>
      <c r="D100" t="s">
        <v>51</v>
      </c>
      <c r="E100" t="s">
        <v>92</v>
      </c>
      <c r="F100" t="s">
        <v>52</v>
      </c>
      <c r="G100" t="s">
        <v>51</v>
      </c>
      <c r="H100" t="s">
        <v>356</v>
      </c>
      <c r="I100" t="s">
        <v>68</v>
      </c>
      <c r="J100" s="2">
        <v>268.93</v>
      </c>
      <c r="K100">
        <v>2</v>
      </c>
      <c r="L100" t="s">
        <v>39</v>
      </c>
      <c r="M100">
        <v>5</v>
      </c>
      <c r="N100">
        <v>5</v>
      </c>
      <c r="O100">
        <v>1</v>
      </c>
      <c r="P100" t="s">
        <v>56</v>
      </c>
      <c r="Q100" t="s">
        <v>101</v>
      </c>
      <c r="R100">
        <v>1</v>
      </c>
      <c r="S100">
        <v>3</v>
      </c>
      <c r="T100" t="s">
        <v>40</v>
      </c>
      <c r="U100" t="s">
        <v>42</v>
      </c>
      <c r="V100" t="s">
        <v>71</v>
      </c>
      <c r="W100" s="1">
        <v>45619</v>
      </c>
      <c r="X100" t="b">
        <v>0</v>
      </c>
      <c r="Y100" t="b">
        <v>0</v>
      </c>
      <c r="Z100" t="s">
        <v>72</v>
      </c>
      <c r="AA100" t="s">
        <v>77</v>
      </c>
      <c r="AB100">
        <v>8</v>
      </c>
    </row>
    <row r="101" spans="1:28">
      <c r="A101" t="s">
        <v>357</v>
      </c>
      <c r="B101">
        <v>42</v>
      </c>
      <c r="C101" t="s">
        <v>50</v>
      </c>
      <c r="D101" t="s">
        <v>34</v>
      </c>
      <c r="E101" t="s">
        <v>92</v>
      </c>
      <c r="F101" t="s">
        <v>36</v>
      </c>
      <c r="G101" t="s">
        <v>51</v>
      </c>
      <c r="H101" t="s">
        <v>2259</v>
      </c>
      <c r="I101" t="s">
        <v>131</v>
      </c>
      <c r="J101" s="2">
        <v>444.87</v>
      </c>
      <c r="K101">
        <v>11</v>
      </c>
      <c r="L101" t="s">
        <v>94</v>
      </c>
      <c r="M101">
        <v>5</v>
      </c>
      <c r="N101">
        <v>4</v>
      </c>
      <c r="O101">
        <v>0</v>
      </c>
      <c r="P101" t="s">
        <v>56</v>
      </c>
      <c r="Q101" t="s">
        <v>57</v>
      </c>
      <c r="R101">
        <v>1</v>
      </c>
      <c r="S101">
        <v>8</v>
      </c>
      <c r="T101" t="s">
        <v>69</v>
      </c>
      <c r="U101" t="s">
        <v>95</v>
      </c>
      <c r="V101" t="s">
        <v>76</v>
      </c>
      <c r="W101" s="1">
        <v>45625</v>
      </c>
      <c r="X101" t="b">
        <v>0</v>
      </c>
      <c r="Y101" t="b">
        <v>0</v>
      </c>
      <c r="Z101" t="s">
        <v>59</v>
      </c>
      <c r="AA101" t="s">
        <v>45</v>
      </c>
      <c r="AB101">
        <v>7</v>
      </c>
    </row>
    <row r="102" spans="1:28">
      <c r="A102" t="s">
        <v>359</v>
      </c>
      <c r="B102">
        <v>18</v>
      </c>
      <c r="C102" t="s">
        <v>33</v>
      </c>
      <c r="D102" t="s">
        <v>51</v>
      </c>
      <c r="E102" t="s">
        <v>82</v>
      </c>
      <c r="F102" t="s">
        <v>36</v>
      </c>
      <c r="G102" t="s">
        <v>51</v>
      </c>
      <c r="H102" t="s">
        <v>360</v>
      </c>
      <c r="I102" t="s">
        <v>235</v>
      </c>
      <c r="J102" s="2">
        <v>160.82</v>
      </c>
      <c r="K102">
        <v>7</v>
      </c>
      <c r="L102" t="s">
        <v>55</v>
      </c>
      <c r="M102">
        <v>3</v>
      </c>
      <c r="N102">
        <v>1</v>
      </c>
      <c r="O102">
        <v>1</v>
      </c>
      <c r="P102" t="s">
        <v>51</v>
      </c>
      <c r="Q102" t="s">
        <v>41</v>
      </c>
      <c r="R102">
        <v>0</v>
      </c>
      <c r="S102">
        <v>1</v>
      </c>
      <c r="T102" t="s">
        <v>51</v>
      </c>
      <c r="U102" t="s">
        <v>70</v>
      </c>
      <c r="V102" t="s">
        <v>102</v>
      </c>
      <c r="W102" s="1">
        <v>45482</v>
      </c>
      <c r="X102" t="b">
        <v>1</v>
      </c>
      <c r="Y102" t="b">
        <v>1</v>
      </c>
      <c r="Z102" t="s">
        <v>59</v>
      </c>
      <c r="AA102" t="s">
        <v>45</v>
      </c>
      <c r="AB102">
        <v>3</v>
      </c>
    </row>
    <row r="103" spans="1:28">
      <c r="A103" t="s">
        <v>361</v>
      </c>
      <c r="B103">
        <v>35</v>
      </c>
      <c r="C103" t="s">
        <v>50</v>
      </c>
      <c r="D103" t="s">
        <v>51</v>
      </c>
      <c r="E103" t="s">
        <v>65</v>
      </c>
      <c r="F103" t="s">
        <v>66</v>
      </c>
      <c r="G103" t="s">
        <v>34</v>
      </c>
      <c r="H103" t="s">
        <v>362</v>
      </c>
      <c r="I103" t="s">
        <v>135</v>
      </c>
      <c r="J103" s="2">
        <v>494.18</v>
      </c>
      <c r="K103">
        <v>6</v>
      </c>
      <c r="L103" t="s">
        <v>39</v>
      </c>
      <c r="M103">
        <v>4</v>
      </c>
      <c r="N103">
        <v>5</v>
      </c>
      <c r="O103">
        <v>1</v>
      </c>
      <c r="P103" t="s">
        <v>56</v>
      </c>
      <c r="Q103" t="s">
        <v>57</v>
      </c>
      <c r="R103">
        <v>1</v>
      </c>
      <c r="S103">
        <v>2</v>
      </c>
      <c r="T103" t="s">
        <v>40</v>
      </c>
      <c r="U103" t="s">
        <v>95</v>
      </c>
      <c r="V103" t="s">
        <v>102</v>
      </c>
      <c r="W103" s="1">
        <v>45507</v>
      </c>
      <c r="X103" t="b">
        <v>0</v>
      </c>
      <c r="Y103" t="b">
        <v>0</v>
      </c>
      <c r="Z103" t="s">
        <v>44</v>
      </c>
      <c r="AA103" t="s">
        <v>60</v>
      </c>
      <c r="AB103">
        <v>14</v>
      </c>
    </row>
    <row r="104" spans="1:28">
      <c r="A104" t="s">
        <v>364</v>
      </c>
      <c r="B104">
        <v>22</v>
      </c>
      <c r="C104" t="s">
        <v>50</v>
      </c>
      <c r="D104" t="s">
        <v>34</v>
      </c>
      <c r="E104" t="s">
        <v>65</v>
      </c>
      <c r="F104" t="s">
        <v>36</v>
      </c>
      <c r="G104" t="s">
        <v>34</v>
      </c>
      <c r="H104" t="s">
        <v>365</v>
      </c>
      <c r="I104" t="s">
        <v>75</v>
      </c>
      <c r="J104" s="2">
        <v>177.05</v>
      </c>
      <c r="K104">
        <v>5</v>
      </c>
      <c r="L104" t="s">
        <v>94</v>
      </c>
      <c r="M104">
        <v>3</v>
      </c>
      <c r="N104">
        <v>1</v>
      </c>
      <c r="O104">
        <v>1</v>
      </c>
      <c r="P104" t="s">
        <v>40</v>
      </c>
      <c r="Q104" t="s">
        <v>41</v>
      </c>
      <c r="R104">
        <v>2</v>
      </c>
      <c r="S104">
        <v>1</v>
      </c>
      <c r="T104" t="s">
        <v>69</v>
      </c>
      <c r="U104" t="s">
        <v>42</v>
      </c>
      <c r="V104" t="s">
        <v>102</v>
      </c>
      <c r="W104" s="1">
        <v>45630</v>
      </c>
      <c r="X104" t="b">
        <v>1</v>
      </c>
      <c r="Y104" t="b">
        <v>1</v>
      </c>
      <c r="Z104" t="s">
        <v>72</v>
      </c>
      <c r="AA104" t="s">
        <v>60</v>
      </c>
      <c r="AB104">
        <v>1</v>
      </c>
    </row>
    <row r="105" spans="1:28">
      <c r="A105" t="s">
        <v>367</v>
      </c>
      <c r="B105">
        <v>28</v>
      </c>
      <c r="C105" t="s">
        <v>33</v>
      </c>
      <c r="D105" t="s">
        <v>34</v>
      </c>
      <c r="E105" t="s">
        <v>35</v>
      </c>
      <c r="F105" t="s">
        <v>66</v>
      </c>
      <c r="G105" t="s">
        <v>51</v>
      </c>
      <c r="H105" t="s">
        <v>368</v>
      </c>
      <c r="I105" t="s">
        <v>54</v>
      </c>
      <c r="J105" s="2">
        <v>450.66</v>
      </c>
      <c r="K105">
        <v>7</v>
      </c>
      <c r="L105" t="s">
        <v>55</v>
      </c>
      <c r="M105">
        <v>2</v>
      </c>
      <c r="N105">
        <v>5</v>
      </c>
      <c r="O105">
        <v>0</v>
      </c>
      <c r="P105" t="s">
        <v>51</v>
      </c>
      <c r="Q105" t="s">
        <v>41</v>
      </c>
      <c r="R105">
        <v>2</v>
      </c>
      <c r="S105">
        <v>4</v>
      </c>
      <c r="T105" t="s">
        <v>56</v>
      </c>
      <c r="U105" t="s">
        <v>42</v>
      </c>
      <c r="V105" t="s">
        <v>43</v>
      </c>
      <c r="W105" s="1">
        <v>45456</v>
      </c>
      <c r="X105" t="b">
        <v>0</v>
      </c>
      <c r="Y105" t="b">
        <v>1</v>
      </c>
      <c r="Z105" t="s">
        <v>44</v>
      </c>
      <c r="AA105" t="s">
        <v>45</v>
      </c>
      <c r="AB105">
        <v>9</v>
      </c>
    </row>
    <row r="106" spans="1:28">
      <c r="A106" t="s">
        <v>369</v>
      </c>
      <c r="B106">
        <v>42</v>
      </c>
      <c r="C106" t="s">
        <v>33</v>
      </c>
      <c r="D106" t="s">
        <v>51</v>
      </c>
      <c r="E106" t="s">
        <v>35</v>
      </c>
      <c r="F106" t="s">
        <v>36</v>
      </c>
      <c r="G106" t="s">
        <v>34</v>
      </c>
      <c r="H106" t="s">
        <v>2260</v>
      </c>
      <c r="I106" t="s">
        <v>170</v>
      </c>
      <c r="J106" s="2">
        <v>164.27</v>
      </c>
      <c r="K106">
        <v>6</v>
      </c>
      <c r="L106" t="s">
        <v>94</v>
      </c>
      <c r="M106">
        <v>5</v>
      </c>
      <c r="N106">
        <v>3</v>
      </c>
      <c r="O106">
        <v>2</v>
      </c>
      <c r="P106" t="s">
        <v>51</v>
      </c>
      <c r="Q106" t="s">
        <v>57</v>
      </c>
      <c r="R106">
        <v>2</v>
      </c>
      <c r="S106">
        <v>7</v>
      </c>
      <c r="T106" t="s">
        <v>69</v>
      </c>
      <c r="U106" t="s">
        <v>95</v>
      </c>
      <c r="V106" t="s">
        <v>58</v>
      </c>
      <c r="W106" s="1">
        <v>45486</v>
      </c>
      <c r="X106" t="b">
        <v>1</v>
      </c>
      <c r="Y106" t="b">
        <v>0</v>
      </c>
      <c r="Z106" t="s">
        <v>59</v>
      </c>
      <c r="AA106" t="s">
        <v>45</v>
      </c>
      <c r="AB106">
        <v>14</v>
      </c>
    </row>
    <row r="107" spans="1:28">
      <c r="A107" t="s">
        <v>372</v>
      </c>
      <c r="B107">
        <v>37</v>
      </c>
      <c r="C107" t="s">
        <v>33</v>
      </c>
      <c r="D107" t="s">
        <v>34</v>
      </c>
      <c r="E107" t="s">
        <v>82</v>
      </c>
      <c r="F107" t="s">
        <v>66</v>
      </c>
      <c r="G107" t="s">
        <v>51</v>
      </c>
      <c r="H107" t="s">
        <v>2261</v>
      </c>
      <c r="I107" t="s">
        <v>54</v>
      </c>
      <c r="J107" s="2">
        <v>346.36</v>
      </c>
      <c r="K107">
        <v>12</v>
      </c>
      <c r="L107" t="s">
        <v>39</v>
      </c>
      <c r="M107">
        <v>4</v>
      </c>
      <c r="N107">
        <v>5</v>
      </c>
      <c r="O107">
        <v>0</v>
      </c>
      <c r="P107" t="s">
        <v>56</v>
      </c>
      <c r="Q107" t="s">
        <v>41</v>
      </c>
      <c r="R107">
        <v>0</v>
      </c>
      <c r="S107">
        <v>7</v>
      </c>
      <c r="T107" t="s">
        <v>56</v>
      </c>
      <c r="U107" t="s">
        <v>70</v>
      </c>
      <c r="V107" t="s">
        <v>43</v>
      </c>
      <c r="W107" s="1">
        <v>45539</v>
      </c>
      <c r="X107" t="b">
        <v>0</v>
      </c>
      <c r="Y107" t="b">
        <v>0</v>
      </c>
      <c r="Z107" t="s">
        <v>44</v>
      </c>
      <c r="AA107" t="s">
        <v>60</v>
      </c>
      <c r="AB107">
        <v>14</v>
      </c>
    </row>
    <row r="108" spans="1:28">
      <c r="A108" t="s">
        <v>374</v>
      </c>
      <c r="B108">
        <v>33</v>
      </c>
      <c r="C108" t="s">
        <v>33</v>
      </c>
      <c r="D108" t="s">
        <v>34</v>
      </c>
      <c r="E108" t="s">
        <v>82</v>
      </c>
      <c r="F108" t="s">
        <v>52</v>
      </c>
      <c r="G108" t="s">
        <v>51</v>
      </c>
      <c r="H108" t="s">
        <v>375</v>
      </c>
      <c r="I108" t="s">
        <v>127</v>
      </c>
      <c r="J108" s="2">
        <v>377.77</v>
      </c>
      <c r="K108">
        <v>9</v>
      </c>
      <c r="L108" t="s">
        <v>39</v>
      </c>
      <c r="M108">
        <v>4</v>
      </c>
      <c r="N108">
        <v>2</v>
      </c>
      <c r="O108">
        <v>1</v>
      </c>
      <c r="P108" t="s">
        <v>56</v>
      </c>
      <c r="Q108" t="s">
        <v>57</v>
      </c>
      <c r="R108">
        <v>1</v>
      </c>
      <c r="S108">
        <v>5</v>
      </c>
      <c r="T108" t="s">
        <v>56</v>
      </c>
      <c r="U108" t="s">
        <v>42</v>
      </c>
      <c r="V108" t="s">
        <v>43</v>
      </c>
      <c r="W108" s="1">
        <v>45530</v>
      </c>
      <c r="X108" t="b">
        <v>1</v>
      </c>
      <c r="Y108" t="b">
        <v>1</v>
      </c>
      <c r="Z108" t="s">
        <v>72</v>
      </c>
      <c r="AA108" t="s">
        <v>60</v>
      </c>
      <c r="AB108">
        <v>3</v>
      </c>
    </row>
    <row r="109" spans="1:28">
      <c r="A109" t="s">
        <v>377</v>
      </c>
      <c r="B109">
        <v>46</v>
      </c>
      <c r="C109" t="s">
        <v>33</v>
      </c>
      <c r="D109" t="s">
        <v>34</v>
      </c>
      <c r="E109" t="s">
        <v>82</v>
      </c>
      <c r="F109" t="s">
        <v>52</v>
      </c>
      <c r="G109" t="s">
        <v>34</v>
      </c>
      <c r="H109" t="s">
        <v>2262</v>
      </c>
      <c r="I109" t="s">
        <v>242</v>
      </c>
      <c r="J109" s="2">
        <v>163.41</v>
      </c>
      <c r="K109">
        <v>2</v>
      </c>
      <c r="L109" t="s">
        <v>55</v>
      </c>
      <c r="M109">
        <v>5</v>
      </c>
      <c r="N109">
        <v>5</v>
      </c>
      <c r="O109">
        <v>2</v>
      </c>
      <c r="P109" t="s">
        <v>69</v>
      </c>
      <c r="Q109" t="s">
        <v>57</v>
      </c>
      <c r="R109">
        <v>1</v>
      </c>
      <c r="S109">
        <v>8</v>
      </c>
      <c r="T109" t="s">
        <v>51</v>
      </c>
      <c r="U109" t="s">
        <v>95</v>
      </c>
      <c r="V109" t="s">
        <v>76</v>
      </c>
      <c r="W109" s="1">
        <v>45347</v>
      </c>
      <c r="X109" t="b">
        <v>1</v>
      </c>
      <c r="Y109" t="b">
        <v>1</v>
      </c>
      <c r="Z109" t="s">
        <v>44</v>
      </c>
      <c r="AA109" t="s">
        <v>77</v>
      </c>
      <c r="AB109">
        <v>4</v>
      </c>
    </row>
    <row r="110" spans="1:28">
      <c r="A110" t="s">
        <v>379</v>
      </c>
      <c r="B110">
        <v>30</v>
      </c>
      <c r="C110" t="s">
        <v>33</v>
      </c>
      <c r="D110" t="s">
        <v>34</v>
      </c>
      <c r="E110" t="s">
        <v>92</v>
      </c>
      <c r="F110" t="s">
        <v>66</v>
      </c>
      <c r="G110" t="s">
        <v>34</v>
      </c>
      <c r="H110" t="s">
        <v>380</v>
      </c>
      <c r="I110" t="s">
        <v>135</v>
      </c>
      <c r="J110" s="2">
        <v>467.58</v>
      </c>
      <c r="K110">
        <v>10</v>
      </c>
      <c r="L110" t="s">
        <v>39</v>
      </c>
      <c r="M110">
        <v>1</v>
      </c>
      <c r="N110">
        <v>2</v>
      </c>
      <c r="O110">
        <v>0</v>
      </c>
      <c r="P110" t="s">
        <v>40</v>
      </c>
      <c r="Q110" t="s">
        <v>41</v>
      </c>
      <c r="R110">
        <v>1</v>
      </c>
      <c r="S110">
        <v>6</v>
      </c>
      <c r="T110" t="s">
        <v>69</v>
      </c>
      <c r="U110" t="s">
        <v>95</v>
      </c>
      <c r="V110" t="s">
        <v>58</v>
      </c>
      <c r="W110" s="1">
        <v>45397</v>
      </c>
      <c r="X110" t="b">
        <v>1</v>
      </c>
      <c r="Y110" t="b">
        <v>1</v>
      </c>
      <c r="Z110" t="s">
        <v>59</v>
      </c>
      <c r="AA110" t="s">
        <v>60</v>
      </c>
      <c r="AB110">
        <v>7</v>
      </c>
    </row>
    <row r="111" spans="1:28">
      <c r="A111" t="s">
        <v>381</v>
      </c>
      <c r="B111">
        <v>39</v>
      </c>
      <c r="C111" t="s">
        <v>33</v>
      </c>
      <c r="D111" t="s">
        <v>34</v>
      </c>
      <c r="E111" t="s">
        <v>82</v>
      </c>
      <c r="F111" t="s">
        <v>36</v>
      </c>
      <c r="G111" t="s">
        <v>51</v>
      </c>
      <c r="H111" t="s">
        <v>382</v>
      </c>
      <c r="I111" t="s">
        <v>98</v>
      </c>
      <c r="J111" s="2">
        <v>247.51</v>
      </c>
      <c r="K111">
        <v>10</v>
      </c>
      <c r="L111" t="s">
        <v>39</v>
      </c>
      <c r="M111">
        <v>2</v>
      </c>
      <c r="N111">
        <v>1</v>
      </c>
      <c r="O111">
        <v>2</v>
      </c>
      <c r="P111" t="s">
        <v>69</v>
      </c>
      <c r="Q111" t="s">
        <v>41</v>
      </c>
      <c r="R111">
        <v>1</v>
      </c>
      <c r="S111">
        <v>8</v>
      </c>
      <c r="T111" t="s">
        <v>69</v>
      </c>
      <c r="U111" t="s">
        <v>42</v>
      </c>
      <c r="V111" t="s">
        <v>43</v>
      </c>
      <c r="W111" s="1">
        <v>45474</v>
      </c>
      <c r="X111" t="b">
        <v>1</v>
      </c>
      <c r="Y111" t="b">
        <v>0</v>
      </c>
      <c r="Z111" t="s">
        <v>72</v>
      </c>
      <c r="AA111" t="s">
        <v>60</v>
      </c>
      <c r="AB111">
        <v>2</v>
      </c>
    </row>
    <row r="112" spans="1:28">
      <c r="A112" t="s">
        <v>384</v>
      </c>
      <c r="B112">
        <v>25</v>
      </c>
      <c r="C112" t="s">
        <v>33</v>
      </c>
      <c r="D112" t="s">
        <v>34</v>
      </c>
      <c r="E112" t="s">
        <v>65</v>
      </c>
      <c r="F112" t="s">
        <v>52</v>
      </c>
      <c r="G112" t="s">
        <v>51</v>
      </c>
      <c r="H112" t="s">
        <v>385</v>
      </c>
      <c r="I112" t="s">
        <v>68</v>
      </c>
      <c r="J112" s="2">
        <v>365.1</v>
      </c>
      <c r="K112">
        <v>3</v>
      </c>
      <c r="L112" t="s">
        <v>55</v>
      </c>
      <c r="M112">
        <v>2</v>
      </c>
      <c r="N112">
        <v>3</v>
      </c>
      <c r="O112">
        <v>0</v>
      </c>
      <c r="P112" t="s">
        <v>40</v>
      </c>
      <c r="Q112" t="s">
        <v>57</v>
      </c>
      <c r="R112">
        <v>1</v>
      </c>
      <c r="S112">
        <v>3</v>
      </c>
      <c r="T112" t="s">
        <v>51</v>
      </c>
      <c r="U112" t="s">
        <v>95</v>
      </c>
      <c r="V112" t="s">
        <v>71</v>
      </c>
      <c r="W112" s="1">
        <v>45534</v>
      </c>
      <c r="X112" t="b">
        <v>0</v>
      </c>
      <c r="Y112" t="b">
        <v>1</v>
      </c>
      <c r="Z112" t="s">
        <v>59</v>
      </c>
      <c r="AA112" t="s">
        <v>45</v>
      </c>
      <c r="AB112">
        <v>1</v>
      </c>
    </row>
    <row r="113" spans="1:28">
      <c r="A113" t="s">
        <v>387</v>
      </c>
      <c r="B113">
        <v>38</v>
      </c>
      <c r="C113" t="s">
        <v>33</v>
      </c>
      <c r="D113" t="s">
        <v>51</v>
      </c>
      <c r="E113" t="s">
        <v>65</v>
      </c>
      <c r="F113" t="s">
        <v>66</v>
      </c>
      <c r="G113" t="s">
        <v>34</v>
      </c>
      <c r="H113" t="s">
        <v>388</v>
      </c>
      <c r="I113" t="s">
        <v>131</v>
      </c>
      <c r="J113" s="2">
        <v>485.42</v>
      </c>
      <c r="K113">
        <v>5</v>
      </c>
      <c r="L113" t="s">
        <v>94</v>
      </c>
      <c r="M113">
        <v>1</v>
      </c>
      <c r="N113">
        <v>2</v>
      </c>
      <c r="O113">
        <v>2</v>
      </c>
      <c r="P113" t="s">
        <v>51</v>
      </c>
      <c r="Q113" t="s">
        <v>41</v>
      </c>
      <c r="R113">
        <v>1</v>
      </c>
      <c r="S113">
        <v>6</v>
      </c>
      <c r="T113" t="s">
        <v>51</v>
      </c>
      <c r="U113" t="s">
        <v>95</v>
      </c>
      <c r="V113" t="s">
        <v>76</v>
      </c>
      <c r="W113" s="1">
        <v>45609</v>
      </c>
      <c r="X113" t="b">
        <v>1</v>
      </c>
      <c r="Y113" t="b">
        <v>0</v>
      </c>
      <c r="Z113" t="s">
        <v>59</v>
      </c>
      <c r="AA113" t="s">
        <v>45</v>
      </c>
      <c r="AB113">
        <v>4</v>
      </c>
    </row>
    <row r="114" spans="1:28">
      <c r="A114" t="s">
        <v>389</v>
      </c>
      <c r="B114">
        <v>41</v>
      </c>
      <c r="C114" t="s">
        <v>33</v>
      </c>
      <c r="D114" t="s">
        <v>34</v>
      </c>
      <c r="E114" t="s">
        <v>82</v>
      </c>
      <c r="F114" t="s">
        <v>36</v>
      </c>
      <c r="G114" t="s">
        <v>51</v>
      </c>
      <c r="H114" t="s">
        <v>390</v>
      </c>
      <c r="I114" t="s">
        <v>131</v>
      </c>
      <c r="J114" s="2">
        <v>250.54</v>
      </c>
      <c r="K114">
        <v>4</v>
      </c>
      <c r="L114" t="s">
        <v>55</v>
      </c>
      <c r="M114">
        <v>3</v>
      </c>
      <c r="N114">
        <v>3</v>
      </c>
      <c r="O114">
        <v>1</v>
      </c>
      <c r="P114" t="s">
        <v>51</v>
      </c>
      <c r="Q114" t="s">
        <v>57</v>
      </c>
      <c r="R114">
        <v>2</v>
      </c>
      <c r="S114">
        <v>10</v>
      </c>
      <c r="T114" t="s">
        <v>40</v>
      </c>
      <c r="U114" t="s">
        <v>95</v>
      </c>
      <c r="V114" t="s">
        <v>43</v>
      </c>
      <c r="W114" s="1">
        <v>45653</v>
      </c>
      <c r="X114" t="b">
        <v>0</v>
      </c>
      <c r="Y114" t="b">
        <v>0</v>
      </c>
      <c r="Z114" t="s">
        <v>59</v>
      </c>
      <c r="AA114" t="s">
        <v>45</v>
      </c>
      <c r="AB114">
        <v>3</v>
      </c>
    </row>
    <row r="115" spans="1:28">
      <c r="A115" t="s">
        <v>392</v>
      </c>
      <c r="B115">
        <v>49</v>
      </c>
      <c r="C115" t="s">
        <v>33</v>
      </c>
      <c r="D115" t="s">
        <v>34</v>
      </c>
      <c r="E115" t="s">
        <v>92</v>
      </c>
      <c r="F115" t="s">
        <v>52</v>
      </c>
      <c r="G115" t="s">
        <v>51</v>
      </c>
      <c r="H115" t="s">
        <v>183</v>
      </c>
      <c r="I115" t="s">
        <v>306</v>
      </c>
      <c r="J115" s="2">
        <v>163.13999999999999</v>
      </c>
      <c r="K115">
        <v>5</v>
      </c>
      <c r="L115" t="s">
        <v>39</v>
      </c>
      <c r="M115">
        <v>5</v>
      </c>
      <c r="N115">
        <v>4</v>
      </c>
      <c r="O115">
        <v>0</v>
      </c>
      <c r="P115" t="s">
        <v>69</v>
      </c>
      <c r="Q115" t="s">
        <v>41</v>
      </c>
      <c r="R115">
        <v>1</v>
      </c>
      <c r="S115">
        <v>2</v>
      </c>
      <c r="T115" t="s">
        <v>40</v>
      </c>
      <c r="U115" t="s">
        <v>95</v>
      </c>
      <c r="V115" t="s">
        <v>71</v>
      </c>
      <c r="W115" s="1">
        <v>45511</v>
      </c>
      <c r="X115" t="b">
        <v>1</v>
      </c>
      <c r="Y115" t="b">
        <v>1</v>
      </c>
      <c r="Z115" t="s">
        <v>89</v>
      </c>
      <c r="AA115" t="s">
        <v>45</v>
      </c>
      <c r="AB115">
        <v>1</v>
      </c>
    </row>
    <row r="116" spans="1:28">
      <c r="A116" t="s">
        <v>393</v>
      </c>
      <c r="B116">
        <v>21</v>
      </c>
      <c r="C116" t="s">
        <v>50</v>
      </c>
      <c r="D116" t="s">
        <v>51</v>
      </c>
      <c r="E116" t="s">
        <v>92</v>
      </c>
      <c r="F116" t="s">
        <v>36</v>
      </c>
      <c r="G116" t="s">
        <v>34</v>
      </c>
      <c r="H116" t="s">
        <v>394</v>
      </c>
      <c r="I116" t="s">
        <v>38</v>
      </c>
      <c r="J116" s="2">
        <v>162.31</v>
      </c>
      <c r="K116">
        <v>8</v>
      </c>
      <c r="L116" t="s">
        <v>55</v>
      </c>
      <c r="M116">
        <v>5</v>
      </c>
      <c r="N116">
        <v>1</v>
      </c>
      <c r="O116">
        <v>1</v>
      </c>
      <c r="P116" t="s">
        <v>51</v>
      </c>
      <c r="Q116" t="s">
        <v>101</v>
      </c>
      <c r="R116">
        <v>1</v>
      </c>
      <c r="S116">
        <v>2</v>
      </c>
      <c r="T116" t="s">
        <v>56</v>
      </c>
      <c r="U116" t="s">
        <v>42</v>
      </c>
      <c r="V116" t="s">
        <v>43</v>
      </c>
      <c r="W116" s="1">
        <v>45570</v>
      </c>
      <c r="X116" t="b">
        <v>0</v>
      </c>
      <c r="Y116" t="b">
        <v>0</v>
      </c>
      <c r="Z116" t="s">
        <v>44</v>
      </c>
      <c r="AA116" t="s">
        <v>45</v>
      </c>
      <c r="AB116">
        <v>11</v>
      </c>
    </row>
    <row r="117" spans="1:28">
      <c r="A117" t="s">
        <v>395</v>
      </c>
      <c r="B117">
        <v>37</v>
      </c>
      <c r="C117" t="s">
        <v>50</v>
      </c>
      <c r="D117" t="s">
        <v>34</v>
      </c>
      <c r="E117" t="s">
        <v>82</v>
      </c>
      <c r="F117" t="s">
        <v>66</v>
      </c>
      <c r="G117" t="s">
        <v>51</v>
      </c>
      <c r="H117" t="s">
        <v>396</v>
      </c>
      <c r="I117" t="s">
        <v>68</v>
      </c>
      <c r="J117" s="2">
        <v>328.21</v>
      </c>
      <c r="K117">
        <v>7</v>
      </c>
      <c r="L117" t="s">
        <v>39</v>
      </c>
      <c r="M117">
        <v>5</v>
      </c>
      <c r="N117">
        <v>5</v>
      </c>
      <c r="O117">
        <v>2</v>
      </c>
      <c r="P117" t="s">
        <v>69</v>
      </c>
      <c r="Q117" t="s">
        <v>57</v>
      </c>
      <c r="R117">
        <v>2</v>
      </c>
      <c r="S117">
        <v>2</v>
      </c>
      <c r="T117" t="s">
        <v>69</v>
      </c>
      <c r="U117" t="s">
        <v>70</v>
      </c>
      <c r="V117" t="s">
        <v>43</v>
      </c>
      <c r="W117" s="1">
        <v>45336</v>
      </c>
      <c r="X117" t="b">
        <v>0</v>
      </c>
      <c r="Y117" t="b">
        <v>0</v>
      </c>
      <c r="Z117" t="s">
        <v>44</v>
      </c>
      <c r="AA117" t="s">
        <v>45</v>
      </c>
      <c r="AB117">
        <v>12</v>
      </c>
    </row>
    <row r="118" spans="1:28">
      <c r="A118" t="s">
        <v>397</v>
      </c>
      <c r="B118">
        <v>30</v>
      </c>
      <c r="C118" t="s">
        <v>33</v>
      </c>
      <c r="D118" t="s">
        <v>51</v>
      </c>
      <c r="E118" t="s">
        <v>35</v>
      </c>
      <c r="F118" t="s">
        <v>66</v>
      </c>
      <c r="G118" t="s">
        <v>51</v>
      </c>
      <c r="H118" t="s">
        <v>398</v>
      </c>
      <c r="I118" t="s">
        <v>108</v>
      </c>
      <c r="J118" s="2">
        <v>268.58999999999997</v>
      </c>
      <c r="K118">
        <v>4</v>
      </c>
      <c r="L118" t="s">
        <v>94</v>
      </c>
      <c r="M118">
        <v>3</v>
      </c>
      <c r="N118">
        <v>3</v>
      </c>
      <c r="O118">
        <v>1</v>
      </c>
      <c r="P118" t="s">
        <v>51</v>
      </c>
      <c r="Q118" t="s">
        <v>101</v>
      </c>
      <c r="R118">
        <v>1</v>
      </c>
      <c r="S118">
        <v>1</v>
      </c>
      <c r="T118" t="s">
        <v>56</v>
      </c>
      <c r="U118" t="s">
        <v>95</v>
      </c>
      <c r="V118" t="s">
        <v>71</v>
      </c>
      <c r="W118" s="1">
        <v>45387</v>
      </c>
      <c r="X118" t="b">
        <v>1</v>
      </c>
      <c r="Y118" t="b">
        <v>1</v>
      </c>
      <c r="Z118" t="s">
        <v>44</v>
      </c>
      <c r="AA118" t="s">
        <v>60</v>
      </c>
      <c r="AB118">
        <v>3</v>
      </c>
    </row>
    <row r="119" spans="1:28">
      <c r="A119" t="s">
        <v>399</v>
      </c>
      <c r="B119">
        <v>18</v>
      </c>
      <c r="C119" t="s">
        <v>33</v>
      </c>
      <c r="D119" t="s">
        <v>51</v>
      </c>
      <c r="E119" t="s">
        <v>92</v>
      </c>
      <c r="F119" t="s">
        <v>52</v>
      </c>
      <c r="G119" t="s">
        <v>51</v>
      </c>
      <c r="H119" t="s">
        <v>400</v>
      </c>
      <c r="I119" t="s">
        <v>147</v>
      </c>
      <c r="J119" s="2">
        <v>257.37</v>
      </c>
      <c r="K119">
        <v>7</v>
      </c>
      <c r="L119" t="s">
        <v>94</v>
      </c>
      <c r="M119">
        <v>3</v>
      </c>
      <c r="N119">
        <v>3</v>
      </c>
      <c r="O119">
        <v>0</v>
      </c>
      <c r="P119" t="s">
        <v>56</v>
      </c>
      <c r="Q119" t="s">
        <v>101</v>
      </c>
      <c r="R119">
        <v>2</v>
      </c>
      <c r="S119">
        <v>5</v>
      </c>
      <c r="T119" t="s">
        <v>56</v>
      </c>
      <c r="U119" t="s">
        <v>70</v>
      </c>
      <c r="V119" t="s">
        <v>58</v>
      </c>
      <c r="W119" s="1">
        <v>45323</v>
      </c>
      <c r="X119" t="b">
        <v>1</v>
      </c>
      <c r="Y119" t="b">
        <v>0</v>
      </c>
      <c r="Z119" t="s">
        <v>59</v>
      </c>
      <c r="AA119" t="s">
        <v>77</v>
      </c>
      <c r="AB119">
        <v>13</v>
      </c>
    </row>
    <row r="120" spans="1:28">
      <c r="A120" t="s">
        <v>402</v>
      </c>
      <c r="B120">
        <v>41</v>
      </c>
      <c r="C120" t="s">
        <v>33</v>
      </c>
      <c r="D120" t="s">
        <v>34</v>
      </c>
      <c r="E120" t="s">
        <v>65</v>
      </c>
      <c r="F120" t="s">
        <v>52</v>
      </c>
      <c r="G120" t="s">
        <v>51</v>
      </c>
      <c r="H120" t="s">
        <v>403</v>
      </c>
      <c r="I120" t="s">
        <v>68</v>
      </c>
      <c r="J120" s="2">
        <v>205.49</v>
      </c>
      <c r="K120">
        <v>4</v>
      </c>
      <c r="L120" t="s">
        <v>55</v>
      </c>
      <c r="M120">
        <v>5</v>
      </c>
      <c r="N120">
        <v>3</v>
      </c>
      <c r="O120">
        <v>2</v>
      </c>
      <c r="P120" t="s">
        <v>69</v>
      </c>
      <c r="Q120" t="s">
        <v>41</v>
      </c>
      <c r="R120">
        <v>2</v>
      </c>
      <c r="S120">
        <v>2</v>
      </c>
      <c r="T120" t="s">
        <v>51</v>
      </c>
      <c r="U120" t="s">
        <v>42</v>
      </c>
      <c r="V120" t="s">
        <v>102</v>
      </c>
      <c r="W120" s="1">
        <v>45605</v>
      </c>
      <c r="X120" t="b">
        <v>1</v>
      </c>
      <c r="Y120" t="b">
        <v>0</v>
      </c>
      <c r="Z120" t="s">
        <v>44</v>
      </c>
      <c r="AA120" t="s">
        <v>77</v>
      </c>
      <c r="AB120">
        <v>11</v>
      </c>
    </row>
    <row r="121" spans="1:28">
      <c r="A121" t="s">
        <v>404</v>
      </c>
      <c r="B121">
        <v>40</v>
      </c>
      <c r="C121" t="s">
        <v>50</v>
      </c>
      <c r="D121" t="s">
        <v>51</v>
      </c>
      <c r="E121" t="s">
        <v>92</v>
      </c>
      <c r="F121" t="s">
        <v>66</v>
      </c>
      <c r="G121" t="s">
        <v>51</v>
      </c>
      <c r="H121" t="s">
        <v>405</v>
      </c>
      <c r="I121" t="s">
        <v>112</v>
      </c>
      <c r="J121" s="2">
        <v>407.91</v>
      </c>
      <c r="K121">
        <v>7</v>
      </c>
      <c r="L121" t="s">
        <v>55</v>
      </c>
      <c r="M121">
        <v>2</v>
      </c>
      <c r="N121">
        <v>5</v>
      </c>
      <c r="O121">
        <v>0</v>
      </c>
      <c r="P121" t="s">
        <v>69</v>
      </c>
      <c r="Q121" t="s">
        <v>57</v>
      </c>
      <c r="R121">
        <v>0</v>
      </c>
      <c r="S121">
        <v>5</v>
      </c>
      <c r="T121" t="s">
        <v>69</v>
      </c>
      <c r="U121" t="s">
        <v>42</v>
      </c>
      <c r="V121" t="s">
        <v>76</v>
      </c>
      <c r="W121" s="1">
        <v>45460</v>
      </c>
      <c r="X121" t="b">
        <v>1</v>
      </c>
      <c r="Y121" t="b">
        <v>1</v>
      </c>
      <c r="Z121" t="s">
        <v>44</v>
      </c>
      <c r="AA121" t="s">
        <v>60</v>
      </c>
      <c r="AB121">
        <v>14</v>
      </c>
    </row>
    <row r="122" spans="1:28">
      <c r="A122" t="s">
        <v>406</v>
      </c>
      <c r="B122">
        <v>33</v>
      </c>
      <c r="C122" t="s">
        <v>33</v>
      </c>
      <c r="D122" t="s">
        <v>51</v>
      </c>
      <c r="E122" t="s">
        <v>92</v>
      </c>
      <c r="F122" t="s">
        <v>36</v>
      </c>
      <c r="G122" t="s">
        <v>51</v>
      </c>
      <c r="H122" t="s">
        <v>2263</v>
      </c>
      <c r="I122" t="s">
        <v>54</v>
      </c>
      <c r="J122" s="2">
        <v>254.73</v>
      </c>
      <c r="K122">
        <v>6</v>
      </c>
      <c r="L122" t="s">
        <v>94</v>
      </c>
      <c r="M122">
        <v>4</v>
      </c>
      <c r="N122">
        <v>3</v>
      </c>
      <c r="O122">
        <v>0</v>
      </c>
      <c r="P122" t="s">
        <v>56</v>
      </c>
      <c r="Q122" t="s">
        <v>101</v>
      </c>
      <c r="R122">
        <v>0</v>
      </c>
      <c r="S122">
        <v>3</v>
      </c>
      <c r="T122" t="s">
        <v>69</v>
      </c>
      <c r="U122" t="s">
        <v>70</v>
      </c>
      <c r="V122" t="s">
        <v>76</v>
      </c>
      <c r="W122" s="1">
        <v>45444</v>
      </c>
      <c r="X122" t="b">
        <v>1</v>
      </c>
      <c r="Y122" t="b">
        <v>1</v>
      </c>
      <c r="Z122" t="s">
        <v>72</v>
      </c>
      <c r="AA122" t="s">
        <v>77</v>
      </c>
      <c r="AB122">
        <v>3</v>
      </c>
    </row>
    <row r="123" spans="1:28">
      <c r="A123" t="s">
        <v>409</v>
      </c>
      <c r="B123">
        <v>30</v>
      </c>
      <c r="C123" t="s">
        <v>33</v>
      </c>
      <c r="D123" t="s">
        <v>34</v>
      </c>
      <c r="E123" t="s">
        <v>92</v>
      </c>
      <c r="F123" t="s">
        <v>36</v>
      </c>
      <c r="G123" t="s">
        <v>51</v>
      </c>
      <c r="H123" t="s">
        <v>410</v>
      </c>
      <c r="I123" t="s">
        <v>229</v>
      </c>
      <c r="J123" s="2">
        <v>397.78</v>
      </c>
      <c r="K123">
        <v>12</v>
      </c>
      <c r="L123" t="s">
        <v>94</v>
      </c>
      <c r="M123">
        <v>3</v>
      </c>
      <c r="N123">
        <v>3</v>
      </c>
      <c r="O123">
        <v>1</v>
      </c>
      <c r="P123" t="s">
        <v>56</v>
      </c>
      <c r="Q123" t="s">
        <v>57</v>
      </c>
      <c r="R123">
        <v>2</v>
      </c>
      <c r="S123">
        <v>7</v>
      </c>
      <c r="T123" t="s">
        <v>56</v>
      </c>
      <c r="U123" t="s">
        <v>70</v>
      </c>
      <c r="V123" t="s">
        <v>58</v>
      </c>
      <c r="W123" s="1">
        <v>45559</v>
      </c>
      <c r="X123" t="b">
        <v>0</v>
      </c>
      <c r="Y123" t="b">
        <v>1</v>
      </c>
      <c r="Z123" t="s">
        <v>72</v>
      </c>
      <c r="AA123" t="s">
        <v>45</v>
      </c>
      <c r="AB123">
        <v>11</v>
      </c>
    </row>
    <row r="124" spans="1:28">
      <c r="A124" t="s">
        <v>412</v>
      </c>
      <c r="B124">
        <v>33</v>
      </c>
      <c r="C124" t="s">
        <v>33</v>
      </c>
      <c r="D124" t="s">
        <v>51</v>
      </c>
      <c r="E124" t="s">
        <v>35</v>
      </c>
      <c r="F124" t="s">
        <v>36</v>
      </c>
      <c r="G124" t="s">
        <v>51</v>
      </c>
      <c r="H124" t="s">
        <v>413</v>
      </c>
      <c r="I124" t="s">
        <v>147</v>
      </c>
      <c r="J124" s="2">
        <v>305.29000000000002</v>
      </c>
      <c r="K124">
        <v>3</v>
      </c>
      <c r="L124" t="s">
        <v>94</v>
      </c>
      <c r="M124">
        <v>2</v>
      </c>
      <c r="N124">
        <v>3</v>
      </c>
      <c r="O124">
        <v>1</v>
      </c>
      <c r="P124" t="s">
        <v>56</v>
      </c>
      <c r="Q124" t="s">
        <v>101</v>
      </c>
      <c r="R124">
        <v>1</v>
      </c>
      <c r="S124">
        <v>8</v>
      </c>
      <c r="T124" t="s">
        <v>56</v>
      </c>
      <c r="U124" t="s">
        <v>95</v>
      </c>
      <c r="V124" t="s">
        <v>71</v>
      </c>
      <c r="W124" s="1">
        <v>45540</v>
      </c>
      <c r="X124" t="b">
        <v>1</v>
      </c>
      <c r="Y124" t="b">
        <v>1</v>
      </c>
      <c r="Z124" t="s">
        <v>72</v>
      </c>
      <c r="AA124" t="s">
        <v>60</v>
      </c>
      <c r="AB124">
        <v>10</v>
      </c>
    </row>
    <row r="125" spans="1:28">
      <c r="A125" t="s">
        <v>414</v>
      </c>
      <c r="B125">
        <v>45</v>
      </c>
      <c r="C125" t="s">
        <v>50</v>
      </c>
      <c r="D125" t="s">
        <v>34</v>
      </c>
      <c r="E125" t="s">
        <v>92</v>
      </c>
      <c r="F125" t="s">
        <v>52</v>
      </c>
      <c r="G125" t="s">
        <v>51</v>
      </c>
      <c r="H125" t="s">
        <v>415</v>
      </c>
      <c r="I125" t="s">
        <v>54</v>
      </c>
      <c r="J125" s="2">
        <v>257.86</v>
      </c>
      <c r="K125">
        <v>6</v>
      </c>
      <c r="L125" t="s">
        <v>94</v>
      </c>
      <c r="M125">
        <v>2</v>
      </c>
      <c r="N125">
        <v>2</v>
      </c>
      <c r="O125">
        <v>0</v>
      </c>
      <c r="P125" t="s">
        <v>40</v>
      </c>
      <c r="Q125" t="s">
        <v>41</v>
      </c>
      <c r="R125">
        <v>0</v>
      </c>
      <c r="S125">
        <v>4</v>
      </c>
      <c r="T125" t="s">
        <v>51</v>
      </c>
      <c r="U125" t="s">
        <v>42</v>
      </c>
      <c r="V125" t="s">
        <v>58</v>
      </c>
      <c r="W125" s="1">
        <v>45455</v>
      </c>
      <c r="X125" t="b">
        <v>1</v>
      </c>
      <c r="Y125" t="b">
        <v>1</v>
      </c>
      <c r="Z125" t="s">
        <v>44</v>
      </c>
      <c r="AA125" t="s">
        <v>77</v>
      </c>
      <c r="AB125">
        <v>1</v>
      </c>
    </row>
    <row r="126" spans="1:28">
      <c r="A126" t="s">
        <v>416</v>
      </c>
      <c r="B126">
        <v>42</v>
      </c>
      <c r="C126" t="s">
        <v>33</v>
      </c>
      <c r="D126" t="s">
        <v>51</v>
      </c>
      <c r="E126" t="s">
        <v>65</v>
      </c>
      <c r="F126" t="s">
        <v>52</v>
      </c>
      <c r="G126" t="s">
        <v>34</v>
      </c>
      <c r="H126" t="s">
        <v>417</v>
      </c>
      <c r="I126" t="s">
        <v>306</v>
      </c>
      <c r="J126" s="2">
        <v>393.45</v>
      </c>
      <c r="K126">
        <v>12</v>
      </c>
      <c r="L126" t="s">
        <v>55</v>
      </c>
      <c r="M126">
        <v>3</v>
      </c>
      <c r="N126">
        <v>1</v>
      </c>
      <c r="O126">
        <v>0</v>
      </c>
      <c r="P126" t="s">
        <v>69</v>
      </c>
      <c r="Q126" t="s">
        <v>41</v>
      </c>
      <c r="R126">
        <v>2</v>
      </c>
      <c r="S126">
        <v>10</v>
      </c>
      <c r="T126" t="s">
        <v>56</v>
      </c>
      <c r="U126" t="s">
        <v>95</v>
      </c>
      <c r="V126" t="s">
        <v>43</v>
      </c>
      <c r="W126" s="1">
        <v>45571</v>
      </c>
      <c r="X126" t="b">
        <v>0</v>
      </c>
      <c r="Y126" t="b">
        <v>0</v>
      </c>
      <c r="Z126" t="s">
        <v>44</v>
      </c>
      <c r="AA126" t="s">
        <v>77</v>
      </c>
      <c r="AB126">
        <v>12</v>
      </c>
    </row>
    <row r="127" spans="1:28">
      <c r="A127" t="s">
        <v>419</v>
      </c>
      <c r="B127">
        <v>30</v>
      </c>
      <c r="C127" t="s">
        <v>50</v>
      </c>
      <c r="D127" t="s">
        <v>51</v>
      </c>
      <c r="E127" t="s">
        <v>35</v>
      </c>
      <c r="F127" t="s">
        <v>36</v>
      </c>
      <c r="G127" t="s">
        <v>34</v>
      </c>
      <c r="H127" t="s">
        <v>420</v>
      </c>
      <c r="I127" t="s">
        <v>180</v>
      </c>
      <c r="J127" s="2">
        <v>58.49</v>
      </c>
      <c r="K127">
        <v>6</v>
      </c>
      <c r="L127" t="s">
        <v>94</v>
      </c>
      <c r="M127">
        <v>2</v>
      </c>
      <c r="N127">
        <v>2</v>
      </c>
      <c r="O127">
        <v>0</v>
      </c>
      <c r="P127" t="s">
        <v>56</v>
      </c>
      <c r="Q127" t="s">
        <v>101</v>
      </c>
      <c r="R127">
        <v>0</v>
      </c>
      <c r="S127">
        <v>8</v>
      </c>
      <c r="T127" t="s">
        <v>51</v>
      </c>
      <c r="U127" t="s">
        <v>42</v>
      </c>
      <c r="V127" t="s">
        <v>76</v>
      </c>
      <c r="W127" s="1">
        <v>45502</v>
      </c>
      <c r="X127" t="b">
        <v>1</v>
      </c>
      <c r="Y127" t="b">
        <v>1</v>
      </c>
      <c r="Z127" t="s">
        <v>89</v>
      </c>
      <c r="AA127" t="s">
        <v>77</v>
      </c>
      <c r="AB127">
        <v>7</v>
      </c>
    </row>
    <row r="128" spans="1:28">
      <c r="A128" t="s">
        <v>422</v>
      </c>
      <c r="B128">
        <v>42</v>
      </c>
      <c r="C128" t="s">
        <v>50</v>
      </c>
      <c r="D128" t="s">
        <v>34</v>
      </c>
      <c r="E128" t="s">
        <v>65</v>
      </c>
      <c r="F128" t="s">
        <v>52</v>
      </c>
      <c r="G128" t="s">
        <v>34</v>
      </c>
      <c r="H128" t="s">
        <v>423</v>
      </c>
      <c r="I128" t="s">
        <v>235</v>
      </c>
      <c r="J128" s="2">
        <v>226.48</v>
      </c>
      <c r="K128">
        <v>11</v>
      </c>
      <c r="L128" t="s">
        <v>55</v>
      </c>
      <c r="M128">
        <v>5</v>
      </c>
      <c r="N128">
        <v>3</v>
      </c>
      <c r="O128">
        <v>2</v>
      </c>
      <c r="P128" t="s">
        <v>40</v>
      </c>
      <c r="Q128" t="s">
        <v>57</v>
      </c>
      <c r="R128">
        <v>2</v>
      </c>
      <c r="S128">
        <v>7</v>
      </c>
      <c r="T128" t="s">
        <v>51</v>
      </c>
      <c r="U128" t="s">
        <v>42</v>
      </c>
      <c r="V128" t="s">
        <v>71</v>
      </c>
      <c r="W128" s="1">
        <v>45583</v>
      </c>
      <c r="X128" t="b">
        <v>1</v>
      </c>
      <c r="Y128" t="b">
        <v>0</v>
      </c>
      <c r="Z128" t="s">
        <v>44</v>
      </c>
      <c r="AA128" t="s">
        <v>77</v>
      </c>
      <c r="AB128">
        <v>11</v>
      </c>
    </row>
    <row r="129" spans="1:28">
      <c r="A129" t="s">
        <v>424</v>
      </c>
      <c r="B129">
        <v>26</v>
      </c>
      <c r="C129" t="s">
        <v>33</v>
      </c>
      <c r="D129" t="s">
        <v>51</v>
      </c>
      <c r="E129" t="s">
        <v>65</v>
      </c>
      <c r="F129" t="s">
        <v>66</v>
      </c>
      <c r="G129" t="s">
        <v>34</v>
      </c>
      <c r="H129" t="s">
        <v>425</v>
      </c>
      <c r="I129" t="s">
        <v>131</v>
      </c>
      <c r="J129" s="2">
        <v>469.22</v>
      </c>
      <c r="K129">
        <v>6</v>
      </c>
      <c r="L129" t="s">
        <v>55</v>
      </c>
      <c r="M129">
        <v>1</v>
      </c>
      <c r="N129">
        <v>1</v>
      </c>
      <c r="O129">
        <v>1</v>
      </c>
      <c r="P129" t="s">
        <v>51</v>
      </c>
      <c r="Q129" t="s">
        <v>57</v>
      </c>
      <c r="R129">
        <v>0</v>
      </c>
      <c r="S129">
        <v>1</v>
      </c>
      <c r="T129" t="s">
        <v>69</v>
      </c>
      <c r="U129" t="s">
        <v>42</v>
      </c>
      <c r="V129" t="s">
        <v>43</v>
      </c>
      <c r="W129" s="1">
        <v>45511</v>
      </c>
      <c r="X129" t="b">
        <v>0</v>
      </c>
      <c r="Y129" t="b">
        <v>0</v>
      </c>
      <c r="Z129" t="s">
        <v>59</v>
      </c>
      <c r="AA129" t="s">
        <v>45</v>
      </c>
      <c r="AB129">
        <v>7</v>
      </c>
    </row>
    <row r="130" spans="1:28">
      <c r="A130" t="s">
        <v>426</v>
      </c>
      <c r="B130">
        <v>42</v>
      </c>
      <c r="C130" t="s">
        <v>33</v>
      </c>
      <c r="D130" t="s">
        <v>51</v>
      </c>
      <c r="E130" t="s">
        <v>92</v>
      </c>
      <c r="F130" t="s">
        <v>52</v>
      </c>
      <c r="G130" t="s">
        <v>51</v>
      </c>
      <c r="H130" t="s">
        <v>427</v>
      </c>
      <c r="I130" t="s">
        <v>306</v>
      </c>
      <c r="J130" s="2">
        <v>335.32</v>
      </c>
      <c r="K130">
        <v>6</v>
      </c>
      <c r="L130" t="s">
        <v>39</v>
      </c>
      <c r="M130">
        <v>3</v>
      </c>
      <c r="N130">
        <v>3</v>
      </c>
      <c r="O130">
        <v>1</v>
      </c>
      <c r="P130" t="s">
        <v>40</v>
      </c>
      <c r="Q130" t="s">
        <v>57</v>
      </c>
      <c r="R130">
        <v>0</v>
      </c>
      <c r="S130">
        <v>1</v>
      </c>
      <c r="T130" t="s">
        <v>69</v>
      </c>
      <c r="U130" t="s">
        <v>95</v>
      </c>
      <c r="V130" t="s">
        <v>76</v>
      </c>
      <c r="W130" s="1">
        <v>45516</v>
      </c>
      <c r="X130" t="b">
        <v>1</v>
      </c>
      <c r="Y130" t="b">
        <v>0</v>
      </c>
      <c r="Z130" t="s">
        <v>89</v>
      </c>
      <c r="AA130" t="s">
        <v>45</v>
      </c>
      <c r="AB130">
        <v>10</v>
      </c>
    </row>
    <row r="131" spans="1:28">
      <c r="A131" t="s">
        <v>428</v>
      </c>
      <c r="B131">
        <v>31</v>
      </c>
      <c r="C131" t="s">
        <v>50</v>
      </c>
      <c r="D131" t="s">
        <v>51</v>
      </c>
      <c r="E131" t="s">
        <v>92</v>
      </c>
      <c r="F131" t="s">
        <v>52</v>
      </c>
      <c r="G131" t="s">
        <v>34</v>
      </c>
      <c r="H131" t="s">
        <v>2264</v>
      </c>
      <c r="I131" t="s">
        <v>127</v>
      </c>
      <c r="J131" s="2">
        <v>184.74</v>
      </c>
      <c r="K131">
        <v>5</v>
      </c>
      <c r="L131" t="s">
        <v>55</v>
      </c>
      <c r="M131">
        <v>4</v>
      </c>
      <c r="N131">
        <v>4</v>
      </c>
      <c r="O131">
        <v>0</v>
      </c>
      <c r="P131" t="s">
        <v>56</v>
      </c>
      <c r="Q131" t="s">
        <v>101</v>
      </c>
      <c r="R131">
        <v>1</v>
      </c>
      <c r="S131">
        <v>5</v>
      </c>
      <c r="T131" t="s">
        <v>51</v>
      </c>
      <c r="U131" t="s">
        <v>42</v>
      </c>
      <c r="V131" t="s">
        <v>71</v>
      </c>
      <c r="W131" s="1">
        <v>45623</v>
      </c>
      <c r="X131" t="b">
        <v>0</v>
      </c>
      <c r="Y131" t="b">
        <v>1</v>
      </c>
      <c r="Z131" t="s">
        <v>72</v>
      </c>
      <c r="AA131" t="s">
        <v>45</v>
      </c>
      <c r="AB131">
        <v>10</v>
      </c>
    </row>
    <row r="132" spans="1:28">
      <c r="A132" t="s">
        <v>430</v>
      </c>
      <c r="B132">
        <v>37</v>
      </c>
      <c r="C132" t="s">
        <v>431</v>
      </c>
      <c r="D132" t="s">
        <v>51</v>
      </c>
      <c r="E132" t="s">
        <v>92</v>
      </c>
      <c r="F132" t="s">
        <v>36</v>
      </c>
      <c r="G132" t="s">
        <v>34</v>
      </c>
      <c r="H132" t="s">
        <v>432</v>
      </c>
      <c r="I132" t="s">
        <v>242</v>
      </c>
      <c r="J132" s="2">
        <v>442.18</v>
      </c>
      <c r="K132">
        <v>5</v>
      </c>
      <c r="L132" t="s">
        <v>55</v>
      </c>
      <c r="M132">
        <v>4</v>
      </c>
      <c r="N132">
        <v>3</v>
      </c>
      <c r="O132">
        <v>1</v>
      </c>
      <c r="P132" t="s">
        <v>40</v>
      </c>
      <c r="Q132" t="s">
        <v>101</v>
      </c>
      <c r="R132">
        <v>2</v>
      </c>
      <c r="S132">
        <v>10</v>
      </c>
      <c r="T132" t="s">
        <v>51</v>
      </c>
      <c r="U132" t="s">
        <v>70</v>
      </c>
      <c r="V132" t="s">
        <v>58</v>
      </c>
      <c r="W132" s="1">
        <v>45316</v>
      </c>
      <c r="X132" t="b">
        <v>0</v>
      </c>
      <c r="Y132" t="b">
        <v>0</v>
      </c>
      <c r="Z132" t="s">
        <v>72</v>
      </c>
      <c r="AA132" t="s">
        <v>77</v>
      </c>
      <c r="AB132">
        <v>12</v>
      </c>
    </row>
    <row r="133" spans="1:28">
      <c r="A133" t="s">
        <v>433</v>
      </c>
      <c r="B133">
        <v>49</v>
      </c>
      <c r="C133" t="s">
        <v>50</v>
      </c>
      <c r="D133" t="s">
        <v>51</v>
      </c>
      <c r="E133" t="s">
        <v>35</v>
      </c>
      <c r="F133" t="s">
        <v>52</v>
      </c>
      <c r="G133" t="s">
        <v>34</v>
      </c>
      <c r="H133" t="s">
        <v>2265</v>
      </c>
      <c r="I133" t="s">
        <v>180</v>
      </c>
      <c r="J133" s="2">
        <v>427.1</v>
      </c>
      <c r="K133">
        <v>8</v>
      </c>
      <c r="L133" t="s">
        <v>39</v>
      </c>
      <c r="M133">
        <v>1</v>
      </c>
      <c r="N133">
        <v>2</v>
      </c>
      <c r="O133">
        <v>1</v>
      </c>
      <c r="P133" t="s">
        <v>51</v>
      </c>
      <c r="Q133" t="s">
        <v>41</v>
      </c>
      <c r="R133">
        <v>0</v>
      </c>
      <c r="S133">
        <v>2</v>
      </c>
      <c r="T133" t="s">
        <v>56</v>
      </c>
      <c r="U133" t="s">
        <v>95</v>
      </c>
      <c r="V133" t="s">
        <v>58</v>
      </c>
      <c r="W133" s="1">
        <v>45422</v>
      </c>
      <c r="X133" t="b">
        <v>0</v>
      </c>
      <c r="Y133" t="b">
        <v>1</v>
      </c>
      <c r="Z133" t="s">
        <v>89</v>
      </c>
      <c r="AA133" t="s">
        <v>45</v>
      </c>
      <c r="AB133">
        <v>5</v>
      </c>
    </row>
    <row r="134" spans="1:28">
      <c r="A134" t="s">
        <v>435</v>
      </c>
      <c r="B134">
        <v>34</v>
      </c>
      <c r="C134" t="s">
        <v>50</v>
      </c>
      <c r="D134" t="s">
        <v>51</v>
      </c>
      <c r="E134" t="s">
        <v>82</v>
      </c>
      <c r="F134" t="s">
        <v>52</v>
      </c>
      <c r="G134" t="s">
        <v>51</v>
      </c>
      <c r="H134" t="s">
        <v>436</v>
      </c>
      <c r="I134" t="s">
        <v>75</v>
      </c>
      <c r="J134" s="2">
        <v>326.82</v>
      </c>
      <c r="K134">
        <v>4</v>
      </c>
      <c r="L134" t="s">
        <v>39</v>
      </c>
      <c r="M134">
        <v>3</v>
      </c>
      <c r="N134">
        <v>2</v>
      </c>
      <c r="O134">
        <v>1</v>
      </c>
      <c r="P134" t="s">
        <v>51</v>
      </c>
      <c r="Q134" t="s">
        <v>41</v>
      </c>
      <c r="R134">
        <v>2</v>
      </c>
      <c r="S134">
        <v>5</v>
      </c>
      <c r="T134" t="s">
        <v>56</v>
      </c>
      <c r="U134" t="s">
        <v>42</v>
      </c>
      <c r="V134" t="s">
        <v>43</v>
      </c>
      <c r="W134" s="1">
        <v>45404</v>
      </c>
      <c r="X134" t="b">
        <v>1</v>
      </c>
      <c r="Y134" t="b">
        <v>0</v>
      </c>
      <c r="Z134" t="s">
        <v>89</v>
      </c>
      <c r="AA134" t="s">
        <v>60</v>
      </c>
      <c r="AB134">
        <v>4</v>
      </c>
    </row>
    <row r="135" spans="1:28">
      <c r="A135" t="s">
        <v>437</v>
      </c>
      <c r="B135">
        <v>41</v>
      </c>
      <c r="C135" t="s">
        <v>50</v>
      </c>
      <c r="D135" t="s">
        <v>51</v>
      </c>
      <c r="E135" t="s">
        <v>82</v>
      </c>
      <c r="F135" t="s">
        <v>52</v>
      </c>
      <c r="G135" t="s">
        <v>34</v>
      </c>
      <c r="H135" t="s">
        <v>438</v>
      </c>
      <c r="I135" t="s">
        <v>135</v>
      </c>
      <c r="J135" s="2">
        <v>98.97</v>
      </c>
      <c r="K135">
        <v>12</v>
      </c>
      <c r="L135" t="s">
        <v>55</v>
      </c>
      <c r="M135">
        <v>2</v>
      </c>
      <c r="N135">
        <v>5</v>
      </c>
      <c r="O135">
        <v>2</v>
      </c>
      <c r="P135" t="s">
        <v>40</v>
      </c>
      <c r="Q135" t="s">
        <v>101</v>
      </c>
      <c r="R135">
        <v>1</v>
      </c>
      <c r="S135">
        <v>7</v>
      </c>
      <c r="T135" t="s">
        <v>51</v>
      </c>
      <c r="U135" t="s">
        <v>42</v>
      </c>
      <c r="V135" t="s">
        <v>76</v>
      </c>
      <c r="W135" s="1">
        <v>45370</v>
      </c>
      <c r="X135" t="b">
        <v>1</v>
      </c>
      <c r="Y135" t="b">
        <v>1</v>
      </c>
      <c r="Z135" t="s">
        <v>72</v>
      </c>
      <c r="AA135" t="s">
        <v>45</v>
      </c>
      <c r="AB135">
        <v>11</v>
      </c>
    </row>
    <row r="136" spans="1:28">
      <c r="A136" t="s">
        <v>439</v>
      </c>
      <c r="B136">
        <v>33</v>
      </c>
      <c r="C136" t="s">
        <v>50</v>
      </c>
      <c r="D136" t="s">
        <v>51</v>
      </c>
      <c r="E136" t="s">
        <v>65</v>
      </c>
      <c r="F136" t="s">
        <v>52</v>
      </c>
      <c r="G136" t="s">
        <v>51</v>
      </c>
      <c r="H136" t="s">
        <v>440</v>
      </c>
      <c r="I136" t="s">
        <v>131</v>
      </c>
      <c r="J136" s="2">
        <v>77.650000000000006</v>
      </c>
      <c r="K136">
        <v>6</v>
      </c>
      <c r="L136" t="s">
        <v>94</v>
      </c>
      <c r="M136">
        <v>1</v>
      </c>
      <c r="N136">
        <v>4</v>
      </c>
      <c r="O136">
        <v>1</v>
      </c>
      <c r="P136" t="s">
        <v>56</v>
      </c>
      <c r="Q136" t="s">
        <v>41</v>
      </c>
      <c r="R136">
        <v>2</v>
      </c>
      <c r="S136">
        <v>3</v>
      </c>
      <c r="T136" t="s">
        <v>40</v>
      </c>
      <c r="U136" t="s">
        <v>42</v>
      </c>
      <c r="V136" t="s">
        <v>102</v>
      </c>
      <c r="W136" s="1">
        <v>45315</v>
      </c>
      <c r="X136" t="b">
        <v>1</v>
      </c>
      <c r="Y136" t="b">
        <v>1</v>
      </c>
      <c r="Z136" t="s">
        <v>89</v>
      </c>
      <c r="AA136" t="s">
        <v>45</v>
      </c>
      <c r="AB136">
        <v>1</v>
      </c>
    </row>
    <row r="137" spans="1:28">
      <c r="A137" t="s">
        <v>441</v>
      </c>
      <c r="B137">
        <v>47</v>
      </c>
      <c r="C137" t="s">
        <v>33</v>
      </c>
      <c r="D137" t="s">
        <v>34</v>
      </c>
      <c r="E137" t="s">
        <v>82</v>
      </c>
      <c r="F137" t="s">
        <v>66</v>
      </c>
      <c r="G137" t="s">
        <v>51</v>
      </c>
      <c r="H137" t="s">
        <v>442</v>
      </c>
      <c r="I137" t="s">
        <v>147</v>
      </c>
      <c r="J137" s="2">
        <v>85.61</v>
      </c>
      <c r="K137">
        <v>2</v>
      </c>
      <c r="L137" t="s">
        <v>94</v>
      </c>
      <c r="M137">
        <v>4</v>
      </c>
      <c r="N137">
        <v>2</v>
      </c>
      <c r="O137">
        <v>1</v>
      </c>
      <c r="P137" t="s">
        <v>51</v>
      </c>
      <c r="Q137" t="s">
        <v>57</v>
      </c>
      <c r="R137">
        <v>1</v>
      </c>
      <c r="S137">
        <v>3</v>
      </c>
      <c r="T137" t="s">
        <v>69</v>
      </c>
      <c r="U137" t="s">
        <v>95</v>
      </c>
      <c r="V137" t="s">
        <v>76</v>
      </c>
      <c r="W137" s="1">
        <v>45569</v>
      </c>
      <c r="X137" t="b">
        <v>1</v>
      </c>
      <c r="Y137" t="b">
        <v>1</v>
      </c>
      <c r="Z137" t="s">
        <v>44</v>
      </c>
      <c r="AA137" t="s">
        <v>60</v>
      </c>
      <c r="AB137">
        <v>5</v>
      </c>
    </row>
    <row r="138" spans="1:28">
      <c r="A138" t="s">
        <v>444</v>
      </c>
      <c r="B138">
        <v>47</v>
      </c>
      <c r="C138" t="s">
        <v>50</v>
      </c>
      <c r="D138" t="s">
        <v>51</v>
      </c>
      <c r="E138" t="s">
        <v>82</v>
      </c>
      <c r="F138" t="s">
        <v>52</v>
      </c>
      <c r="G138" t="s">
        <v>51</v>
      </c>
      <c r="H138" t="s">
        <v>445</v>
      </c>
      <c r="I138" t="s">
        <v>54</v>
      </c>
      <c r="J138" s="2">
        <v>164.79</v>
      </c>
      <c r="K138">
        <v>4</v>
      </c>
      <c r="L138" t="s">
        <v>55</v>
      </c>
      <c r="M138">
        <v>3</v>
      </c>
      <c r="N138">
        <v>2</v>
      </c>
      <c r="O138">
        <v>0</v>
      </c>
      <c r="P138" t="s">
        <v>40</v>
      </c>
      <c r="Q138" t="s">
        <v>41</v>
      </c>
      <c r="R138">
        <v>2</v>
      </c>
      <c r="S138">
        <v>5</v>
      </c>
      <c r="T138" t="s">
        <v>51</v>
      </c>
      <c r="U138" t="s">
        <v>42</v>
      </c>
      <c r="V138" t="s">
        <v>43</v>
      </c>
      <c r="W138" s="1">
        <v>45435</v>
      </c>
      <c r="X138" t="b">
        <v>1</v>
      </c>
      <c r="Y138" t="b">
        <v>1</v>
      </c>
      <c r="Z138" t="s">
        <v>72</v>
      </c>
      <c r="AA138" t="s">
        <v>45</v>
      </c>
      <c r="AB138">
        <v>1</v>
      </c>
    </row>
    <row r="139" spans="1:28">
      <c r="A139" t="s">
        <v>446</v>
      </c>
      <c r="B139">
        <v>29</v>
      </c>
      <c r="C139" t="s">
        <v>33</v>
      </c>
      <c r="D139" t="s">
        <v>51</v>
      </c>
      <c r="E139" t="s">
        <v>82</v>
      </c>
      <c r="F139" t="s">
        <v>52</v>
      </c>
      <c r="G139" t="s">
        <v>51</v>
      </c>
      <c r="H139" t="s">
        <v>447</v>
      </c>
      <c r="I139" t="s">
        <v>180</v>
      </c>
      <c r="J139" s="2">
        <v>235.46</v>
      </c>
      <c r="K139">
        <v>10</v>
      </c>
      <c r="L139" t="s">
        <v>55</v>
      </c>
      <c r="M139">
        <v>3</v>
      </c>
      <c r="N139">
        <v>4</v>
      </c>
      <c r="O139">
        <v>2</v>
      </c>
      <c r="P139" t="s">
        <v>40</v>
      </c>
      <c r="Q139" t="s">
        <v>57</v>
      </c>
      <c r="R139">
        <v>0</v>
      </c>
      <c r="S139">
        <v>7</v>
      </c>
      <c r="T139" t="s">
        <v>40</v>
      </c>
      <c r="U139" t="s">
        <v>95</v>
      </c>
      <c r="V139" t="s">
        <v>43</v>
      </c>
      <c r="W139" s="1">
        <v>45609</v>
      </c>
      <c r="X139" t="b">
        <v>0</v>
      </c>
      <c r="Y139" t="b">
        <v>1</v>
      </c>
      <c r="Z139" t="s">
        <v>72</v>
      </c>
      <c r="AA139" t="s">
        <v>45</v>
      </c>
      <c r="AB139">
        <v>2</v>
      </c>
    </row>
    <row r="140" spans="1:28">
      <c r="A140" t="s">
        <v>448</v>
      </c>
      <c r="B140">
        <v>36</v>
      </c>
      <c r="C140" t="s">
        <v>33</v>
      </c>
      <c r="D140" t="s">
        <v>51</v>
      </c>
      <c r="E140" t="s">
        <v>82</v>
      </c>
      <c r="F140" t="s">
        <v>66</v>
      </c>
      <c r="G140" t="s">
        <v>34</v>
      </c>
      <c r="H140" t="s">
        <v>449</v>
      </c>
      <c r="I140" t="s">
        <v>98</v>
      </c>
      <c r="J140" s="2">
        <v>245.14</v>
      </c>
      <c r="K140">
        <v>4</v>
      </c>
      <c r="L140" t="s">
        <v>94</v>
      </c>
      <c r="M140">
        <v>4</v>
      </c>
      <c r="N140">
        <v>5</v>
      </c>
      <c r="O140">
        <v>1</v>
      </c>
      <c r="P140" t="s">
        <v>51</v>
      </c>
      <c r="Q140" t="s">
        <v>101</v>
      </c>
      <c r="R140">
        <v>1</v>
      </c>
      <c r="S140">
        <v>4</v>
      </c>
      <c r="T140" t="s">
        <v>56</v>
      </c>
      <c r="U140" t="s">
        <v>70</v>
      </c>
      <c r="V140" t="s">
        <v>58</v>
      </c>
      <c r="W140" s="1">
        <v>45354</v>
      </c>
      <c r="X140" t="b">
        <v>1</v>
      </c>
      <c r="Y140" t="b">
        <v>0</v>
      </c>
      <c r="Z140" t="s">
        <v>72</v>
      </c>
      <c r="AA140" t="s">
        <v>60</v>
      </c>
      <c r="AB140">
        <v>3</v>
      </c>
    </row>
    <row r="141" spans="1:28">
      <c r="A141" t="s">
        <v>450</v>
      </c>
      <c r="B141">
        <v>43</v>
      </c>
      <c r="C141" t="s">
        <v>50</v>
      </c>
      <c r="D141" t="s">
        <v>51</v>
      </c>
      <c r="E141" t="s">
        <v>92</v>
      </c>
      <c r="F141" t="s">
        <v>36</v>
      </c>
      <c r="G141" t="s">
        <v>34</v>
      </c>
      <c r="H141" t="s">
        <v>451</v>
      </c>
      <c r="I141" t="s">
        <v>156</v>
      </c>
      <c r="J141" s="2">
        <v>439.91</v>
      </c>
      <c r="K141">
        <v>5</v>
      </c>
      <c r="L141" t="s">
        <v>94</v>
      </c>
      <c r="M141">
        <v>1</v>
      </c>
      <c r="N141">
        <v>4</v>
      </c>
      <c r="O141">
        <v>2</v>
      </c>
      <c r="P141" t="s">
        <v>69</v>
      </c>
      <c r="Q141" t="s">
        <v>41</v>
      </c>
      <c r="R141">
        <v>0</v>
      </c>
      <c r="S141">
        <v>9</v>
      </c>
      <c r="T141" t="s">
        <v>56</v>
      </c>
      <c r="U141" t="s">
        <v>70</v>
      </c>
      <c r="V141" t="s">
        <v>76</v>
      </c>
      <c r="W141" s="1">
        <v>45354</v>
      </c>
      <c r="X141" t="b">
        <v>0</v>
      </c>
      <c r="Y141" t="b">
        <v>0</v>
      </c>
      <c r="Z141" t="s">
        <v>44</v>
      </c>
      <c r="AA141" t="s">
        <v>77</v>
      </c>
      <c r="AB141">
        <v>10</v>
      </c>
    </row>
    <row r="142" spans="1:28">
      <c r="A142" t="s">
        <v>452</v>
      </c>
      <c r="B142">
        <v>31</v>
      </c>
      <c r="C142" t="s">
        <v>50</v>
      </c>
      <c r="D142" t="s">
        <v>51</v>
      </c>
      <c r="E142" t="s">
        <v>82</v>
      </c>
      <c r="F142" t="s">
        <v>52</v>
      </c>
      <c r="G142" t="s">
        <v>51</v>
      </c>
      <c r="H142" t="s">
        <v>453</v>
      </c>
      <c r="I142" t="s">
        <v>75</v>
      </c>
      <c r="J142" s="2">
        <v>309.22000000000003</v>
      </c>
      <c r="K142">
        <v>5</v>
      </c>
      <c r="L142" t="s">
        <v>39</v>
      </c>
      <c r="M142">
        <v>3</v>
      </c>
      <c r="N142">
        <v>5</v>
      </c>
      <c r="O142">
        <v>2</v>
      </c>
      <c r="P142" t="s">
        <v>69</v>
      </c>
      <c r="Q142" t="s">
        <v>57</v>
      </c>
      <c r="R142">
        <v>2</v>
      </c>
      <c r="S142">
        <v>4</v>
      </c>
      <c r="T142" t="s">
        <v>40</v>
      </c>
      <c r="U142" t="s">
        <v>42</v>
      </c>
      <c r="V142" t="s">
        <v>102</v>
      </c>
      <c r="W142" s="1">
        <v>45375</v>
      </c>
      <c r="X142" t="b">
        <v>0</v>
      </c>
      <c r="Y142" t="b">
        <v>0</v>
      </c>
      <c r="Z142" t="s">
        <v>89</v>
      </c>
      <c r="AA142" t="s">
        <v>60</v>
      </c>
      <c r="AB142">
        <v>10</v>
      </c>
    </row>
    <row r="143" spans="1:28">
      <c r="A143" t="s">
        <v>454</v>
      </c>
      <c r="B143">
        <v>27</v>
      </c>
      <c r="C143" t="s">
        <v>50</v>
      </c>
      <c r="D143" t="s">
        <v>34</v>
      </c>
      <c r="E143" t="s">
        <v>82</v>
      </c>
      <c r="F143" t="s">
        <v>66</v>
      </c>
      <c r="G143" t="s">
        <v>34</v>
      </c>
      <c r="H143" t="s">
        <v>455</v>
      </c>
      <c r="I143" t="s">
        <v>199</v>
      </c>
      <c r="J143" s="2">
        <v>146.59</v>
      </c>
      <c r="K143">
        <v>10</v>
      </c>
      <c r="L143" t="s">
        <v>39</v>
      </c>
      <c r="M143">
        <v>5</v>
      </c>
      <c r="N143">
        <v>1</v>
      </c>
      <c r="O143">
        <v>2</v>
      </c>
      <c r="P143" t="s">
        <v>69</v>
      </c>
      <c r="Q143" t="s">
        <v>101</v>
      </c>
      <c r="R143">
        <v>0</v>
      </c>
      <c r="S143">
        <v>2</v>
      </c>
      <c r="T143" t="s">
        <v>40</v>
      </c>
      <c r="U143" t="s">
        <v>70</v>
      </c>
      <c r="V143" t="s">
        <v>102</v>
      </c>
      <c r="W143" s="1">
        <v>45313</v>
      </c>
      <c r="X143" t="b">
        <v>0</v>
      </c>
      <c r="Y143" t="b">
        <v>1</v>
      </c>
      <c r="Z143" t="s">
        <v>72</v>
      </c>
      <c r="AA143" t="s">
        <v>45</v>
      </c>
      <c r="AB143">
        <v>3</v>
      </c>
    </row>
    <row r="144" spans="1:28">
      <c r="A144" t="s">
        <v>456</v>
      </c>
      <c r="B144">
        <v>48</v>
      </c>
      <c r="C144" t="s">
        <v>50</v>
      </c>
      <c r="D144" t="s">
        <v>34</v>
      </c>
      <c r="E144" t="s">
        <v>65</v>
      </c>
      <c r="F144" t="s">
        <v>52</v>
      </c>
      <c r="G144" t="s">
        <v>34</v>
      </c>
      <c r="H144" t="s">
        <v>457</v>
      </c>
      <c r="I144" t="s">
        <v>135</v>
      </c>
      <c r="J144" s="2">
        <v>298.73</v>
      </c>
      <c r="K144">
        <v>4</v>
      </c>
      <c r="L144" t="s">
        <v>94</v>
      </c>
      <c r="M144">
        <v>1</v>
      </c>
      <c r="N144">
        <v>5</v>
      </c>
      <c r="O144">
        <v>1</v>
      </c>
      <c r="P144" t="s">
        <v>51</v>
      </c>
      <c r="Q144" t="s">
        <v>57</v>
      </c>
      <c r="R144">
        <v>0</v>
      </c>
      <c r="S144">
        <v>2</v>
      </c>
      <c r="T144" t="s">
        <v>69</v>
      </c>
      <c r="U144" t="s">
        <v>42</v>
      </c>
      <c r="V144" t="s">
        <v>71</v>
      </c>
      <c r="W144" s="1">
        <v>45598</v>
      </c>
      <c r="X144" t="b">
        <v>0</v>
      </c>
      <c r="Y144" t="b">
        <v>1</v>
      </c>
      <c r="Z144" t="s">
        <v>44</v>
      </c>
      <c r="AA144" t="s">
        <v>45</v>
      </c>
      <c r="AB144">
        <v>4</v>
      </c>
    </row>
    <row r="145" spans="1:28">
      <c r="A145" t="s">
        <v>458</v>
      </c>
      <c r="B145">
        <v>19</v>
      </c>
      <c r="C145" t="s">
        <v>431</v>
      </c>
      <c r="D145" t="s">
        <v>51</v>
      </c>
      <c r="E145" t="s">
        <v>65</v>
      </c>
      <c r="F145" t="s">
        <v>36</v>
      </c>
      <c r="G145" t="s">
        <v>51</v>
      </c>
      <c r="H145" t="s">
        <v>2266</v>
      </c>
      <c r="I145" t="s">
        <v>54</v>
      </c>
      <c r="J145" s="2">
        <v>395.01</v>
      </c>
      <c r="K145">
        <v>2</v>
      </c>
      <c r="L145" t="s">
        <v>39</v>
      </c>
      <c r="M145">
        <v>1</v>
      </c>
      <c r="N145">
        <v>2</v>
      </c>
      <c r="O145">
        <v>2</v>
      </c>
      <c r="P145" t="s">
        <v>56</v>
      </c>
      <c r="Q145" t="s">
        <v>101</v>
      </c>
      <c r="R145">
        <v>0</v>
      </c>
      <c r="S145">
        <v>6</v>
      </c>
      <c r="T145" t="s">
        <v>56</v>
      </c>
      <c r="U145" t="s">
        <v>95</v>
      </c>
      <c r="V145" t="s">
        <v>43</v>
      </c>
      <c r="W145" s="1">
        <v>45400</v>
      </c>
      <c r="X145" t="b">
        <v>1</v>
      </c>
      <c r="Y145" t="b">
        <v>0</v>
      </c>
      <c r="Z145" t="s">
        <v>59</v>
      </c>
      <c r="AA145" t="s">
        <v>60</v>
      </c>
      <c r="AB145">
        <v>3</v>
      </c>
    </row>
    <row r="146" spans="1:28">
      <c r="A146" t="s">
        <v>460</v>
      </c>
      <c r="B146">
        <v>41</v>
      </c>
      <c r="C146" t="s">
        <v>50</v>
      </c>
      <c r="D146" t="s">
        <v>34</v>
      </c>
      <c r="E146" t="s">
        <v>35</v>
      </c>
      <c r="F146" t="s">
        <v>36</v>
      </c>
      <c r="G146" t="s">
        <v>51</v>
      </c>
      <c r="H146" t="s">
        <v>461</v>
      </c>
      <c r="I146" t="s">
        <v>147</v>
      </c>
      <c r="J146" s="2">
        <v>371.19</v>
      </c>
      <c r="K146">
        <v>10</v>
      </c>
      <c r="L146" t="s">
        <v>39</v>
      </c>
      <c r="M146">
        <v>1</v>
      </c>
      <c r="N146">
        <v>2</v>
      </c>
      <c r="O146">
        <v>2</v>
      </c>
      <c r="P146" t="s">
        <v>51</v>
      </c>
      <c r="Q146" t="s">
        <v>41</v>
      </c>
      <c r="R146">
        <v>1</v>
      </c>
      <c r="S146">
        <v>8</v>
      </c>
      <c r="T146" t="s">
        <v>56</v>
      </c>
      <c r="U146" t="s">
        <v>95</v>
      </c>
      <c r="V146" t="s">
        <v>43</v>
      </c>
      <c r="W146" s="1">
        <v>45531</v>
      </c>
      <c r="X146" t="b">
        <v>0</v>
      </c>
      <c r="Y146" t="b">
        <v>0</v>
      </c>
      <c r="Z146" t="s">
        <v>89</v>
      </c>
      <c r="AA146" t="s">
        <v>77</v>
      </c>
      <c r="AB146">
        <v>1</v>
      </c>
    </row>
    <row r="147" spans="1:28">
      <c r="A147" t="s">
        <v>462</v>
      </c>
      <c r="B147">
        <v>33</v>
      </c>
      <c r="C147" t="s">
        <v>33</v>
      </c>
      <c r="D147" t="s">
        <v>34</v>
      </c>
      <c r="E147" t="s">
        <v>35</v>
      </c>
      <c r="F147" t="s">
        <v>66</v>
      </c>
      <c r="G147" t="s">
        <v>51</v>
      </c>
      <c r="H147" t="s">
        <v>463</v>
      </c>
      <c r="I147" t="s">
        <v>147</v>
      </c>
      <c r="J147" s="2">
        <v>193.76</v>
      </c>
      <c r="K147">
        <v>10</v>
      </c>
      <c r="L147" t="s">
        <v>39</v>
      </c>
      <c r="M147">
        <v>4</v>
      </c>
      <c r="N147">
        <v>3</v>
      </c>
      <c r="O147">
        <v>1</v>
      </c>
      <c r="P147" t="s">
        <v>56</v>
      </c>
      <c r="Q147" t="s">
        <v>57</v>
      </c>
      <c r="R147">
        <v>0</v>
      </c>
      <c r="S147">
        <v>2</v>
      </c>
      <c r="T147" t="s">
        <v>69</v>
      </c>
      <c r="U147" t="s">
        <v>95</v>
      </c>
      <c r="V147" t="s">
        <v>71</v>
      </c>
      <c r="W147" s="1">
        <v>45325</v>
      </c>
      <c r="X147" t="b">
        <v>0</v>
      </c>
      <c r="Y147" t="b">
        <v>0</v>
      </c>
      <c r="Z147" t="s">
        <v>59</v>
      </c>
      <c r="AA147" t="s">
        <v>45</v>
      </c>
      <c r="AB147">
        <v>12</v>
      </c>
    </row>
    <row r="148" spans="1:28">
      <c r="A148" t="s">
        <v>464</v>
      </c>
      <c r="B148">
        <v>43</v>
      </c>
      <c r="C148" t="s">
        <v>50</v>
      </c>
      <c r="D148" t="s">
        <v>34</v>
      </c>
      <c r="E148" t="s">
        <v>92</v>
      </c>
      <c r="F148" t="s">
        <v>66</v>
      </c>
      <c r="G148" t="s">
        <v>51</v>
      </c>
      <c r="H148" t="s">
        <v>2267</v>
      </c>
      <c r="I148" t="s">
        <v>153</v>
      </c>
      <c r="J148" s="2">
        <v>424.27</v>
      </c>
      <c r="K148">
        <v>6</v>
      </c>
      <c r="L148" t="s">
        <v>94</v>
      </c>
      <c r="M148">
        <v>1</v>
      </c>
      <c r="N148">
        <v>4</v>
      </c>
      <c r="O148">
        <v>2</v>
      </c>
      <c r="P148" t="s">
        <v>40</v>
      </c>
      <c r="Q148" t="s">
        <v>57</v>
      </c>
      <c r="R148">
        <v>2</v>
      </c>
      <c r="S148">
        <v>8</v>
      </c>
      <c r="T148" t="s">
        <v>69</v>
      </c>
      <c r="U148" t="s">
        <v>42</v>
      </c>
      <c r="V148" t="s">
        <v>102</v>
      </c>
      <c r="W148" s="1">
        <v>45550</v>
      </c>
      <c r="X148" t="b">
        <v>1</v>
      </c>
      <c r="Y148" t="b">
        <v>1</v>
      </c>
      <c r="Z148" t="s">
        <v>89</v>
      </c>
      <c r="AA148" t="s">
        <v>60</v>
      </c>
      <c r="AB148">
        <v>12</v>
      </c>
    </row>
    <row r="149" spans="1:28">
      <c r="A149" t="s">
        <v>467</v>
      </c>
      <c r="B149">
        <v>38</v>
      </c>
      <c r="C149" t="s">
        <v>50</v>
      </c>
      <c r="D149" t="s">
        <v>51</v>
      </c>
      <c r="E149" t="s">
        <v>65</v>
      </c>
      <c r="F149" t="s">
        <v>36</v>
      </c>
      <c r="G149" t="s">
        <v>51</v>
      </c>
      <c r="H149" t="s">
        <v>468</v>
      </c>
      <c r="I149" t="s">
        <v>306</v>
      </c>
      <c r="J149" s="2">
        <v>496.11</v>
      </c>
      <c r="K149">
        <v>2</v>
      </c>
      <c r="L149" t="s">
        <v>39</v>
      </c>
      <c r="M149">
        <v>2</v>
      </c>
      <c r="N149">
        <v>3</v>
      </c>
      <c r="O149">
        <v>1</v>
      </c>
      <c r="P149" t="s">
        <v>51</v>
      </c>
      <c r="Q149" t="s">
        <v>41</v>
      </c>
      <c r="R149">
        <v>2</v>
      </c>
      <c r="S149">
        <v>8</v>
      </c>
      <c r="T149" t="s">
        <v>51</v>
      </c>
      <c r="U149" t="s">
        <v>70</v>
      </c>
      <c r="V149" t="s">
        <v>58</v>
      </c>
      <c r="W149" s="1">
        <v>45451</v>
      </c>
      <c r="X149" t="b">
        <v>1</v>
      </c>
      <c r="Y149" t="b">
        <v>0</v>
      </c>
      <c r="Z149" t="s">
        <v>72</v>
      </c>
      <c r="AA149" t="s">
        <v>60</v>
      </c>
      <c r="AB149">
        <v>12</v>
      </c>
    </row>
    <row r="150" spans="1:28">
      <c r="A150" t="s">
        <v>470</v>
      </c>
      <c r="B150">
        <v>41</v>
      </c>
      <c r="C150" t="s">
        <v>50</v>
      </c>
      <c r="D150" t="s">
        <v>51</v>
      </c>
      <c r="E150" t="s">
        <v>82</v>
      </c>
      <c r="F150" t="s">
        <v>36</v>
      </c>
      <c r="G150" t="s">
        <v>34</v>
      </c>
      <c r="H150" t="s">
        <v>2268</v>
      </c>
      <c r="I150" t="s">
        <v>153</v>
      </c>
      <c r="J150" s="2">
        <v>341.91</v>
      </c>
      <c r="K150">
        <v>3</v>
      </c>
      <c r="L150" t="s">
        <v>94</v>
      </c>
      <c r="M150">
        <v>4</v>
      </c>
      <c r="N150">
        <v>4</v>
      </c>
      <c r="O150">
        <v>0</v>
      </c>
      <c r="P150" t="s">
        <v>69</v>
      </c>
      <c r="Q150" t="s">
        <v>57</v>
      </c>
      <c r="R150">
        <v>1</v>
      </c>
      <c r="S150">
        <v>9</v>
      </c>
      <c r="T150" t="s">
        <v>40</v>
      </c>
      <c r="U150" t="s">
        <v>42</v>
      </c>
      <c r="V150" t="s">
        <v>102</v>
      </c>
      <c r="W150" s="1">
        <v>45443</v>
      </c>
      <c r="X150" t="b">
        <v>0</v>
      </c>
      <c r="Y150" t="b">
        <v>0</v>
      </c>
      <c r="Z150" t="s">
        <v>72</v>
      </c>
      <c r="AA150" t="s">
        <v>77</v>
      </c>
      <c r="AB150">
        <v>7</v>
      </c>
    </row>
    <row r="151" spans="1:28">
      <c r="A151" t="s">
        <v>472</v>
      </c>
      <c r="B151">
        <v>40</v>
      </c>
      <c r="C151" t="s">
        <v>50</v>
      </c>
      <c r="D151" t="s">
        <v>51</v>
      </c>
      <c r="E151" t="s">
        <v>35</v>
      </c>
      <c r="F151" t="s">
        <v>66</v>
      </c>
      <c r="G151" t="s">
        <v>51</v>
      </c>
      <c r="H151" t="s">
        <v>473</v>
      </c>
      <c r="I151" t="s">
        <v>38</v>
      </c>
      <c r="J151" s="2">
        <v>127.66</v>
      </c>
      <c r="K151">
        <v>11</v>
      </c>
      <c r="L151" t="s">
        <v>94</v>
      </c>
      <c r="M151">
        <v>1</v>
      </c>
      <c r="N151">
        <v>2</v>
      </c>
      <c r="O151">
        <v>2</v>
      </c>
      <c r="P151" t="s">
        <v>69</v>
      </c>
      <c r="Q151" t="s">
        <v>57</v>
      </c>
      <c r="R151">
        <v>2</v>
      </c>
      <c r="S151">
        <v>7</v>
      </c>
      <c r="T151" t="s">
        <v>40</v>
      </c>
      <c r="U151" t="s">
        <v>70</v>
      </c>
      <c r="V151" t="s">
        <v>43</v>
      </c>
      <c r="W151" s="1">
        <v>45345</v>
      </c>
      <c r="X151" t="b">
        <v>0</v>
      </c>
      <c r="Y151" t="b">
        <v>1</v>
      </c>
      <c r="Z151" t="s">
        <v>89</v>
      </c>
      <c r="AA151" t="s">
        <v>60</v>
      </c>
      <c r="AB151">
        <v>7</v>
      </c>
    </row>
    <row r="152" spans="1:28">
      <c r="A152" t="s">
        <v>474</v>
      </c>
      <c r="B152">
        <v>47</v>
      </c>
      <c r="C152" t="s">
        <v>188</v>
      </c>
      <c r="D152" t="s">
        <v>34</v>
      </c>
      <c r="E152" t="s">
        <v>65</v>
      </c>
      <c r="F152" t="s">
        <v>36</v>
      </c>
      <c r="G152" t="s">
        <v>34</v>
      </c>
      <c r="H152" t="s">
        <v>475</v>
      </c>
      <c r="I152" t="s">
        <v>150</v>
      </c>
      <c r="J152" s="2">
        <v>227.47</v>
      </c>
      <c r="K152">
        <v>2</v>
      </c>
      <c r="L152" t="s">
        <v>94</v>
      </c>
      <c r="M152">
        <v>2</v>
      </c>
      <c r="N152">
        <v>2</v>
      </c>
      <c r="O152">
        <v>2</v>
      </c>
      <c r="P152" t="s">
        <v>69</v>
      </c>
      <c r="Q152" t="s">
        <v>101</v>
      </c>
      <c r="R152">
        <v>1</v>
      </c>
      <c r="S152">
        <v>4</v>
      </c>
      <c r="T152" t="s">
        <v>51</v>
      </c>
      <c r="U152" t="s">
        <v>42</v>
      </c>
      <c r="V152" t="s">
        <v>76</v>
      </c>
      <c r="W152" s="1">
        <v>45595</v>
      </c>
      <c r="X152" t="b">
        <v>1</v>
      </c>
      <c r="Y152" t="b">
        <v>0</v>
      </c>
      <c r="Z152" t="s">
        <v>44</v>
      </c>
      <c r="AA152" t="s">
        <v>77</v>
      </c>
      <c r="AB152">
        <v>9</v>
      </c>
    </row>
    <row r="153" spans="1:28">
      <c r="A153" t="s">
        <v>476</v>
      </c>
      <c r="B153">
        <v>35</v>
      </c>
      <c r="C153" t="s">
        <v>50</v>
      </c>
      <c r="D153" t="s">
        <v>51</v>
      </c>
      <c r="E153" t="s">
        <v>82</v>
      </c>
      <c r="F153" t="s">
        <v>36</v>
      </c>
      <c r="G153" t="s">
        <v>51</v>
      </c>
      <c r="H153" t="s">
        <v>477</v>
      </c>
      <c r="I153" t="s">
        <v>180</v>
      </c>
      <c r="J153" s="2">
        <v>342.99</v>
      </c>
      <c r="K153">
        <v>3</v>
      </c>
      <c r="L153" t="s">
        <v>55</v>
      </c>
      <c r="M153">
        <v>4</v>
      </c>
      <c r="N153">
        <v>2</v>
      </c>
      <c r="O153">
        <v>2</v>
      </c>
      <c r="P153" t="s">
        <v>69</v>
      </c>
      <c r="Q153" t="s">
        <v>101</v>
      </c>
      <c r="R153">
        <v>0</v>
      </c>
      <c r="S153">
        <v>6</v>
      </c>
      <c r="T153" t="s">
        <v>56</v>
      </c>
      <c r="U153" t="s">
        <v>70</v>
      </c>
      <c r="V153" t="s">
        <v>76</v>
      </c>
      <c r="W153" s="1">
        <v>45618</v>
      </c>
      <c r="X153" t="b">
        <v>0</v>
      </c>
      <c r="Y153" t="b">
        <v>1</v>
      </c>
      <c r="Z153" t="s">
        <v>72</v>
      </c>
      <c r="AA153" t="s">
        <v>77</v>
      </c>
      <c r="AB153">
        <v>6</v>
      </c>
    </row>
    <row r="154" spans="1:28">
      <c r="A154" t="s">
        <v>479</v>
      </c>
      <c r="B154">
        <v>49</v>
      </c>
      <c r="C154" t="s">
        <v>238</v>
      </c>
      <c r="D154" t="s">
        <v>51</v>
      </c>
      <c r="E154" t="s">
        <v>35</v>
      </c>
      <c r="F154" t="s">
        <v>66</v>
      </c>
      <c r="G154" t="s">
        <v>34</v>
      </c>
      <c r="H154" t="s">
        <v>480</v>
      </c>
      <c r="I154" t="s">
        <v>143</v>
      </c>
      <c r="J154" s="2">
        <v>306.48</v>
      </c>
      <c r="K154">
        <v>5</v>
      </c>
      <c r="L154" t="s">
        <v>39</v>
      </c>
      <c r="M154">
        <v>1</v>
      </c>
      <c r="N154">
        <v>3</v>
      </c>
      <c r="O154">
        <v>0</v>
      </c>
      <c r="P154" t="s">
        <v>56</v>
      </c>
      <c r="Q154" t="s">
        <v>101</v>
      </c>
      <c r="R154">
        <v>0</v>
      </c>
      <c r="S154">
        <v>9</v>
      </c>
      <c r="T154" t="s">
        <v>69</v>
      </c>
      <c r="U154" t="s">
        <v>42</v>
      </c>
      <c r="V154" t="s">
        <v>43</v>
      </c>
      <c r="W154" s="1">
        <v>45550</v>
      </c>
      <c r="X154" t="b">
        <v>0</v>
      </c>
      <c r="Y154" t="b">
        <v>1</v>
      </c>
      <c r="Z154" t="s">
        <v>44</v>
      </c>
      <c r="AA154" t="s">
        <v>60</v>
      </c>
      <c r="AB154">
        <v>14</v>
      </c>
    </row>
    <row r="155" spans="1:28">
      <c r="A155" t="s">
        <v>482</v>
      </c>
      <c r="B155">
        <v>22</v>
      </c>
      <c r="C155" t="s">
        <v>50</v>
      </c>
      <c r="D155" t="s">
        <v>34</v>
      </c>
      <c r="E155" t="s">
        <v>92</v>
      </c>
      <c r="F155" t="s">
        <v>66</v>
      </c>
      <c r="G155" t="s">
        <v>51</v>
      </c>
      <c r="H155" t="s">
        <v>483</v>
      </c>
      <c r="I155" t="s">
        <v>75</v>
      </c>
      <c r="J155" s="2">
        <v>308.54000000000002</v>
      </c>
      <c r="K155">
        <v>3</v>
      </c>
      <c r="L155" t="s">
        <v>39</v>
      </c>
      <c r="M155">
        <v>1</v>
      </c>
      <c r="N155">
        <v>3</v>
      </c>
      <c r="O155">
        <v>0</v>
      </c>
      <c r="P155" t="s">
        <v>51</v>
      </c>
      <c r="Q155" t="s">
        <v>57</v>
      </c>
      <c r="R155">
        <v>1</v>
      </c>
      <c r="S155">
        <v>5</v>
      </c>
      <c r="T155" t="s">
        <v>51</v>
      </c>
      <c r="U155" t="s">
        <v>95</v>
      </c>
      <c r="V155" t="s">
        <v>43</v>
      </c>
      <c r="W155" s="1">
        <v>45564</v>
      </c>
      <c r="X155" t="b">
        <v>0</v>
      </c>
      <c r="Y155" t="b">
        <v>1</v>
      </c>
      <c r="Z155" t="s">
        <v>59</v>
      </c>
      <c r="AA155" t="s">
        <v>60</v>
      </c>
      <c r="AB155">
        <v>7</v>
      </c>
    </row>
    <row r="156" spans="1:28">
      <c r="A156" t="s">
        <v>484</v>
      </c>
      <c r="B156">
        <v>49</v>
      </c>
      <c r="C156" t="s">
        <v>50</v>
      </c>
      <c r="D156" t="s">
        <v>51</v>
      </c>
      <c r="E156" t="s">
        <v>65</v>
      </c>
      <c r="F156" t="s">
        <v>66</v>
      </c>
      <c r="G156" t="s">
        <v>34</v>
      </c>
      <c r="H156" t="s">
        <v>485</v>
      </c>
      <c r="I156" t="s">
        <v>242</v>
      </c>
      <c r="J156" s="2">
        <v>124.17</v>
      </c>
      <c r="K156">
        <v>12</v>
      </c>
      <c r="L156" t="s">
        <v>39</v>
      </c>
      <c r="M156">
        <v>5</v>
      </c>
      <c r="N156">
        <v>2</v>
      </c>
      <c r="O156">
        <v>2</v>
      </c>
      <c r="P156" t="s">
        <v>51</v>
      </c>
      <c r="Q156" t="s">
        <v>101</v>
      </c>
      <c r="R156">
        <v>2</v>
      </c>
      <c r="S156">
        <v>4</v>
      </c>
      <c r="T156" t="s">
        <v>51</v>
      </c>
      <c r="U156" t="s">
        <v>70</v>
      </c>
      <c r="V156" t="s">
        <v>71</v>
      </c>
      <c r="W156" s="1">
        <v>45612</v>
      </c>
      <c r="X156" t="b">
        <v>1</v>
      </c>
      <c r="Y156" t="b">
        <v>1</v>
      </c>
      <c r="Z156" t="s">
        <v>89</v>
      </c>
      <c r="AA156" t="s">
        <v>60</v>
      </c>
      <c r="AB156">
        <v>6</v>
      </c>
    </row>
    <row r="157" spans="1:28">
      <c r="A157" t="s">
        <v>486</v>
      </c>
      <c r="B157">
        <v>27</v>
      </c>
      <c r="C157" t="s">
        <v>33</v>
      </c>
      <c r="D157" t="s">
        <v>34</v>
      </c>
      <c r="E157" t="s">
        <v>35</v>
      </c>
      <c r="F157" t="s">
        <v>66</v>
      </c>
      <c r="G157" t="s">
        <v>34</v>
      </c>
      <c r="H157" t="s">
        <v>487</v>
      </c>
      <c r="I157" t="s">
        <v>242</v>
      </c>
      <c r="J157" s="2">
        <v>78</v>
      </c>
      <c r="K157">
        <v>5</v>
      </c>
      <c r="L157" t="s">
        <v>94</v>
      </c>
      <c r="M157">
        <v>1</v>
      </c>
      <c r="N157">
        <v>5</v>
      </c>
      <c r="O157">
        <v>0</v>
      </c>
      <c r="P157" t="s">
        <v>40</v>
      </c>
      <c r="Q157" t="s">
        <v>57</v>
      </c>
      <c r="R157">
        <v>1</v>
      </c>
      <c r="S157">
        <v>1</v>
      </c>
      <c r="T157" t="s">
        <v>69</v>
      </c>
      <c r="U157" t="s">
        <v>95</v>
      </c>
      <c r="V157" t="s">
        <v>71</v>
      </c>
      <c r="W157" s="1">
        <v>45605</v>
      </c>
      <c r="X157" t="b">
        <v>1</v>
      </c>
      <c r="Y157" t="b">
        <v>0</v>
      </c>
      <c r="Z157" t="s">
        <v>59</v>
      </c>
      <c r="AA157" t="s">
        <v>45</v>
      </c>
      <c r="AB157">
        <v>11</v>
      </c>
    </row>
    <row r="158" spans="1:28">
      <c r="A158" t="s">
        <v>488</v>
      </c>
      <c r="B158">
        <v>27</v>
      </c>
      <c r="C158" t="s">
        <v>33</v>
      </c>
      <c r="D158" t="s">
        <v>51</v>
      </c>
      <c r="E158" t="s">
        <v>35</v>
      </c>
      <c r="F158" t="s">
        <v>36</v>
      </c>
      <c r="G158" t="s">
        <v>34</v>
      </c>
      <c r="H158" t="s">
        <v>489</v>
      </c>
      <c r="I158" t="s">
        <v>131</v>
      </c>
      <c r="J158" s="2">
        <v>393.03</v>
      </c>
      <c r="K158">
        <v>4</v>
      </c>
      <c r="L158" t="s">
        <v>39</v>
      </c>
      <c r="M158">
        <v>4</v>
      </c>
      <c r="N158">
        <v>4</v>
      </c>
      <c r="O158">
        <v>0</v>
      </c>
      <c r="P158" t="s">
        <v>51</v>
      </c>
      <c r="Q158" t="s">
        <v>41</v>
      </c>
      <c r="R158">
        <v>1</v>
      </c>
      <c r="S158">
        <v>3</v>
      </c>
      <c r="T158" t="s">
        <v>56</v>
      </c>
      <c r="U158" t="s">
        <v>70</v>
      </c>
      <c r="V158" t="s">
        <v>102</v>
      </c>
      <c r="W158" s="1">
        <v>45538</v>
      </c>
      <c r="X158" t="b">
        <v>1</v>
      </c>
      <c r="Y158" t="b">
        <v>1</v>
      </c>
      <c r="Z158" t="s">
        <v>89</v>
      </c>
      <c r="AA158" t="s">
        <v>60</v>
      </c>
      <c r="AB158">
        <v>7</v>
      </c>
    </row>
    <row r="159" spans="1:28">
      <c r="A159" t="s">
        <v>491</v>
      </c>
      <c r="B159">
        <v>37</v>
      </c>
      <c r="C159" t="s">
        <v>33</v>
      </c>
      <c r="D159" t="s">
        <v>51</v>
      </c>
      <c r="E159" t="s">
        <v>65</v>
      </c>
      <c r="F159" t="s">
        <v>66</v>
      </c>
      <c r="G159" t="s">
        <v>34</v>
      </c>
      <c r="H159" t="s">
        <v>492</v>
      </c>
      <c r="I159" t="s">
        <v>135</v>
      </c>
      <c r="J159" s="2">
        <v>102.09</v>
      </c>
      <c r="K159">
        <v>3</v>
      </c>
      <c r="L159" t="s">
        <v>39</v>
      </c>
      <c r="M159">
        <v>1</v>
      </c>
      <c r="N159">
        <v>4</v>
      </c>
      <c r="O159">
        <v>0</v>
      </c>
      <c r="P159" t="s">
        <v>40</v>
      </c>
      <c r="Q159" t="s">
        <v>101</v>
      </c>
      <c r="R159">
        <v>1</v>
      </c>
      <c r="S159">
        <v>9</v>
      </c>
      <c r="T159" t="s">
        <v>56</v>
      </c>
      <c r="U159" t="s">
        <v>42</v>
      </c>
      <c r="V159" t="s">
        <v>58</v>
      </c>
      <c r="W159" s="1">
        <v>45364</v>
      </c>
      <c r="X159" t="b">
        <v>0</v>
      </c>
      <c r="Y159" t="b">
        <v>1</v>
      </c>
      <c r="Z159" t="s">
        <v>44</v>
      </c>
      <c r="AA159" t="s">
        <v>77</v>
      </c>
      <c r="AB159">
        <v>1</v>
      </c>
    </row>
    <row r="160" spans="1:28">
      <c r="A160" t="s">
        <v>493</v>
      </c>
      <c r="B160">
        <v>32</v>
      </c>
      <c r="C160" t="s">
        <v>50</v>
      </c>
      <c r="D160" t="s">
        <v>34</v>
      </c>
      <c r="E160" t="s">
        <v>35</v>
      </c>
      <c r="F160" t="s">
        <v>36</v>
      </c>
      <c r="G160" t="s">
        <v>51</v>
      </c>
      <c r="H160" t="s">
        <v>494</v>
      </c>
      <c r="I160" t="s">
        <v>131</v>
      </c>
      <c r="J160" s="2">
        <v>426.21</v>
      </c>
      <c r="K160">
        <v>3</v>
      </c>
      <c r="L160" t="s">
        <v>39</v>
      </c>
      <c r="M160">
        <v>1</v>
      </c>
      <c r="N160">
        <v>4</v>
      </c>
      <c r="O160">
        <v>2</v>
      </c>
      <c r="P160" t="s">
        <v>51</v>
      </c>
      <c r="Q160" t="s">
        <v>41</v>
      </c>
      <c r="R160">
        <v>2</v>
      </c>
      <c r="S160">
        <v>5</v>
      </c>
      <c r="T160" t="s">
        <v>51</v>
      </c>
      <c r="U160" t="s">
        <v>70</v>
      </c>
      <c r="V160" t="s">
        <v>76</v>
      </c>
      <c r="W160" s="1">
        <v>45400</v>
      </c>
      <c r="X160" t="b">
        <v>0</v>
      </c>
      <c r="Y160" t="b">
        <v>1</v>
      </c>
      <c r="Z160" t="s">
        <v>59</v>
      </c>
      <c r="AA160" t="s">
        <v>60</v>
      </c>
      <c r="AB160">
        <v>2</v>
      </c>
    </row>
    <row r="161" spans="1:28">
      <c r="A161" t="s">
        <v>495</v>
      </c>
      <c r="B161">
        <v>42</v>
      </c>
      <c r="C161" t="s">
        <v>50</v>
      </c>
      <c r="D161" t="s">
        <v>34</v>
      </c>
      <c r="E161" t="s">
        <v>82</v>
      </c>
      <c r="F161" t="s">
        <v>66</v>
      </c>
      <c r="G161" t="s">
        <v>51</v>
      </c>
      <c r="H161" t="s">
        <v>496</v>
      </c>
      <c r="I161" t="s">
        <v>170</v>
      </c>
      <c r="J161" s="2">
        <v>140.31</v>
      </c>
      <c r="K161">
        <v>2</v>
      </c>
      <c r="L161" t="s">
        <v>94</v>
      </c>
      <c r="M161">
        <v>2</v>
      </c>
      <c r="N161">
        <v>4</v>
      </c>
      <c r="O161">
        <v>1</v>
      </c>
      <c r="P161" t="s">
        <v>69</v>
      </c>
      <c r="Q161" t="s">
        <v>101</v>
      </c>
      <c r="R161">
        <v>2</v>
      </c>
      <c r="S161">
        <v>5</v>
      </c>
      <c r="T161" t="s">
        <v>40</v>
      </c>
      <c r="U161" t="s">
        <v>95</v>
      </c>
      <c r="V161" t="s">
        <v>102</v>
      </c>
      <c r="W161" s="1">
        <v>45433</v>
      </c>
      <c r="X161" t="b">
        <v>1</v>
      </c>
      <c r="Y161" t="b">
        <v>1</v>
      </c>
      <c r="Z161" t="s">
        <v>72</v>
      </c>
      <c r="AA161" t="s">
        <v>77</v>
      </c>
      <c r="AB161">
        <v>8</v>
      </c>
    </row>
    <row r="162" spans="1:28">
      <c r="A162" t="s">
        <v>498</v>
      </c>
      <c r="B162">
        <v>18</v>
      </c>
      <c r="C162" t="s">
        <v>33</v>
      </c>
      <c r="D162" t="s">
        <v>51</v>
      </c>
      <c r="E162" t="s">
        <v>82</v>
      </c>
      <c r="F162" t="s">
        <v>66</v>
      </c>
      <c r="G162" t="s">
        <v>34</v>
      </c>
      <c r="H162" t="s">
        <v>499</v>
      </c>
      <c r="I162" t="s">
        <v>150</v>
      </c>
      <c r="J162" s="2">
        <v>413.7</v>
      </c>
      <c r="K162">
        <v>8</v>
      </c>
      <c r="L162" t="s">
        <v>39</v>
      </c>
      <c r="M162">
        <v>3</v>
      </c>
      <c r="N162">
        <v>3</v>
      </c>
      <c r="O162">
        <v>0.3</v>
      </c>
      <c r="P162" t="s">
        <v>69</v>
      </c>
      <c r="Q162" t="s">
        <v>101</v>
      </c>
      <c r="R162">
        <v>0</v>
      </c>
      <c r="S162">
        <v>9</v>
      </c>
      <c r="T162" t="s">
        <v>51</v>
      </c>
      <c r="U162" t="s">
        <v>95</v>
      </c>
      <c r="V162" t="s">
        <v>76</v>
      </c>
      <c r="W162" s="1">
        <v>45460</v>
      </c>
      <c r="X162" t="b">
        <v>0</v>
      </c>
      <c r="Y162" t="b">
        <v>1</v>
      </c>
      <c r="Z162" t="s">
        <v>44</v>
      </c>
      <c r="AA162" t="s">
        <v>45</v>
      </c>
      <c r="AB162">
        <v>6</v>
      </c>
    </row>
    <row r="163" spans="1:28">
      <c r="A163" t="s">
        <v>500</v>
      </c>
      <c r="B163">
        <v>49</v>
      </c>
      <c r="C163" t="s">
        <v>50</v>
      </c>
      <c r="D163" t="s">
        <v>51</v>
      </c>
      <c r="E163" t="s">
        <v>82</v>
      </c>
      <c r="F163" t="s">
        <v>66</v>
      </c>
      <c r="G163" t="s">
        <v>34</v>
      </c>
      <c r="H163" t="s">
        <v>501</v>
      </c>
      <c r="I163" t="s">
        <v>170</v>
      </c>
      <c r="J163" s="2">
        <v>348.63</v>
      </c>
      <c r="K163">
        <v>4</v>
      </c>
      <c r="L163" t="s">
        <v>94</v>
      </c>
      <c r="M163">
        <v>5</v>
      </c>
      <c r="N163">
        <v>2</v>
      </c>
      <c r="O163">
        <v>0</v>
      </c>
      <c r="P163" t="s">
        <v>51</v>
      </c>
      <c r="Q163" t="s">
        <v>41</v>
      </c>
      <c r="R163">
        <v>0</v>
      </c>
      <c r="S163">
        <v>7</v>
      </c>
      <c r="T163" t="s">
        <v>40</v>
      </c>
      <c r="U163" t="s">
        <v>70</v>
      </c>
      <c r="V163" t="s">
        <v>71</v>
      </c>
      <c r="W163" s="1">
        <v>45383</v>
      </c>
      <c r="X163" t="b">
        <v>0</v>
      </c>
      <c r="Y163" t="b">
        <v>0</v>
      </c>
      <c r="Z163" t="s">
        <v>89</v>
      </c>
      <c r="AA163" t="s">
        <v>45</v>
      </c>
      <c r="AB163">
        <v>6</v>
      </c>
    </row>
    <row r="164" spans="1:28">
      <c r="A164" t="s">
        <v>503</v>
      </c>
      <c r="B164">
        <v>23</v>
      </c>
      <c r="C164" t="s">
        <v>33</v>
      </c>
      <c r="D164" t="s">
        <v>34</v>
      </c>
      <c r="E164" t="s">
        <v>82</v>
      </c>
      <c r="F164" t="s">
        <v>52</v>
      </c>
      <c r="G164" t="s">
        <v>34</v>
      </c>
      <c r="H164" t="s">
        <v>504</v>
      </c>
      <c r="I164" t="s">
        <v>127</v>
      </c>
      <c r="J164" s="2">
        <v>91.27</v>
      </c>
      <c r="K164">
        <v>7</v>
      </c>
      <c r="L164" t="s">
        <v>55</v>
      </c>
      <c r="M164">
        <v>5</v>
      </c>
      <c r="N164">
        <v>1</v>
      </c>
      <c r="O164">
        <v>0</v>
      </c>
      <c r="P164" t="s">
        <v>51</v>
      </c>
      <c r="Q164" t="s">
        <v>57</v>
      </c>
      <c r="R164">
        <v>2</v>
      </c>
      <c r="S164">
        <v>6</v>
      </c>
      <c r="T164" t="s">
        <v>40</v>
      </c>
      <c r="U164" t="s">
        <v>42</v>
      </c>
      <c r="V164" t="s">
        <v>102</v>
      </c>
      <c r="W164" s="1">
        <v>45464</v>
      </c>
      <c r="X164" t="b">
        <v>1</v>
      </c>
      <c r="Y164" t="b">
        <v>1</v>
      </c>
      <c r="Z164" t="s">
        <v>89</v>
      </c>
      <c r="AA164" t="s">
        <v>77</v>
      </c>
      <c r="AB164">
        <v>13</v>
      </c>
    </row>
    <row r="165" spans="1:28">
      <c r="A165" t="s">
        <v>505</v>
      </c>
      <c r="B165">
        <v>29</v>
      </c>
      <c r="C165" t="s">
        <v>33</v>
      </c>
      <c r="D165" t="s">
        <v>51</v>
      </c>
      <c r="E165" t="s">
        <v>92</v>
      </c>
      <c r="F165" t="s">
        <v>36</v>
      </c>
      <c r="G165" t="s">
        <v>51</v>
      </c>
      <c r="H165" t="s">
        <v>506</v>
      </c>
      <c r="I165" t="s">
        <v>123</v>
      </c>
      <c r="J165" s="2">
        <v>359.94</v>
      </c>
      <c r="K165">
        <v>11</v>
      </c>
      <c r="L165" t="s">
        <v>39</v>
      </c>
      <c r="M165">
        <v>2</v>
      </c>
      <c r="N165">
        <v>5</v>
      </c>
      <c r="O165">
        <v>2</v>
      </c>
      <c r="P165" t="s">
        <v>40</v>
      </c>
      <c r="Q165" t="s">
        <v>101</v>
      </c>
      <c r="R165">
        <v>1</v>
      </c>
      <c r="S165">
        <v>8</v>
      </c>
      <c r="T165" t="s">
        <v>69</v>
      </c>
      <c r="U165" t="s">
        <v>70</v>
      </c>
      <c r="V165" t="s">
        <v>102</v>
      </c>
      <c r="W165" s="1">
        <v>45645</v>
      </c>
      <c r="X165" t="b">
        <v>0</v>
      </c>
      <c r="Y165" t="b">
        <v>1</v>
      </c>
      <c r="Z165" t="s">
        <v>59</v>
      </c>
      <c r="AA165" t="s">
        <v>77</v>
      </c>
      <c r="AB165">
        <v>9</v>
      </c>
    </row>
    <row r="166" spans="1:28">
      <c r="A166" t="s">
        <v>507</v>
      </c>
      <c r="B166">
        <v>25</v>
      </c>
      <c r="C166" t="s">
        <v>50</v>
      </c>
      <c r="D166" t="s">
        <v>34</v>
      </c>
      <c r="E166" t="s">
        <v>92</v>
      </c>
      <c r="F166" t="s">
        <v>52</v>
      </c>
      <c r="G166" t="s">
        <v>34</v>
      </c>
      <c r="H166" t="s">
        <v>508</v>
      </c>
      <c r="I166" t="s">
        <v>38</v>
      </c>
      <c r="J166" s="2">
        <v>138.19999999999999</v>
      </c>
      <c r="K166">
        <v>8</v>
      </c>
      <c r="L166" t="s">
        <v>55</v>
      </c>
      <c r="M166">
        <v>1</v>
      </c>
      <c r="N166">
        <v>2</v>
      </c>
      <c r="O166">
        <v>2</v>
      </c>
      <c r="P166" t="s">
        <v>51</v>
      </c>
      <c r="Q166" t="s">
        <v>57</v>
      </c>
      <c r="R166">
        <v>0</v>
      </c>
      <c r="S166">
        <v>6</v>
      </c>
      <c r="T166" t="s">
        <v>69</v>
      </c>
      <c r="U166" t="s">
        <v>95</v>
      </c>
      <c r="V166" t="s">
        <v>71</v>
      </c>
      <c r="W166" s="1">
        <v>45353</v>
      </c>
      <c r="X166" t="b">
        <v>0</v>
      </c>
      <c r="Y166" t="b">
        <v>1</v>
      </c>
      <c r="Z166" t="s">
        <v>44</v>
      </c>
      <c r="AA166" t="s">
        <v>45</v>
      </c>
      <c r="AB166">
        <v>12</v>
      </c>
    </row>
    <row r="167" spans="1:28">
      <c r="A167" t="s">
        <v>509</v>
      </c>
      <c r="B167">
        <v>38</v>
      </c>
      <c r="C167" t="s">
        <v>340</v>
      </c>
      <c r="D167" t="s">
        <v>51</v>
      </c>
      <c r="E167" t="s">
        <v>92</v>
      </c>
      <c r="F167" t="s">
        <v>52</v>
      </c>
      <c r="G167" t="s">
        <v>51</v>
      </c>
      <c r="H167" t="s">
        <v>510</v>
      </c>
      <c r="I167" t="s">
        <v>75</v>
      </c>
      <c r="J167" s="2">
        <v>196.33</v>
      </c>
      <c r="K167">
        <v>11</v>
      </c>
      <c r="L167" t="s">
        <v>94</v>
      </c>
      <c r="M167">
        <v>4</v>
      </c>
      <c r="N167">
        <v>3</v>
      </c>
      <c r="O167">
        <v>1</v>
      </c>
      <c r="P167" t="s">
        <v>56</v>
      </c>
      <c r="Q167" t="s">
        <v>57</v>
      </c>
      <c r="R167">
        <v>0</v>
      </c>
      <c r="S167">
        <v>5</v>
      </c>
      <c r="T167" t="s">
        <v>40</v>
      </c>
      <c r="U167" t="s">
        <v>95</v>
      </c>
      <c r="V167" t="s">
        <v>71</v>
      </c>
      <c r="W167" s="1">
        <v>45472</v>
      </c>
      <c r="X167" t="b">
        <v>1</v>
      </c>
      <c r="Y167" t="b">
        <v>1</v>
      </c>
      <c r="Z167" t="s">
        <v>89</v>
      </c>
      <c r="AA167" t="s">
        <v>60</v>
      </c>
      <c r="AB167">
        <v>11</v>
      </c>
    </row>
    <row r="168" spans="1:28">
      <c r="A168" t="s">
        <v>511</v>
      </c>
      <c r="B168">
        <v>32</v>
      </c>
      <c r="C168" t="s">
        <v>33</v>
      </c>
      <c r="D168" t="s">
        <v>34</v>
      </c>
      <c r="E168" t="s">
        <v>82</v>
      </c>
      <c r="F168" t="s">
        <v>36</v>
      </c>
      <c r="G168" t="s">
        <v>34</v>
      </c>
      <c r="H168" t="s">
        <v>382</v>
      </c>
      <c r="I168" t="s">
        <v>143</v>
      </c>
      <c r="J168" s="2">
        <v>249.24</v>
      </c>
      <c r="K168">
        <v>8</v>
      </c>
      <c r="L168" t="s">
        <v>55</v>
      </c>
      <c r="M168">
        <v>4</v>
      </c>
      <c r="N168">
        <v>3</v>
      </c>
      <c r="O168">
        <v>1</v>
      </c>
      <c r="P168" t="s">
        <v>56</v>
      </c>
      <c r="Q168" t="s">
        <v>41</v>
      </c>
      <c r="R168">
        <v>2</v>
      </c>
      <c r="S168">
        <v>3</v>
      </c>
      <c r="T168" t="s">
        <v>51</v>
      </c>
      <c r="U168" t="s">
        <v>70</v>
      </c>
      <c r="V168" t="s">
        <v>102</v>
      </c>
      <c r="W168" s="1">
        <v>45533</v>
      </c>
      <c r="X168" t="b">
        <v>0</v>
      </c>
      <c r="Y168" t="b">
        <v>1</v>
      </c>
      <c r="Z168" t="s">
        <v>44</v>
      </c>
      <c r="AA168" t="s">
        <v>60</v>
      </c>
      <c r="AB168">
        <v>7</v>
      </c>
    </row>
    <row r="169" spans="1:28">
      <c r="A169" t="s">
        <v>512</v>
      </c>
      <c r="B169">
        <v>45</v>
      </c>
      <c r="C169" t="s">
        <v>50</v>
      </c>
      <c r="D169" t="s">
        <v>51</v>
      </c>
      <c r="E169" t="s">
        <v>92</v>
      </c>
      <c r="F169" t="s">
        <v>52</v>
      </c>
      <c r="G169" t="s">
        <v>51</v>
      </c>
      <c r="H169" t="s">
        <v>2269</v>
      </c>
      <c r="I169" t="s">
        <v>84</v>
      </c>
      <c r="J169" s="2">
        <v>129.1</v>
      </c>
      <c r="K169">
        <v>12</v>
      </c>
      <c r="L169" t="s">
        <v>39</v>
      </c>
      <c r="M169">
        <v>5</v>
      </c>
      <c r="N169">
        <v>3</v>
      </c>
      <c r="O169">
        <v>2</v>
      </c>
      <c r="P169" t="s">
        <v>69</v>
      </c>
      <c r="Q169" t="s">
        <v>57</v>
      </c>
      <c r="R169">
        <v>0</v>
      </c>
      <c r="S169">
        <v>8</v>
      </c>
      <c r="T169" t="s">
        <v>51</v>
      </c>
      <c r="U169" t="s">
        <v>95</v>
      </c>
      <c r="V169" t="s">
        <v>43</v>
      </c>
      <c r="W169" s="1">
        <v>45397</v>
      </c>
      <c r="X169" t="b">
        <v>1</v>
      </c>
      <c r="Y169" t="b">
        <v>0</v>
      </c>
      <c r="Z169" t="s">
        <v>89</v>
      </c>
      <c r="AA169" t="s">
        <v>45</v>
      </c>
      <c r="AB169">
        <v>7</v>
      </c>
    </row>
    <row r="170" spans="1:28">
      <c r="A170" t="s">
        <v>514</v>
      </c>
      <c r="B170">
        <v>45</v>
      </c>
      <c r="C170" t="s">
        <v>33</v>
      </c>
      <c r="D170" t="s">
        <v>51</v>
      </c>
      <c r="E170" t="s">
        <v>35</v>
      </c>
      <c r="F170" t="s">
        <v>66</v>
      </c>
      <c r="G170" t="s">
        <v>51</v>
      </c>
      <c r="H170" t="s">
        <v>515</v>
      </c>
      <c r="I170" t="s">
        <v>153</v>
      </c>
      <c r="J170" s="2">
        <v>112.69</v>
      </c>
      <c r="K170">
        <v>10</v>
      </c>
      <c r="L170" t="s">
        <v>55</v>
      </c>
      <c r="M170">
        <v>1</v>
      </c>
      <c r="N170">
        <v>4</v>
      </c>
      <c r="O170">
        <v>0</v>
      </c>
      <c r="P170" t="s">
        <v>51</v>
      </c>
      <c r="Q170" t="s">
        <v>57</v>
      </c>
      <c r="R170">
        <v>0</v>
      </c>
      <c r="S170">
        <v>7</v>
      </c>
      <c r="T170" t="s">
        <v>56</v>
      </c>
      <c r="U170" t="s">
        <v>70</v>
      </c>
      <c r="V170" t="s">
        <v>71</v>
      </c>
      <c r="W170" s="1">
        <v>45531</v>
      </c>
      <c r="X170" t="b">
        <v>0</v>
      </c>
      <c r="Y170" t="b">
        <v>1</v>
      </c>
      <c r="Z170" t="s">
        <v>44</v>
      </c>
      <c r="AA170" t="s">
        <v>60</v>
      </c>
      <c r="AB170">
        <v>1</v>
      </c>
    </row>
    <row r="171" spans="1:28">
      <c r="A171" t="s">
        <v>516</v>
      </c>
      <c r="B171">
        <v>46</v>
      </c>
      <c r="C171" t="s">
        <v>50</v>
      </c>
      <c r="D171" t="s">
        <v>34</v>
      </c>
      <c r="E171" t="s">
        <v>82</v>
      </c>
      <c r="F171" t="s">
        <v>36</v>
      </c>
      <c r="G171" t="s">
        <v>51</v>
      </c>
      <c r="H171" t="s">
        <v>2270</v>
      </c>
      <c r="I171" t="s">
        <v>235</v>
      </c>
      <c r="J171" s="2">
        <v>267.85000000000002</v>
      </c>
      <c r="K171">
        <v>5</v>
      </c>
      <c r="L171" t="s">
        <v>94</v>
      </c>
      <c r="M171">
        <v>5</v>
      </c>
      <c r="N171">
        <v>2</v>
      </c>
      <c r="O171">
        <v>2</v>
      </c>
      <c r="P171" t="s">
        <v>56</v>
      </c>
      <c r="Q171" t="s">
        <v>41</v>
      </c>
      <c r="R171">
        <v>1</v>
      </c>
      <c r="S171">
        <v>5</v>
      </c>
      <c r="T171" t="s">
        <v>51</v>
      </c>
      <c r="U171" t="s">
        <v>70</v>
      </c>
      <c r="V171" t="s">
        <v>43</v>
      </c>
      <c r="W171" s="1">
        <v>45371</v>
      </c>
      <c r="X171" t="b">
        <v>0</v>
      </c>
      <c r="Y171" t="b">
        <v>1</v>
      </c>
      <c r="Z171" t="s">
        <v>44</v>
      </c>
      <c r="AA171" t="s">
        <v>60</v>
      </c>
      <c r="AB171">
        <v>7</v>
      </c>
    </row>
    <row r="172" spans="1:28">
      <c r="A172" t="s">
        <v>520</v>
      </c>
      <c r="B172">
        <v>24</v>
      </c>
      <c r="C172" t="s">
        <v>50</v>
      </c>
      <c r="D172" t="s">
        <v>34</v>
      </c>
      <c r="E172" t="s">
        <v>92</v>
      </c>
      <c r="F172" t="s">
        <v>52</v>
      </c>
      <c r="G172" t="s">
        <v>34</v>
      </c>
      <c r="H172" t="s">
        <v>521</v>
      </c>
      <c r="I172" t="s">
        <v>75</v>
      </c>
      <c r="J172" s="2">
        <v>205.36</v>
      </c>
      <c r="K172">
        <v>12</v>
      </c>
      <c r="L172" t="s">
        <v>94</v>
      </c>
      <c r="M172">
        <v>1</v>
      </c>
      <c r="N172">
        <v>5</v>
      </c>
      <c r="O172">
        <v>2</v>
      </c>
      <c r="P172" t="s">
        <v>51</v>
      </c>
      <c r="Q172" t="s">
        <v>101</v>
      </c>
      <c r="R172">
        <v>0</v>
      </c>
      <c r="S172">
        <v>1</v>
      </c>
      <c r="T172" t="s">
        <v>69</v>
      </c>
      <c r="U172" t="s">
        <v>42</v>
      </c>
      <c r="V172" t="s">
        <v>43</v>
      </c>
      <c r="W172" s="1">
        <v>45409</v>
      </c>
      <c r="X172" t="b">
        <v>0</v>
      </c>
      <c r="Y172" t="b">
        <v>0</v>
      </c>
      <c r="Z172" t="s">
        <v>72</v>
      </c>
      <c r="AA172" t="s">
        <v>77</v>
      </c>
      <c r="AB172">
        <v>5</v>
      </c>
    </row>
    <row r="173" spans="1:28">
      <c r="A173" t="s">
        <v>522</v>
      </c>
      <c r="B173">
        <v>48</v>
      </c>
      <c r="C173" t="s">
        <v>264</v>
      </c>
      <c r="D173" t="s">
        <v>51</v>
      </c>
      <c r="E173" t="s">
        <v>92</v>
      </c>
      <c r="F173" t="s">
        <v>66</v>
      </c>
      <c r="G173" t="s">
        <v>51</v>
      </c>
      <c r="H173" t="s">
        <v>523</v>
      </c>
      <c r="I173" t="s">
        <v>180</v>
      </c>
      <c r="J173" s="2">
        <v>79.099999999999994</v>
      </c>
      <c r="K173">
        <v>10</v>
      </c>
      <c r="L173" t="s">
        <v>55</v>
      </c>
      <c r="M173">
        <v>5</v>
      </c>
      <c r="N173">
        <v>3</v>
      </c>
      <c r="O173">
        <v>1</v>
      </c>
      <c r="P173" t="s">
        <v>40</v>
      </c>
      <c r="Q173" t="s">
        <v>57</v>
      </c>
      <c r="R173">
        <v>0</v>
      </c>
      <c r="S173">
        <v>9</v>
      </c>
      <c r="T173" t="s">
        <v>56</v>
      </c>
      <c r="U173" t="s">
        <v>42</v>
      </c>
      <c r="V173" t="s">
        <v>71</v>
      </c>
      <c r="W173" s="1">
        <v>45417</v>
      </c>
      <c r="X173" t="b">
        <v>1</v>
      </c>
      <c r="Y173" t="b">
        <v>0</v>
      </c>
      <c r="Z173" t="s">
        <v>44</v>
      </c>
      <c r="AA173" t="s">
        <v>77</v>
      </c>
      <c r="AB173">
        <v>4</v>
      </c>
    </row>
    <row r="174" spans="1:28">
      <c r="A174" t="s">
        <v>524</v>
      </c>
      <c r="B174">
        <v>35</v>
      </c>
      <c r="C174" t="s">
        <v>50</v>
      </c>
      <c r="D174" t="s">
        <v>51</v>
      </c>
      <c r="E174" t="s">
        <v>82</v>
      </c>
      <c r="F174" t="s">
        <v>52</v>
      </c>
      <c r="G174" t="s">
        <v>34</v>
      </c>
      <c r="H174" t="s">
        <v>525</v>
      </c>
      <c r="I174" t="s">
        <v>131</v>
      </c>
      <c r="J174" s="2">
        <v>256.63</v>
      </c>
      <c r="K174">
        <v>12</v>
      </c>
      <c r="L174" t="s">
        <v>55</v>
      </c>
      <c r="M174">
        <v>1</v>
      </c>
      <c r="N174">
        <v>4</v>
      </c>
      <c r="O174">
        <v>0</v>
      </c>
      <c r="P174" t="s">
        <v>51</v>
      </c>
      <c r="Q174" t="s">
        <v>41</v>
      </c>
      <c r="R174">
        <v>2</v>
      </c>
      <c r="S174">
        <v>2</v>
      </c>
      <c r="T174" t="s">
        <v>40</v>
      </c>
      <c r="U174" t="s">
        <v>70</v>
      </c>
      <c r="V174" t="s">
        <v>71</v>
      </c>
      <c r="W174" s="1">
        <v>45459</v>
      </c>
      <c r="X174" t="b">
        <v>1</v>
      </c>
      <c r="Y174" t="b">
        <v>1</v>
      </c>
      <c r="Z174" t="s">
        <v>72</v>
      </c>
      <c r="AA174" t="s">
        <v>60</v>
      </c>
      <c r="AB174">
        <v>10</v>
      </c>
    </row>
    <row r="175" spans="1:28">
      <c r="A175" t="s">
        <v>526</v>
      </c>
      <c r="B175">
        <v>50</v>
      </c>
      <c r="C175" t="s">
        <v>33</v>
      </c>
      <c r="D175" t="s">
        <v>51</v>
      </c>
      <c r="E175" t="s">
        <v>92</v>
      </c>
      <c r="F175" t="s">
        <v>52</v>
      </c>
      <c r="G175" t="s">
        <v>34</v>
      </c>
      <c r="H175" t="s">
        <v>527</v>
      </c>
      <c r="I175" t="s">
        <v>98</v>
      </c>
      <c r="J175" s="2">
        <v>409.98</v>
      </c>
      <c r="K175">
        <v>12</v>
      </c>
      <c r="L175" t="s">
        <v>39</v>
      </c>
      <c r="M175">
        <v>5</v>
      </c>
      <c r="N175">
        <v>4</v>
      </c>
      <c r="O175">
        <v>0</v>
      </c>
      <c r="P175" t="s">
        <v>40</v>
      </c>
      <c r="Q175" t="s">
        <v>57</v>
      </c>
      <c r="R175">
        <v>2</v>
      </c>
      <c r="S175">
        <v>1</v>
      </c>
      <c r="T175" t="s">
        <v>56</v>
      </c>
      <c r="U175" t="s">
        <v>95</v>
      </c>
      <c r="V175" t="s">
        <v>58</v>
      </c>
      <c r="W175" s="1">
        <v>45580</v>
      </c>
      <c r="X175" t="b">
        <v>1</v>
      </c>
      <c r="Y175" t="b">
        <v>0</v>
      </c>
      <c r="Z175" t="s">
        <v>59</v>
      </c>
      <c r="AA175" t="s">
        <v>77</v>
      </c>
      <c r="AB175">
        <v>8</v>
      </c>
    </row>
    <row r="176" spans="1:28">
      <c r="A176" t="s">
        <v>528</v>
      </c>
      <c r="B176">
        <v>34</v>
      </c>
      <c r="C176" t="s">
        <v>50</v>
      </c>
      <c r="D176" t="s">
        <v>34</v>
      </c>
      <c r="E176" t="s">
        <v>82</v>
      </c>
      <c r="F176" t="s">
        <v>52</v>
      </c>
      <c r="G176" t="s">
        <v>51</v>
      </c>
      <c r="H176" t="s">
        <v>2271</v>
      </c>
      <c r="I176" t="s">
        <v>108</v>
      </c>
      <c r="J176" s="2">
        <v>291.60000000000002</v>
      </c>
      <c r="K176">
        <v>2</v>
      </c>
      <c r="L176" t="s">
        <v>55</v>
      </c>
      <c r="M176">
        <v>3</v>
      </c>
      <c r="N176">
        <v>3</v>
      </c>
      <c r="O176">
        <v>2</v>
      </c>
      <c r="P176" t="s">
        <v>51</v>
      </c>
      <c r="Q176" t="s">
        <v>41</v>
      </c>
      <c r="R176">
        <v>0</v>
      </c>
      <c r="S176">
        <v>7</v>
      </c>
      <c r="T176" t="s">
        <v>40</v>
      </c>
      <c r="U176" t="s">
        <v>95</v>
      </c>
      <c r="V176" t="s">
        <v>102</v>
      </c>
      <c r="W176" s="1">
        <v>45505</v>
      </c>
      <c r="X176" t="b">
        <v>0</v>
      </c>
      <c r="Y176" t="b">
        <v>1</v>
      </c>
      <c r="Z176" t="s">
        <v>44</v>
      </c>
      <c r="AA176" t="s">
        <v>60</v>
      </c>
      <c r="AB176">
        <v>3</v>
      </c>
    </row>
    <row r="177" spans="1:28">
      <c r="A177" t="s">
        <v>531</v>
      </c>
      <c r="B177">
        <v>50</v>
      </c>
      <c r="C177" t="s">
        <v>33</v>
      </c>
      <c r="D177" t="s">
        <v>34</v>
      </c>
      <c r="E177" t="s">
        <v>65</v>
      </c>
      <c r="F177" t="s">
        <v>36</v>
      </c>
      <c r="G177" t="s">
        <v>34</v>
      </c>
      <c r="H177" t="s">
        <v>532</v>
      </c>
      <c r="I177" t="s">
        <v>75</v>
      </c>
      <c r="J177" s="2">
        <v>101.7</v>
      </c>
      <c r="K177">
        <v>7</v>
      </c>
      <c r="L177" t="s">
        <v>94</v>
      </c>
      <c r="M177">
        <v>3</v>
      </c>
      <c r="N177">
        <v>4</v>
      </c>
      <c r="O177">
        <v>2</v>
      </c>
      <c r="P177" t="s">
        <v>56</v>
      </c>
      <c r="Q177" t="s">
        <v>57</v>
      </c>
      <c r="R177">
        <v>2</v>
      </c>
      <c r="S177">
        <v>2</v>
      </c>
      <c r="T177" t="s">
        <v>40</v>
      </c>
      <c r="U177" t="s">
        <v>42</v>
      </c>
      <c r="V177" t="s">
        <v>71</v>
      </c>
      <c r="W177" s="1">
        <v>45468</v>
      </c>
      <c r="X177" t="b">
        <v>0</v>
      </c>
      <c r="Y177" t="b">
        <v>1</v>
      </c>
      <c r="Z177" t="s">
        <v>59</v>
      </c>
      <c r="AA177" t="s">
        <v>60</v>
      </c>
      <c r="AB177">
        <v>4</v>
      </c>
    </row>
    <row r="178" spans="1:28">
      <c r="A178" t="s">
        <v>533</v>
      </c>
      <c r="B178">
        <v>50</v>
      </c>
      <c r="C178" t="s">
        <v>33</v>
      </c>
      <c r="D178" t="s">
        <v>34</v>
      </c>
      <c r="E178" t="s">
        <v>65</v>
      </c>
      <c r="F178" t="s">
        <v>52</v>
      </c>
      <c r="G178" t="s">
        <v>34</v>
      </c>
      <c r="H178" t="s">
        <v>534</v>
      </c>
      <c r="I178" t="s">
        <v>131</v>
      </c>
      <c r="J178" s="2">
        <v>369.73</v>
      </c>
      <c r="K178">
        <v>2</v>
      </c>
      <c r="L178" t="s">
        <v>94</v>
      </c>
      <c r="M178">
        <v>1</v>
      </c>
      <c r="N178">
        <v>2</v>
      </c>
      <c r="O178">
        <v>2</v>
      </c>
      <c r="P178" t="s">
        <v>40</v>
      </c>
      <c r="Q178" t="s">
        <v>57</v>
      </c>
      <c r="R178">
        <v>0</v>
      </c>
      <c r="S178">
        <v>3</v>
      </c>
      <c r="T178" t="s">
        <v>40</v>
      </c>
      <c r="U178" t="s">
        <v>42</v>
      </c>
      <c r="V178" t="s">
        <v>71</v>
      </c>
      <c r="W178" s="1">
        <v>45326</v>
      </c>
      <c r="X178" t="b">
        <v>1</v>
      </c>
      <c r="Y178" t="b">
        <v>1</v>
      </c>
      <c r="Z178" t="s">
        <v>59</v>
      </c>
      <c r="AA178" t="s">
        <v>45</v>
      </c>
      <c r="AB178">
        <v>12</v>
      </c>
    </row>
    <row r="179" spans="1:28">
      <c r="A179" t="s">
        <v>535</v>
      </c>
      <c r="B179">
        <v>46</v>
      </c>
      <c r="C179" t="s">
        <v>50</v>
      </c>
      <c r="D179" t="s">
        <v>34</v>
      </c>
      <c r="E179" t="s">
        <v>65</v>
      </c>
      <c r="F179" t="s">
        <v>36</v>
      </c>
      <c r="G179" t="s">
        <v>51</v>
      </c>
      <c r="H179" t="s">
        <v>536</v>
      </c>
      <c r="I179" t="s">
        <v>153</v>
      </c>
      <c r="J179" s="2">
        <v>71</v>
      </c>
      <c r="K179">
        <v>12</v>
      </c>
      <c r="L179" t="s">
        <v>94</v>
      </c>
      <c r="M179">
        <v>1</v>
      </c>
      <c r="N179">
        <v>5</v>
      </c>
      <c r="O179">
        <v>2</v>
      </c>
      <c r="P179" t="s">
        <v>51</v>
      </c>
      <c r="Q179" t="s">
        <v>57</v>
      </c>
      <c r="R179">
        <v>2</v>
      </c>
      <c r="S179">
        <v>9</v>
      </c>
      <c r="T179" t="s">
        <v>69</v>
      </c>
      <c r="U179" t="s">
        <v>70</v>
      </c>
      <c r="V179" t="s">
        <v>102</v>
      </c>
      <c r="W179" s="1">
        <v>45469</v>
      </c>
      <c r="X179" t="b">
        <v>0</v>
      </c>
      <c r="Y179" t="b">
        <v>0</v>
      </c>
      <c r="Z179" t="s">
        <v>59</v>
      </c>
      <c r="AA179" t="s">
        <v>45</v>
      </c>
      <c r="AB179">
        <v>13</v>
      </c>
    </row>
    <row r="180" spans="1:28">
      <c r="A180" t="s">
        <v>537</v>
      </c>
      <c r="B180">
        <v>47</v>
      </c>
      <c r="C180" t="s">
        <v>50</v>
      </c>
      <c r="D180" t="s">
        <v>34</v>
      </c>
      <c r="E180" t="s">
        <v>65</v>
      </c>
      <c r="F180" t="s">
        <v>66</v>
      </c>
      <c r="G180" t="s">
        <v>34</v>
      </c>
      <c r="H180" t="s">
        <v>538</v>
      </c>
      <c r="I180" t="s">
        <v>143</v>
      </c>
      <c r="J180" s="2">
        <v>280.05</v>
      </c>
      <c r="K180">
        <v>10</v>
      </c>
      <c r="L180" t="s">
        <v>55</v>
      </c>
      <c r="M180">
        <v>4</v>
      </c>
      <c r="N180">
        <v>1</v>
      </c>
      <c r="O180">
        <v>2</v>
      </c>
      <c r="P180" t="s">
        <v>56</v>
      </c>
      <c r="Q180" t="s">
        <v>101</v>
      </c>
      <c r="R180">
        <v>1</v>
      </c>
      <c r="S180">
        <v>2</v>
      </c>
      <c r="T180" t="s">
        <v>51</v>
      </c>
      <c r="U180" t="s">
        <v>70</v>
      </c>
      <c r="V180" t="s">
        <v>43</v>
      </c>
      <c r="W180" s="1">
        <v>45479</v>
      </c>
      <c r="X180" t="b">
        <v>1</v>
      </c>
      <c r="Y180" t="b">
        <v>0</v>
      </c>
      <c r="Z180" t="s">
        <v>59</v>
      </c>
      <c r="AA180" t="s">
        <v>45</v>
      </c>
      <c r="AB180">
        <v>11</v>
      </c>
    </row>
    <row r="181" spans="1:28">
      <c r="A181" t="s">
        <v>539</v>
      </c>
      <c r="B181">
        <v>35</v>
      </c>
      <c r="C181" t="s">
        <v>50</v>
      </c>
      <c r="D181" t="s">
        <v>51</v>
      </c>
      <c r="E181" t="s">
        <v>82</v>
      </c>
      <c r="F181" t="s">
        <v>66</v>
      </c>
      <c r="G181" t="s">
        <v>34</v>
      </c>
      <c r="H181" t="s">
        <v>540</v>
      </c>
      <c r="I181" t="s">
        <v>306</v>
      </c>
      <c r="J181" s="2">
        <v>54.71</v>
      </c>
      <c r="K181">
        <v>4</v>
      </c>
      <c r="L181" t="s">
        <v>39</v>
      </c>
      <c r="M181">
        <v>5</v>
      </c>
      <c r="N181">
        <v>2</v>
      </c>
      <c r="O181">
        <v>1</v>
      </c>
      <c r="P181" t="s">
        <v>69</v>
      </c>
      <c r="Q181" t="s">
        <v>101</v>
      </c>
      <c r="R181">
        <v>1</v>
      </c>
      <c r="S181">
        <v>3</v>
      </c>
      <c r="T181" t="s">
        <v>40</v>
      </c>
      <c r="U181" t="s">
        <v>95</v>
      </c>
      <c r="V181" t="s">
        <v>58</v>
      </c>
      <c r="W181" s="1">
        <v>45591</v>
      </c>
      <c r="X181" t="b">
        <v>1</v>
      </c>
      <c r="Y181" t="b">
        <v>1</v>
      </c>
      <c r="Z181" t="s">
        <v>44</v>
      </c>
      <c r="AA181" t="s">
        <v>77</v>
      </c>
      <c r="AB181">
        <v>3</v>
      </c>
    </row>
    <row r="182" spans="1:28">
      <c r="A182" t="s">
        <v>541</v>
      </c>
      <c r="B182">
        <v>27</v>
      </c>
      <c r="C182" t="s">
        <v>50</v>
      </c>
      <c r="D182" t="s">
        <v>51</v>
      </c>
      <c r="E182" t="s">
        <v>82</v>
      </c>
      <c r="F182" t="s">
        <v>36</v>
      </c>
      <c r="G182" t="s">
        <v>34</v>
      </c>
      <c r="H182" t="s">
        <v>542</v>
      </c>
      <c r="I182" t="s">
        <v>143</v>
      </c>
      <c r="J182" s="2">
        <v>119.51</v>
      </c>
      <c r="K182">
        <v>11</v>
      </c>
      <c r="L182" t="s">
        <v>39</v>
      </c>
      <c r="M182">
        <v>5</v>
      </c>
      <c r="N182">
        <v>5</v>
      </c>
      <c r="O182">
        <v>2</v>
      </c>
      <c r="P182" t="s">
        <v>69</v>
      </c>
      <c r="Q182" t="s">
        <v>101</v>
      </c>
      <c r="R182">
        <v>2</v>
      </c>
      <c r="S182">
        <v>8</v>
      </c>
      <c r="T182" t="s">
        <v>69</v>
      </c>
      <c r="U182" t="s">
        <v>95</v>
      </c>
      <c r="V182" t="s">
        <v>58</v>
      </c>
      <c r="W182" s="1">
        <v>45419</v>
      </c>
      <c r="X182" t="b">
        <v>0</v>
      </c>
      <c r="Y182" t="b">
        <v>0</v>
      </c>
      <c r="Z182" t="s">
        <v>89</v>
      </c>
      <c r="AA182" t="s">
        <v>45</v>
      </c>
      <c r="AB182">
        <v>1</v>
      </c>
    </row>
    <row r="183" spans="1:28">
      <c r="A183" t="s">
        <v>543</v>
      </c>
      <c r="B183">
        <v>37</v>
      </c>
      <c r="C183" t="s">
        <v>33</v>
      </c>
      <c r="D183" t="s">
        <v>51</v>
      </c>
      <c r="E183" t="s">
        <v>65</v>
      </c>
      <c r="F183" t="s">
        <v>66</v>
      </c>
      <c r="G183" t="s">
        <v>51</v>
      </c>
      <c r="H183" t="s">
        <v>544</v>
      </c>
      <c r="I183" t="s">
        <v>170</v>
      </c>
      <c r="J183" s="2">
        <v>57.5</v>
      </c>
      <c r="K183">
        <v>12</v>
      </c>
      <c r="L183" t="s">
        <v>94</v>
      </c>
      <c r="M183">
        <v>5</v>
      </c>
      <c r="N183">
        <v>1</v>
      </c>
      <c r="O183">
        <v>1</v>
      </c>
      <c r="P183" t="s">
        <v>40</v>
      </c>
      <c r="Q183" t="s">
        <v>57</v>
      </c>
      <c r="R183">
        <v>0</v>
      </c>
      <c r="S183">
        <v>3</v>
      </c>
      <c r="T183" t="s">
        <v>40</v>
      </c>
      <c r="U183" t="s">
        <v>95</v>
      </c>
      <c r="V183" t="s">
        <v>102</v>
      </c>
      <c r="W183" s="1">
        <v>45634</v>
      </c>
      <c r="X183" t="b">
        <v>1</v>
      </c>
      <c r="Y183" t="b">
        <v>1</v>
      </c>
      <c r="Z183" t="s">
        <v>72</v>
      </c>
      <c r="AA183" t="s">
        <v>45</v>
      </c>
      <c r="AB183">
        <v>13</v>
      </c>
    </row>
    <row r="184" spans="1:28">
      <c r="A184" t="s">
        <v>546</v>
      </c>
      <c r="B184">
        <v>38</v>
      </c>
      <c r="C184" t="s">
        <v>33</v>
      </c>
      <c r="D184" t="s">
        <v>51</v>
      </c>
      <c r="E184" t="s">
        <v>35</v>
      </c>
      <c r="F184" t="s">
        <v>36</v>
      </c>
      <c r="G184" t="s">
        <v>51</v>
      </c>
      <c r="H184" t="s">
        <v>547</v>
      </c>
      <c r="I184" t="s">
        <v>98</v>
      </c>
      <c r="J184" s="2">
        <v>225.05</v>
      </c>
      <c r="K184">
        <v>5</v>
      </c>
      <c r="L184" t="s">
        <v>39</v>
      </c>
      <c r="M184">
        <v>2</v>
      </c>
      <c r="N184">
        <v>1</v>
      </c>
      <c r="O184">
        <v>1</v>
      </c>
      <c r="P184" t="s">
        <v>51</v>
      </c>
      <c r="Q184" t="s">
        <v>41</v>
      </c>
      <c r="R184">
        <v>1</v>
      </c>
      <c r="S184">
        <v>1</v>
      </c>
      <c r="T184" t="s">
        <v>69</v>
      </c>
      <c r="U184" t="s">
        <v>95</v>
      </c>
      <c r="V184" t="s">
        <v>43</v>
      </c>
      <c r="W184" s="1">
        <v>45470</v>
      </c>
      <c r="X184" t="b">
        <v>0</v>
      </c>
      <c r="Y184" t="b">
        <v>0</v>
      </c>
      <c r="Z184" t="s">
        <v>44</v>
      </c>
      <c r="AA184" t="s">
        <v>45</v>
      </c>
      <c r="AB184">
        <v>10</v>
      </c>
    </row>
    <row r="185" spans="1:28">
      <c r="A185" t="s">
        <v>548</v>
      </c>
      <c r="B185">
        <v>41</v>
      </c>
      <c r="C185" t="s">
        <v>33</v>
      </c>
      <c r="D185" t="s">
        <v>51</v>
      </c>
      <c r="E185" t="s">
        <v>92</v>
      </c>
      <c r="F185" t="s">
        <v>52</v>
      </c>
      <c r="G185" t="s">
        <v>51</v>
      </c>
      <c r="H185" t="s">
        <v>549</v>
      </c>
      <c r="I185" t="s">
        <v>54</v>
      </c>
      <c r="J185" s="2">
        <v>441.15</v>
      </c>
      <c r="K185">
        <v>7</v>
      </c>
      <c r="L185" t="s">
        <v>94</v>
      </c>
      <c r="M185">
        <v>3</v>
      </c>
      <c r="N185">
        <v>1</v>
      </c>
      <c r="O185">
        <v>1</v>
      </c>
      <c r="P185" t="s">
        <v>69</v>
      </c>
      <c r="Q185" t="s">
        <v>41</v>
      </c>
      <c r="R185">
        <v>1</v>
      </c>
      <c r="S185">
        <v>1</v>
      </c>
      <c r="T185" t="s">
        <v>40</v>
      </c>
      <c r="U185" t="s">
        <v>70</v>
      </c>
      <c r="V185" t="s">
        <v>71</v>
      </c>
      <c r="W185" s="1">
        <v>45535</v>
      </c>
      <c r="X185" t="b">
        <v>0</v>
      </c>
      <c r="Y185" t="b">
        <v>0</v>
      </c>
      <c r="Z185" t="s">
        <v>44</v>
      </c>
      <c r="AA185" t="s">
        <v>45</v>
      </c>
      <c r="AB185">
        <v>8</v>
      </c>
    </row>
    <row r="186" spans="1:28">
      <c r="A186" t="s">
        <v>551</v>
      </c>
      <c r="B186">
        <v>48</v>
      </c>
      <c r="C186" t="s">
        <v>50</v>
      </c>
      <c r="D186" t="s">
        <v>34</v>
      </c>
      <c r="E186" t="s">
        <v>92</v>
      </c>
      <c r="F186" t="s">
        <v>52</v>
      </c>
      <c r="G186" t="s">
        <v>34</v>
      </c>
      <c r="H186" t="s">
        <v>552</v>
      </c>
      <c r="I186" t="s">
        <v>127</v>
      </c>
      <c r="J186" s="2">
        <v>481.21</v>
      </c>
      <c r="K186">
        <v>3</v>
      </c>
      <c r="L186" t="s">
        <v>39</v>
      </c>
      <c r="M186">
        <v>1</v>
      </c>
      <c r="N186">
        <v>2</v>
      </c>
      <c r="O186">
        <v>1</v>
      </c>
      <c r="P186" t="s">
        <v>51</v>
      </c>
      <c r="Q186" t="s">
        <v>57</v>
      </c>
      <c r="R186">
        <v>0</v>
      </c>
      <c r="S186">
        <v>1</v>
      </c>
      <c r="T186" t="s">
        <v>40</v>
      </c>
      <c r="U186" t="s">
        <v>95</v>
      </c>
      <c r="V186" t="s">
        <v>43</v>
      </c>
      <c r="W186" s="1">
        <v>45609</v>
      </c>
      <c r="X186" t="b">
        <v>0</v>
      </c>
      <c r="Y186" t="b">
        <v>0</v>
      </c>
      <c r="Z186" t="s">
        <v>59</v>
      </c>
      <c r="AA186" t="s">
        <v>45</v>
      </c>
      <c r="AB186">
        <v>11</v>
      </c>
    </row>
    <row r="187" spans="1:28">
      <c r="A187" t="s">
        <v>553</v>
      </c>
      <c r="B187">
        <v>48</v>
      </c>
      <c r="C187" t="s">
        <v>33</v>
      </c>
      <c r="D187" t="s">
        <v>51</v>
      </c>
      <c r="E187" t="s">
        <v>35</v>
      </c>
      <c r="F187" t="s">
        <v>36</v>
      </c>
      <c r="G187" t="s">
        <v>34</v>
      </c>
      <c r="H187" t="s">
        <v>554</v>
      </c>
      <c r="I187" t="s">
        <v>170</v>
      </c>
      <c r="J187" s="2">
        <v>102.96</v>
      </c>
      <c r="K187">
        <v>3</v>
      </c>
      <c r="L187" t="s">
        <v>39</v>
      </c>
      <c r="M187">
        <v>1</v>
      </c>
      <c r="N187">
        <v>1</v>
      </c>
      <c r="O187">
        <v>1</v>
      </c>
      <c r="P187" t="s">
        <v>69</v>
      </c>
      <c r="Q187" t="s">
        <v>101</v>
      </c>
      <c r="R187">
        <v>0</v>
      </c>
      <c r="S187">
        <v>7</v>
      </c>
      <c r="T187" t="s">
        <v>69</v>
      </c>
      <c r="U187" t="s">
        <v>95</v>
      </c>
      <c r="V187" t="s">
        <v>58</v>
      </c>
      <c r="W187" s="1">
        <v>45645</v>
      </c>
      <c r="X187" t="b">
        <v>0</v>
      </c>
      <c r="Y187" t="b">
        <v>1</v>
      </c>
      <c r="Z187" t="s">
        <v>59</v>
      </c>
      <c r="AA187" t="s">
        <v>60</v>
      </c>
      <c r="AB187">
        <v>4</v>
      </c>
    </row>
    <row r="188" spans="1:28">
      <c r="A188" t="s">
        <v>556</v>
      </c>
      <c r="B188">
        <v>45</v>
      </c>
      <c r="C188" t="s">
        <v>33</v>
      </c>
      <c r="D188" t="s">
        <v>51</v>
      </c>
      <c r="E188" t="s">
        <v>92</v>
      </c>
      <c r="F188" t="s">
        <v>36</v>
      </c>
      <c r="G188" t="s">
        <v>51</v>
      </c>
      <c r="H188" t="s">
        <v>557</v>
      </c>
      <c r="I188" t="s">
        <v>147</v>
      </c>
      <c r="J188" s="2">
        <v>331.57</v>
      </c>
      <c r="K188">
        <v>11</v>
      </c>
      <c r="L188" t="s">
        <v>39</v>
      </c>
      <c r="M188">
        <v>3</v>
      </c>
      <c r="N188">
        <v>1</v>
      </c>
      <c r="O188">
        <v>0</v>
      </c>
      <c r="P188" t="s">
        <v>69</v>
      </c>
      <c r="Q188" t="s">
        <v>41</v>
      </c>
      <c r="R188">
        <v>1</v>
      </c>
      <c r="S188">
        <v>6</v>
      </c>
      <c r="T188" t="s">
        <v>56</v>
      </c>
      <c r="U188" t="s">
        <v>95</v>
      </c>
      <c r="V188" t="s">
        <v>71</v>
      </c>
      <c r="W188" s="1">
        <v>45418</v>
      </c>
      <c r="X188" t="b">
        <v>0</v>
      </c>
      <c r="Y188" t="b">
        <v>0</v>
      </c>
      <c r="Z188" t="s">
        <v>72</v>
      </c>
      <c r="AA188" t="s">
        <v>77</v>
      </c>
      <c r="AB188">
        <v>14</v>
      </c>
    </row>
    <row r="189" spans="1:28">
      <c r="A189" t="s">
        <v>558</v>
      </c>
      <c r="B189">
        <v>26</v>
      </c>
      <c r="C189" t="s">
        <v>238</v>
      </c>
      <c r="D189" t="s">
        <v>34</v>
      </c>
      <c r="E189" t="s">
        <v>82</v>
      </c>
      <c r="F189" t="s">
        <v>52</v>
      </c>
      <c r="G189" t="s">
        <v>34</v>
      </c>
      <c r="H189" t="s">
        <v>559</v>
      </c>
      <c r="I189" t="s">
        <v>147</v>
      </c>
      <c r="J189" s="2">
        <v>101.29</v>
      </c>
      <c r="K189">
        <v>11</v>
      </c>
      <c r="L189" t="s">
        <v>55</v>
      </c>
      <c r="M189">
        <v>1</v>
      </c>
      <c r="N189">
        <v>1</v>
      </c>
      <c r="O189">
        <v>2</v>
      </c>
      <c r="P189" t="s">
        <v>56</v>
      </c>
      <c r="Q189" t="s">
        <v>57</v>
      </c>
      <c r="R189">
        <v>2</v>
      </c>
      <c r="S189">
        <v>7</v>
      </c>
      <c r="T189" t="s">
        <v>56</v>
      </c>
      <c r="U189" t="s">
        <v>70</v>
      </c>
      <c r="V189" t="s">
        <v>102</v>
      </c>
      <c r="W189" s="1">
        <v>45595</v>
      </c>
      <c r="X189" t="b">
        <v>0</v>
      </c>
      <c r="Y189" t="b">
        <v>1</v>
      </c>
      <c r="Z189" t="s">
        <v>44</v>
      </c>
      <c r="AA189" t="s">
        <v>45</v>
      </c>
      <c r="AB189">
        <v>4</v>
      </c>
    </row>
    <row r="190" spans="1:28">
      <c r="A190" t="s">
        <v>560</v>
      </c>
      <c r="B190">
        <v>50</v>
      </c>
      <c r="C190" t="s">
        <v>33</v>
      </c>
      <c r="D190" t="s">
        <v>34</v>
      </c>
      <c r="E190" t="s">
        <v>65</v>
      </c>
      <c r="F190" t="s">
        <v>66</v>
      </c>
      <c r="G190" t="s">
        <v>51</v>
      </c>
      <c r="H190" t="s">
        <v>561</v>
      </c>
      <c r="I190" t="s">
        <v>143</v>
      </c>
      <c r="J190" s="2">
        <v>143.52000000000001</v>
      </c>
      <c r="K190">
        <v>9</v>
      </c>
      <c r="L190" t="s">
        <v>55</v>
      </c>
      <c r="M190">
        <v>2</v>
      </c>
      <c r="N190">
        <v>5</v>
      </c>
      <c r="O190">
        <v>1</v>
      </c>
      <c r="P190" t="s">
        <v>56</v>
      </c>
      <c r="Q190" t="s">
        <v>41</v>
      </c>
      <c r="R190">
        <v>2</v>
      </c>
      <c r="S190">
        <v>3</v>
      </c>
      <c r="T190" t="s">
        <v>40</v>
      </c>
      <c r="U190" t="s">
        <v>42</v>
      </c>
      <c r="V190" t="s">
        <v>43</v>
      </c>
      <c r="W190" s="1">
        <v>45393</v>
      </c>
      <c r="X190" t="b">
        <v>1</v>
      </c>
      <c r="Y190" t="b">
        <v>0</v>
      </c>
      <c r="Z190" t="s">
        <v>72</v>
      </c>
      <c r="AA190" t="s">
        <v>77</v>
      </c>
      <c r="AB190">
        <v>12</v>
      </c>
    </row>
    <row r="191" spans="1:28">
      <c r="A191" t="s">
        <v>562</v>
      </c>
      <c r="B191">
        <v>39</v>
      </c>
      <c r="C191" t="s">
        <v>50</v>
      </c>
      <c r="D191" t="s">
        <v>34</v>
      </c>
      <c r="E191" t="s">
        <v>82</v>
      </c>
      <c r="F191" t="s">
        <v>36</v>
      </c>
      <c r="G191" t="s">
        <v>34</v>
      </c>
      <c r="H191" t="s">
        <v>563</v>
      </c>
      <c r="I191" t="s">
        <v>108</v>
      </c>
      <c r="J191" s="2">
        <v>276.48</v>
      </c>
      <c r="K191">
        <v>3</v>
      </c>
      <c r="L191" t="s">
        <v>39</v>
      </c>
      <c r="M191">
        <v>1</v>
      </c>
      <c r="N191">
        <v>2</v>
      </c>
      <c r="O191">
        <v>1</v>
      </c>
      <c r="P191" t="s">
        <v>40</v>
      </c>
      <c r="Q191" t="s">
        <v>41</v>
      </c>
      <c r="R191">
        <v>0</v>
      </c>
      <c r="S191">
        <v>4</v>
      </c>
      <c r="T191" t="s">
        <v>69</v>
      </c>
      <c r="U191" t="s">
        <v>95</v>
      </c>
      <c r="V191" t="s">
        <v>102</v>
      </c>
      <c r="W191" s="1">
        <v>45417</v>
      </c>
      <c r="X191" t="b">
        <v>0</v>
      </c>
      <c r="Y191" t="b">
        <v>0</v>
      </c>
      <c r="Z191" t="s">
        <v>44</v>
      </c>
      <c r="AA191" t="s">
        <v>77</v>
      </c>
      <c r="AB191">
        <v>7</v>
      </c>
    </row>
    <row r="192" spans="1:28">
      <c r="A192" t="s">
        <v>564</v>
      </c>
      <c r="B192">
        <v>20</v>
      </c>
      <c r="C192" t="s">
        <v>50</v>
      </c>
      <c r="D192" t="s">
        <v>51</v>
      </c>
      <c r="E192" t="s">
        <v>82</v>
      </c>
      <c r="F192" t="s">
        <v>52</v>
      </c>
      <c r="G192" t="s">
        <v>51</v>
      </c>
      <c r="H192" t="s">
        <v>2272</v>
      </c>
      <c r="I192" t="s">
        <v>156</v>
      </c>
      <c r="J192" s="2">
        <v>352.87</v>
      </c>
      <c r="K192">
        <v>11</v>
      </c>
      <c r="L192" t="s">
        <v>55</v>
      </c>
      <c r="M192">
        <v>5</v>
      </c>
      <c r="N192">
        <v>3</v>
      </c>
      <c r="O192">
        <v>0</v>
      </c>
      <c r="P192" t="s">
        <v>51</v>
      </c>
      <c r="Q192" t="s">
        <v>57</v>
      </c>
      <c r="R192">
        <v>0</v>
      </c>
      <c r="S192">
        <v>6</v>
      </c>
      <c r="T192" t="s">
        <v>51</v>
      </c>
      <c r="U192" t="s">
        <v>42</v>
      </c>
      <c r="V192" t="s">
        <v>58</v>
      </c>
      <c r="W192" s="1">
        <v>45341</v>
      </c>
      <c r="X192" t="b">
        <v>0</v>
      </c>
      <c r="Y192" t="b">
        <v>0</v>
      </c>
      <c r="Z192" t="s">
        <v>59</v>
      </c>
      <c r="AA192" t="s">
        <v>60</v>
      </c>
      <c r="AB192">
        <v>12</v>
      </c>
    </row>
    <row r="193" spans="1:28">
      <c r="A193" t="s">
        <v>566</v>
      </c>
      <c r="B193">
        <v>48</v>
      </c>
      <c r="C193" t="s">
        <v>50</v>
      </c>
      <c r="D193" t="s">
        <v>34</v>
      </c>
      <c r="E193" t="s">
        <v>35</v>
      </c>
      <c r="F193" t="s">
        <v>66</v>
      </c>
      <c r="G193" t="s">
        <v>34</v>
      </c>
      <c r="H193" t="s">
        <v>2273</v>
      </c>
      <c r="I193" t="s">
        <v>112</v>
      </c>
      <c r="J193" s="2">
        <v>228.68</v>
      </c>
      <c r="K193">
        <v>3</v>
      </c>
      <c r="L193" t="s">
        <v>39</v>
      </c>
      <c r="M193">
        <v>2</v>
      </c>
      <c r="N193">
        <v>1</v>
      </c>
      <c r="O193">
        <v>2</v>
      </c>
      <c r="P193" t="s">
        <v>69</v>
      </c>
      <c r="Q193" t="s">
        <v>101</v>
      </c>
      <c r="R193">
        <v>1</v>
      </c>
      <c r="S193">
        <v>4</v>
      </c>
      <c r="T193" t="s">
        <v>40</v>
      </c>
      <c r="U193" t="s">
        <v>42</v>
      </c>
      <c r="V193" t="s">
        <v>71</v>
      </c>
      <c r="W193" s="1">
        <v>45574</v>
      </c>
      <c r="X193" t="b">
        <v>1</v>
      </c>
      <c r="Y193" t="b">
        <v>0</v>
      </c>
      <c r="Z193" t="s">
        <v>89</v>
      </c>
      <c r="AA193" t="s">
        <v>60</v>
      </c>
      <c r="AB193">
        <v>4</v>
      </c>
    </row>
    <row r="194" spans="1:28">
      <c r="A194" t="s">
        <v>568</v>
      </c>
      <c r="B194">
        <v>31</v>
      </c>
      <c r="C194" t="s">
        <v>33</v>
      </c>
      <c r="D194" t="s">
        <v>34</v>
      </c>
      <c r="E194" t="s">
        <v>92</v>
      </c>
      <c r="F194" t="s">
        <v>66</v>
      </c>
      <c r="G194" t="s">
        <v>51</v>
      </c>
      <c r="H194" t="s">
        <v>569</v>
      </c>
      <c r="I194" t="s">
        <v>54</v>
      </c>
      <c r="J194" s="2">
        <v>301.39</v>
      </c>
      <c r="K194">
        <v>6</v>
      </c>
      <c r="L194" t="s">
        <v>94</v>
      </c>
      <c r="M194">
        <v>2</v>
      </c>
      <c r="N194">
        <v>1</v>
      </c>
      <c r="O194">
        <v>0</v>
      </c>
      <c r="P194" t="s">
        <v>40</v>
      </c>
      <c r="Q194" t="s">
        <v>101</v>
      </c>
      <c r="R194">
        <v>1</v>
      </c>
      <c r="S194">
        <v>4</v>
      </c>
      <c r="T194" t="s">
        <v>69</v>
      </c>
      <c r="U194" t="s">
        <v>95</v>
      </c>
      <c r="V194" t="s">
        <v>71</v>
      </c>
      <c r="W194" s="1">
        <v>45403</v>
      </c>
      <c r="X194" t="b">
        <v>0</v>
      </c>
      <c r="Y194" t="b">
        <v>0</v>
      </c>
      <c r="Z194" t="s">
        <v>44</v>
      </c>
      <c r="AA194" t="s">
        <v>45</v>
      </c>
      <c r="AB194">
        <v>11</v>
      </c>
    </row>
    <row r="195" spans="1:28">
      <c r="A195" t="s">
        <v>570</v>
      </c>
      <c r="B195">
        <v>25</v>
      </c>
      <c r="C195" t="s">
        <v>33</v>
      </c>
      <c r="D195" t="s">
        <v>34</v>
      </c>
      <c r="E195" t="s">
        <v>35</v>
      </c>
      <c r="F195" t="s">
        <v>36</v>
      </c>
      <c r="G195" t="s">
        <v>51</v>
      </c>
      <c r="H195" t="s">
        <v>571</v>
      </c>
      <c r="I195" t="s">
        <v>98</v>
      </c>
      <c r="J195" s="2">
        <v>473.5</v>
      </c>
      <c r="K195">
        <v>11</v>
      </c>
      <c r="L195" t="s">
        <v>39</v>
      </c>
      <c r="M195">
        <v>2</v>
      </c>
      <c r="N195">
        <v>4</v>
      </c>
      <c r="O195">
        <v>1</v>
      </c>
      <c r="P195" t="s">
        <v>69</v>
      </c>
      <c r="Q195" t="s">
        <v>41</v>
      </c>
      <c r="R195">
        <v>2</v>
      </c>
      <c r="S195">
        <v>3</v>
      </c>
      <c r="T195" t="s">
        <v>51</v>
      </c>
      <c r="U195" t="s">
        <v>42</v>
      </c>
      <c r="V195" t="s">
        <v>76</v>
      </c>
      <c r="W195" s="1">
        <v>45497</v>
      </c>
      <c r="X195" t="b">
        <v>0</v>
      </c>
      <c r="Y195" t="b">
        <v>1</v>
      </c>
      <c r="Z195" t="s">
        <v>72</v>
      </c>
      <c r="AA195" t="s">
        <v>77</v>
      </c>
      <c r="AB195">
        <v>10</v>
      </c>
    </row>
    <row r="196" spans="1:28">
      <c r="A196" t="s">
        <v>572</v>
      </c>
      <c r="B196">
        <v>18</v>
      </c>
      <c r="C196" t="s">
        <v>340</v>
      </c>
      <c r="D196" t="s">
        <v>34</v>
      </c>
      <c r="E196" t="s">
        <v>65</v>
      </c>
      <c r="F196" t="s">
        <v>36</v>
      </c>
      <c r="G196" t="s">
        <v>51</v>
      </c>
      <c r="H196" t="s">
        <v>573</v>
      </c>
      <c r="I196" t="s">
        <v>75</v>
      </c>
      <c r="J196" s="2">
        <v>72.8</v>
      </c>
      <c r="K196">
        <v>11</v>
      </c>
      <c r="L196" t="s">
        <v>55</v>
      </c>
      <c r="M196">
        <v>2</v>
      </c>
      <c r="N196">
        <v>4</v>
      </c>
      <c r="O196">
        <v>1</v>
      </c>
      <c r="P196" t="s">
        <v>51</v>
      </c>
      <c r="Q196" t="s">
        <v>41</v>
      </c>
      <c r="R196">
        <v>2</v>
      </c>
      <c r="S196">
        <v>10</v>
      </c>
      <c r="T196" t="s">
        <v>51</v>
      </c>
      <c r="U196" t="s">
        <v>95</v>
      </c>
      <c r="V196" t="s">
        <v>58</v>
      </c>
      <c r="W196" s="1">
        <v>45524</v>
      </c>
      <c r="X196" t="b">
        <v>1</v>
      </c>
      <c r="Y196" t="b">
        <v>0</v>
      </c>
      <c r="Z196" t="s">
        <v>44</v>
      </c>
      <c r="AA196" t="s">
        <v>77</v>
      </c>
      <c r="AB196">
        <v>3</v>
      </c>
    </row>
    <row r="197" spans="1:28">
      <c r="A197" t="s">
        <v>574</v>
      </c>
      <c r="B197">
        <v>18</v>
      </c>
      <c r="C197" t="s">
        <v>50</v>
      </c>
      <c r="D197" t="s">
        <v>34</v>
      </c>
      <c r="E197" t="s">
        <v>92</v>
      </c>
      <c r="F197" t="s">
        <v>36</v>
      </c>
      <c r="G197" t="s">
        <v>51</v>
      </c>
      <c r="H197" t="s">
        <v>575</v>
      </c>
      <c r="I197" t="s">
        <v>143</v>
      </c>
      <c r="J197" s="2">
        <v>171.72</v>
      </c>
      <c r="K197">
        <v>3</v>
      </c>
      <c r="L197" t="s">
        <v>94</v>
      </c>
      <c r="M197">
        <v>5</v>
      </c>
      <c r="N197">
        <v>3</v>
      </c>
      <c r="O197">
        <v>1</v>
      </c>
      <c r="P197" t="s">
        <v>69</v>
      </c>
      <c r="Q197" t="s">
        <v>101</v>
      </c>
      <c r="R197">
        <v>1</v>
      </c>
      <c r="S197">
        <v>2</v>
      </c>
      <c r="T197" t="s">
        <v>40</v>
      </c>
      <c r="U197" t="s">
        <v>95</v>
      </c>
      <c r="V197" t="s">
        <v>58</v>
      </c>
      <c r="W197" s="1">
        <v>45375</v>
      </c>
      <c r="X197" t="b">
        <v>0</v>
      </c>
      <c r="Y197" t="b">
        <v>1</v>
      </c>
      <c r="Z197" t="s">
        <v>72</v>
      </c>
      <c r="AA197" t="s">
        <v>60</v>
      </c>
      <c r="AB197">
        <v>12</v>
      </c>
    </row>
    <row r="198" spans="1:28">
      <c r="A198" t="s">
        <v>576</v>
      </c>
      <c r="B198">
        <v>31</v>
      </c>
      <c r="C198" t="s">
        <v>50</v>
      </c>
      <c r="D198" t="s">
        <v>34</v>
      </c>
      <c r="E198" t="s">
        <v>82</v>
      </c>
      <c r="F198" t="s">
        <v>52</v>
      </c>
      <c r="G198" t="s">
        <v>34</v>
      </c>
      <c r="H198" t="s">
        <v>577</v>
      </c>
      <c r="I198" t="s">
        <v>150</v>
      </c>
      <c r="J198" s="2">
        <v>467.5</v>
      </c>
      <c r="K198">
        <v>6</v>
      </c>
      <c r="L198" t="s">
        <v>55</v>
      </c>
      <c r="M198">
        <v>2</v>
      </c>
      <c r="N198">
        <v>1</v>
      </c>
      <c r="O198">
        <v>0</v>
      </c>
      <c r="P198" t="s">
        <v>40</v>
      </c>
      <c r="Q198" t="s">
        <v>41</v>
      </c>
      <c r="R198">
        <v>1</v>
      </c>
      <c r="S198">
        <v>1</v>
      </c>
      <c r="T198" t="s">
        <v>51</v>
      </c>
      <c r="U198" t="s">
        <v>95</v>
      </c>
      <c r="V198" t="s">
        <v>58</v>
      </c>
      <c r="W198" s="1">
        <v>45386</v>
      </c>
      <c r="X198" t="b">
        <v>0</v>
      </c>
      <c r="Y198" t="b">
        <v>0</v>
      </c>
      <c r="Z198" t="s">
        <v>89</v>
      </c>
      <c r="AA198" t="s">
        <v>45</v>
      </c>
      <c r="AB198">
        <v>6</v>
      </c>
    </row>
    <row r="199" spans="1:28">
      <c r="A199" t="s">
        <v>578</v>
      </c>
      <c r="B199">
        <v>43</v>
      </c>
      <c r="C199" t="s">
        <v>431</v>
      </c>
      <c r="D199" t="s">
        <v>51</v>
      </c>
      <c r="E199" t="s">
        <v>35</v>
      </c>
      <c r="F199" t="s">
        <v>36</v>
      </c>
      <c r="G199" t="s">
        <v>51</v>
      </c>
      <c r="H199" t="s">
        <v>579</v>
      </c>
      <c r="I199" t="s">
        <v>84</v>
      </c>
      <c r="J199" s="2">
        <v>209.79</v>
      </c>
      <c r="K199">
        <v>6</v>
      </c>
      <c r="L199" t="s">
        <v>39</v>
      </c>
      <c r="M199">
        <v>5</v>
      </c>
      <c r="N199">
        <v>1</v>
      </c>
      <c r="O199">
        <v>2</v>
      </c>
      <c r="P199" t="s">
        <v>51</v>
      </c>
      <c r="Q199" t="s">
        <v>57</v>
      </c>
      <c r="R199">
        <v>1</v>
      </c>
      <c r="S199">
        <v>9</v>
      </c>
      <c r="T199" t="s">
        <v>69</v>
      </c>
      <c r="U199" t="s">
        <v>42</v>
      </c>
      <c r="V199" t="s">
        <v>76</v>
      </c>
      <c r="W199" s="1">
        <v>45548</v>
      </c>
      <c r="X199" t="b">
        <v>1</v>
      </c>
      <c r="Y199" t="b">
        <v>1</v>
      </c>
      <c r="Z199" t="s">
        <v>44</v>
      </c>
      <c r="AA199" t="s">
        <v>60</v>
      </c>
      <c r="AB199">
        <v>10</v>
      </c>
    </row>
    <row r="200" spans="1:28">
      <c r="A200" t="s">
        <v>580</v>
      </c>
      <c r="B200">
        <v>23</v>
      </c>
      <c r="C200" t="s">
        <v>50</v>
      </c>
      <c r="D200" t="s">
        <v>34</v>
      </c>
      <c r="E200" t="s">
        <v>65</v>
      </c>
      <c r="F200" t="s">
        <v>52</v>
      </c>
      <c r="G200" t="s">
        <v>34</v>
      </c>
      <c r="H200" t="s">
        <v>581</v>
      </c>
      <c r="I200" t="s">
        <v>68</v>
      </c>
      <c r="J200" s="2">
        <v>150.33000000000001</v>
      </c>
      <c r="K200">
        <v>9</v>
      </c>
      <c r="L200" t="s">
        <v>55</v>
      </c>
      <c r="M200">
        <v>4</v>
      </c>
      <c r="N200">
        <v>4</v>
      </c>
      <c r="O200">
        <v>2</v>
      </c>
      <c r="P200" t="s">
        <v>40</v>
      </c>
      <c r="Q200" t="s">
        <v>41</v>
      </c>
      <c r="R200">
        <v>2</v>
      </c>
      <c r="S200">
        <v>9</v>
      </c>
      <c r="T200" t="s">
        <v>56</v>
      </c>
      <c r="U200" t="s">
        <v>95</v>
      </c>
      <c r="V200" t="s">
        <v>71</v>
      </c>
      <c r="W200" s="1">
        <v>45406</v>
      </c>
      <c r="X200" t="b">
        <v>1</v>
      </c>
      <c r="Y200" t="b">
        <v>0</v>
      </c>
      <c r="Z200" t="s">
        <v>59</v>
      </c>
      <c r="AA200" t="s">
        <v>77</v>
      </c>
      <c r="AB200">
        <v>6</v>
      </c>
    </row>
    <row r="201" spans="1:28">
      <c r="A201" t="s">
        <v>583</v>
      </c>
      <c r="B201">
        <v>29</v>
      </c>
      <c r="C201" t="s">
        <v>50</v>
      </c>
      <c r="D201" t="s">
        <v>51</v>
      </c>
      <c r="E201" t="s">
        <v>35</v>
      </c>
      <c r="F201" t="s">
        <v>36</v>
      </c>
      <c r="G201" t="s">
        <v>51</v>
      </c>
      <c r="H201" t="s">
        <v>584</v>
      </c>
      <c r="I201" t="s">
        <v>123</v>
      </c>
      <c r="J201" s="2">
        <v>98.63</v>
      </c>
      <c r="K201">
        <v>7</v>
      </c>
      <c r="L201" t="s">
        <v>94</v>
      </c>
      <c r="M201">
        <v>4</v>
      </c>
      <c r="N201">
        <v>5</v>
      </c>
      <c r="O201">
        <v>2</v>
      </c>
      <c r="P201" t="s">
        <v>51</v>
      </c>
      <c r="Q201" t="s">
        <v>41</v>
      </c>
      <c r="R201">
        <v>1</v>
      </c>
      <c r="S201">
        <v>3</v>
      </c>
      <c r="T201" t="s">
        <v>69</v>
      </c>
      <c r="U201" t="s">
        <v>42</v>
      </c>
      <c r="V201" t="s">
        <v>76</v>
      </c>
      <c r="W201" s="1">
        <v>45300</v>
      </c>
      <c r="X201" t="b">
        <v>0</v>
      </c>
      <c r="Y201" t="b">
        <v>1</v>
      </c>
      <c r="Z201" t="s">
        <v>89</v>
      </c>
      <c r="AA201" t="s">
        <v>60</v>
      </c>
      <c r="AB201">
        <v>6</v>
      </c>
    </row>
    <row r="202" spans="1:28">
      <c r="A202" t="s">
        <v>585</v>
      </c>
      <c r="B202">
        <v>21</v>
      </c>
      <c r="C202" t="s">
        <v>33</v>
      </c>
      <c r="D202" t="s">
        <v>34</v>
      </c>
      <c r="E202" t="s">
        <v>92</v>
      </c>
      <c r="F202" t="s">
        <v>66</v>
      </c>
      <c r="G202" t="s">
        <v>34</v>
      </c>
      <c r="H202" t="s">
        <v>586</v>
      </c>
      <c r="I202" t="s">
        <v>235</v>
      </c>
      <c r="J202" s="2">
        <v>193.3</v>
      </c>
      <c r="K202">
        <v>11</v>
      </c>
      <c r="L202" t="s">
        <v>39</v>
      </c>
      <c r="M202">
        <v>4</v>
      </c>
      <c r="N202">
        <v>2</v>
      </c>
      <c r="O202">
        <v>2</v>
      </c>
      <c r="P202" t="s">
        <v>40</v>
      </c>
      <c r="Q202" t="s">
        <v>101</v>
      </c>
      <c r="R202">
        <v>2</v>
      </c>
      <c r="S202">
        <v>1</v>
      </c>
      <c r="T202" t="s">
        <v>56</v>
      </c>
      <c r="U202" t="s">
        <v>42</v>
      </c>
      <c r="V202" t="s">
        <v>76</v>
      </c>
      <c r="W202" s="1">
        <v>45446</v>
      </c>
      <c r="X202" t="b">
        <v>1</v>
      </c>
      <c r="Y202" t="b">
        <v>1</v>
      </c>
      <c r="Z202" t="s">
        <v>89</v>
      </c>
      <c r="AA202" t="s">
        <v>45</v>
      </c>
      <c r="AB202">
        <v>12</v>
      </c>
    </row>
    <row r="203" spans="1:28">
      <c r="A203" t="s">
        <v>587</v>
      </c>
      <c r="B203">
        <v>49</v>
      </c>
      <c r="C203" t="s">
        <v>33</v>
      </c>
      <c r="D203" t="s">
        <v>34</v>
      </c>
      <c r="E203" t="s">
        <v>65</v>
      </c>
      <c r="F203" t="s">
        <v>52</v>
      </c>
      <c r="G203" t="s">
        <v>34</v>
      </c>
      <c r="H203" t="s">
        <v>588</v>
      </c>
      <c r="I203" t="s">
        <v>123</v>
      </c>
      <c r="J203" s="2">
        <v>145.02000000000001</v>
      </c>
      <c r="K203">
        <v>7</v>
      </c>
      <c r="L203" t="s">
        <v>55</v>
      </c>
      <c r="M203">
        <v>3</v>
      </c>
      <c r="N203">
        <v>2</v>
      </c>
      <c r="O203">
        <v>0</v>
      </c>
      <c r="P203" t="s">
        <v>51</v>
      </c>
      <c r="Q203" t="s">
        <v>101</v>
      </c>
      <c r="R203">
        <v>1</v>
      </c>
      <c r="S203">
        <v>1</v>
      </c>
      <c r="T203" t="s">
        <v>56</v>
      </c>
      <c r="U203" t="s">
        <v>95</v>
      </c>
      <c r="V203" t="s">
        <v>43</v>
      </c>
      <c r="W203" s="1">
        <v>45466</v>
      </c>
      <c r="X203" t="b">
        <v>1</v>
      </c>
      <c r="Y203" t="b">
        <v>1</v>
      </c>
      <c r="Z203" t="s">
        <v>59</v>
      </c>
      <c r="AA203" t="s">
        <v>77</v>
      </c>
      <c r="AB203">
        <v>9</v>
      </c>
    </row>
    <row r="204" spans="1:28">
      <c r="A204" t="s">
        <v>589</v>
      </c>
      <c r="B204">
        <v>30</v>
      </c>
      <c r="C204" t="s">
        <v>33</v>
      </c>
      <c r="D204" t="s">
        <v>34</v>
      </c>
      <c r="E204" t="s">
        <v>92</v>
      </c>
      <c r="F204" t="s">
        <v>66</v>
      </c>
      <c r="G204" t="s">
        <v>34</v>
      </c>
      <c r="H204" t="s">
        <v>590</v>
      </c>
      <c r="I204" t="s">
        <v>180</v>
      </c>
      <c r="J204" s="2">
        <v>294.99</v>
      </c>
      <c r="K204">
        <v>4</v>
      </c>
      <c r="L204" t="s">
        <v>94</v>
      </c>
      <c r="M204">
        <v>3</v>
      </c>
      <c r="N204">
        <v>5</v>
      </c>
      <c r="O204">
        <v>2</v>
      </c>
      <c r="P204" t="s">
        <v>69</v>
      </c>
      <c r="Q204" t="s">
        <v>41</v>
      </c>
      <c r="R204">
        <v>1</v>
      </c>
      <c r="S204">
        <v>4</v>
      </c>
      <c r="T204" t="s">
        <v>51</v>
      </c>
      <c r="U204" t="s">
        <v>95</v>
      </c>
      <c r="V204" t="s">
        <v>58</v>
      </c>
      <c r="W204" s="1">
        <v>45626</v>
      </c>
      <c r="X204" t="b">
        <v>0</v>
      </c>
      <c r="Y204" t="b">
        <v>0</v>
      </c>
      <c r="Z204" t="s">
        <v>44</v>
      </c>
      <c r="AA204" t="s">
        <v>60</v>
      </c>
      <c r="AB204">
        <v>5</v>
      </c>
    </row>
    <row r="205" spans="1:28">
      <c r="A205" t="s">
        <v>591</v>
      </c>
      <c r="B205">
        <v>31</v>
      </c>
      <c r="C205" t="s">
        <v>264</v>
      </c>
      <c r="D205" t="s">
        <v>34</v>
      </c>
      <c r="E205" t="s">
        <v>92</v>
      </c>
      <c r="F205" t="s">
        <v>52</v>
      </c>
      <c r="G205" t="s">
        <v>34</v>
      </c>
      <c r="H205" t="s">
        <v>592</v>
      </c>
      <c r="I205" t="s">
        <v>68</v>
      </c>
      <c r="J205" s="2">
        <v>305.45</v>
      </c>
      <c r="K205">
        <v>2</v>
      </c>
      <c r="L205" t="s">
        <v>39</v>
      </c>
      <c r="M205">
        <v>5</v>
      </c>
      <c r="N205">
        <v>5</v>
      </c>
      <c r="O205">
        <v>1</v>
      </c>
      <c r="P205" t="s">
        <v>40</v>
      </c>
      <c r="Q205" t="s">
        <v>101</v>
      </c>
      <c r="R205">
        <v>1</v>
      </c>
      <c r="S205">
        <v>1</v>
      </c>
      <c r="T205" t="s">
        <v>51</v>
      </c>
      <c r="U205" t="s">
        <v>70</v>
      </c>
      <c r="V205" t="s">
        <v>58</v>
      </c>
      <c r="W205" s="1">
        <v>45589</v>
      </c>
      <c r="X205" t="b">
        <v>0</v>
      </c>
      <c r="Y205" t="b">
        <v>1</v>
      </c>
      <c r="Z205" t="s">
        <v>72</v>
      </c>
      <c r="AA205" t="s">
        <v>77</v>
      </c>
      <c r="AB205">
        <v>9</v>
      </c>
    </row>
    <row r="206" spans="1:28">
      <c r="A206" t="s">
        <v>593</v>
      </c>
      <c r="B206">
        <v>50</v>
      </c>
      <c r="C206" t="s">
        <v>33</v>
      </c>
      <c r="D206" t="s">
        <v>34</v>
      </c>
      <c r="E206" t="s">
        <v>82</v>
      </c>
      <c r="F206" t="s">
        <v>52</v>
      </c>
      <c r="G206" t="s">
        <v>34</v>
      </c>
      <c r="H206" t="s">
        <v>2274</v>
      </c>
      <c r="I206" t="s">
        <v>156</v>
      </c>
      <c r="J206" s="2">
        <v>432.42</v>
      </c>
      <c r="K206">
        <v>2</v>
      </c>
      <c r="L206" t="s">
        <v>55</v>
      </c>
      <c r="M206">
        <v>4</v>
      </c>
      <c r="N206">
        <v>4</v>
      </c>
      <c r="O206">
        <v>0</v>
      </c>
      <c r="P206" t="s">
        <v>56</v>
      </c>
      <c r="Q206" t="s">
        <v>57</v>
      </c>
      <c r="R206">
        <v>0</v>
      </c>
      <c r="S206">
        <v>8</v>
      </c>
      <c r="T206" t="s">
        <v>40</v>
      </c>
      <c r="U206" t="s">
        <v>42</v>
      </c>
      <c r="V206" t="s">
        <v>58</v>
      </c>
      <c r="W206" s="1">
        <v>45403</v>
      </c>
      <c r="X206" t="b">
        <v>0</v>
      </c>
      <c r="Y206" t="b">
        <v>1</v>
      </c>
      <c r="Z206" t="s">
        <v>44</v>
      </c>
      <c r="AA206" t="s">
        <v>77</v>
      </c>
      <c r="AB206">
        <v>13</v>
      </c>
    </row>
    <row r="207" spans="1:28">
      <c r="A207" t="s">
        <v>595</v>
      </c>
      <c r="B207">
        <v>35</v>
      </c>
      <c r="C207" t="s">
        <v>33</v>
      </c>
      <c r="D207" t="s">
        <v>34</v>
      </c>
      <c r="E207" t="s">
        <v>65</v>
      </c>
      <c r="F207" t="s">
        <v>36</v>
      </c>
      <c r="G207" t="s">
        <v>51</v>
      </c>
      <c r="H207" t="s">
        <v>596</v>
      </c>
      <c r="I207" t="s">
        <v>38</v>
      </c>
      <c r="J207" s="2">
        <v>227.58</v>
      </c>
      <c r="K207">
        <v>11</v>
      </c>
      <c r="L207" t="s">
        <v>39</v>
      </c>
      <c r="M207">
        <v>3</v>
      </c>
      <c r="N207">
        <v>1</v>
      </c>
      <c r="O207">
        <v>1</v>
      </c>
      <c r="P207" t="s">
        <v>40</v>
      </c>
      <c r="Q207" t="s">
        <v>57</v>
      </c>
      <c r="R207">
        <v>1</v>
      </c>
      <c r="S207">
        <v>8</v>
      </c>
      <c r="T207" t="s">
        <v>51</v>
      </c>
      <c r="U207" t="s">
        <v>70</v>
      </c>
      <c r="V207" t="s">
        <v>43</v>
      </c>
      <c r="W207" s="1">
        <v>45314</v>
      </c>
      <c r="X207" t="b">
        <v>0</v>
      </c>
      <c r="Y207" t="b">
        <v>1</v>
      </c>
      <c r="Z207" t="s">
        <v>44</v>
      </c>
      <c r="AA207" t="s">
        <v>77</v>
      </c>
      <c r="AB207">
        <v>6</v>
      </c>
    </row>
    <row r="208" spans="1:28">
      <c r="A208" t="s">
        <v>597</v>
      </c>
      <c r="B208">
        <v>36</v>
      </c>
      <c r="C208" t="s">
        <v>50</v>
      </c>
      <c r="D208" t="s">
        <v>34</v>
      </c>
      <c r="E208" t="s">
        <v>65</v>
      </c>
      <c r="F208" t="s">
        <v>52</v>
      </c>
      <c r="G208" t="s">
        <v>51</v>
      </c>
      <c r="H208" t="s">
        <v>382</v>
      </c>
      <c r="I208" t="s">
        <v>156</v>
      </c>
      <c r="J208" s="2">
        <v>160.88999999999999</v>
      </c>
      <c r="K208">
        <v>10</v>
      </c>
      <c r="L208" t="s">
        <v>94</v>
      </c>
      <c r="M208">
        <v>5</v>
      </c>
      <c r="N208">
        <v>5</v>
      </c>
      <c r="O208">
        <v>2</v>
      </c>
      <c r="P208" t="s">
        <v>40</v>
      </c>
      <c r="Q208" t="s">
        <v>41</v>
      </c>
      <c r="R208">
        <v>2</v>
      </c>
      <c r="S208">
        <v>6</v>
      </c>
      <c r="T208" t="s">
        <v>56</v>
      </c>
      <c r="U208" t="s">
        <v>95</v>
      </c>
      <c r="V208" t="s">
        <v>58</v>
      </c>
      <c r="W208" s="1">
        <v>45466</v>
      </c>
      <c r="X208" t="b">
        <v>1</v>
      </c>
      <c r="Y208" t="b">
        <v>1</v>
      </c>
      <c r="Z208" t="s">
        <v>89</v>
      </c>
      <c r="AA208" t="s">
        <v>45</v>
      </c>
      <c r="AB208">
        <v>13</v>
      </c>
    </row>
    <row r="209" spans="1:28">
      <c r="A209" t="s">
        <v>598</v>
      </c>
      <c r="B209">
        <v>24</v>
      </c>
      <c r="C209" t="s">
        <v>33</v>
      </c>
      <c r="D209" t="s">
        <v>34</v>
      </c>
      <c r="E209" t="s">
        <v>35</v>
      </c>
      <c r="F209" t="s">
        <v>66</v>
      </c>
      <c r="G209" t="s">
        <v>51</v>
      </c>
      <c r="H209" t="s">
        <v>2275</v>
      </c>
      <c r="I209" t="s">
        <v>123</v>
      </c>
      <c r="J209" s="2">
        <v>139.1</v>
      </c>
      <c r="K209">
        <v>7</v>
      </c>
      <c r="L209" t="s">
        <v>94</v>
      </c>
      <c r="M209">
        <v>2</v>
      </c>
      <c r="N209">
        <v>5</v>
      </c>
      <c r="O209">
        <v>0</v>
      </c>
      <c r="P209" t="s">
        <v>69</v>
      </c>
      <c r="Q209" t="s">
        <v>41</v>
      </c>
      <c r="R209">
        <v>2</v>
      </c>
      <c r="S209">
        <v>3</v>
      </c>
      <c r="T209" t="s">
        <v>56</v>
      </c>
      <c r="U209" t="s">
        <v>95</v>
      </c>
      <c r="V209" t="s">
        <v>58</v>
      </c>
      <c r="W209" s="1">
        <v>45371</v>
      </c>
      <c r="X209" t="b">
        <v>0</v>
      </c>
      <c r="Y209" t="b">
        <v>0</v>
      </c>
      <c r="Z209" t="s">
        <v>72</v>
      </c>
      <c r="AA209" t="s">
        <v>45</v>
      </c>
      <c r="AB209">
        <v>8</v>
      </c>
    </row>
    <row r="210" spans="1:28">
      <c r="A210" t="s">
        <v>600</v>
      </c>
      <c r="B210">
        <v>36</v>
      </c>
      <c r="C210" t="s">
        <v>188</v>
      </c>
      <c r="D210" t="s">
        <v>51</v>
      </c>
      <c r="E210" t="s">
        <v>35</v>
      </c>
      <c r="F210" t="s">
        <v>66</v>
      </c>
      <c r="G210" t="s">
        <v>34</v>
      </c>
      <c r="H210" t="s">
        <v>601</v>
      </c>
      <c r="I210" t="s">
        <v>84</v>
      </c>
      <c r="J210" s="2">
        <v>268.27999999999997</v>
      </c>
      <c r="K210">
        <v>9</v>
      </c>
      <c r="L210" t="s">
        <v>39</v>
      </c>
      <c r="M210">
        <v>5</v>
      </c>
      <c r="N210">
        <v>2</v>
      </c>
      <c r="O210">
        <v>2</v>
      </c>
      <c r="P210" t="s">
        <v>51</v>
      </c>
      <c r="Q210" t="s">
        <v>101</v>
      </c>
      <c r="R210">
        <v>2</v>
      </c>
      <c r="S210">
        <v>2</v>
      </c>
      <c r="T210" t="s">
        <v>51</v>
      </c>
      <c r="U210" t="s">
        <v>70</v>
      </c>
      <c r="V210" t="s">
        <v>43</v>
      </c>
      <c r="W210" s="1">
        <v>45391</v>
      </c>
      <c r="X210" t="b">
        <v>0</v>
      </c>
      <c r="Y210" t="b">
        <v>1</v>
      </c>
      <c r="Z210" t="s">
        <v>44</v>
      </c>
      <c r="AA210" t="s">
        <v>60</v>
      </c>
      <c r="AB210">
        <v>8</v>
      </c>
    </row>
    <row r="211" spans="1:28">
      <c r="A211" t="s">
        <v>602</v>
      </c>
      <c r="B211">
        <v>45</v>
      </c>
      <c r="C211" t="s">
        <v>33</v>
      </c>
      <c r="D211" t="s">
        <v>34</v>
      </c>
      <c r="E211" t="s">
        <v>65</v>
      </c>
      <c r="F211" t="s">
        <v>66</v>
      </c>
      <c r="G211" t="s">
        <v>51</v>
      </c>
      <c r="H211" t="s">
        <v>2276</v>
      </c>
      <c r="I211" t="s">
        <v>108</v>
      </c>
      <c r="J211" s="2">
        <v>64.489999999999995</v>
      </c>
      <c r="K211">
        <v>6</v>
      </c>
      <c r="L211" t="s">
        <v>94</v>
      </c>
      <c r="M211">
        <v>2</v>
      </c>
      <c r="N211">
        <v>1</v>
      </c>
      <c r="O211">
        <v>0</v>
      </c>
      <c r="P211" t="s">
        <v>40</v>
      </c>
      <c r="Q211" t="s">
        <v>101</v>
      </c>
      <c r="R211">
        <v>1</v>
      </c>
      <c r="S211">
        <v>10</v>
      </c>
      <c r="T211" t="s">
        <v>40</v>
      </c>
      <c r="U211" t="s">
        <v>42</v>
      </c>
      <c r="V211" t="s">
        <v>76</v>
      </c>
      <c r="W211" s="1">
        <v>45584</v>
      </c>
      <c r="X211" t="b">
        <v>0</v>
      </c>
      <c r="Y211" t="b">
        <v>0</v>
      </c>
      <c r="Z211" t="s">
        <v>89</v>
      </c>
      <c r="AA211" t="s">
        <v>77</v>
      </c>
      <c r="AB211">
        <v>7</v>
      </c>
    </row>
    <row r="212" spans="1:28">
      <c r="A212" t="s">
        <v>604</v>
      </c>
      <c r="B212">
        <v>44</v>
      </c>
      <c r="C212" t="s">
        <v>50</v>
      </c>
      <c r="D212" t="s">
        <v>34</v>
      </c>
      <c r="E212" t="s">
        <v>82</v>
      </c>
      <c r="F212" t="s">
        <v>52</v>
      </c>
      <c r="G212" t="s">
        <v>34</v>
      </c>
      <c r="H212" t="s">
        <v>191</v>
      </c>
      <c r="I212" t="s">
        <v>170</v>
      </c>
      <c r="J212" s="2">
        <v>80.17</v>
      </c>
      <c r="K212">
        <v>10</v>
      </c>
      <c r="L212" t="s">
        <v>94</v>
      </c>
      <c r="M212">
        <v>1</v>
      </c>
      <c r="N212">
        <v>1</v>
      </c>
      <c r="O212">
        <v>1</v>
      </c>
      <c r="P212" t="s">
        <v>51</v>
      </c>
      <c r="Q212" t="s">
        <v>57</v>
      </c>
      <c r="R212">
        <v>1</v>
      </c>
      <c r="S212">
        <v>8</v>
      </c>
      <c r="T212" t="s">
        <v>40</v>
      </c>
      <c r="U212" t="s">
        <v>42</v>
      </c>
      <c r="V212" t="s">
        <v>43</v>
      </c>
      <c r="W212" s="1">
        <v>45422</v>
      </c>
      <c r="X212" t="b">
        <v>1</v>
      </c>
      <c r="Y212" t="b">
        <v>1</v>
      </c>
      <c r="Z212" t="s">
        <v>89</v>
      </c>
      <c r="AA212" t="s">
        <v>45</v>
      </c>
      <c r="AB212">
        <v>6</v>
      </c>
    </row>
    <row r="213" spans="1:28">
      <c r="A213" t="s">
        <v>605</v>
      </c>
      <c r="B213">
        <v>28</v>
      </c>
      <c r="C213" t="s">
        <v>50</v>
      </c>
      <c r="D213" t="s">
        <v>51</v>
      </c>
      <c r="E213" t="s">
        <v>35</v>
      </c>
      <c r="F213" t="s">
        <v>66</v>
      </c>
      <c r="G213" t="s">
        <v>51</v>
      </c>
      <c r="H213" t="s">
        <v>606</v>
      </c>
      <c r="I213" t="s">
        <v>199</v>
      </c>
      <c r="J213" s="2">
        <v>277.52</v>
      </c>
      <c r="K213">
        <v>11</v>
      </c>
      <c r="L213" t="s">
        <v>55</v>
      </c>
      <c r="M213">
        <v>4</v>
      </c>
      <c r="N213">
        <v>1</v>
      </c>
      <c r="O213">
        <v>0</v>
      </c>
      <c r="P213" t="s">
        <v>40</v>
      </c>
      <c r="Q213" t="s">
        <v>57</v>
      </c>
      <c r="R213">
        <v>1</v>
      </c>
      <c r="S213">
        <v>7</v>
      </c>
      <c r="T213" t="s">
        <v>56</v>
      </c>
      <c r="U213" t="s">
        <v>70</v>
      </c>
      <c r="V213" t="s">
        <v>58</v>
      </c>
      <c r="W213" s="1">
        <v>45426</v>
      </c>
      <c r="X213" t="b">
        <v>1</v>
      </c>
      <c r="Y213" t="b">
        <v>0</v>
      </c>
      <c r="Z213" t="s">
        <v>44</v>
      </c>
      <c r="AA213" t="s">
        <v>60</v>
      </c>
      <c r="AB213">
        <v>11</v>
      </c>
    </row>
    <row r="214" spans="1:28">
      <c r="A214" t="s">
        <v>607</v>
      </c>
      <c r="B214">
        <v>40</v>
      </c>
      <c r="C214" t="s">
        <v>50</v>
      </c>
      <c r="D214" t="s">
        <v>51</v>
      </c>
      <c r="E214" t="s">
        <v>82</v>
      </c>
      <c r="F214" t="s">
        <v>66</v>
      </c>
      <c r="G214" t="s">
        <v>34</v>
      </c>
      <c r="H214" t="s">
        <v>608</v>
      </c>
      <c r="I214" t="s">
        <v>180</v>
      </c>
      <c r="J214" s="2">
        <v>53.67</v>
      </c>
      <c r="K214">
        <v>7</v>
      </c>
      <c r="L214" t="s">
        <v>94</v>
      </c>
      <c r="M214">
        <v>3</v>
      </c>
      <c r="N214">
        <v>5</v>
      </c>
      <c r="O214">
        <v>1</v>
      </c>
      <c r="P214" t="s">
        <v>51</v>
      </c>
      <c r="Q214" t="s">
        <v>57</v>
      </c>
      <c r="R214">
        <v>0</v>
      </c>
      <c r="S214">
        <v>2</v>
      </c>
      <c r="T214" t="s">
        <v>51</v>
      </c>
      <c r="U214" t="s">
        <v>95</v>
      </c>
      <c r="V214" t="s">
        <v>58</v>
      </c>
      <c r="W214" s="1">
        <v>45395</v>
      </c>
      <c r="X214" t="b">
        <v>0</v>
      </c>
      <c r="Y214" t="b">
        <v>0</v>
      </c>
      <c r="Z214" t="s">
        <v>89</v>
      </c>
      <c r="AA214" t="s">
        <v>77</v>
      </c>
      <c r="AB214">
        <v>11</v>
      </c>
    </row>
    <row r="215" spans="1:28">
      <c r="A215" t="s">
        <v>609</v>
      </c>
      <c r="B215">
        <v>49</v>
      </c>
      <c r="C215" t="s">
        <v>33</v>
      </c>
      <c r="D215" t="s">
        <v>34</v>
      </c>
      <c r="E215" t="s">
        <v>82</v>
      </c>
      <c r="F215" t="s">
        <v>36</v>
      </c>
      <c r="G215" t="s">
        <v>51</v>
      </c>
      <c r="H215" t="s">
        <v>610</v>
      </c>
      <c r="I215" t="s">
        <v>68</v>
      </c>
      <c r="J215" s="2">
        <v>323.39</v>
      </c>
      <c r="K215">
        <v>10</v>
      </c>
      <c r="L215" t="s">
        <v>55</v>
      </c>
      <c r="M215">
        <v>2</v>
      </c>
      <c r="N215">
        <v>3</v>
      </c>
      <c r="O215">
        <v>2</v>
      </c>
      <c r="P215" t="s">
        <v>40</v>
      </c>
      <c r="Q215" t="s">
        <v>101</v>
      </c>
      <c r="R215">
        <v>0</v>
      </c>
      <c r="S215">
        <v>7</v>
      </c>
      <c r="T215" t="s">
        <v>51</v>
      </c>
      <c r="U215" t="s">
        <v>42</v>
      </c>
      <c r="V215" t="s">
        <v>102</v>
      </c>
      <c r="W215" s="1">
        <v>45295</v>
      </c>
      <c r="X215" t="b">
        <v>1</v>
      </c>
      <c r="Y215" t="b">
        <v>1</v>
      </c>
      <c r="Z215" t="s">
        <v>44</v>
      </c>
      <c r="AA215" t="s">
        <v>45</v>
      </c>
      <c r="AB215">
        <v>11</v>
      </c>
    </row>
    <row r="216" spans="1:28">
      <c r="A216" t="s">
        <v>611</v>
      </c>
      <c r="B216">
        <v>50</v>
      </c>
      <c r="C216" t="s">
        <v>33</v>
      </c>
      <c r="D216" t="s">
        <v>51</v>
      </c>
      <c r="E216" t="s">
        <v>65</v>
      </c>
      <c r="F216" t="s">
        <v>36</v>
      </c>
      <c r="G216" t="s">
        <v>51</v>
      </c>
      <c r="H216" t="s">
        <v>612</v>
      </c>
      <c r="I216" t="s">
        <v>108</v>
      </c>
      <c r="J216" s="2">
        <v>98.02</v>
      </c>
      <c r="K216">
        <v>5</v>
      </c>
      <c r="L216" t="s">
        <v>55</v>
      </c>
      <c r="M216">
        <v>3</v>
      </c>
      <c r="N216">
        <v>3</v>
      </c>
      <c r="O216">
        <v>1</v>
      </c>
      <c r="P216" t="s">
        <v>69</v>
      </c>
      <c r="Q216" t="s">
        <v>57</v>
      </c>
      <c r="R216">
        <v>0</v>
      </c>
      <c r="S216">
        <v>3</v>
      </c>
      <c r="T216" t="s">
        <v>51</v>
      </c>
      <c r="U216" t="s">
        <v>95</v>
      </c>
      <c r="V216" t="s">
        <v>71</v>
      </c>
      <c r="W216" s="1">
        <v>45473</v>
      </c>
      <c r="X216" t="b">
        <v>1</v>
      </c>
      <c r="Y216" t="b">
        <v>0</v>
      </c>
      <c r="Z216" t="s">
        <v>89</v>
      </c>
      <c r="AA216" t="s">
        <v>45</v>
      </c>
      <c r="AB216">
        <v>10</v>
      </c>
    </row>
    <row r="217" spans="1:28">
      <c r="A217" t="s">
        <v>614</v>
      </c>
      <c r="B217">
        <v>24</v>
      </c>
      <c r="C217" t="s">
        <v>50</v>
      </c>
      <c r="D217" t="s">
        <v>51</v>
      </c>
      <c r="E217" t="s">
        <v>92</v>
      </c>
      <c r="F217" t="s">
        <v>36</v>
      </c>
      <c r="G217" t="s">
        <v>51</v>
      </c>
      <c r="H217" t="s">
        <v>2277</v>
      </c>
      <c r="I217" t="s">
        <v>242</v>
      </c>
      <c r="J217" s="2">
        <v>231.26</v>
      </c>
      <c r="K217">
        <v>10</v>
      </c>
      <c r="L217" t="s">
        <v>55</v>
      </c>
      <c r="M217">
        <v>5</v>
      </c>
      <c r="N217">
        <v>1</v>
      </c>
      <c r="O217">
        <v>2</v>
      </c>
      <c r="P217" t="s">
        <v>69</v>
      </c>
      <c r="Q217" t="s">
        <v>101</v>
      </c>
      <c r="R217">
        <v>2</v>
      </c>
      <c r="S217">
        <v>5</v>
      </c>
      <c r="T217" t="s">
        <v>69</v>
      </c>
      <c r="U217" t="s">
        <v>95</v>
      </c>
      <c r="V217" t="s">
        <v>102</v>
      </c>
      <c r="W217" s="1">
        <v>45412</v>
      </c>
      <c r="X217" t="b">
        <v>0</v>
      </c>
      <c r="Y217" t="b">
        <v>1</v>
      </c>
      <c r="Z217" t="s">
        <v>72</v>
      </c>
      <c r="AA217" t="s">
        <v>45</v>
      </c>
      <c r="AB217">
        <v>10</v>
      </c>
    </row>
    <row r="218" spans="1:28">
      <c r="A218" t="s">
        <v>616</v>
      </c>
      <c r="B218">
        <v>26</v>
      </c>
      <c r="C218" t="s">
        <v>50</v>
      </c>
      <c r="D218" t="s">
        <v>51</v>
      </c>
      <c r="E218" t="s">
        <v>65</v>
      </c>
      <c r="F218" t="s">
        <v>66</v>
      </c>
      <c r="G218" t="s">
        <v>34</v>
      </c>
      <c r="H218" t="s">
        <v>617</v>
      </c>
      <c r="I218" t="s">
        <v>54</v>
      </c>
      <c r="J218" s="2">
        <v>382.49</v>
      </c>
      <c r="K218">
        <v>6</v>
      </c>
      <c r="L218" t="s">
        <v>55</v>
      </c>
      <c r="M218">
        <v>4</v>
      </c>
      <c r="N218">
        <v>2</v>
      </c>
      <c r="O218">
        <v>2</v>
      </c>
      <c r="P218" t="s">
        <v>40</v>
      </c>
      <c r="Q218" t="s">
        <v>101</v>
      </c>
      <c r="R218">
        <v>2</v>
      </c>
      <c r="S218">
        <v>3</v>
      </c>
      <c r="T218" t="s">
        <v>56</v>
      </c>
      <c r="U218" t="s">
        <v>42</v>
      </c>
      <c r="V218" t="s">
        <v>71</v>
      </c>
      <c r="W218" s="1">
        <v>45323</v>
      </c>
      <c r="X218" t="b">
        <v>1</v>
      </c>
      <c r="Y218" t="b">
        <v>0</v>
      </c>
      <c r="Z218" t="s">
        <v>72</v>
      </c>
      <c r="AA218" t="s">
        <v>45</v>
      </c>
      <c r="AB218">
        <v>1</v>
      </c>
    </row>
    <row r="219" spans="1:28">
      <c r="A219" t="s">
        <v>619</v>
      </c>
      <c r="B219">
        <v>28</v>
      </c>
      <c r="C219" t="s">
        <v>50</v>
      </c>
      <c r="D219" t="s">
        <v>34</v>
      </c>
      <c r="E219" t="s">
        <v>92</v>
      </c>
      <c r="F219" t="s">
        <v>66</v>
      </c>
      <c r="G219" t="s">
        <v>51</v>
      </c>
      <c r="H219" t="s">
        <v>620</v>
      </c>
      <c r="I219" t="s">
        <v>242</v>
      </c>
      <c r="J219" s="2">
        <v>255.42</v>
      </c>
      <c r="K219">
        <v>9</v>
      </c>
      <c r="L219" t="s">
        <v>39</v>
      </c>
      <c r="M219">
        <v>5</v>
      </c>
      <c r="N219">
        <v>5</v>
      </c>
      <c r="O219">
        <v>2</v>
      </c>
      <c r="P219" t="s">
        <v>40</v>
      </c>
      <c r="Q219" t="s">
        <v>41</v>
      </c>
      <c r="R219">
        <v>1</v>
      </c>
      <c r="S219">
        <v>9</v>
      </c>
      <c r="T219" t="s">
        <v>40</v>
      </c>
      <c r="U219" t="s">
        <v>42</v>
      </c>
      <c r="V219" t="s">
        <v>58</v>
      </c>
      <c r="W219" s="1">
        <v>45474</v>
      </c>
      <c r="X219" t="b">
        <v>1</v>
      </c>
      <c r="Y219" t="b">
        <v>1</v>
      </c>
      <c r="Z219" t="s">
        <v>72</v>
      </c>
      <c r="AA219" t="s">
        <v>60</v>
      </c>
      <c r="AB219">
        <v>11</v>
      </c>
    </row>
    <row r="220" spans="1:28">
      <c r="A220" t="s">
        <v>621</v>
      </c>
      <c r="B220">
        <v>48</v>
      </c>
      <c r="C220" t="s">
        <v>33</v>
      </c>
      <c r="D220" t="s">
        <v>34</v>
      </c>
      <c r="E220" t="s">
        <v>65</v>
      </c>
      <c r="F220" t="s">
        <v>52</v>
      </c>
      <c r="G220" t="s">
        <v>51</v>
      </c>
      <c r="H220" t="s">
        <v>622</v>
      </c>
      <c r="I220" t="s">
        <v>156</v>
      </c>
      <c r="J220" s="2">
        <v>423.23</v>
      </c>
      <c r="K220">
        <v>12</v>
      </c>
      <c r="L220" t="s">
        <v>55</v>
      </c>
      <c r="M220">
        <v>3</v>
      </c>
      <c r="N220">
        <v>3</v>
      </c>
      <c r="O220">
        <v>2</v>
      </c>
      <c r="P220" t="s">
        <v>51</v>
      </c>
      <c r="Q220" t="s">
        <v>41</v>
      </c>
      <c r="R220">
        <v>0</v>
      </c>
      <c r="S220">
        <v>7</v>
      </c>
      <c r="T220" t="s">
        <v>69</v>
      </c>
      <c r="U220" t="s">
        <v>42</v>
      </c>
      <c r="V220" t="s">
        <v>71</v>
      </c>
      <c r="W220" s="1">
        <v>45601</v>
      </c>
      <c r="X220" t="b">
        <v>0</v>
      </c>
      <c r="Y220" t="b">
        <v>0</v>
      </c>
      <c r="Z220" t="s">
        <v>89</v>
      </c>
      <c r="AA220" t="s">
        <v>60</v>
      </c>
      <c r="AB220">
        <v>6</v>
      </c>
    </row>
    <row r="221" spans="1:28">
      <c r="A221" t="s">
        <v>623</v>
      </c>
      <c r="B221">
        <v>47</v>
      </c>
      <c r="C221" t="s">
        <v>50</v>
      </c>
      <c r="D221" t="s">
        <v>34</v>
      </c>
      <c r="E221" t="s">
        <v>65</v>
      </c>
      <c r="F221" t="s">
        <v>52</v>
      </c>
      <c r="G221" t="s">
        <v>51</v>
      </c>
      <c r="H221" t="s">
        <v>2278</v>
      </c>
      <c r="I221" t="s">
        <v>235</v>
      </c>
      <c r="J221" s="2">
        <v>276.08</v>
      </c>
      <c r="K221">
        <v>4</v>
      </c>
      <c r="L221" t="s">
        <v>39</v>
      </c>
      <c r="M221">
        <v>4</v>
      </c>
      <c r="N221">
        <v>5</v>
      </c>
      <c r="O221">
        <v>0.3</v>
      </c>
      <c r="P221" t="s">
        <v>51</v>
      </c>
      <c r="Q221" t="s">
        <v>41</v>
      </c>
      <c r="R221">
        <v>2</v>
      </c>
      <c r="S221">
        <v>10</v>
      </c>
      <c r="T221" t="s">
        <v>69</v>
      </c>
      <c r="U221" t="s">
        <v>70</v>
      </c>
      <c r="V221" t="s">
        <v>43</v>
      </c>
      <c r="W221" s="1">
        <v>45320</v>
      </c>
      <c r="X221" t="b">
        <v>0</v>
      </c>
      <c r="Y221" t="b">
        <v>1</v>
      </c>
      <c r="Z221" t="s">
        <v>44</v>
      </c>
      <c r="AA221" t="s">
        <v>45</v>
      </c>
      <c r="AB221">
        <v>10</v>
      </c>
    </row>
    <row r="222" spans="1:28">
      <c r="A222" t="s">
        <v>625</v>
      </c>
      <c r="B222">
        <v>25</v>
      </c>
      <c r="C222" t="s">
        <v>50</v>
      </c>
      <c r="D222" t="s">
        <v>34</v>
      </c>
      <c r="E222" t="s">
        <v>82</v>
      </c>
      <c r="F222" t="s">
        <v>36</v>
      </c>
      <c r="G222" t="s">
        <v>34</v>
      </c>
      <c r="H222" t="s">
        <v>626</v>
      </c>
      <c r="I222" t="s">
        <v>98</v>
      </c>
      <c r="J222" s="2">
        <v>333.56</v>
      </c>
      <c r="K222">
        <v>3</v>
      </c>
      <c r="L222" t="s">
        <v>39</v>
      </c>
      <c r="M222">
        <v>4</v>
      </c>
      <c r="N222">
        <v>5</v>
      </c>
      <c r="O222">
        <v>1</v>
      </c>
      <c r="P222" t="s">
        <v>69</v>
      </c>
      <c r="Q222" t="s">
        <v>57</v>
      </c>
      <c r="R222">
        <v>2</v>
      </c>
      <c r="S222">
        <v>2</v>
      </c>
      <c r="T222" t="s">
        <v>51</v>
      </c>
      <c r="U222" t="s">
        <v>70</v>
      </c>
      <c r="V222" t="s">
        <v>76</v>
      </c>
      <c r="W222" s="1">
        <v>45590</v>
      </c>
      <c r="X222" t="b">
        <v>1</v>
      </c>
      <c r="Y222" t="b">
        <v>1</v>
      </c>
      <c r="Z222" t="s">
        <v>72</v>
      </c>
      <c r="AA222" t="s">
        <v>45</v>
      </c>
      <c r="AB222">
        <v>14</v>
      </c>
    </row>
    <row r="223" spans="1:28">
      <c r="A223" t="s">
        <v>627</v>
      </c>
      <c r="B223">
        <v>39</v>
      </c>
      <c r="C223" t="s">
        <v>50</v>
      </c>
      <c r="D223" t="s">
        <v>51</v>
      </c>
      <c r="E223" t="s">
        <v>92</v>
      </c>
      <c r="F223" t="s">
        <v>36</v>
      </c>
      <c r="G223" t="s">
        <v>34</v>
      </c>
      <c r="H223" t="s">
        <v>628</v>
      </c>
      <c r="I223" t="s">
        <v>199</v>
      </c>
      <c r="J223" s="2">
        <v>129.82</v>
      </c>
      <c r="K223">
        <v>12</v>
      </c>
      <c r="L223" t="s">
        <v>39</v>
      </c>
      <c r="M223">
        <v>1</v>
      </c>
      <c r="N223">
        <v>2</v>
      </c>
      <c r="O223">
        <v>0</v>
      </c>
      <c r="P223" t="s">
        <v>51</v>
      </c>
      <c r="Q223" t="s">
        <v>57</v>
      </c>
      <c r="R223">
        <v>2</v>
      </c>
      <c r="S223">
        <v>1</v>
      </c>
      <c r="T223" t="s">
        <v>51</v>
      </c>
      <c r="U223" t="s">
        <v>42</v>
      </c>
      <c r="V223" t="s">
        <v>102</v>
      </c>
      <c r="W223" s="1">
        <v>45446</v>
      </c>
      <c r="X223" t="b">
        <v>0</v>
      </c>
      <c r="Y223" t="b">
        <v>0</v>
      </c>
      <c r="Z223" t="s">
        <v>72</v>
      </c>
      <c r="AA223" t="s">
        <v>60</v>
      </c>
      <c r="AB223">
        <v>8</v>
      </c>
    </row>
    <row r="224" spans="1:28">
      <c r="A224" t="s">
        <v>629</v>
      </c>
      <c r="B224">
        <v>41</v>
      </c>
      <c r="C224" t="s">
        <v>33</v>
      </c>
      <c r="D224" t="s">
        <v>51</v>
      </c>
      <c r="E224" t="s">
        <v>82</v>
      </c>
      <c r="F224" t="s">
        <v>52</v>
      </c>
      <c r="G224" t="s">
        <v>51</v>
      </c>
      <c r="H224" t="s">
        <v>630</v>
      </c>
      <c r="I224" t="s">
        <v>229</v>
      </c>
      <c r="J224" s="2">
        <v>278.77999999999997</v>
      </c>
      <c r="K224">
        <v>3</v>
      </c>
      <c r="L224" t="s">
        <v>39</v>
      </c>
      <c r="M224">
        <v>5</v>
      </c>
      <c r="N224">
        <v>2</v>
      </c>
      <c r="O224">
        <v>0</v>
      </c>
      <c r="P224" t="s">
        <v>56</v>
      </c>
      <c r="Q224" t="s">
        <v>57</v>
      </c>
      <c r="R224">
        <v>0</v>
      </c>
      <c r="S224">
        <v>1</v>
      </c>
      <c r="T224" t="s">
        <v>69</v>
      </c>
      <c r="U224" t="s">
        <v>95</v>
      </c>
      <c r="V224" t="s">
        <v>43</v>
      </c>
      <c r="W224" s="1">
        <v>45457</v>
      </c>
      <c r="X224" t="b">
        <v>1</v>
      </c>
      <c r="Y224" t="b">
        <v>0</v>
      </c>
      <c r="Z224" t="s">
        <v>59</v>
      </c>
      <c r="AA224" t="s">
        <v>60</v>
      </c>
      <c r="AB224">
        <v>2</v>
      </c>
    </row>
    <row r="225" spans="1:28">
      <c r="A225" t="s">
        <v>631</v>
      </c>
      <c r="B225">
        <v>37</v>
      </c>
      <c r="C225" t="s">
        <v>50</v>
      </c>
      <c r="D225" t="s">
        <v>34</v>
      </c>
      <c r="E225" t="s">
        <v>35</v>
      </c>
      <c r="F225" t="s">
        <v>36</v>
      </c>
      <c r="G225" t="s">
        <v>51</v>
      </c>
      <c r="H225" t="s">
        <v>2279</v>
      </c>
      <c r="I225" t="s">
        <v>38</v>
      </c>
      <c r="J225" s="2">
        <v>112.55</v>
      </c>
      <c r="K225">
        <v>5</v>
      </c>
      <c r="L225" t="s">
        <v>55</v>
      </c>
      <c r="M225">
        <v>1</v>
      </c>
      <c r="N225">
        <v>4</v>
      </c>
      <c r="O225">
        <v>2</v>
      </c>
      <c r="P225" t="s">
        <v>40</v>
      </c>
      <c r="Q225" t="s">
        <v>101</v>
      </c>
      <c r="R225">
        <v>2</v>
      </c>
      <c r="S225">
        <v>1</v>
      </c>
      <c r="T225" t="s">
        <v>69</v>
      </c>
      <c r="U225" t="s">
        <v>95</v>
      </c>
      <c r="V225" t="s">
        <v>43</v>
      </c>
      <c r="W225" s="1">
        <v>45587</v>
      </c>
      <c r="X225" t="b">
        <v>1</v>
      </c>
      <c r="Y225" t="b">
        <v>0</v>
      </c>
      <c r="Z225" t="s">
        <v>89</v>
      </c>
      <c r="AA225" t="s">
        <v>60</v>
      </c>
      <c r="AB225">
        <v>2</v>
      </c>
    </row>
    <row r="226" spans="1:28">
      <c r="A226" t="s">
        <v>632</v>
      </c>
      <c r="B226">
        <v>50</v>
      </c>
      <c r="C226" t="s">
        <v>33</v>
      </c>
      <c r="D226" t="s">
        <v>34</v>
      </c>
      <c r="E226" t="s">
        <v>92</v>
      </c>
      <c r="F226" t="s">
        <v>36</v>
      </c>
      <c r="G226" t="s">
        <v>51</v>
      </c>
      <c r="H226" t="s">
        <v>633</v>
      </c>
      <c r="I226" t="s">
        <v>156</v>
      </c>
      <c r="J226" s="2">
        <v>142.02000000000001</v>
      </c>
      <c r="K226">
        <v>7</v>
      </c>
      <c r="L226" t="s">
        <v>55</v>
      </c>
      <c r="M226">
        <v>1</v>
      </c>
      <c r="N226">
        <v>5</v>
      </c>
      <c r="O226">
        <v>0</v>
      </c>
      <c r="P226" t="s">
        <v>69</v>
      </c>
      <c r="Q226" t="s">
        <v>101</v>
      </c>
      <c r="R226">
        <v>1</v>
      </c>
      <c r="S226">
        <v>9</v>
      </c>
      <c r="T226" t="s">
        <v>56</v>
      </c>
      <c r="U226" t="s">
        <v>95</v>
      </c>
      <c r="V226" t="s">
        <v>102</v>
      </c>
      <c r="W226" s="1">
        <v>45482</v>
      </c>
      <c r="X226" t="b">
        <v>1</v>
      </c>
      <c r="Y226" t="b">
        <v>0</v>
      </c>
      <c r="Z226" t="s">
        <v>72</v>
      </c>
      <c r="AA226" t="s">
        <v>60</v>
      </c>
      <c r="AB226">
        <v>3</v>
      </c>
    </row>
    <row r="227" spans="1:28">
      <c r="A227" t="s">
        <v>634</v>
      </c>
      <c r="B227">
        <v>33</v>
      </c>
      <c r="C227" t="s">
        <v>33</v>
      </c>
      <c r="D227" t="s">
        <v>51</v>
      </c>
      <c r="E227" t="s">
        <v>82</v>
      </c>
      <c r="F227" t="s">
        <v>52</v>
      </c>
      <c r="G227" t="s">
        <v>51</v>
      </c>
      <c r="H227" t="s">
        <v>635</v>
      </c>
      <c r="I227" t="s">
        <v>143</v>
      </c>
      <c r="J227" s="2">
        <v>481.84</v>
      </c>
      <c r="K227">
        <v>10</v>
      </c>
      <c r="L227" t="s">
        <v>55</v>
      </c>
      <c r="M227">
        <v>1</v>
      </c>
      <c r="N227">
        <v>4</v>
      </c>
      <c r="O227">
        <v>2</v>
      </c>
      <c r="P227" t="s">
        <v>51</v>
      </c>
      <c r="Q227" t="s">
        <v>41</v>
      </c>
      <c r="R227">
        <v>1</v>
      </c>
      <c r="S227">
        <v>1</v>
      </c>
      <c r="T227" t="s">
        <v>56</v>
      </c>
      <c r="U227" t="s">
        <v>42</v>
      </c>
      <c r="V227" t="s">
        <v>102</v>
      </c>
      <c r="W227" s="1">
        <v>45518</v>
      </c>
      <c r="X227" t="b">
        <v>0</v>
      </c>
      <c r="Y227" t="b">
        <v>0</v>
      </c>
      <c r="Z227" t="s">
        <v>59</v>
      </c>
      <c r="AA227" t="s">
        <v>77</v>
      </c>
      <c r="AB227">
        <v>9</v>
      </c>
    </row>
    <row r="228" spans="1:28">
      <c r="A228" t="s">
        <v>636</v>
      </c>
      <c r="B228">
        <v>50</v>
      </c>
      <c r="C228" t="s">
        <v>340</v>
      </c>
      <c r="D228" t="s">
        <v>51</v>
      </c>
      <c r="E228" t="s">
        <v>92</v>
      </c>
      <c r="F228" t="s">
        <v>66</v>
      </c>
      <c r="G228" t="s">
        <v>34</v>
      </c>
      <c r="H228" t="s">
        <v>637</v>
      </c>
      <c r="I228" t="s">
        <v>143</v>
      </c>
      <c r="J228" s="2">
        <v>165.01</v>
      </c>
      <c r="K228">
        <v>10</v>
      </c>
      <c r="L228" t="s">
        <v>39</v>
      </c>
      <c r="M228">
        <v>1</v>
      </c>
      <c r="N228">
        <v>2</v>
      </c>
      <c r="O228">
        <v>1</v>
      </c>
      <c r="P228" t="s">
        <v>56</v>
      </c>
      <c r="Q228" t="s">
        <v>41</v>
      </c>
      <c r="R228">
        <v>1</v>
      </c>
      <c r="S228">
        <v>5</v>
      </c>
      <c r="T228" t="s">
        <v>56</v>
      </c>
      <c r="U228" t="s">
        <v>95</v>
      </c>
      <c r="V228" t="s">
        <v>58</v>
      </c>
      <c r="W228" s="1">
        <v>45399</v>
      </c>
      <c r="X228" t="b">
        <v>1</v>
      </c>
      <c r="Y228" t="b">
        <v>0</v>
      </c>
      <c r="Z228" t="s">
        <v>72</v>
      </c>
      <c r="AA228" t="s">
        <v>45</v>
      </c>
      <c r="AB228">
        <v>10</v>
      </c>
    </row>
    <row r="229" spans="1:28">
      <c r="A229" t="s">
        <v>638</v>
      </c>
      <c r="B229">
        <v>25</v>
      </c>
      <c r="C229" t="s">
        <v>50</v>
      </c>
      <c r="D229" t="s">
        <v>34</v>
      </c>
      <c r="E229" t="s">
        <v>92</v>
      </c>
      <c r="F229" t="s">
        <v>52</v>
      </c>
      <c r="G229" t="s">
        <v>34</v>
      </c>
      <c r="H229" t="s">
        <v>639</v>
      </c>
      <c r="I229" t="s">
        <v>153</v>
      </c>
      <c r="J229" s="2">
        <v>56.85</v>
      </c>
      <c r="K229">
        <v>5</v>
      </c>
      <c r="L229" t="s">
        <v>94</v>
      </c>
      <c r="M229">
        <v>2</v>
      </c>
      <c r="N229">
        <v>1</v>
      </c>
      <c r="O229">
        <v>2</v>
      </c>
      <c r="P229" t="s">
        <v>40</v>
      </c>
      <c r="Q229" t="s">
        <v>101</v>
      </c>
      <c r="R229">
        <v>0</v>
      </c>
      <c r="S229">
        <v>1</v>
      </c>
      <c r="T229" t="s">
        <v>51</v>
      </c>
      <c r="U229" t="s">
        <v>70</v>
      </c>
      <c r="V229" t="s">
        <v>102</v>
      </c>
      <c r="W229" s="1">
        <v>45612</v>
      </c>
      <c r="X229" t="b">
        <v>1</v>
      </c>
      <c r="Y229" t="b">
        <v>0</v>
      </c>
      <c r="Z229" t="s">
        <v>59</v>
      </c>
      <c r="AA229" t="s">
        <v>60</v>
      </c>
      <c r="AB229">
        <v>14</v>
      </c>
    </row>
    <row r="230" spans="1:28">
      <c r="A230" t="s">
        <v>640</v>
      </c>
      <c r="B230">
        <v>34</v>
      </c>
      <c r="C230" t="s">
        <v>340</v>
      </c>
      <c r="D230" t="s">
        <v>51</v>
      </c>
      <c r="E230" t="s">
        <v>65</v>
      </c>
      <c r="F230" t="s">
        <v>36</v>
      </c>
      <c r="G230" t="s">
        <v>51</v>
      </c>
      <c r="H230" t="s">
        <v>641</v>
      </c>
      <c r="I230" t="s">
        <v>135</v>
      </c>
      <c r="J230" s="2">
        <v>182.89</v>
      </c>
      <c r="K230">
        <v>2</v>
      </c>
      <c r="L230" t="s">
        <v>39</v>
      </c>
      <c r="M230">
        <v>5</v>
      </c>
      <c r="N230">
        <v>3</v>
      </c>
      <c r="O230">
        <v>1</v>
      </c>
      <c r="P230" t="s">
        <v>69</v>
      </c>
      <c r="Q230" t="s">
        <v>57</v>
      </c>
      <c r="R230">
        <v>1</v>
      </c>
      <c r="S230">
        <v>9</v>
      </c>
      <c r="T230" t="s">
        <v>69</v>
      </c>
      <c r="U230" t="s">
        <v>70</v>
      </c>
      <c r="V230" t="s">
        <v>58</v>
      </c>
      <c r="W230" s="1">
        <v>45516</v>
      </c>
      <c r="X230" t="b">
        <v>0</v>
      </c>
      <c r="Y230" t="b">
        <v>0</v>
      </c>
      <c r="Z230" t="s">
        <v>59</v>
      </c>
      <c r="AA230" t="s">
        <v>77</v>
      </c>
      <c r="AB230">
        <v>5</v>
      </c>
    </row>
    <row r="231" spans="1:28">
      <c r="A231" t="s">
        <v>642</v>
      </c>
      <c r="B231">
        <v>39</v>
      </c>
      <c r="C231" t="s">
        <v>50</v>
      </c>
      <c r="D231" t="s">
        <v>51</v>
      </c>
      <c r="E231" t="s">
        <v>82</v>
      </c>
      <c r="F231" t="s">
        <v>52</v>
      </c>
      <c r="G231" t="s">
        <v>51</v>
      </c>
      <c r="H231" t="s">
        <v>2280</v>
      </c>
      <c r="I231" t="s">
        <v>98</v>
      </c>
      <c r="J231" s="2">
        <v>373.01</v>
      </c>
      <c r="K231">
        <v>5</v>
      </c>
      <c r="L231" t="s">
        <v>55</v>
      </c>
      <c r="M231">
        <v>5</v>
      </c>
      <c r="N231">
        <v>5</v>
      </c>
      <c r="O231">
        <v>1</v>
      </c>
      <c r="P231" t="s">
        <v>69</v>
      </c>
      <c r="Q231" t="s">
        <v>41</v>
      </c>
      <c r="R231">
        <v>1</v>
      </c>
      <c r="S231">
        <v>4</v>
      </c>
      <c r="T231" t="s">
        <v>56</v>
      </c>
      <c r="U231" t="s">
        <v>70</v>
      </c>
      <c r="V231" t="s">
        <v>58</v>
      </c>
      <c r="W231" s="1">
        <v>45500</v>
      </c>
      <c r="X231" t="b">
        <v>0</v>
      </c>
      <c r="Y231" t="b">
        <v>1</v>
      </c>
      <c r="Z231" t="s">
        <v>72</v>
      </c>
      <c r="AA231" t="s">
        <v>77</v>
      </c>
      <c r="AB231">
        <v>8</v>
      </c>
    </row>
    <row r="232" spans="1:28">
      <c r="A232" t="s">
        <v>644</v>
      </c>
      <c r="B232">
        <v>41</v>
      </c>
      <c r="C232" t="s">
        <v>50</v>
      </c>
      <c r="D232" t="s">
        <v>34</v>
      </c>
      <c r="E232" t="s">
        <v>65</v>
      </c>
      <c r="F232" t="s">
        <v>66</v>
      </c>
      <c r="G232" t="s">
        <v>34</v>
      </c>
      <c r="H232" t="s">
        <v>645</v>
      </c>
      <c r="I232" t="s">
        <v>75</v>
      </c>
      <c r="J232" s="2">
        <v>220.77</v>
      </c>
      <c r="K232">
        <v>7</v>
      </c>
      <c r="L232" t="s">
        <v>94</v>
      </c>
      <c r="M232">
        <v>4</v>
      </c>
      <c r="N232">
        <v>2</v>
      </c>
      <c r="O232">
        <v>2</v>
      </c>
      <c r="P232" t="s">
        <v>69</v>
      </c>
      <c r="Q232" t="s">
        <v>57</v>
      </c>
      <c r="R232">
        <v>2</v>
      </c>
      <c r="S232">
        <v>1</v>
      </c>
      <c r="T232" t="s">
        <v>40</v>
      </c>
      <c r="U232" t="s">
        <v>70</v>
      </c>
      <c r="V232" t="s">
        <v>71</v>
      </c>
      <c r="W232" s="1">
        <v>45397</v>
      </c>
      <c r="X232" t="b">
        <v>1</v>
      </c>
      <c r="Y232" t="b">
        <v>1</v>
      </c>
      <c r="Z232" t="s">
        <v>44</v>
      </c>
      <c r="AA232" t="s">
        <v>60</v>
      </c>
      <c r="AB232">
        <v>11</v>
      </c>
    </row>
    <row r="233" spans="1:28">
      <c r="A233" t="s">
        <v>646</v>
      </c>
      <c r="B233">
        <v>27</v>
      </c>
      <c r="C233" t="s">
        <v>50</v>
      </c>
      <c r="D233" t="s">
        <v>34</v>
      </c>
      <c r="E233" t="s">
        <v>35</v>
      </c>
      <c r="F233" t="s">
        <v>66</v>
      </c>
      <c r="G233" t="s">
        <v>51</v>
      </c>
      <c r="H233" t="s">
        <v>647</v>
      </c>
      <c r="I233" t="s">
        <v>135</v>
      </c>
      <c r="J233" s="2">
        <v>291.08999999999997</v>
      </c>
      <c r="K233">
        <v>11</v>
      </c>
      <c r="L233" t="s">
        <v>94</v>
      </c>
      <c r="M233">
        <v>2</v>
      </c>
      <c r="N233">
        <v>2</v>
      </c>
      <c r="O233">
        <v>2</v>
      </c>
      <c r="P233" t="s">
        <v>40</v>
      </c>
      <c r="Q233" t="s">
        <v>41</v>
      </c>
      <c r="R233">
        <v>0</v>
      </c>
      <c r="S233">
        <v>9</v>
      </c>
      <c r="T233" t="s">
        <v>51</v>
      </c>
      <c r="U233" t="s">
        <v>70</v>
      </c>
      <c r="V233" t="s">
        <v>58</v>
      </c>
      <c r="W233" s="1">
        <v>45571</v>
      </c>
      <c r="X233" t="b">
        <v>1</v>
      </c>
      <c r="Y233" t="b">
        <v>0</v>
      </c>
      <c r="Z233" t="s">
        <v>44</v>
      </c>
      <c r="AA233" t="s">
        <v>45</v>
      </c>
      <c r="AB233">
        <v>1</v>
      </c>
    </row>
    <row r="234" spans="1:28">
      <c r="A234" t="s">
        <v>648</v>
      </c>
      <c r="B234">
        <v>23</v>
      </c>
      <c r="C234" t="s">
        <v>340</v>
      </c>
      <c r="D234" t="s">
        <v>51</v>
      </c>
      <c r="E234" t="s">
        <v>35</v>
      </c>
      <c r="F234" t="s">
        <v>36</v>
      </c>
      <c r="G234" t="s">
        <v>34</v>
      </c>
      <c r="H234" t="s">
        <v>649</v>
      </c>
      <c r="I234" t="s">
        <v>150</v>
      </c>
      <c r="J234" s="2">
        <v>414.06</v>
      </c>
      <c r="K234">
        <v>9</v>
      </c>
      <c r="L234" t="s">
        <v>39</v>
      </c>
      <c r="M234">
        <v>1</v>
      </c>
      <c r="N234">
        <v>4</v>
      </c>
      <c r="O234">
        <v>2</v>
      </c>
      <c r="P234" t="s">
        <v>56</v>
      </c>
      <c r="Q234" t="s">
        <v>41</v>
      </c>
      <c r="R234">
        <v>2</v>
      </c>
      <c r="S234">
        <v>4</v>
      </c>
      <c r="T234" t="s">
        <v>51</v>
      </c>
      <c r="U234" t="s">
        <v>95</v>
      </c>
      <c r="V234" t="s">
        <v>58</v>
      </c>
      <c r="W234" s="1">
        <v>45622</v>
      </c>
      <c r="X234" t="b">
        <v>1</v>
      </c>
      <c r="Y234" t="b">
        <v>0</v>
      </c>
      <c r="Z234" t="s">
        <v>89</v>
      </c>
      <c r="AA234" t="s">
        <v>77</v>
      </c>
      <c r="AB234">
        <v>2</v>
      </c>
    </row>
    <row r="235" spans="1:28">
      <c r="A235" t="s">
        <v>651</v>
      </c>
      <c r="B235">
        <v>37</v>
      </c>
      <c r="C235" t="s">
        <v>50</v>
      </c>
      <c r="D235" t="s">
        <v>34</v>
      </c>
      <c r="E235" t="s">
        <v>82</v>
      </c>
      <c r="F235" t="s">
        <v>36</v>
      </c>
      <c r="G235" t="s">
        <v>34</v>
      </c>
      <c r="H235" t="s">
        <v>2281</v>
      </c>
      <c r="I235" t="s">
        <v>127</v>
      </c>
      <c r="J235" s="2">
        <v>408.51</v>
      </c>
      <c r="K235">
        <v>9</v>
      </c>
      <c r="L235" t="s">
        <v>94</v>
      </c>
      <c r="M235">
        <v>2</v>
      </c>
      <c r="N235">
        <v>1</v>
      </c>
      <c r="O235">
        <v>2</v>
      </c>
      <c r="P235" t="s">
        <v>51</v>
      </c>
      <c r="Q235" t="s">
        <v>101</v>
      </c>
      <c r="R235">
        <v>0</v>
      </c>
      <c r="S235">
        <v>7</v>
      </c>
      <c r="T235" t="s">
        <v>56</v>
      </c>
      <c r="U235" t="s">
        <v>70</v>
      </c>
      <c r="V235" t="s">
        <v>43</v>
      </c>
      <c r="W235" s="1">
        <v>45438</v>
      </c>
      <c r="X235" t="b">
        <v>1</v>
      </c>
      <c r="Y235" t="b">
        <v>0</v>
      </c>
      <c r="Z235" t="s">
        <v>59</v>
      </c>
      <c r="AA235" t="s">
        <v>77</v>
      </c>
      <c r="AB235">
        <v>1</v>
      </c>
    </row>
    <row r="236" spans="1:28">
      <c r="A236" t="s">
        <v>652</v>
      </c>
      <c r="B236">
        <v>21</v>
      </c>
      <c r="C236" t="s">
        <v>50</v>
      </c>
      <c r="D236" t="s">
        <v>34</v>
      </c>
      <c r="E236" t="s">
        <v>35</v>
      </c>
      <c r="F236" t="s">
        <v>52</v>
      </c>
      <c r="G236" t="s">
        <v>51</v>
      </c>
      <c r="H236" t="s">
        <v>2282</v>
      </c>
      <c r="I236" t="s">
        <v>84</v>
      </c>
      <c r="J236" s="2">
        <v>103.4</v>
      </c>
      <c r="K236">
        <v>9</v>
      </c>
      <c r="L236" t="s">
        <v>55</v>
      </c>
      <c r="M236">
        <v>4</v>
      </c>
      <c r="N236">
        <v>1</v>
      </c>
      <c r="O236">
        <v>2</v>
      </c>
      <c r="P236" t="s">
        <v>51</v>
      </c>
      <c r="Q236" t="s">
        <v>57</v>
      </c>
      <c r="R236">
        <v>1</v>
      </c>
      <c r="S236">
        <v>9</v>
      </c>
      <c r="T236" t="s">
        <v>56</v>
      </c>
      <c r="U236" t="s">
        <v>70</v>
      </c>
      <c r="V236" t="s">
        <v>71</v>
      </c>
      <c r="W236" s="1">
        <v>45600</v>
      </c>
      <c r="X236" t="b">
        <v>1</v>
      </c>
      <c r="Y236" t="b">
        <v>0</v>
      </c>
      <c r="Z236" t="s">
        <v>89</v>
      </c>
      <c r="AA236" t="s">
        <v>60</v>
      </c>
      <c r="AB236">
        <v>9</v>
      </c>
    </row>
    <row r="237" spans="1:28">
      <c r="A237" t="s">
        <v>654</v>
      </c>
      <c r="B237">
        <v>47</v>
      </c>
      <c r="C237" t="s">
        <v>50</v>
      </c>
      <c r="D237" t="s">
        <v>34</v>
      </c>
      <c r="E237" t="s">
        <v>65</v>
      </c>
      <c r="F237" t="s">
        <v>52</v>
      </c>
      <c r="G237" t="s">
        <v>51</v>
      </c>
      <c r="H237" t="s">
        <v>655</v>
      </c>
      <c r="I237" t="s">
        <v>84</v>
      </c>
      <c r="J237" s="2">
        <v>67.92</v>
      </c>
      <c r="K237">
        <v>3</v>
      </c>
      <c r="L237" t="s">
        <v>55</v>
      </c>
      <c r="M237">
        <v>1</v>
      </c>
      <c r="N237">
        <v>3</v>
      </c>
      <c r="O237">
        <v>0</v>
      </c>
      <c r="P237" t="s">
        <v>69</v>
      </c>
      <c r="Q237" t="s">
        <v>57</v>
      </c>
      <c r="R237">
        <v>1</v>
      </c>
      <c r="S237">
        <v>8</v>
      </c>
      <c r="T237" t="s">
        <v>69</v>
      </c>
      <c r="U237" t="s">
        <v>42</v>
      </c>
      <c r="V237" t="s">
        <v>102</v>
      </c>
      <c r="W237" s="1">
        <v>45583</v>
      </c>
      <c r="X237" t="b">
        <v>0</v>
      </c>
      <c r="Y237" t="b">
        <v>1</v>
      </c>
      <c r="Z237" t="s">
        <v>72</v>
      </c>
      <c r="AA237" t="s">
        <v>77</v>
      </c>
      <c r="AB237">
        <v>10</v>
      </c>
    </row>
    <row r="238" spans="1:28">
      <c r="A238" t="s">
        <v>656</v>
      </c>
      <c r="B238">
        <v>42</v>
      </c>
      <c r="C238" t="s">
        <v>340</v>
      </c>
      <c r="D238" t="s">
        <v>34</v>
      </c>
      <c r="E238" t="s">
        <v>65</v>
      </c>
      <c r="F238" t="s">
        <v>52</v>
      </c>
      <c r="G238" t="s">
        <v>34</v>
      </c>
      <c r="H238" t="s">
        <v>657</v>
      </c>
      <c r="I238" t="s">
        <v>180</v>
      </c>
      <c r="J238" s="2">
        <v>354.16</v>
      </c>
      <c r="K238">
        <v>8</v>
      </c>
      <c r="L238" t="s">
        <v>55</v>
      </c>
      <c r="M238">
        <v>1</v>
      </c>
      <c r="N238">
        <v>1</v>
      </c>
      <c r="O238">
        <v>1</v>
      </c>
      <c r="P238" t="s">
        <v>69</v>
      </c>
      <c r="Q238" t="s">
        <v>57</v>
      </c>
      <c r="R238">
        <v>2</v>
      </c>
      <c r="S238">
        <v>3</v>
      </c>
      <c r="T238" t="s">
        <v>69</v>
      </c>
      <c r="U238" t="s">
        <v>95</v>
      </c>
      <c r="V238" t="s">
        <v>43</v>
      </c>
      <c r="W238" s="1">
        <v>45456</v>
      </c>
      <c r="X238" t="b">
        <v>1</v>
      </c>
      <c r="Y238" t="b">
        <v>0</v>
      </c>
      <c r="Z238" t="s">
        <v>89</v>
      </c>
      <c r="AA238" t="s">
        <v>77</v>
      </c>
      <c r="AB238">
        <v>5</v>
      </c>
    </row>
    <row r="239" spans="1:28">
      <c r="A239" t="s">
        <v>658</v>
      </c>
      <c r="B239">
        <v>30</v>
      </c>
      <c r="C239" t="s">
        <v>50</v>
      </c>
      <c r="D239" t="s">
        <v>34</v>
      </c>
      <c r="E239" t="s">
        <v>82</v>
      </c>
      <c r="F239" t="s">
        <v>36</v>
      </c>
      <c r="G239" t="s">
        <v>34</v>
      </c>
      <c r="H239" t="s">
        <v>2283</v>
      </c>
      <c r="I239" t="s">
        <v>98</v>
      </c>
      <c r="J239" s="2">
        <v>276.77</v>
      </c>
      <c r="K239">
        <v>2</v>
      </c>
      <c r="L239" t="s">
        <v>39</v>
      </c>
      <c r="M239">
        <v>1</v>
      </c>
      <c r="N239">
        <v>1</v>
      </c>
      <c r="O239">
        <v>2</v>
      </c>
      <c r="P239" t="s">
        <v>69</v>
      </c>
      <c r="Q239" t="s">
        <v>101</v>
      </c>
      <c r="R239">
        <v>1</v>
      </c>
      <c r="S239">
        <v>2</v>
      </c>
      <c r="T239" t="s">
        <v>51</v>
      </c>
      <c r="U239" t="s">
        <v>70</v>
      </c>
      <c r="V239" t="s">
        <v>102</v>
      </c>
      <c r="W239" s="1">
        <v>45354</v>
      </c>
      <c r="X239" t="b">
        <v>1</v>
      </c>
      <c r="Y239" t="b">
        <v>1</v>
      </c>
      <c r="Z239" t="s">
        <v>59</v>
      </c>
      <c r="AA239" t="s">
        <v>45</v>
      </c>
      <c r="AB239">
        <v>4</v>
      </c>
    </row>
    <row r="240" spans="1:28">
      <c r="A240" t="s">
        <v>660</v>
      </c>
      <c r="B240">
        <v>49</v>
      </c>
      <c r="C240" t="s">
        <v>50</v>
      </c>
      <c r="D240" t="s">
        <v>34</v>
      </c>
      <c r="E240" t="s">
        <v>65</v>
      </c>
      <c r="F240" t="s">
        <v>52</v>
      </c>
      <c r="G240" t="s">
        <v>34</v>
      </c>
      <c r="H240" t="s">
        <v>661</v>
      </c>
      <c r="I240" t="s">
        <v>131</v>
      </c>
      <c r="J240" s="2">
        <v>190.25</v>
      </c>
      <c r="K240">
        <v>6</v>
      </c>
      <c r="L240" t="s">
        <v>39</v>
      </c>
      <c r="M240">
        <v>4</v>
      </c>
      <c r="N240">
        <v>2</v>
      </c>
      <c r="O240">
        <v>2</v>
      </c>
      <c r="P240" t="s">
        <v>40</v>
      </c>
      <c r="Q240" t="s">
        <v>101</v>
      </c>
      <c r="R240">
        <v>2</v>
      </c>
      <c r="S240">
        <v>9</v>
      </c>
      <c r="T240" t="s">
        <v>40</v>
      </c>
      <c r="U240" t="s">
        <v>42</v>
      </c>
      <c r="V240" t="s">
        <v>58</v>
      </c>
      <c r="W240" s="1">
        <v>45446</v>
      </c>
      <c r="X240" t="b">
        <v>0</v>
      </c>
      <c r="Y240" t="b">
        <v>0</v>
      </c>
      <c r="Z240" t="s">
        <v>89</v>
      </c>
      <c r="AA240" t="s">
        <v>77</v>
      </c>
      <c r="AB240">
        <v>13</v>
      </c>
    </row>
    <row r="241" spans="1:28">
      <c r="A241" t="s">
        <v>662</v>
      </c>
      <c r="B241">
        <v>28</v>
      </c>
      <c r="C241" t="s">
        <v>33</v>
      </c>
      <c r="D241" t="s">
        <v>34</v>
      </c>
      <c r="E241" t="s">
        <v>35</v>
      </c>
      <c r="F241" t="s">
        <v>66</v>
      </c>
      <c r="G241" t="s">
        <v>34</v>
      </c>
      <c r="H241" t="s">
        <v>2284</v>
      </c>
      <c r="I241" t="s">
        <v>127</v>
      </c>
      <c r="J241" s="2">
        <v>203.49</v>
      </c>
      <c r="K241">
        <v>7</v>
      </c>
      <c r="L241" t="s">
        <v>55</v>
      </c>
      <c r="M241">
        <v>4</v>
      </c>
      <c r="N241">
        <v>1</v>
      </c>
      <c r="O241">
        <v>2</v>
      </c>
      <c r="P241" t="s">
        <v>56</v>
      </c>
      <c r="Q241" t="s">
        <v>57</v>
      </c>
      <c r="R241">
        <v>1</v>
      </c>
      <c r="S241">
        <v>8</v>
      </c>
      <c r="T241" t="s">
        <v>51</v>
      </c>
      <c r="U241" t="s">
        <v>42</v>
      </c>
      <c r="V241" t="s">
        <v>102</v>
      </c>
      <c r="W241" s="1">
        <v>45514</v>
      </c>
      <c r="X241" t="b">
        <v>0</v>
      </c>
      <c r="Y241" t="b">
        <v>1</v>
      </c>
      <c r="Z241" t="s">
        <v>44</v>
      </c>
      <c r="AA241" t="s">
        <v>77</v>
      </c>
      <c r="AB241">
        <v>11</v>
      </c>
    </row>
    <row r="242" spans="1:28">
      <c r="A242" t="s">
        <v>664</v>
      </c>
      <c r="B242">
        <v>24</v>
      </c>
      <c r="C242" t="s">
        <v>50</v>
      </c>
      <c r="D242" t="s">
        <v>34</v>
      </c>
      <c r="E242" t="s">
        <v>65</v>
      </c>
      <c r="F242" t="s">
        <v>52</v>
      </c>
      <c r="G242" t="s">
        <v>51</v>
      </c>
      <c r="H242" t="s">
        <v>665</v>
      </c>
      <c r="I242" t="s">
        <v>180</v>
      </c>
      <c r="J242" s="2">
        <v>263.5</v>
      </c>
      <c r="K242">
        <v>6</v>
      </c>
      <c r="L242" t="s">
        <v>39</v>
      </c>
      <c r="M242">
        <v>3</v>
      </c>
      <c r="N242">
        <v>2</v>
      </c>
      <c r="O242">
        <v>2</v>
      </c>
      <c r="P242" t="s">
        <v>40</v>
      </c>
      <c r="Q242" t="s">
        <v>57</v>
      </c>
      <c r="R242">
        <v>0</v>
      </c>
      <c r="S242">
        <v>8</v>
      </c>
      <c r="T242" t="s">
        <v>69</v>
      </c>
      <c r="U242" t="s">
        <v>42</v>
      </c>
      <c r="V242" t="s">
        <v>71</v>
      </c>
      <c r="W242" s="1">
        <v>45614</v>
      </c>
      <c r="X242" t="b">
        <v>0</v>
      </c>
      <c r="Y242" t="b">
        <v>0</v>
      </c>
      <c r="Z242" t="s">
        <v>89</v>
      </c>
      <c r="AA242" t="s">
        <v>60</v>
      </c>
      <c r="AB242">
        <v>1</v>
      </c>
    </row>
    <row r="243" spans="1:28">
      <c r="A243" t="s">
        <v>666</v>
      </c>
      <c r="B243">
        <v>40</v>
      </c>
      <c r="C243" t="s">
        <v>33</v>
      </c>
      <c r="D243" t="s">
        <v>51</v>
      </c>
      <c r="E243" t="s">
        <v>92</v>
      </c>
      <c r="F243" t="s">
        <v>36</v>
      </c>
      <c r="G243" t="s">
        <v>34</v>
      </c>
      <c r="H243" t="s">
        <v>667</v>
      </c>
      <c r="I243" t="s">
        <v>170</v>
      </c>
      <c r="J243" s="2">
        <v>247.3</v>
      </c>
      <c r="K243">
        <v>2</v>
      </c>
      <c r="L243" t="s">
        <v>55</v>
      </c>
      <c r="M243">
        <v>4</v>
      </c>
      <c r="N243">
        <v>4</v>
      </c>
      <c r="O243">
        <v>2</v>
      </c>
      <c r="P243" t="s">
        <v>69</v>
      </c>
      <c r="Q243" t="s">
        <v>101</v>
      </c>
      <c r="R243">
        <v>0</v>
      </c>
      <c r="S243">
        <v>1</v>
      </c>
      <c r="T243" t="s">
        <v>56</v>
      </c>
      <c r="U243" t="s">
        <v>95</v>
      </c>
      <c r="V243" t="s">
        <v>43</v>
      </c>
      <c r="W243" s="1">
        <v>45330</v>
      </c>
      <c r="X243" t="b">
        <v>1</v>
      </c>
      <c r="Y243" t="b">
        <v>1</v>
      </c>
      <c r="Z243" t="s">
        <v>59</v>
      </c>
      <c r="AA243" t="s">
        <v>45</v>
      </c>
      <c r="AB243">
        <v>11</v>
      </c>
    </row>
    <row r="244" spans="1:28">
      <c r="A244" t="s">
        <v>668</v>
      </c>
      <c r="B244">
        <v>18</v>
      </c>
      <c r="C244" t="s">
        <v>50</v>
      </c>
      <c r="D244" t="s">
        <v>51</v>
      </c>
      <c r="E244" t="s">
        <v>35</v>
      </c>
      <c r="F244" t="s">
        <v>36</v>
      </c>
      <c r="G244" t="s">
        <v>34</v>
      </c>
      <c r="H244" t="s">
        <v>669</v>
      </c>
      <c r="I244" t="s">
        <v>156</v>
      </c>
      <c r="J244" s="2">
        <v>50.71</v>
      </c>
      <c r="K244">
        <v>12</v>
      </c>
      <c r="L244" t="s">
        <v>94</v>
      </c>
      <c r="M244">
        <v>4</v>
      </c>
      <c r="N244">
        <v>3</v>
      </c>
      <c r="O244">
        <v>0.3</v>
      </c>
      <c r="P244" t="s">
        <v>40</v>
      </c>
      <c r="Q244" t="s">
        <v>57</v>
      </c>
      <c r="R244">
        <v>0</v>
      </c>
      <c r="S244">
        <v>9</v>
      </c>
      <c r="T244" t="s">
        <v>56</v>
      </c>
      <c r="U244" t="s">
        <v>70</v>
      </c>
      <c r="V244" t="s">
        <v>71</v>
      </c>
      <c r="W244" s="1">
        <v>45368</v>
      </c>
      <c r="X244" t="b">
        <v>1</v>
      </c>
      <c r="Y244" t="b">
        <v>1</v>
      </c>
      <c r="Z244" t="s">
        <v>59</v>
      </c>
      <c r="AA244" t="s">
        <v>45</v>
      </c>
      <c r="AB244">
        <v>8</v>
      </c>
    </row>
    <row r="245" spans="1:28">
      <c r="A245" t="s">
        <v>670</v>
      </c>
      <c r="B245">
        <v>42</v>
      </c>
      <c r="C245" t="s">
        <v>50</v>
      </c>
      <c r="D245" t="s">
        <v>51</v>
      </c>
      <c r="E245" t="s">
        <v>35</v>
      </c>
      <c r="F245" t="s">
        <v>52</v>
      </c>
      <c r="G245" t="s">
        <v>34</v>
      </c>
      <c r="H245" t="s">
        <v>671</v>
      </c>
      <c r="I245" t="s">
        <v>68</v>
      </c>
      <c r="J245" s="2">
        <v>131.85</v>
      </c>
      <c r="K245">
        <v>4</v>
      </c>
      <c r="L245" t="s">
        <v>39</v>
      </c>
      <c r="M245">
        <v>5</v>
      </c>
      <c r="N245">
        <v>4</v>
      </c>
      <c r="O245">
        <v>2</v>
      </c>
      <c r="P245" t="s">
        <v>69</v>
      </c>
      <c r="Q245" t="s">
        <v>41</v>
      </c>
      <c r="R245">
        <v>1</v>
      </c>
      <c r="S245">
        <v>5</v>
      </c>
      <c r="T245" t="s">
        <v>56</v>
      </c>
      <c r="U245" t="s">
        <v>70</v>
      </c>
      <c r="V245" t="s">
        <v>71</v>
      </c>
      <c r="W245" s="1">
        <v>45295</v>
      </c>
      <c r="X245" t="b">
        <v>1</v>
      </c>
      <c r="Y245" t="b">
        <v>0</v>
      </c>
      <c r="Z245" t="s">
        <v>44</v>
      </c>
      <c r="AA245" t="s">
        <v>45</v>
      </c>
      <c r="AB245">
        <v>6</v>
      </c>
    </row>
    <row r="246" spans="1:28">
      <c r="A246" t="s">
        <v>673</v>
      </c>
      <c r="B246">
        <v>19</v>
      </c>
      <c r="C246" t="s">
        <v>50</v>
      </c>
      <c r="D246" t="s">
        <v>51</v>
      </c>
      <c r="E246" t="s">
        <v>35</v>
      </c>
      <c r="F246" t="s">
        <v>66</v>
      </c>
      <c r="G246" t="s">
        <v>51</v>
      </c>
      <c r="H246" t="s">
        <v>674</v>
      </c>
      <c r="I246" t="s">
        <v>235</v>
      </c>
      <c r="J246" s="2">
        <v>459.39</v>
      </c>
      <c r="K246">
        <v>6</v>
      </c>
      <c r="L246" t="s">
        <v>39</v>
      </c>
      <c r="M246">
        <v>2</v>
      </c>
      <c r="N246">
        <v>2</v>
      </c>
      <c r="O246">
        <v>0.3</v>
      </c>
      <c r="P246" t="s">
        <v>69</v>
      </c>
      <c r="Q246" t="s">
        <v>101</v>
      </c>
      <c r="R246">
        <v>2</v>
      </c>
      <c r="S246">
        <v>4</v>
      </c>
      <c r="T246" t="s">
        <v>51</v>
      </c>
      <c r="U246" t="s">
        <v>42</v>
      </c>
      <c r="V246" t="s">
        <v>43</v>
      </c>
      <c r="W246" s="1">
        <v>45564</v>
      </c>
      <c r="X246" t="b">
        <v>0</v>
      </c>
      <c r="Y246" t="b">
        <v>0</v>
      </c>
      <c r="Z246" t="s">
        <v>89</v>
      </c>
      <c r="AA246" t="s">
        <v>45</v>
      </c>
      <c r="AB246">
        <v>14</v>
      </c>
    </row>
    <row r="247" spans="1:28">
      <c r="A247" t="s">
        <v>675</v>
      </c>
      <c r="B247">
        <v>36</v>
      </c>
      <c r="C247" t="s">
        <v>33</v>
      </c>
      <c r="D247" t="s">
        <v>51</v>
      </c>
      <c r="E247" t="s">
        <v>92</v>
      </c>
      <c r="F247" t="s">
        <v>52</v>
      </c>
      <c r="G247" t="s">
        <v>34</v>
      </c>
      <c r="H247" t="s">
        <v>676</v>
      </c>
      <c r="I247" t="s">
        <v>68</v>
      </c>
      <c r="J247" s="2">
        <v>383.33</v>
      </c>
      <c r="K247">
        <v>6</v>
      </c>
      <c r="L247" t="s">
        <v>94</v>
      </c>
      <c r="M247">
        <v>3</v>
      </c>
      <c r="N247">
        <v>4</v>
      </c>
      <c r="O247">
        <v>2</v>
      </c>
      <c r="P247" t="s">
        <v>56</v>
      </c>
      <c r="Q247" t="s">
        <v>101</v>
      </c>
      <c r="R247">
        <v>1</v>
      </c>
      <c r="S247">
        <v>3</v>
      </c>
      <c r="T247" t="s">
        <v>40</v>
      </c>
      <c r="U247" t="s">
        <v>70</v>
      </c>
      <c r="V247" t="s">
        <v>43</v>
      </c>
      <c r="W247" s="1">
        <v>45509</v>
      </c>
      <c r="X247" t="b">
        <v>0</v>
      </c>
      <c r="Y247" t="b">
        <v>0</v>
      </c>
      <c r="Z247" t="s">
        <v>89</v>
      </c>
      <c r="AA247" t="s">
        <v>60</v>
      </c>
      <c r="AB247">
        <v>12</v>
      </c>
    </row>
    <row r="248" spans="1:28">
      <c r="A248" t="s">
        <v>677</v>
      </c>
      <c r="B248">
        <v>26</v>
      </c>
      <c r="C248" t="s">
        <v>33</v>
      </c>
      <c r="D248" t="s">
        <v>51</v>
      </c>
      <c r="E248" t="s">
        <v>82</v>
      </c>
      <c r="F248" t="s">
        <v>36</v>
      </c>
      <c r="G248" t="s">
        <v>51</v>
      </c>
      <c r="H248" t="s">
        <v>678</v>
      </c>
      <c r="I248" t="s">
        <v>156</v>
      </c>
      <c r="J248" s="2">
        <v>212.08</v>
      </c>
      <c r="K248">
        <v>8</v>
      </c>
      <c r="L248" t="s">
        <v>55</v>
      </c>
      <c r="M248">
        <v>5</v>
      </c>
      <c r="N248">
        <v>5</v>
      </c>
      <c r="O248">
        <v>2</v>
      </c>
      <c r="P248" t="s">
        <v>69</v>
      </c>
      <c r="Q248" t="s">
        <v>101</v>
      </c>
      <c r="R248">
        <v>1</v>
      </c>
      <c r="S248">
        <v>9</v>
      </c>
      <c r="T248" t="s">
        <v>40</v>
      </c>
      <c r="U248" t="s">
        <v>42</v>
      </c>
      <c r="V248" t="s">
        <v>43</v>
      </c>
      <c r="W248" s="1">
        <v>45419</v>
      </c>
      <c r="X248" t="b">
        <v>0</v>
      </c>
      <c r="Y248" t="b">
        <v>0</v>
      </c>
      <c r="Z248" t="s">
        <v>44</v>
      </c>
      <c r="AA248" t="s">
        <v>60</v>
      </c>
      <c r="AB248">
        <v>13</v>
      </c>
    </row>
    <row r="249" spans="1:28">
      <c r="A249" t="s">
        <v>679</v>
      </c>
      <c r="B249">
        <v>35</v>
      </c>
      <c r="C249" t="s">
        <v>33</v>
      </c>
      <c r="D249" t="s">
        <v>51</v>
      </c>
      <c r="E249" t="s">
        <v>35</v>
      </c>
      <c r="F249" t="s">
        <v>66</v>
      </c>
      <c r="G249" t="s">
        <v>51</v>
      </c>
      <c r="H249" t="s">
        <v>680</v>
      </c>
      <c r="I249" t="s">
        <v>170</v>
      </c>
      <c r="J249" s="2">
        <v>370.73</v>
      </c>
      <c r="K249">
        <v>7</v>
      </c>
      <c r="L249" t="s">
        <v>94</v>
      </c>
      <c r="M249">
        <v>3</v>
      </c>
      <c r="N249">
        <v>2</v>
      </c>
      <c r="O249">
        <v>1</v>
      </c>
      <c r="P249" t="s">
        <v>51</v>
      </c>
      <c r="Q249" t="s">
        <v>57</v>
      </c>
      <c r="R249">
        <v>0</v>
      </c>
      <c r="S249">
        <v>9</v>
      </c>
      <c r="T249" t="s">
        <v>51</v>
      </c>
      <c r="U249" t="s">
        <v>70</v>
      </c>
      <c r="V249" t="s">
        <v>71</v>
      </c>
      <c r="W249" s="1">
        <v>45522</v>
      </c>
      <c r="X249" t="b">
        <v>0</v>
      </c>
      <c r="Y249" t="b">
        <v>1</v>
      </c>
      <c r="Z249" t="s">
        <v>44</v>
      </c>
      <c r="AA249" t="s">
        <v>45</v>
      </c>
      <c r="AB249">
        <v>7</v>
      </c>
    </row>
    <row r="250" spans="1:28">
      <c r="A250" t="s">
        <v>681</v>
      </c>
      <c r="B250">
        <v>39</v>
      </c>
      <c r="C250" t="s">
        <v>50</v>
      </c>
      <c r="D250" t="s">
        <v>51</v>
      </c>
      <c r="E250" t="s">
        <v>92</v>
      </c>
      <c r="F250" t="s">
        <v>66</v>
      </c>
      <c r="G250" t="s">
        <v>34</v>
      </c>
      <c r="H250" t="s">
        <v>682</v>
      </c>
      <c r="I250" t="s">
        <v>229</v>
      </c>
      <c r="J250" s="2">
        <v>319.66000000000003</v>
      </c>
      <c r="K250">
        <v>7</v>
      </c>
      <c r="L250" t="s">
        <v>39</v>
      </c>
      <c r="M250">
        <v>4</v>
      </c>
      <c r="N250">
        <v>2</v>
      </c>
      <c r="O250">
        <v>1</v>
      </c>
      <c r="P250" t="s">
        <v>51</v>
      </c>
      <c r="Q250" t="s">
        <v>57</v>
      </c>
      <c r="R250">
        <v>1</v>
      </c>
      <c r="S250">
        <v>10</v>
      </c>
      <c r="T250" t="s">
        <v>40</v>
      </c>
      <c r="U250" t="s">
        <v>95</v>
      </c>
      <c r="V250" t="s">
        <v>71</v>
      </c>
      <c r="W250" s="1">
        <v>45340</v>
      </c>
      <c r="X250" t="b">
        <v>0</v>
      </c>
      <c r="Y250" t="b">
        <v>0</v>
      </c>
      <c r="Z250" t="s">
        <v>59</v>
      </c>
      <c r="AA250" t="s">
        <v>77</v>
      </c>
      <c r="AB250">
        <v>3</v>
      </c>
    </row>
    <row r="251" spans="1:28">
      <c r="A251" t="s">
        <v>683</v>
      </c>
      <c r="B251">
        <v>44</v>
      </c>
      <c r="C251" t="s">
        <v>33</v>
      </c>
      <c r="D251" t="s">
        <v>34</v>
      </c>
      <c r="E251" t="s">
        <v>82</v>
      </c>
      <c r="F251" t="s">
        <v>36</v>
      </c>
      <c r="G251" t="s">
        <v>51</v>
      </c>
      <c r="H251" t="s">
        <v>684</v>
      </c>
      <c r="I251" t="s">
        <v>306</v>
      </c>
      <c r="J251" s="2">
        <v>373.05</v>
      </c>
      <c r="K251">
        <v>3</v>
      </c>
      <c r="L251" t="s">
        <v>55</v>
      </c>
      <c r="M251">
        <v>3</v>
      </c>
      <c r="N251">
        <v>4</v>
      </c>
      <c r="O251">
        <v>0.3</v>
      </c>
      <c r="P251" t="s">
        <v>69</v>
      </c>
      <c r="Q251" t="s">
        <v>57</v>
      </c>
      <c r="R251">
        <v>1</v>
      </c>
      <c r="S251">
        <v>10</v>
      </c>
      <c r="T251" t="s">
        <v>56</v>
      </c>
      <c r="U251" t="s">
        <v>42</v>
      </c>
      <c r="V251" t="s">
        <v>102</v>
      </c>
      <c r="W251" s="1">
        <v>45365</v>
      </c>
      <c r="X251" t="b">
        <v>0</v>
      </c>
      <c r="Y251" t="b">
        <v>1</v>
      </c>
      <c r="Z251" t="s">
        <v>89</v>
      </c>
      <c r="AA251" t="s">
        <v>60</v>
      </c>
      <c r="AB251">
        <v>7</v>
      </c>
    </row>
    <row r="252" spans="1:28">
      <c r="A252" t="s">
        <v>685</v>
      </c>
      <c r="B252">
        <v>19</v>
      </c>
      <c r="C252" t="s">
        <v>33</v>
      </c>
      <c r="D252" t="s">
        <v>51</v>
      </c>
      <c r="E252" t="s">
        <v>35</v>
      </c>
      <c r="F252" t="s">
        <v>36</v>
      </c>
      <c r="G252" t="s">
        <v>51</v>
      </c>
      <c r="H252" t="s">
        <v>686</v>
      </c>
      <c r="I252" t="s">
        <v>108</v>
      </c>
      <c r="J252" s="2">
        <v>393.78</v>
      </c>
      <c r="K252">
        <v>6</v>
      </c>
      <c r="L252" t="s">
        <v>94</v>
      </c>
      <c r="M252">
        <v>3</v>
      </c>
      <c r="N252">
        <v>4</v>
      </c>
      <c r="O252">
        <v>1</v>
      </c>
      <c r="P252" t="s">
        <v>56</v>
      </c>
      <c r="Q252" t="s">
        <v>101</v>
      </c>
      <c r="R252">
        <v>0</v>
      </c>
      <c r="S252">
        <v>5</v>
      </c>
      <c r="T252" t="s">
        <v>69</v>
      </c>
      <c r="U252" t="s">
        <v>42</v>
      </c>
      <c r="V252" t="s">
        <v>76</v>
      </c>
      <c r="W252" s="1">
        <v>45376</v>
      </c>
      <c r="X252" t="b">
        <v>1</v>
      </c>
      <c r="Y252" t="b">
        <v>0</v>
      </c>
      <c r="Z252" t="s">
        <v>44</v>
      </c>
      <c r="AA252" t="s">
        <v>45</v>
      </c>
      <c r="AB252">
        <v>14</v>
      </c>
    </row>
    <row r="253" spans="1:28">
      <c r="A253" t="s">
        <v>687</v>
      </c>
      <c r="B253">
        <v>27</v>
      </c>
      <c r="C253" t="s">
        <v>33</v>
      </c>
      <c r="D253" t="s">
        <v>51</v>
      </c>
      <c r="E253" t="s">
        <v>82</v>
      </c>
      <c r="F253" t="s">
        <v>66</v>
      </c>
      <c r="G253" t="s">
        <v>51</v>
      </c>
      <c r="H253" t="s">
        <v>2285</v>
      </c>
      <c r="I253" t="s">
        <v>229</v>
      </c>
      <c r="J253" s="2">
        <v>245.04</v>
      </c>
      <c r="K253">
        <v>4</v>
      </c>
      <c r="L253" t="s">
        <v>94</v>
      </c>
      <c r="M253">
        <v>3</v>
      </c>
      <c r="N253">
        <v>2</v>
      </c>
      <c r="O253">
        <v>0</v>
      </c>
      <c r="P253" t="s">
        <v>51</v>
      </c>
      <c r="Q253" t="s">
        <v>57</v>
      </c>
      <c r="R253">
        <v>2</v>
      </c>
      <c r="S253">
        <v>6</v>
      </c>
      <c r="T253" t="s">
        <v>51</v>
      </c>
      <c r="U253" t="s">
        <v>42</v>
      </c>
      <c r="V253" t="s">
        <v>76</v>
      </c>
      <c r="W253" s="1">
        <v>45629</v>
      </c>
      <c r="X253" t="b">
        <v>1</v>
      </c>
      <c r="Y253" t="b">
        <v>1</v>
      </c>
      <c r="Z253" t="s">
        <v>44</v>
      </c>
      <c r="AA253" t="s">
        <v>60</v>
      </c>
      <c r="AB253">
        <v>10</v>
      </c>
    </row>
    <row r="254" spans="1:28">
      <c r="A254" t="s">
        <v>689</v>
      </c>
      <c r="B254">
        <v>26</v>
      </c>
      <c r="C254" t="s">
        <v>33</v>
      </c>
      <c r="D254" t="s">
        <v>51</v>
      </c>
      <c r="E254" t="s">
        <v>92</v>
      </c>
      <c r="F254" t="s">
        <v>66</v>
      </c>
      <c r="G254" t="s">
        <v>34</v>
      </c>
      <c r="H254" t="s">
        <v>2286</v>
      </c>
      <c r="I254" t="s">
        <v>235</v>
      </c>
      <c r="J254" s="2">
        <v>111.27</v>
      </c>
      <c r="K254">
        <v>3</v>
      </c>
      <c r="L254" t="s">
        <v>94</v>
      </c>
      <c r="M254">
        <v>1</v>
      </c>
      <c r="N254">
        <v>3</v>
      </c>
      <c r="O254">
        <v>1</v>
      </c>
      <c r="P254" t="s">
        <v>51</v>
      </c>
      <c r="Q254" t="s">
        <v>101</v>
      </c>
      <c r="R254">
        <v>2</v>
      </c>
      <c r="S254">
        <v>10</v>
      </c>
      <c r="T254" t="s">
        <v>40</v>
      </c>
      <c r="U254" t="s">
        <v>70</v>
      </c>
      <c r="V254" t="s">
        <v>58</v>
      </c>
      <c r="W254" s="1">
        <v>45425</v>
      </c>
      <c r="X254" t="b">
        <v>0</v>
      </c>
      <c r="Y254" t="b">
        <v>0</v>
      </c>
      <c r="Z254" t="s">
        <v>72</v>
      </c>
      <c r="AA254" t="s">
        <v>45</v>
      </c>
      <c r="AB254">
        <v>12</v>
      </c>
    </row>
    <row r="255" spans="1:28">
      <c r="A255" t="s">
        <v>691</v>
      </c>
      <c r="B255">
        <v>26</v>
      </c>
      <c r="C255" t="s">
        <v>33</v>
      </c>
      <c r="D255" t="s">
        <v>51</v>
      </c>
      <c r="E255" t="s">
        <v>65</v>
      </c>
      <c r="F255" t="s">
        <v>36</v>
      </c>
      <c r="G255" t="s">
        <v>34</v>
      </c>
      <c r="H255" t="s">
        <v>692</v>
      </c>
      <c r="I255" t="s">
        <v>153</v>
      </c>
      <c r="J255" s="2">
        <v>93.29</v>
      </c>
      <c r="K255">
        <v>11</v>
      </c>
      <c r="L255" t="s">
        <v>94</v>
      </c>
      <c r="M255">
        <v>2</v>
      </c>
      <c r="N255">
        <v>2</v>
      </c>
      <c r="O255">
        <v>0</v>
      </c>
      <c r="P255" t="s">
        <v>51</v>
      </c>
      <c r="Q255" t="s">
        <v>101</v>
      </c>
      <c r="R255">
        <v>0</v>
      </c>
      <c r="S255">
        <v>7</v>
      </c>
      <c r="T255" t="s">
        <v>69</v>
      </c>
      <c r="U255" t="s">
        <v>42</v>
      </c>
      <c r="V255" t="s">
        <v>76</v>
      </c>
      <c r="W255" s="1">
        <v>45498</v>
      </c>
      <c r="X255" t="b">
        <v>1</v>
      </c>
      <c r="Y255" t="b">
        <v>0</v>
      </c>
      <c r="Z255" t="s">
        <v>72</v>
      </c>
      <c r="AA255" t="s">
        <v>45</v>
      </c>
      <c r="AB255">
        <v>9</v>
      </c>
    </row>
    <row r="256" spans="1:28">
      <c r="A256" t="s">
        <v>693</v>
      </c>
      <c r="B256">
        <v>27</v>
      </c>
      <c r="C256" t="s">
        <v>33</v>
      </c>
      <c r="D256" t="s">
        <v>51</v>
      </c>
      <c r="E256" t="s">
        <v>35</v>
      </c>
      <c r="F256" t="s">
        <v>52</v>
      </c>
      <c r="G256" t="s">
        <v>34</v>
      </c>
      <c r="H256" t="s">
        <v>694</v>
      </c>
      <c r="I256" t="s">
        <v>135</v>
      </c>
      <c r="J256" s="2">
        <v>156.5</v>
      </c>
      <c r="K256">
        <v>5</v>
      </c>
      <c r="L256" t="s">
        <v>39</v>
      </c>
      <c r="M256">
        <v>1</v>
      </c>
      <c r="N256">
        <v>1</v>
      </c>
      <c r="O256">
        <v>1</v>
      </c>
      <c r="P256" t="s">
        <v>51</v>
      </c>
      <c r="Q256" t="s">
        <v>101</v>
      </c>
      <c r="R256">
        <v>0</v>
      </c>
      <c r="S256">
        <v>3</v>
      </c>
      <c r="T256" t="s">
        <v>51</v>
      </c>
      <c r="U256" t="s">
        <v>95</v>
      </c>
      <c r="V256" t="s">
        <v>76</v>
      </c>
      <c r="W256" s="1">
        <v>45301</v>
      </c>
      <c r="X256" t="b">
        <v>1</v>
      </c>
      <c r="Y256" t="b">
        <v>0</v>
      </c>
      <c r="Z256" t="s">
        <v>59</v>
      </c>
      <c r="AA256" t="s">
        <v>60</v>
      </c>
      <c r="AB256">
        <v>14</v>
      </c>
    </row>
    <row r="257" spans="1:28">
      <c r="A257" t="s">
        <v>695</v>
      </c>
      <c r="B257">
        <v>37</v>
      </c>
      <c r="C257" t="s">
        <v>50</v>
      </c>
      <c r="D257" t="s">
        <v>34</v>
      </c>
      <c r="E257" t="s">
        <v>65</v>
      </c>
      <c r="F257" t="s">
        <v>66</v>
      </c>
      <c r="G257" t="s">
        <v>34</v>
      </c>
      <c r="H257" t="s">
        <v>696</v>
      </c>
      <c r="I257" t="s">
        <v>143</v>
      </c>
      <c r="J257" s="2">
        <v>290.11</v>
      </c>
      <c r="K257">
        <v>8</v>
      </c>
      <c r="L257" t="s">
        <v>39</v>
      </c>
      <c r="M257">
        <v>4</v>
      </c>
      <c r="N257">
        <v>4</v>
      </c>
      <c r="O257">
        <v>1</v>
      </c>
      <c r="P257" t="s">
        <v>56</v>
      </c>
      <c r="Q257" t="s">
        <v>101</v>
      </c>
      <c r="R257">
        <v>1</v>
      </c>
      <c r="S257">
        <v>4</v>
      </c>
      <c r="T257" t="s">
        <v>56</v>
      </c>
      <c r="U257" t="s">
        <v>70</v>
      </c>
      <c r="V257" t="s">
        <v>58</v>
      </c>
      <c r="W257" s="1">
        <v>45595</v>
      </c>
      <c r="X257" t="b">
        <v>0</v>
      </c>
      <c r="Y257" t="b">
        <v>0</v>
      </c>
      <c r="Z257" t="s">
        <v>72</v>
      </c>
      <c r="AA257" t="s">
        <v>45</v>
      </c>
      <c r="AB257">
        <v>14</v>
      </c>
    </row>
    <row r="258" spans="1:28">
      <c r="A258" t="s">
        <v>697</v>
      </c>
      <c r="B258">
        <v>23</v>
      </c>
      <c r="C258" t="s">
        <v>33</v>
      </c>
      <c r="D258" t="s">
        <v>34</v>
      </c>
      <c r="E258" t="s">
        <v>65</v>
      </c>
      <c r="F258" t="s">
        <v>36</v>
      </c>
      <c r="G258" t="s">
        <v>34</v>
      </c>
      <c r="H258" t="s">
        <v>356</v>
      </c>
      <c r="I258" t="s">
        <v>150</v>
      </c>
      <c r="J258" s="2">
        <v>355.28</v>
      </c>
      <c r="K258">
        <v>3</v>
      </c>
      <c r="L258" t="s">
        <v>39</v>
      </c>
      <c r="M258">
        <v>5</v>
      </c>
      <c r="N258">
        <v>5</v>
      </c>
      <c r="O258">
        <v>0</v>
      </c>
      <c r="P258" t="s">
        <v>69</v>
      </c>
      <c r="Q258" t="s">
        <v>101</v>
      </c>
      <c r="R258">
        <v>1</v>
      </c>
      <c r="S258">
        <v>4</v>
      </c>
      <c r="T258" t="s">
        <v>69</v>
      </c>
      <c r="U258" t="s">
        <v>70</v>
      </c>
      <c r="V258" t="s">
        <v>43</v>
      </c>
      <c r="W258" s="1">
        <v>45552</v>
      </c>
      <c r="X258" t="b">
        <v>1</v>
      </c>
      <c r="Y258" t="b">
        <v>1</v>
      </c>
      <c r="Z258" t="s">
        <v>89</v>
      </c>
      <c r="AA258" t="s">
        <v>45</v>
      </c>
      <c r="AB258">
        <v>5</v>
      </c>
    </row>
    <row r="259" spans="1:28">
      <c r="A259" t="s">
        <v>698</v>
      </c>
      <c r="B259">
        <v>31</v>
      </c>
      <c r="C259" t="s">
        <v>106</v>
      </c>
      <c r="D259" t="s">
        <v>34</v>
      </c>
      <c r="E259" t="s">
        <v>65</v>
      </c>
      <c r="F259" t="s">
        <v>36</v>
      </c>
      <c r="G259" t="s">
        <v>51</v>
      </c>
      <c r="H259" t="s">
        <v>699</v>
      </c>
      <c r="I259" t="s">
        <v>38</v>
      </c>
      <c r="J259" s="2">
        <v>73.739999999999995</v>
      </c>
      <c r="K259">
        <v>7</v>
      </c>
      <c r="L259" t="s">
        <v>94</v>
      </c>
      <c r="M259">
        <v>4</v>
      </c>
      <c r="N259">
        <v>2</v>
      </c>
      <c r="O259">
        <v>0.3</v>
      </c>
      <c r="P259" t="s">
        <v>51</v>
      </c>
      <c r="Q259" t="s">
        <v>57</v>
      </c>
      <c r="R259">
        <v>1</v>
      </c>
      <c r="S259">
        <v>3</v>
      </c>
      <c r="T259" t="s">
        <v>56</v>
      </c>
      <c r="U259" t="s">
        <v>70</v>
      </c>
      <c r="V259" t="s">
        <v>76</v>
      </c>
      <c r="W259" s="1">
        <v>45521</v>
      </c>
      <c r="X259" t="b">
        <v>0</v>
      </c>
      <c r="Y259" t="b">
        <v>0</v>
      </c>
      <c r="Z259" t="s">
        <v>59</v>
      </c>
      <c r="AA259" t="s">
        <v>60</v>
      </c>
      <c r="AB259">
        <v>13</v>
      </c>
    </row>
    <row r="260" spans="1:28">
      <c r="A260" t="s">
        <v>701</v>
      </c>
      <c r="B260">
        <v>21</v>
      </c>
      <c r="C260" t="s">
        <v>33</v>
      </c>
      <c r="D260" t="s">
        <v>34</v>
      </c>
      <c r="E260" t="s">
        <v>82</v>
      </c>
      <c r="F260" t="s">
        <v>66</v>
      </c>
      <c r="G260" t="s">
        <v>34</v>
      </c>
      <c r="H260" t="s">
        <v>702</v>
      </c>
      <c r="I260" t="s">
        <v>108</v>
      </c>
      <c r="J260" s="2">
        <v>170.35</v>
      </c>
      <c r="K260">
        <v>10</v>
      </c>
      <c r="L260" t="s">
        <v>55</v>
      </c>
      <c r="M260">
        <v>2</v>
      </c>
      <c r="N260">
        <v>1</v>
      </c>
      <c r="O260">
        <v>1</v>
      </c>
      <c r="P260" t="s">
        <v>56</v>
      </c>
      <c r="Q260" t="s">
        <v>101</v>
      </c>
      <c r="R260">
        <v>1</v>
      </c>
      <c r="S260">
        <v>10</v>
      </c>
      <c r="T260" t="s">
        <v>69</v>
      </c>
      <c r="U260" t="s">
        <v>95</v>
      </c>
      <c r="V260" t="s">
        <v>102</v>
      </c>
      <c r="W260" s="1">
        <v>45446</v>
      </c>
      <c r="X260" t="b">
        <v>1</v>
      </c>
      <c r="Y260" t="b">
        <v>1</v>
      </c>
      <c r="Z260" t="s">
        <v>44</v>
      </c>
      <c r="AA260" t="s">
        <v>60</v>
      </c>
      <c r="AB260">
        <v>1</v>
      </c>
    </row>
    <row r="261" spans="1:28">
      <c r="A261" t="s">
        <v>703</v>
      </c>
      <c r="B261">
        <v>36</v>
      </c>
      <c r="C261" t="s">
        <v>33</v>
      </c>
      <c r="D261" t="s">
        <v>51</v>
      </c>
      <c r="E261" t="s">
        <v>65</v>
      </c>
      <c r="F261" t="s">
        <v>66</v>
      </c>
      <c r="G261" t="s">
        <v>34</v>
      </c>
      <c r="H261" t="s">
        <v>704</v>
      </c>
      <c r="I261" t="s">
        <v>75</v>
      </c>
      <c r="J261" s="2">
        <v>123.7</v>
      </c>
      <c r="K261">
        <v>6</v>
      </c>
      <c r="L261" t="s">
        <v>94</v>
      </c>
      <c r="M261">
        <v>2</v>
      </c>
      <c r="N261">
        <v>5</v>
      </c>
      <c r="O261">
        <v>0</v>
      </c>
      <c r="P261" t="s">
        <v>51</v>
      </c>
      <c r="Q261" t="s">
        <v>101</v>
      </c>
      <c r="R261">
        <v>1</v>
      </c>
      <c r="S261">
        <v>5</v>
      </c>
      <c r="T261" t="s">
        <v>40</v>
      </c>
      <c r="U261" t="s">
        <v>70</v>
      </c>
      <c r="V261" t="s">
        <v>76</v>
      </c>
      <c r="W261" s="1">
        <v>45501</v>
      </c>
      <c r="X261" t="b">
        <v>0</v>
      </c>
      <c r="Y261" t="b">
        <v>0</v>
      </c>
      <c r="Z261" t="s">
        <v>72</v>
      </c>
      <c r="AA261" t="s">
        <v>77</v>
      </c>
      <c r="AB261">
        <v>2</v>
      </c>
    </row>
    <row r="262" spans="1:28">
      <c r="A262" t="s">
        <v>705</v>
      </c>
      <c r="B262">
        <v>21</v>
      </c>
      <c r="C262" t="s">
        <v>33</v>
      </c>
      <c r="D262" t="s">
        <v>34</v>
      </c>
      <c r="E262" t="s">
        <v>65</v>
      </c>
      <c r="F262" t="s">
        <v>66</v>
      </c>
      <c r="G262" t="s">
        <v>51</v>
      </c>
      <c r="H262" t="s">
        <v>706</v>
      </c>
      <c r="I262" t="s">
        <v>38</v>
      </c>
      <c r="J262" s="2">
        <v>201.6</v>
      </c>
      <c r="K262">
        <v>9</v>
      </c>
      <c r="L262" t="s">
        <v>55</v>
      </c>
      <c r="M262">
        <v>1</v>
      </c>
      <c r="N262">
        <v>4</v>
      </c>
      <c r="O262">
        <v>2</v>
      </c>
      <c r="P262" t="s">
        <v>56</v>
      </c>
      <c r="Q262" t="s">
        <v>101</v>
      </c>
      <c r="R262">
        <v>1</v>
      </c>
      <c r="S262">
        <v>4</v>
      </c>
      <c r="T262" t="s">
        <v>51</v>
      </c>
      <c r="U262" t="s">
        <v>70</v>
      </c>
      <c r="V262" t="s">
        <v>58</v>
      </c>
      <c r="W262" s="1">
        <v>45589</v>
      </c>
      <c r="X262" t="b">
        <v>0</v>
      </c>
      <c r="Y262" t="b">
        <v>0</v>
      </c>
      <c r="Z262" t="s">
        <v>72</v>
      </c>
      <c r="AA262" t="s">
        <v>77</v>
      </c>
      <c r="AB262">
        <v>14</v>
      </c>
    </row>
    <row r="263" spans="1:28">
      <c r="A263" t="s">
        <v>707</v>
      </c>
      <c r="B263">
        <v>27</v>
      </c>
      <c r="C263" t="s">
        <v>33</v>
      </c>
      <c r="D263" t="s">
        <v>34</v>
      </c>
      <c r="E263" t="s">
        <v>65</v>
      </c>
      <c r="F263" t="s">
        <v>66</v>
      </c>
      <c r="G263" t="s">
        <v>51</v>
      </c>
      <c r="H263" t="s">
        <v>708</v>
      </c>
      <c r="I263" t="s">
        <v>84</v>
      </c>
      <c r="J263" s="2">
        <v>116.14</v>
      </c>
      <c r="K263">
        <v>11</v>
      </c>
      <c r="L263" t="s">
        <v>39</v>
      </c>
      <c r="M263">
        <v>1</v>
      </c>
      <c r="N263">
        <v>4</v>
      </c>
      <c r="O263">
        <v>1</v>
      </c>
      <c r="P263" t="s">
        <v>51</v>
      </c>
      <c r="Q263" t="s">
        <v>41</v>
      </c>
      <c r="R263">
        <v>0</v>
      </c>
      <c r="S263">
        <v>8</v>
      </c>
      <c r="T263" t="s">
        <v>56</v>
      </c>
      <c r="U263" t="s">
        <v>95</v>
      </c>
      <c r="V263" t="s">
        <v>43</v>
      </c>
      <c r="W263" s="1">
        <v>45383</v>
      </c>
      <c r="X263" t="b">
        <v>0</v>
      </c>
      <c r="Y263" t="b">
        <v>1</v>
      </c>
      <c r="Z263" t="s">
        <v>59</v>
      </c>
      <c r="AA263" t="s">
        <v>77</v>
      </c>
      <c r="AB263">
        <v>14</v>
      </c>
    </row>
    <row r="264" spans="1:28">
      <c r="A264" t="s">
        <v>709</v>
      </c>
      <c r="B264">
        <v>29</v>
      </c>
      <c r="C264" t="s">
        <v>33</v>
      </c>
      <c r="D264" t="s">
        <v>34</v>
      </c>
      <c r="E264" t="s">
        <v>65</v>
      </c>
      <c r="F264" t="s">
        <v>66</v>
      </c>
      <c r="G264" t="s">
        <v>51</v>
      </c>
      <c r="H264" t="s">
        <v>710</v>
      </c>
      <c r="I264" t="s">
        <v>306</v>
      </c>
      <c r="J264" s="2">
        <v>483.38</v>
      </c>
      <c r="K264">
        <v>9</v>
      </c>
      <c r="L264" t="s">
        <v>94</v>
      </c>
      <c r="M264">
        <v>2</v>
      </c>
      <c r="N264">
        <v>1</v>
      </c>
      <c r="O264">
        <v>0</v>
      </c>
      <c r="P264" t="s">
        <v>51</v>
      </c>
      <c r="Q264" t="s">
        <v>41</v>
      </c>
      <c r="R264">
        <v>2</v>
      </c>
      <c r="S264">
        <v>3</v>
      </c>
      <c r="T264" t="s">
        <v>51</v>
      </c>
      <c r="U264" t="s">
        <v>95</v>
      </c>
      <c r="V264" t="s">
        <v>76</v>
      </c>
      <c r="W264" s="1">
        <v>45452</v>
      </c>
      <c r="X264" t="b">
        <v>0</v>
      </c>
      <c r="Y264" t="b">
        <v>1</v>
      </c>
      <c r="Z264" t="s">
        <v>44</v>
      </c>
      <c r="AA264" t="s">
        <v>60</v>
      </c>
      <c r="AB264">
        <v>8</v>
      </c>
    </row>
    <row r="265" spans="1:28">
      <c r="A265" t="s">
        <v>711</v>
      </c>
      <c r="B265">
        <v>24</v>
      </c>
      <c r="C265" t="s">
        <v>50</v>
      </c>
      <c r="D265" t="s">
        <v>34</v>
      </c>
      <c r="E265" t="s">
        <v>65</v>
      </c>
      <c r="F265" t="s">
        <v>52</v>
      </c>
      <c r="G265" t="s">
        <v>34</v>
      </c>
      <c r="H265" t="s">
        <v>712</v>
      </c>
      <c r="I265" t="s">
        <v>180</v>
      </c>
      <c r="J265" s="2">
        <v>418.62</v>
      </c>
      <c r="K265">
        <v>9</v>
      </c>
      <c r="L265" t="s">
        <v>55</v>
      </c>
      <c r="M265">
        <v>1</v>
      </c>
      <c r="N265">
        <v>2</v>
      </c>
      <c r="O265">
        <v>0</v>
      </c>
      <c r="P265" t="s">
        <v>69</v>
      </c>
      <c r="Q265" t="s">
        <v>57</v>
      </c>
      <c r="R265">
        <v>0</v>
      </c>
      <c r="S265">
        <v>9</v>
      </c>
      <c r="T265" t="s">
        <v>40</v>
      </c>
      <c r="U265" t="s">
        <v>70</v>
      </c>
      <c r="V265" t="s">
        <v>76</v>
      </c>
      <c r="W265" s="1">
        <v>45610</v>
      </c>
      <c r="X265" t="b">
        <v>1</v>
      </c>
      <c r="Y265" t="b">
        <v>0</v>
      </c>
      <c r="Z265" t="s">
        <v>44</v>
      </c>
      <c r="AA265" t="s">
        <v>60</v>
      </c>
      <c r="AB265">
        <v>11</v>
      </c>
    </row>
    <row r="266" spans="1:28">
      <c r="A266" t="s">
        <v>714</v>
      </c>
      <c r="B266">
        <v>33</v>
      </c>
      <c r="C266" t="s">
        <v>33</v>
      </c>
      <c r="D266" t="s">
        <v>34</v>
      </c>
      <c r="E266" t="s">
        <v>92</v>
      </c>
      <c r="F266" t="s">
        <v>36</v>
      </c>
      <c r="G266" t="s">
        <v>34</v>
      </c>
      <c r="H266" t="s">
        <v>715</v>
      </c>
      <c r="I266" t="s">
        <v>98</v>
      </c>
      <c r="J266" s="2">
        <v>139.83000000000001</v>
      </c>
      <c r="K266">
        <v>12</v>
      </c>
      <c r="L266" t="s">
        <v>94</v>
      </c>
      <c r="M266">
        <v>2</v>
      </c>
      <c r="N266">
        <v>4</v>
      </c>
      <c r="O266">
        <v>2</v>
      </c>
      <c r="P266" t="s">
        <v>40</v>
      </c>
      <c r="Q266" t="s">
        <v>57</v>
      </c>
      <c r="R266">
        <v>0</v>
      </c>
      <c r="S266">
        <v>1</v>
      </c>
      <c r="T266" t="s">
        <v>40</v>
      </c>
      <c r="U266" t="s">
        <v>42</v>
      </c>
      <c r="V266" t="s">
        <v>102</v>
      </c>
      <c r="W266" s="1">
        <v>45573</v>
      </c>
      <c r="X266" t="b">
        <v>0</v>
      </c>
      <c r="Y266" t="b">
        <v>0</v>
      </c>
      <c r="Z266" t="s">
        <v>72</v>
      </c>
      <c r="AA266" t="s">
        <v>77</v>
      </c>
      <c r="AB266">
        <v>10</v>
      </c>
    </row>
    <row r="267" spans="1:28">
      <c r="A267" t="s">
        <v>716</v>
      </c>
      <c r="B267">
        <v>38</v>
      </c>
      <c r="C267" t="s">
        <v>33</v>
      </c>
      <c r="D267" t="s">
        <v>51</v>
      </c>
      <c r="E267" t="s">
        <v>35</v>
      </c>
      <c r="F267" t="s">
        <v>66</v>
      </c>
      <c r="G267" t="s">
        <v>34</v>
      </c>
      <c r="H267" t="s">
        <v>717</v>
      </c>
      <c r="I267" t="s">
        <v>170</v>
      </c>
      <c r="J267" s="2">
        <v>54.17</v>
      </c>
      <c r="K267">
        <v>4</v>
      </c>
      <c r="L267" t="s">
        <v>39</v>
      </c>
      <c r="M267">
        <v>4</v>
      </c>
      <c r="N267">
        <v>5</v>
      </c>
      <c r="O267">
        <v>0</v>
      </c>
      <c r="P267" t="s">
        <v>56</v>
      </c>
      <c r="Q267" t="s">
        <v>41</v>
      </c>
      <c r="R267">
        <v>2</v>
      </c>
      <c r="S267">
        <v>2</v>
      </c>
      <c r="T267" t="s">
        <v>56</v>
      </c>
      <c r="U267" t="s">
        <v>95</v>
      </c>
      <c r="V267" t="s">
        <v>43</v>
      </c>
      <c r="W267" s="1">
        <v>45302</v>
      </c>
      <c r="X267" t="b">
        <v>0</v>
      </c>
      <c r="Y267" t="b">
        <v>1</v>
      </c>
      <c r="Z267" t="s">
        <v>89</v>
      </c>
      <c r="AA267" t="s">
        <v>45</v>
      </c>
      <c r="AB267">
        <v>7</v>
      </c>
    </row>
    <row r="268" spans="1:28">
      <c r="A268" t="s">
        <v>718</v>
      </c>
      <c r="B268">
        <v>47</v>
      </c>
      <c r="C268" t="s">
        <v>50</v>
      </c>
      <c r="D268" t="s">
        <v>51</v>
      </c>
      <c r="E268" t="s">
        <v>92</v>
      </c>
      <c r="F268" t="s">
        <v>66</v>
      </c>
      <c r="G268" t="s">
        <v>51</v>
      </c>
      <c r="H268" t="s">
        <v>719</v>
      </c>
      <c r="I268" t="s">
        <v>306</v>
      </c>
      <c r="J268" s="2">
        <v>437.59</v>
      </c>
      <c r="K268">
        <v>10</v>
      </c>
      <c r="L268" t="s">
        <v>55</v>
      </c>
      <c r="M268">
        <v>1</v>
      </c>
      <c r="N268">
        <v>4</v>
      </c>
      <c r="O268">
        <v>0</v>
      </c>
      <c r="P268" t="s">
        <v>40</v>
      </c>
      <c r="Q268" t="s">
        <v>101</v>
      </c>
      <c r="R268">
        <v>0</v>
      </c>
      <c r="S268">
        <v>4</v>
      </c>
      <c r="T268" t="s">
        <v>51</v>
      </c>
      <c r="U268" t="s">
        <v>42</v>
      </c>
      <c r="V268" t="s">
        <v>43</v>
      </c>
      <c r="W268" s="1">
        <v>45348</v>
      </c>
      <c r="X268" t="b">
        <v>1</v>
      </c>
      <c r="Y268" t="b">
        <v>1</v>
      </c>
      <c r="Z268" t="s">
        <v>72</v>
      </c>
      <c r="AA268" t="s">
        <v>77</v>
      </c>
      <c r="AB268">
        <v>9</v>
      </c>
    </row>
    <row r="269" spans="1:28">
      <c r="A269" t="s">
        <v>720</v>
      </c>
      <c r="B269">
        <v>32</v>
      </c>
      <c r="C269" t="s">
        <v>50</v>
      </c>
      <c r="D269" t="s">
        <v>34</v>
      </c>
      <c r="E269" t="s">
        <v>82</v>
      </c>
      <c r="F269" t="s">
        <v>36</v>
      </c>
      <c r="G269" t="s">
        <v>51</v>
      </c>
      <c r="H269" t="s">
        <v>721</v>
      </c>
      <c r="I269" t="s">
        <v>135</v>
      </c>
      <c r="J269" s="2">
        <v>113.57</v>
      </c>
      <c r="K269">
        <v>5</v>
      </c>
      <c r="L269" t="s">
        <v>94</v>
      </c>
      <c r="M269">
        <v>4</v>
      </c>
      <c r="N269">
        <v>4</v>
      </c>
      <c r="O269">
        <v>2</v>
      </c>
      <c r="P269" t="s">
        <v>56</v>
      </c>
      <c r="Q269" t="s">
        <v>101</v>
      </c>
      <c r="R269">
        <v>1</v>
      </c>
      <c r="S269">
        <v>1</v>
      </c>
      <c r="T269" t="s">
        <v>51</v>
      </c>
      <c r="U269" t="s">
        <v>42</v>
      </c>
      <c r="V269" t="s">
        <v>102</v>
      </c>
      <c r="W269" s="1">
        <v>45597</v>
      </c>
      <c r="X269" t="b">
        <v>0</v>
      </c>
      <c r="Y269" t="b">
        <v>1</v>
      </c>
      <c r="Z269" t="s">
        <v>59</v>
      </c>
      <c r="AA269" t="s">
        <v>60</v>
      </c>
      <c r="AB269">
        <v>8</v>
      </c>
    </row>
    <row r="270" spans="1:28">
      <c r="A270" t="s">
        <v>722</v>
      </c>
      <c r="B270">
        <v>21</v>
      </c>
      <c r="C270" t="s">
        <v>106</v>
      </c>
      <c r="D270" t="s">
        <v>51</v>
      </c>
      <c r="E270" t="s">
        <v>65</v>
      </c>
      <c r="F270" t="s">
        <v>52</v>
      </c>
      <c r="G270" t="s">
        <v>51</v>
      </c>
      <c r="H270" t="s">
        <v>723</v>
      </c>
      <c r="I270" t="s">
        <v>143</v>
      </c>
      <c r="J270" s="2">
        <v>305.54000000000002</v>
      </c>
      <c r="K270">
        <v>6</v>
      </c>
      <c r="L270" t="s">
        <v>55</v>
      </c>
      <c r="M270">
        <v>3</v>
      </c>
      <c r="N270">
        <v>5</v>
      </c>
      <c r="O270">
        <v>0</v>
      </c>
      <c r="P270" t="s">
        <v>56</v>
      </c>
      <c r="Q270" t="s">
        <v>41</v>
      </c>
      <c r="R270">
        <v>0</v>
      </c>
      <c r="S270">
        <v>5</v>
      </c>
      <c r="T270" t="s">
        <v>56</v>
      </c>
      <c r="U270" t="s">
        <v>70</v>
      </c>
      <c r="V270" t="s">
        <v>76</v>
      </c>
      <c r="W270" s="1">
        <v>45379</v>
      </c>
      <c r="X270" t="b">
        <v>1</v>
      </c>
      <c r="Y270" t="b">
        <v>0</v>
      </c>
      <c r="Z270" t="s">
        <v>59</v>
      </c>
      <c r="AA270" t="s">
        <v>45</v>
      </c>
      <c r="AB270">
        <v>7</v>
      </c>
    </row>
    <row r="271" spans="1:28">
      <c r="A271" t="s">
        <v>725</v>
      </c>
      <c r="B271">
        <v>23</v>
      </c>
      <c r="C271" t="s">
        <v>33</v>
      </c>
      <c r="D271" t="s">
        <v>51</v>
      </c>
      <c r="E271" t="s">
        <v>92</v>
      </c>
      <c r="F271" t="s">
        <v>52</v>
      </c>
      <c r="G271" t="s">
        <v>51</v>
      </c>
      <c r="H271" t="s">
        <v>726</v>
      </c>
      <c r="I271" t="s">
        <v>54</v>
      </c>
      <c r="J271" s="2">
        <v>339.12</v>
      </c>
      <c r="K271">
        <v>2</v>
      </c>
      <c r="L271" t="s">
        <v>55</v>
      </c>
      <c r="M271">
        <v>4</v>
      </c>
      <c r="N271">
        <v>4</v>
      </c>
      <c r="O271">
        <v>0</v>
      </c>
      <c r="P271" t="s">
        <v>56</v>
      </c>
      <c r="Q271" t="s">
        <v>57</v>
      </c>
      <c r="R271">
        <v>0</v>
      </c>
      <c r="S271">
        <v>5</v>
      </c>
      <c r="T271" t="s">
        <v>69</v>
      </c>
      <c r="U271" t="s">
        <v>70</v>
      </c>
      <c r="V271" t="s">
        <v>58</v>
      </c>
      <c r="W271" s="1">
        <v>45299</v>
      </c>
      <c r="X271" t="b">
        <v>0</v>
      </c>
      <c r="Y271" t="b">
        <v>0</v>
      </c>
      <c r="Z271" t="s">
        <v>72</v>
      </c>
      <c r="AA271" t="s">
        <v>45</v>
      </c>
      <c r="AB271">
        <v>1</v>
      </c>
    </row>
    <row r="272" spans="1:28">
      <c r="A272" t="s">
        <v>728</v>
      </c>
      <c r="B272">
        <v>45</v>
      </c>
      <c r="C272" t="s">
        <v>238</v>
      </c>
      <c r="D272" t="s">
        <v>34</v>
      </c>
      <c r="E272" t="s">
        <v>92</v>
      </c>
      <c r="F272" t="s">
        <v>36</v>
      </c>
      <c r="G272" t="s">
        <v>51</v>
      </c>
      <c r="H272" t="s">
        <v>729</v>
      </c>
      <c r="I272" t="s">
        <v>306</v>
      </c>
      <c r="J272" s="2">
        <v>323.39999999999998</v>
      </c>
      <c r="K272">
        <v>11</v>
      </c>
      <c r="L272" t="s">
        <v>39</v>
      </c>
      <c r="M272">
        <v>2</v>
      </c>
      <c r="N272">
        <v>3</v>
      </c>
      <c r="O272">
        <v>2</v>
      </c>
      <c r="P272" t="s">
        <v>69</v>
      </c>
      <c r="Q272" t="s">
        <v>101</v>
      </c>
      <c r="R272">
        <v>0</v>
      </c>
      <c r="S272">
        <v>8</v>
      </c>
      <c r="T272" t="s">
        <v>40</v>
      </c>
      <c r="U272" t="s">
        <v>70</v>
      </c>
      <c r="V272" t="s">
        <v>43</v>
      </c>
      <c r="W272" s="1">
        <v>45350</v>
      </c>
      <c r="X272" t="b">
        <v>1</v>
      </c>
      <c r="Y272" t="b">
        <v>1</v>
      </c>
      <c r="Z272" t="s">
        <v>44</v>
      </c>
      <c r="AA272" t="s">
        <v>60</v>
      </c>
      <c r="AB272">
        <v>10</v>
      </c>
    </row>
    <row r="273" spans="1:28">
      <c r="A273" t="s">
        <v>730</v>
      </c>
      <c r="B273">
        <v>24</v>
      </c>
      <c r="C273" t="s">
        <v>188</v>
      </c>
      <c r="D273" t="s">
        <v>34</v>
      </c>
      <c r="E273" t="s">
        <v>35</v>
      </c>
      <c r="F273" t="s">
        <v>52</v>
      </c>
      <c r="G273" t="s">
        <v>34</v>
      </c>
      <c r="H273" t="s">
        <v>731</v>
      </c>
      <c r="I273" t="s">
        <v>229</v>
      </c>
      <c r="J273" s="2">
        <v>472.61</v>
      </c>
      <c r="K273">
        <v>9</v>
      </c>
      <c r="L273" t="s">
        <v>55</v>
      </c>
      <c r="M273">
        <v>5</v>
      </c>
      <c r="N273">
        <v>5</v>
      </c>
      <c r="O273">
        <v>2</v>
      </c>
      <c r="P273" t="s">
        <v>40</v>
      </c>
      <c r="Q273" t="s">
        <v>101</v>
      </c>
      <c r="R273">
        <v>1</v>
      </c>
      <c r="S273">
        <v>4</v>
      </c>
      <c r="T273" t="s">
        <v>40</v>
      </c>
      <c r="U273" t="s">
        <v>70</v>
      </c>
      <c r="V273" t="s">
        <v>58</v>
      </c>
      <c r="W273" s="1">
        <v>45550</v>
      </c>
      <c r="X273" t="b">
        <v>1</v>
      </c>
      <c r="Y273" t="b">
        <v>1</v>
      </c>
      <c r="Z273" t="s">
        <v>72</v>
      </c>
      <c r="AA273" t="s">
        <v>77</v>
      </c>
      <c r="AB273">
        <v>5</v>
      </c>
    </row>
    <row r="274" spans="1:28">
      <c r="A274" t="s">
        <v>732</v>
      </c>
      <c r="B274">
        <v>20</v>
      </c>
      <c r="C274" t="s">
        <v>33</v>
      </c>
      <c r="D274" t="s">
        <v>34</v>
      </c>
      <c r="E274" t="s">
        <v>82</v>
      </c>
      <c r="F274" t="s">
        <v>52</v>
      </c>
      <c r="G274" t="s">
        <v>34</v>
      </c>
      <c r="H274" t="s">
        <v>733</v>
      </c>
      <c r="I274" t="s">
        <v>84</v>
      </c>
      <c r="J274" s="2">
        <v>68.02</v>
      </c>
      <c r="K274">
        <v>10</v>
      </c>
      <c r="L274" t="s">
        <v>94</v>
      </c>
      <c r="M274">
        <v>3</v>
      </c>
      <c r="N274">
        <v>2</v>
      </c>
      <c r="O274">
        <v>1</v>
      </c>
      <c r="P274" t="s">
        <v>40</v>
      </c>
      <c r="Q274" t="s">
        <v>101</v>
      </c>
      <c r="R274">
        <v>1</v>
      </c>
      <c r="S274">
        <v>6</v>
      </c>
      <c r="T274" t="s">
        <v>40</v>
      </c>
      <c r="U274" t="s">
        <v>42</v>
      </c>
      <c r="V274" t="s">
        <v>43</v>
      </c>
      <c r="W274" s="1">
        <v>45597</v>
      </c>
      <c r="X274" t="b">
        <v>1</v>
      </c>
      <c r="Y274" t="b">
        <v>1</v>
      </c>
      <c r="Z274" t="s">
        <v>44</v>
      </c>
      <c r="AA274" t="s">
        <v>77</v>
      </c>
      <c r="AB274">
        <v>6</v>
      </c>
    </row>
    <row r="275" spans="1:28">
      <c r="A275" t="s">
        <v>735</v>
      </c>
      <c r="B275">
        <v>27</v>
      </c>
      <c r="C275" t="s">
        <v>50</v>
      </c>
      <c r="D275" t="s">
        <v>51</v>
      </c>
      <c r="E275" t="s">
        <v>65</v>
      </c>
      <c r="F275" t="s">
        <v>66</v>
      </c>
      <c r="G275" t="s">
        <v>34</v>
      </c>
      <c r="H275" t="s">
        <v>2287</v>
      </c>
      <c r="I275" t="s">
        <v>156</v>
      </c>
      <c r="J275" s="2">
        <v>199.44</v>
      </c>
      <c r="K275">
        <v>7</v>
      </c>
      <c r="L275" t="s">
        <v>94</v>
      </c>
      <c r="M275">
        <v>2</v>
      </c>
      <c r="N275">
        <v>1</v>
      </c>
      <c r="O275">
        <v>2</v>
      </c>
      <c r="P275" t="s">
        <v>40</v>
      </c>
      <c r="Q275" t="s">
        <v>101</v>
      </c>
      <c r="R275">
        <v>0</v>
      </c>
      <c r="S275">
        <v>3</v>
      </c>
      <c r="T275" t="s">
        <v>40</v>
      </c>
      <c r="U275" t="s">
        <v>42</v>
      </c>
      <c r="V275" t="s">
        <v>102</v>
      </c>
      <c r="W275" s="1">
        <v>45487</v>
      </c>
      <c r="X275" t="b">
        <v>0</v>
      </c>
      <c r="Y275" t="b">
        <v>1</v>
      </c>
      <c r="Z275" t="s">
        <v>44</v>
      </c>
      <c r="AA275" t="s">
        <v>60</v>
      </c>
      <c r="AB275">
        <v>1</v>
      </c>
    </row>
    <row r="276" spans="1:28">
      <c r="A276" t="s">
        <v>737</v>
      </c>
      <c r="B276">
        <v>47</v>
      </c>
      <c r="C276" t="s">
        <v>50</v>
      </c>
      <c r="D276" t="s">
        <v>51</v>
      </c>
      <c r="E276" t="s">
        <v>92</v>
      </c>
      <c r="F276" t="s">
        <v>52</v>
      </c>
      <c r="G276" t="s">
        <v>34</v>
      </c>
      <c r="H276" t="s">
        <v>738</v>
      </c>
      <c r="I276" t="s">
        <v>108</v>
      </c>
      <c r="J276" s="2">
        <v>250.73</v>
      </c>
      <c r="K276">
        <v>4</v>
      </c>
      <c r="L276" t="s">
        <v>94</v>
      </c>
      <c r="M276">
        <v>3</v>
      </c>
      <c r="N276">
        <v>2</v>
      </c>
      <c r="O276">
        <v>1</v>
      </c>
      <c r="P276" t="s">
        <v>69</v>
      </c>
      <c r="Q276" t="s">
        <v>41</v>
      </c>
      <c r="R276">
        <v>1</v>
      </c>
      <c r="S276">
        <v>10</v>
      </c>
      <c r="T276" t="s">
        <v>40</v>
      </c>
      <c r="U276" t="s">
        <v>95</v>
      </c>
      <c r="V276" t="s">
        <v>102</v>
      </c>
      <c r="W276" s="1">
        <v>45406</v>
      </c>
      <c r="X276" t="b">
        <v>0</v>
      </c>
      <c r="Y276" t="b">
        <v>1</v>
      </c>
      <c r="Z276" t="s">
        <v>89</v>
      </c>
      <c r="AA276" t="s">
        <v>45</v>
      </c>
      <c r="AB276">
        <v>10</v>
      </c>
    </row>
    <row r="277" spans="1:28">
      <c r="A277" t="s">
        <v>739</v>
      </c>
      <c r="B277">
        <v>34</v>
      </c>
      <c r="C277" t="s">
        <v>50</v>
      </c>
      <c r="D277" t="s">
        <v>34</v>
      </c>
      <c r="E277" t="s">
        <v>65</v>
      </c>
      <c r="F277" t="s">
        <v>52</v>
      </c>
      <c r="G277" t="s">
        <v>34</v>
      </c>
      <c r="H277" t="s">
        <v>740</v>
      </c>
      <c r="I277" t="s">
        <v>229</v>
      </c>
      <c r="J277" s="2">
        <v>372.49</v>
      </c>
      <c r="K277">
        <v>12</v>
      </c>
      <c r="L277" t="s">
        <v>94</v>
      </c>
      <c r="M277">
        <v>4</v>
      </c>
      <c r="N277">
        <v>3</v>
      </c>
      <c r="O277">
        <v>0</v>
      </c>
      <c r="P277" t="s">
        <v>51</v>
      </c>
      <c r="Q277" t="s">
        <v>101</v>
      </c>
      <c r="R277">
        <v>0</v>
      </c>
      <c r="S277">
        <v>5</v>
      </c>
      <c r="T277" t="s">
        <v>56</v>
      </c>
      <c r="U277" t="s">
        <v>95</v>
      </c>
      <c r="V277" t="s">
        <v>71</v>
      </c>
      <c r="W277" s="1">
        <v>45526</v>
      </c>
      <c r="X277" t="b">
        <v>1</v>
      </c>
      <c r="Y277" t="b">
        <v>0</v>
      </c>
      <c r="Z277" t="s">
        <v>89</v>
      </c>
      <c r="AA277" t="s">
        <v>45</v>
      </c>
      <c r="AB277">
        <v>7</v>
      </c>
    </row>
    <row r="278" spans="1:28">
      <c r="A278" t="s">
        <v>741</v>
      </c>
      <c r="B278">
        <v>41</v>
      </c>
      <c r="C278" t="s">
        <v>50</v>
      </c>
      <c r="D278" t="s">
        <v>51</v>
      </c>
      <c r="E278" t="s">
        <v>82</v>
      </c>
      <c r="F278" t="s">
        <v>52</v>
      </c>
      <c r="G278" t="s">
        <v>51</v>
      </c>
      <c r="H278" t="s">
        <v>2288</v>
      </c>
      <c r="I278" t="s">
        <v>98</v>
      </c>
      <c r="J278" s="2">
        <v>186.85</v>
      </c>
      <c r="K278">
        <v>2</v>
      </c>
      <c r="L278" t="s">
        <v>94</v>
      </c>
      <c r="M278">
        <v>3</v>
      </c>
      <c r="N278">
        <v>1</v>
      </c>
      <c r="O278">
        <v>2</v>
      </c>
      <c r="P278" t="s">
        <v>51</v>
      </c>
      <c r="Q278" t="s">
        <v>57</v>
      </c>
      <c r="R278">
        <v>2</v>
      </c>
      <c r="S278">
        <v>8</v>
      </c>
      <c r="T278" t="s">
        <v>69</v>
      </c>
      <c r="U278" t="s">
        <v>70</v>
      </c>
      <c r="V278" t="s">
        <v>76</v>
      </c>
      <c r="W278" s="1">
        <v>45342</v>
      </c>
      <c r="X278" t="b">
        <v>1</v>
      </c>
      <c r="Y278" t="b">
        <v>0</v>
      </c>
      <c r="Z278" t="s">
        <v>72</v>
      </c>
      <c r="AA278" t="s">
        <v>77</v>
      </c>
      <c r="AB278">
        <v>12</v>
      </c>
    </row>
    <row r="279" spans="1:28">
      <c r="A279" t="s">
        <v>743</v>
      </c>
      <c r="B279">
        <v>26</v>
      </c>
      <c r="C279" t="s">
        <v>50</v>
      </c>
      <c r="D279" t="s">
        <v>51</v>
      </c>
      <c r="E279" t="s">
        <v>82</v>
      </c>
      <c r="F279" t="s">
        <v>66</v>
      </c>
      <c r="G279" t="s">
        <v>34</v>
      </c>
      <c r="H279" t="s">
        <v>744</v>
      </c>
      <c r="I279" t="s">
        <v>108</v>
      </c>
      <c r="J279" s="2">
        <v>73.319999999999993</v>
      </c>
      <c r="K279">
        <v>10</v>
      </c>
      <c r="L279" t="s">
        <v>55</v>
      </c>
      <c r="M279">
        <v>5</v>
      </c>
      <c r="N279">
        <v>1</v>
      </c>
      <c r="O279">
        <v>1</v>
      </c>
      <c r="P279" t="s">
        <v>40</v>
      </c>
      <c r="Q279" t="s">
        <v>57</v>
      </c>
      <c r="R279">
        <v>1</v>
      </c>
      <c r="S279">
        <v>1</v>
      </c>
      <c r="T279" t="s">
        <v>56</v>
      </c>
      <c r="U279" t="s">
        <v>70</v>
      </c>
      <c r="V279" t="s">
        <v>71</v>
      </c>
      <c r="W279" s="1">
        <v>45318</v>
      </c>
      <c r="X279" t="b">
        <v>1</v>
      </c>
      <c r="Y279" t="b">
        <v>0</v>
      </c>
      <c r="Z279" t="s">
        <v>59</v>
      </c>
      <c r="AA279" t="s">
        <v>60</v>
      </c>
      <c r="AB279">
        <v>14</v>
      </c>
    </row>
    <row r="280" spans="1:28">
      <c r="A280" t="s">
        <v>745</v>
      </c>
      <c r="B280">
        <v>49</v>
      </c>
      <c r="C280" t="s">
        <v>50</v>
      </c>
      <c r="D280" t="s">
        <v>34</v>
      </c>
      <c r="E280" t="s">
        <v>82</v>
      </c>
      <c r="F280" t="s">
        <v>36</v>
      </c>
      <c r="G280" t="s">
        <v>34</v>
      </c>
      <c r="H280" t="s">
        <v>746</v>
      </c>
      <c r="I280" t="s">
        <v>229</v>
      </c>
      <c r="J280" s="2">
        <v>214.59</v>
      </c>
      <c r="K280">
        <v>6</v>
      </c>
      <c r="L280" t="s">
        <v>94</v>
      </c>
      <c r="M280">
        <v>1</v>
      </c>
      <c r="N280">
        <v>1</v>
      </c>
      <c r="O280">
        <v>0</v>
      </c>
      <c r="P280" t="s">
        <v>40</v>
      </c>
      <c r="Q280" t="s">
        <v>41</v>
      </c>
      <c r="R280">
        <v>1</v>
      </c>
      <c r="S280">
        <v>8</v>
      </c>
      <c r="T280" t="s">
        <v>69</v>
      </c>
      <c r="U280" t="s">
        <v>42</v>
      </c>
      <c r="V280" t="s">
        <v>76</v>
      </c>
      <c r="W280" s="1">
        <v>45331</v>
      </c>
      <c r="X280" t="b">
        <v>1</v>
      </c>
      <c r="Y280" t="b">
        <v>0</v>
      </c>
      <c r="Z280" t="s">
        <v>59</v>
      </c>
      <c r="AA280" t="s">
        <v>60</v>
      </c>
      <c r="AB280">
        <v>9</v>
      </c>
    </row>
    <row r="281" spans="1:28">
      <c r="A281" t="s">
        <v>747</v>
      </c>
      <c r="B281">
        <v>47</v>
      </c>
      <c r="C281" t="s">
        <v>33</v>
      </c>
      <c r="D281" t="s">
        <v>34</v>
      </c>
      <c r="E281" t="s">
        <v>82</v>
      </c>
      <c r="F281" t="s">
        <v>52</v>
      </c>
      <c r="G281" t="s">
        <v>34</v>
      </c>
      <c r="H281" t="s">
        <v>748</v>
      </c>
      <c r="I281" t="s">
        <v>84</v>
      </c>
      <c r="J281" s="2">
        <v>467.32</v>
      </c>
      <c r="K281">
        <v>12</v>
      </c>
      <c r="L281" t="s">
        <v>55</v>
      </c>
      <c r="M281">
        <v>4</v>
      </c>
      <c r="N281">
        <v>4</v>
      </c>
      <c r="O281">
        <v>2</v>
      </c>
      <c r="P281" t="s">
        <v>56</v>
      </c>
      <c r="Q281" t="s">
        <v>41</v>
      </c>
      <c r="R281">
        <v>2</v>
      </c>
      <c r="S281">
        <v>4</v>
      </c>
      <c r="T281" t="s">
        <v>69</v>
      </c>
      <c r="U281" t="s">
        <v>70</v>
      </c>
      <c r="V281" t="s">
        <v>58</v>
      </c>
      <c r="W281" s="1">
        <v>45319</v>
      </c>
      <c r="X281" t="b">
        <v>0</v>
      </c>
      <c r="Y281" t="b">
        <v>1</v>
      </c>
      <c r="Z281" t="s">
        <v>44</v>
      </c>
      <c r="AA281" t="s">
        <v>45</v>
      </c>
      <c r="AB281">
        <v>11</v>
      </c>
    </row>
    <row r="282" spans="1:28">
      <c r="A282" t="s">
        <v>750</v>
      </c>
      <c r="B282">
        <v>18</v>
      </c>
      <c r="C282" t="s">
        <v>50</v>
      </c>
      <c r="D282" t="s">
        <v>34</v>
      </c>
      <c r="E282" t="s">
        <v>35</v>
      </c>
      <c r="F282" t="s">
        <v>66</v>
      </c>
      <c r="G282" t="s">
        <v>34</v>
      </c>
      <c r="H282" t="s">
        <v>751</v>
      </c>
      <c r="I282" t="s">
        <v>242</v>
      </c>
      <c r="J282" s="2">
        <v>475.65</v>
      </c>
      <c r="K282">
        <v>4</v>
      </c>
      <c r="L282" t="s">
        <v>55</v>
      </c>
      <c r="M282">
        <v>4</v>
      </c>
      <c r="N282">
        <v>5</v>
      </c>
      <c r="O282">
        <v>0</v>
      </c>
      <c r="P282" t="s">
        <v>51</v>
      </c>
      <c r="Q282" t="s">
        <v>41</v>
      </c>
      <c r="R282">
        <v>2</v>
      </c>
      <c r="S282">
        <v>6</v>
      </c>
      <c r="T282" t="s">
        <v>69</v>
      </c>
      <c r="U282" t="s">
        <v>70</v>
      </c>
      <c r="V282" t="s">
        <v>58</v>
      </c>
      <c r="W282" s="1">
        <v>45466</v>
      </c>
      <c r="X282" t="b">
        <v>1</v>
      </c>
      <c r="Y282" t="b">
        <v>1</v>
      </c>
      <c r="Z282" t="s">
        <v>59</v>
      </c>
      <c r="AA282" t="s">
        <v>77</v>
      </c>
      <c r="AB282">
        <v>14</v>
      </c>
    </row>
    <row r="283" spans="1:28">
      <c r="A283" t="s">
        <v>752</v>
      </c>
      <c r="B283">
        <v>48</v>
      </c>
      <c r="C283" t="s">
        <v>33</v>
      </c>
      <c r="D283" t="s">
        <v>34</v>
      </c>
      <c r="E283" t="s">
        <v>82</v>
      </c>
      <c r="F283" t="s">
        <v>66</v>
      </c>
      <c r="G283" t="s">
        <v>51</v>
      </c>
      <c r="H283" t="s">
        <v>753</v>
      </c>
      <c r="I283" t="s">
        <v>127</v>
      </c>
      <c r="J283" s="2">
        <v>161.38</v>
      </c>
      <c r="K283">
        <v>11</v>
      </c>
      <c r="L283" t="s">
        <v>39</v>
      </c>
      <c r="M283">
        <v>5</v>
      </c>
      <c r="N283">
        <v>3</v>
      </c>
      <c r="O283">
        <v>0</v>
      </c>
      <c r="P283" t="s">
        <v>40</v>
      </c>
      <c r="Q283" t="s">
        <v>101</v>
      </c>
      <c r="R283">
        <v>1</v>
      </c>
      <c r="S283">
        <v>10</v>
      </c>
      <c r="T283" t="s">
        <v>51</v>
      </c>
      <c r="U283" t="s">
        <v>42</v>
      </c>
      <c r="V283" t="s">
        <v>71</v>
      </c>
      <c r="W283" s="1">
        <v>45524</v>
      </c>
      <c r="X283" t="b">
        <v>1</v>
      </c>
      <c r="Y283" t="b">
        <v>1</v>
      </c>
      <c r="Z283" t="s">
        <v>72</v>
      </c>
      <c r="AA283" t="s">
        <v>60</v>
      </c>
      <c r="AB283">
        <v>10</v>
      </c>
    </row>
    <row r="284" spans="1:28">
      <c r="A284" t="s">
        <v>754</v>
      </c>
      <c r="B284">
        <v>19</v>
      </c>
      <c r="C284" t="s">
        <v>50</v>
      </c>
      <c r="D284" t="s">
        <v>34</v>
      </c>
      <c r="E284" t="s">
        <v>65</v>
      </c>
      <c r="F284" t="s">
        <v>36</v>
      </c>
      <c r="G284" t="s">
        <v>34</v>
      </c>
      <c r="H284" t="s">
        <v>755</v>
      </c>
      <c r="I284" t="s">
        <v>153</v>
      </c>
      <c r="J284" s="2">
        <v>249.78</v>
      </c>
      <c r="K284">
        <v>4</v>
      </c>
      <c r="L284" t="s">
        <v>55</v>
      </c>
      <c r="M284">
        <v>5</v>
      </c>
      <c r="N284">
        <v>4</v>
      </c>
      <c r="O284">
        <v>0</v>
      </c>
      <c r="P284" t="s">
        <v>69</v>
      </c>
      <c r="Q284" t="s">
        <v>101</v>
      </c>
      <c r="R284">
        <v>0</v>
      </c>
      <c r="S284">
        <v>1</v>
      </c>
      <c r="T284" t="s">
        <v>40</v>
      </c>
      <c r="U284" t="s">
        <v>95</v>
      </c>
      <c r="V284" t="s">
        <v>58</v>
      </c>
      <c r="W284" s="1">
        <v>45620</v>
      </c>
      <c r="X284" t="b">
        <v>0</v>
      </c>
      <c r="Y284" t="b">
        <v>0</v>
      </c>
      <c r="Z284" t="s">
        <v>59</v>
      </c>
      <c r="AA284" t="s">
        <v>45</v>
      </c>
      <c r="AB284">
        <v>11</v>
      </c>
    </row>
    <row r="285" spans="1:28">
      <c r="A285" t="s">
        <v>756</v>
      </c>
      <c r="B285">
        <v>39</v>
      </c>
      <c r="C285" t="s">
        <v>33</v>
      </c>
      <c r="D285" t="s">
        <v>34</v>
      </c>
      <c r="E285" t="s">
        <v>92</v>
      </c>
      <c r="F285" t="s">
        <v>52</v>
      </c>
      <c r="G285" t="s">
        <v>51</v>
      </c>
      <c r="H285" t="s">
        <v>757</v>
      </c>
      <c r="I285" t="s">
        <v>229</v>
      </c>
      <c r="J285" s="2">
        <v>149.88</v>
      </c>
      <c r="K285">
        <v>9</v>
      </c>
      <c r="L285" t="s">
        <v>39</v>
      </c>
      <c r="M285">
        <v>3</v>
      </c>
      <c r="N285">
        <v>2</v>
      </c>
      <c r="O285">
        <v>0</v>
      </c>
      <c r="P285" t="s">
        <v>69</v>
      </c>
      <c r="Q285" t="s">
        <v>41</v>
      </c>
      <c r="R285">
        <v>1</v>
      </c>
      <c r="S285">
        <v>10</v>
      </c>
      <c r="T285" t="s">
        <v>69</v>
      </c>
      <c r="U285" t="s">
        <v>70</v>
      </c>
      <c r="V285" t="s">
        <v>71</v>
      </c>
      <c r="W285" s="1">
        <v>45401</v>
      </c>
      <c r="X285" t="b">
        <v>0</v>
      </c>
      <c r="Y285" t="b">
        <v>0</v>
      </c>
      <c r="Z285" t="s">
        <v>72</v>
      </c>
      <c r="AA285" t="s">
        <v>60</v>
      </c>
      <c r="AB285">
        <v>4</v>
      </c>
    </row>
    <row r="286" spans="1:28">
      <c r="A286" t="s">
        <v>758</v>
      </c>
      <c r="B286">
        <v>48</v>
      </c>
      <c r="C286" t="s">
        <v>33</v>
      </c>
      <c r="D286" t="s">
        <v>51</v>
      </c>
      <c r="E286" t="s">
        <v>92</v>
      </c>
      <c r="F286" t="s">
        <v>66</v>
      </c>
      <c r="G286" t="s">
        <v>34</v>
      </c>
      <c r="H286" t="s">
        <v>2289</v>
      </c>
      <c r="I286" t="s">
        <v>306</v>
      </c>
      <c r="J286" s="2">
        <v>347.09</v>
      </c>
      <c r="K286">
        <v>5</v>
      </c>
      <c r="L286" t="s">
        <v>55</v>
      </c>
      <c r="M286">
        <v>5</v>
      </c>
      <c r="N286">
        <v>2</v>
      </c>
      <c r="O286">
        <v>0</v>
      </c>
      <c r="P286" t="s">
        <v>56</v>
      </c>
      <c r="Q286" t="s">
        <v>41</v>
      </c>
      <c r="R286">
        <v>2</v>
      </c>
      <c r="S286">
        <v>1</v>
      </c>
      <c r="T286" t="s">
        <v>40</v>
      </c>
      <c r="U286" t="s">
        <v>70</v>
      </c>
      <c r="V286" t="s">
        <v>76</v>
      </c>
      <c r="W286" s="1">
        <v>45317</v>
      </c>
      <c r="X286" t="b">
        <v>0</v>
      </c>
      <c r="Y286" t="b">
        <v>0</v>
      </c>
      <c r="Z286" t="s">
        <v>89</v>
      </c>
      <c r="AA286" t="s">
        <v>45</v>
      </c>
      <c r="AB286">
        <v>7</v>
      </c>
    </row>
    <row r="287" spans="1:28">
      <c r="A287" t="s">
        <v>760</v>
      </c>
      <c r="B287">
        <v>43</v>
      </c>
      <c r="C287" t="s">
        <v>33</v>
      </c>
      <c r="D287" t="s">
        <v>51</v>
      </c>
      <c r="E287" t="s">
        <v>82</v>
      </c>
      <c r="F287" t="s">
        <v>66</v>
      </c>
      <c r="G287" t="s">
        <v>51</v>
      </c>
      <c r="H287" t="s">
        <v>2290</v>
      </c>
      <c r="I287" t="s">
        <v>131</v>
      </c>
      <c r="J287" s="2">
        <v>345.49</v>
      </c>
      <c r="K287">
        <v>9</v>
      </c>
      <c r="L287" t="s">
        <v>39</v>
      </c>
      <c r="M287">
        <v>3</v>
      </c>
      <c r="N287">
        <v>1</v>
      </c>
      <c r="O287">
        <v>2</v>
      </c>
      <c r="P287" t="s">
        <v>51</v>
      </c>
      <c r="Q287" t="s">
        <v>57</v>
      </c>
      <c r="R287">
        <v>0</v>
      </c>
      <c r="S287">
        <v>10</v>
      </c>
      <c r="T287" t="s">
        <v>56</v>
      </c>
      <c r="U287" t="s">
        <v>42</v>
      </c>
      <c r="V287" t="s">
        <v>58</v>
      </c>
      <c r="W287" s="1">
        <v>45541</v>
      </c>
      <c r="X287" t="b">
        <v>1</v>
      </c>
      <c r="Y287" t="b">
        <v>0</v>
      </c>
      <c r="Z287" t="s">
        <v>72</v>
      </c>
      <c r="AA287" t="s">
        <v>77</v>
      </c>
      <c r="AB287">
        <v>3</v>
      </c>
    </row>
    <row r="288" spans="1:28">
      <c r="A288" t="s">
        <v>762</v>
      </c>
      <c r="B288">
        <v>31</v>
      </c>
      <c r="C288" t="s">
        <v>33</v>
      </c>
      <c r="D288" t="s">
        <v>51</v>
      </c>
      <c r="E288" t="s">
        <v>92</v>
      </c>
      <c r="F288" t="s">
        <v>36</v>
      </c>
      <c r="G288" t="s">
        <v>51</v>
      </c>
      <c r="H288" t="s">
        <v>763</v>
      </c>
      <c r="I288" t="s">
        <v>131</v>
      </c>
      <c r="J288" s="2">
        <v>297.24</v>
      </c>
      <c r="K288">
        <v>2</v>
      </c>
      <c r="L288" t="s">
        <v>39</v>
      </c>
      <c r="M288">
        <v>1</v>
      </c>
      <c r="N288">
        <v>4</v>
      </c>
      <c r="O288">
        <v>0</v>
      </c>
      <c r="P288" t="s">
        <v>56</v>
      </c>
      <c r="Q288" t="s">
        <v>57</v>
      </c>
      <c r="R288">
        <v>0</v>
      </c>
      <c r="S288">
        <v>9</v>
      </c>
      <c r="T288" t="s">
        <v>51</v>
      </c>
      <c r="U288" t="s">
        <v>95</v>
      </c>
      <c r="V288" t="s">
        <v>58</v>
      </c>
      <c r="W288" s="1">
        <v>45472</v>
      </c>
      <c r="X288" t="b">
        <v>1</v>
      </c>
      <c r="Y288" t="b">
        <v>1</v>
      </c>
      <c r="Z288" t="s">
        <v>89</v>
      </c>
      <c r="AA288" t="s">
        <v>77</v>
      </c>
      <c r="AB288">
        <v>7</v>
      </c>
    </row>
    <row r="289" spans="1:28">
      <c r="A289" t="s">
        <v>764</v>
      </c>
      <c r="B289">
        <v>28</v>
      </c>
      <c r="C289" t="s">
        <v>33</v>
      </c>
      <c r="D289" t="s">
        <v>34</v>
      </c>
      <c r="E289" t="s">
        <v>92</v>
      </c>
      <c r="F289" t="s">
        <v>36</v>
      </c>
      <c r="G289" t="s">
        <v>51</v>
      </c>
      <c r="H289" t="s">
        <v>2291</v>
      </c>
      <c r="I289" t="s">
        <v>75</v>
      </c>
      <c r="J289" s="2">
        <v>494.34</v>
      </c>
      <c r="K289">
        <v>12</v>
      </c>
      <c r="L289" t="s">
        <v>94</v>
      </c>
      <c r="M289">
        <v>5</v>
      </c>
      <c r="N289">
        <v>3</v>
      </c>
      <c r="O289">
        <v>0.25</v>
      </c>
      <c r="P289" t="s">
        <v>51</v>
      </c>
      <c r="Q289" t="s">
        <v>101</v>
      </c>
      <c r="R289">
        <v>1</v>
      </c>
      <c r="S289">
        <v>8</v>
      </c>
      <c r="T289" t="s">
        <v>69</v>
      </c>
      <c r="U289" t="s">
        <v>95</v>
      </c>
      <c r="V289" t="s">
        <v>71</v>
      </c>
      <c r="W289" s="1">
        <v>45354</v>
      </c>
      <c r="X289" t="b">
        <v>0</v>
      </c>
      <c r="Y289" t="b">
        <v>0</v>
      </c>
      <c r="Z289" t="s">
        <v>59</v>
      </c>
      <c r="AA289" t="s">
        <v>77</v>
      </c>
      <c r="AB289">
        <v>3</v>
      </c>
    </row>
    <row r="290" spans="1:28">
      <c r="A290" t="s">
        <v>767</v>
      </c>
      <c r="B290">
        <v>29</v>
      </c>
      <c r="C290" t="s">
        <v>431</v>
      </c>
      <c r="D290" t="s">
        <v>34</v>
      </c>
      <c r="E290" t="s">
        <v>35</v>
      </c>
      <c r="F290" t="s">
        <v>66</v>
      </c>
      <c r="G290" t="s">
        <v>51</v>
      </c>
      <c r="H290" t="s">
        <v>768</v>
      </c>
      <c r="I290" t="s">
        <v>127</v>
      </c>
      <c r="J290" s="2">
        <v>443.52</v>
      </c>
      <c r="K290">
        <v>5</v>
      </c>
      <c r="L290" t="s">
        <v>55</v>
      </c>
      <c r="M290">
        <v>5</v>
      </c>
      <c r="N290">
        <v>3</v>
      </c>
      <c r="O290">
        <v>0</v>
      </c>
      <c r="P290" t="s">
        <v>40</v>
      </c>
      <c r="Q290" t="s">
        <v>41</v>
      </c>
      <c r="R290">
        <v>0</v>
      </c>
      <c r="S290">
        <v>7</v>
      </c>
      <c r="T290" t="s">
        <v>69</v>
      </c>
      <c r="U290" t="s">
        <v>42</v>
      </c>
      <c r="V290" t="s">
        <v>102</v>
      </c>
      <c r="W290" s="1">
        <v>45422</v>
      </c>
      <c r="X290" t="b">
        <v>1</v>
      </c>
      <c r="Y290" t="b">
        <v>0</v>
      </c>
      <c r="Z290" t="s">
        <v>44</v>
      </c>
      <c r="AA290" t="s">
        <v>60</v>
      </c>
      <c r="AB290">
        <v>9</v>
      </c>
    </row>
    <row r="291" spans="1:28">
      <c r="A291" t="s">
        <v>769</v>
      </c>
      <c r="B291">
        <v>45</v>
      </c>
      <c r="C291" t="s">
        <v>188</v>
      </c>
      <c r="D291" t="s">
        <v>34</v>
      </c>
      <c r="E291" t="s">
        <v>92</v>
      </c>
      <c r="F291" t="s">
        <v>52</v>
      </c>
      <c r="G291" t="s">
        <v>51</v>
      </c>
      <c r="H291" t="s">
        <v>770</v>
      </c>
      <c r="I291" t="s">
        <v>306</v>
      </c>
      <c r="J291" s="2">
        <v>457.18</v>
      </c>
      <c r="K291">
        <v>7</v>
      </c>
      <c r="L291" t="s">
        <v>55</v>
      </c>
      <c r="M291">
        <v>4</v>
      </c>
      <c r="N291">
        <v>3</v>
      </c>
      <c r="O291">
        <v>2</v>
      </c>
      <c r="P291" t="s">
        <v>51</v>
      </c>
      <c r="Q291" t="s">
        <v>101</v>
      </c>
      <c r="R291">
        <v>2</v>
      </c>
      <c r="S291">
        <v>6</v>
      </c>
      <c r="T291" t="s">
        <v>56</v>
      </c>
      <c r="U291" t="s">
        <v>70</v>
      </c>
      <c r="V291" t="s">
        <v>76</v>
      </c>
      <c r="W291" s="1">
        <v>45524</v>
      </c>
      <c r="X291" t="b">
        <v>1</v>
      </c>
      <c r="Y291" t="b">
        <v>1</v>
      </c>
      <c r="Z291" t="s">
        <v>59</v>
      </c>
      <c r="AA291" t="s">
        <v>77</v>
      </c>
      <c r="AB291">
        <v>10</v>
      </c>
    </row>
    <row r="292" spans="1:28">
      <c r="A292" t="s">
        <v>771</v>
      </c>
      <c r="B292">
        <v>38</v>
      </c>
      <c r="C292" t="s">
        <v>50</v>
      </c>
      <c r="D292" t="s">
        <v>34</v>
      </c>
      <c r="E292" t="s">
        <v>65</v>
      </c>
      <c r="F292" t="s">
        <v>66</v>
      </c>
      <c r="G292" t="s">
        <v>51</v>
      </c>
      <c r="H292" t="s">
        <v>2292</v>
      </c>
      <c r="I292" t="s">
        <v>98</v>
      </c>
      <c r="J292" s="2">
        <v>407.88</v>
      </c>
      <c r="K292">
        <v>4</v>
      </c>
      <c r="L292" t="s">
        <v>55</v>
      </c>
      <c r="M292">
        <v>1</v>
      </c>
      <c r="N292">
        <v>3</v>
      </c>
      <c r="O292">
        <v>1</v>
      </c>
      <c r="P292" t="s">
        <v>40</v>
      </c>
      <c r="Q292" t="s">
        <v>101</v>
      </c>
      <c r="R292">
        <v>1</v>
      </c>
      <c r="S292">
        <v>10</v>
      </c>
      <c r="T292" t="s">
        <v>56</v>
      </c>
      <c r="U292" t="s">
        <v>42</v>
      </c>
      <c r="V292" t="s">
        <v>102</v>
      </c>
      <c r="W292" s="1">
        <v>45607</v>
      </c>
      <c r="X292" t="b">
        <v>0</v>
      </c>
      <c r="Y292" t="b">
        <v>0</v>
      </c>
      <c r="Z292" t="s">
        <v>89</v>
      </c>
      <c r="AA292" t="s">
        <v>60</v>
      </c>
      <c r="AB292">
        <v>14</v>
      </c>
    </row>
    <row r="293" spans="1:28">
      <c r="A293" t="s">
        <v>773</v>
      </c>
      <c r="B293">
        <v>30</v>
      </c>
      <c r="C293" t="s">
        <v>50</v>
      </c>
      <c r="D293" t="s">
        <v>34</v>
      </c>
      <c r="E293" t="s">
        <v>82</v>
      </c>
      <c r="F293" t="s">
        <v>36</v>
      </c>
      <c r="G293" t="s">
        <v>34</v>
      </c>
      <c r="H293" t="s">
        <v>774</v>
      </c>
      <c r="I293" t="s">
        <v>98</v>
      </c>
      <c r="J293" s="2">
        <v>448.68</v>
      </c>
      <c r="K293">
        <v>8</v>
      </c>
      <c r="L293" t="s">
        <v>55</v>
      </c>
      <c r="M293">
        <v>4</v>
      </c>
      <c r="N293">
        <v>4</v>
      </c>
      <c r="O293">
        <v>2</v>
      </c>
      <c r="P293" t="s">
        <v>51</v>
      </c>
      <c r="Q293" t="s">
        <v>41</v>
      </c>
      <c r="R293">
        <v>1</v>
      </c>
      <c r="S293">
        <v>3</v>
      </c>
      <c r="T293" t="s">
        <v>56</v>
      </c>
      <c r="U293" t="s">
        <v>42</v>
      </c>
      <c r="V293" t="s">
        <v>71</v>
      </c>
      <c r="W293" s="1">
        <v>45437</v>
      </c>
      <c r="X293" t="b">
        <v>1</v>
      </c>
      <c r="Y293" t="b">
        <v>0</v>
      </c>
      <c r="Z293" t="s">
        <v>59</v>
      </c>
      <c r="AA293" t="s">
        <v>77</v>
      </c>
      <c r="AB293">
        <v>8</v>
      </c>
    </row>
    <row r="294" spans="1:28">
      <c r="A294" t="s">
        <v>776</v>
      </c>
      <c r="B294">
        <v>40</v>
      </c>
      <c r="C294" t="s">
        <v>33</v>
      </c>
      <c r="D294" t="s">
        <v>51</v>
      </c>
      <c r="E294" t="s">
        <v>82</v>
      </c>
      <c r="F294" t="s">
        <v>36</v>
      </c>
      <c r="G294" t="s">
        <v>51</v>
      </c>
      <c r="H294" t="s">
        <v>777</v>
      </c>
      <c r="I294" t="s">
        <v>147</v>
      </c>
      <c r="J294" s="2">
        <v>255.96</v>
      </c>
      <c r="K294">
        <v>7</v>
      </c>
      <c r="L294" t="s">
        <v>94</v>
      </c>
      <c r="M294">
        <v>5</v>
      </c>
      <c r="N294">
        <v>1</v>
      </c>
      <c r="O294">
        <v>1</v>
      </c>
      <c r="P294" t="s">
        <v>51</v>
      </c>
      <c r="Q294" t="s">
        <v>101</v>
      </c>
      <c r="R294">
        <v>0</v>
      </c>
      <c r="S294">
        <v>10</v>
      </c>
      <c r="T294" t="s">
        <v>40</v>
      </c>
      <c r="U294" t="s">
        <v>42</v>
      </c>
      <c r="V294" t="s">
        <v>102</v>
      </c>
      <c r="W294" s="1">
        <v>45649</v>
      </c>
      <c r="X294" t="b">
        <v>0</v>
      </c>
      <c r="Y294" t="b">
        <v>0</v>
      </c>
      <c r="Z294" t="s">
        <v>44</v>
      </c>
      <c r="AA294" t="s">
        <v>45</v>
      </c>
      <c r="AB294">
        <v>13</v>
      </c>
    </row>
    <row r="295" spans="1:28">
      <c r="A295" t="s">
        <v>778</v>
      </c>
      <c r="B295">
        <v>45</v>
      </c>
      <c r="C295" t="s">
        <v>50</v>
      </c>
      <c r="D295" t="s">
        <v>34</v>
      </c>
      <c r="E295" t="s">
        <v>35</v>
      </c>
      <c r="F295" t="s">
        <v>52</v>
      </c>
      <c r="G295" t="s">
        <v>51</v>
      </c>
      <c r="H295" t="s">
        <v>2293</v>
      </c>
      <c r="I295" t="s">
        <v>123</v>
      </c>
      <c r="J295" s="2">
        <v>146.07</v>
      </c>
      <c r="K295">
        <v>7</v>
      </c>
      <c r="L295" t="s">
        <v>55</v>
      </c>
      <c r="M295">
        <v>4</v>
      </c>
      <c r="N295">
        <v>2</v>
      </c>
      <c r="O295">
        <v>1</v>
      </c>
      <c r="P295" t="s">
        <v>69</v>
      </c>
      <c r="Q295" t="s">
        <v>101</v>
      </c>
      <c r="R295">
        <v>1</v>
      </c>
      <c r="S295">
        <v>6</v>
      </c>
      <c r="T295" t="s">
        <v>40</v>
      </c>
      <c r="U295" t="s">
        <v>42</v>
      </c>
      <c r="V295" t="s">
        <v>43</v>
      </c>
      <c r="W295" s="1">
        <v>45480</v>
      </c>
      <c r="X295" t="b">
        <v>1</v>
      </c>
      <c r="Y295" t="b">
        <v>1</v>
      </c>
      <c r="Z295" t="s">
        <v>44</v>
      </c>
      <c r="AA295" t="s">
        <v>60</v>
      </c>
      <c r="AB295">
        <v>1</v>
      </c>
    </row>
    <row r="296" spans="1:28">
      <c r="A296" t="s">
        <v>780</v>
      </c>
      <c r="B296">
        <v>44</v>
      </c>
      <c r="C296" t="s">
        <v>33</v>
      </c>
      <c r="D296" t="s">
        <v>51</v>
      </c>
      <c r="E296" t="s">
        <v>65</v>
      </c>
      <c r="F296" t="s">
        <v>52</v>
      </c>
      <c r="G296" t="s">
        <v>34</v>
      </c>
      <c r="H296" t="s">
        <v>781</v>
      </c>
      <c r="I296" t="s">
        <v>180</v>
      </c>
      <c r="J296" s="2">
        <v>311.89999999999998</v>
      </c>
      <c r="K296">
        <v>4</v>
      </c>
      <c r="L296" t="s">
        <v>55</v>
      </c>
      <c r="M296">
        <v>2</v>
      </c>
      <c r="N296">
        <v>4</v>
      </c>
      <c r="O296">
        <v>2</v>
      </c>
      <c r="P296" t="s">
        <v>69</v>
      </c>
      <c r="Q296" t="s">
        <v>101</v>
      </c>
      <c r="R296">
        <v>0</v>
      </c>
      <c r="S296">
        <v>6</v>
      </c>
      <c r="T296" t="s">
        <v>51</v>
      </c>
      <c r="U296" t="s">
        <v>70</v>
      </c>
      <c r="V296" t="s">
        <v>43</v>
      </c>
      <c r="W296" s="1">
        <v>45656</v>
      </c>
      <c r="X296" t="b">
        <v>0</v>
      </c>
      <c r="Y296" t="b">
        <v>1</v>
      </c>
      <c r="Z296" t="s">
        <v>89</v>
      </c>
      <c r="AA296" t="s">
        <v>45</v>
      </c>
      <c r="AB296">
        <v>2</v>
      </c>
    </row>
    <row r="297" spans="1:28">
      <c r="A297" t="s">
        <v>782</v>
      </c>
      <c r="B297">
        <v>38</v>
      </c>
      <c r="C297" t="s">
        <v>33</v>
      </c>
      <c r="D297" t="s">
        <v>34</v>
      </c>
      <c r="E297" t="s">
        <v>82</v>
      </c>
      <c r="F297" t="s">
        <v>52</v>
      </c>
      <c r="G297" t="s">
        <v>34</v>
      </c>
      <c r="H297" t="s">
        <v>2294</v>
      </c>
      <c r="I297" t="s">
        <v>38</v>
      </c>
      <c r="J297" s="2">
        <v>301.60000000000002</v>
      </c>
      <c r="K297">
        <v>4</v>
      </c>
      <c r="L297" t="s">
        <v>39</v>
      </c>
      <c r="M297">
        <v>4</v>
      </c>
      <c r="N297">
        <v>5</v>
      </c>
      <c r="O297">
        <v>1</v>
      </c>
      <c r="P297" t="s">
        <v>69</v>
      </c>
      <c r="Q297" t="s">
        <v>57</v>
      </c>
      <c r="R297">
        <v>2</v>
      </c>
      <c r="S297">
        <v>10</v>
      </c>
      <c r="T297" t="s">
        <v>51</v>
      </c>
      <c r="U297" t="s">
        <v>95</v>
      </c>
      <c r="V297" t="s">
        <v>43</v>
      </c>
      <c r="W297" s="1">
        <v>45362</v>
      </c>
      <c r="X297" t="b">
        <v>0</v>
      </c>
      <c r="Y297" t="b">
        <v>0</v>
      </c>
      <c r="Z297" t="s">
        <v>72</v>
      </c>
      <c r="AA297" t="s">
        <v>60</v>
      </c>
      <c r="AB297">
        <v>13</v>
      </c>
    </row>
    <row r="298" spans="1:28">
      <c r="A298" t="s">
        <v>785</v>
      </c>
      <c r="B298">
        <v>23</v>
      </c>
      <c r="C298" t="s">
        <v>264</v>
      </c>
      <c r="D298" t="s">
        <v>34</v>
      </c>
      <c r="E298" t="s">
        <v>82</v>
      </c>
      <c r="F298" t="s">
        <v>36</v>
      </c>
      <c r="G298" t="s">
        <v>51</v>
      </c>
      <c r="H298" t="s">
        <v>786</v>
      </c>
      <c r="I298" t="s">
        <v>150</v>
      </c>
      <c r="J298" s="2">
        <v>297.45</v>
      </c>
      <c r="K298">
        <v>3</v>
      </c>
      <c r="L298" t="s">
        <v>39</v>
      </c>
      <c r="M298">
        <v>1</v>
      </c>
      <c r="N298">
        <v>5</v>
      </c>
      <c r="O298">
        <v>0</v>
      </c>
      <c r="P298" t="s">
        <v>56</v>
      </c>
      <c r="Q298" t="s">
        <v>101</v>
      </c>
      <c r="R298">
        <v>0</v>
      </c>
      <c r="S298">
        <v>7</v>
      </c>
      <c r="T298" t="s">
        <v>69</v>
      </c>
      <c r="U298" t="s">
        <v>42</v>
      </c>
      <c r="V298" t="s">
        <v>71</v>
      </c>
      <c r="W298" s="1">
        <v>45480</v>
      </c>
      <c r="X298" t="b">
        <v>0</v>
      </c>
      <c r="Y298" t="b">
        <v>0</v>
      </c>
      <c r="Z298" t="s">
        <v>89</v>
      </c>
      <c r="AA298" t="s">
        <v>45</v>
      </c>
      <c r="AB298">
        <v>4</v>
      </c>
    </row>
    <row r="299" spans="1:28">
      <c r="A299" t="s">
        <v>787</v>
      </c>
      <c r="B299">
        <v>30</v>
      </c>
      <c r="C299" t="s">
        <v>431</v>
      </c>
      <c r="D299" t="s">
        <v>51</v>
      </c>
      <c r="E299" t="s">
        <v>82</v>
      </c>
      <c r="F299" t="s">
        <v>36</v>
      </c>
      <c r="G299" t="s">
        <v>51</v>
      </c>
      <c r="H299" t="s">
        <v>788</v>
      </c>
      <c r="I299" t="s">
        <v>108</v>
      </c>
      <c r="J299" s="2">
        <v>157.26</v>
      </c>
      <c r="K299">
        <v>3</v>
      </c>
      <c r="L299" t="s">
        <v>94</v>
      </c>
      <c r="M299">
        <v>1</v>
      </c>
      <c r="N299">
        <v>3</v>
      </c>
      <c r="O299">
        <v>1</v>
      </c>
      <c r="P299" t="s">
        <v>56</v>
      </c>
      <c r="Q299" t="s">
        <v>57</v>
      </c>
      <c r="R299">
        <v>1</v>
      </c>
      <c r="S299">
        <v>1</v>
      </c>
      <c r="T299" t="s">
        <v>40</v>
      </c>
      <c r="U299" t="s">
        <v>95</v>
      </c>
      <c r="V299" t="s">
        <v>102</v>
      </c>
      <c r="W299" s="1">
        <v>45497</v>
      </c>
      <c r="X299" t="b">
        <v>0</v>
      </c>
      <c r="Y299" t="b">
        <v>0</v>
      </c>
      <c r="Z299" t="s">
        <v>44</v>
      </c>
      <c r="AA299" t="s">
        <v>60</v>
      </c>
      <c r="AB299">
        <v>8</v>
      </c>
    </row>
    <row r="300" spans="1:28">
      <c r="A300" t="s">
        <v>789</v>
      </c>
      <c r="B300">
        <v>42</v>
      </c>
      <c r="C300" t="s">
        <v>50</v>
      </c>
      <c r="D300" t="s">
        <v>51</v>
      </c>
      <c r="E300" t="s">
        <v>82</v>
      </c>
      <c r="F300" t="s">
        <v>66</v>
      </c>
      <c r="G300" t="s">
        <v>34</v>
      </c>
      <c r="H300" t="s">
        <v>2295</v>
      </c>
      <c r="I300" t="s">
        <v>180</v>
      </c>
      <c r="J300" s="2">
        <v>239.46</v>
      </c>
      <c r="K300">
        <v>3</v>
      </c>
      <c r="L300" t="s">
        <v>39</v>
      </c>
      <c r="M300">
        <v>3</v>
      </c>
      <c r="N300">
        <v>1</v>
      </c>
      <c r="O300">
        <v>0</v>
      </c>
      <c r="P300" t="s">
        <v>69</v>
      </c>
      <c r="Q300" t="s">
        <v>57</v>
      </c>
      <c r="R300">
        <v>2</v>
      </c>
      <c r="S300">
        <v>8</v>
      </c>
      <c r="T300" t="s">
        <v>51</v>
      </c>
      <c r="U300" t="s">
        <v>95</v>
      </c>
      <c r="V300" t="s">
        <v>76</v>
      </c>
      <c r="W300" s="1">
        <v>45508</v>
      </c>
      <c r="X300" t="b">
        <v>1</v>
      </c>
      <c r="Y300" t="b">
        <v>1</v>
      </c>
      <c r="Z300" t="s">
        <v>89</v>
      </c>
      <c r="AA300" t="s">
        <v>60</v>
      </c>
      <c r="AB300">
        <v>7</v>
      </c>
    </row>
    <row r="301" spans="1:28">
      <c r="A301" t="s">
        <v>791</v>
      </c>
      <c r="B301">
        <v>28</v>
      </c>
      <c r="C301" t="s">
        <v>33</v>
      </c>
      <c r="D301" t="s">
        <v>51</v>
      </c>
      <c r="E301" t="s">
        <v>82</v>
      </c>
      <c r="F301" t="s">
        <v>52</v>
      </c>
      <c r="G301" t="s">
        <v>51</v>
      </c>
      <c r="H301" t="s">
        <v>2296</v>
      </c>
      <c r="I301" t="s">
        <v>38</v>
      </c>
      <c r="J301" s="2">
        <v>240.82</v>
      </c>
      <c r="K301">
        <v>10</v>
      </c>
      <c r="L301" t="s">
        <v>39</v>
      </c>
      <c r="M301">
        <v>1</v>
      </c>
      <c r="N301">
        <v>3</v>
      </c>
      <c r="O301">
        <v>2</v>
      </c>
      <c r="P301" t="s">
        <v>51</v>
      </c>
      <c r="Q301" t="s">
        <v>41</v>
      </c>
      <c r="R301">
        <v>0</v>
      </c>
      <c r="S301">
        <v>3</v>
      </c>
      <c r="T301" t="s">
        <v>56</v>
      </c>
      <c r="U301" t="s">
        <v>42</v>
      </c>
      <c r="V301" t="s">
        <v>58</v>
      </c>
      <c r="W301" s="1">
        <v>45293</v>
      </c>
      <c r="X301" t="b">
        <v>1</v>
      </c>
      <c r="Y301" t="b">
        <v>0</v>
      </c>
      <c r="Z301" t="s">
        <v>89</v>
      </c>
      <c r="AA301" t="s">
        <v>45</v>
      </c>
      <c r="AB301">
        <v>8</v>
      </c>
    </row>
    <row r="302" spans="1:28">
      <c r="A302" t="s">
        <v>793</v>
      </c>
      <c r="B302">
        <v>44</v>
      </c>
      <c r="C302" t="s">
        <v>33</v>
      </c>
      <c r="D302" t="s">
        <v>34</v>
      </c>
      <c r="E302" t="s">
        <v>65</v>
      </c>
      <c r="F302" t="s">
        <v>66</v>
      </c>
      <c r="G302" t="s">
        <v>51</v>
      </c>
      <c r="H302" t="s">
        <v>794</v>
      </c>
      <c r="I302" t="s">
        <v>108</v>
      </c>
      <c r="J302" s="2">
        <v>302.07</v>
      </c>
      <c r="K302">
        <v>6</v>
      </c>
      <c r="L302" t="s">
        <v>39</v>
      </c>
      <c r="M302">
        <v>1</v>
      </c>
      <c r="N302">
        <v>5</v>
      </c>
      <c r="O302">
        <v>1</v>
      </c>
      <c r="P302" t="s">
        <v>56</v>
      </c>
      <c r="Q302" t="s">
        <v>57</v>
      </c>
      <c r="R302">
        <v>2</v>
      </c>
      <c r="S302">
        <v>5</v>
      </c>
      <c r="T302" t="s">
        <v>56</v>
      </c>
      <c r="U302" t="s">
        <v>95</v>
      </c>
      <c r="V302" t="s">
        <v>76</v>
      </c>
      <c r="W302" s="1">
        <v>45391</v>
      </c>
      <c r="X302" t="b">
        <v>1</v>
      </c>
      <c r="Y302" t="b">
        <v>0</v>
      </c>
      <c r="Z302" t="s">
        <v>89</v>
      </c>
      <c r="AA302" t="s">
        <v>77</v>
      </c>
      <c r="AB302">
        <v>13</v>
      </c>
    </row>
    <row r="303" spans="1:28">
      <c r="A303" t="s">
        <v>795</v>
      </c>
      <c r="B303">
        <v>45</v>
      </c>
      <c r="C303" t="s">
        <v>50</v>
      </c>
      <c r="D303" t="s">
        <v>34</v>
      </c>
      <c r="E303" t="s">
        <v>82</v>
      </c>
      <c r="F303" t="s">
        <v>36</v>
      </c>
      <c r="G303" t="s">
        <v>34</v>
      </c>
      <c r="H303" t="s">
        <v>2297</v>
      </c>
      <c r="I303" t="s">
        <v>150</v>
      </c>
      <c r="J303" s="2">
        <v>367.99</v>
      </c>
      <c r="K303">
        <v>2</v>
      </c>
      <c r="L303" t="s">
        <v>94</v>
      </c>
      <c r="M303">
        <v>2</v>
      </c>
      <c r="N303">
        <v>5</v>
      </c>
      <c r="O303">
        <v>1</v>
      </c>
      <c r="P303" t="s">
        <v>40</v>
      </c>
      <c r="Q303" t="s">
        <v>57</v>
      </c>
      <c r="R303">
        <v>2</v>
      </c>
      <c r="S303">
        <v>2</v>
      </c>
      <c r="T303" t="s">
        <v>51</v>
      </c>
      <c r="U303" t="s">
        <v>70</v>
      </c>
      <c r="V303" t="s">
        <v>71</v>
      </c>
      <c r="W303" s="1">
        <v>45580</v>
      </c>
      <c r="X303" t="b">
        <v>0</v>
      </c>
      <c r="Y303" t="b">
        <v>0</v>
      </c>
      <c r="Z303" t="s">
        <v>89</v>
      </c>
      <c r="AA303" t="s">
        <v>77</v>
      </c>
      <c r="AB303">
        <v>8</v>
      </c>
    </row>
    <row r="304" spans="1:28">
      <c r="A304" t="s">
        <v>797</v>
      </c>
      <c r="B304">
        <v>46</v>
      </c>
      <c r="C304" t="s">
        <v>33</v>
      </c>
      <c r="D304" t="s">
        <v>51</v>
      </c>
      <c r="E304" t="s">
        <v>35</v>
      </c>
      <c r="F304" t="s">
        <v>66</v>
      </c>
      <c r="G304" t="s">
        <v>34</v>
      </c>
      <c r="H304" t="s">
        <v>798</v>
      </c>
      <c r="I304" t="s">
        <v>199</v>
      </c>
      <c r="J304" s="2">
        <v>359.75</v>
      </c>
      <c r="K304">
        <v>7</v>
      </c>
      <c r="L304" t="s">
        <v>55</v>
      </c>
      <c r="M304">
        <v>5</v>
      </c>
      <c r="N304">
        <v>1</v>
      </c>
      <c r="O304">
        <v>1</v>
      </c>
      <c r="P304" t="s">
        <v>51</v>
      </c>
      <c r="Q304" t="s">
        <v>57</v>
      </c>
      <c r="R304">
        <v>1</v>
      </c>
      <c r="S304">
        <v>6</v>
      </c>
      <c r="T304" t="s">
        <v>69</v>
      </c>
      <c r="U304" t="s">
        <v>42</v>
      </c>
      <c r="V304" t="s">
        <v>76</v>
      </c>
      <c r="W304" s="1">
        <v>45314</v>
      </c>
      <c r="X304" t="b">
        <v>0</v>
      </c>
      <c r="Y304" t="b">
        <v>0</v>
      </c>
      <c r="Z304" t="s">
        <v>59</v>
      </c>
      <c r="AA304" t="s">
        <v>60</v>
      </c>
      <c r="AB304">
        <v>3</v>
      </c>
    </row>
    <row r="305" spans="1:28">
      <c r="A305" t="s">
        <v>799</v>
      </c>
      <c r="B305">
        <v>28</v>
      </c>
      <c r="C305" t="s">
        <v>33</v>
      </c>
      <c r="D305" t="s">
        <v>34</v>
      </c>
      <c r="E305" t="s">
        <v>92</v>
      </c>
      <c r="F305" t="s">
        <v>36</v>
      </c>
      <c r="G305" t="s">
        <v>51</v>
      </c>
      <c r="H305" t="s">
        <v>800</v>
      </c>
      <c r="I305" t="s">
        <v>143</v>
      </c>
      <c r="J305" s="2">
        <v>204.44</v>
      </c>
      <c r="K305">
        <v>2</v>
      </c>
      <c r="L305" t="s">
        <v>39</v>
      </c>
      <c r="M305">
        <v>5</v>
      </c>
      <c r="N305">
        <v>3</v>
      </c>
      <c r="O305">
        <v>2</v>
      </c>
      <c r="P305" t="s">
        <v>40</v>
      </c>
      <c r="Q305" t="s">
        <v>41</v>
      </c>
      <c r="R305">
        <v>1</v>
      </c>
      <c r="S305">
        <v>3</v>
      </c>
      <c r="T305" t="s">
        <v>51</v>
      </c>
      <c r="U305" t="s">
        <v>95</v>
      </c>
      <c r="V305" t="s">
        <v>71</v>
      </c>
      <c r="W305" s="1">
        <v>45627</v>
      </c>
      <c r="X305" t="b">
        <v>0</v>
      </c>
      <c r="Y305" t="b">
        <v>1</v>
      </c>
      <c r="Z305" t="s">
        <v>72</v>
      </c>
      <c r="AA305" t="s">
        <v>60</v>
      </c>
      <c r="AB305">
        <v>13</v>
      </c>
    </row>
    <row r="306" spans="1:28">
      <c r="A306" t="s">
        <v>801</v>
      </c>
      <c r="B306">
        <v>27</v>
      </c>
      <c r="C306" t="s">
        <v>50</v>
      </c>
      <c r="D306" t="s">
        <v>51</v>
      </c>
      <c r="E306" t="s">
        <v>65</v>
      </c>
      <c r="F306" t="s">
        <v>66</v>
      </c>
      <c r="G306" t="s">
        <v>51</v>
      </c>
      <c r="H306" t="s">
        <v>802</v>
      </c>
      <c r="I306" t="s">
        <v>38</v>
      </c>
      <c r="J306" s="2">
        <v>228.93</v>
      </c>
      <c r="K306">
        <v>7</v>
      </c>
      <c r="L306" t="s">
        <v>94</v>
      </c>
      <c r="M306">
        <v>1</v>
      </c>
      <c r="N306">
        <v>1</v>
      </c>
      <c r="O306">
        <v>2</v>
      </c>
      <c r="P306" t="s">
        <v>69</v>
      </c>
      <c r="Q306" t="s">
        <v>57</v>
      </c>
      <c r="R306">
        <v>2</v>
      </c>
      <c r="S306">
        <v>2</v>
      </c>
      <c r="T306" t="s">
        <v>56</v>
      </c>
      <c r="U306" t="s">
        <v>95</v>
      </c>
      <c r="V306" t="s">
        <v>58</v>
      </c>
      <c r="W306" s="1">
        <v>45341</v>
      </c>
      <c r="X306" t="b">
        <v>1</v>
      </c>
      <c r="Y306" t="b">
        <v>1</v>
      </c>
      <c r="Z306" t="s">
        <v>72</v>
      </c>
      <c r="AA306" t="s">
        <v>77</v>
      </c>
      <c r="AB306">
        <v>11</v>
      </c>
    </row>
    <row r="307" spans="1:28">
      <c r="A307" t="s">
        <v>803</v>
      </c>
      <c r="B307">
        <v>20</v>
      </c>
      <c r="C307" t="s">
        <v>33</v>
      </c>
      <c r="D307" t="s">
        <v>51</v>
      </c>
      <c r="E307" t="s">
        <v>65</v>
      </c>
      <c r="F307" t="s">
        <v>52</v>
      </c>
      <c r="G307" t="s">
        <v>34</v>
      </c>
      <c r="H307" t="s">
        <v>641</v>
      </c>
      <c r="I307" t="s">
        <v>68</v>
      </c>
      <c r="J307" s="2">
        <v>355.31</v>
      </c>
      <c r="K307">
        <v>11</v>
      </c>
      <c r="L307" t="s">
        <v>94</v>
      </c>
      <c r="M307">
        <v>1</v>
      </c>
      <c r="N307">
        <v>1</v>
      </c>
      <c r="O307">
        <v>0</v>
      </c>
      <c r="P307" t="s">
        <v>51</v>
      </c>
      <c r="Q307" t="s">
        <v>57</v>
      </c>
      <c r="R307">
        <v>1</v>
      </c>
      <c r="S307">
        <v>2</v>
      </c>
      <c r="T307" t="s">
        <v>56</v>
      </c>
      <c r="U307" t="s">
        <v>95</v>
      </c>
      <c r="V307" t="s">
        <v>71</v>
      </c>
      <c r="W307" s="1">
        <v>45523</v>
      </c>
      <c r="X307" t="b">
        <v>0</v>
      </c>
      <c r="Y307" t="b">
        <v>1</v>
      </c>
      <c r="Z307" t="s">
        <v>72</v>
      </c>
      <c r="AA307" t="s">
        <v>77</v>
      </c>
      <c r="AB307">
        <v>12</v>
      </c>
    </row>
    <row r="308" spans="1:28">
      <c r="A308" t="s">
        <v>804</v>
      </c>
      <c r="B308">
        <v>40</v>
      </c>
      <c r="C308" t="s">
        <v>50</v>
      </c>
      <c r="D308" t="s">
        <v>51</v>
      </c>
      <c r="E308" t="s">
        <v>35</v>
      </c>
      <c r="F308" t="s">
        <v>52</v>
      </c>
      <c r="G308" t="s">
        <v>51</v>
      </c>
      <c r="H308" t="s">
        <v>805</v>
      </c>
      <c r="I308" t="s">
        <v>127</v>
      </c>
      <c r="J308" s="2">
        <v>334.67</v>
      </c>
      <c r="K308">
        <v>12</v>
      </c>
      <c r="L308" t="s">
        <v>55</v>
      </c>
      <c r="M308">
        <v>2</v>
      </c>
      <c r="N308">
        <v>1</v>
      </c>
      <c r="O308">
        <v>2</v>
      </c>
      <c r="P308" t="s">
        <v>40</v>
      </c>
      <c r="Q308" t="s">
        <v>41</v>
      </c>
      <c r="R308">
        <v>2</v>
      </c>
      <c r="S308">
        <v>5</v>
      </c>
      <c r="T308" t="s">
        <v>40</v>
      </c>
      <c r="U308" t="s">
        <v>42</v>
      </c>
      <c r="V308" t="s">
        <v>71</v>
      </c>
      <c r="W308" s="1">
        <v>45614</v>
      </c>
      <c r="X308" t="b">
        <v>1</v>
      </c>
      <c r="Y308" t="b">
        <v>0</v>
      </c>
      <c r="Z308" t="s">
        <v>44</v>
      </c>
      <c r="AA308" t="s">
        <v>60</v>
      </c>
      <c r="AB308">
        <v>13</v>
      </c>
    </row>
    <row r="309" spans="1:28">
      <c r="A309" t="s">
        <v>806</v>
      </c>
      <c r="B309">
        <v>36</v>
      </c>
      <c r="C309" t="s">
        <v>50</v>
      </c>
      <c r="D309" t="s">
        <v>34</v>
      </c>
      <c r="E309" t="s">
        <v>82</v>
      </c>
      <c r="F309" t="s">
        <v>66</v>
      </c>
      <c r="G309" t="s">
        <v>34</v>
      </c>
      <c r="H309" t="s">
        <v>2298</v>
      </c>
      <c r="I309" t="s">
        <v>98</v>
      </c>
      <c r="J309" s="2">
        <v>182.72</v>
      </c>
      <c r="K309">
        <v>5</v>
      </c>
      <c r="L309" t="s">
        <v>94</v>
      </c>
      <c r="M309">
        <v>2</v>
      </c>
      <c r="N309">
        <v>1</v>
      </c>
      <c r="O309">
        <v>2</v>
      </c>
      <c r="P309" t="s">
        <v>51</v>
      </c>
      <c r="Q309" t="s">
        <v>101</v>
      </c>
      <c r="R309">
        <v>1</v>
      </c>
      <c r="S309">
        <v>7</v>
      </c>
      <c r="T309" t="s">
        <v>40</v>
      </c>
      <c r="U309" t="s">
        <v>95</v>
      </c>
      <c r="V309" t="s">
        <v>76</v>
      </c>
      <c r="W309" s="1">
        <v>45447</v>
      </c>
      <c r="X309" t="b">
        <v>0</v>
      </c>
      <c r="Y309" t="b">
        <v>0</v>
      </c>
      <c r="Z309" t="s">
        <v>72</v>
      </c>
      <c r="AA309" t="s">
        <v>45</v>
      </c>
      <c r="AB309">
        <v>13</v>
      </c>
    </row>
    <row r="310" spans="1:28">
      <c r="A310" t="s">
        <v>808</v>
      </c>
      <c r="B310">
        <v>43</v>
      </c>
      <c r="C310" t="s">
        <v>50</v>
      </c>
      <c r="D310" t="s">
        <v>51</v>
      </c>
      <c r="E310" t="s">
        <v>82</v>
      </c>
      <c r="F310" t="s">
        <v>52</v>
      </c>
      <c r="G310" t="s">
        <v>34</v>
      </c>
      <c r="H310" t="s">
        <v>809</v>
      </c>
      <c r="I310" t="s">
        <v>306</v>
      </c>
      <c r="J310" s="2">
        <v>260.22000000000003</v>
      </c>
      <c r="K310">
        <v>11</v>
      </c>
      <c r="L310" t="s">
        <v>55</v>
      </c>
      <c r="M310">
        <v>4</v>
      </c>
      <c r="N310">
        <v>3</v>
      </c>
      <c r="O310">
        <v>0</v>
      </c>
      <c r="P310" t="s">
        <v>40</v>
      </c>
      <c r="Q310" t="s">
        <v>57</v>
      </c>
      <c r="R310">
        <v>2</v>
      </c>
      <c r="S310">
        <v>5</v>
      </c>
      <c r="T310" t="s">
        <v>51</v>
      </c>
      <c r="U310" t="s">
        <v>95</v>
      </c>
      <c r="V310" t="s">
        <v>43</v>
      </c>
      <c r="W310" s="1">
        <v>45616</v>
      </c>
      <c r="X310" t="b">
        <v>0</v>
      </c>
      <c r="Y310" t="b">
        <v>1</v>
      </c>
      <c r="Z310" t="s">
        <v>44</v>
      </c>
      <c r="AA310" t="s">
        <v>77</v>
      </c>
      <c r="AB310">
        <v>13</v>
      </c>
    </row>
    <row r="311" spans="1:28">
      <c r="A311" t="s">
        <v>810</v>
      </c>
      <c r="B311">
        <v>26</v>
      </c>
      <c r="C311" t="s">
        <v>33</v>
      </c>
      <c r="D311" t="s">
        <v>51</v>
      </c>
      <c r="E311" t="s">
        <v>65</v>
      </c>
      <c r="F311" t="s">
        <v>52</v>
      </c>
      <c r="G311" t="s">
        <v>34</v>
      </c>
      <c r="H311" t="s">
        <v>811</v>
      </c>
      <c r="I311" t="s">
        <v>54</v>
      </c>
      <c r="J311" s="2">
        <v>454.93</v>
      </c>
      <c r="K311">
        <v>8</v>
      </c>
      <c r="L311" t="s">
        <v>94</v>
      </c>
      <c r="M311">
        <v>3</v>
      </c>
      <c r="N311">
        <v>5</v>
      </c>
      <c r="O311">
        <v>0</v>
      </c>
      <c r="P311" t="s">
        <v>69</v>
      </c>
      <c r="Q311" t="s">
        <v>41</v>
      </c>
      <c r="R311">
        <v>2</v>
      </c>
      <c r="S311">
        <v>7</v>
      </c>
      <c r="T311" t="s">
        <v>56</v>
      </c>
      <c r="U311" t="s">
        <v>95</v>
      </c>
      <c r="V311" t="s">
        <v>71</v>
      </c>
      <c r="W311" s="1">
        <v>45403</v>
      </c>
      <c r="X311" t="b">
        <v>0</v>
      </c>
      <c r="Y311" t="b">
        <v>0</v>
      </c>
      <c r="Z311" t="s">
        <v>59</v>
      </c>
      <c r="AA311" t="s">
        <v>45</v>
      </c>
      <c r="AB311">
        <v>11</v>
      </c>
    </row>
    <row r="312" spans="1:28">
      <c r="A312" t="s">
        <v>813</v>
      </c>
      <c r="B312">
        <v>29</v>
      </c>
      <c r="C312" t="s">
        <v>50</v>
      </c>
      <c r="D312" t="s">
        <v>34</v>
      </c>
      <c r="E312" t="s">
        <v>82</v>
      </c>
      <c r="F312" t="s">
        <v>36</v>
      </c>
      <c r="G312" t="s">
        <v>51</v>
      </c>
      <c r="H312" t="s">
        <v>814</v>
      </c>
      <c r="I312" t="s">
        <v>235</v>
      </c>
      <c r="J312" s="2">
        <v>325.42</v>
      </c>
      <c r="K312">
        <v>11</v>
      </c>
      <c r="L312" t="s">
        <v>55</v>
      </c>
      <c r="M312">
        <v>2</v>
      </c>
      <c r="N312">
        <v>4</v>
      </c>
      <c r="O312">
        <v>2</v>
      </c>
      <c r="P312" t="s">
        <v>69</v>
      </c>
      <c r="Q312" t="s">
        <v>57</v>
      </c>
      <c r="R312">
        <v>1</v>
      </c>
      <c r="S312">
        <v>1</v>
      </c>
      <c r="T312" t="s">
        <v>51</v>
      </c>
      <c r="U312" t="s">
        <v>95</v>
      </c>
      <c r="V312" t="s">
        <v>76</v>
      </c>
      <c r="W312" s="1">
        <v>45585</v>
      </c>
      <c r="X312" t="b">
        <v>1</v>
      </c>
      <c r="Y312" t="b">
        <v>0</v>
      </c>
      <c r="Z312" t="s">
        <v>72</v>
      </c>
      <c r="AA312" t="s">
        <v>77</v>
      </c>
      <c r="AB312">
        <v>7</v>
      </c>
    </row>
    <row r="313" spans="1:28">
      <c r="A313" t="s">
        <v>815</v>
      </c>
      <c r="B313">
        <v>34</v>
      </c>
      <c r="C313" t="s">
        <v>33</v>
      </c>
      <c r="D313" t="s">
        <v>34</v>
      </c>
      <c r="E313" t="s">
        <v>82</v>
      </c>
      <c r="F313" t="s">
        <v>52</v>
      </c>
      <c r="G313" t="s">
        <v>51</v>
      </c>
      <c r="H313" t="s">
        <v>816</v>
      </c>
      <c r="I313" t="s">
        <v>306</v>
      </c>
      <c r="J313" s="2">
        <v>351.36</v>
      </c>
      <c r="K313">
        <v>2</v>
      </c>
      <c r="L313" t="s">
        <v>55</v>
      </c>
      <c r="M313">
        <v>5</v>
      </c>
      <c r="N313">
        <v>3</v>
      </c>
      <c r="O313">
        <v>2</v>
      </c>
      <c r="P313" t="s">
        <v>51</v>
      </c>
      <c r="Q313" t="s">
        <v>101</v>
      </c>
      <c r="R313">
        <v>2</v>
      </c>
      <c r="S313">
        <v>6</v>
      </c>
      <c r="T313" t="s">
        <v>40</v>
      </c>
      <c r="U313" t="s">
        <v>95</v>
      </c>
      <c r="V313" t="s">
        <v>76</v>
      </c>
      <c r="W313" s="1">
        <v>45331</v>
      </c>
      <c r="X313" t="b">
        <v>0</v>
      </c>
      <c r="Y313" t="b">
        <v>1</v>
      </c>
      <c r="Z313" t="s">
        <v>44</v>
      </c>
      <c r="AA313" t="s">
        <v>60</v>
      </c>
      <c r="AB313">
        <v>7</v>
      </c>
    </row>
    <row r="314" spans="1:28">
      <c r="A314" t="s">
        <v>817</v>
      </c>
      <c r="B314">
        <v>40</v>
      </c>
      <c r="C314" t="s">
        <v>50</v>
      </c>
      <c r="D314" t="s">
        <v>51</v>
      </c>
      <c r="E314" t="s">
        <v>65</v>
      </c>
      <c r="F314" t="s">
        <v>36</v>
      </c>
      <c r="G314" t="s">
        <v>34</v>
      </c>
      <c r="H314" t="s">
        <v>818</v>
      </c>
      <c r="I314" t="s">
        <v>153</v>
      </c>
      <c r="J314" s="2">
        <v>333.63</v>
      </c>
      <c r="K314">
        <v>8</v>
      </c>
      <c r="L314" t="s">
        <v>39</v>
      </c>
      <c r="M314">
        <v>4</v>
      </c>
      <c r="N314">
        <v>5</v>
      </c>
      <c r="O314">
        <v>2</v>
      </c>
      <c r="P314" t="s">
        <v>40</v>
      </c>
      <c r="Q314" t="s">
        <v>101</v>
      </c>
      <c r="R314">
        <v>2</v>
      </c>
      <c r="S314">
        <v>2</v>
      </c>
      <c r="T314" t="s">
        <v>51</v>
      </c>
      <c r="U314" t="s">
        <v>70</v>
      </c>
      <c r="V314" t="s">
        <v>76</v>
      </c>
      <c r="W314" s="1">
        <v>45631</v>
      </c>
      <c r="X314" t="b">
        <v>0</v>
      </c>
      <c r="Y314" t="b">
        <v>0</v>
      </c>
      <c r="Z314" t="s">
        <v>44</v>
      </c>
      <c r="AA314" t="s">
        <v>77</v>
      </c>
      <c r="AB314">
        <v>14</v>
      </c>
    </row>
    <row r="315" spans="1:28">
      <c r="A315" t="s">
        <v>819</v>
      </c>
      <c r="B315">
        <v>42</v>
      </c>
      <c r="C315" t="s">
        <v>33</v>
      </c>
      <c r="D315" t="s">
        <v>51</v>
      </c>
      <c r="E315" t="s">
        <v>35</v>
      </c>
      <c r="F315" t="s">
        <v>36</v>
      </c>
      <c r="G315" t="s">
        <v>34</v>
      </c>
      <c r="H315" t="s">
        <v>820</v>
      </c>
      <c r="I315" t="s">
        <v>235</v>
      </c>
      <c r="J315" s="2">
        <v>469.9</v>
      </c>
      <c r="K315">
        <v>4</v>
      </c>
      <c r="L315" t="s">
        <v>39</v>
      </c>
      <c r="M315">
        <v>2</v>
      </c>
      <c r="N315">
        <v>5</v>
      </c>
      <c r="O315">
        <v>1</v>
      </c>
      <c r="P315" t="s">
        <v>69</v>
      </c>
      <c r="Q315" t="s">
        <v>57</v>
      </c>
      <c r="R315">
        <v>1</v>
      </c>
      <c r="S315">
        <v>7</v>
      </c>
      <c r="T315" t="s">
        <v>40</v>
      </c>
      <c r="U315" t="s">
        <v>95</v>
      </c>
      <c r="V315" t="s">
        <v>102</v>
      </c>
      <c r="W315" s="1">
        <v>45471</v>
      </c>
      <c r="X315" t="b">
        <v>0</v>
      </c>
      <c r="Y315" t="b">
        <v>0</v>
      </c>
      <c r="Z315" t="s">
        <v>89</v>
      </c>
      <c r="AA315" t="s">
        <v>45</v>
      </c>
      <c r="AB315">
        <v>7</v>
      </c>
    </row>
    <row r="316" spans="1:28">
      <c r="A316" t="s">
        <v>821</v>
      </c>
      <c r="B316">
        <v>28</v>
      </c>
      <c r="C316" t="s">
        <v>50</v>
      </c>
      <c r="D316" t="s">
        <v>51</v>
      </c>
      <c r="E316" t="s">
        <v>35</v>
      </c>
      <c r="F316" t="s">
        <v>36</v>
      </c>
      <c r="G316" t="s">
        <v>51</v>
      </c>
      <c r="H316" t="s">
        <v>822</v>
      </c>
      <c r="I316" t="s">
        <v>112</v>
      </c>
      <c r="J316" s="2">
        <v>207.52</v>
      </c>
      <c r="K316">
        <v>4</v>
      </c>
      <c r="L316" t="s">
        <v>55</v>
      </c>
      <c r="M316">
        <v>3</v>
      </c>
      <c r="N316">
        <v>4</v>
      </c>
      <c r="O316">
        <v>1</v>
      </c>
      <c r="P316" t="s">
        <v>69</v>
      </c>
      <c r="Q316" t="s">
        <v>57</v>
      </c>
      <c r="R316">
        <v>1</v>
      </c>
      <c r="S316">
        <v>8</v>
      </c>
      <c r="T316" t="s">
        <v>51</v>
      </c>
      <c r="U316" t="s">
        <v>95</v>
      </c>
      <c r="V316" t="s">
        <v>71</v>
      </c>
      <c r="W316" s="1">
        <v>45510</v>
      </c>
      <c r="X316" t="b">
        <v>0</v>
      </c>
      <c r="Y316" t="b">
        <v>0</v>
      </c>
      <c r="Z316" t="s">
        <v>72</v>
      </c>
      <c r="AA316" t="s">
        <v>45</v>
      </c>
      <c r="AB316">
        <v>2</v>
      </c>
    </row>
    <row r="317" spans="1:28">
      <c r="A317" t="s">
        <v>824</v>
      </c>
      <c r="B317">
        <v>49</v>
      </c>
      <c r="C317" t="s">
        <v>50</v>
      </c>
      <c r="D317" t="s">
        <v>51</v>
      </c>
      <c r="E317" t="s">
        <v>65</v>
      </c>
      <c r="F317" t="s">
        <v>36</v>
      </c>
      <c r="G317" t="s">
        <v>51</v>
      </c>
      <c r="H317" t="s">
        <v>825</v>
      </c>
      <c r="I317" t="s">
        <v>156</v>
      </c>
      <c r="J317" s="2">
        <v>125.89</v>
      </c>
      <c r="K317">
        <v>7</v>
      </c>
      <c r="L317" t="s">
        <v>55</v>
      </c>
      <c r="M317">
        <v>3</v>
      </c>
      <c r="N317">
        <v>3</v>
      </c>
      <c r="O317">
        <v>2</v>
      </c>
      <c r="P317" t="s">
        <v>69</v>
      </c>
      <c r="Q317" t="s">
        <v>57</v>
      </c>
      <c r="R317">
        <v>1</v>
      </c>
      <c r="S317">
        <v>6</v>
      </c>
      <c r="T317" t="s">
        <v>56</v>
      </c>
      <c r="U317" t="s">
        <v>95</v>
      </c>
      <c r="V317" t="s">
        <v>71</v>
      </c>
      <c r="W317" s="1">
        <v>45618</v>
      </c>
      <c r="X317" t="b">
        <v>0</v>
      </c>
      <c r="Y317" t="b">
        <v>0</v>
      </c>
      <c r="Z317" t="s">
        <v>59</v>
      </c>
      <c r="AA317" t="s">
        <v>45</v>
      </c>
      <c r="AB317">
        <v>13</v>
      </c>
    </row>
    <row r="318" spans="1:28">
      <c r="A318" t="s">
        <v>826</v>
      </c>
      <c r="B318">
        <v>46</v>
      </c>
      <c r="C318" t="s">
        <v>33</v>
      </c>
      <c r="D318" t="s">
        <v>51</v>
      </c>
      <c r="E318" t="s">
        <v>65</v>
      </c>
      <c r="F318" t="s">
        <v>66</v>
      </c>
      <c r="G318" t="s">
        <v>34</v>
      </c>
      <c r="H318" t="s">
        <v>827</v>
      </c>
      <c r="I318" t="s">
        <v>147</v>
      </c>
      <c r="J318" s="2">
        <v>170.77</v>
      </c>
      <c r="K318">
        <v>9</v>
      </c>
      <c r="L318" t="s">
        <v>94</v>
      </c>
      <c r="M318">
        <v>5</v>
      </c>
      <c r="N318">
        <v>2</v>
      </c>
      <c r="O318">
        <v>1</v>
      </c>
      <c r="P318" t="s">
        <v>56</v>
      </c>
      <c r="Q318" t="s">
        <v>41</v>
      </c>
      <c r="R318">
        <v>2</v>
      </c>
      <c r="S318">
        <v>1</v>
      </c>
      <c r="T318" t="s">
        <v>69</v>
      </c>
      <c r="U318" t="s">
        <v>70</v>
      </c>
      <c r="V318" t="s">
        <v>43</v>
      </c>
      <c r="W318" s="1">
        <v>45508</v>
      </c>
      <c r="X318" t="b">
        <v>0</v>
      </c>
      <c r="Y318" t="b">
        <v>0</v>
      </c>
      <c r="Z318" t="s">
        <v>72</v>
      </c>
      <c r="AA318" t="s">
        <v>45</v>
      </c>
      <c r="AB318">
        <v>4</v>
      </c>
    </row>
    <row r="319" spans="1:28">
      <c r="A319" t="s">
        <v>828</v>
      </c>
      <c r="B319">
        <v>44</v>
      </c>
      <c r="C319" t="s">
        <v>33</v>
      </c>
      <c r="D319" t="s">
        <v>51</v>
      </c>
      <c r="E319" t="s">
        <v>92</v>
      </c>
      <c r="F319" t="s">
        <v>66</v>
      </c>
      <c r="G319" t="s">
        <v>51</v>
      </c>
      <c r="H319" t="s">
        <v>829</v>
      </c>
      <c r="I319" t="s">
        <v>147</v>
      </c>
      <c r="J319" s="2">
        <v>63.91</v>
      </c>
      <c r="K319">
        <v>2</v>
      </c>
      <c r="L319" t="s">
        <v>94</v>
      </c>
      <c r="M319">
        <v>1</v>
      </c>
      <c r="N319">
        <v>4</v>
      </c>
      <c r="O319">
        <v>2</v>
      </c>
      <c r="P319" t="s">
        <v>40</v>
      </c>
      <c r="Q319" t="s">
        <v>57</v>
      </c>
      <c r="R319">
        <v>0</v>
      </c>
      <c r="S319">
        <v>6</v>
      </c>
      <c r="T319" t="s">
        <v>56</v>
      </c>
      <c r="U319" t="s">
        <v>70</v>
      </c>
      <c r="V319" t="s">
        <v>102</v>
      </c>
      <c r="W319" s="1">
        <v>45303</v>
      </c>
      <c r="X319" t="b">
        <v>0</v>
      </c>
      <c r="Y319" t="b">
        <v>1</v>
      </c>
      <c r="Z319" t="s">
        <v>89</v>
      </c>
      <c r="AA319" t="s">
        <v>45</v>
      </c>
      <c r="AB319">
        <v>12</v>
      </c>
    </row>
    <row r="320" spans="1:28">
      <c r="A320" t="s">
        <v>830</v>
      </c>
      <c r="B320">
        <v>29</v>
      </c>
      <c r="C320" t="s">
        <v>50</v>
      </c>
      <c r="D320" t="s">
        <v>51</v>
      </c>
      <c r="E320" t="s">
        <v>35</v>
      </c>
      <c r="F320" t="s">
        <v>52</v>
      </c>
      <c r="G320" t="s">
        <v>34</v>
      </c>
      <c r="H320" t="s">
        <v>2299</v>
      </c>
      <c r="I320" t="s">
        <v>229</v>
      </c>
      <c r="J320" s="2">
        <v>340.55</v>
      </c>
      <c r="K320">
        <v>7</v>
      </c>
      <c r="L320" t="s">
        <v>55</v>
      </c>
      <c r="M320">
        <v>4</v>
      </c>
      <c r="N320">
        <v>5</v>
      </c>
      <c r="O320">
        <v>0</v>
      </c>
      <c r="P320" t="s">
        <v>69</v>
      </c>
      <c r="Q320" t="s">
        <v>57</v>
      </c>
      <c r="R320">
        <v>0</v>
      </c>
      <c r="S320">
        <v>7</v>
      </c>
      <c r="T320" t="s">
        <v>40</v>
      </c>
      <c r="U320" t="s">
        <v>95</v>
      </c>
      <c r="V320" t="s">
        <v>43</v>
      </c>
      <c r="W320" s="1">
        <v>45615</v>
      </c>
      <c r="X320" t="b">
        <v>0</v>
      </c>
      <c r="Y320" t="b">
        <v>1</v>
      </c>
      <c r="Z320" t="s">
        <v>89</v>
      </c>
      <c r="AA320" t="s">
        <v>77</v>
      </c>
      <c r="AB320">
        <v>1</v>
      </c>
    </row>
    <row r="321" spans="1:28">
      <c r="A321" t="s">
        <v>832</v>
      </c>
      <c r="B321">
        <v>47</v>
      </c>
      <c r="C321" t="s">
        <v>50</v>
      </c>
      <c r="D321" t="s">
        <v>34</v>
      </c>
      <c r="E321" t="s">
        <v>92</v>
      </c>
      <c r="F321" t="s">
        <v>36</v>
      </c>
      <c r="G321" t="s">
        <v>51</v>
      </c>
      <c r="H321" t="s">
        <v>833</v>
      </c>
      <c r="I321" t="s">
        <v>150</v>
      </c>
      <c r="J321" s="2">
        <v>378.14</v>
      </c>
      <c r="K321">
        <v>6</v>
      </c>
      <c r="L321" t="s">
        <v>39</v>
      </c>
      <c r="M321">
        <v>2</v>
      </c>
      <c r="N321">
        <v>2</v>
      </c>
      <c r="O321">
        <v>1</v>
      </c>
      <c r="P321" t="s">
        <v>56</v>
      </c>
      <c r="Q321" t="s">
        <v>101</v>
      </c>
      <c r="R321">
        <v>1</v>
      </c>
      <c r="S321">
        <v>6</v>
      </c>
      <c r="T321" t="s">
        <v>51</v>
      </c>
      <c r="U321" t="s">
        <v>70</v>
      </c>
      <c r="V321" t="s">
        <v>58</v>
      </c>
      <c r="W321" s="1">
        <v>45539</v>
      </c>
      <c r="X321" t="b">
        <v>0</v>
      </c>
      <c r="Y321" t="b">
        <v>0</v>
      </c>
      <c r="Z321" t="s">
        <v>59</v>
      </c>
      <c r="AA321" t="s">
        <v>60</v>
      </c>
      <c r="AB321">
        <v>7</v>
      </c>
    </row>
    <row r="322" spans="1:28">
      <c r="A322" t="s">
        <v>834</v>
      </c>
      <c r="B322">
        <v>37</v>
      </c>
      <c r="C322" t="s">
        <v>33</v>
      </c>
      <c r="D322" t="s">
        <v>34</v>
      </c>
      <c r="E322" t="s">
        <v>35</v>
      </c>
      <c r="F322" t="s">
        <v>36</v>
      </c>
      <c r="G322" t="s">
        <v>34</v>
      </c>
      <c r="H322" t="s">
        <v>2255</v>
      </c>
      <c r="I322" t="s">
        <v>156</v>
      </c>
      <c r="J322" s="2">
        <v>235.84</v>
      </c>
      <c r="K322">
        <v>9</v>
      </c>
      <c r="L322" t="s">
        <v>39</v>
      </c>
      <c r="M322">
        <v>5</v>
      </c>
      <c r="N322">
        <v>2</v>
      </c>
      <c r="O322">
        <v>0</v>
      </c>
      <c r="P322" t="s">
        <v>40</v>
      </c>
      <c r="Q322" t="s">
        <v>101</v>
      </c>
      <c r="R322">
        <v>2</v>
      </c>
      <c r="S322">
        <v>3</v>
      </c>
      <c r="T322" t="s">
        <v>40</v>
      </c>
      <c r="U322" t="s">
        <v>95</v>
      </c>
      <c r="V322" t="s">
        <v>102</v>
      </c>
      <c r="W322" s="1">
        <v>45507</v>
      </c>
      <c r="X322" t="b">
        <v>0</v>
      </c>
      <c r="Y322" t="b">
        <v>0</v>
      </c>
      <c r="Z322" t="s">
        <v>89</v>
      </c>
      <c r="AA322" t="s">
        <v>45</v>
      </c>
      <c r="AB322">
        <v>14</v>
      </c>
    </row>
    <row r="323" spans="1:28">
      <c r="A323" t="s">
        <v>835</v>
      </c>
      <c r="B323">
        <v>47</v>
      </c>
      <c r="C323" t="s">
        <v>50</v>
      </c>
      <c r="D323" t="s">
        <v>51</v>
      </c>
      <c r="E323" t="s">
        <v>82</v>
      </c>
      <c r="F323" t="s">
        <v>52</v>
      </c>
      <c r="G323" t="s">
        <v>34</v>
      </c>
      <c r="H323" t="s">
        <v>836</v>
      </c>
      <c r="I323" t="s">
        <v>170</v>
      </c>
      <c r="J323" s="2">
        <v>164.44</v>
      </c>
      <c r="K323">
        <v>5</v>
      </c>
      <c r="L323" t="s">
        <v>55</v>
      </c>
      <c r="M323">
        <v>5</v>
      </c>
      <c r="N323">
        <v>1</v>
      </c>
      <c r="O323">
        <v>2</v>
      </c>
      <c r="P323" t="s">
        <v>69</v>
      </c>
      <c r="Q323" t="s">
        <v>41</v>
      </c>
      <c r="R323">
        <v>1</v>
      </c>
      <c r="S323">
        <v>10</v>
      </c>
      <c r="T323" t="s">
        <v>51</v>
      </c>
      <c r="U323" t="s">
        <v>70</v>
      </c>
      <c r="V323" t="s">
        <v>76</v>
      </c>
      <c r="W323" s="1">
        <v>45390</v>
      </c>
      <c r="X323" t="b">
        <v>0</v>
      </c>
      <c r="Y323" t="b">
        <v>0</v>
      </c>
      <c r="Z323" t="s">
        <v>72</v>
      </c>
      <c r="AA323" t="s">
        <v>45</v>
      </c>
      <c r="AB323">
        <v>5</v>
      </c>
    </row>
    <row r="324" spans="1:28">
      <c r="A324" t="s">
        <v>837</v>
      </c>
      <c r="B324">
        <v>24</v>
      </c>
      <c r="C324" t="s">
        <v>50</v>
      </c>
      <c r="D324" t="s">
        <v>51</v>
      </c>
      <c r="E324" t="s">
        <v>35</v>
      </c>
      <c r="F324" t="s">
        <v>36</v>
      </c>
      <c r="G324" t="s">
        <v>51</v>
      </c>
      <c r="H324" t="s">
        <v>838</v>
      </c>
      <c r="I324" t="s">
        <v>108</v>
      </c>
      <c r="J324" s="2">
        <v>455.81</v>
      </c>
      <c r="K324">
        <v>3</v>
      </c>
      <c r="L324" t="s">
        <v>94</v>
      </c>
      <c r="M324">
        <v>2</v>
      </c>
      <c r="N324">
        <v>3</v>
      </c>
      <c r="O324">
        <v>1</v>
      </c>
      <c r="P324" t="s">
        <v>69</v>
      </c>
      <c r="Q324" t="s">
        <v>41</v>
      </c>
      <c r="R324">
        <v>1</v>
      </c>
      <c r="S324">
        <v>6</v>
      </c>
      <c r="T324" t="s">
        <v>56</v>
      </c>
      <c r="U324" t="s">
        <v>70</v>
      </c>
      <c r="V324" t="s">
        <v>71</v>
      </c>
      <c r="W324" s="1">
        <v>45403</v>
      </c>
      <c r="X324" t="b">
        <v>0</v>
      </c>
      <c r="Y324" t="b">
        <v>0</v>
      </c>
      <c r="Z324" t="s">
        <v>59</v>
      </c>
      <c r="AA324" t="s">
        <v>77</v>
      </c>
      <c r="AB324">
        <v>6</v>
      </c>
    </row>
    <row r="325" spans="1:28">
      <c r="A325" t="s">
        <v>839</v>
      </c>
      <c r="B325">
        <v>36</v>
      </c>
      <c r="C325" t="s">
        <v>50</v>
      </c>
      <c r="D325" t="s">
        <v>51</v>
      </c>
      <c r="E325" t="s">
        <v>82</v>
      </c>
      <c r="F325" t="s">
        <v>66</v>
      </c>
      <c r="G325" t="s">
        <v>51</v>
      </c>
      <c r="H325" t="s">
        <v>2300</v>
      </c>
      <c r="I325" t="s">
        <v>131</v>
      </c>
      <c r="J325" s="2">
        <v>298.32</v>
      </c>
      <c r="K325">
        <v>7</v>
      </c>
      <c r="L325" t="s">
        <v>55</v>
      </c>
      <c r="M325">
        <v>3</v>
      </c>
      <c r="N325">
        <v>5</v>
      </c>
      <c r="O325">
        <v>1</v>
      </c>
      <c r="P325" t="s">
        <v>69</v>
      </c>
      <c r="Q325" t="s">
        <v>41</v>
      </c>
      <c r="R325">
        <v>2</v>
      </c>
      <c r="S325">
        <v>8</v>
      </c>
      <c r="T325" t="s">
        <v>40</v>
      </c>
      <c r="U325" t="s">
        <v>42</v>
      </c>
      <c r="V325" t="s">
        <v>76</v>
      </c>
      <c r="W325" s="1">
        <v>45460</v>
      </c>
      <c r="X325" t="b">
        <v>1</v>
      </c>
      <c r="Y325" t="b">
        <v>0</v>
      </c>
      <c r="Z325" t="s">
        <v>59</v>
      </c>
      <c r="AA325" t="s">
        <v>60</v>
      </c>
      <c r="AB325">
        <v>12</v>
      </c>
    </row>
    <row r="326" spans="1:28">
      <c r="A326" t="s">
        <v>841</v>
      </c>
      <c r="B326">
        <v>36</v>
      </c>
      <c r="C326" t="s">
        <v>33</v>
      </c>
      <c r="D326" t="s">
        <v>51</v>
      </c>
      <c r="E326" t="s">
        <v>65</v>
      </c>
      <c r="F326" t="s">
        <v>36</v>
      </c>
      <c r="G326" t="s">
        <v>51</v>
      </c>
      <c r="H326" t="s">
        <v>842</v>
      </c>
      <c r="I326" t="s">
        <v>135</v>
      </c>
      <c r="J326" s="2">
        <v>351.71</v>
      </c>
      <c r="K326">
        <v>7</v>
      </c>
      <c r="L326" t="s">
        <v>55</v>
      </c>
      <c r="M326">
        <v>2</v>
      </c>
      <c r="N326">
        <v>2</v>
      </c>
      <c r="O326">
        <v>0</v>
      </c>
      <c r="P326" t="s">
        <v>56</v>
      </c>
      <c r="Q326" t="s">
        <v>101</v>
      </c>
      <c r="R326">
        <v>1</v>
      </c>
      <c r="S326">
        <v>6</v>
      </c>
      <c r="T326" t="s">
        <v>56</v>
      </c>
      <c r="U326" t="s">
        <v>42</v>
      </c>
      <c r="V326" t="s">
        <v>76</v>
      </c>
      <c r="W326" s="1">
        <v>45370</v>
      </c>
      <c r="X326" t="b">
        <v>1</v>
      </c>
      <c r="Y326" t="b">
        <v>0</v>
      </c>
      <c r="Z326" t="s">
        <v>44</v>
      </c>
      <c r="AA326" t="s">
        <v>60</v>
      </c>
      <c r="AB326">
        <v>8</v>
      </c>
    </row>
    <row r="327" spans="1:28">
      <c r="A327" t="s">
        <v>843</v>
      </c>
      <c r="B327">
        <v>49</v>
      </c>
      <c r="C327" t="s">
        <v>50</v>
      </c>
      <c r="D327" t="s">
        <v>34</v>
      </c>
      <c r="E327" t="s">
        <v>92</v>
      </c>
      <c r="F327" t="s">
        <v>36</v>
      </c>
      <c r="G327" t="s">
        <v>34</v>
      </c>
      <c r="H327" t="s">
        <v>844</v>
      </c>
      <c r="I327" t="s">
        <v>156</v>
      </c>
      <c r="J327" s="2">
        <v>393.48</v>
      </c>
      <c r="K327">
        <v>11</v>
      </c>
      <c r="L327" t="s">
        <v>55</v>
      </c>
      <c r="M327">
        <v>2</v>
      </c>
      <c r="N327">
        <v>2</v>
      </c>
      <c r="O327">
        <v>0</v>
      </c>
      <c r="P327" t="s">
        <v>51</v>
      </c>
      <c r="Q327" t="s">
        <v>101</v>
      </c>
      <c r="R327">
        <v>1</v>
      </c>
      <c r="S327">
        <v>10</v>
      </c>
      <c r="T327" t="s">
        <v>40</v>
      </c>
      <c r="U327" t="s">
        <v>42</v>
      </c>
      <c r="V327" t="s">
        <v>76</v>
      </c>
      <c r="W327" s="1">
        <v>45517</v>
      </c>
      <c r="X327" t="b">
        <v>1</v>
      </c>
      <c r="Y327" t="b">
        <v>1</v>
      </c>
      <c r="Z327" t="s">
        <v>44</v>
      </c>
      <c r="AA327" t="s">
        <v>60</v>
      </c>
      <c r="AB327">
        <v>3</v>
      </c>
    </row>
    <row r="328" spans="1:28">
      <c r="A328" t="s">
        <v>845</v>
      </c>
      <c r="B328">
        <v>19</v>
      </c>
      <c r="C328" t="s">
        <v>188</v>
      </c>
      <c r="D328" t="s">
        <v>51</v>
      </c>
      <c r="E328" t="s">
        <v>65</v>
      </c>
      <c r="F328" t="s">
        <v>52</v>
      </c>
      <c r="G328" t="s">
        <v>51</v>
      </c>
      <c r="H328" t="s">
        <v>846</v>
      </c>
      <c r="I328" t="s">
        <v>68</v>
      </c>
      <c r="J328" s="2">
        <v>241.72</v>
      </c>
      <c r="K328">
        <v>6</v>
      </c>
      <c r="L328" t="s">
        <v>39</v>
      </c>
      <c r="M328">
        <v>5</v>
      </c>
      <c r="N328">
        <v>2</v>
      </c>
      <c r="O328">
        <v>1</v>
      </c>
      <c r="P328" t="s">
        <v>56</v>
      </c>
      <c r="Q328" t="s">
        <v>57</v>
      </c>
      <c r="R328">
        <v>0</v>
      </c>
      <c r="S328">
        <v>8</v>
      </c>
      <c r="T328" t="s">
        <v>51</v>
      </c>
      <c r="U328" t="s">
        <v>95</v>
      </c>
      <c r="V328" t="s">
        <v>71</v>
      </c>
      <c r="W328" s="1">
        <v>45441</v>
      </c>
      <c r="X328" t="b">
        <v>0</v>
      </c>
      <c r="Y328" t="b">
        <v>1</v>
      </c>
      <c r="Z328" t="s">
        <v>89</v>
      </c>
      <c r="AA328" t="s">
        <v>77</v>
      </c>
      <c r="AB328">
        <v>2</v>
      </c>
    </row>
    <row r="329" spans="1:28">
      <c r="A329" t="s">
        <v>847</v>
      </c>
      <c r="B329">
        <v>27</v>
      </c>
      <c r="C329" t="s">
        <v>33</v>
      </c>
      <c r="D329" t="s">
        <v>51</v>
      </c>
      <c r="E329" t="s">
        <v>65</v>
      </c>
      <c r="F329" t="s">
        <v>36</v>
      </c>
      <c r="G329" t="s">
        <v>51</v>
      </c>
      <c r="H329" t="s">
        <v>746</v>
      </c>
      <c r="I329" t="s">
        <v>150</v>
      </c>
      <c r="J329" s="2">
        <v>280.2</v>
      </c>
      <c r="K329">
        <v>3</v>
      </c>
      <c r="L329" t="s">
        <v>55</v>
      </c>
      <c r="M329">
        <v>4</v>
      </c>
      <c r="N329">
        <v>2</v>
      </c>
      <c r="O329">
        <v>0</v>
      </c>
      <c r="P329" t="s">
        <v>56</v>
      </c>
      <c r="Q329" t="s">
        <v>41</v>
      </c>
      <c r="R329">
        <v>2</v>
      </c>
      <c r="S329">
        <v>7</v>
      </c>
      <c r="T329" t="s">
        <v>40</v>
      </c>
      <c r="U329" t="s">
        <v>95</v>
      </c>
      <c r="V329" t="s">
        <v>76</v>
      </c>
      <c r="W329" s="1">
        <v>45629</v>
      </c>
      <c r="X329" t="b">
        <v>0</v>
      </c>
      <c r="Y329" t="b">
        <v>0</v>
      </c>
      <c r="Z329" t="s">
        <v>44</v>
      </c>
      <c r="AA329" t="s">
        <v>45</v>
      </c>
      <c r="AB329">
        <v>13</v>
      </c>
    </row>
    <row r="330" spans="1:28">
      <c r="A330" t="s">
        <v>848</v>
      </c>
      <c r="B330">
        <v>36</v>
      </c>
      <c r="C330" t="s">
        <v>33</v>
      </c>
      <c r="D330" t="s">
        <v>34</v>
      </c>
      <c r="E330" t="s">
        <v>65</v>
      </c>
      <c r="F330" t="s">
        <v>66</v>
      </c>
      <c r="G330" t="s">
        <v>34</v>
      </c>
      <c r="H330" t="s">
        <v>849</v>
      </c>
      <c r="I330" t="s">
        <v>180</v>
      </c>
      <c r="J330" s="2">
        <v>178.04</v>
      </c>
      <c r="K330">
        <v>5</v>
      </c>
      <c r="L330" t="s">
        <v>39</v>
      </c>
      <c r="M330">
        <v>1</v>
      </c>
      <c r="N330">
        <v>1</v>
      </c>
      <c r="O330">
        <v>2</v>
      </c>
      <c r="P330" t="s">
        <v>40</v>
      </c>
      <c r="Q330" t="s">
        <v>41</v>
      </c>
      <c r="R330">
        <v>2</v>
      </c>
      <c r="S330">
        <v>10</v>
      </c>
      <c r="T330" t="s">
        <v>51</v>
      </c>
      <c r="U330" t="s">
        <v>70</v>
      </c>
      <c r="V330" t="s">
        <v>43</v>
      </c>
      <c r="W330" s="1">
        <v>45554</v>
      </c>
      <c r="X330" t="b">
        <v>1</v>
      </c>
      <c r="Y330" t="b">
        <v>1</v>
      </c>
      <c r="Z330" t="s">
        <v>72</v>
      </c>
      <c r="AA330" t="s">
        <v>77</v>
      </c>
      <c r="AB330">
        <v>11</v>
      </c>
    </row>
    <row r="331" spans="1:28">
      <c r="A331" t="s">
        <v>850</v>
      </c>
      <c r="B331">
        <v>37</v>
      </c>
      <c r="C331" t="s">
        <v>50</v>
      </c>
      <c r="D331" t="s">
        <v>51</v>
      </c>
      <c r="E331" t="s">
        <v>35</v>
      </c>
      <c r="F331" t="s">
        <v>66</v>
      </c>
      <c r="G331" t="s">
        <v>34</v>
      </c>
      <c r="H331" t="s">
        <v>2301</v>
      </c>
      <c r="I331" t="s">
        <v>143</v>
      </c>
      <c r="J331" s="2">
        <v>347.99</v>
      </c>
      <c r="K331">
        <v>5</v>
      </c>
      <c r="L331" t="s">
        <v>39</v>
      </c>
      <c r="M331">
        <v>4</v>
      </c>
      <c r="N331">
        <v>4</v>
      </c>
      <c r="O331">
        <v>1</v>
      </c>
      <c r="P331" t="s">
        <v>69</v>
      </c>
      <c r="Q331" t="s">
        <v>41</v>
      </c>
      <c r="R331">
        <v>0</v>
      </c>
      <c r="S331">
        <v>1</v>
      </c>
      <c r="T331" t="s">
        <v>51</v>
      </c>
      <c r="U331" t="s">
        <v>95</v>
      </c>
      <c r="V331" t="s">
        <v>58</v>
      </c>
      <c r="W331" s="1">
        <v>45373</v>
      </c>
      <c r="X331" t="b">
        <v>1</v>
      </c>
      <c r="Y331" t="b">
        <v>0</v>
      </c>
      <c r="Z331" t="s">
        <v>89</v>
      </c>
      <c r="AA331" t="s">
        <v>60</v>
      </c>
      <c r="AB331">
        <v>6</v>
      </c>
    </row>
    <row r="332" spans="1:28">
      <c r="A332" t="s">
        <v>853</v>
      </c>
      <c r="B332">
        <v>45</v>
      </c>
      <c r="C332" t="s">
        <v>33</v>
      </c>
      <c r="D332" t="s">
        <v>34</v>
      </c>
      <c r="E332" t="s">
        <v>65</v>
      </c>
      <c r="F332" t="s">
        <v>66</v>
      </c>
      <c r="G332" t="s">
        <v>51</v>
      </c>
      <c r="H332" t="s">
        <v>2302</v>
      </c>
      <c r="I332" t="s">
        <v>68</v>
      </c>
      <c r="J332" s="2">
        <v>343.81</v>
      </c>
      <c r="K332">
        <v>3</v>
      </c>
      <c r="L332" t="s">
        <v>55</v>
      </c>
      <c r="M332">
        <v>3</v>
      </c>
      <c r="N332">
        <v>5</v>
      </c>
      <c r="O332">
        <v>0</v>
      </c>
      <c r="P332" t="s">
        <v>51</v>
      </c>
      <c r="Q332" t="s">
        <v>41</v>
      </c>
      <c r="R332">
        <v>0</v>
      </c>
      <c r="S332">
        <v>7</v>
      </c>
      <c r="T332" t="s">
        <v>56</v>
      </c>
      <c r="U332" t="s">
        <v>95</v>
      </c>
      <c r="V332" t="s">
        <v>43</v>
      </c>
      <c r="W332" s="1">
        <v>45344</v>
      </c>
      <c r="X332" t="b">
        <v>0</v>
      </c>
      <c r="Y332" t="b">
        <v>1</v>
      </c>
      <c r="Z332" t="s">
        <v>44</v>
      </c>
      <c r="AA332" t="s">
        <v>60</v>
      </c>
      <c r="AB332">
        <v>3</v>
      </c>
    </row>
    <row r="333" spans="1:28">
      <c r="A333" t="s">
        <v>855</v>
      </c>
      <c r="B333">
        <v>47</v>
      </c>
      <c r="C333" t="s">
        <v>33</v>
      </c>
      <c r="D333" t="s">
        <v>34</v>
      </c>
      <c r="E333" t="s">
        <v>35</v>
      </c>
      <c r="F333" t="s">
        <v>66</v>
      </c>
      <c r="G333" t="s">
        <v>34</v>
      </c>
      <c r="H333" t="s">
        <v>856</v>
      </c>
      <c r="I333" t="s">
        <v>127</v>
      </c>
      <c r="J333" s="2">
        <v>105.29</v>
      </c>
      <c r="K333">
        <v>7</v>
      </c>
      <c r="L333" t="s">
        <v>55</v>
      </c>
      <c r="M333">
        <v>2</v>
      </c>
      <c r="N333">
        <v>5</v>
      </c>
      <c r="O333">
        <v>0</v>
      </c>
      <c r="P333" t="s">
        <v>69</v>
      </c>
      <c r="Q333" t="s">
        <v>101</v>
      </c>
      <c r="R333">
        <v>0</v>
      </c>
      <c r="S333">
        <v>1</v>
      </c>
      <c r="T333" t="s">
        <v>51</v>
      </c>
      <c r="U333" t="s">
        <v>95</v>
      </c>
      <c r="V333" t="s">
        <v>102</v>
      </c>
      <c r="W333" s="1">
        <v>45651</v>
      </c>
      <c r="X333" t="b">
        <v>0</v>
      </c>
      <c r="Y333" t="b">
        <v>1</v>
      </c>
      <c r="Z333" t="s">
        <v>44</v>
      </c>
      <c r="AA333" t="s">
        <v>77</v>
      </c>
      <c r="AB333">
        <v>4</v>
      </c>
    </row>
    <row r="334" spans="1:28">
      <c r="A334" t="s">
        <v>857</v>
      </c>
      <c r="B334">
        <v>32</v>
      </c>
      <c r="C334" t="s">
        <v>50</v>
      </c>
      <c r="D334" t="s">
        <v>34</v>
      </c>
      <c r="E334" t="s">
        <v>65</v>
      </c>
      <c r="F334" t="s">
        <v>52</v>
      </c>
      <c r="G334" t="s">
        <v>34</v>
      </c>
      <c r="H334" t="s">
        <v>2303</v>
      </c>
      <c r="I334" t="s">
        <v>135</v>
      </c>
      <c r="J334" s="2">
        <v>483.66</v>
      </c>
      <c r="K334">
        <v>3</v>
      </c>
      <c r="L334" t="s">
        <v>94</v>
      </c>
      <c r="M334">
        <v>1</v>
      </c>
      <c r="N334">
        <v>4</v>
      </c>
      <c r="O334">
        <v>1</v>
      </c>
      <c r="P334" t="s">
        <v>56</v>
      </c>
      <c r="Q334" t="s">
        <v>57</v>
      </c>
      <c r="R334">
        <v>2</v>
      </c>
      <c r="S334">
        <v>1</v>
      </c>
      <c r="T334" t="s">
        <v>56</v>
      </c>
      <c r="U334" t="s">
        <v>95</v>
      </c>
      <c r="V334" t="s">
        <v>76</v>
      </c>
      <c r="W334" s="1">
        <v>45531</v>
      </c>
      <c r="X334" t="b">
        <v>0</v>
      </c>
      <c r="Y334" t="b">
        <v>0</v>
      </c>
      <c r="Z334" t="s">
        <v>72</v>
      </c>
      <c r="AA334" t="s">
        <v>60</v>
      </c>
      <c r="AB334">
        <v>9</v>
      </c>
    </row>
    <row r="335" spans="1:28">
      <c r="A335" t="s">
        <v>860</v>
      </c>
      <c r="B335">
        <v>48</v>
      </c>
      <c r="C335" t="s">
        <v>50</v>
      </c>
      <c r="D335" t="s">
        <v>34</v>
      </c>
      <c r="E335" t="s">
        <v>35</v>
      </c>
      <c r="F335" t="s">
        <v>36</v>
      </c>
      <c r="G335" t="s">
        <v>34</v>
      </c>
      <c r="H335" t="s">
        <v>861</v>
      </c>
      <c r="I335" t="s">
        <v>75</v>
      </c>
      <c r="J335" s="2">
        <v>69.41</v>
      </c>
      <c r="K335">
        <v>8</v>
      </c>
      <c r="L335" t="s">
        <v>39</v>
      </c>
      <c r="M335">
        <v>5</v>
      </c>
      <c r="N335">
        <v>3</v>
      </c>
      <c r="O335">
        <v>0</v>
      </c>
      <c r="P335" t="s">
        <v>51</v>
      </c>
      <c r="Q335" t="s">
        <v>41</v>
      </c>
      <c r="R335">
        <v>1</v>
      </c>
      <c r="S335">
        <v>9</v>
      </c>
      <c r="T335" t="s">
        <v>51</v>
      </c>
      <c r="U335" t="s">
        <v>42</v>
      </c>
      <c r="V335" t="s">
        <v>102</v>
      </c>
      <c r="W335" s="1">
        <v>45319</v>
      </c>
      <c r="X335" t="b">
        <v>0</v>
      </c>
      <c r="Y335" t="b">
        <v>0</v>
      </c>
      <c r="Z335" t="s">
        <v>59</v>
      </c>
      <c r="AA335" t="s">
        <v>60</v>
      </c>
      <c r="AB335">
        <v>5</v>
      </c>
    </row>
    <row r="336" spans="1:28">
      <c r="A336" t="s">
        <v>862</v>
      </c>
      <c r="B336">
        <v>20</v>
      </c>
      <c r="C336" t="s">
        <v>188</v>
      </c>
      <c r="D336" t="s">
        <v>51</v>
      </c>
      <c r="E336" t="s">
        <v>65</v>
      </c>
      <c r="F336" t="s">
        <v>66</v>
      </c>
      <c r="G336" t="s">
        <v>34</v>
      </c>
      <c r="H336" t="s">
        <v>863</v>
      </c>
      <c r="I336" t="s">
        <v>156</v>
      </c>
      <c r="J336" s="2">
        <v>207.18</v>
      </c>
      <c r="K336">
        <v>11</v>
      </c>
      <c r="L336" t="s">
        <v>94</v>
      </c>
      <c r="M336">
        <v>1</v>
      </c>
      <c r="N336">
        <v>3</v>
      </c>
      <c r="O336">
        <v>0</v>
      </c>
      <c r="P336" t="s">
        <v>69</v>
      </c>
      <c r="Q336" t="s">
        <v>41</v>
      </c>
      <c r="R336">
        <v>1</v>
      </c>
      <c r="S336">
        <v>5</v>
      </c>
      <c r="T336" t="s">
        <v>51</v>
      </c>
      <c r="U336" t="s">
        <v>42</v>
      </c>
      <c r="V336" t="s">
        <v>58</v>
      </c>
      <c r="W336" s="1">
        <v>45612</v>
      </c>
      <c r="X336" t="b">
        <v>0</v>
      </c>
      <c r="Y336" t="b">
        <v>0</v>
      </c>
      <c r="Z336" t="s">
        <v>59</v>
      </c>
      <c r="AA336" t="s">
        <v>60</v>
      </c>
      <c r="AB336">
        <v>8</v>
      </c>
    </row>
    <row r="337" spans="1:28">
      <c r="A337" t="s">
        <v>864</v>
      </c>
      <c r="B337">
        <v>32</v>
      </c>
      <c r="C337" t="s">
        <v>50</v>
      </c>
      <c r="D337" t="s">
        <v>34</v>
      </c>
      <c r="E337" t="s">
        <v>92</v>
      </c>
      <c r="F337" t="s">
        <v>52</v>
      </c>
      <c r="G337" t="s">
        <v>51</v>
      </c>
      <c r="H337" t="s">
        <v>865</v>
      </c>
      <c r="I337" t="s">
        <v>180</v>
      </c>
      <c r="J337" s="2">
        <v>454.15</v>
      </c>
      <c r="K337">
        <v>11</v>
      </c>
      <c r="L337" t="s">
        <v>55</v>
      </c>
      <c r="M337">
        <v>2</v>
      </c>
      <c r="N337">
        <v>1</v>
      </c>
      <c r="O337">
        <v>1</v>
      </c>
      <c r="P337" t="s">
        <v>51</v>
      </c>
      <c r="Q337" t="s">
        <v>57</v>
      </c>
      <c r="R337">
        <v>1</v>
      </c>
      <c r="S337">
        <v>8</v>
      </c>
      <c r="T337" t="s">
        <v>51</v>
      </c>
      <c r="U337" t="s">
        <v>70</v>
      </c>
      <c r="V337" t="s">
        <v>102</v>
      </c>
      <c r="W337" s="1">
        <v>45634</v>
      </c>
      <c r="X337" t="b">
        <v>1</v>
      </c>
      <c r="Y337" t="b">
        <v>1</v>
      </c>
      <c r="Z337" t="s">
        <v>89</v>
      </c>
      <c r="AA337" t="s">
        <v>77</v>
      </c>
      <c r="AB337">
        <v>13</v>
      </c>
    </row>
    <row r="338" spans="1:28">
      <c r="A338" t="s">
        <v>866</v>
      </c>
      <c r="B338">
        <v>25</v>
      </c>
      <c r="C338" t="s">
        <v>50</v>
      </c>
      <c r="D338" t="s">
        <v>51</v>
      </c>
      <c r="E338" t="s">
        <v>82</v>
      </c>
      <c r="F338" t="s">
        <v>52</v>
      </c>
      <c r="G338" t="s">
        <v>51</v>
      </c>
      <c r="H338" t="s">
        <v>867</v>
      </c>
      <c r="I338" t="s">
        <v>199</v>
      </c>
      <c r="J338" s="2">
        <v>113.01</v>
      </c>
      <c r="K338">
        <v>11</v>
      </c>
      <c r="L338" t="s">
        <v>55</v>
      </c>
      <c r="M338">
        <v>5</v>
      </c>
      <c r="N338">
        <v>2</v>
      </c>
      <c r="O338">
        <v>2</v>
      </c>
      <c r="P338" t="s">
        <v>69</v>
      </c>
      <c r="Q338" t="s">
        <v>101</v>
      </c>
      <c r="R338">
        <v>1</v>
      </c>
      <c r="S338">
        <v>1</v>
      </c>
      <c r="T338" t="s">
        <v>40</v>
      </c>
      <c r="U338" t="s">
        <v>42</v>
      </c>
      <c r="V338" t="s">
        <v>43</v>
      </c>
      <c r="W338" s="1">
        <v>45427</v>
      </c>
      <c r="X338" t="b">
        <v>0</v>
      </c>
      <c r="Y338" t="b">
        <v>1</v>
      </c>
      <c r="Z338" t="s">
        <v>72</v>
      </c>
      <c r="AA338" t="s">
        <v>77</v>
      </c>
      <c r="AB338">
        <v>4</v>
      </c>
    </row>
    <row r="339" spans="1:28">
      <c r="A339" t="s">
        <v>868</v>
      </c>
      <c r="B339">
        <v>42</v>
      </c>
      <c r="C339" t="s">
        <v>50</v>
      </c>
      <c r="D339" t="s">
        <v>34</v>
      </c>
      <c r="E339" t="s">
        <v>92</v>
      </c>
      <c r="F339" t="s">
        <v>36</v>
      </c>
      <c r="G339" t="s">
        <v>34</v>
      </c>
      <c r="H339" t="s">
        <v>869</v>
      </c>
      <c r="I339" t="s">
        <v>143</v>
      </c>
      <c r="J339" s="2">
        <v>419.13</v>
      </c>
      <c r="K339">
        <v>4</v>
      </c>
      <c r="L339" t="s">
        <v>39</v>
      </c>
      <c r="M339">
        <v>3</v>
      </c>
      <c r="N339">
        <v>5</v>
      </c>
      <c r="O339">
        <v>1</v>
      </c>
      <c r="P339" t="s">
        <v>40</v>
      </c>
      <c r="Q339" t="s">
        <v>57</v>
      </c>
      <c r="R339">
        <v>0</v>
      </c>
      <c r="S339">
        <v>1</v>
      </c>
      <c r="T339" t="s">
        <v>40</v>
      </c>
      <c r="U339" t="s">
        <v>70</v>
      </c>
      <c r="V339" t="s">
        <v>102</v>
      </c>
      <c r="W339" s="1">
        <v>45507</v>
      </c>
      <c r="X339" t="b">
        <v>0</v>
      </c>
      <c r="Y339" t="b">
        <v>1</v>
      </c>
      <c r="Z339" t="s">
        <v>59</v>
      </c>
      <c r="AA339" t="s">
        <v>77</v>
      </c>
      <c r="AB339">
        <v>6</v>
      </c>
    </row>
    <row r="340" spans="1:28">
      <c r="A340" t="s">
        <v>870</v>
      </c>
      <c r="B340">
        <v>37</v>
      </c>
      <c r="C340" t="s">
        <v>33</v>
      </c>
      <c r="D340" t="s">
        <v>51</v>
      </c>
      <c r="E340" t="s">
        <v>65</v>
      </c>
      <c r="F340" t="s">
        <v>36</v>
      </c>
      <c r="G340" t="s">
        <v>51</v>
      </c>
      <c r="H340" t="s">
        <v>871</v>
      </c>
      <c r="I340" t="s">
        <v>306</v>
      </c>
      <c r="J340" s="2">
        <v>183.86</v>
      </c>
      <c r="K340">
        <v>5</v>
      </c>
      <c r="L340" t="s">
        <v>39</v>
      </c>
      <c r="M340">
        <v>1</v>
      </c>
      <c r="N340">
        <v>1</v>
      </c>
      <c r="O340">
        <v>2</v>
      </c>
      <c r="P340" t="s">
        <v>56</v>
      </c>
      <c r="Q340" t="s">
        <v>57</v>
      </c>
      <c r="R340">
        <v>1</v>
      </c>
      <c r="S340">
        <v>4</v>
      </c>
      <c r="T340" t="s">
        <v>69</v>
      </c>
      <c r="U340" t="s">
        <v>70</v>
      </c>
      <c r="V340" t="s">
        <v>71</v>
      </c>
      <c r="W340" s="1">
        <v>45572</v>
      </c>
      <c r="X340" t="b">
        <v>0</v>
      </c>
      <c r="Y340" t="b">
        <v>1</v>
      </c>
      <c r="Z340" t="s">
        <v>59</v>
      </c>
      <c r="AA340" t="s">
        <v>60</v>
      </c>
      <c r="AB340">
        <v>3</v>
      </c>
    </row>
    <row r="341" spans="1:28">
      <c r="A341" t="s">
        <v>872</v>
      </c>
      <c r="B341">
        <v>21</v>
      </c>
      <c r="C341" t="s">
        <v>188</v>
      </c>
      <c r="D341" t="s">
        <v>34</v>
      </c>
      <c r="E341" t="s">
        <v>82</v>
      </c>
      <c r="F341" t="s">
        <v>66</v>
      </c>
      <c r="G341" t="s">
        <v>34</v>
      </c>
      <c r="H341" t="s">
        <v>873</v>
      </c>
      <c r="I341" t="s">
        <v>143</v>
      </c>
      <c r="J341" s="2">
        <v>53.87</v>
      </c>
      <c r="K341">
        <v>10</v>
      </c>
      <c r="L341" t="s">
        <v>55</v>
      </c>
      <c r="M341">
        <v>4</v>
      </c>
      <c r="N341">
        <v>3</v>
      </c>
      <c r="O341">
        <v>0</v>
      </c>
      <c r="P341" t="s">
        <v>56</v>
      </c>
      <c r="Q341" t="s">
        <v>101</v>
      </c>
      <c r="R341">
        <v>0</v>
      </c>
      <c r="S341">
        <v>10</v>
      </c>
      <c r="T341" t="s">
        <v>51</v>
      </c>
      <c r="U341" t="s">
        <v>42</v>
      </c>
      <c r="V341" t="s">
        <v>102</v>
      </c>
      <c r="W341" s="1">
        <v>45468</v>
      </c>
      <c r="X341" t="b">
        <v>1</v>
      </c>
      <c r="Y341" t="b">
        <v>0</v>
      </c>
      <c r="Z341" t="s">
        <v>89</v>
      </c>
      <c r="AA341" t="s">
        <v>45</v>
      </c>
      <c r="AB341">
        <v>2</v>
      </c>
    </row>
    <row r="342" spans="1:28">
      <c r="A342" t="s">
        <v>874</v>
      </c>
      <c r="B342">
        <v>43</v>
      </c>
      <c r="C342" t="s">
        <v>33</v>
      </c>
      <c r="D342" t="s">
        <v>51</v>
      </c>
      <c r="E342" t="s">
        <v>82</v>
      </c>
      <c r="F342" t="s">
        <v>36</v>
      </c>
      <c r="G342" t="s">
        <v>51</v>
      </c>
      <c r="H342" t="s">
        <v>875</v>
      </c>
      <c r="I342" t="s">
        <v>54</v>
      </c>
      <c r="J342" s="2">
        <v>427.82</v>
      </c>
      <c r="K342">
        <v>9</v>
      </c>
      <c r="L342" t="s">
        <v>55</v>
      </c>
      <c r="M342">
        <v>5</v>
      </c>
      <c r="N342">
        <v>5</v>
      </c>
      <c r="O342">
        <v>0</v>
      </c>
      <c r="P342" t="s">
        <v>56</v>
      </c>
      <c r="Q342" t="s">
        <v>41</v>
      </c>
      <c r="R342">
        <v>1</v>
      </c>
      <c r="S342">
        <v>2</v>
      </c>
      <c r="T342" t="s">
        <v>56</v>
      </c>
      <c r="U342" t="s">
        <v>95</v>
      </c>
      <c r="V342" t="s">
        <v>58</v>
      </c>
      <c r="W342" s="1">
        <v>45386</v>
      </c>
      <c r="X342" t="b">
        <v>1</v>
      </c>
      <c r="Y342" t="b">
        <v>0</v>
      </c>
      <c r="Z342" t="s">
        <v>59</v>
      </c>
      <c r="AA342" t="s">
        <v>45</v>
      </c>
      <c r="AB342">
        <v>14</v>
      </c>
    </row>
    <row r="343" spans="1:28">
      <c r="A343" t="s">
        <v>876</v>
      </c>
      <c r="B343">
        <v>29</v>
      </c>
      <c r="C343" t="s">
        <v>33</v>
      </c>
      <c r="D343" t="s">
        <v>51</v>
      </c>
      <c r="E343" t="s">
        <v>92</v>
      </c>
      <c r="F343" t="s">
        <v>36</v>
      </c>
      <c r="G343" t="s">
        <v>34</v>
      </c>
      <c r="H343" t="s">
        <v>877</v>
      </c>
      <c r="I343" t="s">
        <v>143</v>
      </c>
      <c r="J343" s="2">
        <v>282.82</v>
      </c>
      <c r="K343">
        <v>6</v>
      </c>
      <c r="L343" t="s">
        <v>55</v>
      </c>
      <c r="M343">
        <v>5</v>
      </c>
      <c r="N343">
        <v>3</v>
      </c>
      <c r="O343">
        <v>2</v>
      </c>
      <c r="P343" t="s">
        <v>56</v>
      </c>
      <c r="Q343" t="s">
        <v>101</v>
      </c>
      <c r="R343">
        <v>2</v>
      </c>
      <c r="S343">
        <v>7</v>
      </c>
      <c r="T343" t="s">
        <v>40</v>
      </c>
      <c r="U343" t="s">
        <v>95</v>
      </c>
      <c r="V343" t="s">
        <v>76</v>
      </c>
      <c r="W343" s="1">
        <v>45351</v>
      </c>
      <c r="X343" t="b">
        <v>0</v>
      </c>
      <c r="Y343" t="b">
        <v>1</v>
      </c>
      <c r="Z343" t="s">
        <v>59</v>
      </c>
      <c r="AA343" t="s">
        <v>60</v>
      </c>
      <c r="AB343">
        <v>3</v>
      </c>
    </row>
    <row r="344" spans="1:28">
      <c r="A344" t="s">
        <v>878</v>
      </c>
      <c r="B344">
        <v>28</v>
      </c>
      <c r="C344" t="s">
        <v>50</v>
      </c>
      <c r="D344" t="s">
        <v>34</v>
      </c>
      <c r="E344" t="s">
        <v>92</v>
      </c>
      <c r="F344" t="s">
        <v>66</v>
      </c>
      <c r="G344" t="s">
        <v>34</v>
      </c>
      <c r="H344" t="s">
        <v>879</v>
      </c>
      <c r="I344" t="s">
        <v>147</v>
      </c>
      <c r="J344" s="2">
        <v>215.31</v>
      </c>
      <c r="K344">
        <v>7</v>
      </c>
      <c r="L344" t="s">
        <v>94</v>
      </c>
      <c r="M344">
        <v>5</v>
      </c>
      <c r="N344">
        <v>5</v>
      </c>
      <c r="O344">
        <v>2</v>
      </c>
      <c r="P344" t="s">
        <v>56</v>
      </c>
      <c r="Q344" t="s">
        <v>41</v>
      </c>
      <c r="R344">
        <v>1</v>
      </c>
      <c r="S344">
        <v>8</v>
      </c>
      <c r="T344" t="s">
        <v>56</v>
      </c>
      <c r="U344" t="s">
        <v>70</v>
      </c>
      <c r="V344" t="s">
        <v>76</v>
      </c>
      <c r="W344" s="1">
        <v>45391</v>
      </c>
      <c r="X344" t="b">
        <v>0</v>
      </c>
      <c r="Y344" t="b">
        <v>1</v>
      </c>
      <c r="Z344" t="s">
        <v>72</v>
      </c>
      <c r="AA344" t="s">
        <v>45</v>
      </c>
      <c r="AB344">
        <v>7</v>
      </c>
    </row>
    <row r="345" spans="1:28">
      <c r="A345" t="s">
        <v>880</v>
      </c>
      <c r="B345">
        <v>43</v>
      </c>
      <c r="C345" t="s">
        <v>50</v>
      </c>
      <c r="D345" t="s">
        <v>34</v>
      </c>
      <c r="E345" t="s">
        <v>82</v>
      </c>
      <c r="F345" t="s">
        <v>66</v>
      </c>
      <c r="G345" t="s">
        <v>51</v>
      </c>
      <c r="H345" t="s">
        <v>881</v>
      </c>
      <c r="I345" t="s">
        <v>84</v>
      </c>
      <c r="J345" s="2">
        <v>183.66</v>
      </c>
      <c r="K345">
        <v>11</v>
      </c>
      <c r="L345" t="s">
        <v>94</v>
      </c>
      <c r="M345">
        <v>3</v>
      </c>
      <c r="N345">
        <v>1</v>
      </c>
      <c r="O345">
        <v>1</v>
      </c>
      <c r="P345" t="s">
        <v>69</v>
      </c>
      <c r="Q345" t="s">
        <v>101</v>
      </c>
      <c r="R345">
        <v>0</v>
      </c>
      <c r="S345">
        <v>10</v>
      </c>
      <c r="T345" t="s">
        <v>56</v>
      </c>
      <c r="U345" t="s">
        <v>42</v>
      </c>
      <c r="V345" t="s">
        <v>43</v>
      </c>
      <c r="W345" s="1">
        <v>45400</v>
      </c>
      <c r="X345" t="b">
        <v>1</v>
      </c>
      <c r="Y345" t="b">
        <v>1</v>
      </c>
      <c r="Z345" t="s">
        <v>89</v>
      </c>
      <c r="AA345" t="s">
        <v>45</v>
      </c>
      <c r="AB345">
        <v>6</v>
      </c>
    </row>
    <row r="346" spans="1:28">
      <c r="A346" t="s">
        <v>882</v>
      </c>
      <c r="B346">
        <v>48</v>
      </c>
      <c r="C346" t="s">
        <v>33</v>
      </c>
      <c r="D346" t="s">
        <v>51</v>
      </c>
      <c r="E346" t="s">
        <v>92</v>
      </c>
      <c r="F346" t="s">
        <v>52</v>
      </c>
      <c r="G346" t="s">
        <v>34</v>
      </c>
      <c r="H346" t="s">
        <v>883</v>
      </c>
      <c r="I346" t="s">
        <v>153</v>
      </c>
      <c r="J346" s="2">
        <v>198.73</v>
      </c>
      <c r="K346">
        <v>10</v>
      </c>
      <c r="L346" t="s">
        <v>55</v>
      </c>
      <c r="M346">
        <v>1</v>
      </c>
      <c r="N346">
        <v>5</v>
      </c>
      <c r="O346">
        <v>2</v>
      </c>
      <c r="P346" t="s">
        <v>51</v>
      </c>
      <c r="Q346" t="s">
        <v>101</v>
      </c>
      <c r="R346">
        <v>1</v>
      </c>
      <c r="S346">
        <v>5</v>
      </c>
      <c r="T346" t="s">
        <v>40</v>
      </c>
      <c r="U346" t="s">
        <v>95</v>
      </c>
      <c r="V346" t="s">
        <v>76</v>
      </c>
      <c r="W346" s="1">
        <v>45324</v>
      </c>
      <c r="X346" t="b">
        <v>1</v>
      </c>
      <c r="Y346" t="b">
        <v>0</v>
      </c>
      <c r="Z346" t="s">
        <v>72</v>
      </c>
      <c r="AA346" t="s">
        <v>60</v>
      </c>
      <c r="AB346">
        <v>4</v>
      </c>
    </row>
    <row r="347" spans="1:28">
      <c r="A347" t="s">
        <v>884</v>
      </c>
      <c r="B347">
        <v>26</v>
      </c>
      <c r="C347" t="s">
        <v>33</v>
      </c>
      <c r="D347" t="s">
        <v>34</v>
      </c>
      <c r="E347" t="s">
        <v>35</v>
      </c>
      <c r="F347" t="s">
        <v>52</v>
      </c>
      <c r="G347" t="s">
        <v>51</v>
      </c>
      <c r="H347" t="s">
        <v>2304</v>
      </c>
      <c r="I347" t="s">
        <v>242</v>
      </c>
      <c r="J347" s="2">
        <v>265.72000000000003</v>
      </c>
      <c r="K347">
        <v>5</v>
      </c>
      <c r="L347" t="s">
        <v>39</v>
      </c>
      <c r="M347">
        <v>5</v>
      </c>
      <c r="N347">
        <v>4</v>
      </c>
      <c r="O347">
        <v>0</v>
      </c>
      <c r="P347" t="s">
        <v>40</v>
      </c>
      <c r="Q347" t="s">
        <v>101</v>
      </c>
      <c r="R347">
        <v>0</v>
      </c>
      <c r="S347">
        <v>9</v>
      </c>
      <c r="T347" t="s">
        <v>40</v>
      </c>
      <c r="U347" t="s">
        <v>42</v>
      </c>
      <c r="V347" t="s">
        <v>71</v>
      </c>
      <c r="W347" s="1">
        <v>45404</v>
      </c>
      <c r="X347" t="b">
        <v>1</v>
      </c>
      <c r="Y347" t="b">
        <v>1</v>
      </c>
      <c r="Z347" t="s">
        <v>89</v>
      </c>
      <c r="AA347" t="s">
        <v>77</v>
      </c>
      <c r="AB347">
        <v>13</v>
      </c>
    </row>
    <row r="348" spans="1:28">
      <c r="A348" t="s">
        <v>887</v>
      </c>
      <c r="B348">
        <v>42</v>
      </c>
      <c r="C348" t="s">
        <v>50</v>
      </c>
      <c r="D348" t="s">
        <v>34</v>
      </c>
      <c r="E348" t="s">
        <v>35</v>
      </c>
      <c r="F348" t="s">
        <v>66</v>
      </c>
      <c r="G348" t="s">
        <v>51</v>
      </c>
      <c r="H348" t="s">
        <v>888</v>
      </c>
      <c r="I348" t="s">
        <v>150</v>
      </c>
      <c r="J348" s="2">
        <v>138.35</v>
      </c>
      <c r="K348">
        <v>2</v>
      </c>
      <c r="L348" t="s">
        <v>94</v>
      </c>
      <c r="M348">
        <v>4</v>
      </c>
      <c r="N348">
        <v>5</v>
      </c>
      <c r="O348">
        <v>2</v>
      </c>
      <c r="P348" t="s">
        <v>69</v>
      </c>
      <c r="Q348" t="s">
        <v>57</v>
      </c>
      <c r="R348">
        <v>0</v>
      </c>
      <c r="S348">
        <v>2</v>
      </c>
      <c r="T348" t="s">
        <v>69</v>
      </c>
      <c r="U348" t="s">
        <v>70</v>
      </c>
      <c r="V348" t="s">
        <v>76</v>
      </c>
      <c r="W348" s="1">
        <v>45487</v>
      </c>
      <c r="X348" t="b">
        <v>1</v>
      </c>
      <c r="Y348" t="b">
        <v>1</v>
      </c>
      <c r="Z348" t="s">
        <v>59</v>
      </c>
      <c r="AA348" t="s">
        <v>45</v>
      </c>
      <c r="AB348">
        <v>8</v>
      </c>
    </row>
    <row r="349" spans="1:28">
      <c r="A349" t="s">
        <v>889</v>
      </c>
      <c r="B349">
        <v>27</v>
      </c>
      <c r="C349" t="s">
        <v>50</v>
      </c>
      <c r="D349" t="s">
        <v>34</v>
      </c>
      <c r="E349" t="s">
        <v>92</v>
      </c>
      <c r="F349" t="s">
        <v>36</v>
      </c>
      <c r="G349" t="s">
        <v>34</v>
      </c>
      <c r="H349" t="s">
        <v>890</v>
      </c>
      <c r="I349" t="s">
        <v>199</v>
      </c>
      <c r="J349" s="2">
        <v>441.87</v>
      </c>
      <c r="K349">
        <v>3</v>
      </c>
      <c r="L349" t="s">
        <v>39</v>
      </c>
      <c r="M349">
        <v>1</v>
      </c>
      <c r="N349">
        <v>2</v>
      </c>
      <c r="O349">
        <v>1</v>
      </c>
      <c r="P349" t="s">
        <v>51</v>
      </c>
      <c r="Q349" t="s">
        <v>41</v>
      </c>
      <c r="R349">
        <v>0</v>
      </c>
      <c r="S349">
        <v>10</v>
      </c>
      <c r="T349" t="s">
        <v>56</v>
      </c>
      <c r="U349" t="s">
        <v>70</v>
      </c>
      <c r="V349" t="s">
        <v>58</v>
      </c>
      <c r="W349" s="1">
        <v>45545</v>
      </c>
      <c r="X349" t="b">
        <v>1</v>
      </c>
      <c r="Y349" t="b">
        <v>0</v>
      </c>
      <c r="Z349" t="s">
        <v>59</v>
      </c>
      <c r="AA349" t="s">
        <v>45</v>
      </c>
      <c r="AB349">
        <v>13</v>
      </c>
    </row>
    <row r="350" spans="1:28">
      <c r="A350" t="s">
        <v>891</v>
      </c>
      <c r="B350">
        <v>40</v>
      </c>
      <c r="C350" t="s">
        <v>33</v>
      </c>
      <c r="D350" t="s">
        <v>34</v>
      </c>
      <c r="E350" t="s">
        <v>35</v>
      </c>
      <c r="F350" t="s">
        <v>66</v>
      </c>
      <c r="G350" t="s">
        <v>34</v>
      </c>
      <c r="H350" t="s">
        <v>892</v>
      </c>
      <c r="I350" t="s">
        <v>229</v>
      </c>
      <c r="J350" s="2">
        <v>178.29</v>
      </c>
      <c r="K350">
        <v>4</v>
      </c>
      <c r="L350" t="s">
        <v>39</v>
      </c>
      <c r="M350">
        <v>4</v>
      </c>
      <c r="N350">
        <v>3</v>
      </c>
      <c r="O350">
        <v>2</v>
      </c>
      <c r="P350" t="s">
        <v>69</v>
      </c>
      <c r="Q350" t="s">
        <v>101</v>
      </c>
      <c r="R350">
        <v>2</v>
      </c>
      <c r="S350">
        <v>10</v>
      </c>
      <c r="T350" t="s">
        <v>51</v>
      </c>
      <c r="U350" t="s">
        <v>95</v>
      </c>
      <c r="V350" t="s">
        <v>102</v>
      </c>
      <c r="W350" s="1">
        <v>45502</v>
      </c>
      <c r="X350" t="b">
        <v>0</v>
      </c>
      <c r="Y350" t="b">
        <v>1</v>
      </c>
      <c r="Z350" t="s">
        <v>89</v>
      </c>
      <c r="AA350" t="s">
        <v>45</v>
      </c>
      <c r="AB350">
        <v>8</v>
      </c>
    </row>
    <row r="351" spans="1:28">
      <c r="A351" t="s">
        <v>893</v>
      </c>
      <c r="B351">
        <v>23</v>
      </c>
      <c r="C351" t="s">
        <v>50</v>
      </c>
      <c r="D351" t="s">
        <v>34</v>
      </c>
      <c r="E351" t="s">
        <v>82</v>
      </c>
      <c r="F351" t="s">
        <v>52</v>
      </c>
      <c r="G351" t="s">
        <v>51</v>
      </c>
      <c r="H351" t="s">
        <v>894</v>
      </c>
      <c r="I351" t="s">
        <v>108</v>
      </c>
      <c r="J351" s="2">
        <v>77.08</v>
      </c>
      <c r="K351">
        <v>10</v>
      </c>
      <c r="L351" t="s">
        <v>39</v>
      </c>
      <c r="M351">
        <v>2</v>
      </c>
      <c r="N351">
        <v>1</v>
      </c>
      <c r="O351">
        <v>0</v>
      </c>
      <c r="P351" t="s">
        <v>51</v>
      </c>
      <c r="Q351" t="s">
        <v>57</v>
      </c>
      <c r="R351">
        <v>0</v>
      </c>
      <c r="S351">
        <v>8</v>
      </c>
      <c r="T351" t="s">
        <v>40</v>
      </c>
      <c r="U351" t="s">
        <v>42</v>
      </c>
      <c r="V351" t="s">
        <v>58</v>
      </c>
      <c r="W351" s="1">
        <v>45580</v>
      </c>
      <c r="X351" t="b">
        <v>1</v>
      </c>
      <c r="Y351" t="b">
        <v>1</v>
      </c>
      <c r="Z351" t="s">
        <v>72</v>
      </c>
      <c r="AA351" t="s">
        <v>60</v>
      </c>
      <c r="AB351">
        <v>1</v>
      </c>
    </row>
    <row r="352" spans="1:28">
      <c r="A352" t="s">
        <v>895</v>
      </c>
      <c r="B352">
        <v>46</v>
      </c>
      <c r="C352" t="s">
        <v>50</v>
      </c>
      <c r="D352" t="s">
        <v>51</v>
      </c>
      <c r="E352" t="s">
        <v>35</v>
      </c>
      <c r="F352" t="s">
        <v>52</v>
      </c>
      <c r="G352" t="s">
        <v>51</v>
      </c>
      <c r="H352" t="s">
        <v>2305</v>
      </c>
      <c r="I352" t="s">
        <v>68</v>
      </c>
      <c r="J352" s="2">
        <v>266.89999999999998</v>
      </c>
      <c r="K352">
        <v>11</v>
      </c>
      <c r="L352" t="s">
        <v>39</v>
      </c>
      <c r="M352">
        <v>4</v>
      </c>
      <c r="N352">
        <v>2</v>
      </c>
      <c r="O352">
        <v>2</v>
      </c>
      <c r="P352" t="s">
        <v>69</v>
      </c>
      <c r="Q352" t="s">
        <v>57</v>
      </c>
      <c r="R352">
        <v>1</v>
      </c>
      <c r="S352">
        <v>8</v>
      </c>
      <c r="T352" t="s">
        <v>56</v>
      </c>
      <c r="U352" t="s">
        <v>95</v>
      </c>
      <c r="V352" t="s">
        <v>58</v>
      </c>
      <c r="W352" s="1">
        <v>45474</v>
      </c>
      <c r="X352" t="b">
        <v>0</v>
      </c>
      <c r="Y352" t="b">
        <v>1</v>
      </c>
      <c r="Z352" t="s">
        <v>59</v>
      </c>
      <c r="AA352" t="s">
        <v>77</v>
      </c>
      <c r="AB352">
        <v>13</v>
      </c>
    </row>
    <row r="353" spans="1:28">
      <c r="A353" t="s">
        <v>898</v>
      </c>
      <c r="B353">
        <v>38</v>
      </c>
      <c r="C353" t="s">
        <v>33</v>
      </c>
      <c r="D353" t="s">
        <v>34</v>
      </c>
      <c r="E353" t="s">
        <v>92</v>
      </c>
      <c r="F353" t="s">
        <v>36</v>
      </c>
      <c r="G353" t="s">
        <v>51</v>
      </c>
      <c r="H353" t="s">
        <v>2306</v>
      </c>
      <c r="I353" t="s">
        <v>147</v>
      </c>
      <c r="J353" s="2">
        <v>269.83999999999997</v>
      </c>
      <c r="K353">
        <v>4</v>
      </c>
      <c r="L353" t="s">
        <v>55</v>
      </c>
      <c r="M353">
        <v>5</v>
      </c>
      <c r="N353">
        <v>4</v>
      </c>
      <c r="O353">
        <v>0</v>
      </c>
      <c r="P353" t="s">
        <v>69</v>
      </c>
      <c r="Q353" t="s">
        <v>57</v>
      </c>
      <c r="R353">
        <v>2</v>
      </c>
      <c r="S353">
        <v>9</v>
      </c>
      <c r="T353" t="s">
        <v>69</v>
      </c>
      <c r="U353" t="s">
        <v>42</v>
      </c>
      <c r="V353" t="s">
        <v>43</v>
      </c>
      <c r="W353" s="1">
        <v>45416</v>
      </c>
      <c r="X353" t="b">
        <v>1</v>
      </c>
      <c r="Y353" t="b">
        <v>1</v>
      </c>
      <c r="Z353" t="s">
        <v>59</v>
      </c>
      <c r="AA353" t="s">
        <v>45</v>
      </c>
      <c r="AB353">
        <v>2</v>
      </c>
    </row>
    <row r="354" spans="1:28">
      <c r="A354" t="s">
        <v>900</v>
      </c>
      <c r="B354">
        <v>23</v>
      </c>
      <c r="C354" t="s">
        <v>50</v>
      </c>
      <c r="D354" t="s">
        <v>34</v>
      </c>
      <c r="E354" t="s">
        <v>35</v>
      </c>
      <c r="F354" t="s">
        <v>66</v>
      </c>
      <c r="G354" t="s">
        <v>51</v>
      </c>
      <c r="H354" t="s">
        <v>901</v>
      </c>
      <c r="I354" t="s">
        <v>75</v>
      </c>
      <c r="J354" s="2">
        <v>334.22</v>
      </c>
      <c r="K354">
        <v>8</v>
      </c>
      <c r="L354" t="s">
        <v>94</v>
      </c>
      <c r="M354">
        <v>2</v>
      </c>
      <c r="N354">
        <v>2</v>
      </c>
      <c r="O354">
        <v>2</v>
      </c>
      <c r="P354" t="s">
        <v>40</v>
      </c>
      <c r="Q354" t="s">
        <v>101</v>
      </c>
      <c r="R354">
        <v>2</v>
      </c>
      <c r="S354">
        <v>8</v>
      </c>
      <c r="T354" t="s">
        <v>40</v>
      </c>
      <c r="U354" t="s">
        <v>42</v>
      </c>
      <c r="V354" t="s">
        <v>102</v>
      </c>
      <c r="W354" s="1">
        <v>45353</v>
      </c>
      <c r="X354" t="b">
        <v>0</v>
      </c>
      <c r="Y354" t="b">
        <v>0</v>
      </c>
      <c r="Z354" t="s">
        <v>44</v>
      </c>
      <c r="AA354" t="s">
        <v>60</v>
      </c>
      <c r="AB354">
        <v>1</v>
      </c>
    </row>
    <row r="355" spans="1:28">
      <c r="A355" t="s">
        <v>903</v>
      </c>
      <c r="B355">
        <v>40</v>
      </c>
      <c r="C355" t="s">
        <v>33</v>
      </c>
      <c r="D355" t="s">
        <v>34</v>
      </c>
      <c r="E355" t="s">
        <v>35</v>
      </c>
      <c r="F355" t="s">
        <v>52</v>
      </c>
      <c r="G355" t="s">
        <v>51</v>
      </c>
      <c r="H355" t="s">
        <v>904</v>
      </c>
      <c r="I355" t="s">
        <v>242</v>
      </c>
      <c r="J355" s="2">
        <v>474.56</v>
      </c>
      <c r="K355">
        <v>8</v>
      </c>
      <c r="L355" t="s">
        <v>55</v>
      </c>
      <c r="M355">
        <v>1</v>
      </c>
      <c r="N355">
        <v>5</v>
      </c>
      <c r="O355">
        <v>2</v>
      </c>
      <c r="P355" t="s">
        <v>69</v>
      </c>
      <c r="Q355" t="s">
        <v>57</v>
      </c>
      <c r="R355">
        <v>1</v>
      </c>
      <c r="S355">
        <v>6</v>
      </c>
      <c r="T355" t="s">
        <v>51</v>
      </c>
      <c r="U355" t="s">
        <v>70</v>
      </c>
      <c r="V355" t="s">
        <v>58</v>
      </c>
      <c r="W355" s="1">
        <v>45399</v>
      </c>
      <c r="X355" t="b">
        <v>1</v>
      </c>
      <c r="Y355" t="b">
        <v>0</v>
      </c>
      <c r="Z355" t="s">
        <v>89</v>
      </c>
      <c r="AA355" t="s">
        <v>60</v>
      </c>
      <c r="AB355">
        <v>12</v>
      </c>
    </row>
    <row r="356" spans="1:28">
      <c r="A356" t="s">
        <v>905</v>
      </c>
      <c r="B356">
        <v>34</v>
      </c>
      <c r="C356" t="s">
        <v>50</v>
      </c>
      <c r="D356" t="s">
        <v>51</v>
      </c>
      <c r="E356" t="s">
        <v>35</v>
      </c>
      <c r="F356" t="s">
        <v>66</v>
      </c>
      <c r="G356" t="s">
        <v>51</v>
      </c>
      <c r="H356" t="s">
        <v>906</v>
      </c>
      <c r="I356" t="s">
        <v>147</v>
      </c>
      <c r="J356" s="2">
        <v>360.91</v>
      </c>
      <c r="K356">
        <v>4</v>
      </c>
      <c r="L356" t="s">
        <v>39</v>
      </c>
      <c r="M356">
        <v>3</v>
      </c>
      <c r="N356">
        <v>5</v>
      </c>
      <c r="O356">
        <v>1</v>
      </c>
      <c r="P356" t="s">
        <v>51</v>
      </c>
      <c r="Q356" t="s">
        <v>41</v>
      </c>
      <c r="R356">
        <v>0</v>
      </c>
      <c r="S356">
        <v>8</v>
      </c>
      <c r="T356" t="s">
        <v>51</v>
      </c>
      <c r="U356" t="s">
        <v>95</v>
      </c>
      <c r="V356" t="s">
        <v>43</v>
      </c>
      <c r="W356" s="1">
        <v>45534</v>
      </c>
      <c r="X356" t="b">
        <v>1</v>
      </c>
      <c r="Y356" t="b">
        <v>1</v>
      </c>
      <c r="Z356" t="s">
        <v>89</v>
      </c>
      <c r="AA356" t="s">
        <v>45</v>
      </c>
      <c r="AB356">
        <v>4</v>
      </c>
    </row>
    <row r="357" spans="1:28">
      <c r="A357" t="s">
        <v>907</v>
      </c>
      <c r="B357">
        <v>44</v>
      </c>
      <c r="C357" t="s">
        <v>33</v>
      </c>
      <c r="D357" t="s">
        <v>34</v>
      </c>
      <c r="E357" t="s">
        <v>82</v>
      </c>
      <c r="F357" t="s">
        <v>36</v>
      </c>
      <c r="G357" t="s">
        <v>51</v>
      </c>
      <c r="H357" t="s">
        <v>908</v>
      </c>
      <c r="I357" t="s">
        <v>199</v>
      </c>
      <c r="J357" s="2">
        <v>373.49</v>
      </c>
      <c r="K357">
        <v>6</v>
      </c>
      <c r="L357" t="s">
        <v>94</v>
      </c>
      <c r="M357">
        <v>4</v>
      </c>
      <c r="N357">
        <v>1</v>
      </c>
      <c r="O357">
        <v>0</v>
      </c>
      <c r="P357" t="s">
        <v>56</v>
      </c>
      <c r="Q357" t="s">
        <v>101</v>
      </c>
      <c r="R357">
        <v>0</v>
      </c>
      <c r="S357">
        <v>10</v>
      </c>
      <c r="T357" t="s">
        <v>69</v>
      </c>
      <c r="U357" t="s">
        <v>42</v>
      </c>
      <c r="V357" t="s">
        <v>102</v>
      </c>
      <c r="W357" s="1">
        <v>45405</v>
      </c>
      <c r="X357" t="b">
        <v>1</v>
      </c>
      <c r="Y357" t="b">
        <v>1</v>
      </c>
      <c r="Z357" t="s">
        <v>72</v>
      </c>
      <c r="AA357" t="s">
        <v>60</v>
      </c>
      <c r="AB357">
        <v>1</v>
      </c>
    </row>
    <row r="358" spans="1:28">
      <c r="A358" t="s">
        <v>909</v>
      </c>
      <c r="B358">
        <v>32</v>
      </c>
      <c r="C358" t="s">
        <v>33</v>
      </c>
      <c r="D358" t="s">
        <v>51</v>
      </c>
      <c r="E358" t="s">
        <v>35</v>
      </c>
      <c r="F358" t="s">
        <v>66</v>
      </c>
      <c r="G358" t="s">
        <v>34</v>
      </c>
      <c r="H358" t="s">
        <v>2307</v>
      </c>
      <c r="I358" t="s">
        <v>108</v>
      </c>
      <c r="J358" s="2">
        <v>462.3</v>
      </c>
      <c r="K358">
        <v>5</v>
      </c>
      <c r="L358" t="s">
        <v>39</v>
      </c>
      <c r="M358">
        <v>3</v>
      </c>
      <c r="N358">
        <v>3</v>
      </c>
      <c r="O358">
        <v>2</v>
      </c>
      <c r="P358" t="s">
        <v>40</v>
      </c>
      <c r="Q358" t="s">
        <v>57</v>
      </c>
      <c r="R358">
        <v>2</v>
      </c>
      <c r="S358">
        <v>4</v>
      </c>
      <c r="T358" t="s">
        <v>56</v>
      </c>
      <c r="U358" t="s">
        <v>42</v>
      </c>
      <c r="V358" t="s">
        <v>102</v>
      </c>
      <c r="W358" s="1">
        <v>45621</v>
      </c>
      <c r="X358" t="b">
        <v>1</v>
      </c>
      <c r="Y358" t="b">
        <v>1</v>
      </c>
      <c r="Z358" t="s">
        <v>72</v>
      </c>
      <c r="AA358" t="s">
        <v>60</v>
      </c>
      <c r="AB358">
        <v>4</v>
      </c>
    </row>
    <row r="359" spans="1:28">
      <c r="A359" t="s">
        <v>912</v>
      </c>
      <c r="B359">
        <v>42</v>
      </c>
      <c r="C359" t="s">
        <v>33</v>
      </c>
      <c r="D359" t="s">
        <v>34</v>
      </c>
      <c r="E359" t="s">
        <v>65</v>
      </c>
      <c r="F359" t="s">
        <v>66</v>
      </c>
      <c r="G359" t="s">
        <v>34</v>
      </c>
      <c r="H359" t="s">
        <v>913</v>
      </c>
      <c r="I359" t="s">
        <v>156</v>
      </c>
      <c r="J359" s="2">
        <v>332.67</v>
      </c>
      <c r="K359">
        <v>8</v>
      </c>
      <c r="L359" t="s">
        <v>55</v>
      </c>
      <c r="M359">
        <v>1</v>
      </c>
      <c r="N359">
        <v>4</v>
      </c>
      <c r="O359">
        <v>2</v>
      </c>
      <c r="P359" t="s">
        <v>56</v>
      </c>
      <c r="Q359" t="s">
        <v>41</v>
      </c>
      <c r="R359">
        <v>1</v>
      </c>
      <c r="S359">
        <v>2</v>
      </c>
      <c r="T359" t="s">
        <v>51</v>
      </c>
      <c r="U359" t="s">
        <v>70</v>
      </c>
      <c r="V359" t="s">
        <v>76</v>
      </c>
      <c r="W359" s="1">
        <v>45637</v>
      </c>
      <c r="X359" t="b">
        <v>0</v>
      </c>
      <c r="Y359" t="b">
        <v>1</v>
      </c>
      <c r="Z359" t="s">
        <v>72</v>
      </c>
      <c r="AA359" t="s">
        <v>77</v>
      </c>
      <c r="AB359">
        <v>4</v>
      </c>
    </row>
    <row r="360" spans="1:28">
      <c r="A360" t="s">
        <v>915</v>
      </c>
      <c r="B360">
        <v>22</v>
      </c>
      <c r="C360" t="s">
        <v>33</v>
      </c>
      <c r="D360" t="s">
        <v>51</v>
      </c>
      <c r="E360" t="s">
        <v>92</v>
      </c>
      <c r="F360" t="s">
        <v>66</v>
      </c>
      <c r="G360" t="s">
        <v>34</v>
      </c>
      <c r="H360" t="s">
        <v>2308</v>
      </c>
      <c r="I360" t="s">
        <v>75</v>
      </c>
      <c r="J360" s="2">
        <v>235.39</v>
      </c>
      <c r="K360">
        <v>9</v>
      </c>
      <c r="L360" t="s">
        <v>94</v>
      </c>
      <c r="M360">
        <v>5</v>
      </c>
      <c r="N360">
        <v>4</v>
      </c>
      <c r="O360">
        <v>1</v>
      </c>
      <c r="P360" t="s">
        <v>40</v>
      </c>
      <c r="Q360" t="s">
        <v>57</v>
      </c>
      <c r="R360">
        <v>0</v>
      </c>
      <c r="S360">
        <v>6</v>
      </c>
      <c r="T360" t="s">
        <v>40</v>
      </c>
      <c r="U360" t="s">
        <v>70</v>
      </c>
      <c r="V360" t="s">
        <v>43</v>
      </c>
      <c r="W360" s="1">
        <v>45437</v>
      </c>
      <c r="X360" t="b">
        <v>0</v>
      </c>
      <c r="Y360" t="b">
        <v>1</v>
      </c>
      <c r="Z360" t="s">
        <v>89</v>
      </c>
      <c r="AA360" t="s">
        <v>45</v>
      </c>
      <c r="AB360">
        <v>6</v>
      </c>
    </row>
    <row r="361" spans="1:28">
      <c r="A361" t="s">
        <v>917</v>
      </c>
      <c r="B361">
        <v>44</v>
      </c>
      <c r="C361" t="s">
        <v>33</v>
      </c>
      <c r="D361" t="s">
        <v>34</v>
      </c>
      <c r="E361" t="s">
        <v>35</v>
      </c>
      <c r="F361" t="s">
        <v>52</v>
      </c>
      <c r="G361" t="s">
        <v>34</v>
      </c>
      <c r="H361" t="s">
        <v>918</v>
      </c>
      <c r="I361" t="s">
        <v>143</v>
      </c>
      <c r="J361" s="2">
        <v>269.77999999999997</v>
      </c>
      <c r="K361">
        <v>7</v>
      </c>
      <c r="L361" t="s">
        <v>55</v>
      </c>
      <c r="M361">
        <v>2</v>
      </c>
      <c r="N361">
        <v>3</v>
      </c>
      <c r="O361">
        <v>1</v>
      </c>
      <c r="P361" t="s">
        <v>56</v>
      </c>
      <c r="Q361" t="s">
        <v>41</v>
      </c>
      <c r="R361">
        <v>2</v>
      </c>
      <c r="S361">
        <v>7</v>
      </c>
      <c r="T361" t="s">
        <v>56</v>
      </c>
      <c r="U361" t="s">
        <v>95</v>
      </c>
      <c r="V361" t="s">
        <v>76</v>
      </c>
      <c r="W361" s="1">
        <v>45498</v>
      </c>
      <c r="X361" t="b">
        <v>1</v>
      </c>
      <c r="Y361" t="b">
        <v>1</v>
      </c>
      <c r="Z361" t="s">
        <v>44</v>
      </c>
      <c r="AA361" t="s">
        <v>45</v>
      </c>
      <c r="AB361">
        <v>5</v>
      </c>
    </row>
    <row r="362" spans="1:28">
      <c r="A362" t="s">
        <v>919</v>
      </c>
      <c r="B362">
        <v>29</v>
      </c>
      <c r="C362" t="s">
        <v>50</v>
      </c>
      <c r="D362" t="s">
        <v>34</v>
      </c>
      <c r="E362" t="s">
        <v>35</v>
      </c>
      <c r="F362" t="s">
        <v>36</v>
      </c>
      <c r="G362" t="s">
        <v>34</v>
      </c>
      <c r="H362" t="s">
        <v>920</v>
      </c>
      <c r="I362" t="s">
        <v>38</v>
      </c>
      <c r="J362" s="2">
        <v>498.33</v>
      </c>
      <c r="K362">
        <v>2</v>
      </c>
      <c r="L362" t="s">
        <v>94</v>
      </c>
      <c r="M362">
        <v>3</v>
      </c>
      <c r="N362">
        <v>5</v>
      </c>
      <c r="O362">
        <v>2</v>
      </c>
      <c r="P362" t="s">
        <v>56</v>
      </c>
      <c r="Q362" t="s">
        <v>101</v>
      </c>
      <c r="R362">
        <v>1</v>
      </c>
      <c r="S362">
        <v>9</v>
      </c>
      <c r="T362" t="s">
        <v>56</v>
      </c>
      <c r="U362" t="s">
        <v>70</v>
      </c>
      <c r="V362" t="s">
        <v>58</v>
      </c>
      <c r="W362" s="1">
        <v>45420</v>
      </c>
      <c r="X362" t="b">
        <v>1</v>
      </c>
      <c r="Y362" t="b">
        <v>1</v>
      </c>
      <c r="Z362" t="s">
        <v>59</v>
      </c>
      <c r="AA362" t="s">
        <v>77</v>
      </c>
      <c r="AB362">
        <v>1</v>
      </c>
    </row>
    <row r="363" spans="1:28">
      <c r="A363" t="s">
        <v>921</v>
      </c>
      <c r="B363">
        <v>30</v>
      </c>
      <c r="C363" t="s">
        <v>33</v>
      </c>
      <c r="D363" t="s">
        <v>51</v>
      </c>
      <c r="E363" t="s">
        <v>65</v>
      </c>
      <c r="F363" t="s">
        <v>52</v>
      </c>
      <c r="G363" t="s">
        <v>51</v>
      </c>
      <c r="H363" t="s">
        <v>922</v>
      </c>
      <c r="I363" t="s">
        <v>180</v>
      </c>
      <c r="J363" s="2">
        <v>182.94</v>
      </c>
      <c r="K363">
        <v>7</v>
      </c>
      <c r="L363" t="s">
        <v>39</v>
      </c>
      <c r="M363">
        <v>1</v>
      </c>
      <c r="N363">
        <v>5</v>
      </c>
      <c r="O363">
        <v>2</v>
      </c>
      <c r="P363" t="s">
        <v>40</v>
      </c>
      <c r="Q363" t="s">
        <v>57</v>
      </c>
      <c r="R363">
        <v>2</v>
      </c>
      <c r="S363">
        <v>7</v>
      </c>
      <c r="T363" t="s">
        <v>69</v>
      </c>
      <c r="U363" t="s">
        <v>95</v>
      </c>
      <c r="V363" t="s">
        <v>76</v>
      </c>
      <c r="W363" s="1">
        <v>45440</v>
      </c>
      <c r="X363" t="b">
        <v>1</v>
      </c>
      <c r="Y363" t="b">
        <v>1</v>
      </c>
      <c r="Z363" t="s">
        <v>44</v>
      </c>
      <c r="AA363" t="s">
        <v>77</v>
      </c>
      <c r="AB363">
        <v>12</v>
      </c>
    </row>
    <row r="364" spans="1:28">
      <c r="A364" t="s">
        <v>923</v>
      </c>
      <c r="B364">
        <v>19</v>
      </c>
      <c r="C364" t="s">
        <v>33</v>
      </c>
      <c r="D364" t="s">
        <v>34</v>
      </c>
      <c r="E364" t="s">
        <v>92</v>
      </c>
      <c r="F364" t="s">
        <v>66</v>
      </c>
      <c r="G364" t="s">
        <v>51</v>
      </c>
      <c r="H364" t="s">
        <v>924</v>
      </c>
      <c r="I364" t="s">
        <v>180</v>
      </c>
      <c r="J364" s="2">
        <v>121.7</v>
      </c>
      <c r="K364">
        <v>7</v>
      </c>
      <c r="L364" t="s">
        <v>39</v>
      </c>
      <c r="M364">
        <v>4</v>
      </c>
      <c r="N364">
        <v>3</v>
      </c>
      <c r="O364">
        <v>0</v>
      </c>
      <c r="P364" t="s">
        <v>51</v>
      </c>
      <c r="Q364" t="s">
        <v>101</v>
      </c>
      <c r="R364">
        <v>2</v>
      </c>
      <c r="S364">
        <v>5</v>
      </c>
      <c r="T364" t="s">
        <v>40</v>
      </c>
      <c r="U364" t="s">
        <v>70</v>
      </c>
      <c r="V364" t="s">
        <v>43</v>
      </c>
      <c r="W364" s="1">
        <v>45467</v>
      </c>
      <c r="X364" t="b">
        <v>1</v>
      </c>
      <c r="Y364" t="b">
        <v>1</v>
      </c>
      <c r="Z364" t="s">
        <v>89</v>
      </c>
      <c r="AA364" t="s">
        <v>60</v>
      </c>
      <c r="AB364">
        <v>8</v>
      </c>
    </row>
    <row r="365" spans="1:28">
      <c r="A365" t="s">
        <v>925</v>
      </c>
      <c r="B365">
        <v>45</v>
      </c>
      <c r="C365" t="s">
        <v>33</v>
      </c>
      <c r="D365" t="s">
        <v>51</v>
      </c>
      <c r="E365" t="s">
        <v>82</v>
      </c>
      <c r="F365" t="s">
        <v>66</v>
      </c>
      <c r="G365" t="s">
        <v>34</v>
      </c>
      <c r="H365" t="s">
        <v>926</v>
      </c>
      <c r="I365" t="s">
        <v>150</v>
      </c>
      <c r="J365" s="2">
        <v>489.27</v>
      </c>
      <c r="K365">
        <v>4</v>
      </c>
      <c r="L365" t="s">
        <v>39</v>
      </c>
      <c r="M365">
        <v>1</v>
      </c>
      <c r="N365">
        <v>4</v>
      </c>
      <c r="O365">
        <v>1</v>
      </c>
      <c r="P365" t="s">
        <v>51</v>
      </c>
      <c r="Q365" t="s">
        <v>41</v>
      </c>
      <c r="R365">
        <v>1</v>
      </c>
      <c r="S365">
        <v>3</v>
      </c>
      <c r="T365" t="s">
        <v>40</v>
      </c>
      <c r="U365" t="s">
        <v>42</v>
      </c>
      <c r="V365" t="s">
        <v>71</v>
      </c>
      <c r="W365" s="1">
        <v>45304</v>
      </c>
      <c r="X365" t="b">
        <v>0</v>
      </c>
      <c r="Y365" t="b">
        <v>0</v>
      </c>
      <c r="Z365" t="s">
        <v>59</v>
      </c>
      <c r="AA365" t="s">
        <v>60</v>
      </c>
      <c r="AB365">
        <v>3</v>
      </c>
    </row>
    <row r="366" spans="1:28">
      <c r="A366" t="s">
        <v>927</v>
      </c>
      <c r="B366">
        <v>38</v>
      </c>
      <c r="C366" t="s">
        <v>50</v>
      </c>
      <c r="D366" t="s">
        <v>34</v>
      </c>
      <c r="E366" t="s">
        <v>35</v>
      </c>
      <c r="F366" t="s">
        <v>36</v>
      </c>
      <c r="G366" t="s">
        <v>34</v>
      </c>
      <c r="H366" t="s">
        <v>928</v>
      </c>
      <c r="I366" t="s">
        <v>150</v>
      </c>
      <c r="J366" s="2">
        <v>303.93</v>
      </c>
      <c r="K366">
        <v>6</v>
      </c>
      <c r="L366" t="s">
        <v>39</v>
      </c>
      <c r="M366">
        <v>3</v>
      </c>
      <c r="N366">
        <v>2</v>
      </c>
      <c r="O366">
        <v>0</v>
      </c>
      <c r="P366" t="s">
        <v>51</v>
      </c>
      <c r="Q366" t="s">
        <v>57</v>
      </c>
      <c r="R366">
        <v>1</v>
      </c>
      <c r="S366">
        <v>10</v>
      </c>
      <c r="T366" t="s">
        <v>69</v>
      </c>
      <c r="U366" t="s">
        <v>70</v>
      </c>
      <c r="V366" t="s">
        <v>71</v>
      </c>
      <c r="W366" s="1">
        <v>45364</v>
      </c>
      <c r="X366" t="b">
        <v>1</v>
      </c>
      <c r="Y366" t="b">
        <v>0</v>
      </c>
      <c r="Z366" t="s">
        <v>44</v>
      </c>
      <c r="AA366" t="s">
        <v>45</v>
      </c>
      <c r="AB366">
        <v>2</v>
      </c>
    </row>
    <row r="367" spans="1:28">
      <c r="A367" t="s">
        <v>929</v>
      </c>
      <c r="B367">
        <v>24</v>
      </c>
      <c r="C367" t="s">
        <v>33</v>
      </c>
      <c r="D367" t="s">
        <v>34</v>
      </c>
      <c r="E367" t="s">
        <v>35</v>
      </c>
      <c r="F367" t="s">
        <v>36</v>
      </c>
      <c r="G367" t="s">
        <v>34</v>
      </c>
      <c r="H367" t="s">
        <v>930</v>
      </c>
      <c r="I367" t="s">
        <v>54</v>
      </c>
      <c r="J367" s="2">
        <v>302.74</v>
      </c>
      <c r="K367">
        <v>11</v>
      </c>
      <c r="L367" t="s">
        <v>39</v>
      </c>
      <c r="M367">
        <v>1</v>
      </c>
      <c r="N367">
        <v>5</v>
      </c>
      <c r="O367">
        <v>0</v>
      </c>
      <c r="P367" t="s">
        <v>51</v>
      </c>
      <c r="Q367" t="s">
        <v>101</v>
      </c>
      <c r="R367">
        <v>0</v>
      </c>
      <c r="S367">
        <v>6</v>
      </c>
      <c r="T367" t="s">
        <v>51</v>
      </c>
      <c r="U367" t="s">
        <v>70</v>
      </c>
      <c r="V367" t="s">
        <v>58</v>
      </c>
      <c r="W367" s="1">
        <v>45471</v>
      </c>
      <c r="X367" t="b">
        <v>1</v>
      </c>
      <c r="Y367" t="b">
        <v>1</v>
      </c>
      <c r="Z367" t="s">
        <v>59</v>
      </c>
      <c r="AA367" t="s">
        <v>77</v>
      </c>
      <c r="AB367">
        <v>5</v>
      </c>
    </row>
    <row r="368" spans="1:28">
      <c r="A368" t="s">
        <v>931</v>
      </c>
      <c r="B368">
        <v>42</v>
      </c>
      <c r="C368" t="s">
        <v>431</v>
      </c>
      <c r="D368" t="s">
        <v>51</v>
      </c>
      <c r="E368" t="s">
        <v>65</v>
      </c>
      <c r="F368" t="s">
        <v>36</v>
      </c>
      <c r="G368" t="s">
        <v>51</v>
      </c>
      <c r="H368" t="s">
        <v>932</v>
      </c>
      <c r="I368" t="s">
        <v>235</v>
      </c>
      <c r="J368" s="2">
        <v>157.21</v>
      </c>
      <c r="K368">
        <v>11</v>
      </c>
      <c r="L368" t="s">
        <v>94</v>
      </c>
      <c r="M368">
        <v>3</v>
      </c>
      <c r="N368">
        <v>3</v>
      </c>
      <c r="O368">
        <v>0</v>
      </c>
      <c r="P368" t="s">
        <v>56</v>
      </c>
      <c r="Q368" t="s">
        <v>57</v>
      </c>
      <c r="R368">
        <v>0</v>
      </c>
      <c r="S368">
        <v>3</v>
      </c>
      <c r="T368" t="s">
        <v>51</v>
      </c>
      <c r="U368" t="s">
        <v>42</v>
      </c>
      <c r="V368" t="s">
        <v>71</v>
      </c>
      <c r="W368" s="1">
        <v>45412</v>
      </c>
      <c r="X368" t="b">
        <v>1</v>
      </c>
      <c r="Y368" t="b">
        <v>0</v>
      </c>
      <c r="Z368" t="s">
        <v>59</v>
      </c>
      <c r="AA368" t="s">
        <v>77</v>
      </c>
      <c r="AB368">
        <v>5</v>
      </c>
    </row>
    <row r="369" spans="1:28">
      <c r="A369" t="s">
        <v>933</v>
      </c>
      <c r="B369">
        <v>46</v>
      </c>
      <c r="C369" t="s">
        <v>33</v>
      </c>
      <c r="D369" t="s">
        <v>51</v>
      </c>
      <c r="E369" t="s">
        <v>82</v>
      </c>
      <c r="F369" t="s">
        <v>52</v>
      </c>
      <c r="G369" t="s">
        <v>51</v>
      </c>
      <c r="H369" t="s">
        <v>2309</v>
      </c>
      <c r="I369" t="s">
        <v>108</v>
      </c>
      <c r="J369" s="2">
        <v>159.44999999999999</v>
      </c>
      <c r="K369">
        <v>2</v>
      </c>
      <c r="L369" t="s">
        <v>94</v>
      </c>
      <c r="M369">
        <v>3</v>
      </c>
      <c r="N369">
        <v>2</v>
      </c>
      <c r="O369">
        <v>2</v>
      </c>
      <c r="P369" t="s">
        <v>56</v>
      </c>
      <c r="Q369" t="s">
        <v>101</v>
      </c>
      <c r="R369">
        <v>0</v>
      </c>
      <c r="S369">
        <v>5</v>
      </c>
      <c r="T369" t="s">
        <v>40</v>
      </c>
      <c r="U369" t="s">
        <v>70</v>
      </c>
      <c r="V369" t="s">
        <v>71</v>
      </c>
      <c r="W369" s="1">
        <v>45457</v>
      </c>
      <c r="X369" t="b">
        <v>1</v>
      </c>
      <c r="Y369" t="b">
        <v>0</v>
      </c>
      <c r="Z369" t="s">
        <v>72</v>
      </c>
      <c r="AA369" t="s">
        <v>60</v>
      </c>
      <c r="AB369">
        <v>14</v>
      </c>
    </row>
    <row r="370" spans="1:28">
      <c r="A370" t="s">
        <v>935</v>
      </c>
      <c r="B370">
        <v>44</v>
      </c>
      <c r="C370" t="s">
        <v>33</v>
      </c>
      <c r="D370" t="s">
        <v>51</v>
      </c>
      <c r="E370" t="s">
        <v>82</v>
      </c>
      <c r="F370" t="s">
        <v>52</v>
      </c>
      <c r="G370" t="s">
        <v>34</v>
      </c>
      <c r="H370" t="s">
        <v>936</v>
      </c>
      <c r="I370" t="s">
        <v>123</v>
      </c>
      <c r="J370" s="2">
        <v>312.93</v>
      </c>
      <c r="K370">
        <v>2</v>
      </c>
      <c r="L370" t="s">
        <v>55</v>
      </c>
      <c r="M370">
        <v>2</v>
      </c>
      <c r="N370">
        <v>2</v>
      </c>
      <c r="O370">
        <v>1</v>
      </c>
      <c r="P370" t="s">
        <v>51</v>
      </c>
      <c r="Q370" t="s">
        <v>101</v>
      </c>
      <c r="R370">
        <v>0</v>
      </c>
      <c r="S370">
        <v>7</v>
      </c>
      <c r="T370" t="s">
        <v>40</v>
      </c>
      <c r="U370" t="s">
        <v>70</v>
      </c>
      <c r="V370" t="s">
        <v>58</v>
      </c>
      <c r="W370" s="1">
        <v>45508</v>
      </c>
      <c r="X370" t="b">
        <v>1</v>
      </c>
      <c r="Y370" t="b">
        <v>1</v>
      </c>
      <c r="Z370" t="s">
        <v>59</v>
      </c>
      <c r="AA370" t="s">
        <v>45</v>
      </c>
      <c r="AB370">
        <v>3</v>
      </c>
    </row>
    <row r="371" spans="1:28">
      <c r="A371" t="s">
        <v>937</v>
      </c>
      <c r="B371">
        <v>38</v>
      </c>
      <c r="C371" t="s">
        <v>50</v>
      </c>
      <c r="D371" t="s">
        <v>51</v>
      </c>
      <c r="E371" t="s">
        <v>35</v>
      </c>
      <c r="F371" t="s">
        <v>66</v>
      </c>
      <c r="G371" t="s">
        <v>34</v>
      </c>
      <c r="H371" t="s">
        <v>938</v>
      </c>
      <c r="I371" t="s">
        <v>135</v>
      </c>
      <c r="J371" s="2">
        <v>65.680000000000007</v>
      </c>
      <c r="K371">
        <v>4</v>
      </c>
      <c r="L371" t="s">
        <v>55</v>
      </c>
      <c r="M371">
        <v>4</v>
      </c>
      <c r="N371">
        <v>4</v>
      </c>
      <c r="O371">
        <v>0</v>
      </c>
      <c r="P371" t="s">
        <v>56</v>
      </c>
      <c r="Q371" t="s">
        <v>57</v>
      </c>
      <c r="R371">
        <v>0</v>
      </c>
      <c r="S371">
        <v>8</v>
      </c>
      <c r="T371" t="s">
        <v>56</v>
      </c>
      <c r="U371" t="s">
        <v>70</v>
      </c>
      <c r="V371" t="s">
        <v>76</v>
      </c>
      <c r="W371" s="1">
        <v>45419</v>
      </c>
      <c r="X371" t="b">
        <v>0</v>
      </c>
      <c r="Y371" t="b">
        <v>0</v>
      </c>
      <c r="Z371" t="s">
        <v>72</v>
      </c>
      <c r="AA371" t="s">
        <v>60</v>
      </c>
      <c r="AB371">
        <v>12</v>
      </c>
    </row>
    <row r="372" spans="1:28">
      <c r="A372" t="s">
        <v>940</v>
      </c>
      <c r="B372">
        <v>44</v>
      </c>
      <c r="C372" t="s">
        <v>50</v>
      </c>
      <c r="D372" t="s">
        <v>34</v>
      </c>
      <c r="E372" t="s">
        <v>65</v>
      </c>
      <c r="F372" t="s">
        <v>66</v>
      </c>
      <c r="G372" t="s">
        <v>34</v>
      </c>
      <c r="H372" t="s">
        <v>2310</v>
      </c>
      <c r="I372" t="s">
        <v>150</v>
      </c>
      <c r="J372" s="2">
        <v>61.86</v>
      </c>
      <c r="K372">
        <v>5</v>
      </c>
      <c r="L372" t="s">
        <v>55</v>
      </c>
      <c r="M372">
        <v>4</v>
      </c>
      <c r="N372">
        <v>5</v>
      </c>
      <c r="O372">
        <v>2</v>
      </c>
      <c r="P372" t="s">
        <v>40</v>
      </c>
      <c r="Q372" t="s">
        <v>57</v>
      </c>
      <c r="R372">
        <v>2</v>
      </c>
      <c r="S372">
        <v>8</v>
      </c>
      <c r="T372" t="s">
        <v>40</v>
      </c>
      <c r="U372" t="s">
        <v>70</v>
      </c>
      <c r="V372" t="s">
        <v>102</v>
      </c>
      <c r="W372" s="1">
        <v>45611</v>
      </c>
      <c r="X372" t="b">
        <v>0</v>
      </c>
      <c r="Y372" t="b">
        <v>1</v>
      </c>
      <c r="Z372" t="s">
        <v>44</v>
      </c>
      <c r="AA372" t="s">
        <v>60</v>
      </c>
      <c r="AB372">
        <v>9</v>
      </c>
    </row>
    <row r="373" spans="1:28">
      <c r="A373" t="s">
        <v>942</v>
      </c>
      <c r="B373">
        <v>18</v>
      </c>
      <c r="C373" t="s">
        <v>33</v>
      </c>
      <c r="D373" t="s">
        <v>51</v>
      </c>
      <c r="E373" t="s">
        <v>65</v>
      </c>
      <c r="F373" t="s">
        <v>66</v>
      </c>
      <c r="G373" t="s">
        <v>34</v>
      </c>
      <c r="H373" t="s">
        <v>943</v>
      </c>
      <c r="I373" t="s">
        <v>147</v>
      </c>
      <c r="J373" s="2">
        <v>343.77</v>
      </c>
      <c r="K373">
        <v>6</v>
      </c>
      <c r="L373" t="s">
        <v>39</v>
      </c>
      <c r="M373">
        <v>5</v>
      </c>
      <c r="N373">
        <v>4</v>
      </c>
      <c r="O373">
        <v>2</v>
      </c>
      <c r="P373" t="s">
        <v>40</v>
      </c>
      <c r="Q373" t="s">
        <v>57</v>
      </c>
      <c r="R373">
        <v>2</v>
      </c>
      <c r="S373">
        <v>4</v>
      </c>
      <c r="T373" t="s">
        <v>56</v>
      </c>
      <c r="U373" t="s">
        <v>95</v>
      </c>
      <c r="V373" t="s">
        <v>43</v>
      </c>
      <c r="W373" s="1">
        <v>45338</v>
      </c>
      <c r="X373" t="b">
        <v>1</v>
      </c>
      <c r="Y373" t="b">
        <v>0</v>
      </c>
      <c r="Z373" t="s">
        <v>72</v>
      </c>
      <c r="AA373" t="s">
        <v>45</v>
      </c>
      <c r="AB373">
        <v>3</v>
      </c>
    </row>
    <row r="374" spans="1:28">
      <c r="A374" t="s">
        <v>944</v>
      </c>
      <c r="B374">
        <v>37</v>
      </c>
      <c r="C374" t="s">
        <v>50</v>
      </c>
      <c r="D374" t="s">
        <v>34</v>
      </c>
      <c r="E374" t="s">
        <v>92</v>
      </c>
      <c r="F374" t="s">
        <v>66</v>
      </c>
      <c r="G374" t="s">
        <v>51</v>
      </c>
      <c r="H374" t="s">
        <v>945</v>
      </c>
      <c r="I374" t="s">
        <v>75</v>
      </c>
      <c r="J374" s="2">
        <v>107.21</v>
      </c>
      <c r="K374">
        <v>2</v>
      </c>
      <c r="L374" t="s">
        <v>94</v>
      </c>
      <c r="M374">
        <v>4</v>
      </c>
      <c r="N374">
        <v>2</v>
      </c>
      <c r="O374">
        <v>1</v>
      </c>
      <c r="P374" t="s">
        <v>40</v>
      </c>
      <c r="Q374" t="s">
        <v>57</v>
      </c>
      <c r="R374">
        <v>2</v>
      </c>
      <c r="S374">
        <v>9</v>
      </c>
      <c r="T374" t="s">
        <v>56</v>
      </c>
      <c r="U374" t="s">
        <v>95</v>
      </c>
      <c r="V374" t="s">
        <v>76</v>
      </c>
      <c r="W374" s="1">
        <v>45509</v>
      </c>
      <c r="X374" t="b">
        <v>1</v>
      </c>
      <c r="Y374" t="b">
        <v>1</v>
      </c>
      <c r="Z374" t="s">
        <v>89</v>
      </c>
      <c r="AA374" t="s">
        <v>60</v>
      </c>
      <c r="AB374">
        <v>6</v>
      </c>
    </row>
    <row r="375" spans="1:28">
      <c r="A375" t="s">
        <v>947</v>
      </c>
      <c r="B375">
        <v>31</v>
      </c>
      <c r="C375" t="s">
        <v>188</v>
      </c>
      <c r="D375" t="s">
        <v>51</v>
      </c>
      <c r="E375" t="s">
        <v>65</v>
      </c>
      <c r="F375" t="s">
        <v>66</v>
      </c>
      <c r="G375" t="s">
        <v>34</v>
      </c>
      <c r="H375" t="s">
        <v>948</v>
      </c>
      <c r="I375" t="s">
        <v>75</v>
      </c>
      <c r="J375" s="2">
        <v>148.97999999999999</v>
      </c>
      <c r="K375">
        <v>12</v>
      </c>
      <c r="L375" t="s">
        <v>94</v>
      </c>
      <c r="M375">
        <v>5</v>
      </c>
      <c r="N375">
        <v>1</v>
      </c>
      <c r="O375">
        <v>2</v>
      </c>
      <c r="P375" t="s">
        <v>40</v>
      </c>
      <c r="Q375" t="s">
        <v>101</v>
      </c>
      <c r="R375">
        <v>0</v>
      </c>
      <c r="S375">
        <v>8</v>
      </c>
      <c r="T375" t="s">
        <v>69</v>
      </c>
      <c r="U375" t="s">
        <v>42</v>
      </c>
      <c r="V375" t="s">
        <v>71</v>
      </c>
      <c r="W375" s="1">
        <v>45515</v>
      </c>
      <c r="X375" t="b">
        <v>1</v>
      </c>
      <c r="Y375" t="b">
        <v>1</v>
      </c>
      <c r="Z375" t="s">
        <v>59</v>
      </c>
      <c r="AA375" t="s">
        <v>60</v>
      </c>
      <c r="AB375">
        <v>13</v>
      </c>
    </row>
    <row r="376" spans="1:28">
      <c r="A376" t="s">
        <v>949</v>
      </c>
      <c r="B376">
        <v>22</v>
      </c>
      <c r="C376" t="s">
        <v>33</v>
      </c>
      <c r="D376" t="s">
        <v>51</v>
      </c>
      <c r="E376" t="s">
        <v>82</v>
      </c>
      <c r="F376" t="s">
        <v>66</v>
      </c>
      <c r="G376" t="s">
        <v>34</v>
      </c>
      <c r="H376" t="s">
        <v>2311</v>
      </c>
      <c r="I376" t="s">
        <v>131</v>
      </c>
      <c r="J376" s="2">
        <v>490.41</v>
      </c>
      <c r="K376">
        <v>4</v>
      </c>
      <c r="L376" t="s">
        <v>39</v>
      </c>
      <c r="M376">
        <v>3</v>
      </c>
      <c r="N376">
        <v>4</v>
      </c>
      <c r="O376">
        <v>0</v>
      </c>
      <c r="P376" t="s">
        <v>69</v>
      </c>
      <c r="Q376" t="s">
        <v>41</v>
      </c>
      <c r="R376">
        <v>0</v>
      </c>
      <c r="S376">
        <v>2</v>
      </c>
      <c r="T376" t="s">
        <v>51</v>
      </c>
      <c r="U376" t="s">
        <v>42</v>
      </c>
      <c r="V376" t="s">
        <v>76</v>
      </c>
      <c r="W376" s="1">
        <v>45641</v>
      </c>
      <c r="X376" t="b">
        <v>0</v>
      </c>
      <c r="Y376" t="b">
        <v>1</v>
      </c>
      <c r="Z376" t="s">
        <v>89</v>
      </c>
      <c r="AA376" t="s">
        <v>77</v>
      </c>
      <c r="AB376">
        <v>3</v>
      </c>
    </row>
    <row r="377" spans="1:28">
      <c r="A377" t="s">
        <v>951</v>
      </c>
      <c r="B377">
        <v>33</v>
      </c>
      <c r="C377" t="s">
        <v>50</v>
      </c>
      <c r="D377" t="s">
        <v>51</v>
      </c>
      <c r="E377" t="s">
        <v>35</v>
      </c>
      <c r="F377" t="s">
        <v>52</v>
      </c>
      <c r="G377" t="s">
        <v>34</v>
      </c>
      <c r="H377" t="s">
        <v>952</v>
      </c>
      <c r="I377" t="s">
        <v>199</v>
      </c>
      <c r="J377" s="2">
        <v>461.34</v>
      </c>
      <c r="K377">
        <v>4</v>
      </c>
      <c r="L377" t="s">
        <v>55</v>
      </c>
      <c r="M377">
        <v>3</v>
      </c>
      <c r="N377">
        <v>1</v>
      </c>
      <c r="O377">
        <v>0</v>
      </c>
      <c r="P377" t="s">
        <v>51</v>
      </c>
      <c r="Q377" t="s">
        <v>41</v>
      </c>
      <c r="R377">
        <v>1</v>
      </c>
      <c r="S377">
        <v>9</v>
      </c>
      <c r="T377" t="s">
        <v>69</v>
      </c>
      <c r="U377" t="s">
        <v>95</v>
      </c>
      <c r="V377" t="s">
        <v>102</v>
      </c>
      <c r="W377" s="1">
        <v>45357</v>
      </c>
      <c r="X377" t="b">
        <v>0</v>
      </c>
      <c r="Y377" t="b">
        <v>1</v>
      </c>
      <c r="Z377" t="s">
        <v>59</v>
      </c>
      <c r="AA377" t="s">
        <v>77</v>
      </c>
      <c r="AB377">
        <v>7</v>
      </c>
    </row>
    <row r="378" spans="1:28">
      <c r="A378" t="s">
        <v>953</v>
      </c>
      <c r="B378">
        <v>20</v>
      </c>
      <c r="C378" t="s">
        <v>33</v>
      </c>
      <c r="D378" t="s">
        <v>51</v>
      </c>
      <c r="E378" t="s">
        <v>65</v>
      </c>
      <c r="F378" t="s">
        <v>66</v>
      </c>
      <c r="G378" t="s">
        <v>51</v>
      </c>
      <c r="H378" t="s">
        <v>954</v>
      </c>
      <c r="I378" t="s">
        <v>68</v>
      </c>
      <c r="J378" s="2">
        <v>338.89</v>
      </c>
      <c r="K378">
        <v>7</v>
      </c>
      <c r="L378" t="s">
        <v>55</v>
      </c>
      <c r="M378">
        <v>4</v>
      </c>
      <c r="N378">
        <v>2</v>
      </c>
      <c r="O378">
        <v>1</v>
      </c>
      <c r="P378" t="s">
        <v>69</v>
      </c>
      <c r="Q378" t="s">
        <v>41</v>
      </c>
      <c r="R378">
        <v>2</v>
      </c>
      <c r="S378">
        <v>6</v>
      </c>
      <c r="T378" t="s">
        <v>40</v>
      </c>
      <c r="U378" t="s">
        <v>95</v>
      </c>
      <c r="V378" t="s">
        <v>43</v>
      </c>
      <c r="W378" s="1">
        <v>45433</v>
      </c>
      <c r="X378" t="b">
        <v>1</v>
      </c>
      <c r="Y378" t="b">
        <v>1</v>
      </c>
      <c r="Z378" t="s">
        <v>59</v>
      </c>
      <c r="AA378" t="s">
        <v>77</v>
      </c>
      <c r="AB378">
        <v>3</v>
      </c>
    </row>
    <row r="379" spans="1:28">
      <c r="A379" t="s">
        <v>955</v>
      </c>
      <c r="B379">
        <v>26</v>
      </c>
      <c r="C379" t="s">
        <v>50</v>
      </c>
      <c r="D379" t="s">
        <v>51</v>
      </c>
      <c r="E379" t="s">
        <v>35</v>
      </c>
      <c r="F379" t="s">
        <v>52</v>
      </c>
      <c r="G379" t="s">
        <v>51</v>
      </c>
      <c r="H379" t="s">
        <v>2312</v>
      </c>
      <c r="I379" t="s">
        <v>38</v>
      </c>
      <c r="J379" s="2">
        <v>222.63</v>
      </c>
      <c r="K379">
        <v>3</v>
      </c>
      <c r="L379" t="s">
        <v>39</v>
      </c>
      <c r="M379">
        <v>1</v>
      </c>
      <c r="N379">
        <v>1</v>
      </c>
      <c r="O379">
        <v>0</v>
      </c>
      <c r="P379" t="s">
        <v>56</v>
      </c>
      <c r="Q379" t="s">
        <v>41</v>
      </c>
      <c r="R379">
        <v>2</v>
      </c>
      <c r="S379">
        <v>2</v>
      </c>
      <c r="T379" t="s">
        <v>40</v>
      </c>
      <c r="U379" t="s">
        <v>42</v>
      </c>
      <c r="V379" t="s">
        <v>102</v>
      </c>
      <c r="W379" s="1">
        <v>45374</v>
      </c>
      <c r="X379" t="b">
        <v>0</v>
      </c>
      <c r="Y379" t="b">
        <v>1</v>
      </c>
      <c r="Z379" t="s">
        <v>72</v>
      </c>
      <c r="AA379" t="s">
        <v>77</v>
      </c>
      <c r="AB379">
        <v>6</v>
      </c>
    </row>
    <row r="380" spans="1:28">
      <c r="A380" t="s">
        <v>957</v>
      </c>
      <c r="B380">
        <v>26</v>
      </c>
      <c r="C380" t="s">
        <v>50</v>
      </c>
      <c r="D380" t="s">
        <v>51</v>
      </c>
      <c r="E380" t="s">
        <v>35</v>
      </c>
      <c r="F380" t="s">
        <v>52</v>
      </c>
      <c r="G380" t="s">
        <v>51</v>
      </c>
      <c r="H380" t="s">
        <v>2313</v>
      </c>
      <c r="I380" t="s">
        <v>156</v>
      </c>
      <c r="J380" s="2">
        <v>71.95</v>
      </c>
      <c r="K380">
        <v>2</v>
      </c>
      <c r="L380" t="s">
        <v>39</v>
      </c>
      <c r="M380">
        <v>3</v>
      </c>
      <c r="N380">
        <v>5</v>
      </c>
      <c r="O380">
        <v>2</v>
      </c>
      <c r="P380" t="s">
        <v>40</v>
      </c>
      <c r="Q380" t="s">
        <v>101</v>
      </c>
      <c r="R380">
        <v>2</v>
      </c>
      <c r="S380">
        <v>10</v>
      </c>
      <c r="T380" t="s">
        <v>40</v>
      </c>
      <c r="U380" t="s">
        <v>95</v>
      </c>
      <c r="V380" t="s">
        <v>71</v>
      </c>
      <c r="W380" s="1">
        <v>45557</v>
      </c>
      <c r="X380" t="b">
        <v>0</v>
      </c>
      <c r="Y380" t="b">
        <v>1</v>
      </c>
      <c r="Z380" t="s">
        <v>89</v>
      </c>
      <c r="AA380" t="s">
        <v>45</v>
      </c>
      <c r="AB380">
        <v>13</v>
      </c>
    </row>
    <row r="381" spans="1:28">
      <c r="A381" t="s">
        <v>959</v>
      </c>
      <c r="B381">
        <v>21</v>
      </c>
      <c r="C381" t="s">
        <v>50</v>
      </c>
      <c r="D381" t="s">
        <v>51</v>
      </c>
      <c r="E381" t="s">
        <v>92</v>
      </c>
      <c r="F381" t="s">
        <v>52</v>
      </c>
      <c r="G381" t="s">
        <v>34</v>
      </c>
      <c r="H381" t="s">
        <v>960</v>
      </c>
      <c r="I381" t="s">
        <v>150</v>
      </c>
      <c r="J381" s="2">
        <v>264.52</v>
      </c>
      <c r="K381">
        <v>9</v>
      </c>
      <c r="L381" t="s">
        <v>94</v>
      </c>
      <c r="M381">
        <v>3</v>
      </c>
      <c r="N381">
        <v>3</v>
      </c>
      <c r="O381">
        <v>1</v>
      </c>
      <c r="P381" t="s">
        <v>40</v>
      </c>
      <c r="Q381" t="s">
        <v>57</v>
      </c>
      <c r="R381">
        <v>0</v>
      </c>
      <c r="S381">
        <v>10</v>
      </c>
      <c r="T381" t="s">
        <v>40</v>
      </c>
      <c r="U381" t="s">
        <v>70</v>
      </c>
      <c r="V381" t="s">
        <v>71</v>
      </c>
      <c r="W381" s="1">
        <v>45384</v>
      </c>
      <c r="X381" t="b">
        <v>1</v>
      </c>
      <c r="Y381" t="b">
        <v>1</v>
      </c>
      <c r="Z381" t="s">
        <v>89</v>
      </c>
      <c r="AA381" t="s">
        <v>45</v>
      </c>
      <c r="AB381">
        <v>6</v>
      </c>
    </row>
    <row r="382" spans="1:28">
      <c r="A382" t="s">
        <v>961</v>
      </c>
      <c r="B382">
        <v>43</v>
      </c>
      <c r="C382" t="s">
        <v>50</v>
      </c>
      <c r="D382" t="s">
        <v>51</v>
      </c>
      <c r="E382" t="s">
        <v>92</v>
      </c>
      <c r="F382" t="s">
        <v>52</v>
      </c>
      <c r="G382" t="s">
        <v>51</v>
      </c>
      <c r="H382" t="s">
        <v>2314</v>
      </c>
      <c r="I382" t="s">
        <v>54</v>
      </c>
      <c r="J382" s="2">
        <v>414.8</v>
      </c>
      <c r="K382">
        <v>9</v>
      </c>
      <c r="L382" t="s">
        <v>39</v>
      </c>
      <c r="M382">
        <v>2</v>
      </c>
      <c r="N382">
        <v>3</v>
      </c>
      <c r="O382">
        <v>2</v>
      </c>
      <c r="P382" t="s">
        <v>69</v>
      </c>
      <c r="Q382" t="s">
        <v>101</v>
      </c>
      <c r="R382">
        <v>2</v>
      </c>
      <c r="S382">
        <v>9</v>
      </c>
      <c r="T382" t="s">
        <v>40</v>
      </c>
      <c r="U382" t="s">
        <v>95</v>
      </c>
      <c r="V382" t="s">
        <v>58</v>
      </c>
      <c r="W382" s="1">
        <v>45321</v>
      </c>
      <c r="X382" t="b">
        <v>0</v>
      </c>
      <c r="Y382" t="b">
        <v>1</v>
      </c>
      <c r="Z382" t="s">
        <v>89</v>
      </c>
      <c r="AA382" t="s">
        <v>45</v>
      </c>
      <c r="AB382">
        <v>7</v>
      </c>
    </row>
    <row r="383" spans="1:28">
      <c r="A383" t="s">
        <v>963</v>
      </c>
      <c r="B383">
        <v>50</v>
      </c>
      <c r="C383" t="s">
        <v>50</v>
      </c>
      <c r="D383" t="s">
        <v>34</v>
      </c>
      <c r="E383" t="s">
        <v>65</v>
      </c>
      <c r="F383" t="s">
        <v>36</v>
      </c>
      <c r="G383" t="s">
        <v>51</v>
      </c>
      <c r="H383" t="s">
        <v>964</v>
      </c>
      <c r="I383" t="s">
        <v>199</v>
      </c>
      <c r="J383" s="2">
        <v>50.79</v>
      </c>
      <c r="K383">
        <v>12</v>
      </c>
      <c r="L383" t="s">
        <v>39</v>
      </c>
      <c r="M383">
        <v>5</v>
      </c>
      <c r="N383">
        <v>1</v>
      </c>
      <c r="O383">
        <v>0</v>
      </c>
      <c r="P383" t="s">
        <v>56</v>
      </c>
      <c r="Q383" t="s">
        <v>41</v>
      </c>
      <c r="R383">
        <v>0</v>
      </c>
      <c r="S383">
        <v>2</v>
      </c>
      <c r="T383" t="s">
        <v>56</v>
      </c>
      <c r="U383" t="s">
        <v>95</v>
      </c>
      <c r="V383" t="s">
        <v>76</v>
      </c>
      <c r="W383" s="1">
        <v>45440</v>
      </c>
      <c r="X383" t="b">
        <v>1</v>
      </c>
      <c r="Y383" t="b">
        <v>0</v>
      </c>
      <c r="Z383" t="s">
        <v>89</v>
      </c>
      <c r="AA383" t="s">
        <v>60</v>
      </c>
      <c r="AB383">
        <v>3</v>
      </c>
    </row>
    <row r="384" spans="1:28">
      <c r="A384" t="s">
        <v>966</v>
      </c>
      <c r="B384">
        <v>42</v>
      </c>
      <c r="C384" t="s">
        <v>33</v>
      </c>
      <c r="D384" t="s">
        <v>34</v>
      </c>
      <c r="E384" t="s">
        <v>35</v>
      </c>
      <c r="F384" t="s">
        <v>52</v>
      </c>
      <c r="G384" t="s">
        <v>34</v>
      </c>
      <c r="H384" t="s">
        <v>967</v>
      </c>
      <c r="I384" t="s">
        <v>135</v>
      </c>
      <c r="J384" s="2">
        <v>264.3</v>
      </c>
      <c r="K384">
        <v>10</v>
      </c>
      <c r="L384" t="s">
        <v>55</v>
      </c>
      <c r="M384">
        <v>5</v>
      </c>
      <c r="N384">
        <v>4</v>
      </c>
      <c r="O384">
        <v>1</v>
      </c>
      <c r="P384" t="s">
        <v>69</v>
      </c>
      <c r="Q384" t="s">
        <v>57</v>
      </c>
      <c r="R384">
        <v>2</v>
      </c>
      <c r="S384">
        <v>2</v>
      </c>
      <c r="T384" t="s">
        <v>51</v>
      </c>
      <c r="U384" t="s">
        <v>70</v>
      </c>
      <c r="V384" t="s">
        <v>58</v>
      </c>
      <c r="W384" s="1">
        <v>45524</v>
      </c>
      <c r="X384" t="b">
        <v>1</v>
      </c>
      <c r="Y384" t="b">
        <v>1</v>
      </c>
      <c r="Z384" t="s">
        <v>89</v>
      </c>
      <c r="AA384" t="s">
        <v>45</v>
      </c>
      <c r="AB384">
        <v>5</v>
      </c>
    </row>
    <row r="385" spans="1:28">
      <c r="A385" t="s">
        <v>968</v>
      </c>
      <c r="B385">
        <v>29</v>
      </c>
      <c r="C385" t="s">
        <v>50</v>
      </c>
      <c r="D385" t="s">
        <v>51</v>
      </c>
      <c r="E385" t="s">
        <v>35</v>
      </c>
      <c r="F385" t="s">
        <v>36</v>
      </c>
      <c r="G385" t="s">
        <v>34</v>
      </c>
      <c r="H385" t="s">
        <v>969</v>
      </c>
      <c r="I385" t="s">
        <v>127</v>
      </c>
      <c r="J385" s="2">
        <v>122.46</v>
      </c>
      <c r="K385">
        <v>12</v>
      </c>
      <c r="L385" t="s">
        <v>39</v>
      </c>
      <c r="M385">
        <v>2</v>
      </c>
      <c r="N385">
        <v>3</v>
      </c>
      <c r="O385">
        <v>0</v>
      </c>
      <c r="P385" t="s">
        <v>51</v>
      </c>
      <c r="Q385" t="s">
        <v>57</v>
      </c>
      <c r="R385">
        <v>0</v>
      </c>
      <c r="S385">
        <v>3</v>
      </c>
      <c r="T385" t="s">
        <v>69</v>
      </c>
      <c r="U385" t="s">
        <v>42</v>
      </c>
      <c r="V385" t="s">
        <v>43</v>
      </c>
      <c r="W385" s="1">
        <v>45337</v>
      </c>
      <c r="X385" t="b">
        <v>0</v>
      </c>
      <c r="Y385" t="b">
        <v>1</v>
      </c>
      <c r="Z385" t="s">
        <v>59</v>
      </c>
      <c r="AA385" t="s">
        <v>60</v>
      </c>
      <c r="AB385">
        <v>6</v>
      </c>
    </row>
    <row r="386" spans="1:28">
      <c r="A386" t="s">
        <v>970</v>
      </c>
      <c r="B386">
        <v>20</v>
      </c>
      <c r="C386" t="s">
        <v>50</v>
      </c>
      <c r="D386" t="s">
        <v>34</v>
      </c>
      <c r="E386" t="s">
        <v>82</v>
      </c>
      <c r="F386" t="s">
        <v>52</v>
      </c>
      <c r="G386" t="s">
        <v>34</v>
      </c>
      <c r="H386" t="s">
        <v>971</v>
      </c>
      <c r="I386" t="s">
        <v>150</v>
      </c>
      <c r="J386" s="2">
        <v>238.01</v>
      </c>
      <c r="K386">
        <v>8</v>
      </c>
      <c r="L386" t="s">
        <v>55</v>
      </c>
      <c r="M386">
        <v>2</v>
      </c>
      <c r="N386">
        <v>2</v>
      </c>
      <c r="O386">
        <v>0</v>
      </c>
      <c r="P386" t="s">
        <v>51</v>
      </c>
      <c r="Q386" t="s">
        <v>41</v>
      </c>
      <c r="R386">
        <v>0</v>
      </c>
      <c r="S386">
        <v>9</v>
      </c>
      <c r="T386" t="s">
        <v>69</v>
      </c>
      <c r="U386" t="s">
        <v>95</v>
      </c>
      <c r="V386" t="s">
        <v>102</v>
      </c>
      <c r="W386" s="1">
        <v>45486</v>
      </c>
      <c r="X386" t="b">
        <v>0</v>
      </c>
      <c r="Y386" t="b">
        <v>1</v>
      </c>
      <c r="Z386" t="s">
        <v>44</v>
      </c>
      <c r="AA386" t="s">
        <v>60</v>
      </c>
      <c r="AB386">
        <v>5</v>
      </c>
    </row>
    <row r="387" spans="1:28">
      <c r="A387" t="s">
        <v>972</v>
      </c>
      <c r="B387">
        <v>40</v>
      </c>
      <c r="C387" t="s">
        <v>238</v>
      </c>
      <c r="D387" t="s">
        <v>51</v>
      </c>
      <c r="E387" t="s">
        <v>35</v>
      </c>
      <c r="F387" t="s">
        <v>66</v>
      </c>
      <c r="G387" t="s">
        <v>34</v>
      </c>
      <c r="H387" t="s">
        <v>2315</v>
      </c>
      <c r="I387" t="s">
        <v>75</v>
      </c>
      <c r="J387" s="2">
        <v>490.34</v>
      </c>
      <c r="K387">
        <v>4</v>
      </c>
      <c r="L387" t="s">
        <v>55</v>
      </c>
      <c r="M387">
        <v>5</v>
      </c>
      <c r="N387">
        <v>2</v>
      </c>
      <c r="O387">
        <v>2</v>
      </c>
      <c r="P387" t="s">
        <v>40</v>
      </c>
      <c r="Q387" t="s">
        <v>57</v>
      </c>
      <c r="R387">
        <v>2</v>
      </c>
      <c r="S387">
        <v>7</v>
      </c>
      <c r="T387" t="s">
        <v>51</v>
      </c>
      <c r="U387" t="s">
        <v>42</v>
      </c>
      <c r="V387" t="s">
        <v>76</v>
      </c>
      <c r="W387" s="1">
        <v>45399</v>
      </c>
      <c r="X387" t="b">
        <v>0</v>
      </c>
      <c r="Y387" t="b">
        <v>1</v>
      </c>
      <c r="Z387" t="s">
        <v>44</v>
      </c>
      <c r="AA387" t="s">
        <v>45</v>
      </c>
      <c r="AB387">
        <v>2</v>
      </c>
    </row>
    <row r="388" spans="1:28">
      <c r="A388" t="s">
        <v>974</v>
      </c>
      <c r="B388">
        <v>38</v>
      </c>
      <c r="C388" t="s">
        <v>50</v>
      </c>
      <c r="D388" t="s">
        <v>51</v>
      </c>
      <c r="E388" t="s">
        <v>92</v>
      </c>
      <c r="F388" t="s">
        <v>36</v>
      </c>
      <c r="G388" t="s">
        <v>34</v>
      </c>
      <c r="H388" t="s">
        <v>2316</v>
      </c>
      <c r="I388" t="s">
        <v>306</v>
      </c>
      <c r="J388" s="2">
        <v>245.98</v>
      </c>
      <c r="K388">
        <v>4</v>
      </c>
      <c r="L388" t="s">
        <v>39</v>
      </c>
      <c r="M388">
        <v>5</v>
      </c>
      <c r="N388">
        <v>1</v>
      </c>
      <c r="O388">
        <v>1</v>
      </c>
      <c r="P388" t="s">
        <v>51</v>
      </c>
      <c r="Q388" t="s">
        <v>57</v>
      </c>
      <c r="R388">
        <v>0</v>
      </c>
      <c r="S388">
        <v>1</v>
      </c>
      <c r="T388" t="s">
        <v>56</v>
      </c>
      <c r="U388" t="s">
        <v>95</v>
      </c>
      <c r="V388" t="s">
        <v>58</v>
      </c>
      <c r="W388" s="1">
        <v>45625</v>
      </c>
      <c r="X388" t="b">
        <v>0</v>
      </c>
      <c r="Y388" t="b">
        <v>0</v>
      </c>
      <c r="Z388" t="s">
        <v>89</v>
      </c>
      <c r="AA388" t="s">
        <v>60</v>
      </c>
      <c r="AB388">
        <v>10</v>
      </c>
    </row>
    <row r="389" spans="1:28">
      <c r="A389" t="s">
        <v>976</v>
      </c>
      <c r="B389">
        <v>45</v>
      </c>
      <c r="C389" t="s">
        <v>264</v>
      </c>
      <c r="D389" t="s">
        <v>34</v>
      </c>
      <c r="E389" t="s">
        <v>82</v>
      </c>
      <c r="F389" t="s">
        <v>52</v>
      </c>
      <c r="G389" t="s">
        <v>51</v>
      </c>
      <c r="H389" t="s">
        <v>977</v>
      </c>
      <c r="I389" t="s">
        <v>135</v>
      </c>
      <c r="J389" s="2">
        <v>390.83</v>
      </c>
      <c r="K389">
        <v>9</v>
      </c>
      <c r="L389" t="s">
        <v>94</v>
      </c>
      <c r="M389">
        <v>5</v>
      </c>
      <c r="N389">
        <v>5</v>
      </c>
      <c r="O389">
        <v>0</v>
      </c>
      <c r="P389" t="s">
        <v>56</v>
      </c>
      <c r="Q389" t="s">
        <v>41</v>
      </c>
      <c r="R389">
        <v>0</v>
      </c>
      <c r="S389">
        <v>5</v>
      </c>
      <c r="T389" t="s">
        <v>51</v>
      </c>
      <c r="U389" t="s">
        <v>95</v>
      </c>
      <c r="V389" t="s">
        <v>102</v>
      </c>
      <c r="W389" s="1">
        <v>45593</v>
      </c>
      <c r="X389" t="b">
        <v>0</v>
      </c>
      <c r="Y389" t="b">
        <v>1</v>
      </c>
      <c r="Z389" t="s">
        <v>72</v>
      </c>
      <c r="AA389" t="s">
        <v>45</v>
      </c>
      <c r="AB389">
        <v>8</v>
      </c>
    </row>
    <row r="390" spans="1:28">
      <c r="A390" t="s">
        <v>978</v>
      </c>
      <c r="B390">
        <v>49</v>
      </c>
      <c r="C390" t="s">
        <v>50</v>
      </c>
      <c r="D390" t="s">
        <v>51</v>
      </c>
      <c r="E390" t="s">
        <v>82</v>
      </c>
      <c r="F390" t="s">
        <v>52</v>
      </c>
      <c r="G390" t="s">
        <v>34</v>
      </c>
      <c r="H390" t="s">
        <v>979</v>
      </c>
      <c r="I390" t="s">
        <v>306</v>
      </c>
      <c r="J390" s="2">
        <v>158.84</v>
      </c>
      <c r="K390">
        <v>6</v>
      </c>
      <c r="L390" t="s">
        <v>94</v>
      </c>
      <c r="M390">
        <v>2</v>
      </c>
      <c r="N390">
        <v>1</v>
      </c>
      <c r="O390">
        <v>1</v>
      </c>
      <c r="P390" t="s">
        <v>40</v>
      </c>
      <c r="Q390" t="s">
        <v>57</v>
      </c>
      <c r="R390">
        <v>1</v>
      </c>
      <c r="S390">
        <v>8</v>
      </c>
      <c r="T390" t="s">
        <v>69</v>
      </c>
      <c r="U390" t="s">
        <v>95</v>
      </c>
      <c r="V390" t="s">
        <v>102</v>
      </c>
      <c r="W390" s="1">
        <v>45485</v>
      </c>
      <c r="X390" t="b">
        <v>1</v>
      </c>
      <c r="Y390" t="b">
        <v>1</v>
      </c>
      <c r="Z390" t="s">
        <v>44</v>
      </c>
      <c r="AA390" t="s">
        <v>77</v>
      </c>
      <c r="AB390">
        <v>5</v>
      </c>
    </row>
    <row r="391" spans="1:28">
      <c r="A391" t="s">
        <v>980</v>
      </c>
      <c r="B391">
        <v>37</v>
      </c>
      <c r="C391" t="s">
        <v>50</v>
      </c>
      <c r="D391" t="s">
        <v>34</v>
      </c>
      <c r="E391" t="s">
        <v>65</v>
      </c>
      <c r="F391" t="s">
        <v>52</v>
      </c>
      <c r="G391" t="s">
        <v>34</v>
      </c>
      <c r="H391" t="s">
        <v>981</v>
      </c>
      <c r="I391" t="s">
        <v>153</v>
      </c>
      <c r="J391" s="2">
        <v>439.24</v>
      </c>
      <c r="K391">
        <v>8</v>
      </c>
      <c r="L391" t="s">
        <v>39</v>
      </c>
      <c r="M391">
        <v>3</v>
      </c>
      <c r="N391">
        <v>3</v>
      </c>
      <c r="O391">
        <v>1</v>
      </c>
      <c r="P391" t="s">
        <v>51</v>
      </c>
      <c r="Q391" t="s">
        <v>41</v>
      </c>
      <c r="R391">
        <v>2</v>
      </c>
      <c r="S391">
        <v>9</v>
      </c>
      <c r="T391" t="s">
        <v>56</v>
      </c>
      <c r="U391" t="s">
        <v>42</v>
      </c>
      <c r="V391" t="s">
        <v>76</v>
      </c>
      <c r="W391" s="1">
        <v>45499</v>
      </c>
      <c r="X391" t="b">
        <v>0</v>
      </c>
      <c r="Y391" t="b">
        <v>0</v>
      </c>
      <c r="Z391" t="s">
        <v>59</v>
      </c>
      <c r="AA391" t="s">
        <v>60</v>
      </c>
      <c r="AB391">
        <v>10</v>
      </c>
    </row>
    <row r="392" spans="1:28">
      <c r="A392" t="s">
        <v>982</v>
      </c>
      <c r="B392">
        <v>23</v>
      </c>
      <c r="C392" t="s">
        <v>264</v>
      </c>
      <c r="D392" t="s">
        <v>34</v>
      </c>
      <c r="E392" t="s">
        <v>82</v>
      </c>
      <c r="F392" t="s">
        <v>66</v>
      </c>
      <c r="G392" t="s">
        <v>51</v>
      </c>
      <c r="H392" t="s">
        <v>983</v>
      </c>
      <c r="I392" t="s">
        <v>156</v>
      </c>
      <c r="J392" s="2">
        <v>92.43</v>
      </c>
      <c r="K392">
        <v>12</v>
      </c>
      <c r="L392" t="s">
        <v>39</v>
      </c>
      <c r="M392">
        <v>4</v>
      </c>
      <c r="N392">
        <v>1</v>
      </c>
      <c r="O392">
        <v>0</v>
      </c>
      <c r="P392" t="s">
        <v>56</v>
      </c>
      <c r="Q392" t="s">
        <v>41</v>
      </c>
      <c r="R392">
        <v>2</v>
      </c>
      <c r="S392">
        <v>9</v>
      </c>
      <c r="T392" t="s">
        <v>40</v>
      </c>
      <c r="U392" t="s">
        <v>70</v>
      </c>
      <c r="V392" t="s">
        <v>76</v>
      </c>
      <c r="W392" s="1">
        <v>45631</v>
      </c>
      <c r="X392" t="b">
        <v>0</v>
      </c>
      <c r="Y392" t="b">
        <v>1</v>
      </c>
      <c r="Z392" t="s">
        <v>44</v>
      </c>
      <c r="AA392" t="s">
        <v>60</v>
      </c>
      <c r="AB392">
        <v>6</v>
      </c>
    </row>
    <row r="393" spans="1:28">
      <c r="A393" t="s">
        <v>984</v>
      </c>
      <c r="B393">
        <v>48</v>
      </c>
      <c r="C393" t="s">
        <v>33</v>
      </c>
      <c r="D393" t="s">
        <v>51</v>
      </c>
      <c r="E393" t="s">
        <v>35</v>
      </c>
      <c r="F393" t="s">
        <v>66</v>
      </c>
      <c r="G393" t="s">
        <v>34</v>
      </c>
      <c r="H393" t="s">
        <v>985</v>
      </c>
      <c r="I393" t="s">
        <v>229</v>
      </c>
      <c r="J393" s="2">
        <v>333.15</v>
      </c>
      <c r="K393">
        <v>9</v>
      </c>
      <c r="L393" t="s">
        <v>39</v>
      </c>
      <c r="M393">
        <v>1</v>
      </c>
      <c r="N393">
        <v>5</v>
      </c>
      <c r="O393">
        <v>1</v>
      </c>
      <c r="P393" t="s">
        <v>51</v>
      </c>
      <c r="Q393" t="s">
        <v>101</v>
      </c>
      <c r="R393">
        <v>1</v>
      </c>
      <c r="S393">
        <v>8</v>
      </c>
      <c r="T393" t="s">
        <v>51</v>
      </c>
      <c r="U393" t="s">
        <v>70</v>
      </c>
      <c r="V393" t="s">
        <v>76</v>
      </c>
      <c r="W393" s="1">
        <v>45516</v>
      </c>
      <c r="X393" t="b">
        <v>0</v>
      </c>
      <c r="Y393" t="b">
        <v>0</v>
      </c>
      <c r="Z393" t="s">
        <v>72</v>
      </c>
      <c r="AA393" t="s">
        <v>60</v>
      </c>
      <c r="AB393">
        <v>14</v>
      </c>
    </row>
    <row r="394" spans="1:28">
      <c r="A394" t="s">
        <v>986</v>
      </c>
      <c r="B394">
        <v>19</v>
      </c>
      <c r="C394" t="s">
        <v>50</v>
      </c>
      <c r="D394" t="s">
        <v>34</v>
      </c>
      <c r="E394" t="s">
        <v>92</v>
      </c>
      <c r="F394" t="s">
        <v>66</v>
      </c>
      <c r="G394" t="s">
        <v>34</v>
      </c>
      <c r="H394" t="s">
        <v>2317</v>
      </c>
      <c r="I394" t="s">
        <v>123</v>
      </c>
      <c r="J394" s="2">
        <v>64.22</v>
      </c>
      <c r="K394">
        <v>9</v>
      </c>
      <c r="L394" t="s">
        <v>94</v>
      </c>
      <c r="M394">
        <v>1</v>
      </c>
      <c r="N394">
        <v>1</v>
      </c>
      <c r="O394">
        <v>2</v>
      </c>
      <c r="P394" t="s">
        <v>51</v>
      </c>
      <c r="Q394" t="s">
        <v>41</v>
      </c>
      <c r="R394">
        <v>1</v>
      </c>
      <c r="S394">
        <v>9</v>
      </c>
      <c r="T394" t="s">
        <v>56</v>
      </c>
      <c r="U394" t="s">
        <v>70</v>
      </c>
      <c r="V394" t="s">
        <v>58</v>
      </c>
      <c r="W394" s="1">
        <v>45293</v>
      </c>
      <c r="X394" t="b">
        <v>1</v>
      </c>
      <c r="Y394" t="b">
        <v>0</v>
      </c>
      <c r="Z394" t="s">
        <v>72</v>
      </c>
      <c r="AA394" t="s">
        <v>45</v>
      </c>
      <c r="AB394">
        <v>10</v>
      </c>
    </row>
    <row r="395" spans="1:28">
      <c r="A395" t="s">
        <v>989</v>
      </c>
      <c r="B395">
        <v>46</v>
      </c>
      <c r="C395" t="s">
        <v>33</v>
      </c>
      <c r="D395" t="s">
        <v>51</v>
      </c>
      <c r="E395" t="s">
        <v>65</v>
      </c>
      <c r="F395" t="s">
        <v>52</v>
      </c>
      <c r="G395" t="s">
        <v>51</v>
      </c>
      <c r="H395" t="s">
        <v>990</v>
      </c>
      <c r="I395" t="s">
        <v>75</v>
      </c>
      <c r="J395" s="2">
        <v>290.52999999999997</v>
      </c>
      <c r="K395">
        <v>3</v>
      </c>
      <c r="L395" t="s">
        <v>94</v>
      </c>
      <c r="M395">
        <v>3</v>
      </c>
      <c r="N395">
        <v>2</v>
      </c>
      <c r="O395">
        <v>1</v>
      </c>
      <c r="P395" t="s">
        <v>69</v>
      </c>
      <c r="Q395" t="s">
        <v>101</v>
      </c>
      <c r="R395">
        <v>0</v>
      </c>
      <c r="S395">
        <v>6</v>
      </c>
      <c r="T395" t="s">
        <v>51</v>
      </c>
      <c r="U395" t="s">
        <v>95</v>
      </c>
      <c r="V395" t="s">
        <v>71</v>
      </c>
      <c r="W395" s="1">
        <v>45600</v>
      </c>
      <c r="X395" t="b">
        <v>1</v>
      </c>
      <c r="Y395" t="b">
        <v>0</v>
      </c>
      <c r="Z395" t="s">
        <v>89</v>
      </c>
      <c r="AA395" t="s">
        <v>45</v>
      </c>
      <c r="AB395">
        <v>10</v>
      </c>
    </row>
    <row r="396" spans="1:28">
      <c r="A396" t="s">
        <v>991</v>
      </c>
      <c r="B396">
        <v>39</v>
      </c>
      <c r="C396" t="s">
        <v>50</v>
      </c>
      <c r="D396" t="s">
        <v>34</v>
      </c>
      <c r="E396" t="s">
        <v>92</v>
      </c>
      <c r="F396" t="s">
        <v>36</v>
      </c>
      <c r="G396" t="s">
        <v>51</v>
      </c>
      <c r="H396" t="s">
        <v>992</v>
      </c>
      <c r="I396" t="s">
        <v>153</v>
      </c>
      <c r="J396" s="2">
        <v>251.8</v>
      </c>
      <c r="K396">
        <v>6</v>
      </c>
      <c r="L396" t="s">
        <v>39</v>
      </c>
      <c r="M396">
        <v>5</v>
      </c>
      <c r="N396">
        <v>1</v>
      </c>
      <c r="O396">
        <v>2</v>
      </c>
      <c r="P396" t="s">
        <v>51</v>
      </c>
      <c r="Q396" t="s">
        <v>101</v>
      </c>
      <c r="R396">
        <v>1</v>
      </c>
      <c r="S396">
        <v>8</v>
      </c>
      <c r="T396" t="s">
        <v>69</v>
      </c>
      <c r="U396" t="s">
        <v>70</v>
      </c>
      <c r="V396" t="s">
        <v>71</v>
      </c>
      <c r="W396" s="1">
        <v>45478</v>
      </c>
      <c r="X396" t="b">
        <v>1</v>
      </c>
      <c r="Y396" t="b">
        <v>1</v>
      </c>
      <c r="Z396" t="s">
        <v>72</v>
      </c>
      <c r="AA396" t="s">
        <v>45</v>
      </c>
      <c r="AB396">
        <v>11</v>
      </c>
    </row>
    <row r="397" spans="1:28">
      <c r="A397" t="s">
        <v>993</v>
      </c>
      <c r="B397">
        <v>27</v>
      </c>
      <c r="C397" t="s">
        <v>264</v>
      </c>
      <c r="D397" t="s">
        <v>34</v>
      </c>
      <c r="E397" t="s">
        <v>92</v>
      </c>
      <c r="F397" t="s">
        <v>66</v>
      </c>
      <c r="G397" t="s">
        <v>34</v>
      </c>
      <c r="H397" t="s">
        <v>994</v>
      </c>
      <c r="I397" t="s">
        <v>108</v>
      </c>
      <c r="J397" s="2">
        <v>480.52</v>
      </c>
      <c r="K397">
        <v>3</v>
      </c>
      <c r="L397" t="s">
        <v>94</v>
      </c>
      <c r="M397">
        <v>5</v>
      </c>
      <c r="N397">
        <v>4</v>
      </c>
      <c r="O397">
        <v>2</v>
      </c>
      <c r="P397" t="s">
        <v>69</v>
      </c>
      <c r="Q397" t="s">
        <v>41</v>
      </c>
      <c r="R397">
        <v>1</v>
      </c>
      <c r="S397">
        <v>5</v>
      </c>
      <c r="T397" t="s">
        <v>40</v>
      </c>
      <c r="U397" t="s">
        <v>70</v>
      </c>
      <c r="V397" t="s">
        <v>102</v>
      </c>
      <c r="W397" s="1">
        <v>45412</v>
      </c>
      <c r="X397" t="b">
        <v>0</v>
      </c>
      <c r="Y397" t="b">
        <v>0</v>
      </c>
      <c r="Z397" t="s">
        <v>89</v>
      </c>
      <c r="AA397" t="s">
        <v>45</v>
      </c>
      <c r="AB397">
        <v>13</v>
      </c>
    </row>
    <row r="398" spans="1:28">
      <c r="A398" t="s">
        <v>995</v>
      </c>
      <c r="B398">
        <v>28</v>
      </c>
      <c r="C398" t="s">
        <v>33</v>
      </c>
      <c r="D398" t="s">
        <v>34</v>
      </c>
      <c r="E398" t="s">
        <v>35</v>
      </c>
      <c r="F398" t="s">
        <v>52</v>
      </c>
      <c r="G398" t="s">
        <v>51</v>
      </c>
      <c r="H398" t="s">
        <v>996</v>
      </c>
      <c r="I398" t="s">
        <v>143</v>
      </c>
      <c r="J398" s="2">
        <v>461.71</v>
      </c>
      <c r="K398">
        <v>10</v>
      </c>
      <c r="L398" t="s">
        <v>39</v>
      </c>
      <c r="M398">
        <v>3</v>
      </c>
      <c r="N398">
        <v>1</v>
      </c>
      <c r="O398">
        <v>0</v>
      </c>
      <c r="P398" t="s">
        <v>69</v>
      </c>
      <c r="Q398" t="s">
        <v>57</v>
      </c>
      <c r="R398">
        <v>0</v>
      </c>
      <c r="S398">
        <v>9</v>
      </c>
      <c r="T398" t="s">
        <v>51</v>
      </c>
      <c r="U398" t="s">
        <v>70</v>
      </c>
      <c r="V398" t="s">
        <v>102</v>
      </c>
      <c r="W398" s="1">
        <v>45338</v>
      </c>
      <c r="X398" t="b">
        <v>0</v>
      </c>
      <c r="Y398" t="b">
        <v>0</v>
      </c>
      <c r="Z398" t="s">
        <v>89</v>
      </c>
      <c r="AA398" t="s">
        <v>60</v>
      </c>
      <c r="AB398">
        <v>11</v>
      </c>
    </row>
    <row r="399" spans="1:28">
      <c r="A399" t="s">
        <v>997</v>
      </c>
      <c r="B399">
        <v>50</v>
      </c>
      <c r="C399" t="s">
        <v>33</v>
      </c>
      <c r="D399" t="s">
        <v>51</v>
      </c>
      <c r="E399" t="s">
        <v>35</v>
      </c>
      <c r="F399" t="s">
        <v>52</v>
      </c>
      <c r="G399" t="s">
        <v>34</v>
      </c>
      <c r="H399" t="s">
        <v>998</v>
      </c>
      <c r="I399" t="s">
        <v>150</v>
      </c>
      <c r="J399" s="2">
        <v>288.33999999999997</v>
      </c>
      <c r="K399">
        <v>12</v>
      </c>
      <c r="L399" t="s">
        <v>39</v>
      </c>
      <c r="M399">
        <v>5</v>
      </c>
      <c r="N399">
        <v>2</v>
      </c>
      <c r="O399">
        <v>2</v>
      </c>
      <c r="P399" t="s">
        <v>40</v>
      </c>
      <c r="Q399" t="s">
        <v>101</v>
      </c>
      <c r="R399">
        <v>0</v>
      </c>
      <c r="S399">
        <v>8</v>
      </c>
      <c r="T399" t="s">
        <v>69</v>
      </c>
      <c r="U399" t="s">
        <v>42</v>
      </c>
      <c r="V399" t="s">
        <v>102</v>
      </c>
      <c r="W399" s="1">
        <v>45371</v>
      </c>
      <c r="X399" t="b">
        <v>0</v>
      </c>
      <c r="Y399" t="b">
        <v>0</v>
      </c>
      <c r="Z399" t="s">
        <v>44</v>
      </c>
      <c r="AA399" t="s">
        <v>77</v>
      </c>
      <c r="AB399">
        <v>6</v>
      </c>
    </row>
    <row r="400" spans="1:28">
      <c r="A400" t="s">
        <v>999</v>
      </c>
      <c r="B400">
        <v>19</v>
      </c>
      <c r="C400" t="s">
        <v>33</v>
      </c>
      <c r="D400" t="s">
        <v>51</v>
      </c>
      <c r="E400" t="s">
        <v>92</v>
      </c>
      <c r="F400" t="s">
        <v>36</v>
      </c>
      <c r="G400" t="s">
        <v>51</v>
      </c>
      <c r="H400" t="s">
        <v>2318</v>
      </c>
      <c r="I400" t="s">
        <v>38</v>
      </c>
      <c r="J400" s="2">
        <v>194.08</v>
      </c>
      <c r="K400">
        <v>3</v>
      </c>
      <c r="L400" t="s">
        <v>55</v>
      </c>
      <c r="M400">
        <v>5</v>
      </c>
      <c r="N400">
        <v>5</v>
      </c>
      <c r="O400">
        <v>1</v>
      </c>
      <c r="P400" t="s">
        <v>69</v>
      </c>
      <c r="Q400" t="s">
        <v>57</v>
      </c>
      <c r="R400">
        <v>0</v>
      </c>
      <c r="S400">
        <v>2</v>
      </c>
      <c r="T400" t="s">
        <v>40</v>
      </c>
      <c r="U400" t="s">
        <v>70</v>
      </c>
      <c r="V400" t="s">
        <v>58</v>
      </c>
      <c r="W400" s="1">
        <v>45592</v>
      </c>
      <c r="X400" t="b">
        <v>1</v>
      </c>
      <c r="Y400" t="b">
        <v>1</v>
      </c>
      <c r="Z400" t="s">
        <v>59</v>
      </c>
      <c r="AA400" t="s">
        <v>60</v>
      </c>
      <c r="AB400">
        <v>13</v>
      </c>
    </row>
    <row r="401" spans="1:28">
      <c r="A401" t="s">
        <v>1001</v>
      </c>
      <c r="B401">
        <v>27</v>
      </c>
      <c r="C401" t="s">
        <v>340</v>
      </c>
      <c r="D401" t="s">
        <v>34</v>
      </c>
      <c r="E401" t="s">
        <v>82</v>
      </c>
      <c r="F401" t="s">
        <v>52</v>
      </c>
      <c r="G401" t="s">
        <v>51</v>
      </c>
      <c r="H401" t="s">
        <v>1002</v>
      </c>
      <c r="I401" t="s">
        <v>242</v>
      </c>
      <c r="J401" s="2">
        <v>198.45</v>
      </c>
      <c r="K401">
        <v>11</v>
      </c>
      <c r="L401" t="s">
        <v>94</v>
      </c>
      <c r="M401">
        <v>3</v>
      </c>
      <c r="N401">
        <v>5</v>
      </c>
      <c r="O401">
        <v>1</v>
      </c>
      <c r="P401" t="s">
        <v>51</v>
      </c>
      <c r="Q401" t="s">
        <v>57</v>
      </c>
      <c r="R401">
        <v>2</v>
      </c>
      <c r="S401">
        <v>8</v>
      </c>
      <c r="T401" t="s">
        <v>51</v>
      </c>
      <c r="U401" t="s">
        <v>42</v>
      </c>
      <c r="V401" t="s">
        <v>58</v>
      </c>
      <c r="W401" s="1">
        <v>45416</v>
      </c>
      <c r="X401" t="b">
        <v>1</v>
      </c>
      <c r="Y401" t="b">
        <v>0</v>
      </c>
      <c r="Z401" t="s">
        <v>59</v>
      </c>
      <c r="AA401" t="s">
        <v>45</v>
      </c>
      <c r="AB401">
        <v>5</v>
      </c>
    </row>
    <row r="402" spans="1:28">
      <c r="A402" t="s">
        <v>1003</v>
      </c>
      <c r="B402">
        <v>23</v>
      </c>
      <c r="C402" t="s">
        <v>50</v>
      </c>
      <c r="D402" t="s">
        <v>51</v>
      </c>
      <c r="E402" t="s">
        <v>35</v>
      </c>
      <c r="F402" t="s">
        <v>66</v>
      </c>
      <c r="G402" t="s">
        <v>34</v>
      </c>
      <c r="H402" t="s">
        <v>1004</v>
      </c>
      <c r="I402" t="s">
        <v>153</v>
      </c>
      <c r="J402" s="2">
        <v>216.45</v>
      </c>
      <c r="K402">
        <v>5</v>
      </c>
      <c r="L402" t="s">
        <v>39</v>
      </c>
      <c r="M402">
        <v>5</v>
      </c>
      <c r="N402">
        <v>2</v>
      </c>
      <c r="O402">
        <v>0</v>
      </c>
      <c r="P402" t="s">
        <v>56</v>
      </c>
      <c r="Q402" t="s">
        <v>101</v>
      </c>
      <c r="R402">
        <v>2</v>
      </c>
      <c r="S402">
        <v>7</v>
      </c>
      <c r="T402" t="s">
        <v>69</v>
      </c>
      <c r="U402" t="s">
        <v>42</v>
      </c>
      <c r="V402" t="s">
        <v>43</v>
      </c>
      <c r="W402" s="1">
        <v>45596</v>
      </c>
      <c r="X402" t="b">
        <v>0</v>
      </c>
      <c r="Y402" t="b">
        <v>0</v>
      </c>
      <c r="Z402" t="s">
        <v>44</v>
      </c>
      <c r="AA402" t="s">
        <v>45</v>
      </c>
      <c r="AB402">
        <v>3</v>
      </c>
    </row>
    <row r="403" spans="1:28">
      <c r="A403" t="s">
        <v>1006</v>
      </c>
      <c r="B403">
        <v>19</v>
      </c>
      <c r="C403" t="s">
        <v>33</v>
      </c>
      <c r="D403" t="s">
        <v>51</v>
      </c>
      <c r="E403" t="s">
        <v>82</v>
      </c>
      <c r="F403" t="s">
        <v>36</v>
      </c>
      <c r="G403" t="s">
        <v>51</v>
      </c>
      <c r="H403" t="s">
        <v>1007</v>
      </c>
      <c r="I403" t="s">
        <v>153</v>
      </c>
      <c r="J403" s="2">
        <v>358.72</v>
      </c>
      <c r="K403">
        <v>5</v>
      </c>
      <c r="L403" t="s">
        <v>55</v>
      </c>
      <c r="M403">
        <v>3</v>
      </c>
      <c r="N403">
        <v>5</v>
      </c>
      <c r="O403">
        <v>1</v>
      </c>
      <c r="P403" t="s">
        <v>69</v>
      </c>
      <c r="Q403" t="s">
        <v>101</v>
      </c>
      <c r="R403">
        <v>0</v>
      </c>
      <c r="S403">
        <v>8</v>
      </c>
      <c r="T403" t="s">
        <v>69</v>
      </c>
      <c r="U403" t="s">
        <v>42</v>
      </c>
      <c r="V403" t="s">
        <v>43</v>
      </c>
      <c r="W403" s="1">
        <v>45328</v>
      </c>
      <c r="X403" t="b">
        <v>1</v>
      </c>
      <c r="Y403" t="b">
        <v>1</v>
      </c>
      <c r="Z403" t="s">
        <v>72</v>
      </c>
      <c r="AA403" t="s">
        <v>60</v>
      </c>
      <c r="AB403">
        <v>12</v>
      </c>
    </row>
    <row r="404" spans="1:28">
      <c r="A404" t="s">
        <v>1008</v>
      </c>
      <c r="B404">
        <v>22</v>
      </c>
      <c r="C404" t="s">
        <v>33</v>
      </c>
      <c r="D404" t="s">
        <v>34</v>
      </c>
      <c r="E404" t="s">
        <v>82</v>
      </c>
      <c r="F404" t="s">
        <v>36</v>
      </c>
      <c r="G404" t="s">
        <v>51</v>
      </c>
      <c r="H404" t="s">
        <v>1009</v>
      </c>
      <c r="I404" t="s">
        <v>123</v>
      </c>
      <c r="J404" s="2">
        <v>367.56</v>
      </c>
      <c r="K404">
        <v>9</v>
      </c>
      <c r="L404" t="s">
        <v>94</v>
      </c>
      <c r="M404">
        <v>4</v>
      </c>
      <c r="N404">
        <v>5</v>
      </c>
      <c r="O404">
        <v>1</v>
      </c>
      <c r="P404" t="s">
        <v>40</v>
      </c>
      <c r="Q404" t="s">
        <v>57</v>
      </c>
      <c r="R404">
        <v>0</v>
      </c>
      <c r="S404">
        <v>8</v>
      </c>
      <c r="T404" t="s">
        <v>69</v>
      </c>
      <c r="U404" t="s">
        <v>70</v>
      </c>
      <c r="V404" t="s">
        <v>76</v>
      </c>
      <c r="W404" s="1">
        <v>45491</v>
      </c>
      <c r="X404" t="b">
        <v>0</v>
      </c>
      <c r="Y404" t="b">
        <v>0</v>
      </c>
      <c r="Z404" t="s">
        <v>44</v>
      </c>
      <c r="AA404" t="s">
        <v>60</v>
      </c>
      <c r="AB404">
        <v>14</v>
      </c>
    </row>
    <row r="405" spans="1:28">
      <c r="A405" t="s">
        <v>1010</v>
      </c>
      <c r="B405">
        <v>40</v>
      </c>
      <c r="C405" t="s">
        <v>50</v>
      </c>
      <c r="D405" t="s">
        <v>34</v>
      </c>
      <c r="E405" t="s">
        <v>92</v>
      </c>
      <c r="F405" t="s">
        <v>52</v>
      </c>
      <c r="G405" t="s">
        <v>51</v>
      </c>
      <c r="H405" t="s">
        <v>1011</v>
      </c>
      <c r="I405" t="s">
        <v>229</v>
      </c>
      <c r="J405" s="2">
        <v>88.78</v>
      </c>
      <c r="K405">
        <v>10</v>
      </c>
      <c r="L405" t="s">
        <v>94</v>
      </c>
      <c r="M405">
        <v>5</v>
      </c>
      <c r="N405">
        <v>3</v>
      </c>
      <c r="O405">
        <v>0</v>
      </c>
      <c r="P405" t="s">
        <v>51</v>
      </c>
      <c r="Q405" t="s">
        <v>101</v>
      </c>
      <c r="R405">
        <v>1</v>
      </c>
      <c r="S405">
        <v>7</v>
      </c>
      <c r="T405" t="s">
        <v>56</v>
      </c>
      <c r="U405" t="s">
        <v>95</v>
      </c>
      <c r="V405" t="s">
        <v>58</v>
      </c>
      <c r="W405" s="1">
        <v>45297</v>
      </c>
      <c r="X405" t="b">
        <v>0</v>
      </c>
      <c r="Y405" t="b">
        <v>0</v>
      </c>
      <c r="Z405" t="s">
        <v>89</v>
      </c>
      <c r="AA405" t="s">
        <v>60</v>
      </c>
      <c r="AB405">
        <v>13</v>
      </c>
    </row>
    <row r="406" spans="1:28">
      <c r="A406" t="s">
        <v>1012</v>
      </c>
      <c r="B406">
        <v>48</v>
      </c>
      <c r="C406" t="s">
        <v>50</v>
      </c>
      <c r="D406" t="s">
        <v>34</v>
      </c>
      <c r="E406" t="s">
        <v>35</v>
      </c>
      <c r="F406" t="s">
        <v>36</v>
      </c>
      <c r="G406" t="s">
        <v>34</v>
      </c>
      <c r="H406" t="s">
        <v>2319</v>
      </c>
      <c r="I406" t="s">
        <v>54</v>
      </c>
      <c r="J406" s="2">
        <v>465.85</v>
      </c>
      <c r="K406">
        <v>10</v>
      </c>
      <c r="L406" t="s">
        <v>94</v>
      </c>
      <c r="M406">
        <v>5</v>
      </c>
      <c r="N406">
        <v>3</v>
      </c>
      <c r="O406">
        <v>2</v>
      </c>
      <c r="P406" t="s">
        <v>40</v>
      </c>
      <c r="Q406" t="s">
        <v>41</v>
      </c>
      <c r="R406">
        <v>2</v>
      </c>
      <c r="S406">
        <v>10</v>
      </c>
      <c r="T406" t="s">
        <v>56</v>
      </c>
      <c r="U406" t="s">
        <v>95</v>
      </c>
      <c r="V406" t="s">
        <v>58</v>
      </c>
      <c r="W406" s="1">
        <v>45386</v>
      </c>
      <c r="X406" t="b">
        <v>1</v>
      </c>
      <c r="Y406" t="b">
        <v>0</v>
      </c>
      <c r="Z406" t="s">
        <v>59</v>
      </c>
      <c r="AA406" t="s">
        <v>60</v>
      </c>
      <c r="AB406">
        <v>7</v>
      </c>
    </row>
    <row r="407" spans="1:28">
      <c r="A407" t="s">
        <v>1014</v>
      </c>
      <c r="B407">
        <v>49</v>
      </c>
      <c r="C407" t="s">
        <v>50</v>
      </c>
      <c r="D407" t="s">
        <v>34</v>
      </c>
      <c r="E407" t="s">
        <v>35</v>
      </c>
      <c r="F407" t="s">
        <v>52</v>
      </c>
      <c r="G407" t="s">
        <v>51</v>
      </c>
      <c r="H407" t="s">
        <v>1015</v>
      </c>
      <c r="I407" t="s">
        <v>229</v>
      </c>
      <c r="J407" s="2">
        <v>262.61</v>
      </c>
      <c r="K407">
        <v>3</v>
      </c>
      <c r="L407" t="s">
        <v>55</v>
      </c>
      <c r="M407">
        <v>2</v>
      </c>
      <c r="N407">
        <v>5</v>
      </c>
      <c r="O407">
        <v>1</v>
      </c>
      <c r="P407" t="s">
        <v>56</v>
      </c>
      <c r="Q407" t="s">
        <v>41</v>
      </c>
      <c r="R407">
        <v>0</v>
      </c>
      <c r="S407">
        <v>10</v>
      </c>
      <c r="T407" t="s">
        <v>56</v>
      </c>
      <c r="U407" t="s">
        <v>70</v>
      </c>
      <c r="V407" t="s">
        <v>76</v>
      </c>
      <c r="W407" s="1">
        <v>45350</v>
      </c>
      <c r="X407" t="b">
        <v>0</v>
      </c>
      <c r="Y407" t="b">
        <v>1</v>
      </c>
      <c r="Z407" t="s">
        <v>59</v>
      </c>
      <c r="AA407" t="s">
        <v>60</v>
      </c>
      <c r="AB407">
        <v>6</v>
      </c>
    </row>
    <row r="408" spans="1:28">
      <c r="A408" t="s">
        <v>1016</v>
      </c>
      <c r="B408">
        <v>45</v>
      </c>
      <c r="C408" t="s">
        <v>340</v>
      </c>
      <c r="D408" t="s">
        <v>34</v>
      </c>
      <c r="E408" t="s">
        <v>82</v>
      </c>
      <c r="F408" t="s">
        <v>66</v>
      </c>
      <c r="G408" t="s">
        <v>34</v>
      </c>
      <c r="H408" t="s">
        <v>1017</v>
      </c>
      <c r="I408" t="s">
        <v>75</v>
      </c>
      <c r="J408" s="2">
        <v>91.24</v>
      </c>
      <c r="K408">
        <v>8</v>
      </c>
      <c r="L408" t="s">
        <v>55</v>
      </c>
      <c r="M408">
        <v>4</v>
      </c>
      <c r="N408">
        <v>3</v>
      </c>
      <c r="O408">
        <v>0</v>
      </c>
      <c r="P408" t="s">
        <v>51</v>
      </c>
      <c r="Q408" t="s">
        <v>41</v>
      </c>
      <c r="R408">
        <v>0</v>
      </c>
      <c r="S408">
        <v>4</v>
      </c>
      <c r="T408" t="s">
        <v>69</v>
      </c>
      <c r="U408" t="s">
        <v>42</v>
      </c>
      <c r="V408" t="s">
        <v>102</v>
      </c>
      <c r="W408" s="1">
        <v>45593</v>
      </c>
      <c r="X408" t="b">
        <v>1</v>
      </c>
      <c r="Y408" t="b">
        <v>0</v>
      </c>
      <c r="Z408" t="s">
        <v>59</v>
      </c>
      <c r="AA408" t="s">
        <v>60</v>
      </c>
      <c r="AB408">
        <v>4</v>
      </c>
    </row>
    <row r="409" spans="1:28">
      <c r="A409" t="s">
        <v>1018</v>
      </c>
      <c r="B409">
        <v>42</v>
      </c>
      <c r="C409" t="s">
        <v>33</v>
      </c>
      <c r="D409" t="s">
        <v>51</v>
      </c>
      <c r="E409" t="s">
        <v>35</v>
      </c>
      <c r="F409" t="s">
        <v>52</v>
      </c>
      <c r="G409" t="s">
        <v>51</v>
      </c>
      <c r="H409" t="s">
        <v>1019</v>
      </c>
      <c r="I409" t="s">
        <v>123</v>
      </c>
      <c r="J409" s="2">
        <v>425.69</v>
      </c>
      <c r="K409">
        <v>5</v>
      </c>
      <c r="L409" t="s">
        <v>55</v>
      </c>
      <c r="M409">
        <v>2</v>
      </c>
      <c r="N409">
        <v>5</v>
      </c>
      <c r="O409">
        <v>0</v>
      </c>
      <c r="P409" t="s">
        <v>51</v>
      </c>
      <c r="Q409" t="s">
        <v>101</v>
      </c>
      <c r="R409">
        <v>0</v>
      </c>
      <c r="S409">
        <v>4</v>
      </c>
      <c r="T409" t="s">
        <v>56</v>
      </c>
      <c r="U409" t="s">
        <v>42</v>
      </c>
      <c r="V409" t="s">
        <v>43</v>
      </c>
      <c r="W409" s="1">
        <v>45464</v>
      </c>
      <c r="X409" t="b">
        <v>0</v>
      </c>
      <c r="Y409" t="b">
        <v>1</v>
      </c>
      <c r="Z409" t="s">
        <v>72</v>
      </c>
      <c r="AA409" t="s">
        <v>45</v>
      </c>
      <c r="AB409">
        <v>4</v>
      </c>
    </row>
    <row r="410" spans="1:28">
      <c r="A410" t="s">
        <v>1020</v>
      </c>
      <c r="B410">
        <v>41</v>
      </c>
      <c r="C410" t="s">
        <v>33</v>
      </c>
      <c r="D410" t="s">
        <v>51</v>
      </c>
      <c r="E410" t="s">
        <v>35</v>
      </c>
      <c r="F410" t="s">
        <v>36</v>
      </c>
      <c r="G410" t="s">
        <v>51</v>
      </c>
      <c r="H410" t="s">
        <v>2320</v>
      </c>
      <c r="I410" t="s">
        <v>143</v>
      </c>
      <c r="J410" s="2">
        <v>446.11</v>
      </c>
      <c r="K410">
        <v>9</v>
      </c>
      <c r="L410" t="s">
        <v>39</v>
      </c>
      <c r="M410">
        <v>3</v>
      </c>
      <c r="N410">
        <v>1</v>
      </c>
      <c r="O410">
        <v>1</v>
      </c>
      <c r="P410" t="s">
        <v>56</v>
      </c>
      <c r="Q410" t="s">
        <v>101</v>
      </c>
      <c r="R410">
        <v>0</v>
      </c>
      <c r="S410">
        <v>10</v>
      </c>
      <c r="T410" t="s">
        <v>56</v>
      </c>
      <c r="U410" t="s">
        <v>95</v>
      </c>
      <c r="V410" t="s">
        <v>58</v>
      </c>
      <c r="W410" s="1">
        <v>45449</v>
      </c>
      <c r="X410" t="b">
        <v>1</v>
      </c>
      <c r="Y410" t="b">
        <v>1</v>
      </c>
      <c r="Z410" t="s">
        <v>59</v>
      </c>
      <c r="AA410" t="s">
        <v>77</v>
      </c>
      <c r="AB410">
        <v>11</v>
      </c>
    </row>
    <row r="411" spans="1:28">
      <c r="A411" t="s">
        <v>1022</v>
      </c>
      <c r="B411">
        <v>23</v>
      </c>
      <c r="C411" t="s">
        <v>106</v>
      </c>
      <c r="D411" t="s">
        <v>51</v>
      </c>
      <c r="E411" t="s">
        <v>65</v>
      </c>
      <c r="F411" t="s">
        <v>52</v>
      </c>
      <c r="G411" t="s">
        <v>51</v>
      </c>
      <c r="H411" t="s">
        <v>1023</v>
      </c>
      <c r="I411" t="s">
        <v>150</v>
      </c>
      <c r="J411" s="2">
        <v>490.11</v>
      </c>
      <c r="K411">
        <v>8</v>
      </c>
      <c r="L411" t="s">
        <v>94</v>
      </c>
      <c r="M411">
        <v>3</v>
      </c>
      <c r="N411">
        <v>4</v>
      </c>
      <c r="O411">
        <v>2</v>
      </c>
      <c r="P411" t="s">
        <v>69</v>
      </c>
      <c r="Q411" t="s">
        <v>57</v>
      </c>
      <c r="R411">
        <v>1</v>
      </c>
      <c r="S411">
        <v>1</v>
      </c>
      <c r="T411" t="s">
        <v>69</v>
      </c>
      <c r="U411" t="s">
        <v>70</v>
      </c>
      <c r="V411" t="s">
        <v>76</v>
      </c>
      <c r="W411" s="1">
        <v>45650</v>
      </c>
      <c r="X411" t="b">
        <v>0</v>
      </c>
      <c r="Y411" t="b">
        <v>0</v>
      </c>
      <c r="Z411" t="s">
        <v>89</v>
      </c>
      <c r="AA411" t="s">
        <v>60</v>
      </c>
      <c r="AB411">
        <v>14</v>
      </c>
    </row>
    <row r="412" spans="1:28">
      <c r="A412" t="s">
        <v>1025</v>
      </c>
      <c r="B412">
        <v>44</v>
      </c>
      <c r="C412" t="s">
        <v>33</v>
      </c>
      <c r="D412" t="s">
        <v>51</v>
      </c>
      <c r="E412" t="s">
        <v>92</v>
      </c>
      <c r="F412" t="s">
        <v>52</v>
      </c>
      <c r="G412" t="s">
        <v>34</v>
      </c>
      <c r="H412" t="s">
        <v>1026</v>
      </c>
      <c r="I412" t="s">
        <v>108</v>
      </c>
      <c r="J412" s="2">
        <v>403.57</v>
      </c>
      <c r="K412">
        <v>6</v>
      </c>
      <c r="L412" t="s">
        <v>94</v>
      </c>
      <c r="M412">
        <v>2</v>
      </c>
      <c r="N412">
        <v>2</v>
      </c>
      <c r="O412">
        <v>2</v>
      </c>
      <c r="P412" t="s">
        <v>51</v>
      </c>
      <c r="Q412" t="s">
        <v>57</v>
      </c>
      <c r="R412">
        <v>2</v>
      </c>
      <c r="S412">
        <v>2</v>
      </c>
      <c r="T412" t="s">
        <v>40</v>
      </c>
      <c r="U412" t="s">
        <v>70</v>
      </c>
      <c r="V412" t="s">
        <v>76</v>
      </c>
      <c r="W412" s="1">
        <v>45610</v>
      </c>
      <c r="X412" t="b">
        <v>0</v>
      </c>
      <c r="Y412" t="b">
        <v>0</v>
      </c>
      <c r="Z412" t="s">
        <v>72</v>
      </c>
      <c r="AA412" t="s">
        <v>77</v>
      </c>
      <c r="AB412">
        <v>1</v>
      </c>
    </row>
    <row r="413" spans="1:28">
      <c r="A413" t="s">
        <v>1027</v>
      </c>
      <c r="B413">
        <v>42</v>
      </c>
      <c r="C413" t="s">
        <v>33</v>
      </c>
      <c r="D413" t="s">
        <v>51</v>
      </c>
      <c r="E413" t="s">
        <v>35</v>
      </c>
      <c r="F413" t="s">
        <v>36</v>
      </c>
      <c r="G413" t="s">
        <v>34</v>
      </c>
      <c r="H413" t="s">
        <v>1028</v>
      </c>
      <c r="I413" t="s">
        <v>143</v>
      </c>
      <c r="J413" s="2">
        <v>442.15</v>
      </c>
      <c r="K413">
        <v>10</v>
      </c>
      <c r="L413" t="s">
        <v>39</v>
      </c>
      <c r="M413">
        <v>2</v>
      </c>
      <c r="N413">
        <v>3</v>
      </c>
      <c r="O413">
        <v>1</v>
      </c>
      <c r="P413" t="s">
        <v>51</v>
      </c>
      <c r="Q413" t="s">
        <v>57</v>
      </c>
      <c r="R413">
        <v>2</v>
      </c>
      <c r="S413">
        <v>1</v>
      </c>
      <c r="T413" t="s">
        <v>40</v>
      </c>
      <c r="U413" t="s">
        <v>70</v>
      </c>
      <c r="V413" t="s">
        <v>43</v>
      </c>
      <c r="W413" s="1">
        <v>45644</v>
      </c>
      <c r="X413" t="b">
        <v>0</v>
      </c>
      <c r="Y413" t="b">
        <v>1</v>
      </c>
      <c r="Z413" t="s">
        <v>44</v>
      </c>
      <c r="AA413" t="s">
        <v>45</v>
      </c>
      <c r="AB413">
        <v>9</v>
      </c>
    </row>
    <row r="414" spans="1:28">
      <c r="A414" t="s">
        <v>1029</v>
      </c>
      <c r="B414">
        <v>49</v>
      </c>
      <c r="C414" t="s">
        <v>33</v>
      </c>
      <c r="D414" t="s">
        <v>34</v>
      </c>
      <c r="E414" t="s">
        <v>82</v>
      </c>
      <c r="F414" t="s">
        <v>36</v>
      </c>
      <c r="G414" t="s">
        <v>51</v>
      </c>
      <c r="H414" t="s">
        <v>2321</v>
      </c>
      <c r="I414" t="s">
        <v>108</v>
      </c>
      <c r="J414" s="2">
        <v>78.709999999999994</v>
      </c>
      <c r="K414">
        <v>5</v>
      </c>
      <c r="L414" t="s">
        <v>94</v>
      </c>
      <c r="M414">
        <v>4</v>
      </c>
      <c r="N414">
        <v>3</v>
      </c>
      <c r="O414">
        <v>1</v>
      </c>
      <c r="P414" t="s">
        <v>40</v>
      </c>
      <c r="Q414" t="s">
        <v>41</v>
      </c>
      <c r="R414">
        <v>1</v>
      </c>
      <c r="S414">
        <v>10</v>
      </c>
      <c r="T414" t="s">
        <v>69</v>
      </c>
      <c r="U414" t="s">
        <v>70</v>
      </c>
      <c r="V414" t="s">
        <v>58</v>
      </c>
      <c r="W414" s="1">
        <v>45392</v>
      </c>
      <c r="X414" t="b">
        <v>1</v>
      </c>
      <c r="Y414" t="b">
        <v>1</v>
      </c>
      <c r="Z414" t="s">
        <v>89</v>
      </c>
      <c r="AA414" t="s">
        <v>45</v>
      </c>
      <c r="AB414">
        <v>4</v>
      </c>
    </row>
    <row r="415" spans="1:28">
      <c r="A415" t="s">
        <v>1031</v>
      </c>
      <c r="B415">
        <v>45</v>
      </c>
      <c r="C415" t="s">
        <v>33</v>
      </c>
      <c r="D415" t="s">
        <v>34</v>
      </c>
      <c r="E415" t="s">
        <v>82</v>
      </c>
      <c r="F415" t="s">
        <v>52</v>
      </c>
      <c r="G415" t="s">
        <v>51</v>
      </c>
      <c r="H415" t="s">
        <v>1032</v>
      </c>
      <c r="I415" t="s">
        <v>84</v>
      </c>
      <c r="J415" s="2">
        <v>491.51</v>
      </c>
      <c r="K415">
        <v>2</v>
      </c>
      <c r="L415" t="s">
        <v>39</v>
      </c>
      <c r="M415">
        <v>2</v>
      </c>
      <c r="N415">
        <v>5</v>
      </c>
      <c r="O415">
        <v>0</v>
      </c>
      <c r="P415" t="s">
        <v>56</v>
      </c>
      <c r="Q415" t="s">
        <v>101</v>
      </c>
      <c r="R415">
        <v>1</v>
      </c>
      <c r="S415">
        <v>1</v>
      </c>
      <c r="T415" t="s">
        <v>51</v>
      </c>
      <c r="U415" t="s">
        <v>70</v>
      </c>
      <c r="V415" t="s">
        <v>58</v>
      </c>
      <c r="W415" s="1">
        <v>45632</v>
      </c>
      <c r="X415" t="b">
        <v>1</v>
      </c>
      <c r="Y415" t="b">
        <v>0</v>
      </c>
      <c r="Z415" t="s">
        <v>44</v>
      </c>
      <c r="AA415" t="s">
        <v>45</v>
      </c>
      <c r="AB415">
        <v>7</v>
      </c>
    </row>
    <row r="416" spans="1:28">
      <c r="A416" t="s">
        <v>1033</v>
      </c>
      <c r="B416">
        <v>36</v>
      </c>
      <c r="C416" t="s">
        <v>33</v>
      </c>
      <c r="D416" t="s">
        <v>34</v>
      </c>
      <c r="E416" t="s">
        <v>65</v>
      </c>
      <c r="F416" t="s">
        <v>36</v>
      </c>
      <c r="G416" t="s">
        <v>34</v>
      </c>
      <c r="H416" t="s">
        <v>2322</v>
      </c>
      <c r="I416" t="s">
        <v>84</v>
      </c>
      <c r="J416" s="2">
        <v>457.39</v>
      </c>
      <c r="K416">
        <v>12</v>
      </c>
      <c r="L416" t="s">
        <v>55</v>
      </c>
      <c r="M416">
        <v>1</v>
      </c>
      <c r="N416">
        <v>1</v>
      </c>
      <c r="O416">
        <v>1</v>
      </c>
      <c r="P416" t="s">
        <v>51</v>
      </c>
      <c r="Q416" t="s">
        <v>57</v>
      </c>
      <c r="R416">
        <v>1</v>
      </c>
      <c r="S416">
        <v>5</v>
      </c>
      <c r="T416" t="s">
        <v>51</v>
      </c>
      <c r="U416" t="s">
        <v>95</v>
      </c>
      <c r="V416" t="s">
        <v>43</v>
      </c>
      <c r="W416" s="1">
        <v>45594</v>
      </c>
      <c r="X416" t="b">
        <v>1</v>
      </c>
      <c r="Y416" t="b">
        <v>0</v>
      </c>
      <c r="Z416" t="s">
        <v>72</v>
      </c>
      <c r="AA416" t="s">
        <v>60</v>
      </c>
      <c r="AB416">
        <v>9</v>
      </c>
    </row>
    <row r="417" spans="1:28">
      <c r="A417" t="s">
        <v>1035</v>
      </c>
      <c r="B417">
        <v>38</v>
      </c>
      <c r="C417" t="s">
        <v>33</v>
      </c>
      <c r="D417" t="s">
        <v>51</v>
      </c>
      <c r="E417" t="s">
        <v>92</v>
      </c>
      <c r="F417" t="s">
        <v>52</v>
      </c>
      <c r="G417" t="s">
        <v>51</v>
      </c>
      <c r="H417" t="s">
        <v>1036</v>
      </c>
      <c r="I417" t="s">
        <v>54</v>
      </c>
      <c r="J417" s="2">
        <v>178.61</v>
      </c>
      <c r="K417">
        <v>12</v>
      </c>
      <c r="L417" t="s">
        <v>94</v>
      </c>
      <c r="M417">
        <v>5</v>
      </c>
      <c r="N417">
        <v>1</v>
      </c>
      <c r="O417">
        <v>2</v>
      </c>
      <c r="P417" t="s">
        <v>51</v>
      </c>
      <c r="Q417" t="s">
        <v>57</v>
      </c>
      <c r="R417">
        <v>0</v>
      </c>
      <c r="S417">
        <v>3</v>
      </c>
      <c r="T417" t="s">
        <v>40</v>
      </c>
      <c r="U417" t="s">
        <v>70</v>
      </c>
      <c r="V417" t="s">
        <v>43</v>
      </c>
      <c r="W417" s="1">
        <v>45483</v>
      </c>
      <c r="X417" t="b">
        <v>1</v>
      </c>
      <c r="Y417" t="b">
        <v>0</v>
      </c>
      <c r="Z417" t="s">
        <v>72</v>
      </c>
      <c r="AA417" t="s">
        <v>45</v>
      </c>
      <c r="AB417">
        <v>8</v>
      </c>
    </row>
    <row r="418" spans="1:28">
      <c r="A418" t="s">
        <v>1037</v>
      </c>
      <c r="B418">
        <v>44</v>
      </c>
      <c r="C418" t="s">
        <v>50</v>
      </c>
      <c r="D418" t="s">
        <v>34</v>
      </c>
      <c r="E418" t="s">
        <v>65</v>
      </c>
      <c r="F418" t="s">
        <v>52</v>
      </c>
      <c r="G418" t="s">
        <v>34</v>
      </c>
      <c r="H418" t="s">
        <v>1038</v>
      </c>
      <c r="I418" t="s">
        <v>131</v>
      </c>
      <c r="J418" s="2">
        <v>492.51</v>
      </c>
      <c r="K418">
        <v>7</v>
      </c>
      <c r="L418" t="s">
        <v>94</v>
      </c>
      <c r="M418">
        <v>1</v>
      </c>
      <c r="N418">
        <v>4</v>
      </c>
      <c r="O418">
        <v>1</v>
      </c>
      <c r="P418" t="s">
        <v>69</v>
      </c>
      <c r="Q418" t="s">
        <v>57</v>
      </c>
      <c r="R418">
        <v>0</v>
      </c>
      <c r="S418">
        <v>2</v>
      </c>
      <c r="T418" t="s">
        <v>56</v>
      </c>
      <c r="U418" t="s">
        <v>95</v>
      </c>
      <c r="V418" t="s">
        <v>58</v>
      </c>
      <c r="W418" s="1">
        <v>45321</v>
      </c>
      <c r="X418" t="b">
        <v>1</v>
      </c>
      <c r="Y418" t="b">
        <v>1</v>
      </c>
      <c r="Z418" t="s">
        <v>59</v>
      </c>
      <c r="AA418" t="s">
        <v>60</v>
      </c>
      <c r="AB418">
        <v>4</v>
      </c>
    </row>
    <row r="419" spans="1:28">
      <c r="A419" t="s">
        <v>1039</v>
      </c>
      <c r="B419">
        <v>37</v>
      </c>
      <c r="C419" t="s">
        <v>340</v>
      </c>
      <c r="D419" t="s">
        <v>51</v>
      </c>
      <c r="E419" t="s">
        <v>35</v>
      </c>
      <c r="F419" t="s">
        <v>36</v>
      </c>
      <c r="G419" t="s">
        <v>51</v>
      </c>
      <c r="H419" t="s">
        <v>1040</v>
      </c>
      <c r="I419" t="s">
        <v>75</v>
      </c>
      <c r="J419" s="2">
        <v>411.4</v>
      </c>
      <c r="K419">
        <v>3</v>
      </c>
      <c r="L419" t="s">
        <v>55</v>
      </c>
      <c r="M419">
        <v>1</v>
      </c>
      <c r="N419">
        <v>3</v>
      </c>
      <c r="O419">
        <v>0</v>
      </c>
      <c r="P419" t="s">
        <v>51</v>
      </c>
      <c r="Q419" t="s">
        <v>41</v>
      </c>
      <c r="R419">
        <v>2</v>
      </c>
      <c r="S419">
        <v>9</v>
      </c>
      <c r="T419" t="s">
        <v>40</v>
      </c>
      <c r="U419" t="s">
        <v>70</v>
      </c>
      <c r="V419" t="s">
        <v>58</v>
      </c>
      <c r="W419" s="1">
        <v>45516</v>
      </c>
      <c r="X419" t="b">
        <v>1</v>
      </c>
      <c r="Y419" t="b">
        <v>0</v>
      </c>
      <c r="Z419" t="s">
        <v>72</v>
      </c>
      <c r="AA419" t="s">
        <v>60</v>
      </c>
      <c r="AB419">
        <v>6</v>
      </c>
    </row>
    <row r="420" spans="1:28">
      <c r="A420" t="s">
        <v>1041</v>
      </c>
      <c r="B420">
        <v>36</v>
      </c>
      <c r="C420" t="s">
        <v>50</v>
      </c>
      <c r="D420" t="s">
        <v>34</v>
      </c>
      <c r="E420" t="s">
        <v>92</v>
      </c>
      <c r="F420" t="s">
        <v>66</v>
      </c>
      <c r="G420" t="s">
        <v>51</v>
      </c>
      <c r="H420" t="s">
        <v>1042</v>
      </c>
      <c r="I420" t="s">
        <v>229</v>
      </c>
      <c r="J420" s="2">
        <v>96.52</v>
      </c>
      <c r="K420">
        <v>11</v>
      </c>
      <c r="L420" t="s">
        <v>55</v>
      </c>
      <c r="M420">
        <v>5</v>
      </c>
      <c r="N420">
        <v>3</v>
      </c>
      <c r="O420">
        <v>2</v>
      </c>
      <c r="P420" t="s">
        <v>69</v>
      </c>
      <c r="Q420" t="s">
        <v>57</v>
      </c>
      <c r="R420">
        <v>1</v>
      </c>
      <c r="S420">
        <v>3</v>
      </c>
      <c r="T420" t="s">
        <v>40</v>
      </c>
      <c r="U420" t="s">
        <v>42</v>
      </c>
      <c r="V420" t="s">
        <v>102</v>
      </c>
      <c r="W420" s="1">
        <v>45368</v>
      </c>
      <c r="X420" t="b">
        <v>0</v>
      </c>
      <c r="Y420" t="b">
        <v>0</v>
      </c>
      <c r="Z420" t="s">
        <v>89</v>
      </c>
      <c r="AA420" t="s">
        <v>60</v>
      </c>
      <c r="AB420">
        <v>11</v>
      </c>
    </row>
    <row r="421" spans="1:28">
      <c r="A421" t="s">
        <v>1043</v>
      </c>
      <c r="B421">
        <v>34</v>
      </c>
      <c r="C421" t="s">
        <v>50</v>
      </c>
      <c r="D421" t="s">
        <v>51</v>
      </c>
      <c r="E421" t="s">
        <v>35</v>
      </c>
      <c r="F421" t="s">
        <v>52</v>
      </c>
      <c r="G421" t="s">
        <v>34</v>
      </c>
      <c r="H421" t="s">
        <v>1044</v>
      </c>
      <c r="I421" t="s">
        <v>112</v>
      </c>
      <c r="J421" s="2">
        <v>65.45</v>
      </c>
      <c r="K421">
        <v>6</v>
      </c>
      <c r="L421" t="s">
        <v>55</v>
      </c>
      <c r="M421">
        <v>2</v>
      </c>
      <c r="N421">
        <v>4</v>
      </c>
      <c r="O421">
        <v>1</v>
      </c>
      <c r="P421" t="s">
        <v>51</v>
      </c>
      <c r="Q421" t="s">
        <v>101</v>
      </c>
      <c r="R421">
        <v>0</v>
      </c>
      <c r="S421">
        <v>2</v>
      </c>
      <c r="T421" t="s">
        <v>56</v>
      </c>
      <c r="U421" t="s">
        <v>70</v>
      </c>
      <c r="V421" t="s">
        <v>43</v>
      </c>
      <c r="W421" s="1">
        <v>45556</v>
      </c>
      <c r="X421" t="b">
        <v>1</v>
      </c>
      <c r="Y421" t="b">
        <v>1</v>
      </c>
      <c r="Z421" t="s">
        <v>72</v>
      </c>
      <c r="AA421" t="s">
        <v>45</v>
      </c>
      <c r="AB421">
        <v>3</v>
      </c>
    </row>
    <row r="422" spans="1:28">
      <c r="A422" t="s">
        <v>1045</v>
      </c>
      <c r="B422">
        <v>23</v>
      </c>
      <c r="C422" t="s">
        <v>50</v>
      </c>
      <c r="D422" t="s">
        <v>34</v>
      </c>
      <c r="E422" t="s">
        <v>65</v>
      </c>
      <c r="F422" t="s">
        <v>52</v>
      </c>
      <c r="G422" t="s">
        <v>34</v>
      </c>
      <c r="H422" t="s">
        <v>1046</v>
      </c>
      <c r="I422" t="s">
        <v>131</v>
      </c>
      <c r="J422" s="2">
        <v>255.86</v>
      </c>
      <c r="K422">
        <v>3</v>
      </c>
      <c r="L422" t="s">
        <v>94</v>
      </c>
      <c r="M422">
        <v>4</v>
      </c>
      <c r="N422">
        <v>5</v>
      </c>
      <c r="O422">
        <v>2</v>
      </c>
      <c r="P422" t="s">
        <v>51</v>
      </c>
      <c r="Q422" t="s">
        <v>101</v>
      </c>
      <c r="R422">
        <v>0</v>
      </c>
      <c r="S422">
        <v>1</v>
      </c>
      <c r="T422" t="s">
        <v>69</v>
      </c>
      <c r="U422" t="s">
        <v>42</v>
      </c>
      <c r="V422" t="s">
        <v>58</v>
      </c>
      <c r="W422" s="1">
        <v>45376</v>
      </c>
      <c r="X422" t="b">
        <v>1</v>
      </c>
      <c r="Y422" t="b">
        <v>0</v>
      </c>
      <c r="Z422" t="s">
        <v>89</v>
      </c>
      <c r="AA422" t="s">
        <v>45</v>
      </c>
      <c r="AB422">
        <v>4</v>
      </c>
    </row>
    <row r="423" spans="1:28">
      <c r="A423" t="s">
        <v>1047</v>
      </c>
      <c r="B423">
        <v>35</v>
      </c>
      <c r="C423" t="s">
        <v>50</v>
      </c>
      <c r="D423" t="s">
        <v>51</v>
      </c>
      <c r="E423" t="s">
        <v>92</v>
      </c>
      <c r="F423" t="s">
        <v>36</v>
      </c>
      <c r="G423" t="s">
        <v>51</v>
      </c>
      <c r="H423" t="s">
        <v>1048</v>
      </c>
      <c r="I423" t="s">
        <v>84</v>
      </c>
      <c r="J423" s="2">
        <v>74.69</v>
      </c>
      <c r="K423">
        <v>10</v>
      </c>
      <c r="L423" t="s">
        <v>55</v>
      </c>
      <c r="M423">
        <v>5</v>
      </c>
      <c r="N423">
        <v>3</v>
      </c>
      <c r="O423">
        <v>1</v>
      </c>
      <c r="P423" t="s">
        <v>69</v>
      </c>
      <c r="Q423" t="s">
        <v>41</v>
      </c>
      <c r="R423">
        <v>0</v>
      </c>
      <c r="S423">
        <v>6</v>
      </c>
      <c r="T423" t="s">
        <v>56</v>
      </c>
      <c r="U423" t="s">
        <v>95</v>
      </c>
      <c r="V423" t="s">
        <v>58</v>
      </c>
      <c r="W423" s="1">
        <v>45608</v>
      </c>
      <c r="X423" t="b">
        <v>0</v>
      </c>
      <c r="Y423" t="b">
        <v>1</v>
      </c>
      <c r="Z423" t="s">
        <v>44</v>
      </c>
      <c r="AA423" t="s">
        <v>45</v>
      </c>
      <c r="AB423">
        <v>3</v>
      </c>
    </row>
    <row r="424" spans="1:28">
      <c r="A424" t="s">
        <v>1049</v>
      </c>
      <c r="B424">
        <v>45</v>
      </c>
      <c r="C424" t="s">
        <v>50</v>
      </c>
      <c r="D424" t="s">
        <v>34</v>
      </c>
      <c r="E424" t="s">
        <v>82</v>
      </c>
      <c r="F424" t="s">
        <v>66</v>
      </c>
      <c r="G424" t="s">
        <v>34</v>
      </c>
      <c r="H424" t="s">
        <v>1050</v>
      </c>
      <c r="I424" t="s">
        <v>75</v>
      </c>
      <c r="J424" s="2">
        <v>430.75</v>
      </c>
      <c r="K424">
        <v>8</v>
      </c>
      <c r="L424" t="s">
        <v>39</v>
      </c>
      <c r="M424">
        <v>3</v>
      </c>
      <c r="N424">
        <v>4</v>
      </c>
      <c r="O424">
        <v>2</v>
      </c>
      <c r="P424" t="s">
        <v>69</v>
      </c>
      <c r="Q424" t="s">
        <v>101</v>
      </c>
      <c r="R424">
        <v>1</v>
      </c>
      <c r="S424">
        <v>5</v>
      </c>
      <c r="T424" t="s">
        <v>40</v>
      </c>
      <c r="U424" t="s">
        <v>42</v>
      </c>
      <c r="V424" t="s">
        <v>102</v>
      </c>
      <c r="W424" s="1">
        <v>45388</v>
      </c>
      <c r="X424" t="b">
        <v>0</v>
      </c>
      <c r="Y424" t="b">
        <v>0</v>
      </c>
      <c r="Z424" t="s">
        <v>44</v>
      </c>
      <c r="AA424" t="s">
        <v>45</v>
      </c>
      <c r="AB424">
        <v>6</v>
      </c>
    </row>
    <row r="425" spans="1:28">
      <c r="A425" t="s">
        <v>1051</v>
      </c>
      <c r="B425">
        <v>38</v>
      </c>
      <c r="C425" t="s">
        <v>50</v>
      </c>
      <c r="D425" t="s">
        <v>51</v>
      </c>
      <c r="E425" t="s">
        <v>82</v>
      </c>
      <c r="F425" t="s">
        <v>66</v>
      </c>
      <c r="G425" t="s">
        <v>51</v>
      </c>
      <c r="H425" t="s">
        <v>1052</v>
      </c>
      <c r="I425" t="s">
        <v>150</v>
      </c>
      <c r="J425" s="2">
        <v>370.17</v>
      </c>
      <c r="K425">
        <v>2</v>
      </c>
      <c r="L425" t="s">
        <v>39</v>
      </c>
      <c r="M425">
        <v>5</v>
      </c>
      <c r="N425">
        <v>4</v>
      </c>
      <c r="O425">
        <v>2</v>
      </c>
      <c r="P425" t="s">
        <v>56</v>
      </c>
      <c r="Q425" t="s">
        <v>57</v>
      </c>
      <c r="R425">
        <v>1</v>
      </c>
      <c r="S425">
        <v>9</v>
      </c>
      <c r="T425" t="s">
        <v>69</v>
      </c>
      <c r="U425" t="s">
        <v>42</v>
      </c>
      <c r="V425" t="s">
        <v>102</v>
      </c>
      <c r="W425" s="1">
        <v>45619</v>
      </c>
      <c r="X425" t="b">
        <v>0</v>
      </c>
      <c r="Y425" t="b">
        <v>1</v>
      </c>
      <c r="Z425" t="s">
        <v>44</v>
      </c>
      <c r="AA425" t="s">
        <v>77</v>
      </c>
      <c r="AB425">
        <v>1</v>
      </c>
    </row>
    <row r="426" spans="1:28">
      <c r="A426" t="s">
        <v>1053</v>
      </c>
      <c r="B426">
        <v>25</v>
      </c>
      <c r="C426" t="s">
        <v>50</v>
      </c>
      <c r="D426" t="s">
        <v>34</v>
      </c>
      <c r="E426" t="s">
        <v>92</v>
      </c>
      <c r="F426" t="s">
        <v>66</v>
      </c>
      <c r="G426" t="s">
        <v>51</v>
      </c>
      <c r="H426" t="s">
        <v>1054</v>
      </c>
      <c r="I426" t="s">
        <v>147</v>
      </c>
      <c r="J426" s="2">
        <v>384.26</v>
      </c>
      <c r="K426">
        <v>6</v>
      </c>
      <c r="L426" t="s">
        <v>39</v>
      </c>
      <c r="M426">
        <v>4</v>
      </c>
      <c r="N426">
        <v>2</v>
      </c>
      <c r="O426">
        <v>1</v>
      </c>
      <c r="P426" t="s">
        <v>51</v>
      </c>
      <c r="Q426" t="s">
        <v>57</v>
      </c>
      <c r="R426">
        <v>0</v>
      </c>
      <c r="S426">
        <v>9</v>
      </c>
      <c r="T426" t="s">
        <v>56</v>
      </c>
      <c r="U426" t="s">
        <v>70</v>
      </c>
      <c r="V426" t="s">
        <v>58</v>
      </c>
      <c r="W426" s="1">
        <v>45484</v>
      </c>
      <c r="X426" t="b">
        <v>0</v>
      </c>
      <c r="Y426" t="b">
        <v>1</v>
      </c>
      <c r="Z426" t="s">
        <v>44</v>
      </c>
      <c r="AA426" t="s">
        <v>45</v>
      </c>
      <c r="AB426">
        <v>11</v>
      </c>
    </row>
    <row r="427" spans="1:28">
      <c r="A427" t="s">
        <v>1055</v>
      </c>
      <c r="B427">
        <v>26</v>
      </c>
      <c r="C427" t="s">
        <v>50</v>
      </c>
      <c r="D427" t="s">
        <v>34</v>
      </c>
      <c r="E427" t="s">
        <v>35</v>
      </c>
      <c r="F427" t="s">
        <v>66</v>
      </c>
      <c r="G427" t="s">
        <v>34</v>
      </c>
      <c r="H427" t="s">
        <v>2323</v>
      </c>
      <c r="I427" t="s">
        <v>75</v>
      </c>
      <c r="J427" s="2">
        <v>128.01</v>
      </c>
      <c r="K427">
        <v>2</v>
      </c>
      <c r="L427" t="s">
        <v>39</v>
      </c>
      <c r="M427">
        <v>4</v>
      </c>
      <c r="N427">
        <v>2</v>
      </c>
      <c r="O427">
        <v>1</v>
      </c>
      <c r="P427" t="s">
        <v>56</v>
      </c>
      <c r="Q427" t="s">
        <v>41</v>
      </c>
      <c r="R427">
        <v>0</v>
      </c>
      <c r="S427">
        <v>1</v>
      </c>
      <c r="T427" t="s">
        <v>51</v>
      </c>
      <c r="U427" t="s">
        <v>70</v>
      </c>
      <c r="V427" t="s">
        <v>71</v>
      </c>
      <c r="W427" s="1">
        <v>45399</v>
      </c>
      <c r="X427" t="b">
        <v>1</v>
      </c>
      <c r="Y427" t="b">
        <v>0</v>
      </c>
      <c r="Z427" t="s">
        <v>44</v>
      </c>
      <c r="AA427" t="s">
        <v>45</v>
      </c>
      <c r="AB427">
        <v>10</v>
      </c>
    </row>
    <row r="428" spans="1:28">
      <c r="A428" t="s">
        <v>1057</v>
      </c>
      <c r="B428">
        <v>46</v>
      </c>
      <c r="C428" t="s">
        <v>33</v>
      </c>
      <c r="D428" t="s">
        <v>51</v>
      </c>
      <c r="E428" t="s">
        <v>35</v>
      </c>
      <c r="F428" t="s">
        <v>52</v>
      </c>
      <c r="G428" t="s">
        <v>51</v>
      </c>
      <c r="H428" t="s">
        <v>1058</v>
      </c>
      <c r="I428" t="s">
        <v>123</v>
      </c>
      <c r="J428" s="2">
        <v>301.39999999999998</v>
      </c>
      <c r="K428">
        <v>4</v>
      </c>
      <c r="L428" t="s">
        <v>94</v>
      </c>
      <c r="M428">
        <v>5</v>
      </c>
      <c r="N428">
        <v>3</v>
      </c>
      <c r="O428">
        <v>0</v>
      </c>
      <c r="P428" t="s">
        <v>56</v>
      </c>
      <c r="Q428" t="s">
        <v>41</v>
      </c>
      <c r="R428">
        <v>0</v>
      </c>
      <c r="S428">
        <v>5</v>
      </c>
      <c r="T428" t="s">
        <v>40</v>
      </c>
      <c r="U428" t="s">
        <v>95</v>
      </c>
      <c r="V428" t="s">
        <v>71</v>
      </c>
      <c r="W428" s="1">
        <v>45549</v>
      </c>
      <c r="X428" t="b">
        <v>0</v>
      </c>
      <c r="Y428" t="b">
        <v>1</v>
      </c>
      <c r="Z428" t="s">
        <v>89</v>
      </c>
      <c r="AA428" t="s">
        <v>60</v>
      </c>
      <c r="AB428">
        <v>5</v>
      </c>
    </row>
    <row r="429" spans="1:28">
      <c r="A429" t="s">
        <v>1059</v>
      </c>
      <c r="B429">
        <v>18</v>
      </c>
      <c r="C429" t="s">
        <v>33</v>
      </c>
      <c r="D429" t="s">
        <v>51</v>
      </c>
      <c r="E429" t="s">
        <v>65</v>
      </c>
      <c r="F429" t="s">
        <v>52</v>
      </c>
      <c r="G429" t="s">
        <v>51</v>
      </c>
      <c r="H429" t="s">
        <v>1060</v>
      </c>
      <c r="I429" t="s">
        <v>180</v>
      </c>
      <c r="J429" s="2">
        <v>397.25</v>
      </c>
      <c r="K429">
        <v>6</v>
      </c>
      <c r="L429" t="s">
        <v>39</v>
      </c>
      <c r="M429">
        <v>5</v>
      </c>
      <c r="N429">
        <v>2</v>
      </c>
      <c r="O429">
        <v>1</v>
      </c>
      <c r="P429" t="s">
        <v>69</v>
      </c>
      <c r="Q429" t="s">
        <v>57</v>
      </c>
      <c r="R429">
        <v>1</v>
      </c>
      <c r="S429">
        <v>10</v>
      </c>
      <c r="T429" t="s">
        <v>40</v>
      </c>
      <c r="U429" t="s">
        <v>95</v>
      </c>
      <c r="V429" t="s">
        <v>102</v>
      </c>
      <c r="W429" s="1">
        <v>45512</v>
      </c>
      <c r="X429" t="b">
        <v>0</v>
      </c>
      <c r="Y429" t="b">
        <v>1</v>
      </c>
      <c r="Z429" t="s">
        <v>59</v>
      </c>
      <c r="AA429" t="s">
        <v>45</v>
      </c>
      <c r="AB429">
        <v>2</v>
      </c>
    </row>
    <row r="430" spans="1:28">
      <c r="A430" t="s">
        <v>1061</v>
      </c>
      <c r="B430">
        <v>46</v>
      </c>
      <c r="C430" t="s">
        <v>50</v>
      </c>
      <c r="D430" t="s">
        <v>34</v>
      </c>
      <c r="E430" t="s">
        <v>92</v>
      </c>
      <c r="F430" t="s">
        <v>52</v>
      </c>
      <c r="G430" t="s">
        <v>34</v>
      </c>
      <c r="H430" t="s">
        <v>1062</v>
      </c>
      <c r="I430" t="s">
        <v>38</v>
      </c>
      <c r="J430" s="2">
        <v>96.18</v>
      </c>
      <c r="K430">
        <v>3</v>
      </c>
      <c r="L430" t="s">
        <v>39</v>
      </c>
      <c r="M430">
        <v>3</v>
      </c>
      <c r="N430">
        <v>4</v>
      </c>
      <c r="O430">
        <v>0</v>
      </c>
      <c r="P430" t="s">
        <v>40</v>
      </c>
      <c r="Q430" t="s">
        <v>41</v>
      </c>
      <c r="R430">
        <v>1</v>
      </c>
      <c r="S430">
        <v>9</v>
      </c>
      <c r="T430" t="s">
        <v>56</v>
      </c>
      <c r="U430" t="s">
        <v>70</v>
      </c>
      <c r="V430" t="s">
        <v>102</v>
      </c>
      <c r="W430" s="1">
        <v>45417</v>
      </c>
      <c r="X430" t="b">
        <v>0</v>
      </c>
      <c r="Y430" t="b">
        <v>0</v>
      </c>
      <c r="Z430" t="s">
        <v>89</v>
      </c>
      <c r="AA430" t="s">
        <v>77</v>
      </c>
      <c r="AB430">
        <v>10</v>
      </c>
    </row>
    <row r="431" spans="1:28">
      <c r="A431" t="s">
        <v>1063</v>
      </c>
      <c r="B431">
        <v>19</v>
      </c>
      <c r="C431" t="s">
        <v>33</v>
      </c>
      <c r="D431" t="s">
        <v>51</v>
      </c>
      <c r="E431" t="s">
        <v>92</v>
      </c>
      <c r="F431" t="s">
        <v>36</v>
      </c>
      <c r="G431" t="s">
        <v>51</v>
      </c>
      <c r="H431" t="s">
        <v>1064</v>
      </c>
      <c r="I431" t="s">
        <v>153</v>
      </c>
      <c r="J431" s="2">
        <v>390.44</v>
      </c>
      <c r="K431">
        <v>4</v>
      </c>
      <c r="L431" t="s">
        <v>39</v>
      </c>
      <c r="M431">
        <v>5</v>
      </c>
      <c r="N431">
        <v>1</v>
      </c>
      <c r="O431">
        <v>0</v>
      </c>
      <c r="P431" t="s">
        <v>56</v>
      </c>
      <c r="Q431" t="s">
        <v>101</v>
      </c>
      <c r="R431">
        <v>0</v>
      </c>
      <c r="S431">
        <v>4</v>
      </c>
      <c r="T431" t="s">
        <v>51</v>
      </c>
      <c r="U431" t="s">
        <v>95</v>
      </c>
      <c r="V431" t="s">
        <v>76</v>
      </c>
      <c r="W431" s="1">
        <v>45337</v>
      </c>
      <c r="X431" t="b">
        <v>1</v>
      </c>
      <c r="Y431" t="b">
        <v>0</v>
      </c>
      <c r="Z431" t="s">
        <v>44</v>
      </c>
      <c r="AA431" t="s">
        <v>60</v>
      </c>
      <c r="AB431">
        <v>4</v>
      </c>
    </row>
    <row r="432" spans="1:28">
      <c r="A432" t="s">
        <v>1065</v>
      </c>
      <c r="B432">
        <v>37</v>
      </c>
      <c r="C432" t="s">
        <v>33</v>
      </c>
      <c r="D432" t="s">
        <v>34</v>
      </c>
      <c r="E432" t="s">
        <v>65</v>
      </c>
      <c r="F432" t="s">
        <v>36</v>
      </c>
      <c r="G432" t="s">
        <v>34</v>
      </c>
      <c r="H432" t="s">
        <v>1066</v>
      </c>
      <c r="I432" t="s">
        <v>131</v>
      </c>
      <c r="J432" s="2">
        <v>61.5</v>
      </c>
      <c r="K432">
        <v>11</v>
      </c>
      <c r="L432" t="s">
        <v>39</v>
      </c>
      <c r="M432">
        <v>4</v>
      </c>
      <c r="N432">
        <v>2</v>
      </c>
      <c r="O432">
        <v>0</v>
      </c>
      <c r="P432" t="s">
        <v>56</v>
      </c>
      <c r="Q432" t="s">
        <v>101</v>
      </c>
      <c r="R432">
        <v>0</v>
      </c>
      <c r="S432">
        <v>1</v>
      </c>
      <c r="T432" t="s">
        <v>51</v>
      </c>
      <c r="U432" t="s">
        <v>70</v>
      </c>
      <c r="V432" t="s">
        <v>76</v>
      </c>
      <c r="W432" s="1">
        <v>45317</v>
      </c>
      <c r="X432" t="b">
        <v>1</v>
      </c>
      <c r="Y432" t="b">
        <v>1</v>
      </c>
      <c r="Z432" t="s">
        <v>89</v>
      </c>
      <c r="AA432" t="s">
        <v>77</v>
      </c>
      <c r="AB432">
        <v>8</v>
      </c>
    </row>
    <row r="433" spans="1:28">
      <c r="A433" t="s">
        <v>1067</v>
      </c>
      <c r="B433">
        <v>35</v>
      </c>
      <c r="C433" t="s">
        <v>33</v>
      </c>
      <c r="D433" t="s">
        <v>34</v>
      </c>
      <c r="E433" t="s">
        <v>92</v>
      </c>
      <c r="F433" t="s">
        <v>52</v>
      </c>
      <c r="G433" t="s">
        <v>51</v>
      </c>
      <c r="H433" t="s">
        <v>2324</v>
      </c>
      <c r="I433" t="s">
        <v>68</v>
      </c>
      <c r="J433" s="2">
        <v>234.44</v>
      </c>
      <c r="K433">
        <v>6</v>
      </c>
      <c r="L433" t="s">
        <v>55</v>
      </c>
      <c r="M433">
        <v>3</v>
      </c>
      <c r="N433">
        <v>5</v>
      </c>
      <c r="O433">
        <v>2</v>
      </c>
      <c r="P433" t="s">
        <v>56</v>
      </c>
      <c r="Q433" t="s">
        <v>101</v>
      </c>
      <c r="R433">
        <v>0</v>
      </c>
      <c r="S433">
        <v>1</v>
      </c>
      <c r="T433" t="s">
        <v>51</v>
      </c>
      <c r="U433" t="s">
        <v>95</v>
      </c>
      <c r="V433" t="s">
        <v>76</v>
      </c>
      <c r="W433" s="1">
        <v>45435</v>
      </c>
      <c r="X433" t="b">
        <v>0</v>
      </c>
      <c r="Y433" t="b">
        <v>1</v>
      </c>
      <c r="Z433" t="s">
        <v>72</v>
      </c>
      <c r="AA433" t="s">
        <v>77</v>
      </c>
      <c r="AB433">
        <v>5</v>
      </c>
    </row>
    <row r="434" spans="1:28">
      <c r="A434" t="s">
        <v>1069</v>
      </c>
      <c r="B434">
        <v>43</v>
      </c>
      <c r="C434" t="s">
        <v>50</v>
      </c>
      <c r="D434" t="s">
        <v>34</v>
      </c>
      <c r="E434" t="s">
        <v>65</v>
      </c>
      <c r="F434" t="s">
        <v>66</v>
      </c>
      <c r="G434" t="s">
        <v>34</v>
      </c>
      <c r="H434" t="s">
        <v>1070</v>
      </c>
      <c r="I434" t="s">
        <v>156</v>
      </c>
      <c r="J434" s="2">
        <v>318.83999999999997</v>
      </c>
      <c r="K434">
        <v>6</v>
      </c>
      <c r="L434" t="s">
        <v>94</v>
      </c>
      <c r="M434">
        <v>1</v>
      </c>
      <c r="N434">
        <v>1</v>
      </c>
      <c r="O434">
        <v>2</v>
      </c>
      <c r="P434" t="s">
        <v>69</v>
      </c>
      <c r="Q434" t="s">
        <v>101</v>
      </c>
      <c r="R434">
        <v>0</v>
      </c>
      <c r="S434">
        <v>4</v>
      </c>
      <c r="T434" t="s">
        <v>51</v>
      </c>
      <c r="U434" t="s">
        <v>42</v>
      </c>
      <c r="V434" t="s">
        <v>76</v>
      </c>
      <c r="W434" s="1">
        <v>45402</v>
      </c>
      <c r="X434" t="b">
        <v>0</v>
      </c>
      <c r="Y434" t="b">
        <v>1</v>
      </c>
      <c r="Z434" t="s">
        <v>59</v>
      </c>
      <c r="AA434" t="s">
        <v>60</v>
      </c>
      <c r="AB434">
        <v>10</v>
      </c>
    </row>
    <row r="435" spans="1:28">
      <c r="A435" t="s">
        <v>1071</v>
      </c>
      <c r="B435">
        <v>28</v>
      </c>
      <c r="C435" t="s">
        <v>50</v>
      </c>
      <c r="D435" t="s">
        <v>34</v>
      </c>
      <c r="E435" t="s">
        <v>65</v>
      </c>
      <c r="F435" t="s">
        <v>66</v>
      </c>
      <c r="G435" t="s">
        <v>51</v>
      </c>
      <c r="H435" t="s">
        <v>1072</v>
      </c>
      <c r="I435" t="s">
        <v>156</v>
      </c>
      <c r="J435" s="2">
        <v>327.32</v>
      </c>
      <c r="K435">
        <v>6</v>
      </c>
      <c r="L435" t="s">
        <v>39</v>
      </c>
      <c r="M435">
        <v>4</v>
      </c>
      <c r="N435">
        <v>5</v>
      </c>
      <c r="O435">
        <v>0</v>
      </c>
      <c r="P435" t="s">
        <v>40</v>
      </c>
      <c r="Q435" t="s">
        <v>41</v>
      </c>
      <c r="R435">
        <v>0</v>
      </c>
      <c r="S435">
        <v>4</v>
      </c>
      <c r="T435" t="s">
        <v>51</v>
      </c>
      <c r="U435" t="s">
        <v>42</v>
      </c>
      <c r="V435" t="s">
        <v>76</v>
      </c>
      <c r="W435" s="1">
        <v>45452</v>
      </c>
      <c r="X435" t="b">
        <v>1</v>
      </c>
      <c r="Y435" t="b">
        <v>1</v>
      </c>
      <c r="Z435" t="s">
        <v>72</v>
      </c>
      <c r="AA435" t="s">
        <v>77</v>
      </c>
      <c r="AB435">
        <v>13</v>
      </c>
    </row>
    <row r="436" spans="1:28">
      <c r="A436" t="s">
        <v>1073</v>
      </c>
      <c r="B436">
        <v>25</v>
      </c>
      <c r="C436" t="s">
        <v>50</v>
      </c>
      <c r="D436" t="s">
        <v>34</v>
      </c>
      <c r="E436" t="s">
        <v>92</v>
      </c>
      <c r="F436" t="s">
        <v>66</v>
      </c>
      <c r="G436" t="s">
        <v>51</v>
      </c>
      <c r="H436" t="s">
        <v>1074</v>
      </c>
      <c r="I436" t="s">
        <v>98</v>
      </c>
      <c r="J436" s="2">
        <v>475.64</v>
      </c>
      <c r="K436">
        <v>3</v>
      </c>
      <c r="L436" t="s">
        <v>94</v>
      </c>
      <c r="M436">
        <v>3</v>
      </c>
      <c r="N436">
        <v>4</v>
      </c>
      <c r="O436">
        <v>1</v>
      </c>
      <c r="P436" t="s">
        <v>69</v>
      </c>
      <c r="Q436" t="s">
        <v>101</v>
      </c>
      <c r="R436">
        <v>1</v>
      </c>
      <c r="S436">
        <v>2</v>
      </c>
      <c r="T436" t="s">
        <v>56</v>
      </c>
      <c r="U436" t="s">
        <v>70</v>
      </c>
      <c r="V436" t="s">
        <v>58</v>
      </c>
      <c r="W436" s="1">
        <v>45337</v>
      </c>
      <c r="X436" t="b">
        <v>1</v>
      </c>
      <c r="Y436" t="b">
        <v>1</v>
      </c>
      <c r="Z436" t="s">
        <v>89</v>
      </c>
      <c r="AA436" t="s">
        <v>60</v>
      </c>
      <c r="AB436">
        <v>9</v>
      </c>
    </row>
    <row r="437" spans="1:28">
      <c r="A437" t="s">
        <v>1075</v>
      </c>
      <c r="B437">
        <v>47</v>
      </c>
      <c r="C437" t="s">
        <v>50</v>
      </c>
      <c r="D437" t="s">
        <v>51</v>
      </c>
      <c r="E437" t="s">
        <v>82</v>
      </c>
      <c r="F437" t="s">
        <v>66</v>
      </c>
      <c r="G437" t="s">
        <v>34</v>
      </c>
      <c r="H437" t="s">
        <v>1076</v>
      </c>
      <c r="I437" t="s">
        <v>135</v>
      </c>
      <c r="J437" s="2">
        <v>68.59</v>
      </c>
      <c r="K437">
        <v>9</v>
      </c>
      <c r="L437" t="s">
        <v>39</v>
      </c>
      <c r="M437">
        <v>3</v>
      </c>
      <c r="N437">
        <v>4</v>
      </c>
      <c r="O437">
        <v>0</v>
      </c>
      <c r="P437" t="s">
        <v>56</v>
      </c>
      <c r="Q437" t="s">
        <v>41</v>
      </c>
      <c r="R437">
        <v>2</v>
      </c>
      <c r="S437">
        <v>5</v>
      </c>
      <c r="T437" t="s">
        <v>40</v>
      </c>
      <c r="U437" t="s">
        <v>70</v>
      </c>
      <c r="V437" t="s">
        <v>58</v>
      </c>
      <c r="W437" s="1">
        <v>45400</v>
      </c>
      <c r="X437" t="b">
        <v>0</v>
      </c>
      <c r="Y437" t="b">
        <v>1</v>
      </c>
      <c r="Z437" t="s">
        <v>59</v>
      </c>
      <c r="AA437" t="s">
        <v>60</v>
      </c>
      <c r="AB437">
        <v>5</v>
      </c>
    </row>
    <row r="438" spans="1:28">
      <c r="A438" t="s">
        <v>1077</v>
      </c>
      <c r="B438">
        <v>45</v>
      </c>
      <c r="C438" t="s">
        <v>264</v>
      </c>
      <c r="D438" t="s">
        <v>34</v>
      </c>
      <c r="E438" t="s">
        <v>92</v>
      </c>
      <c r="F438" t="s">
        <v>36</v>
      </c>
      <c r="G438" t="s">
        <v>34</v>
      </c>
      <c r="H438" t="s">
        <v>1078</v>
      </c>
      <c r="I438" t="s">
        <v>131</v>
      </c>
      <c r="J438" s="2">
        <v>133.04</v>
      </c>
      <c r="K438">
        <v>12</v>
      </c>
      <c r="L438" t="s">
        <v>94</v>
      </c>
      <c r="M438">
        <v>1</v>
      </c>
      <c r="N438">
        <v>3</v>
      </c>
      <c r="O438">
        <v>2</v>
      </c>
      <c r="P438" t="s">
        <v>51</v>
      </c>
      <c r="Q438" t="s">
        <v>57</v>
      </c>
      <c r="R438">
        <v>2</v>
      </c>
      <c r="S438">
        <v>6</v>
      </c>
      <c r="T438" t="s">
        <v>40</v>
      </c>
      <c r="U438" t="s">
        <v>95</v>
      </c>
      <c r="V438" t="s">
        <v>102</v>
      </c>
      <c r="W438" s="1">
        <v>45480</v>
      </c>
      <c r="X438" t="b">
        <v>1</v>
      </c>
      <c r="Y438" t="b">
        <v>1</v>
      </c>
      <c r="Z438" t="s">
        <v>72</v>
      </c>
      <c r="AA438" t="s">
        <v>60</v>
      </c>
      <c r="AB438">
        <v>11</v>
      </c>
    </row>
    <row r="439" spans="1:28">
      <c r="A439" t="s">
        <v>1079</v>
      </c>
      <c r="B439">
        <v>24</v>
      </c>
      <c r="C439" t="s">
        <v>238</v>
      </c>
      <c r="D439" t="s">
        <v>51</v>
      </c>
      <c r="E439" t="s">
        <v>35</v>
      </c>
      <c r="F439" t="s">
        <v>52</v>
      </c>
      <c r="G439" t="s">
        <v>34</v>
      </c>
      <c r="H439" t="s">
        <v>1080</v>
      </c>
      <c r="I439" t="s">
        <v>123</v>
      </c>
      <c r="J439" s="2">
        <v>196.63</v>
      </c>
      <c r="K439">
        <v>9</v>
      </c>
      <c r="L439" t="s">
        <v>94</v>
      </c>
      <c r="M439">
        <v>4</v>
      </c>
      <c r="N439">
        <v>2</v>
      </c>
      <c r="O439">
        <v>2</v>
      </c>
      <c r="P439" t="s">
        <v>56</v>
      </c>
      <c r="Q439" t="s">
        <v>41</v>
      </c>
      <c r="R439">
        <v>1</v>
      </c>
      <c r="S439">
        <v>6</v>
      </c>
      <c r="T439" t="s">
        <v>69</v>
      </c>
      <c r="U439" t="s">
        <v>42</v>
      </c>
      <c r="V439" t="s">
        <v>76</v>
      </c>
      <c r="W439" s="1">
        <v>45641</v>
      </c>
      <c r="X439" t="b">
        <v>1</v>
      </c>
      <c r="Y439" t="b">
        <v>0</v>
      </c>
      <c r="Z439" t="s">
        <v>44</v>
      </c>
      <c r="AA439" t="s">
        <v>45</v>
      </c>
      <c r="AB439">
        <v>7</v>
      </c>
    </row>
    <row r="440" spans="1:28">
      <c r="A440" t="s">
        <v>1081</v>
      </c>
      <c r="B440">
        <v>30</v>
      </c>
      <c r="C440" t="s">
        <v>50</v>
      </c>
      <c r="D440" t="s">
        <v>34</v>
      </c>
      <c r="E440" t="s">
        <v>92</v>
      </c>
      <c r="F440" t="s">
        <v>36</v>
      </c>
      <c r="G440" t="s">
        <v>51</v>
      </c>
      <c r="H440" t="s">
        <v>1082</v>
      </c>
      <c r="I440" t="s">
        <v>75</v>
      </c>
      <c r="J440" s="2">
        <v>473.96</v>
      </c>
      <c r="K440">
        <v>12</v>
      </c>
      <c r="L440" t="s">
        <v>55</v>
      </c>
      <c r="M440">
        <v>2</v>
      </c>
      <c r="N440">
        <v>1</v>
      </c>
      <c r="O440">
        <v>1</v>
      </c>
      <c r="P440" t="s">
        <v>56</v>
      </c>
      <c r="Q440" t="s">
        <v>41</v>
      </c>
      <c r="R440">
        <v>2</v>
      </c>
      <c r="S440">
        <v>9</v>
      </c>
      <c r="T440" t="s">
        <v>40</v>
      </c>
      <c r="U440" t="s">
        <v>42</v>
      </c>
      <c r="V440" t="s">
        <v>58</v>
      </c>
      <c r="W440" s="1">
        <v>45501</v>
      </c>
      <c r="X440" t="b">
        <v>1</v>
      </c>
      <c r="Y440" t="b">
        <v>0</v>
      </c>
      <c r="Z440" t="s">
        <v>72</v>
      </c>
      <c r="AA440" t="s">
        <v>77</v>
      </c>
      <c r="AB440">
        <v>14</v>
      </c>
    </row>
    <row r="441" spans="1:28">
      <c r="A441" t="s">
        <v>1084</v>
      </c>
      <c r="B441">
        <v>24</v>
      </c>
      <c r="C441" t="s">
        <v>33</v>
      </c>
      <c r="D441" t="s">
        <v>51</v>
      </c>
      <c r="E441" t="s">
        <v>35</v>
      </c>
      <c r="F441" t="s">
        <v>52</v>
      </c>
      <c r="G441" t="s">
        <v>34</v>
      </c>
      <c r="H441" t="s">
        <v>1085</v>
      </c>
      <c r="I441" t="s">
        <v>123</v>
      </c>
      <c r="J441" s="2">
        <v>472.52</v>
      </c>
      <c r="K441">
        <v>8</v>
      </c>
      <c r="L441" t="s">
        <v>94</v>
      </c>
      <c r="M441">
        <v>2</v>
      </c>
      <c r="N441">
        <v>4</v>
      </c>
      <c r="O441">
        <v>0</v>
      </c>
      <c r="P441" t="s">
        <v>69</v>
      </c>
      <c r="Q441" t="s">
        <v>41</v>
      </c>
      <c r="R441">
        <v>2</v>
      </c>
      <c r="S441">
        <v>8</v>
      </c>
      <c r="T441" t="s">
        <v>56</v>
      </c>
      <c r="U441" t="s">
        <v>42</v>
      </c>
      <c r="V441" t="s">
        <v>102</v>
      </c>
      <c r="W441" s="1">
        <v>45315</v>
      </c>
      <c r="X441" t="b">
        <v>0</v>
      </c>
      <c r="Y441" t="b">
        <v>1</v>
      </c>
      <c r="Z441" t="s">
        <v>89</v>
      </c>
      <c r="AA441" t="s">
        <v>45</v>
      </c>
      <c r="AB441">
        <v>14</v>
      </c>
    </row>
    <row r="442" spans="1:28">
      <c r="A442" t="s">
        <v>1086</v>
      </c>
      <c r="B442">
        <v>27</v>
      </c>
      <c r="C442" t="s">
        <v>33</v>
      </c>
      <c r="D442" t="s">
        <v>34</v>
      </c>
      <c r="E442" t="s">
        <v>35</v>
      </c>
      <c r="F442" t="s">
        <v>36</v>
      </c>
      <c r="G442" t="s">
        <v>34</v>
      </c>
      <c r="H442" t="s">
        <v>1087</v>
      </c>
      <c r="I442" t="s">
        <v>153</v>
      </c>
      <c r="J442" s="2">
        <v>335.8</v>
      </c>
      <c r="K442">
        <v>9</v>
      </c>
      <c r="L442" t="s">
        <v>39</v>
      </c>
      <c r="M442">
        <v>3</v>
      </c>
      <c r="N442">
        <v>5</v>
      </c>
      <c r="O442">
        <v>1</v>
      </c>
      <c r="P442" t="s">
        <v>40</v>
      </c>
      <c r="Q442" t="s">
        <v>41</v>
      </c>
      <c r="R442">
        <v>2</v>
      </c>
      <c r="S442">
        <v>7</v>
      </c>
      <c r="T442" t="s">
        <v>69</v>
      </c>
      <c r="U442" t="s">
        <v>70</v>
      </c>
      <c r="V442" t="s">
        <v>71</v>
      </c>
      <c r="W442" s="1">
        <v>45332</v>
      </c>
      <c r="X442" t="b">
        <v>1</v>
      </c>
      <c r="Y442" t="b">
        <v>0</v>
      </c>
      <c r="Z442" t="s">
        <v>59</v>
      </c>
      <c r="AA442" t="s">
        <v>60</v>
      </c>
      <c r="AB442">
        <v>5</v>
      </c>
    </row>
    <row r="443" spans="1:28">
      <c r="A443" t="s">
        <v>1088</v>
      </c>
      <c r="B443">
        <v>25</v>
      </c>
      <c r="C443" t="s">
        <v>50</v>
      </c>
      <c r="D443" t="s">
        <v>34</v>
      </c>
      <c r="E443" t="s">
        <v>65</v>
      </c>
      <c r="F443" t="s">
        <v>52</v>
      </c>
      <c r="G443" t="s">
        <v>51</v>
      </c>
      <c r="H443" t="s">
        <v>1089</v>
      </c>
      <c r="I443" t="s">
        <v>123</v>
      </c>
      <c r="J443" s="2">
        <v>85.57</v>
      </c>
      <c r="K443">
        <v>12</v>
      </c>
      <c r="L443" t="s">
        <v>55</v>
      </c>
      <c r="M443">
        <v>2</v>
      </c>
      <c r="N443">
        <v>1</v>
      </c>
      <c r="O443">
        <v>1</v>
      </c>
      <c r="P443" t="s">
        <v>69</v>
      </c>
      <c r="Q443" t="s">
        <v>101</v>
      </c>
      <c r="R443">
        <v>2</v>
      </c>
      <c r="S443">
        <v>4</v>
      </c>
      <c r="T443" t="s">
        <v>56</v>
      </c>
      <c r="U443" t="s">
        <v>42</v>
      </c>
      <c r="V443" t="s">
        <v>71</v>
      </c>
      <c r="W443" s="1">
        <v>45535</v>
      </c>
      <c r="X443" t="b">
        <v>1</v>
      </c>
      <c r="Y443" t="b">
        <v>1</v>
      </c>
      <c r="Z443" t="s">
        <v>89</v>
      </c>
      <c r="AA443" t="s">
        <v>45</v>
      </c>
      <c r="AB443">
        <v>9</v>
      </c>
    </row>
    <row r="444" spans="1:28">
      <c r="A444" t="s">
        <v>1090</v>
      </c>
      <c r="B444">
        <v>44</v>
      </c>
      <c r="C444" t="s">
        <v>106</v>
      </c>
      <c r="D444" t="s">
        <v>34</v>
      </c>
      <c r="E444" t="s">
        <v>65</v>
      </c>
      <c r="F444" t="s">
        <v>66</v>
      </c>
      <c r="G444" t="s">
        <v>34</v>
      </c>
      <c r="H444" t="s">
        <v>2325</v>
      </c>
      <c r="I444" t="s">
        <v>235</v>
      </c>
      <c r="J444" s="2">
        <v>108.5</v>
      </c>
      <c r="K444">
        <v>11</v>
      </c>
      <c r="L444" t="s">
        <v>39</v>
      </c>
      <c r="M444">
        <v>5</v>
      </c>
      <c r="N444">
        <v>5</v>
      </c>
      <c r="O444">
        <v>0</v>
      </c>
      <c r="P444" t="s">
        <v>40</v>
      </c>
      <c r="Q444" t="s">
        <v>101</v>
      </c>
      <c r="R444">
        <v>1</v>
      </c>
      <c r="S444">
        <v>2</v>
      </c>
      <c r="T444" t="s">
        <v>56</v>
      </c>
      <c r="U444" t="s">
        <v>70</v>
      </c>
      <c r="V444" t="s">
        <v>58</v>
      </c>
      <c r="W444" s="1">
        <v>45489</v>
      </c>
      <c r="X444" t="b">
        <v>0</v>
      </c>
      <c r="Y444" t="b">
        <v>0</v>
      </c>
      <c r="Z444" t="s">
        <v>59</v>
      </c>
      <c r="AA444" t="s">
        <v>45</v>
      </c>
      <c r="AB444">
        <v>10</v>
      </c>
    </row>
    <row r="445" spans="1:28">
      <c r="A445" t="s">
        <v>1092</v>
      </c>
      <c r="B445">
        <v>26</v>
      </c>
      <c r="C445" t="s">
        <v>50</v>
      </c>
      <c r="D445" t="s">
        <v>34</v>
      </c>
      <c r="E445" t="s">
        <v>92</v>
      </c>
      <c r="F445" t="s">
        <v>36</v>
      </c>
      <c r="G445" t="s">
        <v>34</v>
      </c>
      <c r="H445" t="s">
        <v>1093</v>
      </c>
      <c r="I445" t="s">
        <v>54</v>
      </c>
      <c r="J445" s="2">
        <v>172.5</v>
      </c>
      <c r="K445">
        <v>8</v>
      </c>
      <c r="L445" t="s">
        <v>94</v>
      </c>
      <c r="M445">
        <v>1</v>
      </c>
      <c r="N445">
        <v>3</v>
      </c>
      <c r="O445">
        <v>0</v>
      </c>
      <c r="P445" t="s">
        <v>56</v>
      </c>
      <c r="Q445" t="s">
        <v>41</v>
      </c>
      <c r="R445">
        <v>0</v>
      </c>
      <c r="S445">
        <v>8</v>
      </c>
      <c r="T445" t="s">
        <v>69</v>
      </c>
      <c r="U445" t="s">
        <v>95</v>
      </c>
      <c r="V445" t="s">
        <v>43</v>
      </c>
      <c r="W445" s="1">
        <v>45492</v>
      </c>
      <c r="X445" t="b">
        <v>1</v>
      </c>
      <c r="Y445" t="b">
        <v>0</v>
      </c>
      <c r="Z445" t="s">
        <v>72</v>
      </c>
      <c r="AA445" t="s">
        <v>45</v>
      </c>
      <c r="AB445">
        <v>7</v>
      </c>
    </row>
    <row r="446" spans="1:28">
      <c r="A446" t="s">
        <v>1094</v>
      </c>
      <c r="B446">
        <v>18</v>
      </c>
      <c r="C446" t="s">
        <v>33</v>
      </c>
      <c r="D446" t="s">
        <v>51</v>
      </c>
      <c r="E446" t="s">
        <v>65</v>
      </c>
      <c r="F446" t="s">
        <v>52</v>
      </c>
      <c r="G446" t="s">
        <v>34</v>
      </c>
      <c r="H446" t="s">
        <v>1095</v>
      </c>
      <c r="I446" t="s">
        <v>147</v>
      </c>
      <c r="J446" s="2">
        <v>212.8</v>
      </c>
      <c r="K446">
        <v>6</v>
      </c>
      <c r="L446" t="s">
        <v>39</v>
      </c>
      <c r="M446">
        <v>3</v>
      </c>
      <c r="N446">
        <v>2</v>
      </c>
      <c r="O446">
        <v>2</v>
      </c>
      <c r="P446" t="s">
        <v>40</v>
      </c>
      <c r="Q446" t="s">
        <v>101</v>
      </c>
      <c r="R446">
        <v>1</v>
      </c>
      <c r="S446">
        <v>7</v>
      </c>
      <c r="T446" t="s">
        <v>51</v>
      </c>
      <c r="U446" t="s">
        <v>42</v>
      </c>
      <c r="V446" t="s">
        <v>43</v>
      </c>
      <c r="W446" s="1">
        <v>45429</v>
      </c>
      <c r="X446" t="b">
        <v>1</v>
      </c>
      <c r="Y446" t="b">
        <v>1</v>
      </c>
      <c r="Z446" t="s">
        <v>89</v>
      </c>
      <c r="AA446" t="s">
        <v>60</v>
      </c>
      <c r="AB446">
        <v>1</v>
      </c>
    </row>
    <row r="447" spans="1:28">
      <c r="A447" t="s">
        <v>1097</v>
      </c>
      <c r="B447">
        <v>47</v>
      </c>
      <c r="C447" t="s">
        <v>33</v>
      </c>
      <c r="D447" t="s">
        <v>34</v>
      </c>
      <c r="E447" t="s">
        <v>35</v>
      </c>
      <c r="F447" t="s">
        <v>36</v>
      </c>
      <c r="G447" t="s">
        <v>51</v>
      </c>
      <c r="H447" t="s">
        <v>1098</v>
      </c>
      <c r="I447" t="s">
        <v>153</v>
      </c>
      <c r="J447" s="2">
        <v>324.41000000000003</v>
      </c>
      <c r="K447">
        <v>7</v>
      </c>
      <c r="L447" t="s">
        <v>39</v>
      </c>
      <c r="M447">
        <v>4</v>
      </c>
      <c r="N447">
        <v>4</v>
      </c>
      <c r="O447">
        <v>1</v>
      </c>
      <c r="P447" t="s">
        <v>40</v>
      </c>
      <c r="Q447" t="s">
        <v>57</v>
      </c>
      <c r="R447">
        <v>0</v>
      </c>
      <c r="S447">
        <v>5</v>
      </c>
      <c r="T447" t="s">
        <v>56</v>
      </c>
      <c r="U447" t="s">
        <v>42</v>
      </c>
      <c r="V447" t="s">
        <v>71</v>
      </c>
      <c r="W447" s="1">
        <v>45411</v>
      </c>
      <c r="X447" t="b">
        <v>1</v>
      </c>
      <c r="Y447" t="b">
        <v>1</v>
      </c>
      <c r="Z447" t="s">
        <v>44</v>
      </c>
      <c r="AA447" t="s">
        <v>45</v>
      </c>
      <c r="AB447">
        <v>4</v>
      </c>
    </row>
    <row r="448" spans="1:28">
      <c r="A448" t="s">
        <v>1099</v>
      </c>
      <c r="B448">
        <v>36</v>
      </c>
      <c r="C448" t="s">
        <v>50</v>
      </c>
      <c r="D448" t="s">
        <v>51</v>
      </c>
      <c r="E448" t="s">
        <v>82</v>
      </c>
      <c r="F448" t="s">
        <v>52</v>
      </c>
      <c r="G448" t="s">
        <v>34</v>
      </c>
      <c r="H448" t="s">
        <v>1100</v>
      </c>
      <c r="I448" t="s">
        <v>242</v>
      </c>
      <c r="J448" s="2">
        <v>342.39</v>
      </c>
      <c r="K448">
        <v>8</v>
      </c>
      <c r="L448" t="s">
        <v>55</v>
      </c>
      <c r="M448">
        <v>1</v>
      </c>
      <c r="N448">
        <v>5</v>
      </c>
      <c r="O448">
        <v>2</v>
      </c>
      <c r="P448" t="s">
        <v>69</v>
      </c>
      <c r="Q448" t="s">
        <v>101</v>
      </c>
      <c r="R448">
        <v>2</v>
      </c>
      <c r="S448">
        <v>3</v>
      </c>
      <c r="T448" t="s">
        <v>51</v>
      </c>
      <c r="U448" t="s">
        <v>95</v>
      </c>
      <c r="V448" t="s">
        <v>76</v>
      </c>
      <c r="W448" s="1">
        <v>45295</v>
      </c>
      <c r="X448" t="b">
        <v>0</v>
      </c>
      <c r="Y448" t="b">
        <v>0</v>
      </c>
      <c r="Z448" t="s">
        <v>44</v>
      </c>
      <c r="AA448" t="s">
        <v>60</v>
      </c>
      <c r="AB448">
        <v>9</v>
      </c>
    </row>
    <row r="449" spans="1:28">
      <c r="A449" t="s">
        <v>1101</v>
      </c>
      <c r="B449">
        <v>23</v>
      </c>
      <c r="C449" t="s">
        <v>33</v>
      </c>
      <c r="D449" t="s">
        <v>51</v>
      </c>
      <c r="E449" t="s">
        <v>92</v>
      </c>
      <c r="F449" t="s">
        <v>36</v>
      </c>
      <c r="G449" t="s">
        <v>51</v>
      </c>
      <c r="H449" t="s">
        <v>1102</v>
      </c>
      <c r="I449" t="s">
        <v>131</v>
      </c>
      <c r="J449" s="2">
        <v>446.86</v>
      </c>
      <c r="K449">
        <v>9</v>
      </c>
      <c r="L449" t="s">
        <v>55</v>
      </c>
      <c r="M449">
        <v>2</v>
      </c>
      <c r="N449">
        <v>1</v>
      </c>
      <c r="O449">
        <v>2</v>
      </c>
      <c r="P449" t="s">
        <v>40</v>
      </c>
      <c r="Q449" t="s">
        <v>101</v>
      </c>
      <c r="R449">
        <v>0</v>
      </c>
      <c r="S449">
        <v>2</v>
      </c>
      <c r="T449" t="s">
        <v>56</v>
      </c>
      <c r="U449" t="s">
        <v>95</v>
      </c>
      <c r="V449" t="s">
        <v>58</v>
      </c>
      <c r="W449" s="1">
        <v>45603</v>
      </c>
      <c r="X449" t="b">
        <v>0</v>
      </c>
      <c r="Y449" t="b">
        <v>0</v>
      </c>
      <c r="Z449" t="s">
        <v>59</v>
      </c>
      <c r="AA449" t="s">
        <v>45</v>
      </c>
      <c r="AB449">
        <v>5</v>
      </c>
    </row>
    <row r="450" spans="1:28">
      <c r="A450" t="s">
        <v>1103</v>
      </c>
      <c r="B450">
        <v>49</v>
      </c>
      <c r="C450" t="s">
        <v>50</v>
      </c>
      <c r="D450" t="s">
        <v>51</v>
      </c>
      <c r="E450" t="s">
        <v>92</v>
      </c>
      <c r="F450" t="s">
        <v>66</v>
      </c>
      <c r="G450" t="s">
        <v>51</v>
      </c>
      <c r="H450" t="s">
        <v>1104</v>
      </c>
      <c r="I450" t="s">
        <v>147</v>
      </c>
      <c r="J450" s="2">
        <v>463.15</v>
      </c>
      <c r="K450">
        <v>3</v>
      </c>
      <c r="L450" t="s">
        <v>39</v>
      </c>
      <c r="M450">
        <v>1</v>
      </c>
      <c r="N450">
        <v>1</v>
      </c>
      <c r="O450">
        <v>1</v>
      </c>
      <c r="P450" t="s">
        <v>40</v>
      </c>
      <c r="Q450" t="s">
        <v>41</v>
      </c>
      <c r="R450">
        <v>1</v>
      </c>
      <c r="S450">
        <v>9</v>
      </c>
      <c r="T450" t="s">
        <v>51</v>
      </c>
      <c r="U450" t="s">
        <v>70</v>
      </c>
      <c r="V450" t="s">
        <v>71</v>
      </c>
      <c r="W450" s="1">
        <v>45407</v>
      </c>
      <c r="X450" t="b">
        <v>1</v>
      </c>
      <c r="Y450" t="b">
        <v>1</v>
      </c>
      <c r="Z450" t="s">
        <v>44</v>
      </c>
      <c r="AA450" t="s">
        <v>60</v>
      </c>
      <c r="AB450">
        <v>9</v>
      </c>
    </row>
    <row r="451" spans="1:28">
      <c r="A451" t="s">
        <v>1105</v>
      </c>
      <c r="B451">
        <v>27</v>
      </c>
      <c r="C451" t="s">
        <v>33</v>
      </c>
      <c r="D451" t="s">
        <v>51</v>
      </c>
      <c r="E451" t="s">
        <v>92</v>
      </c>
      <c r="F451" t="s">
        <v>36</v>
      </c>
      <c r="G451" t="s">
        <v>51</v>
      </c>
      <c r="H451" t="s">
        <v>1106</v>
      </c>
      <c r="I451" t="s">
        <v>199</v>
      </c>
      <c r="J451" s="2">
        <v>122.99</v>
      </c>
      <c r="K451">
        <v>12</v>
      </c>
      <c r="L451" t="s">
        <v>55</v>
      </c>
      <c r="M451">
        <v>1</v>
      </c>
      <c r="N451">
        <v>5</v>
      </c>
      <c r="O451">
        <v>1</v>
      </c>
      <c r="P451" t="s">
        <v>51</v>
      </c>
      <c r="Q451" t="s">
        <v>101</v>
      </c>
      <c r="R451">
        <v>1</v>
      </c>
      <c r="S451">
        <v>8</v>
      </c>
      <c r="T451" t="s">
        <v>40</v>
      </c>
      <c r="U451" t="s">
        <v>95</v>
      </c>
      <c r="V451" t="s">
        <v>102</v>
      </c>
      <c r="W451" s="1">
        <v>45568</v>
      </c>
      <c r="X451" t="b">
        <v>1</v>
      </c>
      <c r="Y451" t="b">
        <v>0</v>
      </c>
      <c r="Z451" t="s">
        <v>89</v>
      </c>
      <c r="AA451" t="s">
        <v>45</v>
      </c>
      <c r="AB451">
        <v>1</v>
      </c>
    </row>
    <row r="452" spans="1:28">
      <c r="A452" t="s">
        <v>1107</v>
      </c>
      <c r="B452">
        <v>43</v>
      </c>
      <c r="C452" t="s">
        <v>50</v>
      </c>
      <c r="D452" t="s">
        <v>51</v>
      </c>
      <c r="E452" t="s">
        <v>82</v>
      </c>
      <c r="F452" t="s">
        <v>66</v>
      </c>
      <c r="G452" t="s">
        <v>51</v>
      </c>
      <c r="H452" t="s">
        <v>1108</v>
      </c>
      <c r="I452" t="s">
        <v>235</v>
      </c>
      <c r="J452" s="2">
        <v>322.39999999999998</v>
      </c>
      <c r="K452">
        <v>7</v>
      </c>
      <c r="L452" t="s">
        <v>39</v>
      </c>
      <c r="M452">
        <v>4</v>
      </c>
      <c r="N452">
        <v>2</v>
      </c>
      <c r="O452">
        <v>1</v>
      </c>
      <c r="P452" t="s">
        <v>56</v>
      </c>
      <c r="Q452" t="s">
        <v>101</v>
      </c>
      <c r="R452">
        <v>2</v>
      </c>
      <c r="S452">
        <v>3</v>
      </c>
      <c r="T452" t="s">
        <v>56</v>
      </c>
      <c r="U452" t="s">
        <v>42</v>
      </c>
      <c r="V452" t="s">
        <v>102</v>
      </c>
      <c r="W452" s="1">
        <v>45511</v>
      </c>
      <c r="X452" t="b">
        <v>1</v>
      </c>
      <c r="Y452" t="b">
        <v>1</v>
      </c>
      <c r="Z452" t="s">
        <v>44</v>
      </c>
      <c r="AA452" t="s">
        <v>77</v>
      </c>
      <c r="AB452">
        <v>2</v>
      </c>
    </row>
    <row r="453" spans="1:28">
      <c r="A453" t="s">
        <v>1110</v>
      </c>
      <c r="B453">
        <v>19</v>
      </c>
      <c r="C453" t="s">
        <v>33</v>
      </c>
      <c r="D453" t="s">
        <v>51</v>
      </c>
      <c r="E453" t="s">
        <v>35</v>
      </c>
      <c r="F453" t="s">
        <v>52</v>
      </c>
      <c r="G453" t="s">
        <v>34</v>
      </c>
      <c r="H453" t="s">
        <v>1111</v>
      </c>
      <c r="I453" t="s">
        <v>131</v>
      </c>
      <c r="J453" s="2">
        <v>73.19</v>
      </c>
      <c r="K453">
        <v>5</v>
      </c>
      <c r="L453" t="s">
        <v>39</v>
      </c>
      <c r="M453">
        <v>2</v>
      </c>
      <c r="N453">
        <v>5</v>
      </c>
      <c r="O453">
        <v>1</v>
      </c>
      <c r="P453" t="s">
        <v>69</v>
      </c>
      <c r="Q453" t="s">
        <v>57</v>
      </c>
      <c r="R453">
        <v>2</v>
      </c>
      <c r="S453">
        <v>8</v>
      </c>
      <c r="T453" t="s">
        <v>51</v>
      </c>
      <c r="U453" t="s">
        <v>70</v>
      </c>
      <c r="V453" t="s">
        <v>58</v>
      </c>
      <c r="W453" s="1">
        <v>45393</v>
      </c>
      <c r="X453" t="b">
        <v>0</v>
      </c>
      <c r="Y453" t="b">
        <v>1</v>
      </c>
      <c r="Z453" t="s">
        <v>44</v>
      </c>
      <c r="AA453" t="s">
        <v>45</v>
      </c>
      <c r="AB453">
        <v>3</v>
      </c>
    </row>
    <row r="454" spans="1:28">
      <c r="A454" t="s">
        <v>1112</v>
      </c>
      <c r="B454">
        <v>41</v>
      </c>
      <c r="C454" t="s">
        <v>33</v>
      </c>
      <c r="D454" t="s">
        <v>34</v>
      </c>
      <c r="E454" t="s">
        <v>35</v>
      </c>
      <c r="F454" t="s">
        <v>66</v>
      </c>
      <c r="G454" t="s">
        <v>51</v>
      </c>
      <c r="H454" t="s">
        <v>2315</v>
      </c>
      <c r="I454" t="s">
        <v>156</v>
      </c>
      <c r="J454" s="2">
        <v>279.08</v>
      </c>
      <c r="K454">
        <v>10</v>
      </c>
      <c r="L454" t="s">
        <v>94</v>
      </c>
      <c r="M454">
        <v>4</v>
      </c>
      <c r="N454">
        <v>2</v>
      </c>
      <c r="O454">
        <v>1</v>
      </c>
      <c r="P454" t="s">
        <v>51</v>
      </c>
      <c r="Q454" t="s">
        <v>57</v>
      </c>
      <c r="R454">
        <v>2</v>
      </c>
      <c r="S454">
        <v>7</v>
      </c>
      <c r="T454" t="s">
        <v>56</v>
      </c>
      <c r="U454" t="s">
        <v>70</v>
      </c>
      <c r="V454" t="s">
        <v>43</v>
      </c>
      <c r="W454" s="1">
        <v>45407</v>
      </c>
      <c r="X454" t="b">
        <v>0</v>
      </c>
      <c r="Y454" t="b">
        <v>1</v>
      </c>
      <c r="Z454" t="s">
        <v>59</v>
      </c>
      <c r="AA454" t="s">
        <v>45</v>
      </c>
      <c r="AB454">
        <v>3</v>
      </c>
    </row>
    <row r="455" spans="1:28">
      <c r="A455" t="s">
        <v>1113</v>
      </c>
      <c r="B455">
        <v>29</v>
      </c>
      <c r="C455" t="s">
        <v>33</v>
      </c>
      <c r="D455" t="s">
        <v>34</v>
      </c>
      <c r="E455" t="s">
        <v>65</v>
      </c>
      <c r="F455" t="s">
        <v>52</v>
      </c>
      <c r="G455" t="s">
        <v>34</v>
      </c>
      <c r="H455" t="s">
        <v>2326</v>
      </c>
      <c r="I455" t="s">
        <v>242</v>
      </c>
      <c r="J455" s="2">
        <v>478.85</v>
      </c>
      <c r="K455">
        <v>10</v>
      </c>
      <c r="L455" t="s">
        <v>55</v>
      </c>
      <c r="M455">
        <v>4</v>
      </c>
      <c r="N455">
        <v>2</v>
      </c>
      <c r="O455">
        <v>2</v>
      </c>
      <c r="P455" t="s">
        <v>40</v>
      </c>
      <c r="Q455" t="s">
        <v>57</v>
      </c>
      <c r="R455">
        <v>2</v>
      </c>
      <c r="S455">
        <v>2</v>
      </c>
      <c r="T455" t="s">
        <v>40</v>
      </c>
      <c r="U455" t="s">
        <v>95</v>
      </c>
      <c r="V455" t="s">
        <v>102</v>
      </c>
      <c r="W455" s="1">
        <v>45410</v>
      </c>
      <c r="X455" t="b">
        <v>0</v>
      </c>
      <c r="Y455" t="b">
        <v>0</v>
      </c>
      <c r="Z455" t="s">
        <v>89</v>
      </c>
      <c r="AA455" t="s">
        <v>45</v>
      </c>
      <c r="AB455">
        <v>4</v>
      </c>
    </row>
    <row r="456" spans="1:28">
      <c r="A456" t="s">
        <v>1115</v>
      </c>
      <c r="B456">
        <v>25</v>
      </c>
      <c r="C456" t="s">
        <v>50</v>
      </c>
      <c r="D456" t="s">
        <v>51</v>
      </c>
      <c r="E456" t="s">
        <v>82</v>
      </c>
      <c r="F456" t="s">
        <v>66</v>
      </c>
      <c r="G456" t="s">
        <v>51</v>
      </c>
      <c r="H456" t="s">
        <v>1116</v>
      </c>
      <c r="I456" t="s">
        <v>54</v>
      </c>
      <c r="J456" s="2">
        <v>86.39</v>
      </c>
      <c r="K456">
        <v>5</v>
      </c>
      <c r="L456" t="s">
        <v>39</v>
      </c>
      <c r="M456">
        <v>4</v>
      </c>
      <c r="N456">
        <v>5</v>
      </c>
      <c r="O456">
        <v>1</v>
      </c>
      <c r="P456" t="s">
        <v>51</v>
      </c>
      <c r="Q456" t="s">
        <v>41</v>
      </c>
      <c r="R456">
        <v>1</v>
      </c>
      <c r="S456">
        <v>1</v>
      </c>
      <c r="T456" t="s">
        <v>56</v>
      </c>
      <c r="U456" t="s">
        <v>95</v>
      </c>
      <c r="V456" t="s">
        <v>71</v>
      </c>
      <c r="W456" s="1">
        <v>45544</v>
      </c>
      <c r="X456" t="b">
        <v>0</v>
      </c>
      <c r="Y456" t="b">
        <v>0</v>
      </c>
      <c r="Z456" t="s">
        <v>44</v>
      </c>
      <c r="AA456" t="s">
        <v>60</v>
      </c>
      <c r="AB456">
        <v>7</v>
      </c>
    </row>
    <row r="457" spans="1:28">
      <c r="A457" t="s">
        <v>1117</v>
      </c>
      <c r="B457">
        <v>45</v>
      </c>
      <c r="C457" t="s">
        <v>50</v>
      </c>
      <c r="D457" t="s">
        <v>51</v>
      </c>
      <c r="E457" t="s">
        <v>82</v>
      </c>
      <c r="F457" t="s">
        <v>36</v>
      </c>
      <c r="G457" t="s">
        <v>34</v>
      </c>
      <c r="H457" t="s">
        <v>1118</v>
      </c>
      <c r="I457" t="s">
        <v>153</v>
      </c>
      <c r="J457" s="2">
        <v>192.35</v>
      </c>
      <c r="K457">
        <v>11</v>
      </c>
      <c r="L457" t="s">
        <v>39</v>
      </c>
      <c r="M457">
        <v>3</v>
      </c>
      <c r="N457">
        <v>5</v>
      </c>
      <c r="O457">
        <v>2</v>
      </c>
      <c r="P457" t="s">
        <v>51</v>
      </c>
      <c r="Q457" t="s">
        <v>57</v>
      </c>
      <c r="R457">
        <v>2</v>
      </c>
      <c r="S457">
        <v>1</v>
      </c>
      <c r="T457" t="s">
        <v>51</v>
      </c>
      <c r="U457" t="s">
        <v>70</v>
      </c>
      <c r="V457" t="s">
        <v>43</v>
      </c>
      <c r="W457" s="1">
        <v>45420</v>
      </c>
      <c r="X457" t="b">
        <v>1</v>
      </c>
      <c r="Y457" t="b">
        <v>0</v>
      </c>
      <c r="Z457" t="s">
        <v>72</v>
      </c>
      <c r="AA457" t="s">
        <v>77</v>
      </c>
      <c r="AB457">
        <v>11</v>
      </c>
    </row>
    <row r="458" spans="1:28">
      <c r="A458" t="s">
        <v>1119</v>
      </c>
      <c r="B458">
        <v>36</v>
      </c>
      <c r="C458" t="s">
        <v>33</v>
      </c>
      <c r="D458" t="s">
        <v>34</v>
      </c>
      <c r="E458" t="s">
        <v>92</v>
      </c>
      <c r="F458" t="s">
        <v>36</v>
      </c>
      <c r="G458" t="s">
        <v>51</v>
      </c>
      <c r="H458" t="s">
        <v>1120</v>
      </c>
      <c r="I458" t="s">
        <v>235</v>
      </c>
      <c r="J458" s="2">
        <v>235.32</v>
      </c>
      <c r="K458">
        <v>7</v>
      </c>
      <c r="L458" t="s">
        <v>94</v>
      </c>
      <c r="M458">
        <v>2</v>
      </c>
      <c r="N458">
        <v>1</v>
      </c>
      <c r="O458">
        <v>1</v>
      </c>
      <c r="P458" t="s">
        <v>56</v>
      </c>
      <c r="Q458" t="s">
        <v>101</v>
      </c>
      <c r="R458">
        <v>1</v>
      </c>
      <c r="S458">
        <v>10</v>
      </c>
      <c r="T458" t="s">
        <v>51</v>
      </c>
      <c r="U458" t="s">
        <v>95</v>
      </c>
      <c r="V458" t="s">
        <v>58</v>
      </c>
      <c r="W458" s="1">
        <v>45452</v>
      </c>
      <c r="X458" t="b">
        <v>0</v>
      </c>
      <c r="Y458" t="b">
        <v>1</v>
      </c>
      <c r="Z458" t="s">
        <v>72</v>
      </c>
      <c r="AA458" t="s">
        <v>77</v>
      </c>
      <c r="AB458">
        <v>11</v>
      </c>
    </row>
    <row r="459" spans="1:28">
      <c r="A459" t="s">
        <v>1121</v>
      </c>
      <c r="B459">
        <v>21</v>
      </c>
      <c r="C459" t="s">
        <v>33</v>
      </c>
      <c r="D459" t="s">
        <v>51</v>
      </c>
      <c r="E459" t="s">
        <v>82</v>
      </c>
      <c r="F459" t="s">
        <v>52</v>
      </c>
      <c r="G459" t="s">
        <v>51</v>
      </c>
      <c r="H459" t="s">
        <v>1122</v>
      </c>
      <c r="I459" t="s">
        <v>147</v>
      </c>
      <c r="J459" s="2">
        <v>212.63</v>
      </c>
      <c r="K459">
        <v>8</v>
      </c>
      <c r="L459" t="s">
        <v>94</v>
      </c>
      <c r="M459">
        <v>4</v>
      </c>
      <c r="N459">
        <v>2</v>
      </c>
      <c r="O459">
        <v>1</v>
      </c>
      <c r="P459" t="s">
        <v>69</v>
      </c>
      <c r="Q459" t="s">
        <v>101</v>
      </c>
      <c r="R459">
        <v>0</v>
      </c>
      <c r="S459">
        <v>4</v>
      </c>
      <c r="T459" t="s">
        <v>51</v>
      </c>
      <c r="U459" t="s">
        <v>95</v>
      </c>
      <c r="V459" t="s">
        <v>71</v>
      </c>
      <c r="W459" s="1">
        <v>45531</v>
      </c>
      <c r="X459" t="b">
        <v>0</v>
      </c>
      <c r="Y459" t="b">
        <v>1</v>
      </c>
      <c r="Z459" t="s">
        <v>44</v>
      </c>
      <c r="AA459" t="s">
        <v>45</v>
      </c>
      <c r="AB459">
        <v>6</v>
      </c>
    </row>
    <row r="460" spans="1:28">
      <c r="A460" t="s">
        <v>1123</v>
      </c>
      <c r="B460">
        <v>47</v>
      </c>
      <c r="C460" t="s">
        <v>33</v>
      </c>
      <c r="D460" t="s">
        <v>34</v>
      </c>
      <c r="E460" t="s">
        <v>82</v>
      </c>
      <c r="F460" t="s">
        <v>66</v>
      </c>
      <c r="G460" t="s">
        <v>51</v>
      </c>
      <c r="H460" t="s">
        <v>1124</v>
      </c>
      <c r="I460" t="s">
        <v>54</v>
      </c>
      <c r="J460" s="2">
        <v>246.63</v>
      </c>
      <c r="K460">
        <v>8</v>
      </c>
      <c r="L460" t="s">
        <v>55</v>
      </c>
      <c r="M460">
        <v>2</v>
      </c>
      <c r="N460">
        <v>3</v>
      </c>
      <c r="O460">
        <v>1</v>
      </c>
      <c r="P460" t="s">
        <v>40</v>
      </c>
      <c r="Q460" t="s">
        <v>41</v>
      </c>
      <c r="R460">
        <v>2</v>
      </c>
      <c r="S460">
        <v>3</v>
      </c>
      <c r="T460" t="s">
        <v>40</v>
      </c>
      <c r="U460" t="s">
        <v>42</v>
      </c>
      <c r="V460" t="s">
        <v>43</v>
      </c>
      <c r="W460" s="1">
        <v>45383</v>
      </c>
      <c r="X460" t="b">
        <v>1</v>
      </c>
      <c r="Y460" t="b">
        <v>0</v>
      </c>
      <c r="Z460" t="s">
        <v>72</v>
      </c>
      <c r="AA460" t="s">
        <v>77</v>
      </c>
      <c r="AB460">
        <v>10</v>
      </c>
    </row>
    <row r="461" spans="1:28">
      <c r="A461" t="s">
        <v>1125</v>
      </c>
      <c r="B461">
        <v>26</v>
      </c>
      <c r="C461" t="s">
        <v>33</v>
      </c>
      <c r="D461" t="s">
        <v>34</v>
      </c>
      <c r="E461" t="s">
        <v>82</v>
      </c>
      <c r="F461" t="s">
        <v>36</v>
      </c>
      <c r="G461" t="s">
        <v>51</v>
      </c>
      <c r="H461" t="s">
        <v>319</v>
      </c>
      <c r="I461" t="s">
        <v>156</v>
      </c>
      <c r="J461" s="2">
        <v>228.47</v>
      </c>
      <c r="K461">
        <v>9</v>
      </c>
      <c r="L461" t="s">
        <v>94</v>
      </c>
      <c r="M461">
        <v>3</v>
      </c>
      <c r="N461">
        <v>3</v>
      </c>
      <c r="O461">
        <v>1</v>
      </c>
      <c r="P461" t="s">
        <v>40</v>
      </c>
      <c r="Q461" t="s">
        <v>101</v>
      </c>
      <c r="R461">
        <v>1</v>
      </c>
      <c r="S461">
        <v>7</v>
      </c>
      <c r="T461" t="s">
        <v>40</v>
      </c>
      <c r="U461" t="s">
        <v>95</v>
      </c>
      <c r="V461" t="s">
        <v>43</v>
      </c>
      <c r="W461" s="1">
        <v>45533</v>
      </c>
      <c r="X461" t="b">
        <v>0</v>
      </c>
      <c r="Y461" t="b">
        <v>1</v>
      </c>
      <c r="Z461" t="s">
        <v>72</v>
      </c>
      <c r="AA461" t="s">
        <v>77</v>
      </c>
      <c r="AB461">
        <v>12</v>
      </c>
    </row>
    <row r="462" spans="1:28">
      <c r="A462" t="s">
        <v>1126</v>
      </c>
      <c r="B462">
        <v>25</v>
      </c>
      <c r="C462" t="s">
        <v>33</v>
      </c>
      <c r="D462" t="s">
        <v>34</v>
      </c>
      <c r="E462" t="s">
        <v>65</v>
      </c>
      <c r="F462" t="s">
        <v>66</v>
      </c>
      <c r="G462" t="s">
        <v>51</v>
      </c>
      <c r="H462" t="s">
        <v>2327</v>
      </c>
      <c r="I462" t="s">
        <v>38</v>
      </c>
      <c r="J462" s="2">
        <v>343.77</v>
      </c>
      <c r="K462">
        <v>6</v>
      </c>
      <c r="L462" t="s">
        <v>94</v>
      </c>
      <c r="M462">
        <v>4</v>
      </c>
      <c r="N462">
        <v>3</v>
      </c>
      <c r="O462">
        <v>2</v>
      </c>
      <c r="P462" t="s">
        <v>69</v>
      </c>
      <c r="Q462" t="s">
        <v>41</v>
      </c>
      <c r="R462">
        <v>2</v>
      </c>
      <c r="S462">
        <v>9</v>
      </c>
      <c r="T462" t="s">
        <v>51</v>
      </c>
      <c r="U462" t="s">
        <v>95</v>
      </c>
      <c r="V462" t="s">
        <v>102</v>
      </c>
      <c r="W462" s="1">
        <v>45553</v>
      </c>
      <c r="X462" t="b">
        <v>1</v>
      </c>
      <c r="Y462" t="b">
        <v>1</v>
      </c>
      <c r="Z462" t="s">
        <v>59</v>
      </c>
      <c r="AA462" t="s">
        <v>77</v>
      </c>
      <c r="AB462">
        <v>6</v>
      </c>
    </row>
    <row r="463" spans="1:28">
      <c r="A463" t="s">
        <v>1129</v>
      </c>
      <c r="B463">
        <v>26</v>
      </c>
      <c r="C463" t="s">
        <v>106</v>
      </c>
      <c r="D463" t="s">
        <v>34</v>
      </c>
      <c r="E463" t="s">
        <v>35</v>
      </c>
      <c r="F463" t="s">
        <v>36</v>
      </c>
      <c r="G463" t="s">
        <v>51</v>
      </c>
      <c r="H463" t="s">
        <v>2328</v>
      </c>
      <c r="I463" t="s">
        <v>199</v>
      </c>
      <c r="J463" s="2">
        <v>339.32</v>
      </c>
      <c r="K463">
        <v>9</v>
      </c>
      <c r="L463" t="s">
        <v>55</v>
      </c>
      <c r="M463">
        <v>2</v>
      </c>
      <c r="N463">
        <v>4</v>
      </c>
      <c r="O463">
        <v>0</v>
      </c>
      <c r="P463" t="s">
        <v>56</v>
      </c>
      <c r="Q463" t="s">
        <v>101</v>
      </c>
      <c r="R463">
        <v>1</v>
      </c>
      <c r="S463">
        <v>4</v>
      </c>
      <c r="T463" t="s">
        <v>51</v>
      </c>
      <c r="U463" t="s">
        <v>42</v>
      </c>
      <c r="V463" t="s">
        <v>76</v>
      </c>
      <c r="W463" s="1">
        <v>45540</v>
      </c>
      <c r="X463" t="b">
        <v>0</v>
      </c>
      <c r="Y463" t="b">
        <v>0</v>
      </c>
      <c r="Z463" t="s">
        <v>44</v>
      </c>
      <c r="AA463" t="s">
        <v>45</v>
      </c>
      <c r="AB463">
        <v>7</v>
      </c>
    </row>
    <row r="464" spans="1:28">
      <c r="A464" t="s">
        <v>1131</v>
      </c>
      <c r="B464">
        <v>34</v>
      </c>
      <c r="C464" t="s">
        <v>50</v>
      </c>
      <c r="D464" t="s">
        <v>51</v>
      </c>
      <c r="E464" t="s">
        <v>92</v>
      </c>
      <c r="F464" t="s">
        <v>36</v>
      </c>
      <c r="G464" t="s">
        <v>34</v>
      </c>
      <c r="H464" t="s">
        <v>1132</v>
      </c>
      <c r="I464" t="s">
        <v>229</v>
      </c>
      <c r="J464" s="2">
        <v>327.05</v>
      </c>
      <c r="K464">
        <v>9</v>
      </c>
      <c r="L464" t="s">
        <v>39</v>
      </c>
      <c r="M464">
        <v>5</v>
      </c>
      <c r="N464">
        <v>4</v>
      </c>
      <c r="O464">
        <v>0</v>
      </c>
      <c r="P464" t="s">
        <v>69</v>
      </c>
      <c r="Q464" t="s">
        <v>41</v>
      </c>
      <c r="R464">
        <v>2</v>
      </c>
      <c r="S464">
        <v>3</v>
      </c>
      <c r="T464" t="s">
        <v>51</v>
      </c>
      <c r="U464" t="s">
        <v>95</v>
      </c>
      <c r="V464" t="s">
        <v>102</v>
      </c>
      <c r="W464" s="1">
        <v>45510</v>
      </c>
      <c r="X464" t="b">
        <v>0</v>
      </c>
      <c r="Y464" t="b">
        <v>1</v>
      </c>
      <c r="Z464" t="s">
        <v>44</v>
      </c>
      <c r="AA464" t="s">
        <v>45</v>
      </c>
      <c r="AB464">
        <v>7</v>
      </c>
    </row>
    <row r="465" spans="1:28">
      <c r="A465" t="s">
        <v>1133</v>
      </c>
      <c r="B465">
        <v>48</v>
      </c>
      <c r="C465" t="s">
        <v>50</v>
      </c>
      <c r="D465" t="s">
        <v>51</v>
      </c>
      <c r="E465" t="s">
        <v>92</v>
      </c>
      <c r="F465" t="s">
        <v>66</v>
      </c>
      <c r="G465" t="s">
        <v>34</v>
      </c>
      <c r="H465" t="s">
        <v>1134</v>
      </c>
      <c r="I465" t="s">
        <v>156</v>
      </c>
      <c r="J465" s="2">
        <v>334.45</v>
      </c>
      <c r="K465">
        <v>2</v>
      </c>
      <c r="L465" t="s">
        <v>55</v>
      </c>
      <c r="M465">
        <v>2</v>
      </c>
      <c r="N465">
        <v>5</v>
      </c>
      <c r="O465">
        <v>0</v>
      </c>
      <c r="P465" t="s">
        <v>56</v>
      </c>
      <c r="Q465" t="s">
        <v>57</v>
      </c>
      <c r="R465">
        <v>2</v>
      </c>
      <c r="S465">
        <v>9</v>
      </c>
      <c r="T465" t="s">
        <v>51</v>
      </c>
      <c r="U465" t="s">
        <v>42</v>
      </c>
      <c r="V465" t="s">
        <v>43</v>
      </c>
      <c r="W465" s="1">
        <v>45461</v>
      </c>
      <c r="X465" t="b">
        <v>1</v>
      </c>
      <c r="Y465" t="b">
        <v>0</v>
      </c>
      <c r="Z465" t="s">
        <v>72</v>
      </c>
      <c r="AA465" t="s">
        <v>45</v>
      </c>
      <c r="AB465">
        <v>6</v>
      </c>
    </row>
    <row r="466" spans="1:28">
      <c r="A466" t="s">
        <v>1135</v>
      </c>
      <c r="B466">
        <v>19</v>
      </c>
      <c r="C466" t="s">
        <v>50</v>
      </c>
      <c r="D466" t="s">
        <v>51</v>
      </c>
      <c r="E466" t="s">
        <v>65</v>
      </c>
      <c r="F466" t="s">
        <v>36</v>
      </c>
      <c r="G466" t="s">
        <v>34</v>
      </c>
      <c r="H466" t="s">
        <v>1136</v>
      </c>
      <c r="I466" t="s">
        <v>54</v>
      </c>
      <c r="J466" s="2">
        <v>366.16</v>
      </c>
      <c r="K466">
        <v>12</v>
      </c>
      <c r="L466" t="s">
        <v>39</v>
      </c>
      <c r="M466">
        <v>4</v>
      </c>
      <c r="N466">
        <v>4</v>
      </c>
      <c r="O466">
        <v>2</v>
      </c>
      <c r="P466" t="s">
        <v>56</v>
      </c>
      <c r="Q466" t="s">
        <v>41</v>
      </c>
      <c r="R466">
        <v>1</v>
      </c>
      <c r="S466">
        <v>5</v>
      </c>
      <c r="T466" t="s">
        <v>69</v>
      </c>
      <c r="U466" t="s">
        <v>95</v>
      </c>
      <c r="V466" t="s">
        <v>43</v>
      </c>
      <c r="W466" s="1">
        <v>45530</v>
      </c>
      <c r="X466" t="b">
        <v>0</v>
      </c>
      <c r="Y466" t="b">
        <v>0</v>
      </c>
      <c r="Z466" t="s">
        <v>44</v>
      </c>
      <c r="AA466" t="s">
        <v>45</v>
      </c>
      <c r="AB466">
        <v>4</v>
      </c>
    </row>
    <row r="467" spans="1:28">
      <c r="A467" t="s">
        <v>1137</v>
      </c>
      <c r="B467">
        <v>37</v>
      </c>
      <c r="C467" t="s">
        <v>33</v>
      </c>
      <c r="D467" t="s">
        <v>51</v>
      </c>
      <c r="E467" t="s">
        <v>82</v>
      </c>
      <c r="F467" t="s">
        <v>36</v>
      </c>
      <c r="G467" t="s">
        <v>34</v>
      </c>
      <c r="H467" t="s">
        <v>1138</v>
      </c>
      <c r="I467" t="s">
        <v>199</v>
      </c>
      <c r="J467" s="2">
        <v>481.78</v>
      </c>
      <c r="K467">
        <v>8</v>
      </c>
      <c r="L467" t="s">
        <v>55</v>
      </c>
      <c r="M467">
        <v>5</v>
      </c>
      <c r="N467">
        <v>2</v>
      </c>
      <c r="O467">
        <v>0</v>
      </c>
      <c r="P467" t="s">
        <v>56</v>
      </c>
      <c r="Q467" t="s">
        <v>101</v>
      </c>
      <c r="R467">
        <v>2</v>
      </c>
      <c r="S467">
        <v>4</v>
      </c>
      <c r="T467" t="s">
        <v>69</v>
      </c>
      <c r="U467" t="s">
        <v>42</v>
      </c>
      <c r="V467" t="s">
        <v>71</v>
      </c>
      <c r="W467" s="1">
        <v>45406</v>
      </c>
      <c r="X467" t="b">
        <v>1</v>
      </c>
      <c r="Y467" t="b">
        <v>1</v>
      </c>
      <c r="Z467" t="s">
        <v>59</v>
      </c>
      <c r="AA467" t="s">
        <v>77</v>
      </c>
      <c r="AB467">
        <v>1</v>
      </c>
    </row>
    <row r="468" spans="1:28">
      <c r="A468" t="s">
        <v>1139</v>
      </c>
      <c r="B468">
        <v>23</v>
      </c>
      <c r="C468" t="s">
        <v>33</v>
      </c>
      <c r="D468" t="s">
        <v>51</v>
      </c>
      <c r="E468" t="s">
        <v>82</v>
      </c>
      <c r="F468" t="s">
        <v>36</v>
      </c>
      <c r="G468" t="s">
        <v>34</v>
      </c>
      <c r="H468" t="s">
        <v>1140</v>
      </c>
      <c r="I468" t="s">
        <v>38</v>
      </c>
      <c r="J468" s="2">
        <v>131.47999999999999</v>
      </c>
      <c r="K468">
        <v>8</v>
      </c>
      <c r="L468" t="s">
        <v>39</v>
      </c>
      <c r="M468">
        <v>3</v>
      </c>
      <c r="N468">
        <v>5</v>
      </c>
      <c r="O468">
        <v>0</v>
      </c>
      <c r="P468" t="s">
        <v>40</v>
      </c>
      <c r="Q468" t="s">
        <v>41</v>
      </c>
      <c r="R468">
        <v>2</v>
      </c>
      <c r="S468">
        <v>1</v>
      </c>
      <c r="T468" t="s">
        <v>69</v>
      </c>
      <c r="U468" t="s">
        <v>42</v>
      </c>
      <c r="V468" t="s">
        <v>43</v>
      </c>
      <c r="W468" s="1">
        <v>45512</v>
      </c>
      <c r="X468" t="b">
        <v>1</v>
      </c>
      <c r="Y468" t="b">
        <v>1</v>
      </c>
      <c r="Z468" t="s">
        <v>59</v>
      </c>
      <c r="AA468" t="s">
        <v>45</v>
      </c>
      <c r="AB468">
        <v>12</v>
      </c>
    </row>
    <row r="469" spans="1:28">
      <c r="A469" t="s">
        <v>1141</v>
      </c>
      <c r="B469">
        <v>34</v>
      </c>
      <c r="C469" t="s">
        <v>33</v>
      </c>
      <c r="D469" t="s">
        <v>51</v>
      </c>
      <c r="E469" t="s">
        <v>82</v>
      </c>
      <c r="F469" t="s">
        <v>66</v>
      </c>
      <c r="G469" t="s">
        <v>51</v>
      </c>
      <c r="H469" t="s">
        <v>1142</v>
      </c>
      <c r="I469" t="s">
        <v>131</v>
      </c>
      <c r="J469" s="2">
        <v>402.86</v>
      </c>
      <c r="K469">
        <v>11</v>
      </c>
      <c r="L469" t="s">
        <v>55</v>
      </c>
      <c r="M469">
        <v>3</v>
      </c>
      <c r="N469">
        <v>5</v>
      </c>
      <c r="O469">
        <v>1</v>
      </c>
      <c r="P469" t="s">
        <v>51</v>
      </c>
      <c r="Q469" t="s">
        <v>57</v>
      </c>
      <c r="R469">
        <v>0</v>
      </c>
      <c r="S469">
        <v>2</v>
      </c>
      <c r="T469" t="s">
        <v>40</v>
      </c>
      <c r="U469" t="s">
        <v>95</v>
      </c>
      <c r="V469" t="s">
        <v>102</v>
      </c>
      <c r="W469" s="1">
        <v>45540</v>
      </c>
      <c r="X469" t="b">
        <v>0</v>
      </c>
      <c r="Y469" t="b">
        <v>0</v>
      </c>
      <c r="Z469" t="s">
        <v>72</v>
      </c>
      <c r="AA469" t="s">
        <v>60</v>
      </c>
      <c r="AB469">
        <v>8</v>
      </c>
    </row>
    <row r="470" spans="1:28">
      <c r="A470" t="s">
        <v>1143</v>
      </c>
      <c r="B470">
        <v>42</v>
      </c>
      <c r="C470" t="s">
        <v>50</v>
      </c>
      <c r="D470" t="s">
        <v>51</v>
      </c>
      <c r="E470" t="s">
        <v>65</v>
      </c>
      <c r="F470" t="s">
        <v>36</v>
      </c>
      <c r="G470" t="s">
        <v>34</v>
      </c>
      <c r="H470" t="s">
        <v>1144</v>
      </c>
      <c r="I470" t="s">
        <v>38</v>
      </c>
      <c r="J470" s="2">
        <v>333.18</v>
      </c>
      <c r="K470">
        <v>6</v>
      </c>
      <c r="L470" t="s">
        <v>55</v>
      </c>
      <c r="M470">
        <v>1</v>
      </c>
      <c r="N470">
        <v>1</v>
      </c>
      <c r="O470">
        <v>0</v>
      </c>
      <c r="P470" t="s">
        <v>56</v>
      </c>
      <c r="Q470" t="s">
        <v>101</v>
      </c>
      <c r="R470">
        <v>2</v>
      </c>
      <c r="S470">
        <v>5</v>
      </c>
      <c r="T470" t="s">
        <v>69</v>
      </c>
      <c r="U470" t="s">
        <v>70</v>
      </c>
      <c r="V470" t="s">
        <v>76</v>
      </c>
      <c r="W470" s="1">
        <v>45398</v>
      </c>
      <c r="X470" t="b">
        <v>1</v>
      </c>
      <c r="Y470" t="b">
        <v>0</v>
      </c>
      <c r="Z470" t="s">
        <v>89</v>
      </c>
      <c r="AA470" t="s">
        <v>77</v>
      </c>
      <c r="AB470">
        <v>8</v>
      </c>
    </row>
    <row r="471" spans="1:28">
      <c r="A471" t="s">
        <v>1145</v>
      </c>
      <c r="B471">
        <v>28</v>
      </c>
      <c r="C471" t="s">
        <v>33</v>
      </c>
      <c r="D471" t="s">
        <v>51</v>
      </c>
      <c r="E471" t="s">
        <v>82</v>
      </c>
      <c r="F471" t="s">
        <v>66</v>
      </c>
      <c r="G471" t="s">
        <v>34</v>
      </c>
      <c r="H471" t="s">
        <v>1146</v>
      </c>
      <c r="I471" t="s">
        <v>170</v>
      </c>
      <c r="J471" s="2">
        <v>73.23</v>
      </c>
      <c r="K471">
        <v>8</v>
      </c>
      <c r="L471" t="s">
        <v>94</v>
      </c>
      <c r="M471">
        <v>2</v>
      </c>
      <c r="N471">
        <v>2</v>
      </c>
      <c r="O471">
        <v>2</v>
      </c>
      <c r="P471" t="s">
        <v>69</v>
      </c>
      <c r="Q471" t="s">
        <v>101</v>
      </c>
      <c r="R471">
        <v>1</v>
      </c>
      <c r="S471">
        <v>2</v>
      </c>
      <c r="T471" t="s">
        <v>69</v>
      </c>
      <c r="U471" t="s">
        <v>70</v>
      </c>
      <c r="V471" t="s">
        <v>43</v>
      </c>
      <c r="W471" s="1">
        <v>45490</v>
      </c>
      <c r="X471" t="b">
        <v>1</v>
      </c>
      <c r="Y471" t="b">
        <v>1</v>
      </c>
      <c r="Z471" t="s">
        <v>44</v>
      </c>
      <c r="AA471" t="s">
        <v>45</v>
      </c>
      <c r="AB471">
        <v>6</v>
      </c>
    </row>
    <row r="472" spans="1:28">
      <c r="A472" t="s">
        <v>1147</v>
      </c>
      <c r="B472">
        <v>28</v>
      </c>
      <c r="C472" t="s">
        <v>50</v>
      </c>
      <c r="D472" t="s">
        <v>51</v>
      </c>
      <c r="E472" t="s">
        <v>92</v>
      </c>
      <c r="F472" t="s">
        <v>66</v>
      </c>
      <c r="G472" t="s">
        <v>34</v>
      </c>
      <c r="H472" t="s">
        <v>2329</v>
      </c>
      <c r="I472" t="s">
        <v>84</v>
      </c>
      <c r="J472" s="2">
        <v>450.47</v>
      </c>
      <c r="K472">
        <v>11</v>
      </c>
      <c r="L472" t="s">
        <v>94</v>
      </c>
      <c r="M472">
        <v>5</v>
      </c>
      <c r="N472">
        <v>2</v>
      </c>
      <c r="O472">
        <v>2</v>
      </c>
      <c r="P472" t="s">
        <v>40</v>
      </c>
      <c r="Q472" t="s">
        <v>57</v>
      </c>
      <c r="R472">
        <v>2</v>
      </c>
      <c r="S472">
        <v>3</v>
      </c>
      <c r="T472" t="s">
        <v>40</v>
      </c>
      <c r="U472" t="s">
        <v>70</v>
      </c>
      <c r="V472" t="s">
        <v>43</v>
      </c>
      <c r="W472" s="1">
        <v>45369</v>
      </c>
      <c r="X472" t="b">
        <v>1</v>
      </c>
      <c r="Y472" t="b">
        <v>1</v>
      </c>
      <c r="Z472" t="s">
        <v>59</v>
      </c>
      <c r="AA472" t="s">
        <v>77</v>
      </c>
      <c r="AB472">
        <v>10</v>
      </c>
    </row>
    <row r="473" spans="1:28">
      <c r="A473" t="s">
        <v>1149</v>
      </c>
      <c r="B473">
        <v>33</v>
      </c>
      <c r="C473" t="s">
        <v>50</v>
      </c>
      <c r="D473" t="s">
        <v>34</v>
      </c>
      <c r="E473" t="s">
        <v>65</v>
      </c>
      <c r="F473" t="s">
        <v>52</v>
      </c>
      <c r="G473" t="s">
        <v>51</v>
      </c>
      <c r="H473" t="s">
        <v>2330</v>
      </c>
      <c r="I473" t="s">
        <v>54</v>
      </c>
      <c r="J473" s="2">
        <v>175.74</v>
      </c>
      <c r="K473">
        <v>5</v>
      </c>
      <c r="L473" t="s">
        <v>94</v>
      </c>
      <c r="M473">
        <v>5</v>
      </c>
      <c r="N473">
        <v>4</v>
      </c>
      <c r="O473">
        <v>1</v>
      </c>
      <c r="P473" t="s">
        <v>56</v>
      </c>
      <c r="Q473" t="s">
        <v>57</v>
      </c>
      <c r="R473">
        <v>0</v>
      </c>
      <c r="S473">
        <v>6</v>
      </c>
      <c r="T473" t="s">
        <v>40</v>
      </c>
      <c r="U473" t="s">
        <v>42</v>
      </c>
      <c r="V473" t="s">
        <v>102</v>
      </c>
      <c r="W473" s="1">
        <v>45491</v>
      </c>
      <c r="X473" t="b">
        <v>0</v>
      </c>
      <c r="Y473" t="b">
        <v>1</v>
      </c>
      <c r="Z473" t="s">
        <v>72</v>
      </c>
      <c r="AA473" t="s">
        <v>45</v>
      </c>
      <c r="AB473">
        <v>6</v>
      </c>
    </row>
    <row r="474" spans="1:28">
      <c r="A474" t="s">
        <v>1151</v>
      </c>
      <c r="B474">
        <v>31</v>
      </c>
      <c r="C474" t="s">
        <v>33</v>
      </c>
      <c r="D474" t="s">
        <v>34</v>
      </c>
      <c r="E474" t="s">
        <v>65</v>
      </c>
      <c r="F474" t="s">
        <v>66</v>
      </c>
      <c r="G474" t="s">
        <v>51</v>
      </c>
      <c r="H474" t="s">
        <v>1152</v>
      </c>
      <c r="I474" t="s">
        <v>135</v>
      </c>
      <c r="J474" s="2">
        <v>182.6</v>
      </c>
      <c r="K474">
        <v>4</v>
      </c>
      <c r="L474" t="s">
        <v>94</v>
      </c>
      <c r="M474">
        <v>5</v>
      </c>
      <c r="N474">
        <v>2</v>
      </c>
      <c r="O474">
        <v>0.3</v>
      </c>
      <c r="P474" t="s">
        <v>69</v>
      </c>
      <c r="Q474" t="s">
        <v>57</v>
      </c>
      <c r="R474">
        <v>2</v>
      </c>
      <c r="S474">
        <v>9</v>
      </c>
      <c r="T474" t="s">
        <v>51</v>
      </c>
      <c r="U474" t="s">
        <v>42</v>
      </c>
      <c r="V474" t="s">
        <v>58</v>
      </c>
      <c r="W474" s="1">
        <v>45443</v>
      </c>
      <c r="X474" t="b">
        <v>0</v>
      </c>
      <c r="Y474" t="b">
        <v>1</v>
      </c>
      <c r="Z474" t="s">
        <v>59</v>
      </c>
      <c r="AA474" t="s">
        <v>77</v>
      </c>
      <c r="AB474">
        <v>5</v>
      </c>
    </row>
    <row r="475" spans="1:28">
      <c r="A475" t="s">
        <v>1153</v>
      </c>
      <c r="B475">
        <v>20</v>
      </c>
      <c r="C475" t="s">
        <v>33</v>
      </c>
      <c r="D475" t="s">
        <v>34</v>
      </c>
      <c r="E475" t="s">
        <v>82</v>
      </c>
      <c r="F475" t="s">
        <v>36</v>
      </c>
      <c r="G475" t="s">
        <v>51</v>
      </c>
      <c r="H475" t="s">
        <v>1154</v>
      </c>
      <c r="I475" t="s">
        <v>306</v>
      </c>
      <c r="J475" s="2">
        <v>497.8</v>
      </c>
      <c r="K475">
        <v>2</v>
      </c>
      <c r="L475" t="s">
        <v>94</v>
      </c>
      <c r="M475">
        <v>3</v>
      </c>
      <c r="N475">
        <v>5</v>
      </c>
      <c r="O475">
        <v>0.2</v>
      </c>
      <c r="P475" t="s">
        <v>51</v>
      </c>
      <c r="Q475" t="s">
        <v>41</v>
      </c>
      <c r="R475">
        <v>1</v>
      </c>
      <c r="S475">
        <v>2</v>
      </c>
      <c r="T475" t="s">
        <v>56</v>
      </c>
      <c r="U475" t="s">
        <v>70</v>
      </c>
      <c r="V475" t="s">
        <v>76</v>
      </c>
      <c r="W475" s="1">
        <v>45312</v>
      </c>
      <c r="X475" t="b">
        <v>1</v>
      </c>
      <c r="Y475" t="b">
        <v>0</v>
      </c>
      <c r="Z475" t="s">
        <v>59</v>
      </c>
      <c r="AA475" t="s">
        <v>45</v>
      </c>
      <c r="AB475">
        <v>9</v>
      </c>
    </row>
    <row r="476" spans="1:28">
      <c r="A476" t="s">
        <v>1155</v>
      </c>
      <c r="B476">
        <v>32</v>
      </c>
      <c r="C476" t="s">
        <v>50</v>
      </c>
      <c r="D476" t="s">
        <v>51</v>
      </c>
      <c r="E476" t="s">
        <v>92</v>
      </c>
      <c r="F476" t="s">
        <v>52</v>
      </c>
      <c r="G476" t="s">
        <v>51</v>
      </c>
      <c r="H476" t="s">
        <v>2331</v>
      </c>
      <c r="I476" t="s">
        <v>54</v>
      </c>
      <c r="J476" s="2">
        <v>171.17</v>
      </c>
      <c r="K476">
        <v>4</v>
      </c>
      <c r="L476" t="s">
        <v>55</v>
      </c>
      <c r="M476">
        <v>1</v>
      </c>
      <c r="N476">
        <v>3</v>
      </c>
      <c r="O476">
        <v>0</v>
      </c>
      <c r="P476" t="s">
        <v>51</v>
      </c>
      <c r="Q476" t="s">
        <v>41</v>
      </c>
      <c r="R476">
        <v>0</v>
      </c>
      <c r="S476">
        <v>4</v>
      </c>
      <c r="T476" t="s">
        <v>56</v>
      </c>
      <c r="U476" t="s">
        <v>95</v>
      </c>
      <c r="V476" t="s">
        <v>71</v>
      </c>
      <c r="W476" s="1">
        <v>45458</v>
      </c>
      <c r="X476" t="b">
        <v>0</v>
      </c>
      <c r="Y476" t="b">
        <v>1</v>
      </c>
      <c r="Z476" t="s">
        <v>59</v>
      </c>
      <c r="AA476" t="s">
        <v>60</v>
      </c>
      <c r="AB476">
        <v>12</v>
      </c>
    </row>
    <row r="477" spans="1:28">
      <c r="A477" t="s">
        <v>1157</v>
      </c>
      <c r="B477">
        <v>27</v>
      </c>
      <c r="C477" t="s">
        <v>33</v>
      </c>
      <c r="D477" t="s">
        <v>34</v>
      </c>
      <c r="E477" t="s">
        <v>65</v>
      </c>
      <c r="F477" t="s">
        <v>36</v>
      </c>
      <c r="G477" t="s">
        <v>51</v>
      </c>
      <c r="H477" t="s">
        <v>1158</v>
      </c>
      <c r="I477" t="s">
        <v>306</v>
      </c>
      <c r="J477" s="2">
        <v>425.82</v>
      </c>
      <c r="K477">
        <v>3</v>
      </c>
      <c r="L477" t="s">
        <v>55</v>
      </c>
      <c r="M477">
        <v>4</v>
      </c>
      <c r="N477">
        <v>5</v>
      </c>
      <c r="O477">
        <v>1</v>
      </c>
      <c r="P477" t="s">
        <v>69</v>
      </c>
      <c r="Q477" t="s">
        <v>57</v>
      </c>
      <c r="R477">
        <v>1</v>
      </c>
      <c r="S477">
        <v>6</v>
      </c>
      <c r="T477" t="s">
        <v>51</v>
      </c>
      <c r="U477" t="s">
        <v>70</v>
      </c>
      <c r="V477" t="s">
        <v>102</v>
      </c>
      <c r="W477" s="1">
        <v>45401</v>
      </c>
      <c r="X477" t="b">
        <v>1</v>
      </c>
      <c r="Y477" t="b">
        <v>1</v>
      </c>
      <c r="Z477" t="s">
        <v>59</v>
      </c>
      <c r="AA477" t="s">
        <v>60</v>
      </c>
      <c r="AB477">
        <v>11</v>
      </c>
    </row>
    <row r="478" spans="1:28">
      <c r="A478" t="s">
        <v>1159</v>
      </c>
      <c r="B478">
        <v>19</v>
      </c>
      <c r="C478" t="s">
        <v>33</v>
      </c>
      <c r="D478" t="s">
        <v>34</v>
      </c>
      <c r="E478" t="s">
        <v>82</v>
      </c>
      <c r="F478" t="s">
        <v>36</v>
      </c>
      <c r="G478" t="s">
        <v>34</v>
      </c>
      <c r="H478" t="s">
        <v>1160</v>
      </c>
      <c r="I478" t="s">
        <v>108</v>
      </c>
      <c r="J478" s="2">
        <v>210.58</v>
      </c>
      <c r="K478">
        <v>10</v>
      </c>
      <c r="L478" t="s">
        <v>55</v>
      </c>
      <c r="M478">
        <v>5</v>
      </c>
      <c r="N478">
        <v>1</v>
      </c>
      <c r="O478">
        <v>2</v>
      </c>
      <c r="P478" t="s">
        <v>69</v>
      </c>
      <c r="Q478" t="s">
        <v>41</v>
      </c>
      <c r="R478">
        <v>1</v>
      </c>
      <c r="S478">
        <v>3</v>
      </c>
      <c r="T478" t="s">
        <v>69</v>
      </c>
      <c r="U478" t="s">
        <v>42</v>
      </c>
      <c r="V478" t="s">
        <v>71</v>
      </c>
      <c r="W478" s="1">
        <v>45547</v>
      </c>
      <c r="X478" t="b">
        <v>1</v>
      </c>
      <c r="Y478" t="b">
        <v>1</v>
      </c>
      <c r="Z478" t="s">
        <v>89</v>
      </c>
      <c r="AA478" t="s">
        <v>45</v>
      </c>
      <c r="AB478">
        <v>8</v>
      </c>
    </row>
    <row r="479" spans="1:28">
      <c r="A479" t="s">
        <v>1161</v>
      </c>
      <c r="B479">
        <v>50</v>
      </c>
      <c r="C479" t="s">
        <v>50</v>
      </c>
      <c r="D479" t="s">
        <v>34</v>
      </c>
      <c r="E479" t="s">
        <v>65</v>
      </c>
      <c r="F479" t="s">
        <v>52</v>
      </c>
      <c r="G479" t="s">
        <v>34</v>
      </c>
      <c r="H479" t="s">
        <v>1162</v>
      </c>
      <c r="I479" t="s">
        <v>235</v>
      </c>
      <c r="J479" s="2">
        <v>199.64</v>
      </c>
      <c r="K479">
        <v>11</v>
      </c>
      <c r="L479" t="s">
        <v>94</v>
      </c>
      <c r="M479">
        <v>5</v>
      </c>
      <c r="N479">
        <v>4</v>
      </c>
      <c r="O479">
        <v>1</v>
      </c>
      <c r="P479" t="s">
        <v>51</v>
      </c>
      <c r="Q479" t="s">
        <v>41</v>
      </c>
      <c r="R479">
        <v>1</v>
      </c>
      <c r="S479">
        <v>5</v>
      </c>
      <c r="T479" t="s">
        <v>51</v>
      </c>
      <c r="U479" t="s">
        <v>95</v>
      </c>
      <c r="V479" t="s">
        <v>58</v>
      </c>
      <c r="W479" s="1">
        <v>45539</v>
      </c>
      <c r="X479" t="b">
        <v>0</v>
      </c>
      <c r="Y479" t="b">
        <v>1</v>
      </c>
      <c r="Z479" t="s">
        <v>89</v>
      </c>
      <c r="AA479" t="s">
        <v>77</v>
      </c>
      <c r="AB479">
        <v>8</v>
      </c>
    </row>
    <row r="480" spans="1:28">
      <c r="A480" t="s">
        <v>1163</v>
      </c>
      <c r="B480">
        <v>40</v>
      </c>
      <c r="C480" t="s">
        <v>264</v>
      </c>
      <c r="D480" t="s">
        <v>51</v>
      </c>
      <c r="E480" t="s">
        <v>35</v>
      </c>
      <c r="F480" t="s">
        <v>36</v>
      </c>
      <c r="G480" t="s">
        <v>34</v>
      </c>
      <c r="H480" t="s">
        <v>2332</v>
      </c>
      <c r="I480" t="s">
        <v>143</v>
      </c>
      <c r="J480" s="2">
        <v>162.22</v>
      </c>
      <c r="K480">
        <v>10</v>
      </c>
      <c r="L480" t="s">
        <v>55</v>
      </c>
      <c r="M480">
        <v>5</v>
      </c>
      <c r="N480">
        <v>5</v>
      </c>
      <c r="O480">
        <v>0.2</v>
      </c>
      <c r="P480" t="s">
        <v>51</v>
      </c>
      <c r="Q480" t="s">
        <v>41</v>
      </c>
      <c r="R480">
        <v>1</v>
      </c>
      <c r="S480">
        <v>1</v>
      </c>
      <c r="T480" t="s">
        <v>56</v>
      </c>
      <c r="U480" t="s">
        <v>95</v>
      </c>
      <c r="V480" t="s">
        <v>76</v>
      </c>
      <c r="W480" s="1">
        <v>45410</v>
      </c>
      <c r="X480" t="b">
        <v>1</v>
      </c>
      <c r="Y480" t="b">
        <v>1</v>
      </c>
      <c r="Z480" t="s">
        <v>59</v>
      </c>
      <c r="AA480" t="s">
        <v>45</v>
      </c>
      <c r="AB480">
        <v>8</v>
      </c>
    </row>
    <row r="481" spans="1:28">
      <c r="A481" t="s">
        <v>1165</v>
      </c>
      <c r="B481">
        <v>20</v>
      </c>
      <c r="C481" t="s">
        <v>50</v>
      </c>
      <c r="D481" t="s">
        <v>51</v>
      </c>
      <c r="E481" t="s">
        <v>35</v>
      </c>
      <c r="F481" t="s">
        <v>36</v>
      </c>
      <c r="G481" t="s">
        <v>51</v>
      </c>
      <c r="H481" t="s">
        <v>1166</v>
      </c>
      <c r="I481" t="s">
        <v>108</v>
      </c>
      <c r="J481" s="2">
        <v>401.75</v>
      </c>
      <c r="K481">
        <v>8</v>
      </c>
      <c r="L481" t="s">
        <v>94</v>
      </c>
      <c r="M481">
        <v>3</v>
      </c>
      <c r="N481">
        <v>4</v>
      </c>
      <c r="O481">
        <v>0.3</v>
      </c>
      <c r="P481" t="s">
        <v>40</v>
      </c>
      <c r="Q481" t="s">
        <v>41</v>
      </c>
      <c r="R481">
        <v>1</v>
      </c>
      <c r="S481">
        <v>8</v>
      </c>
      <c r="T481" t="s">
        <v>51</v>
      </c>
      <c r="U481" t="s">
        <v>70</v>
      </c>
      <c r="V481" t="s">
        <v>58</v>
      </c>
      <c r="W481" s="1">
        <v>45634</v>
      </c>
      <c r="X481" t="b">
        <v>0</v>
      </c>
      <c r="Y481" t="b">
        <v>1</v>
      </c>
      <c r="Z481" t="s">
        <v>59</v>
      </c>
      <c r="AA481" t="s">
        <v>60</v>
      </c>
      <c r="AB481">
        <v>6</v>
      </c>
    </row>
    <row r="482" spans="1:28">
      <c r="A482" t="s">
        <v>1167</v>
      </c>
      <c r="B482">
        <v>24</v>
      </c>
      <c r="C482" t="s">
        <v>33</v>
      </c>
      <c r="D482" t="s">
        <v>34</v>
      </c>
      <c r="E482" t="s">
        <v>35</v>
      </c>
      <c r="F482" t="s">
        <v>66</v>
      </c>
      <c r="G482" t="s">
        <v>34</v>
      </c>
      <c r="H482" t="s">
        <v>1168</v>
      </c>
      <c r="I482" t="s">
        <v>123</v>
      </c>
      <c r="J482" s="2">
        <v>365.88</v>
      </c>
      <c r="K482">
        <v>12</v>
      </c>
      <c r="L482" t="s">
        <v>94</v>
      </c>
      <c r="M482">
        <v>3</v>
      </c>
      <c r="N482">
        <v>3</v>
      </c>
      <c r="O482">
        <v>2</v>
      </c>
      <c r="P482" t="s">
        <v>56</v>
      </c>
      <c r="Q482" t="s">
        <v>101</v>
      </c>
      <c r="R482">
        <v>0</v>
      </c>
      <c r="S482">
        <v>9</v>
      </c>
      <c r="T482" t="s">
        <v>51</v>
      </c>
      <c r="U482" t="s">
        <v>70</v>
      </c>
      <c r="V482" t="s">
        <v>76</v>
      </c>
      <c r="W482" s="1">
        <v>45601</v>
      </c>
      <c r="X482" t="b">
        <v>1</v>
      </c>
      <c r="Y482" t="b">
        <v>0</v>
      </c>
      <c r="Z482" t="s">
        <v>44</v>
      </c>
      <c r="AA482" t="s">
        <v>77</v>
      </c>
      <c r="AB482">
        <v>7</v>
      </c>
    </row>
    <row r="483" spans="1:28">
      <c r="A483" t="s">
        <v>1169</v>
      </c>
      <c r="B483">
        <v>46</v>
      </c>
      <c r="C483" t="s">
        <v>50</v>
      </c>
      <c r="D483" t="s">
        <v>34</v>
      </c>
      <c r="E483" t="s">
        <v>65</v>
      </c>
      <c r="F483" t="s">
        <v>52</v>
      </c>
      <c r="G483" t="s">
        <v>34</v>
      </c>
      <c r="H483" t="s">
        <v>1170</v>
      </c>
      <c r="I483" t="s">
        <v>235</v>
      </c>
      <c r="J483" s="2">
        <v>58.29</v>
      </c>
      <c r="K483">
        <v>6</v>
      </c>
      <c r="L483" t="s">
        <v>39</v>
      </c>
      <c r="M483">
        <v>2</v>
      </c>
      <c r="N483">
        <v>3</v>
      </c>
      <c r="O483">
        <v>2</v>
      </c>
      <c r="P483" t="s">
        <v>56</v>
      </c>
      <c r="Q483" t="s">
        <v>41</v>
      </c>
      <c r="R483">
        <v>1</v>
      </c>
      <c r="S483">
        <v>7</v>
      </c>
      <c r="T483" t="s">
        <v>69</v>
      </c>
      <c r="U483" t="s">
        <v>42</v>
      </c>
      <c r="V483" t="s">
        <v>76</v>
      </c>
      <c r="W483" s="1">
        <v>45335</v>
      </c>
      <c r="X483" t="b">
        <v>0</v>
      </c>
      <c r="Y483" t="b">
        <v>1</v>
      </c>
      <c r="Z483" t="s">
        <v>72</v>
      </c>
      <c r="AA483" t="s">
        <v>60</v>
      </c>
      <c r="AB483">
        <v>14</v>
      </c>
    </row>
    <row r="484" spans="1:28">
      <c r="A484" t="s">
        <v>1171</v>
      </c>
      <c r="B484">
        <v>50</v>
      </c>
      <c r="C484" t="s">
        <v>50</v>
      </c>
      <c r="D484" t="s">
        <v>51</v>
      </c>
      <c r="E484" t="s">
        <v>35</v>
      </c>
      <c r="F484" t="s">
        <v>66</v>
      </c>
      <c r="G484" t="s">
        <v>51</v>
      </c>
      <c r="H484" t="s">
        <v>2237</v>
      </c>
      <c r="I484" t="s">
        <v>180</v>
      </c>
      <c r="J484" s="2">
        <v>66.86</v>
      </c>
      <c r="K484">
        <v>3</v>
      </c>
      <c r="L484" t="s">
        <v>39</v>
      </c>
      <c r="M484">
        <v>1</v>
      </c>
      <c r="N484">
        <v>1</v>
      </c>
      <c r="O484">
        <v>1</v>
      </c>
      <c r="P484" t="s">
        <v>56</v>
      </c>
      <c r="Q484" t="s">
        <v>101</v>
      </c>
      <c r="R484">
        <v>0</v>
      </c>
      <c r="S484">
        <v>10</v>
      </c>
      <c r="T484" t="s">
        <v>56</v>
      </c>
      <c r="U484" t="s">
        <v>95</v>
      </c>
      <c r="V484" t="s">
        <v>76</v>
      </c>
      <c r="W484" s="1">
        <v>45316</v>
      </c>
      <c r="X484" t="b">
        <v>1</v>
      </c>
      <c r="Y484" t="b">
        <v>1</v>
      </c>
      <c r="Z484" t="s">
        <v>59</v>
      </c>
      <c r="AA484" t="s">
        <v>77</v>
      </c>
      <c r="AB484">
        <v>9</v>
      </c>
    </row>
    <row r="485" spans="1:28">
      <c r="A485" t="s">
        <v>1172</v>
      </c>
      <c r="B485">
        <v>29</v>
      </c>
      <c r="C485" t="s">
        <v>33</v>
      </c>
      <c r="D485" t="s">
        <v>51</v>
      </c>
      <c r="E485" t="s">
        <v>65</v>
      </c>
      <c r="F485" t="s">
        <v>36</v>
      </c>
      <c r="G485" t="s">
        <v>34</v>
      </c>
      <c r="H485" t="s">
        <v>1173</v>
      </c>
      <c r="I485" t="s">
        <v>199</v>
      </c>
      <c r="J485" s="2">
        <v>279.33999999999997</v>
      </c>
      <c r="K485">
        <v>5</v>
      </c>
      <c r="L485" t="s">
        <v>39</v>
      </c>
      <c r="M485">
        <v>3</v>
      </c>
      <c r="N485">
        <v>1</v>
      </c>
      <c r="O485">
        <v>0</v>
      </c>
      <c r="P485" t="s">
        <v>56</v>
      </c>
      <c r="Q485" t="s">
        <v>101</v>
      </c>
      <c r="R485">
        <v>2</v>
      </c>
      <c r="S485">
        <v>6</v>
      </c>
      <c r="T485" t="s">
        <v>69</v>
      </c>
      <c r="U485" t="s">
        <v>42</v>
      </c>
      <c r="V485" t="s">
        <v>58</v>
      </c>
      <c r="W485" s="1">
        <v>45526</v>
      </c>
      <c r="X485" t="b">
        <v>0</v>
      </c>
      <c r="Y485" t="b">
        <v>1</v>
      </c>
      <c r="Z485" t="s">
        <v>59</v>
      </c>
      <c r="AA485" t="s">
        <v>45</v>
      </c>
      <c r="AB485">
        <v>11</v>
      </c>
    </row>
    <row r="486" spans="1:28">
      <c r="A486" t="s">
        <v>1174</v>
      </c>
      <c r="B486">
        <v>34</v>
      </c>
      <c r="C486" t="s">
        <v>188</v>
      </c>
      <c r="D486" t="s">
        <v>51</v>
      </c>
      <c r="E486" t="s">
        <v>92</v>
      </c>
      <c r="F486" t="s">
        <v>36</v>
      </c>
      <c r="G486" t="s">
        <v>51</v>
      </c>
      <c r="H486" t="s">
        <v>1175</v>
      </c>
      <c r="I486" t="s">
        <v>147</v>
      </c>
      <c r="J486" s="2">
        <v>358.5</v>
      </c>
      <c r="K486">
        <v>3</v>
      </c>
      <c r="L486" t="s">
        <v>94</v>
      </c>
      <c r="M486">
        <v>3</v>
      </c>
      <c r="N486">
        <v>4</v>
      </c>
      <c r="O486">
        <v>2</v>
      </c>
      <c r="P486" t="s">
        <v>56</v>
      </c>
      <c r="Q486" t="s">
        <v>101</v>
      </c>
      <c r="R486">
        <v>2</v>
      </c>
      <c r="S486">
        <v>3</v>
      </c>
      <c r="T486" t="s">
        <v>40</v>
      </c>
      <c r="U486" t="s">
        <v>42</v>
      </c>
      <c r="V486" t="s">
        <v>102</v>
      </c>
      <c r="W486" s="1">
        <v>45610</v>
      </c>
      <c r="X486" t="b">
        <v>0</v>
      </c>
      <c r="Y486" t="b">
        <v>1</v>
      </c>
      <c r="Z486" t="s">
        <v>72</v>
      </c>
      <c r="AA486" t="s">
        <v>60</v>
      </c>
      <c r="AB486">
        <v>8</v>
      </c>
    </row>
    <row r="487" spans="1:28">
      <c r="A487" t="s">
        <v>1177</v>
      </c>
      <c r="B487">
        <v>44</v>
      </c>
      <c r="C487" t="s">
        <v>33</v>
      </c>
      <c r="D487" t="s">
        <v>51</v>
      </c>
      <c r="E487" t="s">
        <v>82</v>
      </c>
      <c r="F487" t="s">
        <v>36</v>
      </c>
      <c r="G487" t="s">
        <v>51</v>
      </c>
      <c r="H487" t="s">
        <v>1178</v>
      </c>
      <c r="I487" t="s">
        <v>306</v>
      </c>
      <c r="J487" s="2">
        <v>360.92</v>
      </c>
      <c r="K487">
        <v>7</v>
      </c>
      <c r="L487" t="s">
        <v>94</v>
      </c>
      <c r="M487">
        <v>2</v>
      </c>
      <c r="N487">
        <v>1</v>
      </c>
      <c r="O487">
        <v>2</v>
      </c>
      <c r="P487" t="s">
        <v>40</v>
      </c>
      <c r="Q487" t="s">
        <v>101</v>
      </c>
      <c r="R487">
        <v>0</v>
      </c>
      <c r="S487">
        <v>9</v>
      </c>
      <c r="T487" t="s">
        <v>69</v>
      </c>
      <c r="U487" t="s">
        <v>70</v>
      </c>
      <c r="V487" t="s">
        <v>58</v>
      </c>
      <c r="W487" s="1">
        <v>45606</v>
      </c>
      <c r="X487" t="b">
        <v>0</v>
      </c>
      <c r="Y487" t="b">
        <v>1</v>
      </c>
      <c r="Z487" t="s">
        <v>72</v>
      </c>
      <c r="AA487" t="s">
        <v>60</v>
      </c>
      <c r="AB487">
        <v>8</v>
      </c>
    </row>
    <row r="488" spans="1:28">
      <c r="A488" t="s">
        <v>1179</v>
      </c>
      <c r="B488">
        <v>38</v>
      </c>
      <c r="C488" t="s">
        <v>431</v>
      </c>
      <c r="D488" t="s">
        <v>34</v>
      </c>
      <c r="E488" t="s">
        <v>35</v>
      </c>
      <c r="F488" t="s">
        <v>66</v>
      </c>
      <c r="G488" t="s">
        <v>51</v>
      </c>
      <c r="H488" t="s">
        <v>2333</v>
      </c>
      <c r="I488" t="s">
        <v>199</v>
      </c>
      <c r="J488" s="2">
        <v>374.36</v>
      </c>
      <c r="K488">
        <v>4</v>
      </c>
      <c r="L488" t="s">
        <v>94</v>
      </c>
      <c r="M488">
        <v>2</v>
      </c>
      <c r="N488">
        <v>2</v>
      </c>
      <c r="O488">
        <v>0</v>
      </c>
      <c r="P488" t="s">
        <v>40</v>
      </c>
      <c r="Q488" t="s">
        <v>41</v>
      </c>
      <c r="R488">
        <v>1</v>
      </c>
      <c r="S488">
        <v>9</v>
      </c>
      <c r="T488" t="s">
        <v>40</v>
      </c>
      <c r="U488" t="s">
        <v>70</v>
      </c>
      <c r="V488" t="s">
        <v>76</v>
      </c>
      <c r="W488" s="1">
        <v>45568</v>
      </c>
      <c r="X488" t="b">
        <v>0</v>
      </c>
      <c r="Y488" t="b">
        <v>0</v>
      </c>
      <c r="Z488" t="s">
        <v>59</v>
      </c>
      <c r="AA488" t="s">
        <v>60</v>
      </c>
      <c r="AB488">
        <v>1</v>
      </c>
    </row>
    <row r="489" spans="1:28">
      <c r="A489" t="s">
        <v>1181</v>
      </c>
      <c r="B489">
        <v>22</v>
      </c>
      <c r="C489" t="s">
        <v>188</v>
      </c>
      <c r="D489" t="s">
        <v>51</v>
      </c>
      <c r="E489" t="s">
        <v>82</v>
      </c>
      <c r="F489" t="s">
        <v>52</v>
      </c>
      <c r="G489" t="s">
        <v>34</v>
      </c>
      <c r="H489" t="s">
        <v>1182</v>
      </c>
      <c r="I489" t="s">
        <v>153</v>
      </c>
      <c r="J489" s="2">
        <v>435.37</v>
      </c>
      <c r="K489">
        <v>11</v>
      </c>
      <c r="L489" t="s">
        <v>94</v>
      </c>
      <c r="M489">
        <v>4</v>
      </c>
      <c r="N489">
        <v>2</v>
      </c>
      <c r="O489">
        <v>1</v>
      </c>
      <c r="P489" t="s">
        <v>69</v>
      </c>
      <c r="Q489" t="s">
        <v>101</v>
      </c>
      <c r="R489">
        <v>0</v>
      </c>
      <c r="S489">
        <v>3</v>
      </c>
      <c r="T489" t="s">
        <v>51</v>
      </c>
      <c r="U489" t="s">
        <v>42</v>
      </c>
      <c r="V489" t="s">
        <v>43</v>
      </c>
      <c r="W489" s="1">
        <v>45534</v>
      </c>
      <c r="X489" t="b">
        <v>1</v>
      </c>
      <c r="Y489" t="b">
        <v>1</v>
      </c>
      <c r="Z489" t="s">
        <v>89</v>
      </c>
      <c r="AA489" t="s">
        <v>60</v>
      </c>
      <c r="AB489">
        <v>4</v>
      </c>
    </row>
    <row r="490" spans="1:28">
      <c r="A490" t="s">
        <v>1183</v>
      </c>
      <c r="B490">
        <v>44</v>
      </c>
      <c r="C490" t="s">
        <v>50</v>
      </c>
      <c r="D490" t="s">
        <v>51</v>
      </c>
      <c r="E490" t="s">
        <v>65</v>
      </c>
      <c r="F490" t="s">
        <v>66</v>
      </c>
      <c r="G490" t="s">
        <v>51</v>
      </c>
      <c r="H490" t="s">
        <v>1184</v>
      </c>
      <c r="I490" t="s">
        <v>75</v>
      </c>
      <c r="J490" s="2">
        <v>459.3</v>
      </c>
      <c r="K490">
        <v>9</v>
      </c>
      <c r="L490" t="s">
        <v>94</v>
      </c>
      <c r="M490">
        <v>4</v>
      </c>
      <c r="N490">
        <v>4</v>
      </c>
      <c r="O490">
        <v>1</v>
      </c>
      <c r="P490" t="s">
        <v>40</v>
      </c>
      <c r="Q490" t="s">
        <v>41</v>
      </c>
      <c r="R490">
        <v>2</v>
      </c>
      <c r="S490">
        <v>5</v>
      </c>
      <c r="T490" t="s">
        <v>56</v>
      </c>
      <c r="U490" t="s">
        <v>95</v>
      </c>
      <c r="V490" t="s">
        <v>76</v>
      </c>
      <c r="W490" s="1">
        <v>45574</v>
      </c>
      <c r="X490" t="b">
        <v>0</v>
      </c>
      <c r="Y490" t="b">
        <v>1</v>
      </c>
      <c r="Z490" t="s">
        <v>89</v>
      </c>
      <c r="AA490" t="s">
        <v>45</v>
      </c>
      <c r="AB490">
        <v>1</v>
      </c>
    </row>
    <row r="491" spans="1:28">
      <c r="A491" t="s">
        <v>1185</v>
      </c>
      <c r="B491">
        <v>43</v>
      </c>
      <c r="C491" t="s">
        <v>33</v>
      </c>
      <c r="D491" t="s">
        <v>51</v>
      </c>
      <c r="E491" t="s">
        <v>92</v>
      </c>
      <c r="F491" t="s">
        <v>66</v>
      </c>
      <c r="G491" t="s">
        <v>34</v>
      </c>
      <c r="H491" t="s">
        <v>1186</v>
      </c>
      <c r="I491" t="s">
        <v>306</v>
      </c>
      <c r="J491" s="2">
        <v>426.89</v>
      </c>
      <c r="K491">
        <v>2</v>
      </c>
      <c r="L491" t="s">
        <v>39</v>
      </c>
      <c r="M491">
        <v>5</v>
      </c>
      <c r="N491">
        <v>1</v>
      </c>
      <c r="O491">
        <v>1</v>
      </c>
      <c r="P491" t="s">
        <v>51</v>
      </c>
      <c r="Q491" t="s">
        <v>57</v>
      </c>
      <c r="R491">
        <v>1</v>
      </c>
      <c r="S491">
        <v>3</v>
      </c>
      <c r="T491" t="s">
        <v>69</v>
      </c>
      <c r="U491" t="s">
        <v>70</v>
      </c>
      <c r="V491" t="s">
        <v>58</v>
      </c>
      <c r="W491" s="1">
        <v>45598</v>
      </c>
      <c r="X491" t="b">
        <v>1</v>
      </c>
      <c r="Y491" t="b">
        <v>0</v>
      </c>
      <c r="Z491" t="s">
        <v>59</v>
      </c>
      <c r="AA491" t="s">
        <v>77</v>
      </c>
      <c r="AB491">
        <v>10</v>
      </c>
    </row>
    <row r="492" spans="1:28">
      <c r="A492" t="s">
        <v>1187</v>
      </c>
      <c r="B492">
        <v>25</v>
      </c>
      <c r="C492" t="s">
        <v>50</v>
      </c>
      <c r="D492" t="s">
        <v>34</v>
      </c>
      <c r="E492" t="s">
        <v>92</v>
      </c>
      <c r="F492" t="s">
        <v>66</v>
      </c>
      <c r="G492" t="s">
        <v>51</v>
      </c>
      <c r="H492" t="s">
        <v>1188</v>
      </c>
      <c r="I492" t="s">
        <v>127</v>
      </c>
      <c r="J492" s="2">
        <v>365.37</v>
      </c>
      <c r="K492">
        <v>6</v>
      </c>
      <c r="L492" t="s">
        <v>39</v>
      </c>
      <c r="M492">
        <v>1</v>
      </c>
      <c r="N492">
        <v>2</v>
      </c>
      <c r="O492">
        <v>1</v>
      </c>
      <c r="P492" t="s">
        <v>69</v>
      </c>
      <c r="Q492" t="s">
        <v>101</v>
      </c>
      <c r="R492">
        <v>1</v>
      </c>
      <c r="S492">
        <v>5</v>
      </c>
      <c r="T492" t="s">
        <v>69</v>
      </c>
      <c r="U492" t="s">
        <v>70</v>
      </c>
      <c r="V492" t="s">
        <v>58</v>
      </c>
      <c r="W492" s="1">
        <v>45475</v>
      </c>
      <c r="X492" t="b">
        <v>1</v>
      </c>
      <c r="Y492" t="b">
        <v>1</v>
      </c>
      <c r="Z492" t="s">
        <v>59</v>
      </c>
      <c r="AA492" t="s">
        <v>77</v>
      </c>
      <c r="AB492">
        <v>7</v>
      </c>
    </row>
    <row r="493" spans="1:28">
      <c r="A493" t="s">
        <v>1189</v>
      </c>
      <c r="B493">
        <v>21</v>
      </c>
      <c r="C493" t="s">
        <v>33</v>
      </c>
      <c r="D493" t="s">
        <v>34</v>
      </c>
      <c r="E493" t="s">
        <v>92</v>
      </c>
      <c r="F493" t="s">
        <v>66</v>
      </c>
      <c r="G493" t="s">
        <v>51</v>
      </c>
      <c r="H493" t="s">
        <v>1190</v>
      </c>
      <c r="I493" t="s">
        <v>112</v>
      </c>
      <c r="J493" s="2">
        <v>487.25</v>
      </c>
      <c r="K493">
        <v>4</v>
      </c>
      <c r="L493" t="s">
        <v>94</v>
      </c>
      <c r="M493">
        <v>3</v>
      </c>
      <c r="N493">
        <v>2</v>
      </c>
      <c r="O493">
        <v>1</v>
      </c>
      <c r="P493" t="s">
        <v>51</v>
      </c>
      <c r="Q493" t="s">
        <v>101</v>
      </c>
      <c r="R493">
        <v>0</v>
      </c>
      <c r="S493">
        <v>4</v>
      </c>
      <c r="T493" t="s">
        <v>51</v>
      </c>
      <c r="U493" t="s">
        <v>95</v>
      </c>
      <c r="V493" t="s">
        <v>102</v>
      </c>
      <c r="W493" s="1">
        <v>45573</v>
      </c>
      <c r="X493" t="b">
        <v>0</v>
      </c>
      <c r="Y493" t="b">
        <v>0</v>
      </c>
      <c r="Z493" t="s">
        <v>59</v>
      </c>
      <c r="AA493" t="s">
        <v>60</v>
      </c>
      <c r="AB493">
        <v>1</v>
      </c>
    </row>
    <row r="494" spans="1:28">
      <c r="A494" t="s">
        <v>1191</v>
      </c>
      <c r="B494">
        <v>29</v>
      </c>
      <c r="C494" t="s">
        <v>33</v>
      </c>
      <c r="D494" t="s">
        <v>34</v>
      </c>
      <c r="E494" t="s">
        <v>35</v>
      </c>
      <c r="F494" t="s">
        <v>52</v>
      </c>
      <c r="G494" t="s">
        <v>51</v>
      </c>
      <c r="H494" t="s">
        <v>1192</v>
      </c>
      <c r="I494" t="s">
        <v>153</v>
      </c>
      <c r="J494" s="2">
        <v>187.22</v>
      </c>
      <c r="K494">
        <v>10</v>
      </c>
      <c r="L494" t="s">
        <v>94</v>
      </c>
      <c r="M494">
        <v>5</v>
      </c>
      <c r="N494">
        <v>3</v>
      </c>
      <c r="O494">
        <v>0</v>
      </c>
      <c r="P494" t="s">
        <v>56</v>
      </c>
      <c r="Q494" t="s">
        <v>101</v>
      </c>
      <c r="R494">
        <v>1</v>
      </c>
      <c r="S494">
        <v>4</v>
      </c>
      <c r="T494" t="s">
        <v>69</v>
      </c>
      <c r="U494" t="s">
        <v>95</v>
      </c>
      <c r="V494" t="s">
        <v>43</v>
      </c>
      <c r="W494" s="1">
        <v>45447</v>
      </c>
      <c r="X494" t="b">
        <v>0</v>
      </c>
      <c r="Y494" t="b">
        <v>0</v>
      </c>
      <c r="Z494" t="s">
        <v>59</v>
      </c>
      <c r="AA494" t="s">
        <v>60</v>
      </c>
      <c r="AB494">
        <v>4</v>
      </c>
    </row>
    <row r="495" spans="1:28">
      <c r="A495" t="s">
        <v>1193</v>
      </c>
      <c r="B495">
        <v>41</v>
      </c>
      <c r="C495" t="s">
        <v>50</v>
      </c>
      <c r="D495" t="s">
        <v>51</v>
      </c>
      <c r="E495" t="s">
        <v>92</v>
      </c>
      <c r="F495" t="s">
        <v>66</v>
      </c>
      <c r="G495" t="s">
        <v>51</v>
      </c>
      <c r="H495" t="s">
        <v>1194</v>
      </c>
      <c r="I495" t="s">
        <v>156</v>
      </c>
      <c r="J495" s="2">
        <v>396.82</v>
      </c>
      <c r="K495">
        <v>7</v>
      </c>
      <c r="L495" t="s">
        <v>39</v>
      </c>
      <c r="M495">
        <v>3</v>
      </c>
      <c r="N495">
        <v>4</v>
      </c>
      <c r="O495">
        <v>1</v>
      </c>
      <c r="P495" t="s">
        <v>40</v>
      </c>
      <c r="Q495" t="s">
        <v>41</v>
      </c>
      <c r="R495">
        <v>1</v>
      </c>
      <c r="S495">
        <v>9</v>
      </c>
      <c r="T495" t="s">
        <v>51</v>
      </c>
      <c r="U495" t="s">
        <v>95</v>
      </c>
      <c r="V495" t="s">
        <v>43</v>
      </c>
      <c r="W495" s="1">
        <v>45517</v>
      </c>
      <c r="X495" t="b">
        <v>1</v>
      </c>
      <c r="Y495" t="b">
        <v>1</v>
      </c>
      <c r="Z495" t="s">
        <v>44</v>
      </c>
      <c r="AA495" t="s">
        <v>45</v>
      </c>
      <c r="AB495">
        <v>9</v>
      </c>
    </row>
    <row r="496" spans="1:28">
      <c r="A496" t="s">
        <v>1195</v>
      </c>
      <c r="B496">
        <v>38</v>
      </c>
      <c r="C496" t="s">
        <v>188</v>
      </c>
      <c r="D496" t="s">
        <v>51</v>
      </c>
      <c r="E496" t="s">
        <v>92</v>
      </c>
      <c r="F496" t="s">
        <v>66</v>
      </c>
      <c r="G496" t="s">
        <v>51</v>
      </c>
      <c r="H496" t="s">
        <v>1196</v>
      </c>
      <c r="I496" t="s">
        <v>242</v>
      </c>
      <c r="J496" s="2">
        <v>246.74</v>
      </c>
      <c r="K496">
        <v>10</v>
      </c>
      <c r="L496" t="s">
        <v>94</v>
      </c>
      <c r="M496">
        <v>2</v>
      </c>
      <c r="N496">
        <v>3</v>
      </c>
      <c r="O496">
        <v>0</v>
      </c>
      <c r="P496" t="s">
        <v>56</v>
      </c>
      <c r="Q496" t="s">
        <v>57</v>
      </c>
      <c r="R496">
        <v>1</v>
      </c>
      <c r="S496">
        <v>6</v>
      </c>
      <c r="T496" t="s">
        <v>51</v>
      </c>
      <c r="U496" t="s">
        <v>95</v>
      </c>
      <c r="V496" t="s">
        <v>58</v>
      </c>
      <c r="W496" s="1">
        <v>45378</v>
      </c>
      <c r="X496" t="b">
        <v>0</v>
      </c>
      <c r="Y496" t="b">
        <v>0</v>
      </c>
      <c r="Z496" t="s">
        <v>44</v>
      </c>
      <c r="AA496" t="s">
        <v>77</v>
      </c>
      <c r="AB496">
        <v>8</v>
      </c>
    </row>
    <row r="497" spans="1:28">
      <c r="A497" t="s">
        <v>1197</v>
      </c>
      <c r="B497">
        <v>26</v>
      </c>
      <c r="C497" t="s">
        <v>50</v>
      </c>
      <c r="D497" t="s">
        <v>51</v>
      </c>
      <c r="E497" t="s">
        <v>82</v>
      </c>
      <c r="F497" t="s">
        <v>36</v>
      </c>
      <c r="G497" t="s">
        <v>51</v>
      </c>
      <c r="H497" t="s">
        <v>1198</v>
      </c>
      <c r="I497" t="s">
        <v>123</v>
      </c>
      <c r="J497" s="2">
        <v>128.74</v>
      </c>
      <c r="K497">
        <v>12</v>
      </c>
      <c r="L497" t="s">
        <v>39</v>
      </c>
      <c r="M497">
        <v>5</v>
      </c>
      <c r="N497">
        <v>1</v>
      </c>
      <c r="O497">
        <v>1</v>
      </c>
      <c r="P497" t="s">
        <v>56</v>
      </c>
      <c r="Q497" t="s">
        <v>41</v>
      </c>
      <c r="R497">
        <v>1</v>
      </c>
      <c r="S497">
        <v>8</v>
      </c>
      <c r="T497" t="s">
        <v>51</v>
      </c>
      <c r="U497" t="s">
        <v>95</v>
      </c>
      <c r="V497" t="s">
        <v>58</v>
      </c>
      <c r="W497" s="1">
        <v>45297</v>
      </c>
      <c r="X497" t="b">
        <v>0</v>
      </c>
      <c r="Y497" t="b">
        <v>1</v>
      </c>
      <c r="Z497" t="s">
        <v>89</v>
      </c>
      <c r="AA497" t="s">
        <v>60</v>
      </c>
      <c r="AB497">
        <v>1</v>
      </c>
    </row>
    <row r="498" spans="1:28">
      <c r="A498" t="s">
        <v>1199</v>
      </c>
      <c r="B498">
        <v>41</v>
      </c>
      <c r="C498" t="s">
        <v>33</v>
      </c>
      <c r="D498" t="s">
        <v>34</v>
      </c>
      <c r="E498" t="s">
        <v>82</v>
      </c>
      <c r="F498" t="s">
        <v>66</v>
      </c>
      <c r="G498" t="s">
        <v>34</v>
      </c>
      <c r="H498" t="s">
        <v>1200</v>
      </c>
      <c r="I498" t="s">
        <v>156</v>
      </c>
      <c r="J498" s="2">
        <v>339.63</v>
      </c>
      <c r="K498">
        <v>2</v>
      </c>
      <c r="L498" t="s">
        <v>55</v>
      </c>
      <c r="M498">
        <v>3</v>
      </c>
      <c r="N498">
        <v>3</v>
      </c>
      <c r="O498">
        <v>2</v>
      </c>
      <c r="P498" t="s">
        <v>56</v>
      </c>
      <c r="Q498" t="s">
        <v>101</v>
      </c>
      <c r="R498">
        <v>2</v>
      </c>
      <c r="S498">
        <v>1</v>
      </c>
      <c r="T498" t="s">
        <v>69</v>
      </c>
      <c r="U498" t="s">
        <v>42</v>
      </c>
      <c r="V498" t="s">
        <v>58</v>
      </c>
      <c r="W498" s="1">
        <v>45530</v>
      </c>
      <c r="X498" t="b">
        <v>1</v>
      </c>
      <c r="Y498" t="b">
        <v>0</v>
      </c>
      <c r="Z498" t="s">
        <v>72</v>
      </c>
      <c r="AA498" t="s">
        <v>45</v>
      </c>
      <c r="AB498">
        <v>6</v>
      </c>
    </row>
    <row r="499" spans="1:28">
      <c r="A499" t="s">
        <v>1201</v>
      </c>
      <c r="B499">
        <v>46</v>
      </c>
      <c r="C499" t="s">
        <v>33</v>
      </c>
      <c r="D499" t="s">
        <v>51</v>
      </c>
      <c r="E499" t="s">
        <v>65</v>
      </c>
      <c r="F499" t="s">
        <v>36</v>
      </c>
      <c r="G499" t="s">
        <v>51</v>
      </c>
      <c r="H499" t="s">
        <v>1202</v>
      </c>
      <c r="I499" t="s">
        <v>108</v>
      </c>
      <c r="J499" s="2">
        <v>223.58</v>
      </c>
      <c r="K499">
        <v>11</v>
      </c>
      <c r="L499" t="s">
        <v>39</v>
      </c>
      <c r="M499">
        <v>4</v>
      </c>
      <c r="N499">
        <v>3</v>
      </c>
      <c r="O499">
        <v>0</v>
      </c>
      <c r="P499" t="s">
        <v>51</v>
      </c>
      <c r="Q499" t="s">
        <v>101</v>
      </c>
      <c r="R499">
        <v>0</v>
      </c>
      <c r="S499">
        <v>6</v>
      </c>
      <c r="T499" t="s">
        <v>40</v>
      </c>
      <c r="U499" t="s">
        <v>42</v>
      </c>
      <c r="V499" t="s">
        <v>58</v>
      </c>
      <c r="W499" s="1">
        <v>45432</v>
      </c>
      <c r="X499" t="b">
        <v>0</v>
      </c>
      <c r="Y499" t="b">
        <v>0</v>
      </c>
      <c r="Z499" t="s">
        <v>72</v>
      </c>
      <c r="AA499" t="s">
        <v>45</v>
      </c>
      <c r="AB499">
        <v>11</v>
      </c>
    </row>
    <row r="500" spans="1:28">
      <c r="A500" t="s">
        <v>1204</v>
      </c>
      <c r="B500">
        <v>39</v>
      </c>
      <c r="C500" t="s">
        <v>431</v>
      </c>
      <c r="D500" t="s">
        <v>51</v>
      </c>
      <c r="E500" t="s">
        <v>82</v>
      </c>
      <c r="F500" t="s">
        <v>36</v>
      </c>
      <c r="G500" t="s">
        <v>34</v>
      </c>
      <c r="H500" t="s">
        <v>1205</v>
      </c>
      <c r="I500" t="s">
        <v>38</v>
      </c>
      <c r="J500" s="2">
        <v>446.92</v>
      </c>
      <c r="K500">
        <v>5</v>
      </c>
      <c r="L500" t="s">
        <v>39</v>
      </c>
      <c r="M500">
        <v>1</v>
      </c>
      <c r="N500">
        <v>1</v>
      </c>
      <c r="O500">
        <v>1</v>
      </c>
      <c r="P500" t="s">
        <v>56</v>
      </c>
      <c r="Q500" t="s">
        <v>101</v>
      </c>
      <c r="R500">
        <v>2</v>
      </c>
      <c r="S500">
        <v>6</v>
      </c>
      <c r="T500" t="s">
        <v>40</v>
      </c>
      <c r="U500" t="s">
        <v>70</v>
      </c>
      <c r="V500" t="s">
        <v>58</v>
      </c>
      <c r="W500" s="1">
        <v>45492</v>
      </c>
      <c r="X500" t="b">
        <v>1</v>
      </c>
      <c r="Y500" t="b">
        <v>0</v>
      </c>
      <c r="Z500" t="s">
        <v>89</v>
      </c>
      <c r="AA500" t="s">
        <v>77</v>
      </c>
      <c r="AB500">
        <v>10</v>
      </c>
    </row>
    <row r="501" spans="1:28">
      <c r="A501" t="s">
        <v>1206</v>
      </c>
      <c r="B501">
        <v>43</v>
      </c>
      <c r="C501" t="s">
        <v>50</v>
      </c>
      <c r="D501" t="s">
        <v>34</v>
      </c>
      <c r="E501" t="s">
        <v>92</v>
      </c>
      <c r="F501" t="s">
        <v>36</v>
      </c>
      <c r="G501" t="s">
        <v>34</v>
      </c>
      <c r="H501" t="s">
        <v>1207</v>
      </c>
      <c r="I501" t="s">
        <v>147</v>
      </c>
      <c r="J501" s="2">
        <v>175.65</v>
      </c>
      <c r="K501">
        <v>11</v>
      </c>
      <c r="L501" t="s">
        <v>39</v>
      </c>
      <c r="M501">
        <v>4</v>
      </c>
      <c r="N501">
        <v>3</v>
      </c>
      <c r="O501">
        <v>2</v>
      </c>
      <c r="P501" t="s">
        <v>69</v>
      </c>
      <c r="Q501" t="s">
        <v>57</v>
      </c>
      <c r="R501">
        <v>1</v>
      </c>
      <c r="S501">
        <v>7</v>
      </c>
      <c r="T501" t="s">
        <v>40</v>
      </c>
      <c r="U501" t="s">
        <v>42</v>
      </c>
      <c r="V501" t="s">
        <v>76</v>
      </c>
      <c r="W501" s="1">
        <v>45634</v>
      </c>
      <c r="X501" t="b">
        <v>0</v>
      </c>
      <c r="Y501" t="b">
        <v>1</v>
      </c>
      <c r="Z501" t="s">
        <v>59</v>
      </c>
      <c r="AA501" t="s">
        <v>77</v>
      </c>
      <c r="AB501">
        <v>8</v>
      </c>
    </row>
    <row r="502" spans="1:28">
      <c r="A502" t="s">
        <v>1208</v>
      </c>
      <c r="B502">
        <v>44</v>
      </c>
      <c r="C502" t="s">
        <v>188</v>
      </c>
      <c r="D502" t="s">
        <v>34</v>
      </c>
      <c r="E502" t="s">
        <v>35</v>
      </c>
      <c r="F502" t="s">
        <v>36</v>
      </c>
      <c r="G502" t="s">
        <v>34</v>
      </c>
      <c r="H502" t="s">
        <v>1209</v>
      </c>
      <c r="I502" t="s">
        <v>229</v>
      </c>
      <c r="J502" s="2">
        <v>491.49</v>
      </c>
      <c r="K502">
        <v>10</v>
      </c>
      <c r="L502" t="s">
        <v>39</v>
      </c>
      <c r="M502">
        <v>1</v>
      </c>
      <c r="N502">
        <v>1</v>
      </c>
      <c r="O502">
        <v>0</v>
      </c>
      <c r="P502" t="s">
        <v>69</v>
      </c>
      <c r="Q502" t="s">
        <v>41</v>
      </c>
      <c r="R502">
        <v>2</v>
      </c>
      <c r="S502">
        <v>7</v>
      </c>
      <c r="T502" t="s">
        <v>40</v>
      </c>
      <c r="U502" t="s">
        <v>95</v>
      </c>
      <c r="V502" t="s">
        <v>58</v>
      </c>
      <c r="W502" s="1">
        <v>45440</v>
      </c>
      <c r="X502" t="b">
        <v>0</v>
      </c>
      <c r="Y502" t="b">
        <v>0</v>
      </c>
      <c r="Z502" t="s">
        <v>89</v>
      </c>
      <c r="AA502" t="s">
        <v>60</v>
      </c>
      <c r="AB502">
        <v>1</v>
      </c>
    </row>
    <row r="503" spans="1:28">
      <c r="A503" t="s">
        <v>1210</v>
      </c>
      <c r="B503">
        <v>26</v>
      </c>
      <c r="C503" t="s">
        <v>50</v>
      </c>
      <c r="D503" t="s">
        <v>34</v>
      </c>
      <c r="E503" t="s">
        <v>82</v>
      </c>
      <c r="F503" t="s">
        <v>36</v>
      </c>
      <c r="G503" t="s">
        <v>34</v>
      </c>
      <c r="H503" t="s">
        <v>1211</v>
      </c>
      <c r="I503" t="s">
        <v>235</v>
      </c>
      <c r="J503" s="2">
        <v>88.4</v>
      </c>
      <c r="K503">
        <v>5</v>
      </c>
      <c r="L503" t="s">
        <v>55</v>
      </c>
      <c r="M503">
        <v>5</v>
      </c>
      <c r="N503">
        <v>2</v>
      </c>
      <c r="O503">
        <v>0</v>
      </c>
      <c r="P503" t="s">
        <v>56</v>
      </c>
      <c r="Q503" t="s">
        <v>57</v>
      </c>
      <c r="R503">
        <v>0</v>
      </c>
      <c r="S503">
        <v>4</v>
      </c>
      <c r="T503" t="s">
        <v>56</v>
      </c>
      <c r="U503" t="s">
        <v>95</v>
      </c>
      <c r="V503" t="s">
        <v>102</v>
      </c>
      <c r="W503" s="1">
        <v>45438</v>
      </c>
      <c r="X503" t="b">
        <v>1</v>
      </c>
      <c r="Y503" t="b">
        <v>0</v>
      </c>
      <c r="Z503" t="s">
        <v>44</v>
      </c>
      <c r="AA503" t="s">
        <v>45</v>
      </c>
      <c r="AB503">
        <v>4</v>
      </c>
    </row>
    <row r="504" spans="1:28">
      <c r="A504" t="s">
        <v>1212</v>
      </c>
      <c r="B504">
        <v>29</v>
      </c>
      <c r="C504" t="s">
        <v>50</v>
      </c>
      <c r="D504" t="s">
        <v>34</v>
      </c>
      <c r="E504" t="s">
        <v>82</v>
      </c>
      <c r="F504" t="s">
        <v>66</v>
      </c>
      <c r="G504" t="s">
        <v>51</v>
      </c>
      <c r="H504" t="s">
        <v>1213</v>
      </c>
      <c r="I504" t="s">
        <v>68</v>
      </c>
      <c r="J504" s="2">
        <v>430.9</v>
      </c>
      <c r="K504">
        <v>8</v>
      </c>
      <c r="L504" t="s">
        <v>94</v>
      </c>
      <c r="M504">
        <v>4</v>
      </c>
      <c r="N504">
        <v>5</v>
      </c>
      <c r="O504">
        <v>1</v>
      </c>
      <c r="P504" t="s">
        <v>51</v>
      </c>
      <c r="Q504" t="s">
        <v>57</v>
      </c>
      <c r="R504">
        <v>0</v>
      </c>
      <c r="S504">
        <v>6</v>
      </c>
      <c r="T504" t="s">
        <v>40</v>
      </c>
      <c r="U504" t="s">
        <v>42</v>
      </c>
      <c r="V504" t="s">
        <v>43</v>
      </c>
      <c r="W504" s="1">
        <v>45449</v>
      </c>
      <c r="X504" t="b">
        <v>0</v>
      </c>
      <c r="Y504" t="b">
        <v>0</v>
      </c>
      <c r="Z504" t="s">
        <v>59</v>
      </c>
      <c r="AA504" t="s">
        <v>60</v>
      </c>
      <c r="AB504">
        <v>11</v>
      </c>
    </row>
    <row r="505" spans="1:28">
      <c r="A505" t="s">
        <v>1214</v>
      </c>
      <c r="B505">
        <v>50</v>
      </c>
      <c r="C505" t="s">
        <v>50</v>
      </c>
      <c r="D505" t="s">
        <v>51</v>
      </c>
      <c r="E505" t="s">
        <v>82</v>
      </c>
      <c r="F505" t="s">
        <v>52</v>
      </c>
      <c r="G505" t="s">
        <v>51</v>
      </c>
      <c r="H505" t="s">
        <v>1215</v>
      </c>
      <c r="I505" t="s">
        <v>112</v>
      </c>
      <c r="J505" s="2">
        <v>435.23</v>
      </c>
      <c r="K505">
        <v>2</v>
      </c>
      <c r="L505" t="s">
        <v>55</v>
      </c>
      <c r="M505">
        <v>2</v>
      </c>
      <c r="N505">
        <v>4</v>
      </c>
      <c r="O505">
        <v>0</v>
      </c>
      <c r="P505" t="s">
        <v>40</v>
      </c>
      <c r="Q505" t="s">
        <v>41</v>
      </c>
      <c r="R505">
        <v>2</v>
      </c>
      <c r="S505">
        <v>2</v>
      </c>
      <c r="T505" t="s">
        <v>56</v>
      </c>
      <c r="U505" t="s">
        <v>70</v>
      </c>
      <c r="V505" t="s">
        <v>102</v>
      </c>
      <c r="W505" s="1">
        <v>45349</v>
      </c>
      <c r="X505" t="b">
        <v>0</v>
      </c>
      <c r="Y505" t="b">
        <v>1</v>
      </c>
      <c r="Z505" t="s">
        <v>72</v>
      </c>
      <c r="AA505" t="s">
        <v>77</v>
      </c>
      <c r="AB505">
        <v>13</v>
      </c>
    </row>
    <row r="506" spans="1:28">
      <c r="A506" t="s">
        <v>1216</v>
      </c>
      <c r="B506">
        <v>19</v>
      </c>
      <c r="C506" t="s">
        <v>33</v>
      </c>
      <c r="D506" t="s">
        <v>51</v>
      </c>
      <c r="E506" t="s">
        <v>92</v>
      </c>
      <c r="F506" t="s">
        <v>66</v>
      </c>
      <c r="G506" t="s">
        <v>34</v>
      </c>
      <c r="H506" t="s">
        <v>1217</v>
      </c>
      <c r="I506" t="s">
        <v>156</v>
      </c>
      <c r="J506" s="2">
        <v>218.65</v>
      </c>
      <c r="K506">
        <v>3</v>
      </c>
      <c r="L506" t="s">
        <v>94</v>
      </c>
      <c r="M506">
        <v>4</v>
      </c>
      <c r="N506">
        <v>2</v>
      </c>
      <c r="O506">
        <v>2</v>
      </c>
      <c r="P506" t="s">
        <v>69</v>
      </c>
      <c r="Q506" t="s">
        <v>101</v>
      </c>
      <c r="R506">
        <v>0</v>
      </c>
      <c r="S506">
        <v>9</v>
      </c>
      <c r="T506" t="s">
        <v>56</v>
      </c>
      <c r="U506" t="s">
        <v>70</v>
      </c>
      <c r="V506" t="s">
        <v>43</v>
      </c>
      <c r="W506" s="1">
        <v>45490</v>
      </c>
      <c r="X506" t="b">
        <v>1</v>
      </c>
      <c r="Y506" t="b">
        <v>1</v>
      </c>
      <c r="Z506" t="s">
        <v>72</v>
      </c>
      <c r="AA506" t="s">
        <v>60</v>
      </c>
      <c r="AB506">
        <v>4</v>
      </c>
    </row>
    <row r="507" spans="1:28">
      <c r="A507" t="s">
        <v>1218</v>
      </c>
      <c r="B507">
        <v>27</v>
      </c>
      <c r="C507" t="s">
        <v>50</v>
      </c>
      <c r="D507" t="s">
        <v>51</v>
      </c>
      <c r="E507" t="s">
        <v>82</v>
      </c>
      <c r="F507" t="s">
        <v>52</v>
      </c>
      <c r="G507" t="s">
        <v>34</v>
      </c>
      <c r="H507" t="s">
        <v>1219</v>
      </c>
      <c r="I507" t="s">
        <v>180</v>
      </c>
      <c r="J507" s="2">
        <v>207.66</v>
      </c>
      <c r="K507">
        <v>10</v>
      </c>
      <c r="L507" t="s">
        <v>55</v>
      </c>
      <c r="M507">
        <v>2</v>
      </c>
      <c r="N507">
        <v>3</v>
      </c>
      <c r="O507">
        <v>1</v>
      </c>
      <c r="P507" t="s">
        <v>51</v>
      </c>
      <c r="Q507" t="s">
        <v>101</v>
      </c>
      <c r="R507">
        <v>2</v>
      </c>
      <c r="S507">
        <v>2</v>
      </c>
      <c r="T507" t="s">
        <v>56</v>
      </c>
      <c r="U507" t="s">
        <v>95</v>
      </c>
      <c r="V507" t="s">
        <v>76</v>
      </c>
      <c r="W507" s="1">
        <v>45481</v>
      </c>
      <c r="X507" t="b">
        <v>0</v>
      </c>
      <c r="Y507" t="b">
        <v>1</v>
      </c>
      <c r="Z507" t="s">
        <v>59</v>
      </c>
      <c r="AA507" t="s">
        <v>60</v>
      </c>
      <c r="AB507">
        <v>8</v>
      </c>
    </row>
    <row r="508" spans="1:28">
      <c r="A508" t="s">
        <v>1220</v>
      </c>
      <c r="B508">
        <v>34</v>
      </c>
      <c r="C508" t="s">
        <v>33</v>
      </c>
      <c r="D508" t="s">
        <v>51</v>
      </c>
      <c r="E508" t="s">
        <v>35</v>
      </c>
      <c r="F508" t="s">
        <v>52</v>
      </c>
      <c r="G508" t="s">
        <v>51</v>
      </c>
      <c r="H508" t="s">
        <v>1221</v>
      </c>
      <c r="I508" t="s">
        <v>170</v>
      </c>
      <c r="J508" s="2">
        <v>141.09</v>
      </c>
      <c r="K508">
        <v>7</v>
      </c>
      <c r="L508" t="s">
        <v>55</v>
      </c>
      <c r="M508">
        <v>3</v>
      </c>
      <c r="N508">
        <v>4</v>
      </c>
      <c r="O508">
        <v>0</v>
      </c>
      <c r="P508" t="s">
        <v>51</v>
      </c>
      <c r="Q508" t="s">
        <v>101</v>
      </c>
      <c r="R508">
        <v>2</v>
      </c>
      <c r="S508">
        <v>3</v>
      </c>
      <c r="T508" t="s">
        <v>51</v>
      </c>
      <c r="U508" t="s">
        <v>95</v>
      </c>
      <c r="V508" t="s">
        <v>71</v>
      </c>
      <c r="W508" s="1">
        <v>45462</v>
      </c>
      <c r="X508" t="b">
        <v>0</v>
      </c>
      <c r="Y508" t="b">
        <v>1</v>
      </c>
      <c r="Z508" t="s">
        <v>59</v>
      </c>
      <c r="AA508" t="s">
        <v>77</v>
      </c>
      <c r="AB508">
        <v>1</v>
      </c>
    </row>
    <row r="509" spans="1:28">
      <c r="A509" t="s">
        <v>1222</v>
      </c>
      <c r="B509">
        <v>39</v>
      </c>
      <c r="C509" t="s">
        <v>50</v>
      </c>
      <c r="D509" t="s">
        <v>51</v>
      </c>
      <c r="E509" t="s">
        <v>92</v>
      </c>
      <c r="F509" t="s">
        <v>36</v>
      </c>
      <c r="G509" t="s">
        <v>34</v>
      </c>
      <c r="H509" t="s">
        <v>2334</v>
      </c>
      <c r="I509" t="s">
        <v>143</v>
      </c>
      <c r="J509" s="2">
        <v>142.69999999999999</v>
      </c>
      <c r="K509">
        <v>6</v>
      </c>
      <c r="L509" t="s">
        <v>55</v>
      </c>
      <c r="M509">
        <v>3</v>
      </c>
      <c r="N509">
        <v>2</v>
      </c>
      <c r="O509">
        <v>1</v>
      </c>
      <c r="P509" t="s">
        <v>40</v>
      </c>
      <c r="Q509" t="s">
        <v>101</v>
      </c>
      <c r="R509">
        <v>0</v>
      </c>
      <c r="S509">
        <v>4</v>
      </c>
      <c r="T509" t="s">
        <v>40</v>
      </c>
      <c r="U509" t="s">
        <v>95</v>
      </c>
      <c r="V509" t="s">
        <v>43</v>
      </c>
      <c r="W509" s="1">
        <v>45429</v>
      </c>
      <c r="X509" t="b">
        <v>0</v>
      </c>
      <c r="Y509" t="b">
        <v>1</v>
      </c>
      <c r="Z509" t="s">
        <v>72</v>
      </c>
      <c r="AA509" t="s">
        <v>45</v>
      </c>
      <c r="AB509">
        <v>11</v>
      </c>
    </row>
    <row r="510" spans="1:28">
      <c r="A510" t="s">
        <v>1224</v>
      </c>
      <c r="B510">
        <v>44</v>
      </c>
      <c r="C510" t="s">
        <v>50</v>
      </c>
      <c r="D510" t="s">
        <v>51</v>
      </c>
      <c r="E510" t="s">
        <v>92</v>
      </c>
      <c r="F510" t="s">
        <v>66</v>
      </c>
      <c r="G510" t="s">
        <v>51</v>
      </c>
      <c r="H510" t="s">
        <v>1225</v>
      </c>
      <c r="I510" t="s">
        <v>127</v>
      </c>
      <c r="J510" s="2">
        <v>64.09</v>
      </c>
      <c r="K510">
        <v>10</v>
      </c>
      <c r="L510" t="s">
        <v>94</v>
      </c>
      <c r="M510">
        <v>5</v>
      </c>
      <c r="N510">
        <v>5</v>
      </c>
      <c r="O510">
        <v>0</v>
      </c>
      <c r="P510" t="s">
        <v>40</v>
      </c>
      <c r="Q510" t="s">
        <v>41</v>
      </c>
      <c r="R510">
        <v>0</v>
      </c>
      <c r="S510">
        <v>6</v>
      </c>
      <c r="T510" t="s">
        <v>69</v>
      </c>
      <c r="U510" t="s">
        <v>95</v>
      </c>
      <c r="V510" t="s">
        <v>43</v>
      </c>
      <c r="W510" s="1">
        <v>45585</v>
      </c>
      <c r="X510" t="b">
        <v>1</v>
      </c>
      <c r="Y510" t="b">
        <v>0</v>
      </c>
      <c r="Z510" t="s">
        <v>44</v>
      </c>
      <c r="AA510" t="s">
        <v>77</v>
      </c>
      <c r="AB510">
        <v>7</v>
      </c>
    </row>
    <row r="511" spans="1:28">
      <c r="A511" t="s">
        <v>1227</v>
      </c>
      <c r="B511">
        <v>20</v>
      </c>
      <c r="C511" t="s">
        <v>33</v>
      </c>
      <c r="D511" t="s">
        <v>34</v>
      </c>
      <c r="E511" t="s">
        <v>35</v>
      </c>
      <c r="F511" t="s">
        <v>52</v>
      </c>
      <c r="G511" t="s">
        <v>34</v>
      </c>
      <c r="H511" t="s">
        <v>2309</v>
      </c>
      <c r="I511" t="s">
        <v>156</v>
      </c>
      <c r="J511" s="2">
        <v>126.26</v>
      </c>
      <c r="K511">
        <v>2</v>
      </c>
      <c r="L511" t="s">
        <v>94</v>
      </c>
      <c r="M511">
        <v>4</v>
      </c>
      <c r="N511">
        <v>5</v>
      </c>
      <c r="O511">
        <v>1</v>
      </c>
      <c r="P511" t="s">
        <v>40</v>
      </c>
      <c r="Q511" t="s">
        <v>41</v>
      </c>
      <c r="R511">
        <v>1</v>
      </c>
      <c r="S511">
        <v>6</v>
      </c>
      <c r="T511" t="s">
        <v>40</v>
      </c>
      <c r="U511" t="s">
        <v>70</v>
      </c>
      <c r="V511" t="s">
        <v>71</v>
      </c>
      <c r="W511" s="1">
        <v>45554</v>
      </c>
      <c r="X511" t="b">
        <v>1</v>
      </c>
      <c r="Y511" t="b">
        <v>0</v>
      </c>
      <c r="Z511" t="s">
        <v>89</v>
      </c>
      <c r="AA511" t="s">
        <v>60</v>
      </c>
      <c r="AB511">
        <v>13</v>
      </c>
    </row>
    <row r="512" spans="1:28">
      <c r="A512" t="s">
        <v>1228</v>
      </c>
      <c r="B512">
        <v>42</v>
      </c>
      <c r="C512" t="s">
        <v>33</v>
      </c>
      <c r="D512" t="s">
        <v>34</v>
      </c>
      <c r="E512" t="s">
        <v>65</v>
      </c>
      <c r="F512" t="s">
        <v>52</v>
      </c>
      <c r="G512" t="s">
        <v>51</v>
      </c>
      <c r="H512" t="s">
        <v>1229</v>
      </c>
      <c r="I512" t="s">
        <v>135</v>
      </c>
      <c r="J512" s="2">
        <v>195.05</v>
      </c>
      <c r="K512">
        <v>5</v>
      </c>
      <c r="L512" t="s">
        <v>55</v>
      </c>
      <c r="M512">
        <v>2</v>
      </c>
      <c r="N512">
        <v>1</v>
      </c>
      <c r="O512">
        <v>2</v>
      </c>
      <c r="P512" t="s">
        <v>56</v>
      </c>
      <c r="Q512" t="s">
        <v>57</v>
      </c>
      <c r="R512">
        <v>0</v>
      </c>
      <c r="S512">
        <v>10</v>
      </c>
      <c r="T512" t="s">
        <v>51</v>
      </c>
      <c r="U512" t="s">
        <v>70</v>
      </c>
      <c r="V512" t="s">
        <v>76</v>
      </c>
      <c r="W512" s="1">
        <v>45433</v>
      </c>
      <c r="X512" t="b">
        <v>1</v>
      </c>
      <c r="Y512" t="b">
        <v>0</v>
      </c>
      <c r="Z512" t="s">
        <v>72</v>
      </c>
      <c r="AA512" t="s">
        <v>45</v>
      </c>
      <c r="AB512">
        <v>11</v>
      </c>
    </row>
    <row r="513" spans="1:28">
      <c r="A513" t="s">
        <v>1230</v>
      </c>
      <c r="B513">
        <v>22</v>
      </c>
      <c r="C513" t="s">
        <v>33</v>
      </c>
      <c r="D513" t="s">
        <v>34</v>
      </c>
      <c r="E513" t="s">
        <v>35</v>
      </c>
      <c r="F513" t="s">
        <v>66</v>
      </c>
      <c r="G513" t="s">
        <v>51</v>
      </c>
      <c r="H513" t="s">
        <v>1231</v>
      </c>
      <c r="I513" t="s">
        <v>199</v>
      </c>
      <c r="J513" s="2">
        <v>432.84</v>
      </c>
      <c r="K513">
        <v>7</v>
      </c>
      <c r="L513" t="s">
        <v>39</v>
      </c>
      <c r="M513">
        <v>4</v>
      </c>
      <c r="N513">
        <v>5</v>
      </c>
      <c r="O513">
        <v>2</v>
      </c>
      <c r="P513" t="s">
        <v>51</v>
      </c>
      <c r="Q513" t="s">
        <v>101</v>
      </c>
      <c r="R513">
        <v>0</v>
      </c>
      <c r="S513">
        <v>1</v>
      </c>
      <c r="T513" t="s">
        <v>51</v>
      </c>
      <c r="U513" t="s">
        <v>42</v>
      </c>
      <c r="V513" t="s">
        <v>71</v>
      </c>
      <c r="W513" s="1">
        <v>45327</v>
      </c>
      <c r="X513" t="b">
        <v>0</v>
      </c>
      <c r="Y513" t="b">
        <v>0</v>
      </c>
      <c r="Z513" t="s">
        <v>59</v>
      </c>
      <c r="AA513" t="s">
        <v>45</v>
      </c>
      <c r="AB513">
        <v>4</v>
      </c>
    </row>
    <row r="514" spans="1:28">
      <c r="A514" t="s">
        <v>1232</v>
      </c>
      <c r="B514">
        <v>30</v>
      </c>
      <c r="C514" t="s">
        <v>50</v>
      </c>
      <c r="D514" t="s">
        <v>51</v>
      </c>
      <c r="E514" t="s">
        <v>35</v>
      </c>
      <c r="F514" t="s">
        <v>36</v>
      </c>
      <c r="G514" t="s">
        <v>34</v>
      </c>
      <c r="H514" t="s">
        <v>2335</v>
      </c>
      <c r="I514" t="s">
        <v>306</v>
      </c>
      <c r="J514" s="2">
        <v>404.12</v>
      </c>
      <c r="K514">
        <v>6</v>
      </c>
      <c r="L514" t="s">
        <v>55</v>
      </c>
      <c r="M514">
        <v>1</v>
      </c>
      <c r="N514">
        <v>3</v>
      </c>
      <c r="O514">
        <v>1</v>
      </c>
      <c r="P514" t="s">
        <v>51</v>
      </c>
      <c r="Q514" t="s">
        <v>101</v>
      </c>
      <c r="R514">
        <v>0</v>
      </c>
      <c r="S514">
        <v>4</v>
      </c>
      <c r="T514" t="s">
        <v>69</v>
      </c>
      <c r="U514" t="s">
        <v>70</v>
      </c>
      <c r="V514" t="s">
        <v>71</v>
      </c>
      <c r="W514" s="1">
        <v>45351</v>
      </c>
      <c r="X514" t="b">
        <v>0</v>
      </c>
      <c r="Y514" t="b">
        <v>0</v>
      </c>
      <c r="Z514" t="s">
        <v>72</v>
      </c>
      <c r="AA514" t="s">
        <v>77</v>
      </c>
      <c r="AB514">
        <v>11</v>
      </c>
    </row>
    <row r="515" spans="1:28">
      <c r="A515" t="s">
        <v>1235</v>
      </c>
      <c r="B515">
        <v>39</v>
      </c>
      <c r="C515" t="s">
        <v>50</v>
      </c>
      <c r="D515" t="s">
        <v>51</v>
      </c>
      <c r="E515" t="s">
        <v>92</v>
      </c>
      <c r="F515" t="s">
        <v>66</v>
      </c>
      <c r="G515" t="s">
        <v>51</v>
      </c>
      <c r="H515" t="s">
        <v>1236</v>
      </c>
      <c r="I515" t="s">
        <v>199</v>
      </c>
      <c r="J515" s="2">
        <v>438.26</v>
      </c>
      <c r="K515">
        <v>10</v>
      </c>
      <c r="L515" t="s">
        <v>55</v>
      </c>
      <c r="M515">
        <v>3</v>
      </c>
      <c r="N515">
        <v>4</v>
      </c>
      <c r="O515">
        <v>1</v>
      </c>
      <c r="P515" t="s">
        <v>40</v>
      </c>
      <c r="Q515" t="s">
        <v>41</v>
      </c>
      <c r="R515">
        <v>1</v>
      </c>
      <c r="S515">
        <v>3</v>
      </c>
      <c r="T515" t="s">
        <v>56</v>
      </c>
      <c r="U515" t="s">
        <v>70</v>
      </c>
      <c r="V515" t="s">
        <v>71</v>
      </c>
      <c r="W515" s="1">
        <v>45477</v>
      </c>
      <c r="X515" t="b">
        <v>1</v>
      </c>
      <c r="Y515" t="b">
        <v>0</v>
      </c>
      <c r="Z515" t="s">
        <v>89</v>
      </c>
      <c r="AA515" t="s">
        <v>77</v>
      </c>
      <c r="AB515">
        <v>10</v>
      </c>
    </row>
    <row r="516" spans="1:28">
      <c r="A516" t="s">
        <v>1237</v>
      </c>
      <c r="B516">
        <v>19</v>
      </c>
      <c r="C516" t="s">
        <v>33</v>
      </c>
      <c r="D516" t="s">
        <v>51</v>
      </c>
      <c r="E516" t="s">
        <v>65</v>
      </c>
      <c r="F516" t="s">
        <v>36</v>
      </c>
      <c r="G516" t="s">
        <v>51</v>
      </c>
      <c r="H516" t="s">
        <v>2336</v>
      </c>
      <c r="I516" t="s">
        <v>306</v>
      </c>
      <c r="J516" s="2">
        <v>233.02</v>
      </c>
      <c r="K516">
        <v>4</v>
      </c>
      <c r="L516" t="s">
        <v>39</v>
      </c>
      <c r="M516">
        <v>3</v>
      </c>
      <c r="N516">
        <v>3</v>
      </c>
      <c r="O516">
        <v>1</v>
      </c>
      <c r="P516" t="s">
        <v>56</v>
      </c>
      <c r="Q516" t="s">
        <v>57</v>
      </c>
      <c r="R516">
        <v>0</v>
      </c>
      <c r="S516">
        <v>3</v>
      </c>
      <c r="T516" t="s">
        <v>56</v>
      </c>
      <c r="U516" t="s">
        <v>70</v>
      </c>
      <c r="V516" t="s">
        <v>102</v>
      </c>
      <c r="W516" s="1">
        <v>45594</v>
      </c>
      <c r="X516" t="b">
        <v>0</v>
      </c>
      <c r="Y516" t="b">
        <v>0</v>
      </c>
      <c r="Z516" t="s">
        <v>72</v>
      </c>
      <c r="AA516" t="s">
        <v>60</v>
      </c>
      <c r="AB516">
        <v>8</v>
      </c>
    </row>
    <row r="517" spans="1:28">
      <c r="A517" t="s">
        <v>1239</v>
      </c>
      <c r="B517">
        <v>26</v>
      </c>
      <c r="C517" t="s">
        <v>33</v>
      </c>
      <c r="D517" t="s">
        <v>34</v>
      </c>
      <c r="E517" t="s">
        <v>82</v>
      </c>
      <c r="F517" t="s">
        <v>36</v>
      </c>
      <c r="G517" t="s">
        <v>34</v>
      </c>
      <c r="H517" t="s">
        <v>2337</v>
      </c>
      <c r="I517" t="s">
        <v>143</v>
      </c>
      <c r="J517" s="2">
        <v>273.41000000000003</v>
      </c>
      <c r="K517">
        <v>7</v>
      </c>
      <c r="L517" t="s">
        <v>94</v>
      </c>
      <c r="M517">
        <v>3</v>
      </c>
      <c r="N517">
        <v>5</v>
      </c>
      <c r="O517">
        <v>2</v>
      </c>
      <c r="P517" t="s">
        <v>69</v>
      </c>
      <c r="Q517" t="s">
        <v>101</v>
      </c>
      <c r="R517">
        <v>0</v>
      </c>
      <c r="S517">
        <v>9</v>
      </c>
      <c r="T517" t="s">
        <v>56</v>
      </c>
      <c r="U517" t="s">
        <v>42</v>
      </c>
      <c r="V517" t="s">
        <v>76</v>
      </c>
      <c r="W517" s="1">
        <v>45582</v>
      </c>
      <c r="X517" t="b">
        <v>1</v>
      </c>
      <c r="Y517" t="b">
        <v>0</v>
      </c>
      <c r="Z517" t="s">
        <v>89</v>
      </c>
      <c r="AA517" t="s">
        <v>60</v>
      </c>
      <c r="AB517">
        <v>2</v>
      </c>
    </row>
    <row r="518" spans="1:28">
      <c r="A518" t="s">
        <v>1241</v>
      </c>
      <c r="B518">
        <v>21</v>
      </c>
      <c r="C518" t="s">
        <v>33</v>
      </c>
      <c r="D518" t="s">
        <v>51</v>
      </c>
      <c r="E518" t="s">
        <v>35</v>
      </c>
      <c r="F518" t="s">
        <v>52</v>
      </c>
      <c r="G518" t="s">
        <v>34</v>
      </c>
      <c r="H518" t="s">
        <v>1242</v>
      </c>
      <c r="I518" t="s">
        <v>84</v>
      </c>
      <c r="J518" s="2">
        <v>338.96</v>
      </c>
      <c r="K518">
        <v>10</v>
      </c>
      <c r="L518" t="s">
        <v>94</v>
      </c>
      <c r="M518">
        <v>1</v>
      </c>
      <c r="N518">
        <v>4</v>
      </c>
      <c r="O518">
        <v>2</v>
      </c>
      <c r="P518" t="s">
        <v>51</v>
      </c>
      <c r="Q518" t="s">
        <v>41</v>
      </c>
      <c r="R518">
        <v>1</v>
      </c>
      <c r="S518">
        <v>9</v>
      </c>
      <c r="T518" t="s">
        <v>51</v>
      </c>
      <c r="U518" t="s">
        <v>95</v>
      </c>
      <c r="V518" t="s">
        <v>71</v>
      </c>
      <c r="W518" s="1">
        <v>45600</v>
      </c>
      <c r="X518" t="b">
        <v>1</v>
      </c>
      <c r="Y518" t="b">
        <v>1</v>
      </c>
      <c r="Z518" t="s">
        <v>59</v>
      </c>
      <c r="AA518" t="s">
        <v>60</v>
      </c>
      <c r="AB518">
        <v>4</v>
      </c>
    </row>
    <row r="519" spans="1:28">
      <c r="A519" t="s">
        <v>1243</v>
      </c>
      <c r="B519">
        <v>37</v>
      </c>
      <c r="C519" t="s">
        <v>50</v>
      </c>
      <c r="D519" t="s">
        <v>34</v>
      </c>
      <c r="E519" t="s">
        <v>92</v>
      </c>
      <c r="F519" t="s">
        <v>66</v>
      </c>
      <c r="G519" t="s">
        <v>51</v>
      </c>
      <c r="H519" t="s">
        <v>1244</v>
      </c>
      <c r="I519" t="s">
        <v>123</v>
      </c>
      <c r="J519" s="2">
        <v>75.91</v>
      </c>
      <c r="K519">
        <v>12</v>
      </c>
      <c r="L519" t="s">
        <v>39</v>
      </c>
      <c r="M519">
        <v>3</v>
      </c>
      <c r="N519">
        <v>5</v>
      </c>
      <c r="O519">
        <v>2</v>
      </c>
      <c r="P519" t="s">
        <v>69</v>
      </c>
      <c r="Q519" t="s">
        <v>101</v>
      </c>
      <c r="R519">
        <v>0</v>
      </c>
      <c r="S519">
        <v>6</v>
      </c>
      <c r="T519" t="s">
        <v>40</v>
      </c>
      <c r="U519" t="s">
        <v>95</v>
      </c>
      <c r="V519" t="s">
        <v>58</v>
      </c>
      <c r="W519" s="1">
        <v>45617</v>
      </c>
      <c r="X519" t="b">
        <v>1</v>
      </c>
      <c r="Y519" t="b">
        <v>1</v>
      </c>
      <c r="Z519" t="s">
        <v>89</v>
      </c>
      <c r="AA519" t="s">
        <v>45</v>
      </c>
      <c r="AB519">
        <v>1</v>
      </c>
    </row>
    <row r="520" spans="1:28">
      <c r="A520" t="s">
        <v>1245</v>
      </c>
      <c r="B520">
        <v>23</v>
      </c>
      <c r="C520" t="s">
        <v>50</v>
      </c>
      <c r="D520" t="s">
        <v>51</v>
      </c>
      <c r="E520" t="s">
        <v>35</v>
      </c>
      <c r="F520" t="s">
        <v>52</v>
      </c>
      <c r="G520" t="s">
        <v>51</v>
      </c>
      <c r="H520" t="s">
        <v>2338</v>
      </c>
      <c r="I520" t="s">
        <v>112</v>
      </c>
      <c r="J520" s="2">
        <v>425.21</v>
      </c>
      <c r="K520">
        <v>12</v>
      </c>
      <c r="L520" t="s">
        <v>94</v>
      </c>
      <c r="M520">
        <v>2</v>
      </c>
      <c r="N520">
        <v>4</v>
      </c>
      <c r="O520">
        <v>2</v>
      </c>
      <c r="P520" t="s">
        <v>69</v>
      </c>
      <c r="Q520" t="s">
        <v>41</v>
      </c>
      <c r="R520">
        <v>0</v>
      </c>
      <c r="S520">
        <v>4</v>
      </c>
      <c r="T520" t="s">
        <v>51</v>
      </c>
      <c r="U520" t="s">
        <v>95</v>
      </c>
      <c r="V520" t="s">
        <v>76</v>
      </c>
      <c r="W520" s="1">
        <v>45376</v>
      </c>
      <c r="X520" t="b">
        <v>1</v>
      </c>
      <c r="Y520" t="b">
        <v>1</v>
      </c>
      <c r="Z520" t="s">
        <v>89</v>
      </c>
      <c r="AA520" t="s">
        <v>77</v>
      </c>
      <c r="AB520">
        <v>12</v>
      </c>
    </row>
    <row r="521" spans="1:28">
      <c r="A521" t="s">
        <v>1247</v>
      </c>
      <c r="B521">
        <v>46</v>
      </c>
      <c r="C521" t="s">
        <v>50</v>
      </c>
      <c r="D521" t="s">
        <v>34</v>
      </c>
      <c r="E521" t="s">
        <v>35</v>
      </c>
      <c r="F521" t="s">
        <v>66</v>
      </c>
      <c r="G521" t="s">
        <v>34</v>
      </c>
      <c r="H521" t="s">
        <v>1248</v>
      </c>
      <c r="I521" t="s">
        <v>150</v>
      </c>
      <c r="J521" s="2">
        <v>268.8</v>
      </c>
      <c r="K521">
        <v>2</v>
      </c>
      <c r="L521" t="s">
        <v>55</v>
      </c>
      <c r="M521">
        <v>1</v>
      </c>
      <c r="N521">
        <v>3</v>
      </c>
      <c r="O521">
        <v>0</v>
      </c>
      <c r="P521" t="s">
        <v>51</v>
      </c>
      <c r="Q521" t="s">
        <v>101</v>
      </c>
      <c r="R521">
        <v>1</v>
      </c>
      <c r="S521">
        <v>7</v>
      </c>
      <c r="T521" t="s">
        <v>40</v>
      </c>
      <c r="U521" t="s">
        <v>95</v>
      </c>
      <c r="V521" t="s">
        <v>71</v>
      </c>
      <c r="W521" s="1">
        <v>45402</v>
      </c>
      <c r="X521" t="b">
        <v>0</v>
      </c>
      <c r="Y521" t="b">
        <v>0</v>
      </c>
      <c r="Z521" t="s">
        <v>44</v>
      </c>
      <c r="AA521" t="s">
        <v>60</v>
      </c>
      <c r="AB521">
        <v>12</v>
      </c>
    </row>
    <row r="522" spans="1:28">
      <c r="A522" t="s">
        <v>1249</v>
      </c>
      <c r="B522">
        <v>35</v>
      </c>
      <c r="C522" t="s">
        <v>33</v>
      </c>
      <c r="D522" t="s">
        <v>34</v>
      </c>
      <c r="E522" t="s">
        <v>92</v>
      </c>
      <c r="F522" t="s">
        <v>66</v>
      </c>
      <c r="G522" t="s">
        <v>51</v>
      </c>
      <c r="H522" t="s">
        <v>1250</v>
      </c>
      <c r="I522" t="s">
        <v>131</v>
      </c>
      <c r="J522" s="2">
        <v>170.71</v>
      </c>
      <c r="K522">
        <v>10</v>
      </c>
      <c r="L522" t="s">
        <v>39</v>
      </c>
      <c r="M522">
        <v>5</v>
      </c>
      <c r="N522">
        <v>3</v>
      </c>
      <c r="O522">
        <v>0</v>
      </c>
      <c r="P522" t="s">
        <v>69</v>
      </c>
      <c r="Q522" t="s">
        <v>41</v>
      </c>
      <c r="R522">
        <v>1</v>
      </c>
      <c r="S522">
        <v>9</v>
      </c>
      <c r="T522" t="s">
        <v>69</v>
      </c>
      <c r="U522" t="s">
        <v>95</v>
      </c>
      <c r="V522" t="s">
        <v>43</v>
      </c>
      <c r="W522" s="1">
        <v>45396</v>
      </c>
      <c r="X522" t="b">
        <v>1</v>
      </c>
      <c r="Y522" t="b">
        <v>1</v>
      </c>
      <c r="Z522" t="s">
        <v>89</v>
      </c>
      <c r="AA522" t="s">
        <v>45</v>
      </c>
      <c r="AB522">
        <v>7</v>
      </c>
    </row>
    <row r="523" spans="1:28">
      <c r="A523" t="s">
        <v>1251</v>
      </c>
      <c r="B523">
        <v>33</v>
      </c>
      <c r="C523" t="s">
        <v>238</v>
      </c>
      <c r="D523" t="s">
        <v>34</v>
      </c>
      <c r="E523" t="s">
        <v>82</v>
      </c>
      <c r="F523" t="s">
        <v>52</v>
      </c>
      <c r="G523" t="s">
        <v>34</v>
      </c>
      <c r="H523" t="s">
        <v>1252</v>
      </c>
      <c r="I523" t="s">
        <v>127</v>
      </c>
      <c r="J523" s="2">
        <v>444.05</v>
      </c>
      <c r="K523">
        <v>10</v>
      </c>
      <c r="L523" t="s">
        <v>94</v>
      </c>
      <c r="M523">
        <v>5</v>
      </c>
      <c r="N523">
        <v>4</v>
      </c>
      <c r="O523">
        <v>0</v>
      </c>
      <c r="P523" t="s">
        <v>69</v>
      </c>
      <c r="Q523" t="s">
        <v>57</v>
      </c>
      <c r="R523">
        <v>1</v>
      </c>
      <c r="S523">
        <v>8</v>
      </c>
      <c r="T523" t="s">
        <v>56</v>
      </c>
      <c r="U523" t="s">
        <v>95</v>
      </c>
      <c r="V523" t="s">
        <v>58</v>
      </c>
      <c r="W523" s="1">
        <v>45447</v>
      </c>
      <c r="X523" t="b">
        <v>1</v>
      </c>
      <c r="Y523" t="b">
        <v>1</v>
      </c>
      <c r="Z523" t="s">
        <v>59</v>
      </c>
      <c r="AA523" t="s">
        <v>60</v>
      </c>
      <c r="AB523">
        <v>8</v>
      </c>
    </row>
    <row r="524" spans="1:28">
      <c r="A524" t="s">
        <v>1253</v>
      </c>
      <c r="B524">
        <v>47</v>
      </c>
      <c r="C524" t="s">
        <v>50</v>
      </c>
      <c r="D524" t="s">
        <v>34</v>
      </c>
      <c r="E524" t="s">
        <v>92</v>
      </c>
      <c r="F524" t="s">
        <v>52</v>
      </c>
      <c r="G524" t="s">
        <v>34</v>
      </c>
      <c r="H524" t="s">
        <v>1254</v>
      </c>
      <c r="I524" t="s">
        <v>38</v>
      </c>
      <c r="J524" s="2">
        <v>255.1</v>
      </c>
      <c r="K524">
        <v>5</v>
      </c>
      <c r="L524" t="s">
        <v>39</v>
      </c>
      <c r="M524">
        <v>5</v>
      </c>
      <c r="N524">
        <v>1</v>
      </c>
      <c r="O524">
        <v>2</v>
      </c>
      <c r="P524" t="s">
        <v>51</v>
      </c>
      <c r="Q524" t="s">
        <v>101</v>
      </c>
      <c r="R524">
        <v>1</v>
      </c>
      <c r="S524">
        <v>1</v>
      </c>
      <c r="T524" t="s">
        <v>69</v>
      </c>
      <c r="U524" t="s">
        <v>95</v>
      </c>
      <c r="V524" t="s">
        <v>58</v>
      </c>
      <c r="W524" s="1">
        <v>45319</v>
      </c>
      <c r="X524" t="b">
        <v>1</v>
      </c>
      <c r="Y524" t="b">
        <v>0</v>
      </c>
      <c r="Z524" t="s">
        <v>89</v>
      </c>
      <c r="AA524" t="s">
        <v>45</v>
      </c>
      <c r="AB524">
        <v>14</v>
      </c>
    </row>
    <row r="525" spans="1:28">
      <c r="A525" t="s">
        <v>1255</v>
      </c>
      <c r="B525">
        <v>32</v>
      </c>
      <c r="C525" t="s">
        <v>50</v>
      </c>
      <c r="D525" t="s">
        <v>51</v>
      </c>
      <c r="E525" t="s">
        <v>82</v>
      </c>
      <c r="F525" t="s">
        <v>36</v>
      </c>
      <c r="G525" t="s">
        <v>51</v>
      </c>
      <c r="H525" t="s">
        <v>1256</v>
      </c>
      <c r="I525" t="s">
        <v>180</v>
      </c>
      <c r="J525" s="2">
        <v>236.44</v>
      </c>
      <c r="K525">
        <v>6</v>
      </c>
      <c r="L525" t="s">
        <v>39</v>
      </c>
      <c r="M525">
        <v>4</v>
      </c>
      <c r="N525">
        <v>4</v>
      </c>
      <c r="O525">
        <v>0</v>
      </c>
      <c r="P525" t="s">
        <v>56</v>
      </c>
      <c r="Q525" t="s">
        <v>101</v>
      </c>
      <c r="R525">
        <v>2</v>
      </c>
      <c r="S525">
        <v>2</v>
      </c>
      <c r="T525" t="s">
        <v>40</v>
      </c>
      <c r="U525" t="s">
        <v>70</v>
      </c>
      <c r="V525" t="s">
        <v>58</v>
      </c>
      <c r="W525" s="1">
        <v>45427</v>
      </c>
      <c r="X525" t="b">
        <v>0</v>
      </c>
      <c r="Y525" t="b">
        <v>0</v>
      </c>
      <c r="Z525" t="s">
        <v>72</v>
      </c>
      <c r="AA525" t="s">
        <v>60</v>
      </c>
      <c r="AB525">
        <v>6</v>
      </c>
    </row>
    <row r="526" spans="1:28">
      <c r="A526" t="s">
        <v>1257</v>
      </c>
      <c r="B526">
        <v>20</v>
      </c>
      <c r="C526" t="s">
        <v>50</v>
      </c>
      <c r="D526" t="s">
        <v>34</v>
      </c>
      <c r="E526" t="s">
        <v>82</v>
      </c>
      <c r="F526" t="s">
        <v>36</v>
      </c>
      <c r="G526" t="s">
        <v>51</v>
      </c>
      <c r="H526" t="s">
        <v>1258</v>
      </c>
      <c r="I526" t="s">
        <v>84</v>
      </c>
      <c r="J526" s="2">
        <v>201.69</v>
      </c>
      <c r="K526">
        <v>11</v>
      </c>
      <c r="L526" t="s">
        <v>39</v>
      </c>
      <c r="M526">
        <v>4</v>
      </c>
      <c r="N526">
        <v>5</v>
      </c>
      <c r="O526">
        <v>0</v>
      </c>
      <c r="P526" t="s">
        <v>51</v>
      </c>
      <c r="Q526" t="s">
        <v>101</v>
      </c>
      <c r="R526">
        <v>2</v>
      </c>
      <c r="S526">
        <v>8</v>
      </c>
      <c r="T526" t="s">
        <v>69</v>
      </c>
      <c r="U526" t="s">
        <v>42</v>
      </c>
      <c r="V526" t="s">
        <v>76</v>
      </c>
      <c r="W526" s="1">
        <v>45492</v>
      </c>
      <c r="X526" t="b">
        <v>1</v>
      </c>
      <c r="Y526" t="b">
        <v>0</v>
      </c>
      <c r="Z526" t="s">
        <v>89</v>
      </c>
      <c r="AA526" t="s">
        <v>45</v>
      </c>
      <c r="AB526">
        <v>3</v>
      </c>
    </row>
    <row r="527" spans="1:28">
      <c r="A527" t="s">
        <v>1259</v>
      </c>
      <c r="B527">
        <v>37</v>
      </c>
      <c r="C527" t="s">
        <v>33</v>
      </c>
      <c r="D527" t="s">
        <v>51</v>
      </c>
      <c r="E527" t="s">
        <v>65</v>
      </c>
      <c r="F527" t="s">
        <v>36</v>
      </c>
      <c r="G527" t="s">
        <v>34</v>
      </c>
      <c r="H527" t="s">
        <v>1260</v>
      </c>
      <c r="I527" t="s">
        <v>170</v>
      </c>
      <c r="J527" s="2">
        <v>390.51</v>
      </c>
      <c r="K527">
        <v>6</v>
      </c>
      <c r="L527" t="s">
        <v>94</v>
      </c>
      <c r="M527">
        <v>3</v>
      </c>
      <c r="N527">
        <v>2</v>
      </c>
      <c r="O527">
        <v>0</v>
      </c>
      <c r="P527" t="s">
        <v>56</v>
      </c>
      <c r="Q527" t="s">
        <v>101</v>
      </c>
      <c r="R527">
        <v>0</v>
      </c>
      <c r="S527">
        <v>2</v>
      </c>
      <c r="T527" t="s">
        <v>51</v>
      </c>
      <c r="U527" t="s">
        <v>95</v>
      </c>
      <c r="V527" t="s">
        <v>102</v>
      </c>
      <c r="W527" s="1">
        <v>45397</v>
      </c>
      <c r="X527" t="b">
        <v>0</v>
      </c>
      <c r="Y527" t="b">
        <v>0</v>
      </c>
      <c r="Z527" t="s">
        <v>59</v>
      </c>
      <c r="AA527" t="s">
        <v>77</v>
      </c>
      <c r="AB527">
        <v>6</v>
      </c>
    </row>
    <row r="528" spans="1:28">
      <c r="A528" t="s">
        <v>1261</v>
      </c>
      <c r="B528">
        <v>35</v>
      </c>
      <c r="C528" t="s">
        <v>238</v>
      </c>
      <c r="D528" t="s">
        <v>51</v>
      </c>
      <c r="E528" t="s">
        <v>92</v>
      </c>
      <c r="F528" t="s">
        <v>66</v>
      </c>
      <c r="G528" t="s">
        <v>51</v>
      </c>
      <c r="H528" t="s">
        <v>1262</v>
      </c>
      <c r="I528" t="s">
        <v>229</v>
      </c>
      <c r="J528" s="2">
        <v>442.29</v>
      </c>
      <c r="K528">
        <v>9</v>
      </c>
      <c r="L528" t="s">
        <v>39</v>
      </c>
      <c r="M528">
        <v>1</v>
      </c>
      <c r="N528">
        <v>2</v>
      </c>
      <c r="O528">
        <v>0</v>
      </c>
      <c r="P528" t="s">
        <v>56</v>
      </c>
      <c r="Q528" t="s">
        <v>41</v>
      </c>
      <c r="R528">
        <v>1</v>
      </c>
      <c r="S528">
        <v>2</v>
      </c>
      <c r="T528" t="s">
        <v>69</v>
      </c>
      <c r="U528" t="s">
        <v>42</v>
      </c>
      <c r="V528" t="s">
        <v>58</v>
      </c>
      <c r="W528" s="1">
        <v>45546</v>
      </c>
      <c r="X528" t="b">
        <v>0</v>
      </c>
      <c r="Y528" t="b">
        <v>0</v>
      </c>
      <c r="Z528" t="s">
        <v>89</v>
      </c>
      <c r="AA528" t="s">
        <v>77</v>
      </c>
      <c r="AB528">
        <v>13</v>
      </c>
    </row>
    <row r="529" spans="1:28">
      <c r="A529" t="s">
        <v>1263</v>
      </c>
      <c r="B529">
        <v>18</v>
      </c>
      <c r="C529" t="s">
        <v>33</v>
      </c>
      <c r="D529" t="s">
        <v>34</v>
      </c>
      <c r="E529" t="s">
        <v>65</v>
      </c>
      <c r="F529" t="s">
        <v>52</v>
      </c>
      <c r="G529" t="s">
        <v>51</v>
      </c>
      <c r="H529" t="s">
        <v>1264</v>
      </c>
      <c r="I529" t="s">
        <v>84</v>
      </c>
      <c r="J529" s="2">
        <v>89.6</v>
      </c>
      <c r="K529">
        <v>7</v>
      </c>
      <c r="L529" t="s">
        <v>55</v>
      </c>
      <c r="M529">
        <v>5</v>
      </c>
      <c r="N529">
        <v>3</v>
      </c>
      <c r="O529">
        <v>2</v>
      </c>
      <c r="P529" t="s">
        <v>40</v>
      </c>
      <c r="Q529" t="s">
        <v>57</v>
      </c>
      <c r="R529">
        <v>1</v>
      </c>
      <c r="S529">
        <v>5</v>
      </c>
      <c r="T529" t="s">
        <v>69</v>
      </c>
      <c r="U529" t="s">
        <v>95</v>
      </c>
      <c r="V529" t="s">
        <v>102</v>
      </c>
      <c r="W529" s="1">
        <v>45361</v>
      </c>
      <c r="X529" t="b">
        <v>0</v>
      </c>
      <c r="Y529" t="b">
        <v>0</v>
      </c>
      <c r="Z529" t="s">
        <v>89</v>
      </c>
      <c r="AA529" t="s">
        <v>60</v>
      </c>
      <c r="AB529">
        <v>8</v>
      </c>
    </row>
    <row r="530" spans="1:28">
      <c r="A530" t="s">
        <v>1265</v>
      </c>
      <c r="B530">
        <v>27</v>
      </c>
      <c r="C530" t="s">
        <v>50</v>
      </c>
      <c r="D530" t="s">
        <v>34</v>
      </c>
      <c r="E530" t="s">
        <v>82</v>
      </c>
      <c r="F530" t="s">
        <v>52</v>
      </c>
      <c r="G530" t="s">
        <v>51</v>
      </c>
      <c r="H530" t="s">
        <v>1266</v>
      </c>
      <c r="I530" t="s">
        <v>108</v>
      </c>
      <c r="J530" s="2">
        <v>166.74</v>
      </c>
      <c r="K530">
        <v>6</v>
      </c>
      <c r="L530" t="s">
        <v>39</v>
      </c>
      <c r="M530">
        <v>2</v>
      </c>
      <c r="N530">
        <v>5</v>
      </c>
      <c r="O530">
        <v>0</v>
      </c>
      <c r="P530" t="s">
        <v>51</v>
      </c>
      <c r="Q530" t="s">
        <v>57</v>
      </c>
      <c r="R530">
        <v>0</v>
      </c>
      <c r="S530">
        <v>6</v>
      </c>
      <c r="T530" t="s">
        <v>69</v>
      </c>
      <c r="U530" t="s">
        <v>95</v>
      </c>
      <c r="V530" t="s">
        <v>76</v>
      </c>
      <c r="W530" s="1">
        <v>45305</v>
      </c>
      <c r="X530" t="b">
        <v>0</v>
      </c>
      <c r="Y530" t="b">
        <v>0</v>
      </c>
      <c r="Z530" t="s">
        <v>72</v>
      </c>
      <c r="AA530" t="s">
        <v>45</v>
      </c>
      <c r="AB530">
        <v>1</v>
      </c>
    </row>
    <row r="531" spans="1:28">
      <c r="A531" t="s">
        <v>1267</v>
      </c>
      <c r="B531">
        <v>29</v>
      </c>
      <c r="C531" t="s">
        <v>33</v>
      </c>
      <c r="D531" t="s">
        <v>51</v>
      </c>
      <c r="E531" t="s">
        <v>35</v>
      </c>
      <c r="F531" t="s">
        <v>36</v>
      </c>
      <c r="G531" t="s">
        <v>34</v>
      </c>
      <c r="H531" t="s">
        <v>2339</v>
      </c>
      <c r="I531" t="s">
        <v>112</v>
      </c>
      <c r="J531" s="2">
        <v>299.27999999999997</v>
      </c>
      <c r="K531">
        <v>12</v>
      </c>
      <c r="L531" t="s">
        <v>39</v>
      </c>
      <c r="M531">
        <v>4</v>
      </c>
      <c r="N531">
        <v>5</v>
      </c>
      <c r="O531">
        <v>1</v>
      </c>
      <c r="P531" t="s">
        <v>51</v>
      </c>
      <c r="Q531" t="s">
        <v>41</v>
      </c>
      <c r="R531">
        <v>0</v>
      </c>
      <c r="S531">
        <v>9</v>
      </c>
      <c r="T531" t="s">
        <v>51</v>
      </c>
      <c r="U531" t="s">
        <v>70</v>
      </c>
      <c r="V531" t="s">
        <v>71</v>
      </c>
      <c r="W531" s="1">
        <v>45441</v>
      </c>
      <c r="X531" t="b">
        <v>0</v>
      </c>
      <c r="Y531" t="b">
        <v>0</v>
      </c>
      <c r="Z531" t="s">
        <v>59</v>
      </c>
      <c r="AA531" t="s">
        <v>60</v>
      </c>
      <c r="AB531">
        <v>3</v>
      </c>
    </row>
    <row r="532" spans="1:28">
      <c r="A532" t="s">
        <v>1270</v>
      </c>
      <c r="B532">
        <v>24</v>
      </c>
      <c r="C532" t="s">
        <v>50</v>
      </c>
      <c r="D532" t="s">
        <v>51</v>
      </c>
      <c r="E532" t="s">
        <v>82</v>
      </c>
      <c r="F532" t="s">
        <v>66</v>
      </c>
      <c r="G532" t="s">
        <v>51</v>
      </c>
      <c r="H532" t="s">
        <v>1271</v>
      </c>
      <c r="I532" t="s">
        <v>108</v>
      </c>
      <c r="J532" s="2">
        <v>404.57</v>
      </c>
      <c r="K532">
        <v>5</v>
      </c>
      <c r="L532" t="s">
        <v>39</v>
      </c>
      <c r="M532">
        <v>4</v>
      </c>
      <c r="N532">
        <v>3</v>
      </c>
      <c r="O532">
        <v>0</v>
      </c>
      <c r="P532" t="s">
        <v>56</v>
      </c>
      <c r="Q532" t="s">
        <v>57</v>
      </c>
      <c r="R532">
        <v>2</v>
      </c>
      <c r="S532">
        <v>7</v>
      </c>
      <c r="T532" t="s">
        <v>40</v>
      </c>
      <c r="U532" t="s">
        <v>70</v>
      </c>
      <c r="V532" t="s">
        <v>71</v>
      </c>
      <c r="W532" s="1">
        <v>45535</v>
      </c>
      <c r="X532" t="b">
        <v>0</v>
      </c>
      <c r="Y532" t="b">
        <v>1</v>
      </c>
      <c r="Z532" t="s">
        <v>44</v>
      </c>
      <c r="AA532" t="s">
        <v>77</v>
      </c>
      <c r="AB532">
        <v>14</v>
      </c>
    </row>
    <row r="533" spans="1:28">
      <c r="A533" t="s">
        <v>1272</v>
      </c>
      <c r="B533">
        <v>27</v>
      </c>
      <c r="C533" t="s">
        <v>50</v>
      </c>
      <c r="D533" t="s">
        <v>51</v>
      </c>
      <c r="E533" t="s">
        <v>65</v>
      </c>
      <c r="F533" t="s">
        <v>36</v>
      </c>
      <c r="G533" t="s">
        <v>51</v>
      </c>
      <c r="H533" t="s">
        <v>1273</v>
      </c>
      <c r="I533" t="s">
        <v>150</v>
      </c>
      <c r="J533" s="2">
        <v>344.81</v>
      </c>
      <c r="K533">
        <v>10</v>
      </c>
      <c r="L533" t="s">
        <v>55</v>
      </c>
      <c r="M533">
        <v>3</v>
      </c>
      <c r="N533">
        <v>1</v>
      </c>
      <c r="O533">
        <v>2</v>
      </c>
      <c r="P533" t="s">
        <v>69</v>
      </c>
      <c r="Q533" t="s">
        <v>41</v>
      </c>
      <c r="R533">
        <v>1</v>
      </c>
      <c r="S533">
        <v>9</v>
      </c>
      <c r="T533" t="s">
        <v>51</v>
      </c>
      <c r="U533" t="s">
        <v>95</v>
      </c>
      <c r="V533" t="s">
        <v>76</v>
      </c>
      <c r="W533" s="1">
        <v>45649</v>
      </c>
      <c r="X533" t="b">
        <v>1</v>
      </c>
      <c r="Y533" t="b">
        <v>1</v>
      </c>
      <c r="Z533" t="s">
        <v>59</v>
      </c>
      <c r="AA533" t="s">
        <v>77</v>
      </c>
      <c r="AB533">
        <v>14</v>
      </c>
    </row>
    <row r="534" spans="1:28">
      <c r="A534" t="s">
        <v>1275</v>
      </c>
      <c r="B534">
        <v>34</v>
      </c>
      <c r="C534" t="s">
        <v>50</v>
      </c>
      <c r="D534" t="s">
        <v>51</v>
      </c>
      <c r="E534" t="s">
        <v>65</v>
      </c>
      <c r="F534" t="s">
        <v>66</v>
      </c>
      <c r="G534" t="s">
        <v>51</v>
      </c>
      <c r="H534" t="s">
        <v>2340</v>
      </c>
      <c r="I534" t="s">
        <v>131</v>
      </c>
      <c r="J534" s="2">
        <v>217.84</v>
      </c>
      <c r="K534">
        <v>10</v>
      </c>
      <c r="L534" t="s">
        <v>94</v>
      </c>
      <c r="M534">
        <v>2</v>
      </c>
      <c r="N534">
        <v>2</v>
      </c>
      <c r="O534">
        <v>2</v>
      </c>
      <c r="P534" t="s">
        <v>40</v>
      </c>
      <c r="Q534" t="s">
        <v>101</v>
      </c>
      <c r="R534">
        <v>0</v>
      </c>
      <c r="S534">
        <v>8</v>
      </c>
      <c r="T534" t="s">
        <v>51</v>
      </c>
      <c r="U534" t="s">
        <v>42</v>
      </c>
      <c r="V534" t="s">
        <v>102</v>
      </c>
      <c r="W534" s="1">
        <v>45307</v>
      </c>
      <c r="X534" t="b">
        <v>1</v>
      </c>
      <c r="Y534" t="b">
        <v>1</v>
      </c>
      <c r="Z534" t="s">
        <v>59</v>
      </c>
      <c r="AA534" t="s">
        <v>60</v>
      </c>
      <c r="AB534">
        <v>11</v>
      </c>
    </row>
    <row r="535" spans="1:28">
      <c r="A535" t="s">
        <v>1277</v>
      </c>
      <c r="B535">
        <v>21</v>
      </c>
      <c r="C535" t="s">
        <v>50</v>
      </c>
      <c r="D535" t="s">
        <v>34</v>
      </c>
      <c r="E535" t="s">
        <v>92</v>
      </c>
      <c r="F535" t="s">
        <v>36</v>
      </c>
      <c r="G535" t="s">
        <v>34</v>
      </c>
      <c r="H535" t="s">
        <v>1278</v>
      </c>
      <c r="I535" t="s">
        <v>108</v>
      </c>
      <c r="J535" s="2">
        <v>445.34</v>
      </c>
      <c r="K535">
        <v>9</v>
      </c>
      <c r="L535" t="s">
        <v>55</v>
      </c>
      <c r="M535">
        <v>5</v>
      </c>
      <c r="N535">
        <v>2</v>
      </c>
      <c r="O535">
        <v>1</v>
      </c>
      <c r="P535" t="s">
        <v>69</v>
      </c>
      <c r="Q535" t="s">
        <v>41</v>
      </c>
      <c r="R535">
        <v>1</v>
      </c>
      <c r="S535">
        <v>3</v>
      </c>
      <c r="T535" t="s">
        <v>51</v>
      </c>
      <c r="U535" t="s">
        <v>42</v>
      </c>
      <c r="V535" t="s">
        <v>102</v>
      </c>
      <c r="W535" s="1">
        <v>45355</v>
      </c>
      <c r="X535" t="b">
        <v>1</v>
      </c>
      <c r="Y535" t="b">
        <v>1</v>
      </c>
      <c r="Z535" t="s">
        <v>72</v>
      </c>
      <c r="AA535" t="s">
        <v>45</v>
      </c>
      <c r="AB535">
        <v>3</v>
      </c>
    </row>
    <row r="536" spans="1:28">
      <c r="A536" t="s">
        <v>1279</v>
      </c>
      <c r="B536">
        <v>18</v>
      </c>
      <c r="C536" t="s">
        <v>50</v>
      </c>
      <c r="D536" t="s">
        <v>51</v>
      </c>
      <c r="E536" t="s">
        <v>82</v>
      </c>
      <c r="F536" t="s">
        <v>52</v>
      </c>
      <c r="G536" t="s">
        <v>51</v>
      </c>
      <c r="H536" t="s">
        <v>2341</v>
      </c>
      <c r="I536" t="s">
        <v>75</v>
      </c>
      <c r="J536" s="2">
        <v>151.72999999999999</v>
      </c>
      <c r="K536">
        <v>3</v>
      </c>
      <c r="L536" t="s">
        <v>55</v>
      </c>
      <c r="M536">
        <v>2</v>
      </c>
      <c r="N536">
        <v>4</v>
      </c>
      <c r="O536">
        <v>1</v>
      </c>
      <c r="P536" t="s">
        <v>56</v>
      </c>
      <c r="Q536" t="s">
        <v>101</v>
      </c>
      <c r="R536">
        <v>1</v>
      </c>
      <c r="S536">
        <v>3</v>
      </c>
      <c r="T536" t="s">
        <v>40</v>
      </c>
      <c r="U536" t="s">
        <v>70</v>
      </c>
      <c r="V536" t="s">
        <v>76</v>
      </c>
      <c r="W536" s="1">
        <v>45559</v>
      </c>
      <c r="X536" t="b">
        <v>0</v>
      </c>
      <c r="Y536" t="b">
        <v>1</v>
      </c>
      <c r="Z536" t="s">
        <v>59</v>
      </c>
      <c r="AA536" t="s">
        <v>77</v>
      </c>
      <c r="AB536">
        <v>11</v>
      </c>
    </row>
    <row r="537" spans="1:28">
      <c r="A537" t="s">
        <v>1281</v>
      </c>
      <c r="B537">
        <v>50</v>
      </c>
      <c r="C537" t="s">
        <v>106</v>
      </c>
      <c r="D537" t="s">
        <v>51</v>
      </c>
      <c r="E537" t="s">
        <v>35</v>
      </c>
      <c r="F537" t="s">
        <v>52</v>
      </c>
      <c r="G537" t="s">
        <v>51</v>
      </c>
      <c r="H537" t="s">
        <v>1282</v>
      </c>
      <c r="I537" t="s">
        <v>147</v>
      </c>
      <c r="J537" s="2">
        <v>123.73</v>
      </c>
      <c r="K537">
        <v>9</v>
      </c>
      <c r="L537" t="s">
        <v>94</v>
      </c>
      <c r="M537">
        <v>1</v>
      </c>
      <c r="N537">
        <v>4</v>
      </c>
      <c r="O537">
        <v>0</v>
      </c>
      <c r="P537" t="s">
        <v>51</v>
      </c>
      <c r="Q537" t="s">
        <v>57</v>
      </c>
      <c r="R537">
        <v>2</v>
      </c>
      <c r="S537">
        <v>5</v>
      </c>
      <c r="T537" t="s">
        <v>51</v>
      </c>
      <c r="U537" t="s">
        <v>70</v>
      </c>
      <c r="V537" t="s">
        <v>43</v>
      </c>
      <c r="W537" s="1">
        <v>45572</v>
      </c>
      <c r="X537" t="b">
        <v>0</v>
      </c>
      <c r="Y537" t="b">
        <v>1</v>
      </c>
      <c r="Z537" t="s">
        <v>44</v>
      </c>
      <c r="AA537" t="s">
        <v>45</v>
      </c>
      <c r="AB537">
        <v>10</v>
      </c>
    </row>
    <row r="538" spans="1:28">
      <c r="A538" t="s">
        <v>1283</v>
      </c>
      <c r="B538">
        <v>31</v>
      </c>
      <c r="C538" t="s">
        <v>50</v>
      </c>
      <c r="D538" t="s">
        <v>34</v>
      </c>
      <c r="E538" t="s">
        <v>65</v>
      </c>
      <c r="F538" t="s">
        <v>66</v>
      </c>
      <c r="G538" t="s">
        <v>51</v>
      </c>
      <c r="H538" t="s">
        <v>2342</v>
      </c>
      <c r="I538" t="s">
        <v>242</v>
      </c>
      <c r="J538" s="2">
        <v>370.54</v>
      </c>
      <c r="K538">
        <v>2</v>
      </c>
      <c r="L538" t="s">
        <v>55</v>
      </c>
      <c r="M538">
        <v>3</v>
      </c>
      <c r="N538">
        <v>3</v>
      </c>
      <c r="O538">
        <v>0</v>
      </c>
      <c r="P538" t="s">
        <v>69</v>
      </c>
      <c r="Q538" t="s">
        <v>101</v>
      </c>
      <c r="R538">
        <v>1</v>
      </c>
      <c r="S538">
        <v>9</v>
      </c>
      <c r="T538" t="s">
        <v>69</v>
      </c>
      <c r="U538" t="s">
        <v>70</v>
      </c>
      <c r="V538" t="s">
        <v>43</v>
      </c>
      <c r="W538" s="1">
        <v>45376</v>
      </c>
      <c r="X538" t="b">
        <v>1</v>
      </c>
      <c r="Y538" t="b">
        <v>0</v>
      </c>
      <c r="Z538" t="s">
        <v>72</v>
      </c>
      <c r="AA538" t="s">
        <v>45</v>
      </c>
      <c r="AB538">
        <v>7</v>
      </c>
    </row>
    <row r="539" spans="1:28">
      <c r="A539" t="s">
        <v>1285</v>
      </c>
      <c r="B539">
        <v>45</v>
      </c>
      <c r="C539" t="s">
        <v>50</v>
      </c>
      <c r="D539" t="s">
        <v>51</v>
      </c>
      <c r="E539" t="s">
        <v>35</v>
      </c>
      <c r="F539" t="s">
        <v>66</v>
      </c>
      <c r="G539" t="s">
        <v>51</v>
      </c>
      <c r="H539" t="s">
        <v>1286</v>
      </c>
      <c r="I539" t="s">
        <v>153</v>
      </c>
      <c r="J539" s="2">
        <v>152.87</v>
      </c>
      <c r="K539">
        <v>3</v>
      </c>
      <c r="L539" t="s">
        <v>55</v>
      </c>
      <c r="M539">
        <v>1</v>
      </c>
      <c r="N539">
        <v>5</v>
      </c>
      <c r="O539">
        <v>2</v>
      </c>
      <c r="P539" t="s">
        <v>51</v>
      </c>
      <c r="Q539" t="s">
        <v>101</v>
      </c>
      <c r="R539">
        <v>1</v>
      </c>
      <c r="S539">
        <v>8</v>
      </c>
      <c r="T539" t="s">
        <v>40</v>
      </c>
      <c r="U539" t="s">
        <v>42</v>
      </c>
      <c r="V539" t="s">
        <v>71</v>
      </c>
      <c r="W539" s="1">
        <v>45524</v>
      </c>
      <c r="X539" t="b">
        <v>0</v>
      </c>
      <c r="Y539" t="b">
        <v>0</v>
      </c>
      <c r="Z539" t="s">
        <v>72</v>
      </c>
      <c r="AA539" t="s">
        <v>77</v>
      </c>
      <c r="AB539">
        <v>11</v>
      </c>
    </row>
    <row r="540" spans="1:28">
      <c r="A540" t="s">
        <v>1287</v>
      </c>
      <c r="B540">
        <v>29</v>
      </c>
      <c r="C540" t="s">
        <v>50</v>
      </c>
      <c r="D540" t="s">
        <v>34</v>
      </c>
      <c r="E540" t="s">
        <v>65</v>
      </c>
      <c r="F540" t="s">
        <v>66</v>
      </c>
      <c r="G540" t="s">
        <v>34</v>
      </c>
      <c r="H540" t="s">
        <v>1288</v>
      </c>
      <c r="I540" t="s">
        <v>180</v>
      </c>
      <c r="J540" s="2">
        <v>295.75</v>
      </c>
      <c r="K540">
        <v>4</v>
      </c>
      <c r="L540" t="s">
        <v>39</v>
      </c>
      <c r="M540">
        <v>1</v>
      </c>
      <c r="N540">
        <v>1</v>
      </c>
      <c r="O540">
        <v>0</v>
      </c>
      <c r="P540" t="s">
        <v>51</v>
      </c>
      <c r="Q540" t="s">
        <v>41</v>
      </c>
      <c r="R540">
        <v>1</v>
      </c>
      <c r="S540">
        <v>10</v>
      </c>
      <c r="T540" t="s">
        <v>69</v>
      </c>
      <c r="U540" t="s">
        <v>42</v>
      </c>
      <c r="V540" t="s">
        <v>43</v>
      </c>
      <c r="W540" s="1">
        <v>45633</v>
      </c>
      <c r="X540" t="b">
        <v>1</v>
      </c>
      <c r="Y540" t="b">
        <v>1</v>
      </c>
      <c r="Z540" t="s">
        <v>44</v>
      </c>
      <c r="AA540" t="s">
        <v>60</v>
      </c>
      <c r="AB540">
        <v>8</v>
      </c>
    </row>
    <row r="541" spans="1:28">
      <c r="A541" t="s">
        <v>1289</v>
      </c>
      <c r="B541">
        <v>36</v>
      </c>
      <c r="C541" t="s">
        <v>50</v>
      </c>
      <c r="D541" t="s">
        <v>51</v>
      </c>
      <c r="E541" t="s">
        <v>82</v>
      </c>
      <c r="F541" t="s">
        <v>52</v>
      </c>
      <c r="G541" t="s">
        <v>34</v>
      </c>
      <c r="H541" t="s">
        <v>1290</v>
      </c>
      <c r="I541" t="s">
        <v>68</v>
      </c>
      <c r="J541" s="2">
        <v>358.11</v>
      </c>
      <c r="K541">
        <v>11</v>
      </c>
      <c r="L541" t="s">
        <v>39</v>
      </c>
      <c r="M541">
        <v>5</v>
      </c>
      <c r="N541">
        <v>1</v>
      </c>
      <c r="O541">
        <v>0</v>
      </c>
      <c r="P541" t="s">
        <v>51</v>
      </c>
      <c r="Q541" t="s">
        <v>101</v>
      </c>
      <c r="R541">
        <v>0</v>
      </c>
      <c r="S541">
        <v>3</v>
      </c>
      <c r="T541" t="s">
        <v>51</v>
      </c>
      <c r="U541" t="s">
        <v>95</v>
      </c>
      <c r="V541" t="s">
        <v>43</v>
      </c>
      <c r="W541" s="1">
        <v>45538</v>
      </c>
      <c r="X541" t="b">
        <v>0</v>
      </c>
      <c r="Y541" t="b">
        <v>0</v>
      </c>
      <c r="Z541" t="s">
        <v>44</v>
      </c>
      <c r="AA541" t="s">
        <v>60</v>
      </c>
      <c r="AB541">
        <v>11</v>
      </c>
    </row>
    <row r="542" spans="1:28">
      <c r="A542" t="s">
        <v>1291</v>
      </c>
      <c r="B542">
        <v>27</v>
      </c>
      <c r="C542" t="s">
        <v>33</v>
      </c>
      <c r="D542" t="s">
        <v>51</v>
      </c>
      <c r="E542" t="s">
        <v>82</v>
      </c>
      <c r="F542" t="s">
        <v>66</v>
      </c>
      <c r="G542" t="s">
        <v>51</v>
      </c>
      <c r="H542" t="s">
        <v>1292</v>
      </c>
      <c r="I542" t="s">
        <v>306</v>
      </c>
      <c r="J542" s="2">
        <v>63.6</v>
      </c>
      <c r="K542">
        <v>12</v>
      </c>
      <c r="L542" t="s">
        <v>39</v>
      </c>
      <c r="M542">
        <v>5</v>
      </c>
      <c r="N542">
        <v>1</v>
      </c>
      <c r="O542">
        <v>0</v>
      </c>
      <c r="P542" t="s">
        <v>51</v>
      </c>
      <c r="Q542" t="s">
        <v>57</v>
      </c>
      <c r="R542">
        <v>2</v>
      </c>
      <c r="S542">
        <v>1</v>
      </c>
      <c r="T542" t="s">
        <v>40</v>
      </c>
      <c r="U542" t="s">
        <v>95</v>
      </c>
      <c r="V542" t="s">
        <v>58</v>
      </c>
      <c r="W542" s="1">
        <v>45331</v>
      </c>
      <c r="X542" t="b">
        <v>0</v>
      </c>
      <c r="Y542" t="b">
        <v>1</v>
      </c>
      <c r="Z542" t="s">
        <v>59</v>
      </c>
      <c r="AA542" t="s">
        <v>45</v>
      </c>
      <c r="AB542">
        <v>6</v>
      </c>
    </row>
    <row r="543" spans="1:28">
      <c r="A543" t="s">
        <v>1293</v>
      </c>
      <c r="B543">
        <v>24</v>
      </c>
      <c r="C543" t="s">
        <v>50</v>
      </c>
      <c r="D543" t="s">
        <v>51</v>
      </c>
      <c r="E543" t="s">
        <v>65</v>
      </c>
      <c r="F543" t="s">
        <v>52</v>
      </c>
      <c r="G543" t="s">
        <v>34</v>
      </c>
      <c r="H543" t="s">
        <v>1294</v>
      </c>
      <c r="I543" t="s">
        <v>98</v>
      </c>
      <c r="J543" s="2">
        <v>419.53</v>
      </c>
      <c r="K543">
        <v>3</v>
      </c>
      <c r="L543" t="s">
        <v>39</v>
      </c>
      <c r="M543">
        <v>1</v>
      </c>
      <c r="N543">
        <v>5</v>
      </c>
      <c r="O543">
        <v>2</v>
      </c>
      <c r="P543" t="s">
        <v>51</v>
      </c>
      <c r="Q543" t="s">
        <v>57</v>
      </c>
      <c r="R543">
        <v>2</v>
      </c>
      <c r="S543">
        <v>10</v>
      </c>
      <c r="T543" t="s">
        <v>56</v>
      </c>
      <c r="U543" t="s">
        <v>42</v>
      </c>
      <c r="V543" t="s">
        <v>76</v>
      </c>
      <c r="W543" s="1">
        <v>45378</v>
      </c>
      <c r="X543" t="b">
        <v>0</v>
      </c>
      <c r="Y543" t="b">
        <v>0</v>
      </c>
      <c r="Z543" t="s">
        <v>59</v>
      </c>
      <c r="AA543" t="s">
        <v>77</v>
      </c>
      <c r="AB543">
        <v>6</v>
      </c>
    </row>
    <row r="544" spans="1:28">
      <c r="A544" t="s">
        <v>1295</v>
      </c>
      <c r="B544">
        <v>49</v>
      </c>
      <c r="C544" t="s">
        <v>340</v>
      </c>
      <c r="D544" t="s">
        <v>51</v>
      </c>
      <c r="E544" t="s">
        <v>82</v>
      </c>
      <c r="F544" t="s">
        <v>52</v>
      </c>
      <c r="G544" t="s">
        <v>34</v>
      </c>
      <c r="H544" t="s">
        <v>1296</v>
      </c>
      <c r="I544" t="s">
        <v>199</v>
      </c>
      <c r="J544" s="2">
        <v>491.92</v>
      </c>
      <c r="K544">
        <v>10</v>
      </c>
      <c r="L544" t="s">
        <v>55</v>
      </c>
      <c r="M544">
        <v>5</v>
      </c>
      <c r="N544">
        <v>3</v>
      </c>
      <c r="O544">
        <v>0</v>
      </c>
      <c r="P544" t="s">
        <v>56</v>
      </c>
      <c r="Q544" t="s">
        <v>101</v>
      </c>
      <c r="R544">
        <v>1</v>
      </c>
      <c r="S544">
        <v>1</v>
      </c>
      <c r="T544" t="s">
        <v>69</v>
      </c>
      <c r="U544" t="s">
        <v>95</v>
      </c>
      <c r="V544" t="s">
        <v>43</v>
      </c>
      <c r="W544" s="1">
        <v>45655</v>
      </c>
      <c r="X544" t="b">
        <v>0</v>
      </c>
      <c r="Y544" t="b">
        <v>0</v>
      </c>
      <c r="Z544" t="s">
        <v>59</v>
      </c>
      <c r="AA544" t="s">
        <v>60</v>
      </c>
      <c r="AB544">
        <v>2</v>
      </c>
    </row>
    <row r="545" spans="1:28">
      <c r="A545" t="s">
        <v>1297</v>
      </c>
      <c r="B545">
        <v>21</v>
      </c>
      <c r="C545" t="s">
        <v>106</v>
      </c>
      <c r="D545" t="s">
        <v>34</v>
      </c>
      <c r="E545" t="s">
        <v>92</v>
      </c>
      <c r="F545" t="s">
        <v>52</v>
      </c>
      <c r="G545" t="s">
        <v>51</v>
      </c>
      <c r="H545" t="s">
        <v>1298</v>
      </c>
      <c r="I545" t="s">
        <v>108</v>
      </c>
      <c r="J545" s="2">
        <v>114.44</v>
      </c>
      <c r="K545">
        <v>4</v>
      </c>
      <c r="L545" t="s">
        <v>94</v>
      </c>
      <c r="M545">
        <v>5</v>
      </c>
      <c r="N545">
        <v>3</v>
      </c>
      <c r="O545">
        <v>2</v>
      </c>
      <c r="P545" t="s">
        <v>69</v>
      </c>
      <c r="Q545" t="s">
        <v>57</v>
      </c>
      <c r="R545">
        <v>1</v>
      </c>
      <c r="S545">
        <v>9</v>
      </c>
      <c r="T545" t="s">
        <v>40</v>
      </c>
      <c r="U545" t="s">
        <v>95</v>
      </c>
      <c r="V545" t="s">
        <v>43</v>
      </c>
      <c r="W545" s="1">
        <v>45585</v>
      </c>
      <c r="X545" t="b">
        <v>0</v>
      </c>
      <c r="Y545" t="b">
        <v>0</v>
      </c>
      <c r="Z545" t="s">
        <v>89</v>
      </c>
      <c r="AA545" t="s">
        <v>77</v>
      </c>
      <c r="AB545">
        <v>1</v>
      </c>
    </row>
    <row r="546" spans="1:28">
      <c r="A546" t="s">
        <v>1299</v>
      </c>
      <c r="B546">
        <v>19</v>
      </c>
      <c r="C546" t="s">
        <v>33</v>
      </c>
      <c r="D546" t="s">
        <v>34</v>
      </c>
      <c r="E546" t="s">
        <v>35</v>
      </c>
      <c r="F546" t="s">
        <v>66</v>
      </c>
      <c r="G546" t="s">
        <v>51</v>
      </c>
      <c r="H546" t="s">
        <v>1300</v>
      </c>
      <c r="I546" t="s">
        <v>112</v>
      </c>
      <c r="J546" s="2">
        <v>388.82</v>
      </c>
      <c r="K546">
        <v>10</v>
      </c>
      <c r="L546" t="s">
        <v>39</v>
      </c>
      <c r="M546">
        <v>2</v>
      </c>
      <c r="N546">
        <v>3</v>
      </c>
      <c r="O546">
        <v>0</v>
      </c>
      <c r="P546" t="s">
        <v>69</v>
      </c>
      <c r="Q546" t="s">
        <v>101</v>
      </c>
      <c r="R546">
        <v>0</v>
      </c>
      <c r="S546">
        <v>8</v>
      </c>
      <c r="T546" t="s">
        <v>69</v>
      </c>
      <c r="U546" t="s">
        <v>95</v>
      </c>
      <c r="V546" t="s">
        <v>76</v>
      </c>
      <c r="W546" s="1">
        <v>45538</v>
      </c>
      <c r="X546" t="b">
        <v>0</v>
      </c>
      <c r="Y546" t="b">
        <v>0</v>
      </c>
      <c r="Z546" t="s">
        <v>44</v>
      </c>
      <c r="AA546" t="s">
        <v>45</v>
      </c>
      <c r="AB546">
        <v>6</v>
      </c>
    </row>
    <row r="547" spans="1:28">
      <c r="A547" t="s">
        <v>1301</v>
      </c>
      <c r="B547">
        <v>23</v>
      </c>
      <c r="C547" t="s">
        <v>33</v>
      </c>
      <c r="D547" t="s">
        <v>34</v>
      </c>
      <c r="E547" t="s">
        <v>35</v>
      </c>
      <c r="F547" t="s">
        <v>36</v>
      </c>
      <c r="G547" t="s">
        <v>51</v>
      </c>
      <c r="H547" t="s">
        <v>1302</v>
      </c>
      <c r="I547" t="s">
        <v>112</v>
      </c>
      <c r="J547" s="2">
        <v>58.32</v>
      </c>
      <c r="K547">
        <v>7</v>
      </c>
      <c r="L547" t="s">
        <v>55</v>
      </c>
      <c r="M547">
        <v>1</v>
      </c>
      <c r="N547">
        <v>5</v>
      </c>
      <c r="O547">
        <v>0</v>
      </c>
      <c r="P547" t="s">
        <v>69</v>
      </c>
      <c r="Q547" t="s">
        <v>57</v>
      </c>
      <c r="R547">
        <v>1</v>
      </c>
      <c r="S547">
        <v>6</v>
      </c>
      <c r="T547" t="s">
        <v>69</v>
      </c>
      <c r="U547" t="s">
        <v>70</v>
      </c>
      <c r="V547" t="s">
        <v>58</v>
      </c>
      <c r="W547" s="1">
        <v>45364</v>
      </c>
      <c r="X547" t="b">
        <v>1</v>
      </c>
      <c r="Y547" t="b">
        <v>1</v>
      </c>
      <c r="Z547" t="s">
        <v>44</v>
      </c>
      <c r="AA547" t="s">
        <v>60</v>
      </c>
      <c r="AB547">
        <v>8</v>
      </c>
    </row>
    <row r="548" spans="1:28">
      <c r="A548" t="s">
        <v>1303</v>
      </c>
      <c r="B548">
        <v>28</v>
      </c>
      <c r="C548" t="s">
        <v>33</v>
      </c>
      <c r="D548" t="s">
        <v>51</v>
      </c>
      <c r="E548" t="s">
        <v>92</v>
      </c>
      <c r="F548" t="s">
        <v>66</v>
      </c>
      <c r="G548" t="s">
        <v>51</v>
      </c>
      <c r="H548" t="s">
        <v>1304</v>
      </c>
      <c r="I548" t="s">
        <v>199</v>
      </c>
      <c r="J548" s="2">
        <v>464.76</v>
      </c>
      <c r="K548">
        <v>2</v>
      </c>
      <c r="L548" t="s">
        <v>39</v>
      </c>
      <c r="M548">
        <v>5</v>
      </c>
      <c r="N548">
        <v>1</v>
      </c>
      <c r="O548">
        <v>0</v>
      </c>
      <c r="P548" t="s">
        <v>69</v>
      </c>
      <c r="Q548" t="s">
        <v>101</v>
      </c>
      <c r="R548">
        <v>0</v>
      </c>
      <c r="S548">
        <v>3</v>
      </c>
      <c r="T548" t="s">
        <v>69</v>
      </c>
      <c r="U548" t="s">
        <v>95</v>
      </c>
      <c r="V548" t="s">
        <v>71</v>
      </c>
      <c r="W548" s="1">
        <v>45326</v>
      </c>
      <c r="X548" t="b">
        <v>0</v>
      </c>
      <c r="Y548" t="b">
        <v>1</v>
      </c>
      <c r="Z548" t="s">
        <v>44</v>
      </c>
      <c r="AA548" t="s">
        <v>45</v>
      </c>
      <c r="AB548">
        <v>3</v>
      </c>
    </row>
    <row r="549" spans="1:28">
      <c r="A549" t="s">
        <v>1305</v>
      </c>
      <c r="B549">
        <v>27</v>
      </c>
      <c r="C549" t="s">
        <v>33</v>
      </c>
      <c r="D549" t="s">
        <v>51</v>
      </c>
      <c r="E549" t="s">
        <v>92</v>
      </c>
      <c r="F549" t="s">
        <v>66</v>
      </c>
      <c r="G549" t="s">
        <v>51</v>
      </c>
      <c r="H549" t="s">
        <v>1306</v>
      </c>
      <c r="I549" t="s">
        <v>75</v>
      </c>
      <c r="J549" s="2">
        <v>116.92</v>
      </c>
      <c r="K549">
        <v>7</v>
      </c>
      <c r="L549" t="s">
        <v>39</v>
      </c>
      <c r="M549">
        <v>2</v>
      </c>
      <c r="N549">
        <v>3</v>
      </c>
      <c r="O549">
        <v>2</v>
      </c>
      <c r="P549" t="s">
        <v>40</v>
      </c>
      <c r="Q549" t="s">
        <v>101</v>
      </c>
      <c r="R549">
        <v>2</v>
      </c>
      <c r="S549">
        <v>3</v>
      </c>
      <c r="T549" t="s">
        <v>69</v>
      </c>
      <c r="U549" t="s">
        <v>95</v>
      </c>
      <c r="V549" t="s">
        <v>71</v>
      </c>
      <c r="W549" s="1">
        <v>45382</v>
      </c>
      <c r="X549" t="b">
        <v>1</v>
      </c>
      <c r="Y549" t="b">
        <v>0</v>
      </c>
      <c r="Z549" t="s">
        <v>72</v>
      </c>
      <c r="AA549" t="s">
        <v>45</v>
      </c>
      <c r="AB549">
        <v>14</v>
      </c>
    </row>
    <row r="550" spans="1:28">
      <c r="A550" t="s">
        <v>1307</v>
      </c>
      <c r="B550">
        <v>47</v>
      </c>
      <c r="C550" t="s">
        <v>33</v>
      </c>
      <c r="D550" t="s">
        <v>51</v>
      </c>
      <c r="E550" t="s">
        <v>92</v>
      </c>
      <c r="F550" t="s">
        <v>36</v>
      </c>
      <c r="G550" t="s">
        <v>34</v>
      </c>
      <c r="H550" t="s">
        <v>1308</v>
      </c>
      <c r="I550" t="s">
        <v>306</v>
      </c>
      <c r="J550" s="2">
        <v>396.76</v>
      </c>
      <c r="K550">
        <v>8</v>
      </c>
      <c r="L550" t="s">
        <v>94</v>
      </c>
      <c r="M550">
        <v>3</v>
      </c>
      <c r="N550">
        <v>3</v>
      </c>
      <c r="O550">
        <v>1</v>
      </c>
      <c r="P550" t="s">
        <v>40</v>
      </c>
      <c r="Q550" t="s">
        <v>101</v>
      </c>
      <c r="R550">
        <v>2</v>
      </c>
      <c r="S550">
        <v>4</v>
      </c>
      <c r="T550" t="s">
        <v>51</v>
      </c>
      <c r="U550" t="s">
        <v>42</v>
      </c>
      <c r="V550" t="s">
        <v>102</v>
      </c>
      <c r="W550" s="1">
        <v>45490</v>
      </c>
      <c r="X550" t="b">
        <v>1</v>
      </c>
      <c r="Y550" t="b">
        <v>1</v>
      </c>
      <c r="Z550" t="s">
        <v>89</v>
      </c>
      <c r="AA550" t="s">
        <v>77</v>
      </c>
      <c r="AB550">
        <v>8</v>
      </c>
    </row>
    <row r="551" spans="1:28">
      <c r="A551" t="s">
        <v>1309</v>
      </c>
      <c r="B551">
        <v>20</v>
      </c>
      <c r="C551" t="s">
        <v>340</v>
      </c>
      <c r="D551" t="s">
        <v>51</v>
      </c>
      <c r="E551" t="s">
        <v>82</v>
      </c>
      <c r="F551" t="s">
        <v>66</v>
      </c>
      <c r="G551" t="s">
        <v>34</v>
      </c>
      <c r="H551" t="s">
        <v>1310</v>
      </c>
      <c r="I551" t="s">
        <v>143</v>
      </c>
      <c r="J551" s="2">
        <v>393.35</v>
      </c>
      <c r="K551">
        <v>7</v>
      </c>
      <c r="L551" t="s">
        <v>39</v>
      </c>
      <c r="M551">
        <v>3</v>
      </c>
      <c r="N551">
        <v>4</v>
      </c>
      <c r="O551">
        <v>2</v>
      </c>
      <c r="P551" t="s">
        <v>51</v>
      </c>
      <c r="Q551" t="s">
        <v>57</v>
      </c>
      <c r="R551">
        <v>0</v>
      </c>
      <c r="S551">
        <v>4</v>
      </c>
      <c r="T551" t="s">
        <v>51</v>
      </c>
      <c r="U551" t="s">
        <v>42</v>
      </c>
      <c r="V551" t="s">
        <v>43</v>
      </c>
      <c r="W551" s="1">
        <v>45459</v>
      </c>
      <c r="X551" t="b">
        <v>1</v>
      </c>
      <c r="Y551" t="b">
        <v>1</v>
      </c>
      <c r="Z551" t="s">
        <v>44</v>
      </c>
      <c r="AA551" t="s">
        <v>45</v>
      </c>
      <c r="AB551">
        <v>12</v>
      </c>
    </row>
    <row r="552" spans="1:28">
      <c r="A552" t="s">
        <v>1311</v>
      </c>
      <c r="B552">
        <v>26</v>
      </c>
      <c r="C552" t="s">
        <v>33</v>
      </c>
      <c r="D552" t="s">
        <v>51</v>
      </c>
      <c r="E552" t="s">
        <v>65</v>
      </c>
      <c r="F552" t="s">
        <v>66</v>
      </c>
      <c r="G552" t="s">
        <v>51</v>
      </c>
      <c r="H552" t="s">
        <v>1312</v>
      </c>
      <c r="I552" t="s">
        <v>147</v>
      </c>
      <c r="J552" s="2">
        <v>114.03</v>
      </c>
      <c r="K552">
        <v>7</v>
      </c>
      <c r="L552" t="s">
        <v>39</v>
      </c>
      <c r="M552">
        <v>4</v>
      </c>
      <c r="N552">
        <v>3</v>
      </c>
      <c r="O552">
        <v>0</v>
      </c>
      <c r="P552" t="s">
        <v>56</v>
      </c>
      <c r="Q552" t="s">
        <v>57</v>
      </c>
      <c r="R552">
        <v>1</v>
      </c>
      <c r="S552">
        <v>10</v>
      </c>
      <c r="T552" t="s">
        <v>51</v>
      </c>
      <c r="U552" t="s">
        <v>42</v>
      </c>
      <c r="V552" t="s">
        <v>43</v>
      </c>
      <c r="W552" s="1">
        <v>45395</v>
      </c>
      <c r="X552" t="b">
        <v>1</v>
      </c>
      <c r="Y552" t="b">
        <v>1</v>
      </c>
      <c r="Z552" t="s">
        <v>89</v>
      </c>
      <c r="AA552" t="s">
        <v>45</v>
      </c>
      <c r="AB552">
        <v>6</v>
      </c>
    </row>
    <row r="553" spans="1:28">
      <c r="A553" t="s">
        <v>1313</v>
      </c>
      <c r="B553">
        <v>49</v>
      </c>
      <c r="C553" t="s">
        <v>50</v>
      </c>
      <c r="D553" t="s">
        <v>51</v>
      </c>
      <c r="E553" t="s">
        <v>65</v>
      </c>
      <c r="F553" t="s">
        <v>36</v>
      </c>
      <c r="G553" t="s">
        <v>34</v>
      </c>
      <c r="H553" t="s">
        <v>1314</v>
      </c>
      <c r="I553" t="s">
        <v>180</v>
      </c>
      <c r="J553" s="2">
        <v>109.97</v>
      </c>
      <c r="K553">
        <v>4</v>
      </c>
      <c r="L553" t="s">
        <v>55</v>
      </c>
      <c r="M553">
        <v>4</v>
      </c>
      <c r="N553">
        <v>4</v>
      </c>
      <c r="O553">
        <v>1</v>
      </c>
      <c r="P553" t="s">
        <v>40</v>
      </c>
      <c r="Q553" t="s">
        <v>101</v>
      </c>
      <c r="R553">
        <v>1</v>
      </c>
      <c r="S553">
        <v>5</v>
      </c>
      <c r="T553" t="s">
        <v>40</v>
      </c>
      <c r="U553" t="s">
        <v>42</v>
      </c>
      <c r="V553" t="s">
        <v>43</v>
      </c>
      <c r="W553" s="1">
        <v>45516</v>
      </c>
      <c r="X553" t="b">
        <v>1</v>
      </c>
      <c r="Y553" t="b">
        <v>0</v>
      </c>
      <c r="Z553" t="s">
        <v>59</v>
      </c>
      <c r="AA553" t="s">
        <v>45</v>
      </c>
      <c r="AB553">
        <v>1</v>
      </c>
    </row>
    <row r="554" spans="1:28">
      <c r="A554" t="s">
        <v>1316</v>
      </c>
      <c r="B554">
        <v>39</v>
      </c>
      <c r="C554" t="s">
        <v>33</v>
      </c>
      <c r="D554" t="s">
        <v>51</v>
      </c>
      <c r="E554" t="s">
        <v>82</v>
      </c>
      <c r="F554" t="s">
        <v>66</v>
      </c>
      <c r="G554" t="s">
        <v>51</v>
      </c>
      <c r="H554" t="s">
        <v>2343</v>
      </c>
      <c r="I554" t="s">
        <v>235</v>
      </c>
      <c r="J554" s="2">
        <v>310.23</v>
      </c>
      <c r="K554">
        <v>12</v>
      </c>
      <c r="L554" t="s">
        <v>55</v>
      </c>
      <c r="M554">
        <v>1</v>
      </c>
      <c r="N554">
        <v>4</v>
      </c>
      <c r="O554">
        <v>0</v>
      </c>
      <c r="P554" t="s">
        <v>40</v>
      </c>
      <c r="Q554" t="s">
        <v>41</v>
      </c>
      <c r="R554">
        <v>0</v>
      </c>
      <c r="S554">
        <v>6</v>
      </c>
      <c r="T554" t="s">
        <v>40</v>
      </c>
      <c r="U554" t="s">
        <v>95</v>
      </c>
      <c r="V554" t="s">
        <v>58</v>
      </c>
      <c r="W554" s="1">
        <v>45643</v>
      </c>
      <c r="X554" t="b">
        <v>1</v>
      </c>
      <c r="Y554" t="b">
        <v>0</v>
      </c>
      <c r="Z554" t="s">
        <v>72</v>
      </c>
      <c r="AA554" t="s">
        <v>77</v>
      </c>
      <c r="AB554">
        <v>3</v>
      </c>
    </row>
    <row r="555" spans="1:28">
      <c r="A555" t="s">
        <v>1318</v>
      </c>
      <c r="B555">
        <v>22</v>
      </c>
      <c r="C555" t="s">
        <v>50</v>
      </c>
      <c r="D555" t="s">
        <v>34</v>
      </c>
      <c r="E555" t="s">
        <v>92</v>
      </c>
      <c r="F555" t="s">
        <v>66</v>
      </c>
      <c r="G555" t="s">
        <v>34</v>
      </c>
      <c r="H555" t="s">
        <v>1308</v>
      </c>
      <c r="I555" t="s">
        <v>242</v>
      </c>
      <c r="J555" s="2">
        <v>383.13</v>
      </c>
      <c r="K555">
        <v>3</v>
      </c>
      <c r="L555" t="s">
        <v>39</v>
      </c>
      <c r="M555">
        <v>4</v>
      </c>
      <c r="N555">
        <v>5</v>
      </c>
      <c r="O555">
        <v>0</v>
      </c>
      <c r="P555" t="s">
        <v>56</v>
      </c>
      <c r="Q555" t="s">
        <v>57</v>
      </c>
      <c r="R555">
        <v>2</v>
      </c>
      <c r="S555">
        <v>6</v>
      </c>
      <c r="T555" t="s">
        <v>40</v>
      </c>
      <c r="U555" t="s">
        <v>95</v>
      </c>
      <c r="V555" t="s">
        <v>102</v>
      </c>
      <c r="W555" s="1">
        <v>45560</v>
      </c>
      <c r="X555" t="b">
        <v>0</v>
      </c>
      <c r="Y555" t="b">
        <v>0</v>
      </c>
      <c r="Z555" t="s">
        <v>44</v>
      </c>
      <c r="AA555" t="s">
        <v>45</v>
      </c>
      <c r="AB555">
        <v>7</v>
      </c>
    </row>
    <row r="556" spans="1:28">
      <c r="A556" t="s">
        <v>1319</v>
      </c>
      <c r="B556">
        <v>25</v>
      </c>
      <c r="C556" t="s">
        <v>50</v>
      </c>
      <c r="D556" t="s">
        <v>51</v>
      </c>
      <c r="E556" t="s">
        <v>65</v>
      </c>
      <c r="F556" t="s">
        <v>52</v>
      </c>
      <c r="G556" t="s">
        <v>34</v>
      </c>
      <c r="H556" t="s">
        <v>2344</v>
      </c>
      <c r="I556" t="s">
        <v>180</v>
      </c>
      <c r="J556" s="2">
        <v>434.86</v>
      </c>
      <c r="K556">
        <v>11</v>
      </c>
      <c r="L556" t="s">
        <v>55</v>
      </c>
      <c r="M556">
        <v>2</v>
      </c>
      <c r="N556">
        <v>5</v>
      </c>
      <c r="O556">
        <v>2</v>
      </c>
      <c r="P556" t="s">
        <v>51</v>
      </c>
      <c r="Q556" t="s">
        <v>41</v>
      </c>
      <c r="R556">
        <v>0</v>
      </c>
      <c r="S556">
        <v>4</v>
      </c>
      <c r="T556" t="s">
        <v>56</v>
      </c>
      <c r="U556" t="s">
        <v>70</v>
      </c>
      <c r="V556" t="s">
        <v>76</v>
      </c>
      <c r="W556" s="1">
        <v>45467</v>
      </c>
      <c r="X556" t="b">
        <v>1</v>
      </c>
      <c r="Y556" t="b">
        <v>0</v>
      </c>
      <c r="Z556" t="s">
        <v>72</v>
      </c>
      <c r="AA556" t="s">
        <v>77</v>
      </c>
      <c r="AB556">
        <v>11</v>
      </c>
    </row>
    <row r="557" spans="1:28">
      <c r="A557" t="s">
        <v>1321</v>
      </c>
      <c r="B557">
        <v>30</v>
      </c>
      <c r="C557" t="s">
        <v>33</v>
      </c>
      <c r="D557" t="s">
        <v>34</v>
      </c>
      <c r="E557" t="s">
        <v>35</v>
      </c>
      <c r="F557" t="s">
        <v>36</v>
      </c>
      <c r="G557" t="s">
        <v>34</v>
      </c>
      <c r="H557" t="s">
        <v>1322</v>
      </c>
      <c r="I557" t="s">
        <v>68</v>
      </c>
      <c r="J557" s="2">
        <v>489.1</v>
      </c>
      <c r="K557">
        <v>9</v>
      </c>
      <c r="L557" t="s">
        <v>39</v>
      </c>
      <c r="M557">
        <v>3</v>
      </c>
      <c r="N557">
        <v>4</v>
      </c>
      <c r="O557">
        <v>1</v>
      </c>
      <c r="P557" t="s">
        <v>69</v>
      </c>
      <c r="Q557" t="s">
        <v>41</v>
      </c>
      <c r="R557">
        <v>2</v>
      </c>
      <c r="S557">
        <v>4</v>
      </c>
      <c r="T557" t="s">
        <v>56</v>
      </c>
      <c r="U557" t="s">
        <v>70</v>
      </c>
      <c r="V557" t="s">
        <v>43</v>
      </c>
      <c r="W557" s="1">
        <v>45614</v>
      </c>
      <c r="X557" t="b">
        <v>1</v>
      </c>
      <c r="Y557" t="b">
        <v>0</v>
      </c>
      <c r="Z557" t="s">
        <v>44</v>
      </c>
      <c r="AA557" t="s">
        <v>60</v>
      </c>
      <c r="AB557">
        <v>13</v>
      </c>
    </row>
    <row r="558" spans="1:28">
      <c r="A558" t="s">
        <v>1323</v>
      </c>
      <c r="B558">
        <v>19</v>
      </c>
      <c r="C558" t="s">
        <v>264</v>
      </c>
      <c r="D558" t="s">
        <v>51</v>
      </c>
      <c r="E558" t="s">
        <v>35</v>
      </c>
      <c r="F558" t="s">
        <v>36</v>
      </c>
      <c r="G558" t="s">
        <v>51</v>
      </c>
      <c r="H558" t="s">
        <v>1324</v>
      </c>
      <c r="I558" t="s">
        <v>306</v>
      </c>
      <c r="J558" s="2">
        <v>288.14999999999998</v>
      </c>
      <c r="K558">
        <v>3</v>
      </c>
      <c r="L558" t="s">
        <v>94</v>
      </c>
      <c r="M558">
        <v>1</v>
      </c>
      <c r="N558">
        <v>4</v>
      </c>
      <c r="O558">
        <v>1</v>
      </c>
      <c r="P558" t="s">
        <v>51</v>
      </c>
      <c r="Q558" t="s">
        <v>41</v>
      </c>
      <c r="R558">
        <v>1</v>
      </c>
      <c r="S558">
        <v>4</v>
      </c>
      <c r="T558" t="s">
        <v>56</v>
      </c>
      <c r="U558" t="s">
        <v>42</v>
      </c>
      <c r="V558" t="s">
        <v>102</v>
      </c>
      <c r="W558" s="1">
        <v>45510</v>
      </c>
      <c r="X558" t="b">
        <v>1</v>
      </c>
      <c r="Y558" t="b">
        <v>0</v>
      </c>
      <c r="Z558" t="s">
        <v>72</v>
      </c>
      <c r="AA558" t="s">
        <v>60</v>
      </c>
      <c r="AB558">
        <v>13</v>
      </c>
    </row>
    <row r="559" spans="1:28">
      <c r="A559" t="s">
        <v>1325</v>
      </c>
      <c r="B559">
        <v>35</v>
      </c>
      <c r="C559" t="s">
        <v>50</v>
      </c>
      <c r="D559" t="s">
        <v>51</v>
      </c>
      <c r="E559" t="s">
        <v>92</v>
      </c>
      <c r="F559" t="s">
        <v>66</v>
      </c>
      <c r="G559" t="s">
        <v>34</v>
      </c>
      <c r="H559" t="s">
        <v>1326</v>
      </c>
      <c r="I559" t="s">
        <v>229</v>
      </c>
      <c r="J559" s="2">
        <v>105.87</v>
      </c>
      <c r="K559">
        <v>12</v>
      </c>
      <c r="L559" t="s">
        <v>39</v>
      </c>
      <c r="M559">
        <v>3</v>
      </c>
      <c r="N559">
        <v>2</v>
      </c>
      <c r="O559">
        <v>1</v>
      </c>
      <c r="P559" t="s">
        <v>69</v>
      </c>
      <c r="Q559" t="s">
        <v>57</v>
      </c>
      <c r="R559">
        <v>1</v>
      </c>
      <c r="S559">
        <v>1</v>
      </c>
      <c r="T559" t="s">
        <v>56</v>
      </c>
      <c r="U559" t="s">
        <v>42</v>
      </c>
      <c r="V559" t="s">
        <v>102</v>
      </c>
      <c r="W559" s="1">
        <v>45550</v>
      </c>
      <c r="X559" t="b">
        <v>0</v>
      </c>
      <c r="Y559" t="b">
        <v>0</v>
      </c>
      <c r="Z559" t="s">
        <v>89</v>
      </c>
      <c r="AA559" t="s">
        <v>77</v>
      </c>
      <c r="AB559">
        <v>4</v>
      </c>
    </row>
    <row r="560" spans="1:28">
      <c r="A560" t="s">
        <v>1327</v>
      </c>
      <c r="B560">
        <v>45</v>
      </c>
      <c r="C560" t="s">
        <v>50</v>
      </c>
      <c r="D560" t="s">
        <v>34</v>
      </c>
      <c r="E560" t="s">
        <v>82</v>
      </c>
      <c r="F560" t="s">
        <v>52</v>
      </c>
      <c r="G560" t="s">
        <v>51</v>
      </c>
      <c r="H560" t="s">
        <v>1328</v>
      </c>
      <c r="I560" t="s">
        <v>123</v>
      </c>
      <c r="J560" s="2">
        <v>163.4</v>
      </c>
      <c r="K560">
        <v>3</v>
      </c>
      <c r="L560" t="s">
        <v>55</v>
      </c>
      <c r="M560">
        <v>3</v>
      </c>
      <c r="N560">
        <v>5</v>
      </c>
      <c r="O560">
        <v>1</v>
      </c>
      <c r="P560" t="s">
        <v>51</v>
      </c>
      <c r="Q560" t="s">
        <v>41</v>
      </c>
      <c r="R560">
        <v>2</v>
      </c>
      <c r="S560">
        <v>10</v>
      </c>
      <c r="T560" t="s">
        <v>51</v>
      </c>
      <c r="U560" t="s">
        <v>95</v>
      </c>
      <c r="V560" t="s">
        <v>102</v>
      </c>
      <c r="W560" s="1">
        <v>45481</v>
      </c>
      <c r="X560" t="b">
        <v>1</v>
      </c>
      <c r="Y560" t="b">
        <v>0</v>
      </c>
      <c r="Z560" t="s">
        <v>89</v>
      </c>
      <c r="AA560" t="s">
        <v>60</v>
      </c>
      <c r="AB560">
        <v>7</v>
      </c>
    </row>
    <row r="561" spans="1:28">
      <c r="A561" t="s">
        <v>1329</v>
      </c>
      <c r="B561">
        <v>20</v>
      </c>
      <c r="C561" t="s">
        <v>50</v>
      </c>
      <c r="D561" t="s">
        <v>51</v>
      </c>
      <c r="E561" t="s">
        <v>65</v>
      </c>
      <c r="F561" t="s">
        <v>52</v>
      </c>
      <c r="G561" t="s">
        <v>51</v>
      </c>
      <c r="H561" t="s">
        <v>2345</v>
      </c>
      <c r="I561" t="s">
        <v>38</v>
      </c>
      <c r="J561" s="2">
        <v>422.92</v>
      </c>
      <c r="K561">
        <v>6</v>
      </c>
      <c r="L561" t="s">
        <v>39</v>
      </c>
      <c r="M561">
        <v>4</v>
      </c>
      <c r="N561">
        <v>1</v>
      </c>
      <c r="O561">
        <v>2</v>
      </c>
      <c r="P561" t="s">
        <v>40</v>
      </c>
      <c r="Q561" t="s">
        <v>41</v>
      </c>
      <c r="R561">
        <v>0</v>
      </c>
      <c r="S561">
        <v>6</v>
      </c>
      <c r="T561" t="s">
        <v>69</v>
      </c>
      <c r="U561" t="s">
        <v>95</v>
      </c>
      <c r="V561" t="s">
        <v>71</v>
      </c>
      <c r="W561" s="1">
        <v>45582</v>
      </c>
      <c r="X561" t="b">
        <v>0</v>
      </c>
      <c r="Y561" t="b">
        <v>1</v>
      </c>
      <c r="Z561" t="s">
        <v>89</v>
      </c>
      <c r="AA561" t="s">
        <v>45</v>
      </c>
      <c r="AB561">
        <v>6</v>
      </c>
    </row>
    <row r="562" spans="1:28">
      <c r="A562" t="s">
        <v>1331</v>
      </c>
      <c r="B562">
        <v>48</v>
      </c>
      <c r="C562" t="s">
        <v>50</v>
      </c>
      <c r="D562" t="s">
        <v>34</v>
      </c>
      <c r="E562" t="s">
        <v>92</v>
      </c>
      <c r="F562" t="s">
        <v>52</v>
      </c>
      <c r="G562" t="s">
        <v>51</v>
      </c>
      <c r="H562" t="s">
        <v>1332</v>
      </c>
      <c r="I562" t="s">
        <v>38</v>
      </c>
      <c r="J562" s="2">
        <v>361.48</v>
      </c>
      <c r="K562">
        <v>10</v>
      </c>
      <c r="L562" t="s">
        <v>94</v>
      </c>
      <c r="M562">
        <v>1</v>
      </c>
      <c r="N562">
        <v>4</v>
      </c>
      <c r="O562">
        <v>1</v>
      </c>
      <c r="P562" t="s">
        <v>56</v>
      </c>
      <c r="Q562" t="s">
        <v>41</v>
      </c>
      <c r="R562">
        <v>2</v>
      </c>
      <c r="S562">
        <v>9</v>
      </c>
      <c r="T562" t="s">
        <v>51</v>
      </c>
      <c r="U562" t="s">
        <v>42</v>
      </c>
      <c r="V562" t="s">
        <v>102</v>
      </c>
      <c r="W562" s="1">
        <v>45459</v>
      </c>
      <c r="X562" t="b">
        <v>1</v>
      </c>
      <c r="Y562" t="b">
        <v>1</v>
      </c>
      <c r="Z562" t="s">
        <v>59</v>
      </c>
      <c r="AA562" t="s">
        <v>77</v>
      </c>
      <c r="AB562">
        <v>13</v>
      </c>
    </row>
    <row r="563" spans="1:28">
      <c r="A563" t="s">
        <v>1333</v>
      </c>
      <c r="B563">
        <v>23</v>
      </c>
      <c r="C563" t="s">
        <v>50</v>
      </c>
      <c r="D563" t="s">
        <v>34</v>
      </c>
      <c r="E563" t="s">
        <v>65</v>
      </c>
      <c r="F563" t="s">
        <v>66</v>
      </c>
      <c r="G563" t="s">
        <v>51</v>
      </c>
      <c r="H563" t="s">
        <v>2346</v>
      </c>
      <c r="I563" t="s">
        <v>135</v>
      </c>
      <c r="J563" s="2">
        <v>270.82</v>
      </c>
      <c r="K563">
        <v>2</v>
      </c>
      <c r="L563" t="s">
        <v>55</v>
      </c>
      <c r="M563">
        <v>4</v>
      </c>
      <c r="N563">
        <v>2</v>
      </c>
      <c r="O563">
        <v>0</v>
      </c>
      <c r="P563" t="s">
        <v>40</v>
      </c>
      <c r="Q563" t="s">
        <v>41</v>
      </c>
      <c r="R563">
        <v>1</v>
      </c>
      <c r="S563">
        <v>8</v>
      </c>
      <c r="T563" t="s">
        <v>69</v>
      </c>
      <c r="U563" t="s">
        <v>42</v>
      </c>
      <c r="V563" t="s">
        <v>76</v>
      </c>
      <c r="W563" s="1">
        <v>45595</v>
      </c>
      <c r="X563" t="b">
        <v>1</v>
      </c>
      <c r="Y563" t="b">
        <v>0</v>
      </c>
      <c r="Z563" t="s">
        <v>59</v>
      </c>
      <c r="AA563" t="s">
        <v>60</v>
      </c>
      <c r="AB563">
        <v>13</v>
      </c>
    </row>
    <row r="564" spans="1:28">
      <c r="A564" t="s">
        <v>1335</v>
      </c>
      <c r="B564">
        <v>49</v>
      </c>
      <c r="C564" t="s">
        <v>33</v>
      </c>
      <c r="D564" t="s">
        <v>51</v>
      </c>
      <c r="E564" t="s">
        <v>82</v>
      </c>
      <c r="F564" t="s">
        <v>52</v>
      </c>
      <c r="G564" t="s">
        <v>51</v>
      </c>
      <c r="H564" t="s">
        <v>1336</v>
      </c>
      <c r="I564" t="s">
        <v>156</v>
      </c>
      <c r="J564" s="2">
        <v>372.26</v>
      </c>
      <c r="K564">
        <v>11</v>
      </c>
      <c r="L564" t="s">
        <v>55</v>
      </c>
      <c r="M564">
        <v>1</v>
      </c>
      <c r="N564">
        <v>5</v>
      </c>
      <c r="O564">
        <v>2</v>
      </c>
      <c r="P564" t="s">
        <v>40</v>
      </c>
      <c r="Q564" t="s">
        <v>101</v>
      </c>
      <c r="R564">
        <v>1</v>
      </c>
      <c r="S564">
        <v>8</v>
      </c>
      <c r="T564" t="s">
        <v>51</v>
      </c>
      <c r="U564" t="s">
        <v>70</v>
      </c>
      <c r="V564" t="s">
        <v>58</v>
      </c>
      <c r="W564" s="1">
        <v>45517</v>
      </c>
      <c r="X564" t="b">
        <v>0</v>
      </c>
      <c r="Y564" t="b">
        <v>1</v>
      </c>
      <c r="Z564" t="s">
        <v>59</v>
      </c>
      <c r="AA564" t="s">
        <v>77</v>
      </c>
      <c r="AB564">
        <v>6</v>
      </c>
    </row>
    <row r="565" spans="1:28">
      <c r="A565" t="s">
        <v>1337</v>
      </c>
      <c r="B565">
        <v>23</v>
      </c>
      <c r="C565" t="s">
        <v>33</v>
      </c>
      <c r="D565" t="s">
        <v>34</v>
      </c>
      <c r="E565" t="s">
        <v>82</v>
      </c>
      <c r="F565" t="s">
        <v>36</v>
      </c>
      <c r="G565" t="s">
        <v>51</v>
      </c>
      <c r="H565" t="s">
        <v>1338</v>
      </c>
      <c r="I565" t="s">
        <v>147</v>
      </c>
      <c r="J565" s="2">
        <v>208.59</v>
      </c>
      <c r="K565">
        <v>3</v>
      </c>
      <c r="L565" t="s">
        <v>39</v>
      </c>
      <c r="M565">
        <v>1</v>
      </c>
      <c r="N565">
        <v>1</v>
      </c>
      <c r="O565">
        <v>2</v>
      </c>
      <c r="P565" t="s">
        <v>56</v>
      </c>
      <c r="Q565" t="s">
        <v>41</v>
      </c>
      <c r="R565">
        <v>0</v>
      </c>
      <c r="S565">
        <v>4</v>
      </c>
      <c r="T565" t="s">
        <v>40</v>
      </c>
      <c r="U565" t="s">
        <v>95</v>
      </c>
      <c r="V565" t="s">
        <v>58</v>
      </c>
      <c r="W565" s="1">
        <v>45538</v>
      </c>
      <c r="X565" t="b">
        <v>1</v>
      </c>
      <c r="Y565" t="b">
        <v>0</v>
      </c>
      <c r="Z565" t="s">
        <v>72</v>
      </c>
      <c r="AA565" t="s">
        <v>77</v>
      </c>
      <c r="AB565">
        <v>1</v>
      </c>
    </row>
    <row r="566" spans="1:28">
      <c r="A566" t="s">
        <v>1339</v>
      </c>
      <c r="B566">
        <v>39</v>
      </c>
      <c r="C566" t="s">
        <v>50</v>
      </c>
      <c r="D566" t="s">
        <v>34</v>
      </c>
      <c r="E566" t="s">
        <v>82</v>
      </c>
      <c r="F566" t="s">
        <v>52</v>
      </c>
      <c r="G566" t="s">
        <v>51</v>
      </c>
      <c r="H566" t="s">
        <v>1340</v>
      </c>
      <c r="I566" t="s">
        <v>38</v>
      </c>
      <c r="J566" s="2">
        <v>163.22</v>
      </c>
      <c r="K566">
        <v>8</v>
      </c>
      <c r="L566" t="s">
        <v>94</v>
      </c>
      <c r="M566">
        <v>5</v>
      </c>
      <c r="N566">
        <v>3</v>
      </c>
      <c r="O566">
        <v>0</v>
      </c>
      <c r="P566" t="s">
        <v>51</v>
      </c>
      <c r="Q566" t="s">
        <v>41</v>
      </c>
      <c r="R566">
        <v>1</v>
      </c>
      <c r="S566">
        <v>3</v>
      </c>
      <c r="T566" t="s">
        <v>40</v>
      </c>
      <c r="U566" t="s">
        <v>70</v>
      </c>
      <c r="V566" t="s">
        <v>58</v>
      </c>
      <c r="W566" s="1">
        <v>45474</v>
      </c>
      <c r="X566" t="b">
        <v>0</v>
      </c>
      <c r="Y566" t="b">
        <v>1</v>
      </c>
      <c r="Z566" t="s">
        <v>59</v>
      </c>
      <c r="AA566" t="s">
        <v>45</v>
      </c>
      <c r="AB566">
        <v>8</v>
      </c>
    </row>
    <row r="567" spans="1:28">
      <c r="A567" t="s">
        <v>1341</v>
      </c>
      <c r="B567">
        <v>45</v>
      </c>
      <c r="C567" t="s">
        <v>50</v>
      </c>
      <c r="D567" t="s">
        <v>51</v>
      </c>
      <c r="E567" t="s">
        <v>35</v>
      </c>
      <c r="F567" t="s">
        <v>52</v>
      </c>
      <c r="G567" t="s">
        <v>51</v>
      </c>
      <c r="H567" t="s">
        <v>1342</v>
      </c>
      <c r="I567" t="s">
        <v>127</v>
      </c>
      <c r="J567" s="2">
        <v>364.98</v>
      </c>
      <c r="K567">
        <v>7</v>
      </c>
      <c r="L567" t="s">
        <v>55</v>
      </c>
      <c r="M567">
        <v>4</v>
      </c>
      <c r="N567">
        <v>1</v>
      </c>
      <c r="O567">
        <v>0</v>
      </c>
      <c r="P567" t="s">
        <v>69</v>
      </c>
      <c r="Q567" t="s">
        <v>101</v>
      </c>
      <c r="R567">
        <v>0</v>
      </c>
      <c r="S567">
        <v>1</v>
      </c>
      <c r="T567" t="s">
        <v>40</v>
      </c>
      <c r="U567" t="s">
        <v>95</v>
      </c>
      <c r="V567" t="s">
        <v>102</v>
      </c>
      <c r="W567" s="1">
        <v>45423</v>
      </c>
      <c r="X567" t="b">
        <v>1</v>
      </c>
      <c r="Y567" t="b">
        <v>0</v>
      </c>
      <c r="Z567" t="s">
        <v>59</v>
      </c>
      <c r="AA567" t="s">
        <v>60</v>
      </c>
      <c r="AB567">
        <v>8</v>
      </c>
    </row>
    <row r="568" spans="1:28">
      <c r="A568" t="s">
        <v>1343</v>
      </c>
      <c r="B568">
        <v>31</v>
      </c>
      <c r="C568" t="s">
        <v>431</v>
      </c>
      <c r="D568" t="s">
        <v>51</v>
      </c>
      <c r="E568" t="s">
        <v>92</v>
      </c>
      <c r="F568" t="s">
        <v>66</v>
      </c>
      <c r="G568" t="s">
        <v>51</v>
      </c>
      <c r="H568" t="s">
        <v>1344</v>
      </c>
      <c r="I568" t="s">
        <v>199</v>
      </c>
      <c r="J568" s="2">
        <v>142.43</v>
      </c>
      <c r="K568">
        <v>3</v>
      </c>
      <c r="L568" t="s">
        <v>55</v>
      </c>
      <c r="M568">
        <v>2</v>
      </c>
      <c r="N568">
        <v>5</v>
      </c>
      <c r="O568">
        <v>2</v>
      </c>
      <c r="P568" t="s">
        <v>51</v>
      </c>
      <c r="Q568" t="s">
        <v>101</v>
      </c>
      <c r="R568">
        <v>1</v>
      </c>
      <c r="S568">
        <v>9</v>
      </c>
      <c r="T568" t="s">
        <v>40</v>
      </c>
      <c r="U568" t="s">
        <v>95</v>
      </c>
      <c r="V568" t="s">
        <v>58</v>
      </c>
      <c r="W568" s="1">
        <v>45563</v>
      </c>
      <c r="X568" t="b">
        <v>1</v>
      </c>
      <c r="Y568" t="b">
        <v>0</v>
      </c>
      <c r="Z568" t="s">
        <v>89</v>
      </c>
      <c r="AA568" t="s">
        <v>77</v>
      </c>
      <c r="AB568">
        <v>8</v>
      </c>
    </row>
    <row r="569" spans="1:28">
      <c r="A569" t="s">
        <v>1345</v>
      </c>
      <c r="B569">
        <v>19</v>
      </c>
      <c r="C569" t="s">
        <v>33</v>
      </c>
      <c r="D569" t="s">
        <v>34</v>
      </c>
      <c r="E569" t="s">
        <v>35</v>
      </c>
      <c r="F569" t="s">
        <v>36</v>
      </c>
      <c r="G569" t="s">
        <v>51</v>
      </c>
      <c r="H569" t="s">
        <v>1346</v>
      </c>
      <c r="I569" t="s">
        <v>147</v>
      </c>
      <c r="J569" s="2">
        <v>449.72</v>
      </c>
      <c r="K569">
        <v>3</v>
      </c>
      <c r="L569" t="s">
        <v>39</v>
      </c>
      <c r="M569">
        <v>3</v>
      </c>
      <c r="N569">
        <v>3</v>
      </c>
      <c r="O569">
        <v>0</v>
      </c>
      <c r="P569" t="s">
        <v>51</v>
      </c>
      <c r="Q569" t="s">
        <v>41</v>
      </c>
      <c r="R569">
        <v>1</v>
      </c>
      <c r="S569">
        <v>9</v>
      </c>
      <c r="T569" t="s">
        <v>40</v>
      </c>
      <c r="U569" t="s">
        <v>70</v>
      </c>
      <c r="V569" t="s">
        <v>76</v>
      </c>
      <c r="W569" s="1">
        <v>45340</v>
      </c>
      <c r="X569" t="b">
        <v>1</v>
      </c>
      <c r="Y569" t="b">
        <v>1</v>
      </c>
      <c r="Z569" t="s">
        <v>59</v>
      </c>
      <c r="AA569" t="s">
        <v>77</v>
      </c>
      <c r="AB569">
        <v>3</v>
      </c>
    </row>
    <row r="570" spans="1:28">
      <c r="A570" t="s">
        <v>1348</v>
      </c>
      <c r="B570">
        <v>27</v>
      </c>
      <c r="C570" t="s">
        <v>50</v>
      </c>
      <c r="D570" t="s">
        <v>34</v>
      </c>
      <c r="E570" t="s">
        <v>65</v>
      </c>
      <c r="F570" t="s">
        <v>36</v>
      </c>
      <c r="G570" t="s">
        <v>51</v>
      </c>
      <c r="H570" t="s">
        <v>1349</v>
      </c>
      <c r="I570" t="s">
        <v>38</v>
      </c>
      <c r="J570" s="2">
        <v>241.56</v>
      </c>
      <c r="K570">
        <v>12</v>
      </c>
      <c r="L570" t="s">
        <v>39</v>
      </c>
      <c r="M570">
        <v>3</v>
      </c>
      <c r="N570">
        <v>2</v>
      </c>
      <c r="O570">
        <v>0</v>
      </c>
      <c r="P570" t="s">
        <v>51</v>
      </c>
      <c r="Q570" t="s">
        <v>57</v>
      </c>
      <c r="R570">
        <v>0</v>
      </c>
      <c r="S570">
        <v>5</v>
      </c>
      <c r="T570" t="s">
        <v>51</v>
      </c>
      <c r="U570" t="s">
        <v>42</v>
      </c>
      <c r="V570" t="s">
        <v>58</v>
      </c>
      <c r="W570" s="1">
        <v>45624</v>
      </c>
      <c r="X570" t="b">
        <v>1</v>
      </c>
      <c r="Y570" t="b">
        <v>0</v>
      </c>
      <c r="Z570" t="s">
        <v>44</v>
      </c>
      <c r="AA570" t="s">
        <v>77</v>
      </c>
      <c r="AB570">
        <v>2</v>
      </c>
    </row>
    <row r="571" spans="1:28">
      <c r="A571" t="s">
        <v>1350</v>
      </c>
      <c r="B571">
        <v>32</v>
      </c>
      <c r="C571" t="s">
        <v>106</v>
      </c>
      <c r="D571" t="s">
        <v>34</v>
      </c>
      <c r="E571" t="s">
        <v>92</v>
      </c>
      <c r="F571" t="s">
        <v>66</v>
      </c>
      <c r="G571" t="s">
        <v>51</v>
      </c>
      <c r="H571" t="s">
        <v>1351</v>
      </c>
      <c r="I571" t="s">
        <v>229</v>
      </c>
      <c r="J571" s="2">
        <v>249.73</v>
      </c>
      <c r="K571">
        <v>5</v>
      </c>
      <c r="L571" t="s">
        <v>39</v>
      </c>
      <c r="M571">
        <v>1</v>
      </c>
      <c r="N571">
        <v>4</v>
      </c>
      <c r="O571">
        <v>2</v>
      </c>
      <c r="P571" t="s">
        <v>69</v>
      </c>
      <c r="Q571" t="s">
        <v>101</v>
      </c>
      <c r="R571">
        <v>1</v>
      </c>
      <c r="S571">
        <v>4</v>
      </c>
      <c r="T571" t="s">
        <v>69</v>
      </c>
      <c r="U571" t="s">
        <v>95</v>
      </c>
      <c r="V571" t="s">
        <v>102</v>
      </c>
      <c r="W571" s="1">
        <v>45611</v>
      </c>
      <c r="X571" t="b">
        <v>1</v>
      </c>
      <c r="Y571" t="b">
        <v>0</v>
      </c>
      <c r="Z571" t="s">
        <v>59</v>
      </c>
      <c r="AA571" t="s">
        <v>45</v>
      </c>
      <c r="AB571">
        <v>1</v>
      </c>
    </row>
    <row r="572" spans="1:28">
      <c r="A572" t="s">
        <v>1352</v>
      </c>
      <c r="B572">
        <v>24</v>
      </c>
      <c r="C572" t="s">
        <v>50</v>
      </c>
      <c r="D572" t="s">
        <v>34</v>
      </c>
      <c r="E572" t="s">
        <v>35</v>
      </c>
      <c r="F572" t="s">
        <v>66</v>
      </c>
      <c r="G572" t="s">
        <v>51</v>
      </c>
      <c r="H572" t="s">
        <v>1353</v>
      </c>
      <c r="I572" t="s">
        <v>75</v>
      </c>
      <c r="J572" s="2">
        <v>437.3</v>
      </c>
      <c r="K572">
        <v>7</v>
      </c>
      <c r="L572" t="s">
        <v>39</v>
      </c>
      <c r="M572">
        <v>2</v>
      </c>
      <c r="N572">
        <v>4</v>
      </c>
      <c r="O572">
        <v>0</v>
      </c>
      <c r="P572" t="s">
        <v>51</v>
      </c>
      <c r="Q572" t="s">
        <v>41</v>
      </c>
      <c r="R572">
        <v>0</v>
      </c>
      <c r="S572">
        <v>7</v>
      </c>
      <c r="T572" t="s">
        <v>40</v>
      </c>
      <c r="U572" t="s">
        <v>42</v>
      </c>
      <c r="V572" t="s">
        <v>102</v>
      </c>
      <c r="W572" s="1">
        <v>45497</v>
      </c>
      <c r="X572" t="b">
        <v>1</v>
      </c>
      <c r="Y572" t="b">
        <v>1</v>
      </c>
      <c r="Z572" t="s">
        <v>72</v>
      </c>
      <c r="AA572" t="s">
        <v>45</v>
      </c>
      <c r="AB572">
        <v>1</v>
      </c>
    </row>
    <row r="573" spans="1:28">
      <c r="A573" t="s">
        <v>1354</v>
      </c>
      <c r="B573">
        <v>22</v>
      </c>
      <c r="C573" t="s">
        <v>50</v>
      </c>
      <c r="D573" t="s">
        <v>34</v>
      </c>
      <c r="E573" t="s">
        <v>35</v>
      </c>
      <c r="F573" t="s">
        <v>66</v>
      </c>
      <c r="G573" t="s">
        <v>51</v>
      </c>
      <c r="H573" t="s">
        <v>1355</v>
      </c>
      <c r="I573" t="s">
        <v>199</v>
      </c>
      <c r="J573" s="2">
        <v>277.29000000000002</v>
      </c>
      <c r="K573">
        <v>4</v>
      </c>
      <c r="L573" t="s">
        <v>39</v>
      </c>
      <c r="M573">
        <v>1</v>
      </c>
      <c r="N573">
        <v>4</v>
      </c>
      <c r="O573">
        <v>1</v>
      </c>
      <c r="P573" t="s">
        <v>40</v>
      </c>
      <c r="Q573" t="s">
        <v>41</v>
      </c>
      <c r="R573">
        <v>2</v>
      </c>
      <c r="S573">
        <v>8</v>
      </c>
      <c r="T573" t="s">
        <v>69</v>
      </c>
      <c r="U573" t="s">
        <v>70</v>
      </c>
      <c r="V573" t="s">
        <v>43</v>
      </c>
      <c r="W573" s="1">
        <v>45318</v>
      </c>
      <c r="X573" t="b">
        <v>1</v>
      </c>
      <c r="Y573" t="b">
        <v>1</v>
      </c>
      <c r="Z573" t="s">
        <v>59</v>
      </c>
      <c r="AA573" t="s">
        <v>45</v>
      </c>
      <c r="AB573">
        <v>4</v>
      </c>
    </row>
    <row r="574" spans="1:28">
      <c r="A574" t="s">
        <v>1356</v>
      </c>
      <c r="B574">
        <v>46</v>
      </c>
      <c r="C574" t="s">
        <v>50</v>
      </c>
      <c r="D574" t="s">
        <v>51</v>
      </c>
      <c r="E574" t="s">
        <v>65</v>
      </c>
      <c r="F574" t="s">
        <v>52</v>
      </c>
      <c r="G574" t="s">
        <v>34</v>
      </c>
      <c r="H574" t="s">
        <v>1357</v>
      </c>
      <c r="I574" t="s">
        <v>147</v>
      </c>
      <c r="J574" s="2">
        <v>445.93</v>
      </c>
      <c r="K574">
        <v>6</v>
      </c>
      <c r="L574" t="s">
        <v>94</v>
      </c>
      <c r="M574">
        <v>5</v>
      </c>
      <c r="N574">
        <v>5</v>
      </c>
      <c r="O574">
        <v>2</v>
      </c>
      <c r="P574" t="s">
        <v>51</v>
      </c>
      <c r="Q574" t="s">
        <v>41</v>
      </c>
      <c r="R574">
        <v>2</v>
      </c>
      <c r="S574">
        <v>4</v>
      </c>
      <c r="T574" t="s">
        <v>51</v>
      </c>
      <c r="U574" t="s">
        <v>70</v>
      </c>
      <c r="V574" t="s">
        <v>71</v>
      </c>
      <c r="W574" s="1">
        <v>45427</v>
      </c>
      <c r="X574" t="b">
        <v>0</v>
      </c>
      <c r="Y574" t="b">
        <v>1</v>
      </c>
      <c r="Z574" t="s">
        <v>44</v>
      </c>
      <c r="AA574" t="s">
        <v>45</v>
      </c>
      <c r="AB574">
        <v>13</v>
      </c>
    </row>
    <row r="575" spans="1:28">
      <c r="A575" t="s">
        <v>1358</v>
      </c>
      <c r="B575">
        <v>37</v>
      </c>
      <c r="C575" t="s">
        <v>33</v>
      </c>
      <c r="D575" t="s">
        <v>34</v>
      </c>
      <c r="E575" t="s">
        <v>35</v>
      </c>
      <c r="F575" t="s">
        <v>36</v>
      </c>
      <c r="G575" t="s">
        <v>34</v>
      </c>
      <c r="H575" t="s">
        <v>2347</v>
      </c>
      <c r="I575" t="s">
        <v>150</v>
      </c>
      <c r="J575" s="2">
        <v>242.79</v>
      </c>
      <c r="K575">
        <v>6</v>
      </c>
      <c r="L575" t="s">
        <v>39</v>
      </c>
      <c r="M575">
        <v>2</v>
      </c>
      <c r="N575">
        <v>4</v>
      </c>
      <c r="O575">
        <v>0</v>
      </c>
      <c r="P575" t="s">
        <v>51</v>
      </c>
      <c r="Q575" t="s">
        <v>41</v>
      </c>
      <c r="R575">
        <v>1</v>
      </c>
      <c r="S575">
        <v>7</v>
      </c>
      <c r="T575" t="s">
        <v>40</v>
      </c>
      <c r="U575" t="s">
        <v>70</v>
      </c>
      <c r="V575" t="s">
        <v>76</v>
      </c>
      <c r="W575" s="1">
        <v>45311</v>
      </c>
      <c r="X575" t="b">
        <v>1</v>
      </c>
      <c r="Y575" t="b">
        <v>0</v>
      </c>
      <c r="Z575" t="s">
        <v>72</v>
      </c>
      <c r="AA575" t="s">
        <v>77</v>
      </c>
      <c r="AB575">
        <v>7</v>
      </c>
    </row>
    <row r="576" spans="1:28">
      <c r="A576" t="s">
        <v>1360</v>
      </c>
      <c r="B576">
        <v>34</v>
      </c>
      <c r="C576" t="s">
        <v>50</v>
      </c>
      <c r="D576" t="s">
        <v>51</v>
      </c>
      <c r="E576" t="s">
        <v>65</v>
      </c>
      <c r="F576" t="s">
        <v>36</v>
      </c>
      <c r="G576" t="s">
        <v>51</v>
      </c>
      <c r="H576" t="s">
        <v>1361</v>
      </c>
      <c r="I576" t="s">
        <v>242</v>
      </c>
      <c r="J576" s="2">
        <v>393.09</v>
      </c>
      <c r="K576">
        <v>8</v>
      </c>
      <c r="L576" t="s">
        <v>94</v>
      </c>
      <c r="M576">
        <v>5</v>
      </c>
      <c r="N576">
        <v>3</v>
      </c>
      <c r="O576">
        <v>2</v>
      </c>
      <c r="P576" t="s">
        <v>56</v>
      </c>
      <c r="Q576" t="s">
        <v>41</v>
      </c>
      <c r="R576">
        <v>0</v>
      </c>
      <c r="S576">
        <v>3</v>
      </c>
      <c r="T576" t="s">
        <v>56</v>
      </c>
      <c r="U576" t="s">
        <v>42</v>
      </c>
      <c r="V576" t="s">
        <v>102</v>
      </c>
      <c r="W576" s="1">
        <v>45393</v>
      </c>
      <c r="X576" t="b">
        <v>0</v>
      </c>
      <c r="Y576" t="b">
        <v>1</v>
      </c>
      <c r="Z576" t="s">
        <v>89</v>
      </c>
      <c r="AA576" t="s">
        <v>60</v>
      </c>
      <c r="AB576">
        <v>1</v>
      </c>
    </row>
    <row r="577" spans="1:28">
      <c r="A577" t="s">
        <v>1362</v>
      </c>
      <c r="B577">
        <v>32</v>
      </c>
      <c r="C577" t="s">
        <v>50</v>
      </c>
      <c r="D577" t="s">
        <v>34</v>
      </c>
      <c r="E577" t="s">
        <v>65</v>
      </c>
      <c r="F577" t="s">
        <v>66</v>
      </c>
      <c r="G577" t="s">
        <v>51</v>
      </c>
      <c r="H577" t="s">
        <v>1363</v>
      </c>
      <c r="I577" t="s">
        <v>199</v>
      </c>
      <c r="J577" s="2">
        <v>167.61</v>
      </c>
      <c r="K577">
        <v>2</v>
      </c>
      <c r="L577" t="s">
        <v>94</v>
      </c>
      <c r="M577">
        <v>3</v>
      </c>
      <c r="N577">
        <v>5</v>
      </c>
      <c r="O577">
        <v>1</v>
      </c>
      <c r="P577" t="s">
        <v>40</v>
      </c>
      <c r="Q577" t="s">
        <v>57</v>
      </c>
      <c r="R577">
        <v>2</v>
      </c>
      <c r="S577">
        <v>2</v>
      </c>
      <c r="T577" t="s">
        <v>69</v>
      </c>
      <c r="U577" t="s">
        <v>95</v>
      </c>
      <c r="V577" t="s">
        <v>76</v>
      </c>
      <c r="W577" s="1">
        <v>45606</v>
      </c>
      <c r="X577" t="b">
        <v>1</v>
      </c>
      <c r="Y577" t="b">
        <v>0</v>
      </c>
      <c r="Z577" t="s">
        <v>44</v>
      </c>
      <c r="AA577" t="s">
        <v>45</v>
      </c>
      <c r="AB577">
        <v>13</v>
      </c>
    </row>
    <row r="578" spans="1:28">
      <c r="A578" t="s">
        <v>1364</v>
      </c>
      <c r="B578">
        <v>44</v>
      </c>
      <c r="C578" t="s">
        <v>50</v>
      </c>
      <c r="D578" t="s">
        <v>51</v>
      </c>
      <c r="E578" t="s">
        <v>92</v>
      </c>
      <c r="F578" t="s">
        <v>52</v>
      </c>
      <c r="G578" t="s">
        <v>34</v>
      </c>
      <c r="H578" t="s">
        <v>1365</v>
      </c>
      <c r="I578" t="s">
        <v>38</v>
      </c>
      <c r="J578" s="2">
        <v>324.22000000000003</v>
      </c>
      <c r="K578">
        <v>2</v>
      </c>
      <c r="L578" t="s">
        <v>55</v>
      </c>
      <c r="M578">
        <v>4</v>
      </c>
      <c r="N578">
        <v>2</v>
      </c>
      <c r="O578">
        <v>0</v>
      </c>
      <c r="P578" t="s">
        <v>40</v>
      </c>
      <c r="Q578" t="s">
        <v>41</v>
      </c>
      <c r="R578">
        <v>1</v>
      </c>
      <c r="S578">
        <v>6</v>
      </c>
      <c r="T578" t="s">
        <v>56</v>
      </c>
      <c r="U578" t="s">
        <v>95</v>
      </c>
      <c r="V578" t="s">
        <v>58</v>
      </c>
      <c r="W578" s="1">
        <v>45400</v>
      </c>
      <c r="X578" t="b">
        <v>0</v>
      </c>
      <c r="Y578" t="b">
        <v>0</v>
      </c>
      <c r="Z578" t="s">
        <v>59</v>
      </c>
      <c r="AA578" t="s">
        <v>77</v>
      </c>
      <c r="AB578">
        <v>14</v>
      </c>
    </row>
    <row r="579" spans="1:28">
      <c r="A579" t="s">
        <v>1367</v>
      </c>
      <c r="B579">
        <v>24</v>
      </c>
      <c r="C579" t="s">
        <v>33</v>
      </c>
      <c r="D579" t="s">
        <v>34</v>
      </c>
      <c r="E579" t="s">
        <v>92</v>
      </c>
      <c r="F579" t="s">
        <v>36</v>
      </c>
      <c r="G579" t="s">
        <v>34</v>
      </c>
      <c r="H579" t="s">
        <v>1368</v>
      </c>
      <c r="I579" t="s">
        <v>112</v>
      </c>
      <c r="J579" s="2">
        <v>159.30000000000001</v>
      </c>
      <c r="K579">
        <v>11</v>
      </c>
      <c r="L579" t="s">
        <v>39</v>
      </c>
      <c r="M579">
        <v>5</v>
      </c>
      <c r="N579">
        <v>4</v>
      </c>
      <c r="O579">
        <v>0</v>
      </c>
      <c r="P579" t="s">
        <v>56</v>
      </c>
      <c r="Q579" t="s">
        <v>41</v>
      </c>
      <c r="R579">
        <v>0</v>
      </c>
      <c r="S579">
        <v>6</v>
      </c>
      <c r="T579" t="s">
        <v>51</v>
      </c>
      <c r="U579" t="s">
        <v>42</v>
      </c>
      <c r="V579" t="s">
        <v>58</v>
      </c>
      <c r="W579" s="1">
        <v>45406</v>
      </c>
      <c r="X579" t="b">
        <v>0</v>
      </c>
      <c r="Y579" t="b">
        <v>1</v>
      </c>
      <c r="Z579" t="s">
        <v>72</v>
      </c>
      <c r="AA579" t="s">
        <v>77</v>
      </c>
      <c r="AB579">
        <v>2</v>
      </c>
    </row>
    <row r="580" spans="1:28">
      <c r="A580" t="s">
        <v>1369</v>
      </c>
      <c r="B580">
        <v>22</v>
      </c>
      <c r="C580" t="s">
        <v>431</v>
      </c>
      <c r="D580" t="s">
        <v>34</v>
      </c>
      <c r="E580" t="s">
        <v>82</v>
      </c>
      <c r="F580" t="s">
        <v>66</v>
      </c>
      <c r="G580" t="s">
        <v>34</v>
      </c>
      <c r="H580" t="s">
        <v>1370</v>
      </c>
      <c r="I580" t="s">
        <v>123</v>
      </c>
      <c r="J580" s="2">
        <v>324.39</v>
      </c>
      <c r="K580">
        <v>5</v>
      </c>
      <c r="L580" t="s">
        <v>94</v>
      </c>
      <c r="M580">
        <v>2</v>
      </c>
      <c r="N580">
        <v>2</v>
      </c>
      <c r="O580">
        <v>0</v>
      </c>
      <c r="P580" t="s">
        <v>51</v>
      </c>
      <c r="Q580" t="s">
        <v>101</v>
      </c>
      <c r="R580">
        <v>1</v>
      </c>
      <c r="S580">
        <v>6</v>
      </c>
      <c r="T580" t="s">
        <v>56</v>
      </c>
      <c r="U580" t="s">
        <v>95</v>
      </c>
      <c r="V580" t="s">
        <v>58</v>
      </c>
      <c r="W580" s="1">
        <v>45615</v>
      </c>
      <c r="X580" t="b">
        <v>1</v>
      </c>
      <c r="Y580" t="b">
        <v>0</v>
      </c>
      <c r="Z580" t="s">
        <v>44</v>
      </c>
      <c r="AA580" t="s">
        <v>77</v>
      </c>
      <c r="AB580">
        <v>1</v>
      </c>
    </row>
    <row r="581" spans="1:28">
      <c r="A581" t="s">
        <v>1371</v>
      </c>
      <c r="B581">
        <v>37</v>
      </c>
      <c r="C581" t="s">
        <v>340</v>
      </c>
      <c r="D581" t="s">
        <v>51</v>
      </c>
      <c r="E581" t="s">
        <v>65</v>
      </c>
      <c r="F581" t="s">
        <v>52</v>
      </c>
      <c r="G581" t="s">
        <v>51</v>
      </c>
      <c r="H581" t="s">
        <v>2348</v>
      </c>
      <c r="I581" t="s">
        <v>229</v>
      </c>
      <c r="J581" s="2">
        <v>198.89</v>
      </c>
      <c r="K581">
        <v>2</v>
      </c>
      <c r="L581" t="s">
        <v>55</v>
      </c>
      <c r="M581">
        <v>2</v>
      </c>
      <c r="N581">
        <v>2</v>
      </c>
      <c r="O581">
        <v>0</v>
      </c>
      <c r="P581" t="s">
        <v>51</v>
      </c>
      <c r="Q581" t="s">
        <v>57</v>
      </c>
      <c r="R581">
        <v>0</v>
      </c>
      <c r="S581">
        <v>4</v>
      </c>
      <c r="T581" t="s">
        <v>69</v>
      </c>
      <c r="U581" t="s">
        <v>42</v>
      </c>
      <c r="V581" t="s">
        <v>43</v>
      </c>
      <c r="W581" s="1">
        <v>45303</v>
      </c>
      <c r="X581" t="b">
        <v>0</v>
      </c>
      <c r="Y581" t="b">
        <v>0</v>
      </c>
      <c r="Z581" t="s">
        <v>72</v>
      </c>
      <c r="AA581" t="s">
        <v>60</v>
      </c>
      <c r="AB581">
        <v>1</v>
      </c>
    </row>
    <row r="582" spans="1:28">
      <c r="A582" t="s">
        <v>1373</v>
      </c>
      <c r="B582">
        <v>41</v>
      </c>
      <c r="C582" t="s">
        <v>33</v>
      </c>
      <c r="D582" t="s">
        <v>34</v>
      </c>
      <c r="E582" t="s">
        <v>92</v>
      </c>
      <c r="F582" t="s">
        <v>66</v>
      </c>
      <c r="G582" t="s">
        <v>51</v>
      </c>
      <c r="H582" t="s">
        <v>1374</v>
      </c>
      <c r="I582" t="s">
        <v>229</v>
      </c>
      <c r="J582" s="2">
        <v>287.18</v>
      </c>
      <c r="K582">
        <v>7</v>
      </c>
      <c r="L582" t="s">
        <v>55</v>
      </c>
      <c r="M582">
        <v>4</v>
      </c>
      <c r="N582">
        <v>5</v>
      </c>
      <c r="O582">
        <v>0</v>
      </c>
      <c r="P582" t="s">
        <v>40</v>
      </c>
      <c r="Q582" t="s">
        <v>57</v>
      </c>
      <c r="R582">
        <v>0</v>
      </c>
      <c r="S582">
        <v>1</v>
      </c>
      <c r="T582" t="s">
        <v>40</v>
      </c>
      <c r="U582" t="s">
        <v>42</v>
      </c>
      <c r="V582" t="s">
        <v>71</v>
      </c>
      <c r="W582" s="1">
        <v>45362</v>
      </c>
      <c r="X582" t="b">
        <v>1</v>
      </c>
      <c r="Y582" t="b">
        <v>0</v>
      </c>
      <c r="Z582" t="s">
        <v>89</v>
      </c>
      <c r="AA582" t="s">
        <v>45</v>
      </c>
      <c r="AB582">
        <v>8</v>
      </c>
    </row>
    <row r="583" spans="1:28">
      <c r="A583" t="s">
        <v>1375</v>
      </c>
      <c r="B583">
        <v>32</v>
      </c>
      <c r="C583" t="s">
        <v>50</v>
      </c>
      <c r="D583" t="s">
        <v>51</v>
      </c>
      <c r="E583" t="s">
        <v>92</v>
      </c>
      <c r="F583" t="s">
        <v>52</v>
      </c>
      <c r="G583" t="s">
        <v>34</v>
      </c>
      <c r="H583" t="s">
        <v>1376</v>
      </c>
      <c r="I583" t="s">
        <v>68</v>
      </c>
      <c r="J583" s="2">
        <v>162.24</v>
      </c>
      <c r="K583">
        <v>7</v>
      </c>
      <c r="L583" t="s">
        <v>55</v>
      </c>
      <c r="M583">
        <v>5</v>
      </c>
      <c r="N583">
        <v>3</v>
      </c>
      <c r="O583">
        <v>1</v>
      </c>
      <c r="P583" t="s">
        <v>40</v>
      </c>
      <c r="Q583" t="s">
        <v>101</v>
      </c>
      <c r="R583">
        <v>2</v>
      </c>
      <c r="S583">
        <v>6</v>
      </c>
      <c r="T583" t="s">
        <v>69</v>
      </c>
      <c r="U583" t="s">
        <v>70</v>
      </c>
      <c r="V583" t="s">
        <v>58</v>
      </c>
      <c r="W583" s="1">
        <v>45576</v>
      </c>
      <c r="X583" t="b">
        <v>0</v>
      </c>
      <c r="Y583" t="b">
        <v>0</v>
      </c>
      <c r="Z583" t="s">
        <v>59</v>
      </c>
      <c r="AA583" t="s">
        <v>77</v>
      </c>
      <c r="AB583">
        <v>7</v>
      </c>
    </row>
    <row r="584" spans="1:28">
      <c r="A584" t="s">
        <v>1377</v>
      </c>
      <c r="B584">
        <v>37</v>
      </c>
      <c r="C584" t="s">
        <v>33</v>
      </c>
      <c r="D584" t="s">
        <v>51</v>
      </c>
      <c r="E584" t="s">
        <v>92</v>
      </c>
      <c r="F584" t="s">
        <v>36</v>
      </c>
      <c r="G584" t="s">
        <v>51</v>
      </c>
      <c r="H584" t="s">
        <v>2349</v>
      </c>
      <c r="I584" t="s">
        <v>170</v>
      </c>
      <c r="J584" s="2">
        <v>92.97</v>
      </c>
      <c r="K584">
        <v>6</v>
      </c>
      <c r="L584" t="s">
        <v>55</v>
      </c>
      <c r="M584">
        <v>5</v>
      </c>
      <c r="N584">
        <v>5</v>
      </c>
      <c r="O584">
        <v>0</v>
      </c>
      <c r="P584" t="s">
        <v>56</v>
      </c>
      <c r="Q584" t="s">
        <v>101</v>
      </c>
      <c r="R584">
        <v>0</v>
      </c>
      <c r="S584">
        <v>7</v>
      </c>
      <c r="T584" t="s">
        <v>69</v>
      </c>
      <c r="U584" t="s">
        <v>95</v>
      </c>
      <c r="V584" t="s">
        <v>76</v>
      </c>
      <c r="W584" s="1">
        <v>45641</v>
      </c>
      <c r="X584" t="b">
        <v>0</v>
      </c>
      <c r="Y584" t="b">
        <v>1</v>
      </c>
      <c r="Z584" t="s">
        <v>72</v>
      </c>
      <c r="AA584" t="s">
        <v>60</v>
      </c>
      <c r="AB584">
        <v>7</v>
      </c>
    </row>
    <row r="585" spans="1:28">
      <c r="A585" t="s">
        <v>1379</v>
      </c>
      <c r="B585">
        <v>41</v>
      </c>
      <c r="C585" t="s">
        <v>50</v>
      </c>
      <c r="D585" t="s">
        <v>34</v>
      </c>
      <c r="E585" t="s">
        <v>82</v>
      </c>
      <c r="F585" t="s">
        <v>52</v>
      </c>
      <c r="G585" t="s">
        <v>34</v>
      </c>
      <c r="H585" t="s">
        <v>1380</v>
      </c>
      <c r="I585" t="s">
        <v>54</v>
      </c>
      <c r="J585" s="2">
        <v>144.38999999999999</v>
      </c>
      <c r="K585">
        <v>12</v>
      </c>
      <c r="L585" t="s">
        <v>55</v>
      </c>
      <c r="M585">
        <v>5</v>
      </c>
      <c r="N585">
        <v>3</v>
      </c>
      <c r="O585">
        <v>2</v>
      </c>
      <c r="P585" t="s">
        <v>51</v>
      </c>
      <c r="Q585" t="s">
        <v>101</v>
      </c>
      <c r="R585">
        <v>0</v>
      </c>
      <c r="S585">
        <v>4</v>
      </c>
      <c r="T585" t="s">
        <v>69</v>
      </c>
      <c r="U585" t="s">
        <v>95</v>
      </c>
      <c r="V585" t="s">
        <v>102</v>
      </c>
      <c r="W585" s="1">
        <v>45454</v>
      </c>
      <c r="X585" t="b">
        <v>1</v>
      </c>
      <c r="Y585" t="b">
        <v>1</v>
      </c>
      <c r="Z585" t="s">
        <v>72</v>
      </c>
      <c r="AA585" t="s">
        <v>60</v>
      </c>
      <c r="AB585">
        <v>12</v>
      </c>
    </row>
    <row r="586" spans="1:28">
      <c r="A586" t="s">
        <v>1381</v>
      </c>
      <c r="B586">
        <v>37</v>
      </c>
      <c r="C586" t="s">
        <v>33</v>
      </c>
      <c r="D586" t="s">
        <v>51</v>
      </c>
      <c r="E586" t="s">
        <v>65</v>
      </c>
      <c r="F586" t="s">
        <v>52</v>
      </c>
      <c r="G586" t="s">
        <v>51</v>
      </c>
      <c r="H586" t="s">
        <v>2350</v>
      </c>
      <c r="I586" t="s">
        <v>98</v>
      </c>
      <c r="J586" s="2">
        <v>253.37</v>
      </c>
      <c r="K586">
        <v>12</v>
      </c>
      <c r="L586" t="s">
        <v>55</v>
      </c>
      <c r="M586">
        <v>2</v>
      </c>
      <c r="N586">
        <v>5</v>
      </c>
      <c r="O586">
        <v>0</v>
      </c>
      <c r="P586" t="s">
        <v>40</v>
      </c>
      <c r="Q586" t="s">
        <v>101</v>
      </c>
      <c r="R586">
        <v>0</v>
      </c>
      <c r="S586">
        <v>9</v>
      </c>
      <c r="T586" t="s">
        <v>69</v>
      </c>
      <c r="U586" t="s">
        <v>42</v>
      </c>
      <c r="V586" t="s">
        <v>43</v>
      </c>
      <c r="W586" s="1">
        <v>45420</v>
      </c>
      <c r="X586" t="b">
        <v>0</v>
      </c>
      <c r="Y586" t="b">
        <v>1</v>
      </c>
      <c r="Z586" t="s">
        <v>89</v>
      </c>
      <c r="AA586" t="s">
        <v>77</v>
      </c>
      <c r="AB586">
        <v>6</v>
      </c>
    </row>
    <row r="587" spans="1:28">
      <c r="A587" t="s">
        <v>1383</v>
      </c>
      <c r="B587">
        <v>43</v>
      </c>
      <c r="C587" t="s">
        <v>50</v>
      </c>
      <c r="D587" t="s">
        <v>34</v>
      </c>
      <c r="E587" t="s">
        <v>82</v>
      </c>
      <c r="F587" t="s">
        <v>52</v>
      </c>
      <c r="G587" t="s">
        <v>51</v>
      </c>
      <c r="H587" t="s">
        <v>2351</v>
      </c>
      <c r="I587" t="s">
        <v>127</v>
      </c>
      <c r="J587" s="2">
        <v>209.62</v>
      </c>
      <c r="K587">
        <v>12</v>
      </c>
      <c r="L587" t="s">
        <v>39</v>
      </c>
      <c r="M587">
        <v>1</v>
      </c>
      <c r="N587">
        <v>2</v>
      </c>
      <c r="O587">
        <v>1</v>
      </c>
      <c r="P587" t="s">
        <v>56</v>
      </c>
      <c r="Q587" t="s">
        <v>101</v>
      </c>
      <c r="R587">
        <v>0</v>
      </c>
      <c r="S587">
        <v>7</v>
      </c>
      <c r="T587" t="s">
        <v>56</v>
      </c>
      <c r="U587" t="s">
        <v>42</v>
      </c>
      <c r="V587" t="s">
        <v>76</v>
      </c>
      <c r="W587" s="1">
        <v>45577</v>
      </c>
      <c r="X587" t="b">
        <v>1</v>
      </c>
      <c r="Y587" t="b">
        <v>0</v>
      </c>
      <c r="Z587" t="s">
        <v>89</v>
      </c>
      <c r="AA587" t="s">
        <v>60</v>
      </c>
      <c r="AB587">
        <v>9</v>
      </c>
    </row>
    <row r="588" spans="1:28">
      <c r="A588" t="s">
        <v>1386</v>
      </c>
      <c r="B588">
        <v>49</v>
      </c>
      <c r="C588" t="s">
        <v>50</v>
      </c>
      <c r="D588" t="s">
        <v>51</v>
      </c>
      <c r="E588" t="s">
        <v>65</v>
      </c>
      <c r="F588" t="s">
        <v>52</v>
      </c>
      <c r="G588" t="s">
        <v>34</v>
      </c>
      <c r="H588" t="s">
        <v>1387</v>
      </c>
      <c r="I588" t="s">
        <v>153</v>
      </c>
      <c r="J588" s="2">
        <v>411.62</v>
      </c>
      <c r="K588">
        <v>6</v>
      </c>
      <c r="L588" t="s">
        <v>39</v>
      </c>
      <c r="M588">
        <v>2</v>
      </c>
      <c r="N588">
        <v>1</v>
      </c>
      <c r="O588">
        <v>0</v>
      </c>
      <c r="P588" t="s">
        <v>56</v>
      </c>
      <c r="Q588" t="s">
        <v>41</v>
      </c>
      <c r="R588">
        <v>2</v>
      </c>
      <c r="S588">
        <v>7</v>
      </c>
      <c r="T588" t="s">
        <v>56</v>
      </c>
      <c r="U588" t="s">
        <v>42</v>
      </c>
      <c r="V588" t="s">
        <v>58</v>
      </c>
      <c r="W588" s="1">
        <v>45570</v>
      </c>
      <c r="X588" t="b">
        <v>1</v>
      </c>
      <c r="Y588" t="b">
        <v>0</v>
      </c>
      <c r="Z588" t="s">
        <v>59</v>
      </c>
      <c r="AA588" t="s">
        <v>77</v>
      </c>
      <c r="AB588">
        <v>12</v>
      </c>
    </row>
    <row r="589" spans="1:28">
      <c r="A589" t="s">
        <v>1388</v>
      </c>
      <c r="B589">
        <v>27</v>
      </c>
      <c r="C589" t="s">
        <v>33</v>
      </c>
      <c r="D589" t="s">
        <v>51</v>
      </c>
      <c r="E589" t="s">
        <v>65</v>
      </c>
      <c r="F589" t="s">
        <v>36</v>
      </c>
      <c r="G589" t="s">
        <v>51</v>
      </c>
      <c r="H589" t="s">
        <v>2352</v>
      </c>
      <c r="I589" t="s">
        <v>54</v>
      </c>
      <c r="J589" s="2">
        <v>388.01</v>
      </c>
      <c r="K589">
        <v>2</v>
      </c>
      <c r="L589" t="s">
        <v>94</v>
      </c>
      <c r="M589">
        <v>1</v>
      </c>
      <c r="N589">
        <v>5</v>
      </c>
      <c r="O589">
        <v>1</v>
      </c>
      <c r="P589" t="s">
        <v>51</v>
      </c>
      <c r="Q589" t="s">
        <v>101</v>
      </c>
      <c r="R589">
        <v>1</v>
      </c>
      <c r="S589">
        <v>2</v>
      </c>
      <c r="T589" t="s">
        <v>40</v>
      </c>
      <c r="U589" t="s">
        <v>42</v>
      </c>
      <c r="V589" t="s">
        <v>58</v>
      </c>
      <c r="W589" s="1">
        <v>45615</v>
      </c>
      <c r="X589" t="b">
        <v>0</v>
      </c>
      <c r="Y589" t="b">
        <v>1</v>
      </c>
      <c r="Z589" t="s">
        <v>59</v>
      </c>
      <c r="AA589" t="s">
        <v>60</v>
      </c>
      <c r="AB589">
        <v>10</v>
      </c>
    </row>
    <row r="590" spans="1:28">
      <c r="A590" t="s">
        <v>1390</v>
      </c>
      <c r="B590">
        <v>41</v>
      </c>
      <c r="C590" t="s">
        <v>50</v>
      </c>
      <c r="D590" t="s">
        <v>34</v>
      </c>
      <c r="E590" t="s">
        <v>82</v>
      </c>
      <c r="F590" t="s">
        <v>52</v>
      </c>
      <c r="G590" t="s">
        <v>51</v>
      </c>
      <c r="H590" t="s">
        <v>1391</v>
      </c>
      <c r="I590" t="s">
        <v>131</v>
      </c>
      <c r="J590" s="2">
        <v>50.78</v>
      </c>
      <c r="K590">
        <v>6</v>
      </c>
      <c r="L590" t="s">
        <v>94</v>
      </c>
      <c r="M590">
        <v>5</v>
      </c>
      <c r="N590">
        <v>1</v>
      </c>
      <c r="O590">
        <v>1</v>
      </c>
      <c r="P590" t="s">
        <v>69</v>
      </c>
      <c r="Q590" t="s">
        <v>41</v>
      </c>
      <c r="R590">
        <v>1</v>
      </c>
      <c r="S590">
        <v>8</v>
      </c>
      <c r="T590" t="s">
        <v>40</v>
      </c>
      <c r="U590" t="s">
        <v>42</v>
      </c>
      <c r="V590" t="s">
        <v>71</v>
      </c>
      <c r="W590" s="1">
        <v>45303</v>
      </c>
      <c r="X590" t="b">
        <v>0</v>
      </c>
      <c r="Y590" t="b">
        <v>1</v>
      </c>
      <c r="Z590" t="s">
        <v>44</v>
      </c>
      <c r="AA590" t="s">
        <v>60</v>
      </c>
      <c r="AB590">
        <v>9</v>
      </c>
    </row>
    <row r="591" spans="1:28">
      <c r="A591" t="s">
        <v>1392</v>
      </c>
      <c r="B591">
        <v>33</v>
      </c>
      <c r="C591" t="s">
        <v>50</v>
      </c>
      <c r="D591" t="s">
        <v>51</v>
      </c>
      <c r="E591" t="s">
        <v>92</v>
      </c>
      <c r="F591" t="s">
        <v>36</v>
      </c>
      <c r="G591" t="s">
        <v>34</v>
      </c>
      <c r="H591" t="s">
        <v>1393</v>
      </c>
      <c r="I591" t="s">
        <v>143</v>
      </c>
      <c r="J591" s="2">
        <v>159.82</v>
      </c>
      <c r="K591">
        <v>2</v>
      </c>
      <c r="L591" t="s">
        <v>55</v>
      </c>
      <c r="M591">
        <v>2</v>
      </c>
      <c r="N591">
        <v>1</v>
      </c>
      <c r="O591">
        <v>1</v>
      </c>
      <c r="P591" t="s">
        <v>51</v>
      </c>
      <c r="Q591" t="s">
        <v>101</v>
      </c>
      <c r="R591">
        <v>2</v>
      </c>
      <c r="S591">
        <v>8</v>
      </c>
      <c r="T591" t="s">
        <v>56</v>
      </c>
      <c r="U591" t="s">
        <v>42</v>
      </c>
      <c r="V591" t="s">
        <v>102</v>
      </c>
      <c r="W591" s="1">
        <v>45635</v>
      </c>
      <c r="X591" t="b">
        <v>1</v>
      </c>
      <c r="Y591" t="b">
        <v>1</v>
      </c>
      <c r="Z591" t="s">
        <v>89</v>
      </c>
      <c r="AA591" t="s">
        <v>45</v>
      </c>
      <c r="AB591">
        <v>10</v>
      </c>
    </row>
    <row r="592" spans="1:28">
      <c r="A592" t="s">
        <v>1394</v>
      </c>
      <c r="B592">
        <v>46</v>
      </c>
      <c r="C592" t="s">
        <v>50</v>
      </c>
      <c r="D592" t="s">
        <v>34</v>
      </c>
      <c r="E592" t="s">
        <v>92</v>
      </c>
      <c r="F592" t="s">
        <v>66</v>
      </c>
      <c r="G592" t="s">
        <v>34</v>
      </c>
      <c r="H592" t="s">
        <v>1395</v>
      </c>
      <c r="I592" t="s">
        <v>242</v>
      </c>
      <c r="J592" s="2">
        <v>79.430000000000007</v>
      </c>
      <c r="K592">
        <v>3</v>
      </c>
      <c r="L592" t="s">
        <v>55</v>
      </c>
      <c r="M592">
        <v>1</v>
      </c>
      <c r="N592">
        <v>5</v>
      </c>
      <c r="O592">
        <v>0</v>
      </c>
      <c r="P592" t="s">
        <v>56</v>
      </c>
      <c r="Q592" t="s">
        <v>41</v>
      </c>
      <c r="R592">
        <v>2</v>
      </c>
      <c r="S592">
        <v>7</v>
      </c>
      <c r="T592" t="s">
        <v>40</v>
      </c>
      <c r="U592" t="s">
        <v>70</v>
      </c>
      <c r="V592" t="s">
        <v>58</v>
      </c>
      <c r="W592" s="1">
        <v>45306</v>
      </c>
      <c r="X592" t="b">
        <v>0</v>
      </c>
      <c r="Y592" t="b">
        <v>0</v>
      </c>
      <c r="Z592" t="s">
        <v>59</v>
      </c>
      <c r="AA592" t="s">
        <v>45</v>
      </c>
      <c r="AB592">
        <v>6</v>
      </c>
    </row>
    <row r="593" spans="1:28">
      <c r="A593" t="s">
        <v>1396</v>
      </c>
      <c r="B593">
        <v>42</v>
      </c>
      <c r="C593" t="s">
        <v>33</v>
      </c>
      <c r="D593" t="s">
        <v>34</v>
      </c>
      <c r="E593" t="s">
        <v>35</v>
      </c>
      <c r="F593" t="s">
        <v>36</v>
      </c>
      <c r="G593" t="s">
        <v>34</v>
      </c>
      <c r="H593" t="s">
        <v>1397</v>
      </c>
      <c r="I593" t="s">
        <v>242</v>
      </c>
      <c r="J593" s="2">
        <v>131.36000000000001</v>
      </c>
      <c r="K593">
        <v>4</v>
      </c>
      <c r="L593" t="s">
        <v>55</v>
      </c>
      <c r="M593">
        <v>4</v>
      </c>
      <c r="N593">
        <v>4</v>
      </c>
      <c r="O593">
        <v>2</v>
      </c>
      <c r="P593" t="s">
        <v>40</v>
      </c>
      <c r="Q593" t="s">
        <v>41</v>
      </c>
      <c r="R593">
        <v>1</v>
      </c>
      <c r="S593">
        <v>6</v>
      </c>
      <c r="T593" t="s">
        <v>51</v>
      </c>
      <c r="U593" t="s">
        <v>70</v>
      </c>
      <c r="V593" t="s">
        <v>71</v>
      </c>
      <c r="W593" s="1">
        <v>45617</v>
      </c>
      <c r="X593" t="b">
        <v>0</v>
      </c>
      <c r="Y593" t="b">
        <v>0</v>
      </c>
      <c r="Z593" t="s">
        <v>59</v>
      </c>
      <c r="AA593" t="s">
        <v>77</v>
      </c>
      <c r="AB593">
        <v>3</v>
      </c>
    </row>
    <row r="594" spans="1:28">
      <c r="A594" t="s">
        <v>1398</v>
      </c>
      <c r="B594">
        <v>27</v>
      </c>
      <c r="C594" t="s">
        <v>50</v>
      </c>
      <c r="D594" t="s">
        <v>34</v>
      </c>
      <c r="E594" t="s">
        <v>82</v>
      </c>
      <c r="F594" t="s">
        <v>52</v>
      </c>
      <c r="G594" t="s">
        <v>34</v>
      </c>
      <c r="H594" t="s">
        <v>1399</v>
      </c>
      <c r="I594" t="s">
        <v>235</v>
      </c>
      <c r="J594" s="2">
        <v>299.75</v>
      </c>
      <c r="K594">
        <v>12</v>
      </c>
      <c r="L594" t="s">
        <v>39</v>
      </c>
      <c r="M594">
        <v>2</v>
      </c>
      <c r="N594">
        <v>5</v>
      </c>
      <c r="O594">
        <v>0.3</v>
      </c>
      <c r="P594" t="s">
        <v>69</v>
      </c>
      <c r="Q594" t="s">
        <v>101</v>
      </c>
      <c r="R594">
        <v>0</v>
      </c>
      <c r="S594">
        <v>4</v>
      </c>
      <c r="T594" t="s">
        <v>69</v>
      </c>
      <c r="U594" t="s">
        <v>95</v>
      </c>
      <c r="V594" t="s">
        <v>43</v>
      </c>
      <c r="W594" s="1">
        <v>45478</v>
      </c>
      <c r="X594" t="b">
        <v>0</v>
      </c>
      <c r="Y594" t="b">
        <v>1</v>
      </c>
      <c r="Z594" t="s">
        <v>44</v>
      </c>
      <c r="AA594" t="s">
        <v>45</v>
      </c>
      <c r="AB594">
        <v>7</v>
      </c>
    </row>
    <row r="595" spans="1:28">
      <c r="A595" t="s">
        <v>1400</v>
      </c>
      <c r="B595">
        <v>29</v>
      </c>
      <c r="C595" t="s">
        <v>50</v>
      </c>
      <c r="D595" t="s">
        <v>51</v>
      </c>
      <c r="E595" t="s">
        <v>92</v>
      </c>
      <c r="F595" t="s">
        <v>36</v>
      </c>
      <c r="G595" t="s">
        <v>34</v>
      </c>
      <c r="H595" t="s">
        <v>2353</v>
      </c>
      <c r="I595" t="s">
        <v>127</v>
      </c>
      <c r="J595" s="2">
        <v>319.38</v>
      </c>
      <c r="K595">
        <v>9</v>
      </c>
      <c r="L595" t="s">
        <v>55</v>
      </c>
      <c r="M595">
        <v>4</v>
      </c>
      <c r="N595">
        <v>1</v>
      </c>
      <c r="O595">
        <v>0</v>
      </c>
      <c r="P595" t="s">
        <v>69</v>
      </c>
      <c r="Q595" t="s">
        <v>57</v>
      </c>
      <c r="R595">
        <v>1</v>
      </c>
      <c r="S595">
        <v>6</v>
      </c>
      <c r="T595" t="s">
        <v>51</v>
      </c>
      <c r="U595" t="s">
        <v>42</v>
      </c>
      <c r="V595" t="s">
        <v>58</v>
      </c>
      <c r="W595" s="1">
        <v>45611</v>
      </c>
      <c r="X595" t="b">
        <v>1</v>
      </c>
      <c r="Y595" t="b">
        <v>1</v>
      </c>
      <c r="Z595" t="s">
        <v>44</v>
      </c>
      <c r="AA595" t="s">
        <v>45</v>
      </c>
      <c r="AB595">
        <v>8</v>
      </c>
    </row>
    <row r="596" spans="1:28">
      <c r="A596" t="s">
        <v>1402</v>
      </c>
      <c r="B596">
        <v>38</v>
      </c>
      <c r="C596" t="s">
        <v>50</v>
      </c>
      <c r="D596" t="s">
        <v>51</v>
      </c>
      <c r="E596" t="s">
        <v>65</v>
      </c>
      <c r="F596" t="s">
        <v>66</v>
      </c>
      <c r="G596" t="s">
        <v>34</v>
      </c>
      <c r="H596" t="s">
        <v>2354</v>
      </c>
      <c r="I596" t="s">
        <v>147</v>
      </c>
      <c r="J596" s="2">
        <v>476.48</v>
      </c>
      <c r="K596">
        <v>8</v>
      </c>
      <c r="L596" t="s">
        <v>94</v>
      </c>
      <c r="M596">
        <v>5</v>
      </c>
      <c r="N596">
        <v>2</v>
      </c>
      <c r="O596">
        <v>1</v>
      </c>
      <c r="P596" t="s">
        <v>40</v>
      </c>
      <c r="Q596" t="s">
        <v>41</v>
      </c>
      <c r="R596">
        <v>2</v>
      </c>
      <c r="S596">
        <v>10</v>
      </c>
      <c r="T596" t="s">
        <v>51</v>
      </c>
      <c r="U596" t="s">
        <v>95</v>
      </c>
      <c r="V596" t="s">
        <v>58</v>
      </c>
      <c r="W596" s="1">
        <v>45479</v>
      </c>
      <c r="X596" t="b">
        <v>0</v>
      </c>
      <c r="Y596" t="b">
        <v>1</v>
      </c>
      <c r="Z596" t="s">
        <v>72</v>
      </c>
      <c r="AA596" t="s">
        <v>77</v>
      </c>
      <c r="AB596">
        <v>3</v>
      </c>
    </row>
    <row r="597" spans="1:28">
      <c r="A597" t="s">
        <v>1404</v>
      </c>
      <c r="B597">
        <v>21</v>
      </c>
      <c r="C597" t="s">
        <v>50</v>
      </c>
      <c r="D597" t="s">
        <v>34</v>
      </c>
      <c r="E597" t="s">
        <v>82</v>
      </c>
      <c r="F597" t="s">
        <v>36</v>
      </c>
      <c r="G597" t="s">
        <v>34</v>
      </c>
      <c r="H597" t="s">
        <v>1405</v>
      </c>
      <c r="I597" t="s">
        <v>38</v>
      </c>
      <c r="J597" s="2">
        <v>301.01</v>
      </c>
      <c r="K597">
        <v>9</v>
      </c>
      <c r="L597" t="s">
        <v>39</v>
      </c>
      <c r="M597">
        <v>2</v>
      </c>
      <c r="N597">
        <v>1</v>
      </c>
      <c r="O597">
        <v>2</v>
      </c>
      <c r="P597" t="s">
        <v>51</v>
      </c>
      <c r="Q597" t="s">
        <v>57</v>
      </c>
      <c r="R597">
        <v>2</v>
      </c>
      <c r="S597">
        <v>8</v>
      </c>
      <c r="T597" t="s">
        <v>56</v>
      </c>
      <c r="U597" t="s">
        <v>70</v>
      </c>
      <c r="V597" t="s">
        <v>76</v>
      </c>
      <c r="W597" s="1">
        <v>45527</v>
      </c>
      <c r="X597" t="b">
        <v>0</v>
      </c>
      <c r="Y597" t="b">
        <v>1</v>
      </c>
      <c r="Z597" t="s">
        <v>44</v>
      </c>
      <c r="AA597" t="s">
        <v>77</v>
      </c>
      <c r="AB597">
        <v>13</v>
      </c>
    </row>
    <row r="598" spans="1:28">
      <c r="A598" t="s">
        <v>1406</v>
      </c>
      <c r="B598">
        <v>18</v>
      </c>
      <c r="C598" t="s">
        <v>50</v>
      </c>
      <c r="D598" t="s">
        <v>34</v>
      </c>
      <c r="E598" t="s">
        <v>65</v>
      </c>
      <c r="F598" t="s">
        <v>36</v>
      </c>
      <c r="G598" t="s">
        <v>34</v>
      </c>
      <c r="H598" t="s">
        <v>1407</v>
      </c>
      <c r="I598" t="s">
        <v>147</v>
      </c>
      <c r="J598" s="2">
        <v>378.71</v>
      </c>
      <c r="K598">
        <v>5</v>
      </c>
      <c r="L598" t="s">
        <v>94</v>
      </c>
      <c r="M598">
        <v>4</v>
      </c>
      <c r="N598">
        <v>1</v>
      </c>
      <c r="O598">
        <v>2</v>
      </c>
      <c r="P598" t="s">
        <v>56</v>
      </c>
      <c r="Q598" t="s">
        <v>41</v>
      </c>
      <c r="R598">
        <v>2</v>
      </c>
      <c r="S598">
        <v>5</v>
      </c>
      <c r="T598" t="s">
        <v>40</v>
      </c>
      <c r="U598" t="s">
        <v>95</v>
      </c>
      <c r="V598" t="s">
        <v>76</v>
      </c>
      <c r="W598" s="1">
        <v>45534</v>
      </c>
      <c r="X598" t="b">
        <v>1</v>
      </c>
      <c r="Y598" t="b">
        <v>1</v>
      </c>
      <c r="Z598" t="s">
        <v>89</v>
      </c>
      <c r="AA598" t="s">
        <v>77</v>
      </c>
      <c r="AB598">
        <v>14</v>
      </c>
    </row>
    <row r="599" spans="1:28">
      <c r="A599" t="s">
        <v>1408</v>
      </c>
      <c r="B599">
        <v>44</v>
      </c>
      <c r="C599" t="s">
        <v>238</v>
      </c>
      <c r="D599" t="s">
        <v>34</v>
      </c>
      <c r="E599" t="s">
        <v>65</v>
      </c>
      <c r="F599" t="s">
        <v>36</v>
      </c>
      <c r="G599" t="s">
        <v>34</v>
      </c>
      <c r="H599" t="s">
        <v>2355</v>
      </c>
      <c r="I599" t="s">
        <v>112</v>
      </c>
      <c r="J599" s="2">
        <v>314.32</v>
      </c>
      <c r="K599">
        <v>6</v>
      </c>
      <c r="L599" t="s">
        <v>94</v>
      </c>
      <c r="M599">
        <v>1</v>
      </c>
      <c r="N599">
        <v>4</v>
      </c>
      <c r="O599">
        <v>2</v>
      </c>
      <c r="P599" t="s">
        <v>51</v>
      </c>
      <c r="Q599" t="s">
        <v>101</v>
      </c>
      <c r="R599">
        <v>2</v>
      </c>
      <c r="S599">
        <v>5</v>
      </c>
      <c r="T599" t="s">
        <v>69</v>
      </c>
      <c r="U599" t="s">
        <v>70</v>
      </c>
      <c r="V599" t="s">
        <v>43</v>
      </c>
      <c r="W599" s="1">
        <v>45367</v>
      </c>
      <c r="X599" t="b">
        <v>1</v>
      </c>
      <c r="Y599" t="b">
        <v>0</v>
      </c>
      <c r="Z599" t="s">
        <v>72</v>
      </c>
      <c r="AA599" t="s">
        <v>60</v>
      </c>
      <c r="AB599">
        <v>7</v>
      </c>
    </row>
    <row r="600" spans="1:28">
      <c r="A600" t="s">
        <v>1410</v>
      </c>
      <c r="B600">
        <v>22</v>
      </c>
      <c r="C600" t="s">
        <v>50</v>
      </c>
      <c r="D600" t="s">
        <v>34</v>
      </c>
      <c r="E600" t="s">
        <v>35</v>
      </c>
      <c r="F600" t="s">
        <v>52</v>
      </c>
      <c r="G600" t="s">
        <v>51</v>
      </c>
      <c r="H600" t="s">
        <v>2255</v>
      </c>
      <c r="I600" t="s">
        <v>68</v>
      </c>
      <c r="J600" s="2">
        <v>210.9</v>
      </c>
      <c r="K600">
        <v>12</v>
      </c>
      <c r="L600" t="s">
        <v>55</v>
      </c>
      <c r="M600">
        <v>2</v>
      </c>
      <c r="N600">
        <v>1</v>
      </c>
      <c r="O600">
        <v>2</v>
      </c>
      <c r="P600" t="s">
        <v>40</v>
      </c>
      <c r="Q600" t="s">
        <v>41</v>
      </c>
      <c r="R600">
        <v>1</v>
      </c>
      <c r="S600">
        <v>1</v>
      </c>
      <c r="T600" t="s">
        <v>40</v>
      </c>
      <c r="U600" t="s">
        <v>42</v>
      </c>
      <c r="V600" t="s">
        <v>71</v>
      </c>
      <c r="W600" s="1">
        <v>45521</v>
      </c>
      <c r="X600" t="b">
        <v>0</v>
      </c>
      <c r="Y600" t="b">
        <v>0</v>
      </c>
      <c r="Z600" t="s">
        <v>72</v>
      </c>
      <c r="AA600" t="s">
        <v>60</v>
      </c>
      <c r="AB600">
        <v>12</v>
      </c>
    </row>
    <row r="601" spans="1:28">
      <c r="A601" t="s">
        <v>1411</v>
      </c>
      <c r="B601">
        <v>18</v>
      </c>
      <c r="C601" t="s">
        <v>33</v>
      </c>
      <c r="D601" t="s">
        <v>34</v>
      </c>
      <c r="E601" t="s">
        <v>92</v>
      </c>
      <c r="F601" t="s">
        <v>52</v>
      </c>
      <c r="G601" t="s">
        <v>51</v>
      </c>
      <c r="H601" t="s">
        <v>1412</v>
      </c>
      <c r="I601" t="s">
        <v>54</v>
      </c>
      <c r="J601" s="2">
        <v>218.26</v>
      </c>
      <c r="K601">
        <v>4</v>
      </c>
      <c r="L601" t="s">
        <v>39</v>
      </c>
      <c r="M601">
        <v>3</v>
      </c>
      <c r="N601">
        <v>1</v>
      </c>
      <c r="O601">
        <v>2</v>
      </c>
      <c r="P601" t="s">
        <v>69</v>
      </c>
      <c r="Q601" t="s">
        <v>101</v>
      </c>
      <c r="R601">
        <v>0</v>
      </c>
      <c r="S601">
        <v>8</v>
      </c>
      <c r="T601" t="s">
        <v>51</v>
      </c>
      <c r="U601" t="s">
        <v>70</v>
      </c>
      <c r="V601" t="s">
        <v>71</v>
      </c>
      <c r="W601" s="1">
        <v>45349</v>
      </c>
      <c r="X601" t="b">
        <v>0</v>
      </c>
      <c r="Y601" t="b">
        <v>0</v>
      </c>
      <c r="Z601" t="s">
        <v>59</v>
      </c>
      <c r="AA601" t="s">
        <v>60</v>
      </c>
      <c r="AB601">
        <v>12</v>
      </c>
    </row>
    <row r="602" spans="1:28">
      <c r="A602" t="s">
        <v>1413</v>
      </c>
      <c r="B602">
        <v>24</v>
      </c>
      <c r="C602" t="s">
        <v>33</v>
      </c>
      <c r="D602" t="s">
        <v>34</v>
      </c>
      <c r="E602" t="s">
        <v>82</v>
      </c>
      <c r="F602" t="s">
        <v>66</v>
      </c>
      <c r="G602" t="s">
        <v>34</v>
      </c>
      <c r="H602" t="s">
        <v>2356</v>
      </c>
      <c r="I602" t="s">
        <v>127</v>
      </c>
      <c r="J602" s="2">
        <v>424.18</v>
      </c>
      <c r="K602">
        <v>5</v>
      </c>
      <c r="L602" t="s">
        <v>39</v>
      </c>
      <c r="M602">
        <v>4</v>
      </c>
      <c r="N602">
        <v>4</v>
      </c>
      <c r="O602">
        <v>1</v>
      </c>
      <c r="P602" t="s">
        <v>40</v>
      </c>
      <c r="Q602" t="s">
        <v>57</v>
      </c>
      <c r="R602">
        <v>2</v>
      </c>
      <c r="S602">
        <v>4</v>
      </c>
      <c r="T602" t="s">
        <v>56</v>
      </c>
      <c r="U602" t="s">
        <v>70</v>
      </c>
      <c r="V602" t="s">
        <v>71</v>
      </c>
      <c r="W602" s="1">
        <v>45336</v>
      </c>
      <c r="X602" t="b">
        <v>0</v>
      </c>
      <c r="Y602" t="b">
        <v>1</v>
      </c>
      <c r="Z602" t="s">
        <v>44</v>
      </c>
      <c r="AA602" t="s">
        <v>77</v>
      </c>
      <c r="AB602">
        <v>5</v>
      </c>
    </row>
    <row r="603" spans="1:28">
      <c r="A603" t="s">
        <v>1415</v>
      </c>
      <c r="B603">
        <v>28</v>
      </c>
      <c r="C603" t="s">
        <v>50</v>
      </c>
      <c r="D603" t="s">
        <v>51</v>
      </c>
      <c r="E603" t="s">
        <v>92</v>
      </c>
      <c r="F603" t="s">
        <v>52</v>
      </c>
      <c r="G603" t="s">
        <v>34</v>
      </c>
      <c r="H603" t="s">
        <v>111</v>
      </c>
      <c r="I603" t="s">
        <v>123</v>
      </c>
      <c r="J603" s="2">
        <v>430.75</v>
      </c>
      <c r="K603">
        <v>11</v>
      </c>
      <c r="L603" t="s">
        <v>94</v>
      </c>
      <c r="M603">
        <v>1</v>
      </c>
      <c r="N603">
        <v>3</v>
      </c>
      <c r="O603">
        <v>1</v>
      </c>
      <c r="P603" t="s">
        <v>69</v>
      </c>
      <c r="Q603" t="s">
        <v>41</v>
      </c>
      <c r="R603">
        <v>0</v>
      </c>
      <c r="S603">
        <v>8</v>
      </c>
      <c r="T603" t="s">
        <v>51</v>
      </c>
      <c r="U603" t="s">
        <v>42</v>
      </c>
      <c r="V603" t="s">
        <v>43</v>
      </c>
      <c r="W603" s="1">
        <v>45467</v>
      </c>
      <c r="X603" t="b">
        <v>1</v>
      </c>
      <c r="Y603" t="b">
        <v>0</v>
      </c>
      <c r="Z603" t="s">
        <v>89</v>
      </c>
      <c r="AA603" t="s">
        <v>45</v>
      </c>
      <c r="AB603">
        <v>6</v>
      </c>
    </row>
    <row r="604" spans="1:28">
      <c r="A604" t="s">
        <v>1416</v>
      </c>
      <c r="B604">
        <v>24</v>
      </c>
      <c r="C604" t="s">
        <v>50</v>
      </c>
      <c r="D604" t="s">
        <v>51</v>
      </c>
      <c r="E604" t="s">
        <v>65</v>
      </c>
      <c r="F604" t="s">
        <v>36</v>
      </c>
      <c r="G604" t="s">
        <v>34</v>
      </c>
      <c r="H604" t="s">
        <v>1417</v>
      </c>
      <c r="I604" t="s">
        <v>112</v>
      </c>
      <c r="J604" s="2">
        <v>162.94999999999999</v>
      </c>
      <c r="K604">
        <v>11</v>
      </c>
      <c r="L604" t="s">
        <v>55</v>
      </c>
      <c r="M604">
        <v>1</v>
      </c>
      <c r="N604">
        <v>2</v>
      </c>
      <c r="O604">
        <v>2</v>
      </c>
      <c r="P604" t="s">
        <v>51</v>
      </c>
      <c r="Q604" t="s">
        <v>101</v>
      </c>
      <c r="R604">
        <v>1</v>
      </c>
      <c r="S604">
        <v>8</v>
      </c>
      <c r="T604" t="s">
        <v>69</v>
      </c>
      <c r="U604" t="s">
        <v>95</v>
      </c>
      <c r="V604" t="s">
        <v>102</v>
      </c>
      <c r="W604" s="1">
        <v>45494</v>
      </c>
      <c r="X604" t="b">
        <v>0</v>
      </c>
      <c r="Y604" t="b">
        <v>1</v>
      </c>
      <c r="Z604" t="s">
        <v>72</v>
      </c>
      <c r="AA604" t="s">
        <v>77</v>
      </c>
      <c r="AB604">
        <v>14</v>
      </c>
    </row>
    <row r="605" spans="1:28">
      <c r="A605" t="s">
        <v>1418</v>
      </c>
      <c r="B605">
        <v>40</v>
      </c>
      <c r="C605" t="s">
        <v>33</v>
      </c>
      <c r="D605" t="s">
        <v>34</v>
      </c>
      <c r="E605" t="s">
        <v>35</v>
      </c>
      <c r="F605" t="s">
        <v>66</v>
      </c>
      <c r="G605" t="s">
        <v>51</v>
      </c>
      <c r="H605" t="s">
        <v>1419</v>
      </c>
      <c r="I605" t="s">
        <v>180</v>
      </c>
      <c r="J605" s="2">
        <v>209.68</v>
      </c>
      <c r="K605">
        <v>2</v>
      </c>
      <c r="L605" t="s">
        <v>94</v>
      </c>
      <c r="M605">
        <v>3</v>
      </c>
      <c r="N605">
        <v>1</v>
      </c>
      <c r="O605">
        <v>1</v>
      </c>
      <c r="P605" t="s">
        <v>40</v>
      </c>
      <c r="Q605" t="s">
        <v>57</v>
      </c>
      <c r="R605">
        <v>0</v>
      </c>
      <c r="S605">
        <v>1</v>
      </c>
      <c r="T605" t="s">
        <v>56</v>
      </c>
      <c r="U605" t="s">
        <v>70</v>
      </c>
      <c r="V605" t="s">
        <v>76</v>
      </c>
      <c r="W605" s="1">
        <v>45473</v>
      </c>
      <c r="X605" t="b">
        <v>0</v>
      </c>
      <c r="Y605" t="b">
        <v>1</v>
      </c>
      <c r="Z605" t="s">
        <v>72</v>
      </c>
      <c r="AA605" t="s">
        <v>77</v>
      </c>
      <c r="AB605">
        <v>8</v>
      </c>
    </row>
    <row r="606" spans="1:28">
      <c r="A606" t="s">
        <v>1420</v>
      </c>
      <c r="B606">
        <v>50</v>
      </c>
      <c r="C606" t="s">
        <v>50</v>
      </c>
      <c r="D606" t="s">
        <v>51</v>
      </c>
      <c r="E606" t="s">
        <v>82</v>
      </c>
      <c r="F606" t="s">
        <v>36</v>
      </c>
      <c r="G606" t="s">
        <v>34</v>
      </c>
      <c r="H606" t="s">
        <v>1421</v>
      </c>
      <c r="I606" t="s">
        <v>235</v>
      </c>
      <c r="J606" s="2">
        <v>97.97</v>
      </c>
      <c r="K606">
        <v>2</v>
      </c>
      <c r="L606" t="s">
        <v>55</v>
      </c>
      <c r="M606">
        <v>5</v>
      </c>
      <c r="N606">
        <v>5</v>
      </c>
      <c r="O606">
        <v>1</v>
      </c>
      <c r="P606" t="s">
        <v>69</v>
      </c>
      <c r="Q606" t="s">
        <v>41</v>
      </c>
      <c r="R606">
        <v>0</v>
      </c>
      <c r="S606">
        <v>10</v>
      </c>
      <c r="T606" t="s">
        <v>40</v>
      </c>
      <c r="U606" t="s">
        <v>95</v>
      </c>
      <c r="V606" t="s">
        <v>43</v>
      </c>
      <c r="W606" s="1">
        <v>45568</v>
      </c>
      <c r="X606" t="b">
        <v>1</v>
      </c>
      <c r="Y606" t="b">
        <v>0</v>
      </c>
      <c r="Z606" t="s">
        <v>89</v>
      </c>
      <c r="AA606" t="s">
        <v>45</v>
      </c>
      <c r="AB606">
        <v>1</v>
      </c>
    </row>
    <row r="607" spans="1:28">
      <c r="A607" t="s">
        <v>1423</v>
      </c>
      <c r="B607">
        <v>49</v>
      </c>
      <c r="C607" t="s">
        <v>50</v>
      </c>
      <c r="D607" t="s">
        <v>34</v>
      </c>
      <c r="E607" t="s">
        <v>82</v>
      </c>
      <c r="F607" t="s">
        <v>66</v>
      </c>
      <c r="G607" t="s">
        <v>51</v>
      </c>
      <c r="H607" t="s">
        <v>1424</v>
      </c>
      <c r="I607" t="s">
        <v>98</v>
      </c>
      <c r="J607" s="2">
        <v>192.51</v>
      </c>
      <c r="K607">
        <v>9</v>
      </c>
      <c r="L607" t="s">
        <v>39</v>
      </c>
      <c r="M607">
        <v>2</v>
      </c>
      <c r="N607">
        <v>5</v>
      </c>
      <c r="O607">
        <v>2</v>
      </c>
      <c r="P607" t="s">
        <v>56</v>
      </c>
      <c r="Q607" t="s">
        <v>101</v>
      </c>
      <c r="R607">
        <v>0</v>
      </c>
      <c r="S607">
        <v>2</v>
      </c>
      <c r="T607" t="s">
        <v>56</v>
      </c>
      <c r="U607" t="s">
        <v>70</v>
      </c>
      <c r="V607" t="s">
        <v>43</v>
      </c>
      <c r="W607" s="1">
        <v>45527</v>
      </c>
      <c r="X607" t="b">
        <v>1</v>
      </c>
      <c r="Y607" t="b">
        <v>0</v>
      </c>
      <c r="Z607" t="s">
        <v>44</v>
      </c>
      <c r="AA607" t="s">
        <v>60</v>
      </c>
      <c r="AB607">
        <v>9</v>
      </c>
    </row>
    <row r="608" spans="1:28">
      <c r="A608" t="s">
        <v>1425</v>
      </c>
      <c r="B608">
        <v>35</v>
      </c>
      <c r="C608" t="s">
        <v>50</v>
      </c>
      <c r="D608" t="s">
        <v>34</v>
      </c>
      <c r="E608" t="s">
        <v>82</v>
      </c>
      <c r="F608" t="s">
        <v>66</v>
      </c>
      <c r="G608" t="s">
        <v>34</v>
      </c>
      <c r="H608" t="s">
        <v>2353</v>
      </c>
      <c r="I608" t="s">
        <v>147</v>
      </c>
      <c r="J608" s="2">
        <v>151.81</v>
      </c>
      <c r="K608">
        <v>8</v>
      </c>
      <c r="L608" t="s">
        <v>94</v>
      </c>
      <c r="M608">
        <v>3</v>
      </c>
      <c r="N608">
        <v>4</v>
      </c>
      <c r="O608">
        <v>0</v>
      </c>
      <c r="P608" t="s">
        <v>56</v>
      </c>
      <c r="Q608" t="s">
        <v>57</v>
      </c>
      <c r="R608">
        <v>1</v>
      </c>
      <c r="S608">
        <v>10</v>
      </c>
      <c r="T608" t="s">
        <v>40</v>
      </c>
      <c r="U608" t="s">
        <v>42</v>
      </c>
      <c r="V608" t="s">
        <v>71</v>
      </c>
      <c r="W608" s="1">
        <v>45304</v>
      </c>
      <c r="X608" t="b">
        <v>0</v>
      </c>
      <c r="Y608" t="b">
        <v>0</v>
      </c>
      <c r="Z608" t="s">
        <v>89</v>
      </c>
      <c r="AA608" t="s">
        <v>45</v>
      </c>
      <c r="AB608">
        <v>1</v>
      </c>
    </row>
    <row r="609" spans="1:28">
      <c r="A609" t="s">
        <v>1426</v>
      </c>
      <c r="B609">
        <v>25</v>
      </c>
      <c r="C609" t="s">
        <v>33</v>
      </c>
      <c r="D609" t="s">
        <v>51</v>
      </c>
      <c r="E609" t="s">
        <v>35</v>
      </c>
      <c r="F609" t="s">
        <v>52</v>
      </c>
      <c r="G609" t="s">
        <v>34</v>
      </c>
      <c r="H609" t="s">
        <v>1427</v>
      </c>
      <c r="I609" t="s">
        <v>84</v>
      </c>
      <c r="J609" s="2">
        <v>239.28</v>
      </c>
      <c r="K609">
        <v>8</v>
      </c>
      <c r="L609" t="s">
        <v>94</v>
      </c>
      <c r="M609">
        <v>1</v>
      </c>
      <c r="N609">
        <v>4</v>
      </c>
      <c r="O609">
        <v>1</v>
      </c>
      <c r="P609" t="s">
        <v>56</v>
      </c>
      <c r="Q609" t="s">
        <v>41</v>
      </c>
      <c r="R609">
        <v>2</v>
      </c>
      <c r="S609">
        <v>5</v>
      </c>
      <c r="T609" t="s">
        <v>56</v>
      </c>
      <c r="U609" t="s">
        <v>42</v>
      </c>
      <c r="V609" t="s">
        <v>76</v>
      </c>
      <c r="W609" s="1">
        <v>45604</v>
      </c>
      <c r="X609" t="b">
        <v>0</v>
      </c>
      <c r="Y609" t="b">
        <v>1</v>
      </c>
      <c r="Z609" t="s">
        <v>72</v>
      </c>
      <c r="AA609" t="s">
        <v>45</v>
      </c>
      <c r="AB609">
        <v>10</v>
      </c>
    </row>
    <row r="610" spans="1:28">
      <c r="A610" t="s">
        <v>1428</v>
      </c>
      <c r="B610">
        <v>40</v>
      </c>
      <c r="C610" t="s">
        <v>33</v>
      </c>
      <c r="D610" t="s">
        <v>51</v>
      </c>
      <c r="E610" t="s">
        <v>82</v>
      </c>
      <c r="F610" t="s">
        <v>52</v>
      </c>
      <c r="G610" t="s">
        <v>51</v>
      </c>
      <c r="H610" t="s">
        <v>1429</v>
      </c>
      <c r="I610" t="s">
        <v>112</v>
      </c>
      <c r="J610" s="2">
        <v>306.17</v>
      </c>
      <c r="K610">
        <v>4</v>
      </c>
      <c r="L610" t="s">
        <v>55</v>
      </c>
      <c r="M610">
        <v>3</v>
      </c>
      <c r="N610">
        <v>5</v>
      </c>
      <c r="O610">
        <v>1</v>
      </c>
      <c r="P610" t="s">
        <v>56</v>
      </c>
      <c r="Q610" t="s">
        <v>41</v>
      </c>
      <c r="R610">
        <v>0</v>
      </c>
      <c r="S610">
        <v>6</v>
      </c>
      <c r="T610" t="s">
        <v>56</v>
      </c>
      <c r="U610" t="s">
        <v>42</v>
      </c>
      <c r="V610" t="s">
        <v>58</v>
      </c>
      <c r="W610" s="1">
        <v>45320</v>
      </c>
      <c r="X610" t="b">
        <v>0</v>
      </c>
      <c r="Y610" t="b">
        <v>1</v>
      </c>
      <c r="Z610" t="s">
        <v>59</v>
      </c>
      <c r="AA610" t="s">
        <v>77</v>
      </c>
      <c r="AB610">
        <v>8</v>
      </c>
    </row>
    <row r="611" spans="1:28">
      <c r="A611" t="s">
        <v>1430</v>
      </c>
      <c r="B611">
        <v>40</v>
      </c>
      <c r="C611" t="s">
        <v>33</v>
      </c>
      <c r="D611" t="s">
        <v>51</v>
      </c>
      <c r="E611" t="s">
        <v>82</v>
      </c>
      <c r="F611" t="s">
        <v>66</v>
      </c>
      <c r="G611" t="s">
        <v>51</v>
      </c>
      <c r="H611" t="s">
        <v>1431</v>
      </c>
      <c r="I611" t="s">
        <v>147</v>
      </c>
      <c r="J611" s="2">
        <v>370.38</v>
      </c>
      <c r="K611">
        <v>11</v>
      </c>
      <c r="L611" t="s">
        <v>55</v>
      </c>
      <c r="M611">
        <v>1</v>
      </c>
      <c r="N611">
        <v>2</v>
      </c>
      <c r="O611">
        <v>1</v>
      </c>
      <c r="P611" t="s">
        <v>40</v>
      </c>
      <c r="Q611" t="s">
        <v>57</v>
      </c>
      <c r="R611">
        <v>1</v>
      </c>
      <c r="S611">
        <v>1</v>
      </c>
      <c r="T611" t="s">
        <v>51</v>
      </c>
      <c r="U611" t="s">
        <v>95</v>
      </c>
      <c r="V611" t="s">
        <v>76</v>
      </c>
      <c r="W611" s="1">
        <v>45355</v>
      </c>
      <c r="X611" t="b">
        <v>1</v>
      </c>
      <c r="Y611" t="b">
        <v>1</v>
      </c>
      <c r="Z611" t="s">
        <v>59</v>
      </c>
      <c r="AA611" t="s">
        <v>45</v>
      </c>
      <c r="AB611">
        <v>9</v>
      </c>
    </row>
    <row r="612" spans="1:28">
      <c r="A612" t="s">
        <v>1432</v>
      </c>
      <c r="B612">
        <v>50</v>
      </c>
      <c r="C612" t="s">
        <v>50</v>
      </c>
      <c r="D612" t="s">
        <v>34</v>
      </c>
      <c r="E612" t="s">
        <v>65</v>
      </c>
      <c r="F612" t="s">
        <v>36</v>
      </c>
      <c r="G612" t="s">
        <v>34</v>
      </c>
      <c r="H612" t="s">
        <v>1433</v>
      </c>
      <c r="I612" t="s">
        <v>170</v>
      </c>
      <c r="J612" s="2">
        <v>346.58</v>
      </c>
      <c r="K612">
        <v>6</v>
      </c>
      <c r="L612" t="s">
        <v>39</v>
      </c>
      <c r="M612">
        <v>5</v>
      </c>
      <c r="N612">
        <v>1</v>
      </c>
      <c r="O612">
        <v>1</v>
      </c>
      <c r="P612" t="s">
        <v>51</v>
      </c>
      <c r="Q612" t="s">
        <v>41</v>
      </c>
      <c r="R612">
        <v>0</v>
      </c>
      <c r="S612">
        <v>9</v>
      </c>
      <c r="T612" t="s">
        <v>69</v>
      </c>
      <c r="U612" t="s">
        <v>42</v>
      </c>
      <c r="V612" t="s">
        <v>76</v>
      </c>
      <c r="W612" s="1">
        <v>45446</v>
      </c>
      <c r="X612" t="b">
        <v>0</v>
      </c>
      <c r="Y612" t="b">
        <v>0</v>
      </c>
      <c r="Z612" t="s">
        <v>72</v>
      </c>
      <c r="AA612" t="s">
        <v>77</v>
      </c>
      <c r="AB612">
        <v>7</v>
      </c>
    </row>
    <row r="613" spans="1:28">
      <c r="A613" t="s">
        <v>1434</v>
      </c>
      <c r="B613">
        <v>24</v>
      </c>
      <c r="C613" t="s">
        <v>50</v>
      </c>
      <c r="D613" t="s">
        <v>34</v>
      </c>
      <c r="E613" t="s">
        <v>65</v>
      </c>
      <c r="F613" t="s">
        <v>52</v>
      </c>
      <c r="G613" t="s">
        <v>34</v>
      </c>
      <c r="H613" t="s">
        <v>1435</v>
      </c>
      <c r="I613" t="s">
        <v>150</v>
      </c>
      <c r="J613" s="2">
        <v>292.64</v>
      </c>
      <c r="K613">
        <v>5</v>
      </c>
      <c r="L613" t="s">
        <v>55</v>
      </c>
      <c r="M613">
        <v>1</v>
      </c>
      <c r="N613">
        <v>1</v>
      </c>
      <c r="O613">
        <v>1</v>
      </c>
      <c r="P613" t="s">
        <v>40</v>
      </c>
      <c r="Q613" t="s">
        <v>41</v>
      </c>
      <c r="R613">
        <v>2</v>
      </c>
      <c r="S613">
        <v>10</v>
      </c>
      <c r="T613" t="s">
        <v>56</v>
      </c>
      <c r="U613" t="s">
        <v>42</v>
      </c>
      <c r="V613" t="s">
        <v>43</v>
      </c>
      <c r="W613" s="1">
        <v>45632</v>
      </c>
      <c r="X613" t="b">
        <v>1</v>
      </c>
      <c r="Y613" t="b">
        <v>0</v>
      </c>
      <c r="Z613" t="s">
        <v>59</v>
      </c>
      <c r="AA613" t="s">
        <v>60</v>
      </c>
      <c r="AB613">
        <v>1</v>
      </c>
    </row>
    <row r="614" spans="1:28">
      <c r="A614" t="s">
        <v>1436</v>
      </c>
      <c r="B614">
        <v>30</v>
      </c>
      <c r="C614" t="s">
        <v>33</v>
      </c>
      <c r="D614" t="s">
        <v>34</v>
      </c>
      <c r="E614" t="s">
        <v>35</v>
      </c>
      <c r="F614" t="s">
        <v>36</v>
      </c>
      <c r="G614" t="s">
        <v>51</v>
      </c>
      <c r="H614" t="s">
        <v>1437</v>
      </c>
      <c r="I614" t="s">
        <v>242</v>
      </c>
      <c r="J614" s="2">
        <v>102.91</v>
      </c>
      <c r="K614">
        <v>12</v>
      </c>
      <c r="L614" t="s">
        <v>39</v>
      </c>
      <c r="M614">
        <v>2</v>
      </c>
      <c r="N614">
        <v>1</v>
      </c>
      <c r="O614">
        <v>1</v>
      </c>
      <c r="P614" t="s">
        <v>56</v>
      </c>
      <c r="Q614" t="s">
        <v>101</v>
      </c>
      <c r="R614">
        <v>1</v>
      </c>
      <c r="S614">
        <v>10</v>
      </c>
      <c r="T614" t="s">
        <v>40</v>
      </c>
      <c r="U614" t="s">
        <v>95</v>
      </c>
      <c r="V614" t="s">
        <v>58</v>
      </c>
      <c r="W614" s="1">
        <v>45377</v>
      </c>
      <c r="X614" t="b">
        <v>1</v>
      </c>
      <c r="Y614" t="b">
        <v>0</v>
      </c>
      <c r="Z614" t="s">
        <v>72</v>
      </c>
      <c r="AA614" t="s">
        <v>77</v>
      </c>
      <c r="AB614">
        <v>13</v>
      </c>
    </row>
    <row r="615" spans="1:28">
      <c r="A615" t="s">
        <v>1438</v>
      </c>
      <c r="B615">
        <v>32</v>
      </c>
      <c r="C615" t="s">
        <v>33</v>
      </c>
      <c r="D615" t="s">
        <v>51</v>
      </c>
      <c r="E615" t="s">
        <v>82</v>
      </c>
      <c r="F615" t="s">
        <v>36</v>
      </c>
      <c r="G615" t="s">
        <v>34</v>
      </c>
      <c r="H615" t="s">
        <v>1439</v>
      </c>
      <c r="I615" t="s">
        <v>75</v>
      </c>
      <c r="J615" s="2">
        <v>283.77999999999997</v>
      </c>
      <c r="K615">
        <v>4</v>
      </c>
      <c r="L615" t="s">
        <v>39</v>
      </c>
      <c r="M615">
        <v>2</v>
      </c>
      <c r="N615">
        <v>4</v>
      </c>
      <c r="O615">
        <v>1.2</v>
      </c>
      <c r="P615" t="s">
        <v>40</v>
      </c>
      <c r="Q615" t="s">
        <v>41</v>
      </c>
      <c r="R615">
        <v>0</v>
      </c>
      <c r="S615">
        <v>6</v>
      </c>
      <c r="T615" t="s">
        <v>40</v>
      </c>
      <c r="U615" t="s">
        <v>70</v>
      </c>
      <c r="V615" t="s">
        <v>71</v>
      </c>
      <c r="W615" s="1">
        <v>45513</v>
      </c>
      <c r="X615" t="b">
        <v>1</v>
      </c>
      <c r="Y615" t="b">
        <v>0</v>
      </c>
      <c r="Z615" t="s">
        <v>44</v>
      </c>
      <c r="AA615" t="s">
        <v>77</v>
      </c>
      <c r="AB615">
        <v>10</v>
      </c>
    </row>
    <row r="616" spans="1:28">
      <c r="A616" t="s">
        <v>1440</v>
      </c>
      <c r="B616">
        <v>48</v>
      </c>
      <c r="C616" t="s">
        <v>33</v>
      </c>
      <c r="D616" t="s">
        <v>51</v>
      </c>
      <c r="E616" t="s">
        <v>82</v>
      </c>
      <c r="F616" t="s">
        <v>52</v>
      </c>
      <c r="G616" t="s">
        <v>34</v>
      </c>
      <c r="H616" t="s">
        <v>1441</v>
      </c>
      <c r="I616" t="s">
        <v>235</v>
      </c>
      <c r="J616" s="2">
        <v>51.44</v>
      </c>
      <c r="K616">
        <v>2</v>
      </c>
      <c r="L616" t="s">
        <v>55</v>
      </c>
      <c r="M616">
        <v>1</v>
      </c>
      <c r="N616">
        <v>3</v>
      </c>
      <c r="O616">
        <v>2</v>
      </c>
      <c r="P616" t="s">
        <v>51</v>
      </c>
      <c r="Q616" t="s">
        <v>57</v>
      </c>
      <c r="R616">
        <v>0</v>
      </c>
      <c r="S616">
        <v>1</v>
      </c>
      <c r="T616" t="s">
        <v>51</v>
      </c>
      <c r="U616" t="s">
        <v>42</v>
      </c>
      <c r="V616" t="s">
        <v>76</v>
      </c>
      <c r="W616" s="1">
        <v>45429</v>
      </c>
      <c r="X616" t="b">
        <v>1</v>
      </c>
      <c r="Y616" t="b">
        <v>0</v>
      </c>
      <c r="Z616" t="s">
        <v>89</v>
      </c>
      <c r="AA616" t="s">
        <v>45</v>
      </c>
      <c r="AB616">
        <v>5</v>
      </c>
    </row>
    <row r="617" spans="1:28">
      <c r="A617" t="s">
        <v>1442</v>
      </c>
      <c r="B617">
        <v>44</v>
      </c>
      <c r="C617" t="s">
        <v>33</v>
      </c>
      <c r="D617" t="s">
        <v>51</v>
      </c>
      <c r="E617" t="s">
        <v>35</v>
      </c>
      <c r="F617" t="s">
        <v>36</v>
      </c>
      <c r="G617" t="s">
        <v>51</v>
      </c>
      <c r="H617" t="s">
        <v>1443</v>
      </c>
      <c r="I617" t="s">
        <v>123</v>
      </c>
      <c r="J617" s="2">
        <v>405.7</v>
      </c>
      <c r="K617">
        <v>12</v>
      </c>
      <c r="L617" t="s">
        <v>94</v>
      </c>
      <c r="M617">
        <v>1</v>
      </c>
      <c r="N617">
        <v>3</v>
      </c>
      <c r="O617">
        <v>1</v>
      </c>
      <c r="P617" t="s">
        <v>69</v>
      </c>
      <c r="Q617" t="s">
        <v>101</v>
      </c>
      <c r="R617">
        <v>2</v>
      </c>
      <c r="S617">
        <v>10</v>
      </c>
      <c r="T617" t="s">
        <v>69</v>
      </c>
      <c r="U617" t="s">
        <v>42</v>
      </c>
      <c r="V617" t="s">
        <v>43</v>
      </c>
      <c r="W617" s="1">
        <v>45339</v>
      </c>
      <c r="X617" t="b">
        <v>1</v>
      </c>
      <c r="Y617" t="b">
        <v>1</v>
      </c>
      <c r="Z617" t="s">
        <v>59</v>
      </c>
      <c r="AA617" t="s">
        <v>60</v>
      </c>
      <c r="AB617">
        <v>14</v>
      </c>
    </row>
    <row r="618" spans="1:28">
      <c r="A618" t="s">
        <v>1444</v>
      </c>
      <c r="B618">
        <v>19</v>
      </c>
      <c r="C618" t="s">
        <v>33</v>
      </c>
      <c r="D618" t="s">
        <v>51</v>
      </c>
      <c r="E618" t="s">
        <v>82</v>
      </c>
      <c r="F618" t="s">
        <v>66</v>
      </c>
      <c r="G618" t="s">
        <v>34</v>
      </c>
      <c r="H618" t="s">
        <v>1445</v>
      </c>
      <c r="I618" t="s">
        <v>199</v>
      </c>
      <c r="J618" s="2">
        <v>311.74</v>
      </c>
      <c r="K618">
        <v>11</v>
      </c>
      <c r="L618" t="s">
        <v>39</v>
      </c>
      <c r="M618">
        <v>1</v>
      </c>
      <c r="N618">
        <v>4</v>
      </c>
      <c r="O618">
        <v>2</v>
      </c>
      <c r="P618" t="s">
        <v>69</v>
      </c>
      <c r="Q618" t="s">
        <v>41</v>
      </c>
      <c r="R618">
        <v>2</v>
      </c>
      <c r="S618">
        <v>10</v>
      </c>
      <c r="T618" t="s">
        <v>56</v>
      </c>
      <c r="U618" t="s">
        <v>70</v>
      </c>
      <c r="V618" t="s">
        <v>58</v>
      </c>
      <c r="W618" s="1">
        <v>45308</v>
      </c>
      <c r="X618" t="b">
        <v>1</v>
      </c>
      <c r="Y618" t="b">
        <v>0</v>
      </c>
      <c r="Z618" t="s">
        <v>72</v>
      </c>
      <c r="AA618" t="s">
        <v>77</v>
      </c>
      <c r="AB618">
        <v>11</v>
      </c>
    </row>
    <row r="619" spans="1:28">
      <c r="A619" t="s">
        <v>1446</v>
      </c>
      <c r="B619">
        <v>39</v>
      </c>
      <c r="C619" t="s">
        <v>50</v>
      </c>
      <c r="D619" t="s">
        <v>34</v>
      </c>
      <c r="E619" t="s">
        <v>82</v>
      </c>
      <c r="F619" t="s">
        <v>36</v>
      </c>
      <c r="G619" t="s">
        <v>51</v>
      </c>
      <c r="H619" t="s">
        <v>1447</v>
      </c>
      <c r="I619" t="s">
        <v>229</v>
      </c>
      <c r="J619" s="2">
        <v>293.43</v>
      </c>
      <c r="K619">
        <v>9</v>
      </c>
      <c r="L619" t="s">
        <v>55</v>
      </c>
      <c r="M619">
        <v>4</v>
      </c>
      <c r="N619">
        <v>4</v>
      </c>
      <c r="O619">
        <v>1</v>
      </c>
      <c r="P619" t="s">
        <v>56</v>
      </c>
      <c r="Q619" t="s">
        <v>101</v>
      </c>
      <c r="R619">
        <v>0</v>
      </c>
      <c r="S619">
        <v>5</v>
      </c>
      <c r="T619" t="s">
        <v>40</v>
      </c>
      <c r="U619" t="s">
        <v>95</v>
      </c>
      <c r="V619" t="s">
        <v>102</v>
      </c>
      <c r="W619" s="1">
        <v>45478</v>
      </c>
      <c r="X619" t="b">
        <v>0</v>
      </c>
      <c r="Y619" t="b">
        <v>1</v>
      </c>
      <c r="Z619" t="s">
        <v>44</v>
      </c>
      <c r="AA619" t="s">
        <v>60</v>
      </c>
      <c r="AB619">
        <v>7</v>
      </c>
    </row>
    <row r="620" spans="1:28">
      <c r="A620" t="s">
        <v>1448</v>
      </c>
      <c r="B620">
        <v>35</v>
      </c>
      <c r="C620" t="s">
        <v>33</v>
      </c>
      <c r="D620" t="s">
        <v>51</v>
      </c>
      <c r="E620" t="s">
        <v>65</v>
      </c>
      <c r="F620" t="s">
        <v>36</v>
      </c>
      <c r="G620" t="s">
        <v>34</v>
      </c>
      <c r="H620" t="s">
        <v>2357</v>
      </c>
      <c r="I620" t="s">
        <v>153</v>
      </c>
      <c r="J620" s="2">
        <v>418.51</v>
      </c>
      <c r="K620">
        <v>6</v>
      </c>
      <c r="L620" t="s">
        <v>94</v>
      </c>
      <c r="M620">
        <v>4</v>
      </c>
      <c r="N620">
        <v>4</v>
      </c>
      <c r="O620">
        <v>2</v>
      </c>
      <c r="P620" t="s">
        <v>69</v>
      </c>
      <c r="Q620" t="s">
        <v>41</v>
      </c>
      <c r="R620">
        <v>2</v>
      </c>
      <c r="S620">
        <v>2</v>
      </c>
      <c r="T620" t="s">
        <v>51</v>
      </c>
      <c r="U620" t="s">
        <v>95</v>
      </c>
      <c r="V620" t="s">
        <v>43</v>
      </c>
      <c r="W620" s="1">
        <v>45413</v>
      </c>
      <c r="X620" t="b">
        <v>0</v>
      </c>
      <c r="Y620" t="b">
        <v>1</v>
      </c>
      <c r="Z620" t="s">
        <v>44</v>
      </c>
      <c r="AA620" t="s">
        <v>60</v>
      </c>
      <c r="AB620">
        <v>3</v>
      </c>
    </row>
    <row r="621" spans="1:28">
      <c r="A621" t="s">
        <v>1450</v>
      </c>
      <c r="B621">
        <v>39</v>
      </c>
      <c r="C621" t="s">
        <v>50</v>
      </c>
      <c r="D621" t="s">
        <v>34</v>
      </c>
      <c r="E621" t="s">
        <v>65</v>
      </c>
      <c r="F621" t="s">
        <v>66</v>
      </c>
      <c r="G621" t="s">
        <v>34</v>
      </c>
      <c r="H621" t="s">
        <v>1451</v>
      </c>
      <c r="I621" t="s">
        <v>131</v>
      </c>
      <c r="J621" s="2">
        <v>85.03</v>
      </c>
      <c r="K621">
        <v>9</v>
      </c>
      <c r="L621" t="s">
        <v>55</v>
      </c>
      <c r="M621">
        <v>5</v>
      </c>
      <c r="N621">
        <v>4</v>
      </c>
      <c r="O621">
        <v>1</v>
      </c>
      <c r="P621" t="s">
        <v>56</v>
      </c>
      <c r="Q621" t="s">
        <v>57</v>
      </c>
      <c r="R621">
        <v>0</v>
      </c>
      <c r="S621">
        <v>9</v>
      </c>
      <c r="T621" t="s">
        <v>51</v>
      </c>
      <c r="U621" t="s">
        <v>70</v>
      </c>
      <c r="V621" t="s">
        <v>43</v>
      </c>
      <c r="W621" s="1">
        <v>45571</v>
      </c>
      <c r="X621" t="b">
        <v>1</v>
      </c>
      <c r="Y621" t="b">
        <v>1</v>
      </c>
      <c r="Z621" t="s">
        <v>59</v>
      </c>
      <c r="AA621" t="s">
        <v>77</v>
      </c>
      <c r="AB621">
        <v>8</v>
      </c>
    </row>
    <row r="622" spans="1:28">
      <c r="A622" t="s">
        <v>1452</v>
      </c>
      <c r="B622">
        <v>31</v>
      </c>
      <c r="C622" t="s">
        <v>50</v>
      </c>
      <c r="D622" t="s">
        <v>34</v>
      </c>
      <c r="E622" t="s">
        <v>35</v>
      </c>
      <c r="F622" t="s">
        <v>66</v>
      </c>
      <c r="G622" t="s">
        <v>51</v>
      </c>
      <c r="H622" t="s">
        <v>1453</v>
      </c>
      <c r="I622" t="s">
        <v>112</v>
      </c>
      <c r="J622" s="2">
        <v>164.94</v>
      </c>
      <c r="K622">
        <v>4</v>
      </c>
      <c r="L622" t="s">
        <v>55</v>
      </c>
      <c r="M622">
        <v>4</v>
      </c>
      <c r="N622">
        <v>4</v>
      </c>
      <c r="O622">
        <v>2</v>
      </c>
      <c r="P622" t="s">
        <v>51</v>
      </c>
      <c r="Q622" t="s">
        <v>41</v>
      </c>
      <c r="R622">
        <v>2</v>
      </c>
      <c r="S622">
        <v>2</v>
      </c>
      <c r="T622" t="s">
        <v>69</v>
      </c>
      <c r="U622" t="s">
        <v>95</v>
      </c>
      <c r="V622" t="s">
        <v>58</v>
      </c>
      <c r="W622" s="1">
        <v>45491</v>
      </c>
      <c r="X622" t="b">
        <v>1</v>
      </c>
      <c r="Y622" t="b">
        <v>1</v>
      </c>
      <c r="Z622" t="s">
        <v>59</v>
      </c>
      <c r="AA622" t="s">
        <v>77</v>
      </c>
      <c r="AB622">
        <v>6</v>
      </c>
    </row>
    <row r="623" spans="1:28">
      <c r="A623" t="s">
        <v>1454</v>
      </c>
      <c r="B623">
        <v>38</v>
      </c>
      <c r="C623" t="s">
        <v>33</v>
      </c>
      <c r="D623" t="s">
        <v>51</v>
      </c>
      <c r="E623" t="s">
        <v>82</v>
      </c>
      <c r="F623" t="s">
        <v>36</v>
      </c>
      <c r="G623" t="s">
        <v>34</v>
      </c>
      <c r="H623" t="s">
        <v>2358</v>
      </c>
      <c r="I623" t="s">
        <v>199</v>
      </c>
      <c r="J623" s="2">
        <v>89.32</v>
      </c>
      <c r="K623">
        <v>11</v>
      </c>
      <c r="L623" t="s">
        <v>94</v>
      </c>
      <c r="M623">
        <v>1</v>
      </c>
      <c r="N623">
        <v>1</v>
      </c>
      <c r="O623">
        <v>0.3</v>
      </c>
      <c r="P623" t="s">
        <v>69</v>
      </c>
      <c r="Q623" t="s">
        <v>41</v>
      </c>
      <c r="R623">
        <v>1</v>
      </c>
      <c r="S623">
        <v>3</v>
      </c>
      <c r="T623" t="s">
        <v>51</v>
      </c>
      <c r="U623" t="s">
        <v>95</v>
      </c>
      <c r="V623" t="s">
        <v>76</v>
      </c>
      <c r="W623" s="1">
        <v>45405</v>
      </c>
      <c r="X623" t="b">
        <v>1</v>
      </c>
      <c r="Y623" t="b">
        <v>0</v>
      </c>
      <c r="Z623" t="s">
        <v>59</v>
      </c>
      <c r="AA623" t="s">
        <v>45</v>
      </c>
      <c r="AB623">
        <v>12</v>
      </c>
    </row>
    <row r="624" spans="1:28">
      <c r="A624" t="s">
        <v>1456</v>
      </c>
      <c r="B624">
        <v>33</v>
      </c>
      <c r="C624" t="s">
        <v>50</v>
      </c>
      <c r="D624" t="s">
        <v>34</v>
      </c>
      <c r="E624" t="s">
        <v>35</v>
      </c>
      <c r="F624" t="s">
        <v>52</v>
      </c>
      <c r="G624" t="s">
        <v>51</v>
      </c>
      <c r="H624" t="s">
        <v>1457</v>
      </c>
      <c r="I624" t="s">
        <v>229</v>
      </c>
      <c r="J624" s="2">
        <v>388.26</v>
      </c>
      <c r="K624">
        <v>2</v>
      </c>
      <c r="L624" t="s">
        <v>39</v>
      </c>
      <c r="M624">
        <v>3</v>
      </c>
      <c r="N624">
        <v>1</v>
      </c>
      <c r="O624">
        <v>1</v>
      </c>
      <c r="P624" t="s">
        <v>51</v>
      </c>
      <c r="Q624" t="s">
        <v>57</v>
      </c>
      <c r="R624">
        <v>0</v>
      </c>
      <c r="S624">
        <v>7</v>
      </c>
      <c r="T624" t="s">
        <v>40</v>
      </c>
      <c r="U624" t="s">
        <v>70</v>
      </c>
      <c r="V624" t="s">
        <v>43</v>
      </c>
      <c r="W624" s="1">
        <v>45384</v>
      </c>
      <c r="X624" t="b">
        <v>0</v>
      </c>
      <c r="Y624" t="b">
        <v>0</v>
      </c>
      <c r="Z624" t="s">
        <v>89</v>
      </c>
      <c r="AA624" t="s">
        <v>45</v>
      </c>
      <c r="AB624">
        <v>5</v>
      </c>
    </row>
    <row r="625" spans="1:28">
      <c r="A625" t="s">
        <v>1458</v>
      </c>
      <c r="B625">
        <v>33</v>
      </c>
      <c r="C625" t="s">
        <v>50</v>
      </c>
      <c r="D625" t="s">
        <v>34</v>
      </c>
      <c r="E625" t="s">
        <v>92</v>
      </c>
      <c r="F625" t="s">
        <v>66</v>
      </c>
      <c r="G625" t="s">
        <v>34</v>
      </c>
      <c r="H625" t="s">
        <v>1459</v>
      </c>
      <c r="I625" t="s">
        <v>306</v>
      </c>
      <c r="J625" s="2">
        <v>106.69</v>
      </c>
      <c r="K625">
        <v>5</v>
      </c>
      <c r="L625" t="s">
        <v>94</v>
      </c>
      <c r="M625">
        <v>3</v>
      </c>
      <c r="N625">
        <v>4</v>
      </c>
      <c r="O625">
        <v>1.3</v>
      </c>
      <c r="P625" t="s">
        <v>56</v>
      </c>
      <c r="Q625" t="s">
        <v>101</v>
      </c>
      <c r="R625">
        <v>2</v>
      </c>
      <c r="S625">
        <v>10</v>
      </c>
      <c r="T625" t="s">
        <v>40</v>
      </c>
      <c r="U625" t="s">
        <v>95</v>
      </c>
      <c r="V625" t="s">
        <v>58</v>
      </c>
      <c r="W625" s="1">
        <v>45555</v>
      </c>
      <c r="X625" t="b">
        <v>0</v>
      </c>
      <c r="Y625" t="b">
        <v>1</v>
      </c>
      <c r="Z625" t="s">
        <v>59</v>
      </c>
      <c r="AA625" t="s">
        <v>60</v>
      </c>
      <c r="AB625">
        <v>14</v>
      </c>
    </row>
    <row r="626" spans="1:28">
      <c r="A626" t="s">
        <v>1460</v>
      </c>
      <c r="B626">
        <v>42</v>
      </c>
      <c r="C626" t="s">
        <v>340</v>
      </c>
      <c r="D626" t="s">
        <v>34</v>
      </c>
      <c r="E626" t="s">
        <v>35</v>
      </c>
      <c r="F626" t="s">
        <v>36</v>
      </c>
      <c r="G626" t="s">
        <v>51</v>
      </c>
      <c r="H626" t="s">
        <v>1461</v>
      </c>
      <c r="I626" t="s">
        <v>143</v>
      </c>
      <c r="J626" s="2">
        <v>301.16000000000003</v>
      </c>
      <c r="K626">
        <v>10</v>
      </c>
      <c r="L626" t="s">
        <v>94</v>
      </c>
      <c r="M626">
        <v>4</v>
      </c>
      <c r="N626">
        <v>3</v>
      </c>
      <c r="O626">
        <v>2</v>
      </c>
      <c r="P626" t="s">
        <v>40</v>
      </c>
      <c r="Q626" t="s">
        <v>101</v>
      </c>
      <c r="R626">
        <v>2</v>
      </c>
      <c r="S626">
        <v>9</v>
      </c>
      <c r="T626" t="s">
        <v>56</v>
      </c>
      <c r="U626" t="s">
        <v>42</v>
      </c>
      <c r="V626" t="s">
        <v>102</v>
      </c>
      <c r="W626" s="1">
        <v>45499</v>
      </c>
      <c r="X626" t="b">
        <v>0</v>
      </c>
      <c r="Y626" t="b">
        <v>0</v>
      </c>
      <c r="Z626" t="s">
        <v>44</v>
      </c>
      <c r="AA626" t="s">
        <v>60</v>
      </c>
      <c r="AB626">
        <v>1</v>
      </c>
    </row>
    <row r="627" spans="1:28">
      <c r="A627" t="s">
        <v>1462</v>
      </c>
      <c r="B627">
        <v>49</v>
      </c>
      <c r="C627" t="s">
        <v>50</v>
      </c>
      <c r="D627" t="s">
        <v>34</v>
      </c>
      <c r="E627" t="s">
        <v>92</v>
      </c>
      <c r="F627" t="s">
        <v>52</v>
      </c>
      <c r="G627" t="s">
        <v>51</v>
      </c>
      <c r="H627" t="s">
        <v>1463</v>
      </c>
      <c r="I627" t="s">
        <v>135</v>
      </c>
      <c r="J627" s="2">
        <v>61.71</v>
      </c>
      <c r="K627">
        <v>6</v>
      </c>
      <c r="L627" t="s">
        <v>39</v>
      </c>
      <c r="M627">
        <v>2</v>
      </c>
      <c r="N627">
        <v>5</v>
      </c>
      <c r="O627">
        <v>1</v>
      </c>
      <c r="P627" t="s">
        <v>69</v>
      </c>
      <c r="Q627" t="s">
        <v>101</v>
      </c>
      <c r="R627">
        <v>2</v>
      </c>
      <c r="S627">
        <v>7</v>
      </c>
      <c r="T627" t="s">
        <v>69</v>
      </c>
      <c r="U627" t="s">
        <v>42</v>
      </c>
      <c r="V627" t="s">
        <v>102</v>
      </c>
      <c r="W627" s="1">
        <v>45568</v>
      </c>
      <c r="X627" t="b">
        <v>0</v>
      </c>
      <c r="Y627" t="b">
        <v>0</v>
      </c>
      <c r="Z627" t="s">
        <v>72</v>
      </c>
      <c r="AA627" t="s">
        <v>45</v>
      </c>
      <c r="AB627">
        <v>12</v>
      </c>
    </row>
    <row r="628" spans="1:28">
      <c r="A628" t="s">
        <v>1464</v>
      </c>
      <c r="B628">
        <v>46</v>
      </c>
      <c r="C628" t="s">
        <v>238</v>
      </c>
      <c r="D628" t="s">
        <v>34</v>
      </c>
      <c r="E628" t="s">
        <v>92</v>
      </c>
      <c r="F628" t="s">
        <v>52</v>
      </c>
      <c r="G628" t="s">
        <v>51</v>
      </c>
      <c r="H628" t="s">
        <v>1465</v>
      </c>
      <c r="I628" t="s">
        <v>108</v>
      </c>
      <c r="J628" s="2">
        <v>83.33</v>
      </c>
      <c r="K628">
        <v>11</v>
      </c>
      <c r="L628" t="s">
        <v>55</v>
      </c>
      <c r="M628">
        <v>1</v>
      </c>
      <c r="N628">
        <v>5</v>
      </c>
      <c r="O628">
        <v>1</v>
      </c>
      <c r="P628" t="s">
        <v>56</v>
      </c>
      <c r="Q628" t="s">
        <v>101</v>
      </c>
      <c r="R628">
        <v>1</v>
      </c>
      <c r="S628">
        <v>6</v>
      </c>
      <c r="T628" t="s">
        <v>69</v>
      </c>
      <c r="U628" t="s">
        <v>95</v>
      </c>
      <c r="V628" t="s">
        <v>71</v>
      </c>
      <c r="W628" s="1">
        <v>45349</v>
      </c>
      <c r="X628" t="b">
        <v>1</v>
      </c>
      <c r="Y628" t="b">
        <v>1</v>
      </c>
      <c r="Z628" t="s">
        <v>89</v>
      </c>
      <c r="AA628" t="s">
        <v>77</v>
      </c>
      <c r="AB628">
        <v>1</v>
      </c>
    </row>
    <row r="629" spans="1:28">
      <c r="A629" t="s">
        <v>1467</v>
      </c>
      <c r="B629">
        <v>42</v>
      </c>
      <c r="C629" t="s">
        <v>50</v>
      </c>
      <c r="D629" t="s">
        <v>51</v>
      </c>
      <c r="E629" t="s">
        <v>65</v>
      </c>
      <c r="F629" t="s">
        <v>36</v>
      </c>
      <c r="G629" t="s">
        <v>34</v>
      </c>
      <c r="H629" t="s">
        <v>1468</v>
      </c>
      <c r="I629" t="s">
        <v>98</v>
      </c>
      <c r="J629" s="2">
        <v>411.81</v>
      </c>
      <c r="K629">
        <v>4</v>
      </c>
      <c r="L629" t="s">
        <v>39</v>
      </c>
      <c r="M629">
        <v>1</v>
      </c>
      <c r="N629">
        <v>3</v>
      </c>
      <c r="O629">
        <v>1</v>
      </c>
      <c r="P629" t="s">
        <v>51</v>
      </c>
      <c r="Q629" t="s">
        <v>41</v>
      </c>
      <c r="R629">
        <v>1</v>
      </c>
      <c r="S629">
        <v>1</v>
      </c>
      <c r="T629" t="s">
        <v>51</v>
      </c>
      <c r="U629" t="s">
        <v>70</v>
      </c>
      <c r="V629" t="s">
        <v>102</v>
      </c>
      <c r="W629" s="1">
        <v>45390</v>
      </c>
      <c r="X629" t="b">
        <v>1</v>
      </c>
      <c r="Y629" t="b">
        <v>1</v>
      </c>
      <c r="Z629" t="s">
        <v>89</v>
      </c>
      <c r="AA629" t="s">
        <v>60</v>
      </c>
      <c r="AB629">
        <v>1</v>
      </c>
    </row>
    <row r="630" spans="1:28">
      <c r="A630" t="s">
        <v>1469</v>
      </c>
      <c r="B630">
        <v>44</v>
      </c>
      <c r="C630" t="s">
        <v>33</v>
      </c>
      <c r="D630" t="s">
        <v>34</v>
      </c>
      <c r="E630" t="s">
        <v>35</v>
      </c>
      <c r="F630" t="s">
        <v>66</v>
      </c>
      <c r="G630" t="s">
        <v>51</v>
      </c>
      <c r="H630" t="s">
        <v>1470</v>
      </c>
      <c r="I630" t="s">
        <v>123</v>
      </c>
      <c r="J630" s="2">
        <v>114.93</v>
      </c>
      <c r="K630">
        <v>3</v>
      </c>
      <c r="L630" t="s">
        <v>55</v>
      </c>
      <c r="M630">
        <v>4</v>
      </c>
      <c r="N630">
        <v>3</v>
      </c>
      <c r="O630">
        <v>1</v>
      </c>
      <c r="P630" t="s">
        <v>51</v>
      </c>
      <c r="Q630" t="s">
        <v>41</v>
      </c>
      <c r="R630">
        <v>0</v>
      </c>
      <c r="S630">
        <v>4</v>
      </c>
      <c r="T630" t="s">
        <v>40</v>
      </c>
      <c r="U630" t="s">
        <v>95</v>
      </c>
      <c r="V630" t="s">
        <v>76</v>
      </c>
      <c r="W630" s="1">
        <v>45527</v>
      </c>
      <c r="X630" t="b">
        <v>1</v>
      </c>
      <c r="Y630" t="b">
        <v>1</v>
      </c>
      <c r="Z630" t="s">
        <v>72</v>
      </c>
      <c r="AA630" t="s">
        <v>60</v>
      </c>
      <c r="AB630">
        <v>4</v>
      </c>
    </row>
    <row r="631" spans="1:28">
      <c r="A631" t="s">
        <v>1472</v>
      </c>
      <c r="B631">
        <v>33</v>
      </c>
      <c r="C631" t="s">
        <v>33</v>
      </c>
      <c r="D631" t="s">
        <v>51</v>
      </c>
      <c r="E631" t="s">
        <v>92</v>
      </c>
      <c r="F631" t="s">
        <v>66</v>
      </c>
      <c r="G631" t="s">
        <v>34</v>
      </c>
      <c r="H631" t="s">
        <v>1473</v>
      </c>
      <c r="I631" t="s">
        <v>306</v>
      </c>
      <c r="J631" s="2">
        <v>438.42</v>
      </c>
      <c r="K631">
        <v>11</v>
      </c>
      <c r="L631" t="s">
        <v>94</v>
      </c>
      <c r="M631">
        <v>3</v>
      </c>
      <c r="N631">
        <v>2</v>
      </c>
      <c r="O631">
        <v>2</v>
      </c>
      <c r="P631" t="s">
        <v>56</v>
      </c>
      <c r="Q631" t="s">
        <v>101</v>
      </c>
      <c r="R631">
        <v>0</v>
      </c>
      <c r="S631">
        <v>4</v>
      </c>
      <c r="T631" t="s">
        <v>69</v>
      </c>
      <c r="U631" t="s">
        <v>42</v>
      </c>
      <c r="V631" t="s">
        <v>102</v>
      </c>
      <c r="W631" s="1">
        <v>45545</v>
      </c>
      <c r="X631" t="b">
        <v>1</v>
      </c>
      <c r="Y631" t="b">
        <v>0</v>
      </c>
      <c r="Z631" t="s">
        <v>89</v>
      </c>
      <c r="AA631" t="s">
        <v>77</v>
      </c>
      <c r="AB631">
        <v>4</v>
      </c>
    </row>
    <row r="632" spans="1:28">
      <c r="A632" t="s">
        <v>1474</v>
      </c>
      <c r="B632">
        <v>36</v>
      </c>
      <c r="C632" t="s">
        <v>50</v>
      </c>
      <c r="D632" t="s">
        <v>34</v>
      </c>
      <c r="E632" t="s">
        <v>82</v>
      </c>
      <c r="F632" t="s">
        <v>66</v>
      </c>
      <c r="G632" t="s">
        <v>34</v>
      </c>
      <c r="H632" t="s">
        <v>1475</v>
      </c>
      <c r="I632" t="s">
        <v>123</v>
      </c>
      <c r="J632" s="2">
        <v>189.97</v>
      </c>
      <c r="K632">
        <v>2</v>
      </c>
      <c r="L632" t="s">
        <v>55</v>
      </c>
      <c r="M632">
        <v>2</v>
      </c>
      <c r="N632">
        <v>3</v>
      </c>
      <c r="O632">
        <v>1</v>
      </c>
      <c r="P632" t="s">
        <v>51</v>
      </c>
      <c r="Q632" t="s">
        <v>41</v>
      </c>
      <c r="R632">
        <v>0</v>
      </c>
      <c r="S632">
        <v>3</v>
      </c>
      <c r="T632" t="s">
        <v>56</v>
      </c>
      <c r="U632" t="s">
        <v>70</v>
      </c>
      <c r="V632" t="s">
        <v>43</v>
      </c>
      <c r="W632" s="1">
        <v>45357</v>
      </c>
      <c r="X632" t="b">
        <v>1</v>
      </c>
      <c r="Y632" t="b">
        <v>0</v>
      </c>
      <c r="Z632" t="s">
        <v>44</v>
      </c>
      <c r="AA632" t="s">
        <v>60</v>
      </c>
      <c r="AB632">
        <v>8</v>
      </c>
    </row>
    <row r="633" spans="1:28">
      <c r="A633" t="s">
        <v>1476</v>
      </c>
      <c r="B633">
        <v>35</v>
      </c>
      <c r="C633" t="s">
        <v>50</v>
      </c>
      <c r="D633" t="s">
        <v>51</v>
      </c>
      <c r="E633" t="s">
        <v>92</v>
      </c>
      <c r="F633" t="s">
        <v>66</v>
      </c>
      <c r="G633" t="s">
        <v>34</v>
      </c>
      <c r="H633" t="s">
        <v>1477</v>
      </c>
      <c r="I633" t="s">
        <v>180</v>
      </c>
      <c r="J633" s="2">
        <v>227.03</v>
      </c>
      <c r="K633">
        <v>12</v>
      </c>
      <c r="L633" t="s">
        <v>94</v>
      </c>
      <c r="M633">
        <v>2</v>
      </c>
      <c r="N633">
        <v>2</v>
      </c>
      <c r="O633">
        <v>0</v>
      </c>
      <c r="P633" t="s">
        <v>51</v>
      </c>
      <c r="Q633" t="s">
        <v>101</v>
      </c>
      <c r="R633">
        <v>2</v>
      </c>
      <c r="S633">
        <v>10</v>
      </c>
      <c r="T633" t="s">
        <v>69</v>
      </c>
      <c r="U633" t="s">
        <v>95</v>
      </c>
      <c r="V633" t="s">
        <v>58</v>
      </c>
      <c r="W633" s="1">
        <v>45480</v>
      </c>
      <c r="X633" t="b">
        <v>1</v>
      </c>
      <c r="Y633" t="b">
        <v>1</v>
      </c>
      <c r="Z633" t="s">
        <v>89</v>
      </c>
      <c r="AA633" t="s">
        <v>60</v>
      </c>
      <c r="AB633">
        <v>2</v>
      </c>
    </row>
    <row r="634" spans="1:28">
      <c r="A634" t="s">
        <v>1479</v>
      </c>
      <c r="B634">
        <v>26</v>
      </c>
      <c r="C634" t="s">
        <v>50</v>
      </c>
      <c r="D634" t="s">
        <v>51</v>
      </c>
      <c r="E634" t="s">
        <v>92</v>
      </c>
      <c r="F634" t="s">
        <v>36</v>
      </c>
      <c r="G634" t="s">
        <v>34</v>
      </c>
      <c r="H634" t="s">
        <v>1480</v>
      </c>
      <c r="I634" t="s">
        <v>75</v>
      </c>
      <c r="J634" s="2">
        <v>278.49</v>
      </c>
      <c r="K634">
        <v>4</v>
      </c>
      <c r="L634" t="s">
        <v>39</v>
      </c>
      <c r="M634">
        <v>5</v>
      </c>
      <c r="N634">
        <v>5</v>
      </c>
      <c r="O634">
        <v>0</v>
      </c>
      <c r="P634" t="s">
        <v>69</v>
      </c>
      <c r="Q634" t="s">
        <v>41</v>
      </c>
      <c r="R634">
        <v>1</v>
      </c>
      <c r="S634">
        <v>5</v>
      </c>
      <c r="T634" t="s">
        <v>69</v>
      </c>
      <c r="U634" t="s">
        <v>70</v>
      </c>
      <c r="V634" t="s">
        <v>43</v>
      </c>
      <c r="W634" s="1">
        <v>45543</v>
      </c>
      <c r="X634" t="b">
        <v>1</v>
      </c>
      <c r="Y634" t="b">
        <v>1</v>
      </c>
      <c r="Z634" t="s">
        <v>44</v>
      </c>
      <c r="AA634" t="s">
        <v>77</v>
      </c>
      <c r="AB634">
        <v>8</v>
      </c>
    </row>
    <row r="635" spans="1:28">
      <c r="A635" t="s">
        <v>1482</v>
      </c>
      <c r="B635">
        <v>43</v>
      </c>
      <c r="C635" t="s">
        <v>33</v>
      </c>
      <c r="D635" t="s">
        <v>51</v>
      </c>
      <c r="E635" t="s">
        <v>82</v>
      </c>
      <c r="F635" t="s">
        <v>36</v>
      </c>
      <c r="G635" t="s">
        <v>51</v>
      </c>
      <c r="H635" t="s">
        <v>1483</v>
      </c>
      <c r="I635" t="s">
        <v>127</v>
      </c>
      <c r="J635" s="2">
        <v>120.56</v>
      </c>
      <c r="K635">
        <v>5</v>
      </c>
      <c r="L635" t="s">
        <v>94</v>
      </c>
      <c r="M635">
        <v>4</v>
      </c>
      <c r="N635">
        <v>3</v>
      </c>
      <c r="O635">
        <v>2</v>
      </c>
      <c r="P635" t="s">
        <v>40</v>
      </c>
      <c r="Q635" t="s">
        <v>57</v>
      </c>
      <c r="R635">
        <v>2</v>
      </c>
      <c r="S635">
        <v>7</v>
      </c>
      <c r="T635" t="s">
        <v>69</v>
      </c>
      <c r="U635" t="s">
        <v>42</v>
      </c>
      <c r="V635" t="s">
        <v>71</v>
      </c>
      <c r="W635" s="1">
        <v>45446</v>
      </c>
      <c r="X635" t="b">
        <v>0</v>
      </c>
      <c r="Y635" t="b">
        <v>0</v>
      </c>
      <c r="Z635" t="s">
        <v>44</v>
      </c>
      <c r="AA635" t="s">
        <v>77</v>
      </c>
      <c r="AB635">
        <v>7</v>
      </c>
    </row>
    <row r="636" spans="1:28">
      <c r="A636" t="s">
        <v>1484</v>
      </c>
      <c r="B636">
        <v>25</v>
      </c>
      <c r="C636" t="s">
        <v>50</v>
      </c>
      <c r="D636" t="s">
        <v>51</v>
      </c>
      <c r="E636" t="s">
        <v>92</v>
      </c>
      <c r="F636" t="s">
        <v>36</v>
      </c>
      <c r="G636" t="s">
        <v>34</v>
      </c>
      <c r="H636" t="s">
        <v>1485</v>
      </c>
      <c r="I636" t="s">
        <v>38</v>
      </c>
      <c r="J636" s="2">
        <v>320.94</v>
      </c>
      <c r="K636">
        <v>11</v>
      </c>
      <c r="L636" t="s">
        <v>94</v>
      </c>
      <c r="M636">
        <v>3</v>
      </c>
      <c r="N636">
        <v>3</v>
      </c>
      <c r="O636">
        <v>2</v>
      </c>
      <c r="P636" t="s">
        <v>51</v>
      </c>
      <c r="Q636" t="s">
        <v>57</v>
      </c>
      <c r="R636">
        <v>2</v>
      </c>
      <c r="S636">
        <v>10</v>
      </c>
      <c r="T636" t="s">
        <v>40</v>
      </c>
      <c r="U636" t="s">
        <v>70</v>
      </c>
      <c r="V636" t="s">
        <v>102</v>
      </c>
      <c r="W636" s="1">
        <v>45604</v>
      </c>
      <c r="X636" t="b">
        <v>0</v>
      </c>
      <c r="Y636" t="b">
        <v>0</v>
      </c>
      <c r="Z636" t="s">
        <v>72</v>
      </c>
      <c r="AA636" t="s">
        <v>45</v>
      </c>
      <c r="AB636">
        <v>10</v>
      </c>
    </row>
    <row r="637" spans="1:28">
      <c r="A637" t="s">
        <v>1486</v>
      </c>
      <c r="B637">
        <v>37</v>
      </c>
      <c r="C637" t="s">
        <v>33</v>
      </c>
      <c r="D637" t="s">
        <v>51</v>
      </c>
      <c r="E637" t="s">
        <v>92</v>
      </c>
      <c r="F637" t="s">
        <v>66</v>
      </c>
      <c r="G637" t="s">
        <v>34</v>
      </c>
      <c r="H637" t="s">
        <v>1487</v>
      </c>
      <c r="I637" t="s">
        <v>306</v>
      </c>
      <c r="J637" s="2">
        <v>217.72</v>
      </c>
      <c r="K637">
        <v>3</v>
      </c>
      <c r="L637" t="s">
        <v>55</v>
      </c>
      <c r="M637">
        <v>4</v>
      </c>
      <c r="N637">
        <v>4</v>
      </c>
      <c r="O637">
        <v>2</v>
      </c>
      <c r="P637" t="s">
        <v>56</v>
      </c>
      <c r="Q637" t="s">
        <v>57</v>
      </c>
      <c r="R637">
        <v>1</v>
      </c>
      <c r="S637">
        <v>4</v>
      </c>
      <c r="T637" t="s">
        <v>51</v>
      </c>
      <c r="U637" t="s">
        <v>42</v>
      </c>
      <c r="V637" t="s">
        <v>71</v>
      </c>
      <c r="W637" s="1">
        <v>45581</v>
      </c>
      <c r="X637" t="b">
        <v>0</v>
      </c>
      <c r="Y637" t="b">
        <v>1</v>
      </c>
      <c r="Z637" t="s">
        <v>59</v>
      </c>
      <c r="AA637" t="s">
        <v>45</v>
      </c>
      <c r="AB637">
        <v>14</v>
      </c>
    </row>
    <row r="638" spans="1:28">
      <c r="A638" t="s">
        <v>1488</v>
      </c>
      <c r="B638">
        <v>25</v>
      </c>
      <c r="C638" t="s">
        <v>50</v>
      </c>
      <c r="D638" t="s">
        <v>51</v>
      </c>
      <c r="E638" t="s">
        <v>82</v>
      </c>
      <c r="F638" t="s">
        <v>36</v>
      </c>
      <c r="G638" t="s">
        <v>34</v>
      </c>
      <c r="H638" t="s">
        <v>1489</v>
      </c>
      <c r="I638" t="s">
        <v>75</v>
      </c>
      <c r="J638" s="2">
        <v>222.61</v>
      </c>
      <c r="K638">
        <v>3</v>
      </c>
      <c r="L638" t="s">
        <v>94</v>
      </c>
      <c r="M638">
        <v>1</v>
      </c>
      <c r="N638">
        <v>2</v>
      </c>
      <c r="O638">
        <v>1</v>
      </c>
      <c r="P638" t="s">
        <v>56</v>
      </c>
      <c r="Q638" t="s">
        <v>101</v>
      </c>
      <c r="R638">
        <v>1</v>
      </c>
      <c r="S638">
        <v>1</v>
      </c>
      <c r="T638" t="s">
        <v>40</v>
      </c>
      <c r="U638" t="s">
        <v>95</v>
      </c>
      <c r="V638" t="s">
        <v>58</v>
      </c>
      <c r="W638" s="1">
        <v>45476</v>
      </c>
      <c r="X638" t="b">
        <v>0</v>
      </c>
      <c r="Y638" t="b">
        <v>1</v>
      </c>
      <c r="Z638" t="s">
        <v>44</v>
      </c>
      <c r="AA638" t="s">
        <v>60</v>
      </c>
      <c r="AB638">
        <v>3</v>
      </c>
    </row>
    <row r="639" spans="1:28">
      <c r="A639" t="s">
        <v>1491</v>
      </c>
      <c r="B639">
        <v>40</v>
      </c>
      <c r="C639" t="s">
        <v>33</v>
      </c>
      <c r="D639" t="s">
        <v>34</v>
      </c>
      <c r="E639" t="s">
        <v>92</v>
      </c>
      <c r="F639" t="s">
        <v>52</v>
      </c>
      <c r="G639" t="s">
        <v>34</v>
      </c>
      <c r="H639" t="s">
        <v>1492</v>
      </c>
      <c r="I639" t="s">
        <v>235</v>
      </c>
      <c r="J639" s="2">
        <v>102.73</v>
      </c>
      <c r="K639">
        <v>3</v>
      </c>
      <c r="L639" t="s">
        <v>39</v>
      </c>
      <c r="M639">
        <v>4</v>
      </c>
      <c r="N639">
        <v>5</v>
      </c>
      <c r="O639">
        <v>0.3</v>
      </c>
      <c r="P639" t="s">
        <v>40</v>
      </c>
      <c r="Q639" t="s">
        <v>57</v>
      </c>
      <c r="R639">
        <v>2</v>
      </c>
      <c r="S639">
        <v>5</v>
      </c>
      <c r="T639" t="s">
        <v>40</v>
      </c>
      <c r="U639" t="s">
        <v>42</v>
      </c>
      <c r="V639" t="s">
        <v>71</v>
      </c>
      <c r="W639" s="1">
        <v>45491</v>
      </c>
      <c r="X639" t="b">
        <v>0</v>
      </c>
      <c r="Y639" t="b">
        <v>0</v>
      </c>
      <c r="Z639" t="s">
        <v>59</v>
      </c>
      <c r="AA639" t="s">
        <v>77</v>
      </c>
      <c r="AB639">
        <v>14</v>
      </c>
    </row>
    <row r="640" spans="1:28">
      <c r="A640" t="s">
        <v>1493</v>
      </c>
      <c r="B640">
        <v>40</v>
      </c>
      <c r="C640" t="s">
        <v>33</v>
      </c>
      <c r="D640" t="s">
        <v>34</v>
      </c>
      <c r="E640" t="s">
        <v>35</v>
      </c>
      <c r="F640" t="s">
        <v>36</v>
      </c>
      <c r="G640" t="s">
        <v>51</v>
      </c>
      <c r="H640" t="s">
        <v>1494</v>
      </c>
      <c r="I640" t="s">
        <v>108</v>
      </c>
      <c r="J640" s="2">
        <v>426.87</v>
      </c>
      <c r="K640">
        <v>2</v>
      </c>
      <c r="L640" t="s">
        <v>55</v>
      </c>
      <c r="M640">
        <v>4</v>
      </c>
      <c r="N640">
        <v>2</v>
      </c>
      <c r="O640">
        <v>2</v>
      </c>
      <c r="P640" t="s">
        <v>40</v>
      </c>
      <c r="Q640" t="s">
        <v>57</v>
      </c>
      <c r="R640">
        <v>0</v>
      </c>
      <c r="S640">
        <v>4</v>
      </c>
      <c r="T640" t="s">
        <v>56</v>
      </c>
      <c r="U640" t="s">
        <v>70</v>
      </c>
      <c r="V640" t="s">
        <v>71</v>
      </c>
      <c r="W640" s="1">
        <v>45365</v>
      </c>
      <c r="X640" t="b">
        <v>0</v>
      </c>
      <c r="Y640" t="b">
        <v>0</v>
      </c>
      <c r="Z640" t="s">
        <v>59</v>
      </c>
      <c r="AA640" t="s">
        <v>45</v>
      </c>
      <c r="AB640">
        <v>3</v>
      </c>
    </row>
    <row r="641" spans="1:28">
      <c r="A641" t="s">
        <v>1495</v>
      </c>
      <c r="B641">
        <v>20</v>
      </c>
      <c r="C641" t="s">
        <v>33</v>
      </c>
      <c r="D641" t="s">
        <v>34</v>
      </c>
      <c r="E641" t="s">
        <v>82</v>
      </c>
      <c r="F641" t="s">
        <v>52</v>
      </c>
      <c r="G641" t="s">
        <v>34</v>
      </c>
      <c r="H641" t="s">
        <v>1496</v>
      </c>
      <c r="I641" t="s">
        <v>306</v>
      </c>
      <c r="J641" s="2">
        <v>473.28</v>
      </c>
      <c r="K641">
        <v>5</v>
      </c>
      <c r="L641" t="s">
        <v>94</v>
      </c>
      <c r="M641">
        <v>5</v>
      </c>
      <c r="N641">
        <v>5</v>
      </c>
      <c r="O641">
        <v>1</v>
      </c>
      <c r="P641" t="s">
        <v>56</v>
      </c>
      <c r="Q641" t="s">
        <v>101</v>
      </c>
      <c r="R641">
        <v>1</v>
      </c>
      <c r="S641">
        <v>9</v>
      </c>
      <c r="T641" t="s">
        <v>40</v>
      </c>
      <c r="U641" t="s">
        <v>70</v>
      </c>
      <c r="V641" t="s">
        <v>102</v>
      </c>
      <c r="W641" s="1">
        <v>45635</v>
      </c>
      <c r="X641" t="b">
        <v>0</v>
      </c>
      <c r="Y641" t="b">
        <v>0</v>
      </c>
      <c r="Z641" t="s">
        <v>44</v>
      </c>
      <c r="AA641" t="s">
        <v>60</v>
      </c>
      <c r="AB641">
        <v>13</v>
      </c>
    </row>
    <row r="642" spans="1:28">
      <c r="A642" t="s">
        <v>1497</v>
      </c>
      <c r="B642">
        <v>39</v>
      </c>
      <c r="C642" t="s">
        <v>50</v>
      </c>
      <c r="D642" t="s">
        <v>51</v>
      </c>
      <c r="E642" t="s">
        <v>82</v>
      </c>
      <c r="F642" t="s">
        <v>36</v>
      </c>
      <c r="G642" t="s">
        <v>51</v>
      </c>
      <c r="H642" t="s">
        <v>1498</v>
      </c>
      <c r="I642" t="s">
        <v>306</v>
      </c>
      <c r="J642" s="2">
        <v>446.03</v>
      </c>
      <c r="K642">
        <v>9</v>
      </c>
      <c r="L642" t="s">
        <v>55</v>
      </c>
      <c r="M642">
        <v>2</v>
      </c>
      <c r="N642">
        <v>1</v>
      </c>
      <c r="O642">
        <v>2</v>
      </c>
      <c r="P642" t="s">
        <v>69</v>
      </c>
      <c r="Q642" t="s">
        <v>41</v>
      </c>
      <c r="R642">
        <v>2</v>
      </c>
      <c r="S642">
        <v>7</v>
      </c>
      <c r="T642" t="s">
        <v>40</v>
      </c>
      <c r="U642" t="s">
        <v>42</v>
      </c>
      <c r="V642" t="s">
        <v>76</v>
      </c>
      <c r="W642" s="1">
        <v>45469</v>
      </c>
      <c r="X642" t="b">
        <v>1</v>
      </c>
      <c r="Y642" t="b">
        <v>1</v>
      </c>
      <c r="Z642" t="s">
        <v>44</v>
      </c>
      <c r="AA642" t="s">
        <v>77</v>
      </c>
      <c r="AB642">
        <v>12</v>
      </c>
    </row>
    <row r="643" spans="1:28">
      <c r="A643" t="s">
        <v>1499</v>
      </c>
      <c r="B643">
        <v>19</v>
      </c>
      <c r="C643" t="s">
        <v>33</v>
      </c>
      <c r="D643" t="s">
        <v>51</v>
      </c>
      <c r="E643" t="s">
        <v>65</v>
      </c>
      <c r="F643" t="s">
        <v>36</v>
      </c>
      <c r="G643" t="s">
        <v>51</v>
      </c>
      <c r="H643" t="s">
        <v>1500</v>
      </c>
      <c r="I643" t="s">
        <v>170</v>
      </c>
      <c r="J643" s="2">
        <v>287.95</v>
      </c>
      <c r="K643">
        <v>3</v>
      </c>
      <c r="L643" t="s">
        <v>39</v>
      </c>
      <c r="M643">
        <v>2</v>
      </c>
      <c r="N643">
        <v>3</v>
      </c>
      <c r="O643">
        <v>2</v>
      </c>
      <c r="P643" t="s">
        <v>40</v>
      </c>
      <c r="Q643" t="s">
        <v>101</v>
      </c>
      <c r="R643">
        <v>2</v>
      </c>
      <c r="S643">
        <v>7</v>
      </c>
      <c r="T643" t="s">
        <v>51</v>
      </c>
      <c r="U643" t="s">
        <v>42</v>
      </c>
      <c r="V643" t="s">
        <v>58</v>
      </c>
      <c r="W643" s="1">
        <v>45608</v>
      </c>
      <c r="X643" t="b">
        <v>1</v>
      </c>
      <c r="Y643" t="b">
        <v>1</v>
      </c>
      <c r="Z643" t="s">
        <v>89</v>
      </c>
      <c r="AA643" t="s">
        <v>60</v>
      </c>
      <c r="AB643">
        <v>11</v>
      </c>
    </row>
    <row r="644" spans="1:28">
      <c r="A644" t="s">
        <v>1501</v>
      </c>
      <c r="B644">
        <v>31</v>
      </c>
      <c r="C644" t="s">
        <v>33</v>
      </c>
      <c r="D644" t="s">
        <v>34</v>
      </c>
      <c r="E644" t="s">
        <v>82</v>
      </c>
      <c r="F644" t="s">
        <v>66</v>
      </c>
      <c r="G644" t="s">
        <v>51</v>
      </c>
      <c r="H644" t="s">
        <v>1502</v>
      </c>
      <c r="I644" t="s">
        <v>123</v>
      </c>
      <c r="J644" s="2">
        <v>132.52000000000001</v>
      </c>
      <c r="K644">
        <v>6</v>
      </c>
      <c r="L644" t="s">
        <v>39</v>
      </c>
      <c r="M644">
        <v>1</v>
      </c>
      <c r="N644">
        <v>2</v>
      </c>
      <c r="O644">
        <v>0</v>
      </c>
      <c r="P644" t="s">
        <v>56</v>
      </c>
      <c r="Q644" t="s">
        <v>41</v>
      </c>
      <c r="R644">
        <v>2</v>
      </c>
      <c r="S644">
        <v>10</v>
      </c>
      <c r="T644" t="s">
        <v>69</v>
      </c>
      <c r="U644" t="s">
        <v>70</v>
      </c>
      <c r="V644" t="s">
        <v>71</v>
      </c>
      <c r="W644" s="1">
        <v>45646</v>
      </c>
      <c r="X644" t="b">
        <v>1</v>
      </c>
      <c r="Y644" t="b">
        <v>1</v>
      </c>
      <c r="Z644" t="s">
        <v>72</v>
      </c>
      <c r="AA644" t="s">
        <v>77</v>
      </c>
      <c r="AB644">
        <v>12</v>
      </c>
    </row>
    <row r="645" spans="1:28">
      <c r="A645" t="s">
        <v>1503</v>
      </c>
      <c r="B645">
        <v>36</v>
      </c>
      <c r="C645" t="s">
        <v>33</v>
      </c>
      <c r="D645" t="s">
        <v>34</v>
      </c>
      <c r="E645" t="s">
        <v>35</v>
      </c>
      <c r="F645" t="s">
        <v>36</v>
      </c>
      <c r="G645" t="s">
        <v>34</v>
      </c>
      <c r="H645" t="s">
        <v>1504</v>
      </c>
      <c r="I645" t="s">
        <v>108</v>
      </c>
      <c r="J645" s="2">
        <v>379.2</v>
      </c>
      <c r="K645">
        <v>7</v>
      </c>
      <c r="L645" t="s">
        <v>94</v>
      </c>
      <c r="M645">
        <v>5</v>
      </c>
      <c r="N645">
        <v>1</v>
      </c>
      <c r="O645">
        <v>0</v>
      </c>
      <c r="P645" t="s">
        <v>56</v>
      </c>
      <c r="Q645" t="s">
        <v>101</v>
      </c>
      <c r="R645">
        <v>2</v>
      </c>
      <c r="S645">
        <v>2</v>
      </c>
      <c r="T645" t="s">
        <v>51</v>
      </c>
      <c r="U645" t="s">
        <v>70</v>
      </c>
      <c r="V645" t="s">
        <v>71</v>
      </c>
      <c r="W645" s="1">
        <v>45440</v>
      </c>
      <c r="X645" t="b">
        <v>1</v>
      </c>
      <c r="Y645" t="b">
        <v>1</v>
      </c>
      <c r="Z645" t="s">
        <v>44</v>
      </c>
      <c r="AA645" t="s">
        <v>45</v>
      </c>
      <c r="AB645">
        <v>7</v>
      </c>
    </row>
    <row r="646" spans="1:28">
      <c r="A646" t="s">
        <v>1506</v>
      </c>
      <c r="B646">
        <v>31</v>
      </c>
      <c r="C646" t="s">
        <v>188</v>
      </c>
      <c r="D646" t="s">
        <v>34</v>
      </c>
      <c r="E646" t="s">
        <v>35</v>
      </c>
      <c r="F646" t="s">
        <v>52</v>
      </c>
      <c r="G646" t="s">
        <v>51</v>
      </c>
      <c r="H646" t="s">
        <v>1507</v>
      </c>
      <c r="I646" t="s">
        <v>199</v>
      </c>
      <c r="J646" s="2">
        <v>447.53</v>
      </c>
      <c r="K646">
        <v>4</v>
      </c>
      <c r="L646" t="s">
        <v>94</v>
      </c>
      <c r="M646">
        <v>2</v>
      </c>
      <c r="N646">
        <v>1</v>
      </c>
      <c r="O646">
        <v>2</v>
      </c>
      <c r="P646" t="s">
        <v>51</v>
      </c>
      <c r="Q646" t="s">
        <v>41</v>
      </c>
      <c r="R646">
        <v>1</v>
      </c>
      <c r="S646">
        <v>6</v>
      </c>
      <c r="T646" t="s">
        <v>40</v>
      </c>
      <c r="U646" t="s">
        <v>70</v>
      </c>
      <c r="V646" t="s">
        <v>58</v>
      </c>
      <c r="W646" s="1">
        <v>45578</v>
      </c>
      <c r="X646" t="b">
        <v>1</v>
      </c>
      <c r="Y646" t="b">
        <v>1</v>
      </c>
      <c r="Z646" t="s">
        <v>59</v>
      </c>
      <c r="AA646" t="s">
        <v>45</v>
      </c>
      <c r="AB646">
        <v>3</v>
      </c>
    </row>
    <row r="647" spans="1:28">
      <c r="A647" t="s">
        <v>1508</v>
      </c>
      <c r="B647">
        <v>45</v>
      </c>
      <c r="C647" t="s">
        <v>33</v>
      </c>
      <c r="D647" t="s">
        <v>51</v>
      </c>
      <c r="E647" t="s">
        <v>92</v>
      </c>
      <c r="F647" t="s">
        <v>36</v>
      </c>
      <c r="G647" t="s">
        <v>34</v>
      </c>
      <c r="H647" t="s">
        <v>1509</v>
      </c>
      <c r="I647" t="s">
        <v>68</v>
      </c>
      <c r="J647" s="2">
        <v>138.44</v>
      </c>
      <c r="K647">
        <v>4</v>
      </c>
      <c r="L647" t="s">
        <v>39</v>
      </c>
      <c r="M647">
        <v>5</v>
      </c>
      <c r="N647">
        <v>1</v>
      </c>
      <c r="O647">
        <v>1</v>
      </c>
      <c r="P647" t="s">
        <v>40</v>
      </c>
      <c r="Q647" t="s">
        <v>101</v>
      </c>
      <c r="R647">
        <v>1</v>
      </c>
      <c r="S647">
        <v>2</v>
      </c>
      <c r="T647" t="s">
        <v>40</v>
      </c>
      <c r="U647" t="s">
        <v>70</v>
      </c>
      <c r="V647" t="s">
        <v>102</v>
      </c>
      <c r="W647" s="1">
        <v>45344</v>
      </c>
      <c r="X647" t="b">
        <v>0</v>
      </c>
      <c r="Y647" t="b">
        <v>1</v>
      </c>
      <c r="Z647" t="s">
        <v>59</v>
      </c>
      <c r="AA647" t="s">
        <v>77</v>
      </c>
      <c r="AB647">
        <v>1</v>
      </c>
    </row>
    <row r="648" spans="1:28">
      <c r="A648" t="s">
        <v>1510</v>
      </c>
      <c r="B648">
        <v>45</v>
      </c>
      <c r="C648" t="s">
        <v>340</v>
      </c>
      <c r="D648" t="s">
        <v>34</v>
      </c>
      <c r="E648" t="s">
        <v>65</v>
      </c>
      <c r="F648" t="s">
        <v>52</v>
      </c>
      <c r="G648" t="s">
        <v>34</v>
      </c>
      <c r="H648" t="s">
        <v>1511</v>
      </c>
      <c r="I648" t="s">
        <v>75</v>
      </c>
      <c r="J648" s="2">
        <v>440.62</v>
      </c>
      <c r="K648">
        <v>8</v>
      </c>
      <c r="L648" t="s">
        <v>39</v>
      </c>
      <c r="M648">
        <v>2</v>
      </c>
      <c r="N648">
        <v>2</v>
      </c>
      <c r="O648">
        <v>2</v>
      </c>
      <c r="P648" t="s">
        <v>40</v>
      </c>
      <c r="Q648" t="s">
        <v>101</v>
      </c>
      <c r="R648">
        <v>1</v>
      </c>
      <c r="S648">
        <v>3</v>
      </c>
      <c r="T648" t="s">
        <v>56</v>
      </c>
      <c r="U648" t="s">
        <v>42</v>
      </c>
      <c r="V648" t="s">
        <v>71</v>
      </c>
      <c r="W648" s="1">
        <v>45323</v>
      </c>
      <c r="X648" t="b">
        <v>1</v>
      </c>
      <c r="Y648" t="b">
        <v>1</v>
      </c>
      <c r="Z648" t="s">
        <v>44</v>
      </c>
      <c r="AA648" t="s">
        <v>77</v>
      </c>
      <c r="AB648">
        <v>6</v>
      </c>
    </row>
    <row r="649" spans="1:28">
      <c r="A649" t="s">
        <v>1512</v>
      </c>
      <c r="B649">
        <v>23</v>
      </c>
      <c r="C649" t="s">
        <v>33</v>
      </c>
      <c r="D649" t="s">
        <v>51</v>
      </c>
      <c r="E649" t="s">
        <v>92</v>
      </c>
      <c r="F649" t="s">
        <v>66</v>
      </c>
      <c r="G649" t="s">
        <v>51</v>
      </c>
      <c r="H649" t="s">
        <v>1513</v>
      </c>
      <c r="I649" t="s">
        <v>108</v>
      </c>
      <c r="J649" s="2">
        <v>145.97999999999999</v>
      </c>
      <c r="K649">
        <v>4</v>
      </c>
      <c r="L649" t="s">
        <v>55</v>
      </c>
      <c r="M649">
        <v>1</v>
      </c>
      <c r="N649">
        <v>2</v>
      </c>
      <c r="O649">
        <v>1</v>
      </c>
      <c r="P649" t="s">
        <v>69</v>
      </c>
      <c r="Q649" t="s">
        <v>101</v>
      </c>
      <c r="R649">
        <v>2</v>
      </c>
      <c r="S649">
        <v>5</v>
      </c>
      <c r="T649" t="s">
        <v>51</v>
      </c>
      <c r="U649" t="s">
        <v>95</v>
      </c>
      <c r="V649" t="s">
        <v>76</v>
      </c>
      <c r="W649" s="1">
        <v>45551</v>
      </c>
      <c r="X649" t="b">
        <v>0</v>
      </c>
      <c r="Y649" t="b">
        <v>0</v>
      </c>
      <c r="Z649" t="s">
        <v>44</v>
      </c>
      <c r="AA649" t="s">
        <v>45</v>
      </c>
      <c r="AB649">
        <v>1</v>
      </c>
    </row>
    <row r="650" spans="1:28">
      <c r="A650" t="s">
        <v>1514</v>
      </c>
      <c r="B650">
        <v>28</v>
      </c>
      <c r="C650" t="s">
        <v>50</v>
      </c>
      <c r="D650" t="s">
        <v>34</v>
      </c>
      <c r="E650" t="s">
        <v>35</v>
      </c>
      <c r="F650" t="s">
        <v>52</v>
      </c>
      <c r="G650" t="s">
        <v>51</v>
      </c>
      <c r="H650" t="s">
        <v>1515</v>
      </c>
      <c r="I650" t="s">
        <v>150</v>
      </c>
      <c r="J650" s="2">
        <v>405.66</v>
      </c>
      <c r="K650">
        <v>11</v>
      </c>
      <c r="L650" t="s">
        <v>94</v>
      </c>
      <c r="M650">
        <v>5</v>
      </c>
      <c r="N650">
        <v>2</v>
      </c>
      <c r="O650">
        <v>1</v>
      </c>
      <c r="P650" t="s">
        <v>56</v>
      </c>
      <c r="Q650" t="s">
        <v>41</v>
      </c>
      <c r="R650">
        <v>1</v>
      </c>
      <c r="S650">
        <v>3</v>
      </c>
      <c r="T650" t="s">
        <v>51</v>
      </c>
      <c r="U650" t="s">
        <v>42</v>
      </c>
      <c r="V650" t="s">
        <v>102</v>
      </c>
      <c r="W650" s="1">
        <v>45409</v>
      </c>
      <c r="X650" t="b">
        <v>1</v>
      </c>
      <c r="Y650" t="b">
        <v>0</v>
      </c>
      <c r="Z650" t="s">
        <v>72</v>
      </c>
      <c r="AA650" t="s">
        <v>77</v>
      </c>
      <c r="AB650">
        <v>11</v>
      </c>
    </row>
    <row r="651" spans="1:28">
      <c r="A651" t="s">
        <v>1516</v>
      </c>
      <c r="B651">
        <v>26</v>
      </c>
      <c r="C651" t="s">
        <v>33</v>
      </c>
      <c r="D651" t="s">
        <v>51</v>
      </c>
      <c r="E651" t="s">
        <v>65</v>
      </c>
      <c r="F651" t="s">
        <v>52</v>
      </c>
      <c r="G651" t="s">
        <v>34</v>
      </c>
      <c r="H651" t="s">
        <v>2359</v>
      </c>
      <c r="I651" t="s">
        <v>229</v>
      </c>
      <c r="J651" s="2">
        <v>419.98</v>
      </c>
      <c r="K651">
        <v>7</v>
      </c>
      <c r="L651" t="s">
        <v>55</v>
      </c>
      <c r="M651">
        <v>4</v>
      </c>
      <c r="N651">
        <v>4</v>
      </c>
      <c r="O651">
        <v>0</v>
      </c>
      <c r="P651" t="s">
        <v>40</v>
      </c>
      <c r="Q651" t="s">
        <v>101</v>
      </c>
      <c r="R651">
        <v>0</v>
      </c>
      <c r="S651">
        <v>10</v>
      </c>
      <c r="T651" t="s">
        <v>56</v>
      </c>
      <c r="U651" t="s">
        <v>95</v>
      </c>
      <c r="V651" t="s">
        <v>58</v>
      </c>
      <c r="W651" s="1">
        <v>45410</v>
      </c>
      <c r="X651" t="b">
        <v>1</v>
      </c>
      <c r="Y651" t="b">
        <v>1</v>
      </c>
      <c r="Z651" t="s">
        <v>72</v>
      </c>
      <c r="AA651" t="s">
        <v>45</v>
      </c>
      <c r="AB651">
        <v>14</v>
      </c>
    </row>
    <row r="652" spans="1:28">
      <c r="A652" t="s">
        <v>1518</v>
      </c>
      <c r="B652">
        <v>50</v>
      </c>
      <c r="C652" t="s">
        <v>33</v>
      </c>
      <c r="D652" t="s">
        <v>34</v>
      </c>
      <c r="E652" t="s">
        <v>92</v>
      </c>
      <c r="F652" t="s">
        <v>66</v>
      </c>
      <c r="G652" t="s">
        <v>51</v>
      </c>
      <c r="H652" t="s">
        <v>1519</v>
      </c>
      <c r="I652" t="s">
        <v>170</v>
      </c>
      <c r="J652" s="2">
        <v>260.14</v>
      </c>
      <c r="K652">
        <v>5</v>
      </c>
      <c r="L652" t="s">
        <v>94</v>
      </c>
      <c r="M652">
        <v>3</v>
      </c>
      <c r="N652">
        <v>2</v>
      </c>
      <c r="O652">
        <v>1</v>
      </c>
      <c r="P652" t="s">
        <v>40</v>
      </c>
      <c r="Q652" t="s">
        <v>41</v>
      </c>
      <c r="R652">
        <v>1</v>
      </c>
      <c r="S652">
        <v>7</v>
      </c>
      <c r="T652" t="s">
        <v>69</v>
      </c>
      <c r="U652" t="s">
        <v>70</v>
      </c>
      <c r="V652" t="s">
        <v>76</v>
      </c>
      <c r="W652" s="1">
        <v>45536</v>
      </c>
      <c r="X652" t="b">
        <v>1</v>
      </c>
      <c r="Y652" t="b">
        <v>1</v>
      </c>
      <c r="Z652" t="s">
        <v>44</v>
      </c>
      <c r="AA652" t="s">
        <v>60</v>
      </c>
      <c r="AB652">
        <v>7</v>
      </c>
    </row>
    <row r="653" spans="1:28">
      <c r="A653" t="s">
        <v>1520</v>
      </c>
      <c r="B653">
        <v>36</v>
      </c>
      <c r="C653" t="s">
        <v>33</v>
      </c>
      <c r="D653" t="s">
        <v>34</v>
      </c>
      <c r="E653" t="s">
        <v>82</v>
      </c>
      <c r="F653" t="s">
        <v>36</v>
      </c>
      <c r="G653" t="s">
        <v>51</v>
      </c>
      <c r="H653" t="s">
        <v>1521</v>
      </c>
      <c r="I653" t="s">
        <v>170</v>
      </c>
      <c r="J653" s="2">
        <v>368.91</v>
      </c>
      <c r="K653">
        <v>10</v>
      </c>
      <c r="L653" t="s">
        <v>55</v>
      </c>
      <c r="M653">
        <v>1</v>
      </c>
      <c r="N653">
        <v>3</v>
      </c>
      <c r="O653">
        <v>2</v>
      </c>
      <c r="P653" t="s">
        <v>51</v>
      </c>
      <c r="Q653" t="s">
        <v>57</v>
      </c>
      <c r="R653">
        <v>2</v>
      </c>
      <c r="S653">
        <v>10</v>
      </c>
      <c r="T653" t="s">
        <v>51</v>
      </c>
      <c r="U653" t="s">
        <v>95</v>
      </c>
      <c r="V653" t="s">
        <v>71</v>
      </c>
      <c r="W653" s="1">
        <v>45372</v>
      </c>
      <c r="X653" t="b">
        <v>0</v>
      </c>
      <c r="Y653" t="b">
        <v>0</v>
      </c>
      <c r="Z653" t="s">
        <v>44</v>
      </c>
      <c r="AA653" t="s">
        <v>45</v>
      </c>
      <c r="AB653">
        <v>7</v>
      </c>
    </row>
    <row r="654" spans="1:28">
      <c r="A654" t="s">
        <v>1522</v>
      </c>
      <c r="B654">
        <v>32</v>
      </c>
      <c r="C654" t="s">
        <v>50</v>
      </c>
      <c r="D654" t="s">
        <v>34</v>
      </c>
      <c r="E654" t="s">
        <v>82</v>
      </c>
      <c r="F654" t="s">
        <v>66</v>
      </c>
      <c r="G654" t="s">
        <v>34</v>
      </c>
      <c r="H654" t="s">
        <v>1523</v>
      </c>
      <c r="I654" t="s">
        <v>75</v>
      </c>
      <c r="J654" s="2">
        <v>100.32</v>
      </c>
      <c r="K654">
        <v>2</v>
      </c>
      <c r="L654" t="s">
        <v>55</v>
      </c>
      <c r="M654">
        <v>5</v>
      </c>
      <c r="N654">
        <v>1</v>
      </c>
      <c r="O654">
        <v>1</v>
      </c>
      <c r="P654" t="s">
        <v>69</v>
      </c>
      <c r="Q654" t="s">
        <v>101</v>
      </c>
      <c r="R654">
        <v>0</v>
      </c>
      <c r="S654">
        <v>1</v>
      </c>
      <c r="T654" t="s">
        <v>56</v>
      </c>
      <c r="U654" t="s">
        <v>42</v>
      </c>
      <c r="V654" t="s">
        <v>43</v>
      </c>
      <c r="W654" s="1">
        <v>45637</v>
      </c>
      <c r="X654" t="b">
        <v>0</v>
      </c>
      <c r="Y654" t="b">
        <v>1</v>
      </c>
      <c r="Z654" t="s">
        <v>89</v>
      </c>
      <c r="AA654" t="s">
        <v>77</v>
      </c>
      <c r="AB654">
        <v>8</v>
      </c>
    </row>
    <row r="655" spans="1:28">
      <c r="A655" t="s">
        <v>1524</v>
      </c>
      <c r="B655">
        <v>34</v>
      </c>
      <c r="C655" t="s">
        <v>50</v>
      </c>
      <c r="D655" t="s">
        <v>51</v>
      </c>
      <c r="E655" t="s">
        <v>35</v>
      </c>
      <c r="F655" t="s">
        <v>66</v>
      </c>
      <c r="G655" t="s">
        <v>34</v>
      </c>
      <c r="H655" t="s">
        <v>1525</v>
      </c>
      <c r="I655" t="s">
        <v>54</v>
      </c>
      <c r="J655" s="2">
        <v>107.82</v>
      </c>
      <c r="K655">
        <v>7</v>
      </c>
      <c r="L655" t="s">
        <v>39</v>
      </c>
      <c r="M655">
        <v>5</v>
      </c>
      <c r="N655">
        <v>3</v>
      </c>
      <c r="O655">
        <v>2</v>
      </c>
      <c r="P655" t="s">
        <v>51</v>
      </c>
      <c r="Q655" t="s">
        <v>101</v>
      </c>
      <c r="R655">
        <v>2</v>
      </c>
      <c r="S655">
        <v>10</v>
      </c>
      <c r="T655" t="s">
        <v>69</v>
      </c>
      <c r="U655" t="s">
        <v>70</v>
      </c>
      <c r="V655" t="s">
        <v>43</v>
      </c>
      <c r="W655" s="1">
        <v>45630</v>
      </c>
      <c r="X655" t="b">
        <v>0</v>
      </c>
      <c r="Y655" t="b">
        <v>1</v>
      </c>
      <c r="Z655" t="s">
        <v>59</v>
      </c>
      <c r="AA655" t="s">
        <v>45</v>
      </c>
      <c r="AB655">
        <v>2</v>
      </c>
    </row>
    <row r="656" spans="1:28">
      <c r="A656" t="s">
        <v>1526</v>
      </c>
      <c r="B656">
        <v>50</v>
      </c>
      <c r="C656" t="s">
        <v>50</v>
      </c>
      <c r="D656" t="s">
        <v>34</v>
      </c>
      <c r="E656" t="s">
        <v>35</v>
      </c>
      <c r="F656" t="s">
        <v>52</v>
      </c>
      <c r="G656" t="s">
        <v>34</v>
      </c>
      <c r="H656" t="s">
        <v>2360</v>
      </c>
      <c r="I656" t="s">
        <v>153</v>
      </c>
      <c r="J656" s="2">
        <v>83.88</v>
      </c>
      <c r="K656">
        <v>11</v>
      </c>
      <c r="L656" t="s">
        <v>94</v>
      </c>
      <c r="M656">
        <v>4</v>
      </c>
      <c r="N656">
        <v>2</v>
      </c>
      <c r="O656">
        <v>1</v>
      </c>
      <c r="P656" t="s">
        <v>56</v>
      </c>
      <c r="Q656" t="s">
        <v>57</v>
      </c>
      <c r="R656">
        <v>0</v>
      </c>
      <c r="S656">
        <v>6</v>
      </c>
      <c r="T656" t="s">
        <v>69</v>
      </c>
      <c r="U656" t="s">
        <v>95</v>
      </c>
      <c r="V656" t="s">
        <v>76</v>
      </c>
      <c r="W656" s="1">
        <v>45346</v>
      </c>
      <c r="X656" t="b">
        <v>1</v>
      </c>
      <c r="Y656" t="b">
        <v>1</v>
      </c>
      <c r="Z656" t="s">
        <v>89</v>
      </c>
      <c r="AA656" t="s">
        <v>77</v>
      </c>
      <c r="AB656">
        <v>4</v>
      </c>
    </row>
    <row r="657" spans="1:28">
      <c r="A657" t="s">
        <v>1529</v>
      </c>
      <c r="B657">
        <v>24</v>
      </c>
      <c r="C657" t="s">
        <v>33</v>
      </c>
      <c r="D657" t="s">
        <v>34</v>
      </c>
      <c r="E657" t="s">
        <v>82</v>
      </c>
      <c r="F657" t="s">
        <v>36</v>
      </c>
      <c r="G657" t="s">
        <v>34</v>
      </c>
      <c r="H657" t="s">
        <v>1530</v>
      </c>
      <c r="I657" t="s">
        <v>242</v>
      </c>
      <c r="J657" s="2">
        <v>81.25</v>
      </c>
      <c r="K657">
        <v>9</v>
      </c>
      <c r="L657" t="s">
        <v>94</v>
      </c>
      <c r="M657">
        <v>1</v>
      </c>
      <c r="N657">
        <v>2</v>
      </c>
      <c r="O657">
        <v>1</v>
      </c>
      <c r="P657" t="s">
        <v>69</v>
      </c>
      <c r="Q657" t="s">
        <v>101</v>
      </c>
      <c r="R657">
        <v>2</v>
      </c>
      <c r="S657">
        <v>8</v>
      </c>
      <c r="T657" t="s">
        <v>56</v>
      </c>
      <c r="U657" t="s">
        <v>95</v>
      </c>
      <c r="V657" t="s">
        <v>102</v>
      </c>
      <c r="W657" s="1">
        <v>45436</v>
      </c>
      <c r="X657" t="b">
        <v>1</v>
      </c>
      <c r="Y657" t="b">
        <v>1</v>
      </c>
      <c r="Z657" t="s">
        <v>89</v>
      </c>
      <c r="AA657" t="s">
        <v>45</v>
      </c>
      <c r="AB657">
        <v>10</v>
      </c>
    </row>
    <row r="658" spans="1:28">
      <c r="A658" t="s">
        <v>1531</v>
      </c>
      <c r="B658">
        <v>49</v>
      </c>
      <c r="C658" t="s">
        <v>50</v>
      </c>
      <c r="D658" t="s">
        <v>34</v>
      </c>
      <c r="E658" t="s">
        <v>82</v>
      </c>
      <c r="F658" t="s">
        <v>66</v>
      </c>
      <c r="G658" t="s">
        <v>51</v>
      </c>
      <c r="H658" t="s">
        <v>1532</v>
      </c>
      <c r="I658" t="s">
        <v>75</v>
      </c>
      <c r="J658" s="2">
        <v>125.8</v>
      </c>
      <c r="K658">
        <v>12</v>
      </c>
      <c r="L658" t="s">
        <v>55</v>
      </c>
      <c r="M658">
        <v>4</v>
      </c>
      <c r="N658">
        <v>4</v>
      </c>
      <c r="O658">
        <v>2</v>
      </c>
      <c r="P658" t="s">
        <v>40</v>
      </c>
      <c r="Q658" t="s">
        <v>41</v>
      </c>
      <c r="R658">
        <v>0</v>
      </c>
      <c r="S658">
        <v>8</v>
      </c>
      <c r="T658" t="s">
        <v>51</v>
      </c>
      <c r="U658" t="s">
        <v>95</v>
      </c>
      <c r="V658" t="s">
        <v>58</v>
      </c>
      <c r="W658" s="1">
        <v>45430</v>
      </c>
      <c r="X658" t="b">
        <v>0</v>
      </c>
      <c r="Y658" t="b">
        <v>1</v>
      </c>
      <c r="Z658" t="s">
        <v>89</v>
      </c>
      <c r="AA658" t="s">
        <v>45</v>
      </c>
      <c r="AB658">
        <v>1</v>
      </c>
    </row>
    <row r="659" spans="1:28">
      <c r="A659" t="s">
        <v>1533</v>
      </c>
      <c r="B659">
        <v>18</v>
      </c>
      <c r="C659" t="s">
        <v>33</v>
      </c>
      <c r="D659" t="s">
        <v>34</v>
      </c>
      <c r="E659" t="s">
        <v>65</v>
      </c>
      <c r="F659" t="s">
        <v>36</v>
      </c>
      <c r="G659" t="s">
        <v>34</v>
      </c>
      <c r="H659" t="s">
        <v>2361</v>
      </c>
      <c r="I659" t="s">
        <v>180</v>
      </c>
      <c r="J659" s="2">
        <v>197.9</v>
      </c>
      <c r="K659">
        <v>11</v>
      </c>
      <c r="L659" t="s">
        <v>39</v>
      </c>
      <c r="M659">
        <v>2</v>
      </c>
      <c r="N659">
        <v>4</v>
      </c>
      <c r="O659">
        <v>2</v>
      </c>
      <c r="P659" t="s">
        <v>56</v>
      </c>
      <c r="Q659" t="s">
        <v>57</v>
      </c>
      <c r="R659">
        <v>1</v>
      </c>
      <c r="S659">
        <v>4</v>
      </c>
      <c r="T659" t="s">
        <v>69</v>
      </c>
      <c r="U659" t="s">
        <v>95</v>
      </c>
      <c r="V659" t="s">
        <v>71</v>
      </c>
      <c r="W659" s="1">
        <v>45384</v>
      </c>
      <c r="X659" t="b">
        <v>1</v>
      </c>
      <c r="Y659" t="b">
        <v>1</v>
      </c>
      <c r="Z659" t="s">
        <v>59</v>
      </c>
      <c r="AA659" t="s">
        <v>60</v>
      </c>
      <c r="AB659">
        <v>5</v>
      </c>
    </row>
    <row r="660" spans="1:28">
      <c r="A660" t="s">
        <v>1535</v>
      </c>
      <c r="B660">
        <v>44</v>
      </c>
      <c r="C660" t="s">
        <v>50</v>
      </c>
      <c r="D660" t="s">
        <v>51</v>
      </c>
      <c r="E660" t="s">
        <v>92</v>
      </c>
      <c r="F660" t="s">
        <v>52</v>
      </c>
      <c r="G660" t="s">
        <v>34</v>
      </c>
      <c r="H660" t="s">
        <v>1536</v>
      </c>
      <c r="I660" t="s">
        <v>242</v>
      </c>
      <c r="J660" s="2">
        <v>299.08999999999997</v>
      </c>
      <c r="K660">
        <v>8</v>
      </c>
      <c r="L660" t="s">
        <v>55</v>
      </c>
      <c r="M660">
        <v>1</v>
      </c>
      <c r="N660">
        <v>1</v>
      </c>
      <c r="O660">
        <v>2</v>
      </c>
      <c r="P660" t="s">
        <v>51</v>
      </c>
      <c r="Q660" t="s">
        <v>101</v>
      </c>
      <c r="R660">
        <v>2</v>
      </c>
      <c r="S660">
        <v>7</v>
      </c>
      <c r="T660" t="s">
        <v>51</v>
      </c>
      <c r="U660" t="s">
        <v>42</v>
      </c>
      <c r="V660" t="s">
        <v>71</v>
      </c>
      <c r="W660" s="1">
        <v>45467</v>
      </c>
      <c r="X660" t="b">
        <v>0</v>
      </c>
      <c r="Y660" t="b">
        <v>0</v>
      </c>
      <c r="Z660" t="s">
        <v>72</v>
      </c>
      <c r="AA660" t="s">
        <v>60</v>
      </c>
      <c r="AB660">
        <v>14</v>
      </c>
    </row>
    <row r="661" spans="1:28">
      <c r="A661" t="s">
        <v>1537</v>
      </c>
      <c r="B661">
        <v>41</v>
      </c>
      <c r="C661" t="s">
        <v>50</v>
      </c>
      <c r="D661" t="s">
        <v>51</v>
      </c>
      <c r="E661" t="s">
        <v>35</v>
      </c>
      <c r="F661" t="s">
        <v>52</v>
      </c>
      <c r="G661" t="s">
        <v>34</v>
      </c>
      <c r="H661" t="s">
        <v>1538</v>
      </c>
      <c r="I661" t="s">
        <v>242</v>
      </c>
      <c r="J661" s="2">
        <v>79.3</v>
      </c>
      <c r="K661">
        <v>10</v>
      </c>
      <c r="L661" t="s">
        <v>94</v>
      </c>
      <c r="M661">
        <v>3</v>
      </c>
      <c r="N661">
        <v>2</v>
      </c>
      <c r="O661">
        <v>1</v>
      </c>
      <c r="P661" t="s">
        <v>69</v>
      </c>
      <c r="Q661" t="s">
        <v>41</v>
      </c>
      <c r="R661">
        <v>2</v>
      </c>
      <c r="S661">
        <v>4</v>
      </c>
      <c r="T661" t="s">
        <v>51</v>
      </c>
      <c r="U661" t="s">
        <v>70</v>
      </c>
      <c r="V661" t="s">
        <v>71</v>
      </c>
      <c r="W661" s="1">
        <v>45538</v>
      </c>
      <c r="X661" t="b">
        <v>0</v>
      </c>
      <c r="Y661" t="b">
        <v>0</v>
      </c>
      <c r="Z661" t="s">
        <v>89</v>
      </c>
      <c r="AA661" t="s">
        <v>45</v>
      </c>
      <c r="AB661">
        <v>2</v>
      </c>
    </row>
    <row r="662" spans="1:28">
      <c r="A662" t="s">
        <v>1539</v>
      </c>
      <c r="B662">
        <v>33</v>
      </c>
      <c r="C662" t="s">
        <v>50</v>
      </c>
      <c r="D662" t="s">
        <v>51</v>
      </c>
      <c r="E662" t="s">
        <v>92</v>
      </c>
      <c r="F662" t="s">
        <v>52</v>
      </c>
      <c r="G662" t="s">
        <v>51</v>
      </c>
      <c r="H662" t="s">
        <v>1540</v>
      </c>
      <c r="I662" t="s">
        <v>98</v>
      </c>
      <c r="J662" s="2">
        <v>55.73</v>
      </c>
      <c r="K662">
        <v>12</v>
      </c>
      <c r="L662" t="s">
        <v>55</v>
      </c>
      <c r="M662">
        <v>4</v>
      </c>
      <c r="N662">
        <v>3</v>
      </c>
      <c r="O662">
        <v>0.3</v>
      </c>
      <c r="P662" t="s">
        <v>56</v>
      </c>
      <c r="Q662" t="s">
        <v>57</v>
      </c>
      <c r="R662">
        <v>1</v>
      </c>
      <c r="S662">
        <v>3</v>
      </c>
      <c r="T662" t="s">
        <v>51</v>
      </c>
      <c r="U662" t="s">
        <v>42</v>
      </c>
      <c r="V662" t="s">
        <v>58</v>
      </c>
      <c r="W662" s="1">
        <v>45431</v>
      </c>
      <c r="X662" t="b">
        <v>0</v>
      </c>
      <c r="Y662" t="b">
        <v>1</v>
      </c>
      <c r="Z662" t="s">
        <v>44</v>
      </c>
      <c r="AA662" t="s">
        <v>77</v>
      </c>
      <c r="AB662">
        <v>3</v>
      </c>
    </row>
    <row r="663" spans="1:28">
      <c r="A663" t="s">
        <v>1541</v>
      </c>
      <c r="B663">
        <v>46</v>
      </c>
      <c r="C663" t="s">
        <v>50</v>
      </c>
      <c r="D663" t="s">
        <v>51</v>
      </c>
      <c r="E663" t="s">
        <v>65</v>
      </c>
      <c r="F663" t="s">
        <v>36</v>
      </c>
      <c r="G663" t="s">
        <v>51</v>
      </c>
      <c r="H663" t="s">
        <v>1542</v>
      </c>
      <c r="I663" t="s">
        <v>150</v>
      </c>
      <c r="J663" s="2">
        <v>256.44</v>
      </c>
      <c r="K663">
        <v>8</v>
      </c>
      <c r="L663" t="s">
        <v>55</v>
      </c>
      <c r="M663">
        <v>4</v>
      </c>
      <c r="N663">
        <v>1</v>
      </c>
      <c r="O663">
        <v>2</v>
      </c>
      <c r="P663" t="s">
        <v>51</v>
      </c>
      <c r="Q663" t="s">
        <v>41</v>
      </c>
      <c r="R663">
        <v>1</v>
      </c>
      <c r="S663">
        <v>6</v>
      </c>
      <c r="T663" t="s">
        <v>56</v>
      </c>
      <c r="U663" t="s">
        <v>42</v>
      </c>
      <c r="V663" t="s">
        <v>76</v>
      </c>
      <c r="W663" s="1">
        <v>45508</v>
      </c>
      <c r="X663" t="b">
        <v>0</v>
      </c>
      <c r="Y663" t="b">
        <v>0</v>
      </c>
      <c r="Z663" t="s">
        <v>59</v>
      </c>
      <c r="AA663" t="s">
        <v>77</v>
      </c>
      <c r="AB663">
        <v>3</v>
      </c>
    </row>
    <row r="664" spans="1:28">
      <c r="A664" t="s">
        <v>1543</v>
      </c>
      <c r="B664">
        <v>23</v>
      </c>
      <c r="C664" t="s">
        <v>33</v>
      </c>
      <c r="D664" t="s">
        <v>51</v>
      </c>
      <c r="E664" t="s">
        <v>35</v>
      </c>
      <c r="F664" t="s">
        <v>36</v>
      </c>
      <c r="G664" t="s">
        <v>51</v>
      </c>
      <c r="H664" t="s">
        <v>2362</v>
      </c>
      <c r="I664" t="s">
        <v>156</v>
      </c>
      <c r="J664" s="2">
        <v>337.21</v>
      </c>
      <c r="K664">
        <v>12</v>
      </c>
      <c r="L664" t="s">
        <v>94</v>
      </c>
      <c r="M664">
        <v>1</v>
      </c>
      <c r="N664">
        <v>5</v>
      </c>
      <c r="O664">
        <v>1</v>
      </c>
      <c r="P664" t="s">
        <v>69</v>
      </c>
      <c r="Q664" t="s">
        <v>41</v>
      </c>
      <c r="R664">
        <v>0</v>
      </c>
      <c r="S664">
        <v>9</v>
      </c>
      <c r="T664" t="s">
        <v>40</v>
      </c>
      <c r="U664" t="s">
        <v>70</v>
      </c>
      <c r="V664" t="s">
        <v>71</v>
      </c>
      <c r="W664" s="1">
        <v>45589</v>
      </c>
      <c r="X664" t="b">
        <v>1</v>
      </c>
      <c r="Y664" t="b">
        <v>1</v>
      </c>
      <c r="Z664" t="s">
        <v>89</v>
      </c>
      <c r="AA664" t="s">
        <v>77</v>
      </c>
      <c r="AB664">
        <v>11</v>
      </c>
    </row>
    <row r="665" spans="1:28">
      <c r="A665" t="s">
        <v>1545</v>
      </c>
      <c r="B665">
        <v>35</v>
      </c>
      <c r="C665" t="s">
        <v>33</v>
      </c>
      <c r="D665" t="s">
        <v>51</v>
      </c>
      <c r="E665" t="s">
        <v>65</v>
      </c>
      <c r="F665" t="s">
        <v>66</v>
      </c>
      <c r="G665" t="s">
        <v>34</v>
      </c>
      <c r="H665" t="s">
        <v>1546</v>
      </c>
      <c r="I665" t="s">
        <v>150</v>
      </c>
      <c r="J665" s="2">
        <v>494.97</v>
      </c>
      <c r="K665">
        <v>12</v>
      </c>
      <c r="L665" t="s">
        <v>55</v>
      </c>
      <c r="M665">
        <v>5</v>
      </c>
      <c r="N665">
        <v>4</v>
      </c>
      <c r="O665">
        <v>2</v>
      </c>
      <c r="P665" t="s">
        <v>69</v>
      </c>
      <c r="Q665" t="s">
        <v>57</v>
      </c>
      <c r="R665">
        <v>1</v>
      </c>
      <c r="S665">
        <v>5</v>
      </c>
      <c r="T665" t="s">
        <v>69</v>
      </c>
      <c r="U665" t="s">
        <v>42</v>
      </c>
      <c r="V665" t="s">
        <v>71</v>
      </c>
      <c r="W665" s="1">
        <v>45520</v>
      </c>
      <c r="X665" t="b">
        <v>0</v>
      </c>
      <c r="Y665" t="b">
        <v>0</v>
      </c>
      <c r="Z665" t="s">
        <v>89</v>
      </c>
      <c r="AA665" t="s">
        <v>45</v>
      </c>
      <c r="AB665">
        <v>7</v>
      </c>
    </row>
    <row r="666" spans="1:28">
      <c r="A666" t="s">
        <v>1548</v>
      </c>
      <c r="B666">
        <v>31</v>
      </c>
      <c r="C666" t="s">
        <v>33</v>
      </c>
      <c r="D666" t="s">
        <v>34</v>
      </c>
      <c r="E666" t="s">
        <v>82</v>
      </c>
      <c r="F666" t="s">
        <v>52</v>
      </c>
      <c r="G666" t="s">
        <v>51</v>
      </c>
      <c r="H666" t="s">
        <v>1549</v>
      </c>
      <c r="I666" t="s">
        <v>170</v>
      </c>
      <c r="J666" s="2">
        <v>238.58</v>
      </c>
      <c r="K666">
        <v>6</v>
      </c>
      <c r="L666" t="s">
        <v>94</v>
      </c>
      <c r="M666">
        <v>3</v>
      </c>
      <c r="N666">
        <v>2</v>
      </c>
      <c r="O666">
        <v>2</v>
      </c>
      <c r="P666" t="s">
        <v>56</v>
      </c>
      <c r="Q666" t="s">
        <v>101</v>
      </c>
      <c r="R666">
        <v>2</v>
      </c>
      <c r="S666">
        <v>9</v>
      </c>
      <c r="T666" t="s">
        <v>56</v>
      </c>
      <c r="U666" t="s">
        <v>42</v>
      </c>
      <c r="V666" t="s">
        <v>58</v>
      </c>
      <c r="W666" s="1">
        <v>45454</v>
      </c>
      <c r="X666" t="b">
        <v>1</v>
      </c>
      <c r="Y666" t="b">
        <v>1</v>
      </c>
      <c r="Z666" t="s">
        <v>59</v>
      </c>
      <c r="AA666" t="s">
        <v>60</v>
      </c>
      <c r="AB666">
        <v>8</v>
      </c>
    </row>
    <row r="667" spans="1:28">
      <c r="A667" t="s">
        <v>1550</v>
      </c>
      <c r="B667">
        <v>20</v>
      </c>
      <c r="C667" t="s">
        <v>33</v>
      </c>
      <c r="D667" t="s">
        <v>51</v>
      </c>
      <c r="E667" t="s">
        <v>65</v>
      </c>
      <c r="F667" t="s">
        <v>36</v>
      </c>
      <c r="G667" t="s">
        <v>51</v>
      </c>
      <c r="H667" t="s">
        <v>1551</v>
      </c>
      <c r="I667" t="s">
        <v>108</v>
      </c>
      <c r="J667" s="2">
        <v>131.9</v>
      </c>
      <c r="K667">
        <v>8</v>
      </c>
      <c r="L667" t="s">
        <v>39</v>
      </c>
      <c r="M667">
        <v>3</v>
      </c>
      <c r="N667">
        <v>5</v>
      </c>
      <c r="O667">
        <v>0</v>
      </c>
      <c r="P667" t="s">
        <v>40</v>
      </c>
      <c r="Q667" t="s">
        <v>57</v>
      </c>
      <c r="R667">
        <v>2</v>
      </c>
      <c r="S667">
        <v>4</v>
      </c>
      <c r="T667" t="s">
        <v>56</v>
      </c>
      <c r="U667" t="s">
        <v>42</v>
      </c>
      <c r="V667" t="s">
        <v>43</v>
      </c>
      <c r="W667" s="1">
        <v>45597</v>
      </c>
      <c r="X667" t="b">
        <v>1</v>
      </c>
      <c r="Y667" t="b">
        <v>1</v>
      </c>
      <c r="Z667" t="s">
        <v>89</v>
      </c>
      <c r="AA667" t="s">
        <v>45</v>
      </c>
      <c r="AB667">
        <v>4</v>
      </c>
    </row>
    <row r="668" spans="1:28">
      <c r="A668" t="s">
        <v>1552</v>
      </c>
      <c r="B668">
        <v>49</v>
      </c>
      <c r="C668" t="s">
        <v>33</v>
      </c>
      <c r="D668" t="s">
        <v>34</v>
      </c>
      <c r="E668" t="s">
        <v>35</v>
      </c>
      <c r="F668" t="s">
        <v>36</v>
      </c>
      <c r="G668" t="s">
        <v>51</v>
      </c>
      <c r="H668" t="s">
        <v>1553</v>
      </c>
      <c r="I668" t="s">
        <v>54</v>
      </c>
      <c r="J668" s="2">
        <v>403.03</v>
      </c>
      <c r="K668">
        <v>12</v>
      </c>
      <c r="L668" t="s">
        <v>39</v>
      </c>
      <c r="M668">
        <v>1</v>
      </c>
      <c r="N668">
        <v>5</v>
      </c>
      <c r="O668">
        <v>1</v>
      </c>
      <c r="P668" t="s">
        <v>56</v>
      </c>
      <c r="Q668" t="s">
        <v>41</v>
      </c>
      <c r="R668">
        <v>0</v>
      </c>
      <c r="S668">
        <v>1</v>
      </c>
      <c r="T668" t="s">
        <v>51</v>
      </c>
      <c r="U668" t="s">
        <v>42</v>
      </c>
      <c r="V668" t="s">
        <v>76</v>
      </c>
      <c r="W668" s="1">
        <v>45526</v>
      </c>
      <c r="X668" t="b">
        <v>1</v>
      </c>
      <c r="Y668" t="b">
        <v>1</v>
      </c>
      <c r="Z668" t="s">
        <v>59</v>
      </c>
      <c r="AA668" t="s">
        <v>60</v>
      </c>
      <c r="AB668">
        <v>2</v>
      </c>
    </row>
    <row r="669" spans="1:28">
      <c r="A669" t="s">
        <v>1554</v>
      </c>
      <c r="B669">
        <v>26</v>
      </c>
      <c r="C669" t="s">
        <v>33</v>
      </c>
      <c r="D669" t="s">
        <v>51</v>
      </c>
      <c r="E669" t="s">
        <v>82</v>
      </c>
      <c r="F669" t="s">
        <v>36</v>
      </c>
      <c r="G669" t="s">
        <v>51</v>
      </c>
      <c r="H669" t="s">
        <v>1555</v>
      </c>
      <c r="I669" t="s">
        <v>180</v>
      </c>
      <c r="J669" s="2">
        <v>338.6</v>
      </c>
      <c r="K669">
        <v>10</v>
      </c>
      <c r="L669" t="s">
        <v>55</v>
      </c>
      <c r="M669">
        <v>1</v>
      </c>
      <c r="N669">
        <v>3</v>
      </c>
      <c r="O669">
        <v>2</v>
      </c>
      <c r="P669" t="s">
        <v>56</v>
      </c>
      <c r="Q669" t="s">
        <v>41</v>
      </c>
      <c r="R669">
        <v>1</v>
      </c>
      <c r="S669">
        <v>3</v>
      </c>
      <c r="T669" t="s">
        <v>56</v>
      </c>
      <c r="U669" t="s">
        <v>95</v>
      </c>
      <c r="V669" t="s">
        <v>76</v>
      </c>
      <c r="W669" s="1">
        <v>45528</v>
      </c>
      <c r="X669" t="b">
        <v>0</v>
      </c>
      <c r="Y669" t="b">
        <v>0</v>
      </c>
      <c r="Z669" t="s">
        <v>89</v>
      </c>
      <c r="AA669" t="s">
        <v>45</v>
      </c>
      <c r="AB669">
        <v>9</v>
      </c>
    </row>
    <row r="670" spans="1:28">
      <c r="A670" t="s">
        <v>1556</v>
      </c>
      <c r="B670">
        <v>36</v>
      </c>
      <c r="C670" t="s">
        <v>50</v>
      </c>
      <c r="D670" t="s">
        <v>34</v>
      </c>
      <c r="E670" t="s">
        <v>82</v>
      </c>
      <c r="F670" t="s">
        <v>52</v>
      </c>
      <c r="G670" t="s">
        <v>51</v>
      </c>
      <c r="H670" t="s">
        <v>1557</v>
      </c>
      <c r="I670" t="s">
        <v>84</v>
      </c>
      <c r="J670" s="2">
        <v>365.38</v>
      </c>
      <c r="K670">
        <v>11</v>
      </c>
      <c r="L670" t="s">
        <v>94</v>
      </c>
      <c r="M670">
        <v>1</v>
      </c>
      <c r="N670">
        <v>4</v>
      </c>
      <c r="O670">
        <v>0</v>
      </c>
      <c r="P670" t="s">
        <v>51</v>
      </c>
      <c r="Q670" t="s">
        <v>41</v>
      </c>
      <c r="R670">
        <v>0</v>
      </c>
      <c r="S670">
        <v>9</v>
      </c>
      <c r="T670" t="s">
        <v>56</v>
      </c>
      <c r="U670" t="s">
        <v>95</v>
      </c>
      <c r="V670" t="s">
        <v>102</v>
      </c>
      <c r="W670" s="1">
        <v>45505</v>
      </c>
      <c r="X670" t="b">
        <v>0</v>
      </c>
      <c r="Y670" t="b">
        <v>0</v>
      </c>
      <c r="Z670" t="s">
        <v>59</v>
      </c>
      <c r="AA670" t="s">
        <v>77</v>
      </c>
      <c r="AB670">
        <v>14</v>
      </c>
    </row>
    <row r="671" spans="1:28">
      <c r="A671" t="s">
        <v>1558</v>
      </c>
      <c r="B671">
        <v>21</v>
      </c>
      <c r="C671" t="s">
        <v>50</v>
      </c>
      <c r="D671" t="s">
        <v>34</v>
      </c>
      <c r="E671" t="s">
        <v>35</v>
      </c>
      <c r="F671" t="s">
        <v>52</v>
      </c>
      <c r="G671" t="s">
        <v>51</v>
      </c>
      <c r="H671" t="s">
        <v>1559</v>
      </c>
      <c r="I671" t="s">
        <v>108</v>
      </c>
      <c r="J671" s="2">
        <v>433.99</v>
      </c>
      <c r="K671">
        <v>11</v>
      </c>
      <c r="L671" t="s">
        <v>39</v>
      </c>
      <c r="M671">
        <v>3</v>
      </c>
      <c r="N671">
        <v>2</v>
      </c>
      <c r="O671">
        <v>1</v>
      </c>
      <c r="P671" t="s">
        <v>51</v>
      </c>
      <c r="Q671" t="s">
        <v>57</v>
      </c>
      <c r="R671">
        <v>0</v>
      </c>
      <c r="S671">
        <v>2</v>
      </c>
      <c r="T671" t="s">
        <v>40</v>
      </c>
      <c r="U671" t="s">
        <v>95</v>
      </c>
      <c r="V671" t="s">
        <v>43</v>
      </c>
      <c r="W671" s="1">
        <v>45331</v>
      </c>
      <c r="X671" t="b">
        <v>0</v>
      </c>
      <c r="Y671" t="b">
        <v>0</v>
      </c>
      <c r="Z671" t="s">
        <v>44</v>
      </c>
      <c r="AA671" t="s">
        <v>45</v>
      </c>
      <c r="AB671">
        <v>8</v>
      </c>
    </row>
    <row r="672" spans="1:28">
      <c r="A672" t="s">
        <v>1560</v>
      </c>
      <c r="B672">
        <v>35</v>
      </c>
      <c r="C672" t="s">
        <v>33</v>
      </c>
      <c r="D672" t="s">
        <v>34</v>
      </c>
      <c r="E672" t="s">
        <v>82</v>
      </c>
      <c r="F672" t="s">
        <v>52</v>
      </c>
      <c r="G672" t="s">
        <v>34</v>
      </c>
      <c r="H672" t="s">
        <v>1561</v>
      </c>
      <c r="I672" t="s">
        <v>131</v>
      </c>
      <c r="J672" s="2">
        <v>495.95</v>
      </c>
      <c r="K672">
        <v>5</v>
      </c>
      <c r="L672" t="s">
        <v>55</v>
      </c>
      <c r="M672">
        <v>4</v>
      </c>
      <c r="N672">
        <v>2</v>
      </c>
      <c r="O672">
        <v>0</v>
      </c>
      <c r="P672" t="s">
        <v>51</v>
      </c>
      <c r="Q672" t="s">
        <v>101</v>
      </c>
      <c r="R672">
        <v>1</v>
      </c>
      <c r="S672">
        <v>7</v>
      </c>
      <c r="T672" t="s">
        <v>40</v>
      </c>
      <c r="U672" t="s">
        <v>70</v>
      </c>
      <c r="V672" t="s">
        <v>76</v>
      </c>
      <c r="W672" s="1">
        <v>45392</v>
      </c>
      <c r="X672" t="b">
        <v>0</v>
      </c>
      <c r="Y672" t="b">
        <v>0</v>
      </c>
      <c r="Z672" t="s">
        <v>89</v>
      </c>
      <c r="AA672" t="s">
        <v>45</v>
      </c>
      <c r="AB672">
        <v>6</v>
      </c>
    </row>
    <row r="673" spans="1:28">
      <c r="A673" t="s">
        <v>1562</v>
      </c>
      <c r="B673">
        <v>41</v>
      </c>
      <c r="C673" t="s">
        <v>50</v>
      </c>
      <c r="D673" t="s">
        <v>51</v>
      </c>
      <c r="E673" t="s">
        <v>35</v>
      </c>
      <c r="F673" t="s">
        <v>52</v>
      </c>
      <c r="G673" t="s">
        <v>34</v>
      </c>
      <c r="H673" t="s">
        <v>1563</v>
      </c>
      <c r="I673" t="s">
        <v>153</v>
      </c>
      <c r="J673" s="2">
        <v>356.22</v>
      </c>
      <c r="K673">
        <v>7</v>
      </c>
      <c r="L673" t="s">
        <v>55</v>
      </c>
      <c r="M673">
        <v>2</v>
      </c>
      <c r="N673">
        <v>5</v>
      </c>
      <c r="O673">
        <v>0</v>
      </c>
      <c r="P673" t="s">
        <v>56</v>
      </c>
      <c r="Q673" t="s">
        <v>101</v>
      </c>
      <c r="R673">
        <v>1</v>
      </c>
      <c r="S673">
        <v>7</v>
      </c>
      <c r="T673" t="s">
        <v>51</v>
      </c>
      <c r="U673" t="s">
        <v>70</v>
      </c>
      <c r="V673" t="s">
        <v>43</v>
      </c>
      <c r="W673" s="1">
        <v>45453</v>
      </c>
      <c r="X673" t="b">
        <v>0</v>
      </c>
      <c r="Y673" t="b">
        <v>1</v>
      </c>
      <c r="Z673" t="s">
        <v>89</v>
      </c>
      <c r="AA673" t="s">
        <v>77</v>
      </c>
      <c r="AB673">
        <v>6</v>
      </c>
    </row>
    <row r="674" spans="1:28">
      <c r="A674" t="s">
        <v>1564</v>
      </c>
      <c r="B674">
        <v>22</v>
      </c>
      <c r="C674" t="s">
        <v>431</v>
      </c>
      <c r="D674" t="s">
        <v>51</v>
      </c>
      <c r="E674" t="s">
        <v>65</v>
      </c>
      <c r="F674" t="s">
        <v>52</v>
      </c>
      <c r="G674" t="s">
        <v>34</v>
      </c>
      <c r="H674" t="s">
        <v>1565</v>
      </c>
      <c r="I674" t="s">
        <v>180</v>
      </c>
      <c r="J674" s="2">
        <v>156.4</v>
      </c>
      <c r="K674">
        <v>7</v>
      </c>
      <c r="L674" t="s">
        <v>55</v>
      </c>
      <c r="M674">
        <v>4</v>
      </c>
      <c r="N674">
        <v>5</v>
      </c>
      <c r="O674">
        <v>2</v>
      </c>
      <c r="P674" t="s">
        <v>69</v>
      </c>
      <c r="Q674" t="s">
        <v>41</v>
      </c>
      <c r="R674">
        <v>1</v>
      </c>
      <c r="S674">
        <v>7</v>
      </c>
      <c r="T674" t="s">
        <v>69</v>
      </c>
      <c r="U674" t="s">
        <v>95</v>
      </c>
      <c r="V674" t="s">
        <v>43</v>
      </c>
      <c r="W674" s="1">
        <v>45603</v>
      </c>
      <c r="X674" t="b">
        <v>0</v>
      </c>
      <c r="Y674" t="b">
        <v>1</v>
      </c>
      <c r="Z674" t="s">
        <v>44</v>
      </c>
      <c r="AA674" t="s">
        <v>60</v>
      </c>
      <c r="AB674">
        <v>4</v>
      </c>
    </row>
    <row r="675" spans="1:28">
      <c r="A675" t="s">
        <v>1566</v>
      </c>
      <c r="B675">
        <v>42</v>
      </c>
      <c r="C675" t="s">
        <v>50</v>
      </c>
      <c r="D675" t="s">
        <v>34</v>
      </c>
      <c r="E675" t="s">
        <v>65</v>
      </c>
      <c r="F675" t="s">
        <v>66</v>
      </c>
      <c r="G675" t="s">
        <v>34</v>
      </c>
      <c r="H675" t="s">
        <v>1567</v>
      </c>
      <c r="I675" t="s">
        <v>108</v>
      </c>
      <c r="J675" s="2">
        <v>454.36</v>
      </c>
      <c r="K675">
        <v>3</v>
      </c>
      <c r="L675" t="s">
        <v>55</v>
      </c>
      <c r="M675">
        <v>4</v>
      </c>
      <c r="N675">
        <v>5</v>
      </c>
      <c r="O675">
        <v>1</v>
      </c>
      <c r="P675" t="s">
        <v>69</v>
      </c>
      <c r="Q675" t="s">
        <v>101</v>
      </c>
      <c r="R675">
        <v>1</v>
      </c>
      <c r="S675">
        <v>8</v>
      </c>
      <c r="T675" t="s">
        <v>56</v>
      </c>
      <c r="U675" t="s">
        <v>42</v>
      </c>
      <c r="V675" t="s">
        <v>102</v>
      </c>
      <c r="W675" s="1">
        <v>45551</v>
      </c>
      <c r="X675" t="b">
        <v>1</v>
      </c>
      <c r="Y675" t="b">
        <v>0</v>
      </c>
      <c r="Z675" t="s">
        <v>89</v>
      </c>
      <c r="AA675" t="s">
        <v>45</v>
      </c>
      <c r="AB675">
        <v>12</v>
      </c>
    </row>
    <row r="676" spans="1:28">
      <c r="A676" t="s">
        <v>1568</v>
      </c>
      <c r="B676">
        <v>50</v>
      </c>
      <c r="C676" t="s">
        <v>50</v>
      </c>
      <c r="D676" t="s">
        <v>51</v>
      </c>
      <c r="E676" t="s">
        <v>65</v>
      </c>
      <c r="F676" t="s">
        <v>36</v>
      </c>
      <c r="G676" t="s">
        <v>51</v>
      </c>
      <c r="H676" t="s">
        <v>1569</v>
      </c>
      <c r="I676" t="s">
        <v>150</v>
      </c>
      <c r="J676" s="2">
        <v>486.07</v>
      </c>
      <c r="K676">
        <v>11</v>
      </c>
      <c r="L676" t="s">
        <v>39</v>
      </c>
      <c r="M676">
        <v>5</v>
      </c>
      <c r="N676">
        <v>1</v>
      </c>
      <c r="O676">
        <v>0</v>
      </c>
      <c r="P676" t="s">
        <v>56</v>
      </c>
      <c r="Q676" t="s">
        <v>41</v>
      </c>
      <c r="R676">
        <v>2</v>
      </c>
      <c r="S676">
        <v>6</v>
      </c>
      <c r="T676" t="s">
        <v>40</v>
      </c>
      <c r="U676" t="s">
        <v>42</v>
      </c>
      <c r="V676" t="s">
        <v>43</v>
      </c>
      <c r="W676" s="1">
        <v>45307</v>
      </c>
      <c r="X676" t="b">
        <v>0</v>
      </c>
      <c r="Y676" t="b">
        <v>0</v>
      </c>
      <c r="Z676" t="s">
        <v>89</v>
      </c>
      <c r="AA676" t="s">
        <v>60</v>
      </c>
      <c r="AB676">
        <v>12</v>
      </c>
    </row>
    <row r="677" spans="1:28">
      <c r="A677" t="s">
        <v>1570</v>
      </c>
      <c r="B677">
        <v>30</v>
      </c>
      <c r="C677" t="s">
        <v>33</v>
      </c>
      <c r="D677" t="s">
        <v>51</v>
      </c>
      <c r="E677" t="s">
        <v>92</v>
      </c>
      <c r="F677" t="s">
        <v>52</v>
      </c>
      <c r="G677" t="s">
        <v>34</v>
      </c>
      <c r="H677" t="s">
        <v>2263</v>
      </c>
      <c r="I677" t="s">
        <v>143</v>
      </c>
      <c r="J677" s="2">
        <v>427.86</v>
      </c>
      <c r="K677">
        <v>11</v>
      </c>
      <c r="L677" t="s">
        <v>39</v>
      </c>
      <c r="M677">
        <v>4</v>
      </c>
      <c r="N677">
        <v>3</v>
      </c>
      <c r="O677">
        <v>1</v>
      </c>
      <c r="P677" t="s">
        <v>56</v>
      </c>
      <c r="Q677" t="s">
        <v>57</v>
      </c>
      <c r="R677">
        <v>0</v>
      </c>
      <c r="S677">
        <v>6</v>
      </c>
      <c r="T677" t="s">
        <v>56</v>
      </c>
      <c r="U677" t="s">
        <v>95</v>
      </c>
      <c r="V677" t="s">
        <v>71</v>
      </c>
      <c r="W677" s="1">
        <v>45354</v>
      </c>
      <c r="X677" t="b">
        <v>1</v>
      </c>
      <c r="Y677" t="b">
        <v>1</v>
      </c>
      <c r="Z677" t="s">
        <v>44</v>
      </c>
      <c r="AA677" t="s">
        <v>77</v>
      </c>
      <c r="AB677">
        <v>8</v>
      </c>
    </row>
    <row r="678" spans="1:28">
      <c r="A678" t="s">
        <v>1571</v>
      </c>
      <c r="B678">
        <v>49</v>
      </c>
      <c r="C678" t="s">
        <v>33</v>
      </c>
      <c r="D678" t="s">
        <v>51</v>
      </c>
      <c r="E678" t="s">
        <v>92</v>
      </c>
      <c r="F678" t="s">
        <v>66</v>
      </c>
      <c r="G678" t="s">
        <v>51</v>
      </c>
      <c r="H678" t="s">
        <v>1572</v>
      </c>
      <c r="I678" t="s">
        <v>235</v>
      </c>
      <c r="J678" s="2">
        <v>235.13</v>
      </c>
      <c r="K678">
        <v>10</v>
      </c>
      <c r="L678" t="s">
        <v>94</v>
      </c>
      <c r="M678">
        <v>5</v>
      </c>
      <c r="N678">
        <v>4</v>
      </c>
      <c r="O678">
        <v>1</v>
      </c>
      <c r="P678" t="s">
        <v>56</v>
      </c>
      <c r="Q678" t="s">
        <v>101</v>
      </c>
      <c r="R678">
        <v>2</v>
      </c>
      <c r="S678">
        <v>3</v>
      </c>
      <c r="T678" t="s">
        <v>40</v>
      </c>
      <c r="U678" t="s">
        <v>70</v>
      </c>
      <c r="V678" t="s">
        <v>76</v>
      </c>
      <c r="W678" s="1">
        <v>45380</v>
      </c>
      <c r="X678" t="b">
        <v>1</v>
      </c>
      <c r="Y678" t="b">
        <v>0</v>
      </c>
      <c r="Z678" t="s">
        <v>89</v>
      </c>
      <c r="AA678" t="s">
        <v>45</v>
      </c>
      <c r="AB678">
        <v>6</v>
      </c>
    </row>
    <row r="679" spans="1:28">
      <c r="A679" t="s">
        <v>1573</v>
      </c>
      <c r="B679">
        <v>40</v>
      </c>
      <c r="C679" t="s">
        <v>33</v>
      </c>
      <c r="D679" t="s">
        <v>34</v>
      </c>
      <c r="E679" t="s">
        <v>92</v>
      </c>
      <c r="F679" t="s">
        <v>36</v>
      </c>
      <c r="G679" t="s">
        <v>34</v>
      </c>
      <c r="H679" t="s">
        <v>1574</v>
      </c>
      <c r="I679" t="s">
        <v>199</v>
      </c>
      <c r="J679" s="2">
        <v>361.27</v>
      </c>
      <c r="K679">
        <v>4</v>
      </c>
      <c r="L679" t="s">
        <v>94</v>
      </c>
      <c r="M679">
        <v>3</v>
      </c>
      <c r="N679">
        <v>3</v>
      </c>
      <c r="O679">
        <v>1</v>
      </c>
      <c r="P679" t="s">
        <v>40</v>
      </c>
      <c r="Q679" t="s">
        <v>57</v>
      </c>
      <c r="R679">
        <v>0</v>
      </c>
      <c r="S679">
        <v>5</v>
      </c>
      <c r="T679" t="s">
        <v>51</v>
      </c>
      <c r="U679" t="s">
        <v>42</v>
      </c>
      <c r="V679" t="s">
        <v>43</v>
      </c>
      <c r="W679" s="1">
        <v>45550</v>
      </c>
      <c r="X679" t="b">
        <v>1</v>
      </c>
      <c r="Y679" t="b">
        <v>0</v>
      </c>
      <c r="Z679" t="s">
        <v>44</v>
      </c>
      <c r="AA679" t="s">
        <v>60</v>
      </c>
      <c r="AB679">
        <v>2</v>
      </c>
    </row>
    <row r="680" spans="1:28">
      <c r="A680" t="s">
        <v>1575</v>
      </c>
      <c r="B680">
        <v>38</v>
      </c>
      <c r="C680" t="s">
        <v>33</v>
      </c>
      <c r="D680" t="s">
        <v>34</v>
      </c>
      <c r="E680" t="s">
        <v>65</v>
      </c>
      <c r="F680" t="s">
        <v>36</v>
      </c>
      <c r="G680" t="s">
        <v>34</v>
      </c>
      <c r="H680" t="s">
        <v>1576</v>
      </c>
      <c r="I680" t="s">
        <v>84</v>
      </c>
      <c r="J680" s="2">
        <v>195.83</v>
      </c>
      <c r="K680">
        <v>10</v>
      </c>
      <c r="L680" t="s">
        <v>39</v>
      </c>
      <c r="M680">
        <v>1</v>
      </c>
      <c r="N680">
        <v>2</v>
      </c>
      <c r="O680">
        <v>2</v>
      </c>
      <c r="P680" t="s">
        <v>40</v>
      </c>
      <c r="Q680" t="s">
        <v>57</v>
      </c>
      <c r="R680">
        <v>1</v>
      </c>
      <c r="S680">
        <v>7</v>
      </c>
      <c r="T680" t="s">
        <v>51</v>
      </c>
      <c r="U680" t="s">
        <v>95</v>
      </c>
      <c r="V680" t="s">
        <v>71</v>
      </c>
      <c r="W680" s="1">
        <v>45316</v>
      </c>
      <c r="X680" t="b">
        <v>1</v>
      </c>
      <c r="Y680" t="b">
        <v>0</v>
      </c>
      <c r="Z680" t="s">
        <v>44</v>
      </c>
      <c r="AA680" t="s">
        <v>45</v>
      </c>
      <c r="AB680">
        <v>13</v>
      </c>
    </row>
    <row r="681" spans="1:28">
      <c r="A681" t="s">
        <v>1577</v>
      </c>
      <c r="B681">
        <v>21</v>
      </c>
      <c r="C681" t="s">
        <v>50</v>
      </c>
      <c r="D681" t="s">
        <v>51</v>
      </c>
      <c r="E681" t="s">
        <v>35</v>
      </c>
      <c r="F681" t="s">
        <v>66</v>
      </c>
      <c r="G681" t="s">
        <v>51</v>
      </c>
      <c r="H681" t="s">
        <v>1578</v>
      </c>
      <c r="I681" t="s">
        <v>108</v>
      </c>
      <c r="J681" s="2">
        <v>340.31</v>
      </c>
      <c r="K681">
        <v>10</v>
      </c>
      <c r="L681" t="s">
        <v>94</v>
      </c>
      <c r="M681">
        <v>5</v>
      </c>
      <c r="N681">
        <v>1</v>
      </c>
      <c r="O681">
        <v>1</v>
      </c>
      <c r="P681" t="s">
        <v>69</v>
      </c>
      <c r="Q681" t="s">
        <v>41</v>
      </c>
      <c r="R681">
        <v>0</v>
      </c>
      <c r="S681">
        <v>5</v>
      </c>
      <c r="T681" t="s">
        <v>69</v>
      </c>
      <c r="U681" t="s">
        <v>95</v>
      </c>
      <c r="V681" t="s">
        <v>76</v>
      </c>
      <c r="W681" s="1">
        <v>45553</v>
      </c>
      <c r="X681" t="b">
        <v>0</v>
      </c>
      <c r="Y681" t="b">
        <v>1</v>
      </c>
      <c r="Z681" t="s">
        <v>72</v>
      </c>
      <c r="AA681" t="s">
        <v>45</v>
      </c>
      <c r="AB681">
        <v>14</v>
      </c>
    </row>
    <row r="682" spans="1:28">
      <c r="A682" t="s">
        <v>1579</v>
      </c>
      <c r="B682">
        <v>40</v>
      </c>
      <c r="C682" t="s">
        <v>50</v>
      </c>
      <c r="D682" t="s">
        <v>51</v>
      </c>
      <c r="E682" t="s">
        <v>92</v>
      </c>
      <c r="F682" t="s">
        <v>66</v>
      </c>
      <c r="G682" t="s">
        <v>51</v>
      </c>
      <c r="H682" t="s">
        <v>1580</v>
      </c>
      <c r="I682" t="s">
        <v>127</v>
      </c>
      <c r="J682" s="2">
        <v>489.67</v>
      </c>
      <c r="K682">
        <v>5</v>
      </c>
      <c r="L682" t="s">
        <v>39</v>
      </c>
      <c r="M682">
        <v>5</v>
      </c>
      <c r="N682">
        <v>5</v>
      </c>
      <c r="O682">
        <v>1</v>
      </c>
      <c r="P682" t="s">
        <v>40</v>
      </c>
      <c r="Q682" t="s">
        <v>101</v>
      </c>
      <c r="R682">
        <v>1</v>
      </c>
      <c r="S682">
        <v>5</v>
      </c>
      <c r="T682" t="s">
        <v>56</v>
      </c>
      <c r="U682" t="s">
        <v>42</v>
      </c>
      <c r="V682" t="s">
        <v>71</v>
      </c>
      <c r="W682" s="1">
        <v>45647</v>
      </c>
      <c r="X682" t="b">
        <v>0</v>
      </c>
      <c r="Y682" t="b">
        <v>0</v>
      </c>
      <c r="Z682" t="s">
        <v>59</v>
      </c>
      <c r="AA682" t="s">
        <v>60</v>
      </c>
      <c r="AB682">
        <v>11</v>
      </c>
    </row>
    <row r="683" spans="1:28">
      <c r="A683" t="s">
        <v>1581</v>
      </c>
      <c r="B683">
        <v>26</v>
      </c>
      <c r="C683" t="s">
        <v>50</v>
      </c>
      <c r="D683" t="s">
        <v>51</v>
      </c>
      <c r="E683" t="s">
        <v>92</v>
      </c>
      <c r="F683" t="s">
        <v>66</v>
      </c>
      <c r="G683" t="s">
        <v>34</v>
      </c>
      <c r="H683" t="s">
        <v>1582</v>
      </c>
      <c r="I683" t="s">
        <v>112</v>
      </c>
      <c r="J683" s="2">
        <v>482.5</v>
      </c>
      <c r="K683">
        <v>11</v>
      </c>
      <c r="L683" t="s">
        <v>39</v>
      </c>
      <c r="M683">
        <v>1</v>
      </c>
      <c r="N683">
        <v>1</v>
      </c>
      <c r="O683">
        <v>1</v>
      </c>
      <c r="P683" t="s">
        <v>40</v>
      </c>
      <c r="Q683" t="s">
        <v>101</v>
      </c>
      <c r="R683">
        <v>2</v>
      </c>
      <c r="S683">
        <v>1</v>
      </c>
      <c r="T683" t="s">
        <v>40</v>
      </c>
      <c r="U683" t="s">
        <v>70</v>
      </c>
      <c r="V683" t="s">
        <v>102</v>
      </c>
      <c r="W683" s="1">
        <v>45563</v>
      </c>
      <c r="X683" t="b">
        <v>1</v>
      </c>
      <c r="Y683" t="b">
        <v>1</v>
      </c>
      <c r="Z683" t="s">
        <v>44</v>
      </c>
      <c r="AA683" t="s">
        <v>45</v>
      </c>
      <c r="AB683">
        <v>13</v>
      </c>
    </row>
    <row r="684" spans="1:28">
      <c r="A684" t="s">
        <v>1583</v>
      </c>
      <c r="B684">
        <v>32</v>
      </c>
      <c r="C684" t="s">
        <v>33</v>
      </c>
      <c r="D684" t="s">
        <v>34</v>
      </c>
      <c r="E684" t="s">
        <v>35</v>
      </c>
      <c r="F684" t="s">
        <v>66</v>
      </c>
      <c r="G684" t="s">
        <v>34</v>
      </c>
      <c r="H684" t="s">
        <v>1584</v>
      </c>
      <c r="I684" t="s">
        <v>306</v>
      </c>
      <c r="J684" s="2">
        <v>433.14</v>
      </c>
      <c r="K684">
        <v>10</v>
      </c>
      <c r="L684" t="s">
        <v>55</v>
      </c>
      <c r="M684">
        <v>3</v>
      </c>
      <c r="N684">
        <v>1</v>
      </c>
      <c r="O684">
        <v>2</v>
      </c>
      <c r="P684" t="s">
        <v>56</v>
      </c>
      <c r="Q684" t="s">
        <v>57</v>
      </c>
      <c r="R684">
        <v>2</v>
      </c>
      <c r="S684">
        <v>3</v>
      </c>
      <c r="T684" t="s">
        <v>51</v>
      </c>
      <c r="U684" t="s">
        <v>42</v>
      </c>
      <c r="V684" t="s">
        <v>71</v>
      </c>
      <c r="W684" s="1">
        <v>45482</v>
      </c>
      <c r="X684" t="b">
        <v>0</v>
      </c>
      <c r="Y684" t="b">
        <v>0</v>
      </c>
      <c r="Z684" t="s">
        <v>72</v>
      </c>
      <c r="AA684" t="s">
        <v>45</v>
      </c>
      <c r="AB684">
        <v>5</v>
      </c>
    </row>
    <row r="685" spans="1:28">
      <c r="A685" t="s">
        <v>1585</v>
      </c>
      <c r="B685">
        <v>47</v>
      </c>
      <c r="C685" t="s">
        <v>33</v>
      </c>
      <c r="D685" t="s">
        <v>34</v>
      </c>
      <c r="E685" t="s">
        <v>82</v>
      </c>
      <c r="F685" t="s">
        <v>52</v>
      </c>
      <c r="G685" t="s">
        <v>51</v>
      </c>
      <c r="H685" t="s">
        <v>1586</v>
      </c>
      <c r="I685" t="s">
        <v>306</v>
      </c>
      <c r="J685" s="2">
        <v>375.7</v>
      </c>
      <c r="K685">
        <v>6</v>
      </c>
      <c r="L685" t="s">
        <v>94</v>
      </c>
      <c r="M685">
        <v>3</v>
      </c>
      <c r="N685">
        <v>1</v>
      </c>
      <c r="O685">
        <v>2</v>
      </c>
      <c r="P685" t="s">
        <v>69</v>
      </c>
      <c r="Q685" t="s">
        <v>101</v>
      </c>
      <c r="R685">
        <v>2</v>
      </c>
      <c r="S685">
        <v>10</v>
      </c>
      <c r="T685" t="s">
        <v>56</v>
      </c>
      <c r="U685" t="s">
        <v>42</v>
      </c>
      <c r="V685" t="s">
        <v>76</v>
      </c>
      <c r="W685" s="1">
        <v>45562</v>
      </c>
      <c r="X685" t="b">
        <v>1</v>
      </c>
      <c r="Y685" t="b">
        <v>0</v>
      </c>
      <c r="Z685" t="s">
        <v>59</v>
      </c>
      <c r="AA685" t="s">
        <v>45</v>
      </c>
      <c r="AB685">
        <v>10</v>
      </c>
    </row>
    <row r="686" spans="1:28">
      <c r="A686" t="s">
        <v>1587</v>
      </c>
      <c r="B686">
        <v>21</v>
      </c>
      <c r="C686" t="s">
        <v>50</v>
      </c>
      <c r="D686" t="s">
        <v>34</v>
      </c>
      <c r="E686" t="s">
        <v>65</v>
      </c>
      <c r="F686" t="s">
        <v>66</v>
      </c>
      <c r="G686" t="s">
        <v>34</v>
      </c>
      <c r="H686" t="s">
        <v>2363</v>
      </c>
      <c r="I686" t="s">
        <v>242</v>
      </c>
      <c r="J686" s="2">
        <v>381.3</v>
      </c>
      <c r="K686">
        <v>12</v>
      </c>
      <c r="L686" t="s">
        <v>94</v>
      </c>
      <c r="M686">
        <v>2</v>
      </c>
      <c r="N686">
        <v>1</v>
      </c>
      <c r="O686">
        <v>1</v>
      </c>
      <c r="P686" t="s">
        <v>51</v>
      </c>
      <c r="Q686" t="s">
        <v>101</v>
      </c>
      <c r="R686">
        <v>0</v>
      </c>
      <c r="S686">
        <v>4</v>
      </c>
      <c r="T686" t="s">
        <v>69</v>
      </c>
      <c r="U686" t="s">
        <v>95</v>
      </c>
      <c r="V686" t="s">
        <v>43</v>
      </c>
      <c r="W686" s="1">
        <v>45300</v>
      </c>
      <c r="X686" t="b">
        <v>0</v>
      </c>
      <c r="Y686" t="b">
        <v>0</v>
      </c>
      <c r="Z686" t="s">
        <v>89</v>
      </c>
      <c r="AA686" t="s">
        <v>77</v>
      </c>
      <c r="AB686">
        <v>7</v>
      </c>
    </row>
    <row r="687" spans="1:28">
      <c r="A687" t="s">
        <v>1589</v>
      </c>
      <c r="B687">
        <v>34</v>
      </c>
      <c r="C687" t="s">
        <v>50</v>
      </c>
      <c r="D687" t="s">
        <v>51</v>
      </c>
      <c r="E687" t="s">
        <v>82</v>
      </c>
      <c r="F687" t="s">
        <v>52</v>
      </c>
      <c r="G687" t="s">
        <v>51</v>
      </c>
      <c r="H687" t="s">
        <v>1590</v>
      </c>
      <c r="I687" t="s">
        <v>147</v>
      </c>
      <c r="J687" s="2">
        <v>210.21</v>
      </c>
      <c r="K687">
        <v>4</v>
      </c>
      <c r="L687" t="s">
        <v>39</v>
      </c>
      <c r="M687">
        <v>4</v>
      </c>
      <c r="N687">
        <v>1</v>
      </c>
      <c r="O687">
        <v>2</v>
      </c>
      <c r="P687" t="s">
        <v>51</v>
      </c>
      <c r="Q687" t="s">
        <v>101</v>
      </c>
      <c r="R687">
        <v>0</v>
      </c>
      <c r="S687">
        <v>10</v>
      </c>
      <c r="T687" t="s">
        <v>51</v>
      </c>
      <c r="U687" t="s">
        <v>95</v>
      </c>
      <c r="V687" t="s">
        <v>58</v>
      </c>
      <c r="W687" s="1">
        <v>45478</v>
      </c>
      <c r="X687" t="b">
        <v>0</v>
      </c>
      <c r="Y687" t="b">
        <v>1</v>
      </c>
      <c r="Z687" t="s">
        <v>44</v>
      </c>
      <c r="AA687" t="s">
        <v>45</v>
      </c>
      <c r="AB687">
        <v>14</v>
      </c>
    </row>
    <row r="688" spans="1:28">
      <c r="A688" t="s">
        <v>1591</v>
      </c>
      <c r="B688">
        <v>29</v>
      </c>
      <c r="C688" t="s">
        <v>50</v>
      </c>
      <c r="D688" t="s">
        <v>34</v>
      </c>
      <c r="E688" t="s">
        <v>82</v>
      </c>
      <c r="F688" t="s">
        <v>66</v>
      </c>
      <c r="G688" t="s">
        <v>51</v>
      </c>
      <c r="H688" t="s">
        <v>1592</v>
      </c>
      <c r="I688" t="s">
        <v>180</v>
      </c>
      <c r="J688" s="2">
        <v>408.81</v>
      </c>
      <c r="K688">
        <v>8</v>
      </c>
      <c r="L688" t="s">
        <v>39</v>
      </c>
      <c r="M688">
        <v>5</v>
      </c>
      <c r="N688">
        <v>4</v>
      </c>
      <c r="O688">
        <v>2</v>
      </c>
      <c r="P688" t="s">
        <v>69</v>
      </c>
      <c r="Q688" t="s">
        <v>101</v>
      </c>
      <c r="R688">
        <v>1</v>
      </c>
      <c r="S688">
        <v>3</v>
      </c>
      <c r="T688" t="s">
        <v>56</v>
      </c>
      <c r="U688" t="s">
        <v>95</v>
      </c>
      <c r="V688" t="s">
        <v>71</v>
      </c>
      <c r="W688" s="1">
        <v>45489</v>
      </c>
      <c r="X688" t="b">
        <v>0</v>
      </c>
      <c r="Y688" t="b">
        <v>1</v>
      </c>
      <c r="Z688" t="s">
        <v>59</v>
      </c>
      <c r="AA688" t="s">
        <v>77</v>
      </c>
      <c r="AB688">
        <v>12</v>
      </c>
    </row>
    <row r="689" spans="1:28">
      <c r="A689" t="s">
        <v>1593</v>
      </c>
      <c r="B689">
        <v>20</v>
      </c>
      <c r="C689" t="s">
        <v>33</v>
      </c>
      <c r="D689" t="s">
        <v>34</v>
      </c>
      <c r="E689" t="s">
        <v>92</v>
      </c>
      <c r="F689" t="s">
        <v>36</v>
      </c>
      <c r="G689" t="s">
        <v>51</v>
      </c>
      <c r="H689" t="s">
        <v>1594</v>
      </c>
      <c r="I689" t="s">
        <v>306</v>
      </c>
      <c r="J689" s="2">
        <v>118.65</v>
      </c>
      <c r="K689">
        <v>10</v>
      </c>
      <c r="L689" t="s">
        <v>39</v>
      </c>
      <c r="M689">
        <v>1</v>
      </c>
      <c r="N689">
        <v>3</v>
      </c>
      <c r="O689">
        <v>0</v>
      </c>
      <c r="P689" t="s">
        <v>69</v>
      </c>
      <c r="Q689" t="s">
        <v>101</v>
      </c>
      <c r="R689">
        <v>0</v>
      </c>
      <c r="S689">
        <v>2</v>
      </c>
      <c r="T689" t="s">
        <v>69</v>
      </c>
      <c r="U689" t="s">
        <v>70</v>
      </c>
      <c r="V689" t="s">
        <v>43</v>
      </c>
      <c r="W689" s="1">
        <v>45300</v>
      </c>
      <c r="X689" t="b">
        <v>1</v>
      </c>
      <c r="Y689" t="b">
        <v>1</v>
      </c>
      <c r="Z689" t="s">
        <v>72</v>
      </c>
      <c r="AA689" t="s">
        <v>60</v>
      </c>
      <c r="AB689">
        <v>13</v>
      </c>
    </row>
    <row r="690" spans="1:28">
      <c r="A690" t="s">
        <v>1595</v>
      </c>
      <c r="B690">
        <v>50</v>
      </c>
      <c r="C690" t="s">
        <v>50</v>
      </c>
      <c r="D690" t="s">
        <v>51</v>
      </c>
      <c r="E690" t="s">
        <v>92</v>
      </c>
      <c r="F690" t="s">
        <v>36</v>
      </c>
      <c r="G690" t="s">
        <v>34</v>
      </c>
      <c r="H690" t="s">
        <v>1596</v>
      </c>
      <c r="I690" t="s">
        <v>150</v>
      </c>
      <c r="J690" s="2">
        <v>166.45</v>
      </c>
      <c r="K690">
        <v>7</v>
      </c>
      <c r="L690" t="s">
        <v>39</v>
      </c>
      <c r="M690">
        <v>5</v>
      </c>
      <c r="N690">
        <v>2</v>
      </c>
      <c r="O690">
        <v>2</v>
      </c>
      <c r="P690" t="s">
        <v>69</v>
      </c>
      <c r="Q690" t="s">
        <v>101</v>
      </c>
      <c r="R690">
        <v>2</v>
      </c>
      <c r="S690">
        <v>1</v>
      </c>
      <c r="T690" t="s">
        <v>51</v>
      </c>
      <c r="U690" t="s">
        <v>70</v>
      </c>
      <c r="V690" t="s">
        <v>102</v>
      </c>
      <c r="W690" s="1">
        <v>45517</v>
      </c>
      <c r="X690" t="b">
        <v>1</v>
      </c>
      <c r="Y690" t="b">
        <v>0</v>
      </c>
      <c r="Z690" t="s">
        <v>89</v>
      </c>
      <c r="AA690" t="s">
        <v>77</v>
      </c>
      <c r="AB690">
        <v>12</v>
      </c>
    </row>
    <row r="691" spans="1:28">
      <c r="A691" t="s">
        <v>1598</v>
      </c>
      <c r="B691">
        <v>29</v>
      </c>
      <c r="C691" t="s">
        <v>33</v>
      </c>
      <c r="D691" t="s">
        <v>34</v>
      </c>
      <c r="E691" t="s">
        <v>92</v>
      </c>
      <c r="F691" t="s">
        <v>66</v>
      </c>
      <c r="G691" t="s">
        <v>51</v>
      </c>
      <c r="H691" t="s">
        <v>1599</v>
      </c>
      <c r="I691" t="s">
        <v>242</v>
      </c>
      <c r="J691" s="2">
        <v>385.32</v>
      </c>
      <c r="K691">
        <v>10</v>
      </c>
      <c r="L691" t="s">
        <v>94</v>
      </c>
      <c r="M691">
        <v>1</v>
      </c>
      <c r="N691">
        <v>1</v>
      </c>
      <c r="O691">
        <v>1</v>
      </c>
      <c r="P691" t="s">
        <v>69</v>
      </c>
      <c r="Q691" t="s">
        <v>101</v>
      </c>
      <c r="R691">
        <v>0</v>
      </c>
      <c r="S691">
        <v>1</v>
      </c>
      <c r="T691" t="s">
        <v>56</v>
      </c>
      <c r="U691" t="s">
        <v>70</v>
      </c>
      <c r="V691" t="s">
        <v>58</v>
      </c>
      <c r="W691" s="1">
        <v>45540</v>
      </c>
      <c r="X691" t="b">
        <v>1</v>
      </c>
      <c r="Y691" t="b">
        <v>1</v>
      </c>
      <c r="Z691" t="s">
        <v>72</v>
      </c>
      <c r="AA691" t="s">
        <v>60</v>
      </c>
      <c r="AB691">
        <v>9</v>
      </c>
    </row>
    <row r="692" spans="1:28">
      <c r="A692" t="s">
        <v>1600</v>
      </c>
      <c r="B692">
        <v>25</v>
      </c>
      <c r="C692" t="s">
        <v>238</v>
      </c>
      <c r="D692" t="s">
        <v>34</v>
      </c>
      <c r="E692" t="s">
        <v>35</v>
      </c>
      <c r="F692" t="s">
        <v>36</v>
      </c>
      <c r="G692" t="s">
        <v>51</v>
      </c>
      <c r="H692" t="s">
        <v>1601</v>
      </c>
      <c r="I692" t="s">
        <v>112</v>
      </c>
      <c r="J692" s="2">
        <v>293.99</v>
      </c>
      <c r="K692">
        <v>10</v>
      </c>
      <c r="L692" t="s">
        <v>39</v>
      </c>
      <c r="M692">
        <v>3</v>
      </c>
      <c r="N692">
        <v>4</v>
      </c>
      <c r="O692">
        <v>0</v>
      </c>
      <c r="P692" t="s">
        <v>40</v>
      </c>
      <c r="Q692" t="s">
        <v>41</v>
      </c>
      <c r="R692">
        <v>2</v>
      </c>
      <c r="S692">
        <v>7</v>
      </c>
      <c r="T692" t="s">
        <v>40</v>
      </c>
      <c r="U692" t="s">
        <v>42</v>
      </c>
      <c r="V692" t="s">
        <v>43</v>
      </c>
      <c r="W692" s="1">
        <v>45564</v>
      </c>
      <c r="X692" t="b">
        <v>0</v>
      </c>
      <c r="Y692" t="b">
        <v>1</v>
      </c>
      <c r="Z692" t="s">
        <v>59</v>
      </c>
      <c r="AA692" t="s">
        <v>45</v>
      </c>
      <c r="AB692">
        <v>5</v>
      </c>
    </row>
    <row r="693" spans="1:28">
      <c r="A693" t="s">
        <v>1602</v>
      </c>
      <c r="B693">
        <v>37</v>
      </c>
      <c r="C693" t="s">
        <v>50</v>
      </c>
      <c r="D693" t="s">
        <v>34</v>
      </c>
      <c r="E693" t="s">
        <v>82</v>
      </c>
      <c r="F693" t="s">
        <v>52</v>
      </c>
      <c r="G693" t="s">
        <v>34</v>
      </c>
      <c r="H693" t="s">
        <v>1603</v>
      </c>
      <c r="I693" t="s">
        <v>156</v>
      </c>
      <c r="J693" s="2">
        <v>161.41</v>
      </c>
      <c r="K693">
        <v>9</v>
      </c>
      <c r="L693" t="s">
        <v>39</v>
      </c>
      <c r="M693">
        <v>1</v>
      </c>
      <c r="N693">
        <v>4</v>
      </c>
      <c r="O693">
        <v>0</v>
      </c>
      <c r="P693" t="s">
        <v>69</v>
      </c>
      <c r="Q693" t="s">
        <v>101</v>
      </c>
      <c r="R693">
        <v>1</v>
      </c>
      <c r="S693">
        <v>8</v>
      </c>
      <c r="T693" t="s">
        <v>51</v>
      </c>
      <c r="U693" t="s">
        <v>95</v>
      </c>
      <c r="V693" t="s">
        <v>58</v>
      </c>
      <c r="W693" s="1">
        <v>45389</v>
      </c>
      <c r="X693" t="b">
        <v>1</v>
      </c>
      <c r="Y693" t="b">
        <v>0</v>
      </c>
      <c r="Z693" t="s">
        <v>72</v>
      </c>
      <c r="AA693" t="s">
        <v>60</v>
      </c>
      <c r="AB693">
        <v>3</v>
      </c>
    </row>
    <row r="694" spans="1:28">
      <c r="A694" t="s">
        <v>1604</v>
      </c>
      <c r="B694">
        <v>39</v>
      </c>
      <c r="C694" t="s">
        <v>50</v>
      </c>
      <c r="D694" t="s">
        <v>34</v>
      </c>
      <c r="E694" t="s">
        <v>65</v>
      </c>
      <c r="F694" t="s">
        <v>66</v>
      </c>
      <c r="G694" t="s">
        <v>34</v>
      </c>
      <c r="H694" t="s">
        <v>2293</v>
      </c>
      <c r="I694" t="s">
        <v>199</v>
      </c>
      <c r="J694" s="2">
        <v>130.91999999999999</v>
      </c>
      <c r="K694">
        <v>2</v>
      </c>
      <c r="L694" t="s">
        <v>94</v>
      </c>
      <c r="M694">
        <v>1</v>
      </c>
      <c r="N694">
        <v>2</v>
      </c>
      <c r="O694">
        <v>1</v>
      </c>
      <c r="P694" t="s">
        <v>51</v>
      </c>
      <c r="Q694" t="s">
        <v>101</v>
      </c>
      <c r="R694">
        <v>2</v>
      </c>
      <c r="S694">
        <v>2</v>
      </c>
      <c r="T694" t="s">
        <v>40</v>
      </c>
      <c r="U694" t="s">
        <v>42</v>
      </c>
      <c r="V694" t="s">
        <v>102</v>
      </c>
      <c r="W694" s="1">
        <v>45644</v>
      </c>
      <c r="X694" t="b">
        <v>1</v>
      </c>
      <c r="Y694" t="b">
        <v>1</v>
      </c>
      <c r="Z694" t="s">
        <v>72</v>
      </c>
      <c r="AA694" t="s">
        <v>45</v>
      </c>
      <c r="AB694">
        <v>9</v>
      </c>
    </row>
    <row r="695" spans="1:28">
      <c r="A695" t="s">
        <v>1606</v>
      </c>
      <c r="B695">
        <v>48</v>
      </c>
      <c r="C695" t="s">
        <v>33</v>
      </c>
      <c r="D695" t="s">
        <v>34</v>
      </c>
      <c r="E695" t="s">
        <v>92</v>
      </c>
      <c r="F695" t="s">
        <v>36</v>
      </c>
      <c r="G695" t="s">
        <v>51</v>
      </c>
      <c r="H695" t="s">
        <v>1607</v>
      </c>
      <c r="I695" t="s">
        <v>156</v>
      </c>
      <c r="J695" s="2">
        <v>468.6</v>
      </c>
      <c r="K695">
        <v>4</v>
      </c>
      <c r="L695" t="s">
        <v>39</v>
      </c>
      <c r="M695">
        <v>3</v>
      </c>
      <c r="N695">
        <v>4</v>
      </c>
      <c r="O695">
        <v>2</v>
      </c>
      <c r="P695" t="s">
        <v>56</v>
      </c>
      <c r="Q695" t="s">
        <v>41</v>
      </c>
      <c r="R695">
        <v>0</v>
      </c>
      <c r="S695">
        <v>6</v>
      </c>
      <c r="T695" t="s">
        <v>40</v>
      </c>
      <c r="U695" t="s">
        <v>95</v>
      </c>
      <c r="V695" t="s">
        <v>58</v>
      </c>
      <c r="W695" s="1">
        <v>45457</v>
      </c>
      <c r="X695" t="b">
        <v>0</v>
      </c>
      <c r="Y695" t="b">
        <v>1</v>
      </c>
      <c r="Z695" t="s">
        <v>44</v>
      </c>
      <c r="AA695" t="s">
        <v>45</v>
      </c>
      <c r="AB695">
        <v>2</v>
      </c>
    </row>
    <row r="696" spans="1:28">
      <c r="A696" t="s">
        <v>1608</v>
      </c>
      <c r="B696">
        <v>47</v>
      </c>
      <c r="C696" t="s">
        <v>50</v>
      </c>
      <c r="D696" t="s">
        <v>51</v>
      </c>
      <c r="E696" t="s">
        <v>92</v>
      </c>
      <c r="F696" t="s">
        <v>36</v>
      </c>
      <c r="G696" t="s">
        <v>34</v>
      </c>
      <c r="H696" t="s">
        <v>1609</v>
      </c>
      <c r="I696" t="s">
        <v>156</v>
      </c>
      <c r="J696" s="2">
        <v>237.57</v>
      </c>
      <c r="K696">
        <v>5</v>
      </c>
      <c r="L696" t="s">
        <v>94</v>
      </c>
      <c r="M696">
        <v>3</v>
      </c>
      <c r="N696">
        <v>3</v>
      </c>
      <c r="O696">
        <v>0</v>
      </c>
      <c r="P696" t="s">
        <v>56</v>
      </c>
      <c r="Q696" t="s">
        <v>41</v>
      </c>
      <c r="R696">
        <v>0</v>
      </c>
      <c r="S696">
        <v>3</v>
      </c>
      <c r="T696" t="s">
        <v>56</v>
      </c>
      <c r="U696" t="s">
        <v>70</v>
      </c>
      <c r="V696" t="s">
        <v>102</v>
      </c>
      <c r="W696" s="1">
        <v>45407</v>
      </c>
      <c r="X696" t="b">
        <v>1</v>
      </c>
      <c r="Y696" t="b">
        <v>1</v>
      </c>
      <c r="Z696" t="s">
        <v>44</v>
      </c>
      <c r="AA696" t="s">
        <v>45</v>
      </c>
      <c r="AB696">
        <v>11</v>
      </c>
    </row>
    <row r="697" spans="1:28">
      <c r="A697" t="s">
        <v>1610</v>
      </c>
      <c r="B697">
        <v>50</v>
      </c>
      <c r="C697" t="s">
        <v>33</v>
      </c>
      <c r="D697" t="s">
        <v>34</v>
      </c>
      <c r="E697" t="s">
        <v>92</v>
      </c>
      <c r="F697" t="s">
        <v>52</v>
      </c>
      <c r="G697" t="s">
        <v>51</v>
      </c>
      <c r="H697" t="s">
        <v>1611</v>
      </c>
      <c r="I697" t="s">
        <v>84</v>
      </c>
      <c r="J697" s="2">
        <v>395.18</v>
      </c>
      <c r="K697">
        <v>5</v>
      </c>
      <c r="L697" t="s">
        <v>55</v>
      </c>
      <c r="M697">
        <v>2</v>
      </c>
      <c r="N697">
        <v>2</v>
      </c>
      <c r="O697">
        <v>1</v>
      </c>
      <c r="P697" t="s">
        <v>40</v>
      </c>
      <c r="Q697" t="s">
        <v>57</v>
      </c>
      <c r="R697">
        <v>0</v>
      </c>
      <c r="S697">
        <v>5</v>
      </c>
      <c r="T697" t="s">
        <v>51</v>
      </c>
      <c r="U697" t="s">
        <v>70</v>
      </c>
      <c r="V697" t="s">
        <v>76</v>
      </c>
      <c r="W697" s="1">
        <v>45493</v>
      </c>
      <c r="X697" t="b">
        <v>1</v>
      </c>
      <c r="Y697" t="b">
        <v>1</v>
      </c>
      <c r="Z697" t="s">
        <v>44</v>
      </c>
      <c r="AA697" t="s">
        <v>60</v>
      </c>
      <c r="AB697">
        <v>6</v>
      </c>
    </row>
    <row r="698" spans="1:28">
      <c r="A698" t="s">
        <v>1612</v>
      </c>
      <c r="B698">
        <v>42</v>
      </c>
      <c r="C698" t="s">
        <v>264</v>
      </c>
      <c r="D698" t="s">
        <v>51</v>
      </c>
      <c r="E698" t="s">
        <v>35</v>
      </c>
      <c r="F698" t="s">
        <v>52</v>
      </c>
      <c r="G698" t="s">
        <v>34</v>
      </c>
      <c r="H698" t="s">
        <v>1613</v>
      </c>
      <c r="I698" t="s">
        <v>147</v>
      </c>
      <c r="J698" s="2">
        <v>427.94</v>
      </c>
      <c r="K698">
        <v>12</v>
      </c>
      <c r="L698" t="s">
        <v>39</v>
      </c>
      <c r="M698">
        <v>5</v>
      </c>
      <c r="N698">
        <v>4</v>
      </c>
      <c r="O698">
        <v>1.3</v>
      </c>
      <c r="P698" t="s">
        <v>51</v>
      </c>
      <c r="Q698" t="s">
        <v>57</v>
      </c>
      <c r="R698">
        <v>1</v>
      </c>
      <c r="S698">
        <v>2</v>
      </c>
      <c r="T698" t="s">
        <v>40</v>
      </c>
      <c r="U698" t="s">
        <v>70</v>
      </c>
      <c r="V698" t="s">
        <v>76</v>
      </c>
      <c r="W698" s="1">
        <v>45380</v>
      </c>
      <c r="X698" t="b">
        <v>0</v>
      </c>
      <c r="Y698" t="b">
        <v>0</v>
      </c>
      <c r="Z698" t="s">
        <v>72</v>
      </c>
      <c r="AA698" t="s">
        <v>45</v>
      </c>
      <c r="AB698">
        <v>10</v>
      </c>
    </row>
    <row r="699" spans="1:28">
      <c r="A699" t="s">
        <v>1614</v>
      </c>
      <c r="B699">
        <v>28</v>
      </c>
      <c r="C699" t="s">
        <v>33</v>
      </c>
      <c r="D699" t="s">
        <v>51</v>
      </c>
      <c r="E699" t="s">
        <v>65</v>
      </c>
      <c r="F699" t="s">
        <v>36</v>
      </c>
      <c r="G699" t="s">
        <v>51</v>
      </c>
      <c r="H699" t="s">
        <v>2364</v>
      </c>
      <c r="I699" t="s">
        <v>135</v>
      </c>
      <c r="J699" s="2">
        <v>81.23</v>
      </c>
      <c r="K699">
        <v>9</v>
      </c>
      <c r="L699" t="s">
        <v>39</v>
      </c>
      <c r="M699">
        <v>2</v>
      </c>
      <c r="N699">
        <v>5</v>
      </c>
      <c r="O699">
        <v>2</v>
      </c>
      <c r="P699" t="s">
        <v>51</v>
      </c>
      <c r="Q699" t="s">
        <v>57</v>
      </c>
      <c r="R699">
        <v>1</v>
      </c>
      <c r="S699">
        <v>10</v>
      </c>
      <c r="T699" t="s">
        <v>56</v>
      </c>
      <c r="U699" t="s">
        <v>42</v>
      </c>
      <c r="V699" t="s">
        <v>102</v>
      </c>
      <c r="W699" s="1">
        <v>45377</v>
      </c>
      <c r="X699" t="b">
        <v>0</v>
      </c>
      <c r="Y699" t="b">
        <v>1</v>
      </c>
      <c r="Z699" t="s">
        <v>59</v>
      </c>
      <c r="AA699" t="s">
        <v>60</v>
      </c>
      <c r="AB699">
        <v>6</v>
      </c>
    </row>
    <row r="700" spans="1:28">
      <c r="A700" t="s">
        <v>1616</v>
      </c>
      <c r="B700">
        <v>23</v>
      </c>
      <c r="C700" t="s">
        <v>50</v>
      </c>
      <c r="D700" t="s">
        <v>34</v>
      </c>
      <c r="E700" t="s">
        <v>65</v>
      </c>
      <c r="F700" t="s">
        <v>52</v>
      </c>
      <c r="G700" t="s">
        <v>34</v>
      </c>
      <c r="H700" t="s">
        <v>1617</v>
      </c>
      <c r="I700" t="s">
        <v>135</v>
      </c>
      <c r="J700" s="2">
        <v>257.43</v>
      </c>
      <c r="K700">
        <v>5</v>
      </c>
      <c r="L700" t="s">
        <v>94</v>
      </c>
      <c r="M700">
        <v>4</v>
      </c>
      <c r="N700">
        <v>2</v>
      </c>
      <c r="O700">
        <v>0</v>
      </c>
      <c r="P700" t="s">
        <v>69</v>
      </c>
      <c r="Q700" t="s">
        <v>41</v>
      </c>
      <c r="R700">
        <v>1</v>
      </c>
      <c r="S700">
        <v>7</v>
      </c>
      <c r="T700" t="s">
        <v>69</v>
      </c>
      <c r="U700" t="s">
        <v>95</v>
      </c>
      <c r="V700" t="s">
        <v>76</v>
      </c>
      <c r="W700" s="1">
        <v>45396</v>
      </c>
      <c r="X700" t="b">
        <v>1</v>
      </c>
      <c r="Y700" t="b">
        <v>1</v>
      </c>
      <c r="Z700" t="s">
        <v>44</v>
      </c>
      <c r="AA700" t="s">
        <v>60</v>
      </c>
      <c r="AB700">
        <v>13</v>
      </c>
    </row>
    <row r="701" spans="1:28">
      <c r="A701" t="s">
        <v>1618</v>
      </c>
      <c r="B701">
        <v>42</v>
      </c>
      <c r="C701" t="s">
        <v>50</v>
      </c>
      <c r="D701" t="s">
        <v>51</v>
      </c>
      <c r="E701" t="s">
        <v>92</v>
      </c>
      <c r="F701" t="s">
        <v>52</v>
      </c>
      <c r="G701" t="s">
        <v>51</v>
      </c>
      <c r="H701" t="s">
        <v>2365</v>
      </c>
      <c r="I701" t="s">
        <v>170</v>
      </c>
      <c r="J701" s="2">
        <v>305.73</v>
      </c>
      <c r="K701">
        <v>7</v>
      </c>
      <c r="L701" t="s">
        <v>39</v>
      </c>
      <c r="M701">
        <v>2</v>
      </c>
      <c r="N701">
        <v>5</v>
      </c>
      <c r="O701">
        <v>1</v>
      </c>
      <c r="P701" t="s">
        <v>56</v>
      </c>
      <c r="Q701" t="s">
        <v>57</v>
      </c>
      <c r="R701">
        <v>2</v>
      </c>
      <c r="S701">
        <v>8</v>
      </c>
      <c r="T701" t="s">
        <v>56</v>
      </c>
      <c r="U701" t="s">
        <v>42</v>
      </c>
      <c r="V701" t="s">
        <v>102</v>
      </c>
      <c r="W701" s="1">
        <v>45640</v>
      </c>
      <c r="X701" t="b">
        <v>1</v>
      </c>
      <c r="Y701" t="b">
        <v>0</v>
      </c>
      <c r="Z701" t="s">
        <v>89</v>
      </c>
      <c r="AA701" t="s">
        <v>77</v>
      </c>
      <c r="AB701">
        <v>14</v>
      </c>
    </row>
    <row r="702" spans="1:28">
      <c r="A702" t="s">
        <v>1620</v>
      </c>
      <c r="B702">
        <v>32</v>
      </c>
      <c r="C702" t="s">
        <v>50</v>
      </c>
      <c r="D702" t="s">
        <v>51</v>
      </c>
      <c r="E702" t="s">
        <v>65</v>
      </c>
      <c r="F702" t="s">
        <v>36</v>
      </c>
      <c r="G702" t="s">
        <v>51</v>
      </c>
      <c r="H702" t="s">
        <v>1621</v>
      </c>
      <c r="I702" t="s">
        <v>156</v>
      </c>
      <c r="J702" s="2">
        <v>249.82</v>
      </c>
      <c r="K702">
        <v>10</v>
      </c>
      <c r="L702" t="s">
        <v>55</v>
      </c>
      <c r="M702">
        <v>5</v>
      </c>
      <c r="N702">
        <v>3</v>
      </c>
      <c r="O702">
        <v>1</v>
      </c>
      <c r="P702" t="s">
        <v>51</v>
      </c>
      <c r="Q702" t="s">
        <v>57</v>
      </c>
      <c r="R702">
        <v>2</v>
      </c>
      <c r="S702">
        <v>6</v>
      </c>
      <c r="T702" t="s">
        <v>56</v>
      </c>
      <c r="U702" t="s">
        <v>42</v>
      </c>
      <c r="V702" t="s">
        <v>58</v>
      </c>
      <c r="W702" s="1">
        <v>45516</v>
      </c>
      <c r="X702" t="b">
        <v>1</v>
      </c>
      <c r="Y702" t="b">
        <v>0</v>
      </c>
      <c r="Z702" t="s">
        <v>59</v>
      </c>
      <c r="AA702" t="s">
        <v>45</v>
      </c>
      <c r="AB702">
        <v>10</v>
      </c>
    </row>
    <row r="703" spans="1:28">
      <c r="A703" t="s">
        <v>1623</v>
      </c>
      <c r="B703">
        <v>33</v>
      </c>
      <c r="C703" t="s">
        <v>50</v>
      </c>
      <c r="D703" t="s">
        <v>34</v>
      </c>
      <c r="E703" t="s">
        <v>92</v>
      </c>
      <c r="F703" t="s">
        <v>36</v>
      </c>
      <c r="G703" t="s">
        <v>51</v>
      </c>
      <c r="H703" t="s">
        <v>1624</v>
      </c>
      <c r="I703" t="s">
        <v>127</v>
      </c>
      <c r="J703" s="2">
        <v>332.79</v>
      </c>
      <c r="K703">
        <v>11</v>
      </c>
      <c r="L703" t="s">
        <v>94</v>
      </c>
      <c r="M703">
        <v>3</v>
      </c>
      <c r="N703">
        <v>5</v>
      </c>
      <c r="O703">
        <v>2</v>
      </c>
      <c r="P703" t="s">
        <v>40</v>
      </c>
      <c r="Q703" t="s">
        <v>57</v>
      </c>
      <c r="R703">
        <v>2</v>
      </c>
      <c r="S703">
        <v>1</v>
      </c>
      <c r="T703" t="s">
        <v>51</v>
      </c>
      <c r="U703" t="s">
        <v>42</v>
      </c>
      <c r="V703" t="s">
        <v>58</v>
      </c>
      <c r="W703" s="1">
        <v>45533</v>
      </c>
      <c r="X703" t="b">
        <v>0</v>
      </c>
      <c r="Y703" t="b">
        <v>0</v>
      </c>
      <c r="Z703" t="s">
        <v>59</v>
      </c>
      <c r="AA703" t="s">
        <v>45</v>
      </c>
      <c r="AB703">
        <v>4</v>
      </c>
    </row>
    <row r="704" spans="1:28">
      <c r="A704" t="s">
        <v>1625</v>
      </c>
      <c r="B704">
        <v>32</v>
      </c>
      <c r="C704" t="s">
        <v>50</v>
      </c>
      <c r="D704" t="s">
        <v>51</v>
      </c>
      <c r="E704" t="s">
        <v>65</v>
      </c>
      <c r="F704" t="s">
        <v>36</v>
      </c>
      <c r="G704" t="s">
        <v>34</v>
      </c>
      <c r="H704" t="s">
        <v>1626</v>
      </c>
      <c r="I704" t="s">
        <v>170</v>
      </c>
      <c r="J704" s="2">
        <v>78.900000000000006</v>
      </c>
      <c r="K704">
        <v>3</v>
      </c>
      <c r="L704" t="s">
        <v>55</v>
      </c>
      <c r="M704">
        <v>4</v>
      </c>
      <c r="N704">
        <v>1</v>
      </c>
      <c r="O704">
        <v>1</v>
      </c>
      <c r="P704" t="s">
        <v>69</v>
      </c>
      <c r="Q704" t="s">
        <v>57</v>
      </c>
      <c r="R704">
        <v>0</v>
      </c>
      <c r="S704">
        <v>1</v>
      </c>
      <c r="T704" t="s">
        <v>56</v>
      </c>
      <c r="U704" t="s">
        <v>42</v>
      </c>
      <c r="V704" t="s">
        <v>71</v>
      </c>
      <c r="W704" s="1">
        <v>45542</v>
      </c>
      <c r="X704" t="b">
        <v>0</v>
      </c>
      <c r="Y704" t="b">
        <v>1</v>
      </c>
      <c r="Z704" t="s">
        <v>89</v>
      </c>
      <c r="AA704" t="s">
        <v>60</v>
      </c>
      <c r="AB704">
        <v>10</v>
      </c>
    </row>
    <row r="705" spans="1:28">
      <c r="A705" t="s">
        <v>1627</v>
      </c>
      <c r="B705">
        <v>29</v>
      </c>
      <c r="C705" t="s">
        <v>50</v>
      </c>
      <c r="D705" t="s">
        <v>51</v>
      </c>
      <c r="E705" t="s">
        <v>82</v>
      </c>
      <c r="F705" t="s">
        <v>52</v>
      </c>
      <c r="G705" t="s">
        <v>51</v>
      </c>
      <c r="H705" t="s">
        <v>2366</v>
      </c>
      <c r="I705" t="s">
        <v>131</v>
      </c>
      <c r="J705" s="2">
        <v>122.55</v>
      </c>
      <c r="K705">
        <v>9</v>
      </c>
      <c r="L705" t="s">
        <v>39</v>
      </c>
      <c r="M705">
        <v>2</v>
      </c>
      <c r="N705">
        <v>4</v>
      </c>
      <c r="O705">
        <v>0.3</v>
      </c>
      <c r="P705" t="s">
        <v>69</v>
      </c>
      <c r="Q705" t="s">
        <v>57</v>
      </c>
      <c r="R705">
        <v>2</v>
      </c>
      <c r="S705">
        <v>3</v>
      </c>
      <c r="T705" t="s">
        <v>56</v>
      </c>
      <c r="U705" t="s">
        <v>95</v>
      </c>
      <c r="V705" t="s">
        <v>43</v>
      </c>
      <c r="W705" s="1">
        <v>45471</v>
      </c>
      <c r="X705" t="b">
        <v>0</v>
      </c>
      <c r="Y705" t="b">
        <v>0</v>
      </c>
      <c r="Z705" t="s">
        <v>72</v>
      </c>
      <c r="AA705" t="s">
        <v>77</v>
      </c>
      <c r="AB705">
        <v>4</v>
      </c>
    </row>
    <row r="706" spans="1:28">
      <c r="A706" t="s">
        <v>1629</v>
      </c>
      <c r="B706">
        <v>25</v>
      </c>
      <c r="C706" t="s">
        <v>238</v>
      </c>
      <c r="D706" t="s">
        <v>51</v>
      </c>
      <c r="E706" t="s">
        <v>92</v>
      </c>
      <c r="F706" t="s">
        <v>36</v>
      </c>
      <c r="G706" t="s">
        <v>34</v>
      </c>
      <c r="H706" t="s">
        <v>1630</v>
      </c>
      <c r="I706" t="s">
        <v>112</v>
      </c>
      <c r="J706" s="2">
        <v>307.61</v>
      </c>
      <c r="K706">
        <v>6</v>
      </c>
      <c r="L706" t="s">
        <v>39</v>
      </c>
      <c r="M706">
        <v>1</v>
      </c>
      <c r="N706">
        <v>1</v>
      </c>
      <c r="O706">
        <v>0</v>
      </c>
      <c r="P706" t="s">
        <v>69</v>
      </c>
      <c r="Q706" t="s">
        <v>41</v>
      </c>
      <c r="R706">
        <v>0</v>
      </c>
      <c r="S706">
        <v>9</v>
      </c>
      <c r="T706" t="s">
        <v>56</v>
      </c>
      <c r="U706" t="s">
        <v>70</v>
      </c>
      <c r="V706" t="s">
        <v>58</v>
      </c>
      <c r="W706" s="1">
        <v>45547</v>
      </c>
      <c r="X706" t="b">
        <v>1</v>
      </c>
      <c r="Y706" t="b">
        <v>1</v>
      </c>
      <c r="Z706" t="s">
        <v>44</v>
      </c>
      <c r="AA706" t="s">
        <v>45</v>
      </c>
      <c r="AB706">
        <v>10</v>
      </c>
    </row>
    <row r="707" spans="1:28">
      <c r="A707" t="s">
        <v>1631</v>
      </c>
      <c r="B707">
        <v>41</v>
      </c>
      <c r="C707" t="s">
        <v>33</v>
      </c>
      <c r="D707" t="s">
        <v>51</v>
      </c>
      <c r="E707" t="s">
        <v>92</v>
      </c>
      <c r="F707" t="s">
        <v>36</v>
      </c>
      <c r="G707" t="s">
        <v>34</v>
      </c>
      <c r="H707" t="s">
        <v>1632</v>
      </c>
      <c r="I707" t="s">
        <v>150</v>
      </c>
      <c r="J707" s="2">
        <v>152.33000000000001</v>
      </c>
      <c r="K707">
        <v>2</v>
      </c>
      <c r="L707" t="s">
        <v>55</v>
      </c>
      <c r="M707">
        <v>1</v>
      </c>
      <c r="N707">
        <v>5</v>
      </c>
      <c r="O707">
        <v>1</v>
      </c>
      <c r="P707" t="s">
        <v>40</v>
      </c>
      <c r="Q707" t="s">
        <v>57</v>
      </c>
      <c r="R707">
        <v>1</v>
      </c>
      <c r="S707">
        <v>6</v>
      </c>
      <c r="T707" t="s">
        <v>51</v>
      </c>
      <c r="U707" t="s">
        <v>70</v>
      </c>
      <c r="V707" t="s">
        <v>71</v>
      </c>
      <c r="W707" s="1">
        <v>45310</v>
      </c>
      <c r="X707" t="b">
        <v>0</v>
      </c>
      <c r="Y707" t="b">
        <v>1</v>
      </c>
      <c r="Z707" t="s">
        <v>72</v>
      </c>
      <c r="AA707" t="s">
        <v>45</v>
      </c>
      <c r="AB707">
        <v>8</v>
      </c>
    </row>
    <row r="708" spans="1:28">
      <c r="A708" t="s">
        <v>1633</v>
      </c>
      <c r="B708">
        <v>24</v>
      </c>
      <c r="C708" t="s">
        <v>33</v>
      </c>
      <c r="D708" t="s">
        <v>34</v>
      </c>
      <c r="E708" t="s">
        <v>92</v>
      </c>
      <c r="F708" t="s">
        <v>36</v>
      </c>
      <c r="G708" t="s">
        <v>51</v>
      </c>
      <c r="H708" t="s">
        <v>1634</v>
      </c>
      <c r="I708" t="s">
        <v>112</v>
      </c>
      <c r="J708" s="2">
        <v>465.07</v>
      </c>
      <c r="K708">
        <v>8</v>
      </c>
      <c r="L708" t="s">
        <v>94</v>
      </c>
      <c r="M708">
        <v>2</v>
      </c>
      <c r="N708">
        <v>4</v>
      </c>
      <c r="O708">
        <v>0</v>
      </c>
      <c r="P708" t="s">
        <v>56</v>
      </c>
      <c r="Q708" t="s">
        <v>57</v>
      </c>
      <c r="R708">
        <v>1</v>
      </c>
      <c r="S708">
        <v>2</v>
      </c>
      <c r="T708" t="s">
        <v>51</v>
      </c>
      <c r="U708" t="s">
        <v>95</v>
      </c>
      <c r="V708" t="s">
        <v>102</v>
      </c>
      <c r="W708" s="1">
        <v>45353</v>
      </c>
      <c r="X708" t="b">
        <v>0</v>
      </c>
      <c r="Y708" t="b">
        <v>0</v>
      </c>
      <c r="Z708" t="s">
        <v>59</v>
      </c>
      <c r="AA708" t="s">
        <v>45</v>
      </c>
      <c r="AB708">
        <v>8</v>
      </c>
    </row>
    <row r="709" spans="1:28">
      <c r="A709" t="s">
        <v>1635</v>
      </c>
      <c r="B709">
        <v>32</v>
      </c>
      <c r="C709" t="s">
        <v>33</v>
      </c>
      <c r="D709" t="s">
        <v>51</v>
      </c>
      <c r="E709" t="s">
        <v>65</v>
      </c>
      <c r="F709" t="s">
        <v>66</v>
      </c>
      <c r="G709" t="s">
        <v>34</v>
      </c>
      <c r="H709" t="s">
        <v>1636</v>
      </c>
      <c r="I709" t="s">
        <v>108</v>
      </c>
      <c r="J709" s="2">
        <v>498.23</v>
      </c>
      <c r="K709">
        <v>10</v>
      </c>
      <c r="L709" t="s">
        <v>94</v>
      </c>
      <c r="M709">
        <v>5</v>
      </c>
      <c r="N709">
        <v>2</v>
      </c>
      <c r="O709">
        <v>0</v>
      </c>
      <c r="P709" t="s">
        <v>40</v>
      </c>
      <c r="Q709" t="s">
        <v>101</v>
      </c>
      <c r="R709">
        <v>0</v>
      </c>
      <c r="S709">
        <v>7</v>
      </c>
      <c r="T709" t="s">
        <v>56</v>
      </c>
      <c r="U709" t="s">
        <v>70</v>
      </c>
      <c r="V709" t="s">
        <v>76</v>
      </c>
      <c r="W709" s="1">
        <v>45299</v>
      </c>
      <c r="X709" t="b">
        <v>1</v>
      </c>
      <c r="Y709" t="b">
        <v>0</v>
      </c>
      <c r="Z709" t="s">
        <v>89</v>
      </c>
      <c r="AA709" t="s">
        <v>45</v>
      </c>
      <c r="AB709">
        <v>9</v>
      </c>
    </row>
    <row r="710" spans="1:28">
      <c r="A710" t="s">
        <v>1638</v>
      </c>
      <c r="B710">
        <v>41</v>
      </c>
      <c r="C710" t="s">
        <v>33</v>
      </c>
      <c r="D710" t="s">
        <v>34</v>
      </c>
      <c r="E710" t="s">
        <v>82</v>
      </c>
      <c r="F710" t="s">
        <v>52</v>
      </c>
      <c r="G710" t="s">
        <v>34</v>
      </c>
      <c r="H710" t="s">
        <v>2367</v>
      </c>
      <c r="I710" t="s">
        <v>123</v>
      </c>
      <c r="J710" s="2">
        <v>491.18</v>
      </c>
      <c r="K710">
        <v>3</v>
      </c>
      <c r="L710" t="s">
        <v>39</v>
      </c>
      <c r="M710">
        <v>4</v>
      </c>
      <c r="N710">
        <v>4</v>
      </c>
      <c r="O710">
        <v>1</v>
      </c>
      <c r="P710" t="s">
        <v>51</v>
      </c>
      <c r="Q710" t="s">
        <v>101</v>
      </c>
      <c r="R710">
        <v>0</v>
      </c>
      <c r="S710">
        <v>6</v>
      </c>
      <c r="T710" t="s">
        <v>40</v>
      </c>
      <c r="U710" t="s">
        <v>70</v>
      </c>
      <c r="V710" t="s">
        <v>102</v>
      </c>
      <c r="W710" s="1">
        <v>45531</v>
      </c>
      <c r="X710" t="b">
        <v>0</v>
      </c>
      <c r="Y710" t="b">
        <v>0</v>
      </c>
      <c r="Z710" t="s">
        <v>72</v>
      </c>
      <c r="AA710" t="s">
        <v>45</v>
      </c>
      <c r="AB710">
        <v>14</v>
      </c>
    </row>
    <row r="711" spans="1:28">
      <c r="A711" t="s">
        <v>1641</v>
      </c>
      <c r="B711">
        <v>18</v>
      </c>
      <c r="C711" t="s">
        <v>50</v>
      </c>
      <c r="D711" t="s">
        <v>34</v>
      </c>
      <c r="E711" t="s">
        <v>92</v>
      </c>
      <c r="F711" t="s">
        <v>36</v>
      </c>
      <c r="G711" t="s">
        <v>34</v>
      </c>
      <c r="H711" t="s">
        <v>1642</v>
      </c>
      <c r="I711" t="s">
        <v>131</v>
      </c>
      <c r="J711" s="2">
        <v>149.41999999999999</v>
      </c>
      <c r="K711">
        <v>3</v>
      </c>
      <c r="L711" t="s">
        <v>39</v>
      </c>
      <c r="M711">
        <v>1</v>
      </c>
      <c r="N711">
        <v>1</v>
      </c>
      <c r="O711">
        <v>2</v>
      </c>
      <c r="P711" t="s">
        <v>56</v>
      </c>
      <c r="Q711" t="s">
        <v>101</v>
      </c>
      <c r="R711">
        <v>0</v>
      </c>
      <c r="S711">
        <v>6</v>
      </c>
      <c r="T711" t="s">
        <v>40</v>
      </c>
      <c r="U711" t="s">
        <v>95</v>
      </c>
      <c r="V711" t="s">
        <v>102</v>
      </c>
      <c r="W711" s="1">
        <v>45294</v>
      </c>
      <c r="X711" t="b">
        <v>1</v>
      </c>
      <c r="Y711" t="b">
        <v>0</v>
      </c>
      <c r="Z711" t="s">
        <v>59</v>
      </c>
      <c r="AA711" t="s">
        <v>77</v>
      </c>
      <c r="AB711">
        <v>5</v>
      </c>
    </row>
    <row r="712" spans="1:28">
      <c r="A712" t="s">
        <v>1643</v>
      </c>
      <c r="B712">
        <v>25</v>
      </c>
      <c r="C712" t="s">
        <v>50</v>
      </c>
      <c r="D712" t="s">
        <v>34</v>
      </c>
      <c r="E712" t="s">
        <v>65</v>
      </c>
      <c r="F712" t="s">
        <v>66</v>
      </c>
      <c r="G712" t="s">
        <v>34</v>
      </c>
      <c r="H712" t="s">
        <v>2368</v>
      </c>
      <c r="I712" t="s">
        <v>84</v>
      </c>
      <c r="J712" s="2">
        <v>82.13</v>
      </c>
      <c r="K712">
        <v>9</v>
      </c>
      <c r="L712" t="s">
        <v>94</v>
      </c>
      <c r="M712">
        <v>5</v>
      </c>
      <c r="N712">
        <v>1</v>
      </c>
      <c r="O712">
        <v>0</v>
      </c>
      <c r="P712" t="s">
        <v>56</v>
      </c>
      <c r="Q712" t="s">
        <v>41</v>
      </c>
      <c r="R712">
        <v>2</v>
      </c>
      <c r="S712">
        <v>6</v>
      </c>
      <c r="T712" t="s">
        <v>51</v>
      </c>
      <c r="U712" t="s">
        <v>42</v>
      </c>
      <c r="V712" t="s">
        <v>71</v>
      </c>
      <c r="W712" s="1">
        <v>45391</v>
      </c>
      <c r="X712" t="b">
        <v>1</v>
      </c>
      <c r="Y712" t="b">
        <v>1</v>
      </c>
      <c r="Z712" t="s">
        <v>44</v>
      </c>
      <c r="AA712" t="s">
        <v>77</v>
      </c>
      <c r="AB712">
        <v>6</v>
      </c>
    </row>
    <row r="713" spans="1:28">
      <c r="A713" t="s">
        <v>1645</v>
      </c>
      <c r="B713">
        <v>49</v>
      </c>
      <c r="C713" t="s">
        <v>50</v>
      </c>
      <c r="D713" t="s">
        <v>34</v>
      </c>
      <c r="E713" t="s">
        <v>92</v>
      </c>
      <c r="F713" t="s">
        <v>36</v>
      </c>
      <c r="G713" t="s">
        <v>51</v>
      </c>
      <c r="H713" t="s">
        <v>1646</v>
      </c>
      <c r="I713" t="s">
        <v>108</v>
      </c>
      <c r="J713" s="2">
        <v>425.18</v>
      </c>
      <c r="K713">
        <v>4</v>
      </c>
      <c r="L713" t="s">
        <v>39</v>
      </c>
      <c r="M713">
        <v>2</v>
      </c>
      <c r="N713">
        <v>1</v>
      </c>
      <c r="O713">
        <v>0</v>
      </c>
      <c r="P713" t="s">
        <v>56</v>
      </c>
      <c r="Q713" t="s">
        <v>101</v>
      </c>
      <c r="R713">
        <v>1</v>
      </c>
      <c r="S713">
        <v>8</v>
      </c>
      <c r="T713" t="s">
        <v>56</v>
      </c>
      <c r="U713" t="s">
        <v>42</v>
      </c>
      <c r="V713" t="s">
        <v>58</v>
      </c>
      <c r="W713" s="1">
        <v>45370</v>
      </c>
      <c r="X713" t="b">
        <v>1</v>
      </c>
      <c r="Y713" t="b">
        <v>0</v>
      </c>
      <c r="Z713" t="s">
        <v>59</v>
      </c>
      <c r="AA713" t="s">
        <v>60</v>
      </c>
      <c r="AB713">
        <v>10</v>
      </c>
    </row>
    <row r="714" spans="1:28">
      <c r="A714" t="s">
        <v>1647</v>
      </c>
      <c r="B714">
        <v>39</v>
      </c>
      <c r="C714" t="s">
        <v>50</v>
      </c>
      <c r="D714" t="s">
        <v>51</v>
      </c>
      <c r="E714" t="s">
        <v>35</v>
      </c>
      <c r="F714" t="s">
        <v>66</v>
      </c>
      <c r="G714" t="s">
        <v>34</v>
      </c>
      <c r="H714" t="s">
        <v>2369</v>
      </c>
      <c r="I714" t="s">
        <v>170</v>
      </c>
      <c r="J714" s="2">
        <v>176.12</v>
      </c>
      <c r="K714">
        <v>8</v>
      </c>
      <c r="L714" t="s">
        <v>94</v>
      </c>
      <c r="M714">
        <v>2</v>
      </c>
      <c r="N714">
        <v>3</v>
      </c>
      <c r="O714">
        <v>1.2</v>
      </c>
      <c r="P714" t="s">
        <v>56</v>
      </c>
      <c r="Q714" t="s">
        <v>41</v>
      </c>
      <c r="R714">
        <v>1</v>
      </c>
      <c r="S714">
        <v>10</v>
      </c>
      <c r="T714" t="s">
        <v>69</v>
      </c>
      <c r="U714" t="s">
        <v>95</v>
      </c>
      <c r="V714" t="s">
        <v>43</v>
      </c>
      <c r="W714" s="1">
        <v>45458</v>
      </c>
      <c r="X714" t="b">
        <v>1</v>
      </c>
      <c r="Y714" t="b">
        <v>1</v>
      </c>
      <c r="Z714" t="s">
        <v>72</v>
      </c>
      <c r="AA714" t="s">
        <v>60</v>
      </c>
      <c r="AB714">
        <v>14</v>
      </c>
    </row>
    <row r="715" spans="1:28">
      <c r="A715" t="s">
        <v>1649</v>
      </c>
      <c r="B715">
        <v>47</v>
      </c>
      <c r="C715" t="s">
        <v>33</v>
      </c>
      <c r="D715" t="s">
        <v>51</v>
      </c>
      <c r="E715" t="s">
        <v>65</v>
      </c>
      <c r="F715" t="s">
        <v>52</v>
      </c>
      <c r="G715" t="s">
        <v>34</v>
      </c>
      <c r="H715" t="s">
        <v>1650</v>
      </c>
      <c r="I715" t="s">
        <v>306</v>
      </c>
      <c r="J715" s="2">
        <v>70.3</v>
      </c>
      <c r="K715">
        <v>6</v>
      </c>
      <c r="L715" t="s">
        <v>94</v>
      </c>
      <c r="M715">
        <v>3</v>
      </c>
      <c r="N715">
        <v>5</v>
      </c>
      <c r="O715">
        <v>0</v>
      </c>
      <c r="P715" t="s">
        <v>40</v>
      </c>
      <c r="Q715" t="s">
        <v>101</v>
      </c>
      <c r="R715">
        <v>1</v>
      </c>
      <c r="S715">
        <v>8</v>
      </c>
      <c r="T715" t="s">
        <v>56</v>
      </c>
      <c r="U715" t="s">
        <v>95</v>
      </c>
      <c r="V715" t="s">
        <v>102</v>
      </c>
      <c r="W715" s="1">
        <v>45354</v>
      </c>
      <c r="X715" t="b">
        <v>1</v>
      </c>
      <c r="Y715" t="b">
        <v>1</v>
      </c>
      <c r="Z715" t="s">
        <v>44</v>
      </c>
      <c r="AA715" t="s">
        <v>60</v>
      </c>
      <c r="AB715">
        <v>3</v>
      </c>
    </row>
    <row r="716" spans="1:28">
      <c r="A716" t="s">
        <v>1651</v>
      </c>
      <c r="B716">
        <v>43</v>
      </c>
      <c r="C716" t="s">
        <v>50</v>
      </c>
      <c r="D716" t="s">
        <v>34</v>
      </c>
      <c r="E716" t="s">
        <v>35</v>
      </c>
      <c r="F716" t="s">
        <v>36</v>
      </c>
      <c r="G716" t="s">
        <v>34</v>
      </c>
      <c r="H716" t="s">
        <v>1652</v>
      </c>
      <c r="I716" t="s">
        <v>123</v>
      </c>
      <c r="J716" s="2">
        <v>319.39</v>
      </c>
      <c r="K716">
        <v>7</v>
      </c>
      <c r="L716" t="s">
        <v>39</v>
      </c>
      <c r="M716">
        <v>4</v>
      </c>
      <c r="N716">
        <v>5</v>
      </c>
      <c r="O716">
        <v>0</v>
      </c>
      <c r="P716" t="s">
        <v>40</v>
      </c>
      <c r="Q716" t="s">
        <v>101</v>
      </c>
      <c r="R716">
        <v>1</v>
      </c>
      <c r="S716">
        <v>10</v>
      </c>
      <c r="T716" t="s">
        <v>51</v>
      </c>
      <c r="U716" t="s">
        <v>95</v>
      </c>
      <c r="V716" t="s">
        <v>43</v>
      </c>
      <c r="W716" s="1">
        <v>45613</v>
      </c>
      <c r="X716" t="b">
        <v>0</v>
      </c>
      <c r="Y716" t="b">
        <v>1</v>
      </c>
      <c r="Z716" t="s">
        <v>89</v>
      </c>
      <c r="AA716" t="s">
        <v>60</v>
      </c>
      <c r="AB716">
        <v>3</v>
      </c>
    </row>
    <row r="717" spans="1:28">
      <c r="A717" t="s">
        <v>1653</v>
      </c>
      <c r="B717">
        <v>38</v>
      </c>
      <c r="C717" t="s">
        <v>33</v>
      </c>
      <c r="D717" t="s">
        <v>51</v>
      </c>
      <c r="E717" t="s">
        <v>82</v>
      </c>
      <c r="F717" t="s">
        <v>52</v>
      </c>
      <c r="G717" t="s">
        <v>51</v>
      </c>
      <c r="H717" t="s">
        <v>2370</v>
      </c>
      <c r="I717" t="s">
        <v>75</v>
      </c>
      <c r="J717" s="2">
        <v>113.51</v>
      </c>
      <c r="K717">
        <v>11</v>
      </c>
      <c r="L717" t="s">
        <v>39</v>
      </c>
      <c r="M717">
        <v>4</v>
      </c>
      <c r="N717">
        <v>1</v>
      </c>
      <c r="O717">
        <v>1</v>
      </c>
      <c r="P717" t="s">
        <v>51</v>
      </c>
      <c r="Q717" t="s">
        <v>57</v>
      </c>
      <c r="R717">
        <v>2</v>
      </c>
      <c r="S717">
        <v>2</v>
      </c>
      <c r="T717" t="s">
        <v>69</v>
      </c>
      <c r="U717" t="s">
        <v>95</v>
      </c>
      <c r="V717" t="s">
        <v>43</v>
      </c>
      <c r="W717" s="1">
        <v>45336</v>
      </c>
      <c r="X717" t="b">
        <v>1</v>
      </c>
      <c r="Y717" t="b">
        <v>1</v>
      </c>
      <c r="Z717" t="s">
        <v>89</v>
      </c>
      <c r="AA717" t="s">
        <v>77</v>
      </c>
      <c r="AB717">
        <v>8</v>
      </c>
    </row>
    <row r="718" spans="1:28">
      <c r="A718" t="s">
        <v>1655</v>
      </c>
      <c r="B718">
        <v>40</v>
      </c>
      <c r="C718" t="s">
        <v>33</v>
      </c>
      <c r="D718" t="s">
        <v>51</v>
      </c>
      <c r="E718" t="s">
        <v>65</v>
      </c>
      <c r="F718" t="s">
        <v>36</v>
      </c>
      <c r="G718" t="s">
        <v>34</v>
      </c>
      <c r="H718" t="s">
        <v>1656</v>
      </c>
      <c r="I718" t="s">
        <v>127</v>
      </c>
      <c r="J718" s="2">
        <v>492.74</v>
      </c>
      <c r="K718">
        <v>2</v>
      </c>
      <c r="L718" t="s">
        <v>39</v>
      </c>
      <c r="M718">
        <v>1</v>
      </c>
      <c r="N718">
        <v>5</v>
      </c>
      <c r="O718">
        <v>2</v>
      </c>
      <c r="P718" t="s">
        <v>69</v>
      </c>
      <c r="Q718" t="s">
        <v>101</v>
      </c>
      <c r="R718">
        <v>1</v>
      </c>
      <c r="S718">
        <v>3</v>
      </c>
      <c r="T718" t="s">
        <v>51</v>
      </c>
      <c r="U718" t="s">
        <v>42</v>
      </c>
      <c r="V718" t="s">
        <v>76</v>
      </c>
      <c r="W718" s="1">
        <v>45351</v>
      </c>
      <c r="X718" t="b">
        <v>1</v>
      </c>
      <c r="Y718" t="b">
        <v>0</v>
      </c>
      <c r="Z718" t="s">
        <v>44</v>
      </c>
      <c r="AA718" t="s">
        <v>77</v>
      </c>
      <c r="AB718">
        <v>13</v>
      </c>
    </row>
    <row r="719" spans="1:28">
      <c r="A719" t="s">
        <v>1657</v>
      </c>
      <c r="B719">
        <v>33</v>
      </c>
      <c r="C719" t="s">
        <v>50</v>
      </c>
      <c r="D719" t="s">
        <v>34</v>
      </c>
      <c r="E719" t="s">
        <v>92</v>
      </c>
      <c r="F719" t="s">
        <v>66</v>
      </c>
      <c r="G719" t="s">
        <v>34</v>
      </c>
      <c r="H719" t="s">
        <v>2371</v>
      </c>
      <c r="I719" t="s">
        <v>84</v>
      </c>
      <c r="J719" s="2">
        <v>143.80000000000001</v>
      </c>
      <c r="K719">
        <v>9</v>
      </c>
      <c r="L719" t="s">
        <v>55</v>
      </c>
      <c r="M719">
        <v>2</v>
      </c>
      <c r="N719">
        <v>2</v>
      </c>
      <c r="O719">
        <v>2</v>
      </c>
      <c r="P719" t="s">
        <v>69</v>
      </c>
      <c r="Q719" t="s">
        <v>41</v>
      </c>
      <c r="R719">
        <v>0</v>
      </c>
      <c r="S719">
        <v>7</v>
      </c>
      <c r="T719" t="s">
        <v>40</v>
      </c>
      <c r="U719" t="s">
        <v>42</v>
      </c>
      <c r="V719" t="s">
        <v>71</v>
      </c>
      <c r="W719" s="1">
        <v>45344</v>
      </c>
      <c r="X719" t="b">
        <v>1</v>
      </c>
      <c r="Y719" t="b">
        <v>0</v>
      </c>
      <c r="Z719" t="s">
        <v>59</v>
      </c>
      <c r="AA719" t="s">
        <v>45</v>
      </c>
      <c r="AB719">
        <v>11</v>
      </c>
    </row>
    <row r="720" spans="1:28">
      <c r="A720" t="s">
        <v>1659</v>
      </c>
      <c r="B720">
        <v>18</v>
      </c>
      <c r="C720" t="s">
        <v>340</v>
      </c>
      <c r="D720" t="s">
        <v>34</v>
      </c>
      <c r="E720" t="s">
        <v>82</v>
      </c>
      <c r="F720" t="s">
        <v>36</v>
      </c>
      <c r="G720" t="s">
        <v>34</v>
      </c>
      <c r="H720" t="s">
        <v>1660</v>
      </c>
      <c r="I720" t="s">
        <v>170</v>
      </c>
      <c r="J720" s="2">
        <v>158.54</v>
      </c>
      <c r="K720">
        <v>5</v>
      </c>
      <c r="L720" t="s">
        <v>94</v>
      </c>
      <c r="M720">
        <v>2</v>
      </c>
      <c r="N720">
        <v>1</v>
      </c>
      <c r="O720">
        <v>1</v>
      </c>
      <c r="P720" t="s">
        <v>69</v>
      </c>
      <c r="Q720" t="s">
        <v>57</v>
      </c>
      <c r="R720">
        <v>2</v>
      </c>
      <c r="S720">
        <v>7</v>
      </c>
      <c r="T720" t="s">
        <v>51</v>
      </c>
      <c r="U720" t="s">
        <v>70</v>
      </c>
      <c r="V720" t="s">
        <v>71</v>
      </c>
      <c r="W720" s="1">
        <v>45382</v>
      </c>
      <c r="X720" t="b">
        <v>0</v>
      </c>
      <c r="Y720" t="b">
        <v>0</v>
      </c>
      <c r="Z720" t="s">
        <v>89</v>
      </c>
      <c r="AA720" t="s">
        <v>77</v>
      </c>
      <c r="AB720">
        <v>5</v>
      </c>
    </row>
    <row r="721" spans="1:28">
      <c r="A721" t="s">
        <v>1661</v>
      </c>
      <c r="B721">
        <v>39</v>
      </c>
      <c r="C721" t="s">
        <v>33</v>
      </c>
      <c r="D721" t="s">
        <v>51</v>
      </c>
      <c r="E721" t="s">
        <v>35</v>
      </c>
      <c r="F721" t="s">
        <v>36</v>
      </c>
      <c r="G721" t="s">
        <v>51</v>
      </c>
      <c r="H721" t="s">
        <v>1662</v>
      </c>
      <c r="I721" t="s">
        <v>84</v>
      </c>
      <c r="J721" s="2">
        <v>213.39</v>
      </c>
      <c r="K721">
        <v>6</v>
      </c>
      <c r="L721" t="s">
        <v>94</v>
      </c>
      <c r="M721">
        <v>3</v>
      </c>
      <c r="N721">
        <v>4</v>
      </c>
      <c r="O721">
        <v>2</v>
      </c>
      <c r="P721" t="s">
        <v>56</v>
      </c>
      <c r="Q721" t="s">
        <v>57</v>
      </c>
      <c r="R721">
        <v>2</v>
      </c>
      <c r="S721">
        <v>5</v>
      </c>
      <c r="T721" t="s">
        <v>56</v>
      </c>
      <c r="U721" t="s">
        <v>95</v>
      </c>
      <c r="V721" t="s">
        <v>102</v>
      </c>
      <c r="W721" s="1">
        <v>45592</v>
      </c>
      <c r="X721" t="b">
        <v>0</v>
      </c>
      <c r="Y721" t="b">
        <v>1</v>
      </c>
      <c r="Z721" t="s">
        <v>89</v>
      </c>
      <c r="AA721" t="s">
        <v>60</v>
      </c>
      <c r="AB721">
        <v>4</v>
      </c>
    </row>
    <row r="722" spans="1:28">
      <c r="A722" t="s">
        <v>1663</v>
      </c>
      <c r="B722">
        <v>31</v>
      </c>
      <c r="C722" t="s">
        <v>50</v>
      </c>
      <c r="D722" t="s">
        <v>34</v>
      </c>
      <c r="E722" t="s">
        <v>92</v>
      </c>
      <c r="F722" t="s">
        <v>36</v>
      </c>
      <c r="G722" t="s">
        <v>51</v>
      </c>
      <c r="H722" t="s">
        <v>1664</v>
      </c>
      <c r="I722" t="s">
        <v>180</v>
      </c>
      <c r="J722" s="2">
        <v>127.18</v>
      </c>
      <c r="K722">
        <v>2</v>
      </c>
      <c r="L722" t="s">
        <v>55</v>
      </c>
      <c r="M722">
        <v>5</v>
      </c>
      <c r="N722">
        <v>5</v>
      </c>
      <c r="O722">
        <v>1</v>
      </c>
      <c r="P722" t="s">
        <v>56</v>
      </c>
      <c r="Q722" t="s">
        <v>41</v>
      </c>
      <c r="R722">
        <v>0</v>
      </c>
      <c r="S722">
        <v>2</v>
      </c>
      <c r="T722" t="s">
        <v>56</v>
      </c>
      <c r="U722" t="s">
        <v>95</v>
      </c>
      <c r="V722" t="s">
        <v>71</v>
      </c>
      <c r="W722" s="1">
        <v>45647</v>
      </c>
      <c r="X722" t="b">
        <v>0</v>
      </c>
      <c r="Y722" t="b">
        <v>0</v>
      </c>
      <c r="Z722" t="s">
        <v>89</v>
      </c>
      <c r="AA722" t="s">
        <v>60</v>
      </c>
      <c r="AB722">
        <v>4</v>
      </c>
    </row>
    <row r="723" spans="1:28">
      <c r="A723" t="s">
        <v>1665</v>
      </c>
      <c r="B723">
        <v>27</v>
      </c>
      <c r="C723" t="s">
        <v>50</v>
      </c>
      <c r="D723" t="s">
        <v>34</v>
      </c>
      <c r="E723" t="s">
        <v>92</v>
      </c>
      <c r="F723" t="s">
        <v>66</v>
      </c>
      <c r="G723" t="s">
        <v>51</v>
      </c>
      <c r="H723" t="s">
        <v>1666</v>
      </c>
      <c r="I723" t="s">
        <v>123</v>
      </c>
      <c r="J723" s="2">
        <v>476.63</v>
      </c>
      <c r="K723">
        <v>9</v>
      </c>
      <c r="L723" t="s">
        <v>55</v>
      </c>
      <c r="M723">
        <v>3</v>
      </c>
      <c r="N723">
        <v>5</v>
      </c>
      <c r="O723">
        <v>2</v>
      </c>
      <c r="P723" t="s">
        <v>56</v>
      </c>
      <c r="Q723" t="s">
        <v>57</v>
      </c>
      <c r="R723">
        <v>2</v>
      </c>
      <c r="S723">
        <v>2</v>
      </c>
      <c r="T723" t="s">
        <v>40</v>
      </c>
      <c r="U723" t="s">
        <v>95</v>
      </c>
      <c r="V723" t="s">
        <v>71</v>
      </c>
      <c r="W723" s="1">
        <v>45615</v>
      </c>
      <c r="X723" t="b">
        <v>1</v>
      </c>
      <c r="Y723" t="b">
        <v>0</v>
      </c>
      <c r="Z723" t="s">
        <v>72</v>
      </c>
      <c r="AA723" t="s">
        <v>45</v>
      </c>
      <c r="AB723">
        <v>1</v>
      </c>
    </row>
    <row r="724" spans="1:28">
      <c r="A724" t="s">
        <v>1667</v>
      </c>
      <c r="B724">
        <v>31</v>
      </c>
      <c r="C724" t="s">
        <v>33</v>
      </c>
      <c r="D724" t="s">
        <v>51</v>
      </c>
      <c r="E724" t="s">
        <v>65</v>
      </c>
      <c r="F724" t="s">
        <v>36</v>
      </c>
      <c r="G724" t="s">
        <v>34</v>
      </c>
      <c r="H724" t="s">
        <v>2372</v>
      </c>
      <c r="I724" t="s">
        <v>127</v>
      </c>
      <c r="J724" s="2">
        <v>56.02</v>
      </c>
      <c r="K724">
        <v>3</v>
      </c>
      <c r="L724" t="s">
        <v>94</v>
      </c>
      <c r="M724">
        <v>5</v>
      </c>
      <c r="N724">
        <v>3</v>
      </c>
      <c r="O724">
        <v>1</v>
      </c>
      <c r="P724" t="s">
        <v>40</v>
      </c>
      <c r="Q724" t="s">
        <v>101</v>
      </c>
      <c r="R724">
        <v>1</v>
      </c>
      <c r="S724">
        <v>6</v>
      </c>
      <c r="T724" t="s">
        <v>51</v>
      </c>
      <c r="U724" t="s">
        <v>95</v>
      </c>
      <c r="V724" t="s">
        <v>58</v>
      </c>
      <c r="W724" s="1">
        <v>45548</v>
      </c>
      <c r="X724" t="b">
        <v>0</v>
      </c>
      <c r="Y724" t="b">
        <v>1</v>
      </c>
      <c r="Z724" t="s">
        <v>44</v>
      </c>
      <c r="AA724" t="s">
        <v>60</v>
      </c>
      <c r="AB724">
        <v>12</v>
      </c>
    </row>
    <row r="725" spans="1:28">
      <c r="A725" t="s">
        <v>1669</v>
      </c>
      <c r="B725">
        <v>36</v>
      </c>
      <c r="C725" t="s">
        <v>33</v>
      </c>
      <c r="D725" t="s">
        <v>51</v>
      </c>
      <c r="E725" t="s">
        <v>82</v>
      </c>
      <c r="F725" t="s">
        <v>36</v>
      </c>
      <c r="G725" t="s">
        <v>34</v>
      </c>
      <c r="H725" t="s">
        <v>2373</v>
      </c>
      <c r="I725" t="s">
        <v>147</v>
      </c>
      <c r="J725" s="2">
        <v>398.97</v>
      </c>
      <c r="K725">
        <v>3</v>
      </c>
      <c r="L725" t="s">
        <v>94</v>
      </c>
      <c r="M725">
        <v>2</v>
      </c>
      <c r="N725">
        <v>3</v>
      </c>
      <c r="O725">
        <v>1</v>
      </c>
      <c r="P725" t="s">
        <v>51</v>
      </c>
      <c r="Q725" t="s">
        <v>57</v>
      </c>
      <c r="R725">
        <v>2</v>
      </c>
      <c r="S725">
        <v>3</v>
      </c>
      <c r="T725" t="s">
        <v>51</v>
      </c>
      <c r="U725" t="s">
        <v>42</v>
      </c>
      <c r="V725" t="s">
        <v>71</v>
      </c>
      <c r="W725" s="1">
        <v>45561</v>
      </c>
      <c r="X725" t="b">
        <v>0</v>
      </c>
      <c r="Y725" t="b">
        <v>0</v>
      </c>
      <c r="Z725" t="s">
        <v>72</v>
      </c>
      <c r="AA725" t="s">
        <v>45</v>
      </c>
      <c r="AB725">
        <v>9</v>
      </c>
    </row>
    <row r="726" spans="1:28">
      <c r="A726" t="s">
        <v>1673</v>
      </c>
      <c r="B726">
        <v>27</v>
      </c>
      <c r="C726" t="s">
        <v>33</v>
      </c>
      <c r="D726" t="s">
        <v>34</v>
      </c>
      <c r="E726" t="s">
        <v>92</v>
      </c>
      <c r="F726" t="s">
        <v>52</v>
      </c>
      <c r="G726" t="s">
        <v>34</v>
      </c>
      <c r="H726" t="s">
        <v>2320</v>
      </c>
      <c r="I726" t="s">
        <v>199</v>
      </c>
      <c r="J726" s="2">
        <v>53.45</v>
      </c>
      <c r="K726">
        <v>6</v>
      </c>
      <c r="L726" t="s">
        <v>39</v>
      </c>
      <c r="M726">
        <v>2</v>
      </c>
      <c r="N726">
        <v>3</v>
      </c>
      <c r="O726">
        <v>1</v>
      </c>
      <c r="P726" t="s">
        <v>51</v>
      </c>
      <c r="Q726" t="s">
        <v>41</v>
      </c>
      <c r="R726">
        <v>1</v>
      </c>
      <c r="S726">
        <v>9</v>
      </c>
      <c r="T726" t="s">
        <v>51</v>
      </c>
      <c r="U726" t="s">
        <v>42</v>
      </c>
      <c r="V726" t="s">
        <v>71</v>
      </c>
      <c r="W726" s="1">
        <v>45487</v>
      </c>
      <c r="X726" t="b">
        <v>0</v>
      </c>
      <c r="Y726" t="b">
        <v>0</v>
      </c>
      <c r="Z726" t="s">
        <v>44</v>
      </c>
      <c r="AA726" t="s">
        <v>60</v>
      </c>
      <c r="AB726">
        <v>11</v>
      </c>
    </row>
    <row r="727" spans="1:28">
      <c r="A727" t="s">
        <v>1674</v>
      </c>
      <c r="B727">
        <v>21</v>
      </c>
      <c r="C727" t="s">
        <v>340</v>
      </c>
      <c r="D727" t="s">
        <v>34</v>
      </c>
      <c r="E727" t="s">
        <v>35</v>
      </c>
      <c r="F727" t="s">
        <v>36</v>
      </c>
      <c r="G727" t="s">
        <v>51</v>
      </c>
      <c r="H727" t="s">
        <v>1675</v>
      </c>
      <c r="I727" t="s">
        <v>199</v>
      </c>
      <c r="J727" s="2">
        <v>61.19</v>
      </c>
      <c r="K727">
        <v>2</v>
      </c>
      <c r="L727" t="s">
        <v>39</v>
      </c>
      <c r="M727">
        <v>4</v>
      </c>
      <c r="N727">
        <v>5</v>
      </c>
      <c r="O727">
        <v>1</v>
      </c>
      <c r="P727" t="s">
        <v>40</v>
      </c>
      <c r="Q727" t="s">
        <v>57</v>
      </c>
      <c r="R727">
        <v>2</v>
      </c>
      <c r="S727">
        <v>6</v>
      </c>
      <c r="T727" t="s">
        <v>51</v>
      </c>
      <c r="U727" t="s">
        <v>95</v>
      </c>
      <c r="V727" t="s">
        <v>58</v>
      </c>
      <c r="W727" s="1">
        <v>45516</v>
      </c>
      <c r="X727" t="b">
        <v>1</v>
      </c>
      <c r="Y727" t="b">
        <v>1</v>
      </c>
      <c r="Z727" t="s">
        <v>59</v>
      </c>
      <c r="AA727" t="s">
        <v>45</v>
      </c>
      <c r="AB727">
        <v>3</v>
      </c>
    </row>
    <row r="728" spans="1:28">
      <c r="A728" t="s">
        <v>1676</v>
      </c>
      <c r="B728">
        <v>50</v>
      </c>
      <c r="C728" t="s">
        <v>33</v>
      </c>
      <c r="D728" t="s">
        <v>34</v>
      </c>
      <c r="E728" t="s">
        <v>35</v>
      </c>
      <c r="F728" t="s">
        <v>52</v>
      </c>
      <c r="G728" t="s">
        <v>34</v>
      </c>
      <c r="H728" t="s">
        <v>1677</v>
      </c>
      <c r="I728" t="s">
        <v>123</v>
      </c>
      <c r="J728" s="2">
        <v>471.31</v>
      </c>
      <c r="K728">
        <v>4</v>
      </c>
      <c r="L728" t="s">
        <v>39</v>
      </c>
      <c r="M728">
        <v>1</v>
      </c>
      <c r="N728">
        <v>5</v>
      </c>
      <c r="O728">
        <v>2</v>
      </c>
      <c r="P728" t="s">
        <v>51</v>
      </c>
      <c r="Q728" t="s">
        <v>101</v>
      </c>
      <c r="R728">
        <v>0</v>
      </c>
      <c r="S728">
        <v>8</v>
      </c>
      <c r="T728" t="s">
        <v>40</v>
      </c>
      <c r="U728" t="s">
        <v>70</v>
      </c>
      <c r="V728" t="s">
        <v>76</v>
      </c>
      <c r="W728" s="1">
        <v>45643</v>
      </c>
      <c r="X728" t="b">
        <v>0</v>
      </c>
      <c r="Y728" t="b">
        <v>1</v>
      </c>
      <c r="Z728" t="s">
        <v>72</v>
      </c>
      <c r="AA728" t="s">
        <v>77</v>
      </c>
      <c r="AB728">
        <v>7</v>
      </c>
    </row>
    <row r="729" spans="1:28">
      <c r="A729" t="s">
        <v>1678</v>
      </c>
      <c r="B729">
        <v>49</v>
      </c>
      <c r="C729" t="s">
        <v>33</v>
      </c>
      <c r="D729" t="s">
        <v>51</v>
      </c>
      <c r="E729" t="s">
        <v>92</v>
      </c>
      <c r="F729" t="s">
        <v>52</v>
      </c>
      <c r="G729" t="s">
        <v>51</v>
      </c>
      <c r="H729" t="s">
        <v>1679</v>
      </c>
      <c r="I729" t="s">
        <v>131</v>
      </c>
      <c r="J729" s="2">
        <v>179.19</v>
      </c>
      <c r="K729">
        <v>10</v>
      </c>
      <c r="L729" t="s">
        <v>55</v>
      </c>
      <c r="M729">
        <v>3</v>
      </c>
      <c r="N729">
        <v>1</v>
      </c>
      <c r="O729">
        <v>1</v>
      </c>
      <c r="P729" t="s">
        <v>69</v>
      </c>
      <c r="Q729" t="s">
        <v>57</v>
      </c>
      <c r="R729">
        <v>2</v>
      </c>
      <c r="S729">
        <v>7</v>
      </c>
      <c r="T729" t="s">
        <v>40</v>
      </c>
      <c r="U729" t="s">
        <v>42</v>
      </c>
      <c r="V729" t="s">
        <v>58</v>
      </c>
      <c r="W729" s="1">
        <v>45372</v>
      </c>
      <c r="X729" t="b">
        <v>0</v>
      </c>
      <c r="Y729" t="b">
        <v>0</v>
      </c>
      <c r="Z729" t="s">
        <v>72</v>
      </c>
      <c r="AA729" t="s">
        <v>77</v>
      </c>
      <c r="AB729">
        <v>12</v>
      </c>
    </row>
    <row r="730" spans="1:28">
      <c r="A730" t="s">
        <v>1680</v>
      </c>
      <c r="B730">
        <v>43</v>
      </c>
      <c r="C730" t="s">
        <v>33</v>
      </c>
      <c r="D730" t="s">
        <v>51</v>
      </c>
      <c r="E730" t="s">
        <v>92</v>
      </c>
      <c r="F730" t="s">
        <v>52</v>
      </c>
      <c r="G730" t="s">
        <v>34</v>
      </c>
      <c r="H730" t="s">
        <v>1681</v>
      </c>
      <c r="I730" t="s">
        <v>54</v>
      </c>
      <c r="J730" s="2">
        <v>294.61</v>
      </c>
      <c r="K730">
        <v>6</v>
      </c>
      <c r="L730" t="s">
        <v>55</v>
      </c>
      <c r="M730">
        <v>2</v>
      </c>
      <c r="N730">
        <v>1</v>
      </c>
      <c r="O730">
        <v>0</v>
      </c>
      <c r="P730" t="s">
        <v>40</v>
      </c>
      <c r="Q730" t="s">
        <v>101</v>
      </c>
      <c r="R730">
        <v>0</v>
      </c>
      <c r="S730">
        <v>2</v>
      </c>
      <c r="T730" t="s">
        <v>40</v>
      </c>
      <c r="U730" t="s">
        <v>95</v>
      </c>
      <c r="V730" t="s">
        <v>58</v>
      </c>
      <c r="W730" s="1">
        <v>45568</v>
      </c>
      <c r="X730" t="b">
        <v>0</v>
      </c>
      <c r="Y730" t="b">
        <v>1</v>
      </c>
      <c r="Z730" t="s">
        <v>59</v>
      </c>
      <c r="AA730" t="s">
        <v>77</v>
      </c>
      <c r="AB730">
        <v>4</v>
      </c>
    </row>
    <row r="731" spans="1:28">
      <c r="A731" t="s">
        <v>1682</v>
      </c>
      <c r="B731">
        <v>35</v>
      </c>
      <c r="C731" t="s">
        <v>238</v>
      </c>
      <c r="D731" t="s">
        <v>51</v>
      </c>
      <c r="E731" t="s">
        <v>82</v>
      </c>
      <c r="F731" t="s">
        <v>36</v>
      </c>
      <c r="G731" t="s">
        <v>51</v>
      </c>
      <c r="H731" t="s">
        <v>1683</v>
      </c>
      <c r="I731" t="s">
        <v>131</v>
      </c>
      <c r="J731" s="2">
        <v>375.45</v>
      </c>
      <c r="K731">
        <v>6</v>
      </c>
      <c r="L731" t="s">
        <v>94</v>
      </c>
      <c r="M731">
        <v>3</v>
      </c>
      <c r="N731">
        <v>4</v>
      </c>
      <c r="O731">
        <v>0</v>
      </c>
      <c r="P731" t="s">
        <v>51</v>
      </c>
      <c r="Q731" t="s">
        <v>57</v>
      </c>
      <c r="R731">
        <v>1</v>
      </c>
      <c r="S731">
        <v>8</v>
      </c>
      <c r="T731" t="s">
        <v>56</v>
      </c>
      <c r="U731" t="s">
        <v>70</v>
      </c>
      <c r="V731" t="s">
        <v>76</v>
      </c>
      <c r="W731" s="1">
        <v>45396</v>
      </c>
      <c r="X731" t="b">
        <v>0</v>
      </c>
      <c r="Y731" t="b">
        <v>1</v>
      </c>
      <c r="Z731" t="s">
        <v>72</v>
      </c>
      <c r="AA731" t="s">
        <v>77</v>
      </c>
      <c r="AB731">
        <v>1</v>
      </c>
    </row>
    <row r="732" spans="1:28">
      <c r="A732" t="s">
        <v>1684</v>
      </c>
      <c r="B732">
        <v>21</v>
      </c>
      <c r="C732" t="s">
        <v>50</v>
      </c>
      <c r="D732" t="s">
        <v>34</v>
      </c>
      <c r="E732" t="s">
        <v>82</v>
      </c>
      <c r="F732" t="s">
        <v>66</v>
      </c>
      <c r="G732" t="s">
        <v>51</v>
      </c>
      <c r="H732" t="s">
        <v>1685</v>
      </c>
      <c r="I732" t="s">
        <v>147</v>
      </c>
      <c r="J732" s="2">
        <v>83.5</v>
      </c>
      <c r="K732">
        <v>12</v>
      </c>
      <c r="L732" t="s">
        <v>55</v>
      </c>
      <c r="M732">
        <v>2</v>
      </c>
      <c r="N732">
        <v>4</v>
      </c>
      <c r="O732">
        <v>0</v>
      </c>
      <c r="P732" t="s">
        <v>40</v>
      </c>
      <c r="Q732" t="s">
        <v>57</v>
      </c>
      <c r="R732">
        <v>2</v>
      </c>
      <c r="S732">
        <v>7</v>
      </c>
      <c r="T732" t="s">
        <v>69</v>
      </c>
      <c r="U732" t="s">
        <v>70</v>
      </c>
      <c r="V732" t="s">
        <v>102</v>
      </c>
      <c r="W732" s="1">
        <v>45316</v>
      </c>
      <c r="X732" t="b">
        <v>1</v>
      </c>
      <c r="Y732" t="b">
        <v>1</v>
      </c>
      <c r="Z732" t="s">
        <v>44</v>
      </c>
      <c r="AA732" t="s">
        <v>60</v>
      </c>
      <c r="AB732">
        <v>10</v>
      </c>
    </row>
    <row r="733" spans="1:28">
      <c r="A733" t="s">
        <v>1686</v>
      </c>
      <c r="B733">
        <v>34</v>
      </c>
      <c r="C733" t="s">
        <v>50</v>
      </c>
      <c r="D733" t="s">
        <v>51</v>
      </c>
      <c r="E733" t="s">
        <v>35</v>
      </c>
      <c r="F733" t="s">
        <v>52</v>
      </c>
      <c r="G733" t="s">
        <v>34</v>
      </c>
      <c r="H733" t="s">
        <v>1687</v>
      </c>
      <c r="I733" t="s">
        <v>75</v>
      </c>
      <c r="J733" s="2">
        <v>109.88</v>
      </c>
      <c r="K733">
        <v>7</v>
      </c>
      <c r="L733" t="s">
        <v>94</v>
      </c>
      <c r="M733">
        <v>4</v>
      </c>
      <c r="N733">
        <v>4</v>
      </c>
      <c r="O733">
        <v>1</v>
      </c>
      <c r="P733" t="s">
        <v>69</v>
      </c>
      <c r="Q733" t="s">
        <v>101</v>
      </c>
      <c r="R733">
        <v>1</v>
      </c>
      <c r="S733">
        <v>3</v>
      </c>
      <c r="T733" t="s">
        <v>56</v>
      </c>
      <c r="U733" t="s">
        <v>70</v>
      </c>
      <c r="V733" t="s">
        <v>43</v>
      </c>
      <c r="W733" s="1">
        <v>45296</v>
      </c>
      <c r="X733" t="b">
        <v>0</v>
      </c>
      <c r="Y733" t="b">
        <v>1</v>
      </c>
      <c r="Z733" t="s">
        <v>72</v>
      </c>
      <c r="AA733" t="s">
        <v>60</v>
      </c>
      <c r="AB733">
        <v>11</v>
      </c>
    </row>
    <row r="734" spans="1:28">
      <c r="A734" t="s">
        <v>1688</v>
      </c>
      <c r="B734">
        <v>21</v>
      </c>
      <c r="C734" t="s">
        <v>33</v>
      </c>
      <c r="D734" t="s">
        <v>51</v>
      </c>
      <c r="E734" t="s">
        <v>35</v>
      </c>
      <c r="F734" t="s">
        <v>52</v>
      </c>
      <c r="G734" t="s">
        <v>51</v>
      </c>
      <c r="H734" t="s">
        <v>1689</v>
      </c>
      <c r="I734" t="s">
        <v>68</v>
      </c>
      <c r="J734" s="2">
        <v>182.54</v>
      </c>
      <c r="K734">
        <v>11</v>
      </c>
      <c r="L734" t="s">
        <v>39</v>
      </c>
      <c r="M734">
        <v>5</v>
      </c>
      <c r="N734">
        <v>5</v>
      </c>
      <c r="O734">
        <v>1</v>
      </c>
      <c r="P734" t="s">
        <v>56</v>
      </c>
      <c r="Q734" t="s">
        <v>41</v>
      </c>
      <c r="R734">
        <v>1</v>
      </c>
      <c r="S734">
        <v>1</v>
      </c>
      <c r="T734" t="s">
        <v>51</v>
      </c>
      <c r="U734" t="s">
        <v>42</v>
      </c>
      <c r="V734" t="s">
        <v>102</v>
      </c>
      <c r="W734" s="1">
        <v>45525</v>
      </c>
      <c r="X734" t="b">
        <v>0</v>
      </c>
      <c r="Y734" t="b">
        <v>0</v>
      </c>
      <c r="Z734" t="s">
        <v>44</v>
      </c>
      <c r="AA734" t="s">
        <v>60</v>
      </c>
      <c r="AB734">
        <v>13</v>
      </c>
    </row>
    <row r="735" spans="1:28">
      <c r="A735" t="s">
        <v>1690</v>
      </c>
      <c r="B735">
        <v>23</v>
      </c>
      <c r="C735" t="s">
        <v>33</v>
      </c>
      <c r="D735" t="s">
        <v>51</v>
      </c>
      <c r="E735" t="s">
        <v>82</v>
      </c>
      <c r="F735" t="s">
        <v>36</v>
      </c>
      <c r="G735" t="s">
        <v>51</v>
      </c>
      <c r="H735" t="s">
        <v>1691</v>
      </c>
      <c r="I735" t="s">
        <v>84</v>
      </c>
      <c r="J735" s="2">
        <v>465.48</v>
      </c>
      <c r="K735">
        <v>3</v>
      </c>
      <c r="L735" t="s">
        <v>39</v>
      </c>
      <c r="M735">
        <v>3</v>
      </c>
      <c r="N735">
        <v>3</v>
      </c>
      <c r="O735">
        <v>2</v>
      </c>
      <c r="P735" t="s">
        <v>56</v>
      </c>
      <c r="Q735" t="s">
        <v>101</v>
      </c>
      <c r="R735">
        <v>1</v>
      </c>
      <c r="S735">
        <v>8</v>
      </c>
      <c r="T735" t="s">
        <v>56</v>
      </c>
      <c r="U735" t="s">
        <v>42</v>
      </c>
      <c r="V735" t="s">
        <v>102</v>
      </c>
      <c r="W735" s="1">
        <v>45464</v>
      </c>
      <c r="X735" t="b">
        <v>0</v>
      </c>
      <c r="Y735" t="b">
        <v>0</v>
      </c>
      <c r="Z735" t="s">
        <v>59</v>
      </c>
      <c r="AA735" t="s">
        <v>45</v>
      </c>
      <c r="AB735">
        <v>1</v>
      </c>
    </row>
    <row r="736" spans="1:28">
      <c r="A736" t="s">
        <v>1693</v>
      </c>
      <c r="B736">
        <v>31</v>
      </c>
      <c r="C736" t="s">
        <v>33</v>
      </c>
      <c r="D736" t="s">
        <v>34</v>
      </c>
      <c r="E736" t="s">
        <v>35</v>
      </c>
      <c r="F736" t="s">
        <v>52</v>
      </c>
      <c r="G736" t="s">
        <v>34</v>
      </c>
      <c r="H736" t="s">
        <v>1694</v>
      </c>
      <c r="I736" t="s">
        <v>131</v>
      </c>
      <c r="J736" s="2">
        <v>224.52</v>
      </c>
      <c r="K736">
        <v>8</v>
      </c>
      <c r="L736" t="s">
        <v>39</v>
      </c>
      <c r="M736">
        <v>3</v>
      </c>
      <c r="N736">
        <v>3</v>
      </c>
      <c r="O736">
        <v>2</v>
      </c>
      <c r="P736" t="s">
        <v>69</v>
      </c>
      <c r="Q736" t="s">
        <v>57</v>
      </c>
      <c r="R736">
        <v>1</v>
      </c>
      <c r="S736">
        <v>5</v>
      </c>
      <c r="T736" t="s">
        <v>51</v>
      </c>
      <c r="U736" t="s">
        <v>95</v>
      </c>
      <c r="V736" t="s">
        <v>43</v>
      </c>
      <c r="W736" s="1">
        <v>45625</v>
      </c>
      <c r="X736" t="b">
        <v>1</v>
      </c>
      <c r="Y736" t="b">
        <v>0</v>
      </c>
      <c r="Z736" t="s">
        <v>72</v>
      </c>
      <c r="AA736" t="s">
        <v>77</v>
      </c>
      <c r="AB736">
        <v>1</v>
      </c>
    </row>
    <row r="737" spans="1:28">
      <c r="A737" t="s">
        <v>1695</v>
      </c>
      <c r="B737">
        <v>21</v>
      </c>
      <c r="C737" t="s">
        <v>50</v>
      </c>
      <c r="D737" t="s">
        <v>51</v>
      </c>
      <c r="E737" t="s">
        <v>82</v>
      </c>
      <c r="F737" t="s">
        <v>66</v>
      </c>
      <c r="G737" t="s">
        <v>34</v>
      </c>
      <c r="H737" t="s">
        <v>1696</v>
      </c>
      <c r="I737" t="s">
        <v>235</v>
      </c>
      <c r="J737" s="2">
        <v>281.37</v>
      </c>
      <c r="K737">
        <v>12</v>
      </c>
      <c r="L737" t="s">
        <v>94</v>
      </c>
      <c r="M737">
        <v>2</v>
      </c>
      <c r="N737">
        <v>3</v>
      </c>
      <c r="O737">
        <v>2</v>
      </c>
      <c r="P737" t="s">
        <v>69</v>
      </c>
      <c r="Q737" t="s">
        <v>101</v>
      </c>
      <c r="R737">
        <v>0</v>
      </c>
      <c r="S737">
        <v>2</v>
      </c>
      <c r="T737" t="s">
        <v>69</v>
      </c>
      <c r="U737" t="s">
        <v>70</v>
      </c>
      <c r="V737" t="s">
        <v>71</v>
      </c>
      <c r="W737" s="1">
        <v>45293</v>
      </c>
      <c r="X737" t="b">
        <v>0</v>
      </c>
      <c r="Y737" t="b">
        <v>1</v>
      </c>
      <c r="Z737" t="s">
        <v>72</v>
      </c>
      <c r="AA737" t="s">
        <v>77</v>
      </c>
      <c r="AB737">
        <v>14</v>
      </c>
    </row>
    <row r="738" spans="1:28">
      <c r="A738" t="s">
        <v>1697</v>
      </c>
      <c r="B738">
        <v>22</v>
      </c>
      <c r="C738" t="s">
        <v>33</v>
      </c>
      <c r="D738" t="s">
        <v>34</v>
      </c>
      <c r="E738" t="s">
        <v>35</v>
      </c>
      <c r="F738" t="s">
        <v>36</v>
      </c>
      <c r="G738" t="s">
        <v>34</v>
      </c>
      <c r="H738" t="s">
        <v>2374</v>
      </c>
      <c r="I738" t="s">
        <v>68</v>
      </c>
      <c r="J738" s="2">
        <v>125.68</v>
      </c>
      <c r="K738">
        <v>2</v>
      </c>
      <c r="L738" t="s">
        <v>94</v>
      </c>
      <c r="M738">
        <v>1</v>
      </c>
      <c r="N738">
        <v>4</v>
      </c>
      <c r="O738">
        <v>1</v>
      </c>
      <c r="P738" t="s">
        <v>40</v>
      </c>
      <c r="Q738" t="s">
        <v>57</v>
      </c>
      <c r="R738">
        <v>1</v>
      </c>
      <c r="S738">
        <v>8</v>
      </c>
      <c r="T738" t="s">
        <v>56</v>
      </c>
      <c r="U738" t="s">
        <v>70</v>
      </c>
      <c r="V738" t="s">
        <v>71</v>
      </c>
      <c r="W738" s="1">
        <v>45464</v>
      </c>
      <c r="X738" t="b">
        <v>1</v>
      </c>
      <c r="Y738" t="b">
        <v>0</v>
      </c>
      <c r="Z738" t="s">
        <v>44</v>
      </c>
      <c r="AA738" t="s">
        <v>77</v>
      </c>
      <c r="AB738">
        <v>9</v>
      </c>
    </row>
    <row r="739" spans="1:28">
      <c r="A739" t="s">
        <v>1699</v>
      </c>
      <c r="B739">
        <v>38</v>
      </c>
      <c r="C739" t="s">
        <v>33</v>
      </c>
      <c r="D739" t="s">
        <v>51</v>
      </c>
      <c r="E739" t="s">
        <v>65</v>
      </c>
      <c r="F739" t="s">
        <v>52</v>
      </c>
      <c r="G739" t="s">
        <v>51</v>
      </c>
      <c r="H739" t="s">
        <v>1700</v>
      </c>
      <c r="I739" t="s">
        <v>235</v>
      </c>
      <c r="J739" s="2">
        <v>178.21</v>
      </c>
      <c r="K739">
        <v>7</v>
      </c>
      <c r="L739" t="s">
        <v>55</v>
      </c>
      <c r="M739">
        <v>1</v>
      </c>
      <c r="N739">
        <v>5</v>
      </c>
      <c r="O739">
        <v>2</v>
      </c>
      <c r="P739" t="s">
        <v>69</v>
      </c>
      <c r="Q739" t="s">
        <v>41</v>
      </c>
      <c r="R739">
        <v>2</v>
      </c>
      <c r="S739">
        <v>8</v>
      </c>
      <c r="T739" t="s">
        <v>40</v>
      </c>
      <c r="U739" t="s">
        <v>95</v>
      </c>
      <c r="V739" t="s">
        <v>58</v>
      </c>
      <c r="W739" s="1">
        <v>45436</v>
      </c>
      <c r="X739" t="b">
        <v>0</v>
      </c>
      <c r="Y739" t="b">
        <v>0</v>
      </c>
      <c r="Z739" t="s">
        <v>89</v>
      </c>
      <c r="AA739" t="s">
        <v>45</v>
      </c>
      <c r="AB739">
        <v>9</v>
      </c>
    </row>
    <row r="740" spans="1:28">
      <c r="A740" t="s">
        <v>1701</v>
      </c>
      <c r="B740">
        <v>27</v>
      </c>
      <c r="C740" t="s">
        <v>50</v>
      </c>
      <c r="D740" t="s">
        <v>51</v>
      </c>
      <c r="E740" t="s">
        <v>92</v>
      </c>
      <c r="F740" t="s">
        <v>36</v>
      </c>
      <c r="G740" t="s">
        <v>34</v>
      </c>
      <c r="H740" t="s">
        <v>1702</v>
      </c>
      <c r="I740" t="s">
        <v>131</v>
      </c>
      <c r="J740" s="2">
        <v>483.23</v>
      </c>
      <c r="K740">
        <v>7</v>
      </c>
      <c r="L740" t="s">
        <v>94</v>
      </c>
      <c r="M740">
        <v>2</v>
      </c>
      <c r="N740">
        <v>4</v>
      </c>
      <c r="O740">
        <v>2</v>
      </c>
      <c r="P740" t="s">
        <v>56</v>
      </c>
      <c r="Q740" t="s">
        <v>41</v>
      </c>
      <c r="R740">
        <v>0</v>
      </c>
      <c r="S740">
        <v>5</v>
      </c>
      <c r="T740" t="s">
        <v>51</v>
      </c>
      <c r="U740" t="s">
        <v>70</v>
      </c>
      <c r="V740" t="s">
        <v>58</v>
      </c>
      <c r="W740" s="1">
        <v>45645</v>
      </c>
      <c r="X740" t="b">
        <v>1</v>
      </c>
      <c r="Y740" t="b">
        <v>0</v>
      </c>
      <c r="Z740" t="s">
        <v>72</v>
      </c>
      <c r="AA740" t="s">
        <v>77</v>
      </c>
      <c r="AB740">
        <v>9</v>
      </c>
    </row>
    <row r="741" spans="1:28">
      <c r="A741" t="s">
        <v>1704</v>
      </c>
      <c r="B741">
        <v>18</v>
      </c>
      <c r="C741" t="s">
        <v>50</v>
      </c>
      <c r="D741" t="s">
        <v>34</v>
      </c>
      <c r="E741" t="s">
        <v>35</v>
      </c>
      <c r="F741" t="s">
        <v>66</v>
      </c>
      <c r="G741" t="s">
        <v>51</v>
      </c>
      <c r="H741" t="s">
        <v>1705</v>
      </c>
      <c r="I741" t="s">
        <v>75</v>
      </c>
      <c r="J741" s="2">
        <v>415.3</v>
      </c>
      <c r="K741">
        <v>11</v>
      </c>
      <c r="L741" t="s">
        <v>55</v>
      </c>
      <c r="M741">
        <v>4</v>
      </c>
      <c r="N741">
        <v>2</v>
      </c>
      <c r="O741">
        <v>1</v>
      </c>
      <c r="P741" t="s">
        <v>69</v>
      </c>
      <c r="Q741" t="s">
        <v>101</v>
      </c>
      <c r="R741">
        <v>1</v>
      </c>
      <c r="S741">
        <v>9</v>
      </c>
      <c r="T741" t="s">
        <v>40</v>
      </c>
      <c r="U741" t="s">
        <v>42</v>
      </c>
      <c r="V741" t="s">
        <v>58</v>
      </c>
      <c r="W741" s="1">
        <v>45560</v>
      </c>
      <c r="X741" t="b">
        <v>0</v>
      </c>
      <c r="Y741" t="b">
        <v>1</v>
      </c>
      <c r="Z741" t="s">
        <v>72</v>
      </c>
      <c r="AA741" t="s">
        <v>60</v>
      </c>
      <c r="AB741">
        <v>2</v>
      </c>
    </row>
    <row r="742" spans="1:28">
      <c r="A742" t="s">
        <v>1707</v>
      </c>
      <c r="B742">
        <v>36</v>
      </c>
      <c r="C742" t="s">
        <v>50</v>
      </c>
      <c r="D742" t="s">
        <v>51</v>
      </c>
      <c r="E742" t="s">
        <v>35</v>
      </c>
      <c r="F742" t="s">
        <v>66</v>
      </c>
      <c r="G742" t="s">
        <v>34</v>
      </c>
      <c r="H742" t="s">
        <v>1708</v>
      </c>
      <c r="I742" t="s">
        <v>147</v>
      </c>
      <c r="J742" s="2">
        <v>85.52</v>
      </c>
      <c r="K742">
        <v>7</v>
      </c>
      <c r="L742" t="s">
        <v>39</v>
      </c>
      <c r="M742">
        <v>1</v>
      </c>
      <c r="N742">
        <v>5</v>
      </c>
      <c r="O742">
        <v>0</v>
      </c>
      <c r="P742" t="s">
        <v>56</v>
      </c>
      <c r="Q742" t="s">
        <v>41</v>
      </c>
      <c r="R742">
        <v>1</v>
      </c>
      <c r="S742">
        <v>3</v>
      </c>
      <c r="T742" t="s">
        <v>69</v>
      </c>
      <c r="U742" t="s">
        <v>70</v>
      </c>
      <c r="V742" t="s">
        <v>76</v>
      </c>
      <c r="W742" s="1">
        <v>45596</v>
      </c>
      <c r="X742" t="b">
        <v>0</v>
      </c>
      <c r="Y742" t="b">
        <v>1</v>
      </c>
      <c r="Z742" t="s">
        <v>89</v>
      </c>
      <c r="AA742" t="s">
        <v>45</v>
      </c>
      <c r="AB742">
        <v>7</v>
      </c>
    </row>
    <row r="743" spans="1:28">
      <c r="A743" t="s">
        <v>1709</v>
      </c>
      <c r="B743">
        <v>44</v>
      </c>
      <c r="C743" t="s">
        <v>33</v>
      </c>
      <c r="D743" t="s">
        <v>34</v>
      </c>
      <c r="E743" t="s">
        <v>82</v>
      </c>
      <c r="F743" t="s">
        <v>52</v>
      </c>
      <c r="G743" t="s">
        <v>51</v>
      </c>
      <c r="H743" t="s">
        <v>2375</v>
      </c>
      <c r="I743" t="s">
        <v>143</v>
      </c>
      <c r="J743" s="2">
        <v>422.31</v>
      </c>
      <c r="K743">
        <v>2</v>
      </c>
      <c r="L743" t="s">
        <v>55</v>
      </c>
      <c r="M743">
        <v>3</v>
      </c>
      <c r="N743">
        <v>4</v>
      </c>
      <c r="O743">
        <v>1</v>
      </c>
      <c r="P743" t="s">
        <v>56</v>
      </c>
      <c r="Q743" t="s">
        <v>101</v>
      </c>
      <c r="R743">
        <v>0</v>
      </c>
      <c r="S743">
        <v>6</v>
      </c>
      <c r="T743" t="s">
        <v>40</v>
      </c>
      <c r="U743" t="s">
        <v>70</v>
      </c>
      <c r="V743" t="s">
        <v>76</v>
      </c>
      <c r="W743" s="1">
        <v>45513</v>
      </c>
      <c r="X743" t="b">
        <v>1</v>
      </c>
      <c r="Y743" t="b">
        <v>1</v>
      </c>
      <c r="Z743" t="s">
        <v>72</v>
      </c>
      <c r="AA743" t="s">
        <v>45</v>
      </c>
      <c r="AB743">
        <v>3</v>
      </c>
    </row>
    <row r="744" spans="1:28">
      <c r="A744" t="s">
        <v>1711</v>
      </c>
      <c r="B744">
        <v>48</v>
      </c>
      <c r="C744" t="s">
        <v>106</v>
      </c>
      <c r="D744" t="s">
        <v>51</v>
      </c>
      <c r="E744" t="s">
        <v>35</v>
      </c>
      <c r="F744" t="s">
        <v>52</v>
      </c>
      <c r="G744" t="s">
        <v>51</v>
      </c>
      <c r="H744" t="s">
        <v>1712</v>
      </c>
      <c r="I744" t="s">
        <v>170</v>
      </c>
      <c r="J744" s="2">
        <v>70.42</v>
      </c>
      <c r="K744">
        <v>11</v>
      </c>
      <c r="L744" t="s">
        <v>94</v>
      </c>
      <c r="M744">
        <v>4</v>
      </c>
      <c r="N744">
        <v>5</v>
      </c>
      <c r="O744">
        <v>1</v>
      </c>
      <c r="P744" t="s">
        <v>51</v>
      </c>
      <c r="Q744" t="s">
        <v>57</v>
      </c>
      <c r="R744">
        <v>2</v>
      </c>
      <c r="S744">
        <v>7</v>
      </c>
      <c r="T744" t="s">
        <v>69</v>
      </c>
      <c r="U744" t="s">
        <v>95</v>
      </c>
      <c r="V744" t="s">
        <v>76</v>
      </c>
      <c r="W744" s="1">
        <v>45566</v>
      </c>
      <c r="X744" t="b">
        <v>0</v>
      </c>
      <c r="Y744" t="b">
        <v>1</v>
      </c>
      <c r="Z744" t="s">
        <v>44</v>
      </c>
      <c r="AA744" t="s">
        <v>77</v>
      </c>
      <c r="AB744">
        <v>14</v>
      </c>
    </row>
    <row r="745" spans="1:28">
      <c r="A745" t="s">
        <v>1714</v>
      </c>
      <c r="B745">
        <v>23</v>
      </c>
      <c r="C745" t="s">
        <v>33</v>
      </c>
      <c r="D745" t="s">
        <v>34</v>
      </c>
      <c r="E745" t="s">
        <v>82</v>
      </c>
      <c r="F745" t="s">
        <v>66</v>
      </c>
      <c r="G745" t="s">
        <v>34</v>
      </c>
      <c r="H745" t="s">
        <v>1715</v>
      </c>
      <c r="I745" t="s">
        <v>156</v>
      </c>
      <c r="J745" s="2">
        <v>437.4</v>
      </c>
      <c r="K745">
        <v>6</v>
      </c>
      <c r="L745" t="s">
        <v>39</v>
      </c>
      <c r="M745">
        <v>1</v>
      </c>
      <c r="N745">
        <v>4</v>
      </c>
      <c r="O745">
        <v>1</v>
      </c>
      <c r="P745" t="s">
        <v>51</v>
      </c>
      <c r="Q745" t="s">
        <v>41</v>
      </c>
      <c r="R745">
        <v>2</v>
      </c>
      <c r="S745">
        <v>5</v>
      </c>
      <c r="T745" t="s">
        <v>69</v>
      </c>
      <c r="U745" t="s">
        <v>42</v>
      </c>
      <c r="V745" t="s">
        <v>43</v>
      </c>
      <c r="W745" s="1">
        <v>45459</v>
      </c>
      <c r="X745" t="b">
        <v>0</v>
      </c>
      <c r="Y745" t="b">
        <v>0</v>
      </c>
      <c r="Z745" t="s">
        <v>89</v>
      </c>
      <c r="AA745" t="s">
        <v>77</v>
      </c>
      <c r="AB745">
        <v>1</v>
      </c>
    </row>
    <row r="746" spans="1:28">
      <c r="A746" t="s">
        <v>1716</v>
      </c>
      <c r="B746">
        <v>35</v>
      </c>
      <c r="C746" t="s">
        <v>50</v>
      </c>
      <c r="D746" t="s">
        <v>34</v>
      </c>
      <c r="E746" t="s">
        <v>92</v>
      </c>
      <c r="F746" t="s">
        <v>36</v>
      </c>
      <c r="G746" t="s">
        <v>34</v>
      </c>
      <c r="H746" t="s">
        <v>1717</v>
      </c>
      <c r="I746" t="s">
        <v>306</v>
      </c>
      <c r="J746" s="2">
        <v>207.11</v>
      </c>
      <c r="K746">
        <v>4</v>
      </c>
      <c r="L746" t="s">
        <v>39</v>
      </c>
      <c r="M746">
        <v>1</v>
      </c>
      <c r="N746">
        <v>4</v>
      </c>
      <c r="O746">
        <v>2</v>
      </c>
      <c r="P746" t="s">
        <v>51</v>
      </c>
      <c r="Q746" t="s">
        <v>57</v>
      </c>
      <c r="R746">
        <v>0</v>
      </c>
      <c r="S746">
        <v>1</v>
      </c>
      <c r="T746" t="s">
        <v>69</v>
      </c>
      <c r="U746" t="s">
        <v>42</v>
      </c>
      <c r="V746" t="s">
        <v>76</v>
      </c>
      <c r="W746" s="1">
        <v>45379</v>
      </c>
      <c r="X746" t="b">
        <v>1</v>
      </c>
      <c r="Y746" t="b">
        <v>0</v>
      </c>
      <c r="Z746" t="s">
        <v>44</v>
      </c>
      <c r="AA746" t="s">
        <v>45</v>
      </c>
      <c r="AB746">
        <v>2</v>
      </c>
    </row>
    <row r="747" spans="1:28">
      <c r="A747" t="s">
        <v>1718</v>
      </c>
      <c r="B747">
        <v>50</v>
      </c>
      <c r="C747" t="s">
        <v>33</v>
      </c>
      <c r="D747" t="s">
        <v>51</v>
      </c>
      <c r="E747" t="s">
        <v>82</v>
      </c>
      <c r="F747" t="s">
        <v>36</v>
      </c>
      <c r="G747" t="s">
        <v>34</v>
      </c>
      <c r="H747" t="s">
        <v>2376</v>
      </c>
      <c r="I747" t="s">
        <v>127</v>
      </c>
      <c r="J747" s="2">
        <v>378.87</v>
      </c>
      <c r="K747">
        <v>2</v>
      </c>
      <c r="L747" t="s">
        <v>94</v>
      </c>
      <c r="M747">
        <v>5</v>
      </c>
      <c r="N747">
        <v>2</v>
      </c>
      <c r="O747">
        <v>2</v>
      </c>
      <c r="P747" t="s">
        <v>40</v>
      </c>
      <c r="Q747" t="s">
        <v>101</v>
      </c>
      <c r="R747">
        <v>2</v>
      </c>
      <c r="S747">
        <v>2</v>
      </c>
      <c r="T747" t="s">
        <v>56</v>
      </c>
      <c r="U747" t="s">
        <v>95</v>
      </c>
      <c r="V747" t="s">
        <v>71</v>
      </c>
      <c r="W747" s="1">
        <v>45459</v>
      </c>
      <c r="X747" t="b">
        <v>1</v>
      </c>
      <c r="Y747" t="b">
        <v>0</v>
      </c>
      <c r="Z747" t="s">
        <v>89</v>
      </c>
      <c r="AA747" t="s">
        <v>45</v>
      </c>
      <c r="AB747">
        <v>9</v>
      </c>
    </row>
    <row r="748" spans="1:28">
      <c r="A748" t="s">
        <v>1720</v>
      </c>
      <c r="B748">
        <v>30</v>
      </c>
      <c r="C748" t="s">
        <v>33</v>
      </c>
      <c r="D748" t="s">
        <v>51</v>
      </c>
      <c r="E748" t="s">
        <v>92</v>
      </c>
      <c r="F748" t="s">
        <v>52</v>
      </c>
      <c r="G748" t="s">
        <v>51</v>
      </c>
      <c r="H748" t="s">
        <v>2377</v>
      </c>
      <c r="I748" t="s">
        <v>153</v>
      </c>
      <c r="J748" s="2">
        <v>349</v>
      </c>
      <c r="K748">
        <v>10</v>
      </c>
      <c r="L748" t="s">
        <v>39</v>
      </c>
      <c r="M748">
        <v>3</v>
      </c>
      <c r="N748">
        <v>5</v>
      </c>
      <c r="O748">
        <v>1</v>
      </c>
      <c r="P748" t="s">
        <v>69</v>
      </c>
      <c r="Q748" t="s">
        <v>57</v>
      </c>
      <c r="R748">
        <v>1</v>
      </c>
      <c r="S748">
        <v>5</v>
      </c>
      <c r="T748" t="s">
        <v>69</v>
      </c>
      <c r="U748" t="s">
        <v>95</v>
      </c>
      <c r="V748" t="s">
        <v>58</v>
      </c>
      <c r="W748" s="1">
        <v>45306</v>
      </c>
      <c r="X748" t="b">
        <v>0</v>
      </c>
      <c r="Y748" t="b">
        <v>1</v>
      </c>
      <c r="Z748" t="s">
        <v>89</v>
      </c>
      <c r="AA748" t="s">
        <v>45</v>
      </c>
      <c r="AB748">
        <v>10</v>
      </c>
    </row>
    <row r="749" spans="1:28">
      <c r="A749" t="s">
        <v>1722</v>
      </c>
      <c r="B749">
        <v>38</v>
      </c>
      <c r="C749" t="s">
        <v>50</v>
      </c>
      <c r="D749" t="s">
        <v>34</v>
      </c>
      <c r="E749" t="s">
        <v>35</v>
      </c>
      <c r="F749" t="s">
        <v>36</v>
      </c>
      <c r="G749" t="s">
        <v>34</v>
      </c>
      <c r="H749" t="s">
        <v>1723</v>
      </c>
      <c r="I749" t="s">
        <v>135</v>
      </c>
      <c r="J749" s="2">
        <v>330.27</v>
      </c>
      <c r="K749">
        <v>3</v>
      </c>
      <c r="L749" t="s">
        <v>55</v>
      </c>
      <c r="M749">
        <v>3</v>
      </c>
      <c r="N749">
        <v>2</v>
      </c>
      <c r="O749">
        <v>1</v>
      </c>
      <c r="P749" t="s">
        <v>51</v>
      </c>
      <c r="Q749" t="s">
        <v>57</v>
      </c>
      <c r="R749">
        <v>1</v>
      </c>
      <c r="S749">
        <v>9</v>
      </c>
      <c r="T749" t="s">
        <v>51</v>
      </c>
      <c r="U749" t="s">
        <v>70</v>
      </c>
      <c r="V749" t="s">
        <v>76</v>
      </c>
      <c r="W749" s="1">
        <v>45332</v>
      </c>
      <c r="X749" t="b">
        <v>1</v>
      </c>
      <c r="Y749" t="b">
        <v>0</v>
      </c>
      <c r="Z749" t="s">
        <v>72</v>
      </c>
      <c r="AA749" t="s">
        <v>45</v>
      </c>
      <c r="AB749">
        <v>9</v>
      </c>
    </row>
    <row r="750" spans="1:28">
      <c r="A750" t="s">
        <v>1724</v>
      </c>
      <c r="B750">
        <v>42</v>
      </c>
      <c r="C750" t="s">
        <v>50</v>
      </c>
      <c r="D750" t="s">
        <v>34</v>
      </c>
      <c r="E750" t="s">
        <v>35</v>
      </c>
      <c r="F750" t="s">
        <v>66</v>
      </c>
      <c r="G750" t="s">
        <v>34</v>
      </c>
      <c r="H750" t="s">
        <v>1725</v>
      </c>
      <c r="I750" t="s">
        <v>180</v>
      </c>
      <c r="J750" s="2">
        <v>410.29</v>
      </c>
      <c r="K750">
        <v>10</v>
      </c>
      <c r="L750" t="s">
        <v>94</v>
      </c>
      <c r="M750">
        <v>2</v>
      </c>
      <c r="N750">
        <v>4</v>
      </c>
      <c r="O750">
        <v>1</v>
      </c>
      <c r="P750" t="s">
        <v>69</v>
      </c>
      <c r="Q750" t="s">
        <v>57</v>
      </c>
      <c r="R750">
        <v>2</v>
      </c>
      <c r="S750">
        <v>4</v>
      </c>
      <c r="T750" t="s">
        <v>51</v>
      </c>
      <c r="U750" t="s">
        <v>70</v>
      </c>
      <c r="V750" t="s">
        <v>43</v>
      </c>
      <c r="W750" s="1">
        <v>45537</v>
      </c>
      <c r="X750" t="b">
        <v>1</v>
      </c>
      <c r="Y750" t="b">
        <v>0</v>
      </c>
      <c r="Z750" t="s">
        <v>89</v>
      </c>
      <c r="AA750" t="s">
        <v>77</v>
      </c>
      <c r="AB750">
        <v>1</v>
      </c>
    </row>
    <row r="751" spans="1:28">
      <c r="A751" t="s">
        <v>1726</v>
      </c>
      <c r="B751">
        <v>24</v>
      </c>
      <c r="C751" t="s">
        <v>33</v>
      </c>
      <c r="D751" t="s">
        <v>51</v>
      </c>
      <c r="E751" t="s">
        <v>92</v>
      </c>
      <c r="F751" t="s">
        <v>66</v>
      </c>
      <c r="G751" t="s">
        <v>34</v>
      </c>
      <c r="H751" t="s">
        <v>1727</v>
      </c>
      <c r="I751" t="s">
        <v>135</v>
      </c>
      <c r="J751" s="2">
        <v>400.86</v>
      </c>
      <c r="K751">
        <v>7</v>
      </c>
      <c r="L751" t="s">
        <v>94</v>
      </c>
      <c r="M751">
        <v>3</v>
      </c>
      <c r="N751">
        <v>3</v>
      </c>
      <c r="O751">
        <v>1</v>
      </c>
      <c r="P751" t="s">
        <v>51</v>
      </c>
      <c r="Q751" t="s">
        <v>101</v>
      </c>
      <c r="R751">
        <v>1</v>
      </c>
      <c r="S751">
        <v>7</v>
      </c>
      <c r="T751" t="s">
        <v>69</v>
      </c>
      <c r="U751" t="s">
        <v>70</v>
      </c>
      <c r="V751" t="s">
        <v>43</v>
      </c>
      <c r="W751" s="1">
        <v>45547</v>
      </c>
      <c r="X751" t="b">
        <v>1</v>
      </c>
      <c r="Y751" t="b">
        <v>0</v>
      </c>
      <c r="Z751" t="s">
        <v>89</v>
      </c>
      <c r="AA751" t="s">
        <v>45</v>
      </c>
      <c r="AB751">
        <v>5</v>
      </c>
    </row>
    <row r="752" spans="1:28">
      <c r="A752" t="s">
        <v>1728</v>
      </c>
      <c r="B752">
        <v>27</v>
      </c>
      <c r="C752" t="s">
        <v>33</v>
      </c>
      <c r="D752" t="s">
        <v>51</v>
      </c>
      <c r="E752" t="s">
        <v>35</v>
      </c>
      <c r="F752" t="s">
        <v>66</v>
      </c>
      <c r="G752" t="s">
        <v>34</v>
      </c>
      <c r="H752" t="s">
        <v>1729</v>
      </c>
      <c r="I752" t="s">
        <v>235</v>
      </c>
      <c r="J752" s="2">
        <v>225.12</v>
      </c>
      <c r="K752">
        <v>11</v>
      </c>
      <c r="L752" t="s">
        <v>55</v>
      </c>
      <c r="M752">
        <v>3</v>
      </c>
      <c r="N752">
        <v>2</v>
      </c>
      <c r="O752">
        <v>1</v>
      </c>
      <c r="P752" t="s">
        <v>56</v>
      </c>
      <c r="Q752" t="s">
        <v>41</v>
      </c>
      <c r="R752">
        <v>0</v>
      </c>
      <c r="S752">
        <v>1</v>
      </c>
      <c r="T752" t="s">
        <v>40</v>
      </c>
      <c r="U752" t="s">
        <v>95</v>
      </c>
      <c r="V752" t="s">
        <v>102</v>
      </c>
      <c r="W752" s="1">
        <v>45535</v>
      </c>
      <c r="X752" t="b">
        <v>1</v>
      </c>
      <c r="Y752" t="b">
        <v>0</v>
      </c>
      <c r="Z752" t="s">
        <v>89</v>
      </c>
      <c r="AA752" t="s">
        <v>77</v>
      </c>
      <c r="AB752">
        <v>6</v>
      </c>
    </row>
    <row r="753" spans="1:28">
      <c r="A753" t="s">
        <v>1730</v>
      </c>
      <c r="B753">
        <v>36</v>
      </c>
      <c r="C753" t="s">
        <v>33</v>
      </c>
      <c r="D753" t="s">
        <v>51</v>
      </c>
      <c r="E753" t="s">
        <v>82</v>
      </c>
      <c r="F753" t="s">
        <v>66</v>
      </c>
      <c r="G753" t="s">
        <v>51</v>
      </c>
      <c r="H753" t="s">
        <v>1731</v>
      </c>
      <c r="I753" t="s">
        <v>235</v>
      </c>
      <c r="J753" s="2">
        <v>273.48</v>
      </c>
      <c r="K753">
        <v>12</v>
      </c>
      <c r="L753" t="s">
        <v>94</v>
      </c>
      <c r="M753">
        <v>5</v>
      </c>
      <c r="N753">
        <v>3</v>
      </c>
      <c r="O753">
        <v>2</v>
      </c>
      <c r="P753" t="s">
        <v>69</v>
      </c>
      <c r="Q753" t="s">
        <v>101</v>
      </c>
      <c r="R753">
        <v>0</v>
      </c>
      <c r="S753">
        <v>5</v>
      </c>
      <c r="T753" t="s">
        <v>56</v>
      </c>
      <c r="U753" t="s">
        <v>70</v>
      </c>
      <c r="V753" t="s">
        <v>76</v>
      </c>
      <c r="W753" s="1">
        <v>45313</v>
      </c>
      <c r="X753" t="b">
        <v>1</v>
      </c>
      <c r="Y753" t="b">
        <v>0</v>
      </c>
      <c r="Z753" t="s">
        <v>59</v>
      </c>
      <c r="AA753" t="s">
        <v>77</v>
      </c>
      <c r="AB753">
        <v>5</v>
      </c>
    </row>
    <row r="754" spans="1:28">
      <c r="A754" t="s">
        <v>1732</v>
      </c>
      <c r="B754">
        <v>19</v>
      </c>
      <c r="C754" t="s">
        <v>106</v>
      </c>
      <c r="D754" t="s">
        <v>51</v>
      </c>
      <c r="E754" t="s">
        <v>65</v>
      </c>
      <c r="F754" t="s">
        <v>66</v>
      </c>
      <c r="G754" t="s">
        <v>34</v>
      </c>
      <c r="H754" t="s">
        <v>1733</v>
      </c>
      <c r="I754" t="s">
        <v>84</v>
      </c>
      <c r="J754" s="2">
        <v>363.84</v>
      </c>
      <c r="K754">
        <v>11</v>
      </c>
      <c r="L754" t="s">
        <v>94</v>
      </c>
      <c r="M754">
        <v>3</v>
      </c>
      <c r="N754">
        <v>2</v>
      </c>
      <c r="O754">
        <v>1</v>
      </c>
      <c r="P754" t="s">
        <v>69</v>
      </c>
      <c r="Q754" t="s">
        <v>57</v>
      </c>
      <c r="R754">
        <v>0</v>
      </c>
      <c r="S754">
        <v>3</v>
      </c>
      <c r="T754" t="s">
        <v>56</v>
      </c>
      <c r="U754" t="s">
        <v>95</v>
      </c>
      <c r="V754" t="s">
        <v>102</v>
      </c>
      <c r="W754" s="1">
        <v>45534</v>
      </c>
      <c r="X754" t="b">
        <v>1</v>
      </c>
      <c r="Y754" t="b">
        <v>0</v>
      </c>
      <c r="Z754" t="s">
        <v>72</v>
      </c>
      <c r="AA754" t="s">
        <v>77</v>
      </c>
      <c r="AB754">
        <v>5</v>
      </c>
    </row>
    <row r="755" spans="1:28">
      <c r="A755" t="s">
        <v>1734</v>
      </c>
      <c r="B755">
        <v>24</v>
      </c>
      <c r="C755" t="s">
        <v>33</v>
      </c>
      <c r="D755" t="s">
        <v>51</v>
      </c>
      <c r="E755" t="s">
        <v>65</v>
      </c>
      <c r="F755" t="s">
        <v>36</v>
      </c>
      <c r="G755" t="s">
        <v>34</v>
      </c>
      <c r="H755" t="s">
        <v>1735</v>
      </c>
      <c r="I755" t="s">
        <v>143</v>
      </c>
      <c r="J755" s="2">
        <v>302.60000000000002</v>
      </c>
      <c r="K755">
        <v>9</v>
      </c>
      <c r="L755" t="s">
        <v>94</v>
      </c>
      <c r="M755">
        <v>1</v>
      </c>
      <c r="N755">
        <v>4</v>
      </c>
      <c r="O755">
        <v>2</v>
      </c>
      <c r="P755" t="s">
        <v>56</v>
      </c>
      <c r="Q755" t="s">
        <v>101</v>
      </c>
      <c r="R755">
        <v>2</v>
      </c>
      <c r="S755">
        <v>10</v>
      </c>
      <c r="T755" t="s">
        <v>40</v>
      </c>
      <c r="U755" t="s">
        <v>95</v>
      </c>
      <c r="V755" t="s">
        <v>71</v>
      </c>
      <c r="W755" s="1">
        <v>45496</v>
      </c>
      <c r="X755" t="b">
        <v>0</v>
      </c>
      <c r="Y755" t="b">
        <v>1</v>
      </c>
      <c r="Z755" t="s">
        <v>72</v>
      </c>
      <c r="AA755" t="s">
        <v>60</v>
      </c>
      <c r="AB755">
        <v>2</v>
      </c>
    </row>
    <row r="756" spans="1:28">
      <c r="A756" t="s">
        <v>1736</v>
      </c>
      <c r="B756">
        <v>35</v>
      </c>
      <c r="C756" t="s">
        <v>50</v>
      </c>
      <c r="D756" t="s">
        <v>51</v>
      </c>
      <c r="E756" t="s">
        <v>92</v>
      </c>
      <c r="F756" t="s">
        <v>52</v>
      </c>
      <c r="G756" t="s">
        <v>51</v>
      </c>
      <c r="H756" t="s">
        <v>1737</v>
      </c>
      <c r="I756" t="s">
        <v>127</v>
      </c>
      <c r="J756" s="2">
        <v>317.08999999999997</v>
      </c>
      <c r="K756">
        <v>6</v>
      </c>
      <c r="L756" t="s">
        <v>94</v>
      </c>
      <c r="M756">
        <v>1</v>
      </c>
      <c r="N756">
        <v>1</v>
      </c>
      <c r="O756">
        <v>1</v>
      </c>
      <c r="P756" t="s">
        <v>51</v>
      </c>
      <c r="Q756" t="s">
        <v>57</v>
      </c>
      <c r="R756">
        <v>2</v>
      </c>
      <c r="S756">
        <v>2</v>
      </c>
      <c r="T756" t="s">
        <v>51</v>
      </c>
      <c r="U756" t="s">
        <v>95</v>
      </c>
      <c r="V756" t="s">
        <v>76</v>
      </c>
      <c r="W756" s="1">
        <v>45393</v>
      </c>
      <c r="X756" t="b">
        <v>1</v>
      </c>
      <c r="Y756" t="b">
        <v>0</v>
      </c>
      <c r="Z756" t="s">
        <v>72</v>
      </c>
      <c r="AA756" t="s">
        <v>60</v>
      </c>
      <c r="AB756">
        <v>4</v>
      </c>
    </row>
    <row r="757" spans="1:28">
      <c r="A757" t="s">
        <v>1738</v>
      </c>
      <c r="B757">
        <v>38</v>
      </c>
      <c r="C757" t="s">
        <v>33</v>
      </c>
      <c r="D757" t="s">
        <v>51</v>
      </c>
      <c r="E757" t="s">
        <v>35</v>
      </c>
      <c r="F757" t="s">
        <v>52</v>
      </c>
      <c r="G757" t="s">
        <v>51</v>
      </c>
      <c r="H757" t="s">
        <v>2378</v>
      </c>
      <c r="I757" t="s">
        <v>235</v>
      </c>
      <c r="J757" s="2">
        <v>193.32</v>
      </c>
      <c r="K757">
        <v>9</v>
      </c>
      <c r="L757" t="s">
        <v>39</v>
      </c>
      <c r="M757">
        <v>4</v>
      </c>
      <c r="N757">
        <v>3</v>
      </c>
      <c r="O757">
        <v>0</v>
      </c>
      <c r="P757" t="s">
        <v>40</v>
      </c>
      <c r="Q757" t="s">
        <v>101</v>
      </c>
      <c r="R757">
        <v>0</v>
      </c>
      <c r="S757">
        <v>8</v>
      </c>
      <c r="T757" t="s">
        <v>51</v>
      </c>
      <c r="U757" t="s">
        <v>42</v>
      </c>
      <c r="V757" t="s">
        <v>58</v>
      </c>
      <c r="W757" s="1">
        <v>45484</v>
      </c>
      <c r="X757" t="b">
        <v>0</v>
      </c>
      <c r="Y757" t="b">
        <v>1</v>
      </c>
      <c r="Z757" t="s">
        <v>59</v>
      </c>
      <c r="AA757" t="s">
        <v>77</v>
      </c>
      <c r="AB757">
        <v>6</v>
      </c>
    </row>
    <row r="758" spans="1:28">
      <c r="A758" t="s">
        <v>1741</v>
      </c>
      <c r="B758">
        <v>34</v>
      </c>
      <c r="C758" t="s">
        <v>50</v>
      </c>
      <c r="D758" t="s">
        <v>51</v>
      </c>
      <c r="E758" t="s">
        <v>82</v>
      </c>
      <c r="F758" t="s">
        <v>52</v>
      </c>
      <c r="G758" t="s">
        <v>51</v>
      </c>
      <c r="H758" t="s">
        <v>1742</v>
      </c>
      <c r="I758" t="s">
        <v>150</v>
      </c>
      <c r="J758" s="2">
        <v>282.24</v>
      </c>
      <c r="K758">
        <v>6</v>
      </c>
      <c r="L758" t="s">
        <v>94</v>
      </c>
      <c r="M758">
        <v>2</v>
      </c>
      <c r="N758">
        <v>3</v>
      </c>
      <c r="O758">
        <v>2</v>
      </c>
      <c r="P758" t="s">
        <v>40</v>
      </c>
      <c r="Q758" t="s">
        <v>57</v>
      </c>
      <c r="R758">
        <v>1</v>
      </c>
      <c r="S758">
        <v>7</v>
      </c>
      <c r="T758" t="s">
        <v>56</v>
      </c>
      <c r="U758" t="s">
        <v>95</v>
      </c>
      <c r="V758" t="s">
        <v>43</v>
      </c>
      <c r="W758" s="1">
        <v>45551</v>
      </c>
      <c r="X758" t="b">
        <v>1</v>
      </c>
      <c r="Y758" t="b">
        <v>1</v>
      </c>
      <c r="Z758" t="s">
        <v>44</v>
      </c>
      <c r="AA758" t="s">
        <v>45</v>
      </c>
      <c r="AB758">
        <v>1</v>
      </c>
    </row>
    <row r="759" spans="1:28">
      <c r="A759" t="s">
        <v>1743</v>
      </c>
      <c r="B759">
        <v>29</v>
      </c>
      <c r="C759" t="s">
        <v>33</v>
      </c>
      <c r="D759" t="s">
        <v>51</v>
      </c>
      <c r="E759" t="s">
        <v>92</v>
      </c>
      <c r="F759" t="s">
        <v>66</v>
      </c>
      <c r="G759" t="s">
        <v>34</v>
      </c>
      <c r="H759" t="s">
        <v>1744</v>
      </c>
      <c r="I759" t="s">
        <v>135</v>
      </c>
      <c r="J759" s="2">
        <v>154.19</v>
      </c>
      <c r="K759">
        <v>6</v>
      </c>
      <c r="L759" t="s">
        <v>94</v>
      </c>
      <c r="M759">
        <v>5</v>
      </c>
      <c r="N759">
        <v>4</v>
      </c>
      <c r="O759">
        <v>1</v>
      </c>
      <c r="P759" t="s">
        <v>56</v>
      </c>
      <c r="Q759" t="s">
        <v>101</v>
      </c>
      <c r="R759">
        <v>2</v>
      </c>
      <c r="S759">
        <v>1</v>
      </c>
      <c r="T759" t="s">
        <v>40</v>
      </c>
      <c r="U759" t="s">
        <v>42</v>
      </c>
      <c r="V759" t="s">
        <v>58</v>
      </c>
      <c r="W759" s="1">
        <v>45557</v>
      </c>
      <c r="X759" t="b">
        <v>1</v>
      </c>
      <c r="Y759" t="b">
        <v>1</v>
      </c>
      <c r="Z759" t="s">
        <v>44</v>
      </c>
      <c r="AA759" t="s">
        <v>45</v>
      </c>
      <c r="AB759">
        <v>1</v>
      </c>
    </row>
    <row r="760" spans="1:28">
      <c r="A760" t="s">
        <v>1746</v>
      </c>
      <c r="B760">
        <v>41</v>
      </c>
      <c r="C760" t="s">
        <v>33</v>
      </c>
      <c r="D760" t="s">
        <v>34</v>
      </c>
      <c r="E760" t="s">
        <v>82</v>
      </c>
      <c r="F760" t="s">
        <v>36</v>
      </c>
      <c r="G760" t="s">
        <v>34</v>
      </c>
      <c r="H760" t="s">
        <v>1747</v>
      </c>
      <c r="I760" t="s">
        <v>84</v>
      </c>
      <c r="J760" s="2">
        <v>84.15</v>
      </c>
      <c r="K760">
        <v>10</v>
      </c>
      <c r="L760" t="s">
        <v>55</v>
      </c>
      <c r="M760">
        <v>1</v>
      </c>
      <c r="N760">
        <v>3</v>
      </c>
      <c r="O760">
        <v>1</v>
      </c>
      <c r="P760" t="s">
        <v>51</v>
      </c>
      <c r="Q760" t="s">
        <v>57</v>
      </c>
      <c r="R760">
        <v>2</v>
      </c>
      <c r="S760">
        <v>1</v>
      </c>
      <c r="T760" t="s">
        <v>51</v>
      </c>
      <c r="U760" t="s">
        <v>95</v>
      </c>
      <c r="V760" t="s">
        <v>58</v>
      </c>
      <c r="W760" s="1">
        <v>45599</v>
      </c>
      <c r="X760" t="b">
        <v>1</v>
      </c>
      <c r="Y760" t="b">
        <v>1</v>
      </c>
      <c r="Z760" t="s">
        <v>72</v>
      </c>
      <c r="AA760" t="s">
        <v>60</v>
      </c>
      <c r="AB760">
        <v>1</v>
      </c>
    </row>
    <row r="761" spans="1:28">
      <c r="A761" t="s">
        <v>1748</v>
      </c>
      <c r="B761">
        <v>41</v>
      </c>
      <c r="C761" t="s">
        <v>50</v>
      </c>
      <c r="D761" t="s">
        <v>34</v>
      </c>
      <c r="E761" t="s">
        <v>92</v>
      </c>
      <c r="F761" t="s">
        <v>52</v>
      </c>
      <c r="G761" t="s">
        <v>51</v>
      </c>
      <c r="H761" t="s">
        <v>1749</v>
      </c>
      <c r="I761" t="s">
        <v>180</v>
      </c>
      <c r="J761" s="2">
        <v>214.69</v>
      </c>
      <c r="K761">
        <v>7</v>
      </c>
      <c r="L761" t="s">
        <v>55</v>
      </c>
      <c r="M761">
        <v>4</v>
      </c>
      <c r="N761">
        <v>4</v>
      </c>
      <c r="O761">
        <v>0</v>
      </c>
      <c r="P761" t="s">
        <v>56</v>
      </c>
      <c r="Q761" t="s">
        <v>57</v>
      </c>
      <c r="R761">
        <v>1</v>
      </c>
      <c r="S761">
        <v>7</v>
      </c>
      <c r="T761" t="s">
        <v>40</v>
      </c>
      <c r="U761" t="s">
        <v>42</v>
      </c>
      <c r="V761" t="s">
        <v>43</v>
      </c>
      <c r="W761" s="1">
        <v>45427</v>
      </c>
      <c r="X761" t="b">
        <v>1</v>
      </c>
      <c r="Y761" t="b">
        <v>1</v>
      </c>
      <c r="Z761" t="s">
        <v>59</v>
      </c>
      <c r="AA761" t="s">
        <v>60</v>
      </c>
      <c r="AB761">
        <v>9</v>
      </c>
    </row>
    <row r="762" spans="1:28">
      <c r="A762" t="s">
        <v>1750</v>
      </c>
      <c r="B762">
        <v>32</v>
      </c>
      <c r="C762" t="s">
        <v>50</v>
      </c>
      <c r="D762" t="s">
        <v>51</v>
      </c>
      <c r="E762" t="s">
        <v>35</v>
      </c>
      <c r="F762" t="s">
        <v>36</v>
      </c>
      <c r="G762" t="s">
        <v>51</v>
      </c>
      <c r="H762" t="s">
        <v>2379</v>
      </c>
      <c r="I762" t="s">
        <v>127</v>
      </c>
      <c r="J762" s="2">
        <v>61.21</v>
      </c>
      <c r="K762">
        <v>12</v>
      </c>
      <c r="L762" t="s">
        <v>39</v>
      </c>
      <c r="M762">
        <v>5</v>
      </c>
      <c r="N762">
        <v>5</v>
      </c>
      <c r="O762">
        <v>0</v>
      </c>
      <c r="P762" t="s">
        <v>40</v>
      </c>
      <c r="Q762" t="s">
        <v>57</v>
      </c>
      <c r="R762">
        <v>0</v>
      </c>
      <c r="S762">
        <v>5</v>
      </c>
      <c r="T762" t="s">
        <v>69</v>
      </c>
      <c r="U762" t="s">
        <v>70</v>
      </c>
      <c r="V762" t="s">
        <v>43</v>
      </c>
      <c r="W762" s="1">
        <v>45620</v>
      </c>
      <c r="X762" t="b">
        <v>1</v>
      </c>
      <c r="Y762" t="b">
        <v>0</v>
      </c>
      <c r="Z762" t="s">
        <v>89</v>
      </c>
      <c r="AA762" t="s">
        <v>60</v>
      </c>
      <c r="AB762">
        <v>13</v>
      </c>
    </row>
    <row r="763" spans="1:28">
      <c r="A763" t="s">
        <v>1752</v>
      </c>
      <c r="B763">
        <v>36</v>
      </c>
      <c r="C763" t="s">
        <v>33</v>
      </c>
      <c r="D763" t="s">
        <v>34</v>
      </c>
      <c r="E763" t="s">
        <v>65</v>
      </c>
      <c r="F763" t="s">
        <v>52</v>
      </c>
      <c r="G763" t="s">
        <v>51</v>
      </c>
      <c r="H763" t="s">
        <v>1753</v>
      </c>
      <c r="I763" t="s">
        <v>143</v>
      </c>
      <c r="J763" s="2">
        <v>462.48</v>
      </c>
      <c r="K763">
        <v>11</v>
      </c>
      <c r="L763" t="s">
        <v>94</v>
      </c>
      <c r="M763">
        <v>1</v>
      </c>
      <c r="N763">
        <v>3</v>
      </c>
      <c r="O763">
        <v>0</v>
      </c>
      <c r="P763" t="s">
        <v>56</v>
      </c>
      <c r="Q763" t="s">
        <v>101</v>
      </c>
      <c r="R763">
        <v>2</v>
      </c>
      <c r="S763">
        <v>2</v>
      </c>
      <c r="T763" t="s">
        <v>69</v>
      </c>
      <c r="U763" t="s">
        <v>70</v>
      </c>
      <c r="V763" t="s">
        <v>71</v>
      </c>
      <c r="W763" s="1">
        <v>45382</v>
      </c>
      <c r="X763" t="b">
        <v>0</v>
      </c>
      <c r="Y763" t="b">
        <v>0</v>
      </c>
      <c r="Z763" t="s">
        <v>89</v>
      </c>
      <c r="AA763" t="s">
        <v>77</v>
      </c>
      <c r="AB763">
        <v>12</v>
      </c>
    </row>
    <row r="764" spans="1:28">
      <c r="A764" t="s">
        <v>1754</v>
      </c>
      <c r="B764">
        <v>33</v>
      </c>
      <c r="C764" t="s">
        <v>50</v>
      </c>
      <c r="D764" t="s">
        <v>34</v>
      </c>
      <c r="E764" t="s">
        <v>35</v>
      </c>
      <c r="F764" t="s">
        <v>36</v>
      </c>
      <c r="G764" t="s">
        <v>51</v>
      </c>
      <c r="H764" t="s">
        <v>2380</v>
      </c>
      <c r="I764" t="s">
        <v>150</v>
      </c>
      <c r="J764" s="2">
        <v>449.18</v>
      </c>
      <c r="K764">
        <v>3</v>
      </c>
      <c r="L764" t="s">
        <v>39</v>
      </c>
      <c r="M764">
        <v>5</v>
      </c>
      <c r="N764">
        <v>3</v>
      </c>
      <c r="O764">
        <v>2</v>
      </c>
      <c r="P764" t="s">
        <v>56</v>
      </c>
      <c r="Q764" t="s">
        <v>41</v>
      </c>
      <c r="R764">
        <v>0</v>
      </c>
      <c r="S764">
        <v>8</v>
      </c>
      <c r="T764" t="s">
        <v>51</v>
      </c>
      <c r="U764" t="s">
        <v>42</v>
      </c>
      <c r="V764" t="s">
        <v>43</v>
      </c>
      <c r="W764" s="1">
        <v>45372</v>
      </c>
      <c r="X764" t="b">
        <v>1</v>
      </c>
      <c r="Y764" t="b">
        <v>1</v>
      </c>
      <c r="Z764" t="s">
        <v>59</v>
      </c>
      <c r="AA764" t="s">
        <v>60</v>
      </c>
      <c r="AB764">
        <v>10</v>
      </c>
    </row>
    <row r="765" spans="1:28">
      <c r="A765" t="s">
        <v>1756</v>
      </c>
      <c r="B765">
        <v>25</v>
      </c>
      <c r="C765" t="s">
        <v>33</v>
      </c>
      <c r="D765" t="s">
        <v>34</v>
      </c>
      <c r="E765" t="s">
        <v>35</v>
      </c>
      <c r="F765" t="s">
        <v>66</v>
      </c>
      <c r="G765" t="s">
        <v>34</v>
      </c>
      <c r="H765" t="s">
        <v>1757</v>
      </c>
      <c r="I765" t="s">
        <v>112</v>
      </c>
      <c r="J765" s="2">
        <v>314.36</v>
      </c>
      <c r="K765">
        <v>7</v>
      </c>
      <c r="L765" t="s">
        <v>55</v>
      </c>
      <c r="M765">
        <v>3</v>
      </c>
      <c r="N765">
        <v>5</v>
      </c>
      <c r="O765">
        <v>2</v>
      </c>
      <c r="P765" t="s">
        <v>56</v>
      </c>
      <c r="Q765" t="s">
        <v>101</v>
      </c>
      <c r="R765">
        <v>1</v>
      </c>
      <c r="S765">
        <v>4</v>
      </c>
      <c r="T765" t="s">
        <v>40</v>
      </c>
      <c r="U765" t="s">
        <v>95</v>
      </c>
      <c r="V765" t="s">
        <v>102</v>
      </c>
      <c r="W765" s="1">
        <v>45476</v>
      </c>
      <c r="X765" t="b">
        <v>1</v>
      </c>
      <c r="Y765" t="b">
        <v>0</v>
      </c>
      <c r="Z765" t="s">
        <v>72</v>
      </c>
      <c r="AA765" t="s">
        <v>77</v>
      </c>
      <c r="AB765">
        <v>1</v>
      </c>
    </row>
    <row r="766" spans="1:28">
      <c r="A766" t="s">
        <v>1758</v>
      </c>
      <c r="B766">
        <v>46</v>
      </c>
      <c r="C766" t="s">
        <v>33</v>
      </c>
      <c r="D766" t="s">
        <v>34</v>
      </c>
      <c r="E766" t="s">
        <v>35</v>
      </c>
      <c r="F766" t="s">
        <v>36</v>
      </c>
      <c r="G766" t="s">
        <v>34</v>
      </c>
      <c r="H766" t="s">
        <v>1759</v>
      </c>
      <c r="I766" t="s">
        <v>306</v>
      </c>
      <c r="J766" s="2">
        <v>367.7</v>
      </c>
      <c r="K766">
        <v>3</v>
      </c>
      <c r="L766" t="s">
        <v>39</v>
      </c>
      <c r="M766">
        <v>3</v>
      </c>
      <c r="N766">
        <v>5</v>
      </c>
      <c r="O766">
        <v>2</v>
      </c>
      <c r="P766" t="s">
        <v>40</v>
      </c>
      <c r="Q766" t="s">
        <v>41</v>
      </c>
      <c r="R766">
        <v>2</v>
      </c>
      <c r="S766">
        <v>3</v>
      </c>
      <c r="T766" t="s">
        <v>51</v>
      </c>
      <c r="U766" t="s">
        <v>95</v>
      </c>
      <c r="V766" t="s">
        <v>43</v>
      </c>
      <c r="W766" s="1">
        <v>45368</v>
      </c>
      <c r="X766" t="b">
        <v>1</v>
      </c>
      <c r="Y766" t="b">
        <v>1</v>
      </c>
      <c r="Z766" t="s">
        <v>44</v>
      </c>
      <c r="AA766" t="s">
        <v>45</v>
      </c>
      <c r="AB766">
        <v>3</v>
      </c>
    </row>
    <row r="767" spans="1:28">
      <c r="A767" t="s">
        <v>1760</v>
      </c>
      <c r="B767">
        <v>41</v>
      </c>
      <c r="C767" t="s">
        <v>33</v>
      </c>
      <c r="D767" t="s">
        <v>51</v>
      </c>
      <c r="E767" t="s">
        <v>65</v>
      </c>
      <c r="F767" t="s">
        <v>52</v>
      </c>
      <c r="G767" t="s">
        <v>34</v>
      </c>
      <c r="H767" t="s">
        <v>1761</v>
      </c>
      <c r="I767" t="s">
        <v>108</v>
      </c>
      <c r="J767" s="2">
        <v>229.97</v>
      </c>
      <c r="K767">
        <v>7</v>
      </c>
      <c r="L767" t="s">
        <v>39</v>
      </c>
      <c r="M767">
        <v>3</v>
      </c>
      <c r="N767">
        <v>4</v>
      </c>
      <c r="O767">
        <v>0</v>
      </c>
      <c r="P767" t="s">
        <v>40</v>
      </c>
      <c r="Q767" t="s">
        <v>101</v>
      </c>
      <c r="R767">
        <v>2</v>
      </c>
      <c r="S767">
        <v>9</v>
      </c>
      <c r="T767" t="s">
        <v>40</v>
      </c>
      <c r="U767" t="s">
        <v>95</v>
      </c>
      <c r="V767" t="s">
        <v>76</v>
      </c>
      <c r="W767" s="1">
        <v>45617</v>
      </c>
      <c r="X767" t="b">
        <v>0</v>
      </c>
      <c r="Y767" t="b">
        <v>1</v>
      </c>
      <c r="Z767" t="s">
        <v>44</v>
      </c>
      <c r="AA767" t="s">
        <v>60</v>
      </c>
      <c r="AB767">
        <v>6</v>
      </c>
    </row>
    <row r="768" spans="1:28">
      <c r="A768" t="s">
        <v>1762</v>
      </c>
      <c r="B768">
        <v>28</v>
      </c>
      <c r="C768" t="s">
        <v>33</v>
      </c>
      <c r="D768" t="s">
        <v>34</v>
      </c>
      <c r="E768" t="s">
        <v>82</v>
      </c>
      <c r="F768" t="s">
        <v>36</v>
      </c>
      <c r="G768" t="s">
        <v>34</v>
      </c>
      <c r="H768" t="s">
        <v>1763</v>
      </c>
      <c r="I768" t="s">
        <v>75</v>
      </c>
      <c r="J768" s="2">
        <v>226.53</v>
      </c>
      <c r="K768">
        <v>3</v>
      </c>
      <c r="L768" t="s">
        <v>94</v>
      </c>
      <c r="M768">
        <v>3</v>
      </c>
      <c r="N768">
        <v>1</v>
      </c>
      <c r="O768">
        <v>1</v>
      </c>
      <c r="P768" t="s">
        <v>51</v>
      </c>
      <c r="Q768" t="s">
        <v>57</v>
      </c>
      <c r="R768">
        <v>1</v>
      </c>
      <c r="S768">
        <v>10</v>
      </c>
      <c r="T768" t="s">
        <v>56</v>
      </c>
      <c r="U768" t="s">
        <v>95</v>
      </c>
      <c r="V768" t="s">
        <v>58</v>
      </c>
      <c r="W768" s="1">
        <v>45506</v>
      </c>
      <c r="X768" t="b">
        <v>1</v>
      </c>
      <c r="Y768" t="b">
        <v>0</v>
      </c>
      <c r="Z768" t="s">
        <v>59</v>
      </c>
      <c r="AA768" t="s">
        <v>45</v>
      </c>
      <c r="AB768">
        <v>13</v>
      </c>
    </row>
    <row r="769" spans="1:28">
      <c r="A769" t="s">
        <v>1764</v>
      </c>
      <c r="B769">
        <v>23</v>
      </c>
      <c r="C769" t="s">
        <v>50</v>
      </c>
      <c r="D769" t="s">
        <v>51</v>
      </c>
      <c r="E769" t="s">
        <v>92</v>
      </c>
      <c r="F769" t="s">
        <v>66</v>
      </c>
      <c r="G769" t="s">
        <v>34</v>
      </c>
      <c r="H769" t="s">
        <v>1765</v>
      </c>
      <c r="I769" t="s">
        <v>150</v>
      </c>
      <c r="J769" s="2">
        <v>218.32</v>
      </c>
      <c r="K769">
        <v>2</v>
      </c>
      <c r="L769" t="s">
        <v>39</v>
      </c>
      <c r="M769">
        <v>5</v>
      </c>
      <c r="N769">
        <v>3</v>
      </c>
      <c r="O769">
        <v>0</v>
      </c>
      <c r="P769" t="s">
        <v>51</v>
      </c>
      <c r="Q769" t="s">
        <v>57</v>
      </c>
      <c r="R769">
        <v>2</v>
      </c>
      <c r="S769">
        <v>7</v>
      </c>
      <c r="T769" t="s">
        <v>69</v>
      </c>
      <c r="U769" t="s">
        <v>95</v>
      </c>
      <c r="V769" t="s">
        <v>58</v>
      </c>
      <c r="W769" s="1">
        <v>45559</v>
      </c>
      <c r="X769" t="b">
        <v>0</v>
      </c>
      <c r="Y769" t="b">
        <v>0</v>
      </c>
      <c r="Z769" t="s">
        <v>44</v>
      </c>
      <c r="AA769" t="s">
        <v>77</v>
      </c>
      <c r="AB769">
        <v>3</v>
      </c>
    </row>
    <row r="770" spans="1:28">
      <c r="A770" t="s">
        <v>1766</v>
      </c>
      <c r="B770">
        <v>48</v>
      </c>
      <c r="C770" t="s">
        <v>33</v>
      </c>
      <c r="D770" t="s">
        <v>51</v>
      </c>
      <c r="E770" t="s">
        <v>82</v>
      </c>
      <c r="F770" t="s">
        <v>52</v>
      </c>
      <c r="G770" t="s">
        <v>51</v>
      </c>
      <c r="H770" t="s">
        <v>1767</v>
      </c>
      <c r="I770" t="s">
        <v>84</v>
      </c>
      <c r="J770" s="2">
        <v>132.66999999999999</v>
      </c>
      <c r="K770">
        <v>7</v>
      </c>
      <c r="L770" t="s">
        <v>55</v>
      </c>
      <c r="M770">
        <v>2</v>
      </c>
      <c r="N770">
        <v>5</v>
      </c>
      <c r="O770">
        <v>1</v>
      </c>
      <c r="P770" t="s">
        <v>69</v>
      </c>
      <c r="Q770" t="s">
        <v>101</v>
      </c>
      <c r="R770">
        <v>2</v>
      </c>
      <c r="S770">
        <v>3</v>
      </c>
      <c r="T770" t="s">
        <v>69</v>
      </c>
      <c r="U770" t="s">
        <v>70</v>
      </c>
      <c r="V770" t="s">
        <v>76</v>
      </c>
      <c r="W770" s="1">
        <v>45644</v>
      </c>
      <c r="X770" t="b">
        <v>1</v>
      </c>
      <c r="Y770" t="b">
        <v>0</v>
      </c>
      <c r="Z770" t="s">
        <v>72</v>
      </c>
      <c r="AA770" t="s">
        <v>77</v>
      </c>
      <c r="AB770">
        <v>1</v>
      </c>
    </row>
    <row r="771" spans="1:28">
      <c r="A771" t="s">
        <v>1768</v>
      </c>
      <c r="B771">
        <v>26</v>
      </c>
      <c r="C771" t="s">
        <v>50</v>
      </c>
      <c r="D771" t="s">
        <v>51</v>
      </c>
      <c r="E771" t="s">
        <v>65</v>
      </c>
      <c r="F771" t="s">
        <v>66</v>
      </c>
      <c r="G771" t="s">
        <v>51</v>
      </c>
      <c r="H771" t="s">
        <v>1769</v>
      </c>
      <c r="I771" t="s">
        <v>170</v>
      </c>
      <c r="J771" s="2">
        <v>416.96</v>
      </c>
      <c r="K771">
        <v>7</v>
      </c>
      <c r="L771" t="s">
        <v>55</v>
      </c>
      <c r="M771">
        <v>5</v>
      </c>
      <c r="N771">
        <v>1</v>
      </c>
      <c r="O771">
        <v>1</v>
      </c>
      <c r="P771" t="s">
        <v>51</v>
      </c>
      <c r="Q771" t="s">
        <v>57</v>
      </c>
      <c r="R771">
        <v>0</v>
      </c>
      <c r="S771">
        <v>1</v>
      </c>
      <c r="T771" t="s">
        <v>51</v>
      </c>
      <c r="U771" t="s">
        <v>42</v>
      </c>
      <c r="V771" t="s">
        <v>76</v>
      </c>
      <c r="W771" s="1">
        <v>45437</v>
      </c>
      <c r="X771" t="b">
        <v>0</v>
      </c>
      <c r="Y771" t="b">
        <v>0</v>
      </c>
      <c r="Z771" t="s">
        <v>89</v>
      </c>
      <c r="AA771" t="s">
        <v>77</v>
      </c>
      <c r="AB771">
        <v>7</v>
      </c>
    </row>
    <row r="772" spans="1:28">
      <c r="A772" t="s">
        <v>1770</v>
      </c>
      <c r="B772">
        <v>39</v>
      </c>
      <c r="C772" t="s">
        <v>33</v>
      </c>
      <c r="D772" t="s">
        <v>51</v>
      </c>
      <c r="E772" t="s">
        <v>35</v>
      </c>
      <c r="F772" t="s">
        <v>66</v>
      </c>
      <c r="G772" t="s">
        <v>34</v>
      </c>
      <c r="H772" t="s">
        <v>1771</v>
      </c>
      <c r="I772" t="s">
        <v>170</v>
      </c>
      <c r="J772" s="2">
        <v>459.51</v>
      </c>
      <c r="K772">
        <v>7</v>
      </c>
      <c r="L772" t="s">
        <v>55</v>
      </c>
      <c r="M772">
        <v>1</v>
      </c>
      <c r="N772">
        <v>2</v>
      </c>
      <c r="O772">
        <v>2</v>
      </c>
      <c r="P772" t="s">
        <v>51</v>
      </c>
      <c r="Q772" t="s">
        <v>57</v>
      </c>
      <c r="R772">
        <v>0</v>
      </c>
      <c r="S772">
        <v>5</v>
      </c>
      <c r="T772" t="s">
        <v>56</v>
      </c>
      <c r="U772" t="s">
        <v>42</v>
      </c>
      <c r="V772" t="s">
        <v>71</v>
      </c>
      <c r="W772" s="1">
        <v>45296</v>
      </c>
      <c r="X772" t="b">
        <v>1</v>
      </c>
      <c r="Y772" t="b">
        <v>0</v>
      </c>
      <c r="Z772" t="s">
        <v>44</v>
      </c>
      <c r="AA772" t="s">
        <v>45</v>
      </c>
      <c r="AB772">
        <v>11</v>
      </c>
    </row>
    <row r="773" spans="1:28">
      <c r="A773" t="s">
        <v>1772</v>
      </c>
      <c r="B773">
        <v>45</v>
      </c>
      <c r="C773" t="s">
        <v>50</v>
      </c>
      <c r="D773" t="s">
        <v>34</v>
      </c>
      <c r="E773" t="s">
        <v>35</v>
      </c>
      <c r="F773" t="s">
        <v>52</v>
      </c>
      <c r="G773" t="s">
        <v>51</v>
      </c>
      <c r="H773" t="s">
        <v>1773</v>
      </c>
      <c r="I773" t="s">
        <v>108</v>
      </c>
      <c r="J773" s="2">
        <v>487.96</v>
      </c>
      <c r="K773">
        <v>2</v>
      </c>
      <c r="L773" t="s">
        <v>39</v>
      </c>
      <c r="M773">
        <v>5</v>
      </c>
      <c r="N773">
        <v>3</v>
      </c>
      <c r="O773">
        <v>2</v>
      </c>
      <c r="P773" t="s">
        <v>69</v>
      </c>
      <c r="Q773" t="s">
        <v>101</v>
      </c>
      <c r="R773">
        <v>0</v>
      </c>
      <c r="S773">
        <v>2</v>
      </c>
      <c r="T773" t="s">
        <v>40</v>
      </c>
      <c r="U773" t="s">
        <v>95</v>
      </c>
      <c r="V773" t="s">
        <v>58</v>
      </c>
      <c r="W773" s="1">
        <v>45366</v>
      </c>
      <c r="X773" t="b">
        <v>1</v>
      </c>
      <c r="Y773" t="b">
        <v>1</v>
      </c>
      <c r="Z773" t="s">
        <v>44</v>
      </c>
      <c r="AA773" t="s">
        <v>45</v>
      </c>
      <c r="AB773">
        <v>12</v>
      </c>
    </row>
    <row r="774" spans="1:28">
      <c r="A774" t="s">
        <v>1775</v>
      </c>
      <c r="B774">
        <v>22</v>
      </c>
      <c r="C774" t="s">
        <v>50</v>
      </c>
      <c r="D774" t="s">
        <v>34</v>
      </c>
      <c r="E774" t="s">
        <v>92</v>
      </c>
      <c r="F774" t="s">
        <v>52</v>
      </c>
      <c r="G774" t="s">
        <v>51</v>
      </c>
      <c r="H774" t="s">
        <v>2381</v>
      </c>
      <c r="I774" t="s">
        <v>156</v>
      </c>
      <c r="J774" s="2">
        <v>150.11000000000001</v>
      </c>
      <c r="K774">
        <v>7</v>
      </c>
      <c r="L774" t="s">
        <v>39</v>
      </c>
      <c r="M774">
        <v>4</v>
      </c>
      <c r="N774">
        <v>4</v>
      </c>
      <c r="O774">
        <v>1.5</v>
      </c>
      <c r="P774" t="s">
        <v>69</v>
      </c>
      <c r="Q774" t="s">
        <v>101</v>
      </c>
      <c r="R774">
        <v>0</v>
      </c>
      <c r="S774">
        <v>3</v>
      </c>
      <c r="T774" t="s">
        <v>51</v>
      </c>
      <c r="U774" t="s">
        <v>70</v>
      </c>
      <c r="V774" t="s">
        <v>43</v>
      </c>
      <c r="W774" s="1">
        <v>45496</v>
      </c>
      <c r="X774" t="b">
        <v>1</v>
      </c>
      <c r="Y774" t="b">
        <v>0</v>
      </c>
      <c r="Z774" t="s">
        <v>59</v>
      </c>
      <c r="AA774" t="s">
        <v>60</v>
      </c>
      <c r="AB774">
        <v>8</v>
      </c>
    </row>
    <row r="775" spans="1:28">
      <c r="A775" t="s">
        <v>1777</v>
      </c>
      <c r="B775">
        <v>36</v>
      </c>
      <c r="C775" t="s">
        <v>50</v>
      </c>
      <c r="D775" t="s">
        <v>51</v>
      </c>
      <c r="E775" t="s">
        <v>35</v>
      </c>
      <c r="F775" t="s">
        <v>52</v>
      </c>
      <c r="G775" t="s">
        <v>34</v>
      </c>
      <c r="H775" t="s">
        <v>1778</v>
      </c>
      <c r="I775" t="s">
        <v>135</v>
      </c>
      <c r="J775" s="2">
        <v>218.87</v>
      </c>
      <c r="K775">
        <v>5</v>
      </c>
      <c r="L775" t="s">
        <v>39</v>
      </c>
      <c r="M775">
        <v>4</v>
      </c>
      <c r="N775">
        <v>3</v>
      </c>
      <c r="O775">
        <v>0</v>
      </c>
      <c r="P775" t="s">
        <v>56</v>
      </c>
      <c r="Q775" t="s">
        <v>101</v>
      </c>
      <c r="R775">
        <v>0</v>
      </c>
      <c r="S775">
        <v>4</v>
      </c>
      <c r="T775" t="s">
        <v>56</v>
      </c>
      <c r="U775" t="s">
        <v>70</v>
      </c>
      <c r="V775" t="s">
        <v>102</v>
      </c>
      <c r="W775" s="1">
        <v>45553</v>
      </c>
      <c r="X775" t="b">
        <v>1</v>
      </c>
      <c r="Y775" t="b">
        <v>0</v>
      </c>
      <c r="Z775" t="s">
        <v>89</v>
      </c>
      <c r="AA775" t="s">
        <v>45</v>
      </c>
      <c r="AB775">
        <v>11</v>
      </c>
    </row>
    <row r="776" spans="1:28">
      <c r="A776" t="s">
        <v>1779</v>
      </c>
      <c r="B776">
        <v>29</v>
      </c>
      <c r="C776" t="s">
        <v>33</v>
      </c>
      <c r="D776" t="s">
        <v>34</v>
      </c>
      <c r="E776" t="s">
        <v>35</v>
      </c>
      <c r="F776" t="s">
        <v>36</v>
      </c>
      <c r="G776" t="s">
        <v>51</v>
      </c>
      <c r="H776" t="s">
        <v>1780</v>
      </c>
      <c r="I776" t="s">
        <v>112</v>
      </c>
      <c r="J776" s="2">
        <v>437.06</v>
      </c>
      <c r="K776">
        <v>7</v>
      </c>
      <c r="L776" t="s">
        <v>55</v>
      </c>
      <c r="M776">
        <v>3</v>
      </c>
      <c r="N776">
        <v>5</v>
      </c>
      <c r="O776">
        <v>2</v>
      </c>
      <c r="P776" t="s">
        <v>69</v>
      </c>
      <c r="Q776" t="s">
        <v>101</v>
      </c>
      <c r="R776">
        <v>0</v>
      </c>
      <c r="S776">
        <v>6</v>
      </c>
      <c r="T776" t="s">
        <v>69</v>
      </c>
      <c r="U776" t="s">
        <v>70</v>
      </c>
      <c r="V776" t="s">
        <v>102</v>
      </c>
      <c r="W776" s="1">
        <v>45360</v>
      </c>
      <c r="X776" t="b">
        <v>0</v>
      </c>
      <c r="Y776" t="b">
        <v>0</v>
      </c>
      <c r="Z776" t="s">
        <v>72</v>
      </c>
      <c r="AA776" t="s">
        <v>77</v>
      </c>
      <c r="AB776">
        <v>11</v>
      </c>
    </row>
    <row r="777" spans="1:28">
      <c r="A777" t="s">
        <v>1781</v>
      </c>
      <c r="B777">
        <v>33</v>
      </c>
      <c r="C777" t="s">
        <v>50</v>
      </c>
      <c r="D777" t="s">
        <v>51</v>
      </c>
      <c r="E777" t="s">
        <v>35</v>
      </c>
      <c r="F777" t="s">
        <v>36</v>
      </c>
      <c r="G777" t="s">
        <v>51</v>
      </c>
      <c r="H777" t="s">
        <v>1782</v>
      </c>
      <c r="I777" t="s">
        <v>235</v>
      </c>
      <c r="J777" s="2">
        <v>122.58</v>
      </c>
      <c r="K777">
        <v>2</v>
      </c>
      <c r="L777" t="s">
        <v>55</v>
      </c>
      <c r="M777">
        <v>5</v>
      </c>
      <c r="N777">
        <v>4</v>
      </c>
      <c r="O777">
        <v>1.5</v>
      </c>
      <c r="P777" t="s">
        <v>69</v>
      </c>
      <c r="Q777" t="s">
        <v>57</v>
      </c>
      <c r="R777">
        <v>2</v>
      </c>
      <c r="S777">
        <v>5</v>
      </c>
      <c r="T777" t="s">
        <v>40</v>
      </c>
      <c r="U777" t="s">
        <v>42</v>
      </c>
      <c r="V777" t="s">
        <v>76</v>
      </c>
      <c r="W777" s="1">
        <v>45320</v>
      </c>
      <c r="X777" t="b">
        <v>1</v>
      </c>
      <c r="Y777" t="b">
        <v>0</v>
      </c>
      <c r="Z777" t="s">
        <v>72</v>
      </c>
      <c r="AA777" t="s">
        <v>77</v>
      </c>
      <c r="AB777">
        <v>12</v>
      </c>
    </row>
    <row r="778" spans="1:28">
      <c r="A778" t="s">
        <v>1783</v>
      </c>
      <c r="B778">
        <v>35</v>
      </c>
      <c r="C778" t="s">
        <v>50</v>
      </c>
      <c r="D778" t="s">
        <v>51</v>
      </c>
      <c r="E778" t="s">
        <v>35</v>
      </c>
      <c r="F778" t="s">
        <v>66</v>
      </c>
      <c r="G778" t="s">
        <v>34</v>
      </c>
      <c r="H778" t="s">
        <v>1784</v>
      </c>
      <c r="I778" t="s">
        <v>54</v>
      </c>
      <c r="J778" s="2">
        <v>195.07</v>
      </c>
      <c r="K778">
        <v>8</v>
      </c>
      <c r="L778" t="s">
        <v>94</v>
      </c>
      <c r="M778">
        <v>3</v>
      </c>
      <c r="N778">
        <v>1</v>
      </c>
      <c r="O778">
        <v>1</v>
      </c>
      <c r="P778" t="s">
        <v>51</v>
      </c>
      <c r="Q778" t="s">
        <v>41</v>
      </c>
      <c r="R778">
        <v>0</v>
      </c>
      <c r="S778">
        <v>6</v>
      </c>
      <c r="T778" t="s">
        <v>40</v>
      </c>
      <c r="U778" t="s">
        <v>70</v>
      </c>
      <c r="V778" t="s">
        <v>71</v>
      </c>
      <c r="W778" s="1">
        <v>45495</v>
      </c>
      <c r="X778" t="b">
        <v>0</v>
      </c>
      <c r="Y778" t="b">
        <v>0</v>
      </c>
      <c r="Z778" t="s">
        <v>72</v>
      </c>
      <c r="AA778" t="s">
        <v>45</v>
      </c>
      <c r="AB778">
        <v>10</v>
      </c>
    </row>
    <row r="779" spans="1:28">
      <c r="A779" t="s">
        <v>1785</v>
      </c>
      <c r="B779">
        <v>39</v>
      </c>
      <c r="C779" t="s">
        <v>33</v>
      </c>
      <c r="D779" t="s">
        <v>34</v>
      </c>
      <c r="E779" t="s">
        <v>65</v>
      </c>
      <c r="F779" t="s">
        <v>52</v>
      </c>
      <c r="G779" t="s">
        <v>51</v>
      </c>
      <c r="H779" t="s">
        <v>1786</v>
      </c>
      <c r="I779" t="s">
        <v>98</v>
      </c>
      <c r="J779" s="2">
        <v>190.06</v>
      </c>
      <c r="K779">
        <v>9</v>
      </c>
      <c r="L779" t="s">
        <v>55</v>
      </c>
      <c r="M779">
        <v>5</v>
      </c>
      <c r="N779">
        <v>1</v>
      </c>
      <c r="O779">
        <v>1</v>
      </c>
      <c r="P779" t="s">
        <v>40</v>
      </c>
      <c r="Q779" t="s">
        <v>41</v>
      </c>
      <c r="R779">
        <v>1</v>
      </c>
      <c r="S779">
        <v>2</v>
      </c>
      <c r="T779" t="s">
        <v>69</v>
      </c>
      <c r="U779" t="s">
        <v>70</v>
      </c>
      <c r="V779" t="s">
        <v>76</v>
      </c>
      <c r="W779" s="1">
        <v>45325</v>
      </c>
      <c r="X779" t="b">
        <v>1</v>
      </c>
      <c r="Y779" t="b">
        <v>1</v>
      </c>
      <c r="Z779" t="s">
        <v>89</v>
      </c>
      <c r="AA779" t="s">
        <v>60</v>
      </c>
      <c r="AB779">
        <v>12</v>
      </c>
    </row>
    <row r="780" spans="1:28">
      <c r="A780" t="s">
        <v>1787</v>
      </c>
      <c r="B780">
        <v>38</v>
      </c>
      <c r="C780" t="s">
        <v>33</v>
      </c>
      <c r="D780" t="s">
        <v>34</v>
      </c>
      <c r="E780" t="s">
        <v>65</v>
      </c>
      <c r="F780" t="s">
        <v>52</v>
      </c>
      <c r="G780" t="s">
        <v>34</v>
      </c>
      <c r="H780" t="s">
        <v>1788</v>
      </c>
      <c r="I780" t="s">
        <v>199</v>
      </c>
      <c r="J780" s="2">
        <v>485.76</v>
      </c>
      <c r="K780">
        <v>10</v>
      </c>
      <c r="L780" t="s">
        <v>55</v>
      </c>
      <c r="M780">
        <v>3</v>
      </c>
      <c r="N780">
        <v>4</v>
      </c>
      <c r="O780">
        <v>0</v>
      </c>
      <c r="P780" t="s">
        <v>56</v>
      </c>
      <c r="Q780" t="s">
        <v>41</v>
      </c>
      <c r="R780">
        <v>0</v>
      </c>
      <c r="S780">
        <v>4</v>
      </c>
      <c r="T780" t="s">
        <v>51</v>
      </c>
      <c r="U780" t="s">
        <v>95</v>
      </c>
      <c r="V780" t="s">
        <v>71</v>
      </c>
      <c r="W780" s="1">
        <v>45446</v>
      </c>
      <c r="X780" t="b">
        <v>1</v>
      </c>
      <c r="Y780" t="b">
        <v>1</v>
      </c>
      <c r="Z780" t="s">
        <v>59</v>
      </c>
      <c r="AA780" t="s">
        <v>45</v>
      </c>
      <c r="AB780">
        <v>4</v>
      </c>
    </row>
    <row r="781" spans="1:28">
      <c r="A781" t="s">
        <v>1789</v>
      </c>
      <c r="B781">
        <v>27</v>
      </c>
      <c r="C781" t="s">
        <v>33</v>
      </c>
      <c r="D781" t="s">
        <v>51</v>
      </c>
      <c r="E781" t="s">
        <v>65</v>
      </c>
      <c r="F781" t="s">
        <v>36</v>
      </c>
      <c r="G781" t="s">
        <v>51</v>
      </c>
      <c r="H781" t="s">
        <v>1790</v>
      </c>
      <c r="I781" t="s">
        <v>98</v>
      </c>
      <c r="J781" s="2">
        <v>242.57</v>
      </c>
      <c r="K781">
        <v>7</v>
      </c>
      <c r="L781" t="s">
        <v>55</v>
      </c>
      <c r="M781">
        <v>1</v>
      </c>
      <c r="N781">
        <v>1</v>
      </c>
      <c r="O781">
        <v>1</v>
      </c>
      <c r="P781" t="s">
        <v>69</v>
      </c>
      <c r="Q781" t="s">
        <v>57</v>
      </c>
      <c r="R781">
        <v>0</v>
      </c>
      <c r="S781">
        <v>10</v>
      </c>
      <c r="T781" t="s">
        <v>69</v>
      </c>
      <c r="U781" t="s">
        <v>70</v>
      </c>
      <c r="V781" t="s">
        <v>58</v>
      </c>
      <c r="W781" s="1">
        <v>45570</v>
      </c>
      <c r="X781" t="b">
        <v>1</v>
      </c>
      <c r="Y781" t="b">
        <v>0</v>
      </c>
      <c r="Z781" t="s">
        <v>59</v>
      </c>
      <c r="AA781" t="s">
        <v>45</v>
      </c>
      <c r="AB781">
        <v>1</v>
      </c>
    </row>
    <row r="782" spans="1:28">
      <c r="A782" t="s">
        <v>1792</v>
      </c>
      <c r="B782">
        <v>35</v>
      </c>
      <c r="C782" t="s">
        <v>50</v>
      </c>
      <c r="D782" t="s">
        <v>34</v>
      </c>
      <c r="E782" t="s">
        <v>82</v>
      </c>
      <c r="F782" t="s">
        <v>52</v>
      </c>
      <c r="G782" t="s">
        <v>51</v>
      </c>
      <c r="H782" t="s">
        <v>2382</v>
      </c>
      <c r="I782" t="s">
        <v>170</v>
      </c>
      <c r="J782" s="2">
        <v>303.13</v>
      </c>
      <c r="K782">
        <v>2</v>
      </c>
      <c r="L782" t="s">
        <v>94</v>
      </c>
      <c r="M782">
        <v>1</v>
      </c>
      <c r="N782">
        <v>1</v>
      </c>
      <c r="O782">
        <v>1</v>
      </c>
      <c r="P782" t="s">
        <v>51</v>
      </c>
      <c r="Q782" t="s">
        <v>57</v>
      </c>
      <c r="R782">
        <v>0</v>
      </c>
      <c r="S782">
        <v>7</v>
      </c>
      <c r="T782" t="s">
        <v>56</v>
      </c>
      <c r="U782" t="s">
        <v>95</v>
      </c>
      <c r="V782" t="s">
        <v>71</v>
      </c>
      <c r="W782" s="1">
        <v>45295</v>
      </c>
      <c r="X782" t="b">
        <v>0</v>
      </c>
      <c r="Y782" t="b">
        <v>1</v>
      </c>
      <c r="Z782" t="s">
        <v>44</v>
      </c>
      <c r="AA782" t="s">
        <v>60</v>
      </c>
      <c r="AB782">
        <v>10</v>
      </c>
    </row>
    <row r="783" spans="1:28">
      <c r="A783" t="s">
        <v>1796</v>
      </c>
      <c r="B783">
        <v>43</v>
      </c>
      <c r="C783" t="s">
        <v>33</v>
      </c>
      <c r="D783" t="s">
        <v>34</v>
      </c>
      <c r="E783" t="s">
        <v>82</v>
      </c>
      <c r="F783" t="s">
        <v>66</v>
      </c>
      <c r="G783" t="s">
        <v>34</v>
      </c>
      <c r="H783" t="s">
        <v>1797</v>
      </c>
      <c r="I783" t="s">
        <v>156</v>
      </c>
      <c r="J783" s="2">
        <v>136.1</v>
      </c>
      <c r="K783">
        <v>5</v>
      </c>
      <c r="L783" t="s">
        <v>55</v>
      </c>
      <c r="M783">
        <v>3</v>
      </c>
      <c r="N783">
        <v>5</v>
      </c>
      <c r="O783">
        <v>2</v>
      </c>
      <c r="P783" t="s">
        <v>69</v>
      </c>
      <c r="Q783" t="s">
        <v>101</v>
      </c>
      <c r="R783">
        <v>0</v>
      </c>
      <c r="S783">
        <v>2</v>
      </c>
      <c r="T783" t="s">
        <v>51</v>
      </c>
      <c r="U783" t="s">
        <v>42</v>
      </c>
      <c r="V783" t="s">
        <v>71</v>
      </c>
      <c r="W783" s="1">
        <v>45349</v>
      </c>
      <c r="X783" t="b">
        <v>0</v>
      </c>
      <c r="Y783" t="b">
        <v>1</v>
      </c>
      <c r="Z783" t="s">
        <v>89</v>
      </c>
      <c r="AA783" t="s">
        <v>77</v>
      </c>
      <c r="AB783">
        <v>14</v>
      </c>
    </row>
    <row r="784" spans="1:28">
      <c r="A784" t="s">
        <v>1798</v>
      </c>
      <c r="B784">
        <v>40</v>
      </c>
      <c r="C784" t="s">
        <v>106</v>
      </c>
      <c r="D784" t="s">
        <v>51</v>
      </c>
      <c r="E784" t="s">
        <v>65</v>
      </c>
      <c r="F784" t="s">
        <v>36</v>
      </c>
      <c r="G784" t="s">
        <v>34</v>
      </c>
      <c r="H784" t="s">
        <v>1799</v>
      </c>
      <c r="I784" t="s">
        <v>147</v>
      </c>
      <c r="J784" s="2">
        <v>249.02</v>
      </c>
      <c r="K784">
        <v>11</v>
      </c>
      <c r="L784" t="s">
        <v>39</v>
      </c>
      <c r="M784">
        <v>3</v>
      </c>
      <c r="N784">
        <v>2</v>
      </c>
      <c r="O784">
        <v>0.3</v>
      </c>
      <c r="P784" t="s">
        <v>56</v>
      </c>
      <c r="Q784" t="s">
        <v>57</v>
      </c>
      <c r="R784">
        <v>1</v>
      </c>
      <c r="S784">
        <v>1</v>
      </c>
      <c r="T784" t="s">
        <v>56</v>
      </c>
      <c r="U784" t="s">
        <v>70</v>
      </c>
      <c r="V784" t="s">
        <v>58</v>
      </c>
      <c r="W784" s="1">
        <v>45566</v>
      </c>
      <c r="X784" t="b">
        <v>1</v>
      </c>
      <c r="Y784" t="b">
        <v>1</v>
      </c>
      <c r="Z784" t="s">
        <v>89</v>
      </c>
      <c r="AA784" t="s">
        <v>77</v>
      </c>
      <c r="AB784">
        <v>14</v>
      </c>
    </row>
    <row r="785" spans="1:28">
      <c r="A785" t="s">
        <v>1800</v>
      </c>
      <c r="B785">
        <v>19</v>
      </c>
      <c r="C785" t="s">
        <v>50</v>
      </c>
      <c r="D785" t="s">
        <v>34</v>
      </c>
      <c r="E785" t="s">
        <v>92</v>
      </c>
      <c r="F785" t="s">
        <v>52</v>
      </c>
      <c r="G785" t="s">
        <v>34</v>
      </c>
      <c r="H785" t="s">
        <v>1801</v>
      </c>
      <c r="I785" t="s">
        <v>68</v>
      </c>
      <c r="J785" s="2">
        <v>466.74</v>
      </c>
      <c r="K785">
        <v>7</v>
      </c>
      <c r="L785" t="s">
        <v>55</v>
      </c>
      <c r="M785">
        <v>3</v>
      </c>
      <c r="N785">
        <v>4</v>
      </c>
      <c r="O785">
        <v>0.2</v>
      </c>
      <c r="P785" t="s">
        <v>56</v>
      </c>
      <c r="Q785" t="s">
        <v>57</v>
      </c>
      <c r="R785">
        <v>2</v>
      </c>
      <c r="S785">
        <v>3</v>
      </c>
      <c r="T785" t="s">
        <v>51</v>
      </c>
      <c r="U785" t="s">
        <v>42</v>
      </c>
      <c r="V785" t="s">
        <v>71</v>
      </c>
      <c r="W785" s="1">
        <v>45637</v>
      </c>
      <c r="X785" t="b">
        <v>1</v>
      </c>
      <c r="Y785" t="b">
        <v>1</v>
      </c>
      <c r="Z785" t="s">
        <v>44</v>
      </c>
      <c r="AA785" t="s">
        <v>77</v>
      </c>
      <c r="AB785">
        <v>5</v>
      </c>
    </row>
    <row r="786" spans="1:28">
      <c r="A786" t="s">
        <v>1802</v>
      </c>
      <c r="B786">
        <v>46</v>
      </c>
      <c r="C786" t="s">
        <v>340</v>
      </c>
      <c r="D786" t="s">
        <v>51</v>
      </c>
      <c r="E786" t="s">
        <v>35</v>
      </c>
      <c r="F786" t="s">
        <v>52</v>
      </c>
      <c r="G786" t="s">
        <v>51</v>
      </c>
      <c r="H786" t="s">
        <v>1803</v>
      </c>
      <c r="I786" t="s">
        <v>127</v>
      </c>
      <c r="J786" s="2">
        <v>229.3</v>
      </c>
      <c r="K786">
        <v>6</v>
      </c>
      <c r="L786" t="s">
        <v>55</v>
      </c>
      <c r="M786">
        <v>4</v>
      </c>
      <c r="N786">
        <v>5</v>
      </c>
      <c r="O786">
        <v>2</v>
      </c>
      <c r="P786" t="s">
        <v>40</v>
      </c>
      <c r="Q786" t="s">
        <v>41</v>
      </c>
      <c r="R786">
        <v>0</v>
      </c>
      <c r="S786">
        <v>6</v>
      </c>
      <c r="T786" t="s">
        <v>40</v>
      </c>
      <c r="U786" t="s">
        <v>70</v>
      </c>
      <c r="V786" t="s">
        <v>76</v>
      </c>
      <c r="W786" s="1">
        <v>45621</v>
      </c>
      <c r="X786" t="b">
        <v>0</v>
      </c>
      <c r="Y786" t="b">
        <v>0</v>
      </c>
      <c r="Z786" t="s">
        <v>89</v>
      </c>
      <c r="AA786" t="s">
        <v>77</v>
      </c>
      <c r="AB786">
        <v>6</v>
      </c>
    </row>
    <row r="787" spans="1:28">
      <c r="A787" t="s">
        <v>1804</v>
      </c>
      <c r="B787">
        <v>30</v>
      </c>
      <c r="C787" t="s">
        <v>33</v>
      </c>
      <c r="D787" t="s">
        <v>51</v>
      </c>
      <c r="E787" t="s">
        <v>65</v>
      </c>
      <c r="F787" t="s">
        <v>52</v>
      </c>
      <c r="G787" t="s">
        <v>51</v>
      </c>
      <c r="H787" t="s">
        <v>2383</v>
      </c>
      <c r="I787" t="s">
        <v>143</v>
      </c>
      <c r="J787" s="2">
        <v>450.52</v>
      </c>
      <c r="K787">
        <v>8</v>
      </c>
      <c r="L787" t="s">
        <v>94</v>
      </c>
      <c r="M787">
        <v>2</v>
      </c>
      <c r="N787">
        <v>2</v>
      </c>
      <c r="O787">
        <v>0.2</v>
      </c>
      <c r="P787" t="s">
        <v>51</v>
      </c>
      <c r="Q787" t="s">
        <v>41</v>
      </c>
      <c r="R787">
        <v>0</v>
      </c>
      <c r="S787">
        <v>6</v>
      </c>
      <c r="T787" t="s">
        <v>69</v>
      </c>
      <c r="U787" t="s">
        <v>95</v>
      </c>
      <c r="V787" t="s">
        <v>58</v>
      </c>
      <c r="W787" s="1">
        <v>45304</v>
      </c>
      <c r="X787" t="b">
        <v>1</v>
      </c>
      <c r="Y787" t="b">
        <v>1</v>
      </c>
      <c r="Z787" t="s">
        <v>44</v>
      </c>
      <c r="AA787" t="s">
        <v>45</v>
      </c>
      <c r="AB787">
        <v>8</v>
      </c>
    </row>
    <row r="788" spans="1:28">
      <c r="A788" t="s">
        <v>1806</v>
      </c>
      <c r="B788">
        <v>35</v>
      </c>
      <c r="C788" t="s">
        <v>50</v>
      </c>
      <c r="D788" t="s">
        <v>51</v>
      </c>
      <c r="E788" t="s">
        <v>92</v>
      </c>
      <c r="F788" t="s">
        <v>36</v>
      </c>
      <c r="G788" t="s">
        <v>34</v>
      </c>
      <c r="H788" t="s">
        <v>1807</v>
      </c>
      <c r="I788" t="s">
        <v>199</v>
      </c>
      <c r="J788" s="2">
        <v>246.44</v>
      </c>
      <c r="K788">
        <v>4</v>
      </c>
      <c r="L788" t="s">
        <v>39</v>
      </c>
      <c r="M788">
        <v>3</v>
      </c>
      <c r="N788">
        <v>1</v>
      </c>
      <c r="O788">
        <v>1</v>
      </c>
      <c r="P788" t="s">
        <v>56</v>
      </c>
      <c r="Q788" t="s">
        <v>41</v>
      </c>
      <c r="R788">
        <v>0</v>
      </c>
      <c r="S788">
        <v>3</v>
      </c>
      <c r="T788" t="s">
        <v>56</v>
      </c>
      <c r="U788" t="s">
        <v>70</v>
      </c>
      <c r="V788" t="s">
        <v>71</v>
      </c>
      <c r="W788" s="1">
        <v>45552</v>
      </c>
      <c r="X788" t="b">
        <v>0</v>
      </c>
      <c r="Y788" t="b">
        <v>1</v>
      </c>
      <c r="Z788" t="s">
        <v>59</v>
      </c>
      <c r="AA788" t="s">
        <v>45</v>
      </c>
      <c r="AB788">
        <v>5</v>
      </c>
    </row>
    <row r="789" spans="1:28">
      <c r="A789" t="s">
        <v>1808</v>
      </c>
      <c r="B789">
        <v>34</v>
      </c>
      <c r="C789" t="s">
        <v>50</v>
      </c>
      <c r="D789" t="s">
        <v>51</v>
      </c>
      <c r="E789" t="s">
        <v>82</v>
      </c>
      <c r="F789" t="s">
        <v>52</v>
      </c>
      <c r="G789" t="s">
        <v>34</v>
      </c>
      <c r="H789" t="s">
        <v>2384</v>
      </c>
      <c r="I789" t="s">
        <v>75</v>
      </c>
      <c r="J789" s="2">
        <v>93.52</v>
      </c>
      <c r="K789">
        <v>2</v>
      </c>
      <c r="L789" t="s">
        <v>94</v>
      </c>
      <c r="M789">
        <v>1</v>
      </c>
      <c r="N789">
        <v>5</v>
      </c>
      <c r="O789">
        <v>1</v>
      </c>
      <c r="P789" t="s">
        <v>40</v>
      </c>
      <c r="Q789" t="s">
        <v>41</v>
      </c>
      <c r="R789">
        <v>1</v>
      </c>
      <c r="S789">
        <v>2</v>
      </c>
      <c r="T789" t="s">
        <v>51</v>
      </c>
      <c r="U789" t="s">
        <v>95</v>
      </c>
      <c r="V789" t="s">
        <v>58</v>
      </c>
      <c r="W789" s="1">
        <v>45516</v>
      </c>
      <c r="X789" t="b">
        <v>0</v>
      </c>
      <c r="Y789" t="b">
        <v>1</v>
      </c>
      <c r="Z789" t="s">
        <v>89</v>
      </c>
      <c r="AA789" t="s">
        <v>45</v>
      </c>
      <c r="AB789">
        <v>12</v>
      </c>
    </row>
    <row r="790" spans="1:28">
      <c r="A790" t="s">
        <v>1811</v>
      </c>
      <c r="B790">
        <v>28</v>
      </c>
      <c r="C790" t="s">
        <v>33</v>
      </c>
      <c r="D790" t="s">
        <v>34</v>
      </c>
      <c r="E790" t="s">
        <v>35</v>
      </c>
      <c r="F790" t="s">
        <v>52</v>
      </c>
      <c r="G790" t="s">
        <v>51</v>
      </c>
      <c r="H790" t="s">
        <v>1812</v>
      </c>
      <c r="I790" t="s">
        <v>199</v>
      </c>
      <c r="J790" s="2">
        <v>137.75</v>
      </c>
      <c r="K790">
        <v>6</v>
      </c>
      <c r="L790" t="s">
        <v>94</v>
      </c>
      <c r="M790">
        <v>3</v>
      </c>
      <c r="N790">
        <v>3</v>
      </c>
      <c r="O790">
        <v>2</v>
      </c>
      <c r="P790" t="s">
        <v>51</v>
      </c>
      <c r="Q790" t="s">
        <v>101</v>
      </c>
      <c r="R790">
        <v>0</v>
      </c>
      <c r="S790">
        <v>1</v>
      </c>
      <c r="T790" t="s">
        <v>56</v>
      </c>
      <c r="U790" t="s">
        <v>70</v>
      </c>
      <c r="V790" t="s">
        <v>102</v>
      </c>
      <c r="W790" s="1">
        <v>45544</v>
      </c>
      <c r="X790" t="b">
        <v>0</v>
      </c>
      <c r="Y790" t="b">
        <v>1</v>
      </c>
      <c r="Z790" t="s">
        <v>44</v>
      </c>
      <c r="AA790" t="s">
        <v>45</v>
      </c>
      <c r="AB790">
        <v>4</v>
      </c>
    </row>
    <row r="791" spans="1:28">
      <c r="A791" t="s">
        <v>1813</v>
      </c>
      <c r="B791">
        <v>44</v>
      </c>
      <c r="C791" t="s">
        <v>33</v>
      </c>
      <c r="D791" t="s">
        <v>34</v>
      </c>
      <c r="E791" t="s">
        <v>35</v>
      </c>
      <c r="F791" t="s">
        <v>66</v>
      </c>
      <c r="G791" t="s">
        <v>34</v>
      </c>
      <c r="H791" t="s">
        <v>2385</v>
      </c>
      <c r="I791" t="s">
        <v>75</v>
      </c>
      <c r="J791" s="2">
        <v>78.64</v>
      </c>
      <c r="K791">
        <v>5</v>
      </c>
      <c r="L791" t="s">
        <v>39</v>
      </c>
      <c r="M791">
        <v>3</v>
      </c>
      <c r="N791">
        <v>4</v>
      </c>
      <c r="O791">
        <v>2</v>
      </c>
      <c r="P791" t="s">
        <v>51</v>
      </c>
      <c r="Q791" t="s">
        <v>41</v>
      </c>
      <c r="R791">
        <v>0</v>
      </c>
      <c r="S791">
        <v>3</v>
      </c>
      <c r="T791" t="s">
        <v>51</v>
      </c>
      <c r="U791" t="s">
        <v>42</v>
      </c>
      <c r="V791" t="s">
        <v>58</v>
      </c>
      <c r="W791" s="1">
        <v>45438</v>
      </c>
      <c r="X791" t="b">
        <v>1</v>
      </c>
      <c r="Y791" t="b">
        <v>0</v>
      </c>
      <c r="Z791" t="s">
        <v>89</v>
      </c>
      <c r="AA791" t="s">
        <v>60</v>
      </c>
      <c r="AB791">
        <v>12</v>
      </c>
    </row>
    <row r="792" spans="1:28">
      <c r="A792" t="s">
        <v>1815</v>
      </c>
      <c r="B792">
        <v>25</v>
      </c>
      <c r="C792" t="s">
        <v>50</v>
      </c>
      <c r="D792" t="s">
        <v>51</v>
      </c>
      <c r="E792" t="s">
        <v>92</v>
      </c>
      <c r="F792" t="s">
        <v>66</v>
      </c>
      <c r="G792" t="s">
        <v>34</v>
      </c>
      <c r="H792" t="s">
        <v>1816</v>
      </c>
      <c r="I792" t="s">
        <v>150</v>
      </c>
      <c r="J792" s="2">
        <v>214.82</v>
      </c>
      <c r="K792">
        <v>9</v>
      </c>
      <c r="L792" t="s">
        <v>39</v>
      </c>
      <c r="M792">
        <v>5</v>
      </c>
      <c r="N792">
        <v>4</v>
      </c>
      <c r="O792">
        <v>0.3</v>
      </c>
      <c r="P792" t="s">
        <v>40</v>
      </c>
      <c r="Q792" t="s">
        <v>101</v>
      </c>
      <c r="R792">
        <v>1</v>
      </c>
      <c r="S792">
        <v>9</v>
      </c>
      <c r="T792" t="s">
        <v>56</v>
      </c>
      <c r="U792" t="s">
        <v>42</v>
      </c>
      <c r="V792" t="s">
        <v>76</v>
      </c>
      <c r="W792" s="1">
        <v>45605</v>
      </c>
      <c r="X792" t="b">
        <v>1</v>
      </c>
      <c r="Y792" t="b">
        <v>0</v>
      </c>
      <c r="Z792" t="s">
        <v>89</v>
      </c>
      <c r="AA792" t="s">
        <v>45</v>
      </c>
      <c r="AB792">
        <v>11</v>
      </c>
    </row>
    <row r="793" spans="1:28">
      <c r="A793" t="s">
        <v>1818</v>
      </c>
      <c r="B793">
        <v>45</v>
      </c>
      <c r="C793" t="s">
        <v>50</v>
      </c>
      <c r="D793" t="s">
        <v>34</v>
      </c>
      <c r="E793" t="s">
        <v>35</v>
      </c>
      <c r="F793" t="s">
        <v>36</v>
      </c>
      <c r="G793" t="s">
        <v>51</v>
      </c>
      <c r="H793" t="s">
        <v>2386</v>
      </c>
      <c r="I793" t="s">
        <v>112</v>
      </c>
      <c r="J793" s="2">
        <v>57.39</v>
      </c>
      <c r="K793">
        <v>3</v>
      </c>
      <c r="L793" t="s">
        <v>39</v>
      </c>
      <c r="M793">
        <v>2</v>
      </c>
      <c r="N793">
        <v>5</v>
      </c>
      <c r="O793">
        <v>0.25</v>
      </c>
      <c r="P793" t="s">
        <v>40</v>
      </c>
      <c r="Q793" t="s">
        <v>41</v>
      </c>
      <c r="R793">
        <v>0</v>
      </c>
      <c r="S793">
        <v>10</v>
      </c>
      <c r="T793" t="s">
        <v>56</v>
      </c>
      <c r="U793" t="s">
        <v>95</v>
      </c>
      <c r="V793" t="s">
        <v>43</v>
      </c>
      <c r="W793" s="1">
        <v>45492</v>
      </c>
      <c r="X793" t="b">
        <v>0</v>
      </c>
      <c r="Y793" t="b">
        <v>0</v>
      </c>
      <c r="Z793" t="s">
        <v>72</v>
      </c>
      <c r="AA793" t="s">
        <v>60</v>
      </c>
      <c r="AB793">
        <v>3</v>
      </c>
    </row>
    <row r="794" spans="1:28">
      <c r="A794" t="s">
        <v>1820</v>
      </c>
      <c r="B794">
        <v>47</v>
      </c>
      <c r="C794" t="s">
        <v>33</v>
      </c>
      <c r="D794" t="s">
        <v>51</v>
      </c>
      <c r="E794" t="s">
        <v>65</v>
      </c>
      <c r="F794" t="s">
        <v>52</v>
      </c>
      <c r="G794" t="s">
        <v>34</v>
      </c>
      <c r="H794" t="s">
        <v>382</v>
      </c>
      <c r="I794" t="s">
        <v>235</v>
      </c>
      <c r="J794" s="2">
        <v>363.91</v>
      </c>
      <c r="K794">
        <v>10</v>
      </c>
      <c r="L794" t="s">
        <v>94</v>
      </c>
      <c r="M794">
        <v>1</v>
      </c>
      <c r="N794">
        <v>1</v>
      </c>
      <c r="O794">
        <v>0.3</v>
      </c>
      <c r="P794" t="s">
        <v>56</v>
      </c>
      <c r="Q794" t="s">
        <v>101</v>
      </c>
      <c r="R794">
        <v>0</v>
      </c>
      <c r="S794">
        <v>2</v>
      </c>
      <c r="T794" t="s">
        <v>69</v>
      </c>
      <c r="U794" t="s">
        <v>70</v>
      </c>
      <c r="V794" t="s">
        <v>102</v>
      </c>
      <c r="W794" s="1">
        <v>45298</v>
      </c>
      <c r="X794" t="b">
        <v>1</v>
      </c>
      <c r="Y794" t="b">
        <v>1</v>
      </c>
      <c r="Z794" t="s">
        <v>89</v>
      </c>
      <c r="AA794" t="s">
        <v>60</v>
      </c>
      <c r="AB794">
        <v>9</v>
      </c>
    </row>
    <row r="795" spans="1:28">
      <c r="A795" t="s">
        <v>1821</v>
      </c>
      <c r="B795">
        <v>39</v>
      </c>
      <c r="C795" t="s">
        <v>50</v>
      </c>
      <c r="D795" t="s">
        <v>34</v>
      </c>
      <c r="E795" t="s">
        <v>65</v>
      </c>
      <c r="F795" t="s">
        <v>52</v>
      </c>
      <c r="G795" t="s">
        <v>34</v>
      </c>
      <c r="H795" t="s">
        <v>1822</v>
      </c>
      <c r="I795" t="s">
        <v>242</v>
      </c>
      <c r="J795" s="2">
        <v>304.79000000000002</v>
      </c>
      <c r="K795">
        <v>12</v>
      </c>
      <c r="L795" t="s">
        <v>55</v>
      </c>
      <c r="M795">
        <v>2</v>
      </c>
      <c r="N795">
        <v>4</v>
      </c>
      <c r="O795">
        <v>2</v>
      </c>
      <c r="P795" t="s">
        <v>69</v>
      </c>
      <c r="Q795" t="s">
        <v>41</v>
      </c>
      <c r="R795">
        <v>1</v>
      </c>
      <c r="S795">
        <v>9</v>
      </c>
      <c r="T795" t="s">
        <v>51</v>
      </c>
      <c r="U795" t="s">
        <v>95</v>
      </c>
      <c r="V795" t="s">
        <v>76</v>
      </c>
      <c r="W795" s="1">
        <v>45298</v>
      </c>
      <c r="X795" t="b">
        <v>1</v>
      </c>
      <c r="Y795" t="b">
        <v>1</v>
      </c>
      <c r="Z795" t="s">
        <v>59</v>
      </c>
      <c r="AA795" t="s">
        <v>60</v>
      </c>
      <c r="AB795">
        <v>10</v>
      </c>
    </row>
    <row r="796" spans="1:28">
      <c r="A796" t="s">
        <v>1823</v>
      </c>
      <c r="B796">
        <v>32</v>
      </c>
      <c r="C796" t="s">
        <v>50</v>
      </c>
      <c r="D796" t="s">
        <v>51</v>
      </c>
      <c r="E796" t="s">
        <v>92</v>
      </c>
      <c r="F796" t="s">
        <v>52</v>
      </c>
      <c r="G796" t="s">
        <v>34</v>
      </c>
      <c r="H796" t="s">
        <v>1824</v>
      </c>
      <c r="I796" t="s">
        <v>306</v>
      </c>
      <c r="J796" s="2">
        <v>363.98</v>
      </c>
      <c r="K796">
        <v>4</v>
      </c>
      <c r="L796" t="s">
        <v>94</v>
      </c>
      <c r="M796">
        <v>4</v>
      </c>
      <c r="N796">
        <v>4</v>
      </c>
      <c r="O796">
        <v>1</v>
      </c>
      <c r="P796" t="s">
        <v>40</v>
      </c>
      <c r="Q796" t="s">
        <v>41</v>
      </c>
      <c r="R796">
        <v>2</v>
      </c>
      <c r="S796">
        <v>7</v>
      </c>
      <c r="T796" t="s">
        <v>40</v>
      </c>
      <c r="U796" t="s">
        <v>42</v>
      </c>
      <c r="V796" t="s">
        <v>58</v>
      </c>
      <c r="W796" s="1">
        <v>45439</v>
      </c>
      <c r="X796" t="b">
        <v>1</v>
      </c>
      <c r="Y796" t="b">
        <v>1</v>
      </c>
      <c r="Z796" t="s">
        <v>89</v>
      </c>
      <c r="AA796" t="s">
        <v>77</v>
      </c>
      <c r="AB796">
        <v>1</v>
      </c>
    </row>
    <row r="797" spans="1:28">
      <c r="A797" t="s">
        <v>1825</v>
      </c>
      <c r="B797">
        <v>47</v>
      </c>
      <c r="C797" t="s">
        <v>50</v>
      </c>
      <c r="D797" t="s">
        <v>34</v>
      </c>
      <c r="E797" t="s">
        <v>82</v>
      </c>
      <c r="F797" t="s">
        <v>36</v>
      </c>
      <c r="G797" t="s">
        <v>51</v>
      </c>
      <c r="H797" t="s">
        <v>1826</v>
      </c>
      <c r="I797" t="s">
        <v>98</v>
      </c>
      <c r="J797" s="2">
        <v>249.6</v>
      </c>
      <c r="K797">
        <v>7</v>
      </c>
      <c r="L797" t="s">
        <v>39</v>
      </c>
      <c r="M797">
        <v>4</v>
      </c>
      <c r="N797">
        <v>1</v>
      </c>
      <c r="O797">
        <v>1</v>
      </c>
      <c r="P797" t="s">
        <v>69</v>
      </c>
      <c r="Q797" t="s">
        <v>41</v>
      </c>
      <c r="R797">
        <v>2</v>
      </c>
      <c r="S797">
        <v>7</v>
      </c>
      <c r="T797" t="s">
        <v>51</v>
      </c>
      <c r="U797" t="s">
        <v>70</v>
      </c>
      <c r="V797" t="s">
        <v>71</v>
      </c>
      <c r="W797" s="1">
        <v>45423</v>
      </c>
      <c r="X797" t="b">
        <v>1</v>
      </c>
      <c r="Y797" t="b">
        <v>0</v>
      </c>
      <c r="Z797" t="s">
        <v>59</v>
      </c>
      <c r="AA797" t="s">
        <v>60</v>
      </c>
      <c r="AB797">
        <v>11</v>
      </c>
    </row>
    <row r="798" spans="1:28">
      <c r="A798" t="s">
        <v>1827</v>
      </c>
      <c r="B798">
        <v>19</v>
      </c>
      <c r="C798" t="s">
        <v>50</v>
      </c>
      <c r="D798" t="s">
        <v>51</v>
      </c>
      <c r="E798" t="s">
        <v>35</v>
      </c>
      <c r="F798" t="s">
        <v>36</v>
      </c>
      <c r="G798" t="s">
        <v>34</v>
      </c>
      <c r="H798" t="s">
        <v>2387</v>
      </c>
      <c r="I798" t="s">
        <v>147</v>
      </c>
      <c r="J798" s="2">
        <v>345.04</v>
      </c>
      <c r="K798">
        <v>12</v>
      </c>
      <c r="L798" t="s">
        <v>55</v>
      </c>
      <c r="M798">
        <v>1</v>
      </c>
      <c r="N798">
        <v>5</v>
      </c>
      <c r="O798">
        <v>1</v>
      </c>
      <c r="P798" t="s">
        <v>69</v>
      </c>
      <c r="Q798" t="s">
        <v>41</v>
      </c>
      <c r="R798">
        <v>0</v>
      </c>
      <c r="S798">
        <v>8</v>
      </c>
      <c r="T798" t="s">
        <v>56</v>
      </c>
      <c r="U798" t="s">
        <v>42</v>
      </c>
      <c r="V798" t="s">
        <v>43</v>
      </c>
      <c r="W798" s="1">
        <v>45581</v>
      </c>
      <c r="X798" t="b">
        <v>1</v>
      </c>
      <c r="Y798" t="b">
        <v>1</v>
      </c>
      <c r="Z798" t="s">
        <v>89</v>
      </c>
      <c r="AA798" t="s">
        <v>77</v>
      </c>
      <c r="AB798">
        <v>13</v>
      </c>
    </row>
    <row r="799" spans="1:28">
      <c r="A799" t="s">
        <v>1830</v>
      </c>
      <c r="B799">
        <v>48</v>
      </c>
      <c r="C799" t="s">
        <v>33</v>
      </c>
      <c r="D799" t="s">
        <v>34</v>
      </c>
      <c r="E799" t="s">
        <v>65</v>
      </c>
      <c r="F799" t="s">
        <v>52</v>
      </c>
      <c r="G799" t="s">
        <v>51</v>
      </c>
      <c r="H799" t="s">
        <v>1831</v>
      </c>
      <c r="I799" t="s">
        <v>170</v>
      </c>
      <c r="J799" s="2">
        <v>59.15</v>
      </c>
      <c r="K799">
        <v>3</v>
      </c>
      <c r="L799" t="s">
        <v>55</v>
      </c>
      <c r="M799">
        <v>4</v>
      </c>
      <c r="N799">
        <v>2</v>
      </c>
      <c r="O799">
        <v>1</v>
      </c>
      <c r="P799" t="s">
        <v>40</v>
      </c>
      <c r="Q799" t="s">
        <v>57</v>
      </c>
      <c r="R799">
        <v>0</v>
      </c>
      <c r="S799">
        <v>1</v>
      </c>
      <c r="T799" t="s">
        <v>51</v>
      </c>
      <c r="U799" t="s">
        <v>95</v>
      </c>
      <c r="V799" t="s">
        <v>71</v>
      </c>
      <c r="W799" s="1">
        <v>45401</v>
      </c>
      <c r="X799" t="b">
        <v>0</v>
      </c>
      <c r="Y799" t="b">
        <v>0</v>
      </c>
      <c r="Z799" t="s">
        <v>44</v>
      </c>
      <c r="AA799" t="s">
        <v>60</v>
      </c>
      <c r="AB799">
        <v>8</v>
      </c>
    </row>
    <row r="800" spans="1:28">
      <c r="A800" t="s">
        <v>1832</v>
      </c>
      <c r="B800">
        <v>27</v>
      </c>
      <c r="C800" t="s">
        <v>50</v>
      </c>
      <c r="D800" t="s">
        <v>51</v>
      </c>
      <c r="E800" t="s">
        <v>65</v>
      </c>
      <c r="F800" t="s">
        <v>66</v>
      </c>
      <c r="G800" t="s">
        <v>51</v>
      </c>
      <c r="H800" t="s">
        <v>1833</v>
      </c>
      <c r="I800" t="s">
        <v>75</v>
      </c>
      <c r="J800" s="2">
        <v>461.81</v>
      </c>
      <c r="K800">
        <v>12</v>
      </c>
      <c r="L800" t="s">
        <v>39</v>
      </c>
      <c r="M800">
        <v>4</v>
      </c>
      <c r="N800">
        <v>3</v>
      </c>
      <c r="O800">
        <v>0</v>
      </c>
      <c r="P800" t="s">
        <v>56</v>
      </c>
      <c r="Q800" t="s">
        <v>101</v>
      </c>
      <c r="R800">
        <v>0</v>
      </c>
      <c r="S800">
        <v>8</v>
      </c>
      <c r="T800" t="s">
        <v>69</v>
      </c>
      <c r="U800" t="s">
        <v>95</v>
      </c>
      <c r="V800" t="s">
        <v>76</v>
      </c>
      <c r="W800" s="1">
        <v>45450</v>
      </c>
      <c r="X800" t="b">
        <v>1</v>
      </c>
      <c r="Y800" t="b">
        <v>0</v>
      </c>
      <c r="Z800" t="s">
        <v>59</v>
      </c>
      <c r="AA800" t="s">
        <v>45</v>
      </c>
      <c r="AB800">
        <v>8</v>
      </c>
    </row>
    <row r="801" spans="1:28">
      <c r="A801" t="s">
        <v>1834</v>
      </c>
      <c r="B801">
        <v>31</v>
      </c>
      <c r="C801" t="s">
        <v>33</v>
      </c>
      <c r="D801" t="s">
        <v>51</v>
      </c>
      <c r="E801" t="s">
        <v>92</v>
      </c>
      <c r="F801" t="s">
        <v>36</v>
      </c>
      <c r="G801" t="s">
        <v>51</v>
      </c>
      <c r="H801" t="s">
        <v>1835</v>
      </c>
      <c r="I801" t="s">
        <v>131</v>
      </c>
      <c r="J801" s="2">
        <v>280.88</v>
      </c>
      <c r="K801">
        <v>4</v>
      </c>
      <c r="L801" t="s">
        <v>39</v>
      </c>
      <c r="M801">
        <v>3</v>
      </c>
      <c r="N801">
        <v>4</v>
      </c>
      <c r="O801">
        <v>1</v>
      </c>
      <c r="P801" t="s">
        <v>51</v>
      </c>
      <c r="Q801" t="s">
        <v>57</v>
      </c>
      <c r="R801">
        <v>0</v>
      </c>
      <c r="S801">
        <v>2</v>
      </c>
      <c r="T801" t="s">
        <v>51</v>
      </c>
      <c r="U801" t="s">
        <v>70</v>
      </c>
      <c r="V801" t="s">
        <v>43</v>
      </c>
      <c r="W801" s="1">
        <v>45417</v>
      </c>
      <c r="X801" t="b">
        <v>1</v>
      </c>
      <c r="Y801" t="b">
        <v>1</v>
      </c>
      <c r="Z801" t="s">
        <v>89</v>
      </c>
      <c r="AA801" t="s">
        <v>45</v>
      </c>
      <c r="AB801">
        <v>2</v>
      </c>
    </row>
    <row r="802" spans="1:28">
      <c r="A802" t="s">
        <v>1836</v>
      </c>
      <c r="B802">
        <v>44</v>
      </c>
      <c r="C802" t="s">
        <v>50</v>
      </c>
      <c r="D802" t="s">
        <v>34</v>
      </c>
      <c r="E802" t="s">
        <v>35</v>
      </c>
      <c r="F802" t="s">
        <v>66</v>
      </c>
      <c r="G802" t="s">
        <v>34</v>
      </c>
      <c r="H802" t="s">
        <v>1837</v>
      </c>
      <c r="I802" t="s">
        <v>123</v>
      </c>
      <c r="J802" s="2">
        <v>283.7</v>
      </c>
      <c r="K802">
        <v>8</v>
      </c>
      <c r="L802" t="s">
        <v>39</v>
      </c>
      <c r="M802">
        <v>2</v>
      </c>
      <c r="N802">
        <v>5</v>
      </c>
      <c r="O802">
        <v>1</v>
      </c>
      <c r="P802" t="s">
        <v>56</v>
      </c>
      <c r="Q802" t="s">
        <v>57</v>
      </c>
      <c r="R802">
        <v>1</v>
      </c>
      <c r="S802">
        <v>3</v>
      </c>
      <c r="T802" t="s">
        <v>69</v>
      </c>
      <c r="U802" t="s">
        <v>70</v>
      </c>
      <c r="V802" t="s">
        <v>102</v>
      </c>
      <c r="W802" s="1">
        <v>45351</v>
      </c>
      <c r="X802" t="b">
        <v>0</v>
      </c>
      <c r="Y802" t="b">
        <v>0</v>
      </c>
      <c r="Z802" t="s">
        <v>72</v>
      </c>
      <c r="AA802" t="s">
        <v>77</v>
      </c>
      <c r="AB802">
        <v>8</v>
      </c>
    </row>
    <row r="803" spans="1:28">
      <c r="A803" t="s">
        <v>1838</v>
      </c>
      <c r="B803">
        <v>24</v>
      </c>
      <c r="C803" t="s">
        <v>33</v>
      </c>
      <c r="D803" t="s">
        <v>51</v>
      </c>
      <c r="E803" t="s">
        <v>82</v>
      </c>
      <c r="F803" t="s">
        <v>52</v>
      </c>
      <c r="G803" t="s">
        <v>34</v>
      </c>
      <c r="H803" t="s">
        <v>1839</v>
      </c>
      <c r="I803" t="s">
        <v>123</v>
      </c>
      <c r="J803" s="2">
        <v>411.95</v>
      </c>
      <c r="K803">
        <v>10</v>
      </c>
      <c r="L803" t="s">
        <v>55</v>
      </c>
      <c r="M803">
        <v>5</v>
      </c>
      <c r="N803">
        <v>3</v>
      </c>
      <c r="O803">
        <v>1</v>
      </c>
      <c r="P803" t="s">
        <v>40</v>
      </c>
      <c r="Q803" t="s">
        <v>57</v>
      </c>
      <c r="R803">
        <v>0</v>
      </c>
      <c r="S803">
        <v>4</v>
      </c>
      <c r="T803" t="s">
        <v>40</v>
      </c>
      <c r="U803" t="s">
        <v>70</v>
      </c>
      <c r="V803" t="s">
        <v>58</v>
      </c>
      <c r="W803" s="1">
        <v>45644</v>
      </c>
      <c r="X803" t="b">
        <v>1</v>
      </c>
      <c r="Y803" t="b">
        <v>1</v>
      </c>
      <c r="Z803" t="s">
        <v>72</v>
      </c>
      <c r="AA803" t="s">
        <v>60</v>
      </c>
      <c r="AB803">
        <v>5</v>
      </c>
    </row>
    <row r="804" spans="1:28">
      <c r="A804" t="s">
        <v>1840</v>
      </c>
      <c r="B804">
        <v>32</v>
      </c>
      <c r="C804" t="s">
        <v>33</v>
      </c>
      <c r="D804" t="s">
        <v>34</v>
      </c>
      <c r="E804" t="s">
        <v>82</v>
      </c>
      <c r="F804" t="s">
        <v>66</v>
      </c>
      <c r="G804" t="s">
        <v>34</v>
      </c>
      <c r="H804" t="s">
        <v>1841</v>
      </c>
      <c r="I804" t="s">
        <v>38</v>
      </c>
      <c r="J804" s="2">
        <v>476.11</v>
      </c>
      <c r="K804">
        <v>5</v>
      </c>
      <c r="L804" t="s">
        <v>55</v>
      </c>
      <c r="M804">
        <v>1</v>
      </c>
      <c r="N804">
        <v>4</v>
      </c>
      <c r="O804">
        <v>1</v>
      </c>
      <c r="P804" t="s">
        <v>40</v>
      </c>
      <c r="Q804" t="s">
        <v>101</v>
      </c>
      <c r="R804">
        <v>2</v>
      </c>
      <c r="S804">
        <v>10</v>
      </c>
      <c r="T804" t="s">
        <v>51</v>
      </c>
      <c r="U804" t="s">
        <v>95</v>
      </c>
      <c r="V804" t="s">
        <v>71</v>
      </c>
      <c r="W804" s="1">
        <v>45594</v>
      </c>
      <c r="X804" t="b">
        <v>1</v>
      </c>
      <c r="Y804" t="b">
        <v>0</v>
      </c>
      <c r="Z804" t="s">
        <v>59</v>
      </c>
      <c r="AA804" t="s">
        <v>60</v>
      </c>
      <c r="AB804">
        <v>1</v>
      </c>
    </row>
    <row r="805" spans="1:28">
      <c r="A805" t="s">
        <v>1842</v>
      </c>
      <c r="B805">
        <v>28</v>
      </c>
      <c r="C805" t="s">
        <v>33</v>
      </c>
      <c r="D805" t="s">
        <v>34</v>
      </c>
      <c r="E805" t="s">
        <v>35</v>
      </c>
      <c r="F805" t="s">
        <v>66</v>
      </c>
      <c r="G805" t="s">
        <v>51</v>
      </c>
      <c r="H805" t="s">
        <v>1843</v>
      </c>
      <c r="I805" t="s">
        <v>38</v>
      </c>
      <c r="J805" s="2">
        <v>399.24</v>
      </c>
      <c r="K805">
        <v>7</v>
      </c>
      <c r="L805" t="s">
        <v>55</v>
      </c>
      <c r="M805">
        <v>4</v>
      </c>
      <c r="N805">
        <v>2</v>
      </c>
      <c r="O805">
        <v>1</v>
      </c>
      <c r="P805" t="s">
        <v>56</v>
      </c>
      <c r="Q805" t="s">
        <v>101</v>
      </c>
      <c r="R805">
        <v>1</v>
      </c>
      <c r="S805">
        <v>2</v>
      </c>
      <c r="T805" t="s">
        <v>56</v>
      </c>
      <c r="U805" t="s">
        <v>70</v>
      </c>
      <c r="V805" t="s">
        <v>71</v>
      </c>
      <c r="W805" s="1">
        <v>45464</v>
      </c>
      <c r="X805" t="b">
        <v>0</v>
      </c>
      <c r="Y805" t="b">
        <v>0</v>
      </c>
      <c r="Z805" t="s">
        <v>44</v>
      </c>
      <c r="AA805" t="s">
        <v>60</v>
      </c>
      <c r="AB805">
        <v>10</v>
      </c>
    </row>
    <row r="806" spans="1:28">
      <c r="A806" t="s">
        <v>1844</v>
      </c>
      <c r="B806">
        <v>26</v>
      </c>
      <c r="C806" t="s">
        <v>50</v>
      </c>
      <c r="D806" t="s">
        <v>34</v>
      </c>
      <c r="E806" t="s">
        <v>92</v>
      </c>
      <c r="F806" t="s">
        <v>66</v>
      </c>
      <c r="G806" t="s">
        <v>34</v>
      </c>
      <c r="H806" t="s">
        <v>1845</v>
      </c>
      <c r="I806" t="s">
        <v>306</v>
      </c>
      <c r="J806" s="2">
        <v>90.79</v>
      </c>
      <c r="K806">
        <v>12</v>
      </c>
      <c r="L806" t="s">
        <v>55</v>
      </c>
      <c r="M806">
        <v>4</v>
      </c>
      <c r="N806">
        <v>1</v>
      </c>
      <c r="O806">
        <v>2</v>
      </c>
      <c r="P806" t="s">
        <v>56</v>
      </c>
      <c r="Q806" t="s">
        <v>41</v>
      </c>
      <c r="R806">
        <v>0</v>
      </c>
      <c r="S806">
        <v>2</v>
      </c>
      <c r="T806" t="s">
        <v>56</v>
      </c>
      <c r="U806" t="s">
        <v>42</v>
      </c>
      <c r="V806" t="s">
        <v>76</v>
      </c>
      <c r="W806" s="1">
        <v>45551</v>
      </c>
      <c r="X806" t="b">
        <v>0</v>
      </c>
      <c r="Y806" t="b">
        <v>0</v>
      </c>
      <c r="Z806" t="s">
        <v>89</v>
      </c>
      <c r="AA806" t="s">
        <v>45</v>
      </c>
      <c r="AB806">
        <v>6</v>
      </c>
    </row>
    <row r="807" spans="1:28">
      <c r="A807" t="s">
        <v>1846</v>
      </c>
      <c r="B807">
        <v>38</v>
      </c>
      <c r="C807" t="s">
        <v>33</v>
      </c>
      <c r="D807" t="s">
        <v>34</v>
      </c>
      <c r="E807" t="s">
        <v>35</v>
      </c>
      <c r="F807" t="s">
        <v>66</v>
      </c>
      <c r="G807" t="s">
        <v>34</v>
      </c>
      <c r="H807" t="s">
        <v>1847</v>
      </c>
      <c r="I807" t="s">
        <v>127</v>
      </c>
      <c r="J807" s="2">
        <v>229.56</v>
      </c>
      <c r="K807">
        <v>9</v>
      </c>
      <c r="L807" t="s">
        <v>94</v>
      </c>
      <c r="M807">
        <v>1</v>
      </c>
      <c r="N807">
        <v>2</v>
      </c>
      <c r="O807">
        <v>1</v>
      </c>
      <c r="P807" t="s">
        <v>40</v>
      </c>
      <c r="Q807" t="s">
        <v>41</v>
      </c>
      <c r="R807">
        <v>0</v>
      </c>
      <c r="S807">
        <v>9</v>
      </c>
      <c r="T807" t="s">
        <v>69</v>
      </c>
      <c r="U807" t="s">
        <v>42</v>
      </c>
      <c r="V807" t="s">
        <v>58</v>
      </c>
      <c r="W807" s="1">
        <v>45305</v>
      </c>
      <c r="X807" t="b">
        <v>1</v>
      </c>
      <c r="Y807" t="b">
        <v>1</v>
      </c>
      <c r="Z807" t="s">
        <v>44</v>
      </c>
      <c r="AA807" t="s">
        <v>45</v>
      </c>
      <c r="AB807">
        <v>11</v>
      </c>
    </row>
    <row r="808" spans="1:28">
      <c r="A808" t="s">
        <v>1848</v>
      </c>
      <c r="B808">
        <v>28</v>
      </c>
      <c r="C808" t="s">
        <v>33</v>
      </c>
      <c r="D808" t="s">
        <v>34</v>
      </c>
      <c r="E808" t="s">
        <v>92</v>
      </c>
      <c r="F808" t="s">
        <v>52</v>
      </c>
      <c r="G808" t="s">
        <v>34</v>
      </c>
      <c r="H808" t="s">
        <v>1849</v>
      </c>
      <c r="I808" t="s">
        <v>108</v>
      </c>
      <c r="J808" s="2">
        <v>160.47</v>
      </c>
      <c r="K808">
        <v>7</v>
      </c>
      <c r="L808" t="s">
        <v>39</v>
      </c>
      <c r="M808">
        <v>1</v>
      </c>
      <c r="N808">
        <v>5</v>
      </c>
      <c r="O808">
        <v>0</v>
      </c>
      <c r="P808" t="s">
        <v>40</v>
      </c>
      <c r="Q808" t="s">
        <v>57</v>
      </c>
      <c r="R808">
        <v>0</v>
      </c>
      <c r="S808">
        <v>3</v>
      </c>
      <c r="T808" t="s">
        <v>40</v>
      </c>
      <c r="U808" t="s">
        <v>70</v>
      </c>
      <c r="V808" t="s">
        <v>71</v>
      </c>
      <c r="W808" s="1">
        <v>45368</v>
      </c>
      <c r="X808" t="b">
        <v>1</v>
      </c>
      <c r="Y808" t="b">
        <v>0</v>
      </c>
      <c r="Z808" t="s">
        <v>59</v>
      </c>
      <c r="AA808" t="s">
        <v>45</v>
      </c>
      <c r="AB808">
        <v>6</v>
      </c>
    </row>
    <row r="809" spans="1:28">
      <c r="A809" t="s">
        <v>1850</v>
      </c>
      <c r="B809">
        <v>30</v>
      </c>
      <c r="C809" t="s">
        <v>431</v>
      </c>
      <c r="D809" t="s">
        <v>51</v>
      </c>
      <c r="E809" t="s">
        <v>35</v>
      </c>
      <c r="F809" t="s">
        <v>52</v>
      </c>
      <c r="G809" t="s">
        <v>51</v>
      </c>
      <c r="H809" t="s">
        <v>2388</v>
      </c>
      <c r="I809" t="s">
        <v>150</v>
      </c>
      <c r="J809" s="2">
        <v>104.74</v>
      </c>
      <c r="K809">
        <v>6</v>
      </c>
      <c r="L809" t="s">
        <v>94</v>
      </c>
      <c r="M809">
        <v>2</v>
      </c>
      <c r="N809">
        <v>4</v>
      </c>
      <c r="O809">
        <v>2</v>
      </c>
      <c r="P809" t="s">
        <v>40</v>
      </c>
      <c r="Q809" t="s">
        <v>101</v>
      </c>
      <c r="R809">
        <v>0</v>
      </c>
      <c r="S809">
        <v>4</v>
      </c>
      <c r="T809" t="s">
        <v>69</v>
      </c>
      <c r="U809" t="s">
        <v>70</v>
      </c>
      <c r="V809" t="s">
        <v>58</v>
      </c>
      <c r="W809" s="1">
        <v>45557</v>
      </c>
      <c r="X809" t="b">
        <v>0</v>
      </c>
      <c r="Y809" t="b">
        <v>0</v>
      </c>
      <c r="Z809" t="s">
        <v>72</v>
      </c>
      <c r="AA809" t="s">
        <v>45</v>
      </c>
      <c r="AB809">
        <v>1</v>
      </c>
    </row>
    <row r="810" spans="1:28">
      <c r="A810" t="s">
        <v>1852</v>
      </c>
      <c r="B810">
        <v>37</v>
      </c>
      <c r="C810" t="s">
        <v>33</v>
      </c>
      <c r="D810" t="s">
        <v>51</v>
      </c>
      <c r="E810" t="s">
        <v>82</v>
      </c>
      <c r="F810" t="s">
        <v>66</v>
      </c>
      <c r="G810" t="s">
        <v>34</v>
      </c>
      <c r="H810" t="s">
        <v>1853</v>
      </c>
      <c r="I810" t="s">
        <v>54</v>
      </c>
      <c r="J810" s="2">
        <v>399.95</v>
      </c>
      <c r="K810">
        <v>10</v>
      </c>
      <c r="L810" t="s">
        <v>55</v>
      </c>
      <c r="M810">
        <v>2</v>
      </c>
      <c r="N810">
        <v>1</v>
      </c>
      <c r="O810">
        <v>0</v>
      </c>
      <c r="P810" t="s">
        <v>69</v>
      </c>
      <c r="Q810" t="s">
        <v>57</v>
      </c>
      <c r="R810">
        <v>1</v>
      </c>
      <c r="S810">
        <v>2</v>
      </c>
      <c r="T810" t="s">
        <v>51</v>
      </c>
      <c r="U810" t="s">
        <v>70</v>
      </c>
      <c r="V810" t="s">
        <v>102</v>
      </c>
      <c r="W810" s="1">
        <v>45358</v>
      </c>
      <c r="X810" t="b">
        <v>1</v>
      </c>
      <c r="Y810" t="b">
        <v>0</v>
      </c>
      <c r="Z810" t="s">
        <v>44</v>
      </c>
      <c r="AA810" t="s">
        <v>77</v>
      </c>
      <c r="AB810">
        <v>10</v>
      </c>
    </row>
    <row r="811" spans="1:28">
      <c r="A811" t="s">
        <v>1854</v>
      </c>
      <c r="B811">
        <v>47</v>
      </c>
      <c r="C811" t="s">
        <v>33</v>
      </c>
      <c r="D811" t="s">
        <v>51</v>
      </c>
      <c r="E811" t="s">
        <v>92</v>
      </c>
      <c r="F811" t="s">
        <v>36</v>
      </c>
      <c r="G811" t="s">
        <v>34</v>
      </c>
      <c r="H811" t="s">
        <v>1855</v>
      </c>
      <c r="I811" t="s">
        <v>153</v>
      </c>
      <c r="J811" s="2">
        <v>337.33</v>
      </c>
      <c r="K811">
        <v>8</v>
      </c>
      <c r="L811" t="s">
        <v>55</v>
      </c>
      <c r="M811">
        <v>1</v>
      </c>
      <c r="N811">
        <v>4</v>
      </c>
      <c r="O811">
        <v>1</v>
      </c>
      <c r="P811" t="s">
        <v>40</v>
      </c>
      <c r="Q811" t="s">
        <v>41</v>
      </c>
      <c r="R811">
        <v>0</v>
      </c>
      <c r="S811">
        <v>5</v>
      </c>
      <c r="T811" t="s">
        <v>56</v>
      </c>
      <c r="U811" t="s">
        <v>95</v>
      </c>
      <c r="V811" t="s">
        <v>71</v>
      </c>
      <c r="W811" s="1">
        <v>45621</v>
      </c>
      <c r="X811" t="b">
        <v>0</v>
      </c>
      <c r="Y811" t="b">
        <v>0</v>
      </c>
      <c r="Z811" t="s">
        <v>89</v>
      </c>
      <c r="AA811" t="s">
        <v>77</v>
      </c>
      <c r="AB811">
        <v>10</v>
      </c>
    </row>
    <row r="812" spans="1:28">
      <c r="A812" t="s">
        <v>1856</v>
      </c>
      <c r="B812">
        <v>41</v>
      </c>
      <c r="C812" t="s">
        <v>33</v>
      </c>
      <c r="D812" t="s">
        <v>51</v>
      </c>
      <c r="E812" t="s">
        <v>82</v>
      </c>
      <c r="F812" t="s">
        <v>66</v>
      </c>
      <c r="G812" t="s">
        <v>34</v>
      </c>
      <c r="H812" t="s">
        <v>1857</v>
      </c>
      <c r="I812" t="s">
        <v>306</v>
      </c>
      <c r="J812" s="2">
        <v>204.83</v>
      </c>
      <c r="K812">
        <v>6</v>
      </c>
      <c r="L812" t="s">
        <v>55</v>
      </c>
      <c r="M812">
        <v>5</v>
      </c>
      <c r="N812">
        <v>1</v>
      </c>
      <c r="O812">
        <v>0</v>
      </c>
      <c r="P812" t="s">
        <v>51</v>
      </c>
      <c r="Q812" t="s">
        <v>101</v>
      </c>
      <c r="R812">
        <v>1</v>
      </c>
      <c r="S812">
        <v>5</v>
      </c>
      <c r="T812" t="s">
        <v>56</v>
      </c>
      <c r="U812" t="s">
        <v>70</v>
      </c>
      <c r="V812" t="s">
        <v>71</v>
      </c>
      <c r="W812" s="1">
        <v>45404</v>
      </c>
      <c r="X812" t="b">
        <v>1</v>
      </c>
      <c r="Y812" t="b">
        <v>0</v>
      </c>
      <c r="Z812" t="s">
        <v>59</v>
      </c>
      <c r="AA812" t="s">
        <v>60</v>
      </c>
      <c r="AB812">
        <v>5</v>
      </c>
    </row>
    <row r="813" spans="1:28">
      <c r="A813" t="s">
        <v>1858</v>
      </c>
      <c r="B813">
        <v>22</v>
      </c>
      <c r="C813" t="s">
        <v>33</v>
      </c>
      <c r="D813" t="s">
        <v>34</v>
      </c>
      <c r="E813" t="s">
        <v>82</v>
      </c>
      <c r="F813" t="s">
        <v>66</v>
      </c>
      <c r="G813" t="s">
        <v>51</v>
      </c>
      <c r="H813" t="s">
        <v>2389</v>
      </c>
      <c r="I813" t="s">
        <v>143</v>
      </c>
      <c r="J813" s="2">
        <v>193.94</v>
      </c>
      <c r="K813">
        <v>11</v>
      </c>
      <c r="L813" t="s">
        <v>39</v>
      </c>
      <c r="M813">
        <v>4</v>
      </c>
      <c r="N813">
        <v>1</v>
      </c>
      <c r="O813">
        <v>0</v>
      </c>
      <c r="P813" t="s">
        <v>40</v>
      </c>
      <c r="Q813" t="s">
        <v>57</v>
      </c>
      <c r="R813">
        <v>0</v>
      </c>
      <c r="S813">
        <v>3</v>
      </c>
      <c r="T813" t="s">
        <v>51</v>
      </c>
      <c r="U813" t="s">
        <v>95</v>
      </c>
      <c r="V813" t="s">
        <v>76</v>
      </c>
      <c r="W813" s="1">
        <v>45513</v>
      </c>
      <c r="X813" t="b">
        <v>0</v>
      </c>
      <c r="Y813" t="b">
        <v>0</v>
      </c>
      <c r="Z813" t="s">
        <v>59</v>
      </c>
      <c r="AA813" t="s">
        <v>60</v>
      </c>
      <c r="AB813">
        <v>9</v>
      </c>
    </row>
    <row r="814" spans="1:28">
      <c r="A814" t="s">
        <v>1860</v>
      </c>
      <c r="B814">
        <v>46</v>
      </c>
      <c r="C814" t="s">
        <v>50</v>
      </c>
      <c r="D814" t="s">
        <v>51</v>
      </c>
      <c r="E814" t="s">
        <v>35</v>
      </c>
      <c r="F814" t="s">
        <v>66</v>
      </c>
      <c r="G814" t="s">
        <v>34</v>
      </c>
      <c r="H814" t="s">
        <v>2390</v>
      </c>
      <c r="I814" t="s">
        <v>112</v>
      </c>
      <c r="J814" s="2">
        <v>460.37</v>
      </c>
      <c r="K814">
        <v>10</v>
      </c>
      <c r="L814" t="s">
        <v>94</v>
      </c>
      <c r="M814">
        <v>5</v>
      </c>
      <c r="N814">
        <v>4</v>
      </c>
      <c r="O814">
        <v>2</v>
      </c>
      <c r="P814" t="s">
        <v>69</v>
      </c>
      <c r="Q814" t="s">
        <v>101</v>
      </c>
      <c r="R814">
        <v>2</v>
      </c>
      <c r="S814">
        <v>7</v>
      </c>
      <c r="T814" t="s">
        <v>51</v>
      </c>
      <c r="U814" t="s">
        <v>95</v>
      </c>
      <c r="V814" t="s">
        <v>43</v>
      </c>
      <c r="W814" s="1">
        <v>45486</v>
      </c>
      <c r="X814" t="b">
        <v>1</v>
      </c>
      <c r="Y814" t="b">
        <v>1</v>
      </c>
      <c r="Z814" t="s">
        <v>59</v>
      </c>
      <c r="AA814" t="s">
        <v>77</v>
      </c>
      <c r="AB814">
        <v>12</v>
      </c>
    </row>
    <row r="815" spans="1:28">
      <c r="A815" t="s">
        <v>1862</v>
      </c>
      <c r="B815">
        <v>34</v>
      </c>
      <c r="C815" t="s">
        <v>238</v>
      </c>
      <c r="D815" t="s">
        <v>34</v>
      </c>
      <c r="E815" t="s">
        <v>65</v>
      </c>
      <c r="F815" t="s">
        <v>36</v>
      </c>
      <c r="G815" t="s">
        <v>34</v>
      </c>
      <c r="H815" t="s">
        <v>738</v>
      </c>
      <c r="I815" t="s">
        <v>170</v>
      </c>
      <c r="J815" s="2">
        <v>297.29000000000002</v>
      </c>
      <c r="K815">
        <v>9</v>
      </c>
      <c r="L815" t="s">
        <v>94</v>
      </c>
      <c r="M815">
        <v>5</v>
      </c>
      <c r="N815">
        <v>4</v>
      </c>
      <c r="O815">
        <v>2</v>
      </c>
      <c r="P815" t="s">
        <v>40</v>
      </c>
      <c r="Q815" t="s">
        <v>57</v>
      </c>
      <c r="R815">
        <v>0</v>
      </c>
      <c r="S815">
        <v>9</v>
      </c>
      <c r="T815" t="s">
        <v>69</v>
      </c>
      <c r="U815" t="s">
        <v>70</v>
      </c>
      <c r="V815" t="s">
        <v>102</v>
      </c>
      <c r="W815" s="1">
        <v>45292</v>
      </c>
      <c r="X815" t="b">
        <v>1</v>
      </c>
      <c r="Y815" t="b">
        <v>1</v>
      </c>
      <c r="Z815" t="s">
        <v>44</v>
      </c>
      <c r="AA815" t="s">
        <v>60</v>
      </c>
      <c r="AB815">
        <v>3</v>
      </c>
    </row>
    <row r="816" spans="1:28">
      <c r="A816" t="s">
        <v>1863</v>
      </c>
      <c r="B816">
        <v>31</v>
      </c>
      <c r="C816" t="s">
        <v>50</v>
      </c>
      <c r="D816" t="s">
        <v>34</v>
      </c>
      <c r="E816" t="s">
        <v>65</v>
      </c>
      <c r="F816" t="s">
        <v>36</v>
      </c>
      <c r="G816" t="s">
        <v>34</v>
      </c>
      <c r="H816" t="s">
        <v>1864</v>
      </c>
      <c r="I816" t="s">
        <v>98</v>
      </c>
      <c r="J816" s="2">
        <v>389.47</v>
      </c>
      <c r="K816">
        <v>4</v>
      </c>
      <c r="L816" t="s">
        <v>55</v>
      </c>
      <c r="M816">
        <v>5</v>
      </c>
      <c r="N816">
        <v>3</v>
      </c>
      <c r="O816">
        <v>2</v>
      </c>
      <c r="P816" t="s">
        <v>69</v>
      </c>
      <c r="Q816" t="s">
        <v>57</v>
      </c>
      <c r="R816">
        <v>1</v>
      </c>
      <c r="S816">
        <v>9</v>
      </c>
      <c r="T816" t="s">
        <v>51</v>
      </c>
      <c r="U816" t="s">
        <v>95</v>
      </c>
      <c r="V816" t="s">
        <v>43</v>
      </c>
      <c r="W816" s="1">
        <v>45333</v>
      </c>
      <c r="X816" t="b">
        <v>1</v>
      </c>
      <c r="Y816" t="b">
        <v>1</v>
      </c>
      <c r="Z816" t="s">
        <v>59</v>
      </c>
      <c r="AA816" t="s">
        <v>60</v>
      </c>
      <c r="AB816">
        <v>6</v>
      </c>
    </row>
    <row r="817" spans="1:28">
      <c r="A817" t="s">
        <v>1865</v>
      </c>
      <c r="B817">
        <v>38</v>
      </c>
      <c r="C817" t="s">
        <v>50</v>
      </c>
      <c r="D817" t="s">
        <v>51</v>
      </c>
      <c r="E817" t="s">
        <v>65</v>
      </c>
      <c r="F817" t="s">
        <v>66</v>
      </c>
      <c r="G817" t="s">
        <v>51</v>
      </c>
      <c r="H817" t="s">
        <v>1866</v>
      </c>
      <c r="I817" t="s">
        <v>75</v>
      </c>
      <c r="J817" s="2">
        <v>370.05</v>
      </c>
      <c r="K817">
        <v>11</v>
      </c>
      <c r="L817" t="s">
        <v>39</v>
      </c>
      <c r="M817">
        <v>5</v>
      </c>
      <c r="N817">
        <v>3</v>
      </c>
      <c r="O817">
        <v>0</v>
      </c>
      <c r="P817" t="s">
        <v>56</v>
      </c>
      <c r="Q817" t="s">
        <v>101</v>
      </c>
      <c r="R817">
        <v>1</v>
      </c>
      <c r="S817">
        <v>10</v>
      </c>
      <c r="T817" t="s">
        <v>51</v>
      </c>
      <c r="U817" t="s">
        <v>70</v>
      </c>
      <c r="V817" t="s">
        <v>102</v>
      </c>
      <c r="W817" s="1">
        <v>45595</v>
      </c>
      <c r="X817" t="b">
        <v>1</v>
      </c>
      <c r="Y817" t="b">
        <v>1</v>
      </c>
      <c r="Z817" t="s">
        <v>72</v>
      </c>
      <c r="AA817" t="s">
        <v>45</v>
      </c>
      <c r="AB817">
        <v>10</v>
      </c>
    </row>
    <row r="818" spans="1:28">
      <c r="A818" t="s">
        <v>1867</v>
      </c>
      <c r="B818">
        <v>45</v>
      </c>
      <c r="C818" t="s">
        <v>50</v>
      </c>
      <c r="D818" t="s">
        <v>51</v>
      </c>
      <c r="E818" t="s">
        <v>65</v>
      </c>
      <c r="F818" t="s">
        <v>66</v>
      </c>
      <c r="G818" t="s">
        <v>34</v>
      </c>
      <c r="H818" t="s">
        <v>1868</v>
      </c>
      <c r="I818" t="s">
        <v>306</v>
      </c>
      <c r="J818" s="2">
        <v>462.24</v>
      </c>
      <c r="K818">
        <v>2</v>
      </c>
      <c r="L818" t="s">
        <v>39</v>
      </c>
      <c r="M818">
        <v>4</v>
      </c>
      <c r="N818">
        <v>5</v>
      </c>
      <c r="O818">
        <v>0</v>
      </c>
      <c r="P818" t="s">
        <v>69</v>
      </c>
      <c r="Q818" t="s">
        <v>57</v>
      </c>
      <c r="R818">
        <v>2</v>
      </c>
      <c r="S818">
        <v>1</v>
      </c>
      <c r="T818" t="s">
        <v>40</v>
      </c>
      <c r="U818" t="s">
        <v>70</v>
      </c>
      <c r="V818" t="s">
        <v>76</v>
      </c>
      <c r="W818" s="1">
        <v>45370</v>
      </c>
      <c r="X818" t="b">
        <v>1</v>
      </c>
      <c r="Y818" t="b">
        <v>1</v>
      </c>
      <c r="Z818" t="s">
        <v>59</v>
      </c>
      <c r="AA818" t="s">
        <v>77</v>
      </c>
      <c r="AB818">
        <v>13</v>
      </c>
    </row>
    <row r="819" spans="1:28">
      <c r="A819" t="s">
        <v>1869</v>
      </c>
      <c r="B819">
        <v>30</v>
      </c>
      <c r="C819" t="s">
        <v>33</v>
      </c>
      <c r="D819" t="s">
        <v>51</v>
      </c>
      <c r="E819" t="s">
        <v>35</v>
      </c>
      <c r="F819" t="s">
        <v>52</v>
      </c>
      <c r="G819" t="s">
        <v>51</v>
      </c>
      <c r="H819" t="s">
        <v>2391</v>
      </c>
      <c r="I819" t="s">
        <v>54</v>
      </c>
      <c r="J819" s="2">
        <v>472.53</v>
      </c>
      <c r="K819">
        <v>11</v>
      </c>
      <c r="L819" t="s">
        <v>94</v>
      </c>
      <c r="M819">
        <v>4</v>
      </c>
      <c r="N819">
        <v>1</v>
      </c>
      <c r="O819">
        <v>1</v>
      </c>
      <c r="P819" t="s">
        <v>56</v>
      </c>
      <c r="Q819" t="s">
        <v>41</v>
      </c>
      <c r="R819">
        <v>2</v>
      </c>
      <c r="S819">
        <v>7</v>
      </c>
      <c r="T819" t="s">
        <v>56</v>
      </c>
      <c r="U819" t="s">
        <v>70</v>
      </c>
      <c r="V819" t="s">
        <v>71</v>
      </c>
      <c r="W819" s="1">
        <v>45412</v>
      </c>
      <c r="X819" t="b">
        <v>0</v>
      </c>
      <c r="Y819" t="b">
        <v>0</v>
      </c>
      <c r="Z819" t="s">
        <v>59</v>
      </c>
      <c r="AA819" t="s">
        <v>77</v>
      </c>
      <c r="AB819">
        <v>4</v>
      </c>
    </row>
    <row r="820" spans="1:28">
      <c r="A820" t="s">
        <v>1871</v>
      </c>
      <c r="B820">
        <v>45</v>
      </c>
      <c r="C820" t="s">
        <v>33</v>
      </c>
      <c r="D820" t="s">
        <v>34</v>
      </c>
      <c r="E820" t="s">
        <v>35</v>
      </c>
      <c r="F820" t="s">
        <v>52</v>
      </c>
      <c r="G820" t="s">
        <v>34</v>
      </c>
      <c r="H820" t="s">
        <v>1872</v>
      </c>
      <c r="I820" t="s">
        <v>75</v>
      </c>
      <c r="J820" s="2">
        <v>407.29</v>
      </c>
      <c r="K820">
        <v>3</v>
      </c>
      <c r="L820" t="s">
        <v>55</v>
      </c>
      <c r="M820">
        <v>5</v>
      </c>
      <c r="N820">
        <v>5</v>
      </c>
      <c r="O820">
        <v>0</v>
      </c>
      <c r="P820" t="s">
        <v>69</v>
      </c>
      <c r="Q820" t="s">
        <v>57</v>
      </c>
      <c r="R820">
        <v>0</v>
      </c>
      <c r="S820">
        <v>5</v>
      </c>
      <c r="T820" t="s">
        <v>69</v>
      </c>
      <c r="U820" t="s">
        <v>42</v>
      </c>
      <c r="V820" t="s">
        <v>76</v>
      </c>
      <c r="W820" s="1">
        <v>45621</v>
      </c>
      <c r="X820" t="b">
        <v>0</v>
      </c>
      <c r="Y820" t="b">
        <v>0</v>
      </c>
      <c r="Z820" t="s">
        <v>89</v>
      </c>
      <c r="AA820" t="s">
        <v>77</v>
      </c>
      <c r="AB820">
        <v>3</v>
      </c>
    </row>
    <row r="821" spans="1:28">
      <c r="A821" t="s">
        <v>1873</v>
      </c>
      <c r="B821">
        <v>18</v>
      </c>
      <c r="C821" t="s">
        <v>50</v>
      </c>
      <c r="D821" t="s">
        <v>51</v>
      </c>
      <c r="E821" t="s">
        <v>35</v>
      </c>
      <c r="F821" t="s">
        <v>36</v>
      </c>
      <c r="G821" t="s">
        <v>51</v>
      </c>
      <c r="H821" t="s">
        <v>1874</v>
      </c>
      <c r="I821" t="s">
        <v>112</v>
      </c>
      <c r="J821" s="2">
        <v>135.65</v>
      </c>
      <c r="K821">
        <v>8</v>
      </c>
      <c r="L821" t="s">
        <v>94</v>
      </c>
      <c r="M821">
        <v>4</v>
      </c>
      <c r="N821">
        <v>1</v>
      </c>
      <c r="O821">
        <v>1</v>
      </c>
      <c r="P821" t="s">
        <v>69</v>
      </c>
      <c r="Q821" t="s">
        <v>101</v>
      </c>
      <c r="R821">
        <v>0</v>
      </c>
      <c r="S821">
        <v>9</v>
      </c>
      <c r="T821" t="s">
        <v>40</v>
      </c>
      <c r="U821" t="s">
        <v>95</v>
      </c>
      <c r="V821" t="s">
        <v>76</v>
      </c>
      <c r="W821" s="1">
        <v>45338</v>
      </c>
      <c r="X821" t="b">
        <v>0</v>
      </c>
      <c r="Y821" t="b">
        <v>0</v>
      </c>
      <c r="Z821" t="s">
        <v>72</v>
      </c>
      <c r="AA821" t="s">
        <v>60</v>
      </c>
      <c r="AB821">
        <v>14</v>
      </c>
    </row>
    <row r="822" spans="1:28">
      <c r="A822" t="s">
        <v>1875</v>
      </c>
      <c r="B822">
        <v>36</v>
      </c>
      <c r="C822" t="s">
        <v>50</v>
      </c>
      <c r="D822" t="s">
        <v>51</v>
      </c>
      <c r="E822" t="s">
        <v>65</v>
      </c>
      <c r="F822" t="s">
        <v>36</v>
      </c>
      <c r="G822" t="s">
        <v>34</v>
      </c>
      <c r="H822" t="s">
        <v>1876</v>
      </c>
      <c r="I822" t="s">
        <v>127</v>
      </c>
      <c r="J822" s="2">
        <v>352.35</v>
      </c>
      <c r="K822">
        <v>4</v>
      </c>
      <c r="L822" t="s">
        <v>94</v>
      </c>
      <c r="M822">
        <v>2</v>
      </c>
      <c r="N822">
        <v>2</v>
      </c>
      <c r="O822">
        <v>0</v>
      </c>
      <c r="P822" t="s">
        <v>69</v>
      </c>
      <c r="Q822" t="s">
        <v>101</v>
      </c>
      <c r="R822">
        <v>1</v>
      </c>
      <c r="S822">
        <v>1</v>
      </c>
      <c r="T822" t="s">
        <v>69</v>
      </c>
      <c r="U822" t="s">
        <v>70</v>
      </c>
      <c r="V822" t="s">
        <v>43</v>
      </c>
      <c r="W822" s="1">
        <v>45463</v>
      </c>
      <c r="X822" t="b">
        <v>0</v>
      </c>
      <c r="Y822" t="b">
        <v>0</v>
      </c>
      <c r="Z822" t="s">
        <v>89</v>
      </c>
      <c r="AA822" t="s">
        <v>77</v>
      </c>
      <c r="AB822">
        <v>14</v>
      </c>
    </row>
    <row r="823" spans="1:28">
      <c r="A823" t="s">
        <v>1877</v>
      </c>
      <c r="B823">
        <v>25</v>
      </c>
      <c r="C823" t="s">
        <v>33</v>
      </c>
      <c r="D823" t="s">
        <v>51</v>
      </c>
      <c r="E823" t="s">
        <v>65</v>
      </c>
      <c r="F823" t="s">
        <v>52</v>
      </c>
      <c r="G823" t="s">
        <v>51</v>
      </c>
      <c r="H823" t="s">
        <v>2277</v>
      </c>
      <c r="I823" t="s">
        <v>98</v>
      </c>
      <c r="J823" s="2">
        <v>441.73</v>
      </c>
      <c r="K823">
        <v>12</v>
      </c>
      <c r="L823" t="s">
        <v>94</v>
      </c>
      <c r="M823">
        <v>1</v>
      </c>
      <c r="N823">
        <v>4</v>
      </c>
      <c r="O823">
        <v>2</v>
      </c>
      <c r="P823" t="s">
        <v>69</v>
      </c>
      <c r="Q823" t="s">
        <v>41</v>
      </c>
      <c r="R823">
        <v>0</v>
      </c>
      <c r="S823">
        <v>8</v>
      </c>
      <c r="T823" t="s">
        <v>56</v>
      </c>
      <c r="U823" t="s">
        <v>70</v>
      </c>
      <c r="V823" t="s">
        <v>43</v>
      </c>
      <c r="W823" s="1">
        <v>45326</v>
      </c>
      <c r="X823" t="b">
        <v>1</v>
      </c>
      <c r="Y823" t="b">
        <v>0</v>
      </c>
      <c r="Z823" t="s">
        <v>89</v>
      </c>
      <c r="AA823" t="s">
        <v>60</v>
      </c>
      <c r="AB823">
        <v>8</v>
      </c>
    </row>
    <row r="824" spans="1:28">
      <c r="A824" t="s">
        <v>1878</v>
      </c>
      <c r="B824">
        <v>21</v>
      </c>
      <c r="C824" t="s">
        <v>33</v>
      </c>
      <c r="D824" t="s">
        <v>51</v>
      </c>
      <c r="E824" t="s">
        <v>92</v>
      </c>
      <c r="F824" t="s">
        <v>52</v>
      </c>
      <c r="G824" t="s">
        <v>34</v>
      </c>
      <c r="H824" t="s">
        <v>1879</v>
      </c>
      <c r="I824" t="s">
        <v>123</v>
      </c>
      <c r="J824" s="2">
        <v>105.95</v>
      </c>
      <c r="K824">
        <v>12</v>
      </c>
      <c r="L824" t="s">
        <v>39</v>
      </c>
      <c r="M824">
        <v>1</v>
      </c>
      <c r="N824">
        <v>4</v>
      </c>
      <c r="O824">
        <v>2</v>
      </c>
      <c r="P824" t="s">
        <v>69</v>
      </c>
      <c r="Q824" t="s">
        <v>101</v>
      </c>
      <c r="R824">
        <v>1</v>
      </c>
      <c r="S824">
        <v>7</v>
      </c>
      <c r="T824" t="s">
        <v>56</v>
      </c>
      <c r="U824" t="s">
        <v>95</v>
      </c>
      <c r="V824" t="s">
        <v>102</v>
      </c>
      <c r="W824" s="1">
        <v>45508</v>
      </c>
      <c r="X824" t="b">
        <v>0</v>
      </c>
      <c r="Y824" t="b">
        <v>0</v>
      </c>
      <c r="Z824" t="s">
        <v>72</v>
      </c>
      <c r="AA824" t="s">
        <v>60</v>
      </c>
      <c r="AB824">
        <v>11</v>
      </c>
    </row>
    <row r="825" spans="1:28">
      <c r="A825" t="s">
        <v>1880</v>
      </c>
      <c r="B825">
        <v>26</v>
      </c>
      <c r="C825" t="s">
        <v>50</v>
      </c>
      <c r="D825" t="s">
        <v>51</v>
      </c>
      <c r="E825" t="s">
        <v>65</v>
      </c>
      <c r="F825" t="s">
        <v>66</v>
      </c>
      <c r="G825" t="s">
        <v>51</v>
      </c>
      <c r="H825" t="s">
        <v>1881</v>
      </c>
      <c r="I825" t="s">
        <v>199</v>
      </c>
      <c r="J825" s="2">
        <v>351.54</v>
      </c>
      <c r="K825">
        <v>11</v>
      </c>
      <c r="L825" t="s">
        <v>39</v>
      </c>
      <c r="M825">
        <v>1</v>
      </c>
      <c r="N825">
        <v>3</v>
      </c>
      <c r="O825">
        <v>2</v>
      </c>
      <c r="P825" t="s">
        <v>40</v>
      </c>
      <c r="Q825" t="s">
        <v>41</v>
      </c>
      <c r="R825">
        <v>0</v>
      </c>
      <c r="S825">
        <v>8</v>
      </c>
      <c r="T825" t="s">
        <v>40</v>
      </c>
      <c r="U825" t="s">
        <v>42</v>
      </c>
      <c r="V825" t="s">
        <v>58</v>
      </c>
      <c r="W825" s="1">
        <v>45372</v>
      </c>
      <c r="X825" t="b">
        <v>1</v>
      </c>
      <c r="Y825" t="b">
        <v>0</v>
      </c>
      <c r="Z825" t="s">
        <v>89</v>
      </c>
      <c r="AA825" t="s">
        <v>77</v>
      </c>
      <c r="AB825">
        <v>12</v>
      </c>
    </row>
    <row r="826" spans="1:28">
      <c r="A826" t="s">
        <v>1883</v>
      </c>
      <c r="B826">
        <v>40</v>
      </c>
      <c r="C826" t="s">
        <v>50</v>
      </c>
      <c r="D826" t="s">
        <v>51</v>
      </c>
      <c r="E826" t="s">
        <v>92</v>
      </c>
      <c r="F826" t="s">
        <v>36</v>
      </c>
      <c r="G826" t="s">
        <v>51</v>
      </c>
      <c r="H826" t="s">
        <v>1884</v>
      </c>
      <c r="I826" t="s">
        <v>75</v>
      </c>
      <c r="J826" s="2">
        <v>321.26</v>
      </c>
      <c r="K826">
        <v>12</v>
      </c>
      <c r="L826" t="s">
        <v>94</v>
      </c>
      <c r="M826">
        <v>4</v>
      </c>
      <c r="N826">
        <v>1</v>
      </c>
      <c r="O826">
        <v>0</v>
      </c>
      <c r="P826" t="s">
        <v>40</v>
      </c>
      <c r="Q826" t="s">
        <v>101</v>
      </c>
      <c r="R826">
        <v>0</v>
      </c>
      <c r="S826">
        <v>6</v>
      </c>
      <c r="T826" t="s">
        <v>40</v>
      </c>
      <c r="U826" t="s">
        <v>95</v>
      </c>
      <c r="V826" t="s">
        <v>71</v>
      </c>
      <c r="W826" s="1">
        <v>45456</v>
      </c>
      <c r="X826" t="b">
        <v>0</v>
      </c>
      <c r="Y826" t="b">
        <v>0</v>
      </c>
      <c r="Z826" t="s">
        <v>44</v>
      </c>
      <c r="AA826" t="s">
        <v>60</v>
      </c>
      <c r="AB826">
        <v>14</v>
      </c>
    </row>
    <row r="827" spans="1:28">
      <c r="A827" t="s">
        <v>1885</v>
      </c>
      <c r="B827">
        <v>47</v>
      </c>
      <c r="C827" t="s">
        <v>33</v>
      </c>
      <c r="D827" t="s">
        <v>51</v>
      </c>
      <c r="E827" t="s">
        <v>92</v>
      </c>
      <c r="F827" t="s">
        <v>52</v>
      </c>
      <c r="G827" t="s">
        <v>34</v>
      </c>
      <c r="H827" t="s">
        <v>1886</v>
      </c>
      <c r="I827" t="s">
        <v>127</v>
      </c>
      <c r="J827" s="2">
        <v>421.5</v>
      </c>
      <c r="K827">
        <v>11</v>
      </c>
      <c r="L827" t="s">
        <v>94</v>
      </c>
      <c r="M827">
        <v>5</v>
      </c>
      <c r="N827">
        <v>1</v>
      </c>
      <c r="O827">
        <v>2</v>
      </c>
      <c r="P827" t="s">
        <v>69</v>
      </c>
      <c r="Q827" t="s">
        <v>41</v>
      </c>
      <c r="R827">
        <v>0</v>
      </c>
      <c r="S827">
        <v>8</v>
      </c>
      <c r="T827" t="s">
        <v>40</v>
      </c>
      <c r="U827" t="s">
        <v>95</v>
      </c>
      <c r="V827" t="s">
        <v>58</v>
      </c>
      <c r="W827" s="1">
        <v>45386</v>
      </c>
      <c r="X827" t="b">
        <v>1</v>
      </c>
      <c r="Y827" t="b">
        <v>1</v>
      </c>
      <c r="Z827" t="s">
        <v>44</v>
      </c>
      <c r="AA827" t="s">
        <v>77</v>
      </c>
      <c r="AB827">
        <v>3</v>
      </c>
    </row>
    <row r="828" spans="1:28">
      <c r="A828" t="s">
        <v>1887</v>
      </c>
      <c r="B828">
        <v>27</v>
      </c>
      <c r="C828" t="s">
        <v>106</v>
      </c>
      <c r="D828" t="s">
        <v>51</v>
      </c>
      <c r="E828" t="s">
        <v>82</v>
      </c>
      <c r="F828" t="s">
        <v>52</v>
      </c>
      <c r="G828" t="s">
        <v>34</v>
      </c>
      <c r="H828" t="s">
        <v>1888</v>
      </c>
      <c r="I828" t="s">
        <v>54</v>
      </c>
      <c r="J828" s="2">
        <v>253.29</v>
      </c>
      <c r="K828">
        <v>6</v>
      </c>
      <c r="L828" t="s">
        <v>39</v>
      </c>
      <c r="M828">
        <v>3</v>
      </c>
      <c r="N828">
        <v>2</v>
      </c>
      <c r="O828">
        <v>2</v>
      </c>
      <c r="P828" t="s">
        <v>40</v>
      </c>
      <c r="Q828" t="s">
        <v>41</v>
      </c>
      <c r="R828">
        <v>1</v>
      </c>
      <c r="S828">
        <v>4</v>
      </c>
      <c r="T828" t="s">
        <v>40</v>
      </c>
      <c r="U828" t="s">
        <v>95</v>
      </c>
      <c r="V828" t="s">
        <v>58</v>
      </c>
      <c r="W828" s="1">
        <v>45414</v>
      </c>
      <c r="X828" t="b">
        <v>1</v>
      </c>
      <c r="Y828" t="b">
        <v>0</v>
      </c>
      <c r="Z828" t="s">
        <v>89</v>
      </c>
      <c r="AA828" t="s">
        <v>60</v>
      </c>
      <c r="AB828">
        <v>8</v>
      </c>
    </row>
    <row r="829" spans="1:28">
      <c r="A829" t="s">
        <v>1889</v>
      </c>
      <c r="B829">
        <v>29</v>
      </c>
      <c r="C829" t="s">
        <v>33</v>
      </c>
      <c r="D829" t="s">
        <v>34</v>
      </c>
      <c r="E829" t="s">
        <v>92</v>
      </c>
      <c r="F829" t="s">
        <v>52</v>
      </c>
      <c r="G829" t="s">
        <v>51</v>
      </c>
      <c r="H829" t="s">
        <v>1890</v>
      </c>
      <c r="I829" t="s">
        <v>306</v>
      </c>
      <c r="J829" s="2">
        <v>217.62</v>
      </c>
      <c r="K829">
        <v>3</v>
      </c>
      <c r="L829" t="s">
        <v>94</v>
      </c>
      <c r="M829">
        <v>5</v>
      </c>
      <c r="N829">
        <v>2</v>
      </c>
      <c r="O829">
        <v>1</v>
      </c>
      <c r="P829" t="s">
        <v>51</v>
      </c>
      <c r="Q829" t="s">
        <v>101</v>
      </c>
      <c r="R829">
        <v>2</v>
      </c>
      <c r="S829">
        <v>3</v>
      </c>
      <c r="T829" t="s">
        <v>69</v>
      </c>
      <c r="U829" t="s">
        <v>70</v>
      </c>
      <c r="V829" t="s">
        <v>58</v>
      </c>
      <c r="W829" s="1">
        <v>45336</v>
      </c>
      <c r="X829" t="b">
        <v>0</v>
      </c>
      <c r="Y829" t="b">
        <v>1</v>
      </c>
      <c r="Z829" t="s">
        <v>72</v>
      </c>
      <c r="AA829" t="s">
        <v>45</v>
      </c>
      <c r="AB829">
        <v>5</v>
      </c>
    </row>
    <row r="830" spans="1:28">
      <c r="A830" t="s">
        <v>1891</v>
      </c>
      <c r="B830">
        <v>21</v>
      </c>
      <c r="C830" t="s">
        <v>50</v>
      </c>
      <c r="D830" t="s">
        <v>34</v>
      </c>
      <c r="E830" t="s">
        <v>65</v>
      </c>
      <c r="F830" t="s">
        <v>36</v>
      </c>
      <c r="G830" t="s">
        <v>51</v>
      </c>
      <c r="H830" t="s">
        <v>1892</v>
      </c>
      <c r="I830" t="s">
        <v>98</v>
      </c>
      <c r="J830" s="2">
        <v>226.04</v>
      </c>
      <c r="K830">
        <v>11</v>
      </c>
      <c r="L830" t="s">
        <v>94</v>
      </c>
      <c r="M830">
        <v>4</v>
      </c>
      <c r="N830">
        <v>1</v>
      </c>
      <c r="O830">
        <v>1</v>
      </c>
      <c r="P830" t="s">
        <v>40</v>
      </c>
      <c r="Q830" t="s">
        <v>101</v>
      </c>
      <c r="R830">
        <v>0</v>
      </c>
      <c r="S830">
        <v>9</v>
      </c>
      <c r="T830" t="s">
        <v>56</v>
      </c>
      <c r="U830" t="s">
        <v>95</v>
      </c>
      <c r="V830" t="s">
        <v>58</v>
      </c>
      <c r="W830" s="1">
        <v>45426</v>
      </c>
      <c r="X830" t="b">
        <v>1</v>
      </c>
      <c r="Y830" t="b">
        <v>0</v>
      </c>
      <c r="Z830" t="s">
        <v>59</v>
      </c>
      <c r="AA830" t="s">
        <v>77</v>
      </c>
      <c r="AB830">
        <v>12</v>
      </c>
    </row>
    <row r="831" spans="1:28">
      <c r="A831" t="s">
        <v>1893</v>
      </c>
      <c r="B831">
        <v>41</v>
      </c>
      <c r="C831" t="s">
        <v>188</v>
      </c>
      <c r="D831" t="s">
        <v>51</v>
      </c>
      <c r="E831" t="s">
        <v>65</v>
      </c>
      <c r="F831" t="s">
        <v>36</v>
      </c>
      <c r="G831" t="s">
        <v>51</v>
      </c>
      <c r="H831" t="s">
        <v>1894</v>
      </c>
      <c r="I831" t="s">
        <v>143</v>
      </c>
      <c r="J831" s="2">
        <v>52.79</v>
      </c>
      <c r="K831">
        <v>4</v>
      </c>
      <c r="L831" t="s">
        <v>94</v>
      </c>
      <c r="M831">
        <v>2</v>
      </c>
      <c r="N831">
        <v>2</v>
      </c>
      <c r="O831">
        <v>0</v>
      </c>
      <c r="P831" t="s">
        <v>69</v>
      </c>
      <c r="Q831" t="s">
        <v>57</v>
      </c>
      <c r="R831">
        <v>1</v>
      </c>
      <c r="S831">
        <v>7</v>
      </c>
      <c r="T831" t="s">
        <v>40</v>
      </c>
      <c r="U831" t="s">
        <v>42</v>
      </c>
      <c r="V831" t="s">
        <v>71</v>
      </c>
      <c r="W831" s="1">
        <v>45328</v>
      </c>
      <c r="X831" t="b">
        <v>1</v>
      </c>
      <c r="Y831" t="b">
        <v>1</v>
      </c>
      <c r="Z831" t="s">
        <v>72</v>
      </c>
      <c r="AA831" t="s">
        <v>77</v>
      </c>
      <c r="AB831">
        <v>4</v>
      </c>
    </row>
    <row r="832" spans="1:28">
      <c r="A832" t="s">
        <v>1895</v>
      </c>
      <c r="B832">
        <v>43</v>
      </c>
      <c r="C832" t="s">
        <v>50</v>
      </c>
      <c r="D832" t="s">
        <v>34</v>
      </c>
      <c r="E832" t="s">
        <v>82</v>
      </c>
      <c r="F832" t="s">
        <v>52</v>
      </c>
      <c r="G832" t="s">
        <v>51</v>
      </c>
      <c r="H832" t="s">
        <v>1896</v>
      </c>
      <c r="I832" t="s">
        <v>306</v>
      </c>
      <c r="J832" s="2">
        <v>385.08</v>
      </c>
      <c r="K832">
        <v>7</v>
      </c>
      <c r="L832" t="s">
        <v>55</v>
      </c>
      <c r="M832">
        <v>2</v>
      </c>
      <c r="N832">
        <v>4</v>
      </c>
      <c r="O832">
        <v>1</v>
      </c>
      <c r="P832" t="s">
        <v>51</v>
      </c>
      <c r="Q832" t="s">
        <v>41</v>
      </c>
      <c r="R832">
        <v>1</v>
      </c>
      <c r="S832">
        <v>1</v>
      </c>
      <c r="T832" t="s">
        <v>69</v>
      </c>
      <c r="U832" t="s">
        <v>42</v>
      </c>
      <c r="V832" t="s">
        <v>71</v>
      </c>
      <c r="W832" s="1">
        <v>45608</v>
      </c>
      <c r="X832" t="b">
        <v>0</v>
      </c>
      <c r="Y832" t="b">
        <v>1</v>
      </c>
      <c r="Z832" t="s">
        <v>72</v>
      </c>
      <c r="AA832" t="s">
        <v>45</v>
      </c>
      <c r="AB832">
        <v>1</v>
      </c>
    </row>
    <row r="833" spans="1:28">
      <c r="A833" t="s">
        <v>1897</v>
      </c>
      <c r="B833">
        <v>33</v>
      </c>
      <c r="C833" t="s">
        <v>50</v>
      </c>
      <c r="D833" t="s">
        <v>51</v>
      </c>
      <c r="E833" t="s">
        <v>82</v>
      </c>
      <c r="F833" t="s">
        <v>66</v>
      </c>
      <c r="G833" t="s">
        <v>34</v>
      </c>
      <c r="H833" t="s">
        <v>1038</v>
      </c>
      <c r="I833" t="s">
        <v>135</v>
      </c>
      <c r="J833" s="2">
        <v>181.1</v>
      </c>
      <c r="K833">
        <v>2</v>
      </c>
      <c r="L833" t="s">
        <v>94</v>
      </c>
      <c r="M833">
        <v>2</v>
      </c>
      <c r="N833">
        <v>5</v>
      </c>
      <c r="O833">
        <v>2</v>
      </c>
      <c r="P833" t="s">
        <v>69</v>
      </c>
      <c r="Q833" t="s">
        <v>57</v>
      </c>
      <c r="R833">
        <v>2</v>
      </c>
      <c r="S833">
        <v>7</v>
      </c>
      <c r="T833" t="s">
        <v>69</v>
      </c>
      <c r="U833" t="s">
        <v>42</v>
      </c>
      <c r="V833" t="s">
        <v>43</v>
      </c>
      <c r="W833" s="1">
        <v>45652</v>
      </c>
      <c r="X833" t="b">
        <v>0</v>
      </c>
      <c r="Y833" t="b">
        <v>0</v>
      </c>
      <c r="Z833" t="s">
        <v>72</v>
      </c>
      <c r="AA833" t="s">
        <v>45</v>
      </c>
      <c r="AB833">
        <v>5</v>
      </c>
    </row>
    <row r="834" spans="1:28">
      <c r="A834" t="s">
        <v>1898</v>
      </c>
      <c r="B834">
        <v>23</v>
      </c>
      <c r="C834" t="s">
        <v>33</v>
      </c>
      <c r="D834" t="s">
        <v>34</v>
      </c>
      <c r="E834" t="s">
        <v>65</v>
      </c>
      <c r="F834" t="s">
        <v>66</v>
      </c>
      <c r="G834" t="s">
        <v>34</v>
      </c>
      <c r="H834" t="s">
        <v>1899</v>
      </c>
      <c r="I834" t="s">
        <v>68</v>
      </c>
      <c r="J834" s="2">
        <v>246.41</v>
      </c>
      <c r="K834">
        <v>7</v>
      </c>
      <c r="L834" t="s">
        <v>55</v>
      </c>
      <c r="M834">
        <v>2</v>
      </c>
      <c r="N834">
        <v>4</v>
      </c>
      <c r="O834">
        <v>0</v>
      </c>
      <c r="P834" t="s">
        <v>40</v>
      </c>
      <c r="Q834" t="s">
        <v>41</v>
      </c>
      <c r="R834">
        <v>2</v>
      </c>
      <c r="S834">
        <v>8</v>
      </c>
      <c r="T834" t="s">
        <v>69</v>
      </c>
      <c r="U834" t="s">
        <v>70</v>
      </c>
      <c r="V834" t="s">
        <v>102</v>
      </c>
      <c r="W834" s="1">
        <v>45566</v>
      </c>
      <c r="X834" t="b">
        <v>1</v>
      </c>
      <c r="Y834" t="b">
        <v>0</v>
      </c>
      <c r="Z834" t="s">
        <v>44</v>
      </c>
      <c r="AA834" t="s">
        <v>60</v>
      </c>
      <c r="AB834">
        <v>11</v>
      </c>
    </row>
    <row r="835" spans="1:28">
      <c r="A835" t="s">
        <v>1900</v>
      </c>
      <c r="B835">
        <v>37</v>
      </c>
      <c r="C835" t="s">
        <v>33</v>
      </c>
      <c r="D835" t="s">
        <v>34</v>
      </c>
      <c r="E835" t="s">
        <v>92</v>
      </c>
      <c r="F835" t="s">
        <v>36</v>
      </c>
      <c r="G835" t="s">
        <v>51</v>
      </c>
      <c r="H835" t="s">
        <v>1901</v>
      </c>
      <c r="I835" t="s">
        <v>153</v>
      </c>
      <c r="J835" s="2">
        <v>140.87</v>
      </c>
      <c r="K835">
        <v>8</v>
      </c>
      <c r="L835" t="s">
        <v>55</v>
      </c>
      <c r="M835">
        <v>3</v>
      </c>
      <c r="N835">
        <v>3</v>
      </c>
      <c r="O835">
        <v>2</v>
      </c>
      <c r="P835" t="s">
        <v>69</v>
      </c>
      <c r="Q835" t="s">
        <v>57</v>
      </c>
      <c r="R835">
        <v>2</v>
      </c>
      <c r="S835">
        <v>7</v>
      </c>
      <c r="T835" t="s">
        <v>56</v>
      </c>
      <c r="U835" t="s">
        <v>42</v>
      </c>
      <c r="V835" t="s">
        <v>76</v>
      </c>
      <c r="W835" s="1">
        <v>45354</v>
      </c>
      <c r="X835" t="b">
        <v>1</v>
      </c>
      <c r="Y835" t="b">
        <v>0</v>
      </c>
      <c r="Z835" t="s">
        <v>72</v>
      </c>
      <c r="AA835" t="s">
        <v>45</v>
      </c>
      <c r="AB835">
        <v>9</v>
      </c>
    </row>
    <row r="836" spans="1:28">
      <c r="A836" t="s">
        <v>1902</v>
      </c>
      <c r="B836">
        <v>34</v>
      </c>
      <c r="C836" t="s">
        <v>33</v>
      </c>
      <c r="D836" t="s">
        <v>51</v>
      </c>
      <c r="E836" t="s">
        <v>65</v>
      </c>
      <c r="F836" t="s">
        <v>66</v>
      </c>
      <c r="G836" t="s">
        <v>51</v>
      </c>
      <c r="H836" t="s">
        <v>1903</v>
      </c>
      <c r="I836" t="s">
        <v>150</v>
      </c>
      <c r="J836" s="2">
        <v>151.25</v>
      </c>
      <c r="K836">
        <v>2</v>
      </c>
      <c r="L836" t="s">
        <v>55</v>
      </c>
      <c r="M836">
        <v>2</v>
      </c>
      <c r="N836">
        <v>5</v>
      </c>
      <c r="O836">
        <v>0</v>
      </c>
      <c r="P836" t="s">
        <v>56</v>
      </c>
      <c r="Q836" t="s">
        <v>41</v>
      </c>
      <c r="R836">
        <v>1</v>
      </c>
      <c r="S836">
        <v>8</v>
      </c>
      <c r="T836" t="s">
        <v>56</v>
      </c>
      <c r="U836" t="s">
        <v>42</v>
      </c>
      <c r="V836" t="s">
        <v>71</v>
      </c>
      <c r="W836" s="1">
        <v>45402</v>
      </c>
      <c r="X836" t="b">
        <v>1</v>
      </c>
      <c r="Y836" t="b">
        <v>0</v>
      </c>
      <c r="Z836" t="s">
        <v>89</v>
      </c>
      <c r="AA836" t="s">
        <v>45</v>
      </c>
      <c r="AB836">
        <v>10</v>
      </c>
    </row>
    <row r="837" spans="1:28">
      <c r="A837" t="s">
        <v>1905</v>
      </c>
      <c r="B837">
        <v>27</v>
      </c>
      <c r="C837" t="s">
        <v>50</v>
      </c>
      <c r="D837" t="s">
        <v>51</v>
      </c>
      <c r="E837" t="s">
        <v>92</v>
      </c>
      <c r="F837" t="s">
        <v>66</v>
      </c>
      <c r="G837" t="s">
        <v>34</v>
      </c>
      <c r="H837" t="s">
        <v>1906</v>
      </c>
      <c r="I837" t="s">
        <v>135</v>
      </c>
      <c r="J837" s="2">
        <v>171.52</v>
      </c>
      <c r="K837">
        <v>3</v>
      </c>
      <c r="L837" t="s">
        <v>39</v>
      </c>
      <c r="M837">
        <v>5</v>
      </c>
      <c r="N837">
        <v>5</v>
      </c>
      <c r="O837">
        <v>2</v>
      </c>
      <c r="P837" t="s">
        <v>56</v>
      </c>
      <c r="Q837" t="s">
        <v>101</v>
      </c>
      <c r="R837">
        <v>1</v>
      </c>
      <c r="S837">
        <v>9</v>
      </c>
      <c r="T837" t="s">
        <v>56</v>
      </c>
      <c r="U837" t="s">
        <v>70</v>
      </c>
      <c r="V837" t="s">
        <v>102</v>
      </c>
      <c r="W837" s="1">
        <v>45525</v>
      </c>
      <c r="X837" t="b">
        <v>1</v>
      </c>
      <c r="Y837" t="b">
        <v>1</v>
      </c>
      <c r="Z837" t="s">
        <v>89</v>
      </c>
      <c r="AA837" t="s">
        <v>60</v>
      </c>
      <c r="AB837">
        <v>12</v>
      </c>
    </row>
    <row r="838" spans="1:28">
      <c r="A838" t="s">
        <v>1907</v>
      </c>
      <c r="B838">
        <v>40</v>
      </c>
      <c r="C838" t="s">
        <v>50</v>
      </c>
      <c r="D838" t="s">
        <v>34</v>
      </c>
      <c r="E838" t="s">
        <v>82</v>
      </c>
      <c r="F838" t="s">
        <v>66</v>
      </c>
      <c r="G838" t="s">
        <v>51</v>
      </c>
      <c r="H838" t="s">
        <v>1908</v>
      </c>
      <c r="I838" t="s">
        <v>108</v>
      </c>
      <c r="J838" s="2">
        <v>399.56</v>
      </c>
      <c r="K838">
        <v>10</v>
      </c>
      <c r="L838" t="s">
        <v>94</v>
      </c>
      <c r="M838">
        <v>4</v>
      </c>
      <c r="N838">
        <v>2</v>
      </c>
      <c r="O838">
        <v>1</v>
      </c>
      <c r="P838" t="s">
        <v>69</v>
      </c>
      <c r="Q838" t="s">
        <v>57</v>
      </c>
      <c r="R838">
        <v>0</v>
      </c>
      <c r="S838">
        <v>4</v>
      </c>
      <c r="T838" t="s">
        <v>56</v>
      </c>
      <c r="U838" t="s">
        <v>95</v>
      </c>
      <c r="V838" t="s">
        <v>102</v>
      </c>
      <c r="W838" s="1">
        <v>45586</v>
      </c>
      <c r="X838" t="b">
        <v>1</v>
      </c>
      <c r="Y838" t="b">
        <v>1</v>
      </c>
      <c r="Z838" t="s">
        <v>44</v>
      </c>
      <c r="AA838" t="s">
        <v>45</v>
      </c>
      <c r="AB838">
        <v>1</v>
      </c>
    </row>
    <row r="839" spans="1:28">
      <c r="A839" t="s">
        <v>1909</v>
      </c>
      <c r="B839">
        <v>40</v>
      </c>
      <c r="C839" t="s">
        <v>33</v>
      </c>
      <c r="D839" t="s">
        <v>34</v>
      </c>
      <c r="E839" t="s">
        <v>82</v>
      </c>
      <c r="F839" t="s">
        <v>66</v>
      </c>
      <c r="G839" t="s">
        <v>34</v>
      </c>
      <c r="H839" t="s">
        <v>1910</v>
      </c>
      <c r="I839" t="s">
        <v>108</v>
      </c>
      <c r="J839" s="2">
        <v>173.46</v>
      </c>
      <c r="K839">
        <v>4</v>
      </c>
      <c r="L839" t="s">
        <v>39</v>
      </c>
      <c r="M839">
        <v>5</v>
      </c>
      <c r="N839">
        <v>3</v>
      </c>
      <c r="O839">
        <v>1</v>
      </c>
      <c r="P839" t="s">
        <v>40</v>
      </c>
      <c r="Q839" t="s">
        <v>57</v>
      </c>
      <c r="R839">
        <v>0</v>
      </c>
      <c r="S839">
        <v>9</v>
      </c>
      <c r="T839" t="s">
        <v>56</v>
      </c>
      <c r="U839" t="s">
        <v>70</v>
      </c>
      <c r="V839" t="s">
        <v>58</v>
      </c>
      <c r="W839" s="1">
        <v>45393</v>
      </c>
      <c r="X839" t="b">
        <v>0</v>
      </c>
      <c r="Y839" t="b">
        <v>1</v>
      </c>
      <c r="Z839" t="s">
        <v>59</v>
      </c>
      <c r="AA839" t="s">
        <v>45</v>
      </c>
      <c r="AB839">
        <v>2</v>
      </c>
    </row>
    <row r="840" spans="1:28">
      <c r="A840" t="s">
        <v>1911</v>
      </c>
      <c r="B840">
        <v>43</v>
      </c>
      <c r="C840" t="s">
        <v>50</v>
      </c>
      <c r="D840" t="s">
        <v>51</v>
      </c>
      <c r="E840" t="s">
        <v>82</v>
      </c>
      <c r="F840" t="s">
        <v>36</v>
      </c>
      <c r="G840" t="s">
        <v>51</v>
      </c>
      <c r="H840" t="s">
        <v>2392</v>
      </c>
      <c r="I840" t="s">
        <v>156</v>
      </c>
      <c r="J840" s="2">
        <v>332.14</v>
      </c>
      <c r="K840">
        <v>10</v>
      </c>
      <c r="L840" t="s">
        <v>94</v>
      </c>
      <c r="M840">
        <v>4</v>
      </c>
      <c r="N840">
        <v>4</v>
      </c>
      <c r="O840">
        <v>0</v>
      </c>
      <c r="P840" t="s">
        <v>69</v>
      </c>
      <c r="Q840" t="s">
        <v>41</v>
      </c>
      <c r="R840">
        <v>1</v>
      </c>
      <c r="S840">
        <v>2</v>
      </c>
      <c r="T840" t="s">
        <v>40</v>
      </c>
      <c r="U840" t="s">
        <v>95</v>
      </c>
      <c r="V840" t="s">
        <v>58</v>
      </c>
      <c r="W840" s="1">
        <v>45331</v>
      </c>
      <c r="X840" t="b">
        <v>1</v>
      </c>
      <c r="Y840" t="b">
        <v>1</v>
      </c>
      <c r="Z840" t="s">
        <v>89</v>
      </c>
      <c r="AA840" t="s">
        <v>45</v>
      </c>
      <c r="AB840">
        <v>13</v>
      </c>
    </row>
    <row r="841" spans="1:28">
      <c r="A841" t="s">
        <v>1914</v>
      </c>
      <c r="B841">
        <v>37</v>
      </c>
      <c r="C841" t="s">
        <v>238</v>
      </c>
      <c r="D841" t="s">
        <v>34</v>
      </c>
      <c r="E841" t="s">
        <v>65</v>
      </c>
      <c r="F841" t="s">
        <v>36</v>
      </c>
      <c r="G841" t="s">
        <v>34</v>
      </c>
      <c r="H841" t="s">
        <v>1915</v>
      </c>
      <c r="I841" t="s">
        <v>54</v>
      </c>
      <c r="J841" s="2">
        <v>247.05</v>
      </c>
      <c r="K841">
        <v>8</v>
      </c>
      <c r="L841" t="s">
        <v>55</v>
      </c>
      <c r="M841">
        <v>3</v>
      </c>
      <c r="N841">
        <v>2</v>
      </c>
      <c r="O841">
        <v>1</v>
      </c>
      <c r="P841" t="s">
        <v>69</v>
      </c>
      <c r="Q841" t="s">
        <v>41</v>
      </c>
      <c r="R841">
        <v>1</v>
      </c>
      <c r="S841">
        <v>8</v>
      </c>
      <c r="T841" t="s">
        <v>51</v>
      </c>
      <c r="U841" t="s">
        <v>95</v>
      </c>
      <c r="V841" t="s">
        <v>102</v>
      </c>
      <c r="W841" s="1">
        <v>45437</v>
      </c>
      <c r="X841" t="b">
        <v>0</v>
      </c>
      <c r="Y841" t="b">
        <v>0</v>
      </c>
      <c r="Z841" t="s">
        <v>59</v>
      </c>
      <c r="AA841" t="s">
        <v>60</v>
      </c>
      <c r="AB841">
        <v>2</v>
      </c>
    </row>
    <row r="842" spans="1:28">
      <c r="A842" t="s">
        <v>1916</v>
      </c>
      <c r="B842">
        <v>49</v>
      </c>
      <c r="C842" t="s">
        <v>50</v>
      </c>
      <c r="D842" t="s">
        <v>51</v>
      </c>
      <c r="E842" t="s">
        <v>65</v>
      </c>
      <c r="F842" t="s">
        <v>36</v>
      </c>
      <c r="G842" t="s">
        <v>51</v>
      </c>
      <c r="H842" t="s">
        <v>1917</v>
      </c>
      <c r="I842" t="s">
        <v>68</v>
      </c>
      <c r="J842" s="2">
        <v>365.88</v>
      </c>
      <c r="K842">
        <v>10</v>
      </c>
      <c r="L842" t="s">
        <v>39</v>
      </c>
      <c r="M842">
        <v>4</v>
      </c>
      <c r="N842">
        <v>5</v>
      </c>
      <c r="O842">
        <v>1</v>
      </c>
      <c r="P842" t="s">
        <v>40</v>
      </c>
      <c r="Q842" t="s">
        <v>41</v>
      </c>
      <c r="R842">
        <v>1</v>
      </c>
      <c r="S842">
        <v>1</v>
      </c>
      <c r="T842" t="s">
        <v>56</v>
      </c>
      <c r="U842" t="s">
        <v>42</v>
      </c>
      <c r="V842" t="s">
        <v>58</v>
      </c>
      <c r="W842" s="1">
        <v>45398</v>
      </c>
      <c r="X842" t="b">
        <v>0</v>
      </c>
      <c r="Y842" t="b">
        <v>0</v>
      </c>
      <c r="Z842" t="s">
        <v>59</v>
      </c>
      <c r="AA842" t="s">
        <v>77</v>
      </c>
      <c r="AB842">
        <v>9</v>
      </c>
    </row>
    <row r="843" spans="1:28">
      <c r="A843" t="s">
        <v>1918</v>
      </c>
      <c r="B843">
        <v>27</v>
      </c>
      <c r="C843" t="s">
        <v>33</v>
      </c>
      <c r="D843" t="s">
        <v>34</v>
      </c>
      <c r="E843" t="s">
        <v>35</v>
      </c>
      <c r="F843" t="s">
        <v>36</v>
      </c>
      <c r="G843" t="s">
        <v>34</v>
      </c>
      <c r="H843" t="s">
        <v>1919</v>
      </c>
      <c r="I843" t="s">
        <v>156</v>
      </c>
      <c r="J843" s="2">
        <v>354.92</v>
      </c>
      <c r="K843">
        <v>8</v>
      </c>
      <c r="L843" t="s">
        <v>39</v>
      </c>
      <c r="M843">
        <v>5</v>
      </c>
      <c r="N843">
        <v>4</v>
      </c>
      <c r="O843">
        <v>0</v>
      </c>
      <c r="P843" t="s">
        <v>40</v>
      </c>
      <c r="Q843" t="s">
        <v>41</v>
      </c>
      <c r="R843">
        <v>0</v>
      </c>
      <c r="S843">
        <v>1</v>
      </c>
      <c r="T843" t="s">
        <v>40</v>
      </c>
      <c r="U843" t="s">
        <v>42</v>
      </c>
      <c r="V843" t="s">
        <v>71</v>
      </c>
      <c r="W843" s="1">
        <v>45339</v>
      </c>
      <c r="X843" t="b">
        <v>1</v>
      </c>
      <c r="Y843" t="b">
        <v>1</v>
      </c>
      <c r="Z843" t="s">
        <v>59</v>
      </c>
      <c r="AA843" t="s">
        <v>77</v>
      </c>
      <c r="AB843">
        <v>13</v>
      </c>
    </row>
    <row r="844" spans="1:28">
      <c r="A844" t="s">
        <v>1920</v>
      </c>
      <c r="B844">
        <v>19</v>
      </c>
      <c r="C844" t="s">
        <v>33</v>
      </c>
      <c r="D844" t="s">
        <v>51</v>
      </c>
      <c r="E844" t="s">
        <v>65</v>
      </c>
      <c r="F844" t="s">
        <v>52</v>
      </c>
      <c r="G844" t="s">
        <v>51</v>
      </c>
      <c r="H844" t="s">
        <v>1921</v>
      </c>
      <c r="I844" t="s">
        <v>306</v>
      </c>
      <c r="J844" s="2">
        <v>195.46</v>
      </c>
      <c r="K844">
        <v>10</v>
      </c>
      <c r="L844" t="s">
        <v>39</v>
      </c>
      <c r="M844">
        <v>5</v>
      </c>
      <c r="N844">
        <v>3</v>
      </c>
      <c r="O844">
        <v>2</v>
      </c>
      <c r="P844" t="s">
        <v>40</v>
      </c>
      <c r="Q844" t="s">
        <v>57</v>
      </c>
      <c r="R844">
        <v>0</v>
      </c>
      <c r="S844">
        <v>10</v>
      </c>
      <c r="T844" t="s">
        <v>69</v>
      </c>
      <c r="U844" t="s">
        <v>42</v>
      </c>
      <c r="V844" t="s">
        <v>76</v>
      </c>
      <c r="W844" s="1">
        <v>45480</v>
      </c>
      <c r="X844" t="b">
        <v>1</v>
      </c>
      <c r="Y844" t="b">
        <v>0</v>
      </c>
      <c r="Z844" t="s">
        <v>72</v>
      </c>
      <c r="AA844" t="s">
        <v>60</v>
      </c>
      <c r="AB844">
        <v>9</v>
      </c>
    </row>
    <row r="845" spans="1:28">
      <c r="A845" t="s">
        <v>1922</v>
      </c>
      <c r="B845">
        <v>40</v>
      </c>
      <c r="C845" t="s">
        <v>33</v>
      </c>
      <c r="D845" t="s">
        <v>51</v>
      </c>
      <c r="E845" t="s">
        <v>35</v>
      </c>
      <c r="F845" t="s">
        <v>66</v>
      </c>
      <c r="G845" t="s">
        <v>34</v>
      </c>
      <c r="H845" t="s">
        <v>1923</v>
      </c>
      <c r="I845" t="s">
        <v>98</v>
      </c>
      <c r="J845" s="2">
        <v>474.03</v>
      </c>
      <c r="K845">
        <v>7</v>
      </c>
      <c r="L845" t="s">
        <v>55</v>
      </c>
      <c r="M845">
        <v>3</v>
      </c>
      <c r="N845">
        <v>1</v>
      </c>
      <c r="O845">
        <v>1</v>
      </c>
      <c r="P845" t="s">
        <v>56</v>
      </c>
      <c r="Q845" t="s">
        <v>41</v>
      </c>
      <c r="R845">
        <v>0</v>
      </c>
      <c r="S845">
        <v>6</v>
      </c>
      <c r="T845" t="s">
        <v>51</v>
      </c>
      <c r="U845" t="s">
        <v>95</v>
      </c>
      <c r="V845" t="s">
        <v>76</v>
      </c>
      <c r="W845" s="1">
        <v>45507</v>
      </c>
      <c r="X845" t="b">
        <v>1</v>
      </c>
      <c r="Y845" t="b">
        <v>1</v>
      </c>
      <c r="Z845" t="s">
        <v>44</v>
      </c>
      <c r="AA845" t="s">
        <v>60</v>
      </c>
      <c r="AB845">
        <v>13</v>
      </c>
    </row>
    <row r="846" spans="1:28">
      <c r="A846" t="s">
        <v>1925</v>
      </c>
      <c r="B846">
        <v>27</v>
      </c>
      <c r="C846" t="s">
        <v>50</v>
      </c>
      <c r="D846" t="s">
        <v>34</v>
      </c>
      <c r="E846" t="s">
        <v>35</v>
      </c>
      <c r="F846" t="s">
        <v>36</v>
      </c>
      <c r="G846" t="s">
        <v>51</v>
      </c>
      <c r="H846" t="s">
        <v>1926</v>
      </c>
      <c r="I846" t="s">
        <v>127</v>
      </c>
      <c r="J846" s="2">
        <v>106.96</v>
      </c>
      <c r="K846">
        <v>6</v>
      </c>
      <c r="L846" t="s">
        <v>55</v>
      </c>
      <c r="M846">
        <v>3</v>
      </c>
      <c r="N846">
        <v>1</v>
      </c>
      <c r="O846">
        <v>2</v>
      </c>
      <c r="P846" t="s">
        <v>69</v>
      </c>
      <c r="Q846" t="s">
        <v>57</v>
      </c>
      <c r="R846">
        <v>0</v>
      </c>
      <c r="S846">
        <v>7</v>
      </c>
      <c r="T846" t="s">
        <v>56</v>
      </c>
      <c r="U846" t="s">
        <v>42</v>
      </c>
      <c r="V846" t="s">
        <v>71</v>
      </c>
      <c r="W846" s="1">
        <v>45360</v>
      </c>
      <c r="X846" t="b">
        <v>1</v>
      </c>
      <c r="Y846" t="b">
        <v>1</v>
      </c>
      <c r="Z846" t="s">
        <v>72</v>
      </c>
      <c r="AA846" t="s">
        <v>60</v>
      </c>
      <c r="AB846">
        <v>3</v>
      </c>
    </row>
    <row r="847" spans="1:28">
      <c r="A847" t="s">
        <v>1927</v>
      </c>
      <c r="B847">
        <v>29</v>
      </c>
      <c r="C847" t="s">
        <v>33</v>
      </c>
      <c r="D847" t="s">
        <v>34</v>
      </c>
      <c r="E847" t="s">
        <v>35</v>
      </c>
      <c r="F847" t="s">
        <v>66</v>
      </c>
      <c r="G847" t="s">
        <v>51</v>
      </c>
      <c r="H847" t="s">
        <v>1928</v>
      </c>
      <c r="I847" t="s">
        <v>147</v>
      </c>
      <c r="J847" s="2">
        <v>371.84</v>
      </c>
      <c r="K847">
        <v>9</v>
      </c>
      <c r="L847" t="s">
        <v>55</v>
      </c>
      <c r="M847">
        <v>5</v>
      </c>
      <c r="N847">
        <v>4</v>
      </c>
      <c r="O847">
        <v>0</v>
      </c>
      <c r="P847" t="s">
        <v>40</v>
      </c>
      <c r="Q847" t="s">
        <v>57</v>
      </c>
      <c r="R847">
        <v>2</v>
      </c>
      <c r="S847">
        <v>6</v>
      </c>
      <c r="T847" t="s">
        <v>40</v>
      </c>
      <c r="U847" t="s">
        <v>42</v>
      </c>
      <c r="V847" t="s">
        <v>76</v>
      </c>
      <c r="W847" s="1">
        <v>45501</v>
      </c>
      <c r="X847" t="b">
        <v>0</v>
      </c>
      <c r="Y847" t="b">
        <v>1</v>
      </c>
      <c r="Z847" t="s">
        <v>72</v>
      </c>
      <c r="AA847" t="s">
        <v>60</v>
      </c>
      <c r="AB847">
        <v>2</v>
      </c>
    </row>
    <row r="848" spans="1:28">
      <c r="A848" t="s">
        <v>1929</v>
      </c>
      <c r="B848">
        <v>45</v>
      </c>
      <c r="C848" t="s">
        <v>264</v>
      </c>
      <c r="D848" t="s">
        <v>51</v>
      </c>
      <c r="E848" t="s">
        <v>65</v>
      </c>
      <c r="F848" t="s">
        <v>36</v>
      </c>
      <c r="G848" t="s">
        <v>51</v>
      </c>
      <c r="H848" t="s">
        <v>1930</v>
      </c>
      <c r="I848" t="s">
        <v>180</v>
      </c>
      <c r="J848" s="2">
        <v>461.16</v>
      </c>
      <c r="K848">
        <v>8</v>
      </c>
      <c r="L848" t="s">
        <v>39</v>
      </c>
      <c r="M848">
        <v>1</v>
      </c>
      <c r="N848">
        <v>4</v>
      </c>
      <c r="O848">
        <v>1</v>
      </c>
      <c r="P848" t="s">
        <v>51</v>
      </c>
      <c r="Q848" t="s">
        <v>57</v>
      </c>
      <c r="R848">
        <v>0</v>
      </c>
      <c r="S848">
        <v>3</v>
      </c>
      <c r="T848" t="s">
        <v>56</v>
      </c>
      <c r="U848" t="s">
        <v>70</v>
      </c>
      <c r="V848" t="s">
        <v>76</v>
      </c>
      <c r="W848" s="1">
        <v>45351</v>
      </c>
      <c r="X848" t="b">
        <v>1</v>
      </c>
      <c r="Y848" t="b">
        <v>1</v>
      </c>
      <c r="Z848" t="s">
        <v>89</v>
      </c>
      <c r="AA848" t="s">
        <v>77</v>
      </c>
      <c r="AB848">
        <v>14</v>
      </c>
    </row>
    <row r="849" spans="1:28">
      <c r="A849" t="s">
        <v>1931</v>
      </c>
      <c r="B849">
        <v>24</v>
      </c>
      <c r="C849" t="s">
        <v>33</v>
      </c>
      <c r="D849" t="s">
        <v>51</v>
      </c>
      <c r="E849" t="s">
        <v>65</v>
      </c>
      <c r="F849" t="s">
        <v>52</v>
      </c>
      <c r="G849" t="s">
        <v>34</v>
      </c>
      <c r="H849" t="s">
        <v>1932</v>
      </c>
      <c r="I849" t="s">
        <v>98</v>
      </c>
      <c r="J849" s="2">
        <v>497.75</v>
      </c>
      <c r="K849">
        <v>11</v>
      </c>
      <c r="L849" t="s">
        <v>55</v>
      </c>
      <c r="M849">
        <v>4</v>
      </c>
      <c r="N849">
        <v>1</v>
      </c>
      <c r="O849">
        <v>2</v>
      </c>
      <c r="P849" t="s">
        <v>40</v>
      </c>
      <c r="Q849" t="s">
        <v>101</v>
      </c>
      <c r="R849">
        <v>2</v>
      </c>
      <c r="S849">
        <v>1</v>
      </c>
      <c r="T849" t="s">
        <v>56</v>
      </c>
      <c r="U849" t="s">
        <v>70</v>
      </c>
      <c r="V849" t="s">
        <v>102</v>
      </c>
      <c r="W849" s="1">
        <v>45476</v>
      </c>
      <c r="X849" t="b">
        <v>1</v>
      </c>
      <c r="Y849" t="b">
        <v>0</v>
      </c>
      <c r="Z849" t="s">
        <v>59</v>
      </c>
      <c r="AA849" t="s">
        <v>77</v>
      </c>
      <c r="AB849">
        <v>13</v>
      </c>
    </row>
    <row r="850" spans="1:28">
      <c r="A850" t="s">
        <v>1933</v>
      </c>
      <c r="B850">
        <v>45</v>
      </c>
      <c r="C850" t="s">
        <v>33</v>
      </c>
      <c r="D850" t="s">
        <v>34</v>
      </c>
      <c r="E850" t="s">
        <v>35</v>
      </c>
      <c r="F850" t="s">
        <v>66</v>
      </c>
      <c r="G850" t="s">
        <v>34</v>
      </c>
      <c r="H850" t="s">
        <v>1847</v>
      </c>
      <c r="I850" t="s">
        <v>131</v>
      </c>
      <c r="J850" s="2">
        <v>492.83</v>
      </c>
      <c r="K850">
        <v>5</v>
      </c>
      <c r="L850" t="s">
        <v>94</v>
      </c>
      <c r="M850">
        <v>2</v>
      </c>
      <c r="N850">
        <v>1</v>
      </c>
      <c r="O850">
        <v>0</v>
      </c>
      <c r="P850" t="s">
        <v>51</v>
      </c>
      <c r="Q850" t="s">
        <v>101</v>
      </c>
      <c r="R850">
        <v>0</v>
      </c>
      <c r="S850">
        <v>4</v>
      </c>
      <c r="T850" t="s">
        <v>51</v>
      </c>
      <c r="U850" t="s">
        <v>42</v>
      </c>
      <c r="V850" t="s">
        <v>71</v>
      </c>
      <c r="W850" s="1">
        <v>45353</v>
      </c>
      <c r="X850" t="b">
        <v>1</v>
      </c>
      <c r="Y850" t="b">
        <v>0</v>
      </c>
      <c r="Z850" t="s">
        <v>44</v>
      </c>
      <c r="AA850" t="s">
        <v>45</v>
      </c>
      <c r="AB850">
        <v>2</v>
      </c>
    </row>
    <row r="851" spans="1:28">
      <c r="A851" t="s">
        <v>1934</v>
      </c>
      <c r="B851">
        <v>39</v>
      </c>
      <c r="C851" t="s">
        <v>33</v>
      </c>
      <c r="D851" t="s">
        <v>34</v>
      </c>
      <c r="E851" t="s">
        <v>92</v>
      </c>
      <c r="F851" t="s">
        <v>52</v>
      </c>
      <c r="G851" t="s">
        <v>34</v>
      </c>
      <c r="H851" t="s">
        <v>1935</v>
      </c>
      <c r="I851" t="s">
        <v>199</v>
      </c>
      <c r="J851" s="2">
        <v>295.54000000000002</v>
      </c>
      <c r="K851">
        <v>8</v>
      </c>
      <c r="L851" t="s">
        <v>94</v>
      </c>
      <c r="M851">
        <v>3</v>
      </c>
      <c r="N851">
        <v>3</v>
      </c>
      <c r="O851">
        <v>1</v>
      </c>
      <c r="P851" t="s">
        <v>40</v>
      </c>
      <c r="Q851" t="s">
        <v>101</v>
      </c>
      <c r="R851">
        <v>2</v>
      </c>
      <c r="S851">
        <v>4</v>
      </c>
      <c r="T851" t="s">
        <v>69</v>
      </c>
      <c r="U851" t="s">
        <v>42</v>
      </c>
      <c r="V851" t="s">
        <v>102</v>
      </c>
      <c r="W851" s="1">
        <v>45500</v>
      </c>
      <c r="X851" t="b">
        <v>0</v>
      </c>
      <c r="Y851" t="b">
        <v>0</v>
      </c>
      <c r="Z851" t="s">
        <v>89</v>
      </c>
      <c r="AA851" t="s">
        <v>77</v>
      </c>
      <c r="AB851">
        <v>14</v>
      </c>
    </row>
    <row r="852" spans="1:28">
      <c r="A852" t="s">
        <v>1936</v>
      </c>
      <c r="B852">
        <v>40</v>
      </c>
      <c r="C852" t="s">
        <v>50</v>
      </c>
      <c r="D852" t="s">
        <v>51</v>
      </c>
      <c r="E852" t="s">
        <v>82</v>
      </c>
      <c r="F852" t="s">
        <v>52</v>
      </c>
      <c r="G852" t="s">
        <v>51</v>
      </c>
      <c r="H852" t="s">
        <v>1937</v>
      </c>
      <c r="I852" t="s">
        <v>84</v>
      </c>
      <c r="J852" s="2">
        <v>494.81</v>
      </c>
      <c r="K852">
        <v>9</v>
      </c>
      <c r="L852" t="s">
        <v>39</v>
      </c>
      <c r="M852">
        <v>2</v>
      </c>
      <c r="N852">
        <v>4</v>
      </c>
      <c r="O852">
        <v>1</v>
      </c>
      <c r="P852" t="s">
        <v>56</v>
      </c>
      <c r="Q852" t="s">
        <v>101</v>
      </c>
      <c r="R852">
        <v>1</v>
      </c>
      <c r="S852">
        <v>7</v>
      </c>
      <c r="T852" t="s">
        <v>56</v>
      </c>
      <c r="U852" t="s">
        <v>42</v>
      </c>
      <c r="V852" t="s">
        <v>58</v>
      </c>
      <c r="W852" s="1">
        <v>45438</v>
      </c>
      <c r="X852" t="b">
        <v>1</v>
      </c>
      <c r="Y852" t="b">
        <v>1</v>
      </c>
      <c r="Z852" t="s">
        <v>44</v>
      </c>
      <c r="AA852" t="s">
        <v>60</v>
      </c>
      <c r="AB852">
        <v>6</v>
      </c>
    </row>
    <row r="853" spans="1:28">
      <c r="A853" t="s">
        <v>1938</v>
      </c>
      <c r="B853">
        <v>21</v>
      </c>
      <c r="C853" t="s">
        <v>33</v>
      </c>
      <c r="D853" t="s">
        <v>51</v>
      </c>
      <c r="E853" t="s">
        <v>65</v>
      </c>
      <c r="F853" t="s">
        <v>66</v>
      </c>
      <c r="G853" t="s">
        <v>34</v>
      </c>
      <c r="H853" t="s">
        <v>2393</v>
      </c>
      <c r="I853" t="s">
        <v>112</v>
      </c>
      <c r="J853" s="2">
        <v>160.25</v>
      </c>
      <c r="K853">
        <v>7</v>
      </c>
      <c r="L853" t="s">
        <v>94</v>
      </c>
      <c r="M853">
        <v>2</v>
      </c>
      <c r="N853">
        <v>3</v>
      </c>
      <c r="O853">
        <v>2</v>
      </c>
      <c r="P853" t="s">
        <v>40</v>
      </c>
      <c r="Q853" t="s">
        <v>101</v>
      </c>
      <c r="R853">
        <v>2</v>
      </c>
      <c r="S853">
        <v>5</v>
      </c>
      <c r="T853" t="s">
        <v>51</v>
      </c>
      <c r="U853" t="s">
        <v>95</v>
      </c>
      <c r="V853" t="s">
        <v>58</v>
      </c>
      <c r="W853" s="1">
        <v>45355</v>
      </c>
      <c r="X853" t="b">
        <v>1</v>
      </c>
      <c r="Y853" t="b">
        <v>1</v>
      </c>
      <c r="Z853" t="s">
        <v>44</v>
      </c>
      <c r="AA853" t="s">
        <v>45</v>
      </c>
      <c r="AB853">
        <v>12</v>
      </c>
    </row>
    <row r="854" spans="1:28">
      <c r="A854" t="s">
        <v>1940</v>
      </c>
      <c r="B854">
        <v>42</v>
      </c>
      <c r="C854" t="s">
        <v>33</v>
      </c>
      <c r="D854" t="s">
        <v>34</v>
      </c>
      <c r="E854" t="s">
        <v>35</v>
      </c>
      <c r="F854" t="s">
        <v>66</v>
      </c>
      <c r="G854" t="s">
        <v>51</v>
      </c>
      <c r="H854" t="s">
        <v>1941</v>
      </c>
      <c r="I854" t="s">
        <v>38</v>
      </c>
      <c r="J854" s="2">
        <v>198.36</v>
      </c>
      <c r="K854">
        <v>4</v>
      </c>
      <c r="L854" t="s">
        <v>94</v>
      </c>
      <c r="M854">
        <v>1</v>
      </c>
      <c r="N854">
        <v>1</v>
      </c>
      <c r="O854">
        <v>2</v>
      </c>
      <c r="P854" t="s">
        <v>40</v>
      </c>
      <c r="Q854" t="s">
        <v>41</v>
      </c>
      <c r="R854">
        <v>1</v>
      </c>
      <c r="S854">
        <v>9</v>
      </c>
      <c r="T854" t="s">
        <v>40</v>
      </c>
      <c r="U854" t="s">
        <v>95</v>
      </c>
      <c r="V854" t="s">
        <v>102</v>
      </c>
      <c r="W854" s="1">
        <v>45639</v>
      </c>
      <c r="X854" t="b">
        <v>0</v>
      </c>
      <c r="Y854" t="b">
        <v>1</v>
      </c>
      <c r="Z854" t="s">
        <v>59</v>
      </c>
      <c r="AA854" t="s">
        <v>60</v>
      </c>
      <c r="AB854">
        <v>4</v>
      </c>
    </row>
    <row r="855" spans="1:28">
      <c r="A855" t="s">
        <v>1942</v>
      </c>
      <c r="B855">
        <v>44</v>
      </c>
      <c r="C855" t="s">
        <v>33</v>
      </c>
      <c r="D855" t="s">
        <v>34</v>
      </c>
      <c r="E855" t="s">
        <v>92</v>
      </c>
      <c r="F855" t="s">
        <v>36</v>
      </c>
      <c r="G855" t="s">
        <v>51</v>
      </c>
      <c r="H855" t="s">
        <v>1943</v>
      </c>
      <c r="I855" t="s">
        <v>84</v>
      </c>
      <c r="J855" s="2">
        <v>82.39</v>
      </c>
      <c r="K855">
        <v>12</v>
      </c>
      <c r="L855" t="s">
        <v>55</v>
      </c>
      <c r="M855">
        <v>5</v>
      </c>
      <c r="N855">
        <v>1</v>
      </c>
      <c r="O855">
        <v>1</v>
      </c>
      <c r="P855" t="s">
        <v>40</v>
      </c>
      <c r="Q855" t="s">
        <v>41</v>
      </c>
      <c r="R855">
        <v>0</v>
      </c>
      <c r="S855">
        <v>8</v>
      </c>
      <c r="T855" t="s">
        <v>40</v>
      </c>
      <c r="U855" t="s">
        <v>70</v>
      </c>
      <c r="V855" t="s">
        <v>76</v>
      </c>
      <c r="W855" s="1">
        <v>45346</v>
      </c>
      <c r="X855" t="b">
        <v>0</v>
      </c>
      <c r="Y855" t="b">
        <v>0</v>
      </c>
      <c r="Z855" t="s">
        <v>89</v>
      </c>
      <c r="AA855" t="s">
        <v>77</v>
      </c>
      <c r="AB855">
        <v>1</v>
      </c>
    </row>
    <row r="856" spans="1:28">
      <c r="A856" t="s">
        <v>1944</v>
      </c>
      <c r="B856">
        <v>46</v>
      </c>
      <c r="C856" t="s">
        <v>33</v>
      </c>
      <c r="D856" t="s">
        <v>34</v>
      </c>
      <c r="E856" t="s">
        <v>35</v>
      </c>
      <c r="F856" t="s">
        <v>66</v>
      </c>
      <c r="G856" t="s">
        <v>51</v>
      </c>
      <c r="H856" t="s">
        <v>2394</v>
      </c>
      <c r="I856" t="s">
        <v>135</v>
      </c>
      <c r="J856" s="2">
        <v>290.56</v>
      </c>
      <c r="K856">
        <v>3</v>
      </c>
      <c r="L856" t="s">
        <v>55</v>
      </c>
      <c r="M856">
        <v>5</v>
      </c>
      <c r="N856">
        <v>1</v>
      </c>
      <c r="O856">
        <v>2</v>
      </c>
      <c r="P856" t="s">
        <v>40</v>
      </c>
      <c r="Q856" t="s">
        <v>41</v>
      </c>
      <c r="R856">
        <v>1</v>
      </c>
      <c r="S856">
        <v>1</v>
      </c>
      <c r="T856" t="s">
        <v>40</v>
      </c>
      <c r="U856" t="s">
        <v>95</v>
      </c>
      <c r="V856" t="s">
        <v>58</v>
      </c>
      <c r="W856" s="1">
        <v>45363</v>
      </c>
      <c r="X856" t="b">
        <v>1</v>
      </c>
      <c r="Y856" t="b">
        <v>0</v>
      </c>
      <c r="Z856" t="s">
        <v>59</v>
      </c>
      <c r="AA856" t="s">
        <v>45</v>
      </c>
      <c r="AB856">
        <v>4</v>
      </c>
    </row>
    <row r="857" spans="1:28">
      <c r="A857" t="s">
        <v>1946</v>
      </c>
      <c r="B857">
        <v>29</v>
      </c>
      <c r="C857" t="s">
        <v>50</v>
      </c>
      <c r="D857" t="s">
        <v>51</v>
      </c>
      <c r="E857" t="s">
        <v>92</v>
      </c>
      <c r="F857" t="s">
        <v>66</v>
      </c>
      <c r="G857" t="s">
        <v>51</v>
      </c>
      <c r="H857" t="s">
        <v>1947</v>
      </c>
      <c r="I857" t="s">
        <v>127</v>
      </c>
      <c r="J857" s="2">
        <v>206.79</v>
      </c>
      <c r="K857">
        <v>5</v>
      </c>
      <c r="L857" t="s">
        <v>55</v>
      </c>
      <c r="M857">
        <v>1</v>
      </c>
      <c r="N857">
        <v>3</v>
      </c>
      <c r="O857">
        <v>2</v>
      </c>
      <c r="P857" t="s">
        <v>51</v>
      </c>
      <c r="Q857" t="s">
        <v>101</v>
      </c>
      <c r="R857">
        <v>1</v>
      </c>
      <c r="S857">
        <v>2</v>
      </c>
      <c r="T857" t="s">
        <v>69</v>
      </c>
      <c r="U857" t="s">
        <v>42</v>
      </c>
      <c r="V857" t="s">
        <v>43</v>
      </c>
      <c r="W857" s="1">
        <v>45525</v>
      </c>
      <c r="X857" t="b">
        <v>0</v>
      </c>
      <c r="Y857" t="b">
        <v>0</v>
      </c>
      <c r="Z857" t="s">
        <v>89</v>
      </c>
      <c r="AA857" t="s">
        <v>60</v>
      </c>
      <c r="AB857">
        <v>4</v>
      </c>
    </row>
    <row r="858" spans="1:28">
      <c r="A858" t="s">
        <v>1948</v>
      </c>
      <c r="B858">
        <v>19</v>
      </c>
      <c r="C858" t="s">
        <v>33</v>
      </c>
      <c r="D858" t="s">
        <v>34</v>
      </c>
      <c r="E858" t="s">
        <v>35</v>
      </c>
      <c r="F858" t="s">
        <v>52</v>
      </c>
      <c r="G858" t="s">
        <v>51</v>
      </c>
      <c r="H858" t="s">
        <v>1949</v>
      </c>
      <c r="I858" t="s">
        <v>153</v>
      </c>
      <c r="J858" s="2">
        <v>401.43</v>
      </c>
      <c r="K858">
        <v>8</v>
      </c>
      <c r="L858" t="s">
        <v>39</v>
      </c>
      <c r="M858">
        <v>4</v>
      </c>
      <c r="N858">
        <v>2</v>
      </c>
      <c r="O858">
        <v>0</v>
      </c>
      <c r="P858" t="s">
        <v>40</v>
      </c>
      <c r="Q858" t="s">
        <v>57</v>
      </c>
      <c r="R858">
        <v>0</v>
      </c>
      <c r="S858">
        <v>6</v>
      </c>
      <c r="T858" t="s">
        <v>51</v>
      </c>
      <c r="U858" t="s">
        <v>42</v>
      </c>
      <c r="V858" t="s">
        <v>76</v>
      </c>
      <c r="W858" s="1">
        <v>45435</v>
      </c>
      <c r="X858" t="b">
        <v>1</v>
      </c>
      <c r="Y858" t="b">
        <v>1</v>
      </c>
      <c r="Z858" t="s">
        <v>44</v>
      </c>
      <c r="AA858" t="s">
        <v>45</v>
      </c>
      <c r="AB858">
        <v>5</v>
      </c>
    </row>
    <row r="859" spans="1:28">
      <c r="A859" t="s">
        <v>1950</v>
      </c>
      <c r="B859">
        <v>21</v>
      </c>
      <c r="C859" t="s">
        <v>50</v>
      </c>
      <c r="D859" t="s">
        <v>51</v>
      </c>
      <c r="E859" t="s">
        <v>82</v>
      </c>
      <c r="F859" t="s">
        <v>66</v>
      </c>
      <c r="G859" t="s">
        <v>51</v>
      </c>
      <c r="H859" t="s">
        <v>2395</v>
      </c>
      <c r="I859" t="s">
        <v>108</v>
      </c>
      <c r="J859" s="2">
        <v>188.17</v>
      </c>
      <c r="K859">
        <v>9</v>
      </c>
      <c r="L859" t="s">
        <v>94</v>
      </c>
      <c r="M859">
        <v>5</v>
      </c>
      <c r="N859">
        <v>5</v>
      </c>
      <c r="O859">
        <v>0</v>
      </c>
      <c r="P859" t="s">
        <v>56</v>
      </c>
      <c r="Q859" t="s">
        <v>57</v>
      </c>
      <c r="R859">
        <v>1</v>
      </c>
      <c r="S859">
        <v>5</v>
      </c>
      <c r="T859" t="s">
        <v>69</v>
      </c>
      <c r="U859" t="s">
        <v>95</v>
      </c>
      <c r="V859" t="s">
        <v>71</v>
      </c>
      <c r="W859" s="1">
        <v>45438</v>
      </c>
      <c r="X859" t="b">
        <v>1</v>
      </c>
      <c r="Y859" t="b">
        <v>0</v>
      </c>
      <c r="Z859" t="s">
        <v>44</v>
      </c>
      <c r="AA859" t="s">
        <v>60</v>
      </c>
      <c r="AB859">
        <v>9</v>
      </c>
    </row>
    <row r="860" spans="1:28">
      <c r="A860" t="s">
        <v>1952</v>
      </c>
      <c r="B860">
        <v>38</v>
      </c>
      <c r="C860" t="s">
        <v>33</v>
      </c>
      <c r="D860" t="s">
        <v>51</v>
      </c>
      <c r="E860" t="s">
        <v>65</v>
      </c>
      <c r="F860" t="s">
        <v>52</v>
      </c>
      <c r="G860" t="s">
        <v>51</v>
      </c>
      <c r="H860" t="s">
        <v>1953</v>
      </c>
      <c r="I860" t="s">
        <v>38</v>
      </c>
      <c r="J860" s="2">
        <v>83.21</v>
      </c>
      <c r="K860">
        <v>10</v>
      </c>
      <c r="L860" t="s">
        <v>94</v>
      </c>
      <c r="M860">
        <v>4</v>
      </c>
      <c r="N860">
        <v>3</v>
      </c>
      <c r="O860">
        <v>2</v>
      </c>
      <c r="P860" t="s">
        <v>69</v>
      </c>
      <c r="Q860" t="s">
        <v>41</v>
      </c>
      <c r="R860">
        <v>0</v>
      </c>
      <c r="S860">
        <v>4</v>
      </c>
      <c r="T860" t="s">
        <v>51</v>
      </c>
      <c r="U860" t="s">
        <v>95</v>
      </c>
      <c r="V860" t="s">
        <v>76</v>
      </c>
      <c r="W860" s="1">
        <v>45371</v>
      </c>
      <c r="X860" t="b">
        <v>0</v>
      </c>
      <c r="Y860" t="b">
        <v>0</v>
      </c>
      <c r="Z860" t="s">
        <v>72</v>
      </c>
      <c r="AA860" t="s">
        <v>60</v>
      </c>
      <c r="AB860">
        <v>7</v>
      </c>
    </row>
    <row r="861" spans="1:28">
      <c r="A861" t="s">
        <v>1954</v>
      </c>
      <c r="B861">
        <v>41</v>
      </c>
      <c r="C861" t="s">
        <v>106</v>
      </c>
      <c r="D861" t="s">
        <v>34</v>
      </c>
      <c r="E861" t="s">
        <v>92</v>
      </c>
      <c r="F861" t="s">
        <v>66</v>
      </c>
      <c r="G861" t="s">
        <v>34</v>
      </c>
      <c r="H861" t="s">
        <v>1955</v>
      </c>
      <c r="I861" t="s">
        <v>38</v>
      </c>
      <c r="J861" s="2">
        <v>54.74</v>
      </c>
      <c r="K861">
        <v>4</v>
      </c>
      <c r="L861" t="s">
        <v>55</v>
      </c>
      <c r="M861">
        <v>1</v>
      </c>
      <c r="N861">
        <v>2</v>
      </c>
      <c r="O861">
        <v>0</v>
      </c>
      <c r="P861" t="s">
        <v>40</v>
      </c>
      <c r="Q861" t="s">
        <v>41</v>
      </c>
      <c r="R861">
        <v>0</v>
      </c>
      <c r="S861">
        <v>4</v>
      </c>
      <c r="T861" t="s">
        <v>69</v>
      </c>
      <c r="U861" t="s">
        <v>70</v>
      </c>
      <c r="V861" t="s">
        <v>58</v>
      </c>
      <c r="W861" s="1">
        <v>45568</v>
      </c>
      <c r="X861" t="b">
        <v>1</v>
      </c>
      <c r="Y861" t="b">
        <v>1</v>
      </c>
      <c r="Z861" t="s">
        <v>72</v>
      </c>
      <c r="AA861" t="s">
        <v>45</v>
      </c>
      <c r="AB861">
        <v>14</v>
      </c>
    </row>
    <row r="862" spans="1:28">
      <c r="A862" t="s">
        <v>1956</v>
      </c>
      <c r="B862">
        <v>49</v>
      </c>
      <c r="C862" t="s">
        <v>33</v>
      </c>
      <c r="D862" t="s">
        <v>51</v>
      </c>
      <c r="E862" t="s">
        <v>92</v>
      </c>
      <c r="F862" t="s">
        <v>66</v>
      </c>
      <c r="G862" t="s">
        <v>51</v>
      </c>
      <c r="H862" t="s">
        <v>2396</v>
      </c>
      <c r="I862" t="s">
        <v>68</v>
      </c>
      <c r="J862" s="2">
        <v>371.12</v>
      </c>
      <c r="K862">
        <v>8</v>
      </c>
      <c r="L862" t="s">
        <v>94</v>
      </c>
      <c r="M862">
        <v>5</v>
      </c>
      <c r="N862">
        <v>1</v>
      </c>
      <c r="O862">
        <v>2</v>
      </c>
      <c r="P862" t="s">
        <v>51</v>
      </c>
      <c r="Q862" t="s">
        <v>41</v>
      </c>
      <c r="R862">
        <v>1</v>
      </c>
      <c r="S862">
        <v>7</v>
      </c>
      <c r="T862" t="s">
        <v>69</v>
      </c>
      <c r="U862" t="s">
        <v>70</v>
      </c>
      <c r="V862" t="s">
        <v>58</v>
      </c>
      <c r="W862" s="1">
        <v>45527</v>
      </c>
      <c r="X862" t="b">
        <v>0</v>
      </c>
      <c r="Y862" t="b">
        <v>1</v>
      </c>
      <c r="Z862" t="s">
        <v>59</v>
      </c>
      <c r="AA862" t="s">
        <v>45</v>
      </c>
      <c r="AB862">
        <v>8</v>
      </c>
    </row>
    <row r="863" spans="1:28">
      <c r="A863" t="s">
        <v>1959</v>
      </c>
      <c r="B863">
        <v>32</v>
      </c>
      <c r="C863" t="s">
        <v>188</v>
      </c>
      <c r="D863" t="s">
        <v>34</v>
      </c>
      <c r="E863" t="s">
        <v>65</v>
      </c>
      <c r="F863" t="s">
        <v>52</v>
      </c>
      <c r="G863" t="s">
        <v>34</v>
      </c>
      <c r="H863" t="s">
        <v>1960</v>
      </c>
      <c r="I863" t="s">
        <v>143</v>
      </c>
      <c r="J863" s="2">
        <v>293.64</v>
      </c>
      <c r="K863">
        <v>3</v>
      </c>
      <c r="L863" t="s">
        <v>55</v>
      </c>
      <c r="M863">
        <v>2</v>
      </c>
      <c r="N863">
        <v>1</v>
      </c>
      <c r="O863">
        <v>2</v>
      </c>
      <c r="P863" t="s">
        <v>69</v>
      </c>
      <c r="Q863" t="s">
        <v>57</v>
      </c>
      <c r="R863">
        <v>2</v>
      </c>
      <c r="S863">
        <v>8</v>
      </c>
      <c r="T863" t="s">
        <v>40</v>
      </c>
      <c r="U863" t="s">
        <v>42</v>
      </c>
      <c r="V863" t="s">
        <v>43</v>
      </c>
      <c r="W863" s="1">
        <v>45552</v>
      </c>
      <c r="X863" t="b">
        <v>1</v>
      </c>
      <c r="Y863" t="b">
        <v>0</v>
      </c>
      <c r="Z863" t="s">
        <v>72</v>
      </c>
      <c r="AA863" t="s">
        <v>77</v>
      </c>
      <c r="AB863">
        <v>5</v>
      </c>
    </row>
    <row r="864" spans="1:28">
      <c r="A864" t="s">
        <v>1961</v>
      </c>
      <c r="B864">
        <v>24</v>
      </c>
      <c r="C864" t="s">
        <v>50</v>
      </c>
      <c r="D864" t="s">
        <v>51</v>
      </c>
      <c r="E864" t="s">
        <v>35</v>
      </c>
      <c r="F864" t="s">
        <v>52</v>
      </c>
      <c r="G864" t="s">
        <v>51</v>
      </c>
      <c r="H864" t="s">
        <v>2397</v>
      </c>
      <c r="I864" t="s">
        <v>98</v>
      </c>
      <c r="J864" s="2">
        <v>185.83</v>
      </c>
      <c r="K864">
        <v>11</v>
      </c>
      <c r="L864" t="s">
        <v>55</v>
      </c>
      <c r="M864">
        <v>4</v>
      </c>
      <c r="N864">
        <v>2</v>
      </c>
      <c r="O864">
        <v>2</v>
      </c>
      <c r="P864" t="s">
        <v>69</v>
      </c>
      <c r="Q864" t="s">
        <v>57</v>
      </c>
      <c r="R864">
        <v>2</v>
      </c>
      <c r="S864">
        <v>9</v>
      </c>
      <c r="T864" t="s">
        <v>56</v>
      </c>
      <c r="U864" t="s">
        <v>95</v>
      </c>
      <c r="V864" t="s">
        <v>76</v>
      </c>
      <c r="W864" s="1">
        <v>45582</v>
      </c>
      <c r="X864" t="b">
        <v>0</v>
      </c>
      <c r="Y864" t="b">
        <v>1</v>
      </c>
      <c r="Z864" t="s">
        <v>72</v>
      </c>
      <c r="AA864" t="s">
        <v>60</v>
      </c>
      <c r="AB864">
        <v>1</v>
      </c>
    </row>
    <row r="865" spans="1:28">
      <c r="A865" t="s">
        <v>1963</v>
      </c>
      <c r="B865">
        <v>27</v>
      </c>
      <c r="C865" t="s">
        <v>50</v>
      </c>
      <c r="D865" t="s">
        <v>51</v>
      </c>
      <c r="E865" t="s">
        <v>92</v>
      </c>
      <c r="F865" t="s">
        <v>66</v>
      </c>
      <c r="G865" t="s">
        <v>34</v>
      </c>
      <c r="H865" t="s">
        <v>1964</v>
      </c>
      <c r="I865" t="s">
        <v>68</v>
      </c>
      <c r="J865" s="2">
        <v>117.13</v>
      </c>
      <c r="K865">
        <v>7</v>
      </c>
      <c r="L865" t="s">
        <v>39</v>
      </c>
      <c r="M865">
        <v>1</v>
      </c>
      <c r="N865">
        <v>1</v>
      </c>
      <c r="O865">
        <v>2</v>
      </c>
      <c r="P865" t="s">
        <v>51</v>
      </c>
      <c r="Q865" t="s">
        <v>41</v>
      </c>
      <c r="R865">
        <v>1</v>
      </c>
      <c r="S865">
        <v>10</v>
      </c>
      <c r="T865" t="s">
        <v>51</v>
      </c>
      <c r="U865" t="s">
        <v>70</v>
      </c>
      <c r="V865" t="s">
        <v>43</v>
      </c>
      <c r="W865" s="1">
        <v>45512</v>
      </c>
      <c r="X865" t="b">
        <v>1</v>
      </c>
      <c r="Y865" t="b">
        <v>1</v>
      </c>
      <c r="Z865" t="s">
        <v>89</v>
      </c>
      <c r="AA865" t="s">
        <v>77</v>
      </c>
      <c r="AB865">
        <v>6</v>
      </c>
    </row>
    <row r="866" spans="1:28">
      <c r="A866" t="s">
        <v>1965</v>
      </c>
      <c r="B866">
        <v>44</v>
      </c>
      <c r="C866" t="s">
        <v>33</v>
      </c>
      <c r="D866" t="s">
        <v>34</v>
      </c>
      <c r="E866" t="s">
        <v>35</v>
      </c>
      <c r="F866" t="s">
        <v>66</v>
      </c>
      <c r="G866" t="s">
        <v>51</v>
      </c>
      <c r="H866" t="s">
        <v>2398</v>
      </c>
      <c r="I866" t="s">
        <v>68</v>
      </c>
      <c r="J866" s="2">
        <v>52.24</v>
      </c>
      <c r="K866">
        <v>11</v>
      </c>
      <c r="L866" t="s">
        <v>55</v>
      </c>
      <c r="M866">
        <v>3</v>
      </c>
      <c r="N866">
        <v>1</v>
      </c>
      <c r="O866">
        <v>0</v>
      </c>
      <c r="P866" t="s">
        <v>69</v>
      </c>
      <c r="Q866" t="s">
        <v>57</v>
      </c>
      <c r="R866">
        <v>2</v>
      </c>
      <c r="S866">
        <v>4</v>
      </c>
      <c r="T866" t="s">
        <v>51</v>
      </c>
      <c r="U866" t="s">
        <v>70</v>
      </c>
      <c r="V866" t="s">
        <v>43</v>
      </c>
      <c r="W866" s="1">
        <v>45638</v>
      </c>
      <c r="X866" t="b">
        <v>1</v>
      </c>
      <c r="Y866" t="b">
        <v>1</v>
      </c>
      <c r="Z866" t="s">
        <v>72</v>
      </c>
      <c r="AA866" t="s">
        <v>60</v>
      </c>
      <c r="AB866">
        <v>8</v>
      </c>
    </row>
    <row r="867" spans="1:28">
      <c r="A867" t="s">
        <v>1967</v>
      </c>
      <c r="B867">
        <v>28</v>
      </c>
      <c r="C867" t="s">
        <v>33</v>
      </c>
      <c r="D867" t="s">
        <v>51</v>
      </c>
      <c r="E867" t="s">
        <v>35</v>
      </c>
      <c r="F867" t="s">
        <v>36</v>
      </c>
      <c r="G867" t="s">
        <v>51</v>
      </c>
      <c r="H867" t="s">
        <v>1968</v>
      </c>
      <c r="I867" t="s">
        <v>153</v>
      </c>
      <c r="J867" s="2">
        <v>446.69</v>
      </c>
      <c r="K867">
        <v>7</v>
      </c>
      <c r="L867" t="s">
        <v>55</v>
      </c>
      <c r="M867">
        <v>4</v>
      </c>
      <c r="N867">
        <v>5</v>
      </c>
      <c r="O867">
        <v>2</v>
      </c>
      <c r="P867" t="s">
        <v>56</v>
      </c>
      <c r="Q867" t="s">
        <v>41</v>
      </c>
      <c r="R867">
        <v>1</v>
      </c>
      <c r="S867">
        <v>5</v>
      </c>
      <c r="T867" t="s">
        <v>51</v>
      </c>
      <c r="U867" t="s">
        <v>70</v>
      </c>
      <c r="V867" t="s">
        <v>102</v>
      </c>
      <c r="W867" s="1">
        <v>45455</v>
      </c>
      <c r="X867" t="b">
        <v>0</v>
      </c>
      <c r="Y867" t="b">
        <v>1</v>
      </c>
      <c r="Z867" t="s">
        <v>89</v>
      </c>
      <c r="AA867" t="s">
        <v>45</v>
      </c>
      <c r="AB867">
        <v>13</v>
      </c>
    </row>
    <row r="868" spans="1:28">
      <c r="A868" t="s">
        <v>1969</v>
      </c>
      <c r="B868">
        <v>23</v>
      </c>
      <c r="C868" t="s">
        <v>50</v>
      </c>
      <c r="D868" t="s">
        <v>34</v>
      </c>
      <c r="E868" t="s">
        <v>35</v>
      </c>
      <c r="F868" t="s">
        <v>52</v>
      </c>
      <c r="G868" t="s">
        <v>34</v>
      </c>
      <c r="H868" t="s">
        <v>1970</v>
      </c>
      <c r="I868" t="s">
        <v>143</v>
      </c>
      <c r="J868" s="2">
        <v>216.84</v>
      </c>
      <c r="K868">
        <v>5</v>
      </c>
      <c r="L868" t="s">
        <v>55</v>
      </c>
      <c r="M868">
        <v>4</v>
      </c>
      <c r="N868">
        <v>3</v>
      </c>
      <c r="O868">
        <v>1</v>
      </c>
      <c r="P868" t="s">
        <v>69</v>
      </c>
      <c r="Q868" t="s">
        <v>41</v>
      </c>
      <c r="R868">
        <v>1</v>
      </c>
      <c r="S868">
        <v>1</v>
      </c>
      <c r="T868" t="s">
        <v>69</v>
      </c>
      <c r="U868" t="s">
        <v>42</v>
      </c>
      <c r="V868" t="s">
        <v>58</v>
      </c>
      <c r="W868" s="1">
        <v>45379</v>
      </c>
      <c r="X868" t="b">
        <v>0</v>
      </c>
      <c r="Y868" t="b">
        <v>0</v>
      </c>
      <c r="Z868" t="s">
        <v>89</v>
      </c>
      <c r="AA868" t="s">
        <v>77</v>
      </c>
      <c r="AB868">
        <v>5</v>
      </c>
    </row>
    <row r="869" spans="1:28">
      <c r="A869" t="s">
        <v>1971</v>
      </c>
      <c r="B869">
        <v>42</v>
      </c>
      <c r="C869" t="s">
        <v>33</v>
      </c>
      <c r="D869" t="s">
        <v>51</v>
      </c>
      <c r="E869" t="s">
        <v>92</v>
      </c>
      <c r="F869" t="s">
        <v>52</v>
      </c>
      <c r="G869" t="s">
        <v>51</v>
      </c>
      <c r="H869" t="s">
        <v>2399</v>
      </c>
      <c r="I869" t="s">
        <v>147</v>
      </c>
      <c r="J869" s="2">
        <v>75.27</v>
      </c>
      <c r="K869">
        <v>7</v>
      </c>
      <c r="L869" t="s">
        <v>39</v>
      </c>
      <c r="M869">
        <v>3</v>
      </c>
      <c r="N869">
        <v>4</v>
      </c>
      <c r="O869">
        <v>1</v>
      </c>
      <c r="P869" t="s">
        <v>40</v>
      </c>
      <c r="Q869" t="s">
        <v>57</v>
      </c>
      <c r="R869">
        <v>2</v>
      </c>
      <c r="S869">
        <v>3</v>
      </c>
      <c r="T869" t="s">
        <v>40</v>
      </c>
      <c r="U869" t="s">
        <v>95</v>
      </c>
      <c r="V869" t="s">
        <v>58</v>
      </c>
      <c r="W869" s="1">
        <v>45653</v>
      </c>
      <c r="X869" t="b">
        <v>1</v>
      </c>
      <c r="Y869" t="b">
        <v>1</v>
      </c>
      <c r="Z869" t="s">
        <v>72</v>
      </c>
      <c r="AA869" t="s">
        <v>77</v>
      </c>
      <c r="AB869">
        <v>1</v>
      </c>
    </row>
    <row r="870" spans="1:28">
      <c r="A870" t="s">
        <v>1973</v>
      </c>
      <c r="B870">
        <v>20</v>
      </c>
      <c r="C870" t="s">
        <v>50</v>
      </c>
      <c r="D870" t="s">
        <v>34</v>
      </c>
      <c r="E870" t="s">
        <v>82</v>
      </c>
      <c r="F870" t="s">
        <v>66</v>
      </c>
      <c r="G870" t="s">
        <v>51</v>
      </c>
      <c r="H870" t="s">
        <v>1974</v>
      </c>
      <c r="I870" t="s">
        <v>68</v>
      </c>
      <c r="J870" s="2">
        <v>308.87</v>
      </c>
      <c r="K870">
        <v>2</v>
      </c>
      <c r="L870" t="s">
        <v>55</v>
      </c>
      <c r="M870">
        <v>3</v>
      </c>
      <c r="N870">
        <v>4</v>
      </c>
      <c r="O870">
        <v>1</v>
      </c>
      <c r="P870" t="s">
        <v>40</v>
      </c>
      <c r="Q870" t="s">
        <v>57</v>
      </c>
      <c r="R870">
        <v>2</v>
      </c>
      <c r="S870">
        <v>2</v>
      </c>
      <c r="T870" t="s">
        <v>40</v>
      </c>
      <c r="U870" t="s">
        <v>42</v>
      </c>
      <c r="V870" t="s">
        <v>102</v>
      </c>
      <c r="W870" s="1">
        <v>45346</v>
      </c>
      <c r="X870" t="b">
        <v>1</v>
      </c>
      <c r="Y870" t="b">
        <v>1</v>
      </c>
      <c r="Z870" t="s">
        <v>72</v>
      </c>
      <c r="AA870" t="s">
        <v>77</v>
      </c>
      <c r="AB870">
        <v>11</v>
      </c>
    </row>
    <row r="871" spans="1:28">
      <c r="A871" t="s">
        <v>1975</v>
      </c>
      <c r="B871">
        <v>49</v>
      </c>
      <c r="C871" t="s">
        <v>50</v>
      </c>
      <c r="D871" t="s">
        <v>51</v>
      </c>
      <c r="E871" t="s">
        <v>92</v>
      </c>
      <c r="F871" t="s">
        <v>66</v>
      </c>
      <c r="G871" t="s">
        <v>34</v>
      </c>
      <c r="H871" t="s">
        <v>2400</v>
      </c>
      <c r="I871" t="s">
        <v>242</v>
      </c>
      <c r="J871" s="2">
        <v>169.77</v>
      </c>
      <c r="K871">
        <v>5</v>
      </c>
      <c r="L871" t="s">
        <v>55</v>
      </c>
      <c r="M871">
        <v>1</v>
      </c>
      <c r="N871">
        <v>4</v>
      </c>
      <c r="O871">
        <v>0</v>
      </c>
      <c r="P871" t="s">
        <v>56</v>
      </c>
      <c r="Q871" t="s">
        <v>101</v>
      </c>
      <c r="R871">
        <v>2</v>
      </c>
      <c r="S871">
        <v>9</v>
      </c>
      <c r="T871" t="s">
        <v>40</v>
      </c>
      <c r="U871" t="s">
        <v>95</v>
      </c>
      <c r="V871" t="s">
        <v>76</v>
      </c>
      <c r="W871" s="1">
        <v>45458</v>
      </c>
      <c r="X871" t="b">
        <v>1</v>
      </c>
      <c r="Y871" t="b">
        <v>1</v>
      </c>
      <c r="Z871" t="s">
        <v>59</v>
      </c>
      <c r="AA871" t="s">
        <v>60</v>
      </c>
      <c r="AB871">
        <v>7</v>
      </c>
    </row>
    <row r="872" spans="1:28">
      <c r="A872" t="s">
        <v>1977</v>
      </c>
      <c r="B872">
        <v>19</v>
      </c>
      <c r="C872" t="s">
        <v>50</v>
      </c>
      <c r="D872" t="s">
        <v>51</v>
      </c>
      <c r="E872" t="s">
        <v>92</v>
      </c>
      <c r="F872" t="s">
        <v>52</v>
      </c>
      <c r="G872" t="s">
        <v>51</v>
      </c>
      <c r="H872" t="s">
        <v>1978</v>
      </c>
      <c r="I872" t="s">
        <v>156</v>
      </c>
      <c r="J872" s="2">
        <v>289.08</v>
      </c>
      <c r="K872">
        <v>12</v>
      </c>
      <c r="L872" t="s">
        <v>94</v>
      </c>
      <c r="M872">
        <v>2</v>
      </c>
      <c r="N872">
        <v>1</v>
      </c>
      <c r="O872">
        <v>0</v>
      </c>
      <c r="P872" t="s">
        <v>40</v>
      </c>
      <c r="Q872" t="s">
        <v>101</v>
      </c>
      <c r="R872">
        <v>1</v>
      </c>
      <c r="S872">
        <v>10</v>
      </c>
      <c r="T872" t="s">
        <v>56</v>
      </c>
      <c r="U872" t="s">
        <v>95</v>
      </c>
      <c r="V872" t="s">
        <v>76</v>
      </c>
      <c r="W872" s="1">
        <v>45518</v>
      </c>
      <c r="X872" t="b">
        <v>1</v>
      </c>
      <c r="Y872" t="b">
        <v>1</v>
      </c>
      <c r="Z872" t="s">
        <v>59</v>
      </c>
      <c r="AA872" t="s">
        <v>60</v>
      </c>
      <c r="AB872">
        <v>7</v>
      </c>
    </row>
    <row r="873" spans="1:28">
      <c r="A873" t="s">
        <v>1979</v>
      </c>
      <c r="B873">
        <v>38</v>
      </c>
      <c r="C873" t="s">
        <v>33</v>
      </c>
      <c r="D873" t="s">
        <v>34</v>
      </c>
      <c r="E873" t="s">
        <v>65</v>
      </c>
      <c r="F873" t="s">
        <v>52</v>
      </c>
      <c r="G873" t="s">
        <v>51</v>
      </c>
      <c r="H873" t="s">
        <v>1980</v>
      </c>
      <c r="I873" t="s">
        <v>242</v>
      </c>
      <c r="J873" s="2">
        <v>74.09</v>
      </c>
      <c r="K873">
        <v>10</v>
      </c>
      <c r="L873" t="s">
        <v>39</v>
      </c>
      <c r="M873">
        <v>1</v>
      </c>
      <c r="N873">
        <v>4</v>
      </c>
      <c r="O873">
        <v>2</v>
      </c>
      <c r="P873" t="s">
        <v>40</v>
      </c>
      <c r="Q873" t="s">
        <v>41</v>
      </c>
      <c r="R873">
        <v>2</v>
      </c>
      <c r="S873">
        <v>9</v>
      </c>
      <c r="T873" t="s">
        <v>69</v>
      </c>
      <c r="U873" t="s">
        <v>42</v>
      </c>
      <c r="V873" t="s">
        <v>76</v>
      </c>
      <c r="W873" s="1">
        <v>45427</v>
      </c>
      <c r="X873" t="b">
        <v>1</v>
      </c>
      <c r="Y873" t="b">
        <v>1</v>
      </c>
      <c r="Z873" t="s">
        <v>72</v>
      </c>
      <c r="AA873" t="s">
        <v>60</v>
      </c>
      <c r="AB873">
        <v>8</v>
      </c>
    </row>
    <row r="874" spans="1:28">
      <c r="A874" t="s">
        <v>1981</v>
      </c>
      <c r="B874">
        <v>43</v>
      </c>
      <c r="C874" t="s">
        <v>50</v>
      </c>
      <c r="D874" t="s">
        <v>51</v>
      </c>
      <c r="E874" t="s">
        <v>35</v>
      </c>
      <c r="F874" t="s">
        <v>52</v>
      </c>
      <c r="G874" t="s">
        <v>34</v>
      </c>
      <c r="H874" t="s">
        <v>1982</v>
      </c>
      <c r="I874" t="s">
        <v>242</v>
      </c>
      <c r="J874" s="2">
        <v>201.53</v>
      </c>
      <c r="K874">
        <v>5</v>
      </c>
      <c r="L874" t="s">
        <v>94</v>
      </c>
      <c r="M874">
        <v>2</v>
      </c>
      <c r="N874">
        <v>3</v>
      </c>
      <c r="O874">
        <v>1</v>
      </c>
      <c r="P874" t="s">
        <v>40</v>
      </c>
      <c r="Q874" t="s">
        <v>57</v>
      </c>
      <c r="R874">
        <v>1</v>
      </c>
      <c r="S874">
        <v>6</v>
      </c>
      <c r="T874" t="s">
        <v>51</v>
      </c>
      <c r="U874" t="s">
        <v>42</v>
      </c>
      <c r="V874" t="s">
        <v>76</v>
      </c>
      <c r="W874" s="1">
        <v>45444</v>
      </c>
      <c r="X874" t="b">
        <v>0</v>
      </c>
      <c r="Y874" t="b">
        <v>1</v>
      </c>
      <c r="Z874" t="s">
        <v>59</v>
      </c>
      <c r="AA874" t="s">
        <v>45</v>
      </c>
      <c r="AB874">
        <v>11</v>
      </c>
    </row>
    <row r="875" spans="1:28">
      <c r="A875" t="s">
        <v>1983</v>
      </c>
      <c r="B875">
        <v>38</v>
      </c>
      <c r="C875" t="s">
        <v>50</v>
      </c>
      <c r="D875" t="s">
        <v>34</v>
      </c>
      <c r="E875" t="s">
        <v>92</v>
      </c>
      <c r="F875" t="s">
        <v>36</v>
      </c>
      <c r="G875" t="s">
        <v>51</v>
      </c>
      <c r="H875" t="s">
        <v>1984</v>
      </c>
      <c r="I875" t="s">
        <v>170</v>
      </c>
      <c r="J875" s="2">
        <v>244.6</v>
      </c>
      <c r="K875">
        <v>12</v>
      </c>
      <c r="L875" t="s">
        <v>94</v>
      </c>
      <c r="M875">
        <v>4</v>
      </c>
      <c r="N875">
        <v>4</v>
      </c>
      <c r="O875">
        <v>2</v>
      </c>
      <c r="P875" t="s">
        <v>56</v>
      </c>
      <c r="Q875" t="s">
        <v>41</v>
      </c>
      <c r="R875">
        <v>0</v>
      </c>
      <c r="S875">
        <v>6</v>
      </c>
      <c r="T875" t="s">
        <v>40</v>
      </c>
      <c r="U875" t="s">
        <v>42</v>
      </c>
      <c r="V875" t="s">
        <v>76</v>
      </c>
      <c r="W875" s="1">
        <v>45529</v>
      </c>
      <c r="X875" t="b">
        <v>0</v>
      </c>
      <c r="Y875" t="b">
        <v>0</v>
      </c>
      <c r="Z875" t="s">
        <v>59</v>
      </c>
      <c r="AA875" t="s">
        <v>60</v>
      </c>
      <c r="AB875">
        <v>3</v>
      </c>
    </row>
    <row r="876" spans="1:28">
      <c r="A876" t="s">
        <v>1985</v>
      </c>
      <c r="B876">
        <v>21</v>
      </c>
      <c r="C876" t="s">
        <v>50</v>
      </c>
      <c r="D876" t="s">
        <v>34</v>
      </c>
      <c r="E876" t="s">
        <v>82</v>
      </c>
      <c r="F876" t="s">
        <v>36</v>
      </c>
      <c r="G876" t="s">
        <v>51</v>
      </c>
      <c r="H876" t="s">
        <v>1986</v>
      </c>
      <c r="I876" t="s">
        <v>150</v>
      </c>
      <c r="J876" s="2">
        <v>320.5</v>
      </c>
      <c r="K876">
        <v>10</v>
      </c>
      <c r="L876" t="s">
        <v>55</v>
      </c>
      <c r="M876">
        <v>3</v>
      </c>
      <c r="N876">
        <v>4</v>
      </c>
      <c r="O876">
        <v>2</v>
      </c>
      <c r="P876" t="s">
        <v>69</v>
      </c>
      <c r="Q876" t="s">
        <v>41</v>
      </c>
      <c r="R876">
        <v>0</v>
      </c>
      <c r="S876">
        <v>9</v>
      </c>
      <c r="T876" t="s">
        <v>69</v>
      </c>
      <c r="U876" t="s">
        <v>42</v>
      </c>
      <c r="V876" t="s">
        <v>102</v>
      </c>
      <c r="W876" s="1">
        <v>45352</v>
      </c>
      <c r="X876" t="b">
        <v>1</v>
      </c>
      <c r="Y876" t="b">
        <v>0</v>
      </c>
      <c r="Z876" t="s">
        <v>44</v>
      </c>
      <c r="AA876" t="s">
        <v>77</v>
      </c>
      <c r="AB876">
        <v>9</v>
      </c>
    </row>
    <row r="877" spans="1:28">
      <c r="A877" t="s">
        <v>1987</v>
      </c>
      <c r="B877">
        <v>27</v>
      </c>
      <c r="C877" t="s">
        <v>50</v>
      </c>
      <c r="D877" t="s">
        <v>34</v>
      </c>
      <c r="E877" t="s">
        <v>82</v>
      </c>
      <c r="F877" t="s">
        <v>66</v>
      </c>
      <c r="G877" t="s">
        <v>34</v>
      </c>
      <c r="H877" t="s">
        <v>1988</v>
      </c>
      <c r="I877" t="s">
        <v>306</v>
      </c>
      <c r="J877" s="2">
        <v>91.63</v>
      </c>
      <c r="K877">
        <v>3</v>
      </c>
      <c r="L877" t="s">
        <v>55</v>
      </c>
      <c r="M877">
        <v>5</v>
      </c>
      <c r="N877">
        <v>2</v>
      </c>
      <c r="O877">
        <v>2</v>
      </c>
      <c r="P877" t="s">
        <v>40</v>
      </c>
      <c r="Q877" t="s">
        <v>57</v>
      </c>
      <c r="R877">
        <v>0</v>
      </c>
      <c r="S877">
        <v>10</v>
      </c>
      <c r="T877" t="s">
        <v>40</v>
      </c>
      <c r="U877" t="s">
        <v>42</v>
      </c>
      <c r="V877" t="s">
        <v>71</v>
      </c>
      <c r="W877" s="1">
        <v>45473</v>
      </c>
      <c r="X877" t="b">
        <v>1</v>
      </c>
      <c r="Y877" t="b">
        <v>1</v>
      </c>
      <c r="Z877" t="s">
        <v>59</v>
      </c>
      <c r="AA877" t="s">
        <v>60</v>
      </c>
      <c r="AB877">
        <v>2</v>
      </c>
    </row>
    <row r="878" spans="1:28">
      <c r="A878" t="s">
        <v>1989</v>
      </c>
      <c r="B878">
        <v>35</v>
      </c>
      <c r="C878" t="s">
        <v>50</v>
      </c>
      <c r="D878" t="s">
        <v>34</v>
      </c>
      <c r="E878" t="s">
        <v>35</v>
      </c>
      <c r="F878" t="s">
        <v>66</v>
      </c>
      <c r="G878" t="s">
        <v>51</v>
      </c>
      <c r="H878" t="s">
        <v>2401</v>
      </c>
      <c r="I878" t="s">
        <v>108</v>
      </c>
      <c r="J878" s="2">
        <v>251.93</v>
      </c>
      <c r="K878">
        <v>8</v>
      </c>
      <c r="L878" t="s">
        <v>55</v>
      </c>
      <c r="M878">
        <v>3</v>
      </c>
      <c r="N878">
        <v>2</v>
      </c>
      <c r="O878">
        <v>1</v>
      </c>
      <c r="P878" t="s">
        <v>51</v>
      </c>
      <c r="Q878" t="s">
        <v>101</v>
      </c>
      <c r="R878">
        <v>2</v>
      </c>
      <c r="S878">
        <v>3</v>
      </c>
      <c r="T878" t="s">
        <v>40</v>
      </c>
      <c r="U878" t="s">
        <v>42</v>
      </c>
      <c r="V878" t="s">
        <v>71</v>
      </c>
      <c r="W878" s="1">
        <v>45293</v>
      </c>
      <c r="X878" t="b">
        <v>0</v>
      </c>
      <c r="Y878" t="b">
        <v>0</v>
      </c>
      <c r="Z878" t="s">
        <v>44</v>
      </c>
      <c r="AA878" t="s">
        <v>60</v>
      </c>
      <c r="AB878">
        <v>7</v>
      </c>
    </row>
    <row r="879" spans="1:28">
      <c r="A879" t="s">
        <v>1991</v>
      </c>
      <c r="B879">
        <v>30</v>
      </c>
      <c r="C879" t="s">
        <v>50</v>
      </c>
      <c r="D879" t="s">
        <v>34</v>
      </c>
      <c r="E879" t="s">
        <v>35</v>
      </c>
      <c r="F879" t="s">
        <v>36</v>
      </c>
      <c r="G879" t="s">
        <v>34</v>
      </c>
      <c r="H879" t="s">
        <v>1992</v>
      </c>
      <c r="I879" t="s">
        <v>123</v>
      </c>
      <c r="J879" s="2">
        <v>477.35</v>
      </c>
      <c r="K879">
        <v>4</v>
      </c>
      <c r="L879" t="s">
        <v>94</v>
      </c>
      <c r="M879">
        <v>2</v>
      </c>
      <c r="N879">
        <v>5</v>
      </c>
      <c r="O879">
        <v>0</v>
      </c>
      <c r="P879" t="s">
        <v>51</v>
      </c>
      <c r="Q879" t="s">
        <v>101</v>
      </c>
      <c r="R879">
        <v>1</v>
      </c>
      <c r="S879">
        <v>2</v>
      </c>
      <c r="T879" t="s">
        <v>69</v>
      </c>
      <c r="U879" t="s">
        <v>95</v>
      </c>
      <c r="V879" t="s">
        <v>58</v>
      </c>
      <c r="W879" s="1">
        <v>45654</v>
      </c>
      <c r="X879" t="b">
        <v>0</v>
      </c>
      <c r="Y879" t="b">
        <v>0</v>
      </c>
      <c r="Z879" t="s">
        <v>44</v>
      </c>
      <c r="AA879" t="s">
        <v>45</v>
      </c>
      <c r="AB879">
        <v>14</v>
      </c>
    </row>
    <row r="880" spans="1:28">
      <c r="A880" t="s">
        <v>1993</v>
      </c>
      <c r="B880">
        <v>31</v>
      </c>
      <c r="C880" t="s">
        <v>50</v>
      </c>
      <c r="D880" t="s">
        <v>51</v>
      </c>
      <c r="E880" t="s">
        <v>82</v>
      </c>
      <c r="F880" t="s">
        <v>66</v>
      </c>
      <c r="G880" t="s">
        <v>34</v>
      </c>
      <c r="H880" t="s">
        <v>1994</v>
      </c>
      <c r="I880" t="s">
        <v>153</v>
      </c>
      <c r="J880" s="2">
        <v>86.63</v>
      </c>
      <c r="K880">
        <v>10</v>
      </c>
      <c r="L880" t="s">
        <v>39</v>
      </c>
      <c r="M880">
        <v>3</v>
      </c>
      <c r="N880">
        <v>1</v>
      </c>
      <c r="O880">
        <v>2</v>
      </c>
      <c r="P880" t="s">
        <v>56</v>
      </c>
      <c r="Q880" t="s">
        <v>41</v>
      </c>
      <c r="R880">
        <v>2</v>
      </c>
      <c r="S880">
        <v>2</v>
      </c>
      <c r="T880" t="s">
        <v>69</v>
      </c>
      <c r="U880" t="s">
        <v>42</v>
      </c>
      <c r="V880" t="s">
        <v>102</v>
      </c>
      <c r="W880" s="1">
        <v>45537</v>
      </c>
      <c r="X880" t="b">
        <v>1</v>
      </c>
      <c r="Y880" t="b">
        <v>0</v>
      </c>
      <c r="Z880" t="s">
        <v>59</v>
      </c>
      <c r="AA880" t="s">
        <v>77</v>
      </c>
      <c r="AB880">
        <v>3</v>
      </c>
    </row>
    <row r="881" spans="1:28">
      <c r="A881" t="s">
        <v>1995</v>
      </c>
      <c r="B881">
        <v>50</v>
      </c>
      <c r="C881" t="s">
        <v>106</v>
      </c>
      <c r="D881" t="s">
        <v>51</v>
      </c>
      <c r="E881" t="s">
        <v>92</v>
      </c>
      <c r="F881" t="s">
        <v>52</v>
      </c>
      <c r="G881" t="s">
        <v>51</v>
      </c>
      <c r="H881" t="s">
        <v>1996</v>
      </c>
      <c r="I881" t="s">
        <v>131</v>
      </c>
      <c r="J881" s="2">
        <v>474.42</v>
      </c>
      <c r="K881">
        <v>4</v>
      </c>
      <c r="L881" t="s">
        <v>55</v>
      </c>
      <c r="M881">
        <v>2</v>
      </c>
      <c r="N881">
        <v>3</v>
      </c>
      <c r="O881">
        <v>0</v>
      </c>
      <c r="P881" t="s">
        <v>56</v>
      </c>
      <c r="Q881" t="s">
        <v>57</v>
      </c>
      <c r="R881">
        <v>1</v>
      </c>
      <c r="S881">
        <v>9</v>
      </c>
      <c r="T881" t="s">
        <v>40</v>
      </c>
      <c r="U881" t="s">
        <v>95</v>
      </c>
      <c r="V881" t="s">
        <v>71</v>
      </c>
      <c r="W881" s="1">
        <v>45556</v>
      </c>
      <c r="X881" t="b">
        <v>1</v>
      </c>
      <c r="Y881" t="b">
        <v>0</v>
      </c>
      <c r="Z881" t="s">
        <v>44</v>
      </c>
      <c r="AA881" t="s">
        <v>45</v>
      </c>
      <c r="AB881">
        <v>5</v>
      </c>
    </row>
    <row r="882" spans="1:28">
      <c r="A882" t="s">
        <v>1997</v>
      </c>
      <c r="B882">
        <v>34</v>
      </c>
      <c r="C882" t="s">
        <v>33</v>
      </c>
      <c r="D882" t="s">
        <v>51</v>
      </c>
      <c r="E882" t="s">
        <v>82</v>
      </c>
      <c r="F882" t="s">
        <v>52</v>
      </c>
      <c r="G882" t="s">
        <v>51</v>
      </c>
      <c r="H882" t="s">
        <v>816</v>
      </c>
      <c r="I882" t="s">
        <v>38</v>
      </c>
      <c r="J882" s="2">
        <v>429.24</v>
      </c>
      <c r="K882">
        <v>7</v>
      </c>
      <c r="L882" t="s">
        <v>39</v>
      </c>
      <c r="M882">
        <v>3</v>
      </c>
      <c r="N882">
        <v>5</v>
      </c>
      <c r="O882">
        <v>1</v>
      </c>
      <c r="P882" t="s">
        <v>51</v>
      </c>
      <c r="Q882" t="s">
        <v>57</v>
      </c>
      <c r="R882">
        <v>0</v>
      </c>
      <c r="S882">
        <v>1</v>
      </c>
      <c r="T882" t="s">
        <v>69</v>
      </c>
      <c r="U882" t="s">
        <v>42</v>
      </c>
      <c r="V882" t="s">
        <v>71</v>
      </c>
      <c r="W882" s="1">
        <v>45378</v>
      </c>
      <c r="X882" t="b">
        <v>0</v>
      </c>
      <c r="Y882" t="b">
        <v>0</v>
      </c>
      <c r="Z882" t="s">
        <v>44</v>
      </c>
      <c r="AA882" t="s">
        <v>45</v>
      </c>
      <c r="AB882">
        <v>10</v>
      </c>
    </row>
    <row r="883" spans="1:28">
      <c r="A883" t="s">
        <v>1998</v>
      </c>
      <c r="B883">
        <v>24</v>
      </c>
      <c r="C883" t="s">
        <v>33</v>
      </c>
      <c r="D883" t="s">
        <v>51</v>
      </c>
      <c r="E883" t="s">
        <v>35</v>
      </c>
      <c r="F883" t="s">
        <v>52</v>
      </c>
      <c r="G883" t="s">
        <v>51</v>
      </c>
      <c r="H883" t="s">
        <v>1999</v>
      </c>
      <c r="I883" t="s">
        <v>75</v>
      </c>
      <c r="J883" s="2">
        <v>470.38</v>
      </c>
      <c r="K883">
        <v>8</v>
      </c>
      <c r="L883" t="s">
        <v>39</v>
      </c>
      <c r="M883">
        <v>2</v>
      </c>
      <c r="N883">
        <v>4</v>
      </c>
      <c r="O883">
        <v>0</v>
      </c>
      <c r="P883" t="s">
        <v>56</v>
      </c>
      <c r="Q883" t="s">
        <v>57</v>
      </c>
      <c r="R883">
        <v>2</v>
      </c>
      <c r="S883">
        <v>3</v>
      </c>
      <c r="T883" t="s">
        <v>51</v>
      </c>
      <c r="U883" t="s">
        <v>70</v>
      </c>
      <c r="V883" t="s">
        <v>76</v>
      </c>
      <c r="W883" s="1">
        <v>45607</v>
      </c>
      <c r="X883" t="b">
        <v>1</v>
      </c>
      <c r="Y883" t="b">
        <v>1</v>
      </c>
      <c r="Z883" t="s">
        <v>72</v>
      </c>
      <c r="AA883" t="s">
        <v>60</v>
      </c>
      <c r="AB883">
        <v>9</v>
      </c>
    </row>
    <row r="884" spans="1:28">
      <c r="A884" t="s">
        <v>2000</v>
      </c>
      <c r="B884">
        <v>32</v>
      </c>
      <c r="C884" t="s">
        <v>33</v>
      </c>
      <c r="D884" t="s">
        <v>34</v>
      </c>
      <c r="E884" t="s">
        <v>65</v>
      </c>
      <c r="F884" t="s">
        <v>66</v>
      </c>
      <c r="G884" t="s">
        <v>51</v>
      </c>
      <c r="H884" t="s">
        <v>2001</v>
      </c>
      <c r="I884" t="s">
        <v>38</v>
      </c>
      <c r="J884" s="2">
        <v>495.8</v>
      </c>
      <c r="K884">
        <v>4</v>
      </c>
      <c r="L884" t="s">
        <v>39</v>
      </c>
      <c r="M884">
        <v>1</v>
      </c>
      <c r="N884">
        <v>2</v>
      </c>
      <c r="O884">
        <v>1</v>
      </c>
      <c r="P884" t="s">
        <v>69</v>
      </c>
      <c r="Q884" t="s">
        <v>57</v>
      </c>
      <c r="R884">
        <v>0</v>
      </c>
      <c r="S884">
        <v>7</v>
      </c>
      <c r="T884" t="s">
        <v>40</v>
      </c>
      <c r="U884" t="s">
        <v>42</v>
      </c>
      <c r="V884" t="s">
        <v>58</v>
      </c>
      <c r="W884" s="1">
        <v>45551</v>
      </c>
      <c r="X884" t="b">
        <v>1</v>
      </c>
      <c r="Y884" t="b">
        <v>1</v>
      </c>
      <c r="Z884" t="s">
        <v>59</v>
      </c>
      <c r="AA884" t="s">
        <v>60</v>
      </c>
      <c r="AB884">
        <v>10</v>
      </c>
    </row>
    <row r="885" spans="1:28">
      <c r="A885" t="s">
        <v>2002</v>
      </c>
      <c r="B885">
        <v>21</v>
      </c>
      <c r="C885" t="s">
        <v>33</v>
      </c>
      <c r="D885" t="s">
        <v>51</v>
      </c>
      <c r="E885" t="s">
        <v>82</v>
      </c>
      <c r="F885" t="s">
        <v>36</v>
      </c>
      <c r="G885" t="s">
        <v>34</v>
      </c>
      <c r="H885" t="s">
        <v>2003</v>
      </c>
      <c r="I885" t="s">
        <v>147</v>
      </c>
      <c r="J885" s="2">
        <v>129.63999999999999</v>
      </c>
      <c r="K885">
        <v>4</v>
      </c>
      <c r="L885" t="s">
        <v>55</v>
      </c>
      <c r="M885">
        <v>3</v>
      </c>
      <c r="N885">
        <v>1</v>
      </c>
      <c r="O885">
        <v>2</v>
      </c>
      <c r="P885" t="s">
        <v>40</v>
      </c>
      <c r="Q885" t="s">
        <v>57</v>
      </c>
      <c r="R885">
        <v>1</v>
      </c>
      <c r="S885">
        <v>3</v>
      </c>
      <c r="T885" t="s">
        <v>69</v>
      </c>
      <c r="U885" t="s">
        <v>95</v>
      </c>
      <c r="V885" t="s">
        <v>71</v>
      </c>
      <c r="W885" s="1">
        <v>45439</v>
      </c>
      <c r="X885" t="b">
        <v>0</v>
      </c>
      <c r="Y885" t="b">
        <v>1</v>
      </c>
      <c r="Z885" t="s">
        <v>44</v>
      </c>
      <c r="AA885" t="s">
        <v>77</v>
      </c>
      <c r="AB885">
        <v>3</v>
      </c>
    </row>
    <row r="886" spans="1:28">
      <c r="A886" t="s">
        <v>2004</v>
      </c>
      <c r="B886">
        <v>41</v>
      </c>
      <c r="C886" t="s">
        <v>50</v>
      </c>
      <c r="D886" t="s">
        <v>34</v>
      </c>
      <c r="E886" t="s">
        <v>65</v>
      </c>
      <c r="F886" t="s">
        <v>66</v>
      </c>
      <c r="G886" t="s">
        <v>51</v>
      </c>
      <c r="H886" t="s">
        <v>2005</v>
      </c>
      <c r="I886" t="s">
        <v>112</v>
      </c>
      <c r="J886" s="2">
        <v>473.77</v>
      </c>
      <c r="K886">
        <v>9</v>
      </c>
      <c r="L886" t="s">
        <v>94</v>
      </c>
      <c r="M886">
        <v>3</v>
      </c>
      <c r="N886">
        <v>1</v>
      </c>
      <c r="O886">
        <v>2</v>
      </c>
      <c r="P886" t="s">
        <v>56</v>
      </c>
      <c r="Q886" t="s">
        <v>101</v>
      </c>
      <c r="R886">
        <v>2</v>
      </c>
      <c r="S886">
        <v>9</v>
      </c>
      <c r="T886" t="s">
        <v>40</v>
      </c>
      <c r="U886" t="s">
        <v>95</v>
      </c>
      <c r="V886" t="s">
        <v>58</v>
      </c>
      <c r="W886" s="1">
        <v>45414</v>
      </c>
      <c r="X886" t="b">
        <v>0</v>
      </c>
      <c r="Y886" t="b">
        <v>0</v>
      </c>
      <c r="Z886" t="s">
        <v>59</v>
      </c>
      <c r="AA886" t="s">
        <v>45</v>
      </c>
      <c r="AB886">
        <v>13</v>
      </c>
    </row>
    <row r="887" spans="1:28">
      <c r="A887" t="s">
        <v>2006</v>
      </c>
      <c r="B887">
        <v>40</v>
      </c>
      <c r="C887" t="s">
        <v>33</v>
      </c>
      <c r="D887" t="s">
        <v>51</v>
      </c>
      <c r="E887" t="s">
        <v>35</v>
      </c>
      <c r="F887" t="s">
        <v>52</v>
      </c>
      <c r="G887" t="s">
        <v>34</v>
      </c>
      <c r="H887" t="s">
        <v>2007</v>
      </c>
      <c r="I887" t="s">
        <v>147</v>
      </c>
      <c r="J887" s="2">
        <v>130.84</v>
      </c>
      <c r="K887">
        <v>4</v>
      </c>
      <c r="L887" t="s">
        <v>94</v>
      </c>
      <c r="M887">
        <v>5</v>
      </c>
      <c r="N887">
        <v>5</v>
      </c>
      <c r="O887">
        <v>2</v>
      </c>
      <c r="P887" t="s">
        <v>56</v>
      </c>
      <c r="Q887" t="s">
        <v>101</v>
      </c>
      <c r="R887">
        <v>2</v>
      </c>
      <c r="S887">
        <v>10</v>
      </c>
      <c r="T887" t="s">
        <v>69</v>
      </c>
      <c r="U887" t="s">
        <v>42</v>
      </c>
      <c r="V887" t="s">
        <v>58</v>
      </c>
      <c r="W887" s="1">
        <v>45548</v>
      </c>
      <c r="X887" t="b">
        <v>1</v>
      </c>
      <c r="Y887" t="b">
        <v>1</v>
      </c>
      <c r="Z887" t="s">
        <v>44</v>
      </c>
      <c r="AA887" t="s">
        <v>60</v>
      </c>
      <c r="AB887">
        <v>13</v>
      </c>
    </row>
    <row r="888" spans="1:28">
      <c r="A888" t="s">
        <v>2008</v>
      </c>
      <c r="B888">
        <v>48</v>
      </c>
      <c r="C888" t="s">
        <v>50</v>
      </c>
      <c r="D888" t="s">
        <v>34</v>
      </c>
      <c r="E888" t="s">
        <v>65</v>
      </c>
      <c r="F888" t="s">
        <v>66</v>
      </c>
      <c r="G888" t="s">
        <v>51</v>
      </c>
      <c r="H888" t="s">
        <v>2402</v>
      </c>
      <c r="I888" t="s">
        <v>199</v>
      </c>
      <c r="J888" s="2">
        <v>436.54</v>
      </c>
      <c r="K888">
        <v>12</v>
      </c>
      <c r="L888" t="s">
        <v>94</v>
      </c>
      <c r="M888">
        <v>3</v>
      </c>
      <c r="N888">
        <v>3</v>
      </c>
      <c r="O888">
        <v>0</v>
      </c>
      <c r="P888" t="s">
        <v>56</v>
      </c>
      <c r="Q888" t="s">
        <v>101</v>
      </c>
      <c r="R888">
        <v>1</v>
      </c>
      <c r="S888">
        <v>8</v>
      </c>
      <c r="T888" t="s">
        <v>69</v>
      </c>
      <c r="U888" t="s">
        <v>70</v>
      </c>
      <c r="V888" t="s">
        <v>71</v>
      </c>
      <c r="W888" s="1">
        <v>45442</v>
      </c>
      <c r="X888" t="b">
        <v>1</v>
      </c>
      <c r="Y888" t="b">
        <v>0</v>
      </c>
      <c r="Z888" t="s">
        <v>59</v>
      </c>
      <c r="AA888" t="s">
        <v>45</v>
      </c>
      <c r="AB888">
        <v>9</v>
      </c>
    </row>
    <row r="889" spans="1:28">
      <c r="A889" t="s">
        <v>2010</v>
      </c>
      <c r="B889">
        <v>25</v>
      </c>
      <c r="C889" t="s">
        <v>33</v>
      </c>
      <c r="D889" t="s">
        <v>34</v>
      </c>
      <c r="E889" t="s">
        <v>82</v>
      </c>
      <c r="F889" t="s">
        <v>36</v>
      </c>
      <c r="G889" t="s">
        <v>34</v>
      </c>
      <c r="H889" t="s">
        <v>2403</v>
      </c>
      <c r="I889" t="s">
        <v>127</v>
      </c>
      <c r="J889" s="2">
        <v>264.01</v>
      </c>
      <c r="K889">
        <v>4</v>
      </c>
      <c r="L889" t="s">
        <v>55</v>
      </c>
      <c r="M889">
        <v>3</v>
      </c>
      <c r="N889">
        <v>4</v>
      </c>
      <c r="O889">
        <v>0</v>
      </c>
      <c r="P889" t="s">
        <v>51</v>
      </c>
      <c r="Q889" t="s">
        <v>41</v>
      </c>
      <c r="R889">
        <v>1</v>
      </c>
      <c r="S889">
        <v>5</v>
      </c>
      <c r="T889" t="s">
        <v>40</v>
      </c>
      <c r="U889" t="s">
        <v>95</v>
      </c>
      <c r="V889" t="s">
        <v>76</v>
      </c>
      <c r="W889" s="1">
        <v>45586</v>
      </c>
      <c r="X889" t="b">
        <v>1</v>
      </c>
      <c r="Y889" t="b">
        <v>0</v>
      </c>
      <c r="Z889" t="s">
        <v>44</v>
      </c>
      <c r="AA889" t="s">
        <v>45</v>
      </c>
      <c r="AB889">
        <v>2</v>
      </c>
    </row>
    <row r="890" spans="1:28">
      <c r="A890" t="s">
        <v>2012</v>
      </c>
      <c r="B890">
        <v>30</v>
      </c>
      <c r="C890" t="s">
        <v>33</v>
      </c>
      <c r="D890" t="s">
        <v>51</v>
      </c>
      <c r="E890" t="s">
        <v>92</v>
      </c>
      <c r="F890" t="s">
        <v>36</v>
      </c>
      <c r="G890" t="s">
        <v>51</v>
      </c>
      <c r="H890" t="s">
        <v>2404</v>
      </c>
      <c r="I890" t="s">
        <v>242</v>
      </c>
      <c r="J890" s="2">
        <v>58.27</v>
      </c>
      <c r="K890">
        <v>2</v>
      </c>
      <c r="L890" t="s">
        <v>55</v>
      </c>
      <c r="M890">
        <v>5</v>
      </c>
      <c r="N890">
        <v>4</v>
      </c>
      <c r="O890">
        <v>1</v>
      </c>
      <c r="P890" t="s">
        <v>56</v>
      </c>
      <c r="Q890" t="s">
        <v>41</v>
      </c>
      <c r="R890">
        <v>1</v>
      </c>
      <c r="S890">
        <v>4</v>
      </c>
      <c r="T890" t="s">
        <v>56</v>
      </c>
      <c r="U890" t="s">
        <v>70</v>
      </c>
      <c r="V890" t="s">
        <v>102</v>
      </c>
      <c r="W890" s="1">
        <v>45580</v>
      </c>
      <c r="X890" t="b">
        <v>0</v>
      </c>
      <c r="Y890" t="b">
        <v>1</v>
      </c>
      <c r="Z890" t="s">
        <v>44</v>
      </c>
      <c r="AA890" t="s">
        <v>45</v>
      </c>
      <c r="AB890">
        <v>13</v>
      </c>
    </row>
    <row r="891" spans="1:28">
      <c r="A891" t="s">
        <v>2014</v>
      </c>
      <c r="B891">
        <v>25</v>
      </c>
      <c r="C891" t="s">
        <v>50</v>
      </c>
      <c r="D891" t="s">
        <v>34</v>
      </c>
      <c r="E891" t="s">
        <v>65</v>
      </c>
      <c r="F891" t="s">
        <v>66</v>
      </c>
      <c r="G891" t="s">
        <v>51</v>
      </c>
      <c r="H891" t="s">
        <v>2015</v>
      </c>
      <c r="I891" t="s">
        <v>108</v>
      </c>
      <c r="J891" s="2">
        <v>190.76</v>
      </c>
      <c r="K891">
        <v>10</v>
      </c>
      <c r="L891" t="s">
        <v>55</v>
      </c>
      <c r="M891">
        <v>5</v>
      </c>
      <c r="N891">
        <v>5</v>
      </c>
      <c r="O891">
        <v>2</v>
      </c>
      <c r="P891" t="s">
        <v>40</v>
      </c>
      <c r="Q891" t="s">
        <v>57</v>
      </c>
      <c r="R891">
        <v>1</v>
      </c>
      <c r="S891">
        <v>3</v>
      </c>
      <c r="T891" t="s">
        <v>51</v>
      </c>
      <c r="U891" t="s">
        <v>95</v>
      </c>
      <c r="V891" t="s">
        <v>76</v>
      </c>
      <c r="W891" s="1">
        <v>45603</v>
      </c>
      <c r="X891" t="b">
        <v>0</v>
      </c>
      <c r="Y891" t="b">
        <v>0</v>
      </c>
      <c r="Z891" t="s">
        <v>89</v>
      </c>
      <c r="AA891" t="s">
        <v>77</v>
      </c>
      <c r="AB891">
        <v>11</v>
      </c>
    </row>
    <row r="892" spans="1:28">
      <c r="A892" t="s">
        <v>2017</v>
      </c>
      <c r="B892">
        <v>40</v>
      </c>
      <c r="C892" t="s">
        <v>33</v>
      </c>
      <c r="D892" t="s">
        <v>51</v>
      </c>
      <c r="E892" t="s">
        <v>82</v>
      </c>
      <c r="F892" t="s">
        <v>66</v>
      </c>
      <c r="G892" t="s">
        <v>51</v>
      </c>
      <c r="H892" t="s">
        <v>2018</v>
      </c>
      <c r="I892" t="s">
        <v>127</v>
      </c>
      <c r="J892" s="2">
        <v>105.76</v>
      </c>
      <c r="K892">
        <v>8</v>
      </c>
      <c r="L892" t="s">
        <v>94</v>
      </c>
      <c r="M892">
        <v>4</v>
      </c>
      <c r="N892">
        <v>4</v>
      </c>
      <c r="O892">
        <v>2</v>
      </c>
      <c r="P892" t="s">
        <v>40</v>
      </c>
      <c r="Q892" t="s">
        <v>101</v>
      </c>
      <c r="R892">
        <v>1</v>
      </c>
      <c r="S892">
        <v>8</v>
      </c>
      <c r="T892" t="s">
        <v>56</v>
      </c>
      <c r="U892" t="s">
        <v>42</v>
      </c>
      <c r="V892" t="s">
        <v>43</v>
      </c>
      <c r="W892" s="1">
        <v>45309</v>
      </c>
      <c r="X892" t="b">
        <v>0</v>
      </c>
      <c r="Y892" t="b">
        <v>0</v>
      </c>
      <c r="Z892" t="s">
        <v>89</v>
      </c>
      <c r="AA892" t="s">
        <v>77</v>
      </c>
      <c r="AB892">
        <v>4</v>
      </c>
    </row>
    <row r="893" spans="1:28">
      <c r="A893" t="s">
        <v>2019</v>
      </c>
      <c r="B893">
        <v>24</v>
      </c>
      <c r="C893" t="s">
        <v>33</v>
      </c>
      <c r="D893" t="s">
        <v>34</v>
      </c>
      <c r="E893" t="s">
        <v>65</v>
      </c>
      <c r="F893" t="s">
        <v>66</v>
      </c>
      <c r="G893" t="s">
        <v>51</v>
      </c>
      <c r="H893" t="s">
        <v>2020</v>
      </c>
      <c r="I893" t="s">
        <v>135</v>
      </c>
      <c r="J893" s="2">
        <v>254.29</v>
      </c>
      <c r="K893">
        <v>9</v>
      </c>
      <c r="L893" t="s">
        <v>39</v>
      </c>
      <c r="M893">
        <v>5</v>
      </c>
      <c r="N893">
        <v>4</v>
      </c>
      <c r="O893">
        <v>0</v>
      </c>
      <c r="P893" t="s">
        <v>56</v>
      </c>
      <c r="Q893" t="s">
        <v>41</v>
      </c>
      <c r="R893">
        <v>1</v>
      </c>
      <c r="S893">
        <v>7</v>
      </c>
      <c r="T893" t="s">
        <v>69</v>
      </c>
      <c r="U893" t="s">
        <v>70</v>
      </c>
      <c r="V893" t="s">
        <v>102</v>
      </c>
      <c r="W893" s="1">
        <v>45412</v>
      </c>
      <c r="X893" t="b">
        <v>0</v>
      </c>
      <c r="Y893" t="b">
        <v>0</v>
      </c>
      <c r="Z893" t="s">
        <v>72</v>
      </c>
      <c r="AA893" t="s">
        <v>77</v>
      </c>
      <c r="AB893">
        <v>3</v>
      </c>
    </row>
    <row r="894" spans="1:28">
      <c r="A894" t="s">
        <v>2021</v>
      </c>
      <c r="B894">
        <v>49</v>
      </c>
      <c r="C894" t="s">
        <v>50</v>
      </c>
      <c r="D894" t="s">
        <v>34</v>
      </c>
      <c r="E894" t="s">
        <v>92</v>
      </c>
      <c r="F894" t="s">
        <v>36</v>
      </c>
      <c r="G894" t="s">
        <v>51</v>
      </c>
      <c r="H894" t="s">
        <v>2022</v>
      </c>
      <c r="I894" t="s">
        <v>108</v>
      </c>
      <c r="J894" s="2">
        <v>435.52</v>
      </c>
      <c r="K894">
        <v>9</v>
      </c>
      <c r="L894" t="s">
        <v>94</v>
      </c>
      <c r="M894">
        <v>5</v>
      </c>
      <c r="N894">
        <v>3</v>
      </c>
      <c r="O894">
        <v>2</v>
      </c>
      <c r="P894" t="s">
        <v>51</v>
      </c>
      <c r="Q894" t="s">
        <v>57</v>
      </c>
      <c r="R894">
        <v>1</v>
      </c>
      <c r="S894">
        <v>2</v>
      </c>
      <c r="T894" t="s">
        <v>56</v>
      </c>
      <c r="U894" t="s">
        <v>95</v>
      </c>
      <c r="V894" t="s">
        <v>71</v>
      </c>
      <c r="W894" s="1">
        <v>45608</v>
      </c>
      <c r="X894" t="b">
        <v>1</v>
      </c>
      <c r="Y894" t="b">
        <v>0</v>
      </c>
      <c r="Z894" t="s">
        <v>72</v>
      </c>
      <c r="AA894" t="s">
        <v>45</v>
      </c>
      <c r="AB894">
        <v>11</v>
      </c>
    </row>
    <row r="895" spans="1:28">
      <c r="A895" t="s">
        <v>2023</v>
      </c>
      <c r="B895">
        <v>50</v>
      </c>
      <c r="C895" t="s">
        <v>33</v>
      </c>
      <c r="D895" t="s">
        <v>51</v>
      </c>
      <c r="E895" t="s">
        <v>35</v>
      </c>
      <c r="F895" t="s">
        <v>66</v>
      </c>
      <c r="G895" t="s">
        <v>34</v>
      </c>
      <c r="H895" t="s">
        <v>2024</v>
      </c>
      <c r="I895" t="s">
        <v>68</v>
      </c>
      <c r="J895" s="2">
        <v>235.49</v>
      </c>
      <c r="K895">
        <v>5</v>
      </c>
      <c r="L895" t="s">
        <v>55</v>
      </c>
      <c r="M895">
        <v>4</v>
      </c>
      <c r="N895">
        <v>3</v>
      </c>
      <c r="O895">
        <v>1</v>
      </c>
      <c r="P895" t="s">
        <v>51</v>
      </c>
      <c r="Q895" t="s">
        <v>41</v>
      </c>
      <c r="R895">
        <v>1</v>
      </c>
      <c r="S895">
        <v>6</v>
      </c>
      <c r="T895" t="s">
        <v>40</v>
      </c>
      <c r="U895" t="s">
        <v>70</v>
      </c>
      <c r="V895" t="s">
        <v>102</v>
      </c>
      <c r="W895" s="1">
        <v>45425</v>
      </c>
      <c r="X895" t="b">
        <v>1</v>
      </c>
      <c r="Y895" t="b">
        <v>0</v>
      </c>
      <c r="Z895" t="s">
        <v>72</v>
      </c>
      <c r="AA895" t="s">
        <v>77</v>
      </c>
      <c r="AB895">
        <v>5</v>
      </c>
    </row>
    <row r="896" spans="1:28">
      <c r="A896" t="s">
        <v>2025</v>
      </c>
      <c r="B896">
        <v>45</v>
      </c>
      <c r="C896" t="s">
        <v>50</v>
      </c>
      <c r="D896" t="s">
        <v>51</v>
      </c>
      <c r="E896" t="s">
        <v>82</v>
      </c>
      <c r="F896" t="s">
        <v>66</v>
      </c>
      <c r="G896" t="s">
        <v>34</v>
      </c>
      <c r="H896" t="s">
        <v>2405</v>
      </c>
      <c r="I896" t="s">
        <v>112</v>
      </c>
      <c r="J896" s="2">
        <v>161.34</v>
      </c>
      <c r="K896">
        <v>3</v>
      </c>
      <c r="L896" t="s">
        <v>39</v>
      </c>
      <c r="M896">
        <v>2</v>
      </c>
      <c r="N896">
        <v>3</v>
      </c>
      <c r="O896">
        <v>2</v>
      </c>
      <c r="P896" t="s">
        <v>51</v>
      </c>
      <c r="Q896" t="s">
        <v>101</v>
      </c>
      <c r="R896">
        <v>1</v>
      </c>
      <c r="S896">
        <v>8</v>
      </c>
      <c r="T896" t="s">
        <v>56</v>
      </c>
      <c r="U896" t="s">
        <v>42</v>
      </c>
      <c r="V896" t="s">
        <v>43</v>
      </c>
      <c r="W896" s="1">
        <v>45563</v>
      </c>
      <c r="X896" t="b">
        <v>1</v>
      </c>
      <c r="Y896" t="b">
        <v>0</v>
      </c>
      <c r="Z896" t="s">
        <v>72</v>
      </c>
      <c r="AA896" t="s">
        <v>45</v>
      </c>
      <c r="AB896">
        <v>4</v>
      </c>
    </row>
    <row r="897" spans="1:28">
      <c r="A897" t="s">
        <v>2027</v>
      </c>
      <c r="B897">
        <v>19</v>
      </c>
      <c r="C897" t="s">
        <v>50</v>
      </c>
      <c r="D897" t="s">
        <v>51</v>
      </c>
      <c r="E897" t="s">
        <v>65</v>
      </c>
      <c r="F897" t="s">
        <v>66</v>
      </c>
      <c r="G897" t="s">
        <v>51</v>
      </c>
      <c r="H897" t="s">
        <v>2028</v>
      </c>
      <c r="I897" t="s">
        <v>112</v>
      </c>
      <c r="J897" s="2">
        <v>167.67</v>
      </c>
      <c r="K897">
        <v>11</v>
      </c>
      <c r="L897" t="s">
        <v>55</v>
      </c>
      <c r="M897">
        <v>5</v>
      </c>
      <c r="N897">
        <v>2</v>
      </c>
      <c r="O897">
        <v>1</v>
      </c>
      <c r="P897" t="s">
        <v>51</v>
      </c>
      <c r="Q897" t="s">
        <v>101</v>
      </c>
      <c r="R897">
        <v>0</v>
      </c>
      <c r="S897">
        <v>6</v>
      </c>
      <c r="T897" t="s">
        <v>56</v>
      </c>
      <c r="U897" t="s">
        <v>70</v>
      </c>
      <c r="V897" t="s">
        <v>43</v>
      </c>
      <c r="W897" s="1">
        <v>45369</v>
      </c>
      <c r="X897" t="b">
        <v>0</v>
      </c>
      <c r="Y897" t="b">
        <v>1</v>
      </c>
      <c r="Z897" t="s">
        <v>44</v>
      </c>
      <c r="AA897" t="s">
        <v>77</v>
      </c>
      <c r="AB897">
        <v>5</v>
      </c>
    </row>
    <row r="898" spans="1:28">
      <c r="A898" t="s">
        <v>2029</v>
      </c>
      <c r="B898">
        <v>50</v>
      </c>
      <c r="C898" t="s">
        <v>33</v>
      </c>
      <c r="D898" t="s">
        <v>34</v>
      </c>
      <c r="E898" t="s">
        <v>82</v>
      </c>
      <c r="F898" t="s">
        <v>52</v>
      </c>
      <c r="G898" t="s">
        <v>51</v>
      </c>
      <c r="H898" t="s">
        <v>2030</v>
      </c>
      <c r="I898" t="s">
        <v>54</v>
      </c>
      <c r="J898" s="2">
        <v>96.68</v>
      </c>
      <c r="K898">
        <v>10</v>
      </c>
      <c r="L898" t="s">
        <v>39</v>
      </c>
      <c r="M898">
        <v>5</v>
      </c>
      <c r="N898">
        <v>2</v>
      </c>
      <c r="O898">
        <v>2</v>
      </c>
      <c r="P898" t="s">
        <v>51</v>
      </c>
      <c r="Q898" t="s">
        <v>41</v>
      </c>
      <c r="R898">
        <v>2</v>
      </c>
      <c r="S898">
        <v>3</v>
      </c>
      <c r="T898" t="s">
        <v>40</v>
      </c>
      <c r="U898" t="s">
        <v>70</v>
      </c>
      <c r="V898" t="s">
        <v>43</v>
      </c>
      <c r="W898" s="1">
        <v>45395</v>
      </c>
      <c r="X898" t="b">
        <v>1</v>
      </c>
      <c r="Y898" t="b">
        <v>0</v>
      </c>
      <c r="Z898" t="s">
        <v>89</v>
      </c>
      <c r="AA898" t="s">
        <v>45</v>
      </c>
      <c r="AB898">
        <v>10</v>
      </c>
    </row>
    <row r="899" spans="1:28">
      <c r="A899" t="s">
        <v>2031</v>
      </c>
      <c r="B899">
        <v>32</v>
      </c>
      <c r="C899" t="s">
        <v>50</v>
      </c>
      <c r="D899" t="s">
        <v>51</v>
      </c>
      <c r="E899" t="s">
        <v>35</v>
      </c>
      <c r="F899" t="s">
        <v>66</v>
      </c>
      <c r="G899" t="s">
        <v>51</v>
      </c>
      <c r="H899" t="s">
        <v>2032</v>
      </c>
      <c r="I899" t="s">
        <v>38</v>
      </c>
      <c r="J899" s="2">
        <v>234.58</v>
      </c>
      <c r="K899">
        <v>3</v>
      </c>
      <c r="L899" t="s">
        <v>39</v>
      </c>
      <c r="M899">
        <v>5</v>
      </c>
      <c r="N899">
        <v>5</v>
      </c>
      <c r="O899">
        <v>2</v>
      </c>
      <c r="P899" t="s">
        <v>69</v>
      </c>
      <c r="Q899" t="s">
        <v>101</v>
      </c>
      <c r="R899">
        <v>2</v>
      </c>
      <c r="S899">
        <v>6</v>
      </c>
      <c r="T899" t="s">
        <v>40</v>
      </c>
      <c r="U899" t="s">
        <v>95</v>
      </c>
      <c r="V899" t="s">
        <v>58</v>
      </c>
      <c r="W899" s="1">
        <v>45405</v>
      </c>
      <c r="X899" t="b">
        <v>1</v>
      </c>
      <c r="Y899" t="b">
        <v>0</v>
      </c>
      <c r="Z899" t="s">
        <v>72</v>
      </c>
      <c r="AA899" t="s">
        <v>60</v>
      </c>
      <c r="AB899">
        <v>1</v>
      </c>
    </row>
    <row r="900" spans="1:28">
      <c r="A900" t="s">
        <v>2034</v>
      </c>
      <c r="B900">
        <v>21</v>
      </c>
      <c r="C900" t="s">
        <v>50</v>
      </c>
      <c r="D900" t="s">
        <v>34</v>
      </c>
      <c r="E900" t="s">
        <v>35</v>
      </c>
      <c r="F900" t="s">
        <v>66</v>
      </c>
      <c r="G900" t="s">
        <v>34</v>
      </c>
      <c r="H900" t="s">
        <v>2035</v>
      </c>
      <c r="I900" t="s">
        <v>84</v>
      </c>
      <c r="J900" s="2">
        <v>156.47999999999999</v>
      </c>
      <c r="K900">
        <v>7</v>
      </c>
      <c r="L900" t="s">
        <v>55</v>
      </c>
      <c r="M900">
        <v>5</v>
      </c>
      <c r="N900">
        <v>1</v>
      </c>
      <c r="O900">
        <v>0</v>
      </c>
      <c r="P900" t="s">
        <v>69</v>
      </c>
      <c r="Q900" t="s">
        <v>57</v>
      </c>
      <c r="R900">
        <v>2</v>
      </c>
      <c r="S900">
        <v>5</v>
      </c>
      <c r="T900" t="s">
        <v>56</v>
      </c>
      <c r="U900" t="s">
        <v>95</v>
      </c>
      <c r="V900" t="s">
        <v>76</v>
      </c>
      <c r="W900" s="1">
        <v>45364</v>
      </c>
      <c r="X900" t="b">
        <v>0</v>
      </c>
      <c r="Y900" t="b">
        <v>1</v>
      </c>
      <c r="Z900" t="s">
        <v>59</v>
      </c>
      <c r="AA900" t="s">
        <v>45</v>
      </c>
      <c r="AB900">
        <v>4</v>
      </c>
    </row>
    <row r="901" spans="1:28">
      <c r="A901" t="s">
        <v>2036</v>
      </c>
      <c r="B901">
        <v>27</v>
      </c>
      <c r="C901" t="s">
        <v>264</v>
      </c>
      <c r="D901" t="s">
        <v>51</v>
      </c>
      <c r="E901" t="s">
        <v>82</v>
      </c>
      <c r="F901" t="s">
        <v>36</v>
      </c>
      <c r="G901" t="s">
        <v>34</v>
      </c>
      <c r="H901" t="s">
        <v>2037</v>
      </c>
      <c r="I901" t="s">
        <v>306</v>
      </c>
      <c r="J901" s="2">
        <v>489.66</v>
      </c>
      <c r="K901">
        <v>11</v>
      </c>
      <c r="L901" t="s">
        <v>39</v>
      </c>
      <c r="M901">
        <v>5</v>
      </c>
      <c r="N901">
        <v>1</v>
      </c>
      <c r="O901">
        <v>0</v>
      </c>
      <c r="P901" t="s">
        <v>51</v>
      </c>
      <c r="Q901" t="s">
        <v>57</v>
      </c>
      <c r="R901">
        <v>2</v>
      </c>
      <c r="S901">
        <v>6</v>
      </c>
      <c r="T901" t="s">
        <v>40</v>
      </c>
      <c r="U901" t="s">
        <v>42</v>
      </c>
      <c r="V901" t="s">
        <v>76</v>
      </c>
      <c r="W901" s="1">
        <v>45309</v>
      </c>
      <c r="X901" t="b">
        <v>1</v>
      </c>
      <c r="Y901" t="b">
        <v>0</v>
      </c>
      <c r="Z901" t="s">
        <v>59</v>
      </c>
      <c r="AA901" t="s">
        <v>60</v>
      </c>
      <c r="AB901">
        <v>3</v>
      </c>
    </row>
    <row r="902" spans="1:28">
      <c r="A902" t="s">
        <v>2038</v>
      </c>
      <c r="B902">
        <v>39</v>
      </c>
      <c r="C902" t="s">
        <v>340</v>
      </c>
      <c r="D902" t="s">
        <v>51</v>
      </c>
      <c r="E902" t="s">
        <v>92</v>
      </c>
      <c r="F902" t="s">
        <v>66</v>
      </c>
      <c r="G902" t="s">
        <v>51</v>
      </c>
      <c r="H902" t="s">
        <v>2039</v>
      </c>
      <c r="I902" t="s">
        <v>143</v>
      </c>
      <c r="J902" s="2">
        <v>161.85</v>
      </c>
      <c r="K902">
        <v>9</v>
      </c>
      <c r="L902" t="s">
        <v>55</v>
      </c>
      <c r="M902">
        <v>5</v>
      </c>
      <c r="N902">
        <v>3</v>
      </c>
      <c r="O902">
        <v>0</v>
      </c>
      <c r="P902" t="s">
        <v>51</v>
      </c>
      <c r="Q902" t="s">
        <v>101</v>
      </c>
      <c r="R902">
        <v>0</v>
      </c>
      <c r="S902">
        <v>4</v>
      </c>
      <c r="T902" t="s">
        <v>56</v>
      </c>
      <c r="U902" t="s">
        <v>70</v>
      </c>
      <c r="V902" t="s">
        <v>76</v>
      </c>
      <c r="W902" s="1">
        <v>45407</v>
      </c>
      <c r="X902" t="b">
        <v>1</v>
      </c>
      <c r="Y902" t="b">
        <v>0</v>
      </c>
      <c r="Z902" t="s">
        <v>44</v>
      </c>
      <c r="AA902" t="s">
        <v>45</v>
      </c>
      <c r="AB902">
        <v>10</v>
      </c>
    </row>
    <row r="903" spans="1:28">
      <c r="A903" t="s">
        <v>2040</v>
      </c>
      <c r="B903">
        <v>34</v>
      </c>
      <c r="C903" t="s">
        <v>50</v>
      </c>
      <c r="D903" t="s">
        <v>34</v>
      </c>
      <c r="E903" t="s">
        <v>82</v>
      </c>
      <c r="F903" t="s">
        <v>66</v>
      </c>
      <c r="G903" t="s">
        <v>51</v>
      </c>
      <c r="H903" t="s">
        <v>2041</v>
      </c>
      <c r="I903" t="s">
        <v>147</v>
      </c>
      <c r="J903" s="2">
        <v>204.47</v>
      </c>
      <c r="K903">
        <v>7</v>
      </c>
      <c r="L903" t="s">
        <v>94</v>
      </c>
      <c r="M903">
        <v>2</v>
      </c>
      <c r="N903">
        <v>1</v>
      </c>
      <c r="O903">
        <v>1</v>
      </c>
      <c r="P903" t="s">
        <v>40</v>
      </c>
      <c r="Q903" t="s">
        <v>101</v>
      </c>
      <c r="R903">
        <v>2</v>
      </c>
      <c r="S903">
        <v>9</v>
      </c>
      <c r="T903" t="s">
        <v>40</v>
      </c>
      <c r="U903" t="s">
        <v>70</v>
      </c>
      <c r="V903" t="s">
        <v>43</v>
      </c>
      <c r="W903" s="1">
        <v>45519</v>
      </c>
      <c r="X903" t="b">
        <v>1</v>
      </c>
      <c r="Y903" t="b">
        <v>1</v>
      </c>
      <c r="Z903" t="s">
        <v>59</v>
      </c>
      <c r="AA903" t="s">
        <v>45</v>
      </c>
      <c r="AB903">
        <v>3</v>
      </c>
    </row>
    <row r="904" spans="1:28">
      <c r="A904" t="s">
        <v>2042</v>
      </c>
      <c r="B904">
        <v>34</v>
      </c>
      <c r="C904" t="s">
        <v>33</v>
      </c>
      <c r="D904" t="s">
        <v>34</v>
      </c>
      <c r="E904" t="s">
        <v>82</v>
      </c>
      <c r="F904" t="s">
        <v>36</v>
      </c>
      <c r="G904" t="s">
        <v>34</v>
      </c>
      <c r="H904" t="s">
        <v>2043</v>
      </c>
      <c r="I904" t="s">
        <v>135</v>
      </c>
      <c r="J904" s="2">
        <v>315.02999999999997</v>
      </c>
      <c r="K904">
        <v>4</v>
      </c>
      <c r="L904" t="s">
        <v>94</v>
      </c>
      <c r="M904">
        <v>1</v>
      </c>
      <c r="N904">
        <v>5</v>
      </c>
      <c r="O904">
        <v>0</v>
      </c>
      <c r="P904" t="s">
        <v>51</v>
      </c>
      <c r="Q904" t="s">
        <v>101</v>
      </c>
      <c r="R904">
        <v>1</v>
      </c>
      <c r="S904">
        <v>6</v>
      </c>
      <c r="T904" t="s">
        <v>69</v>
      </c>
      <c r="U904" t="s">
        <v>42</v>
      </c>
      <c r="V904" t="s">
        <v>58</v>
      </c>
      <c r="W904" s="1">
        <v>45606</v>
      </c>
      <c r="X904" t="b">
        <v>1</v>
      </c>
      <c r="Y904" t="b">
        <v>0</v>
      </c>
      <c r="Z904" t="s">
        <v>89</v>
      </c>
      <c r="AA904" t="s">
        <v>77</v>
      </c>
      <c r="AB904">
        <v>2</v>
      </c>
    </row>
    <row r="905" spans="1:28">
      <c r="A905" t="s">
        <v>2045</v>
      </c>
      <c r="B905">
        <v>42</v>
      </c>
      <c r="C905" t="s">
        <v>50</v>
      </c>
      <c r="D905" t="s">
        <v>34</v>
      </c>
      <c r="E905" t="s">
        <v>65</v>
      </c>
      <c r="F905" t="s">
        <v>66</v>
      </c>
      <c r="G905" t="s">
        <v>51</v>
      </c>
      <c r="H905" t="s">
        <v>2046</v>
      </c>
      <c r="I905" t="s">
        <v>84</v>
      </c>
      <c r="J905" s="2">
        <v>330.36</v>
      </c>
      <c r="K905">
        <v>12</v>
      </c>
      <c r="L905" t="s">
        <v>55</v>
      </c>
      <c r="M905">
        <v>5</v>
      </c>
      <c r="N905">
        <v>5</v>
      </c>
      <c r="O905">
        <v>1</v>
      </c>
      <c r="P905" t="s">
        <v>69</v>
      </c>
      <c r="Q905" t="s">
        <v>101</v>
      </c>
      <c r="R905">
        <v>1</v>
      </c>
      <c r="S905">
        <v>4</v>
      </c>
      <c r="T905" t="s">
        <v>69</v>
      </c>
      <c r="U905" t="s">
        <v>42</v>
      </c>
      <c r="V905" t="s">
        <v>76</v>
      </c>
      <c r="W905" s="1">
        <v>45472</v>
      </c>
      <c r="X905" t="b">
        <v>1</v>
      </c>
      <c r="Y905" t="b">
        <v>1</v>
      </c>
      <c r="Z905" t="s">
        <v>44</v>
      </c>
      <c r="AA905" t="s">
        <v>45</v>
      </c>
      <c r="AB905">
        <v>3</v>
      </c>
    </row>
    <row r="906" spans="1:28">
      <c r="A906" t="s">
        <v>2047</v>
      </c>
      <c r="B906">
        <v>42</v>
      </c>
      <c r="C906" t="s">
        <v>50</v>
      </c>
      <c r="D906" t="s">
        <v>34</v>
      </c>
      <c r="E906" t="s">
        <v>65</v>
      </c>
      <c r="F906" t="s">
        <v>36</v>
      </c>
      <c r="G906" t="s">
        <v>34</v>
      </c>
      <c r="H906" t="s">
        <v>2048</v>
      </c>
      <c r="I906" t="s">
        <v>156</v>
      </c>
      <c r="J906" s="2">
        <v>456.83</v>
      </c>
      <c r="K906">
        <v>5</v>
      </c>
      <c r="L906" t="s">
        <v>94</v>
      </c>
      <c r="M906">
        <v>2</v>
      </c>
      <c r="N906">
        <v>5</v>
      </c>
      <c r="O906">
        <v>0</v>
      </c>
      <c r="P906" t="s">
        <v>40</v>
      </c>
      <c r="Q906" t="s">
        <v>57</v>
      </c>
      <c r="R906">
        <v>0</v>
      </c>
      <c r="S906">
        <v>9</v>
      </c>
      <c r="T906" t="s">
        <v>51</v>
      </c>
      <c r="U906" t="s">
        <v>42</v>
      </c>
      <c r="V906" t="s">
        <v>43</v>
      </c>
      <c r="W906" s="1">
        <v>45463</v>
      </c>
      <c r="X906" t="b">
        <v>0</v>
      </c>
      <c r="Y906" t="b">
        <v>0</v>
      </c>
      <c r="Z906" t="s">
        <v>44</v>
      </c>
      <c r="AA906" t="s">
        <v>45</v>
      </c>
      <c r="AB906">
        <v>13</v>
      </c>
    </row>
    <row r="907" spans="1:28">
      <c r="A907" t="s">
        <v>2049</v>
      </c>
      <c r="B907">
        <v>31</v>
      </c>
      <c r="C907" t="s">
        <v>50</v>
      </c>
      <c r="D907" t="s">
        <v>51</v>
      </c>
      <c r="E907" t="s">
        <v>82</v>
      </c>
      <c r="F907" t="s">
        <v>36</v>
      </c>
      <c r="G907" t="s">
        <v>51</v>
      </c>
      <c r="H907" t="s">
        <v>2050</v>
      </c>
      <c r="I907" t="s">
        <v>306</v>
      </c>
      <c r="J907" s="2">
        <v>236.05</v>
      </c>
      <c r="K907">
        <v>6</v>
      </c>
      <c r="L907" t="s">
        <v>55</v>
      </c>
      <c r="M907">
        <v>2</v>
      </c>
      <c r="N907">
        <v>3</v>
      </c>
      <c r="O907">
        <v>0</v>
      </c>
      <c r="P907" t="s">
        <v>40</v>
      </c>
      <c r="Q907" t="s">
        <v>101</v>
      </c>
      <c r="R907">
        <v>1</v>
      </c>
      <c r="S907">
        <v>4</v>
      </c>
      <c r="T907" t="s">
        <v>51</v>
      </c>
      <c r="U907" t="s">
        <v>95</v>
      </c>
      <c r="V907" t="s">
        <v>76</v>
      </c>
      <c r="W907" s="1">
        <v>45612</v>
      </c>
      <c r="X907" t="b">
        <v>0</v>
      </c>
      <c r="Y907" t="b">
        <v>1</v>
      </c>
      <c r="Z907" t="s">
        <v>44</v>
      </c>
      <c r="AA907" t="s">
        <v>45</v>
      </c>
      <c r="AB907">
        <v>13</v>
      </c>
    </row>
    <row r="908" spans="1:28">
      <c r="A908" t="s">
        <v>2051</v>
      </c>
      <c r="B908">
        <v>35</v>
      </c>
      <c r="C908" t="s">
        <v>33</v>
      </c>
      <c r="D908" t="s">
        <v>51</v>
      </c>
      <c r="E908" t="s">
        <v>82</v>
      </c>
      <c r="F908" t="s">
        <v>52</v>
      </c>
      <c r="G908" t="s">
        <v>51</v>
      </c>
      <c r="H908" t="s">
        <v>2052</v>
      </c>
      <c r="I908" t="s">
        <v>75</v>
      </c>
      <c r="J908" s="2">
        <v>289.27999999999997</v>
      </c>
      <c r="K908">
        <v>9</v>
      </c>
      <c r="L908" t="s">
        <v>94</v>
      </c>
      <c r="M908">
        <v>3</v>
      </c>
      <c r="N908">
        <v>5</v>
      </c>
      <c r="O908">
        <v>1</v>
      </c>
      <c r="P908" t="s">
        <v>51</v>
      </c>
      <c r="Q908" t="s">
        <v>41</v>
      </c>
      <c r="R908">
        <v>2</v>
      </c>
      <c r="S908">
        <v>7</v>
      </c>
      <c r="T908" t="s">
        <v>56</v>
      </c>
      <c r="U908" t="s">
        <v>42</v>
      </c>
      <c r="V908" t="s">
        <v>58</v>
      </c>
      <c r="W908" s="1">
        <v>45472</v>
      </c>
      <c r="X908" t="b">
        <v>0</v>
      </c>
      <c r="Y908" t="b">
        <v>1</v>
      </c>
      <c r="Z908" t="s">
        <v>59</v>
      </c>
      <c r="AA908" t="s">
        <v>77</v>
      </c>
      <c r="AB908">
        <v>13</v>
      </c>
    </row>
    <row r="909" spans="1:28">
      <c r="A909" t="s">
        <v>2053</v>
      </c>
      <c r="B909">
        <v>27</v>
      </c>
      <c r="C909" t="s">
        <v>33</v>
      </c>
      <c r="D909" t="s">
        <v>51</v>
      </c>
      <c r="E909" t="s">
        <v>35</v>
      </c>
      <c r="F909" t="s">
        <v>52</v>
      </c>
      <c r="G909" t="s">
        <v>34</v>
      </c>
      <c r="H909" t="s">
        <v>2054</v>
      </c>
      <c r="I909" t="s">
        <v>143</v>
      </c>
      <c r="J909" s="2">
        <v>483.77</v>
      </c>
      <c r="K909">
        <v>5</v>
      </c>
      <c r="L909" t="s">
        <v>55</v>
      </c>
      <c r="M909">
        <v>1</v>
      </c>
      <c r="N909">
        <v>2</v>
      </c>
      <c r="O909">
        <v>0</v>
      </c>
      <c r="P909" t="s">
        <v>40</v>
      </c>
      <c r="Q909" t="s">
        <v>101</v>
      </c>
      <c r="R909">
        <v>0</v>
      </c>
      <c r="S909">
        <v>5</v>
      </c>
      <c r="T909" t="s">
        <v>40</v>
      </c>
      <c r="U909" t="s">
        <v>95</v>
      </c>
      <c r="V909" t="s">
        <v>43</v>
      </c>
      <c r="W909" s="1">
        <v>45493</v>
      </c>
      <c r="X909" t="b">
        <v>0</v>
      </c>
      <c r="Y909" t="b">
        <v>0</v>
      </c>
      <c r="Z909" t="s">
        <v>59</v>
      </c>
      <c r="AA909" t="s">
        <v>45</v>
      </c>
      <c r="AB909">
        <v>10</v>
      </c>
    </row>
    <row r="910" spans="1:28">
      <c r="A910" t="s">
        <v>2055</v>
      </c>
      <c r="B910">
        <v>45</v>
      </c>
      <c r="C910" t="s">
        <v>50</v>
      </c>
      <c r="D910" t="s">
        <v>34</v>
      </c>
      <c r="E910" t="s">
        <v>35</v>
      </c>
      <c r="F910" t="s">
        <v>52</v>
      </c>
      <c r="G910" t="s">
        <v>34</v>
      </c>
      <c r="H910" t="s">
        <v>2056</v>
      </c>
      <c r="I910" t="s">
        <v>84</v>
      </c>
      <c r="J910" s="2">
        <v>64.5</v>
      </c>
      <c r="K910">
        <v>7</v>
      </c>
      <c r="L910" t="s">
        <v>55</v>
      </c>
      <c r="M910">
        <v>3</v>
      </c>
      <c r="N910">
        <v>4</v>
      </c>
      <c r="O910">
        <v>1</v>
      </c>
      <c r="P910" t="s">
        <v>51</v>
      </c>
      <c r="Q910" t="s">
        <v>41</v>
      </c>
      <c r="R910">
        <v>1</v>
      </c>
      <c r="S910">
        <v>7</v>
      </c>
      <c r="T910" t="s">
        <v>51</v>
      </c>
      <c r="U910" t="s">
        <v>95</v>
      </c>
      <c r="V910" t="s">
        <v>43</v>
      </c>
      <c r="W910" s="1">
        <v>45501</v>
      </c>
      <c r="X910" t="b">
        <v>1</v>
      </c>
      <c r="Y910" t="b">
        <v>0</v>
      </c>
      <c r="Z910" t="s">
        <v>59</v>
      </c>
      <c r="AA910" t="s">
        <v>45</v>
      </c>
      <c r="AB910">
        <v>13</v>
      </c>
    </row>
    <row r="911" spans="1:28">
      <c r="A911" t="s">
        <v>2057</v>
      </c>
      <c r="B911">
        <v>43</v>
      </c>
      <c r="C911" t="s">
        <v>50</v>
      </c>
      <c r="D911" t="s">
        <v>51</v>
      </c>
      <c r="E911" t="s">
        <v>35</v>
      </c>
      <c r="F911" t="s">
        <v>36</v>
      </c>
      <c r="G911" t="s">
        <v>34</v>
      </c>
      <c r="H911" t="s">
        <v>2406</v>
      </c>
      <c r="I911" t="s">
        <v>199</v>
      </c>
      <c r="J911" s="2">
        <v>436.57</v>
      </c>
      <c r="K911">
        <v>4</v>
      </c>
      <c r="L911" t="s">
        <v>39</v>
      </c>
      <c r="M911">
        <v>5</v>
      </c>
      <c r="N911">
        <v>3</v>
      </c>
      <c r="O911">
        <v>1</v>
      </c>
      <c r="P911" t="s">
        <v>51</v>
      </c>
      <c r="Q911" t="s">
        <v>57</v>
      </c>
      <c r="R911">
        <v>2</v>
      </c>
      <c r="S911">
        <v>10</v>
      </c>
      <c r="T911" t="s">
        <v>69</v>
      </c>
      <c r="U911" t="s">
        <v>95</v>
      </c>
      <c r="V911" t="s">
        <v>71</v>
      </c>
      <c r="W911" s="1">
        <v>45324</v>
      </c>
      <c r="X911" t="b">
        <v>0</v>
      </c>
      <c r="Y911" t="b">
        <v>0</v>
      </c>
      <c r="Z911" t="s">
        <v>59</v>
      </c>
      <c r="AA911" t="s">
        <v>60</v>
      </c>
      <c r="AB911">
        <v>3</v>
      </c>
    </row>
    <row r="912" spans="1:28">
      <c r="A912" t="s">
        <v>2059</v>
      </c>
      <c r="B912">
        <v>35</v>
      </c>
      <c r="C912" t="s">
        <v>106</v>
      </c>
      <c r="D912" t="s">
        <v>34</v>
      </c>
      <c r="E912" t="s">
        <v>82</v>
      </c>
      <c r="F912" t="s">
        <v>52</v>
      </c>
      <c r="G912" t="s">
        <v>34</v>
      </c>
      <c r="H912" t="s">
        <v>2060</v>
      </c>
      <c r="I912" t="s">
        <v>54</v>
      </c>
      <c r="J912" s="2">
        <v>364.48</v>
      </c>
      <c r="K912">
        <v>2</v>
      </c>
      <c r="L912" t="s">
        <v>39</v>
      </c>
      <c r="M912">
        <v>3</v>
      </c>
      <c r="N912">
        <v>3</v>
      </c>
      <c r="O912">
        <v>0.2</v>
      </c>
      <c r="P912" t="s">
        <v>40</v>
      </c>
      <c r="Q912" t="s">
        <v>101</v>
      </c>
      <c r="R912">
        <v>2</v>
      </c>
      <c r="S912">
        <v>5</v>
      </c>
      <c r="T912" t="s">
        <v>40</v>
      </c>
      <c r="U912" t="s">
        <v>70</v>
      </c>
      <c r="V912" t="s">
        <v>76</v>
      </c>
      <c r="W912" s="1">
        <v>45561</v>
      </c>
      <c r="X912" t="b">
        <v>0</v>
      </c>
      <c r="Y912" t="b">
        <v>0</v>
      </c>
      <c r="Z912" t="s">
        <v>89</v>
      </c>
      <c r="AA912" t="s">
        <v>45</v>
      </c>
      <c r="AB912">
        <v>13</v>
      </c>
    </row>
    <row r="913" spans="1:28">
      <c r="A913" t="s">
        <v>2061</v>
      </c>
      <c r="B913">
        <v>33</v>
      </c>
      <c r="C913" t="s">
        <v>33</v>
      </c>
      <c r="D913" t="s">
        <v>34</v>
      </c>
      <c r="E913" t="s">
        <v>82</v>
      </c>
      <c r="F913" t="s">
        <v>66</v>
      </c>
      <c r="G913" t="s">
        <v>51</v>
      </c>
      <c r="H913" t="s">
        <v>2062</v>
      </c>
      <c r="I913" t="s">
        <v>235</v>
      </c>
      <c r="J913" s="2">
        <v>221.88</v>
      </c>
      <c r="K913">
        <v>12</v>
      </c>
      <c r="L913" t="s">
        <v>55</v>
      </c>
      <c r="M913">
        <v>1</v>
      </c>
      <c r="N913">
        <v>4</v>
      </c>
      <c r="O913">
        <v>2</v>
      </c>
      <c r="P913" t="s">
        <v>69</v>
      </c>
      <c r="Q913" t="s">
        <v>41</v>
      </c>
      <c r="R913">
        <v>1</v>
      </c>
      <c r="S913">
        <v>6</v>
      </c>
      <c r="T913" t="s">
        <v>40</v>
      </c>
      <c r="U913" t="s">
        <v>95</v>
      </c>
      <c r="V913" t="s">
        <v>76</v>
      </c>
      <c r="W913" s="1">
        <v>45386</v>
      </c>
      <c r="X913" t="b">
        <v>1</v>
      </c>
      <c r="Y913" t="b">
        <v>0</v>
      </c>
      <c r="Z913" t="s">
        <v>44</v>
      </c>
      <c r="AA913" t="s">
        <v>77</v>
      </c>
      <c r="AB913">
        <v>9</v>
      </c>
    </row>
    <row r="914" spans="1:28">
      <c r="A914" t="s">
        <v>2063</v>
      </c>
      <c r="B914">
        <v>31</v>
      </c>
      <c r="C914" t="s">
        <v>33</v>
      </c>
      <c r="D914" t="s">
        <v>34</v>
      </c>
      <c r="E914" t="s">
        <v>65</v>
      </c>
      <c r="F914" t="s">
        <v>52</v>
      </c>
      <c r="G914" t="s">
        <v>34</v>
      </c>
      <c r="H914" t="s">
        <v>2407</v>
      </c>
      <c r="I914" t="s">
        <v>229</v>
      </c>
      <c r="J914" s="2">
        <v>278.20999999999998</v>
      </c>
      <c r="K914">
        <v>3</v>
      </c>
      <c r="L914" t="s">
        <v>39</v>
      </c>
      <c r="M914">
        <v>5</v>
      </c>
      <c r="N914">
        <v>1</v>
      </c>
      <c r="O914">
        <v>2</v>
      </c>
      <c r="P914" t="s">
        <v>69</v>
      </c>
      <c r="Q914" t="s">
        <v>41</v>
      </c>
      <c r="R914">
        <v>0</v>
      </c>
      <c r="S914">
        <v>7</v>
      </c>
      <c r="T914" t="s">
        <v>69</v>
      </c>
      <c r="U914" t="s">
        <v>42</v>
      </c>
      <c r="V914" t="s">
        <v>76</v>
      </c>
      <c r="W914" s="1">
        <v>45587</v>
      </c>
      <c r="X914" t="b">
        <v>1</v>
      </c>
      <c r="Y914" t="b">
        <v>0</v>
      </c>
      <c r="Z914" t="s">
        <v>44</v>
      </c>
      <c r="AA914" t="s">
        <v>45</v>
      </c>
      <c r="AB914">
        <v>14</v>
      </c>
    </row>
    <row r="915" spans="1:28">
      <c r="A915" t="s">
        <v>2065</v>
      </c>
      <c r="B915">
        <v>31</v>
      </c>
      <c r="C915" t="s">
        <v>33</v>
      </c>
      <c r="D915" t="s">
        <v>51</v>
      </c>
      <c r="E915" t="s">
        <v>35</v>
      </c>
      <c r="F915" t="s">
        <v>66</v>
      </c>
      <c r="G915" t="s">
        <v>51</v>
      </c>
      <c r="H915" t="s">
        <v>2066</v>
      </c>
      <c r="I915" t="s">
        <v>180</v>
      </c>
      <c r="J915" s="2">
        <v>344.43</v>
      </c>
      <c r="K915">
        <v>7</v>
      </c>
      <c r="L915" t="s">
        <v>94</v>
      </c>
      <c r="M915">
        <v>3</v>
      </c>
      <c r="N915">
        <v>5</v>
      </c>
      <c r="O915">
        <v>0</v>
      </c>
      <c r="P915" t="s">
        <v>56</v>
      </c>
      <c r="Q915" t="s">
        <v>57</v>
      </c>
      <c r="R915">
        <v>2</v>
      </c>
      <c r="S915">
        <v>4</v>
      </c>
      <c r="T915" t="s">
        <v>56</v>
      </c>
      <c r="U915" t="s">
        <v>95</v>
      </c>
      <c r="V915" t="s">
        <v>43</v>
      </c>
      <c r="W915" s="1">
        <v>45485</v>
      </c>
      <c r="X915" t="b">
        <v>1</v>
      </c>
      <c r="Y915" t="b">
        <v>0</v>
      </c>
      <c r="Z915" t="s">
        <v>72</v>
      </c>
      <c r="AA915" t="s">
        <v>60</v>
      </c>
      <c r="AB915">
        <v>5</v>
      </c>
    </row>
    <row r="916" spans="1:28">
      <c r="A916" t="s">
        <v>2067</v>
      </c>
      <c r="B916">
        <v>26</v>
      </c>
      <c r="C916" t="s">
        <v>50</v>
      </c>
      <c r="D916" t="s">
        <v>51</v>
      </c>
      <c r="E916" t="s">
        <v>65</v>
      </c>
      <c r="F916" t="s">
        <v>66</v>
      </c>
      <c r="G916" t="s">
        <v>51</v>
      </c>
      <c r="H916" t="s">
        <v>2068</v>
      </c>
      <c r="I916" t="s">
        <v>153</v>
      </c>
      <c r="J916" s="2">
        <v>326.08</v>
      </c>
      <c r="K916">
        <v>11</v>
      </c>
      <c r="L916" t="s">
        <v>55</v>
      </c>
      <c r="M916">
        <v>4</v>
      </c>
      <c r="N916">
        <v>3</v>
      </c>
      <c r="O916">
        <v>2</v>
      </c>
      <c r="P916" t="s">
        <v>56</v>
      </c>
      <c r="Q916" t="s">
        <v>57</v>
      </c>
      <c r="R916">
        <v>2</v>
      </c>
      <c r="S916">
        <v>6</v>
      </c>
      <c r="T916" t="s">
        <v>56</v>
      </c>
      <c r="U916" t="s">
        <v>42</v>
      </c>
      <c r="V916" t="s">
        <v>58</v>
      </c>
      <c r="W916" s="1">
        <v>45473</v>
      </c>
      <c r="X916" t="b">
        <v>1</v>
      </c>
      <c r="Y916" t="b">
        <v>1</v>
      </c>
      <c r="Z916" t="s">
        <v>72</v>
      </c>
      <c r="AA916" t="s">
        <v>77</v>
      </c>
      <c r="AB916">
        <v>8</v>
      </c>
    </row>
    <row r="917" spans="1:28">
      <c r="A917" t="s">
        <v>2069</v>
      </c>
      <c r="B917">
        <v>49</v>
      </c>
      <c r="C917" t="s">
        <v>50</v>
      </c>
      <c r="D917" t="s">
        <v>51</v>
      </c>
      <c r="E917" t="s">
        <v>35</v>
      </c>
      <c r="F917" t="s">
        <v>36</v>
      </c>
      <c r="G917" t="s">
        <v>34</v>
      </c>
      <c r="H917" t="s">
        <v>344</v>
      </c>
      <c r="I917" t="s">
        <v>38</v>
      </c>
      <c r="J917" s="2">
        <v>437.97</v>
      </c>
      <c r="K917">
        <v>8</v>
      </c>
      <c r="L917" t="s">
        <v>94</v>
      </c>
      <c r="M917">
        <v>4</v>
      </c>
      <c r="N917">
        <v>2</v>
      </c>
      <c r="O917">
        <v>0</v>
      </c>
      <c r="P917" t="s">
        <v>51</v>
      </c>
      <c r="Q917" t="s">
        <v>57</v>
      </c>
      <c r="R917">
        <v>0</v>
      </c>
      <c r="S917">
        <v>7</v>
      </c>
      <c r="T917" t="s">
        <v>56</v>
      </c>
      <c r="U917" t="s">
        <v>42</v>
      </c>
      <c r="V917" t="s">
        <v>71</v>
      </c>
      <c r="W917" s="1">
        <v>45384</v>
      </c>
      <c r="X917" t="b">
        <v>1</v>
      </c>
      <c r="Y917" t="b">
        <v>1</v>
      </c>
      <c r="Z917" t="s">
        <v>44</v>
      </c>
      <c r="AA917" t="s">
        <v>77</v>
      </c>
      <c r="AB917">
        <v>12</v>
      </c>
    </row>
    <row r="918" spans="1:28">
      <c r="A918" t="s">
        <v>2070</v>
      </c>
      <c r="B918">
        <v>23</v>
      </c>
      <c r="C918" t="s">
        <v>50</v>
      </c>
      <c r="D918" t="s">
        <v>51</v>
      </c>
      <c r="E918" t="s">
        <v>65</v>
      </c>
      <c r="F918" t="s">
        <v>66</v>
      </c>
      <c r="G918" t="s">
        <v>51</v>
      </c>
      <c r="H918" t="s">
        <v>2315</v>
      </c>
      <c r="I918" t="s">
        <v>143</v>
      </c>
      <c r="J918" s="2">
        <v>391.87</v>
      </c>
      <c r="K918">
        <v>3</v>
      </c>
      <c r="L918" t="s">
        <v>94</v>
      </c>
      <c r="M918">
        <v>1</v>
      </c>
      <c r="N918">
        <v>4</v>
      </c>
      <c r="O918">
        <v>2</v>
      </c>
      <c r="P918" t="s">
        <v>51</v>
      </c>
      <c r="Q918" t="s">
        <v>101</v>
      </c>
      <c r="R918">
        <v>0</v>
      </c>
      <c r="S918">
        <v>2</v>
      </c>
      <c r="T918" t="s">
        <v>56</v>
      </c>
      <c r="U918" t="s">
        <v>95</v>
      </c>
      <c r="V918" t="s">
        <v>102</v>
      </c>
      <c r="W918" s="1">
        <v>45338</v>
      </c>
      <c r="X918" t="b">
        <v>1</v>
      </c>
      <c r="Y918" t="b">
        <v>0</v>
      </c>
      <c r="Z918" t="s">
        <v>89</v>
      </c>
      <c r="AA918" t="s">
        <v>60</v>
      </c>
      <c r="AB918">
        <v>6</v>
      </c>
    </row>
    <row r="919" spans="1:28">
      <c r="A919" t="s">
        <v>2071</v>
      </c>
      <c r="B919">
        <v>42</v>
      </c>
      <c r="C919" t="s">
        <v>50</v>
      </c>
      <c r="D919" t="s">
        <v>51</v>
      </c>
      <c r="E919" t="s">
        <v>65</v>
      </c>
      <c r="F919" t="s">
        <v>66</v>
      </c>
      <c r="G919" t="s">
        <v>34</v>
      </c>
      <c r="H919" t="s">
        <v>2408</v>
      </c>
      <c r="I919" t="s">
        <v>242</v>
      </c>
      <c r="J919" s="2">
        <v>333.41</v>
      </c>
      <c r="K919">
        <v>3</v>
      </c>
      <c r="L919" t="s">
        <v>94</v>
      </c>
      <c r="M919">
        <v>2</v>
      </c>
      <c r="N919">
        <v>5</v>
      </c>
      <c r="O919">
        <v>1</v>
      </c>
      <c r="P919" t="s">
        <v>51</v>
      </c>
      <c r="Q919" t="s">
        <v>101</v>
      </c>
      <c r="R919">
        <v>1</v>
      </c>
      <c r="S919">
        <v>6</v>
      </c>
      <c r="T919" t="s">
        <v>40</v>
      </c>
      <c r="U919" t="s">
        <v>42</v>
      </c>
      <c r="V919" t="s">
        <v>58</v>
      </c>
      <c r="W919" s="1">
        <v>45322</v>
      </c>
      <c r="X919" t="b">
        <v>0</v>
      </c>
      <c r="Y919" t="b">
        <v>0</v>
      </c>
      <c r="Z919" t="s">
        <v>89</v>
      </c>
      <c r="AA919" t="s">
        <v>60</v>
      </c>
      <c r="AB919">
        <v>3</v>
      </c>
    </row>
    <row r="920" spans="1:28">
      <c r="A920" t="s">
        <v>2073</v>
      </c>
      <c r="B920">
        <v>32</v>
      </c>
      <c r="C920" t="s">
        <v>50</v>
      </c>
      <c r="D920" t="s">
        <v>34</v>
      </c>
      <c r="E920" t="s">
        <v>65</v>
      </c>
      <c r="F920" t="s">
        <v>36</v>
      </c>
      <c r="G920" t="s">
        <v>51</v>
      </c>
      <c r="H920" t="s">
        <v>2409</v>
      </c>
      <c r="I920" t="s">
        <v>199</v>
      </c>
      <c r="J920" s="2">
        <v>251.54</v>
      </c>
      <c r="K920">
        <v>9</v>
      </c>
      <c r="L920" t="s">
        <v>94</v>
      </c>
      <c r="M920">
        <v>5</v>
      </c>
      <c r="N920">
        <v>1</v>
      </c>
      <c r="O920">
        <v>0</v>
      </c>
      <c r="P920" t="s">
        <v>51</v>
      </c>
      <c r="Q920" t="s">
        <v>57</v>
      </c>
      <c r="R920">
        <v>2</v>
      </c>
      <c r="S920">
        <v>10</v>
      </c>
      <c r="T920" t="s">
        <v>69</v>
      </c>
      <c r="U920" t="s">
        <v>95</v>
      </c>
      <c r="V920" t="s">
        <v>58</v>
      </c>
      <c r="W920" s="1">
        <v>45574</v>
      </c>
      <c r="X920" t="b">
        <v>1</v>
      </c>
      <c r="Y920" t="b">
        <v>0</v>
      </c>
      <c r="Z920" t="s">
        <v>72</v>
      </c>
      <c r="AA920" t="s">
        <v>45</v>
      </c>
      <c r="AB920">
        <v>1</v>
      </c>
    </row>
    <row r="921" spans="1:28">
      <c r="A921" t="s">
        <v>2075</v>
      </c>
      <c r="B921">
        <v>37</v>
      </c>
      <c r="C921" t="s">
        <v>33</v>
      </c>
      <c r="D921" t="s">
        <v>34</v>
      </c>
      <c r="E921" t="s">
        <v>65</v>
      </c>
      <c r="F921" t="s">
        <v>52</v>
      </c>
      <c r="G921" t="s">
        <v>34</v>
      </c>
      <c r="H921" t="s">
        <v>2076</v>
      </c>
      <c r="I921" t="s">
        <v>147</v>
      </c>
      <c r="J921" s="2">
        <v>292.08</v>
      </c>
      <c r="K921">
        <v>7</v>
      </c>
      <c r="L921" t="s">
        <v>55</v>
      </c>
      <c r="M921">
        <v>3</v>
      </c>
      <c r="N921">
        <v>2</v>
      </c>
      <c r="O921">
        <v>1</v>
      </c>
      <c r="P921" t="s">
        <v>51</v>
      </c>
      <c r="Q921" t="s">
        <v>41</v>
      </c>
      <c r="R921">
        <v>2</v>
      </c>
      <c r="S921">
        <v>9</v>
      </c>
      <c r="T921" t="s">
        <v>69</v>
      </c>
      <c r="U921" t="s">
        <v>70</v>
      </c>
      <c r="V921" t="s">
        <v>43</v>
      </c>
      <c r="W921" s="1">
        <v>45391</v>
      </c>
      <c r="X921" t="b">
        <v>0</v>
      </c>
      <c r="Y921" t="b">
        <v>0</v>
      </c>
      <c r="Z921" t="s">
        <v>44</v>
      </c>
      <c r="AA921" t="s">
        <v>60</v>
      </c>
      <c r="AB921">
        <v>11</v>
      </c>
    </row>
    <row r="922" spans="1:28">
      <c r="A922" t="s">
        <v>2077</v>
      </c>
      <c r="B922">
        <v>25</v>
      </c>
      <c r="C922" t="s">
        <v>264</v>
      </c>
      <c r="D922" t="s">
        <v>51</v>
      </c>
      <c r="E922" t="s">
        <v>82</v>
      </c>
      <c r="F922" t="s">
        <v>36</v>
      </c>
      <c r="G922" t="s">
        <v>34</v>
      </c>
      <c r="H922" t="s">
        <v>2078</v>
      </c>
      <c r="I922" t="s">
        <v>242</v>
      </c>
      <c r="J922" s="2">
        <v>204.29</v>
      </c>
      <c r="K922">
        <v>11</v>
      </c>
      <c r="L922" t="s">
        <v>55</v>
      </c>
      <c r="M922">
        <v>5</v>
      </c>
      <c r="N922">
        <v>4</v>
      </c>
      <c r="O922">
        <v>0</v>
      </c>
      <c r="P922" t="s">
        <v>40</v>
      </c>
      <c r="Q922" t="s">
        <v>57</v>
      </c>
      <c r="R922">
        <v>2</v>
      </c>
      <c r="S922">
        <v>1</v>
      </c>
      <c r="T922" t="s">
        <v>56</v>
      </c>
      <c r="U922" t="s">
        <v>70</v>
      </c>
      <c r="V922" t="s">
        <v>58</v>
      </c>
      <c r="W922" s="1">
        <v>45428</v>
      </c>
      <c r="X922" t="b">
        <v>0</v>
      </c>
      <c r="Y922" t="b">
        <v>0</v>
      </c>
      <c r="Z922" t="s">
        <v>72</v>
      </c>
      <c r="AA922" t="s">
        <v>77</v>
      </c>
      <c r="AB922">
        <v>12</v>
      </c>
    </row>
    <row r="923" spans="1:28">
      <c r="A923" t="s">
        <v>2079</v>
      </c>
      <c r="B923">
        <v>49</v>
      </c>
      <c r="C923" t="s">
        <v>50</v>
      </c>
      <c r="D923" t="s">
        <v>34</v>
      </c>
      <c r="E923" t="s">
        <v>65</v>
      </c>
      <c r="F923" t="s">
        <v>52</v>
      </c>
      <c r="G923" t="s">
        <v>34</v>
      </c>
      <c r="H923" t="s">
        <v>2080</v>
      </c>
      <c r="I923" t="s">
        <v>143</v>
      </c>
      <c r="J923" s="2">
        <v>258.68</v>
      </c>
      <c r="K923">
        <v>4</v>
      </c>
      <c r="L923" t="s">
        <v>94</v>
      </c>
      <c r="M923">
        <v>4</v>
      </c>
      <c r="N923">
        <v>2</v>
      </c>
      <c r="O923">
        <v>1</v>
      </c>
      <c r="P923" t="s">
        <v>69</v>
      </c>
      <c r="Q923" t="s">
        <v>41</v>
      </c>
      <c r="R923">
        <v>0</v>
      </c>
      <c r="S923">
        <v>9</v>
      </c>
      <c r="T923" t="s">
        <v>40</v>
      </c>
      <c r="U923" t="s">
        <v>95</v>
      </c>
      <c r="V923" t="s">
        <v>43</v>
      </c>
      <c r="W923" s="1">
        <v>45587</v>
      </c>
      <c r="X923" t="b">
        <v>0</v>
      </c>
      <c r="Y923" t="b">
        <v>0</v>
      </c>
      <c r="Z923" t="s">
        <v>72</v>
      </c>
      <c r="AA923" t="s">
        <v>45</v>
      </c>
      <c r="AB923">
        <v>9</v>
      </c>
    </row>
    <row r="924" spans="1:28">
      <c r="A924" t="s">
        <v>2081</v>
      </c>
      <c r="B924">
        <v>26</v>
      </c>
      <c r="C924" t="s">
        <v>50</v>
      </c>
      <c r="D924" t="s">
        <v>34</v>
      </c>
      <c r="E924" t="s">
        <v>35</v>
      </c>
      <c r="F924" t="s">
        <v>36</v>
      </c>
      <c r="G924" t="s">
        <v>51</v>
      </c>
      <c r="H924" t="s">
        <v>2082</v>
      </c>
      <c r="I924" t="s">
        <v>38</v>
      </c>
      <c r="J924" s="2">
        <v>258.02</v>
      </c>
      <c r="K924">
        <v>2</v>
      </c>
      <c r="L924" t="s">
        <v>55</v>
      </c>
      <c r="M924">
        <v>3</v>
      </c>
      <c r="N924">
        <v>2</v>
      </c>
      <c r="O924">
        <v>1</v>
      </c>
      <c r="P924" t="s">
        <v>69</v>
      </c>
      <c r="Q924" t="s">
        <v>101</v>
      </c>
      <c r="R924">
        <v>2</v>
      </c>
      <c r="S924">
        <v>4</v>
      </c>
      <c r="T924" t="s">
        <v>51</v>
      </c>
      <c r="U924" t="s">
        <v>95</v>
      </c>
      <c r="V924" t="s">
        <v>58</v>
      </c>
      <c r="W924" s="1">
        <v>45604</v>
      </c>
      <c r="X924" t="b">
        <v>1</v>
      </c>
      <c r="Y924" t="b">
        <v>1</v>
      </c>
      <c r="Z924" t="s">
        <v>44</v>
      </c>
      <c r="AA924" t="s">
        <v>77</v>
      </c>
      <c r="AB924">
        <v>13</v>
      </c>
    </row>
    <row r="925" spans="1:28">
      <c r="A925" t="s">
        <v>2083</v>
      </c>
      <c r="B925">
        <v>29</v>
      </c>
      <c r="C925" t="s">
        <v>33</v>
      </c>
      <c r="D925" t="s">
        <v>51</v>
      </c>
      <c r="E925" t="s">
        <v>65</v>
      </c>
      <c r="F925" t="s">
        <v>66</v>
      </c>
      <c r="G925" t="s">
        <v>34</v>
      </c>
      <c r="H925" t="s">
        <v>818</v>
      </c>
      <c r="I925" t="s">
        <v>38</v>
      </c>
      <c r="J925" s="2">
        <v>181.87</v>
      </c>
      <c r="K925">
        <v>12</v>
      </c>
      <c r="L925" t="s">
        <v>39</v>
      </c>
      <c r="M925">
        <v>4</v>
      </c>
      <c r="N925">
        <v>1</v>
      </c>
      <c r="O925">
        <v>1</v>
      </c>
      <c r="P925" t="s">
        <v>56</v>
      </c>
      <c r="Q925" t="s">
        <v>57</v>
      </c>
      <c r="R925">
        <v>2</v>
      </c>
      <c r="S925">
        <v>4</v>
      </c>
      <c r="T925" t="s">
        <v>51</v>
      </c>
      <c r="U925" t="s">
        <v>95</v>
      </c>
      <c r="V925" t="s">
        <v>71</v>
      </c>
      <c r="W925" s="1">
        <v>45536</v>
      </c>
      <c r="X925" t="b">
        <v>0</v>
      </c>
      <c r="Y925" t="b">
        <v>1</v>
      </c>
      <c r="Z925" t="s">
        <v>59</v>
      </c>
      <c r="AA925" t="s">
        <v>45</v>
      </c>
      <c r="AB925">
        <v>11</v>
      </c>
    </row>
    <row r="926" spans="1:28">
      <c r="A926" t="s">
        <v>2084</v>
      </c>
      <c r="B926">
        <v>26</v>
      </c>
      <c r="C926" t="s">
        <v>50</v>
      </c>
      <c r="D926" t="s">
        <v>51</v>
      </c>
      <c r="E926" t="s">
        <v>92</v>
      </c>
      <c r="F926" t="s">
        <v>52</v>
      </c>
      <c r="G926" t="s">
        <v>34</v>
      </c>
      <c r="H926" t="s">
        <v>2085</v>
      </c>
      <c r="I926" t="s">
        <v>199</v>
      </c>
      <c r="J926" s="2">
        <v>81.180000000000007</v>
      </c>
      <c r="K926">
        <v>8</v>
      </c>
      <c r="L926" t="s">
        <v>94</v>
      </c>
      <c r="M926">
        <v>4</v>
      </c>
      <c r="N926">
        <v>5</v>
      </c>
      <c r="O926">
        <v>1</v>
      </c>
      <c r="P926" t="s">
        <v>69</v>
      </c>
      <c r="Q926" t="s">
        <v>57</v>
      </c>
      <c r="R926">
        <v>2</v>
      </c>
      <c r="S926">
        <v>3</v>
      </c>
      <c r="T926" t="s">
        <v>51</v>
      </c>
      <c r="U926" t="s">
        <v>42</v>
      </c>
      <c r="V926" t="s">
        <v>102</v>
      </c>
      <c r="W926" s="1">
        <v>45429</v>
      </c>
      <c r="X926" t="b">
        <v>0</v>
      </c>
      <c r="Y926" t="b">
        <v>0</v>
      </c>
      <c r="Z926" t="s">
        <v>72</v>
      </c>
      <c r="AA926" t="s">
        <v>77</v>
      </c>
      <c r="AB926">
        <v>3</v>
      </c>
    </row>
    <row r="927" spans="1:28">
      <c r="A927" t="s">
        <v>2086</v>
      </c>
      <c r="B927">
        <v>23</v>
      </c>
      <c r="C927" t="s">
        <v>33</v>
      </c>
      <c r="D927" t="s">
        <v>51</v>
      </c>
      <c r="E927" t="s">
        <v>92</v>
      </c>
      <c r="F927" t="s">
        <v>66</v>
      </c>
      <c r="G927" t="s">
        <v>51</v>
      </c>
      <c r="H927" t="s">
        <v>2087</v>
      </c>
      <c r="I927" t="s">
        <v>98</v>
      </c>
      <c r="J927" s="2">
        <v>382.94</v>
      </c>
      <c r="K927">
        <v>8</v>
      </c>
      <c r="L927" t="s">
        <v>55</v>
      </c>
      <c r="M927">
        <v>1</v>
      </c>
      <c r="N927">
        <v>3</v>
      </c>
      <c r="O927">
        <v>0</v>
      </c>
      <c r="P927" t="s">
        <v>56</v>
      </c>
      <c r="Q927" t="s">
        <v>57</v>
      </c>
      <c r="R927">
        <v>0</v>
      </c>
      <c r="S927">
        <v>6</v>
      </c>
      <c r="T927" t="s">
        <v>40</v>
      </c>
      <c r="U927" t="s">
        <v>95</v>
      </c>
      <c r="V927" t="s">
        <v>71</v>
      </c>
      <c r="W927" s="1">
        <v>45431</v>
      </c>
      <c r="X927" t="b">
        <v>0</v>
      </c>
      <c r="Y927" t="b">
        <v>0</v>
      </c>
      <c r="Z927" t="s">
        <v>44</v>
      </c>
      <c r="AA927" t="s">
        <v>60</v>
      </c>
      <c r="AB927">
        <v>3</v>
      </c>
    </row>
    <row r="928" spans="1:28">
      <c r="A928" t="s">
        <v>2088</v>
      </c>
      <c r="B928">
        <v>47</v>
      </c>
      <c r="C928" t="s">
        <v>33</v>
      </c>
      <c r="D928" t="s">
        <v>51</v>
      </c>
      <c r="E928" t="s">
        <v>65</v>
      </c>
      <c r="F928" t="s">
        <v>36</v>
      </c>
      <c r="G928" t="s">
        <v>51</v>
      </c>
      <c r="H928" t="s">
        <v>2089</v>
      </c>
      <c r="I928" t="s">
        <v>235</v>
      </c>
      <c r="J928" s="2">
        <v>402.82</v>
      </c>
      <c r="K928">
        <v>7</v>
      </c>
      <c r="L928" t="s">
        <v>94</v>
      </c>
      <c r="M928">
        <v>4</v>
      </c>
      <c r="N928">
        <v>5</v>
      </c>
      <c r="O928">
        <v>0</v>
      </c>
      <c r="P928" t="s">
        <v>40</v>
      </c>
      <c r="Q928" t="s">
        <v>41</v>
      </c>
      <c r="R928">
        <v>2</v>
      </c>
      <c r="S928">
        <v>2</v>
      </c>
      <c r="T928" t="s">
        <v>69</v>
      </c>
      <c r="U928" t="s">
        <v>70</v>
      </c>
      <c r="V928" t="s">
        <v>71</v>
      </c>
      <c r="W928" s="1">
        <v>45316</v>
      </c>
      <c r="X928" t="b">
        <v>0</v>
      </c>
      <c r="Y928" t="b">
        <v>0</v>
      </c>
      <c r="Z928" t="s">
        <v>59</v>
      </c>
      <c r="AA928" t="s">
        <v>45</v>
      </c>
      <c r="AB928">
        <v>13</v>
      </c>
    </row>
    <row r="929" spans="1:28">
      <c r="A929" t="s">
        <v>2090</v>
      </c>
      <c r="B929">
        <v>30</v>
      </c>
      <c r="C929" t="s">
        <v>50</v>
      </c>
      <c r="D929" t="s">
        <v>51</v>
      </c>
      <c r="E929" t="s">
        <v>65</v>
      </c>
      <c r="F929" t="s">
        <v>36</v>
      </c>
      <c r="G929" t="s">
        <v>34</v>
      </c>
      <c r="H929" t="s">
        <v>2410</v>
      </c>
      <c r="I929" t="s">
        <v>38</v>
      </c>
      <c r="J929" s="2">
        <v>497.76</v>
      </c>
      <c r="K929">
        <v>2</v>
      </c>
      <c r="L929" t="s">
        <v>55</v>
      </c>
      <c r="M929">
        <v>1</v>
      </c>
      <c r="N929">
        <v>2</v>
      </c>
      <c r="O929">
        <v>2</v>
      </c>
      <c r="P929" t="s">
        <v>51</v>
      </c>
      <c r="Q929" t="s">
        <v>101</v>
      </c>
      <c r="R929">
        <v>2</v>
      </c>
      <c r="S929">
        <v>3</v>
      </c>
      <c r="T929" t="s">
        <v>56</v>
      </c>
      <c r="U929" t="s">
        <v>70</v>
      </c>
      <c r="V929" t="s">
        <v>43</v>
      </c>
      <c r="W929" s="1">
        <v>45359</v>
      </c>
      <c r="X929" t="b">
        <v>1</v>
      </c>
      <c r="Y929" t="b">
        <v>1</v>
      </c>
      <c r="Z929" t="s">
        <v>59</v>
      </c>
      <c r="AA929" t="s">
        <v>45</v>
      </c>
      <c r="AB929">
        <v>4</v>
      </c>
    </row>
    <row r="930" spans="1:28">
      <c r="A930" t="s">
        <v>2092</v>
      </c>
      <c r="B930">
        <v>26</v>
      </c>
      <c r="C930" t="s">
        <v>33</v>
      </c>
      <c r="D930" t="s">
        <v>51</v>
      </c>
      <c r="E930" t="s">
        <v>65</v>
      </c>
      <c r="F930" t="s">
        <v>52</v>
      </c>
      <c r="G930" t="s">
        <v>51</v>
      </c>
      <c r="H930" t="s">
        <v>2093</v>
      </c>
      <c r="I930" t="s">
        <v>84</v>
      </c>
      <c r="J930" s="2">
        <v>227.58</v>
      </c>
      <c r="K930">
        <v>5</v>
      </c>
      <c r="L930" t="s">
        <v>94</v>
      </c>
      <c r="M930">
        <v>4</v>
      </c>
      <c r="N930">
        <v>2</v>
      </c>
      <c r="O930">
        <v>1</v>
      </c>
      <c r="P930" t="s">
        <v>51</v>
      </c>
      <c r="Q930" t="s">
        <v>57</v>
      </c>
      <c r="R930">
        <v>0</v>
      </c>
      <c r="S930">
        <v>1</v>
      </c>
      <c r="T930" t="s">
        <v>69</v>
      </c>
      <c r="U930" t="s">
        <v>42</v>
      </c>
      <c r="V930" t="s">
        <v>43</v>
      </c>
      <c r="W930" s="1">
        <v>45486</v>
      </c>
      <c r="X930" t="b">
        <v>1</v>
      </c>
      <c r="Y930" t="b">
        <v>0</v>
      </c>
      <c r="Z930" t="s">
        <v>44</v>
      </c>
      <c r="AA930" t="s">
        <v>45</v>
      </c>
      <c r="AB930">
        <v>11</v>
      </c>
    </row>
    <row r="931" spans="1:28">
      <c r="A931" t="s">
        <v>2094</v>
      </c>
      <c r="B931">
        <v>35</v>
      </c>
      <c r="C931" t="s">
        <v>33</v>
      </c>
      <c r="D931" t="s">
        <v>51</v>
      </c>
      <c r="E931" t="s">
        <v>92</v>
      </c>
      <c r="F931" t="s">
        <v>36</v>
      </c>
      <c r="G931" t="s">
        <v>51</v>
      </c>
      <c r="H931" t="s">
        <v>2095</v>
      </c>
      <c r="I931" t="s">
        <v>147</v>
      </c>
      <c r="J931" s="2">
        <v>263.57</v>
      </c>
      <c r="K931">
        <v>2</v>
      </c>
      <c r="L931" t="s">
        <v>39</v>
      </c>
      <c r="M931">
        <v>2</v>
      </c>
      <c r="N931">
        <v>3</v>
      </c>
      <c r="O931">
        <v>0</v>
      </c>
      <c r="P931" t="s">
        <v>51</v>
      </c>
      <c r="Q931" t="s">
        <v>41</v>
      </c>
      <c r="R931">
        <v>1</v>
      </c>
      <c r="S931">
        <v>9</v>
      </c>
      <c r="T931" t="s">
        <v>40</v>
      </c>
      <c r="U931" t="s">
        <v>42</v>
      </c>
      <c r="V931" t="s">
        <v>58</v>
      </c>
      <c r="W931" s="1">
        <v>45617</v>
      </c>
      <c r="X931" t="b">
        <v>1</v>
      </c>
      <c r="Y931" t="b">
        <v>1</v>
      </c>
      <c r="Z931" t="s">
        <v>72</v>
      </c>
      <c r="AA931" t="s">
        <v>77</v>
      </c>
      <c r="AB931">
        <v>8</v>
      </c>
    </row>
    <row r="932" spans="1:28">
      <c r="A932" t="s">
        <v>2096</v>
      </c>
      <c r="B932">
        <v>40</v>
      </c>
      <c r="C932" t="s">
        <v>50</v>
      </c>
      <c r="D932" t="s">
        <v>51</v>
      </c>
      <c r="E932" t="s">
        <v>35</v>
      </c>
      <c r="F932" t="s">
        <v>52</v>
      </c>
      <c r="G932" t="s">
        <v>51</v>
      </c>
      <c r="H932" t="s">
        <v>2097</v>
      </c>
      <c r="I932" t="s">
        <v>153</v>
      </c>
      <c r="J932" s="2">
        <v>422.09</v>
      </c>
      <c r="K932">
        <v>3</v>
      </c>
      <c r="L932" t="s">
        <v>55</v>
      </c>
      <c r="M932">
        <v>4</v>
      </c>
      <c r="N932">
        <v>1</v>
      </c>
      <c r="O932">
        <v>1</v>
      </c>
      <c r="P932" t="s">
        <v>51</v>
      </c>
      <c r="Q932" t="s">
        <v>57</v>
      </c>
      <c r="R932">
        <v>0</v>
      </c>
      <c r="S932">
        <v>9</v>
      </c>
      <c r="T932" t="s">
        <v>56</v>
      </c>
      <c r="U932" t="s">
        <v>42</v>
      </c>
      <c r="V932" t="s">
        <v>58</v>
      </c>
      <c r="W932" s="1">
        <v>45382</v>
      </c>
      <c r="X932" t="b">
        <v>1</v>
      </c>
      <c r="Y932" t="b">
        <v>0</v>
      </c>
      <c r="Z932" t="s">
        <v>44</v>
      </c>
      <c r="AA932" t="s">
        <v>60</v>
      </c>
      <c r="AB932">
        <v>7</v>
      </c>
    </row>
    <row r="933" spans="1:28">
      <c r="A933" t="s">
        <v>2098</v>
      </c>
      <c r="B933">
        <v>35</v>
      </c>
      <c r="C933" t="s">
        <v>50</v>
      </c>
      <c r="D933" t="s">
        <v>34</v>
      </c>
      <c r="E933" t="s">
        <v>35</v>
      </c>
      <c r="F933" t="s">
        <v>66</v>
      </c>
      <c r="G933" t="s">
        <v>51</v>
      </c>
      <c r="H933" t="s">
        <v>2099</v>
      </c>
      <c r="I933" t="s">
        <v>38</v>
      </c>
      <c r="J933" s="2">
        <v>411.83</v>
      </c>
      <c r="K933">
        <v>2</v>
      </c>
      <c r="L933" t="s">
        <v>55</v>
      </c>
      <c r="M933">
        <v>2</v>
      </c>
      <c r="N933">
        <v>3</v>
      </c>
      <c r="O933">
        <v>2</v>
      </c>
      <c r="P933" t="s">
        <v>51</v>
      </c>
      <c r="Q933" t="s">
        <v>57</v>
      </c>
      <c r="R933">
        <v>1</v>
      </c>
      <c r="S933">
        <v>3</v>
      </c>
      <c r="T933" t="s">
        <v>56</v>
      </c>
      <c r="U933" t="s">
        <v>42</v>
      </c>
      <c r="V933" t="s">
        <v>58</v>
      </c>
      <c r="W933" s="1">
        <v>45410</v>
      </c>
      <c r="X933" t="b">
        <v>1</v>
      </c>
      <c r="Y933" t="b">
        <v>1</v>
      </c>
      <c r="Z933" t="s">
        <v>72</v>
      </c>
      <c r="AA933" t="s">
        <v>60</v>
      </c>
      <c r="AB933">
        <v>10</v>
      </c>
    </row>
    <row r="934" spans="1:28">
      <c r="A934" t="s">
        <v>2100</v>
      </c>
      <c r="B934">
        <v>21</v>
      </c>
      <c r="C934" t="s">
        <v>50</v>
      </c>
      <c r="D934" t="s">
        <v>34</v>
      </c>
      <c r="E934" t="s">
        <v>65</v>
      </c>
      <c r="F934" t="s">
        <v>66</v>
      </c>
      <c r="G934" t="s">
        <v>34</v>
      </c>
      <c r="H934" t="s">
        <v>2411</v>
      </c>
      <c r="I934" t="s">
        <v>150</v>
      </c>
      <c r="J934" s="2">
        <v>242.65</v>
      </c>
      <c r="K934">
        <v>3</v>
      </c>
      <c r="L934" t="s">
        <v>39</v>
      </c>
      <c r="M934">
        <v>5</v>
      </c>
      <c r="N934">
        <v>3</v>
      </c>
      <c r="O934">
        <v>0.2</v>
      </c>
      <c r="P934" t="s">
        <v>40</v>
      </c>
      <c r="Q934" t="s">
        <v>101</v>
      </c>
      <c r="R934">
        <v>2</v>
      </c>
      <c r="S934">
        <v>8</v>
      </c>
      <c r="T934" t="s">
        <v>40</v>
      </c>
      <c r="U934" t="s">
        <v>42</v>
      </c>
      <c r="V934" t="s">
        <v>102</v>
      </c>
      <c r="W934" s="1">
        <v>45482</v>
      </c>
      <c r="X934" t="b">
        <v>0</v>
      </c>
      <c r="Y934" t="b">
        <v>1</v>
      </c>
      <c r="Z934" t="s">
        <v>89</v>
      </c>
      <c r="AA934" t="s">
        <v>45</v>
      </c>
      <c r="AB934">
        <v>9</v>
      </c>
    </row>
    <row r="935" spans="1:28">
      <c r="A935" t="s">
        <v>2102</v>
      </c>
      <c r="B935">
        <v>41</v>
      </c>
      <c r="C935" t="s">
        <v>50</v>
      </c>
      <c r="D935" t="s">
        <v>34</v>
      </c>
      <c r="E935" t="s">
        <v>82</v>
      </c>
      <c r="F935" t="s">
        <v>66</v>
      </c>
      <c r="G935" t="s">
        <v>34</v>
      </c>
      <c r="H935" t="s">
        <v>2103</v>
      </c>
      <c r="I935" t="s">
        <v>108</v>
      </c>
      <c r="J935" s="2">
        <v>298.93</v>
      </c>
      <c r="K935">
        <v>6</v>
      </c>
      <c r="L935" t="s">
        <v>39</v>
      </c>
      <c r="M935">
        <v>5</v>
      </c>
      <c r="N935">
        <v>2</v>
      </c>
      <c r="O935">
        <v>0.2</v>
      </c>
      <c r="P935" t="s">
        <v>40</v>
      </c>
      <c r="Q935" t="s">
        <v>41</v>
      </c>
      <c r="R935">
        <v>2</v>
      </c>
      <c r="S935">
        <v>1</v>
      </c>
      <c r="T935" t="s">
        <v>40</v>
      </c>
      <c r="U935" t="s">
        <v>42</v>
      </c>
      <c r="V935" t="s">
        <v>58</v>
      </c>
      <c r="W935" s="1">
        <v>45557</v>
      </c>
      <c r="X935" t="b">
        <v>1</v>
      </c>
      <c r="Y935" t="b">
        <v>1</v>
      </c>
      <c r="Z935" t="s">
        <v>89</v>
      </c>
      <c r="AA935" t="s">
        <v>77</v>
      </c>
      <c r="AB935">
        <v>2</v>
      </c>
    </row>
    <row r="936" spans="1:28">
      <c r="A936" t="s">
        <v>2104</v>
      </c>
      <c r="B936">
        <v>44</v>
      </c>
      <c r="C936" t="s">
        <v>33</v>
      </c>
      <c r="D936" t="s">
        <v>51</v>
      </c>
      <c r="E936" t="s">
        <v>65</v>
      </c>
      <c r="F936" t="s">
        <v>36</v>
      </c>
      <c r="G936" t="s">
        <v>51</v>
      </c>
      <c r="H936" t="s">
        <v>606</v>
      </c>
      <c r="I936" t="s">
        <v>112</v>
      </c>
      <c r="J936" s="2">
        <v>191.21</v>
      </c>
      <c r="K936">
        <v>7</v>
      </c>
      <c r="L936" t="s">
        <v>39</v>
      </c>
      <c r="M936">
        <v>5</v>
      </c>
      <c r="N936">
        <v>4</v>
      </c>
      <c r="O936">
        <v>1</v>
      </c>
      <c r="P936" t="s">
        <v>69</v>
      </c>
      <c r="Q936" t="s">
        <v>101</v>
      </c>
      <c r="R936">
        <v>2</v>
      </c>
      <c r="S936">
        <v>6</v>
      </c>
      <c r="T936" t="s">
        <v>69</v>
      </c>
      <c r="U936" t="s">
        <v>70</v>
      </c>
      <c r="V936" t="s">
        <v>71</v>
      </c>
      <c r="W936" s="1">
        <v>45386</v>
      </c>
      <c r="X936" t="b">
        <v>0</v>
      </c>
      <c r="Y936" t="b">
        <v>0</v>
      </c>
      <c r="Z936" t="s">
        <v>44</v>
      </c>
      <c r="AA936" t="s">
        <v>45</v>
      </c>
      <c r="AB936">
        <v>13</v>
      </c>
    </row>
    <row r="937" spans="1:28">
      <c r="A937" t="s">
        <v>2105</v>
      </c>
      <c r="B937">
        <v>44</v>
      </c>
      <c r="C937" t="s">
        <v>33</v>
      </c>
      <c r="D937" t="s">
        <v>51</v>
      </c>
      <c r="E937" t="s">
        <v>35</v>
      </c>
      <c r="F937" t="s">
        <v>66</v>
      </c>
      <c r="G937" t="s">
        <v>34</v>
      </c>
      <c r="H937" t="s">
        <v>2412</v>
      </c>
      <c r="I937" t="s">
        <v>147</v>
      </c>
      <c r="J937" s="2">
        <v>136.66999999999999</v>
      </c>
      <c r="K937">
        <v>3</v>
      </c>
      <c r="L937" t="s">
        <v>94</v>
      </c>
      <c r="M937">
        <v>3</v>
      </c>
      <c r="N937">
        <v>1</v>
      </c>
      <c r="O937">
        <v>1</v>
      </c>
      <c r="P937" t="s">
        <v>69</v>
      </c>
      <c r="Q937" t="s">
        <v>41</v>
      </c>
      <c r="R937">
        <v>0</v>
      </c>
      <c r="S937">
        <v>2</v>
      </c>
      <c r="T937" t="s">
        <v>51</v>
      </c>
      <c r="U937" t="s">
        <v>95</v>
      </c>
      <c r="V937" t="s">
        <v>58</v>
      </c>
      <c r="W937" s="1">
        <v>45463</v>
      </c>
      <c r="X937" t="b">
        <v>0</v>
      </c>
      <c r="Y937" t="b">
        <v>1</v>
      </c>
      <c r="Z937" t="s">
        <v>72</v>
      </c>
      <c r="AA937" t="s">
        <v>60</v>
      </c>
      <c r="AB937">
        <v>1</v>
      </c>
    </row>
    <row r="938" spans="1:28">
      <c r="A938" t="s">
        <v>2107</v>
      </c>
      <c r="B938">
        <v>37</v>
      </c>
      <c r="C938" t="s">
        <v>50</v>
      </c>
      <c r="D938" t="s">
        <v>34</v>
      </c>
      <c r="E938" t="s">
        <v>82</v>
      </c>
      <c r="F938" t="s">
        <v>66</v>
      </c>
      <c r="G938" t="s">
        <v>51</v>
      </c>
      <c r="H938" t="s">
        <v>2108</v>
      </c>
      <c r="I938" t="s">
        <v>108</v>
      </c>
      <c r="J938" s="2">
        <v>324.11</v>
      </c>
      <c r="K938">
        <v>11</v>
      </c>
      <c r="L938" t="s">
        <v>94</v>
      </c>
      <c r="M938">
        <v>3</v>
      </c>
      <c r="N938">
        <v>3</v>
      </c>
      <c r="O938">
        <v>2</v>
      </c>
      <c r="P938" t="s">
        <v>40</v>
      </c>
      <c r="Q938" t="s">
        <v>101</v>
      </c>
      <c r="R938">
        <v>0</v>
      </c>
      <c r="S938">
        <v>2</v>
      </c>
      <c r="T938" t="s">
        <v>69</v>
      </c>
      <c r="U938" t="s">
        <v>70</v>
      </c>
      <c r="V938" t="s">
        <v>102</v>
      </c>
      <c r="W938" s="1">
        <v>45373</v>
      </c>
      <c r="X938" t="b">
        <v>0</v>
      </c>
      <c r="Y938" t="b">
        <v>0</v>
      </c>
      <c r="Z938" t="s">
        <v>72</v>
      </c>
      <c r="AA938" t="s">
        <v>45</v>
      </c>
      <c r="AB938">
        <v>7</v>
      </c>
    </row>
    <row r="939" spans="1:28">
      <c r="A939" t="s">
        <v>2109</v>
      </c>
      <c r="B939">
        <v>40</v>
      </c>
      <c r="C939" t="s">
        <v>33</v>
      </c>
      <c r="D939" t="s">
        <v>51</v>
      </c>
      <c r="E939" t="s">
        <v>82</v>
      </c>
      <c r="F939" t="s">
        <v>36</v>
      </c>
      <c r="G939" t="s">
        <v>51</v>
      </c>
      <c r="H939" t="s">
        <v>2110</v>
      </c>
      <c r="I939" t="s">
        <v>127</v>
      </c>
      <c r="J939" s="2">
        <v>105.64</v>
      </c>
      <c r="K939">
        <v>6</v>
      </c>
      <c r="L939" t="s">
        <v>94</v>
      </c>
      <c r="M939">
        <v>1</v>
      </c>
      <c r="N939">
        <v>3</v>
      </c>
      <c r="O939">
        <v>0</v>
      </c>
      <c r="P939" t="s">
        <v>69</v>
      </c>
      <c r="Q939" t="s">
        <v>101</v>
      </c>
      <c r="R939">
        <v>2</v>
      </c>
      <c r="S939">
        <v>1</v>
      </c>
      <c r="T939" t="s">
        <v>40</v>
      </c>
      <c r="U939" t="s">
        <v>70</v>
      </c>
      <c r="V939" t="s">
        <v>76</v>
      </c>
      <c r="W939" s="1">
        <v>45388</v>
      </c>
      <c r="X939" t="b">
        <v>1</v>
      </c>
      <c r="Y939" t="b">
        <v>1</v>
      </c>
      <c r="Z939" t="s">
        <v>89</v>
      </c>
      <c r="AA939" t="s">
        <v>45</v>
      </c>
      <c r="AB939">
        <v>12</v>
      </c>
    </row>
    <row r="940" spans="1:28">
      <c r="A940" t="s">
        <v>2111</v>
      </c>
      <c r="B940">
        <v>43</v>
      </c>
      <c r="C940" t="s">
        <v>50</v>
      </c>
      <c r="D940" t="s">
        <v>51</v>
      </c>
      <c r="E940" t="s">
        <v>82</v>
      </c>
      <c r="F940" t="s">
        <v>66</v>
      </c>
      <c r="G940" t="s">
        <v>51</v>
      </c>
      <c r="H940" t="s">
        <v>2413</v>
      </c>
      <c r="I940" t="s">
        <v>147</v>
      </c>
      <c r="J940" s="2">
        <v>295.60000000000002</v>
      </c>
      <c r="K940">
        <v>10</v>
      </c>
      <c r="L940" t="s">
        <v>94</v>
      </c>
      <c r="M940">
        <v>1</v>
      </c>
      <c r="N940">
        <v>2</v>
      </c>
      <c r="O940">
        <v>1</v>
      </c>
      <c r="P940" t="s">
        <v>51</v>
      </c>
      <c r="Q940" t="s">
        <v>41</v>
      </c>
      <c r="R940">
        <v>0</v>
      </c>
      <c r="S940">
        <v>9</v>
      </c>
      <c r="T940" t="s">
        <v>69</v>
      </c>
      <c r="U940" t="s">
        <v>95</v>
      </c>
      <c r="V940" t="s">
        <v>43</v>
      </c>
      <c r="W940" s="1">
        <v>45432</v>
      </c>
      <c r="X940" t="b">
        <v>1</v>
      </c>
      <c r="Y940" t="b">
        <v>1</v>
      </c>
      <c r="Z940" t="s">
        <v>44</v>
      </c>
      <c r="AA940" t="s">
        <v>60</v>
      </c>
      <c r="AB940">
        <v>5</v>
      </c>
    </row>
    <row r="941" spans="1:28">
      <c r="A941" t="s">
        <v>2113</v>
      </c>
      <c r="B941">
        <v>48</v>
      </c>
      <c r="C941" t="s">
        <v>50</v>
      </c>
      <c r="D941" t="s">
        <v>34</v>
      </c>
      <c r="E941" t="s">
        <v>65</v>
      </c>
      <c r="F941" t="s">
        <v>66</v>
      </c>
      <c r="G941" t="s">
        <v>51</v>
      </c>
      <c r="H941" t="s">
        <v>2414</v>
      </c>
      <c r="I941" t="s">
        <v>127</v>
      </c>
      <c r="J941" s="2">
        <v>227.03</v>
      </c>
      <c r="K941">
        <v>9</v>
      </c>
      <c r="L941" t="s">
        <v>55</v>
      </c>
      <c r="M941">
        <v>4</v>
      </c>
      <c r="N941">
        <v>4</v>
      </c>
      <c r="O941">
        <v>2</v>
      </c>
      <c r="P941" t="s">
        <v>69</v>
      </c>
      <c r="Q941" t="s">
        <v>57</v>
      </c>
      <c r="R941">
        <v>2</v>
      </c>
      <c r="S941">
        <v>7</v>
      </c>
      <c r="T941" t="s">
        <v>51</v>
      </c>
      <c r="U941" t="s">
        <v>42</v>
      </c>
      <c r="V941" t="s">
        <v>76</v>
      </c>
      <c r="W941" s="1">
        <v>45391</v>
      </c>
      <c r="X941" t="b">
        <v>1</v>
      </c>
      <c r="Y941" t="b">
        <v>1</v>
      </c>
      <c r="Z941" t="s">
        <v>44</v>
      </c>
      <c r="AA941" t="s">
        <v>45</v>
      </c>
      <c r="AB941">
        <v>4</v>
      </c>
    </row>
    <row r="942" spans="1:28">
      <c r="A942" t="s">
        <v>2115</v>
      </c>
      <c r="B942">
        <v>32</v>
      </c>
      <c r="C942" t="s">
        <v>33</v>
      </c>
      <c r="D942" t="s">
        <v>51</v>
      </c>
      <c r="E942" t="s">
        <v>92</v>
      </c>
      <c r="F942" t="s">
        <v>36</v>
      </c>
      <c r="G942" t="s">
        <v>34</v>
      </c>
      <c r="H942" t="s">
        <v>2116</v>
      </c>
      <c r="I942" t="s">
        <v>135</v>
      </c>
      <c r="J942" s="2">
        <v>485.77</v>
      </c>
      <c r="K942">
        <v>10</v>
      </c>
      <c r="L942" t="s">
        <v>39</v>
      </c>
      <c r="M942">
        <v>1</v>
      </c>
      <c r="N942">
        <v>2</v>
      </c>
      <c r="O942">
        <v>0</v>
      </c>
      <c r="P942" t="s">
        <v>69</v>
      </c>
      <c r="Q942" t="s">
        <v>57</v>
      </c>
      <c r="R942">
        <v>2</v>
      </c>
      <c r="S942">
        <v>6</v>
      </c>
      <c r="T942" t="s">
        <v>40</v>
      </c>
      <c r="U942" t="s">
        <v>42</v>
      </c>
      <c r="V942" t="s">
        <v>102</v>
      </c>
      <c r="W942" s="1">
        <v>45630</v>
      </c>
      <c r="X942" t="b">
        <v>0</v>
      </c>
      <c r="Y942" t="b">
        <v>0</v>
      </c>
      <c r="Z942" t="s">
        <v>89</v>
      </c>
      <c r="AA942" t="s">
        <v>45</v>
      </c>
      <c r="AB942">
        <v>6</v>
      </c>
    </row>
    <row r="943" spans="1:28">
      <c r="A943" t="s">
        <v>2118</v>
      </c>
      <c r="B943">
        <v>37</v>
      </c>
      <c r="C943" t="s">
        <v>33</v>
      </c>
      <c r="D943" t="s">
        <v>34</v>
      </c>
      <c r="E943" t="s">
        <v>82</v>
      </c>
      <c r="F943" t="s">
        <v>52</v>
      </c>
      <c r="G943" t="s">
        <v>51</v>
      </c>
      <c r="H943" t="s">
        <v>2119</v>
      </c>
      <c r="I943" t="s">
        <v>127</v>
      </c>
      <c r="J943" s="2">
        <v>173.43</v>
      </c>
      <c r="K943">
        <v>4</v>
      </c>
      <c r="L943" t="s">
        <v>55</v>
      </c>
      <c r="M943">
        <v>3</v>
      </c>
      <c r="N943">
        <v>3</v>
      </c>
      <c r="O943">
        <v>0</v>
      </c>
      <c r="P943" t="s">
        <v>56</v>
      </c>
      <c r="Q943" t="s">
        <v>57</v>
      </c>
      <c r="R943">
        <v>2</v>
      </c>
      <c r="S943">
        <v>1</v>
      </c>
      <c r="T943" t="s">
        <v>69</v>
      </c>
      <c r="U943" t="s">
        <v>95</v>
      </c>
      <c r="V943" t="s">
        <v>58</v>
      </c>
      <c r="W943" s="1">
        <v>45439</v>
      </c>
      <c r="X943" t="b">
        <v>1</v>
      </c>
      <c r="Y943" t="b">
        <v>1</v>
      </c>
      <c r="Z943" t="s">
        <v>44</v>
      </c>
      <c r="AA943" t="s">
        <v>45</v>
      </c>
      <c r="AB943">
        <v>14</v>
      </c>
    </row>
    <row r="944" spans="1:28">
      <c r="A944" t="s">
        <v>2120</v>
      </c>
      <c r="B944">
        <v>29</v>
      </c>
      <c r="C944" t="s">
        <v>33</v>
      </c>
      <c r="D944" t="s">
        <v>34</v>
      </c>
      <c r="E944" t="s">
        <v>82</v>
      </c>
      <c r="F944" t="s">
        <v>52</v>
      </c>
      <c r="G944" t="s">
        <v>34</v>
      </c>
      <c r="H944" t="s">
        <v>2121</v>
      </c>
      <c r="I944" t="s">
        <v>153</v>
      </c>
      <c r="J944" s="2">
        <v>462.96</v>
      </c>
      <c r="K944">
        <v>2</v>
      </c>
      <c r="L944" t="s">
        <v>94</v>
      </c>
      <c r="M944">
        <v>4</v>
      </c>
      <c r="N944">
        <v>2</v>
      </c>
      <c r="O944">
        <v>0</v>
      </c>
      <c r="P944" t="s">
        <v>51</v>
      </c>
      <c r="Q944" t="s">
        <v>101</v>
      </c>
      <c r="R944">
        <v>2</v>
      </c>
      <c r="S944">
        <v>6</v>
      </c>
      <c r="T944" t="s">
        <v>51</v>
      </c>
      <c r="U944" t="s">
        <v>42</v>
      </c>
      <c r="V944" t="s">
        <v>102</v>
      </c>
      <c r="W944" s="1">
        <v>45474</v>
      </c>
      <c r="X944" t="b">
        <v>1</v>
      </c>
      <c r="Y944" t="b">
        <v>0</v>
      </c>
      <c r="Z944" t="s">
        <v>89</v>
      </c>
      <c r="AA944" t="s">
        <v>45</v>
      </c>
      <c r="AB944">
        <v>3</v>
      </c>
    </row>
    <row r="945" spans="1:28">
      <c r="A945" t="s">
        <v>2122</v>
      </c>
      <c r="B945">
        <v>36</v>
      </c>
      <c r="C945" t="s">
        <v>50</v>
      </c>
      <c r="D945" t="s">
        <v>51</v>
      </c>
      <c r="E945" t="s">
        <v>92</v>
      </c>
      <c r="F945" t="s">
        <v>52</v>
      </c>
      <c r="G945" t="s">
        <v>34</v>
      </c>
      <c r="H945" t="s">
        <v>2123</v>
      </c>
      <c r="I945" t="s">
        <v>112</v>
      </c>
      <c r="J945" s="2">
        <v>203.13</v>
      </c>
      <c r="K945">
        <v>10</v>
      </c>
      <c r="L945" t="s">
        <v>94</v>
      </c>
      <c r="M945">
        <v>4</v>
      </c>
      <c r="N945">
        <v>3</v>
      </c>
      <c r="O945">
        <v>2</v>
      </c>
      <c r="P945" t="s">
        <v>40</v>
      </c>
      <c r="Q945" t="s">
        <v>41</v>
      </c>
      <c r="R945">
        <v>1</v>
      </c>
      <c r="S945">
        <v>5</v>
      </c>
      <c r="T945" t="s">
        <v>51</v>
      </c>
      <c r="U945" t="s">
        <v>42</v>
      </c>
      <c r="V945" t="s">
        <v>71</v>
      </c>
      <c r="W945" s="1">
        <v>45519</v>
      </c>
      <c r="X945" t="b">
        <v>1</v>
      </c>
      <c r="Y945" t="b">
        <v>0</v>
      </c>
      <c r="Z945" t="s">
        <v>72</v>
      </c>
      <c r="AA945" t="s">
        <v>60</v>
      </c>
      <c r="AB945">
        <v>6</v>
      </c>
    </row>
    <row r="946" spans="1:28">
      <c r="A946" t="s">
        <v>2124</v>
      </c>
      <c r="B946">
        <v>50</v>
      </c>
      <c r="C946" t="s">
        <v>33</v>
      </c>
      <c r="D946" t="s">
        <v>51</v>
      </c>
      <c r="E946" t="s">
        <v>35</v>
      </c>
      <c r="F946" t="s">
        <v>66</v>
      </c>
      <c r="G946" t="s">
        <v>51</v>
      </c>
      <c r="H946" t="s">
        <v>2125</v>
      </c>
      <c r="I946" t="s">
        <v>156</v>
      </c>
      <c r="J946" s="2">
        <v>443.11</v>
      </c>
      <c r="K946">
        <v>9</v>
      </c>
      <c r="L946" t="s">
        <v>55</v>
      </c>
      <c r="M946">
        <v>1</v>
      </c>
      <c r="N946">
        <v>2</v>
      </c>
      <c r="O946">
        <v>1</v>
      </c>
      <c r="P946" t="s">
        <v>40</v>
      </c>
      <c r="Q946" t="s">
        <v>101</v>
      </c>
      <c r="R946">
        <v>0</v>
      </c>
      <c r="S946">
        <v>10</v>
      </c>
      <c r="T946" t="s">
        <v>69</v>
      </c>
      <c r="U946" t="s">
        <v>42</v>
      </c>
      <c r="V946" t="s">
        <v>76</v>
      </c>
      <c r="W946" s="1">
        <v>45310</v>
      </c>
      <c r="X946" t="b">
        <v>1</v>
      </c>
      <c r="Y946" t="b">
        <v>1</v>
      </c>
      <c r="Z946" t="s">
        <v>59</v>
      </c>
      <c r="AA946" t="s">
        <v>45</v>
      </c>
      <c r="AB946">
        <v>1</v>
      </c>
    </row>
    <row r="947" spans="1:28">
      <c r="A947" t="s">
        <v>2126</v>
      </c>
      <c r="B947">
        <v>31</v>
      </c>
      <c r="C947" t="s">
        <v>106</v>
      </c>
      <c r="D947" t="s">
        <v>51</v>
      </c>
      <c r="E947" t="s">
        <v>92</v>
      </c>
      <c r="F947" t="s">
        <v>52</v>
      </c>
      <c r="G947" t="s">
        <v>51</v>
      </c>
      <c r="H947" t="s">
        <v>2127</v>
      </c>
      <c r="I947" t="s">
        <v>180</v>
      </c>
      <c r="J947" s="2">
        <v>254.83</v>
      </c>
      <c r="K947">
        <v>2</v>
      </c>
      <c r="L947" t="s">
        <v>39</v>
      </c>
      <c r="M947">
        <v>1</v>
      </c>
      <c r="N947">
        <v>2</v>
      </c>
      <c r="O947">
        <v>1</v>
      </c>
      <c r="P947" t="s">
        <v>40</v>
      </c>
      <c r="Q947" t="s">
        <v>41</v>
      </c>
      <c r="R947">
        <v>1</v>
      </c>
      <c r="S947">
        <v>2</v>
      </c>
      <c r="T947" t="s">
        <v>69</v>
      </c>
      <c r="U947" t="s">
        <v>95</v>
      </c>
      <c r="V947" t="s">
        <v>43</v>
      </c>
      <c r="W947" s="1">
        <v>45553</v>
      </c>
      <c r="X947" t="b">
        <v>0</v>
      </c>
      <c r="Y947" t="b">
        <v>0</v>
      </c>
      <c r="Z947" t="s">
        <v>59</v>
      </c>
      <c r="AA947" t="s">
        <v>60</v>
      </c>
      <c r="AB947">
        <v>1</v>
      </c>
    </row>
    <row r="948" spans="1:28">
      <c r="A948" t="s">
        <v>2128</v>
      </c>
      <c r="B948">
        <v>29</v>
      </c>
      <c r="C948" t="s">
        <v>33</v>
      </c>
      <c r="D948" t="s">
        <v>51</v>
      </c>
      <c r="E948" t="s">
        <v>65</v>
      </c>
      <c r="F948" t="s">
        <v>66</v>
      </c>
      <c r="G948" t="s">
        <v>34</v>
      </c>
      <c r="H948" t="s">
        <v>2129</v>
      </c>
      <c r="I948" t="s">
        <v>123</v>
      </c>
      <c r="J948" s="2">
        <v>336.89</v>
      </c>
      <c r="K948">
        <v>4</v>
      </c>
      <c r="L948" t="s">
        <v>94</v>
      </c>
      <c r="M948">
        <v>2</v>
      </c>
      <c r="N948">
        <v>1</v>
      </c>
      <c r="O948">
        <v>2</v>
      </c>
      <c r="P948" t="s">
        <v>56</v>
      </c>
      <c r="Q948" t="s">
        <v>101</v>
      </c>
      <c r="R948">
        <v>1</v>
      </c>
      <c r="S948">
        <v>7</v>
      </c>
      <c r="T948" t="s">
        <v>51</v>
      </c>
      <c r="U948" t="s">
        <v>70</v>
      </c>
      <c r="V948" t="s">
        <v>43</v>
      </c>
      <c r="W948" s="1">
        <v>45460</v>
      </c>
      <c r="X948" t="b">
        <v>0</v>
      </c>
      <c r="Y948" t="b">
        <v>0</v>
      </c>
      <c r="Z948" t="s">
        <v>89</v>
      </c>
      <c r="AA948" t="s">
        <v>77</v>
      </c>
      <c r="AB948">
        <v>9</v>
      </c>
    </row>
    <row r="949" spans="1:28">
      <c r="A949" t="s">
        <v>2130</v>
      </c>
      <c r="B949">
        <v>26</v>
      </c>
      <c r="C949" t="s">
        <v>50</v>
      </c>
      <c r="D949" t="s">
        <v>34</v>
      </c>
      <c r="E949" t="s">
        <v>35</v>
      </c>
      <c r="F949" t="s">
        <v>36</v>
      </c>
      <c r="G949" t="s">
        <v>34</v>
      </c>
      <c r="H949" t="s">
        <v>2415</v>
      </c>
      <c r="I949" t="s">
        <v>153</v>
      </c>
      <c r="J949" s="2">
        <v>337.17</v>
      </c>
      <c r="K949">
        <v>8</v>
      </c>
      <c r="L949" t="s">
        <v>55</v>
      </c>
      <c r="M949">
        <v>5</v>
      </c>
      <c r="N949">
        <v>5</v>
      </c>
      <c r="O949">
        <v>0</v>
      </c>
      <c r="P949" t="s">
        <v>69</v>
      </c>
      <c r="Q949" t="s">
        <v>57</v>
      </c>
      <c r="R949">
        <v>1</v>
      </c>
      <c r="S949">
        <v>6</v>
      </c>
      <c r="T949" t="s">
        <v>56</v>
      </c>
      <c r="U949" t="s">
        <v>42</v>
      </c>
      <c r="V949" t="s">
        <v>43</v>
      </c>
      <c r="W949" s="1">
        <v>45499</v>
      </c>
      <c r="X949" t="b">
        <v>0</v>
      </c>
      <c r="Y949" t="b">
        <v>1</v>
      </c>
      <c r="Z949" t="s">
        <v>59</v>
      </c>
      <c r="AA949" t="s">
        <v>45</v>
      </c>
      <c r="AB949">
        <v>3</v>
      </c>
    </row>
    <row r="950" spans="1:28">
      <c r="A950" t="s">
        <v>2132</v>
      </c>
      <c r="B950">
        <v>22</v>
      </c>
      <c r="C950" t="s">
        <v>33</v>
      </c>
      <c r="D950" t="s">
        <v>51</v>
      </c>
      <c r="E950" t="s">
        <v>65</v>
      </c>
      <c r="F950" t="s">
        <v>52</v>
      </c>
      <c r="G950" t="s">
        <v>51</v>
      </c>
      <c r="H950" t="s">
        <v>2133</v>
      </c>
      <c r="I950" t="s">
        <v>54</v>
      </c>
      <c r="J950" s="2">
        <v>429.24</v>
      </c>
      <c r="K950">
        <v>2</v>
      </c>
      <c r="L950" t="s">
        <v>94</v>
      </c>
      <c r="M950">
        <v>2</v>
      </c>
      <c r="N950">
        <v>2</v>
      </c>
      <c r="O950">
        <v>2</v>
      </c>
      <c r="P950" t="s">
        <v>56</v>
      </c>
      <c r="Q950" t="s">
        <v>101</v>
      </c>
      <c r="R950">
        <v>0</v>
      </c>
      <c r="S950">
        <v>3</v>
      </c>
      <c r="T950" t="s">
        <v>40</v>
      </c>
      <c r="U950" t="s">
        <v>95</v>
      </c>
      <c r="V950" t="s">
        <v>102</v>
      </c>
      <c r="W950" s="1">
        <v>45362</v>
      </c>
      <c r="X950" t="b">
        <v>0</v>
      </c>
      <c r="Y950" t="b">
        <v>0</v>
      </c>
      <c r="Z950" t="s">
        <v>89</v>
      </c>
      <c r="AA950" t="s">
        <v>45</v>
      </c>
      <c r="AB950">
        <v>13</v>
      </c>
    </row>
    <row r="951" spans="1:28">
      <c r="A951" t="s">
        <v>2134</v>
      </c>
      <c r="B951">
        <v>35</v>
      </c>
      <c r="C951" t="s">
        <v>33</v>
      </c>
      <c r="D951" t="s">
        <v>51</v>
      </c>
      <c r="E951" t="s">
        <v>35</v>
      </c>
      <c r="F951" t="s">
        <v>52</v>
      </c>
      <c r="G951" t="s">
        <v>51</v>
      </c>
      <c r="H951" t="s">
        <v>2135</v>
      </c>
      <c r="I951" t="s">
        <v>147</v>
      </c>
      <c r="J951" s="2">
        <v>197.7</v>
      </c>
      <c r="K951">
        <v>7</v>
      </c>
      <c r="L951" t="s">
        <v>39</v>
      </c>
      <c r="M951">
        <v>3</v>
      </c>
      <c r="N951">
        <v>5</v>
      </c>
      <c r="O951">
        <v>2</v>
      </c>
      <c r="P951" t="s">
        <v>51</v>
      </c>
      <c r="Q951" t="s">
        <v>41</v>
      </c>
      <c r="R951">
        <v>1</v>
      </c>
      <c r="S951">
        <v>6</v>
      </c>
      <c r="T951" t="s">
        <v>56</v>
      </c>
      <c r="U951" t="s">
        <v>95</v>
      </c>
      <c r="V951" t="s">
        <v>102</v>
      </c>
      <c r="W951" s="1">
        <v>45562</v>
      </c>
      <c r="X951" t="b">
        <v>0</v>
      </c>
      <c r="Y951" t="b">
        <v>0</v>
      </c>
      <c r="Z951" t="s">
        <v>44</v>
      </c>
      <c r="AA951" t="s">
        <v>60</v>
      </c>
      <c r="AB951">
        <v>9</v>
      </c>
    </row>
    <row r="952" spans="1:28">
      <c r="A952" t="s">
        <v>2136</v>
      </c>
      <c r="B952">
        <v>23</v>
      </c>
      <c r="C952" t="s">
        <v>50</v>
      </c>
      <c r="D952" t="s">
        <v>34</v>
      </c>
      <c r="E952" t="s">
        <v>35</v>
      </c>
      <c r="F952" t="s">
        <v>36</v>
      </c>
      <c r="G952" t="s">
        <v>34</v>
      </c>
      <c r="H952" t="s">
        <v>2137</v>
      </c>
      <c r="I952" t="s">
        <v>75</v>
      </c>
      <c r="J952" s="2">
        <v>336.96</v>
      </c>
      <c r="K952">
        <v>2</v>
      </c>
      <c r="L952" t="s">
        <v>55</v>
      </c>
      <c r="M952">
        <v>5</v>
      </c>
      <c r="N952">
        <v>2</v>
      </c>
      <c r="O952">
        <v>2</v>
      </c>
      <c r="P952" t="s">
        <v>51</v>
      </c>
      <c r="Q952" t="s">
        <v>57</v>
      </c>
      <c r="R952">
        <v>0</v>
      </c>
      <c r="S952">
        <v>7</v>
      </c>
      <c r="T952" t="s">
        <v>69</v>
      </c>
      <c r="U952" t="s">
        <v>42</v>
      </c>
      <c r="V952" t="s">
        <v>58</v>
      </c>
      <c r="W952" s="1">
        <v>45540</v>
      </c>
      <c r="X952" t="b">
        <v>1</v>
      </c>
      <c r="Y952" t="b">
        <v>1</v>
      </c>
      <c r="Z952" t="s">
        <v>72</v>
      </c>
      <c r="AA952" t="s">
        <v>45</v>
      </c>
      <c r="AB952">
        <v>7</v>
      </c>
    </row>
    <row r="953" spans="1:28">
      <c r="A953" t="s">
        <v>2138</v>
      </c>
      <c r="B953">
        <v>40</v>
      </c>
      <c r="C953" t="s">
        <v>33</v>
      </c>
      <c r="D953" t="s">
        <v>51</v>
      </c>
      <c r="E953" t="s">
        <v>35</v>
      </c>
      <c r="F953" t="s">
        <v>52</v>
      </c>
      <c r="G953" t="s">
        <v>51</v>
      </c>
      <c r="H953" t="s">
        <v>2139</v>
      </c>
      <c r="I953" t="s">
        <v>143</v>
      </c>
      <c r="J953" s="2">
        <v>489.81</v>
      </c>
      <c r="K953">
        <v>11</v>
      </c>
      <c r="L953" t="s">
        <v>39</v>
      </c>
      <c r="M953">
        <v>3</v>
      </c>
      <c r="N953">
        <v>2</v>
      </c>
      <c r="O953">
        <v>1</v>
      </c>
      <c r="P953" t="s">
        <v>69</v>
      </c>
      <c r="Q953" t="s">
        <v>101</v>
      </c>
      <c r="R953">
        <v>0</v>
      </c>
      <c r="S953">
        <v>1</v>
      </c>
      <c r="T953" t="s">
        <v>40</v>
      </c>
      <c r="U953" t="s">
        <v>42</v>
      </c>
      <c r="V953" t="s">
        <v>43</v>
      </c>
      <c r="W953" s="1">
        <v>45648</v>
      </c>
      <c r="X953" t="b">
        <v>0</v>
      </c>
      <c r="Y953" t="b">
        <v>0</v>
      </c>
      <c r="Z953" t="s">
        <v>59</v>
      </c>
      <c r="AA953" t="s">
        <v>45</v>
      </c>
      <c r="AB953">
        <v>3</v>
      </c>
    </row>
    <row r="954" spans="1:28">
      <c r="A954" t="s">
        <v>2140</v>
      </c>
      <c r="B954">
        <v>32</v>
      </c>
      <c r="C954" t="s">
        <v>33</v>
      </c>
      <c r="D954" t="s">
        <v>51</v>
      </c>
      <c r="E954" t="s">
        <v>65</v>
      </c>
      <c r="F954" t="s">
        <v>52</v>
      </c>
      <c r="G954" t="s">
        <v>34</v>
      </c>
      <c r="H954" t="s">
        <v>2141</v>
      </c>
      <c r="I954" t="s">
        <v>150</v>
      </c>
      <c r="J954" s="2">
        <v>455.55</v>
      </c>
      <c r="K954">
        <v>8</v>
      </c>
      <c r="L954" t="s">
        <v>39</v>
      </c>
      <c r="M954">
        <v>4</v>
      </c>
      <c r="N954">
        <v>4</v>
      </c>
      <c r="O954">
        <v>1</v>
      </c>
      <c r="P954" t="s">
        <v>51</v>
      </c>
      <c r="Q954" t="s">
        <v>41</v>
      </c>
      <c r="R954">
        <v>0</v>
      </c>
      <c r="S954">
        <v>6</v>
      </c>
      <c r="T954" t="s">
        <v>51</v>
      </c>
      <c r="U954" t="s">
        <v>95</v>
      </c>
      <c r="V954" t="s">
        <v>58</v>
      </c>
      <c r="W954" s="1">
        <v>45594</v>
      </c>
      <c r="X954" t="b">
        <v>0</v>
      </c>
      <c r="Y954" t="b">
        <v>0</v>
      </c>
      <c r="Z954" t="s">
        <v>89</v>
      </c>
      <c r="AA954" t="s">
        <v>45</v>
      </c>
      <c r="AB954">
        <v>10</v>
      </c>
    </row>
    <row r="955" spans="1:28">
      <c r="A955" t="s">
        <v>2142</v>
      </c>
      <c r="B955">
        <v>29</v>
      </c>
      <c r="C955" t="s">
        <v>50</v>
      </c>
      <c r="D955" t="s">
        <v>34</v>
      </c>
      <c r="E955" t="s">
        <v>92</v>
      </c>
      <c r="F955" t="s">
        <v>66</v>
      </c>
      <c r="G955" t="s">
        <v>34</v>
      </c>
      <c r="H955" t="s">
        <v>2143</v>
      </c>
      <c r="I955" t="s">
        <v>112</v>
      </c>
      <c r="J955" s="2">
        <v>266.61</v>
      </c>
      <c r="K955">
        <v>3</v>
      </c>
      <c r="L955" t="s">
        <v>94</v>
      </c>
      <c r="M955">
        <v>3</v>
      </c>
      <c r="N955">
        <v>1</v>
      </c>
      <c r="O955">
        <v>1</v>
      </c>
      <c r="P955" t="s">
        <v>56</v>
      </c>
      <c r="Q955" t="s">
        <v>101</v>
      </c>
      <c r="R955">
        <v>2</v>
      </c>
      <c r="S955">
        <v>8</v>
      </c>
      <c r="T955" t="s">
        <v>40</v>
      </c>
      <c r="U955" t="s">
        <v>42</v>
      </c>
      <c r="V955" t="s">
        <v>71</v>
      </c>
      <c r="W955" s="1">
        <v>45449</v>
      </c>
      <c r="X955" t="b">
        <v>1</v>
      </c>
      <c r="Y955" t="b">
        <v>0</v>
      </c>
      <c r="Z955" t="s">
        <v>44</v>
      </c>
      <c r="AA955" t="s">
        <v>60</v>
      </c>
      <c r="AB955">
        <v>7</v>
      </c>
    </row>
    <row r="956" spans="1:28">
      <c r="A956" t="s">
        <v>2144</v>
      </c>
      <c r="B956">
        <v>50</v>
      </c>
      <c r="C956" t="s">
        <v>264</v>
      </c>
      <c r="D956" t="s">
        <v>34</v>
      </c>
      <c r="E956" t="s">
        <v>35</v>
      </c>
      <c r="F956" t="s">
        <v>52</v>
      </c>
      <c r="G956" t="s">
        <v>51</v>
      </c>
      <c r="H956" t="s">
        <v>2145</v>
      </c>
      <c r="I956" t="s">
        <v>242</v>
      </c>
      <c r="J956" s="2">
        <v>460.88</v>
      </c>
      <c r="K956">
        <v>5</v>
      </c>
      <c r="L956" t="s">
        <v>39</v>
      </c>
      <c r="M956">
        <v>3</v>
      </c>
      <c r="N956">
        <v>4</v>
      </c>
      <c r="O956">
        <v>2</v>
      </c>
      <c r="P956" t="s">
        <v>40</v>
      </c>
      <c r="Q956" t="s">
        <v>57</v>
      </c>
      <c r="R956">
        <v>2</v>
      </c>
      <c r="S956">
        <v>4</v>
      </c>
      <c r="T956" t="s">
        <v>51</v>
      </c>
      <c r="U956" t="s">
        <v>42</v>
      </c>
      <c r="V956" t="s">
        <v>102</v>
      </c>
      <c r="W956" s="1">
        <v>45394</v>
      </c>
      <c r="X956" t="b">
        <v>1</v>
      </c>
      <c r="Y956" t="b">
        <v>0</v>
      </c>
      <c r="Z956" t="s">
        <v>72</v>
      </c>
      <c r="AA956" t="s">
        <v>60</v>
      </c>
      <c r="AB956">
        <v>2</v>
      </c>
    </row>
    <row r="957" spans="1:28">
      <c r="A957" t="s">
        <v>2146</v>
      </c>
      <c r="B957">
        <v>42</v>
      </c>
      <c r="C957" t="s">
        <v>50</v>
      </c>
      <c r="D957" t="s">
        <v>51</v>
      </c>
      <c r="E957" t="s">
        <v>65</v>
      </c>
      <c r="F957" t="s">
        <v>52</v>
      </c>
      <c r="G957" t="s">
        <v>34</v>
      </c>
      <c r="H957" t="s">
        <v>2416</v>
      </c>
      <c r="I957" t="s">
        <v>180</v>
      </c>
      <c r="J957" s="2">
        <v>361.4</v>
      </c>
      <c r="K957">
        <v>2</v>
      </c>
      <c r="L957" t="s">
        <v>55</v>
      </c>
      <c r="M957">
        <v>2</v>
      </c>
      <c r="N957">
        <v>5</v>
      </c>
      <c r="O957">
        <v>1</v>
      </c>
      <c r="P957" t="s">
        <v>56</v>
      </c>
      <c r="Q957" t="s">
        <v>41</v>
      </c>
      <c r="R957">
        <v>0</v>
      </c>
      <c r="S957">
        <v>5</v>
      </c>
      <c r="T957" t="s">
        <v>56</v>
      </c>
      <c r="U957" t="s">
        <v>95</v>
      </c>
      <c r="V957" t="s">
        <v>43</v>
      </c>
      <c r="W957" s="1">
        <v>45647</v>
      </c>
      <c r="X957" t="b">
        <v>0</v>
      </c>
      <c r="Y957" t="b">
        <v>1</v>
      </c>
      <c r="Z957" t="s">
        <v>72</v>
      </c>
      <c r="AA957" t="s">
        <v>45</v>
      </c>
      <c r="AB957">
        <v>7</v>
      </c>
    </row>
    <row r="958" spans="1:28">
      <c r="A958" t="s">
        <v>2148</v>
      </c>
      <c r="B958">
        <v>47</v>
      </c>
      <c r="C958" t="s">
        <v>33</v>
      </c>
      <c r="D958" t="s">
        <v>34</v>
      </c>
      <c r="E958" t="s">
        <v>92</v>
      </c>
      <c r="F958" t="s">
        <v>66</v>
      </c>
      <c r="G958" t="s">
        <v>34</v>
      </c>
      <c r="H958" t="s">
        <v>2149</v>
      </c>
      <c r="I958" t="s">
        <v>153</v>
      </c>
      <c r="J958" s="2">
        <v>51.86</v>
      </c>
      <c r="K958">
        <v>4</v>
      </c>
      <c r="L958" t="s">
        <v>39</v>
      </c>
      <c r="M958">
        <v>3</v>
      </c>
      <c r="N958">
        <v>5</v>
      </c>
      <c r="O958">
        <v>0.2</v>
      </c>
      <c r="P958" t="s">
        <v>56</v>
      </c>
      <c r="Q958" t="s">
        <v>57</v>
      </c>
      <c r="R958">
        <v>2</v>
      </c>
      <c r="S958">
        <v>6</v>
      </c>
      <c r="T958" t="s">
        <v>51</v>
      </c>
      <c r="U958" t="s">
        <v>42</v>
      </c>
      <c r="V958" t="s">
        <v>43</v>
      </c>
      <c r="W958" s="1">
        <v>45651</v>
      </c>
      <c r="X958" t="b">
        <v>0</v>
      </c>
      <c r="Y958" t="b">
        <v>1</v>
      </c>
      <c r="Z958" t="s">
        <v>44</v>
      </c>
      <c r="AA958" t="s">
        <v>45</v>
      </c>
      <c r="AB958">
        <v>6</v>
      </c>
    </row>
    <row r="959" spans="1:28">
      <c r="A959" t="s">
        <v>2150</v>
      </c>
      <c r="B959">
        <v>27</v>
      </c>
      <c r="C959" t="s">
        <v>50</v>
      </c>
      <c r="D959" t="s">
        <v>34</v>
      </c>
      <c r="E959" t="s">
        <v>35</v>
      </c>
      <c r="F959" t="s">
        <v>52</v>
      </c>
      <c r="G959" t="s">
        <v>34</v>
      </c>
      <c r="H959" t="s">
        <v>2151</v>
      </c>
      <c r="I959" t="s">
        <v>68</v>
      </c>
      <c r="J959" s="2">
        <v>310.16000000000003</v>
      </c>
      <c r="K959">
        <v>5</v>
      </c>
      <c r="L959" t="s">
        <v>39</v>
      </c>
      <c r="M959">
        <v>5</v>
      </c>
      <c r="N959">
        <v>3</v>
      </c>
      <c r="O959">
        <v>1</v>
      </c>
      <c r="P959" t="s">
        <v>40</v>
      </c>
      <c r="Q959" t="s">
        <v>41</v>
      </c>
      <c r="R959">
        <v>0</v>
      </c>
      <c r="S959">
        <v>4</v>
      </c>
      <c r="T959" t="s">
        <v>51</v>
      </c>
      <c r="U959" t="s">
        <v>95</v>
      </c>
      <c r="V959" t="s">
        <v>102</v>
      </c>
      <c r="W959" s="1">
        <v>45627</v>
      </c>
      <c r="X959" t="b">
        <v>0</v>
      </c>
      <c r="Y959" t="b">
        <v>0</v>
      </c>
      <c r="Z959" t="s">
        <v>44</v>
      </c>
      <c r="AA959" t="s">
        <v>60</v>
      </c>
      <c r="AB959">
        <v>14</v>
      </c>
    </row>
    <row r="960" spans="1:28">
      <c r="A960" t="s">
        <v>2152</v>
      </c>
      <c r="B960">
        <v>40</v>
      </c>
      <c r="C960" t="s">
        <v>33</v>
      </c>
      <c r="D960" t="s">
        <v>34</v>
      </c>
      <c r="E960" t="s">
        <v>82</v>
      </c>
      <c r="F960" t="s">
        <v>66</v>
      </c>
      <c r="G960" t="s">
        <v>34</v>
      </c>
      <c r="H960" t="s">
        <v>2153</v>
      </c>
      <c r="I960" t="s">
        <v>143</v>
      </c>
      <c r="J960" s="2">
        <v>300.73</v>
      </c>
      <c r="K960">
        <v>8</v>
      </c>
      <c r="L960" t="s">
        <v>94</v>
      </c>
      <c r="M960">
        <v>4</v>
      </c>
      <c r="N960">
        <v>2</v>
      </c>
      <c r="O960">
        <v>1</v>
      </c>
      <c r="P960" t="s">
        <v>69</v>
      </c>
      <c r="Q960" t="s">
        <v>41</v>
      </c>
      <c r="R960">
        <v>2</v>
      </c>
      <c r="S960">
        <v>9</v>
      </c>
      <c r="T960" t="s">
        <v>51</v>
      </c>
      <c r="U960" t="s">
        <v>95</v>
      </c>
      <c r="V960" t="s">
        <v>102</v>
      </c>
      <c r="W960" s="1">
        <v>45382</v>
      </c>
      <c r="X960" t="b">
        <v>1</v>
      </c>
      <c r="Y960" t="b">
        <v>1</v>
      </c>
      <c r="Z960" t="s">
        <v>44</v>
      </c>
      <c r="AA960" t="s">
        <v>45</v>
      </c>
      <c r="AB960">
        <v>10</v>
      </c>
    </row>
    <row r="961" spans="1:28">
      <c r="A961" t="s">
        <v>2154</v>
      </c>
      <c r="B961">
        <v>28</v>
      </c>
      <c r="C961" t="s">
        <v>33</v>
      </c>
      <c r="D961" t="s">
        <v>51</v>
      </c>
      <c r="E961" t="s">
        <v>35</v>
      </c>
      <c r="F961" t="s">
        <v>52</v>
      </c>
      <c r="G961" t="s">
        <v>34</v>
      </c>
      <c r="H961" t="s">
        <v>2155</v>
      </c>
      <c r="I961" t="s">
        <v>143</v>
      </c>
      <c r="J961" s="2">
        <v>356.87</v>
      </c>
      <c r="K961">
        <v>12</v>
      </c>
      <c r="L961" t="s">
        <v>39</v>
      </c>
      <c r="M961">
        <v>1</v>
      </c>
      <c r="N961">
        <v>4</v>
      </c>
      <c r="O961">
        <v>0</v>
      </c>
      <c r="P961" t="s">
        <v>51</v>
      </c>
      <c r="Q961" t="s">
        <v>57</v>
      </c>
      <c r="R961">
        <v>1</v>
      </c>
      <c r="S961">
        <v>9</v>
      </c>
      <c r="T961" t="s">
        <v>56</v>
      </c>
      <c r="U961" t="s">
        <v>70</v>
      </c>
      <c r="V961" t="s">
        <v>71</v>
      </c>
      <c r="W961" s="1">
        <v>45577</v>
      </c>
      <c r="X961" t="b">
        <v>0</v>
      </c>
      <c r="Y961" t="b">
        <v>1</v>
      </c>
      <c r="Z961" t="s">
        <v>72</v>
      </c>
      <c r="AA961" t="s">
        <v>60</v>
      </c>
      <c r="AB961">
        <v>10</v>
      </c>
    </row>
    <row r="962" spans="1:28">
      <c r="A962" t="s">
        <v>2156</v>
      </c>
      <c r="B962">
        <v>28</v>
      </c>
      <c r="C962" t="s">
        <v>50</v>
      </c>
      <c r="D962" t="s">
        <v>34</v>
      </c>
      <c r="E962" t="s">
        <v>82</v>
      </c>
      <c r="F962" t="s">
        <v>52</v>
      </c>
      <c r="G962" t="s">
        <v>34</v>
      </c>
      <c r="H962" t="s">
        <v>2157</v>
      </c>
      <c r="I962" t="s">
        <v>229</v>
      </c>
      <c r="J962" s="2">
        <v>82.37</v>
      </c>
      <c r="K962">
        <v>6</v>
      </c>
      <c r="L962" t="s">
        <v>39</v>
      </c>
      <c r="M962">
        <v>1</v>
      </c>
      <c r="N962">
        <v>1</v>
      </c>
      <c r="O962">
        <v>1</v>
      </c>
      <c r="P962" t="s">
        <v>56</v>
      </c>
      <c r="Q962" t="s">
        <v>57</v>
      </c>
      <c r="R962">
        <v>0</v>
      </c>
      <c r="S962">
        <v>4</v>
      </c>
      <c r="T962" t="s">
        <v>56</v>
      </c>
      <c r="U962" t="s">
        <v>70</v>
      </c>
      <c r="V962" t="s">
        <v>43</v>
      </c>
      <c r="W962" s="1">
        <v>45651</v>
      </c>
      <c r="X962" t="b">
        <v>0</v>
      </c>
      <c r="Y962" t="b">
        <v>0</v>
      </c>
      <c r="Z962" t="s">
        <v>72</v>
      </c>
      <c r="AA962" t="s">
        <v>60</v>
      </c>
      <c r="AB962">
        <v>2</v>
      </c>
    </row>
    <row r="963" spans="1:28">
      <c r="A963" t="s">
        <v>2158</v>
      </c>
      <c r="B963">
        <v>29</v>
      </c>
      <c r="C963" t="s">
        <v>33</v>
      </c>
      <c r="D963" t="s">
        <v>51</v>
      </c>
      <c r="E963" t="s">
        <v>92</v>
      </c>
      <c r="F963" t="s">
        <v>36</v>
      </c>
      <c r="G963" t="s">
        <v>51</v>
      </c>
      <c r="H963" t="s">
        <v>2389</v>
      </c>
      <c r="I963" t="s">
        <v>229</v>
      </c>
      <c r="J963" s="2">
        <v>372.6</v>
      </c>
      <c r="K963">
        <v>3</v>
      </c>
      <c r="L963" t="s">
        <v>39</v>
      </c>
      <c r="M963">
        <v>4</v>
      </c>
      <c r="N963">
        <v>5</v>
      </c>
      <c r="O963">
        <v>1</v>
      </c>
      <c r="P963" t="s">
        <v>51</v>
      </c>
      <c r="Q963" t="s">
        <v>101</v>
      </c>
      <c r="R963">
        <v>2</v>
      </c>
      <c r="S963">
        <v>6</v>
      </c>
      <c r="T963" t="s">
        <v>69</v>
      </c>
      <c r="U963" t="s">
        <v>42</v>
      </c>
      <c r="V963" t="s">
        <v>58</v>
      </c>
      <c r="W963" s="1">
        <v>45302</v>
      </c>
      <c r="X963" t="b">
        <v>1</v>
      </c>
      <c r="Y963" t="b">
        <v>1</v>
      </c>
      <c r="Z963" t="s">
        <v>89</v>
      </c>
      <c r="AA963" t="s">
        <v>77</v>
      </c>
      <c r="AB963">
        <v>10</v>
      </c>
    </row>
    <row r="964" spans="1:28">
      <c r="A964" t="s">
        <v>2159</v>
      </c>
      <c r="B964">
        <v>29</v>
      </c>
      <c r="C964" t="s">
        <v>33</v>
      </c>
      <c r="D964" t="s">
        <v>34</v>
      </c>
      <c r="E964" t="s">
        <v>82</v>
      </c>
      <c r="F964" t="s">
        <v>52</v>
      </c>
      <c r="G964" t="s">
        <v>51</v>
      </c>
      <c r="H964" t="s">
        <v>2160</v>
      </c>
      <c r="I964" t="s">
        <v>127</v>
      </c>
      <c r="J964" s="2">
        <v>78.319999999999993</v>
      </c>
      <c r="K964">
        <v>9</v>
      </c>
      <c r="L964" t="s">
        <v>94</v>
      </c>
      <c r="M964">
        <v>2</v>
      </c>
      <c r="N964">
        <v>4</v>
      </c>
      <c r="O964">
        <v>2</v>
      </c>
      <c r="P964" t="s">
        <v>69</v>
      </c>
      <c r="Q964" t="s">
        <v>41</v>
      </c>
      <c r="R964">
        <v>2</v>
      </c>
      <c r="S964">
        <v>10</v>
      </c>
      <c r="T964" t="s">
        <v>69</v>
      </c>
      <c r="U964" t="s">
        <v>70</v>
      </c>
      <c r="V964" t="s">
        <v>58</v>
      </c>
      <c r="W964" s="1">
        <v>45502</v>
      </c>
      <c r="X964" t="b">
        <v>0</v>
      </c>
      <c r="Y964" t="b">
        <v>1</v>
      </c>
      <c r="Z964" t="s">
        <v>44</v>
      </c>
      <c r="AA964" t="s">
        <v>60</v>
      </c>
      <c r="AB964">
        <v>7</v>
      </c>
    </row>
    <row r="965" spans="1:28">
      <c r="A965" t="s">
        <v>2161</v>
      </c>
      <c r="B965">
        <v>32</v>
      </c>
      <c r="C965" t="s">
        <v>33</v>
      </c>
      <c r="D965" t="s">
        <v>51</v>
      </c>
      <c r="E965" t="s">
        <v>65</v>
      </c>
      <c r="F965" t="s">
        <v>66</v>
      </c>
      <c r="G965" t="s">
        <v>51</v>
      </c>
      <c r="H965" t="s">
        <v>2162</v>
      </c>
      <c r="I965" t="s">
        <v>153</v>
      </c>
      <c r="J965" s="2">
        <v>71.72</v>
      </c>
      <c r="K965">
        <v>12</v>
      </c>
      <c r="L965" t="s">
        <v>94</v>
      </c>
      <c r="M965">
        <v>3</v>
      </c>
      <c r="N965">
        <v>5</v>
      </c>
      <c r="O965">
        <v>1</v>
      </c>
      <c r="P965" t="s">
        <v>51</v>
      </c>
      <c r="Q965" t="s">
        <v>41</v>
      </c>
      <c r="R965">
        <v>2</v>
      </c>
      <c r="S965">
        <v>5</v>
      </c>
      <c r="T965" t="s">
        <v>69</v>
      </c>
      <c r="U965" t="s">
        <v>42</v>
      </c>
      <c r="V965" t="s">
        <v>58</v>
      </c>
      <c r="W965" s="1">
        <v>45302</v>
      </c>
      <c r="X965" t="b">
        <v>1</v>
      </c>
      <c r="Y965" t="b">
        <v>1</v>
      </c>
      <c r="Z965" t="s">
        <v>59</v>
      </c>
      <c r="AA965" t="s">
        <v>77</v>
      </c>
      <c r="AB965">
        <v>13</v>
      </c>
    </row>
    <row r="966" spans="1:28">
      <c r="A966" t="s">
        <v>2163</v>
      </c>
      <c r="B966">
        <v>39</v>
      </c>
      <c r="C966" t="s">
        <v>33</v>
      </c>
      <c r="D966" t="s">
        <v>51</v>
      </c>
      <c r="E966" t="s">
        <v>65</v>
      </c>
      <c r="F966" t="s">
        <v>52</v>
      </c>
      <c r="G966" t="s">
        <v>51</v>
      </c>
      <c r="H966" t="s">
        <v>2164</v>
      </c>
      <c r="I966" t="s">
        <v>123</v>
      </c>
      <c r="J966" s="2">
        <v>241.1</v>
      </c>
      <c r="K966">
        <v>12</v>
      </c>
      <c r="L966" t="s">
        <v>55</v>
      </c>
      <c r="M966">
        <v>1</v>
      </c>
      <c r="N966">
        <v>5</v>
      </c>
      <c r="O966">
        <v>2</v>
      </c>
      <c r="P966" t="s">
        <v>40</v>
      </c>
      <c r="Q966" t="s">
        <v>57</v>
      </c>
      <c r="R966">
        <v>2</v>
      </c>
      <c r="S966">
        <v>2</v>
      </c>
      <c r="T966" t="s">
        <v>56</v>
      </c>
      <c r="U966" t="s">
        <v>95</v>
      </c>
      <c r="V966" t="s">
        <v>43</v>
      </c>
      <c r="W966" s="1">
        <v>45503</v>
      </c>
      <c r="X966" t="b">
        <v>0</v>
      </c>
      <c r="Y966" t="b">
        <v>1</v>
      </c>
      <c r="Z966" t="s">
        <v>89</v>
      </c>
      <c r="AA966" t="s">
        <v>45</v>
      </c>
      <c r="AB966">
        <v>8</v>
      </c>
    </row>
    <row r="967" spans="1:28">
      <c r="A967" t="s">
        <v>2165</v>
      </c>
      <c r="B967">
        <v>22</v>
      </c>
      <c r="C967" t="s">
        <v>50</v>
      </c>
      <c r="D967" t="s">
        <v>34</v>
      </c>
      <c r="E967" t="s">
        <v>35</v>
      </c>
      <c r="F967" t="s">
        <v>36</v>
      </c>
      <c r="G967" t="s">
        <v>51</v>
      </c>
      <c r="H967" t="s">
        <v>2166</v>
      </c>
      <c r="I967" t="s">
        <v>242</v>
      </c>
      <c r="J967" s="2">
        <v>96.86</v>
      </c>
      <c r="K967">
        <v>9</v>
      </c>
      <c r="L967" t="s">
        <v>39</v>
      </c>
      <c r="M967">
        <v>5</v>
      </c>
      <c r="N967">
        <v>5</v>
      </c>
      <c r="O967">
        <v>0</v>
      </c>
      <c r="P967" t="s">
        <v>40</v>
      </c>
      <c r="Q967" t="s">
        <v>57</v>
      </c>
      <c r="R967">
        <v>2</v>
      </c>
      <c r="S967">
        <v>10</v>
      </c>
      <c r="T967" t="s">
        <v>56</v>
      </c>
      <c r="U967" t="s">
        <v>95</v>
      </c>
      <c r="V967" t="s">
        <v>71</v>
      </c>
      <c r="W967" s="1">
        <v>45501</v>
      </c>
      <c r="X967" t="b">
        <v>0</v>
      </c>
      <c r="Y967" t="b">
        <v>1</v>
      </c>
      <c r="Z967" t="s">
        <v>59</v>
      </c>
      <c r="AA967" t="s">
        <v>60</v>
      </c>
      <c r="AB967">
        <v>7</v>
      </c>
    </row>
    <row r="968" spans="1:28">
      <c r="A968" t="s">
        <v>2167</v>
      </c>
      <c r="B968">
        <v>48</v>
      </c>
      <c r="C968" t="s">
        <v>50</v>
      </c>
      <c r="D968" t="s">
        <v>34</v>
      </c>
      <c r="E968" t="s">
        <v>92</v>
      </c>
      <c r="F968" t="s">
        <v>66</v>
      </c>
      <c r="G968" t="s">
        <v>51</v>
      </c>
      <c r="H968" t="s">
        <v>2168</v>
      </c>
      <c r="I968" t="s">
        <v>54</v>
      </c>
      <c r="J968" s="2">
        <v>276.25</v>
      </c>
      <c r="K968">
        <v>11</v>
      </c>
      <c r="L968" t="s">
        <v>55</v>
      </c>
      <c r="M968">
        <v>2</v>
      </c>
      <c r="N968">
        <v>1</v>
      </c>
      <c r="O968">
        <v>2</v>
      </c>
      <c r="P968" t="s">
        <v>51</v>
      </c>
      <c r="Q968" t="s">
        <v>57</v>
      </c>
      <c r="R968">
        <v>2</v>
      </c>
      <c r="S968">
        <v>4</v>
      </c>
      <c r="T968" t="s">
        <v>40</v>
      </c>
      <c r="U968" t="s">
        <v>70</v>
      </c>
      <c r="V968" t="s">
        <v>102</v>
      </c>
      <c r="W968" s="1">
        <v>45607</v>
      </c>
      <c r="X968" t="b">
        <v>1</v>
      </c>
      <c r="Y968" t="b">
        <v>1</v>
      </c>
      <c r="Z968" t="s">
        <v>72</v>
      </c>
      <c r="AA968" t="s">
        <v>77</v>
      </c>
      <c r="AB968">
        <v>8</v>
      </c>
    </row>
    <row r="969" spans="1:28">
      <c r="A969" t="s">
        <v>2169</v>
      </c>
      <c r="B969">
        <v>29</v>
      </c>
      <c r="C969" t="s">
        <v>50</v>
      </c>
      <c r="D969" t="s">
        <v>34</v>
      </c>
      <c r="E969" t="s">
        <v>82</v>
      </c>
      <c r="F969" t="s">
        <v>66</v>
      </c>
      <c r="G969" t="s">
        <v>34</v>
      </c>
      <c r="H969" t="s">
        <v>2170</v>
      </c>
      <c r="I969" t="s">
        <v>68</v>
      </c>
      <c r="J969" s="2">
        <v>318.45</v>
      </c>
      <c r="K969">
        <v>10</v>
      </c>
      <c r="L969" t="s">
        <v>55</v>
      </c>
      <c r="M969">
        <v>2</v>
      </c>
      <c r="N969">
        <v>1</v>
      </c>
      <c r="O969">
        <v>2</v>
      </c>
      <c r="P969" t="s">
        <v>40</v>
      </c>
      <c r="Q969" t="s">
        <v>41</v>
      </c>
      <c r="R969">
        <v>2</v>
      </c>
      <c r="S969">
        <v>4</v>
      </c>
      <c r="T969" t="s">
        <v>51</v>
      </c>
      <c r="U969" t="s">
        <v>70</v>
      </c>
      <c r="V969" t="s">
        <v>76</v>
      </c>
      <c r="W969" s="1">
        <v>45590</v>
      </c>
      <c r="X969" t="b">
        <v>0</v>
      </c>
      <c r="Y969" t="b">
        <v>1</v>
      </c>
      <c r="Z969" t="s">
        <v>89</v>
      </c>
      <c r="AA969" t="s">
        <v>45</v>
      </c>
      <c r="AB969">
        <v>5</v>
      </c>
    </row>
    <row r="970" spans="1:28">
      <c r="A970" t="s">
        <v>2171</v>
      </c>
      <c r="B970">
        <v>41</v>
      </c>
      <c r="C970" t="s">
        <v>33</v>
      </c>
      <c r="D970" t="s">
        <v>51</v>
      </c>
      <c r="E970" t="s">
        <v>35</v>
      </c>
      <c r="F970" t="s">
        <v>52</v>
      </c>
      <c r="G970" t="s">
        <v>51</v>
      </c>
      <c r="H970" t="s">
        <v>2417</v>
      </c>
      <c r="I970" t="s">
        <v>127</v>
      </c>
      <c r="J970" s="2">
        <v>117.03</v>
      </c>
      <c r="K970">
        <v>6</v>
      </c>
      <c r="L970" t="s">
        <v>94</v>
      </c>
      <c r="M970">
        <v>3</v>
      </c>
      <c r="N970">
        <v>2</v>
      </c>
      <c r="O970">
        <v>0</v>
      </c>
      <c r="P970" t="s">
        <v>40</v>
      </c>
      <c r="Q970" t="s">
        <v>101</v>
      </c>
      <c r="R970">
        <v>2</v>
      </c>
      <c r="S970">
        <v>9</v>
      </c>
      <c r="T970" t="s">
        <v>56</v>
      </c>
      <c r="U970" t="s">
        <v>42</v>
      </c>
      <c r="V970" t="s">
        <v>102</v>
      </c>
      <c r="W970" s="1">
        <v>45555</v>
      </c>
      <c r="X970" t="b">
        <v>0</v>
      </c>
      <c r="Y970" t="b">
        <v>0</v>
      </c>
      <c r="Z970" t="s">
        <v>72</v>
      </c>
      <c r="AA970" t="s">
        <v>60</v>
      </c>
      <c r="AB970">
        <v>5</v>
      </c>
    </row>
    <row r="971" spans="1:28">
      <c r="A971" t="s">
        <v>2173</v>
      </c>
      <c r="B971">
        <v>50</v>
      </c>
      <c r="C971" t="s">
        <v>33</v>
      </c>
      <c r="D971" t="s">
        <v>34</v>
      </c>
      <c r="E971" t="s">
        <v>35</v>
      </c>
      <c r="F971" t="s">
        <v>66</v>
      </c>
      <c r="G971" t="s">
        <v>51</v>
      </c>
      <c r="H971" t="s">
        <v>2174</v>
      </c>
      <c r="I971" t="s">
        <v>156</v>
      </c>
      <c r="J971" s="2">
        <v>490.41</v>
      </c>
      <c r="K971">
        <v>7</v>
      </c>
      <c r="L971" t="s">
        <v>94</v>
      </c>
      <c r="M971">
        <v>3</v>
      </c>
      <c r="N971">
        <v>5</v>
      </c>
      <c r="O971">
        <v>1</v>
      </c>
      <c r="P971" t="s">
        <v>56</v>
      </c>
      <c r="Q971" t="s">
        <v>101</v>
      </c>
      <c r="R971">
        <v>1</v>
      </c>
      <c r="S971">
        <v>10</v>
      </c>
      <c r="T971" t="s">
        <v>69</v>
      </c>
      <c r="U971" t="s">
        <v>42</v>
      </c>
      <c r="V971" t="s">
        <v>76</v>
      </c>
      <c r="W971" s="1">
        <v>45587</v>
      </c>
      <c r="X971" t="b">
        <v>1</v>
      </c>
      <c r="Y971" t="b">
        <v>0</v>
      </c>
      <c r="Z971" t="s">
        <v>89</v>
      </c>
      <c r="AA971" t="s">
        <v>60</v>
      </c>
      <c r="AB971">
        <v>5</v>
      </c>
    </row>
    <row r="972" spans="1:28">
      <c r="A972" t="s">
        <v>2175</v>
      </c>
      <c r="B972">
        <v>48</v>
      </c>
      <c r="C972" t="s">
        <v>50</v>
      </c>
      <c r="D972" t="s">
        <v>34</v>
      </c>
      <c r="E972" t="s">
        <v>92</v>
      </c>
      <c r="F972" t="s">
        <v>36</v>
      </c>
      <c r="G972" t="s">
        <v>51</v>
      </c>
      <c r="H972" t="s">
        <v>2176</v>
      </c>
      <c r="I972" t="s">
        <v>180</v>
      </c>
      <c r="J972" s="2">
        <v>476.42</v>
      </c>
      <c r="K972">
        <v>7</v>
      </c>
      <c r="L972" t="s">
        <v>55</v>
      </c>
      <c r="M972">
        <v>1</v>
      </c>
      <c r="N972">
        <v>1</v>
      </c>
      <c r="O972">
        <v>1</v>
      </c>
      <c r="P972" t="s">
        <v>51</v>
      </c>
      <c r="Q972" t="s">
        <v>101</v>
      </c>
      <c r="R972">
        <v>0</v>
      </c>
      <c r="S972">
        <v>2</v>
      </c>
      <c r="T972" t="s">
        <v>51</v>
      </c>
      <c r="U972" t="s">
        <v>95</v>
      </c>
      <c r="V972" t="s">
        <v>71</v>
      </c>
      <c r="W972" s="1">
        <v>45544</v>
      </c>
      <c r="X972" t="b">
        <v>1</v>
      </c>
      <c r="Y972" t="b">
        <v>0</v>
      </c>
      <c r="Z972" t="s">
        <v>44</v>
      </c>
      <c r="AA972" t="s">
        <v>60</v>
      </c>
      <c r="AB972">
        <v>2</v>
      </c>
    </row>
    <row r="973" spans="1:28">
      <c r="A973" t="s">
        <v>2177</v>
      </c>
      <c r="B973">
        <v>29</v>
      </c>
      <c r="C973" t="s">
        <v>33</v>
      </c>
      <c r="D973" t="s">
        <v>51</v>
      </c>
      <c r="E973" t="s">
        <v>92</v>
      </c>
      <c r="F973" t="s">
        <v>66</v>
      </c>
      <c r="G973" t="s">
        <v>51</v>
      </c>
      <c r="H973" t="s">
        <v>2178</v>
      </c>
      <c r="I973" t="s">
        <v>235</v>
      </c>
      <c r="J973" s="2">
        <v>392.27</v>
      </c>
      <c r="K973">
        <v>5</v>
      </c>
      <c r="L973" t="s">
        <v>39</v>
      </c>
      <c r="M973">
        <v>4</v>
      </c>
      <c r="N973">
        <v>5</v>
      </c>
      <c r="O973">
        <v>1</v>
      </c>
      <c r="P973" t="s">
        <v>51</v>
      </c>
      <c r="Q973" t="s">
        <v>57</v>
      </c>
      <c r="R973">
        <v>0</v>
      </c>
      <c r="S973">
        <v>2</v>
      </c>
      <c r="T973" t="s">
        <v>69</v>
      </c>
      <c r="U973" t="s">
        <v>42</v>
      </c>
      <c r="V973" t="s">
        <v>76</v>
      </c>
      <c r="W973" s="1">
        <v>45490</v>
      </c>
      <c r="X973" t="b">
        <v>1</v>
      </c>
      <c r="Y973" t="b">
        <v>0</v>
      </c>
      <c r="Z973" t="s">
        <v>59</v>
      </c>
      <c r="AA973" t="s">
        <v>45</v>
      </c>
      <c r="AB973">
        <v>7</v>
      </c>
    </row>
    <row r="974" spans="1:28">
      <c r="A974" t="s">
        <v>2179</v>
      </c>
      <c r="B974">
        <v>36</v>
      </c>
      <c r="C974" t="s">
        <v>50</v>
      </c>
      <c r="D974" t="s">
        <v>51</v>
      </c>
      <c r="E974" t="s">
        <v>65</v>
      </c>
      <c r="F974" t="s">
        <v>36</v>
      </c>
      <c r="G974" t="s">
        <v>34</v>
      </c>
      <c r="H974" t="s">
        <v>2180</v>
      </c>
      <c r="I974" t="s">
        <v>135</v>
      </c>
      <c r="J974" s="2">
        <v>207.24</v>
      </c>
      <c r="K974">
        <v>9</v>
      </c>
      <c r="L974" t="s">
        <v>94</v>
      </c>
      <c r="M974">
        <v>2</v>
      </c>
      <c r="N974">
        <v>2</v>
      </c>
      <c r="O974">
        <v>0</v>
      </c>
      <c r="P974" t="s">
        <v>69</v>
      </c>
      <c r="Q974" t="s">
        <v>57</v>
      </c>
      <c r="R974">
        <v>0</v>
      </c>
      <c r="S974">
        <v>6</v>
      </c>
      <c r="T974" t="s">
        <v>40</v>
      </c>
      <c r="U974" t="s">
        <v>95</v>
      </c>
      <c r="V974" t="s">
        <v>71</v>
      </c>
      <c r="W974" s="1">
        <v>45424</v>
      </c>
      <c r="X974" t="b">
        <v>1</v>
      </c>
      <c r="Y974" t="b">
        <v>0</v>
      </c>
      <c r="Z974" t="s">
        <v>72</v>
      </c>
      <c r="AA974" t="s">
        <v>45</v>
      </c>
      <c r="AB974">
        <v>3</v>
      </c>
    </row>
    <row r="975" spans="1:28">
      <c r="A975" t="s">
        <v>2181</v>
      </c>
      <c r="B975">
        <v>43</v>
      </c>
      <c r="C975" t="s">
        <v>50</v>
      </c>
      <c r="D975" t="s">
        <v>51</v>
      </c>
      <c r="E975" t="s">
        <v>92</v>
      </c>
      <c r="F975" t="s">
        <v>52</v>
      </c>
      <c r="G975" t="s">
        <v>34</v>
      </c>
      <c r="H975" t="s">
        <v>2182</v>
      </c>
      <c r="I975" t="s">
        <v>38</v>
      </c>
      <c r="J975" s="2">
        <v>141.63</v>
      </c>
      <c r="K975">
        <v>3</v>
      </c>
      <c r="L975" t="s">
        <v>94</v>
      </c>
      <c r="M975">
        <v>4</v>
      </c>
      <c r="N975">
        <v>1</v>
      </c>
      <c r="O975">
        <v>1</v>
      </c>
      <c r="P975" t="s">
        <v>40</v>
      </c>
      <c r="Q975" t="s">
        <v>41</v>
      </c>
      <c r="R975">
        <v>1</v>
      </c>
      <c r="S975">
        <v>8</v>
      </c>
      <c r="T975" t="s">
        <v>69</v>
      </c>
      <c r="U975" t="s">
        <v>70</v>
      </c>
      <c r="V975" t="s">
        <v>102</v>
      </c>
      <c r="W975" s="1">
        <v>45576</v>
      </c>
      <c r="X975" t="b">
        <v>1</v>
      </c>
      <c r="Y975" t="b">
        <v>1</v>
      </c>
      <c r="Z975" t="s">
        <v>89</v>
      </c>
      <c r="AA975" t="s">
        <v>77</v>
      </c>
      <c r="AB975">
        <v>11</v>
      </c>
    </row>
    <row r="976" spans="1:28">
      <c r="A976" t="s">
        <v>2183</v>
      </c>
      <c r="B976">
        <v>30</v>
      </c>
      <c r="C976" t="s">
        <v>50</v>
      </c>
      <c r="D976" t="s">
        <v>51</v>
      </c>
      <c r="E976" t="s">
        <v>82</v>
      </c>
      <c r="F976" t="s">
        <v>36</v>
      </c>
      <c r="G976" t="s">
        <v>51</v>
      </c>
      <c r="H976" t="s">
        <v>2184</v>
      </c>
      <c r="I976" t="s">
        <v>75</v>
      </c>
      <c r="J976" s="2">
        <v>244.47</v>
      </c>
      <c r="K976">
        <v>5</v>
      </c>
      <c r="L976" t="s">
        <v>94</v>
      </c>
      <c r="M976">
        <v>3</v>
      </c>
      <c r="N976">
        <v>4</v>
      </c>
      <c r="O976">
        <v>1</v>
      </c>
      <c r="P976" t="s">
        <v>51</v>
      </c>
      <c r="Q976" t="s">
        <v>101</v>
      </c>
      <c r="R976">
        <v>1</v>
      </c>
      <c r="S976">
        <v>5</v>
      </c>
      <c r="T976" t="s">
        <v>69</v>
      </c>
      <c r="U976" t="s">
        <v>70</v>
      </c>
      <c r="V976" t="s">
        <v>102</v>
      </c>
      <c r="W976" s="1">
        <v>45466</v>
      </c>
      <c r="X976" t="b">
        <v>0</v>
      </c>
      <c r="Y976" t="b">
        <v>0</v>
      </c>
      <c r="Z976" t="s">
        <v>72</v>
      </c>
      <c r="AA976" t="s">
        <v>45</v>
      </c>
      <c r="AB976">
        <v>4</v>
      </c>
    </row>
    <row r="977" spans="1:28">
      <c r="A977" t="s">
        <v>2185</v>
      </c>
      <c r="B977">
        <v>24</v>
      </c>
      <c r="C977" t="s">
        <v>50</v>
      </c>
      <c r="D977" t="s">
        <v>51</v>
      </c>
      <c r="E977" t="s">
        <v>35</v>
      </c>
      <c r="F977" t="s">
        <v>66</v>
      </c>
      <c r="G977" t="s">
        <v>51</v>
      </c>
      <c r="H977" t="s">
        <v>2418</v>
      </c>
      <c r="I977" t="s">
        <v>38</v>
      </c>
      <c r="J977" s="2">
        <v>251.63</v>
      </c>
      <c r="K977">
        <v>9</v>
      </c>
      <c r="L977" t="s">
        <v>94</v>
      </c>
      <c r="M977">
        <v>3</v>
      </c>
      <c r="N977">
        <v>1</v>
      </c>
      <c r="O977">
        <v>0</v>
      </c>
      <c r="P977" t="s">
        <v>69</v>
      </c>
      <c r="Q977" t="s">
        <v>57</v>
      </c>
      <c r="R977">
        <v>0</v>
      </c>
      <c r="S977">
        <v>2</v>
      </c>
      <c r="T977" t="s">
        <v>51</v>
      </c>
      <c r="U977" t="s">
        <v>95</v>
      </c>
      <c r="V977" t="s">
        <v>43</v>
      </c>
      <c r="W977" s="1">
        <v>45527</v>
      </c>
      <c r="X977" t="b">
        <v>1</v>
      </c>
      <c r="Y977" t="b">
        <v>1</v>
      </c>
      <c r="Z977" t="s">
        <v>44</v>
      </c>
      <c r="AA977" t="s">
        <v>77</v>
      </c>
      <c r="AB977">
        <v>10</v>
      </c>
    </row>
    <row r="978" spans="1:28">
      <c r="A978" t="s">
        <v>2186</v>
      </c>
      <c r="B978">
        <v>30</v>
      </c>
      <c r="C978" t="s">
        <v>50</v>
      </c>
      <c r="D978" t="s">
        <v>34</v>
      </c>
      <c r="E978" t="s">
        <v>92</v>
      </c>
      <c r="F978" t="s">
        <v>36</v>
      </c>
      <c r="G978" t="s">
        <v>34</v>
      </c>
      <c r="H978" t="s">
        <v>2187</v>
      </c>
      <c r="I978" t="s">
        <v>156</v>
      </c>
      <c r="J978" s="2">
        <v>431.78</v>
      </c>
      <c r="K978">
        <v>12</v>
      </c>
      <c r="L978" t="s">
        <v>94</v>
      </c>
      <c r="M978">
        <v>1</v>
      </c>
      <c r="N978">
        <v>3</v>
      </c>
      <c r="O978">
        <v>1</v>
      </c>
      <c r="P978" t="s">
        <v>56</v>
      </c>
      <c r="Q978" t="s">
        <v>101</v>
      </c>
      <c r="R978">
        <v>1</v>
      </c>
      <c r="S978">
        <v>8</v>
      </c>
      <c r="T978" t="s">
        <v>69</v>
      </c>
      <c r="U978" t="s">
        <v>70</v>
      </c>
      <c r="V978" t="s">
        <v>58</v>
      </c>
      <c r="W978" s="1">
        <v>45337</v>
      </c>
      <c r="X978" t="b">
        <v>1</v>
      </c>
      <c r="Y978" t="b">
        <v>0</v>
      </c>
      <c r="Z978" t="s">
        <v>72</v>
      </c>
      <c r="AA978" t="s">
        <v>45</v>
      </c>
      <c r="AB978">
        <v>7</v>
      </c>
    </row>
    <row r="979" spans="1:28">
      <c r="A979" t="s">
        <v>2188</v>
      </c>
      <c r="B979">
        <v>37</v>
      </c>
      <c r="C979" t="s">
        <v>33</v>
      </c>
      <c r="D979" t="s">
        <v>34</v>
      </c>
      <c r="E979" t="s">
        <v>35</v>
      </c>
      <c r="F979" t="s">
        <v>66</v>
      </c>
      <c r="G979" t="s">
        <v>51</v>
      </c>
      <c r="H979" t="s">
        <v>2189</v>
      </c>
      <c r="I979" t="s">
        <v>306</v>
      </c>
      <c r="J979" s="2">
        <v>303.08999999999997</v>
      </c>
      <c r="K979">
        <v>2</v>
      </c>
      <c r="L979" t="s">
        <v>94</v>
      </c>
      <c r="M979">
        <v>2</v>
      </c>
      <c r="N979">
        <v>5</v>
      </c>
      <c r="O979">
        <v>1</v>
      </c>
      <c r="P979" t="s">
        <v>40</v>
      </c>
      <c r="Q979" t="s">
        <v>101</v>
      </c>
      <c r="R979">
        <v>2</v>
      </c>
      <c r="S979">
        <v>9</v>
      </c>
      <c r="T979" t="s">
        <v>40</v>
      </c>
      <c r="U979" t="s">
        <v>42</v>
      </c>
      <c r="V979" t="s">
        <v>76</v>
      </c>
      <c r="W979" s="1">
        <v>45301</v>
      </c>
      <c r="X979" t="b">
        <v>0</v>
      </c>
      <c r="Y979" t="b">
        <v>0</v>
      </c>
      <c r="Z979" t="s">
        <v>72</v>
      </c>
      <c r="AA979" t="s">
        <v>45</v>
      </c>
      <c r="AB979">
        <v>11</v>
      </c>
    </row>
    <row r="980" spans="1:28">
      <c r="A980" t="s">
        <v>2190</v>
      </c>
      <c r="B980">
        <v>40</v>
      </c>
      <c r="C980" t="s">
        <v>50</v>
      </c>
      <c r="D980" t="s">
        <v>51</v>
      </c>
      <c r="E980" t="s">
        <v>35</v>
      </c>
      <c r="F980" t="s">
        <v>36</v>
      </c>
      <c r="G980" t="s">
        <v>51</v>
      </c>
      <c r="H980" t="s">
        <v>2191</v>
      </c>
      <c r="I980" t="s">
        <v>242</v>
      </c>
      <c r="J980" s="2">
        <v>341.24</v>
      </c>
      <c r="K980">
        <v>9</v>
      </c>
      <c r="L980" t="s">
        <v>39</v>
      </c>
      <c r="M980">
        <v>5</v>
      </c>
      <c r="N980">
        <v>5</v>
      </c>
      <c r="O980">
        <v>2</v>
      </c>
      <c r="P980" t="s">
        <v>69</v>
      </c>
      <c r="Q980" t="s">
        <v>41</v>
      </c>
      <c r="R980">
        <v>1</v>
      </c>
      <c r="S980">
        <v>3</v>
      </c>
      <c r="T980" t="s">
        <v>40</v>
      </c>
      <c r="U980" t="s">
        <v>42</v>
      </c>
      <c r="V980" t="s">
        <v>43</v>
      </c>
      <c r="W980" s="1">
        <v>45614</v>
      </c>
      <c r="X980" t="b">
        <v>1</v>
      </c>
      <c r="Y980" t="b">
        <v>0</v>
      </c>
      <c r="Z980" t="s">
        <v>44</v>
      </c>
      <c r="AA980" t="s">
        <v>60</v>
      </c>
      <c r="AB980">
        <v>4</v>
      </c>
    </row>
    <row r="981" spans="1:28">
      <c r="A981" t="s">
        <v>2192</v>
      </c>
      <c r="B981">
        <v>30</v>
      </c>
      <c r="C981" t="s">
        <v>33</v>
      </c>
      <c r="D981" t="s">
        <v>34</v>
      </c>
      <c r="E981" t="s">
        <v>92</v>
      </c>
      <c r="F981" t="s">
        <v>66</v>
      </c>
      <c r="G981" t="s">
        <v>51</v>
      </c>
      <c r="H981" t="s">
        <v>2193</v>
      </c>
      <c r="I981" t="s">
        <v>147</v>
      </c>
      <c r="J981" s="2">
        <v>211.39</v>
      </c>
      <c r="K981">
        <v>10</v>
      </c>
      <c r="L981" t="s">
        <v>94</v>
      </c>
      <c r="M981">
        <v>4</v>
      </c>
      <c r="N981">
        <v>5</v>
      </c>
      <c r="O981">
        <v>1</v>
      </c>
      <c r="P981" t="s">
        <v>56</v>
      </c>
      <c r="Q981" t="s">
        <v>57</v>
      </c>
      <c r="R981">
        <v>0</v>
      </c>
      <c r="S981">
        <v>1</v>
      </c>
      <c r="T981" t="s">
        <v>69</v>
      </c>
      <c r="U981" t="s">
        <v>95</v>
      </c>
      <c r="V981" t="s">
        <v>76</v>
      </c>
      <c r="W981" s="1">
        <v>45422</v>
      </c>
      <c r="X981" t="b">
        <v>1</v>
      </c>
      <c r="Y981" t="b">
        <v>0</v>
      </c>
      <c r="Z981" t="s">
        <v>89</v>
      </c>
      <c r="AA981" t="s">
        <v>77</v>
      </c>
      <c r="AB981">
        <v>1</v>
      </c>
    </row>
    <row r="982" spans="1:28">
      <c r="A982" t="s">
        <v>2194</v>
      </c>
      <c r="B982">
        <v>39</v>
      </c>
      <c r="C982" t="s">
        <v>33</v>
      </c>
      <c r="D982" t="s">
        <v>34</v>
      </c>
      <c r="E982" t="s">
        <v>35</v>
      </c>
      <c r="F982" t="s">
        <v>36</v>
      </c>
      <c r="G982" t="s">
        <v>34</v>
      </c>
      <c r="H982" t="s">
        <v>1463</v>
      </c>
      <c r="I982" t="s">
        <v>147</v>
      </c>
      <c r="J982" s="2">
        <v>379.21</v>
      </c>
      <c r="K982">
        <v>9</v>
      </c>
      <c r="L982" t="s">
        <v>39</v>
      </c>
      <c r="M982">
        <v>1</v>
      </c>
      <c r="N982">
        <v>5</v>
      </c>
      <c r="O982">
        <v>1</v>
      </c>
      <c r="P982" t="s">
        <v>69</v>
      </c>
      <c r="Q982" t="s">
        <v>41</v>
      </c>
      <c r="R982">
        <v>1</v>
      </c>
      <c r="S982">
        <v>1</v>
      </c>
      <c r="T982" t="s">
        <v>51</v>
      </c>
      <c r="U982" t="s">
        <v>70</v>
      </c>
      <c r="V982" t="s">
        <v>58</v>
      </c>
      <c r="W982" s="1">
        <v>45553</v>
      </c>
      <c r="X982" t="b">
        <v>1</v>
      </c>
      <c r="Y982" t="b">
        <v>1</v>
      </c>
      <c r="Z982" t="s">
        <v>72</v>
      </c>
      <c r="AA982" t="s">
        <v>45</v>
      </c>
      <c r="AB982">
        <v>1</v>
      </c>
    </row>
    <row r="983" spans="1:28">
      <c r="A983" t="s">
        <v>2195</v>
      </c>
      <c r="B983">
        <v>46</v>
      </c>
      <c r="C983" t="s">
        <v>33</v>
      </c>
      <c r="D983" t="s">
        <v>51</v>
      </c>
      <c r="E983" t="s">
        <v>82</v>
      </c>
      <c r="F983" t="s">
        <v>66</v>
      </c>
      <c r="G983" t="s">
        <v>51</v>
      </c>
      <c r="H983" t="s">
        <v>2196</v>
      </c>
      <c r="I983" t="s">
        <v>112</v>
      </c>
      <c r="J983" s="2">
        <v>309.52999999999997</v>
      </c>
      <c r="K983">
        <v>8</v>
      </c>
      <c r="L983" t="s">
        <v>39</v>
      </c>
      <c r="M983">
        <v>2</v>
      </c>
      <c r="N983">
        <v>1</v>
      </c>
      <c r="O983">
        <v>1</v>
      </c>
      <c r="P983" t="s">
        <v>40</v>
      </c>
      <c r="Q983" t="s">
        <v>101</v>
      </c>
      <c r="R983">
        <v>2</v>
      </c>
      <c r="S983">
        <v>6</v>
      </c>
      <c r="T983" t="s">
        <v>40</v>
      </c>
      <c r="U983" t="s">
        <v>70</v>
      </c>
      <c r="V983" t="s">
        <v>102</v>
      </c>
      <c r="W983" s="1">
        <v>45396</v>
      </c>
      <c r="X983" t="b">
        <v>0</v>
      </c>
      <c r="Y983" t="b">
        <v>1</v>
      </c>
      <c r="Z983" t="s">
        <v>89</v>
      </c>
      <c r="AA983" t="s">
        <v>60</v>
      </c>
      <c r="AB983">
        <v>5</v>
      </c>
    </row>
    <row r="984" spans="1:28">
      <c r="A984" t="s">
        <v>2197</v>
      </c>
      <c r="B984">
        <v>48</v>
      </c>
      <c r="C984" t="s">
        <v>50</v>
      </c>
      <c r="D984" t="s">
        <v>34</v>
      </c>
      <c r="E984" t="s">
        <v>92</v>
      </c>
      <c r="F984" t="s">
        <v>66</v>
      </c>
      <c r="G984" t="s">
        <v>51</v>
      </c>
      <c r="H984" t="s">
        <v>2198</v>
      </c>
      <c r="I984" t="s">
        <v>98</v>
      </c>
      <c r="J984" s="2">
        <v>359.45</v>
      </c>
      <c r="K984">
        <v>6</v>
      </c>
      <c r="L984" t="s">
        <v>94</v>
      </c>
      <c r="M984">
        <v>4</v>
      </c>
      <c r="N984">
        <v>1</v>
      </c>
      <c r="O984">
        <v>2</v>
      </c>
      <c r="P984" t="s">
        <v>69</v>
      </c>
      <c r="Q984" t="s">
        <v>57</v>
      </c>
      <c r="R984">
        <v>1</v>
      </c>
      <c r="S984">
        <v>8</v>
      </c>
      <c r="T984" t="s">
        <v>56</v>
      </c>
      <c r="U984" t="s">
        <v>95</v>
      </c>
      <c r="V984" t="s">
        <v>76</v>
      </c>
      <c r="W984" s="1">
        <v>45357</v>
      </c>
      <c r="X984" t="b">
        <v>0</v>
      </c>
      <c r="Y984" t="b">
        <v>0</v>
      </c>
      <c r="Z984" t="s">
        <v>72</v>
      </c>
      <c r="AA984" t="s">
        <v>60</v>
      </c>
      <c r="AB984">
        <v>11</v>
      </c>
    </row>
    <row r="985" spans="1:28">
      <c r="A985" t="s">
        <v>2199</v>
      </c>
      <c r="B985">
        <v>20</v>
      </c>
      <c r="C985" t="s">
        <v>33</v>
      </c>
      <c r="D985" t="s">
        <v>51</v>
      </c>
      <c r="E985" t="s">
        <v>82</v>
      </c>
      <c r="F985" t="s">
        <v>52</v>
      </c>
      <c r="G985" t="s">
        <v>34</v>
      </c>
      <c r="H985" t="s">
        <v>2419</v>
      </c>
      <c r="I985" t="s">
        <v>135</v>
      </c>
      <c r="J985" s="2">
        <v>479.62</v>
      </c>
      <c r="K985">
        <v>8</v>
      </c>
      <c r="L985" t="s">
        <v>55</v>
      </c>
      <c r="M985">
        <v>3</v>
      </c>
      <c r="N985">
        <v>1</v>
      </c>
      <c r="O985">
        <v>2</v>
      </c>
      <c r="P985" t="s">
        <v>51</v>
      </c>
      <c r="Q985" t="s">
        <v>57</v>
      </c>
      <c r="R985">
        <v>1</v>
      </c>
      <c r="S985">
        <v>3</v>
      </c>
      <c r="T985" t="s">
        <v>69</v>
      </c>
      <c r="U985" t="s">
        <v>42</v>
      </c>
      <c r="V985" t="s">
        <v>76</v>
      </c>
      <c r="W985" s="1">
        <v>45401</v>
      </c>
      <c r="X985" t="b">
        <v>0</v>
      </c>
      <c r="Y985" t="b">
        <v>0</v>
      </c>
      <c r="Z985" t="s">
        <v>89</v>
      </c>
      <c r="AA985" t="s">
        <v>77</v>
      </c>
      <c r="AB985">
        <v>10</v>
      </c>
    </row>
    <row r="986" spans="1:28">
      <c r="A986" t="s">
        <v>2202</v>
      </c>
      <c r="B986">
        <v>34</v>
      </c>
      <c r="C986" t="s">
        <v>50</v>
      </c>
      <c r="D986" t="s">
        <v>51</v>
      </c>
      <c r="E986" t="s">
        <v>35</v>
      </c>
      <c r="F986" t="s">
        <v>36</v>
      </c>
      <c r="G986" t="s">
        <v>34</v>
      </c>
      <c r="H986" t="s">
        <v>2203</v>
      </c>
      <c r="I986" t="s">
        <v>147</v>
      </c>
      <c r="J986" s="2">
        <v>208.6</v>
      </c>
      <c r="K986">
        <v>2</v>
      </c>
      <c r="L986" t="s">
        <v>39</v>
      </c>
      <c r="M986">
        <v>5</v>
      </c>
      <c r="N986">
        <v>1</v>
      </c>
      <c r="O986">
        <v>2</v>
      </c>
      <c r="P986" t="s">
        <v>40</v>
      </c>
      <c r="Q986" t="s">
        <v>41</v>
      </c>
      <c r="R986">
        <v>0</v>
      </c>
      <c r="S986">
        <v>5</v>
      </c>
      <c r="T986" t="s">
        <v>51</v>
      </c>
      <c r="U986" t="s">
        <v>70</v>
      </c>
      <c r="V986" t="s">
        <v>43</v>
      </c>
      <c r="W986" s="1">
        <v>45351</v>
      </c>
      <c r="X986" t="b">
        <v>1</v>
      </c>
      <c r="Y986" t="b">
        <v>1</v>
      </c>
      <c r="Z986" t="s">
        <v>72</v>
      </c>
      <c r="AA986" t="s">
        <v>60</v>
      </c>
      <c r="AB986">
        <v>3</v>
      </c>
    </row>
    <row r="987" spans="1:28">
      <c r="A987" t="s">
        <v>2204</v>
      </c>
      <c r="B987">
        <v>50</v>
      </c>
      <c r="C987" t="s">
        <v>33</v>
      </c>
      <c r="D987" t="s">
        <v>34</v>
      </c>
      <c r="E987" t="s">
        <v>65</v>
      </c>
      <c r="F987" t="s">
        <v>66</v>
      </c>
      <c r="G987" t="s">
        <v>51</v>
      </c>
      <c r="H987" t="s">
        <v>2205</v>
      </c>
      <c r="I987" t="s">
        <v>150</v>
      </c>
      <c r="J987" s="2">
        <v>180.21</v>
      </c>
      <c r="K987">
        <v>2</v>
      </c>
      <c r="L987" t="s">
        <v>39</v>
      </c>
      <c r="M987">
        <v>5</v>
      </c>
      <c r="N987">
        <v>5</v>
      </c>
      <c r="O987">
        <v>0</v>
      </c>
      <c r="P987" t="s">
        <v>40</v>
      </c>
      <c r="Q987" t="s">
        <v>101</v>
      </c>
      <c r="R987">
        <v>1</v>
      </c>
      <c r="S987">
        <v>1</v>
      </c>
      <c r="T987" t="s">
        <v>56</v>
      </c>
      <c r="U987" t="s">
        <v>95</v>
      </c>
      <c r="V987" t="s">
        <v>102</v>
      </c>
      <c r="W987" s="1">
        <v>45313</v>
      </c>
      <c r="X987" t="b">
        <v>0</v>
      </c>
      <c r="Y987" t="b">
        <v>1</v>
      </c>
      <c r="Z987" t="s">
        <v>44</v>
      </c>
      <c r="AA987" t="s">
        <v>77</v>
      </c>
      <c r="AB987">
        <v>14</v>
      </c>
    </row>
    <row r="988" spans="1:28">
      <c r="A988" t="s">
        <v>2206</v>
      </c>
      <c r="B988">
        <v>25</v>
      </c>
      <c r="C988" t="s">
        <v>50</v>
      </c>
      <c r="D988" t="s">
        <v>34</v>
      </c>
      <c r="E988" t="s">
        <v>65</v>
      </c>
      <c r="F988" t="s">
        <v>52</v>
      </c>
      <c r="G988" t="s">
        <v>51</v>
      </c>
      <c r="H988" t="s">
        <v>2207</v>
      </c>
      <c r="I988" t="s">
        <v>147</v>
      </c>
      <c r="J988" s="2">
        <v>197.9</v>
      </c>
      <c r="K988">
        <v>3</v>
      </c>
      <c r="L988" t="s">
        <v>39</v>
      </c>
      <c r="M988">
        <v>2</v>
      </c>
      <c r="N988">
        <v>1</v>
      </c>
      <c r="O988">
        <v>2</v>
      </c>
      <c r="P988" t="s">
        <v>56</v>
      </c>
      <c r="Q988" t="s">
        <v>57</v>
      </c>
      <c r="R988">
        <v>0</v>
      </c>
      <c r="S988">
        <v>8</v>
      </c>
      <c r="T988" t="s">
        <v>51</v>
      </c>
      <c r="U988" t="s">
        <v>95</v>
      </c>
      <c r="V988" t="s">
        <v>71</v>
      </c>
      <c r="W988" s="1">
        <v>45309</v>
      </c>
      <c r="X988" t="b">
        <v>1</v>
      </c>
      <c r="Y988" t="b">
        <v>1</v>
      </c>
      <c r="Z988" t="s">
        <v>59</v>
      </c>
      <c r="AA988" t="s">
        <v>60</v>
      </c>
      <c r="AB988">
        <v>14</v>
      </c>
    </row>
    <row r="989" spans="1:28">
      <c r="A989" t="s">
        <v>2208</v>
      </c>
      <c r="B989">
        <v>49</v>
      </c>
      <c r="C989" t="s">
        <v>50</v>
      </c>
      <c r="D989" t="s">
        <v>34</v>
      </c>
      <c r="E989" t="s">
        <v>65</v>
      </c>
      <c r="F989" t="s">
        <v>36</v>
      </c>
      <c r="G989" t="s">
        <v>51</v>
      </c>
      <c r="H989" t="s">
        <v>2209</v>
      </c>
      <c r="I989" t="s">
        <v>75</v>
      </c>
      <c r="J989" s="2">
        <v>362.3</v>
      </c>
      <c r="K989">
        <v>7</v>
      </c>
      <c r="L989" t="s">
        <v>94</v>
      </c>
      <c r="M989">
        <v>4</v>
      </c>
      <c r="N989">
        <v>2</v>
      </c>
      <c r="O989">
        <v>0.2</v>
      </c>
      <c r="P989" t="s">
        <v>69</v>
      </c>
      <c r="Q989" t="s">
        <v>57</v>
      </c>
      <c r="R989">
        <v>0</v>
      </c>
      <c r="S989">
        <v>4</v>
      </c>
      <c r="T989" t="s">
        <v>69</v>
      </c>
      <c r="U989" t="s">
        <v>42</v>
      </c>
      <c r="V989" t="s">
        <v>76</v>
      </c>
      <c r="W989" s="1">
        <v>45565</v>
      </c>
      <c r="X989" t="b">
        <v>1</v>
      </c>
      <c r="Y989" t="b">
        <v>1</v>
      </c>
      <c r="Z989" t="s">
        <v>89</v>
      </c>
      <c r="AA989" t="s">
        <v>60</v>
      </c>
      <c r="AB989">
        <v>6</v>
      </c>
    </row>
    <row r="990" spans="1:28">
      <c r="A990" t="s">
        <v>2210</v>
      </c>
      <c r="B990">
        <v>25</v>
      </c>
      <c r="C990" t="s">
        <v>33</v>
      </c>
      <c r="D990" t="s">
        <v>51</v>
      </c>
      <c r="E990" t="s">
        <v>92</v>
      </c>
      <c r="F990" t="s">
        <v>36</v>
      </c>
      <c r="G990" t="s">
        <v>51</v>
      </c>
      <c r="H990" t="s">
        <v>2211</v>
      </c>
      <c r="I990" t="s">
        <v>180</v>
      </c>
      <c r="J990" s="2">
        <v>159.53</v>
      </c>
      <c r="K990">
        <v>11</v>
      </c>
      <c r="L990" t="s">
        <v>39</v>
      </c>
      <c r="M990">
        <v>3</v>
      </c>
      <c r="N990">
        <v>4</v>
      </c>
      <c r="O990">
        <v>2</v>
      </c>
      <c r="P990" t="s">
        <v>69</v>
      </c>
      <c r="Q990" t="s">
        <v>101</v>
      </c>
      <c r="R990">
        <v>0</v>
      </c>
      <c r="S990">
        <v>3</v>
      </c>
      <c r="T990" t="s">
        <v>69</v>
      </c>
      <c r="U990" t="s">
        <v>95</v>
      </c>
      <c r="V990" t="s">
        <v>102</v>
      </c>
      <c r="W990" s="1">
        <v>45409</v>
      </c>
      <c r="X990" t="b">
        <v>1</v>
      </c>
      <c r="Y990" t="b">
        <v>1</v>
      </c>
      <c r="Z990" t="s">
        <v>72</v>
      </c>
      <c r="AA990" t="s">
        <v>77</v>
      </c>
      <c r="AB990">
        <v>7</v>
      </c>
    </row>
    <row r="991" spans="1:28">
      <c r="A991" t="s">
        <v>2212</v>
      </c>
      <c r="B991">
        <v>40</v>
      </c>
      <c r="C991" t="s">
        <v>33</v>
      </c>
      <c r="D991" t="s">
        <v>51</v>
      </c>
      <c r="E991" t="s">
        <v>82</v>
      </c>
      <c r="F991" t="s">
        <v>52</v>
      </c>
      <c r="G991" t="s">
        <v>51</v>
      </c>
      <c r="H991" t="s">
        <v>2213</v>
      </c>
      <c r="I991" t="s">
        <v>306</v>
      </c>
      <c r="J991" s="2">
        <v>149.52000000000001</v>
      </c>
      <c r="K991">
        <v>9</v>
      </c>
      <c r="L991" t="s">
        <v>55</v>
      </c>
      <c r="M991">
        <v>2</v>
      </c>
      <c r="N991">
        <v>5</v>
      </c>
      <c r="O991">
        <v>1</v>
      </c>
      <c r="P991" t="s">
        <v>40</v>
      </c>
      <c r="Q991" t="s">
        <v>41</v>
      </c>
      <c r="R991">
        <v>0</v>
      </c>
      <c r="S991">
        <v>6</v>
      </c>
      <c r="T991" t="s">
        <v>40</v>
      </c>
      <c r="U991" t="s">
        <v>70</v>
      </c>
      <c r="V991" t="s">
        <v>102</v>
      </c>
      <c r="W991" s="1">
        <v>45361</v>
      </c>
      <c r="X991" t="b">
        <v>0</v>
      </c>
      <c r="Y991" t="b">
        <v>0</v>
      </c>
      <c r="Z991" t="s">
        <v>59</v>
      </c>
      <c r="AA991" t="s">
        <v>45</v>
      </c>
      <c r="AB991">
        <v>8</v>
      </c>
    </row>
    <row r="992" spans="1:28">
      <c r="A992" t="s">
        <v>2214</v>
      </c>
      <c r="B992">
        <v>19</v>
      </c>
      <c r="C992" t="s">
        <v>33</v>
      </c>
      <c r="D992" t="s">
        <v>51</v>
      </c>
      <c r="E992" t="s">
        <v>82</v>
      </c>
      <c r="F992" t="s">
        <v>36</v>
      </c>
      <c r="G992" t="s">
        <v>51</v>
      </c>
      <c r="H992" t="s">
        <v>2215</v>
      </c>
      <c r="I992" t="s">
        <v>156</v>
      </c>
      <c r="J992" s="2">
        <v>206.32</v>
      </c>
      <c r="K992">
        <v>5</v>
      </c>
      <c r="L992" t="s">
        <v>94</v>
      </c>
      <c r="M992">
        <v>3</v>
      </c>
      <c r="N992">
        <v>3</v>
      </c>
      <c r="O992">
        <v>1</v>
      </c>
      <c r="P992" t="s">
        <v>69</v>
      </c>
      <c r="Q992" t="s">
        <v>57</v>
      </c>
      <c r="R992">
        <v>0</v>
      </c>
      <c r="S992">
        <v>4</v>
      </c>
      <c r="T992" t="s">
        <v>40</v>
      </c>
      <c r="U992" t="s">
        <v>95</v>
      </c>
      <c r="V992" t="s">
        <v>58</v>
      </c>
      <c r="W992" s="1">
        <v>45577</v>
      </c>
      <c r="X992" t="b">
        <v>1</v>
      </c>
      <c r="Y992" t="b">
        <v>0</v>
      </c>
      <c r="Z992" t="s">
        <v>59</v>
      </c>
      <c r="AA992" t="s">
        <v>77</v>
      </c>
      <c r="AB992">
        <v>12</v>
      </c>
    </row>
    <row r="993" spans="1:28">
      <c r="A993" t="s">
        <v>2216</v>
      </c>
      <c r="B993">
        <v>40</v>
      </c>
      <c r="C993" t="s">
        <v>106</v>
      </c>
      <c r="D993" t="s">
        <v>51</v>
      </c>
      <c r="E993" t="s">
        <v>65</v>
      </c>
      <c r="F993" t="s">
        <v>36</v>
      </c>
      <c r="G993" t="s">
        <v>51</v>
      </c>
      <c r="H993" t="s">
        <v>2217</v>
      </c>
      <c r="I993" t="s">
        <v>153</v>
      </c>
      <c r="J993" s="2">
        <v>308.58</v>
      </c>
      <c r="K993">
        <v>11</v>
      </c>
      <c r="L993" t="s">
        <v>94</v>
      </c>
      <c r="M993">
        <v>2</v>
      </c>
      <c r="N993">
        <v>5</v>
      </c>
      <c r="O993">
        <v>2</v>
      </c>
      <c r="P993" t="s">
        <v>56</v>
      </c>
      <c r="Q993" t="s">
        <v>57</v>
      </c>
      <c r="R993">
        <v>0</v>
      </c>
      <c r="S993">
        <v>7</v>
      </c>
      <c r="T993" t="s">
        <v>56</v>
      </c>
      <c r="U993" t="s">
        <v>70</v>
      </c>
      <c r="V993" t="s">
        <v>71</v>
      </c>
      <c r="W993" s="1">
        <v>45433</v>
      </c>
      <c r="X993" t="b">
        <v>0</v>
      </c>
      <c r="Y993" t="b">
        <v>1</v>
      </c>
      <c r="Z993" t="s">
        <v>44</v>
      </c>
      <c r="AA993" t="s">
        <v>77</v>
      </c>
      <c r="AB993">
        <v>12</v>
      </c>
    </row>
    <row r="994" spans="1:28">
      <c r="A994" t="s">
        <v>2218</v>
      </c>
      <c r="B994">
        <v>22</v>
      </c>
      <c r="C994" t="s">
        <v>33</v>
      </c>
      <c r="D994" t="s">
        <v>51</v>
      </c>
      <c r="E994" t="s">
        <v>65</v>
      </c>
      <c r="F994" t="s">
        <v>52</v>
      </c>
      <c r="G994" t="s">
        <v>34</v>
      </c>
      <c r="H994" t="s">
        <v>2219</v>
      </c>
      <c r="I994" t="s">
        <v>199</v>
      </c>
      <c r="J994" s="2">
        <v>91.34</v>
      </c>
      <c r="K994">
        <v>5</v>
      </c>
      <c r="L994" t="s">
        <v>94</v>
      </c>
      <c r="M994">
        <v>2</v>
      </c>
      <c r="N994">
        <v>1</v>
      </c>
      <c r="O994">
        <v>1</v>
      </c>
      <c r="P994" t="s">
        <v>40</v>
      </c>
      <c r="Q994" t="s">
        <v>57</v>
      </c>
      <c r="R994">
        <v>0</v>
      </c>
      <c r="S994">
        <v>1</v>
      </c>
      <c r="T994" t="s">
        <v>40</v>
      </c>
      <c r="U994" t="s">
        <v>70</v>
      </c>
      <c r="V994" t="s">
        <v>71</v>
      </c>
      <c r="W994" s="1">
        <v>45301</v>
      </c>
      <c r="X994" t="b">
        <v>1</v>
      </c>
      <c r="Y994" t="b">
        <v>1</v>
      </c>
      <c r="Z994" t="s">
        <v>72</v>
      </c>
      <c r="AA994" t="s">
        <v>77</v>
      </c>
      <c r="AB994">
        <v>6</v>
      </c>
    </row>
    <row r="995" spans="1:28">
      <c r="A995" t="s">
        <v>2220</v>
      </c>
      <c r="B995">
        <v>25</v>
      </c>
      <c r="C995" t="s">
        <v>33</v>
      </c>
      <c r="D995" t="s">
        <v>51</v>
      </c>
      <c r="E995" t="s">
        <v>92</v>
      </c>
      <c r="F995" t="s">
        <v>52</v>
      </c>
      <c r="G995" t="s">
        <v>34</v>
      </c>
      <c r="H995" t="s">
        <v>2221</v>
      </c>
      <c r="I995" t="s">
        <v>123</v>
      </c>
      <c r="J995" s="2">
        <v>455.44</v>
      </c>
      <c r="K995">
        <v>7</v>
      </c>
      <c r="L995" t="s">
        <v>39</v>
      </c>
      <c r="M995">
        <v>4</v>
      </c>
      <c r="N995">
        <v>2</v>
      </c>
      <c r="O995">
        <v>1</v>
      </c>
      <c r="P995" t="s">
        <v>69</v>
      </c>
      <c r="Q995" t="s">
        <v>101</v>
      </c>
      <c r="R995">
        <v>2</v>
      </c>
      <c r="S995">
        <v>3</v>
      </c>
      <c r="T995" t="s">
        <v>69</v>
      </c>
      <c r="U995" t="s">
        <v>70</v>
      </c>
      <c r="V995" t="s">
        <v>76</v>
      </c>
      <c r="W995" s="1">
        <v>45419</v>
      </c>
      <c r="X995" t="b">
        <v>0</v>
      </c>
      <c r="Y995" t="b">
        <v>0</v>
      </c>
      <c r="Z995" t="s">
        <v>44</v>
      </c>
      <c r="AA995" t="s">
        <v>45</v>
      </c>
      <c r="AB995">
        <v>3</v>
      </c>
    </row>
    <row r="996" spans="1:28">
      <c r="A996" t="s">
        <v>2222</v>
      </c>
      <c r="B996">
        <v>32</v>
      </c>
      <c r="C996" t="s">
        <v>33</v>
      </c>
      <c r="D996" t="s">
        <v>51</v>
      </c>
      <c r="E996" t="s">
        <v>92</v>
      </c>
      <c r="F996" t="s">
        <v>66</v>
      </c>
      <c r="G996" t="s">
        <v>34</v>
      </c>
      <c r="H996" t="s">
        <v>2223</v>
      </c>
      <c r="I996" t="s">
        <v>153</v>
      </c>
      <c r="J996" s="2">
        <v>468.16</v>
      </c>
      <c r="K996">
        <v>8</v>
      </c>
      <c r="L996" t="s">
        <v>94</v>
      </c>
      <c r="M996">
        <v>3</v>
      </c>
      <c r="N996">
        <v>5</v>
      </c>
      <c r="O996">
        <v>1</v>
      </c>
      <c r="P996" t="s">
        <v>69</v>
      </c>
      <c r="Q996" t="s">
        <v>41</v>
      </c>
      <c r="R996">
        <v>1</v>
      </c>
      <c r="S996">
        <v>5</v>
      </c>
      <c r="T996" t="s">
        <v>51</v>
      </c>
      <c r="U996" t="s">
        <v>95</v>
      </c>
      <c r="V996" t="s">
        <v>43</v>
      </c>
      <c r="W996" s="1">
        <v>45313</v>
      </c>
      <c r="X996" t="b">
        <v>0</v>
      </c>
      <c r="Y996" t="b">
        <v>0</v>
      </c>
      <c r="Z996" t="s">
        <v>89</v>
      </c>
      <c r="AA996" t="s">
        <v>60</v>
      </c>
      <c r="AB996">
        <v>2</v>
      </c>
    </row>
    <row r="997" spans="1:28">
      <c r="A997" t="s">
        <v>2224</v>
      </c>
      <c r="B997">
        <v>44</v>
      </c>
      <c r="C997" t="s">
        <v>33</v>
      </c>
      <c r="D997" t="s">
        <v>51</v>
      </c>
      <c r="E997" t="s">
        <v>92</v>
      </c>
      <c r="F997" t="s">
        <v>36</v>
      </c>
      <c r="G997" t="s">
        <v>51</v>
      </c>
      <c r="H997" t="s">
        <v>2225</v>
      </c>
      <c r="I997" t="s">
        <v>112</v>
      </c>
      <c r="J997" s="2">
        <v>463.67</v>
      </c>
      <c r="K997">
        <v>5</v>
      </c>
      <c r="L997" t="s">
        <v>94</v>
      </c>
      <c r="M997">
        <v>2</v>
      </c>
      <c r="N997">
        <v>4</v>
      </c>
      <c r="O997">
        <v>0.3</v>
      </c>
      <c r="P997" t="s">
        <v>51</v>
      </c>
      <c r="Q997" t="s">
        <v>57</v>
      </c>
      <c r="R997">
        <v>2</v>
      </c>
      <c r="S997">
        <v>4</v>
      </c>
      <c r="T997" t="s">
        <v>40</v>
      </c>
      <c r="U997" t="s">
        <v>42</v>
      </c>
      <c r="V997" t="s">
        <v>58</v>
      </c>
      <c r="W997" s="1">
        <v>45480</v>
      </c>
      <c r="X997" t="b">
        <v>1</v>
      </c>
      <c r="Y997" t="b">
        <v>0</v>
      </c>
      <c r="Z997" t="s">
        <v>44</v>
      </c>
      <c r="AA997" t="s">
        <v>60</v>
      </c>
      <c r="AB997">
        <v>5</v>
      </c>
    </row>
    <row r="998" spans="1:28">
      <c r="A998" t="s">
        <v>2226</v>
      </c>
      <c r="B998">
        <v>50</v>
      </c>
      <c r="C998" t="s">
        <v>33</v>
      </c>
      <c r="D998" t="s">
        <v>51</v>
      </c>
      <c r="E998" t="s">
        <v>65</v>
      </c>
      <c r="F998" t="s">
        <v>52</v>
      </c>
      <c r="G998" t="s">
        <v>34</v>
      </c>
      <c r="H998" t="s">
        <v>2227</v>
      </c>
      <c r="I998" t="s">
        <v>38</v>
      </c>
      <c r="J998" s="2">
        <v>69.78</v>
      </c>
      <c r="K998">
        <v>9</v>
      </c>
      <c r="L998" t="s">
        <v>39</v>
      </c>
      <c r="M998">
        <v>4</v>
      </c>
      <c r="N998">
        <v>3</v>
      </c>
      <c r="O998">
        <v>2</v>
      </c>
      <c r="P998" t="s">
        <v>69</v>
      </c>
      <c r="Q998" t="s">
        <v>101</v>
      </c>
      <c r="R998">
        <v>0</v>
      </c>
      <c r="S998">
        <v>6</v>
      </c>
      <c r="T998" t="s">
        <v>69</v>
      </c>
      <c r="U998" t="s">
        <v>42</v>
      </c>
      <c r="V998" t="s">
        <v>102</v>
      </c>
      <c r="W998" s="1">
        <v>45379</v>
      </c>
      <c r="X998" t="b">
        <v>1</v>
      </c>
      <c r="Y998" t="b">
        <v>0</v>
      </c>
      <c r="Z998" t="s">
        <v>59</v>
      </c>
      <c r="AA998" t="s">
        <v>45</v>
      </c>
      <c r="AB998">
        <v>9</v>
      </c>
    </row>
    <row r="999" spans="1:28">
      <c r="A999" t="s">
        <v>2229</v>
      </c>
      <c r="B999">
        <v>26</v>
      </c>
      <c r="C999" t="s">
        <v>50</v>
      </c>
      <c r="D999" t="s">
        <v>51</v>
      </c>
      <c r="E999" t="s">
        <v>35</v>
      </c>
      <c r="F999" t="s">
        <v>36</v>
      </c>
      <c r="G999" t="s">
        <v>51</v>
      </c>
      <c r="H999" t="s">
        <v>2230</v>
      </c>
      <c r="I999" t="s">
        <v>54</v>
      </c>
      <c r="J999" s="2">
        <v>453.37</v>
      </c>
      <c r="K999">
        <v>10</v>
      </c>
      <c r="L999" t="s">
        <v>39</v>
      </c>
      <c r="M999">
        <v>1</v>
      </c>
      <c r="N999">
        <v>1</v>
      </c>
      <c r="O999">
        <v>2</v>
      </c>
      <c r="P999" t="s">
        <v>69</v>
      </c>
      <c r="Q999" t="s">
        <v>101</v>
      </c>
      <c r="R999">
        <v>0</v>
      </c>
      <c r="S999">
        <v>6</v>
      </c>
      <c r="T999" t="s">
        <v>51</v>
      </c>
      <c r="U999" t="s">
        <v>95</v>
      </c>
      <c r="V999" t="s">
        <v>43</v>
      </c>
      <c r="W999" s="1">
        <v>45362</v>
      </c>
      <c r="X999" t="b">
        <v>1</v>
      </c>
      <c r="Y999" t="b">
        <v>1</v>
      </c>
      <c r="Z999" t="s">
        <v>59</v>
      </c>
      <c r="AA999" t="s">
        <v>77</v>
      </c>
      <c r="AB999">
        <v>9</v>
      </c>
    </row>
    <row r="1000" spans="1:28">
      <c r="A1000" t="s">
        <v>2231</v>
      </c>
      <c r="B1000">
        <v>21</v>
      </c>
      <c r="C1000" t="s">
        <v>33</v>
      </c>
      <c r="D1000" t="s">
        <v>51</v>
      </c>
      <c r="E1000" t="s">
        <v>82</v>
      </c>
      <c r="F1000" t="s">
        <v>36</v>
      </c>
      <c r="G1000" t="s">
        <v>34</v>
      </c>
      <c r="H1000" t="s">
        <v>2420</v>
      </c>
      <c r="I1000" t="s">
        <v>153</v>
      </c>
      <c r="J1000" s="2">
        <v>106.15</v>
      </c>
      <c r="K1000">
        <v>12</v>
      </c>
      <c r="L1000" t="s">
        <v>55</v>
      </c>
      <c r="M1000">
        <v>4</v>
      </c>
      <c r="N1000">
        <v>4</v>
      </c>
      <c r="O1000">
        <v>0.3</v>
      </c>
      <c r="P1000" t="s">
        <v>69</v>
      </c>
      <c r="Q1000" t="s">
        <v>41</v>
      </c>
      <c r="R1000">
        <v>0</v>
      </c>
      <c r="S1000">
        <v>5</v>
      </c>
      <c r="T1000" t="s">
        <v>56</v>
      </c>
      <c r="U1000" t="s">
        <v>95</v>
      </c>
      <c r="V1000" t="s">
        <v>102</v>
      </c>
      <c r="W1000" s="1">
        <v>45381</v>
      </c>
      <c r="X1000" t="b">
        <v>1</v>
      </c>
      <c r="Y1000" t="b">
        <v>1</v>
      </c>
      <c r="Z1000" t="s">
        <v>72</v>
      </c>
      <c r="AA1000" t="s">
        <v>60</v>
      </c>
      <c r="AB1000">
        <v>8</v>
      </c>
    </row>
    <row r="1001" spans="1:28">
      <c r="A1001" t="s">
        <v>2233</v>
      </c>
      <c r="B1001">
        <v>21</v>
      </c>
      <c r="C1001" t="s">
        <v>33</v>
      </c>
      <c r="D1001" t="s">
        <v>34</v>
      </c>
      <c r="E1001" t="s">
        <v>65</v>
      </c>
      <c r="F1001" t="s">
        <v>52</v>
      </c>
      <c r="G1001" t="s">
        <v>51</v>
      </c>
      <c r="H1001" t="s">
        <v>2234</v>
      </c>
      <c r="I1001" t="s">
        <v>131</v>
      </c>
      <c r="J1001" s="2">
        <v>378.47</v>
      </c>
      <c r="K1001">
        <v>6</v>
      </c>
      <c r="L1001" t="s">
        <v>94</v>
      </c>
      <c r="M1001">
        <v>5</v>
      </c>
      <c r="N1001">
        <v>2</v>
      </c>
      <c r="O1001">
        <v>0.33</v>
      </c>
      <c r="P1001" t="s">
        <v>56</v>
      </c>
      <c r="Q1001" t="s">
        <v>57</v>
      </c>
      <c r="R1001">
        <v>1</v>
      </c>
      <c r="S1001">
        <v>10</v>
      </c>
      <c r="T1001" t="s">
        <v>69</v>
      </c>
      <c r="U1001" t="s">
        <v>42</v>
      </c>
      <c r="V1001" t="s">
        <v>76</v>
      </c>
      <c r="W1001" s="1">
        <v>45634</v>
      </c>
      <c r="X1001" t="b">
        <v>0</v>
      </c>
      <c r="Y1001" t="b">
        <v>0</v>
      </c>
      <c r="Z1001" t="s">
        <v>89</v>
      </c>
      <c r="AA1001" t="s">
        <v>77</v>
      </c>
      <c r="AB100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BL999"/>
  <sheetViews>
    <sheetView topLeftCell="AF2" zoomScale="70" zoomScaleNormal="70" workbookViewId="0">
      <selection activeCell="AK16" sqref="AK16"/>
    </sheetView>
  </sheetViews>
  <sheetFormatPr defaultRowHeight="15"/>
  <cols>
    <col min="1" max="1" width="14.5703125" customWidth="1"/>
    <col min="2" max="2" width="6.5703125" customWidth="1"/>
    <col min="3" max="3" width="12.85546875" bestFit="1" customWidth="1"/>
    <col min="4" max="4" width="15.42578125" customWidth="1"/>
    <col min="5" max="5" width="16" customWidth="1"/>
    <col min="6" max="6" width="17.5703125" customWidth="1"/>
    <col min="7" max="7" width="13.140625" customWidth="1"/>
    <col min="8" max="8" width="28" bestFit="1" customWidth="1"/>
    <col min="9" max="9" width="22.5703125" bestFit="1" customWidth="1"/>
    <col min="10" max="10" width="19.28515625" customWidth="1"/>
    <col min="11" max="11" width="24.28515625" customWidth="1"/>
    <col min="12" max="12" width="19.42578125" customWidth="1"/>
    <col min="13" max="13" width="15.5703125" customWidth="1"/>
    <col min="14" max="14" width="16.5703125" customWidth="1"/>
    <col min="15" max="15" width="40.28515625" customWidth="1"/>
    <col min="16" max="16" width="24.42578125" customWidth="1"/>
    <col min="17" max="17" width="21.140625" customWidth="1"/>
    <col min="18" max="18" width="14.140625" customWidth="1"/>
    <col min="19" max="19" width="23" customWidth="1"/>
    <col min="20" max="20" width="23.42578125" customWidth="1"/>
    <col min="21" max="21" width="27.5703125" customWidth="1"/>
    <col min="22" max="22" width="19.140625" customWidth="1"/>
    <col min="23" max="23" width="19.42578125" customWidth="1"/>
    <col min="24" max="24" width="16.42578125" customWidth="1"/>
    <col min="25" max="25" width="36.140625" customWidth="1"/>
    <col min="26" max="26" width="17.5703125" customWidth="1"/>
    <col min="27" max="27" width="21.7109375" customWidth="1"/>
    <col min="28" max="28" width="19" customWidth="1"/>
    <col min="29" max="29" width="4.85546875" customWidth="1"/>
    <col min="30" max="30" width="4.85546875" style="6" customWidth="1"/>
    <col min="31" max="31" width="4.85546875" customWidth="1"/>
    <col min="32" max="32" width="14.5703125" customWidth="1"/>
    <col min="33" max="33" width="6.5703125" customWidth="1"/>
    <col min="34" max="34" width="15" bestFit="1" customWidth="1"/>
    <col min="35" max="35" width="12.85546875" bestFit="1" customWidth="1"/>
    <col min="36" max="36" width="15.42578125" customWidth="1"/>
    <col min="37" max="37" width="16" customWidth="1"/>
    <col min="38" max="38" width="17.5703125" customWidth="1"/>
    <col min="39" max="39" width="13.140625" customWidth="1"/>
    <col min="40" max="40" width="28" bestFit="1" customWidth="1"/>
    <col min="41" max="41" width="31.85546875" bestFit="1" customWidth="1"/>
    <col min="42" max="42" width="22.5703125" customWidth="1"/>
    <col min="43" max="43" width="20.140625" style="4" customWidth="1"/>
    <col min="44" max="44" width="24.28515625" customWidth="1"/>
    <col min="45" max="45" width="19.42578125" customWidth="1"/>
    <col min="46" max="46" width="15.5703125" customWidth="1"/>
    <col min="47" max="47" width="16.5703125" customWidth="1"/>
    <col min="48" max="48" width="42.7109375" customWidth="1"/>
    <col min="49" max="49" width="24.42578125" customWidth="1"/>
    <col min="50" max="50" width="21.140625" customWidth="1"/>
    <col min="51" max="51" width="14.140625" customWidth="1"/>
    <col min="52" max="52" width="23" customWidth="1"/>
    <col min="53" max="53" width="23.42578125" customWidth="1"/>
    <col min="54" max="54" width="27.5703125" customWidth="1"/>
    <col min="55" max="55" width="19.140625" customWidth="1"/>
    <col min="56" max="56" width="19.42578125" customWidth="1"/>
    <col min="57" max="57" width="16.42578125" customWidth="1"/>
    <col min="58" max="58" width="36.140625" customWidth="1"/>
    <col min="59" max="59" width="17.5703125" customWidth="1"/>
    <col min="60" max="60" width="21.7109375" customWidth="1"/>
    <col min="61" max="61" width="19" customWidth="1"/>
    <col min="62" max="62" width="18.140625" customWidth="1"/>
    <col min="63" max="63" width="19" customWidth="1"/>
    <col min="64" max="64" width="14" bestFit="1" customWidth="1"/>
  </cols>
  <sheetData>
    <row r="1" spans="1:6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F1" t="s">
        <v>0</v>
      </c>
      <c r="AG1" t="s">
        <v>1</v>
      </c>
      <c r="AH1" t="s">
        <v>2431</v>
      </c>
      <c r="AI1" t="s">
        <v>2</v>
      </c>
      <c r="AJ1" t="s">
        <v>3</v>
      </c>
      <c r="AK1" t="s">
        <v>4</v>
      </c>
      <c r="AL1" t="s">
        <v>5</v>
      </c>
      <c r="AM1" t="s">
        <v>6</v>
      </c>
      <c r="AN1" t="s">
        <v>2235</v>
      </c>
      <c r="AO1" t="s">
        <v>28</v>
      </c>
      <c r="AP1" t="s">
        <v>8</v>
      </c>
      <c r="AQ1" s="4" t="s">
        <v>2430</v>
      </c>
      <c r="AR1" t="s">
        <v>10</v>
      </c>
      <c r="AS1" t="s">
        <v>11</v>
      </c>
      <c r="AT1" t="s">
        <v>12</v>
      </c>
      <c r="AU1" t="s">
        <v>13</v>
      </c>
      <c r="AV1" t="s">
        <v>29</v>
      </c>
      <c r="AW1" t="s">
        <v>15</v>
      </c>
      <c r="AX1" t="s">
        <v>16</v>
      </c>
      <c r="AY1" t="s">
        <v>17</v>
      </c>
      <c r="AZ1" t="s">
        <v>18</v>
      </c>
      <c r="BA1" t="s">
        <v>19</v>
      </c>
      <c r="BB1" t="s">
        <v>20</v>
      </c>
      <c r="BC1" t="s">
        <v>21</v>
      </c>
      <c r="BD1" t="s">
        <v>22</v>
      </c>
      <c r="BE1" t="s">
        <v>23</v>
      </c>
      <c r="BF1" t="s">
        <v>24</v>
      </c>
      <c r="BG1" t="s">
        <v>25</v>
      </c>
      <c r="BH1" t="s">
        <v>26</v>
      </c>
      <c r="BI1" t="s">
        <v>27</v>
      </c>
      <c r="BJ1" t="s">
        <v>30</v>
      </c>
      <c r="BK1" t="s">
        <v>31</v>
      </c>
      <c r="BL1" t="s">
        <v>2522</v>
      </c>
    </row>
    <row r="2" spans="1:64">
      <c r="A2" t="s">
        <v>32</v>
      </c>
      <c r="B2">
        <v>22</v>
      </c>
      <c r="C2" t="s">
        <v>33</v>
      </c>
      <c r="D2" t="s">
        <v>34</v>
      </c>
      <c r="E2" t="s">
        <v>35</v>
      </c>
      <c r="F2" t="s">
        <v>36</v>
      </c>
      <c r="G2" t="s">
        <v>34</v>
      </c>
      <c r="H2" t="s">
        <v>37</v>
      </c>
      <c r="I2" t="s">
        <v>38</v>
      </c>
      <c r="J2">
        <v>333.8</v>
      </c>
      <c r="K2">
        <v>4</v>
      </c>
      <c r="L2" t="s">
        <v>39</v>
      </c>
      <c r="M2">
        <v>5</v>
      </c>
      <c r="N2">
        <v>5</v>
      </c>
      <c r="O2">
        <v>2</v>
      </c>
      <c r="P2" t="s">
        <v>40</v>
      </c>
      <c r="Q2" t="s">
        <v>41</v>
      </c>
      <c r="R2">
        <v>1</v>
      </c>
      <c r="S2">
        <v>7</v>
      </c>
      <c r="T2" t="s">
        <v>40</v>
      </c>
      <c r="U2" t="s">
        <v>42</v>
      </c>
      <c r="V2" t="s">
        <v>43</v>
      </c>
      <c r="W2" s="1">
        <v>45352</v>
      </c>
      <c r="X2" t="b">
        <v>1</v>
      </c>
      <c r="Y2" t="b">
        <v>0</v>
      </c>
      <c r="Z2" t="s">
        <v>44</v>
      </c>
      <c r="AA2" t="s">
        <v>45</v>
      </c>
      <c r="AB2">
        <v>2</v>
      </c>
      <c r="AF2" t="str">
        <f>tbl_OriginalData[[#This Row],[Customer_ID]]</f>
        <v>37-611-6911</v>
      </c>
      <c r="AG2">
        <f>tbl_OriginalData[[#This Row],[Age]]</f>
        <v>22</v>
      </c>
      <c r="AH2" t="str" cm="1">
        <f t="array" ref="AH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 t="str">
        <f>tbl_OriginalData[[#This Row],[Gender]]</f>
        <v>Female</v>
      </c>
      <c r="AJ2" t="str">
        <f>tbl_OriginalData[[#This Row],[Income_Level]]</f>
        <v>Middle</v>
      </c>
      <c r="AK2" t="str">
        <f>tbl_OriginalData[[#This Row],[Marital_Status]]</f>
        <v>Married</v>
      </c>
      <c r="AL2" t="str">
        <f>tbl_OriginalData[[#This Row],[Education_Level]]</f>
        <v>Bachelor's</v>
      </c>
      <c r="AM2" t="str">
        <f>tbl_OriginalData[[#This Row],[Occupation]]</f>
        <v>Middle</v>
      </c>
      <c r="AN2" t="s">
        <v>37</v>
      </c>
      <c r="AO2" t="s">
        <v>46</v>
      </c>
      <c r="AP2" t="str">
        <f>tbl_OriginalData[[#This Row],[Purchase_Category]]</f>
        <v>Gardening &amp; Outdoors</v>
      </c>
      <c r="AQ2" s="4">
        <f>tbl_OriginalData[[#This Row],[Purchase_Amount]]</f>
        <v>333.8</v>
      </c>
      <c r="AR2">
        <f>tbl_OriginalData[[#This Row],[Frequency_of_Purchase]]</f>
        <v>4</v>
      </c>
      <c r="AS2" t="str">
        <f>tbl_OriginalData[[#This Row],[Purchase_Channel]]</f>
        <v>Mixed</v>
      </c>
      <c r="AT2">
        <f>tbl_OriginalData[[#This Row],[Brand_Loyalty]]</f>
        <v>5</v>
      </c>
      <c r="AU2">
        <f>tbl_OriginalData[[#This Row],[Product_Rating]]</f>
        <v>5</v>
      </c>
      <c r="AV2">
        <f>tbl_OriginalData[[#This Row],[Time_Spent_on_Product_Research(hours)]]*60</f>
        <v>120</v>
      </c>
      <c r="AW2" t="str">
        <f>tbl_OriginalData[[#This Row],[Social_Media_Influence]]</f>
        <v>None</v>
      </c>
      <c r="AX2" t="str">
        <f>tbl_OriginalData[[#This Row],[Discount_Sensitivity]]</f>
        <v>Somewhat Sensitive</v>
      </c>
      <c r="AY2" s="3">
        <f>tbl_OriginalData[[#This Row],[Return_Rate]]/tbl_OriginalData[[#This Row],[Frequency_of_Purchase]]</f>
        <v>0.25</v>
      </c>
      <c r="AZ2">
        <f>tbl_OriginalData[[#This Row],[Customer_Satisfaction]]</f>
        <v>7</v>
      </c>
      <c r="BA2" t="str">
        <f>tbl_OriginalData[[#This Row],[Engagement_with_Ads]]</f>
        <v>None</v>
      </c>
      <c r="BB2" t="str">
        <f>tbl_OriginalData[[#This Row],[Device_Used_for_Shopping]]</f>
        <v>Tablet</v>
      </c>
      <c r="BC2" t="str">
        <f>tbl_OriginalData[[#This Row],[Payment_Method]]</f>
        <v>Credit Card</v>
      </c>
      <c r="BD2" s="1">
        <f>tbl_OriginalData[[#This Row],[Time_of_Purchase]]</f>
        <v>45352</v>
      </c>
      <c r="BE2" t="str">
        <f>IF(tbl_OriginalData[[#This Row],[Discount_Used]]=TRUE,"Yes","No")</f>
        <v>Yes</v>
      </c>
      <c r="BF2" t="str">
        <f>IF(tbl_OriginalData[[#This Row],[Customer_Loyalty_Program_Member]]=TRUE,"Yes","No")</f>
        <v>No</v>
      </c>
      <c r="BG2" t="str">
        <f>tbl_OriginalData[[#This Row],[Purchase_Intent]]</f>
        <v>Need-based</v>
      </c>
      <c r="BH2" t="str">
        <f>tbl_OriginalData[[#This Row],[Shipping_Preference]]</f>
        <v>No Preference</v>
      </c>
      <c r="BI2">
        <f>tbl_OriginalData[[#This Row],[Time_to_Decision]]</f>
        <v>2</v>
      </c>
      <c r="BJ2" t="s">
        <v>47</v>
      </c>
      <c r="BK2" t="s">
        <v>48</v>
      </c>
      <c r="BL2" t="s">
        <v>2523</v>
      </c>
    </row>
    <row r="3" spans="1:64">
      <c r="A3" t="s">
        <v>49</v>
      </c>
      <c r="B3">
        <v>49</v>
      </c>
      <c r="C3" t="s">
        <v>50</v>
      </c>
      <c r="D3" t="s">
        <v>51</v>
      </c>
      <c r="E3" t="s">
        <v>35</v>
      </c>
      <c r="F3" t="s">
        <v>52</v>
      </c>
      <c r="G3" t="s">
        <v>51</v>
      </c>
      <c r="H3" t="s">
        <v>53</v>
      </c>
      <c r="I3" t="s">
        <v>54</v>
      </c>
      <c r="J3">
        <v>222.22</v>
      </c>
      <c r="K3">
        <v>11</v>
      </c>
      <c r="L3" t="s">
        <v>55</v>
      </c>
      <c r="M3">
        <v>3</v>
      </c>
      <c r="N3">
        <v>1</v>
      </c>
      <c r="O3">
        <v>2</v>
      </c>
      <c r="P3" t="s">
        <v>56</v>
      </c>
      <c r="Q3" t="s">
        <v>57</v>
      </c>
      <c r="R3">
        <v>1</v>
      </c>
      <c r="S3">
        <v>5</v>
      </c>
      <c r="T3" t="s">
        <v>51</v>
      </c>
      <c r="U3" t="s">
        <v>42</v>
      </c>
      <c r="V3" t="s">
        <v>58</v>
      </c>
      <c r="W3" s="1">
        <v>45398</v>
      </c>
      <c r="X3" t="b">
        <v>1</v>
      </c>
      <c r="Y3" t="b">
        <v>0</v>
      </c>
      <c r="Z3" t="s">
        <v>59</v>
      </c>
      <c r="AA3" t="s">
        <v>60</v>
      </c>
      <c r="AB3">
        <v>6</v>
      </c>
      <c r="AF3" t="str">
        <f>tbl_OriginalData[[#This Row],[Customer_ID]]</f>
        <v>29-392-9296</v>
      </c>
      <c r="AG3">
        <f>tbl_OriginalData[[#This Row],[Age]]</f>
        <v>49</v>
      </c>
      <c r="AH3" t="str" cm="1">
        <f t="array" ref="AH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 t="str">
        <f>tbl_OriginalData[[#This Row],[Gender]]</f>
        <v>Male</v>
      </c>
      <c r="AJ3" t="str">
        <f>tbl_OriginalData[[#This Row],[Income_Level]]</f>
        <v>High</v>
      </c>
      <c r="AK3" t="str">
        <f>tbl_OriginalData[[#This Row],[Marital_Status]]</f>
        <v>Married</v>
      </c>
      <c r="AL3" t="str">
        <f>tbl_OriginalData[[#This Row],[Education_Level]]</f>
        <v>High School</v>
      </c>
      <c r="AM3" t="str">
        <f>tbl_OriginalData[[#This Row],[Occupation]]</f>
        <v>High</v>
      </c>
      <c r="AN3" t="s">
        <v>53</v>
      </c>
      <c r="AO3" t="s">
        <v>61</v>
      </c>
      <c r="AP3" t="str">
        <f>tbl_OriginalData[[#This Row],[Purchase_Category]]</f>
        <v>Food &amp; Beverages</v>
      </c>
      <c r="AQ3" s="4">
        <f>tbl_OriginalData[[#This Row],[Purchase_Amount]]</f>
        <v>222.22</v>
      </c>
      <c r="AR3">
        <f>tbl_OriginalData[[#This Row],[Frequency_of_Purchase]]</f>
        <v>11</v>
      </c>
      <c r="AS3" t="str">
        <f>tbl_OriginalData[[#This Row],[Purchase_Channel]]</f>
        <v>In-Store</v>
      </c>
      <c r="AT3">
        <f>tbl_OriginalData[[#This Row],[Brand_Loyalty]]</f>
        <v>3</v>
      </c>
      <c r="AU3">
        <f>tbl_OriginalData[[#This Row],[Product_Rating]]</f>
        <v>1</v>
      </c>
      <c r="AV3">
        <f>tbl_OriginalData[[#This Row],[Time_Spent_on_Product_Research(hours)]]*60</f>
        <v>120</v>
      </c>
      <c r="AW3" t="str">
        <f>tbl_OriginalData[[#This Row],[Social_Media_Influence]]</f>
        <v>Medium</v>
      </c>
      <c r="AX3" t="str">
        <f>tbl_OriginalData[[#This Row],[Discount_Sensitivity]]</f>
        <v>Not Sensitive</v>
      </c>
      <c r="AY3" s="3">
        <f>tbl_OriginalData[[#This Row],[Return_Rate]]/tbl_OriginalData[[#This Row],[Frequency_of_Purchase]]</f>
        <v>9.0909090909090912E-2</v>
      </c>
      <c r="AZ3">
        <f>tbl_OriginalData[[#This Row],[Customer_Satisfaction]]</f>
        <v>5</v>
      </c>
      <c r="BA3" t="str">
        <f>tbl_OriginalData[[#This Row],[Engagement_with_Ads]]</f>
        <v>High</v>
      </c>
      <c r="BB3" t="str">
        <f>tbl_OriginalData[[#This Row],[Device_Used_for_Shopping]]</f>
        <v>Tablet</v>
      </c>
      <c r="BC3" t="str">
        <f>tbl_OriginalData[[#This Row],[Payment_Method]]</f>
        <v>PayPal</v>
      </c>
      <c r="BD3" s="1">
        <f>tbl_OriginalData[[#This Row],[Time_of_Purchase]]</f>
        <v>45398</v>
      </c>
      <c r="BE3" t="str">
        <f>IF(tbl_OriginalData[[#This Row],[Discount_Used]]=TRUE,"Yes","No")</f>
        <v>Yes</v>
      </c>
      <c r="BF3" t="str">
        <f>IF(tbl_OriginalData[[#This Row],[Customer_Loyalty_Program_Member]]=TRUE,"Yes","No")</f>
        <v>No</v>
      </c>
      <c r="BG3" t="str">
        <f>tbl_OriginalData[[#This Row],[Purchase_Intent]]</f>
        <v>Wants-based</v>
      </c>
      <c r="BH3" t="str">
        <f>tbl_OriginalData[[#This Row],[Shipping_Preference]]</f>
        <v>Standard</v>
      </c>
      <c r="BI3">
        <f>tbl_OriginalData[[#This Row],[Time_to_Decision]]</f>
        <v>6</v>
      </c>
      <c r="BJ3" t="s">
        <v>62</v>
      </c>
      <c r="BK3" t="s">
        <v>63</v>
      </c>
      <c r="BL3" t="s">
        <v>2524</v>
      </c>
    </row>
    <row r="4" spans="1:64">
      <c r="A4" t="s">
        <v>64</v>
      </c>
      <c r="B4">
        <v>24</v>
      </c>
      <c r="C4" t="s">
        <v>33</v>
      </c>
      <c r="D4" t="s">
        <v>34</v>
      </c>
      <c r="E4" t="s">
        <v>65</v>
      </c>
      <c r="F4" t="s">
        <v>66</v>
      </c>
      <c r="G4" t="s">
        <v>51</v>
      </c>
      <c r="H4" t="s">
        <v>67</v>
      </c>
      <c r="I4" t="s">
        <v>68</v>
      </c>
      <c r="J4">
        <v>426.22</v>
      </c>
      <c r="K4">
        <v>2</v>
      </c>
      <c r="L4" t="s">
        <v>39</v>
      </c>
      <c r="M4">
        <v>5</v>
      </c>
      <c r="N4">
        <v>5</v>
      </c>
      <c r="O4">
        <v>0.3</v>
      </c>
      <c r="P4" t="s">
        <v>69</v>
      </c>
      <c r="Q4" t="s">
        <v>57</v>
      </c>
      <c r="R4">
        <v>1</v>
      </c>
      <c r="S4">
        <v>7</v>
      </c>
      <c r="T4" t="s">
        <v>69</v>
      </c>
      <c r="U4" t="s">
        <v>70</v>
      </c>
      <c r="V4" t="s">
        <v>71</v>
      </c>
      <c r="W4" s="1">
        <v>45366</v>
      </c>
      <c r="X4" t="b">
        <v>1</v>
      </c>
      <c r="Y4" t="b">
        <v>1</v>
      </c>
      <c r="Z4" t="s">
        <v>72</v>
      </c>
      <c r="AA4" t="s">
        <v>45</v>
      </c>
      <c r="AB4">
        <v>3</v>
      </c>
      <c r="AF4" t="str">
        <f>tbl_OriginalData[[#This Row],[Customer_ID]]</f>
        <v>84-649-5117</v>
      </c>
      <c r="AG4">
        <f>tbl_OriginalData[[#This Row],[Age]]</f>
        <v>24</v>
      </c>
      <c r="AH4" t="str" cm="1">
        <f t="array" ref="AH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 t="str">
        <f>tbl_OriginalData[[#This Row],[Gender]]</f>
        <v>Female</v>
      </c>
      <c r="AJ4" t="str">
        <f>tbl_OriginalData[[#This Row],[Income_Level]]</f>
        <v>Middle</v>
      </c>
      <c r="AK4" t="str">
        <f>tbl_OriginalData[[#This Row],[Marital_Status]]</f>
        <v>Single</v>
      </c>
      <c r="AL4" t="str">
        <f>tbl_OriginalData[[#This Row],[Education_Level]]</f>
        <v>Master's</v>
      </c>
      <c r="AM4" t="str">
        <f>tbl_OriginalData[[#This Row],[Occupation]]</f>
        <v>High</v>
      </c>
      <c r="AN4" t="s">
        <v>67</v>
      </c>
      <c r="AO4" t="s">
        <v>61</v>
      </c>
      <c r="AP4" t="str">
        <f>tbl_OriginalData[[#This Row],[Purchase_Category]]</f>
        <v>Office Supplies</v>
      </c>
      <c r="AQ4" s="4">
        <f>tbl_OriginalData[[#This Row],[Purchase_Amount]]</f>
        <v>426.22</v>
      </c>
      <c r="AR4">
        <f>tbl_OriginalData[[#This Row],[Frequency_of_Purchase]]</f>
        <v>2</v>
      </c>
      <c r="AS4" t="str">
        <f>tbl_OriginalData[[#This Row],[Purchase_Channel]]</f>
        <v>Mixed</v>
      </c>
      <c r="AT4">
        <f>tbl_OriginalData[[#This Row],[Brand_Loyalty]]</f>
        <v>5</v>
      </c>
      <c r="AU4">
        <f>tbl_OriginalData[[#This Row],[Product_Rating]]</f>
        <v>5</v>
      </c>
      <c r="AV4">
        <f>tbl_OriginalData[[#This Row],[Time_Spent_on_Product_Research(hours)]]*60</f>
        <v>18</v>
      </c>
      <c r="AW4" t="str">
        <f>tbl_OriginalData[[#This Row],[Social_Media_Influence]]</f>
        <v>Low</v>
      </c>
      <c r="AX4" t="str">
        <f>tbl_OriginalData[[#This Row],[Discount_Sensitivity]]</f>
        <v>Not Sensitive</v>
      </c>
      <c r="AY4" s="3">
        <f>tbl_OriginalData[[#This Row],[Return_Rate]]/tbl_OriginalData[[#This Row],[Frequency_of_Purchase]]</f>
        <v>0.5</v>
      </c>
      <c r="AZ4">
        <f>tbl_OriginalData[[#This Row],[Customer_Satisfaction]]</f>
        <v>7</v>
      </c>
      <c r="BA4" t="str">
        <f>tbl_OriginalData[[#This Row],[Engagement_with_Ads]]</f>
        <v>Low</v>
      </c>
      <c r="BB4" t="str">
        <f>tbl_OriginalData[[#This Row],[Device_Used_for_Shopping]]</f>
        <v>Smartphone</v>
      </c>
      <c r="BC4" t="str">
        <f>tbl_OriginalData[[#This Row],[Payment_Method]]</f>
        <v>Debit Card</v>
      </c>
      <c r="BD4" s="1">
        <f>tbl_OriginalData[[#This Row],[Time_of_Purchase]]</f>
        <v>45366</v>
      </c>
      <c r="BE4" t="str">
        <f>IF(tbl_OriginalData[[#This Row],[Discount_Used]]=TRUE,"Yes","No")</f>
        <v>Yes</v>
      </c>
      <c r="BF4" t="str">
        <f>IF(tbl_OriginalData[[#This Row],[Customer_Loyalty_Program_Member]]=TRUE,"Yes","No")</f>
        <v>Yes</v>
      </c>
      <c r="BG4" t="str">
        <f>tbl_OriginalData[[#This Row],[Purchase_Intent]]</f>
        <v>Impulsive</v>
      </c>
      <c r="BH4" t="str">
        <f>tbl_OriginalData[[#This Row],[Shipping_Preference]]</f>
        <v>No Preference</v>
      </c>
      <c r="BI4">
        <f>tbl_OriginalData[[#This Row],[Time_to_Decision]]</f>
        <v>3</v>
      </c>
      <c r="BJ4" t="s">
        <v>47</v>
      </c>
      <c r="BK4" t="s">
        <v>48</v>
      </c>
      <c r="BL4" t="s">
        <v>2524</v>
      </c>
    </row>
    <row r="5" spans="1:64">
      <c r="A5" t="s">
        <v>73</v>
      </c>
      <c r="B5">
        <v>29</v>
      </c>
      <c r="C5" t="s">
        <v>33</v>
      </c>
      <c r="D5" t="s">
        <v>34</v>
      </c>
      <c r="E5" t="s">
        <v>65</v>
      </c>
      <c r="F5" t="s">
        <v>66</v>
      </c>
      <c r="G5" t="s">
        <v>34</v>
      </c>
      <c r="H5" t="s">
        <v>74</v>
      </c>
      <c r="I5" t="s">
        <v>75</v>
      </c>
      <c r="J5">
        <v>101.31</v>
      </c>
      <c r="K5">
        <v>6</v>
      </c>
      <c r="L5" t="s">
        <v>39</v>
      </c>
      <c r="M5">
        <v>3</v>
      </c>
      <c r="N5">
        <v>1</v>
      </c>
      <c r="O5">
        <v>1</v>
      </c>
      <c r="P5" t="s">
        <v>51</v>
      </c>
      <c r="Q5" t="s">
        <v>41</v>
      </c>
      <c r="R5">
        <v>0</v>
      </c>
      <c r="S5">
        <v>1</v>
      </c>
      <c r="T5" t="s">
        <v>40</v>
      </c>
      <c r="U5" t="s">
        <v>70</v>
      </c>
      <c r="V5" t="s">
        <v>76</v>
      </c>
      <c r="W5" s="1">
        <v>45569</v>
      </c>
      <c r="X5" t="b">
        <v>1</v>
      </c>
      <c r="Y5" t="b">
        <v>1</v>
      </c>
      <c r="Z5" t="s">
        <v>44</v>
      </c>
      <c r="AA5" t="s">
        <v>77</v>
      </c>
      <c r="AB5">
        <v>10</v>
      </c>
      <c r="AF5" t="str">
        <f>tbl_OriginalData[[#This Row],[Customer_ID]]</f>
        <v>48-980-6078</v>
      </c>
      <c r="AG5">
        <f>tbl_OriginalData[[#This Row],[Age]]</f>
        <v>29</v>
      </c>
      <c r="AH5" t="str" cm="1">
        <f t="array" ref="AH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 t="str">
        <f>tbl_OriginalData[[#This Row],[Gender]]</f>
        <v>Female</v>
      </c>
      <c r="AJ5" t="str">
        <f>tbl_OriginalData[[#This Row],[Income_Level]]</f>
        <v>Middle</v>
      </c>
      <c r="AK5" t="str">
        <f>tbl_OriginalData[[#This Row],[Marital_Status]]</f>
        <v>Single</v>
      </c>
      <c r="AL5" t="str">
        <f>tbl_OriginalData[[#This Row],[Education_Level]]</f>
        <v>Master's</v>
      </c>
      <c r="AM5" t="str">
        <f>tbl_OriginalData[[#This Row],[Occupation]]</f>
        <v>Middle</v>
      </c>
      <c r="AN5" t="s">
        <v>74</v>
      </c>
      <c r="AO5" t="s">
        <v>78</v>
      </c>
      <c r="AP5" t="str">
        <f>tbl_OriginalData[[#This Row],[Purchase_Category]]</f>
        <v>Home Appliances</v>
      </c>
      <c r="AQ5" s="4">
        <f>tbl_OriginalData[[#This Row],[Purchase_Amount]]</f>
        <v>101.31</v>
      </c>
      <c r="AR5">
        <f>tbl_OriginalData[[#This Row],[Frequency_of_Purchase]]</f>
        <v>6</v>
      </c>
      <c r="AS5" t="str">
        <f>tbl_OriginalData[[#This Row],[Purchase_Channel]]</f>
        <v>Mixed</v>
      </c>
      <c r="AT5">
        <f>tbl_OriginalData[[#This Row],[Brand_Loyalty]]</f>
        <v>3</v>
      </c>
      <c r="AU5">
        <f>tbl_OriginalData[[#This Row],[Product_Rating]]</f>
        <v>1</v>
      </c>
      <c r="AV5">
        <f>tbl_OriginalData[[#This Row],[Time_Spent_on_Product_Research(hours)]]*60</f>
        <v>60</v>
      </c>
      <c r="AW5" t="str">
        <f>tbl_OriginalData[[#This Row],[Social_Media_Influence]]</f>
        <v>High</v>
      </c>
      <c r="AX5" t="str">
        <f>tbl_OriginalData[[#This Row],[Discount_Sensitivity]]</f>
        <v>Somewhat Sensitive</v>
      </c>
      <c r="AY5" s="3">
        <f>tbl_OriginalData[[#This Row],[Return_Rate]]/tbl_OriginalData[[#This Row],[Frequency_of_Purchase]]</f>
        <v>0</v>
      </c>
      <c r="AZ5">
        <f>tbl_OriginalData[[#This Row],[Customer_Satisfaction]]</f>
        <v>1</v>
      </c>
      <c r="BA5" t="str">
        <f>tbl_OriginalData[[#This Row],[Engagement_with_Ads]]</f>
        <v>None</v>
      </c>
      <c r="BB5" t="str">
        <f>tbl_OriginalData[[#This Row],[Device_Used_for_Shopping]]</f>
        <v>Smartphone</v>
      </c>
      <c r="BC5" t="str">
        <f>tbl_OriginalData[[#This Row],[Payment_Method]]</f>
        <v>Other</v>
      </c>
      <c r="BD5" s="1">
        <f>tbl_OriginalData[[#This Row],[Time_of_Purchase]]</f>
        <v>45569</v>
      </c>
      <c r="BE5" t="str">
        <f>IF(tbl_OriginalData[[#This Row],[Discount_Used]]=TRUE,"Yes","No")</f>
        <v>Yes</v>
      </c>
      <c r="BF5" t="str">
        <f>IF(tbl_OriginalData[[#This Row],[Customer_Loyalty_Program_Member]]=TRUE,"Yes","No")</f>
        <v>Yes</v>
      </c>
      <c r="BG5" t="str">
        <f>tbl_OriginalData[[#This Row],[Purchase_Intent]]</f>
        <v>Need-based</v>
      </c>
      <c r="BH5" t="str">
        <f>tbl_OriginalData[[#This Row],[Shipping_Preference]]</f>
        <v>Express</v>
      </c>
      <c r="BI5">
        <f>tbl_OriginalData[[#This Row],[Time_to_Decision]]</f>
        <v>10</v>
      </c>
      <c r="BJ5" t="s">
        <v>79</v>
      </c>
      <c r="BK5" t="s">
        <v>80</v>
      </c>
      <c r="BL5" t="s">
        <v>2525</v>
      </c>
    </row>
    <row r="6" spans="1:64">
      <c r="A6" t="s">
        <v>81</v>
      </c>
      <c r="B6">
        <v>33</v>
      </c>
      <c r="C6" t="s">
        <v>33</v>
      </c>
      <c r="D6" t="s">
        <v>34</v>
      </c>
      <c r="E6" t="s">
        <v>82</v>
      </c>
      <c r="F6" t="s">
        <v>52</v>
      </c>
      <c r="G6" t="s">
        <v>34</v>
      </c>
      <c r="H6" t="s">
        <v>83</v>
      </c>
      <c r="I6" t="s">
        <v>84</v>
      </c>
      <c r="J6">
        <v>211.7</v>
      </c>
      <c r="K6">
        <v>6</v>
      </c>
      <c r="L6" t="s">
        <v>39</v>
      </c>
      <c r="M6">
        <v>3</v>
      </c>
      <c r="N6">
        <v>4</v>
      </c>
      <c r="O6">
        <v>0</v>
      </c>
      <c r="P6" t="s">
        <v>56</v>
      </c>
      <c r="Q6" t="s">
        <v>57</v>
      </c>
      <c r="R6">
        <v>2</v>
      </c>
      <c r="S6">
        <v>10</v>
      </c>
      <c r="T6" t="s">
        <v>40</v>
      </c>
      <c r="U6" t="s">
        <v>70</v>
      </c>
      <c r="V6" t="s">
        <v>71</v>
      </c>
      <c r="W6" s="1">
        <v>45321</v>
      </c>
      <c r="X6" t="b">
        <v>0</v>
      </c>
      <c r="Y6" t="b">
        <v>0</v>
      </c>
      <c r="Z6" t="s">
        <v>59</v>
      </c>
      <c r="AA6" t="s">
        <v>45</v>
      </c>
      <c r="AB6">
        <v>4</v>
      </c>
      <c r="AF6" t="str">
        <f>tbl_OriginalData[[#This Row],[Customer_ID]]</f>
        <v>91-170-9072</v>
      </c>
      <c r="AG6">
        <f>tbl_OriginalData[[#This Row],[Age]]</f>
        <v>33</v>
      </c>
      <c r="AH6" t="str" cm="1">
        <f t="array" ref="AH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 t="str">
        <f>tbl_OriginalData[[#This Row],[Gender]]</f>
        <v>Female</v>
      </c>
      <c r="AJ6" t="str">
        <f>tbl_OriginalData[[#This Row],[Income_Level]]</f>
        <v>Middle</v>
      </c>
      <c r="AK6" t="str">
        <f>tbl_OriginalData[[#This Row],[Marital_Status]]</f>
        <v>Widowed</v>
      </c>
      <c r="AL6" t="str">
        <f>tbl_OriginalData[[#This Row],[Education_Level]]</f>
        <v>High School</v>
      </c>
      <c r="AM6" t="str">
        <f>tbl_OriginalData[[#This Row],[Occupation]]</f>
        <v>Middle</v>
      </c>
      <c r="AN6" t="s">
        <v>83</v>
      </c>
      <c r="AO6" t="s">
        <v>85</v>
      </c>
      <c r="AP6" t="str">
        <f>tbl_OriginalData[[#This Row],[Purchase_Category]]</f>
        <v>Furniture</v>
      </c>
      <c r="AQ6" s="4">
        <f>tbl_OriginalData[[#This Row],[Purchase_Amount]]</f>
        <v>211.7</v>
      </c>
      <c r="AR6">
        <f>tbl_OriginalData[[#This Row],[Frequency_of_Purchase]]</f>
        <v>6</v>
      </c>
      <c r="AS6" t="str">
        <f>tbl_OriginalData[[#This Row],[Purchase_Channel]]</f>
        <v>Mixed</v>
      </c>
      <c r="AT6">
        <f>tbl_OriginalData[[#This Row],[Brand_Loyalty]]</f>
        <v>3</v>
      </c>
      <c r="AU6">
        <f>tbl_OriginalData[[#This Row],[Product_Rating]]</f>
        <v>4</v>
      </c>
      <c r="AV6">
        <f>tbl_OriginalData[[#This Row],[Time_Spent_on_Product_Research(hours)]]*60</f>
        <v>0</v>
      </c>
      <c r="AW6" t="str">
        <f>tbl_OriginalData[[#This Row],[Social_Media_Influence]]</f>
        <v>Medium</v>
      </c>
      <c r="AX6" t="str">
        <f>tbl_OriginalData[[#This Row],[Discount_Sensitivity]]</f>
        <v>Not Sensitive</v>
      </c>
      <c r="AY6" s="3">
        <f>tbl_OriginalData[[#This Row],[Return_Rate]]/tbl_OriginalData[[#This Row],[Frequency_of_Purchase]]</f>
        <v>0.33333333333333331</v>
      </c>
      <c r="AZ6">
        <f>tbl_OriginalData[[#This Row],[Customer_Satisfaction]]</f>
        <v>10</v>
      </c>
      <c r="BA6" t="str">
        <f>tbl_OriginalData[[#This Row],[Engagement_with_Ads]]</f>
        <v>None</v>
      </c>
      <c r="BB6" t="str">
        <f>tbl_OriginalData[[#This Row],[Device_Used_for_Shopping]]</f>
        <v>Smartphone</v>
      </c>
      <c r="BC6" t="str">
        <f>tbl_OriginalData[[#This Row],[Payment_Method]]</f>
        <v>Debit Card</v>
      </c>
      <c r="BD6" s="1">
        <f>tbl_OriginalData[[#This Row],[Time_of_Purchase]]</f>
        <v>45321</v>
      </c>
      <c r="BE6" t="str">
        <f>IF(tbl_OriginalData[[#This Row],[Discount_Used]]=TRUE,"Yes","No")</f>
        <v>No</v>
      </c>
      <c r="BF6" t="str">
        <f>IF(tbl_OriginalData[[#This Row],[Customer_Loyalty_Program_Member]]=TRUE,"Yes","No")</f>
        <v>No</v>
      </c>
      <c r="BG6" t="str">
        <f>tbl_OriginalData[[#This Row],[Purchase_Intent]]</f>
        <v>Wants-based</v>
      </c>
      <c r="BH6" t="str">
        <f>tbl_OriginalData[[#This Row],[Shipping_Preference]]</f>
        <v>No Preference</v>
      </c>
      <c r="BI6">
        <f>tbl_OriginalData[[#This Row],[Time_to_Decision]]</f>
        <v>4</v>
      </c>
      <c r="BJ6" t="s">
        <v>86</v>
      </c>
      <c r="BK6" t="s">
        <v>48</v>
      </c>
      <c r="BL6" t="s">
        <v>2524</v>
      </c>
    </row>
    <row r="7" spans="1:64">
      <c r="A7" t="s">
        <v>87</v>
      </c>
      <c r="B7">
        <v>45</v>
      </c>
      <c r="C7" t="s">
        <v>50</v>
      </c>
      <c r="D7" t="s">
        <v>34</v>
      </c>
      <c r="E7" t="s">
        <v>35</v>
      </c>
      <c r="F7" t="s">
        <v>66</v>
      </c>
      <c r="G7" t="s">
        <v>51</v>
      </c>
      <c r="H7" t="s">
        <v>88</v>
      </c>
      <c r="I7" t="s">
        <v>68</v>
      </c>
      <c r="J7">
        <v>487.95</v>
      </c>
      <c r="K7">
        <v>8</v>
      </c>
      <c r="L7" t="s">
        <v>39</v>
      </c>
      <c r="M7">
        <v>3</v>
      </c>
      <c r="N7">
        <v>3</v>
      </c>
      <c r="O7">
        <v>0</v>
      </c>
      <c r="P7" t="s">
        <v>51</v>
      </c>
      <c r="Q7" t="s">
        <v>57</v>
      </c>
      <c r="R7">
        <v>2</v>
      </c>
      <c r="S7">
        <v>3</v>
      </c>
      <c r="T7" t="s">
        <v>40</v>
      </c>
      <c r="U7" t="s">
        <v>42</v>
      </c>
      <c r="V7" t="s">
        <v>71</v>
      </c>
      <c r="W7" s="1">
        <v>45370</v>
      </c>
      <c r="X7" t="b">
        <v>0</v>
      </c>
      <c r="Y7" t="b">
        <v>0</v>
      </c>
      <c r="Z7" t="s">
        <v>89</v>
      </c>
      <c r="AA7" t="s">
        <v>45</v>
      </c>
      <c r="AB7">
        <v>7</v>
      </c>
      <c r="AF7" t="str">
        <f>tbl_OriginalData[[#This Row],[Customer_ID]]</f>
        <v>82-561-4233</v>
      </c>
      <c r="AG7">
        <f>tbl_OriginalData[[#This Row],[Age]]</f>
        <v>45</v>
      </c>
      <c r="AH7" t="str" cm="1">
        <f t="array" ref="AH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 t="str">
        <f>tbl_OriginalData[[#This Row],[Gender]]</f>
        <v>Male</v>
      </c>
      <c r="AJ7" t="str">
        <f>tbl_OriginalData[[#This Row],[Income_Level]]</f>
        <v>Middle</v>
      </c>
      <c r="AK7" t="str">
        <f>tbl_OriginalData[[#This Row],[Marital_Status]]</f>
        <v>Married</v>
      </c>
      <c r="AL7" t="str">
        <f>tbl_OriginalData[[#This Row],[Education_Level]]</f>
        <v>Master's</v>
      </c>
      <c r="AM7" t="str">
        <f>tbl_OriginalData[[#This Row],[Occupation]]</f>
        <v>High</v>
      </c>
      <c r="AN7" t="s">
        <v>88</v>
      </c>
      <c r="AO7" t="s">
        <v>90</v>
      </c>
      <c r="AP7" t="str">
        <f>tbl_OriginalData[[#This Row],[Purchase_Category]]</f>
        <v>Office Supplies</v>
      </c>
      <c r="AQ7" s="4">
        <f>tbl_OriginalData[[#This Row],[Purchase_Amount]]</f>
        <v>487.95</v>
      </c>
      <c r="AR7">
        <f>tbl_OriginalData[[#This Row],[Frequency_of_Purchase]]</f>
        <v>8</v>
      </c>
      <c r="AS7" t="str">
        <f>tbl_OriginalData[[#This Row],[Purchase_Channel]]</f>
        <v>Mixed</v>
      </c>
      <c r="AT7">
        <f>tbl_OriginalData[[#This Row],[Brand_Loyalty]]</f>
        <v>3</v>
      </c>
      <c r="AU7">
        <f>tbl_OriginalData[[#This Row],[Product_Rating]]</f>
        <v>3</v>
      </c>
      <c r="AV7">
        <f>tbl_OriginalData[[#This Row],[Time_Spent_on_Product_Research(hours)]]*60</f>
        <v>0</v>
      </c>
      <c r="AW7" t="str">
        <f>tbl_OriginalData[[#This Row],[Social_Media_Influence]]</f>
        <v>High</v>
      </c>
      <c r="AX7" t="str">
        <f>tbl_OriginalData[[#This Row],[Discount_Sensitivity]]</f>
        <v>Not Sensitive</v>
      </c>
      <c r="AY7" s="3">
        <f>tbl_OriginalData[[#This Row],[Return_Rate]]/tbl_OriginalData[[#This Row],[Frequency_of_Purchase]]</f>
        <v>0.25</v>
      </c>
      <c r="AZ7">
        <f>tbl_OriginalData[[#This Row],[Customer_Satisfaction]]</f>
        <v>3</v>
      </c>
      <c r="BA7" t="str">
        <f>tbl_OriginalData[[#This Row],[Engagement_with_Ads]]</f>
        <v>None</v>
      </c>
      <c r="BB7" t="str">
        <f>tbl_OriginalData[[#This Row],[Device_Used_for_Shopping]]</f>
        <v>Tablet</v>
      </c>
      <c r="BC7" t="str">
        <f>tbl_OriginalData[[#This Row],[Payment_Method]]</f>
        <v>Debit Card</v>
      </c>
      <c r="BD7" s="1">
        <f>tbl_OriginalData[[#This Row],[Time_of_Purchase]]</f>
        <v>45370</v>
      </c>
      <c r="BE7" t="str">
        <f>IF(tbl_OriginalData[[#This Row],[Discount_Used]]=TRUE,"Yes","No")</f>
        <v>No</v>
      </c>
      <c r="BF7" t="str">
        <f>IF(tbl_OriginalData[[#This Row],[Customer_Loyalty_Program_Member]]=TRUE,"Yes","No")</f>
        <v>No</v>
      </c>
      <c r="BG7" t="str">
        <f>tbl_OriginalData[[#This Row],[Purchase_Intent]]</f>
        <v>Planned</v>
      </c>
      <c r="BH7" t="str">
        <f>tbl_OriginalData[[#This Row],[Shipping_Preference]]</f>
        <v>No Preference</v>
      </c>
      <c r="BI7">
        <f>tbl_OriginalData[[#This Row],[Time_to_Decision]]</f>
        <v>7</v>
      </c>
      <c r="BJ7" t="s">
        <v>47</v>
      </c>
      <c r="BK7" t="s">
        <v>48</v>
      </c>
      <c r="BL7" t="s">
        <v>2524</v>
      </c>
    </row>
    <row r="8" spans="1:64">
      <c r="A8" t="s">
        <v>91</v>
      </c>
      <c r="B8">
        <v>21</v>
      </c>
      <c r="C8" t="s">
        <v>33</v>
      </c>
      <c r="D8" t="s">
        <v>34</v>
      </c>
      <c r="E8" t="s">
        <v>92</v>
      </c>
      <c r="F8" t="s">
        <v>52</v>
      </c>
      <c r="G8" t="s">
        <v>34</v>
      </c>
      <c r="H8" t="s">
        <v>93</v>
      </c>
      <c r="I8" t="s">
        <v>84</v>
      </c>
      <c r="J8">
        <v>486.4</v>
      </c>
      <c r="K8">
        <v>12</v>
      </c>
      <c r="L8" t="s">
        <v>94</v>
      </c>
      <c r="M8">
        <v>2</v>
      </c>
      <c r="N8">
        <v>5</v>
      </c>
      <c r="O8">
        <v>1</v>
      </c>
      <c r="P8" t="s">
        <v>51</v>
      </c>
      <c r="Q8" t="s">
        <v>41</v>
      </c>
      <c r="R8">
        <v>0</v>
      </c>
      <c r="S8">
        <v>9</v>
      </c>
      <c r="T8" t="s">
        <v>69</v>
      </c>
      <c r="U8" t="s">
        <v>95</v>
      </c>
      <c r="V8" t="s">
        <v>71</v>
      </c>
      <c r="W8" s="1">
        <v>45366</v>
      </c>
      <c r="X8" t="b">
        <v>1</v>
      </c>
      <c r="Y8" t="b">
        <v>0</v>
      </c>
      <c r="Z8" t="s">
        <v>44</v>
      </c>
      <c r="AA8" t="s">
        <v>77</v>
      </c>
      <c r="AB8">
        <v>13</v>
      </c>
      <c r="AF8" t="str">
        <f>tbl_OriginalData[[#This Row],[Customer_ID]]</f>
        <v>90-144-9193</v>
      </c>
      <c r="AG8">
        <f>tbl_OriginalData[[#This Row],[Age]]</f>
        <v>21</v>
      </c>
      <c r="AH8" t="str" cm="1">
        <f t="array" ref="AH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 t="str">
        <f>tbl_OriginalData[[#This Row],[Gender]]</f>
        <v>Female</v>
      </c>
      <c r="AJ8" t="str">
        <f>tbl_OriginalData[[#This Row],[Income_Level]]</f>
        <v>Middle</v>
      </c>
      <c r="AK8" t="str">
        <f>tbl_OriginalData[[#This Row],[Marital_Status]]</f>
        <v>Divorced</v>
      </c>
      <c r="AL8" t="str">
        <f>tbl_OriginalData[[#This Row],[Education_Level]]</f>
        <v>High School</v>
      </c>
      <c r="AM8" t="str">
        <f>tbl_OriginalData[[#This Row],[Occupation]]</f>
        <v>Middle</v>
      </c>
      <c r="AN8" t="s">
        <v>93</v>
      </c>
      <c r="AO8" t="s">
        <v>61</v>
      </c>
      <c r="AP8" t="str">
        <f>tbl_OriginalData[[#This Row],[Purchase_Category]]</f>
        <v>Furniture</v>
      </c>
      <c r="AQ8" s="4">
        <f>tbl_OriginalData[[#This Row],[Purchase_Amount]]</f>
        <v>486.4</v>
      </c>
      <c r="AR8">
        <f>tbl_OriginalData[[#This Row],[Frequency_of_Purchase]]</f>
        <v>12</v>
      </c>
      <c r="AS8" t="str">
        <f>tbl_OriginalData[[#This Row],[Purchase_Channel]]</f>
        <v>Online</v>
      </c>
      <c r="AT8">
        <f>tbl_OriginalData[[#This Row],[Brand_Loyalty]]</f>
        <v>2</v>
      </c>
      <c r="AU8">
        <f>tbl_OriginalData[[#This Row],[Product_Rating]]</f>
        <v>5</v>
      </c>
      <c r="AV8">
        <f>tbl_OriginalData[[#This Row],[Time_Spent_on_Product_Research(hours)]]*60</f>
        <v>60</v>
      </c>
      <c r="AW8" t="str">
        <f>tbl_OriginalData[[#This Row],[Social_Media_Influence]]</f>
        <v>High</v>
      </c>
      <c r="AX8" t="str">
        <f>tbl_OriginalData[[#This Row],[Discount_Sensitivity]]</f>
        <v>Somewhat Sensitive</v>
      </c>
      <c r="AY8" s="3">
        <f>tbl_OriginalData[[#This Row],[Return_Rate]]/tbl_OriginalData[[#This Row],[Frequency_of_Purchase]]</f>
        <v>0</v>
      </c>
      <c r="AZ8">
        <f>tbl_OriginalData[[#This Row],[Customer_Satisfaction]]</f>
        <v>9</v>
      </c>
      <c r="BA8" t="str">
        <f>tbl_OriginalData[[#This Row],[Engagement_with_Ads]]</f>
        <v>Low</v>
      </c>
      <c r="BB8" t="str">
        <f>tbl_OriginalData[[#This Row],[Device_Used_for_Shopping]]</f>
        <v>Desktop</v>
      </c>
      <c r="BC8" t="str">
        <f>tbl_OriginalData[[#This Row],[Payment_Method]]</f>
        <v>Debit Card</v>
      </c>
      <c r="BD8" s="1">
        <f>tbl_OriginalData[[#This Row],[Time_of_Purchase]]</f>
        <v>45366</v>
      </c>
      <c r="BE8" t="str">
        <f>IF(tbl_OriginalData[[#This Row],[Discount_Used]]=TRUE,"Yes","No")</f>
        <v>Yes</v>
      </c>
      <c r="BF8" t="str">
        <f>IF(tbl_OriginalData[[#This Row],[Customer_Loyalty_Program_Member]]=TRUE,"Yes","No")</f>
        <v>No</v>
      </c>
      <c r="BG8" t="str">
        <f>tbl_OriginalData[[#This Row],[Purchase_Intent]]</f>
        <v>Need-based</v>
      </c>
      <c r="BH8" t="str">
        <f>tbl_OriginalData[[#This Row],[Shipping_Preference]]</f>
        <v>Express</v>
      </c>
      <c r="BI8">
        <f>tbl_OriginalData[[#This Row],[Time_to_Decision]]</f>
        <v>13</v>
      </c>
      <c r="BJ8" t="s">
        <v>47</v>
      </c>
      <c r="BK8" t="s">
        <v>48</v>
      </c>
      <c r="BL8" t="s">
        <v>2524</v>
      </c>
    </row>
    <row r="9" spans="1:64">
      <c r="A9" t="s">
        <v>96</v>
      </c>
      <c r="B9">
        <v>39</v>
      </c>
      <c r="C9" t="s">
        <v>50</v>
      </c>
      <c r="D9" t="s">
        <v>34</v>
      </c>
      <c r="E9" t="s">
        <v>65</v>
      </c>
      <c r="F9" t="s">
        <v>52</v>
      </c>
      <c r="G9" t="s">
        <v>34</v>
      </c>
      <c r="H9" t="s">
        <v>97</v>
      </c>
      <c r="I9" t="s">
        <v>98</v>
      </c>
      <c r="J9">
        <v>218.06</v>
      </c>
      <c r="K9">
        <v>6</v>
      </c>
      <c r="L9" t="s">
        <v>94</v>
      </c>
      <c r="M9">
        <v>5</v>
      </c>
      <c r="N9">
        <v>4</v>
      </c>
      <c r="O9">
        <v>1</v>
      </c>
      <c r="P9" t="s">
        <v>69</v>
      </c>
      <c r="Q9" t="s">
        <v>41</v>
      </c>
      <c r="R9">
        <v>2</v>
      </c>
      <c r="S9">
        <v>9</v>
      </c>
      <c r="T9" t="s">
        <v>40</v>
      </c>
      <c r="U9" t="s">
        <v>95</v>
      </c>
      <c r="V9" t="s">
        <v>43</v>
      </c>
      <c r="W9" s="1">
        <v>45368</v>
      </c>
      <c r="X9" t="b">
        <v>0</v>
      </c>
      <c r="Y9" t="b">
        <v>1</v>
      </c>
      <c r="Z9" t="s">
        <v>72</v>
      </c>
      <c r="AA9" t="s">
        <v>45</v>
      </c>
      <c r="AB9">
        <v>13</v>
      </c>
      <c r="AF9" t="str">
        <f>tbl_OriginalData[[#This Row],[Customer_ID]]</f>
        <v>88-661-4689</v>
      </c>
      <c r="AG9">
        <f>tbl_OriginalData[[#This Row],[Age]]</f>
        <v>39</v>
      </c>
      <c r="AH9" t="str" cm="1">
        <f t="array" ref="AH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 t="str">
        <f>tbl_OriginalData[[#This Row],[Gender]]</f>
        <v>Male</v>
      </c>
      <c r="AJ9" t="str">
        <f>tbl_OriginalData[[#This Row],[Income_Level]]</f>
        <v>Middle</v>
      </c>
      <c r="AK9" t="str">
        <f>tbl_OriginalData[[#This Row],[Marital_Status]]</f>
        <v>Single</v>
      </c>
      <c r="AL9" t="str">
        <f>tbl_OriginalData[[#This Row],[Education_Level]]</f>
        <v>High School</v>
      </c>
      <c r="AM9" t="str">
        <f>tbl_OriginalData[[#This Row],[Occupation]]</f>
        <v>Middle</v>
      </c>
      <c r="AN9" t="s">
        <v>97</v>
      </c>
      <c r="AO9" t="s">
        <v>61</v>
      </c>
      <c r="AP9" t="str">
        <f>tbl_OriginalData[[#This Row],[Purchase_Category]]</f>
        <v>Books</v>
      </c>
      <c r="AQ9" s="4">
        <f>tbl_OriginalData[[#This Row],[Purchase_Amount]]</f>
        <v>218.06</v>
      </c>
      <c r="AR9">
        <f>tbl_OriginalData[[#This Row],[Frequency_of_Purchase]]</f>
        <v>6</v>
      </c>
      <c r="AS9" t="str">
        <f>tbl_OriginalData[[#This Row],[Purchase_Channel]]</f>
        <v>Online</v>
      </c>
      <c r="AT9">
        <f>tbl_OriginalData[[#This Row],[Brand_Loyalty]]</f>
        <v>5</v>
      </c>
      <c r="AU9">
        <f>tbl_OriginalData[[#This Row],[Product_Rating]]</f>
        <v>4</v>
      </c>
      <c r="AV9">
        <f>tbl_OriginalData[[#This Row],[Time_Spent_on_Product_Research(hours)]]*60</f>
        <v>60</v>
      </c>
      <c r="AW9" t="str">
        <f>tbl_OriginalData[[#This Row],[Social_Media_Influence]]</f>
        <v>Low</v>
      </c>
      <c r="AX9" t="str">
        <f>tbl_OriginalData[[#This Row],[Discount_Sensitivity]]</f>
        <v>Somewhat Sensitive</v>
      </c>
      <c r="AY9" s="3">
        <f>tbl_OriginalData[[#This Row],[Return_Rate]]/tbl_OriginalData[[#This Row],[Frequency_of_Purchase]]</f>
        <v>0.33333333333333331</v>
      </c>
      <c r="AZ9">
        <f>tbl_OriginalData[[#This Row],[Customer_Satisfaction]]</f>
        <v>9</v>
      </c>
      <c r="BA9" t="str">
        <f>tbl_OriginalData[[#This Row],[Engagement_with_Ads]]</f>
        <v>None</v>
      </c>
      <c r="BB9" t="str">
        <f>tbl_OriginalData[[#This Row],[Device_Used_for_Shopping]]</f>
        <v>Desktop</v>
      </c>
      <c r="BC9" t="str">
        <f>tbl_OriginalData[[#This Row],[Payment_Method]]</f>
        <v>Credit Card</v>
      </c>
      <c r="BD9" s="1">
        <f>tbl_OriginalData[[#This Row],[Time_of_Purchase]]</f>
        <v>45368</v>
      </c>
      <c r="BE9" t="str">
        <f>IF(tbl_OriginalData[[#This Row],[Discount_Used]]=TRUE,"Yes","No")</f>
        <v>No</v>
      </c>
      <c r="BF9" t="str">
        <f>IF(tbl_OriginalData[[#This Row],[Customer_Loyalty_Program_Member]]=TRUE,"Yes","No")</f>
        <v>Yes</v>
      </c>
      <c r="BG9" t="str">
        <f>tbl_OriginalData[[#This Row],[Purchase_Intent]]</f>
        <v>Impulsive</v>
      </c>
      <c r="BH9" t="str">
        <f>tbl_OriginalData[[#This Row],[Shipping_Preference]]</f>
        <v>No Preference</v>
      </c>
      <c r="BI9">
        <f>tbl_OriginalData[[#This Row],[Time_to_Decision]]</f>
        <v>13</v>
      </c>
      <c r="BJ9" t="s">
        <v>47</v>
      </c>
      <c r="BK9" t="s">
        <v>48</v>
      </c>
      <c r="BL9" t="s">
        <v>2524</v>
      </c>
    </row>
    <row r="10" spans="1:64">
      <c r="A10" t="s">
        <v>99</v>
      </c>
      <c r="B10">
        <v>24</v>
      </c>
      <c r="C10" t="s">
        <v>33</v>
      </c>
      <c r="D10" t="s">
        <v>51</v>
      </c>
      <c r="E10" t="s">
        <v>92</v>
      </c>
      <c r="F10" t="s">
        <v>66</v>
      </c>
      <c r="G10" t="s">
        <v>34</v>
      </c>
      <c r="H10" t="s">
        <v>100</v>
      </c>
      <c r="I10" t="s">
        <v>68</v>
      </c>
      <c r="J10">
        <v>201.96</v>
      </c>
      <c r="K10">
        <v>8</v>
      </c>
      <c r="L10" t="s">
        <v>55</v>
      </c>
      <c r="M10">
        <v>3</v>
      </c>
      <c r="N10">
        <v>5</v>
      </c>
      <c r="O10">
        <v>0</v>
      </c>
      <c r="P10" t="s">
        <v>69</v>
      </c>
      <c r="Q10" t="s">
        <v>101</v>
      </c>
      <c r="R10">
        <v>1</v>
      </c>
      <c r="S10">
        <v>2</v>
      </c>
      <c r="T10" t="s">
        <v>51</v>
      </c>
      <c r="U10" t="s">
        <v>95</v>
      </c>
      <c r="V10" t="s">
        <v>102</v>
      </c>
      <c r="W10" s="1">
        <v>45453</v>
      </c>
      <c r="X10" t="b">
        <v>0</v>
      </c>
      <c r="Y10" t="b">
        <v>0</v>
      </c>
      <c r="Z10" t="s">
        <v>44</v>
      </c>
      <c r="AA10" t="s">
        <v>60</v>
      </c>
      <c r="AB10">
        <v>7</v>
      </c>
      <c r="AF10" t="str">
        <f>tbl_OriginalData[[#This Row],[Customer_ID]]</f>
        <v>37-065-3182</v>
      </c>
      <c r="AG10">
        <f>tbl_OriginalData[[#This Row],[Age]]</f>
        <v>24</v>
      </c>
      <c r="AH10" t="str" cm="1">
        <f t="array" ref="AH1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0" t="str">
        <f>tbl_OriginalData[[#This Row],[Gender]]</f>
        <v>Female</v>
      </c>
      <c r="AJ10" t="str">
        <f>tbl_OriginalData[[#This Row],[Income_Level]]</f>
        <v>High</v>
      </c>
      <c r="AK10" t="str">
        <f>tbl_OriginalData[[#This Row],[Marital_Status]]</f>
        <v>Divorced</v>
      </c>
      <c r="AL10" t="str">
        <f>tbl_OriginalData[[#This Row],[Education_Level]]</f>
        <v>Master's</v>
      </c>
      <c r="AM10" t="str">
        <f>tbl_OriginalData[[#This Row],[Occupation]]</f>
        <v>Middle</v>
      </c>
      <c r="AN10" t="s">
        <v>100</v>
      </c>
      <c r="AO10" t="s">
        <v>103</v>
      </c>
      <c r="AP10" t="str">
        <f>tbl_OriginalData[[#This Row],[Purchase_Category]]</f>
        <v>Office Supplies</v>
      </c>
      <c r="AQ10" s="4">
        <f>tbl_OriginalData[[#This Row],[Purchase_Amount]]</f>
        <v>201.96</v>
      </c>
      <c r="AR10">
        <f>tbl_OriginalData[[#This Row],[Frequency_of_Purchase]]</f>
        <v>8</v>
      </c>
      <c r="AS10" t="str">
        <f>tbl_OriginalData[[#This Row],[Purchase_Channel]]</f>
        <v>In-Store</v>
      </c>
      <c r="AT10">
        <f>tbl_OriginalData[[#This Row],[Brand_Loyalty]]</f>
        <v>3</v>
      </c>
      <c r="AU10">
        <f>tbl_OriginalData[[#This Row],[Product_Rating]]</f>
        <v>5</v>
      </c>
      <c r="AV10">
        <f>tbl_OriginalData[[#This Row],[Time_Spent_on_Product_Research(hours)]]*60</f>
        <v>0</v>
      </c>
      <c r="AW10" t="str">
        <f>tbl_OriginalData[[#This Row],[Social_Media_Influence]]</f>
        <v>Low</v>
      </c>
      <c r="AX10" t="str">
        <f>tbl_OriginalData[[#This Row],[Discount_Sensitivity]]</f>
        <v>Very Sensitive</v>
      </c>
      <c r="AY10" s="3">
        <f>tbl_OriginalData[[#This Row],[Return_Rate]]/tbl_OriginalData[[#This Row],[Frequency_of_Purchase]]</f>
        <v>0.125</v>
      </c>
      <c r="AZ10">
        <f>tbl_OriginalData[[#This Row],[Customer_Satisfaction]]</f>
        <v>2</v>
      </c>
      <c r="BA10" t="str">
        <f>tbl_OriginalData[[#This Row],[Engagement_with_Ads]]</f>
        <v>High</v>
      </c>
      <c r="BB10" t="str">
        <f>tbl_OriginalData[[#This Row],[Device_Used_for_Shopping]]</f>
        <v>Desktop</v>
      </c>
      <c r="BC10" t="str">
        <f>tbl_OriginalData[[#This Row],[Payment_Method]]</f>
        <v>Cash</v>
      </c>
      <c r="BD10" s="1">
        <f>tbl_OriginalData[[#This Row],[Time_of_Purchase]]</f>
        <v>45453</v>
      </c>
      <c r="BE10" t="str">
        <f>IF(tbl_OriginalData[[#This Row],[Discount_Used]]=TRUE,"Yes","No")</f>
        <v>No</v>
      </c>
      <c r="BF10" t="str">
        <f>IF(tbl_OriginalData[[#This Row],[Customer_Loyalty_Program_Member]]=TRUE,"Yes","No")</f>
        <v>No</v>
      </c>
      <c r="BG10" t="str">
        <f>tbl_OriginalData[[#This Row],[Purchase_Intent]]</f>
        <v>Need-based</v>
      </c>
      <c r="BH10" t="str">
        <f>tbl_OriginalData[[#This Row],[Shipping_Preference]]</f>
        <v>Standard</v>
      </c>
      <c r="BI10">
        <f>tbl_OriginalData[[#This Row],[Time_to_Decision]]</f>
        <v>7</v>
      </c>
      <c r="BJ10" t="s">
        <v>104</v>
      </c>
      <c r="BK10" t="s">
        <v>63</v>
      </c>
      <c r="BL10" t="s">
        <v>2523</v>
      </c>
    </row>
    <row r="11" spans="1:64">
      <c r="A11" t="s">
        <v>105</v>
      </c>
      <c r="B11">
        <v>25</v>
      </c>
      <c r="C11" t="s">
        <v>106</v>
      </c>
      <c r="D11" t="s">
        <v>51</v>
      </c>
      <c r="E11" t="s">
        <v>35</v>
      </c>
      <c r="F11" t="s">
        <v>36</v>
      </c>
      <c r="G11" t="s">
        <v>51</v>
      </c>
      <c r="H11" t="s">
        <v>107</v>
      </c>
      <c r="I11" t="s">
        <v>108</v>
      </c>
      <c r="J11">
        <v>418.83</v>
      </c>
      <c r="K11">
        <v>7</v>
      </c>
      <c r="L11" t="s">
        <v>94</v>
      </c>
      <c r="M11">
        <v>2</v>
      </c>
      <c r="N11">
        <v>5</v>
      </c>
      <c r="O11">
        <v>1</v>
      </c>
      <c r="P11" t="s">
        <v>40</v>
      </c>
      <c r="Q11" t="s">
        <v>41</v>
      </c>
      <c r="R11">
        <v>1</v>
      </c>
      <c r="S11">
        <v>5</v>
      </c>
      <c r="T11" t="s">
        <v>56</v>
      </c>
      <c r="U11" t="s">
        <v>42</v>
      </c>
      <c r="V11" t="s">
        <v>58</v>
      </c>
      <c r="W11" s="1">
        <v>45572</v>
      </c>
      <c r="X11" t="b">
        <v>1</v>
      </c>
      <c r="Y11" t="b">
        <v>0</v>
      </c>
      <c r="Z11" t="s">
        <v>44</v>
      </c>
      <c r="AA11" t="s">
        <v>45</v>
      </c>
      <c r="AB11">
        <v>13</v>
      </c>
      <c r="AF11" t="str">
        <f>tbl_OriginalData[[#This Row],[Customer_ID]]</f>
        <v>84-894-9222</v>
      </c>
      <c r="AG11">
        <f>tbl_OriginalData[[#This Row],[Age]]</f>
        <v>25</v>
      </c>
      <c r="AH11" t="str" cm="1">
        <f t="array" ref="AH1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1" t="str">
        <f>tbl_OriginalData[[#This Row],[Gender]]</f>
        <v>Bigender</v>
      </c>
      <c r="AJ11" t="str">
        <f>tbl_OriginalData[[#This Row],[Income_Level]]</f>
        <v>High</v>
      </c>
      <c r="AK11" t="str">
        <f>tbl_OriginalData[[#This Row],[Marital_Status]]</f>
        <v>Married</v>
      </c>
      <c r="AL11" t="str">
        <f>tbl_OriginalData[[#This Row],[Education_Level]]</f>
        <v>Bachelor's</v>
      </c>
      <c r="AM11" t="str">
        <f>tbl_OriginalData[[#This Row],[Occupation]]</f>
        <v>High</v>
      </c>
      <c r="AN11" t="s">
        <v>107</v>
      </c>
      <c r="AO11" t="s">
        <v>109</v>
      </c>
      <c r="AP11" t="str">
        <f>tbl_OriginalData[[#This Row],[Purchase_Category]]</f>
        <v>Sports &amp; Outdoors</v>
      </c>
      <c r="AQ11" s="4">
        <f>tbl_OriginalData[[#This Row],[Purchase_Amount]]</f>
        <v>418.83</v>
      </c>
      <c r="AR11">
        <f>tbl_OriginalData[[#This Row],[Frequency_of_Purchase]]</f>
        <v>7</v>
      </c>
      <c r="AS11" t="str">
        <f>tbl_OriginalData[[#This Row],[Purchase_Channel]]</f>
        <v>Online</v>
      </c>
      <c r="AT11">
        <f>tbl_OriginalData[[#This Row],[Brand_Loyalty]]</f>
        <v>2</v>
      </c>
      <c r="AU11">
        <f>tbl_OriginalData[[#This Row],[Product_Rating]]</f>
        <v>5</v>
      </c>
      <c r="AV11">
        <f>tbl_OriginalData[[#This Row],[Time_Spent_on_Product_Research(hours)]]*60</f>
        <v>60</v>
      </c>
      <c r="AW11" t="str">
        <f>tbl_OriginalData[[#This Row],[Social_Media_Influence]]</f>
        <v>None</v>
      </c>
      <c r="AX11" t="str">
        <f>tbl_OriginalData[[#This Row],[Discount_Sensitivity]]</f>
        <v>Somewhat Sensitive</v>
      </c>
      <c r="AY11" s="3">
        <f>tbl_OriginalData[[#This Row],[Return_Rate]]/tbl_OriginalData[[#This Row],[Frequency_of_Purchase]]</f>
        <v>0.14285714285714285</v>
      </c>
      <c r="AZ11">
        <f>tbl_OriginalData[[#This Row],[Customer_Satisfaction]]</f>
        <v>5</v>
      </c>
      <c r="BA11" t="str">
        <f>tbl_OriginalData[[#This Row],[Engagement_with_Ads]]</f>
        <v>Medium</v>
      </c>
      <c r="BB11" t="str">
        <f>tbl_OriginalData[[#This Row],[Device_Used_for_Shopping]]</f>
        <v>Tablet</v>
      </c>
      <c r="BC11" t="str">
        <f>tbl_OriginalData[[#This Row],[Payment_Method]]</f>
        <v>PayPal</v>
      </c>
      <c r="BD11" s="1">
        <f>tbl_OriginalData[[#This Row],[Time_of_Purchase]]</f>
        <v>45572</v>
      </c>
      <c r="BE11" t="str">
        <f>IF(tbl_OriginalData[[#This Row],[Discount_Used]]=TRUE,"Yes","No")</f>
        <v>Yes</v>
      </c>
      <c r="BF11" t="str">
        <f>IF(tbl_OriginalData[[#This Row],[Customer_Loyalty_Program_Member]]=TRUE,"Yes","No")</f>
        <v>No</v>
      </c>
      <c r="BG11" t="str">
        <f>tbl_OriginalData[[#This Row],[Purchase_Intent]]</f>
        <v>Need-based</v>
      </c>
      <c r="BH11" t="str">
        <f>tbl_OriginalData[[#This Row],[Shipping_Preference]]</f>
        <v>No Preference</v>
      </c>
      <c r="BI11">
        <f>tbl_OriginalData[[#This Row],[Time_to_Decision]]</f>
        <v>13</v>
      </c>
      <c r="BJ11" t="s">
        <v>79</v>
      </c>
      <c r="BK11" t="s">
        <v>80</v>
      </c>
      <c r="BL11" t="s">
        <v>2526</v>
      </c>
    </row>
    <row r="12" spans="1:64">
      <c r="A12" t="s">
        <v>110</v>
      </c>
      <c r="B12">
        <v>33</v>
      </c>
      <c r="C12" t="s">
        <v>50</v>
      </c>
      <c r="D12" t="s">
        <v>34</v>
      </c>
      <c r="E12" t="s">
        <v>92</v>
      </c>
      <c r="F12" t="s">
        <v>36</v>
      </c>
      <c r="G12" t="s">
        <v>34</v>
      </c>
      <c r="H12" t="s">
        <v>111</v>
      </c>
      <c r="I12" t="s">
        <v>112</v>
      </c>
      <c r="J12">
        <v>389.7</v>
      </c>
      <c r="K12">
        <v>12</v>
      </c>
      <c r="L12" t="s">
        <v>55</v>
      </c>
      <c r="M12">
        <v>1</v>
      </c>
      <c r="N12">
        <v>4</v>
      </c>
      <c r="O12">
        <v>0.5</v>
      </c>
      <c r="P12" t="s">
        <v>69</v>
      </c>
      <c r="Q12" t="s">
        <v>57</v>
      </c>
      <c r="R12">
        <v>0</v>
      </c>
      <c r="S12">
        <v>4</v>
      </c>
      <c r="T12" t="s">
        <v>51</v>
      </c>
      <c r="U12" t="s">
        <v>95</v>
      </c>
      <c r="V12" t="s">
        <v>58</v>
      </c>
      <c r="W12" s="1">
        <v>45475</v>
      </c>
      <c r="X12" t="b">
        <v>1</v>
      </c>
      <c r="Y12" t="b">
        <v>0</v>
      </c>
      <c r="Z12" t="s">
        <v>89</v>
      </c>
      <c r="AA12" t="s">
        <v>77</v>
      </c>
      <c r="AB12">
        <v>12</v>
      </c>
      <c r="AF12" t="str">
        <f>tbl_OriginalData[[#This Row],[Customer_ID]]</f>
        <v>44-674-4037</v>
      </c>
      <c r="AG12">
        <f>tbl_OriginalData[[#This Row],[Age]]</f>
        <v>33</v>
      </c>
      <c r="AH12" t="str" cm="1">
        <f t="array" ref="AH1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2" t="str">
        <f>tbl_OriginalData[[#This Row],[Gender]]</f>
        <v>Male</v>
      </c>
      <c r="AJ12" t="str">
        <f>tbl_OriginalData[[#This Row],[Income_Level]]</f>
        <v>Middle</v>
      </c>
      <c r="AK12" t="str">
        <f>tbl_OriginalData[[#This Row],[Marital_Status]]</f>
        <v>Divorced</v>
      </c>
      <c r="AL12" t="str">
        <f>tbl_OriginalData[[#This Row],[Education_Level]]</f>
        <v>Bachelor's</v>
      </c>
      <c r="AM12" t="str">
        <f>tbl_OriginalData[[#This Row],[Occupation]]</f>
        <v>Middle</v>
      </c>
      <c r="AN12" t="s">
        <v>111</v>
      </c>
      <c r="AO12" t="s">
        <v>113</v>
      </c>
      <c r="AP12" t="str">
        <f>tbl_OriginalData[[#This Row],[Purchase_Category]]</f>
        <v>Mobile Accessories</v>
      </c>
      <c r="AQ12" s="4">
        <f>tbl_OriginalData[[#This Row],[Purchase_Amount]]</f>
        <v>389.7</v>
      </c>
      <c r="AR12">
        <f>tbl_OriginalData[[#This Row],[Frequency_of_Purchase]]</f>
        <v>12</v>
      </c>
      <c r="AS12" t="str">
        <f>tbl_OriginalData[[#This Row],[Purchase_Channel]]</f>
        <v>In-Store</v>
      </c>
      <c r="AT12">
        <f>tbl_OriginalData[[#This Row],[Brand_Loyalty]]</f>
        <v>1</v>
      </c>
      <c r="AU12">
        <f>tbl_OriginalData[[#This Row],[Product_Rating]]</f>
        <v>4</v>
      </c>
      <c r="AV12">
        <f>tbl_OriginalData[[#This Row],[Time_Spent_on_Product_Research(hours)]]*60</f>
        <v>30</v>
      </c>
      <c r="AW12" t="str">
        <f>tbl_OriginalData[[#This Row],[Social_Media_Influence]]</f>
        <v>Low</v>
      </c>
      <c r="AX12" t="str">
        <f>tbl_OriginalData[[#This Row],[Discount_Sensitivity]]</f>
        <v>Not Sensitive</v>
      </c>
      <c r="AY12" s="3">
        <f>tbl_OriginalData[[#This Row],[Return_Rate]]/tbl_OriginalData[[#This Row],[Frequency_of_Purchase]]</f>
        <v>0</v>
      </c>
      <c r="AZ12">
        <f>tbl_OriginalData[[#This Row],[Customer_Satisfaction]]</f>
        <v>4</v>
      </c>
      <c r="BA12" t="str">
        <f>tbl_OriginalData[[#This Row],[Engagement_with_Ads]]</f>
        <v>High</v>
      </c>
      <c r="BB12" t="str">
        <f>tbl_OriginalData[[#This Row],[Device_Used_for_Shopping]]</f>
        <v>Desktop</v>
      </c>
      <c r="BC12" t="str">
        <f>tbl_OriginalData[[#This Row],[Payment_Method]]</f>
        <v>PayPal</v>
      </c>
      <c r="BD12" s="1">
        <f>tbl_OriginalData[[#This Row],[Time_of_Purchase]]</f>
        <v>45475</v>
      </c>
      <c r="BE12" t="str">
        <f>IF(tbl_OriginalData[[#This Row],[Discount_Used]]=TRUE,"Yes","No")</f>
        <v>Yes</v>
      </c>
      <c r="BF12" t="str">
        <f>IF(tbl_OriginalData[[#This Row],[Customer_Loyalty_Program_Member]]=TRUE,"Yes","No")</f>
        <v>No</v>
      </c>
      <c r="BG12" t="str">
        <f>tbl_OriginalData[[#This Row],[Purchase_Intent]]</f>
        <v>Planned</v>
      </c>
      <c r="BH12" t="str">
        <f>tbl_OriginalData[[#This Row],[Shipping_Preference]]</f>
        <v>Express</v>
      </c>
      <c r="BI12">
        <f>tbl_OriginalData[[#This Row],[Time_to_Decision]]</f>
        <v>12</v>
      </c>
      <c r="BJ12" t="s">
        <v>114</v>
      </c>
      <c r="BK12" t="s">
        <v>115</v>
      </c>
      <c r="BL12" t="s">
        <v>2525</v>
      </c>
    </row>
    <row r="13" spans="1:64">
      <c r="A13" t="s">
        <v>116</v>
      </c>
      <c r="B13">
        <v>38</v>
      </c>
      <c r="C13" t="s">
        <v>33</v>
      </c>
      <c r="D13" t="s">
        <v>51</v>
      </c>
      <c r="E13" t="s">
        <v>82</v>
      </c>
      <c r="F13" t="s">
        <v>36</v>
      </c>
      <c r="G13" t="s">
        <v>34</v>
      </c>
      <c r="H13" t="s">
        <v>117</v>
      </c>
      <c r="I13" t="s">
        <v>108</v>
      </c>
      <c r="J13">
        <v>238.93</v>
      </c>
      <c r="K13">
        <v>5</v>
      </c>
      <c r="L13" t="s">
        <v>94</v>
      </c>
      <c r="M13">
        <v>4</v>
      </c>
      <c r="N13">
        <v>3</v>
      </c>
      <c r="O13">
        <v>1</v>
      </c>
      <c r="P13" t="s">
        <v>56</v>
      </c>
      <c r="Q13" t="s">
        <v>101</v>
      </c>
      <c r="R13">
        <v>0</v>
      </c>
      <c r="S13">
        <v>10</v>
      </c>
      <c r="T13" t="s">
        <v>51</v>
      </c>
      <c r="U13" t="s">
        <v>42</v>
      </c>
      <c r="V13" t="s">
        <v>102</v>
      </c>
      <c r="W13" s="1">
        <v>45653</v>
      </c>
      <c r="X13" t="b">
        <v>1</v>
      </c>
      <c r="Y13" t="b">
        <v>0</v>
      </c>
      <c r="Z13" t="s">
        <v>89</v>
      </c>
      <c r="AA13" t="s">
        <v>45</v>
      </c>
      <c r="AB13">
        <v>1</v>
      </c>
      <c r="AF13" t="str">
        <f>tbl_OriginalData[[#This Row],[Customer_ID]]</f>
        <v>78-116-8349</v>
      </c>
      <c r="AG13">
        <f>tbl_OriginalData[[#This Row],[Age]]</f>
        <v>38</v>
      </c>
      <c r="AH13" t="str" cm="1">
        <f t="array" ref="AH1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3" t="str">
        <f>tbl_OriginalData[[#This Row],[Gender]]</f>
        <v>Female</v>
      </c>
      <c r="AJ13" t="str">
        <f>tbl_OriginalData[[#This Row],[Income_Level]]</f>
        <v>High</v>
      </c>
      <c r="AK13" t="str">
        <f>tbl_OriginalData[[#This Row],[Marital_Status]]</f>
        <v>Widowed</v>
      </c>
      <c r="AL13" t="str">
        <f>tbl_OriginalData[[#This Row],[Education_Level]]</f>
        <v>Bachelor's</v>
      </c>
      <c r="AM13" t="str">
        <f>tbl_OriginalData[[#This Row],[Occupation]]</f>
        <v>Middle</v>
      </c>
      <c r="AN13" t="s">
        <v>118</v>
      </c>
      <c r="AO13" t="s">
        <v>119</v>
      </c>
      <c r="AP13" t="str">
        <f>tbl_OriginalData[[#This Row],[Purchase_Category]]</f>
        <v>Sports &amp; Outdoors</v>
      </c>
      <c r="AQ13" s="4">
        <f>tbl_OriginalData[[#This Row],[Purchase_Amount]]</f>
        <v>238.93</v>
      </c>
      <c r="AR13">
        <f>tbl_OriginalData[[#This Row],[Frequency_of_Purchase]]</f>
        <v>5</v>
      </c>
      <c r="AS13" t="str">
        <f>tbl_OriginalData[[#This Row],[Purchase_Channel]]</f>
        <v>Online</v>
      </c>
      <c r="AT13">
        <f>tbl_OriginalData[[#This Row],[Brand_Loyalty]]</f>
        <v>4</v>
      </c>
      <c r="AU13">
        <f>tbl_OriginalData[[#This Row],[Product_Rating]]</f>
        <v>3</v>
      </c>
      <c r="AV13">
        <f>tbl_OriginalData[[#This Row],[Time_Spent_on_Product_Research(hours)]]*60</f>
        <v>60</v>
      </c>
      <c r="AW13" t="str">
        <f>tbl_OriginalData[[#This Row],[Social_Media_Influence]]</f>
        <v>Medium</v>
      </c>
      <c r="AX13" t="str">
        <f>tbl_OriginalData[[#This Row],[Discount_Sensitivity]]</f>
        <v>Very Sensitive</v>
      </c>
      <c r="AY13" s="3">
        <f>tbl_OriginalData[[#This Row],[Return_Rate]]/tbl_OriginalData[[#This Row],[Frequency_of_Purchase]]</f>
        <v>0</v>
      </c>
      <c r="AZ13">
        <f>tbl_OriginalData[[#This Row],[Customer_Satisfaction]]</f>
        <v>10</v>
      </c>
      <c r="BA13" t="str">
        <f>tbl_OriginalData[[#This Row],[Engagement_with_Ads]]</f>
        <v>High</v>
      </c>
      <c r="BB13" t="str">
        <f>tbl_OriginalData[[#This Row],[Device_Used_for_Shopping]]</f>
        <v>Tablet</v>
      </c>
      <c r="BC13" t="str">
        <f>tbl_OriginalData[[#This Row],[Payment_Method]]</f>
        <v>Cash</v>
      </c>
      <c r="BD13" s="1">
        <f>tbl_OriginalData[[#This Row],[Time_of_Purchase]]</f>
        <v>45653</v>
      </c>
      <c r="BE13" t="str">
        <f>IF(tbl_OriginalData[[#This Row],[Discount_Used]]=TRUE,"Yes","No")</f>
        <v>Yes</v>
      </c>
      <c r="BF13" t="str">
        <f>IF(tbl_OriginalData[[#This Row],[Customer_Loyalty_Program_Member]]=TRUE,"Yes","No")</f>
        <v>No</v>
      </c>
      <c r="BG13" t="str">
        <f>tbl_OriginalData[[#This Row],[Purchase_Intent]]</f>
        <v>Planned</v>
      </c>
      <c r="BH13" t="str">
        <f>tbl_OriginalData[[#This Row],[Shipping_Preference]]</f>
        <v>No Preference</v>
      </c>
      <c r="BI13">
        <f>tbl_OriginalData[[#This Row],[Time_to_Decision]]</f>
        <v>1</v>
      </c>
      <c r="BJ13" t="s">
        <v>120</v>
      </c>
      <c r="BK13" t="s">
        <v>80</v>
      </c>
      <c r="BL13" t="s">
        <v>2523</v>
      </c>
    </row>
    <row r="14" spans="1:64">
      <c r="A14" t="s">
        <v>121</v>
      </c>
      <c r="B14">
        <v>34</v>
      </c>
      <c r="C14" t="s">
        <v>50</v>
      </c>
      <c r="D14" t="s">
        <v>34</v>
      </c>
      <c r="E14" t="s">
        <v>65</v>
      </c>
      <c r="F14" t="s">
        <v>36</v>
      </c>
      <c r="G14" t="s">
        <v>51</v>
      </c>
      <c r="H14" t="s">
        <v>122</v>
      </c>
      <c r="I14" t="s">
        <v>123</v>
      </c>
      <c r="J14">
        <v>61.22</v>
      </c>
      <c r="K14">
        <v>7</v>
      </c>
      <c r="L14" t="s">
        <v>55</v>
      </c>
      <c r="M14">
        <v>5</v>
      </c>
      <c r="N14">
        <v>2</v>
      </c>
      <c r="O14">
        <v>2</v>
      </c>
      <c r="P14" t="s">
        <v>69</v>
      </c>
      <c r="Q14" t="s">
        <v>101</v>
      </c>
      <c r="R14">
        <v>1</v>
      </c>
      <c r="S14">
        <v>7</v>
      </c>
      <c r="T14" t="s">
        <v>51</v>
      </c>
      <c r="U14" t="s">
        <v>95</v>
      </c>
      <c r="V14" t="s">
        <v>71</v>
      </c>
      <c r="W14" s="1">
        <v>45509</v>
      </c>
      <c r="X14" t="b">
        <v>1</v>
      </c>
      <c r="Y14" t="b">
        <v>1</v>
      </c>
      <c r="Z14" t="s">
        <v>44</v>
      </c>
      <c r="AA14" t="s">
        <v>45</v>
      </c>
      <c r="AB14">
        <v>5</v>
      </c>
      <c r="AF14" t="str">
        <f>tbl_OriginalData[[#This Row],[Customer_ID]]</f>
        <v>19-933-8095</v>
      </c>
      <c r="AG14">
        <f>tbl_OriginalData[[#This Row],[Age]]</f>
        <v>34</v>
      </c>
      <c r="AH14" t="str" cm="1">
        <f t="array" ref="AH1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4" t="str">
        <f>tbl_OriginalData[[#This Row],[Gender]]</f>
        <v>Male</v>
      </c>
      <c r="AJ14" t="str">
        <f>tbl_OriginalData[[#This Row],[Income_Level]]</f>
        <v>Middle</v>
      </c>
      <c r="AK14" t="str">
        <f>tbl_OriginalData[[#This Row],[Marital_Status]]</f>
        <v>Single</v>
      </c>
      <c r="AL14" t="str">
        <f>tbl_OriginalData[[#This Row],[Education_Level]]</f>
        <v>Bachelor's</v>
      </c>
      <c r="AM14" t="str">
        <f>tbl_OriginalData[[#This Row],[Occupation]]</f>
        <v>High</v>
      </c>
      <c r="AN14" t="s">
        <v>122</v>
      </c>
      <c r="AO14" t="s">
        <v>61</v>
      </c>
      <c r="AP14" t="str">
        <f>tbl_OriginalData[[#This Row],[Purchase_Category]]</f>
        <v>Luxury Goods</v>
      </c>
      <c r="AQ14" s="4">
        <f>tbl_OriginalData[[#This Row],[Purchase_Amount]]</f>
        <v>61.22</v>
      </c>
      <c r="AR14">
        <f>tbl_OriginalData[[#This Row],[Frequency_of_Purchase]]</f>
        <v>7</v>
      </c>
      <c r="AS14" t="str">
        <f>tbl_OriginalData[[#This Row],[Purchase_Channel]]</f>
        <v>In-Store</v>
      </c>
      <c r="AT14">
        <f>tbl_OriginalData[[#This Row],[Brand_Loyalty]]</f>
        <v>5</v>
      </c>
      <c r="AU14">
        <f>tbl_OriginalData[[#This Row],[Product_Rating]]</f>
        <v>2</v>
      </c>
      <c r="AV14">
        <f>tbl_OriginalData[[#This Row],[Time_Spent_on_Product_Research(hours)]]*60</f>
        <v>120</v>
      </c>
      <c r="AW14" t="str">
        <f>tbl_OriginalData[[#This Row],[Social_Media_Influence]]</f>
        <v>Low</v>
      </c>
      <c r="AX14" t="str">
        <f>tbl_OriginalData[[#This Row],[Discount_Sensitivity]]</f>
        <v>Very Sensitive</v>
      </c>
      <c r="AY14" s="3">
        <f>tbl_OriginalData[[#This Row],[Return_Rate]]/tbl_OriginalData[[#This Row],[Frequency_of_Purchase]]</f>
        <v>0.14285714285714285</v>
      </c>
      <c r="AZ14">
        <f>tbl_OriginalData[[#This Row],[Customer_Satisfaction]]</f>
        <v>7</v>
      </c>
      <c r="BA14" t="str">
        <f>tbl_OriginalData[[#This Row],[Engagement_with_Ads]]</f>
        <v>High</v>
      </c>
      <c r="BB14" t="str">
        <f>tbl_OriginalData[[#This Row],[Device_Used_for_Shopping]]</f>
        <v>Desktop</v>
      </c>
      <c r="BC14" t="str">
        <f>tbl_OriginalData[[#This Row],[Payment_Method]]</f>
        <v>Debit Card</v>
      </c>
      <c r="BD14" s="1">
        <f>tbl_OriginalData[[#This Row],[Time_of_Purchase]]</f>
        <v>45509</v>
      </c>
      <c r="BE14" t="str">
        <f>IF(tbl_OriginalData[[#This Row],[Discount_Used]]=TRUE,"Yes","No")</f>
        <v>Yes</v>
      </c>
      <c r="BF14" t="str">
        <f>IF(tbl_OriginalData[[#This Row],[Customer_Loyalty_Program_Member]]=TRUE,"Yes","No")</f>
        <v>Yes</v>
      </c>
      <c r="BG14" t="str">
        <f>tbl_OriginalData[[#This Row],[Purchase_Intent]]</f>
        <v>Need-based</v>
      </c>
      <c r="BH14" t="str">
        <f>tbl_OriginalData[[#This Row],[Shipping_Preference]]</f>
        <v>No Preference</v>
      </c>
      <c r="BI14">
        <f>tbl_OriginalData[[#This Row],[Time_to_Decision]]</f>
        <v>5</v>
      </c>
      <c r="BJ14" t="s">
        <v>124</v>
      </c>
      <c r="BK14" t="s">
        <v>115</v>
      </c>
      <c r="BL14" t="s">
        <v>2524</v>
      </c>
    </row>
    <row r="15" spans="1:64">
      <c r="A15" t="s">
        <v>125</v>
      </c>
      <c r="B15">
        <v>32</v>
      </c>
      <c r="C15" t="s">
        <v>50</v>
      </c>
      <c r="D15" t="s">
        <v>51</v>
      </c>
      <c r="E15" t="s">
        <v>35</v>
      </c>
      <c r="F15" t="s">
        <v>52</v>
      </c>
      <c r="G15" t="s">
        <v>34</v>
      </c>
      <c r="H15" t="s">
        <v>126</v>
      </c>
      <c r="I15" t="s">
        <v>127</v>
      </c>
      <c r="J15">
        <v>79.81</v>
      </c>
      <c r="K15">
        <v>4</v>
      </c>
      <c r="L15" t="s">
        <v>39</v>
      </c>
      <c r="M15">
        <v>5</v>
      </c>
      <c r="N15">
        <v>5</v>
      </c>
      <c r="O15">
        <v>0</v>
      </c>
      <c r="P15" t="s">
        <v>51</v>
      </c>
      <c r="Q15" t="s">
        <v>57</v>
      </c>
      <c r="R15">
        <v>0</v>
      </c>
      <c r="S15">
        <v>9</v>
      </c>
      <c r="T15" t="s">
        <v>51</v>
      </c>
      <c r="U15" t="s">
        <v>70</v>
      </c>
      <c r="V15" t="s">
        <v>71</v>
      </c>
      <c r="W15" s="1">
        <v>45489</v>
      </c>
      <c r="X15" t="b">
        <v>0</v>
      </c>
      <c r="Y15" t="b">
        <v>1</v>
      </c>
      <c r="Z15" t="s">
        <v>59</v>
      </c>
      <c r="AA15" t="s">
        <v>60</v>
      </c>
      <c r="AB15">
        <v>14</v>
      </c>
      <c r="AF15" t="str">
        <f>tbl_OriginalData[[#This Row],[Customer_ID]]</f>
        <v>80-684-5072</v>
      </c>
      <c r="AG15">
        <f>tbl_OriginalData[[#This Row],[Age]]</f>
        <v>32</v>
      </c>
      <c r="AH15" t="str" cm="1">
        <f t="array" ref="AH1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5" t="str">
        <f>tbl_OriginalData[[#This Row],[Gender]]</f>
        <v>Male</v>
      </c>
      <c r="AJ15" t="str">
        <f>tbl_OriginalData[[#This Row],[Income_Level]]</f>
        <v>High</v>
      </c>
      <c r="AK15" t="str">
        <f>tbl_OriginalData[[#This Row],[Marital_Status]]</f>
        <v>Married</v>
      </c>
      <c r="AL15" t="str">
        <f>tbl_OriginalData[[#This Row],[Education_Level]]</f>
        <v>High School</v>
      </c>
      <c r="AM15" t="str">
        <f>tbl_OriginalData[[#This Row],[Occupation]]</f>
        <v>Middle</v>
      </c>
      <c r="AN15" t="s">
        <v>126</v>
      </c>
      <c r="AO15" t="s">
        <v>128</v>
      </c>
      <c r="AP15" t="str">
        <f>tbl_OriginalData[[#This Row],[Purchase_Category]]</f>
        <v>Animal Feed</v>
      </c>
      <c r="AQ15" s="4">
        <f>tbl_OriginalData[[#This Row],[Purchase_Amount]]</f>
        <v>79.81</v>
      </c>
      <c r="AR15">
        <f>tbl_OriginalData[[#This Row],[Frequency_of_Purchase]]</f>
        <v>4</v>
      </c>
      <c r="AS15" t="str">
        <f>tbl_OriginalData[[#This Row],[Purchase_Channel]]</f>
        <v>Mixed</v>
      </c>
      <c r="AT15">
        <f>tbl_OriginalData[[#This Row],[Brand_Loyalty]]</f>
        <v>5</v>
      </c>
      <c r="AU15">
        <f>tbl_OriginalData[[#This Row],[Product_Rating]]</f>
        <v>5</v>
      </c>
      <c r="AV15">
        <f>tbl_OriginalData[[#This Row],[Time_Spent_on_Product_Research(hours)]]*60</f>
        <v>0</v>
      </c>
      <c r="AW15" t="str">
        <f>tbl_OriginalData[[#This Row],[Social_Media_Influence]]</f>
        <v>High</v>
      </c>
      <c r="AX15" t="str">
        <f>tbl_OriginalData[[#This Row],[Discount_Sensitivity]]</f>
        <v>Not Sensitive</v>
      </c>
      <c r="AY15" s="3">
        <f>tbl_OriginalData[[#This Row],[Return_Rate]]/tbl_OriginalData[[#This Row],[Frequency_of_Purchase]]</f>
        <v>0</v>
      </c>
      <c r="AZ15">
        <f>tbl_OriginalData[[#This Row],[Customer_Satisfaction]]</f>
        <v>9</v>
      </c>
      <c r="BA15" t="str">
        <f>tbl_OriginalData[[#This Row],[Engagement_with_Ads]]</f>
        <v>High</v>
      </c>
      <c r="BB15" t="str">
        <f>tbl_OriginalData[[#This Row],[Device_Used_for_Shopping]]</f>
        <v>Smartphone</v>
      </c>
      <c r="BC15" t="str">
        <f>tbl_OriginalData[[#This Row],[Payment_Method]]</f>
        <v>Debit Card</v>
      </c>
      <c r="BD15" s="1">
        <f>tbl_OriginalData[[#This Row],[Time_of_Purchase]]</f>
        <v>45489</v>
      </c>
      <c r="BE15" t="str">
        <f>IF(tbl_OriginalData[[#This Row],[Discount_Used]]=TRUE,"Yes","No")</f>
        <v>No</v>
      </c>
      <c r="BF15" t="str">
        <f>IF(tbl_OriginalData[[#This Row],[Customer_Loyalty_Program_Member]]=TRUE,"Yes","No")</f>
        <v>Yes</v>
      </c>
      <c r="BG15" t="str">
        <f>tbl_OriginalData[[#This Row],[Purchase_Intent]]</f>
        <v>Wants-based</v>
      </c>
      <c r="BH15" t="str">
        <f>tbl_OriginalData[[#This Row],[Shipping_Preference]]</f>
        <v>Standard</v>
      </c>
      <c r="BI15">
        <f>tbl_OriginalData[[#This Row],[Time_to_Decision]]</f>
        <v>14</v>
      </c>
      <c r="BJ15" t="s">
        <v>114</v>
      </c>
      <c r="BK15" t="s">
        <v>115</v>
      </c>
      <c r="BL15" t="s">
        <v>2523</v>
      </c>
    </row>
    <row r="16" spans="1:64">
      <c r="A16" t="s">
        <v>129</v>
      </c>
      <c r="B16">
        <v>30</v>
      </c>
      <c r="C16" t="s">
        <v>33</v>
      </c>
      <c r="D16" t="s">
        <v>51</v>
      </c>
      <c r="E16" t="s">
        <v>82</v>
      </c>
      <c r="F16" t="s">
        <v>52</v>
      </c>
      <c r="G16" t="s">
        <v>51</v>
      </c>
      <c r="H16" t="s">
        <v>130</v>
      </c>
      <c r="I16" t="s">
        <v>131</v>
      </c>
      <c r="J16">
        <v>58.51</v>
      </c>
      <c r="K16">
        <v>2</v>
      </c>
      <c r="L16" t="s">
        <v>94</v>
      </c>
      <c r="M16">
        <v>4</v>
      </c>
      <c r="N16">
        <v>4</v>
      </c>
      <c r="O16">
        <v>0.5</v>
      </c>
      <c r="P16" t="s">
        <v>40</v>
      </c>
      <c r="Q16" t="s">
        <v>57</v>
      </c>
      <c r="R16">
        <v>0</v>
      </c>
      <c r="S16">
        <v>4</v>
      </c>
      <c r="T16" t="s">
        <v>56</v>
      </c>
      <c r="U16" t="s">
        <v>95</v>
      </c>
      <c r="V16" t="s">
        <v>58</v>
      </c>
      <c r="W16" s="1">
        <v>45640</v>
      </c>
      <c r="X16" t="b">
        <v>1</v>
      </c>
      <c r="Y16" t="b">
        <v>1</v>
      </c>
      <c r="Z16" t="s">
        <v>89</v>
      </c>
      <c r="AA16" t="s">
        <v>45</v>
      </c>
      <c r="AB16">
        <v>14</v>
      </c>
      <c r="AF16" t="str">
        <f>tbl_OriginalData[[#This Row],[Customer_ID]]</f>
        <v>23-302-7502</v>
      </c>
      <c r="AG16">
        <f>tbl_OriginalData[[#This Row],[Age]]</f>
        <v>30</v>
      </c>
      <c r="AH16" t="str" cm="1">
        <f t="array" ref="AH1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6" t="str">
        <f>tbl_OriginalData[[#This Row],[Gender]]</f>
        <v>Female</v>
      </c>
      <c r="AJ16" t="str">
        <f>tbl_OriginalData[[#This Row],[Income_Level]]</f>
        <v>High</v>
      </c>
      <c r="AK16" t="str">
        <f>tbl_OriginalData[[#This Row],[Marital_Status]]</f>
        <v>Widowed</v>
      </c>
      <c r="AL16" t="str">
        <f>tbl_OriginalData[[#This Row],[Education_Level]]</f>
        <v>High School</v>
      </c>
      <c r="AM16" t="str">
        <f>tbl_OriginalData[[#This Row],[Occupation]]</f>
        <v>High</v>
      </c>
      <c r="AN16" t="s">
        <v>130</v>
      </c>
      <c r="AO16" t="s">
        <v>132</v>
      </c>
      <c r="AP16" t="str">
        <f>tbl_OriginalData[[#This Row],[Purchase_Category]]</f>
        <v>Health Care</v>
      </c>
      <c r="AQ16" s="4">
        <f>tbl_OriginalData[[#This Row],[Purchase_Amount]]</f>
        <v>58.51</v>
      </c>
      <c r="AR16">
        <f>tbl_OriginalData[[#This Row],[Frequency_of_Purchase]]</f>
        <v>2</v>
      </c>
      <c r="AS16" t="str">
        <f>tbl_OriginalData[[#This Row],[Purchase_Channel]]</f>
        <v>Online</v>
      </c>
      <c r="AT16">
        <f>tbl_OriginalData[[#This Row],[Brand_Loyalty]]</f>
        <v>4</v>
      </c>
      <c r="AU16">
        <f>tbl_OriginalData[[#This Row],[Product_Rating]]</f>
        <v>4</v>
      </c>
      <c r="AV16">
        <f>tbl_OriginalData[[#This Row],[Time_Spent_on_Product_Research(hours)]]*60</f>
        <v>30</v>
      </c>
      <c r="AW16" t="str">
        <f>tbl_OriginalData[[#This Row],[Social_Media_Influence]]</f>
        <v>None</v>
      </c>
      <c r="AX16" t="str">
        <f>tbl_OriginalData[[#This Row],[Discount_Sensitivity]]</f>
        <v>Not Sensitive</v>
      </c>
      <c r="AY16" s="3">
        <f>tbl_OriginalData[[#This Row],[Return_Rate]]/tbl_OriginalData[[#This Row],[Frequency_of_Purchase]]</f>
        <v>0</v>
      </c>
      <c r="AZ16">
        <f>tbl_OriginalData[[#This Row],[Customer_Satisfaction]]</f>
        <v>4</v>
      </c>
      <c r="BA16" t="str">
        <f>tbl_OriginalData[[#This Row],[Engagement_with_Ads]]</f>
        <v>Medium</v>
      </c>
      <c r="BB16" t="str">
        <f>tbl_OriginalData[[#This Row],[Device_Used_for_Shopping]]</f>
        <v>Desktop</v>
      </c>
      <c r="BC16" t="str">
        <f>tbl_OriginalData[[#This Row],[Payment_Method]]</f>
        <v>PayPal</v>
      </c>
      <c r="BD16" s="1">
        <f>tbl_OriginalData[[#This Row],[Time_of_Purchase]]</f>
        <v>45640</v>
      </c>
      <c r="BE16" t="str">
        <f>IF(tbl_OriginalData[[#This Row],[Discount_Used]]=TRUE,"Yes","No")</f>
        <v>Yes</v>
      </c>
      <c r="BF16" t="str">
        <f>IF(tbl_OriginalData[[#This Row],[Customer_Loyalty_Program_Member]]=TRUE,"Yes","No")</f>
        <v>Yes</v>
      </c>
      <c r="BG16" t="str">
        <f>tbl_OriginalData[[#This Row],[Purchase_Intent]]</f>
        <v>Planned</v>
      </c>
      <c r="BH16" t="str">
        <f>tbl_OriginalData[[#This Row],[Shipping_Preference]]</f>
        <v>No Preference</v>
      </c>
      <c r="BI16">
        <f>tbl_OriginalData[[#This Row],[Time_to_Decision]]</f>
        <v>14</v>
      </c>
      <c r="BJ16" t="s">
        <v>120</v>
      </c>
      <c r="BK16" t="s">
        <v>80</v>
      </c>
      <c r="BL16" t="s">
        <v>2525</v>
      </c>
    </row>
    <row r="17" spans="1:64">
      <c r="A17" t="s">
        <v>133</v>
      </c>
      <c r="B17">
        <v>40</v>
      </c>
      <c r="C17" t="s">
        <v>50</v>
      </c>
      <c r="D17" t="s">
        <v>51</v>
      </c>
      <c r="E17" t="s">
        <v>92</v>
      </c>
      <c r="F17" t="s">
        <v>66</v>
      </c>
      <c r="G17" t="s">
        <v>51</v>
      </c>
      <c r="H17" t="s">
        <v>134</v>
      </c>
      <c r="I17" t="s">
        <v>135</v>
      </c>
      <c r="J17">
        <v>109.29</v>
      </c>
      <c r="K17">
        <v>3</v>
      </c>
      <c r="L17" t="s">
        <v>94</v>
      </c>
      <c r="M17">
        <v>3</v>
      </c>
      <c r="N17">
        <v>4</v>
      </c>
      <c r="O17">
        <v>0</v>
      </c>
      <c r="P17" t="s">
        <v>56</v>
      </c>
      <c r="Q17" t="s">
        <v>41</v>
      </c>
      <c r="R17">
        <v>2</v>
      </c>
      <c r="S17">
        <v>2</v>
      </c>
      <c r="T17" t="s">
        <v>51</v>
      </c>
      <c r="U17" t="s">
        <v>95</v>
      </c>
      <c r="V17" t="s">
        <v>71</v>
      </c>
      <c r="W17" s="1">
        <v>45515</v>
      </c>
      <c r="X17" t="b">
        <v>0</v>
      </c>
      <c r="Y17" t="b">
        <v>1</v>
      </c>
      <c r="Z17" t="s">
        <v>59</v>
      </c>
      <c r="AA17" t="s">
        <v>77</v>
      </c>
      <c r="AB17">
        <v>11</v>
      </c>
      <c r="AF17" t="str">
        <f>tbl_OriginalData[[#This Row],[Customer_ID]]</f>
        <v>90-069-8934</v>
      </c>
      <c r="AG17">
        <f>tbl_OriginalData[[#This Row],[Age]]</f>
        <v>40</v>
      </c>
      <c r="AH17" t="str" cm="1">
        <f t="array" ref="AH1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7" t="str">
        <f>tbl_OriginalData[[#This Row],[Gender]]</f>
        <v>Male</v>
      </c>
      <c r="AJ17" t="str">
        <f>tbl_OriginalData[[#This Row],[Income_Level]]</f>
        <v>High</v>
      </c>
      <c r="AK17" t="str">
        <f>tbl_OriginalData[[#This Row],[Marital_Status]]</f>
        <v>Divorced</v>
      </c>
      <c r="AL17" t="str">
        <f>tbl_OriginalData[[#This Row],[Education_Level]]</f>
        <v>Master's</v>
      </c>
      <c r="AM17" t="str">
        <f>tbl_OriginalData[[#This Row],[Occupation]]</f>
        <v>High</v>
      </c>
      <c r="AN17" t="s">
        <v>134</v>
      </c>
      <c r="AO17" t="s">
        <v>136</v>
      </c>
      <c r="AP17" t="str">
        <f>tbl_OriginalData[[#This Row],[Purchase_Category]]</f>
        <v>Hotels</v>
      </c>
      <c r="AQ17" s="4">
        <f>tbl_OriginalData[[#This Row],[Purchase_Amount]]</f>
        <v>109.29</v>
      </c>
      <c r="AR17">
        <f>tbl_OriginalData[[#This Row],[Frequency_of_Purchase]]</f>
        <v>3</v>
      </c>
      <c r="AS17" t="str">
        <f>tbl_OriginalData[[#This Row],[Purchase_Channel]]</f>
        <v>Online</v>
      </c>
      <c r="AT17">
        <f>tbl_OriginalData[[#This Row],[Brand_Loyalty]]</f>
        <v>3</v>
      </c>
      <c r="AU17">
        <f>tbl_OriginalData[[#This Row],[Product_Rating]]</f>
        <v>4</v>
      </c>
      <c r="AV17">
        <f>tbl_OriginalData[[#This Row],[Time_Spent_on_Product_Research(hours)]]*60</f>
        <v>0</v>
      </c>
      <c r="AW17" t="str">
        <f>tbl_OriginalData[[#This Row],[Social_Media_Influence]]</f>
        <v>Medium</v>
      </c>
      <c r="AX17" t="str">
        <f>tbl_OriginalData[[#This Row],[Discount_Sensitivity]]</f>
        <v>Somewhat Sensitive</v>
      </c>
      <c r="AY17" s="3">
        <f>tbl_OriginalData[[#This Row],[Return_Rate]]/tbl_OriginalData[[#This Row],[Frequency_of_Purchase]]</f>
        <v>0.66666666666666663</v>
      </c>
      <c r="AZ17">
        <f>tbl_OriginalData[[#This Row],[Customer_Satisfaction]]</f>
        <v>2</v>
      </c>
      <c r="BA17" t="str">
        <f>tbl_OriginalData[[#This Row],[Engagement_with_Ads]]</f>
        <v>High</v>
      </c>
      <c r="BB17" t="str">
        <f>tbl_OriginalData[[#This Row],[Device_Used_for_Shopping]]</f>
        <v>Desktop</v>
      </c>
      <c r="BC17" t="str">
        <f>tbl_OriginalData[[#This Row],[Payment_Method]]</f>
        <v>Debit Card</v>
      </c>
      <c r="BD17" s="1">
        <f>tbl_OriginalData[[#This Row],[Time_of_Purchase]]</f>
        <v>45515</v>
      </c>
      <c r="BE17" t="str">
        <f>IF(tbl_OriginalData[[#This Row],[Discount_Used]]=TRUE,"Yes","No")</f>
        <v>No</v>
      </c>
      <c r="BF17" t="str">
        <f>IF(tbl_OriginalData[[#This Row],[Customer_Loyalty_Program_Member]]=TRUE,"Yes","No")</f>
        <v>Yes</v>
      </c>
      <c r="BG17" t="str">
        <f>tbl_OriginalData[[#This Row],[Purchase_Intent]]</f>
        <v>Wants-based</v>
      </c>
      <c r="BH17" t="str">
        <f>tbl_OriginalData[[#This Row],[Shipping_Preference]]</f>
        <v>Express</v>
      </c>
      <c r="BI17">
        <f>tbl_OriginalData[[#This Row],[Time_to_Decision]]</f>
        <v>11</v>
      </c>
      <c r="BJ17" t="s">
        <v>124</v>
      </c>
      <c r="BK17" t="s">
        <v>115</v>
      </c>
      <c r="BL17" t="s">
        <v>2524</v>
      </c>
    </row>
    <row r="18" spans="1:64">
      <c r="A18" t="s">
        <v>137</v>
      </c>
      <c r="B18">
        <v>37</v>
      </c>
      <c r="C18" t="s">
        <v>50</v>
      </c>
      <c r="D18" t="s">
        <v>51</v>
      </c>
      <c r="E18" t="s">
        <v>65</v>
      </c>
      <c r="F18" t="s">
        <v>36</v>
      </c>
      <c r="G18" t="s">
        <v>51</v>
      </c>
      <c r="H18" t="s">
        <v>138</v>
      </c>
      <c r="I18" t="s">
        <v>84</v>
      </c>
      <c r="J18">
        <v>356.45</v>
      </c>
      <c r="K18">
        <v>6</v>
      </c>
      <c r="L18" t="s">
        <v>39</v>
      </c>
      <c r="M18">
        <v>5</v>
      </c>
      <c r="N18">
        <v>5</v>
      </c>
      <c r="O18">
        <v>2</v>
      </c>
      <c r="P18" t="s">
        <v>69</v>
      </c>
      <c r="Q18" t="s">
        <v>101</v>
      </c>
      <c r="R18">
        <v>0</v>
      </c>
      <c r="S18">
        <v>7</v>
      </c>
      <c r="T18" t="s">
        <v>56</v>
      </c>
      <c r="U18" t="s">
        <v>70</v>
      </c>
      <c r="V18" t="s">
        <v>43</v>
      </c>
      <c r="W18" s="1">
        <v>45583</v>
      </c>
      <c r="X18" t="b">
        <v>0</v>
      </c>
      <c r="Y18" t="b">
        <v>1</v>
      </c>
      <c r="Z18" t="s">
        <v>89</v>
      </c>
      <c r="AA18" t="s">
        <v>60</v>
      </c>
      <c r="AB18">
        <v>8</v>
      </c>
      <c r="AF18" t="str">
        <f>tbl_OriginalData[[#This Row],[Customer_ID]]</f>
        <v>45-073-7243</v>
      </c>
      <c r="AG18">
        <f>tbl_OriginalData[[#This Row],[Age]]</f>
        <v>37</v>
      </c>
      <c r="AH18" t="str" cm="1">
        <f t="array" ref="AH1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8" t="str">
        <f>tbl_OriginalData[[#This Row],[Gender]]</f>
        <v>Male</v>
      </c>
      <c r="AJ18" t="str">
        <f>tbl_OriginalData[[#This Row],[Income_Level]]</f>
        <v>High</v>
      </c>
      <c r="AK18" t="str">
        <f>tbl_OriginalData[[#This Row],[Marital_Status]]</f>
        <v>Single</v>
      </c>
      <c r="AL18" t="str">
        <f>tbl_OriginalData[[#This Row],[Education_Level]]</f>
        <v>Bachelor's</v>
      </c>
      <c r="AM18" t="str">
        <f>tbl_OriginalData[[#This Row],[Occupation]]</f>
        <v>High</v>
      </c>
      <c r="AN18" t="s">
        <v>138</v>
      </c>
      <c r="AO18" t="s">
        <v>61</v>
      </c>
      <c r="AP18" t="str">
        <f>tbl_OriginalData[[#This Row],[Purchase_Category]]</f>
        <v>Furniture</v>
      </c>
      <c r="AQ18" s="4">
        <f>tbl_OriginalData[[#This Row],[Purchase_Amount]]</f>
        <v>356.45</v>
      </c>
      <c r="AR18">
        <f>tbl_OriginalData[[#This Row],[Frequency_of_Purchase]]</f>
        <v>6</v>
      </c>
      <c r="AS18" t="str">
        <f>tbl_OriginalData[[#This Row],[Purchase_Channel]]</f>
        <v>Mixed</v>
      </c>
      <c r="AT18">
        <f>tbl_OriginalData[[#This Row],[Brand_Loyalty]]</f>
        <v>5</v>
      </c>
      <c r="AU18">
        <f>tbl_OriginalData[[#This Row],[Product_Rating]]</f>
        <v>5</v>
      </c>
      <c r="AV18">
        <f>tbl_OriginalData[[#This Row],[Time_Spent_on_Product_Research(hours)]]*60</f>
        <v>120</v>
      </c>
      <c r="AW18" t="str">
        <f>tbl_OriginalData[[#This Row],[Social_Media_Influence]]</f>
        <v>Low</v>
      </c>
      <c r="AX18" t="str">
        <f>tbl_OriginalData[[#This Row],[Discount_Sensitivity]]</f>
        <v>Very Sensitive</v>
      </c>
      <c r="AY18" s="3">
        <f>tbl_OriginalData[[#This Row],[Return_Rate]]/tbl_OriginalData[[#This Row],[Frequency_of_Purchase]]</f>
        <v>0</v>
      </c>
      <c r="AZ18">
        <f>tbl_OriginalData[[#This Row],[Customer_Satisfaction]]</f>
        <v>7</v>
      </c>
      <c r="BA18" t="str">
        <f>tbl_OriginalData[[#This Row],[Engagement_with_Ads]]</f>
        <v>Medium</v>
      </c>
      <c r="BB18" t="str">
        <f>tbl_OriginalData[[#This Row],[Device_Used_for_Shopping]]</f>
        <v>Smartphone</v>
      </c>
      <c r="BC18" t="str">
        <f>tbl_OriginalData[[#This Row],[Payment_Method]]</f>
        <v>Credit Card</v>
      </c>
      <c r="BD18" s="1">
        <f>tbl_OriginalData[[#This Row],[Time_of_Purchase]]</f>
        <v>45583</v>
      </c>
      <c r="BE18" t="str">
        <f>IF(tbl_OriginalData[[#This Row],[Discount_Used]]=TRUE,"Yes","No")</f>
        <v>No</v>
      </c>
      <c r="BF18" t="str">
        <f>IF(tbl_OriginalData[[#This Row],[Customer_Loyalty_Program_Member]]=TRUE,"Yes","No")</f>
        <v>Yes</v>
      </c>
      <c r="BG18" t="str">
        <f>tbl_OriginalData[[#This Row],[Purchase_Intent]]</f>
        <v>Planned</v>
      </c>
      <c r="BH18" t="str">
        <f>tbl_OriginalData[[#This Row],[Shipping_Preference]]</f>
        <v>Standard</v>
      </c>
      <c r="BI18">
        <f>tbl_OriginalData[[#This Row],[Time_to_Decision]]</f>
        <v>8</v>
      </c>
      <c r="BJ18" t="s">
        <v>79</v>
      </c>
      <c r="BK18" t="s">
        <v>80</v>
      </c>
      <c r="BL18" t="s">
        <v>2524</v>
      </c>
    </row>
    <row r="19" spans="1:64">
      <c r="A19" t="s">
        <v>139</v>
      </c>
      <c r="B19">
        <v>38</v>
      </c>
      <c r="C19" t="s">
        <v>33</v>
      </c>
      <c r="D19" t="s">
        <v>34</v>
      </c>
      <c r="E19" t="s">
        <v>92</v>
      </c>
      <c r="F19" t="s">
        <v>36</v>
      </c>
      <c r="G19" t="s">
        <v>51</v>
      </c>
      <c r="H19" t="s">
        <v>140</v>
      </c>
      <c r="I19" t="s">
        <v>112</v>
      </c>
      <c r="J19">
        <v>236.99</v>
      </c>
      <c r="K19">
        <v>10</v>
      </c>
      <c r="L19" t="s">
        <v>39</v>
      </c>
      <c r="M19">
        <v>2</v>
      </c>
      <c r="N19">
        <v>4</v>
      </c>
      <c r="O19">
        <v>0</v>
      </c>
      <c r="P19" t="s">
        <v>51</v>
      </c>
      <c r="Q19" t="s">
        <v>101</v>
      </c>
      <c r="R19">
        <v>0</v>
      </c>
      <c r="S19">
        <v>8</v>
      </c>
      <c r="T19" t="s">
        <v>40</v>
      </c>
      <c r="U19" t="s">
        <v>42</v>
      </c>
      <c r="V19" t="s">
        <v>58</v>
      </c>
      <c r="W19" s="1">
        <v>45635</v>
      </c>
      <c r="X19" t="b">
        <v>1</v>
      </c>
      <c r="Y19" t="b">
        <v>1</v>
      </c>
      <c r="Z19" t="s">
        <v>72</v>
      </c>
      <c r="AA19" t="s">
        <v>45</v>
      </c>
      <c r="AB19">
        <v>13</v>
      </c>
      <c r="AF19" t="str">
        <f>tbl_OriginalData[[#This Row],[Customer_ID]]</f>
        <v>89-883-2101</v>
      </c>
      <c r="AG19">
        <f>tbl_OriginalData[[#This Row],[Age]]</f>
        <v>38</v>
      </c>
      <c r="AH19" t="str" cm="1">
        <f t="array" ref="AH1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9" t="str">
        <f>tbl_OriginalData[[#This Row],[Gender]]</f>
        <v>Female</v>
      </c>
      <c r="AJ19" t="str">
        <f>tbl_OriginalData[[#This Row],[Income_Level]]</f>
        <v>Middle</v>
      </c>
      <c r="AK19" t="str">
        <f>tbl_OriginalData[[#This Row],[Marital_Status]]</f>
        <v>Divorced</v>
      </c>
      <c r="AL19" t="str">
        <f>tbl_OriginalData[[#This Row],[Education_Level]]</f>
        <v>Bachelor's</v>
      </c>
      <c r="AM19" t="str">
        <f>tbl_OriginalData[[#This Row],[Occupation]]</f>
        <v>High</v>
      </c>
      <c r="AN19" t="s">
        <v>140</v>
      </c>
      <c r="AO19" t="s">
        <v>90</v>
      </c>
      <c r="AP19" t="str">
        <f>tbl_OriginalData[[#This Row],[Purchase_Category]]</f>
        <v>Mobile Accessories</v>
      </c>
      <c r="AQ19" s="4">
        <f>tbl_OriginalData[[#This Row],[Purchase_Amount]]</f>
        <v>236.99</v>
      </c>
      <c r="AR19">
        <f>tbl_OriginalData[[#This Row],[Frequency_of_Purchase]]</f>
        <v>10</v>
      </c>
      <c r="AS19" t="str">
        <f>tbl_OriginalData[[#This Row],[Purchase_Channel]]</f>
        <v>Mixed</v>
      </c>
      <c r="AT19">
        <f>tbl_OriginalData[[#This Row],[Brand_Loyalty]]</f>
        <v>2</v>
      </c>
      <c r="AU19">
        <f>tbl_OriginalData[[#This Row],[Product_Rating]]</f>
        <v>4</v>
      </c>
      <c r="AV19">
        <f>tbl_OriginalData[[#This Row],[Time_Spent_on_Product_Research(hours)]]*60</f>
        <v>0</v>
      </c>
      <c r="AW19" t="str">
        <f>tbl_OriginalData[[#This Row],[Social_Media_Influence]]</f>
        <v>High</v>
      </c>
      <c r="AX19" t="str">
        <f>tbl_OriginalData[[#This Row],[Discount_Sensitivity]]</f>
        <v>Very Sensitive</v>
      </c>
      <c r="AY19" s="3">
        <f>tbl_OriginalData[[#This Row],[Return_Rate]]/tbl_OriginalData[[#This Row],[Frequency_of_Purchase]]</f>
        <v>0</v>
      </c>
      <c r="AZ19">
        <f>tbl_OriginalData[[#This Row],[Customer_Satisfaction]]</f>
        <v>8</v>
      </c>
      <c r="BA19" t="str">
        <f>tbl_OriginalData[[#This Row],[Engagement_with_Ads]]</f>
        <v>None</v>
      </c>
      <c r="BB19" t="str">
        <f>tbl_OriginalData[[#This Row],[Device_Used_for_Shopping]]</f>
        <v>Tablet</v>
      </c>
      <c r="BC19" t="str">
        <f>tbl_OriginalData[[#This Row],[Payment_Method]]</f>
        <v>PayPal</v>
      </c>
      <c r="BD19" s="1">
        <f>tbl_OriginalData[[#This Row],[Time_of_Purchase]]</f>
        <v>45635</v>
      </c>
      <c r="BE19" t="str">
        <f>IF(tbl_OriginalData[[#This Row],[Discount_Used]]=TRUE,"Yes","No")</f>
        <v>Yes</v>
      </c>
      <c r="BF19" t="str">
        <f>IF(tbl_OriginalData[[#This Row],[Customer_Loyalty_Program_Member]]=TRUE,"Yes","No")</f>
        <v>Yes</v>
      </c>
      <c r="BG19" t="str">
        <f>tbl_OriginalData[[#This Row],[Purchase_Intent]]</f>
        <v>Impulsive</v>
      </c>
      <c r="BH19" t="str">
        <f>tbl_OriginalData[[#This Row],[Shipping_Preference]]</f>
        <v>No Preference</v>
      </c>
      <c r="BI19">
        <f>tbl_OriginalData[[#This Row],[Time_to_Decision]]</f>
        <v>13</v>
      </c>
      <c r="BJ19" t="s">
        <v>120</v>
      </c>
      <c r="BK19" t="s">
        <v>80</v>
      </c>
      <c r="BL19" t="s">
        <v>2524</v>
      </c>
    </row>
    <row r="20" spans="1:64">
      <c r="A20" t="s">
        <v>141</v>
      </c>
      <c r="B20">
        <v>36</v>
      </c>
      <c r="C20" t="s">
        <v>50</v>
      </c>
      <c r="D20" t="s">
        <v>34</v>
      </c>
      <c r="E20" t="s">
        <v>82</v>
      </c>
      <c r="F20" t="s">
        <v>36</v>
      </c>
      <c r="G20" t="s">
        <v>51</v>
      </c>
      <c r="H20" t="s">
        <v>142</v>
      </c>
      <c r="I20" t="s">
        <v>143</v>
      </c>
      <c r="J20">
        <v>454.39</v>
      </c>
      <c r="K20">
        <v>10</v>
      </c>
      <c r="L20" t="s">
        <v>55</v>
      </c>
      <c r="M20">
        <v>2</v>
      </c>
      <c r="N20">
        <v>4</v>
      </c>
      <c r="O20">
        <v>2</v>
      </c>
      <c r="P20" t="s">
        <v>56</v>
      </c>
      <c r="Q20" t="s">
        <v>57</v>
      </c>
      <c r="R20">
        <v>0</v>
      </c>
      <c r="S20">
        <v>3</v>
      </c>
      <c r="T20" t="s">
        <v>40</v>
      </c>
      <c r="U20" t="s">
        <v>95</v>
      </c>
      <c r="V20" t="s">
        <v>76</v>
      </c>
      <c r="W20" s="1">
        <v>45496</v>
      </c>
      <c r="X20" t="b">
        <v>0</v>
      </c>
      <c r="Y20" t="b">
        <v>1</v>
      </c>
      <c r="Z20" t="s">
        <v>72</v>
      </c>
      <c r="AA20" t="s">
        <v>60</v>
      </c>
      <c r="AB20">
        <v>3</v>
      </c>
      <c r="AF20" t="str">
        <f>tbl_OriginalData[[#This Row],[Customer_ID]]</f>
        <v>00-477-9449</v>
      </c>
      <c r="AG20">
        <f>tbl_OriginalData[[#This Row],[Age]]</f>
        <v>36</v>
      </c>
      <c r="AH20" t="str" cm="1">
        <f t="array" ref="AH2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0" t="str">
        <f>tbl_OriginalData[[#This Row],[Gender]]</f>
        <v>Male</v>
      </c>
      <c r="AJ20" t="str">
        <f>tbl_OriginalData[[#This Row],[Income_Level]]</f>
        <v>Middle</v>
      </c>
      <c r="AK20" t="str">
        <f>tbl_OriginalData[[#This Row],[Marital_Status]]</f>
        <v>Widowed</v>
      </c>
      <c r="AL20" t="str">
        <f>tbl_OriginalData[[#This Row],[Education_Level]]</f>
        <v>Bachelor's</v>
      </c>
      <c r="AM20" t="str">
        <f>tbl_OriginalData[[#This Row],[Occupation]]</f>
        <v>High</v>
      </c>
      <c r="AN20" t="s">
        <v>142</v>
      </c>
      <c r="AO20" t="s">
        <v>144</v>
      </c>
      <c r="AP20" t="str">
        <f>tbl_OriginalData[[#This Row],[Purchase_Category]]</f>
        <v>Packages)</v>
      </c>
      <c r="AQ20" s="4">
        <f>tbl_OriginalData[[#This Row],[Purchase_Amount]]</f>
        <v>454.39</v>
      </c>
      <c r="AR20">
        <f>tbl_OriginalData[[#This Row],[Frequency_of_Purchase]]</f>
        <v>10</v>
      </c>
      <c r="AS20" t="str">
        <f>tbl_OriginalData[[#This Row],[Purchase_Channel]]</f>
        <v>In-Store</v>
      </c>
      <c r="AT20">
        <f>tbl_OriginalData[[#This Row],[Brand_Loyalty]]</f>
        <v>2</v>
      </c>
      <c r="AU20">
        <f>tbl_OriginalData[[#This Row],[Product_Rating]]</f>
        <v>4</v>
      </c>
      <c r="AV20">
        <f>tbl_OriginalData[[#This Row],[Time_Spent_on_Product_Research(hours)]]*60</f>
        <v>120</v>
      </c>
      <c r="AW20" t="str">
        <f>tbl_OriginalData[[#This Row],[Social_Media_Influence]]</f>
        <v>Medium</v>
      </c>
      <c r="AX20" t="str">
        <f>tbl_OriginalData[[#This Row],[Discount_Sensitivity]]</f>
        <v>Not Sensitive</v>
      </c>
      <c r="AY20" s="3">
        <f>tbl_OriginalData[[#This Row],[Return_Rate]]/tbl_OriginalData[[#This Row],[Frequency_of_Purchase]]</f>
        <v>0</v>
      </c>
      <c r="AZ20">
        <f>tbl_OriginalData[[#This Row],[Customer_Satisfaction]]</f>
        <v>3</v>
      </c>
      <c r="BA20" t="str">
        <f>tbl_OriginalData[[#This Row],[Engagement_with_Ads]]</f>
        <v>None</v>
      </c>
      <c r="BB20" t="str">
        <f>tbl_OriginalData[[#This Row],[Device_Used_for_Shopping]]</f>
        <v>Desktop</v>
      </c>
      <c r="BC20" t="str">
        <f>tbl_OriginalData[[#This Row],[Payment_Method]]</f>
        <v>Other</v>
      </c>
      <c r="BD20" s="1">
        <f>tbl_OriginalData[[#This Row],[Time_of_Purchase]]</f>
        <v>45496</v>
      </c>
      <c r="BE20" t="str">
        <f>IF(tbl_OriginalData[[#This Row],[Discount_Used]]=TRUE,"Yes","No")</f>
        <v>No</v>
      </c>
      <c r="BF20" t="str">
        <f>IF(tbl_OriginalData[[#This Row],[Customer_Loyalty_Program_Member]]=TRUE,"Yes","No")</f>
        <v>Yes</v>
      </c>
      <c r="BG20" t="str">
        <f>tbl_OriginalData[[#This Row],[Purchase_Intent]]</f>
        <v>Impulsive</v>
      </c>
      <c r="BH20" t="str">
        <f>tbl_OriginalData[[#This Row],[Shipping_Preference]]</f>
        <v>Standard</v>
      </c>
      <c r="BI20">
        <f>tbl_OriginalData[[#This Row],[Time_to_Decision]]</f>
        <v>3</v>
      </c>
      <c r="BJ20" t="s">
        <v>114</v>
      </c>
      <c r="BK20" t="s">
        <v>115</v>
      </c>
      <c r="BL20" t="s">
        <v>2525</v>
      </c>
    </row>
    <row r="21" spans="1:64">
      <c r="A21" t="s">
        <v>145</v>
      </c>
      <c r="B21">
        <v>29</v>
      </c>
      <c r="C21" t="s">
        <v>33</v>
      </c>
      <c r="D21" t="s">
        <v>51</v>
      </c>
      <c r="E21" t="s">
        <v>82</v>
      </c>
      <c r="F21" t="s">
        <v>36</v>
      </c>
      <c r="G21" t="s">
        <v>34</v>
      </c>
      <c r="H21" t="s">
        <v>146</v>
      </c>
      <c r="I21" t="s">
        <v>147</v>
      </c>
      <c r="J21">
        <v>490.75</v>
      </c>
      <c r="K21">
        <v>10</v>
      </c>
      <c r="L21" t="s">
        <v>55</v>
      </c>
      <c r="M21">
        <v>2</v>
      </c>
      <c r="N21">
        <v>4</v>
      </c>
      <c r="O21">
        <v>1</v>
      </c>
      <c r="P21" t="s">
        <v>40</v>
      </c>
      <c r="Q21" t="s">
        <v>101</v>
      </c>
      <c r="R21">
        <v>1</v>
      </c>
      <c r="S21">
        <v>4</v>
      </c>
      <c r="T21" t="s">
        <v>69</v>
      </c>
      <c r="U21" t="s">
        <v>70</v>
      </c>
      <c r="V21" t="s">
        <v>71</v>
      </c>
      <c r="W21" s="1">
        <v>45481</v>
      </c>
      <c r="X21" t="b">
        <v>0</v>
      </c>
      <c r="Y21" t="b">
        <v>0</v>
      </c>
      <c r="Z21" t="s">
        <v>59</v>
      </c>
      <c r="AA21" t="s">
        <v>60</v>
      </c>
      <c r="AB21">
        <v>13</v>
      </c>
      <c r="AF21" t="str">
        <f>tbl_OriginalData[[#This Row],[Customer_ID]]</f>
        <v>67-159-7366</v>
      </c>
      <c r="AG21">
        <f>tbl_OriginalData[[#This Row],[Age]]</f>
        <v>29</v>
      </c>
      <c r="AH21" t="str" cm="1">
        <f t="array" ref="AH2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1" t="str">
        <f>tbl_OriginalData[[#This Row],[Gender]]</f>
        <v>Female</v>
      </c>
      <c r="AJ21" t="str">
        <f>tbl_OriginalData[[#This Row],[Income_Level]]</f>
        <v>High</v>
      </c>
      <c r="AK21" t="str">
        <f>tbl_OriginalData[[#This Row],[Marital_Status]]</f>
        <v>Widowed</v>
      </c>
      <c r="AL21" t="str">
        <f>tbl_OriginalData[[#This Row],[Education_Level]]</f>
        <v>Bachelor's</v>
      </c>
      <c r="AM21" t="str">
        <f>tbl_OriginalData[[#This Row],[Occupation]]</f>
        <v>Middle</v>
      </c>
      <c r="AN21" t="s">
        <v>146</v>
      </c>
      <c r="AO21" t="s">
        <v>109</v>
      </c>
      <c r="AP21" t="str">
        <f>tbl_OriginalData[[#This Row],[Purchase_Category]]</f>
        <v>Electronics</v>
      </c>
      <c r="AQ21" s="4">
        <f>tbl_OriginalData[[#This Row],[Purchase_Amount]]</f>
        <v>490.75</v>
      </c>
      <c r="AR21">
        <f>tbl_OriginalData[[#This Row],[Frequency_of_Purchase]]</f>
        <v>10</v>
      </c>
      <c r="AS21" t="str">
        <f>tbl_OriginalData[[#This Row],[Purchase_Channel]]</f>
        <v>In-Store</v>
      </c>
      <c r="AT21">
        <f>tbl_OriginalData[[#This Row],[Brand_Loyalty]]</f>
        <v>2</v>
      </c>
      <c r="AU21">
        <f>tbl_OriginalData[[#This Row],[Product_Rating]]</f>
        <v>4</v>
      </c>
      <c r="AV21">
        <f>tbl_OriginalData[[#This Row],[Time_Spent_on_Product_Research(hours)]]*60</f>
        <v>60</v>
      </c>
      <c r="AW21" t="str">
        <f>tbl_OriginalData[[#This Row],[Social_Media_Influence]]</f>
        <v>None</v>
      </c>
      <c r="AX21" t="str">
        <f>tbl_OriginalData[[#This Row],[Discount_Sensitivity]]</f>
        <v>Very Sensitive</v>
      </c>
      <c r="AY21" s="3">
        <f>tbl_OriginalData[[#This Row],[Return_Rate]]/tbl_OriginalData[[#This Row],[Frequency_of_Purchase]]</f>
        <v>0.1</v>
      </c>
      <c r="AZ21">
        <f>tbl_OriginalData[[#This Row],[Customer_Satisfaction]]</f>
        <v>4</v>
      </c>
      <c r="BA21" t="str">
        <f>tbl_OriginalData[[#This Row],[Engagement_with_Ads]]</f>
        <v>Low</v>
      </c>
      <c r="BB21" t="str">
        <f>tbl_OriginalData[[#This Row],[Device_Used_for_Shopping]]</f>
        <v>Smartphone</v>
      </c>
      <c r="BC21" t="str">
        <f>tbl_OriginalData[[#This Row],[Payment_Method]]</f>
        <v>Debit Card</v>
      </c>
      <c r="BD21" s="1">
        <f>tbl_OriginalData[[#This Row],[Time_of_Purchase]]</f>
        <v>45481</v>
      </c>
      <c r="BE21" t="str">
        <f>IF(tbl_OriginalData[[#This Row],[Discount_Used]]=TRUE,"Yes","No")</f>
        <v>No</v>
      </c>
      <c r="BF21" t="str">
        <f>IF(tbl_OriginalData[[#This Row],[Customer_Loyalty_Program_Member]]=TRUE,"Yes","No")</f>
        <v>No</v>
      </c>
      <c r="BG21" t="str">
        <f>tbl_OriginalData[[#This Row],[Purchase_Intent]]</f>
        <v>Wants-based</v>
      </c>
      <c r="BH21" t="str">
        <f>tbl_OriginalData[[#This Row],[Shipping_Preference]]</f>
        <v>Standard</v>
      </c>
      <c r="BI21">
        <f>tbl_OriginalData[[#This Row],[Time_to_Decision]]</f>
        <v>13</v>
      </c>
      <c r="BJ21" t="s">
        <v>114</v>
      </c>
      <c r="BK21" t="s">
        <v>115</v>
      </c>
      <c r="BL21" t="s">
        <v>2526</v>
      </c>
    </row>
    <row r="22" spans="1:64">
      <c r="A22" t="s">
        <v>148</v>
      </c>
      <c r="B22">
        <v>21</v>
      </c>
      <c r="C22" t="s">
        <v>33</v>
      </c>
      <c r="D22" t="s">
        <v>34</v>
      </c>
      <c r="E22" t="s">
        <v>82</v>
      </c>
      <c r="F22" t="s">
        <v>52</v>
      </c>
      <c r="G22" t="s">
        <v>34</v>
      </c>
      <c r="H22" t="s">
        <v>149</v>
      </c>
      <c r="I22" t="s">
        <v>150</v>
      </c>
      <c r="J22">
        <v>463.07</v>
      </c>
      <c r="K22">
        <v>7</v>
      </c>
      <c r="L22" t="s">
        <v>39</v>
      </c>
      <c r="M22">
        <v>4</v>
      </c>
      <c r="N22">
        <v>2</v>
      </c>
      <c r="O22">
        <v>0</v>
      </c>
      <c r="P22" t="s">
        <v>40</v>
      </c>
      <c r="Q22" t="s">
        <v>101</v>
      </c>
      <c r="R22">
        <v>1</v>
      </c>
      <c r="S22">
        <v>2</v>
      </c>
      <c r="T22" t="s">
        <v>56</v>
      </c>
      <c r="U22" t="s">
        <v>70</v>
      </c>
      <c r="V22" t="s">
        <v>58</v>
      </c>
      <c r="W22" s="1">
        <v>45496</v>
      </c>
      <c r="X22" t="b">
        <v>1</v>
      </c>
      <c r="Y22" t="b">
        <v>0</v>
      </c>
      <c r="Z22" t="s">
        <v>59</v>
      </c>
      <c r="AA22" t="s">
        <v>45</v>
      </c>
      <c r="AB22">
        <v>11</v>
      </c>
      <c r="AF22" t="str">
        <f>tbl_OriginalData[[#This Row],[Customer_ID]]</f>
        <v>85-691-4293</v>
      </c>
      <c r="AG22">
        <f>tbl_OriginalData[[#This Row],[Age]]</f>
        <v>21</v>
      </c>
      <c r="AH22" t="str" cm="1">
        <f t="array" ref="AH2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2" t="str">
        <f>tbl_OriginalData[[#This Row],[Gender]]</f>
        <v>Female</v>
      </c>
      <c r="AJ22" t="str">
        <f>tbl_OriginalData[[#This Row],[Income_Level]]</f>
        <v>Middle</v>
      </c>
      <c r="AK22" t="str">
        <f>tbl_OriginalData[[#This Row],[Marital_Status]]</f>
        <v>Widowed</v>
      </c>
      <c r="AL22" t="str">
        <f>tbl_OriginalData[[#This Row],[Education_Level]]</f>
        <v>High School</v>
      </c>
      <c r="AM22" t="str">
        <f>tbl_OriginalData[[#This Row],[Occupation]]</f>
        <v>Middle</v>
      </c>
      <c r="AN22" t="s">
        <v>149</v>
      </c>
      <c r="AO22" t="s">
        <v>90</v>
      </c>
      <c r="AP22" t="str">
        <f>tbl_OriginalData[[#This Row],[Purchase_Category]]</f>
        <v>Software &amp; Apps</v>
      </c>
      <c r="AQ22" s="4">
        <f>tbl_OriginalData[[#This Row],[Purchase_Amount]]</f>
        <v>463.07</v>
      </c>
      <c r="AR22">
        <f>tbl_OriginalData[[#This Row],[Frequency_of_Purchase]]</f>
        <v>7</v>
      </c>
      <c r="AS22" t="str">
        <f>tbl_OriginalData[[#This Row],[Purchase_Channel]]</f>
        <v>Mixed</v>
      </c>
      <c r="AT22">
        <f>tbl_OriginalData[[#This Row],[Brand_Loyalty]]</f>
        <v>4</v>
      </c>
      <c r="AU22">
        <f>tbl_OriginalData[[#This Row],[Product_Rating]]</f>
        <v>2</v>
      </c>
      <c r="AV22">
        <f>tbl_OriginalData[[#This Row],[Time_Spent_on_Product_Research(hours)]]*60</f>
        <v>0</v>
      </c>
      <c r="AW22" t="str">
        <f>tbl_OriginalData[[#This Row],[Social_Media_Influence]]</f>
        <v>None</v>
      </c>
      <c r="AX22" t="str">
        <f>tbl_OriginalData[[#This Row],[Discount_Sensitivity]]</f>
        <v>Very Sensitive</v>
      </c>
      <c r="AY22" s="3">
        <f>tbl_OriginalData[[#This Row],[Return_Rate]]/tbl_OriginalData[[#This Row],[Frequency_of_Purchase]]</f>
        <v>0.14285714285714285</v>
      </c>
      <c r="AZ22">
        <f>tbl_OriginalData[[#This Row],[Customer_Satisfaction]]</f>
        <v>2</v>
      </c>
      <c r="BA22" t="str">
        <f>tbl_OriginalData[[#This Row],[Engagement_with_Ads]]</f>
        <v>Medium</v>
      </c>
      <c r="BB22" t="str">
        <f>tbl_OriginalData[[#This Row],[Device_Used_for_Shopping]]</f>
        <v>Smartphone</v>
      </c>
      <c r="BC22" t="str">
        <f>tbl_OriginalData[[#This Row],[Payment_Method]]</f>
        <v>PayPal</v>
      </c>
      <c r="BD22" s="1">
        <f>tbl_OriginalData[[#This Row],[Time_of_Purchase]]</f>
        <v>45496</v>
      </c>
      <c r="BE22" t="str">
        <f>IF(tbl_OriginalData[[#This Row],[Discount_Used]]=TRUE,"Yes","No")</f>
        <v>Yes</v>
      </c>
      <c r="BF22" t="str">
        <f>IF(tbl_OriginalData[[#This Row],[Customer_Loyalty_Program_Member]]=TRUE,"Yes","No")</f>
        <v>No</v>
      </c>
      <c r="BG22" t="str">
        <f>tbl_OriginalData[[#This Row],[Purchase_Intent]]</f>
        <v>Wants-based</v>
      </c>
      <c r="BH22" t="str">
        <f>tbl_OriginalData[[#This Row],[Shipping_Preference]]</f>
        <v>No Preference</v>
      </c>
      <c r="BI22">
        <f>tbl_OriginalData[[#This Row],[Time_to_Decision]]</f>
        <v>11</v>
      </c>
      <c r="BJ22" t="s">
        <v>114</v>
      </c>
      <c r="BK22" t="s">
        <v>115</v>
      </c>
      <c r="BL22" t="s">
        <v>2524</v>
      </c>
    </row>
    <row r="23" spans="1:64">
      <c r="A23" t="s">
        <v>151</v>
      </c>
      <c r="B23">
        <v>36</v>
      </c>
      <c r="C23" t="s">
        <v>33</v>
      </c>
      <c r="D23" t="s">
        <v>51</v>
      </c>
      <c r="E23" t="s">
        <v>35</v>
      </c>
      <c r="F23" t="s">
        <v>66</v>
      </c>
      <c r="G23" t="s">
        <v>51</v>
      </c>
      <c r="H23" t="s">
        <v>152</v>
      </c>
      <c r="I23" t="s">
        <v>153</v>
      </c>
      <c r="J23">
        <v>56.74</v>
      </c>
      <c r="K23">
        <v>5</v>
      </c>
      <c r="L23" t="s">
        <v>94</v>
      </c>
      <c r="M23">
        <v>5</v>
      </c>
      <c r="N23">
        <v>1</v>
      </c>
      <c r="O23">
        <v>0</v>
      </c>
      <c r="P23" t="s">
        <v>56</v>
      </c>
      <c r="Q23" t="s">
        <v>101</v>
      </c>
      <c r="R23">
        <v>0</v>
      </c>
      <c r="S23">
        <v>6</v>
      </c>
      <c r="T23" t="s">
        <v>40</v>
      </c>
      <c r="U23" t="s">
        <v>70</v>
      </c>
      <c r="V23" t="s">
        <v>76</v>
      </c>
      <c r="W23" s="1">
        <v>45504</v>
      </c>
      <c r="X23" t="b">
        <v>1</v>
      </c>
      <c r="Y23" t="b">
        <v>0</v>
      </c>
      <c r="Z23" t="s">
        <v>72</v>
      </c>
      <c r="AA23" t="s">
        <v>77</v>
      </c>
      <c r="AB23">
        <v>7</v>
      </c>
      <c r="AF23" t="str">
        <f>tbl_OriginalData[[#This Row],[Customer_ID]]</f>
        <v>56-085-0464</v>
      </c>
      <c r="AG23">
        <f>tbl_OriginalData[[#This Row],[Age]]</f>
        <v>36</v>
      </c>
      <c r="AH23" t="str" cm="1">
        <f t="array" ref="AH2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3" t="str">
        <f>tbl_OriginalData[[#This Row],[Gender]]</f>
        <v>Female</v>
      </c>
      <c r="AJ23" t="str">
        <f>tbl_OriginalData[[#This Row],[Income_Level]]</f>
        <v>High</v>
      </c>
      <c r="AK23" t="str">
        <f>tbl_OriginalData[[#This Row],[Marital_Status]]</f>
        <v>Married</v>
      </c>
      <c r="AL23" t="str">
        <f>tbl_OriginalData[[#This Row],[Education_Level]]</f>
        <v>Master's</v>
      </c>
      <c r="AM23" t="str">
        <f>tbl_OriginalData[[#This Row],[Occupation]]</f>
        <v>High</v>
      </c>
      <c r="AN23" t="s">
        <v>152</v>
      </c>
      <c r="AO23" t="s">
        <v>90</v>
      </c>
      <c r="AP23" t="str">
        <f>tbl_OriginalData[[#This Row],[Purchase_Category]]</f>
        <v>Baby Products</v>
      </c>
      <c r="AQ23" s="4">
        <f>tbl_OriginalData[[#This Row],[Purchase_Amount]]</f>
        <v>56.74</v>
      </c>
      <c r="AR23">
        <f>tbl_OriginalData[[#This Row],[Frequency_of_Purchase]]</f>
        <v>5</v>
      </c>
      <c r="AS23" t="str">
        <f>tbl_OriginalData[[#This Row],[Purchase_Channel]]</f>
        <v>Online</v>
      </c>
      <c r="AT23">
        <f>tbl_OriginalData[[#This Row],[Brand_Loyalty]]</f>
        <v>5</v>
      </c>
      <c r="AU23">
        <f>tbl_OriginalData[[#This Row],[Product_Rating]]</f>
        <v>1</v>
      </c>
      <c r="AV23">
        <f>tbl_OriginalData[[#This Row],[Time_Spent_on_Product_Research(hours)]]*60</f>
        <v>0</v>
      </c>
      <c r="AW23" t="str">
        <f>tbl_OriginalData[[#This Row],[Social_Media_Influence]]</f>
        <v>Medium</v>
      </c>
      <c r="AX23" t="str">
        <f>tbl_OriginalData[[#This Row],[Discount_Sensitivity]]</f>
        <v>Very Sensitive</v>
      </c>
      <c r="AY23" s="3">
        <f>tbl_OriginalData[[#This Row],[Return_Rate]]/tbl_OriginalData[[#This Row],[Frequency_of_Purchase]]</f>
        <v>0</v>
      </c>
      <c r="AZ23">
        <f>tbl_OriginalData[[#This Row],[Customer_Satisfaction]]</f>
        <v>6</v>
      </c>
      <c r="BA23" t="str">
        <f>tbl_OriginalData[[#This Row],[Engagement_with_Ads]]</f>
        <v>None</v>
      </c>
      <c r="BB23" t="str">
        <f>tbl_OriginalData[[#This Row],[Device_Used_for_Shopping]]</f>
        <v>Smartphone</v>
      </c>
      <c r="BC23" t="str">
        <f>tbl_OriginalData[[#This Row],[Payment_Method]]</f>
        <v>Other</v>
      </c>
      <c r="BD23" s="1">
        <f>tbl_OriginalData[[#This Row],[Time_of_Purchase]]</f>
        <v>45504</v>
      </c>
      <c r="BE23" t="str">
        <f>IF(tbl_OriginalData[[#This Row],[Discount_Used]]=TRUE,"Yes","No")</f>
        <v>Yes</v>
      </c>
      <c r="BF23" t="str">
        <f>IF(tbl_OriginalData[[#This Row],[Customer_Loyalty_Program_Member]]=TRUE,"Yes","No")</f>
        <v>No</v>
      </c>
      <c r="BG23" t="str">
        <f>tbl_OriginalData[[#This Row],[Purchase_Intent]]</f>
        <v>Impulsive</v>
      </c>
      <c r="BH23" t="str">
        <f>tbl_OriginalData[[#This Row],[Shipping_Preference]]</f>
        <v>Express</v>
      </c>
      <c r="BI23">
        <f>tbl_OriginalData[[#This Row],[Time_to_Decision]]</f>
        <v>7</v>
      </c>
      <c r="BJ23" t="s">
        <v>114</v>
      </c>
      <c r="BK23" t="s">
        <v>115</v>
      </c>
      <c r="BL23" t="s">
        <v>2524</v>
      </c>
    </row>
    <row r="24" spans="1:64">
      <c r="A24" t="s">
        <v>154</v>
      </c>
      <c r="B24">
        <v>38</v>
      </c>
      <c r="C24" t="s">
        <v>50</v>
      </c>
      <c r="D24" t="s">
        <v>51</v>
      </c>
      <c r="E24" t="s">
        <v>92</v>
      </c>
      <c r="F24" t="s">
        <v>36</v>
      </c>
      <c r="G24" t="s">
        <v>34</v>
      </c>
      <c r="H24" t="s">
        <v>155</v>
      </c>
      <c r="I24" t="s">
        <v>156</v>
      </c>
      <c r="J24">
        <v>371.32</v>
      </c>
      <c r="K24">
        <v>7</v>
      </c>
      <c r="L24" t="s">
        <v>55</v>
      </c>
      <c r="M24">
        <v>4</v>
      </c>
      <c r="N24">
        <v>4</v>
      </c>
      <c r="O24">
        <v>0.7</v>
      </c>
      <c r="P24" t="s">
        <v>56</v>
      </c>
      <c r="Q24" t="s">
        <v>57</v>
      </c>
      <c r="R24">
        <v>2</v>
      </c>
      <c r="S24">
        <v>1</v>
      </c>
      <c r="T24" t="s">
        <v>40</v>
      </c>
      <c r="U24" t="s">
        <v>42</v>
      </c>
      <c r="V24" t="s">
        <v>71</v>
      </c>
      <c r="W24" s="1">
        <v>45347</v>
      </c>
      <c r="X24" t="b">
        <v>1</v>
      </c>
      <c r="Y24" t="b">
        <v>1</v>
      </c>
      <c r="Z24" t="s">
        <v>72</v>
      </c>
      <c r="AA24" t="s">
        <v>60</v>
      </c>
      <c r="AB24">
        <v>6</v>
      </c>
      <c r="AF24" t="str">
        <f>tbl_OriginalData[[#This Row],[Customer_ID]]</f>
        <v>33-264-2822</v>
      </c>
      <c r="AG24">
        <f>tbl_OriginalData[[#This Row],[Age]]</f>
        <v>38</v>
      </c>
      <c r="AH24" t="str" cm="1">
        <f t="array" ref="AH2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4" t="str">
        <f>tbl_OriginalData[[#This Row],[Gender]]</f>
        <v>Male</v>
      </c>
      <c r="AJ24" t="str">
        <f>tbl_OriginalData[[#This Row],[Income_Level]]</f>
        <v>High</v>
      </c>
      <c r="AK24" t="str">
        <f>tbl_OriginalData[[#This Row],[Marital_Status]]</f>
        <v>Divorced</v>
      </c>
      <c r="AL24" t="str">
        <f>tbl_OriginalData[[#This Row],[Education_Level]]</f>
        <v>Bachelor's</v>
      </c>
      <c r="AM24" t="str">
        <f>tbl_OriginalData[[#This Row],[Occupation]]</f>
        <v>Middle</v>
      </c>
      <c r="AN24" t="s">
        <v>155</v>
      </c>
      <c r="AO24" t="s">
        <v>157</v>
      </c>
      <c r="AP24" t="str">
        <f>tbl_OriginalData[[#This Row],[Purchase_Category]]</f>
        <v>Toys &amp; Games</v>
      </c>
      <c r="AQ24" s="4">
        <f>tbl_OriginalData[[#This Row],[Purchase_Amount]]</f>
        <v>371.32</v>
      </c>
      <c r="AR24">
        <f>tbl_OriginalData[[#This Row],[Frequency_of_Purchase]]</f>
        <v>7</v>
      </c>
      <c r="AS24" t="str">
        <f>tbl_OriginalData[[#This Row],[Purchase_Channel]]</f>
        <v>In-Store</v>
      </c>
      <c r="AT24">
        <f>tbl_OriginalData[[#This Row],[Brand_Loyalty]]</f>
        <v>4</v>
      </c>
      <c r="AU24">
        <f>tbl_OriginalData[[#This Row],[Product_Rating]]</f>
        <v>4</v>
      </c>
      <c r="AV24">
        <f>tbl_OriginalData[[#This Row],[Time_Spent_on_Product_Research(hours)]]*60</f>
        <v>42</v>
      </c>
      <c r="AW24" t="str">
        <f>tbl_OriginalData[[#This Row],[Social_Media_Influence]]</f>
        <v>Medium</v>
      </c>
      <c r="AX24" t="str">
        <f>tbl_OriginalData[[#This Row],[Discount_Sensitivity]]</f>
        <v>Not Sensitive</v>
      </c>
      <c r="AY24" s="3">
        <f>tbl_OriginalData[[#This Row],[Return_Rate]]/tbl_OriginalData[[#This Row],[Frequency_of_Purchase]]</f>
        <v>0.2857142857142857</v>
      </c>
      <c r="AZ24">
        <f>tbl_OriginalData[[#This Row],[Customer_Satisfaction]]</f>
        <v>1</v>
      </c>
      <c r="BA24" t="str">
        <f>tbl_OriginalData[[#This Row],[Engagement_with_Ads]]</f>
        <v>None</v>
      </c>
      <c r="BB24" t="str">
        <f>tbl_OriginalData[[#This Row],[Device_Used_for_Shopping]]</f>
        <v>Tablet</v>
      </c>
      <c r="BC24" t="str">
        <f>tbl_OriginalData[[#This Row],[Payment_Method]]</f>
        <v>Debit Card</v>
      </c>
      <c r="BD24" s="1">
        <f>tbl_OriginalData[[#This Row],[Time_of_Purchase]]</f>
        <v>45347</v>
      </c>
      <c r="BE24" t="str">
        <f>IF(tbl_OriginalData[[#This Row],[Discount_Used]]=TRUE,"Yes","No")</f>
        <v>Yes</v>
      </c>
      <c r="BF24" t="str">
        <f>IF(tbl_OriginalData[[#This Row],[Customer_Loyalty_Program_Member]]=TRUE,"Yes","No")</f>
        <v>Yes</v>
      </c>
      <c r="BG24" t="str">
        <f>tbl_OriginalData[[#This Row],[Purchase_Intent]]</f>
        <v>Impulsive</v>
      </c>
      <c r="BH24" t="str">
        <f>tbl_OriginalData[[#This Row],[Shipping_Preference]]</f>
        <v>Standard</v>
      </c>
      <c r="BI24">
        <f>tbl_OriginalData[[#This Row],[Time_to_Decision]]</f>
        <v>6</v>
      </c>
      <c r="BJ24" t="s">
        <v>158</v>
      </c>
      <c r="BK24" t="s">
        <v>48</v>
      </c>
      <c r="BL24" t="s">
        <v>2523</v>
      </c>
    </row>
    <row r="25" spans="1:64">
      <c r="A25" t="s">
        <v>159</v>
      </c>
      <c r="B25">
        <v>37</v>
      </c>
      <c r="C25" t="s">
        <v>33</v>
      </c>
      <c r="D25" t="s">
        <v>34</v>
      </c>
      <c r="E25" t="s">
        <v>65</v>
      </c>
      <c r="F25" t="s">
        <v>36</v>
      </c>
      <c r="G25" t="s">
        <v>34</v>
      </c>
      <c r="H25" t="s">
        <v>160</v>
      </c>
      <c r="I25" t="s">
        <v>150</v>
      </c>
      <c r="J25">
        <v>461</v>
      </c>
      <c r="K25">
        <v>7</v>
      </c>
      <c r="L25" t="s">
        <v>94</v>
      </c>
      <c r="M25">
        <v>2</v>
      </c>
      <c r="N25">
        <v>4</v>
      </c>
      <c r="O25">
        <v>1</v>
      </c>
      <c r="P25" t="s">
        <v>51</v>
      </c>
      <c r="Q25" t="s">
        <v>57</v>
      </c>
      <c r="R25">
        <v>0</v>
      </c>
      <c r="S25">
        <v>8</v>
      </c>
      <c r="T25" t="s">
        <v>69</v>
      </c>
      <c r="U25" t="s">
        <v>42</v>
      </c>
      <c r="V25" t="s">
        <v>102</v>
      </c>
      <c r="W25" s="1">
        <v>45483</v>
      </c>
      <c r="X25" t="b">
        <v>0</v>
      </c>
      <c r="Y25" t="b">
        <v>1</v>
      </c>
      <c r="Z25" t="s">
        <v>59</v>
      </c>
      <c r="AA25" t="s">
        <v>60</v>
      </c>
      <c r="AB25">
        <v>9</v>
      </c>
      <c r="AF25" t="str">
        <f>tbl_OriginalData[[#This Row],[Customer_ID]]</f>
        <v>95-478-2650</v>
      </c>
      <c r="AG25">
        <f>tbl_OriginalData[[#This Row],[Age]]</f>
        <v>37</v>
      </c>
      <c r="AH25" t="str" cm="1">
        <f t="array" ref="AH2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5" t="str">
        <f>tbl_OriginalData[[#This Row],[Gender]]</f>
        <v>Female</v>
      </c>
      <c r="AJ25" t="str">
        <f>tbl_OriginalData[[#This Row],[Income_Level]]</f>
        <v>Middle</v>
      </c>
      <c r="AK25" t="str">
        <f>tbl_OriginalData[[#This Row],[Marital_Status]]</f>
        <v>Single</v>
      </c>
      <c r="AL25" t="str">
        <f>tbl_OriginalData[[#This Row],[Education_Level]]</f>
        <v>Bachelor's</v>
      </c>
      <c r="AM25" t="str">
        <f>tbl_OriginalData[[#This Row],[Occupation]]</f>
        <v>Middle</v>
      </c>
      <c r="AN25" t="s">
        <v>160</v>
      </c>
      <c r="AO25" t="s">
        <v>161</v>
      </c>
      <c r="AP25" t="str">
        <f>tbl_OriginalData[[#This Row],[Purchase_Category]]</f>
        <v>Software &amp; Apps</v>
      </c>
      <c r="AQ25" s="4">
        <f>tbl_OriginalData[[#This Row],[Purchase_Amount]]</f>
        <v>461</v>
      </c>
      <c r="AR25">
        <f>tbl_OriginalData[[#This Row],[Frequency_of_Purchase]]</f>
        <v>7</v>
      </c>
      <c r="AS25" t="str">
        <f>tbl_OriginalData[[#This Row],[Purchase_Channel]]</f>
        <v>Online</v>
      </c>
      <c r="AT25">
        <f>tbl_OriginalData[[#This Row],[Brand_Loyalty]]</f>
        <v>2</v>
      </c>
      <c r="AU25">
        <f>tbl_OriginalData[[#This Row],[Product_Rating]]</f>
        <v>4</v>
      </c>
      <c r="AV25">
        <f>tbl_OriginalData[[#This Row],[Time_Spent_on_Product_Research(hours)]]*60</f>
        <v>60</v>
      </c>
      <c r="AW25" t="str">
        <f>tbl_OriginalData[[#This Row],[Social_Media_Influence]]</f>
        <v>High</v>
      </c>
      <c r="AX25" t="str">
        <f>tbl_OriginalData[[#This Row],[Discount_Sensitivity]]</f>
        <v>Not Sensitive</v>
      </c>
      <c r="AY25" s="3">
        <f>tbl_OriginalData[[#This Row],[Return_Rate]]/tbl_OriginalData[[#This Row],[Frequency_of_Purchase]]</f>
        <v>0</v>
      </c>
      <c r="AZ25">
        <f>tbl_OriginalData[[#This Row],[Customer_Satisfaction]]</f>
        <v>8</v>
      </c>
      <c r="BA25" t="str">
        <f>tbl_OriginalData[[#This Row],[Engagement_with_Ads]]</f>
        <v>Low</v>
      </c>
      <c r="BB25" t="str">
        <f>tbl_OriginalData[[#This Row],[Device_Used_for_Shopping]]</f>
        <v>Tablet</v>
      </c>
      <c r="BC25" t="str">
        <f>tbl_OriginalData[[#This Row],[Payment_Method]]</f>
        <v>Cash</v>
      </c>
      <c r="BD25" s="1">
        <f>tbl_OriginalData[[#This Row],[Time_of_Purchase]]</f>
        <v>45483</v>
      </c>
      <c r="BE25" t="str">
        <f>IF(tbl_OriginalData[[#This Row],[Discount_Used]]=TRUE,"Yes","No")</f>
        <v>No</v>
      </c>
      <c r="BF25" t="str">
        <f>IF(tbl_OriginalData[[#This Row],[Customer_Loyalty_Program_Member]]=TRUE,"Yes","No")</f>
        <v>Yes</v>
      </c>
      <c r="BG25" t="str">
        <f>tbl_OriginalData[[#This Row],[Purchase_Intent]]</f>
        <v>Wants-based</v>
      </c>
      <c r="BH25" t="str">
        <f>tbl_OriginalData[[#This Row],[Shipping_Preference]]</f>
        <v>Standard</v>
      </c>
      <c r="BI25">
        <f>tbl_OriginalData[[#This Row],[Time_to_Decision]]</f>
        <v>9</v>
      </c>
      <c r="BJ25" t="s">
        <v>114</v>
      </c>
      <c r="BK25" t="s">
        <v>115</v>
      </c>
      <c r="BL25" t="s">
        <v>2527</v>
      </c>
    </row>
    <row r="26" spans="1:64">
      <c r="A26" t="s">
        <v>162</v>
      </c>
      <c r="B26">
        <v>33</v>
      </c>
      <c r="C26" t="s">
        <v>33</v>
      </c>
      <c r="D26" t="s">
        <v>51</v>
      </c>
      <c r="E26" t="s">
        <v>35</v>
      </c>
      <c r="F26" t="s">
        <v>36</v>
      </c>
      <c r="G26" t="s">
        <v>51</v>
      </c>
      <c r="H26" t="s">
        <v>163</v>
      </c>
      <c r="I26" t="s">
        <v>54</v>
      </c>
      <c r="J26">
        <v>253.37</v>
      </c>
      <c r="K26">
        <v>6</v>
      </c>
      <c r="L26" t="s">
        <v>55</v>
      </c>
      <c r="M26">
        <v>4</v>
      </c>
      <c r="N26">
        <v>1</v>
      </c>
      <c r="O26">
        <v>1</v>
      </c>
      <c r="P26" t="s">
        <v>40</v>
      </c>
      <c r="Q26" t="s">
        <v>101</v>
      </c>
      <c r="R26">
        <v>2</v>
      </c>
      <c r="S26">
        <v>10</v>
      </c>
      <c r="T26" t="s">
        <v>51</v>
      </c>
      <c r="U26" t="s">
        <v>42</v>
      </c>
      <c r="V26" t="s">
        <v>76</v>
      </c>
      <c r="W26" s="1">
        <v>45651</v>
      </c>
      <c r="X26" t="b">
        <v>1</v>
      </c>
      <c r="Y26" t="b">
        <v>0</v>
      </c>
      <c r="Z26" t="s">
        <v>72</v>
      </c>
      <c r="AA26" t="s">
        <v>60</v>
      </c>
      <c r="AB26">
        <v>8</v>
      </c>
      <c r="AF26" t="str">
        <f>tbl_OriginalData[[#This Row],[Customer_ID]]</f>
        <v>04-349-6759</v>
      </c>
      <c r="AG26">
        <f>tbl_OriginalData[[#This Row],[Age]]</f>
        <v>33</v>
      </c>
      <c r="AH26" t="str" cm="1">
        <f t="array" ref="AH2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6" t="str">
        <f>tbl_OriginalData[[#This Row],[Gender]]</f>
        <v>Female</v>
      </c>
      <c r="AJ26" t="str">
        <f>tbl_OriginalData[[#This Row],[Income_Level]]</f>
        <v>High</v>
      </c>
      <c r="AK26" t="str">
        <f>tbl_OriginalData[[#This Row],[Marital_Status]]</f>
        <v>Married</v>
      </c>
      <c r="AL26" t="str">
        <f>tbl_OriginalData[[#This Row],[Education_Level]]</f>
        <v>Bachelor's</v>
      </c>
      <c r="AM26" t="str">
        <f>tbl_OriginalData[[#This Row],[Occupation]]</f>
        <v>High</v>
      </c>
      <c r="AN26" t="s">
        <v>163</v>
      </c>
      <c r="AO26" t="s">
        <v>164</v>
      </c>
      <c r="AP26" t="str">
        <f>tbl_OriginalData[[#This Row],[Purchase_Category]]</f>
        <v>Food &amp; Beverages</v>
      </c>
      <c r="AQ26" s="4">
        <f>tbl_OriginalData[[#This Row],[Purchase_Amount]]</f>
        <v>253.37</v>
      </c>
      <c r="AR26">
        <f>tbl_OriginalData[[#This Row],[Frequency_of_Purchase]]</f>
        <v>6</v>
      </c>
      <c r="AS26" t="str">
        <f>tbl_OriginalData[[#This Row],[Purchase_Channel]]</f>
        <v>In-Store</v>
      </c>
      <c r="AT26">
        <f>tbl_OriginalData[[#This Row],[Brand_Loyalty]]</f>
        <v>4</v>
      </c>
      <c r="AU26">
        <f>tbl_OriginalData[[#This Row],[Product_Rating]]</f>
        <v>1</v>
      </c>
      <c r="AV26">
        <f>tbl_OriginalData[[#This Row],[Time_Spent_on_Product_Research(hours)]]*60</f>
        <v>60</v>
      </c>
      <c r="AW26" t="str">
        <f>tbl_OriginalData[[#This Row],[Social_Media_Influence]]</f>
        <v>None</v>
      </c>
      <c r="AX26" t="str">
        <f>tbl_OriginalData[[#This Row],[Discount_Sensitivity]]</f>
        <v>Very Sensitive</v>
      </c>
      <c r="AY26" s="3">
        <f>tbl_OriginalData[[#This Row],[Return_Rate]]/tbl_OriginalData[[#This Row],[Frequency_of_Purchase]]</f>
        <v>0.33333333333333331</v>
      </c>
      <c r="AZ26">
        <f>tbl_OriginalData[[#This Row],[Customer_Satisfaction]]</f>
        <v>10</v>
      </c>
      <c r="BA26" t="str">
        <f>tbl_OriginalData[[#This Row],[Engagement_with_Ads]]</f>
        <v>High</v>
      </c>
      <c r="BB26" t="str">
        <f>tbl_OriginalData[[#This Row],[Device_Used_for_Shopping]]</f>
        <v>Tablet</v>
      </c>
      <c r="BC26" t="str">
        <f>tbl_OriginalData[[#This Row],[Payment_Method]]</f>
        <v>Other</v>
      </c>
      <c r="BD26" s="1">
        <f>tbl_OriginalData[[#This Row],[Time_of_Purchase]]</f>
        <v>45651</v>
      </c>
      <c r="BE26" t="str">
        <f>IF(tbl_OriginalData[[#This Row],[Discount_Used]]=TRUE,"Yes","No")</f>
        <v>Yes</v>
      </c>
      <c r="BF26" t="str">
        <f>IF(tbl_OriginalData[[#This Row],[Customer_Loyalty_Program_Member]]=TRUE,"Yes","No")</f>
        <v>No</v>
      </c>
      <c r="BG26" t="str">
        <f>tbl_OriginalData[[#This Row],[Purchase_Intent]]</f>
        <v>Impulsive</v>
      </c>
      <c r="BH26" t="str">
        <f>tbl_OriginalData[[#This Row],[Shipping_Preference]]</f>
        <v>Standard</v>
      </c>
      <c r="BI26">
        <f>tbl_OriginalData[[#This Row],[Time_to_Decision]]</f>
        <v>8</v>
      </c>
      <c r="BJ26" t="s">
        <v>120</v>
      </c>
      <c r="BK26" t="s">
        <v>80</v>
      </c>
      <c r="BL26" t="s">
        <v>2528</v>
      </c>
    </row>
    <row r="27" spans="1:64">
      <c r="A27" t="s">
        <v>165</v>
      </c>
      <c r="B27">
        <v>37</v>
      </c>
      <c r="C27" t="s">
        <v>50</v>
      </c>
      <c r="D27" t="s">
        <v>51</v>
      </c>
      <c r="E27" t="s">
        <v>82</v>
      </c>
      <c r="F27" t="s">
        <v>52</v>
      </c>
      <c r="G27" t="s">
        <v>51</v>
      </c>
      <c r="H27" t="s">
        <v>166</v>
      </c>
      <c r="I27" t="s">
        <v>143</v>
      </c>
      <c r="J27">
        <v>136.53</v>
      </c>
      <c r="K27">
        <v>3</v>
      </c>
      <c r="L27" t="s">
        <v>39</v>
      </c>
      <c r="M27">
        <v>2</v>
      </c>
      <c r="N27">
        <v>4</v>
      </c>
      <c r="O27">
        <v>2</v>
      </c>
      <c r="P27" t="s">
        <v>51</v>
      </c>
      <c r="Q27" t="s">
        <v>57</v>
      </c>
      <c r="R27">
        <v>1</v>
      </c>
      <c r="S27">
        <v>3</v>
      </c>
      <c r="T27" t="s">
        <v>51</v>
      </c>
      <c r="U27" t="s">
        <v>70</v>
      </c>
      <c r="V27" t="s">
        <v>58</v>
      </c>
      <c r="W27" s="1">
        <v>45443</v>
      </c>
      <c r="X27" t="b">
        <v>1</v>
      </c>
      <c r="Y27" t="b">
        <v>1</v>
      </c>
      <c r="Z27" t="s">
        <v>89</v>
      </c>
      <c r="AA27" t="s">
        <v>60</v>
      </c>
      <c r="AB27">
        <v>10</v>
      </c>
      <c r="AF27" t="str">
        <f>tbl_OriginalData[[#This Row],[Customer_ID]]</f>
        <v>21-755-8745</v>
      </c>
      <c r="AG27">
        <f>tbl_OriginalData[[#This Row],[Age]]</f>
        <v>37</v>
      </c>
      <c r="AH27" t="str" cm="1">
        <f t="array" ref="AH2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7" t="str">
        <f>tbl_OriginalData[[#This Row],[Gender]]</f>
        <v>Male</v>
      </c>
      <c r="AJ27" t="str">
        <f>tbl_OriginalData[[#This Row],[Income_Level]]</f>
        <v>High</v>
      </c>
      <c r="AK27" t="str">
        <f>tbl_OriginalData[[#This Row],[Marital_Status]]</f>
        <v>Widowed</v>
      </c>
      <c r="AL27" t="str">
        <f>tbl_OriginalData[[#This Row],[Education_Level]]</f>
        <v>High School</v>
      </c>
      <c r="AM27" t="str">
        <f>tbl_OriginalData[[#This Row],[Occupation]]</f>
        <v>High</v>
      </c>
      <c r="AN27" t="s">
        <v>166</v>
      </c>
      <c r="AO27" t="s">
        <v>46</v>
      </c>
      <c r="AP27" t="str">
        <f>tbl_OriginalData[[#This Row],[Purchase_Category]]</f>
        <v>Packages)</v>
      </c>
      <c r="AQ27" s="4">
        <f>tbl_OriginalData[[#This Row],[Purchase_Amount]]</f>
        <v>136.53</v>
      </c>
      <c r="AR27">
        <f>tbl_OriginalData[[#This Row],[Frequency_of_Purchase]]</f>
        <v>3</v>
      </c>
      <c r="AS27" t="str">
        <f>tbl_OriginalData[[#This Row],[Purchase_Channel]]</f>
        <v>Mixed</v>
      </c>
      <c r="AT27">
        <f>tbl_OriginalData[[#This Row],[Brand_Loyalty]]</f>
        <v>2</v>
      </c>
      <c r="AU27">
        <f>tbl_OriginalData[[#This Row],[Product_Rating]]</f>
        <v>4</v>
      </c>
      <c r="AV27">
        <f>tbl_OriginalData[[#This Row],[Time_Spent_on_Product_Research(hours)]]*60</f>
        <v>120</v>
      </c>
      <c r="AW27" t="str">
        <f>tbl_OriginalData[[#This Row],[Social_Media_Influence]]</f>
        <v>High</v>
      </c>
      <c r="AX27" t="str">
        <f>tbl_OriginalData[[#This Row],[Discount_Sensitivity]]</f>
        <v>Not Sensitive</v>
      </c>
      <c r="AY27" s="3">
        <f>tbl_OriginalData[[#This Row],[Return_Rate]]/tbl_OriginalData[[#This Row],[Frequency_of_Purchase]]</f>
        <v>0.33333333333333331</v>
      </c>
      <c r="AZ27">
        <f>tbl_OriginalData[[#This Row],[Customer_Satisfaction]]</f>
        <v>3</v>
      </c>
      <c r="BA27" t="str">
        <f>tbl_OriginalData[[#This Row],[Engagement_with_Ads]]</f>
        <v>High</v>
      </c>
      <c r="BB27" t="str">
        <f>tbl_OriginalData[[#This Row],[Device_Used_for_Shopping]]</f>
        <v>Smartphone</v>
      </c>
      <c r="BC27" t="str">
        <f>tbl_OriginalData[[#This Row],[Payment_Method]]</f>
        <v>PayPal</v>
      </c>
      <c r="BD27" s="1">
        <f>tbl_OriginalData[[#This Row],[Time_of_Purchase]]</f>
        <v>45443</v>
      </c>
      <c r="BE27" t="str">
        <f>IF(tbl_OriginalData[[#This Row],[Discount_Used]]=TRUE,"Yes","No")</f>
        <v>Yes</v>
      </c>
      <c r="BF27" t="str">
        <f>IF(tbl_OriginalData[[#This Row],[Customer_Loyalty_Program_Member]]=TRUE,"Yes","No")</f>
        <v>Yes</v>
      </c>
      <c r="BG27" t="str">
        <f>tbl_OriginalData[[#This Row],[Purchase_Intent]]</f>
        <v>Planned</v>
      </c>
      <c r="BH27" t="str">
        <f>tbl_OriginalData[[#This Row],[Shipping_Preference]]</f>
        <v>Standard</v>
      </c>
      <c r="BI27">
        <f>tbl_OriginalData[[#This Row],[Time_to_Decision]]</f>
        <v>10</v>
      </c>
      <c r="BJ27" t="s">
        <v>167</v>
      </c>
      <c r="BK27" t="s">
        <v>63</v>
      </c>
      <c r="BL27" t="s">
        <v>2523</v>
      </c>
    </row>
    <row r="28" spans="1:64">
      <c r="A28" t="s">
        <v>168</v>
      </c>
      <c r="B28">
        <v>31</v>
      </c>
      <c r="C28" t="s">
        <v>33</v>
      </c>
      <c r="D28" t="s">
        <v>34</v>
      </c>
      <c r="E28" t="s">
        <v>65</v>
      </c>
      <c r="F28" t="s">
        <v>66</v>
      </c>
      <c r="G28" t="s">
        <v>34</v>
      </c>
      <c r="H28" t="s">
        <v>169</v>
      </c>
      <c r="I28" t="s">
        <v>170</v>
      </c>
      <c r="J28">
        <v>489.05</v>
      </c>
      <c r="K28">
        <v>10</v>
      </c>
      <c r="L28" t="s">
        <v>94</v>
      </c>
      <c r="M28">
        <v>5</v>
      </c>
      <c r="N28">
        <v>3</v>
      </c>
      <c r="O28">
        <v>0</v>
      </c>
      <c r="P28" t="s">
        <v>51</v>
      </c>
      <c r="Q28" t="s">
        <v>41</v>
      </c>
      <c r="R28">
        <v>2</v>
      </c>
      <c r="S28">
        <v>2</v>
      </c>
      <c r="T28" t="s">
        <v>51</v>
      </c>
      <c r="U28" t="s">
        <v>95</v>
      </c>
      <c r="V28" t="s">
        <v>58</v>
      </c>
      <c r="W28" s="1">
        <v>45539</v>
      </c>
      <c r="X28" t="b">
        <v>1</v>
      </c>
      <c r="Y28" t="b">
        <v>1</v>
      </c>
      <c r="Z28" t="s">
        <v>89</v>
      </c>
      <c r="AA28" t="s">
        <v>60</v>
      </c>
      <c r="AB28">
        <v>7</v>
      </c>
      <c r="AF28" t="str">
        <f>tbl_OriginalData[[#This Row],[Customer_ID]]</f>
        <v>29-625-7057</v>
      </c>
      <c r="AG28">
        <f>tbl_OriginalData[[#This Row],[Age]]</f>
        <v>31</v>
      </c>
      <c r="AH28" t="str" cm="1">
        <f t="array" ref="AH2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8" t="str">
        <f>tbl_OriginalData[[#This Row],[Gender]]</f>
        <v>Female</v>
      </c>
      <c r="AJ28" t="str">
        <f>tbl_OriginalData[[#This Row],[Income_Level]]</f>
        <v>Middle</v>
      </c>
      <c r="AK28" t="str">
        <f>tbl_OriginalData[[#This Row],[Marital_Status]]</f>
        <v>Single</v>
      </c>
      <c r="AL28" t="str">
        <f>tbl_OriginalData[[#This Row],[Education_Level]]</f>
        <v>Master's</v>
      </c>
      <c r="AM28" t="str">
        <f>tbl_OriginalData[[#This Row],[Occupation]]</f>
        <v>Middle</v>
      </c>
      <c r="AN28" t="s">
        <v>169</v>
      </c>
      <c r="AO28" t="s">
        <v>171</v>
      </c>
      <c r="AP28" t="str">
        <f>tbl_OriginalData[[#This Row],[Purchase_Category]]</f>
        <v>Arts &amp; Crafts</v>
      </c>
      <c r="AQ28" s="4">
        <f>tbl_OriginalData[[#This Row],[Purchase_Amount]]</f>
        <v>489.05</v>
      </c>
      <c r="AR28">
        <f>tbl_OriginalData[[#This Row],[Frequency_of_Purchase]]</f>
        <v>10</v>
      </c>
      <c r="AS28" t="str">
        <f>tbl_OriginalData[[#This Row],[Purchase_Channel]]</f>
        <v>Online</v>
      </c>
      <c r="AT28">
        <f>tbl_OriginalData[[#This Row],[Brand_Loyalty]]</f>
        <v>5</v>
      </c>
      <c r="AU28">
        <f>tbl_OriginalData[[#This Row],[Product_Rating]]</f>
        <v>3</v>
      </c>
      <c r="AV28">
        <f>tbl_OriginalData[[#This Row],[Time_Spent_on_Product_Research(hours)]]*60</f>
        <v>0</v>
      </c>
      <c r="AW28" t="str">
        <f>tbl_OriginalData[[#This Row],[Social_Media_Influence]]</f>
        <v>High</v>
      </c>
      <c r="AX28" t="str">
        <f>tbl_OriginalData[[#This Row],[Discount_Sensitivity]]</f>
        <v>Somewhat Sensitive</v>
      </c>
      <c r="AY28" s="3">
        <f>tbl_OriginalData[[#This Row],[Return_Rate]]/tbl_OriginalData[[#This Row],[Frequency_of_Purchase]]</f>
        <v>0.2</v>
      </c>
      <c r="AZ28">
        <f>tbl_OriginalData[[#This Row],[Customer_Satisfaction]]</f>
        <v>2</v>
      </c>
      <c r="BA28" t="str">
        <f>tbl_OriginalData[[#This Row],[Engagement_with_Ads]]</f>
        <v>High</v>
      </c>
      <c r="BB28" t="str">
        <f>tbl_OriginalData[[#This Row],[Device_Used_for_Shopping]]</f>
        <v>Desktop</v>
      </c>
      <c r="BC28" t="str">
        <f>tbl_OriginalData[[#This Row],[Payment_Method]]</f>
        <v>PayPal</v>
      </c>
      <c r="BD28" s="1">
        <f>tbl_OriginalData[[#This Row],[Time_of_Purchase]]</f>
        <v>45539</v>
      </c>
      <c r="BE28" t="str">
        <f>IF(tbl_OriginalData[[#This Row],[Discount_Used]]=TRUE,"Yes","No")</f>
        <v>Yes</v>
      </c>
      <c r="BF28" t="str">
        <f>IF(tbl_OriginalData[[#This Row],[Customer_Loyalty_Program_Member]]=TRUE,"Yes","No")</f>
        <v>Yes</v>
      </c>
      <c r="BG28" t="str">
        <f>tbl_OriginalData[[#This Row],[Purchase_Intent]]</f>
        <v>Planned</v>
      </c>
      <c r="BH28" t="str">
        <f>tbl_OriginalData[[#This Row],[Shipping_Preference]]</f>
        <v>Standard</v>
      </c>
      <c r="BI28">
        <f>tbl_OriginalData[[#This Row],[Time_to_Decision]]</f>
        <v>7</v>
      </c>
      <c r="BJ28" t="s">
        <v>172</v>
      </c>
      <c r="BK28" t="s">
        <v>115</v>
      </c>
      <c r="BL28" t="s">
        <v>2523</v>
      </c>
    </row>
    <row r="29" spans="1:64">
      <c r="A29" t="s">
        <v>173</v>
      </c>
      <c r="B29">
        <v>50</v>
      </c>
      <c r="C29" t="s">
        <v>50</v>
      </c>
      <c r="D29" t="s">
        <v>51</v>
      </c>
      <c r="E29" t="s">
        <v>65</v>
      </c>
      <c r="F29" t="s">
        <v>66</v>
      </c>
      <c r="G29" t="s">
        <v>51</v>
      </c>
      <c r="H29" t="s">
        <v>174</v>
      </c>
      <c r="I29" t="s">
        <v>147</v>
      </c>
      <c r="J29">
        <v>81.91</v>
      </c>
      <c r="K29">
        <v>10</v>
      </c>
      <c r="L29" t="s">
        <v>55</v>
      </c>
      <c r="M29">
        <v>3</v>
      </c>
      <c r="N29">
        <v>4</v>
      </c>
      <c r="O29">
        <v>1</v>
      </c>
      <c r="P29" t="s">
        <v>56</v>
      </c>
      <c r="Q29" t="s">
        <v>101</v>
      </c>
      <c r="R29">
        <v>0</v>
      </c>
      <c r="S29">
        <v>4</v>
      </c>
      <c r="T29" t="s">
        <v>40</v>
      </c>
      <c r="U29" t="s">
        <v>95</v>
      </c>
      <c r="V29" t="s">
        <v>71</v>
      </c>
      <c r="W29" s="1">
        <v>45497</v>
      </c>
      <c r="X29" t="b">
        <v>0</v>
      </c>
      <c r="Y29" t="b">
        <v>1</v>
      </c>
      <c r="Z29" t="s">
        <v>44</v>
      </c>
      <c r="AA29" t="s">
        <v>77</v>
      </c>
      <c r="AB29">
        <v>2</v>
      </c>
      <c r="AF29" t="str">
        <f>tbl_OriginalData[[#This Row],[Customer_ID]]</f>
        <v>58-623-8404</v>
      </c>
      <c r="AG29">
        <f>tbl_OriginalData[[#This Row],[Age]]</f>
        <v>50</v>
      </c>
      <c r="AH29" t="str" cm="1">
        <f t="array" ref="AH2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9" t="str">
        <f>tbl_OriginalData[[#This Row],[Gender]]</f>
        <v>Male</v>
      </c>
      <c r="AJ29" t="str">
        <f>tbl_OriginalData[[#This Row],[Income_Level]]</f>
        <v>High</v>
      </c>
      <c r="AK29" t="str">
        <f>tbl_OriginalData[[#This Row],[Marital_Status]]</f>
        <v>Single</v>
      </c>
      <c r="AL29" t="str">
        <f>tbl_OriginalData[[#This Row],[Education_Level]]</f>
        <v>Master's</v>
      </c>
      <c r="AM29" t="str">
        <f>tbl_OriginalData[[#This Row],[Occupation]]</f>
        <v>High</v>
      </c>
      <c r="AN29" t="s">
        <v>174</v>
      </c>
      <c r="AO29" t="s">
        <v>90</v>
      </c>
      <c r="AP29" t="str">
        <f>tbl_OriginalData[[#This Row],[Purchase_Category]]</f>
        <v>Electronics</v>
      </c>
      <c r="AQ29" s="4">
        <f>tbl_OriginalData[[#This Row],[Purchase_Amount]]</f>
        <v>81.91</v>
      </c>
      <c r="AR29">
        <f>tbl_OriginalData[[#This Row],[Frequency_of_Purchase]]</f>
        <v>10</v>
      </c>
      <c r="AS29" t="str">
        <f>tbl_OriginalData[[#This Row],[Purchase_Channel]]</f>
        <v>In-Store</v>
      </c>
      <c r="AT29">
        <f>tbl_OriginalData[[#This Row],[Brand_Loyalty]]</f>
        <v>3</v>
      </c>
      <c r="AU29">
        <f>tbl_OriginalData[[#This Row],[Product_Rating]]</f>
        <v>4</v>
      </c>
      <c r="AV29">
        <f>tbl_OriginalData[[#This Row],[Time_Spent_on_Product_Research(hours)]]*60</f>
        <v>60</v>
      </c>
      <c r="AW29" t="str">
        <f>tbl_OriginalData[[#This Row],[Social_Media_Influence]]</f>
        <v>Medium</v>
      </c>
      <c r="AX29" t="str">
        <f>tbl_OriginalData[[#This Row],[Discount_Sensitivity]]</f>
        <v>Very Sensitive</v>
      </c>
      <c r="AY29" s="3">
        <f>tbl_OriginalData[[#This Row],[Return_Rate]]/tbl_OriginalData[[#This Row],[Frequency_of_Purchase]]</f>
        <v>0</v>
      </c>
      <c r="AZ29">
        <f>tbl_OriginalData[[#This Row],[Customer_Satisfaction]]</f>
        <v>4</v>
      </c>
      <c r="BA29" t="str">
        <f>tbl_OriginalData[[#This Row],[Engagement_with_Ads]]</f>
        <v>None</v>
      </c>
      <c r="BB29" t="str">
        <f>tbl_OriginalData[[#This Row],[Device_Used_for_Shopping]]</f>
        <v>Desktop</v>
      </c>
      <c r="BC29" t="str">
        <f>tbl_OriginalData[[#This Row],[Payment_Method]]</f>
        <v>Debit Card</v>
      </c>
      <c r="BD29" s="1">
        <f>tbl_OriginalData[[#This Row],[Time_of_Purchase]]</f>
        <v>45497</v>
      </c>
      <c r="BE29" t="str">
        <f>IF(tbl_OriginalData[[#This Row],[Discount_Used]]=TRUE,"Yes","No")</f>
        <v>No</v>
      </c>
      <c r="BF29" t="str">
        <f>IF(tbl_OriginalData[[#This Row],[Customer_Loyalty_Program_Member]]=TRUE,"Yes","No")</f>
        <v>Yes</v>
      </c>
      <c r="BG29" t="str">
        <f>tbl_OriginalData[[#This Row],[Purchase_Intent]]</f>
        <v>Need-based</v>
      </c>
      <c r="BH29" t="str">
        <f>tbl_OriginalData[[#This Row],[Shipping_Preference]]</f>
        <v>Express</v>
      </c>
      <c r="BI29">
        <f>tbl_OriginalData[[#This Row],[Time_to_Decision]]</f>
        <v>2</v>
      </c>
      <c r="BJ29" t="s">
        <v>114</v>
      </c>
      <c r="BK29" t="s">
        <v>115</v>
      </c>
      <c r="BL29" t="s">
        <v>2524</v>
      </c>
    </row>
    <row r="30" spans="1:64">
      <c r="A30" t="s">
        <v>175</v>
      </c>
      <c r="B30">
        <v>50</v>
      </c>
      <c r="C30" t="s">
        <v>50</v>
      </c>
      <c r="D30" t="s">
        <v>34</v>
      </c>
      <c r="E30" t="s">
        <v>35</v>
      </c>
      <c r="F30" t="s">
        <v>36</v>
      </c>
      <c r="G30" t="s">
        <v>34</v>
      </c>
      <c r="H30" t="s">
        <v>176</v>
      </c>
      <c r="I30" t="s">
        <v>170</v>
      </c>
      <c r="J30">
        <v>135.80000000000001</v>
      </c>
      <c r="K30">
        <v>2</v>
      </c>
      <c r="L30" t="s">
        <v>55</v>
      </c>
      <c r="M30">
        <v>2</v>
      </c>
      <c r="N30">
        <v>5</v>
      </c>
      <c r="O30">
        <v>1</v>
      </c>
      <c r="P30" t="s">
        <v>69</v>
      </c>
      <c r="Q30" t="s">
        <v>41</v>
      </c>
      <c r="R30">
        <v>1</v>
      </c>
      <c r="S30">
        <v>2</v>
      </c>
      <c r="T30" t="s">
        <v>51</v>
      </c>
      <c r="U30" t="s">
        <v>95</v>
      </c>
      <c r="V30" t="s">
        <v>71</v>
      </c>
      <c r="W30" s="1">
        <v>45612</v>
      </c>
      <c r="X30" t="b">
        <v>0</v>
      </c>
      <c r="Y30" t="b">
        <v>1</v>
      </c>
      <c r="Z30" t="s">
        <v>89</v>
      </c>
      <c r="AA30" t="s">
        <v>45</v>
      </c>
      <c r="AB30">
        <v>9</v>
      </c>
      <c r="AF30" t="str">
        <f>tbl_OriginalData[[#This Row],[Customer_ID]]</f>
        <v>56-506-4709</v>
      </c>
      <c r="AG30">
        <f>tbl_OriginalData[[#This Row],[Age]]</f>
        <v>50</v>
      </c>
      <c r="AH30" t="str" cm="1">
        <f t="array" ref="AH3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0" t="str">
        <f>tbl_OriginalData[[#This Row],[Gender]]</f>
        <v>Male</v>
      </c>
      <c r="AJ30" t="str">
        <f>tbl_OriginalData[[#This Row],[Income_Level]]</f>
        <v>Middle</v>
      </c>
      <c r="AK30" t="str">
        <f>tbl_OriginalData[[#This Row],[Marital_Status]]</f>
        <v>Married</v>
      </c>
      <c r="AL30" t="str">
        <f>tbl_OriginalData[[#This Row],[Education_Level]]</f>
        <v>Bachelor's</v>
      </c>
      <c r="AM30" t="str">
        <f>tbl_OriginalData[[#This Row],[Occupation]]</f>
        <v>Middle</v>
      </c>
      <c r="AN30" t="s">
        <v>176</v>
      </c>
      <c r="AO30" t="s">
        <v>132</v>
      </c>
      <c r="AP30" t="str">
        <f>tbl_OriginalData[[#This Row],[Purchase_Category]]</f>
        <v>Arts &amp; Crafts</v>
      </c>
      <c r="AQ30" s="4">
        <f>tbl_OriginalData[[#This Row],[Purchase_Amount]]</f>
        <v>135.80000000000001</v>
      </c>
      <c r="AR30">
        <f>tbl_OriginalData[[#This Row],[Frequency_of_Purchase]]</f>
        <v>2</v>
      </c>
      <c r="AS30" t="str">
        <f>tbl_OriginalData[[#This Row],[Purchase_Channel]]</f>
        <v>In-Store</v>
      </c>
      <c r="AT30">
        <f>tbl_OriginalData[[#This Row],[Brand_Loyalty]]</f>
        <v>2</v>
      </c>
      <c r="AU30">
        <f>tbl_OriginalData[[#This Row],[Product_Rating]]</f>
        <v>5</v>
      </c>
      <c r="AV30">
        <f>tbl_OriginalData[[#This Row],[Time_Spent_on_Product_Research(hours)]]*60</f>
        <v>60</v>
      </c>
      <c r="AW30" t="str">
        <f>tbl_OriginalData[[#This Row],[Social_Media_Influence]]</f>
        <v>Low</v>
      </c>
      <c r="AX30" t="str">
        <f>tbl_OriginalData[[#This Row],[Discount_Sensitivity]]</f>
        <v>Somewhat Sensitive</v>
      </c>
      <c r="AY30" s="3">
        <f>tbl_OriginalData[[#This Row],[Return_Rate]]/tbl_OriginalData[[#This Row],[Frequency_of_Purchase]]</f>
        <v>0.5</v>
      </c>
      <c r="AZ30">
        <f>tbl_OriginalData[[#This Row],[Customer_Satisfaction]]</f>
        <v>2</v>
      </c>
      <c r="BA30" t="str">
        <f>tbl_OriginalData[[#This Row],[Engagement_with_Ads]]</f>
        <v>High</v>
      </c>
      <c r="BB30" t="str">
        <f>tbl_OriginalData[[#This Row],[Device_Used_for_Shopping]]</f>
        <v>Desktop</v>
      </c>
      <c r="BC30" t="str">
        <f>tbl_OriginalData[[#This Row],[Payment_Method]]</f>
        <v>Debit Card</v>
      </c>
      <c r="BD30" s="1">
        <f>tbl_OriginalData[[#This Row],[Time_of_Purchase]]</f>
        <v>45612</v>
      </c>
      <c r="BE30" t="str">
        <f>IF(tbl_OriginalData[[#This Row],[Discount_Used]]=TRUE,"Yes","No")</f>
        <v>No</v>
      </c>
      <c r="BF30" t="str">
        <f>IF(tbl_OriginalData[[#This Row],[Customer_Loyalty_Program_Member]]=TRUE,"Yes","No")</f>
        <v>Yes</v>
      </c>
      <c r="BG30" t="str">
        <f>tbl_OriginalData[[#This Row],[Purchase_Intent]]</f>
        <v>Planned</v>
      </c>
      <c r="BH30" t="str">
        <f>tbl_OriginalData[[#This Row],[Shipping_Preference]]</f>
        <v>No Preference</v>
      </c>
      <c r="BI30">
        <f>tbl_OriginalData[[#This Row],[Time_to_Decision]]</f>
        <v>9</v>
      </c>
      <c r="BJ30" t="s">
        <v>177</v>
      </c>
      <c r="BK30" t="s">
        <v>80</v>
      </c>
      <c r="BL30" t="s">
        <v>2525</v>
      </c>
    </row>
    <row r="31" spans="1:64">
      <c r="A31" t="s">
        <v>178</v>
      </c>
      <c r="B31">
        <v>45</v>
      </c>
      <c r="C31" t="s">
        <v>33</v>
      </c>
      <c r="D31" t="s">
        <v>34</v>
      </c>
      <c r="E31" t="s">
        <v>82</v>
      </c>
      <c r="F31" t="s">
        <v>52</v>
      </c>
      <c r="G31" t="s">
        <v>34</v>
      </c>
      <c r="H31" t="s">
        <v>179</v>
      </c>
      <c r="I31" t="s">
        <v>180</v>
      </c>
      <c r="J31">
        <v>382.24</v>
      </c>
      <c r="K31">
        <v>12</v>
      </c>
      <c r="L31" t="s">
        <v>55</v>
      </c>
      <c r="M31">
        <v>1</v>
      </c>
      <c r="N31">
        <v>5</v>
      </c>
      <c r="O31">
        <v>1</v>
      </c>
      <c r="P31" t="s">
        <v>51</v>
      </c>
      <c r="Q31" t="s">
        <v>101</v>
      </c>
      <c r="R31">
        <v>1</v>
      </c>
      <c r="S31">
        <v>4</v>
      </c>
      <c r="T31" t="s">
        <v>51</v>
      </c>
      <c r="U31" t="s">
        <v>42</v>
      </c>
      <c r="V31" t="s">
        <v>58</v>
      </c>
      <c r="W31" s="1">
        <v>45479</v>
      </c>
      <c r="X31" t="b">
        <v>1</v>
      </c>
      <c r="Y31" t="b">
        <v>1</v>
      </c>
      <c r="Z31" t="s">
        <v>89</v>
      </c>
      <c r="AA31" t="s">
        <v>60</v>
      </c>
      <c r="AB31">
        <v>3</v>
      </c>
      <c r="AF31" t="str">
        <f>tbl_OriginalData[[#This Row],[Customer_ID]]</f>
        <v>25-839-8670</v>
      </c>
      <c r="AG31">
        <f>tbl_OriginalData[[#This Row],[Age]]</f>
        <v>45</v>
      </c>
      <c r="AH31" t="str" cm="1">
        <f t="array" ref="AH3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1" t="str">
        <f>tbl_OriginalData[[#This Row],[Gender]]</f>
        <v>Female</v>
      </c>
      <c r="AJ31" t="str">
        <f>tbl_OriginalData[[#This Row],[Income_Level]]</f>
        <v>Middle</v>
      </c>
      <c r="AK31" t="str">
        <f>tbl_OriginalData[[#This Row],[Marital_Status]]</f>
        <v>Widowed</v>
      </c>
      <c r="AL31" t="str">
        <f>tbl_OriginalData[[#This Row],[Education_Level]]</f>
        <v>High School</v>
      </c>
      <c r="AM31" t="str">
        <f>tbl_OriginalData[[#This Row],[Occupation]]</f>
        <v>Middle</v>
      </c>
      <c r="AN31" t="s">
        <v>179</v>
      </c>
      <c r="AO31" t="s">
        <v>181</v>
      </c>
      <c r="AP31" t="str">
        <f>tbl_OriginalData[[#This Row],[Purchase_Category]]</f>
        <v>Health Supplements</v>
      </c>
      <c r="AQ31" s="4">
        <f>tbl_OriginalData[[#This Row],[Purchase_Amount]]</f>
        <v>382.24</v>
      </c>
      <c r="AR31">
        <f>tbl_OriginalData[[#This Row],[Frequency_of_Purchase]]</f>
        <v>12</v>
      </c>
      <c r="AS31" t="str">
        <f>tbl_OriginalData[[#This Row],[Purchase_Channel]]</f>
        <v>In-Store</v>
      </c>
      <c r="AT31">
        <f>tbl_OriginalData[[#This Row],[Brand_Loyalty]]</f>
        <v>1</v>
      </c>
      <c r="AU31">
        <f>tbl_OriginalData[[#This Row],[Product_Rating]]</f>
        <v>5</v>
      </c>
      <c r="AV31">
        <f>tbl_OriginalData[[#This Row],[Time_Spent_on_Product_Research(hours)]]*60</f>
        <v>60</v>
      </c>
      <c r="AW31" t="str">
        <f>tbl_OriginalData[[#This Row],[Social_Media_Influence]]</f>
        <v>High</v>
      </c>
      <c r="AX31" t="str">
        <f>tbl_OriginalData[[#This Row],[Discount_Sensitivity]]</f>
        <v>Very Sensitive</v>
      </c>
      <c r="AY31" s="3">
        <f>tbl_OriginalData[[#This Row],[Return_Rate]]/tbl_OriginalData[[#This Row],[Frequency_of_Purchase]]</f>
        <v>8.3333333333333329E-2</v>
      </c>
      <c r="AZ31">
        <f>tbl_OriginalData[[#This Row],[Customer_Satisfaction]]</f>
        <v>4</v>
      </c>
      <c r="BA31" t="str">
        <f>tbl_OriginalData[[#This Row],[Engagement_with_Ads]]</f>
        <v>High</v>
      </c>
      <c r="BB31" t="str">
        <f>tbl_OriginalData[[#This Row],[Device_Used_for_Shopping]]</f>
        <v>Tablet</v>
      </c>
      <c r="BC31" t="str">
        <f>tbl_OriginalData[[#This Row],[Payment_Method]]</f>
        <v>PayPal</v>
      </c>
      <c r="BD31" s="1">
        <f>tbl_OriginalData[[#This Row],[Time_of_Purchase]]</f>
        <v>45479</v>
      </c>
      <c r="BE31" t="str">
        <f>IF(tbl_OriginalData[[#This Row],[Discount_Used]]=TRUE,"Yes","No")</f>
        <v>Yes</v>
      </c>
      <c r="BF31" t="str">
        <f>IF(tbl_OriginalData[[#This Row],[Customer_Loyalty_Program_Member]]=TRUE,"Yes","No")</f>
        <v>Yes</v>
      </c>
      <c r="BG31" t="str">
        <f>tbl_OriginalData[[#This Row],[Purchase_Intent]]</f>
        <v>Planned</v>
      </c>
      <c r="BH31" t="str">
        <f>tbl_OriginalData[[#This Row],[Shipping_Preference]]</f>
        <v>Standard</v>
      </c>
      <c r="BI31">
        <f>tbl_OriginalData[[#This Row],[Time_to_Decision]]</f>
        <v>3</v>
      </c>
      <c r="BJ31" t="s">
        <v>114</v>
      </c>
      <c r="BK31" t="s">
        <v>115</v>
      </c>
      <c r="BL31" t="s">
        <v>2523</v>
      </c>
    </row>
    <row r="32" spans="1:64">
      <c r="A32" t="s">
        <v>182</v>
      </c>
      <c r="B32">
        <v>33</v>
      </c>
      <c r="C32" t="s">
        <v>33</v>
      </c>
      <c r="D32" t="s">
        <v>51</v>
      </c>
      <c r="E32" t="s">
        <v>35</v>
      </c>
      <c r="F32" t="s">
        <v>36</v>
      </c>
      <c r="G32" t="s">
        <v>34</v>
      </c>
      <c r="H32" t="s">
        <v>183</v>
      </c>
      <c r="I32" t="s">
        <v>38</v>
      </c>
      <c r="J32">
        <v>354.7</v>
      </c>
      <c r="K32">
        <v>5</v>
      </c>
      <c r="L32" t="s">
        <v>94</v>
      </c>
      <c r="M32">
        <v>4</v>
      </c>
      <c r="N32">
        <v>2</v>
      </c>
      <c r="O32">
        <v>0</v>
      </c>
      <c r="P32" t="s">
        <v>40</v>
      </c>
      <c r="Q32" t="s">
        <v>101</v>
      </c>
      <c r="R32">
        <v>2</v>
      </c>
      <c r="S32">
        <v>7</v>
      </c>
      <c r="T32" t="s">
        <v>40</v>
      </c>
      <c r="U32" t="s">
        <v>70</v>
      </c>
      <c r="V32" t="s">
        <v>76</v>
      </c>
      <c r="W32" s="1">
        <v>45332</v>
      </c>
      <c r="X32" t="b">
        <v>1</v>
      </c>
      <c r="Y32" t="b">
        <v>0</v>
      </c>
      <c r="Z32" t="s">
        <v>89</v>
      </c>
      <c r="AA32" t="s">
        <v>77</v>
      </c>
      <c r="AB32">
        <v>12</v>
      </c>
      <c r="AF32" t="str">
        <f>tbl_OriginalData[[#This Row],[Customer_ID]]</f>
        <v>89-194-0596</v>
      </c>
      <c r="AG32">
        <f>tbl_OriginalData[[#This Row],[Age]]</f>
        <v>33</v>
      </c>
      <c r="AH32" t="str" cm="1">
        <f t="array" ref="AH3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2" t="str">
        <f>tbl_OriginalData[[#This Row],[Gender]]</f>
        <v>Female</v>
      </c>
      <c r="AJ32" t="str">
        <f>tbl_OriginalData[[#This Row],[Income_Level]]</f>
        <v>High</v>
      </c>
      <c r="AK32" t="str">
        <f>tbl_OriginalData[[#This Row],[Marital_Status]]</f>
        <v>Married</v>
      </c>
      <c r="AL32" t="str">
        <f>tbl_OriginalData[[#This Row],[Education_Level]]</f>
        <v>Bachelor's</v>
      </c>
      <c r="AM32" t="str">
        <f>tbl_OriginalData[[#This Row],[Occupation]]</f>
        <v>Middle</v>
      </c>
      <c r="AN32" t="s">
        <v>183</v>
      </c>
      <c r="AO32" t="s">
        <v>46</v>
      </c>
      <c r="AP32" t="str">
        <f>tbl_OriginalData[[#This Row],[Purchase_Category]]</f>
        <v>Gardening &amp; Outdoors</v>
      </c>
      <c r="AQ32" s="4">
        <f>tbl_OriginalData[[#This Row],[Purchase_Amount]]</f>
        <v>354.7</v>
      </c>
      <c r="AR32">
        <f>tbl_OriginalData[[#This Row],[Frequency_of_Purchase]]</f>
        <v>5</v>
      </c>
      <c r="AS32" t="str">
        <f>tbl_OriginalData[[#This Row],[Purchase_Channel]]</f>
        <v>Online</v>
      </c>
      <c r="AT32">
        <f>tbl_OriginalData[[#This Row],[Brand_Loyalty]]</f>
        <v>4</v>
      </c>
      <c r="AU32">
        <f>tbl_OriginalData[[#This Row],[Product_Rating]]</f>
        <v>2</v>
      </c>
      <c r="AV32">
        <f>tbl_OriginalData[[#This Row],[Time_Spent_on_Product_Research(hours)]]*60</f>
        <v>0</v>
      </c>
      <c r="AW32" t="str">
        <f>tbl_OriginalData[[#This Row],[Social_Media_Influence]]</f>
        <v>None</v>
      </c>
      <c r="AX32" t="str">
        <f>tbl_OriginalData[[#This Row],[Discount_Sensitivity]]</f>
        <v>Very Sensitive</v>
      </c>
      <c r="AY32" s="3">
        <f>tbl_OriginalData[[#This Row],[Return_Rate]]/tbl_OriginalData[[#This Row],[Frequency_of_Purchase]]</f>
        <v>0.4</v>
      </c>
      <c r="AZ32">
        <f>tbl_OriginalData[[#This Row],[Customer_Satisfaction]]</f>
        <v>7</v>
      </c>
      <c r="BA32" t="str">
        <f>tbl_OriginalData[[#This Row],[Engagement_with_Ads]]</f>
        <v>None</v>
      </c>
      <c r="BB32" t="str">
        <f>tbl_OriginalData[[#This Row],[Device_Used_for_Shopping]]</f>
        <v>Smartphone</v>
      </c>
      <c r="BC32" t="str">
        <f>tbl_OriginalData[[#This Row],[Payment_Method]]</f>
        <v>Other</v>
      </c>
      <c r="BD32" s="1">
        <f>tbl_OriginalData[[#This Row],[Time_of_Purchase]]</f>
        <v>45332</v>
      </c>
      <c r="BE32" t="str">
        <f>IF(tbl_OriginalData[[#This Row],[Discount_Used]]=TRUE,"Yes","No")</f>
        <v>Yes</v>
      </c>
      <c r="BF32" t="str">
        <f>IF(tbl_OriginalData[[#This Row],[Customer_Loyalty_Program_Member]]=TRUE,"Yes","No")</f>
        <v>No</v>
      </c>
      <c r="BG32" t="str">
        <f>tbl_OriginalData[[#This Row],[Purchase_Intent]]</f>
        <v>Planned</v>
      </c>
      <c r="BH32" t="str">
        <f>tbl_OriginalData[[#This Row],[Shipping_Preference]]</f>
        <v>Express</v>
      </c>
      <c r="BI32">
        <f>tbl_OriginalData[[#This Row],[Time_to_Decision]]</f>
        <v>12</v>
      </c>
      <c r="BJ32" t="s">
        <v>158</v>
      </c>
      <c r="BK32" t="s">
        <v>48</v>
      </c>
      <c r="BL32" t="s">
        <v>2523</v>
      </c>
    </row>
    <row r="33" spans="1:64">
      <c r="A33" t="s">
        <v>184</v>
      </c>
      <c r="B33">
        <v>24</v>
      </c>
      <c r="C33" t="s">
        <v>50</v>
      </c>
      <c r="D33" t="s">
        <v>51</v>
      </c>
      <c r="E33" t="s">
        <v>92</v>
      </c>
      <c r="F33" t="s">
        <v>36</v>
      </c>
      <c r="G33" t="s">
        <v>51</v>
      </c>
      <c r="H33" t="s">
        <v>185</v>
      </c>
      <c r="I33" t="s">
        <v>112</v>
      </c>
      <c r="J33">
        <v>433.82</v>
      </c>
      <c r="K33">
        <v>6</v>
      </c>
      <c r="L33" t="s">
        <v>94</v>
      </c>
      <c r="M33">
        <v>3</v>
      </c>
      <c r="N33">
        <v>2</v>
      </c>
      <c r="O33">
        <v>1</v>
      </c>
      <c r="P33" t="s">
        <v>56</v>
      </c>
      <c r="Q33" t="s">
        <v>41</v>
      </c>
      <c r="R33">
        <v>0</v>
      </c>
      <c r="S33">
        <v>8</v>
      </c>
      <c r="T33" t="s">
        <v>56</v>
      </c>
      <c r="U33" t="s">
        <v>95</v>
      </c>
      <c r="V33" t="s">
        <v>76</v>
      </c>
      <c r="W33" s="1">
        <v>45472</v>
      </c>
      <c r="X33" t="b">
        <v>0</v>
      </c>
      <c r="Y33" t="b">
        <v>1</v>
      </c>
      <c r="Z33" t="s">
        <v>89</v>
      </c>
      <c r="AA33" t="s">
        <v>77</v>
      </c>
      <c r="AB33">
        <v>10</v>
      </c>
      <c r="AF33" t="str">
        <f>tbl_OriginalData[[#This Row],[Customer_ID]]</f>
        <v>55-163-1389</v>
      </c>
      <c r="AG33">
        <f>tbl_OriginalData[[#This Row],[Age]]</f>
        <v>24</v>
      </c>
      <c r="AH33" t="str" cm="1">
        <f t="array" ref="AH3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3" t="str">
        <f>tbl_OriginalData[[#This Row],[Gender]]</f>
        <v>Male</v>
      </c>
      <c r="AJ33" t="str">
        <f>tbl_OriginalData[[#This Row],[Income_Level]]</f>
        <v>High</v>
      </c>
      <c r="AK33" t="str">
        <f>tbl_OriginalData[[#This Row],[Marital_Status]]</f>
        <v>Divorced</v>
      </c>
      <c r="AL33" t="str">
        <f>tbl_OriginalData[[#This Row],[Education_Level]]</f>
        <v>Bachelor's</v>
      </c>
      <c r="AM33" t="str">
        <f>tbl_OriginalData[[#This Row],[Occupation]]</f>
        <v>High</v>
      </c>
      <c r="AN33" t="s">
        <v>185</v>
      </c>
      <c r="AO33" t="s">
        <v>186</v>
      </c>
      <c r="AP33" t="str">
        <f>tbl_OriginalData[[#This Row],[Purchase_Category]]</f>
        <v>Mobile Accessories</v>
      </c>
      <c r="AQ33" s="4">
        <f>tbl_OriginalData[[#This Row],[Purchase_Amount]]</f>
        <v>433.82</v>
      </c>
      <c r="AR33">
        <f>tbl_OriginalData[[#This Row],[Frequency_of_Purchase]]</f>
        <v>6</v>
      </c>
      <c r="AS33" t="str">
        <f>tbl_OriginalData[[#This Row],[Purchase_Channel]]</f>
        <v>Online</v>
      </c>
      <c r="AT33">
        <f>tbl_OriginalData[[#This Row],[Brand_Loyalty]]</f>
        <v>3</v>
      </c>
      <c r="AU33">
        <f>tbl_OriginalData[[#This Row],[Product_Rating]]</f>
        <v>2</v>
      </c>
      <c r="AV33">
        <f>tbl_OriginalData[[#This Row],[Time_Spent_on_Product_Research(hours)]]*60</f>
        <v>60</v>
      </c>
      <c r="AW33" t="str">
        <f>tbl_OriginalData[[#This Row],[Social_Media_Influence]]</f>
        <v>Medium</v>
      </c>
      <c r="AX33" t="str">
        <f>tbl_OriginalData[[#This Row],[Discount_Sensitivity]]</f>
        <v>Somewhat Sensitive</v>
      </c>
      <c r="AY33" s="3">
        <f>tbl_OriginalData[[#This Row],[Return_Rate]]/tbl_OriginalData[[#This Row],[Frequency_of_Purchase]]</f>
        <v>0</v>
      </c>
      <c r="AZ33">
        <f>tbl_OriginalData[[#This Row],[Customer_Satisfaction]]</f>
        <v>8</v>
      </c>
      <c r="BA33" t="str">
        <f>tbl_OriginalData[[#This Row],[Engagement_with_Ads]]</f>
        <v>Medium</v>
      </c>
      <c r="BB33" t="str">
        <f>tbl_OriginalData[[#This Row],[Device_Used_for_Shopping]]</f>
        <v>Desktop</v>
      </c>
      <c r="BC33" t="str">
        <f>tbl_OriginalData[[#This Row],[Payment_Method]]</f>
        <v>Other</v>
      </c>
      <c r="BD33" s="1">
        <f>tbl_OriginalData[[#This Row],[Time_of_Purchase]]</f>
        <v>45472</v>
      </c>
      <c r="BE33" t="str">
        <f>IF(tbl_OriginalData[[#This Row],[Discount_Used]]=TRUE,"Yes","No")</f>
        <v>No</v>
      </c>
      <c r="BF33" t="str">
        <f>IF(tbl_OriginalData[[#This Row],[Customer_Loyalty_Program_Member]]=TRUE,"Yes","No")</f>
        <v>Yes</v>
      </c>
      <c r="BG33" t="str">
        <f>tbl_OriginalData[[#This Row],[Purchase_Intent]]</f>
        <v>Planned</v>
      </c>
      <c r="BH33" t="str">
        <f>tbl_OriginalData[[#This Row],[Shipping_Preference]]</f>
        <v>Express</v>
      </c>
      <c r="BI33">
        <f>tbl_OriginalData[[#This Row],[Time_to_Decision]]</f>
        <v>10</v>
      </c>
      <c r="BJ33" t="s">
        <v>104</v>
      </c>
      <c r="BK33" t="s">
        <v>63</v>
      </c>
      <c r="BL33" t="s">
        <v>2523</v>
      </c>
    </row>
    <row r="34" spans="1:64">
      <c r="A34" t="s">
        <v>187</v>
      </c>
      <c r="B34">
        <v>39</v>
      </c>
      <c r="C34" t="s">
        <v>188</v>
      </c>
      <c r="D34" t="s">
        <v>51</v>
      </c>
      <c r="E34" t="s">
        <v>35</v>
      </c>
      <c r="F34" t="s">
        <v>36</v>
      </c>
      <c r="G34" t="s">
        <v>34</v>
      </c>
      <c r="H34" t="s">
        <v>189</v>
      </c>
      <c r="I34" t="s">
        <v>112</v>
      </c>
      <c r="J34">
        <v>282.13</v>
      </c>
      <c r="K34">
        <v>5</v>
      </c>
      <c r="L34" t="s">
        <v>39</v>
      </c>
      <c r="M34">
        <v>4</v>
      </c>
      <c r="N34">
        <v>5</v>
      </c>
      <c r="O34">
        <v>1</v>
      </c>
      <c r="P34" t="s">
        <v>40</v>
      </c>
      <c r="Q34" t="s">
        <v>41</v>
      </c>
      <c r="R34">
        <v>1</v>
      </c>
      <c r="S34">
        <v>2</v>
      </c>
      <c r="T34" t="s">
        <v>40</v>
      </c>
      <c r="U34" t="s">
        <v>42</v>
      </c>
      <c r="V34" t="s">
        <v>76</v>
      </c>
      <c r="W34" s="1">
        <v>45317</v>
      </c>
      <c r="X34" t="b">
        <v>1</v>
      </c>
      <c r="Y34" t="b">
        <v>0</v>
      </c>
      <c r="Z34" t="s">
        <v>44</v>
      </c>
      <c r="AA34" t="s">
        <v>60</v>
      </c>
      <c r="AB34">
        <v>9</v>
      </c>
      <c r="AF34" t="str">
        <f>tbl_OriginalData[[#This Row],[Customer_ID]]</f>
        <v>28-225-4286</v>
      </c>
      <c r="AG34">
        <f>tbl_OriginalData[[#This Row],[Age]]</f>
        <v>39</v>
      </c>
      <c r="AH34" t="str" cm="1">
        <f t="array" ref="AH3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4" t="str">
        <f>tbl_OriginalData[[#This Row],[Gender]]</f>
        <v>Genderfluid</v>
      </c>
      <c r="AJ34" t="str">
        <f>tbl_OriginalData[[#This Row],[Income_Level]]</f>
        <v>High</v>
      </c>
      <c r="AK34" t="str">
        <f>tbl_OriginalData[[#This Row],[Marital_Status]]</f>
        <v>Married</v>
      </c>
      <c r="AL34" t="str">
        <f>tbl_OriginalData[[#This Row],[Education_Level]]</f>
        <v>Bachelor's</v>
      </c>
      <c r="AM34" t="str">
        <f>tbl_OriginalData[[#This Row],[Occupation]]</f>
        <v>Middle</v>
      </c>
      <c r="AN34" t="s">
        <v>189</v>
      </c>
      <c r="AO34" t="s">
        <v>46</v>
      </c>
      <c r="AP34" t="str">
        <f>tbl_OriginalData[[#This Row],[Purchase_Category]]</f>
        <v>Mobile Accessories</v>
      </c>
      <c r="AQ34" s="4">
        <f>tbl_OriginalData[[#This Row],[Purchase_Amount]]</f>
        <v>282.13</v>
      </c>
      <c r="AR34">
        <f>tbl_OriginalData[[#This Row],[Frequency_of_Purchase]]</f>
        <v>5</v>
      </c>
      <c r="AS34" t="str">
        <f>tbl_OriginalData[[#This Row],[Purchase_Channel]]</f>
        <v>Mixed</v>
      </c>
      <c r="AT34">
        <f>tbl_OriginalData[[#This Row],[Brand_Loyalty]]</f>
        <v>4</v>
      </c>
      <c r="AU34">
        <f>tbl_OriginalData[[#This Row],[Product_Rating]]</f>
        <v>5</v>
      </c>
      <c r="AV34">
        <f>tbl_OriginalData[[#This Row],[Time_Spent_on_Product_Research(hours)]]*60</f>
        <v>60</v>
      </c>
      <c r="AW34" t="str">
        <f>tbl_OriginalData[[#This Row],[Social_Media_Influence]]</f>
        <v>None</v>
      </c>
      <c r="AX34" t="str">
        <f>tbl_OriginalData[[#This Row],[Discount_Sensitivity]]</f>
        <v>Somewhat Sensitive</v>
      </c>
      <c r="AY34" s="3">
        <f>tbl_OriginalData[[#This Row],[Return_Rate]]/tbl_OriginalData[[#This Row],[Frequency_of_Purchase]]</f>
        <v>0.2</v>
      </c>
      <c r="AZ34">
        <f>tbl_OriginalData[[#This Row],[Customer_Satisfaction]]</f>
        <v>2</v>
      </c>
      <c r="BA34" t="str">
        <f>tbl_OriginalData[[#This Row],[Engagement_with_Ads]]</f>
        <v>None</v>
      </c>
      <c r="BB34" t="str">
        <f>tbl_OriginalData[[#This Row],[Device_Used_for_Shopping]]</f>
        <v>Tablet</v>
      </c>
      <c r="BC34" t="str">
        <f>tbl_OriginalData[[#This Row],[Payment_Method]]</f>
        <v>Other</v>
      </c>
      <c r="BD34" s="1">
        <f>tbl_OriginalData[[#This Row],[Time_of_Purchase]]</f>
        <v>45317</v>
      </c>
      <c r="BE34" t="str">
        <f>IF(tbl_OriginalData[[#This Row],[Discount_Used]]=TRUE,"Yes","No")</f>
        <v>Yes</v>
      </c>
      <c r="BF34" t="str">
        <f>IF(tbl_OriginalData[[#This Row],[Customer_Loyalty_Program_Member]]=TRUE,"Yes","No")</f>
        <v>No</v>
      </c>
      <c r="BG34" t="str">
        <f>tbl_OriginalData[[#This Row],[Purchase_Intent]]</f>
        <v>Need-based</v>
      </c>
      <c r="BH34" t="str">
        <f>tbl_OriginalData[[#This Row],[Shipping_Preference]]</f>
        <v>Standard</v>
      </c>
      <c r="BI34">
        <f>tbl_OriginalData[[#This Row],[Time_to_Decision]]</f>
        <v>9</v>
      </c>
      <c r="BJ34" t="s">
        <v>86</v>
      </c>
      <c r="BK34" t="s">
        <v>48</v>
      </c>
      <c r="BL34" t="s">
        <v>2523</v>
      </c>
    </row>
    <row r="35" spans="1:64">
      <c r="A35" t="s">
        <v>190</v>
      </c>
      <c r="B35">
        <v>48</v>
      </c>
      <c r="C35" t="s">
        <v>50</v>
      </c>
      <c r="D35" t="s">
        <v>51</v>
      </c>
      <c r="E35" t="s">
        <v>82</v>
      </c>
      <c r="F35" t="s">
        <v>52</v>
      </c>
      <c r="G35" t="s">
        <v>34</v>
      </c>
      <c r="H35" t="s">
        <v>191</v>
      </c>
      <c r="I35" t="s">
        <v>112</v>
      </c>
      <c r="J35">
        <v>454.38</v>
      </c>
      <c r="K35">
        <v>10</v>
      </c>
      <c r="L35" t="s">
        <v>94</v>
      </c>
      <c r="M35">
        <v>3</v>
      </c>
      <c r="N35">
        <v>4</v>
      </c>
      <c r="O35">
        <v>0</v>
      </c>
      <c r="P35" t="s">
        <v>40</v>
      </c>
      <c r="Q35" t="s">
        <v>41</v>
      </c>
      <c r="R35">
        <v>0</v>
      </c>
      <c r="S35">
        <v>10</v>
      </c>
      <c r="T35" t="s">
        <v>56</v>
      </c>
      <c r="U35" t="s">
        <v>70</v>
      </c>
      <c r="V35" t="s">
        <v>58</v>
      </c>
      <c r="W35" s="1">
        <v>45458</v>
      </c>
      <c r="X35" t="b">
        <v>1</v>
      </c>
      <c r="Y35" t="b">
        <v>0</v>
      </c>
      <c r="Z35" t="s">
        <v>72</v>
      </c>
      <c r="AA35" t="s">
        <v>45</v>
      </c>
      <c r="AB35">
        <v>7</v>
      </c>
      <c r="AF35" t="str">
        <f>tbl_OriginalData[[#This Row],[Customer_ID]]</f>
        <v>14-305-8712</v>
      </c>
      <c r="AG35">
        <f>tbl_OriginalData[[#This Row],[Age]]</f>
        <v>48</v>
      </c>
      <c r="AH35" t="str" cm="1">
        <f t="array" ref="AH3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5" t="str">
        <f>tbl_OriginalData[[#This Row],[Gender]]</f>
        <v>Male</v>
      </c>
      <c r="AJ35" t="str">
        <f>tbl_OriginalData[[#This Row],[Income_Level]]</f>
        <v>High</v>
      </c>
      <c r="AK35" t="str">
        <f>tbl_OriginalData[[#This Row],[Marital_Status]]</f>
        <v>Widowed</v>
      </c>
      <c r="AL35" t="str">
        <f>tbl_OriginalData[[#This Row],[Education_Level]]</f>
        <v>High School</v>
      </c>
      <c r="AM35" t="str">
        <f>tbl_OriginalData[[#This Row],[Occupation]]</f>
        <v>Middle</v>
      </c>
      <c r="AN35" t="s">
        <v>191</v>
      </c>
      <c r="AO35" t="s">
        <v>109</v>
      </c>
      <c r="AP35" t="str">
        <f>tbl_OriginalData[[#This Row],[Purchase_Category]]</f>
        <v>Mobile Accessories</v>
      </c>
      <c r="AQ35" s="4">
        <f>tbl_OriginalData[[#This Row],[Purchase_Amount]]</f>
        <v>454.38</v>
      </c>
      <c r="AR35">
        <f>tbl_OriginalData[[#This Row],[Frequency_of_Purchase]]</f>
        <v>10</v>
      </c>
      <c r="AS35" t="str">
        <f>tbl_OriginalData[[#This Row],[Purchase_Channel]]</f>
        <v>Online</v>
      </c>
      <c r="AT35">
        <f>tbl_OriginalData[[#This Row],[Brand_Loyalty]]</f>
        <v>3</v>
      </c>
      <c r="AU35">
        <f>tbl_OriginalData[[#This Row],[Product_Rating]]</f>
        <v>4</v>
      </c>
      <c r="AV35">
        <f>tbl_OriginalData[[#This Row],[Time_Spent_on_Product_Research(hours)]]*60</f>
        <v>0</v>
      </c>
      <c r="AW35" t="str">
        <f>tbl_OriginalData[[#This Row],[Social_Media_Influence]]</f>
        <v>None</v>
      </c>
      <c r="AX35" t="str">
        <f>tbl_OriginalData[[#This Row],[Discount_Sensitivity]]</f>
        <v>Somewhat Sensitive</v>
      </c>
      <c r="AY35" s="3">
        <f>tbl_OriginalData[[#This Row],[Return_Rate]]/tbl_OriginalData[[#This Row],[Frequency_of_Purchase]]</f>
        <v>0</v>
      </c>
      <c r="AZ35">
        <f>tbl_OriginalData[[#This Row],[Customer_Satisfaction]]</f>
        <v>10</v>
      </c>
      <c r="BA35" t="str">
        <f>tbl_OriginalData[[#This Row],[Engagement_with_Ads]]</f>
        <v>Medium</v>
      </c>
      <c r="BB35" t="str">
        <f>tbl_OriginalData[[#This Row],[Device_Used_for_Shopping]]</f>
        <v>Smartphone</v>
      </c>
      <c r="BC35" t="str">
        <f>tbl_OriginalData[[#This Row],[Payment_Method]]</f>
        <v>PayPal</v>
      </c>
      <c r="BD35" s="1">
        <f>tbl_OriginalData[[#This Row],[Time_of_Purchase]]</f>
        <v>45458</v>
      </c>
      <c r="BE35" t="str">
        <f>IF(tbl_OriginalData[[#This Row],[Discount_Used]]=TRUE,"Yes","No")</f>
        <v>Yes</v>
      </c>
      <c r="BF35" t="str">
        <f>IF(tbl_OriginalData[[#This Row],[Customer_Loyalty_Program_Member]]=TRUE,"Yes","No")</f>
        <v>No</v>
      </c>
      <c r="BG35" t="str">
        <f>tbl_OriginalData[[#This Row],[Purchase_Intent]]</f>
        <v>Impulsive</v>
      </c>
      <c r="BH35" t="str">
        <f>tbl_OriginalData[[#This Row],[Shipping_Preference]]</f>
        <v>No Preference</v>
      </c>
      <c r="BI35">
        <f>tbl_OriginalData[[#This Row],[Time_to_Decision]]</f>
        <v>7</v>
      </c>
      <c r="BJ35" t="s">
        <v>104</v>
      </c>
      <c r="BK35" t="s">
        <v>63</v>
      </c>
      <c r="BL35" t="s">
        <v>2526</v>
      </c>
    </row>
    <row r="36" spans="1:64">
      <c r="A36" t="s">
        <v>192</v>
      </c>
      <c r="B36">
        <v>25</v>
      </c>
      <c r="C36" t="s">
        <v>50</v>
      </c>
      <c r="D36" t="s">
        <v>34</v>
      </c>
      <c r="E36" t="s">
        <v>35</v>
      </c>
      <c r="F36" t="s">
        <v>52</v>
      </c>
      <c r="G36" t="s">
        <v>51</v>
      </c>
      <c r="H36" t="s">
        <v>193</v>
      </c>
      <c r="I36" t="s">
        <v>112</v>
      </c>
      <c r="J36">
        <v>138.88</v>
      </c>
      <c r="K36">
        <v>7</v>
      </c>
      <c r="L36" t="s">
        <v>55</v>
      </c>
      <c r="M36">
        <v>2</v>
      </c>
      <c r="N36">
        <v>4</v>
      </c>
      <c r="O36">
        <v>1</v>
      </c>
      <c r="P36" t="s">
        <v>40</v>
      </c>
      <c r="Q36" t="s">
        <v>57</v>
      </c>
      <c r="R36">
        <v>1</v>
      </c>
      <c r="S36">
        <v>3</v>
      </c>
      <c r="T36" t="s">
        <v>40</v>
      </c>
      <c r="U36" t="s">
        <v>42</v>
      </c>
      <c r="V36" t="s">
        <v>102</v>
      </c>
      <c r="W36" s="1">
        <v>45451</v>
      </c>
      <c r="X36" t="b">
        <v>1</v>
      </c>
      <c r="Y36" t="b">
        <v>0</v>
      </c>
      <c r="Z36" t="s">
        <v>89</v>
      </c>
      <c r="AA36" t="s">
        <v>45</v>
      </c>
      <c r="AB36">
        <v>4</v>
      </c>
      <c r="AF36" t="str">
        <f>tbl_OriginalData[[#This Row],[Customer_ID]]</f>
        <v>85-738-6864</v>
      </c>
      <c r="AG36">
        <f>tbl_OriginalData[[#This Row],[Age]]</f>
        <v>25</v>
      </c>
      <c r="AH36" t="str" cm="1">
        <f t="array" ref="AH3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6" t="str">
        <f>tbl_OriginalData[[#This Row],[Gender]]</f>
        <v>Male</v>
      </c>
      <c r="AJ36" t="str">
        <f>tbl_OriginalData[[#This Row],[Income_Level]]</f>
        <v>Middle</v>
      </c>
      <c r="AK36" t="str">
        <f>tbl_OriginalData[[#This Row],[Marital_Status]]</f>
        <v>Married</v>
      </c>
      <c r="AL36" t="str">
        <f>tbl_OriginalData[[#This Row],[Education_Level]]</f>
        <v>High School</v>
      </c>
      <c r="AM36" t="str">
        <f>tbl_OriginalData[[#This Row],[Occupation]]</f>
        <v>High</v>
      </c>
      <c r="AN36" t="s">
        <v>193</v>
      </c>
      <c r="AO36" t="s">
        <v>194</v>
      </c>
      <c r="AP36" t="str">
        <f>tbl_OriginalData[[#This Row],[Purchase_Category]]</f>
        <v>Mobile Accessories</v>
      </c>
      <c r="AQ36" s="4">
        <f>tbl_OriginalData[[#This Row],[Purchase_Amount]]</f>
        <v>138.88</v>
      </c>
      <c r="AR36">
        <f>tbl_OriginalData[[#This Row],[Frequency_of_Purchase]]</f>
        <v>7</v>
      </c>
      <c r="AS36" t="str">
        <f>tbl_OriginalData[[#This Row],[Purchase_Channel]]</f>
        <v>In-Store</v>
      </c>
      <c r="AT36">
        <f>tbl_OriginalData[[#This Row],[Brand_Loyalty]]</f>
        <v>2</v>
      </c>
      <c r="AU36">
        <f>tbl_OriginalData[[#This Row],[Product_Rating]]</f>
        <v>4</v>
      </c>
      <c r="AV36">
        <f>tbl_OriginalData[[#This Row],[Time_Spent_on_Product_Research(hours)]]*60</f>
        <v>60</v>
      </c>
      <c r="AW36" t="str">
        <f>tbl_OriginalData[[#This Row],[Social_Media_Influence]]</f>
        <v>None</v>
      </c>
      <c r="AX36" t="str">
        <f>tbl_OriginalData[[#This Row],[Discount_Sensitivity]]</f>
        <v>Not Sensitive</v>
      </c>
      <c r="AY36" s="3">
        <f>tbl_OriginalData[[#This Row],[Return_Rate]]/tbl_OriginalData[[#This Row],[Frequency_of_Purchase]]</f>
        <v>0.14285714285714285</v>
      </c>
      <c r="AZ36">
        <f>tbl_OriginalData[[#This Row],[Customer_Satisfaction]]</f>
        <v>3</v>
      </c>
      <c r="BA36" t="str">
        <f>tbl_OriginalData[[#This Row],[Engagement_with_Ads]]</f>
        <v>None</v>
      </c>
      <c r="BB36" t="str">
        <f>tbl_OriginalData[[#This Row],[Device_Used_for_Shopping]]</f>
        <v>Tablet</v>
      </c>
      <c r="BC36" t="str">
        <f>tbl_OriginalData[[#This Row],[Payment_Method]]</f>
        <v>Cash</v>
      </c>
      <c r="BD36" s="1">
        <f>tbl_OriginalData[[#This Row],[Time_of_Purchase]]</f>
        <v>45451</v>
      </c>
      <c r="BE36" t="str">
        <f>IF(tbl_OriginalData[[#This Row],[Discount_Used]]=TRUE,"Yes","No")</f>
        <v>Yes</v>
      </c>
      <c r="BF36" t="str">
        <f>IF(tbl_OriginalData[[#This Row],[Customer_Loyalty_Program_Member]]=TRUE,"Yes","No")</f>
        <v>No</v>
      </c>
      <c r="BG36" t="str">
        <f>tbl_OriginalData[[#This Row],[Purchase_Intent]]</f>
        <v>Planned</v>
      </c>
      <c r="BH36" t="str">
        <f>tbl_OriginalData[[#This Row],[Shipping_Preference]]</f>
        <v>No Preference</v>
      </c>
      <c r="BI36">
        <f>tbl_OriginalData[[#This Row],[Time_to_Decision]]</f>
        <v>4</v>
      </c>
      <c r="BJ36" t="s">
        <v>104</v>
      </c>
      <c r="BK36" t="s">
        <v>63</v>
      </c>
      <c r="BL36" t="s">
        <v>2524</v>
      </c>
    </row>
    <row r="37" spans="1:64">
      <c r="A37" t="s">
        <v>195</v>
      </c>
      <c r="B37">
        <v>30</v>
      </c>
      <c r="C37" t="s">
        <v>33</v>
      </c>
      <c r="D37" t="s">
        <v>51</v>
      </c>
      <c r="E37" t="s">
        <v>65</v>
      </c>
      <c r="F37" t="s">
        <v>36</v>
      </c>
      <c r="G37" t="s">
        <v>51</v>
      </c>
      <c r="H37" t="s">
        <v>196</v>
      </c>
      <c r="I37" t="s">
        <v>98</v>
      </c>
      <c r="J37">
        <v>52.34</v>
      </c>
      <c r="K37">
        <v>6</v>
      </c>
      <c r="L37" t="s">
        <v>55</v>
      </c>
      <c r="M37">
        <v>3</v>
      </c>
      <c r="N37">
        <v>4</v>
      </c>
      <c r="O37">
        <v>1</v>
      </c>
      <c r="P37" t="s">
        <v>69</v>
      </c>
      <c r="Q37" t="s">
        <v>41</v>
      </c>
      <c r="R37">
        <v>1</v>
      </c>
      <c r="S37">
        <v>5</v>
      </c>
      <c r="T37" t="s">
        <v>56</v>
      </c>
      <c r="U37" t="s">
        <v>42</v>
      </c>
      <c r="V37" t="s">
        <v>58</v>
      </c>
      <c r="W37" s="1">
        <v>45433</v>
      </c>
      <c r="X37" t="b">
        <v>1</v>
      </c>
      <c r="Y37" t="b">
        <v>1</v>
      </c>
      <c r="Z37" t="s">
        <v>89</v>
      </c>
      <c r="AA37" t="s">
        <v>77</v>
      </c>
      <c r="AB37">
        <v>13</v>
      </c>
      <c r="AF37" t="str">
        <f>tbl_OriginalData[[#This Row],[Customer_ID]]</f>
        <v>17-198-5155</v>
      </c>
      <c r="AG37">
        <f>tbl_OriginalData[[#This Row],[Age]]</f>
        <v>30</v>
      </c>
      <c r="AH37" t="str" cm="1">
        <f t="array" ref="AH3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7" t="str">
        <f>tbl_OriginalData[[#This Row],[Gender]]</f>
        <v>Female</v>
      </c>
      <c r="AJ37" t="str">
        <f>tbl_OriginalData[[#This Row],[Income_Level]]</f>
        <v>High</v>
      </c>
      <c r="AK37" t="str">
        <f>tbl_OriginalData[[#This Row],[Marital_Status]]</f>
        <v>Single</v>
      </c>
      <c r="AL37" t="str">
        <f>tbl_OriginalData[[#This Row],[Education_Level]]</f>
        <v>Bachelor's</v>
      </c>
      <c r="AM37" t="str">
        <f>tbl_OriginalData[[#This Row],[Occupation]]</f>
        <v>High</v>
      </c>
      <c r="AN37" t="s">
        <v>196</v>
      </c>
      <c r="AO37" t="s">
        <v>61</v>
      </c>
      <c r="AP37" t="str">
        <f>tbl_OriginalData[[#This Row],[Purchase_Category]]</f>
        <v>Books</v>
      </c>
      <c r="AQ37" s="4">
        <f>tbl_OriginalData[[#This Row],[Purchase_Amount]]</f>
        <v>52.34</v>
      </c>
      <c r="AR37">
        <f>tbl_OriginalData[[#This Row],[Frequency_of_Purchase]]</f>
        <v>6</v>
      </c>
      <c r="AS37" t="str">
        <f>tbl_OriginalData[[#This Row],[Purchase_Channel]]</f>
        <v>In-Store</v>
      </c>
      <c r="AT37">
        <f>tbl_OriginalData[[#This Row],[Brand_Loyalty]]</f>
        <v>3</v>
      </c>
      <c r="AU37">
        <f>tbl_OriginalData[[#This Row],[Product_Rating]]</f>
        <v>4</v>
      </c>
      <c r="AV37">
        <f>tbl_OriginalData[[#This Row],[Time_Spent_on_Product_Research(hours)]]*60</f>
        <v>60</v>
      </c>
      <c r="AW37" t="str">
        <f>tbl_OriginalData[[#This Row],[Social_Media_Influence]]</f>
        <v>Low</v>
      </c>
      <c r="AX37" t="str">
        <f>tbl_OriginalData[[#This Row],[Discount_Sensitivity]]</f>
        <v>Somewhat Sensitive</v>
      </c>
      <c r="AY37" s="3">
        <f>tbl_OriginalData[[#This Row],[Return_Rate]]/tbl_OriginalData[[#This Row],[Frequency_of_Purchase]]</f>
        <v>0.16666666666666666</v>
      </c>
      <c r="AZ37">
        <f>tbl_OriginalData[[#This Row],[Customer_Satisfaction]]</f>
        <v>5</v>
      </c>
      <c r="BA37" t="str">
        <f>tbl_OriginalData[[#This Row],[Engagement_with_Ads]]</f>
        <v>Medium</v>
      </c>
      <c r="BB37" t="str">
        <f>tbl_OriginalData[[#This Row],[Device_Used_for_Shopping]]</f>
        <v>Tablet</v>
      </c>
      <c r="BC37" t="str">
        <f>tbl_OriginalData[[#This Row],[Payment_Method]]</f>
        <v>PayPal</v>
      </c>
      <c r="BD37" s="1">
        <f>tbl_OriginalData[[#This Row],[Time_of_Purchase]]</f>
        <v>45433</v>
      </c>
      <c r="BE37" t="str">
        <f>IF(tbl_OriginalData[[#This Row],[Discount_Used]]=TRUE,"Yes","No")</f>
        <v>Yes</v>
      </c>
      <c r="BF37" t="str">
        <f>IF(tbl_OriginalData[[#This Row],[Customer_Loyalty_Program_Member]]=TRUE,"Yes","No")</f>
        <v>Yes</v>
      </c>
      <c r="BG37" t="str">
        <f>tbl_OriginalData[[#This Row],[Purchase_Intent]]</f>
        <v>Planned</v>
      </c>
      <c r="BH37" t="str">
        <f>tbl_OriginalData[[#This Row],[Shipping_Preference]]</f>
        <v>Express</v>
      </c>
      <c r="BI37">
        <f>tbl_OriginalData[[#This Row],[Time_to_Decision]]</f>
        <v>13</v>
      </c>
      <c r="BJ37" t="s">
        <v>167</v>
      </c>
      <c r="BK37" t="s">
        <v>63</v>
      </c>
      <c r="BL37" t="s">
        <v>2524</v>
      </c>
    </row>
    <row r="38" spans="1:64">
      <c r="A38" t="s">
        <v>197</v>
      </c>
      <c r="B38">
        <v>34</v>
      </c>
      <c r="C38" t="s">
        <v>50</v>
      </c>
      <c r="D38" t="s">
        <v>34</v>
      </c>
      <c r="E38" t="s">
        <v>65</v>
      </c>
      <c r="F38" t="s">
        <v>36</v>
      </c>
      <c r="G38" t="s">
        <v>51</v>
      </c>
      <c r="H38" t="s">
        <v>198</v>
      </c>
      <c r="I38" t="s">
        <v>199</v>
      </c>
      <c r="J38">
        <v>338.2</v>
      </c>
      <c r="K38">
        <v>7</v>
      </c>
      <c r="L38" t="s">
        <v>94</v>
      </c>
      <c r="M38">
        <v>3</v>
      </c>
      <c r="N38">
        <v>5</v>
      </c>
      <c r="O38">
        <v>0</v>
      </c>
      <c r="P38" t="s">
        <v>40</v>
      </c>
      <c r="Q38" t="s">
        <v>57</v>
      </c>
      <c r="R38">
        <v>1</v>
      </c>
      <c r="S38">
        <v>9</v>
      </c>
      <c r="T38" t="s">
        <v>56</v>
      </c>
      <c r="U38" t="s">
        <v>42</v>
      </c>
      <c r="V38" t="s">
        <v>76</v>
      </c>
      <c r="W38" s="1">
        <v>45536</v>
      </c>
      <c r="X38" t="b">
        <v>1</v>
      </c>
      <c r="Y38" t="b">
        <v>0</v>
      </c>
      <c r="Z38" t="s">
        <v>59</v>
      </c>
      <c r="AA38" t="s">
        <v>60</v>
      </c>
      <c r="AB38">
        <v>7</v>
      </c>
      <c r="AF38" t="str">
        <f>tbl_OriginalData[[#This Row],[Customer_ID]]</f>
        <v>15-354-9904</v>
      </c>
      <c r="AG38">
        <f>tbl_OriginalData[[#This Row],[Age]]</f>
        <v>34</v>
      </c>
      <c r="AH38" t="str" cm="1">
        <f t="array" ref="AH3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8" t="str">
        <f>tbl_OriginalData[[#This Row],[Gender]]</f>
        <v>Male</v>
      </c>
      <c r="AJ38" t="str">
        <f>tbl_OriginalData[[#This Row],[Income_Level]]</f>
        <v>Middle</v>
      </c>
      <c r="AK38" t="str">
        <f>tbl_OriginalData[[#This Row],[Marital_Status]]</f>
        <v>Single</v>
      </c>
      <c r="AL38" t="str">
        <f>tbl_OriginalData[[#This Row],[Education_Level]]</f>
        <v>Bachelor's</v>
      </c>
      <c r="AM38" t="str">
        <f>tbl_OriginalData[[#This Row],[Occupation]]</f>
        <v>High</v>
      </c>
      <c r="AN38" t="s">
        <v>198</v>
      </c>
      <c r="AO38" t="s">
        <v>194</v>
      </c>
      <c r="AP38" t="str">
        <f>tbl_OriginalData[[#This Row],[Purchase_Category]]</f>
        <v>Groceries</v>
      </c>
      <c r="AQ38" s="4">
        <f>tbl_OriginalData[[#This Row],[Purchase_Amount]]</f>
        <v>338.2</v>
      </c>
      <c r="AR38">
        <f>tbl_OriginalData[[#This Row],[Frequency_of_Purchase]]</f>
        <v>7</v>
      </c>
      <c r="AS38" t="str">
        <f>tbl_OriginalData[[#This Row],[Purchase_Channel]]</f>
        <v>Online</v>
      </c>
      <c r="AT38">
        <f>tbl_OriginalData[[#This Row],[Brand_Loyalty]]</f>
        <v>3</v>
      </c>
      <c r="AU38">
        <f>tbl_OriginalData[[#This Row],[Product_Rating]]</f>
        <v>5</v>
      </c>
      <c r="AV38">
        <f>tbl_OriginalData[[#This Row],[Time_Spent_on_Product_Research(hours)]]*60</f>
        <v>0</v>
      </c>
      <c r="AW38" t="str">
        <f>tbl_OriginalData[[#This Row],[Social_Media_Influence]]</f>
        <v>None</v>
      </c>
      <c r="AX38" t="str">
        <f>tbl_OriginalData[[#This Row],[Discount_Sensitivity]]</f>
        <v>Not Sensitive</v>
      </c>
      <c r="AY38" s="3">
        <f>tbl_OriginalData[[#This Row],[Return_Rate]]/tbl_OriginalData[[#This Row],[Frequency_of_Purchase]]</f>
        <v>0.14285714285714285</v>
      </c>
      <c r="AZ38">
        <f>tbl_OriginalData[[#This Row],[Customer_Satisfaction]]</f>
        <v>9</v>
      </c>
      <c r="BA38" t="str">
        <f>tbl_OriginalData[[#This Row],[Engagement_with_Ads]]</f>
        <v>Medium</v>
      </c>
      <c r="BB38" t="str">
        <f>tbl_OriginalData[[#This Row],[Device_Used_for_Shopping]]</f>
        <v>Tablet</v>
      </c>
      <c r="BC38" t="str">
        <f>tbl_OriginalData[[#This Row],[Payment_Method]]</f>
        <v>Other</v>
      </c>
      <c r="BD38" s="1">
        <f>tbl_OriginalData[[#This Row],[Time_of_Purchase]]</f>
        <v>45536</v>
      </c>
      <c r="BE38" t="str">
        <f>IF(tbl_OriginalData[[#This Row],[Discount_Used]]=TRUE,"Yes","No")</f>
        <v>Yes</v>
      </c>
      <c r="BF38" t="str">
        <f>IF(tbl_OriginalData[[#This Row],[Customer_Loyalty_Program_Member]]=TRUE,"Yes","No")</f>
        <v>No</v>
      </c>
      <c r="BG38" t="str">
        <f>tbl_OriginalData[[#This Row],[Purchase_Intent]]</f>
        <v>Wants-based</v>
      </c>
      <c r="BH38" t="str">
        <f>tbl_OriginalData[[#This Row],[Shipping_Preference]]</f>
        <v>Standard</v>
      </c>
      <c r="BI38">
        <f>tbl_OriginalData[[#This Row],[Time_to_Decision]]</f>
        <v>7</v>
      </c>
      <c r="BJ38" t="s">
        <v>172</v>
      </c>
      <c r="BK38" t="s">
        <v>115</v>
      </c>
      <c r="BL38" t="s">
        <v>2524</v>
      </c>
    </row>
    <row r="39" spans="1:64">
      <c r="A39" t="s">
        <v>200</v>
      </c>
      <c r="B39">
        <v>21</v>
      </c>
      <c r="C39" t="s">
        <v>33</v>
      </c>
      <c r="D39" t="s">
        <v>34</v>
      </c>
      <c r="E39" t="s">
        <v>82</v>
      </c>
      <c r="F39" t="s">
        <v>52</v>
      </c>
      <c r="G39" t="s">
        <v>34</v>
      </c>
      <c r="H39" t="s">
        <v>201</v>
      </c>
      <c r="I39" t="s">
        <v>156</v>
      </c>
      <c r="J39">
        <v>263.14999999999998</v>
      </c>
      <c r="K39">
        <v>3</v>
      </c>
      <c r="L39" t="s">
        <v>55</v>
      </c>
      <c r="M39">
        <v>1</v>
      </c>
      <c r="N39">
        <v>5</v>
      </c>
      <c r="O39">
        <v>1</v>
      </c>
      <c r="P39" t="s">
        <v>51</v>
      </c>
      <c r="Q39" t="s">
        <v>41</v>
      </c>
      <c r="R39">
        <v>1</v>
      </c>
      <c r="S39">
        <v>10</v>
      </c>
      <c r="T39" t="s">
        <v>51</v>
      </c>
      <c r="U39" t="s">
        <v>42</v>
      </c>
      <c r="V39" t="s">
        <v>76</v>
      </c>
      <c r="W39" s="1">
        <v>45355</v>
      </c>
      <c r="X39" t="b">
        <v>1</v>
      </c>
      <c r="Y39" t="b">
        <v>0</v>
      </c>
      <c r="Z39" t="s">
        <v>72</v>
      </c>
      <c r="AA39" t="s">
        <v>77</v>
      </c>
      <c r="AB39">
        <v>10</v>
      </c>
      <c r="AF39" t="str">
        <f>tbl_OriginalData[[#This Row],[Customer_ID]]</f>
        <v>35-198-9248</v>
      </c>
      <c r="AG39">
        <f>tbl_OriginalData[[#This Row],[Age]]</f>
        <v>21</v>
      </c>
      <c r="AH39" t="str" cm="1">
        <f t="array" ref="AH3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9" t="str">
        <f>tbl_OriginalData[[#This Row],[Gender]]</f>
        <v>Female</v>
      </c>
      <c r="AJ39" t="str">
        <f>tbl_OriginalData[[#This Row],[Income_Level]]</f>
        <v>Middle</v>
      </c>
      <c r="AK39" t="str">
        <f>tbl_OriginalData[[#This Row],[Marital_Status]]</f>
        <v>Widowed</v>
      </c>
      <c r="AL39" t="str">
        <f>tbl_OriginalData[[#This Row],[Education_Level]]</f>
        <v>High School</v>
      </c>
      <c r="AM39" t="str">
        <f>tbl_OriginalData[[#This Row],[Occupation]]</f>
        <v>Middle</v>
      </c>
      <c r="AN39" t="s">
        <v>201</v>
      </c>
      <c r="AO39" t="s">
        <v>186</v>
      </c>
      <c r="AP39" t="str">
        <f>tbl_OriginalData[[#This Row],[Purchase_Category]]</f>
        <v>Toys &amp; Games</v>
      </c>
      <c r="AQ39" s="4">
        <f>tbl_OriginalData[[#This Row],[Purchase_Amount]]</f>
        <v>263.14999999999998</v>
      </c>
      <c r="AR39">
        <f>tbl_OriginalData[[#This Row],[Frequency_of_Purchase]]</f>
        <v>3</v>
      </c>
      <c r="AS39" t="str">
        <f>tbl_OriginalData[[#This Row],[Purchase_Channel]]</f>
        <v>In-Store</v>
      </c>
      <c r="AT39">
        <f>tbl_OriginalData[[#This Row],[Brand_Loyalty]]</f>
        <v>1</v>
      </c>
      <c r="AU39">
        <f>tbl_OriginalData[[#This Row],[Product_Rating]]</f>
        <v>5</v>
      </c>
      <c r="AV39">
        <f>tbl_OriginalData[[#This Row],[Time_Spent_on_Product_Research(hours)]]*60</f>
        <v>60</v>
      </c>
      <c r="AW39" t="str">
        <f>tbl_OriginalData[[#This Row],[Social_Media_Influence]]</f>
        <v>High</v>
      </c>
      <c r="AX39" t="str">
        <f>tbl_OriginalData[[#This Row],[Discount_Sensitivity]]</f>
        <v>Somewhat Sensitive</v>
      </c>
      <c r="AY39" s="3">
        <f>tbl_OriginalData[[#This Row],[Return_Rate]]/tbl_OriginalData[[#This Row],[Frequency_of_Purchase]]</f>
        <v>0.33333333333333331</v>
      </c>
      <c r="AZ39">
        <f>tbl_OriginalData[[#This Row],[Customer_Satisfaction]]</f>
        <v>10</v>
      </c>
      <c r="BA39" t="str">
        <f>tbl_OriginalData[[#This Row],[Engagement_with_Ads]]</f>
        <v>High</v>
      </c>
      <c r="BB39" t="str">
        <f>tbl_OriginalData[[#This Row],[Device_Used_for_Shopping]]</f>
        <v>Tablet</v>
      </c>
      <c r="BC39" t="str">
        <f>tbl_OriginalData[[#This Row],[Payment_Method]]</f>
        <v>Other</v>
      </c>
      <c r="BD39" s="1">
        <f>tbl_OriginalData[[#This Row],[Time_of_Purchase]]</f>
        <v>45355</v>
      </c>
      <c r="BE39" t="str">
        <f>IF(tbl_OriginalData[[#This Row],[Discount_Used]]=TRUE,"Yes","No")</f>
        <v>Yes</v>
      </c>
      <c r="BF39" t="str">
        <f>IF(tbl_OriginalData[[#This Row],[Customer_Loyalty_Program_Member]]=TRUE,"Yes","No")</f>
        <v>No</v>
      </c>
      <c r="BG39" t="str">
        <f>tbl_OriginalData[[#This Row],[Purchase_Intent]]</f>
        <v>Impulsive</v>
      </c>
      <c r="BH39" t="str">
        <f>tbl_OriginalData[[#This Row],[Shipping_Preference]]</f>
        <v>Express</v>
      </c>
      <c r="BI39">
        <f>tbl_OriginalData[[#This Row],[Time_to_Decision]]</f>
        <v>10</v>
      </c>
      <c r="BJ39" t="s">
        <v>47</v>
      </c>
      <c r="BK39" t="s">
        <v>48</v>
      </c>
      <c r="BL39" t="s">
        <v>2523</v>
      </c>
    </row>
    <row r="40" spans="1:64">
      <c r="A40" t="s">
        <v>202</v>
      </c>
      <c r="B40">
        <v>36</v>
      </c>
      <c r="C40" t="s">
        <v>33</v>
      </c>
      <c r="D40" t="s">
        <v>34</v>
      </c>
      <c r="E40" t="s">
        <v>35</v>
      </c>
      <c r="F40" t="s">
        <v>66</v>
      </c>
      <c r="G40" t="s">
        <v>34</v>
      </c>
      <c r="H40" t="s">
        <v>203</v>
      </c>
      <c r="I40" t="s">
        <v>150</v>
      </c>
      <c r="J40">
        <v>371.58</v>
      </c>
      <c r="K40">
        <v>2</v>
      </c>
      <c r="L40" t="s">
        <v>39</v>
      </c>
      <c r="M40">
        <v>2</v>
      </c>
      <c r="N40">
        <v>1</v>
      </c>
      <c r="O40">
        <v>2</v>
      </c>
      <c r="P40" t="s">
        <v>51</v>
      </c>
      <c r="Q40" t="s">
        <v>57</v>
      </c>
      <c r="R40">
        <v>0</v>
      </c>
      <c r="S40">
        <v>10</v>
      </c>
      <c r="T40" t="s">
        <v>40</v>
      </c>
      <c r="U40" t="s">
        <v>70</v>
      </c>
      <c r="V40" t="s">
        <v>102</v>
      </c>
      <c r="W40" s="1">
        <v>45548</v>
      </c>
      <c r="X40" t="b">
        <v>1</v>
      </c>
      <c r="Y40" t="b">
        <v>1</v>
      </c>
      <c r="Z40" t="s">
        <v>59</v>
      </c>
      <c r="AA40" t="s">
        <v>45</v>
      </c>
      <c r="AB40">
        <v>11</v>
      </c>
      <c r="AF40" t="str">
        <f>tbl_OriginalData[[#This Row],[Customer_ID]]</f>
        <v>03-950-6074</v>
      </c>
      <c r="AG40">
        <f>tbl_OriginalData[[#This Row],[Age]]</f>
        <v>36</v>
      </c>
      <c r="AH40" t="str" cm="1">
        <f t="array" ref="AH4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0" t="str">
        <f>tbl_OriginalData[[#This Row],[Gender]]</f>
        <v>Female</v>
      </c>
      <c r="AJ40" t="str">
        <f>tbl_OriginalData[[#This Row],[Income_Level]]</f>
        <v>Middle</v>
      </c>
      <c r="AK40" t="str">
        <f>tbl_OriginalData[[#This Row],[Marital_Status]]</f>
        <v>Married</v>
      </c>
      <c r="AL40" t="str">
        <f>tbl_OriginalData[[#This Row],[Education_Level]]</f>
        <v>Master's</v>
      </c>
      <c r="AM40" t="str">
        <f>tbl_OriginalData[[#This Row],[Occupation]]</f>
        <v>Middle</v>
      </c>
      <c r="AN40" t="s">
        <v>203</v>
      </c>
      <c r="AO40" t="s">
        <v>128</v>
      </c>
      <c r="AP40" t="str">
        <f>tbl_OriginalData[[#This Row],[Purchase_Category]]</f>
        <v>Software &amp; Apps</v>
      </c>
      <c r="AQ40" s="4">
        <f>tbl_OriginalData[[#This Row],[Purchase_Amount]]</f>
        <v>371.58</v>
      </c>
      <c r="AR40">
        <f>tbl_OriginalData[[#This Row],[Frequency_of_Purchase]]</f>
        <v>2</v>
      </c>
      <c r="AS40" t="str">
        <f>tbl_OriginalData[[#This Row],[Purchase_Channel]]</f>
        <v>Mixed</v>
      </c>
      <c r="AT40">
        <f>tbl_OriginalData[[#This Row],[Brand_Loyalty]]</f>
        <v>2</v>
      </c>
      <c r="AU40">
        <f>tbl_OriginalData[[#This Row],[Product_Rating]]</f>
        <v>1</v>
      </c>
      <c r="AV40">
        <f>tbl_OriginalData[[#This Row],[Time_Spent_on_Product_Research(hours)]]*60</f>
        <v>120</v>
      </c>
      <c r="AW40" t="str">
        <f>tbl_OriginalData[[#This Row],[Social_Media_Influence]]</f>
        <v>High</v>
      </c>
      <c r="AX40" t="str">
        <f>tbl_OriginalData[[#This Row],[Discount_Sensitivity]]</f>
        <v>Not Sensitive</v>
      </c>
      <c r="AY40" s="3">
        <f>tbl_OriginalData[[#This Row],[Return_Rate]]/tbl_OriginalData[[#This Row],[Frequency_of_Purchase]]</f>
        <v>0</v>
      </c>
      <c r="AZ40">
        <f>tbl_OriginalData[[#This Row],[Customer_Satisfaction]]</f>
        <v>10</v>
      </c>
      <c r="BA40" t="str">
        <f>tbl_OriginalData[[#This Row],[Engagement_with_Ads]]</f>
        <v>None</v>
      </c>
      <c r="BB40" t="str">
        <f>tbl_OriginalData[[#This Row],[Device_Used_for_Shopping]]</f>
        <v>Smartphone</v>
      </c>
      <c r="BC40" t="str">
        <f>tbl_OriginalData[[#This Row],[Payment_Method]]</f>
        <v>Cash</v>
      </c>
      <c r="BD40" s="1">
        <f>tbl_OriginalData[[#This Row],[Time_of_Purchase]]</f>
        <v>45548</v>
      </c>
      <c r="BE40" t="str">
        <f>IF(tbl_OriginalData[[#This Row],[Discount_Used]]=TRUE,"Yes","No")</f>
        <v>Yes</v>
      </c>
      <c r="BF40" t="str">
        <f>IF(tbl_OriginalData[[#This Row],[Customer_Loyalty_Program_Member]]=TRUE,"Yes","No")</f>
        <v>Yes</v>
      </c>
      <c r="BG40" t="str">
        <f>tbl_OriginalData[[#This Row],[Purchase_Intent]]</f>
        <v>Wants-based</v>
      </c>
      <c r="BH40" t="str">
        <f>tbl_OriginalData[[#This Row],[Shipping_Preference]]</f>
        <v>No Preference</v>
      </c>
      <c r="BI40">
        <f>tbl_OriginalData[[#This Row],[Time_to_Decision]]</f>
        <v>11</v>
      </c>
      <c r="BJ40" t="s">
        <v>172</v>
      </c>
      <c r="BK40" t="s">
        <v>115</v>
      </c>
      <c r="BL40" t="s">
        <v>2523</v>
      </c>
    </row>
    <row r="41" spans="1:64">
      <c r="A41" t="s">
        <v>204</v>
      </c>
      <c r="B41">
        <v>30</v>
      </c>
      <c r="C41" t="s">
        <v>50</v>
      </c>
      <c r="D41" t="s">
        <v>34</v>
      </c>
      <c r="E41" t="s">
        <v>82</v>
      </c>
      <c r="F41" t="s">
        <v>36</v>
      </c>
      <c r="G41" t="s">
        <v>34</v>
      </c>
      <c r="H41" t="s">
        <v>205</v>
      </c>
      <c r="I41" t="s">
        <v>131</v>
      </c>
      <c r="J41">
        <v>353.4</v>
      </c>
      <c r="K41">
        <v>2</v>
      </c>
      <c r="L41" t="s">
        <v>94</v>
      </c>
      <c r="M41">
        <v>2</v>
      </c>
      <c r="N41">
        <v>3</v>
      </c>
      <c r="O41">
        <v>2</v>
      </c>
      <c r="P41" t="s">
        <v>56</v>
      </c>
      <c r="Q41" t="s">
        <v>101</v>
      </c>
      <c r="R41">
        <v>0</v>
      </c>
      <c r="S41">
        <v>1</v>
      </c>
      <c r="T41" t="s">
        <v>69</v>
      </c>
      <c r="U41" t="s">
        <v>42</v>
      </c>
      <c r="V41" t="s">
        <v>43</v>
      </c>
      <c r="W41" s="1">
        <v>45632</v>
      </c>
      <c r="X41" t="b">
        <v>0</v>
      </c>
      <c r="Y41" t="b">
        <v>1</v>
      </c>
      <c r="Z41" t="s">
        <v>72</v>
      </c>
      <c r="AA41" t="s">
        <v>45</v>
      </c>
      <c r="AB41">
        <v>3</v>
      </c>
      <c r="AF41" t="str">
        <f>tbl_OriginalData[[#This Row],[Customer_ID]]</f>
        <v>19-999-0134</v>
      </c>
      <c r="AG41">
        <f>tbl_OriginalData[[#This Row],[Age]]</f>
        <v>30</v>
      </c>
      <c r="AH41" t="str" cm="1">
        <f t="array" ref="AH4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1" t="str">
        <f>tbl_OriginalData[[#This Row],[Gender]]</f>
        <v>Male</v>
      </c>
      <c r="AJ41" t="str">
        <f>tbl_OriginalData[[#This Row],[Income_Level]]</f>
        <v>Middle</v>
      </c>
      <c r="AK41" t="str">
        <f>tbl_OriginalData[[#This Row],[Marital_Status]]</f>
        <v>Widowed</v>
      </c>
      <c r="AL41" t="str">
        <f>tbl_OriginalData[[#This Row],[Education_Level]]</f>
        <v>Bachelor's</v>
      </c>
      <c r="AM41" t="str">
        <f>tbl_OriginalData[[#This Row],[Occupation]]</f>
        <v>Middle</v>
      </c>
      <c r="AN41" t="s">
        <v>205</v>
      </c>
      <c r="AO41" t="s">
        <v>61</v>
      </c>
      <c r="AP41" t="str">
        <f>tbl_OriginalData[[#This Row],[Purchase_Category]]</f>
        <v>Health Care</v>
      </c>
      <c r="AQ41" s="4">
        <f>tbl_OriginalData[[#This Row],[Purchase_Amount]]</f>
        <v>353.4</v>
      </c>
      <c r="AR41">
        <f>tbl_OriginalData[[#This Row],[Frequency_of_Purchase]]</f>
        <v>2</v>
      </c>
      <c r="AS41" t="str">
        <f>tbl_OriginalData[[#This Row],[Purchase_Channel]]</f>
        <v>Online</v>
      </c>
      <c r="AT41">
        <f>tbl_OriginalData[[#This Row],[Brand_Loyalty]]</f>
        <v>2</v>
      </c>
      <c r="AU41">
        <f>tbl_OriginalData[[#This Row],[Product_Rating]]</f>
        <v>3</v>
      </c>
      <c r="AV41">
        <f>tbl_OriginalData[[#This Row],[Time_Spent_on_Product_Research(hours)]]*60</f>
        <v>120</v>
      </c>
      <c r="AW41" t="str">
        <f>tbl_OriginalData[[#This Row],[Social_Media_Influence]]</f>
        <v>Medium</v>
      </c>
      <c r="AX41" t="str">
        <f>tbl_OriginalData[[#This Row],[Discount_Sensitivity]]</f>
        <v>Very Sensitive</v>
      </c>
      <c r="AY41" s="3">
        <f>tbl_OriginalData[[#This Row],[Return_Rate]]/tbl_OriginalData[[#This Row],[Frequency_of_Purchase]]</f>
        <v>0</v>
      </c>
      <c r="AZ41">
        <f>tbl_OriginalData[[#This Row],[Customer_Satisfaction]]</f>
        <v>1</v>
      </c>
      <c r="BA41" t="str">
        <f>tbl_OriginalData[[#This Row],[Engagement_with_Ads]]</f>
        <v>Low</v>
      </c>
      <c r="BB41" t="str">
        <f>tbl_OriginalData[[#This Row],[Device_Used_for_Shopping]]</f>
        <v>Tablet</v>
      </c>
      <c r="BC41" t="str">
        <f>tbl_OriginalData[[#This Row],[Payment_Method]]</f>
        <v>Credit Card</v>
      </c>
      <c r="BD41" s="1">
        <f>tbl_OriginalData[[#This Row],[Time_of_Purchase]]</f>
        <v>45632</v>
      </c>
      <c r="BE41" t="str">
        <f>IF(tbl_OriginalData[[#This Row],[Discount_Used]]=TRUE,"Yes","No")</f>
        <v>No</v>
      </c>
      <c r="BF41" t="str">
        <f>IF(tbl_OriginalData[[#This Row],[Customer_Loyalty_Program_Member]]=TRUE,"Yes","No")</f>
        <v>Yes</v>
      </c>
      <c r="BG41" t="str">
        <f>tbl_OriginalData[[#This Row],[Purchase_Intent]]</f>
        <v>Impulsive</v>
      </c>
      <c r="BH41" t="str">
        <f>tbl_OriginalData[[#This Row],[Shipping_Preference]]</f>
        <v>No Preference</v>
      </c>
      <c r="BI41">
        <f>tbl_OriginalData[[#This Row],[Time_to_Decision]]</f>
        <v>3</v>
      </c>
      <c r="BJ41" t="s">
        <v>120</v>
      </c>
      <c r="BK41" t="s">
        <v>80</v>
      </c>
      <c r="BL41" t="s">
        <v>2524</v>
      </c>
    </row>
    <row r="42" spans="1:64">
      <c r="A42" t="s">
        <v>206</v>
      </c>
      <c r="B42">
        <v>46</v>
      </c>
      <c r="C42" t="s">
        <v>33</v>
      </c>
      <c r="D42" t="s">
        <v>34</v>
      </c>
      <c r="E42" t="s">
        <v>92</v>
      </c>
      <c r="F42" t="s">
        <v>52</v>
      </c>
      <c r="G42" t="s">
        <v>51</v>
      </c>
      <c r="H42" t="s">
        <v>207</v>
      </c>
      <c r="I42" t="s">
        <v>150</v>
      </c>
      <c r="J42">
        <v>329.41</v>
      </c>
      <c r="K42">
        <v>5</v>
      </c>
      <c r="L42" t="s">
        <v>55</v>
      </c>
      <c r="M42">
        <v>5</v>
      </c>
      <c r="N42">
        <v>3</v>
      </c>
      <c r="O42">
        <v>0</v>
      </c>
      <c r="P42" t="s">
        <v>56</v>
      </c>
      <c r="Q42" t="s">
        <v>41</v>
      </c>
      <c r="R42">
        <v>1</v>
      </c>
      <c r="S42">
        <v>1</v>
      </c>
      <c r="T42" t="s">
        <v>51</v>
      </c>
      <c r="U42" t="s">
        <v>95</v>
      </c>
      <c r="V42" t="s">
        <v>102</v>
      </c>
      <c r="W42" s="1">
        <v>45586</v>
      </c>
      <c r="X42" t="b">
        <v>1</v>
      </c>
      <c r="Y42" t="b">
        <v>1</v>
      </c>
      <c r="Z42" t="s">
        <v>44</v>
      </c>
      <c r="AA42" t="s">
        <v>45</v>
      </c>
      <c r="AB42">
        <v>2</v>
      </c>
      <c r="AF42" t="str">
        <f>tbl_OriginalData[[#This Row],[Customer_ID]]</f>
        <v>57-989-1487</v>
      </c>
      <c r="AG42">
        <f>tbl_OriginalData[[#This Row],[Age]]</f>
        <v>46</v>
      </c>
      <c r="AH42" t="str" cm="1">
        <f t="array" ref="AH4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2" t="str">
        <f>tbl_OriginalData[[#This Row],[Gender]]</f>
        <v>Female</v>
      </c>
      <c r="AJ42" t="str">
        <f>tbl_OriginalData[[#This Row],[Income_Level]]</f>
        <v>Middle</v>
      </c>
      <c r="AK42" t="str">
        <f>tbl_OriginalData[[#This Row],[Marital_Status]]</f>
        <v>Divorced</v>
      </c>
      <c r="AL42" t="str">
        <f>tbl_OriginalData[[#This Row],[Education_Level]]</f>
        <v>High School</v>
      </c>
      <c r="AM42" t="str">
        <f>tbl_OriginalData[[#This Row],[Occupation]]</f>
        <v>High</v>
      </c>
      <c r="AN42" t="s">
        <v>207</v>
      </c>
      <c r="AO42" t="s">
        <v>90</v>
      </c>
      <c r="AP42" t="str">
        <f>tbl_OriginalData[[#This Row],[Purchase_Category]]</f>
        <v>Software &amp; Apps</v>
      </c>
      <c r="AQ42" s="4">
        <f>tbl_OriginalData[[#This Row],[Purchase_Amount]]</f>
        <v>329.41</v>
      </c>
      <c r="AR42">
        <f>tbl_OriginalData[[#This Row],[Frequency_of_Purchase]]</f>
        <v>5</v>
      </c>
      <c r="AS42" t="str">
        <f>tbl_OriginalData[[#This Row],[Purchase_Channel]]</f>
        <v>In-Store</v>
      </c>
      <c r="AT42">
        <f>tbl_OriginalData[[#This Row],[Brand_Loyalty]]</f>
        <v>5</v>
      </c>
      <c r="AU42">
        <f>tbl_OriginalData[[#This Row],[Product_Rating]]</f>
        <v>3</v>
      </c>
      <c r="AV42">
        <f>tbl_OriginalData[[#This Row],[Time_Spent_on_Product_Research(hours)]]*60</f>
        <v>0</v>
      </c>
      <c r="AW42" t="str">
        <f>tbl_OriginalData[[#This Row],[Social_Media_Influence]]</f>
        <v>Medium</v>
      </c>
      <c r="AX42" t="str">
        <f>tbl_OriginalData[[#This Row],[Discount_Sensitivity]]</f>
        <v>Somewhat Sensitive</v>
      </c>
      <c r="AY42" s="3">
        <f>tbl_OriginalData[[#This Row],[Return_Rate]]/tbl_OriginalData[[#This Row],[Frequency_of_Purchase]]</f>
        <v>0.2</v>
      </c>
      <c r="AZ42">
        <f>tbl_OriginalData[[#This Row],[Customer_Satisfaction]]</f>
        <v>1</v>
      </c>
      <c r="BA42" t="str">
        <f>tbl_OriginalData[[#This Row],[Engagement_with_Ads]]</f>
        <v>High</v>
      </c>
      <c r="BB42" t="str">
        <f>tbl_OriginalData[[#This Row],[Device_Used_for_Shopping]]</f>
        <v>Desktop</v>
      </c>
      <c r="BC42" t="str">
        <f>tbl_OriginalData[[#This Row],[Payment_Method]]</f>
        <v>Cash</v>
      </c>
      <c r="BD42" s="1">
        <f>tbl_OriginalData[[#This Row],[Time_of_Purchase]]</f>
        <v>45586</v>
      </c>
      <c r="BE42" t="str">
        <f>IF(tbl_OriginalData[[#This Row],[Discount_Used]]=TRUE,"Yes","No")</f>
        <v>Yes</v>
      </c>
      <c r="BF42" t="str">
        <f>IF(tbl_OriginalData[[#This Row],[Customer_Loyalty_Program_Member]]=TRUE,"Yes","No")</f>
        <v>Yes</v>
      </c>
      <c r="BG42" t="str">
        <f>tbl_OriginalData[[#This Row],[Purchase_Intent]]</f>
        <v>Need-based</v>
      </c>
      <c r="BH42" t="str">
        <f>tbl_OriginalData[[#This Row],[Shipping_Preference]]</f>
        <v>No Preference</v>
      </c>
      <c r="BI42">
        <f>tbl_OriginalData[[#This Row],[Time_to_Decision]]</f>
        <v>2</v>
      </c>
      <c r="BJ42" t="s">
        <v>79</v>
      </c>
      <c r="BK42" t="s">
        <v>80</v>
      </c>
      <c r="BL42" t="s">
        <v>2524</v>
      </c>
    </row>
    <row r="43" spans="1:64">
      <c r="A43" t="s">
        <v>208</v>
      </c>
      <c r="B43">
        <v>46</v>
      </c>
      <c r="C43" t="s">
        <v>33</v>
      </c>
      <c r="D43" t="s">
        <v>34</v>
      </c>
      <c r="E43" t="s">
        <v>35</v>
      </c>
      <c r="F43" t="s">
        <v>66</v>
      </c>
      <c r="G43" t="s">
        <v>34</v>
      </c>
      <c r="H43" t="s">
        <v>209</v>
      </c>
      <c r="I43" t="s">
        <v>54</v>
      </c>
      <c r="J43">
        <v>54.46</v>
      </c>
      <c r="K43">
        <v>5</v>
      </c>
      <c r="L43" t="s">
        <v>94</v>
      </c>
      <c r="M43">
        <v>4</v>
      </c>
      <c r="N43">
        <v>5</v>
      </c>
      <c r="O43">
        <v>1</v>
      </c>
      <c r="P43" t="s">
        <v>51</v>
      </c>
      <c r="Q43" t="s">
        <v>57</v>
      </c>
      <c r="R43">
        <v>1</v>
      </c>
      <c r="S43">
        <v>1</v>
      </c>
      <c r="T43" t="s">
        <v>69</v>
      </c>
      <c r="U43" t="s">
        <v>42</v>
      </c>
      <c r="V43" t="s">
        <v>76</v>
      </c>
      <c r="W43" s="1">
        <v>45613</v>
      </c>
      <c r="X43" t="b">
        <v>0</v>
      </c>
      <c r="Y43" t="b">
        <v>0</v>
      </c>
      <c r="Z43" t="s">
        <v>72</v>
      </c>
      <c r="AA43" t="s">
        <v>60</v>
      </c>
      <c r="AB43">
        <v>1</v>
      </c>
      <c r="AF43" t="str">
        <f>tbl_OriginalData[[#This Row],[Customer_ID]]</f>
        <v>07-816-2673</v>
      </c>
      <c r="AG43">
        <f>tbl_OriginalData[[#This Row],[Age]]</f>
        <v>46</v>
      </c>
      <c r="AH43" t="str" cm="1">
        <f t="array" ref="AH4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3" t="str">
        <f>tbl_OriginalData[[#This Row],[Gender]]</f>
        <v>Female</v>
      </c>
      <c r="AJ43" t="str">
        <f>tbl_OriginalData[[#This Row],[Income_Level]]</f>
        <v>Middle</v>
      </c>
      <c r="AK43" t="str">
        <f>tbl_OriginalData[[#This Row],[Marital_Status]]</f>
        <v>Married</v>
      </c>
      <c r="AL43" t="str">
        <f>tbl_OriginalData[[#This Row],[Education_Level]]</f>
        <v>Master's</v>
      </c>
      <c r="AM43" t="str">
        <f>tbl_OriginalData[[#This Row],[Occupation]]</f>
        <v>Middle</v>
      </c>
      <c r="AN43" t="s">
        <v>209</v>
      </c>
      <c r="AO43" t="s">
        <v>109</v>
      </c>
      <c r="AP43" t="str">
        <f>tbl_OriginalData[[#This Row],[Purchase_Category]]</f>
        <v>Food &amp; Beverages</v>
      </c>
      <c r="AQ43" s="4">
        <f>tbl_OriginalData[[#This Row],[Purchase_Amount]]</f>
        <v>54.46</v>
      </c>
      <c r="AR43">
        <f>tbl_OriginalData[[#This Row],[Frequency_of_Purchase]]</f>
        <v>5</v>
      </c>
      <c r="AS43" t="str">
        <f>tbl_OriginalData[[#This Row],[Purchase_Channel]]</f>
        <v>Online</v>
      </c>
      <c r="AT43">
        <f>tbl_OriginalData[[#This Row],[Brand_Loyalty]]</f>
        <v>4</v>
      </c>
      <c r="AU43">
        <f>tbl_OriginalData[[#This Row],[Product_Rating]]</f>
        <v>5</v>
      </c>
      <c r="AV43">
        <f>tbl_OriginalData[[#This Row],[Time_Spent_on_Product_Research(hours)]]*60</f>
        <v>60</v>
      </c>
      <c r="AW43" t="str">
        <f>tbl_OriginalData[[#This Row],[Social_Media_Influence]]</f>
        <v>High</v>
      </c>
      <c r="AX43" t="str">
        <f>tbl_OriginalData[[#This Row],[Discount_Sensitivity]]</f>
        <v>Not Sensitive</v>
      </c>
      <c r="AY43" s="3">
        <f>tbl_OriginalData[[#This Row],[Return_Rate]]/tbl_OriginalData[[#This Row],[Frequency_of_Purchase]]</f>
        <v>0.2</v>
      </c>
      <c r="AZ43">
        <f>tbl_OriginalData[[#This Row],[Customer_Satisfaction]]</f>
        <v>1</v>
      </c>
      <c r="BA43" t="str">
        <f>tbl_OriginalData[[#This Row],[Engagement_with_Ads]]</f>
        <v>Low</v>
      </c>
      <c r="BB43" t="str">
        <f>tbl_OriginalData[[#This Row],[Device_Used_for_Shopping]]</f>
        <v>Tablet</v>
      </c>
      <c r="BC43" t="str">
        <f>tbl_OriginalData[[#This Row],[Payment_Method]]</f>
        <v>Other</v>
      </c>
      <c r="BD43" s="1">
        <f>tbl_OriginalData[[#This Row],[Time_of_Purchase]]</f>
        <v>45613</v>
      </c>
      <c r="BE43" t="str">
        <f>IF(tbl_OriginalData[[#This Row],[Discount_Used]]=TRUE,"Yes","No")</f>
        <v>No</v>
      </c>
      <c r="BF43" t="str">
        <f>IF(tbl_OriginalData[[#This Row],[Customer_Loyalty_Program_Member]]=TRUE,"Yes","No")</f>
        <v>No</v>
      </c>
      <c r="BG43" t="str">
        <f>tbl_OriginalData[[#This Row],[Purchase_Intent]]</f>
        <v>Impulsive</v>
      </c>
      <c r="BH43" t="str">
        <f>tbl_OriginalData[[#This Row],[Shipping_Preference]]</f>
        <v>Standard</v>
      </c>
      <c r="BI43">
        <f>tbl_OriginalData[[#This Row],[Time_to_Decision]]</f>
        <v>1</v>
      </c>
      <c r="BJ43" t="s">
        <v>177</v>
      </c>
      <c r="BK43" t="s">
        <v>80</v>
      </c>
      <c r="BL43" t="s">
        <v>2526</v>
      </c>
    </row>
    <row r="44" spans="1:64">
      <c r="A44" t="s">
        <v>210</v>
      </c>
      <c r="B44">
        <v>43</v>
      </c>
      <c r="C44" t="s">
        <v>50</v>
      </c>
      <c r="D44" t="s">
        <v>51</v>
      </c>
      <c r="E44" t="s">
        <v>82</v>
      </c>
      <c r="F44" t="s">
        <v>66</v>
      </c>
      <c r="G44" t="s">
        <v>34</v>
      </c>
      <c r="H44" t="s">
        <v>211</v>
      </c>
      <c r="I44" t="s">
        <v>98</v>
      </c>
      <c r="J44">
        <v>257.12</v>
      </c>
      <c r="K44">
        <v>8</v>
      </c>
      <c r="L44" t="s">
        <v>94</v>
      </c>
      <c r="M44">
        <v>2</v>
      </c>
      <c r="N44">
        <v>1</v>
      </c>
      <c r="O44">
        <v>0</v>
      </c>
      <c r="P44" t="s">
        <v>51</v>
      </c>
      <c r="Q44" t="s">
        <v>57</v>
      </c>
      <c r="R44">
        <v>2</v>
      </c>
      <c r="S44">
        <v>1</v>
      </c>
      <c r="T44" t="s">
        <v>51</v>
      </c>
      <c r="U44" t="s">
        <v>70</v>
      </c>
      <c r="V44" t="s">
        <v>76</v>
      </c>
      <c r="W44" s="1">
        <v>45497</v>
      </c>
      <c r="X44" t="b">
        <v>1</v>
      </c>
      <c r="Y44" t="b">
        <v>0</v>
      </c>
      <c r="Z44" t="s">
        <v>72</v>
      </c>
      <c r="AA44" t="s">
        <v>45</v>
      </c>
      <c r="AB44">
        <v>11</v>
      </c>
      <c r="AF44" t="str">
        <f>tbl_OriginalData[[#This Row],[Customer_ID]]</f>
        <v>70-761-3550</v>
      </c>
      <c r="AG44">
        <f>tbl_OriginalData[[#This Row],[Age]]</f>
        <v>43</v>
      </c>
      <c r="AH44" t="str" cm="1">
        <f t="array" ref="AH4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4" t="str">
        <f>tbl_OriginalData[[#This Row],[Gender]]</f>
        <v>Male</v>
      </c>
      <c r="AJ44" t="str">
        <f>tbl_OriginalData[[#This Row],[Income_Level]]</f>
        <v>High</v>
      </c>
      <c r="AK44" t="str">
        <f>tbl_OriginalData[[#This Row],[Marital_Status]]</f>
        <v>Widowed</v>
      </c>
      <c r="AL44" t="str">
        <f>tbl_OriginalData[[#This Row],[Education_Level]]</f>
        <v>Master's</v>
      </c>
      <c r="AM44" t="str">
        <f>tbl_OriginalData[[#This Row],[Occupation]]</f>
        <v>Middle</v>
      </c>
      <c r="AN44" t="s">
        <v>211</v>
      </c>
      <c r="AO44" t="s">
        <v>171</v>
      </c>
      <c r="AP44" t="str">
        <f>tbl_OriginalData[[#This Row],[Purchase_Category]]</f>
        <v>Books</v>
      </c>
      <c r="AQ44" s="4">
        <f>tbl_OriginalData[[#This Row],[Purchase_Amount]]</f>
        <v>257.12</v>
      </c>
      <c r="AR44">
        <f>tbl_OriginalData[[#This Row],[Frequency_of_Purchase]]</f>
        <v>8</v>
      </c>
      <c r="AS44" t="str">
        <f>tbl_OriginalData[[#This Row],[Purchase_Channel]]</f>
        <v>Online</v>
      </c>
      <c r="AT44">
        <f>tbl_OriginalData[[#This Row],[Brand_Loyalty]]</f>
        <v>2</v>
      </c>
      <c r="AU44">
        <f>tbl_OriginalData[[#This Row],[Product_Rating]]</f>
        <v>1</v>
      </c>
      <c r="AV44">
        <f>tbl_OriginalData[[#This Row],[Time_Spent_on_Product_Research(hours)]]*60</f>
        <v>0</v>
      </c>
      <c r="AW44" t="str">
        <f>tbl_OriginalData[[#This Row],[Social_Media_Influence]]</f>
        <v>High</v>
      </c>
      <c r="AX44" t="str">
        <f>tbl_OriginalData[[#This Row],[Discount_Sensitivity]]</f>
        <v>Not Sensitive</v>
      </c>
      <c r="AY44" s="3">
        <f>tbl_OriginalData[[#This Row],[Return_Rate]]/tbl_OriginalData[[#This Row],[Frequency_of_Purchase]]</f>
        <v>0.25</v>
      </c>
      <c r="AZ44">
        <f>tbl_OriginalData[[#This Row],[Customer_Satisfaction]]</f>
        <v>1</v>
      </c>
      <c r="BA44" t="str">
        <f>tbl_OriginalData[[#This Row],[Engagement_with_Ads]]</f>
        <v>High</v>
      </c>
      <c r="BB44" t="str">
        <f>tbl_OriginalData[[#This Row],[Device_Used_for_Shopping]]</f>
        <v>Smartphone</v>
      </c>
      <c r="BC44" t="str">
        <f>tbl_OriginalData[[#This Row],[Payment_Method]]</f>
        <v>Other</v>
      </c>
      <c r="BD44" s="1">
        <f>tbl_OriginalData[[#This Row],[Time_of_Purchase]]</f>
        <v>45497</v>
      </c>
      <c r="BE44" t="str">
        <f>IF(tbl_OriginalData[[#This Row],[Discount_Used]]=TRUE,"Yes","No")</f>
        <v>Yes</v>
      </c>
      <c r="BF44" t="str">
        <f>IF(tbl_OriginalData[[#This Row],[Customer_Loyalty_Program_Member]]=TRUE,"Yes","No")</f>
        <v>No</v>
      </c>
      <c r="BG44" t="str">
        <f>tbl_OriginalData[[#This Row],[Purchase_Intent]]</f>
        <v>Impulsive</v>
      </c>
      <c r="BH44" t="str">
        <f>tbl_OriginalData[[#This Row],[Shipping_Preference]]</f>
        <v>No Preference</v>
      </c>
      <c r="BI44">
        <f>tbl_OriginalData[[#This Row],[Time_to_Decision]]</f>
        <v>11</v>
      </c>
      <c r="BJ44" t="s">
        <v>114</v>
      </c>
      <c r="BK44" t="s">
        <v>115</v>
      </c>
      <c r="BL44" t="s">
        <v>2523</v>
      </c>
    </row>
    <row r="45" spans="1:64">
      <c r="A45" t="s">
        <v>212</v>
      </c>
      <c r="B45">
        <v>43</v>
      </c>
      <c r="C45" t="s">
        <v>50</v>
      </c>
      <c r="D45" t="s">
        <v>51</v>
      </c>
      <c r="E45" t="s">
        <v>92</v>
      </c>
      <c r="F45" t="s">
        <v>36</v>
      </c>
      <c r="G45" t="s">
        <v>34</v>
      </c>
      <c r="H45" t="s">
        <v>213</v>
      </c>
      <c r="I45" t="s">
        <v>170</v>
      </c>
      <c r="J45">
        <v>293.04000000000002</v>
      </c>
      <c r="K45">
        <v>11</v>
      </c>
      <c r="L45" t="s">
        <v>55</v>
      </c>
      <c r="M45">
        <v>4</v>
      </c>
      <c r="N45">
        <v>2</v>
      </c>
      <c r="O45">
        <v>1</v>
      </c>
      <c r="P45" t="s">
        <v>40</v>
      </c>
      <c r="Q45" t="s">
        <v>101</v>
      </c>
      <c r="R45">
        <v>1</v>
      </c>
      <c r="S45">
        <v>3</v>
      </c>
      <c r="T45" t="s">
        <v>69</v>
      </c>
      <c r="U45" t="s">
        <v>95</v>
      </c>
      <c r="V45" t="s">
        <v>58</v>
      </c>
      <c r="W45" s="1">
        <v>45354</v>
      </c>
      <c r="X45" t="b">
        <v>1</v>
      </c>
      <c r="Y45" t="b">
        <v>0</v>
      </c>
      <c r="Z45" t="s">
        <v>89</v>
      </c>
      <c r="AA45" t="s">
        <v>60</v>
      </c>
      <c r="AB45">
        <v>6</v>
      </c>
      <c r="AF45" t="str">
        <f>tbl_OriginalData[[#This Row],[Customer_ID]]</f>
        <v>38-242-3251</v>
      </c>
      <c r="AG45">
        <f>tbl_OriginalData[[#This Row],[Age]]</f>
        <v>43</v>
      </c>
      <c r="AH45" t="str" cm="1">
        <f t="array" ref="AH4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5" t="str">
        <f>tbl_OriginalData[[#This Row],[Gender]]</f>
        <v>Male</v>
      </c>
      <c r="AJ45" t="str">
        <f>tbl_OriginalData[[#This Row],[Income_Level]]</f>
        <v>High</v>
      </c>
      <c r="AK45" t="str">
        <f>tbl_OriginalData[[#This Row],[Marital_Status]]</f>
        <v>Divorced</v>
      </c>
      <c r="AL45" t="str">
        <f>tbl_OriginalData[[#This Row],[Education_Level]]</f>
        <v>Bachelor's</v>
      </c>
      <c r="AM45" t="str">
        <f>tbl_OriginalData[[#This Row],[Occupation]]</f>
        <v>Middle</v>
      </c>
      <c r="AN45" t="s">
        <v>214</v>
      </c>
      <c r="AO45" t="s">
        <v>215</v>
      </c>
      <c r="AP45" t="str">
        <f>tbl_OriginalData[[#This Row],[Purchase_Category]]</f>
        <v>Arts &amp; Crafts</v>
      </c>
      <c r="AQ45" s="4">
        <f>tbl_OriginalData[[#This Row],[Purchase_Amount]]</f>
        <v>293.04000000000002</v>
      </c>
      <c r="AR45">
        <f>tbl_OriginalData[[#This Row],[Frequency_of_Purchase]]</f>
        <v>11</v>
      </c>
      <c r="AS45" t="str">
        <f>tbl_OriginalData[[#This Row],[Purchase_Channel]]</f>
        <v>In-Store</v>
      </c>
      <c r="AT45">
        <f>tbl_OriginalData[[#This Row],[Brand_Loyalty]]</f>
        <v>4</v>
      </c>
      <c r="AU45">
        <f>tbl_OriginalData[[#This Row],[Product_Rating]]</f>
        <v>2</v>
      </c>
      <c r="AV45">
        <f>tbl_OriginalData[[#This Row],[Time_Spent_on_Product_Research(hours)]]*60</f>
        <v>60</v>
      </c>
      <c r="AW45" t="str">
        <f>tbl_OriginalData[[#This Row],[Social_Media_Influence]]</f>
        <v>None</v>
      </c>
      <c r="AX45" t="str">
        <f>tbl_OriginalData[[#This Row],[Discount_Sensitivity]]</f>
        <v>Very Sensitive</v>
      </c>
      <c r="AY45" s="3">
        <f>tbl_OriginalData[[#This Row],[Return_Rate]]/tbl_OriginalData[[#This Row],[Frequency_of_Purchase]]</f>
        <v>9.0909090909090912E-2</v>
      </c>
      <c r="AZ45">
        <f>tbl_OriginalData[[#This Row],[Customer_Satisfaction]]</f>
        <v>3</v>
      </c>
      <c r="BA45" t="str">
        <f>tbl_OriginalData[[#This Row],[Engagement_with_Ads]]</f>
        <v>Low</v>
      </c>
      <c r="BB45" t="str">
        <f>tbl_OriginalData[[#This Row],[Device_Used_for_Shopping]]</f>
        <v>Desktop</v>
      </c>
      <c r="BC45" t="str">
        <f>tbl_OriginalData[[#This Row],[Payment_Method]]</f>
        <v>PayPal</v>
      </c>
      <c r="BD45" s="1">
        <f>tbl_OriginalData[[#This Row],[Time_of_Purchase]]</f>
        <v>45354</v>
      </c>
      <c r="BE45" t="str">
        <f>IF(tbl_OriginalData[[#This Row],[Discount_Used]]=TRUE,"Yes","No")</f>
        <v>Yes</v>
      </c>
      <c r="BF45" t="str">
        <f>IF(tbl_OriginalData[[#This Row],[Customer_Loyalty_Program_Member]]=TRUE,"Yes","No")</f>
        <v>No</v>
      </c>
      <c r="BG45" t="str">
        <f>tbl_OriginalData[[#This Row],[Purchase_Intent]]</f>
        <v>Planned</v>
      </c>
      <c r="BH45" t="str">
        <f>tbl_OriginalData[[#This Row],[Shipping_Preference]]</f>
        <v>Standard</v>
      </c>
      <c r="BI45">
        <f>tbl_OriginalData[[#This Row],[Time_to_Decision]]</f>
        <v>6</v>
      </c>
      <c r="BJ45" t="s">
        <v>47</v>
      </c>
      <c r="BK45" t="s">
        <v>48</v>
      </c>
      <c r="BL45" t="s">
        <v>2524</v>
      </c>
    </row>
    <row r="46" spans="1:64">
      <c r="A46" t="s">
        <v>216</v>
      </c>
      <c r="B46">
        <v>34</v>
      </c>
      <c r="C46" t="s">
        <v>50</v>
      </c>
      <c r="D46" t="s">
        <v>51</v>
      </c>
      <c r="E46" t="s">
        <v>65</v>
      </c>
      <c r="F46" t="s">
        <v>66</v>
      </c>
      <c r="G46" t="s">
        <v>51</v>
      </c>
      <c r="H46" t="s">
        <v>217</v>
      </c>
      <c r="I46" t="s">
        <v>98</v>
      </c>
      <c r="J46">
        <v>110.4</v>
      </c>
      <c r="K46">
        <v>12</v>
      </c>
      <c r="L46" t="s">
        <v>39</v>
      </c>
      <c r="M46">
        <v>5</v>
      </c>
      <c r="N46">
        <v>1</v>
      </c>
      <c r="O46">
        <v>2</v>
      </c>
      <c r="P46" t="s">
        <v>40</v>
      </c>
      <c r="Q46" t="s">
        <v>41</v>
      </c>
      <c r="R46">
        <v>1</v>
      </c>
      <c r="S46">
        <v>3</v>
      </c>
      <c r="T46" t="s">
        <v>56</v>
      </c>
      <c r="U46" t="s">
        <v>42</v>
      </c>
      <c r="V46" t="s">
        <v>71</v>
      </c>
      <c r="W46" s="1">
        <v>45609</v>
      </c>
      <c r="X46" t="b">
        <v>0</v>
      </c>
      <c r="Y46" t="b">
        <v>0</v>
      </c>
      <c r="Z46" t="s">
        <v>44</v>
      </c>
      <c r="AA46" t="s">
        <v>60</v>
      </c>
      <c r="AB46">
        <v>12</v>
      </c>
      <c r="AF46" t="str">
        <f>tbl_OriginalData[[#This Row],[Customer_ID]]</f>
        <v>95-525-0842</v>
      </c>
      <c r="AG46">
        <f>tbl_OriginalData[[#This Row],[Age]]</f>
        <v>34</v>
      </c>
      <c r="AH46" t="str" cm="1">
        <f t="array" ref="AH4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6" t="str">
        <f>tbl_OriginalData[[#This Row],[Gender]]</f>
        <v>Male</v>
      </c>
      <c r="AJ46" t="str">
        <f>tbl_OriginalData[[#This Row],[Income_Level]]</f>
        <v>High</v>
      </c>
      <c r="AK46" t="str">
        <f>tbl_OriginalData[[#This Row],[Marital_Status]]</f>
        <v>Single</v>
      </c>
      <c r="AL46" t="str">
        <f>tbl_OriginalData[[#This Row],[Education_Level]]</f>
        <v>Master's</v>
      </c>
      <c r="AM46" t="str">
        <f>tbl_OriginalData[[#This Row],[Occupation]]</f>
        <v>High</v>
      </c>
      <c r="AN46" t="s">
        <v>217</v>
      </c>
      <c r="AO46" t="s">
        <v>218</v>
      </c>
      <c r="AP46" t="str">
        <f>tbl_OriginalData[[#This Row],[Purchase_Category]]</f>
        <v>Books</v>
      </c>
      <c r="AQ46" s="4">
        <f>tbl_OriginalData[[#This Row],[Purchase_Amount]]</f>
        <v>110.4</v>
      </c>
      <c r="AR46">
        <f>tbl_OriginalData[[#This Row],[Frequency_of_Purchase]]</f>
        <v>12</v>
      </c>
      <c r="AS46" t="str">
        <f>tbl_OriginalData[[#This Row],[Purchase_Channel]]</f>
        <v>Mixed</v>
      </c>
      <c r="AT46">
        <f>tbl_OriginalData[[#This Row],[Brand_Loyalty]]</f>
        <v>5</v>
      </c>
      <c r="AU46">
        <f>tbl_OriginalData[[#This Row],[Product_Rating]]</f>
        <v>1</v>
      </c>
      <c r="AV46">
        <f>tbl_OriginalData[[#This Row],[Time_Spent_on_Product_Research(hours)]]*60</f>
        <v>120</v>
      </c>
      <c r="AW46" t="str">
        <f>tbl_OriginalData[[#This Row],[Social_Media_Influence]]</f>
        <v>None</v>
      </c>
      <c r="AX46" t="str">
        <f>tbl_OriginalData[[#This Row],[Discount_Sensitivity]]</f>
        <v>Somewhat Sensitive</v>
      </c>
      <c r="AY46" s="3">
        <f>tbl_OriginalData[[#This Row],[Return_Rate]]/tbl_OriginalData[[#This Row],[Frequency_of_Purchase]]</f>
        <v>8.3333333333333329E-2</v>
      </c>
      <c r="AZ46">
        <f>tbl_OriginalData[[#This Row],[Customer_Satisfaction]]</f>
        <v>3</v>
      </c>
      <c r="BA46" t="str">
        <f>tbl_OriginalData[[#This Row],[Engagement_with_Ads]]</f>
        <v>Medium</v>
      </c>
      <c r="BB46" t="str">
        <f>tbl_OriginalData[[#This Row],[Device_Used_for_Shopping]]</f>
        <v>Tablet</v>
      </c>
      <c r="BC46" t="str">
        <f>tbl_OriginalData[[#This Row],[Payment_Method]]</f>
        <v>Debit Card</v>
      </c>
      <c r="BD46" s="1">
        <f>tbl_OriginalData[[#This Row],[Time_of_Purchase]]</f>
        <v>45609</v>
      </c>
      <c r="BE46" t="str">
        <f>IF(tbl_OriginalData[[#This Row],[Discount_Used]]=TRUE,"Yes","No")</f>
        <v>No</v>
      </c>
      <c r="BF46" t="str">
        <f>IF(tbl_OriginalData[[#This Row],[Customer_Loyalty_Program_Member]]=TRUE,"Yes","No")</f>
        <v>No</v>
      </c>
      <c r="BG46" t="str">
        <f>tbl_OriginalData[[#This Row],[Purchase_Intent]]</f>
        <v>Need-based</v>
      </c>
      <c r="BH46" t="str">
        <f>tbl_OriginalData[[#This Row],[Shipping_Preference]]</f>
        <v>Standard</v>
      </c>
      <c r="BI46">
        <f>tbl_OriginalData[[#This Row],[Time_to_Decision]]</f>
        <v>12</v>
      </c>
      <c r="BJ46" t="s">
        <v>177</v>
      </c>
      <c r="BK46" t="s">
        <v>80</v>
      </c>
      <c r="BL46" t="s">
        <v>2527</v>
      </c>
    </row>
    <row r="47" spans="1:64">
      <c r="A47" t="s">
        <v>219</v>
      </c>
      <c r="B47">
        <v>42</v>
      </c>
      <c r="C47" t="s">
        <v>33</v>
      </c>
      <c r="D47" t="s">
        <v>34</v>
      </c>
      <c r="E47" t="s">
        <v>35</v>
      </c>
      <c r="F47" t="s">
        <v>66</v>
      </c>
      <c r="G47" t="s">
        <v>51</v>
      </c>
      <c r="H47" t="s">
        <v>220</v>
      </c>
      <c r="I47" t="s">
        <v>112</v>
      </c>
      <c r="J47">
        <v>76.27</v>
      </c>
      <c r="K47">
        <v>4</v>
      </c>
      <c r="L47" t="s">
        <v>55</v>
      </c>
      <c r="M47">
        <v>2</v>
      </c>
      <c r="N47">
        <v>3</v>
      </c>
      <c r="O47">
        <v>0</v>
      </c>
      <c r="P47" t="s">
        <v>40</v>
      </c>
      <c r="Q47" t="s">
        <v>57</v>
      </c>
      <c r="R47">
        <v>0</v>
      </c>
      <c r="S47">
        <v>8</v>
      </c>
      <c r="T47" t="s">
        <v>56</v>
      </c>
      <c r="U47" t="s">
        <v>70</v>
      </c>
      <c r="V47" t="s">
        <v>43</v>
      </c>
      <c r="W47" s="1">
        <v>45650</v>
      </c>
      <c r="X47" t="b">
        <v>1</v>
      </c>
      <c r="Y47" t="b">
        <v>0</v>
      </c>
      <c r="Z47" t="s">
        <v>59</v>
      </c>
      <c r="AA47" t="s">
        <v>60</v>
      </c>
      <c r="AB47">
        <v>10</v>
      </c>
      <c r="AF47" t="str">
        <f>tbl_OriginalData[[#This Row],[Customer_ID]]</f>
        <v>37-101-4922</v>
      </c>
      <c r="AG47">
        <f>tbl_OriginalData[[#This Row],[Age]]</f>
        <v>42</v>
      </c>
      <c r="AH47" t="str" cm="1">
        <f t="array" ref="AH4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7" t="str">
        <f>tbl_OriginalData[[#This Row],[Gender]]</f>
        <v>Female</v>
      </c>
      <c r="AJ47" t="str">
        <f>tbl_OriginalData[[#This Row],[Income_Level]]</f>
        <v>Middle</v>
      </c>
      <c r="AK47" t="str">
        <f>tbl_OriginalData[[#This Row],[Marital_Status]]</f>
        <v>Married</v>
      </c>
      <c r="AL47" t="str">
        <f>tbl_OriginalData[[#This Row],[Education_Level]]</f>
        <v>Master's</v>
      </c>
      <c r="AM47" t="str">
        <f>tbl_OriginalData[[#This Row],[Occupation]]</f>
        <v>High</v>
      </c>
      <c r="AN47" t="s">
        <v>220</v>
      </c>
      <c r="AO47" t="s">
        <v>221</v>
      </c>
      <c r="AP47" t="str">
        <f>tbl_OriginalData[[#This Row],[Purchase_Category]]</f>
        <v>Mobile Accessories</v>
      </c>
      <c r="AQ47" s="4">
        <f>tbl_OriginalData[[#This Row],[Purchase_Amount]]</f>
        <v>76.27</v>
      </c>
      <c r="AR47">
        <f>tbl_OriginalData[[#This Row],[Frequency_of_Purchase]]</f>
        <v>4</v>
      </c>
      <c r="AS47" t="str">
        <f>tbl_OriginalData[[#This Row],[Purchase_Channel]]</f>
        <v>In-Store</v>
      </c>
      <c r="AT47">
        <f>tbl_OriginalData[[#This Row],[Brand_Loyalty]]</f>
        <v>2</v>
      </c>
      <c r="AU47">
        <f>tbl_OriginalData[[#This Row],[Product_Rating]]</f>
        <v>3</v>
      </c>
      <c r="AV47">
        <f>tbl_OriginalData[[#This Row],[Time_Spent_on_Product_Research(hours)]]*60</f>
        <v>0</v>
      </c>
      <c r="AW47" t="str">
        <f>tbl_OriginalData[[#This Row],[Social_Media_Influence]]</f>
        <v>None</v>
      </c>
      <c r="AX47" t="str">
        <f>tbl_OriginalData[[#This Row],[Discount_Sensitivity]]</f>
        <v>Not Sensitive</v>
      </c>
      <c r="AY47" s="3">
        <f>tbl_OriginalData[[#This Row],[Return_Rate]]/tbl_OriginalData[[#This Row],[Frequency_of_Purchase]]</f>
        <v>0</v>
      </c>
      <c r="AZ47">
        <f>tbl_OriginalData[[#This Row],[Customer_Satisfaction]]</f>
        <v>8</v>
      </c>
      <c r="BA47" t="str">
        <f>tbl_OriginalData[[#This Row],[Engagement_with_Ads]]</f>
        <v>Medium</v>
      </c>
      <c r="BB47" t="str">
        <f>tbl_OriginalData[[#This Row],[Device_Used_for_Shopping]]</f>
        <v>Smartphone</v>
      </c>
      <c r="BC47" t="str">
        <f>tbl_OriginalData[[#This Row],[Payment_Method]]</f>
        <v>Credit Card</v>
      </c>
      <c r="BD47" s="1">
        <f>tbl_OriginalData[[#This Row],[Time_of_Purchase]]</f>
        <v>45650</v>
      </c>
      <c r="BE47" t="str">
        <f>IF(tbl_OriginalData[[#This Row],[Discount_Used]]=TRUE,"Yes","No")</f>
        <v>Yes</v>
      </c>
      <c r="BF47" t="str">
        <f>IF(tbl_OriginalData[[#This Row],[Customer_Loyalty_Program_Member]]=TRUE,"Yes","No")</f>
        <v>No</v>
      </c>
      <c r="BG47" t="str">
        <f>tbl_OriginalData[[#This Row],[Purchase_Intent]]</f>
        <v>Wants-based</v>
      </c>
      <c r="BH47" t="str">
        <f>tbl_OriginalData[[#This Row],[Shipping_Preference]]</f>
        <v>Standard</v>
      </c>
      <c r="BI47">
        <f>tbl_OriginalData[[#This Row],[Time_to_Decision]]</f>
        <v>10</v>
      </c>
      <c r="BJ47" t="s">
        <v>120</v>
      </c>
      <c r="BK47" t="s">
        <v>80</v>
      </c>
      <c r="BL47" t="s">
        <v>2525</v>
      </c>
    </row>
    <row r="48" spans="1:64">
      <c r="A48" t="s">
        <v>222</v>
      </c>
      <c r="B48">
        <v>40</v>
      </c>
      <c r="C48" t="s">
        <v>33</v>
      </c>
      <c r="D48" t="s">
        <v>51</v>
      </c>
      <c r="E48" t="s">
        <v>82</v>
      </c>
      <c r="F48" t="s">
        <v>36</v>
      </c>
      <c r="G48" t="s">
        <v>34</v>
      </c>
      <c r="H48" t="s">
        <v>223</v>
      </c>
      <c r="I48" t="s">
        <v>156</v>
      </c>
      <c r="J48">
        <v>392.08</v>
      </c>
      <c r="K48">
        <v>6</v>
      </c>
      <c r="L48" t="s">
        <v>94</v>
      </c>
      <c r="M48">
        <v>2</v>
      </c>
      <c r="N48">
        <v>5</v>
      </c>
      <c r="O48">
        <v>1</v>
      </c>
      <c r="P48" t="s">
        <v>40</v>
      </c>
      <c r="Q48" t="s">
        <v>101</v>
      </c>
      <c r="R48">
        <v>2</v>
      </c>
      <c r="S48">
        <v>7</v>
      </c>
      <c r="T48" t="s">
        <v>51</v>
      </c>
      <c r="U48" t="s">
        <v>42</v>
      </c>
      <c r="V48" t="s">
        <v>76</v>
      </c>
      <c r="W48" s="1">
        <v>45508</v>
      </c>
      <c r="X48" t="b">
        <v>1</v>
      </c>
      <c r="Y48" t="b">
        <v>1</v>
      </c>
      <c r="Z48" t="s">
        <v>44</v>
      </c>
      <c r="AA48" t="s">
        <v>77</v>
      </c>
      <c r="AB48">
        <v>6</v>
      </c>
      <c r="AF48" t="str">
        <f>tbl_OriginalData[[#This Row],[Customer_ID]]</f>
        <v>37-128-5425</v>
      </c>
      <c r="AG48">
        <f>tbl_OriginalData[[#This Row],[Age]]</f>
        <v>40</v>
      </c>
      <c r="AH48" t="str" cm="1">
        <f t="array" ref="AH4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8" t="str">
        <f>tbl_OriginalData[[#This Row],[Gender]]</f>
        <v>Female</v>
      </c>
      <c r="AJ48" t="str">
        <f>tbl_OriginalData[[#This Row],[Income_Level]]</f>
        <v>High</v>
      </c>
      <c r="AK48" t="str">
        <f>tbl_OriginalData[[#This Row],[Marital_Status]]</f>
        <v>Widowed</v>
      </c>
      <c r="AL48" t="str">
        <f>tbl_OriginalData[[#This Row],[Education_Level]]</f>
        <v>Bachelor's</v>
      </c>
      <c r="AM48" t="str">
        <f>tbl_OriginalData[[#This Row],[Occupation]]</f>
        <v>Middle</v>
      </c>
      <c r="AN48" t="s">
        <v>223</v>
      </c>
      <c r="AO48" t="s">
        <v>224</v>
      </c>
      <c r="AP48" t="str">
        <f>tbl_OriginalData[[#This Row],[Purchase_Category]]</f>
        <v>Toys &amp; Games</v>
      </c>
      <c r="AQ48" s="4">
        <f>tbl_OriginalData[[#This Row],[Purchase_Amount]]</f>
        <v>392.08</v>
      </c>
      <c r="AR48">
        <f>tbl_OriginalData[[#This Row],[Frequency_of_Purchase]]</f>
        <v>6</v>
      </c>
      <c r="AS48" t="str">
        <f>tbl_OriginalData[[#This Row],[Purchase_Channel]]</f>
        <v>Online</v>
      </c>
      <c r="AT48">
        <f>tbl_OriginalData[[#This Row],[Brand_Loyalty]]</f>
        <v>2</v>
      </c>
      <c r="AU48">
        <f>tbl_OriginalData[[#This Row],[Product_Rating]]</f>
        <v>5</v>
      </c>
      <c r="AV48">
        <f>tbl_OriginalData[[#This Row],[Time_Spent_on_Product_Research(hours)]]*60</f>
        <v>60</v>
      </c>
      <c r="AW48" t="str">
        <f>tbl_OriginalData[[#This Row],[Social_Media_Influence]]</f>
        <v>None</v>
      </c>
      <c r="AX48" t="str">
        <f>tbl_OriginalData[[#This Row],[Discount_Sensitivity]]</f>
        <v>Very Sensitive</v>
      </c>
      <c r="AY48" s="3">
        <f>tbl_OriginalData[[#This Row],[Return_Rate]]/tbl_OriginalData[[#This Row],[Frequency_of_Purchase]]</f>
        <v>0.33333333333333331</v>
      </c>
      <c r="AZ48">
        <f>tbl_OriginalData[[#This Row],[Customer_Satisfaction]]</f>
        <v>7</v>
      </c>
      <c r="BA48" t="str">
        <f>tbl_OriginalData[[#This Row],[Engagement_with_Ads]]</f>
        <v>High</v>
      </c>
      <c r="BB48" t="str">
        <f>tbl_OriginalData[[#This Row],[Device_Used_for_Shopping]]</f>
        <v>Tablet</v>
      </c>
      <c r="BC48" t="str">
        <f>tbl_OriginalData[[#This Row],[Payment_Method]]</f>
        <v>Other</v>
      </c>
      <c r="BD48" s="1">
        <f>tbl_OriginalData[[#This Row],[Time_of_Purchase]]</f>
        <v>45508</v>
      </c>
      <c r="BE48" t="str">
        <f>IF(tbl_OriginalData[[#This Row],[Discount_Used]]=TRUE,"Yes","No")</f>
        <v>Yes</v>
      </c>
      <c r="BF48" t="str">
        <f>IF(tbl_OriginalData[[#This Row],[Customer_Loyalty_Program_Member]]=TRUE,"Yes","No")</f>
        <v>Yes</v>
      </c>
      <c r="BG48" t="str">
        <f>tbl_OriginalData[[#This Row],[Purchase_Intent]]</f>
        <v>Need-based</v>
      </c>
      <c r="BH48" t="str">
        <f>tbl_OriginalData[[#This Row],[Shipping_Preference]]</f>
        <v>Express</v>
      </c>
      <c r="BI48">
        <f>tbl_OriginalData[[#This Row],[Time_to_Decision]]</f>
        <v>6</v>
      </c>
      <c r="BJ48" t="s">
        <v>124</v>
      </c>
      <c r="BK48" t="s">
        <v>115</v>
      </c>
      <c r="BL48" t="s">
        <v>2523</v>
      </c>
    </row>
    <row r="49" spans="1:64">
      <c r="A49" t="s">
        <v>225</v>
      </c>
      <c r="B49">
        <v>25</v>
      </c>
      <c r="C49" t="s">
        <v>33</v>
      </c>
      <c r="D49" t="s">
        <v>51</v>
      </c>
      <c r="E49" t="s">
        <v>35</v>
      </c>
      <c r="F49" t="s">
        <v>36</v>
      </c>
      <c r="G49" t="s">
        <v>51</v>
      </c>
      <c r="H49" t="s">
        <v>226</v>
      </c>
      <c r="I49" t="s">
        <v>156</v>
      </c>
      <c r="J49">
        <v>51.22</v>
      </c>
      <c r="K49">
        <v>6</v>
      </c>
      <c r="L49" t="s">
        <v>94</v>
      </c>
      <c r="M49">
        <v>2</v>
      </c>
      <c r="N49">
        <v>1</v>
      </c>
      <c r="O49">
        <v>0</v>
      </c>
      <c r="P49" t="s">
        <v>40</v>
      </c>
      <c r="Q49" t="s">
        <v>101</v>
      </c>
      <c r="R49">
        <v>1</v>
      </c>
      <c r="S49">
        <v>5</v>
      </c>
      <c r="T49" t="s">
        <v>56</v>
      </c>
      <c r="U49" t="s">
        <v>42</v>
      </c>
      <c r="V49" t="s">
        <v>102</v>
      </c>
      <c r="W49" s="1">
        <v>45529</v>
      </c>
      <c r="X49" t="b">
        <v>1</v>
      </c>
      <c r="Y49" t="b">
        <v>1</v>
      </c>
      <c r="Z49" t="s">
        <v>89</v>
      </c>
      <c r="AA49" t="s">
        <v>60</v>
      </c>
      <c r="AB49">
        <v>5</v>
      </c>
      <c r="AF49" t="str">
        <f>tbl_OriginalData[[#This Row],[Customer_ID]]</f>
        <v>27-439-9545</v>
      </c>
      <c r="AG49">
        <f>tbl_OriginalData[[#This Row],[Age]]</f>
        <v>25</v>
      </c>
      <c r="AH49" t="str" cm="1">
        <f t="array" ref="AH4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9" t="str">
        <f>tbl_OriginalData[[#This Row],[Gender]]</f>
        <v>Female</v>
      </c>
      <c r="AJ49" t="str">
        <f>tbl_OriginalData[[#This Row],[Income_Level]]</f>
        <v>High</v>
      </c>
      <c r="AK49" t="str">
        <f>tbl_OriginalData[[#This Row],[Marital_Status]]</f>
        <v>Married</v>
      </c>
      <c r="AL49" t="str">
        <f>tbl_OriginalData[[#This Row],[Education_Level]]</f>
        <v>Bachelor's</v>
      </c>
      <c r="AM49" t="str">
        <f>tbl_OriginalData[[#This Row],[Occupation]]</f>
        <v>High</v>
      </c>
      <c r="AN49" t="s">
        <v>226</v>
      </c>
      <c r="AO49" t="s">
        <v>103</v>
      </c>
      <c r="AP49" t="str">
        <f>tbl_OriginalData[[#This Row],[Purchase_Category]]</f>
        <v>Toys &amp; Games</v>
      </c>
      <c r="AQ49" s="4">
        <f>tbl_OriginalData[[#This Row],[Purchase_Amount]]</f>
        <v>51.22</v>
      </c>
      <c r="AR49">
        <f>tbl_OriginalData[[#This Row],[Frequency_of_Purchase]]</f>
        <v>6</v>
      </c>
      <c r="AS49" t="str">
        <f>tbl_OriginalData[[#This Row],[Purchase_Channel]]</f>
        <v>Online</v>
      </c>
      <c r="AT49">
        <f>tbl_OriginalData[[#This Row],[Brand_Loyalty]]</f>
        <v>2</v>
      </c>
      <c r="AU49">
        <f>tbl_OriginalData[[#This Row],[Product_Rating]]</f>
        <v>1</v>
      </c>
      <c r="AV49">
        <f>tbl_OriginalData[[#This Row],[Time_Spent_on_Product_Research(hours)]]*60</f>
        <v>0</v>
      </c>
      <c r="AW49" t="str">
        <f>tbl_OriginalData[[#This Row],[Social_Media_Influence]]</f>
        <v>None</v>
      </c>
      <c r="AX49" t="str">
        <f>tbl_OriginalData[[#This Row],[Discount_Sensitivity]]</f>
        <v>Very Sensitive</v>
      </c>
      <c r="AY49" s="3">
        <f>tbl_OriginalData[[#This Row],[Return_Rate]]/tbl_OriginalData[[#This Row],[Frequency_of_Purchase]]</f>
        <v>0.16666666666666666</v>
      </c>
      <c r="AZ49">
        <f>tbl_OriginalData[[#This Row],[Customer_Satisfaction]]</f>
        <v>5</v>
      </c>
      <c r="BA49" t="str">
        <f>tbl_OriginalData[[#This Row],[Engagement_with_Ads]]</f>
        <v>Medium</v>
      </c>
      <c r="BB49" t="str">
        <f>tbl_OriginalData[[#This Row],[Device_Used_for_Shopping]]</f>
        <v>Tablet</v>
      </c>
      <c r="BC49" t="str">
        <f>tbl_OriginalData[[#This Row],[Payment_Method]]</f>
        <v>Cash</v>
      </c>
      <c r="BD49" s="1">
        <f>tbl_OriginalData[[#This Row],[Time_of_Purchase]]</f>
        <v>45529</v>
      </c>
      <c r="BE49" t="str">
        <f>IF(tbl_OriginalData[[#This Row],[Discount_Used]]=TRUE,"Yes","No")</f>
        <v>Yes</v>
      </c>
      <c r="BF49" t="str">
        <f>IF(tbl_OriginalData[[#This Row],[Customer_Loyalty_Program_Member]]=TRUE,"Yes","No")</f>
        <v>Yes</v>
      </c>
      <c r="BG49" t="str">
        <f>tbl_OriginalData[[#This Row],[Purchase_Intent]]</f>
        <v>Planned</v>
      </c>
      <c r="BH49" t="str">
        <f>tbl_OriginalData[[#This Row],[Shipping_Preference]]</f>
        <v>Standard</v>
      </c>
      <c r="BI49">
        <f>tbl_OriginalData[[#This Row],[Time_to_Decision]]</f>
        <v>5</v>
      </c>
      <c r="BJ49" t="s">
        <v>124</v>
      </c>
      <c r="BK49" t="s">
        <v>115</v>
      </c>
      <c r="BL49" t="s">
        <v>2523</v>
      </c>
    </row>
    <row r="50" spans="1:64">
      <c r="A50" t="s">
        <v>227</v>
      </c>
      <c r="B50">
        <v>38</v>
      </c>
      <c r="C50" t="s">
        <v>50</v>
      </c>
      <c r="D50" t="s">
        <v>34</v>
      </c>
      <c r="E50" t="s">
        <v>92</v>
      </c>
      <c r="F50" t="s">
        <v>36</v>
      </c>
      <c r="G50" t="s">
        <v>51</v>
      </c>
      <c r="H50" t="s">
        <v>228</v>
      </c>
      <c r="I50" t="s">
        <v>229</v>
      </c>
      <c r="J50">
        <v>227.57</v>
      </c>
      <c r="K50">
        <v>2</v>
      </c>
      <c r="L50" t="s">
        <v>94</v>
      </c>
      <c r="M50">
        <v>1</v>
      </c>
      <c r="N50">
        <v>2</v>
      </c>
      <c r="O50">
        <v>0</v>
      </c>
      <c r="P50" t="s">
        <v>51</v>
      </c>
      <c r="Q50" t="s">
        <v>41</v>
      </c>
      <c r="R50">
        <v>1</v>
      </c>
      <c r="S50">
        <v>6</v>
      </c>
      <c r="T50" t="s">
        <v>40</v>
      </c>
      <c r="U50" t="s">
        <v>42</v>
      </c>
      <c r="V50" t="s">
        <v>58</v>
      </c>
      <c r="W50" s="1">
        <v>45521</v>
      </c>
      <c r="X50" t="b">
        <v>0</v>
      </c>
      <c r="Y50" t="b">
        <v>1</v>
      </c>
      <c r="Z50" t="s">
        <v>59</v>
      </c>
      <c r="AA50" t="s">
        <v>45</v>
      </c>
      <c r="AB50">
        <v>14</v>
      </c>
      <c r="AF50" t="str">
        <f>tbl_OriginalData[[#This Row],[Customer_ID]]</f>
        <v>37-126-7954</v>
      </c>
      <c r="AG50">
        <f>tbl_OriginalData[[#This Row],[Age]]</f>
        <v>38</v>
      </c>
      <c r="AH50" t="str" cm="1">
        <f t="array" ref="AH5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0" t="str">
        <f>tbl_OriginalData[[#This Row],[Gender]]</f>
        <v>Male</v>
      </c>
      <c r="AJ50" t="str">
        <f>tbl_OriginalData[[#This Row],[Income_Level]]</f>
        <v>Middle</v>
      </c>
      <c r="AK50" t="str">
        <f>tbl_OriginalData[[#This Row],[Marital_Status]]</f>
        <v>Divorced</v>
      </c>
      <c r="AL50" t="str">
        <f>tbl_OriginalData[[#This Row],[Education_Level]]</f>
        <v>Bachelor's</v>
      </c>
      <c r="AM50" t="str">
        <f>tbl_OriginalData[[#This Row],[Occupation]]</f>
        <v>High</v>
      </c>
      <c r="AN50" t="s">
        <v>228</v>
      </c>
      <c r="AO50" t="s">
        <v>186</v>
      </c>
      <c r="AP50" t="str">
        <f>tbl_OriginalData[[#This Row],[Purchase_Category]]</f>
        <v>Clothing</v>
      </c>
      <c r="AQ50" s="4">
        <f>tbl_OriginalData[[#This Row],[Purchase_Amount]]</f>
        <v>227.57</v>
      </c>
      <c r="AR50">
        <f>tbl_OriginalData[[#This Row],[Frequency_of_Purchase]]</f>
        <v>2</v>
      </c>
      <c r="AS50" t="str">
        <f>tbl_OriginalData[[#This Row],[Purchase_Channel]]</f>
        <v>Online</v>
      </c>
      <c r="AT50">
        <f>tbl_OriginalData[[#This Row],[Brand_Loyalty]]</f>
        <v>1</v>
      </c>
      <c r="AU50">
        <f>tbl_OriginalData[[#This Row],[Product_Rating]]</f>
        <v>2</v>
      </c>
      <c r="AV50">
        <f>tbl_OriginalData[[#This Row],[Time_Spent_on_Product_Research(hours)]]*60</f>
        <v>0</v>
      </c>
      <c r="AW50" t="str">
        <f>tbl_OriginalData[[#This Row],[Social_Media_Influence]]</f>
        <v>High</v>
      </c>
      <c r="AX50" t="str">
        <f>tbl_OriginalData[[#This Row],[Discount_Sensitivity]]</f>
        <v>Somewhat Sensitive</v>
      </c>
      <c r="AY50" s="3">
        <f>tbl_OriginalData[[#This Row],[Return_Rate]]/tbl_OriginalData[[#This Row],[Frequency_of_Purchase]]</f>
        <v>0.5</v>
      </c>
      <c r="AZ50">
        <f>tbl_OriginalData[[#This Row],[Customer_Satisfaction]]</f>
        <v>6</v>
      </c>
      <c r="BA50" t="str">
        <f>tbl_OriginalData[[#This Row],[Engagement_with_Ads]]</f>
        <v>None</v>
      </c>
      <c r="BB50" t="str">
        <f>tbl_OriginalData[[#This Row],[Device_Used_for_Shopping]]</f>
        <v>Tablet</v>
      </c>
      <c r="BC50" t="str">
        <f>tbl_OriginalData[[#This Row],[Payment_Method]]</f>
        <v>PayPal</v>
      </c>
      <c r="BD50" s="1">
        <f>tbl_OriginalData[[#This Row],[Time_of_Purchase]]</f>
        <v>45521</v>
      </c>
      <c r="BE50" t="str">
        <f>IF(tbl_OriginalData[[#This Row],[Discount_Used]]=TRUE,"Yes","No")</f>
        <v>No</v>
      </c>
      <c r="BF50" t="str">
        <f>IF(tbl_OriginalData[[#This Row],[Customer_Loyalty_Program_Member]]=TRUE,"Yes","No")</f>
        <v>Yes</v>
      </c>
      <c r="BG50" t="str">
        <f>tbl_OriginalData[[#This Row],[Purchase_Intent]]</f>
        <v>Wants-based</v>
      </c>
      <c r="BH50" t="str">
        <f>tbl_OriginalData[[#This Row],[Shipping_Preference]]</f>
        <v>No Preference</v>
      </c>
      <c r="BI50">
        <f>tbl_OriginalData[[#This Row],[Time_to_Decision]]</f>
        <v>14</v>
      </c>
      <c r="BJ50" t="s">
        <v>124</v>
      </c>
      <c r="BK50" t="s">
        <v>115</v>
      </c>
      <c r="BL50" t="s">
        <v>2523</v>
      </c>
    </row>
    <row r="51" spans="1:64">
      <c r="A51" t="s">
        <v>230</v>
      </c>
      <c r="B51">
        <v>46</v>
      </c>
      <c r="C51" t="s">
        <v>33</v>
      </c>
      <c r="D51" t="s">
        <v>34</v>
      </c>
      <c r="E51" t="s">
        <v>82</v>
      </c>
      <c r="F51" t="s">
        <v>36</v>
      </c>
      <c r="G51" t="s">
        <v>34</v>
      </c>
      <c r="H51" t="s">
        <v>231</v>
      </c>
      <c r="I51" t="s">
        <v>199</v>
      </c>
      <c r="J51">
        <v>378.87</v>
      </c>
      <c r="K51">
        <v>7</v>
      </c>
      <c r="L51" t="s">
        <v>94</v>
      </c>
      <c r="M51">
        <v>1</v>
      </c>
      <c r="N51">
        <v>2</v>
      </c>
      <c r="O51">
        <v>0</v>
      </c>
      <c r="P51" t="s">
        <v>40</v>
      </c>
      <c r="Q51" t="s">
        <v>101</v>
      </c>
      <c r="R51">
        <v>1</v>
      </c>
      <c r="S51">
        <v>2</v>
      </c>
      <c r="T51" t="s">
        <v>69</v>
      </c>
      <c r="U51" t="s">
        <v>42</v>
      </c>
      <c r="V51" t="s">
        <v>58</v>
      </c>
      <c r="W51" s="1">
        <v>45383</v>
      </c>
      <c r="X51" t="b">
        <v>1</v>
      </c>
      <c r="Y51" t="b">
        <v>0</v>
      </c>
      <c r="Z51" t="s">
        <v>89</v>
      </c>
      <c r="AA51" t="s">
        <v>45</v>
      </c>
      <c r="AB51">
        <v>5</v>
      </c>
      <c r="AF51" t="str">
        <f>tbl_OriginalData[[#This Row],[Customer_ID]]</f>
        <v>82-990-0504</v>
      </c>
      <c r="AG51">
        <f>tbl_OriginalData[[#This Row],[Age]]</f>
        <v>46</v>
      </c>
      <c r="AH51" t="str" cm="1">
        <f t="array" ref="AH5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1" t="str">
        <f>tbl_OriginalData[[#This Row],[Gender]]</f>
        <v>Female</v>
      </c>
      <c r="AJ51" t="str">
        <f>tbl_OriginalData[[#This Row],[Income_Level]]</f>
        <v>Middle</v>
      </c>
      <c r="AK51" t="str">
        <f>tbl_OriginalData[[#This Row],[Marital_Status]]</f>
        <v>Widowed</v>
      </c>
      <c r="AL51" t="str">
        <f>tbl_OriginalData[[#This Row],[Education_Level]]</f>
        <v>Bachelor's</v>
      </c>
      <c r="AM51" t="str">
        <f>tbl_OriginalData[[#This Row],[Occupation]]</f>
        <v>Middle</v>
      </c>
      <c r="AN51" t="s">
        <v>231</v>
      </c>
      <c r="AO51" t="s">
        <v>232</v>
      </c>
      <c r="AP51" t="str">
        <f>tbl_OriginalData[[#This Row],[Purchase_Category]]</f>
        <v>Groceries</v>
      </c>
      <c r="AQ51" s="4">
        <f>tbl_OriginalData[[#This Row],[Purchase_Amount]]</f>
        <v>378.87</v>
      </c>
      <c r="AR51">
        <f>tbl_OriginalData[[#This Row],[Frequency_of_Purchase]]</f>
        <v>7</v>
      </c>
      <c r="AS51" t="str">
        <f>tbl_OriginalData[[#This Row],[Purchase_Channel]]</f>
        <v>Online</v>
      </c>
      <c r="AT51">
        <f>tbl_OriginalData[[#This Row],[Brand_Loyalty]]</f>
        <v>1</v>
      </c>
      <c r="AU51">
        <f>tbl_OriginalData[[#This Row],[Product_Rating]]</f>
        <v>2</v>
      </c>
      <c r="AV51">
        <f>tbl_OriginalData[[#This Row],[Time_Spent_on_Product_Research(hours)]]*60</f>
        <v>0</v>
      </c>
      <c r="AW51" t="str">
        <f>tbl_OriginalData[[#This Row],[Social_Media_Influence]]</f>
        <v>None</v>
      </c>
      <c r="AX51" t="str">
        <f>tbl_OriginalData[[#This Row],[Discount_Sensitivity]]</f>
        <v>Very Sensitive</v>
      </c>
      <c r="AY51" s="3">
        <f>tbl_OriginalData[[#This Row],[Return_Rate]]/tbl_OriginalData[[#This Row],[Frequency_of_Purchase]]</f>
        <v>0.14285714285714285</v>
      </c>
      <c r="AZ51">
        <f>tbl_OriginalData[[#This Row],[Customer_Satisfaction]]</f>
        <v>2</v>
      </c>
      <c r="BA51" t="str">
        <f>tbl_OriginalData[[#This Row],[Engagement_with_Ads]]</f>
        <v>Low</v>
      </c>
      <c r="BB51" t="str">
        <f>tbl_OriginalData[[#This Row],[Device_Used_for_Shopping]]</f>
        <v>Tablet</v>
      </c>
      <c r="BC51" t="str">
        <f>tbl_OriginalData[[#This Row],[Payment_Method]]</f>
        <v>PayPal</v>
      </c>
      <c r="BD51" s="1">
        <f>tbl_OriginalData[[#This Row],[Time_of_Purchase]]</f>
        <v>45383</v>
      </c>
      <c r="BE51" t="str">
        <f>IF(tbl_OriginalData[[#This Row],[Discount_Used]]=TRUE,"Yes","No")</f>
        <v>Yes</v>
      </c>
      <c r="BF51" t="str">
        <f>IF(tbl_OriginalData[[#This Row],[Customer_Loyalty_Program_Member]]=TRUE,"Yes","No")</f>
        <v>No</v>
      </c>
      <c r="BG51" t="str">
        <f>tbl_OriginalData[[#This Row],[Purchase_Intent]]</f>
        <v>Planned</v>
      </c>
      <c r="BH51" t="str">
        <f>tbl_OriginalData[[#This Row],[Shipping_Preference]]</f>
        <v>No Preference</v>
      </c>
      <c r="BI51">
        <f>tbl_OriginalData[[#This Row],[Time_to_Decision]]</f>
        <v>5</v>
      </c>
      <c r="BJ51" t="s">
        <v>62</v>
      </c>
      <c r="BK51" t="s">
        <v>63</v>
      </c>
      <c r="BL51" t="s">
        <v>2523</v>
      </c>
    </row>
    <row r="52" spans="1:64">
      <c r="A52" t="s">
        <v>233</v>
      </c>
      <c r="B52">
        <v>24</v>
      </c>
      <c r="C52" t="s">
        <v>33</v>
      </c>
      <c r="D52" t="s">
        <v>34</v>
      </c>
      <c r="E52" t="s">
        <v>82</v>
      </c>
      <c r="F52" t="s">
        <v>52</v>
      </c>
      <c r="G52" t="s">
        <v>51</v>
      </c>
      <c r="H52" t="s">
        <v>234</v>
      </c>
      <c r="I52" t="s">
        <v>235</v>
      </c>
      <c r="J52">
        <v>423.92</v>
      </c>
      <c r="K52">
        <v>8</v>
      </c>
      <c r="L52" t="s">
        <v>39</v>
      </c>
      <c r="M52">
        <v>3</v>
      </c>
      <c r="N52">
        <v>1</v>
      </c>
      <c r="O52">
        <v>2</v>
      </c>
      <c r="P52" t="s">
        <v>69</v>
      </c>
      <c r="Q52" t="s">
        <v>41</v>
      </c>
      <c r="R52">
        <v>0</v>
      </c>
      <c r="S52">
        <v>9</v>
      </c>
      <c r="T52" t="s">
        <v>51</v>
      </c>
      <c r="U52" t="s">
        <v>42</v>
      </c>
      <c r="V52" t="s">
        <v>43</v>
      </c>
      <c r="W52" s="1">
        <v>45528</v>
      </c>
      <c r="X52" t="b">
        <v>0</v>
      </c>
      <c r="Y52" t="b">
        <v>1</v>
      </c>
      <c r="Z52" t="s">
        <v>44</v>
      </c>
      <c r="AA52" t="s">
        <v>60</v>
      </c>
      <c r="AB52">
        <v>8</v>
      </c>
      <c r="AF52" t="str">
        <f>tbl_OriginalData[[#This Row],[Customer_ID]]</f>
        <v>21-734-0212</v>
      </c>
      <c r="AG52">
        <f>tbl_OriginalData[[#This Row],[Age]]</f>
        <v>24</v>
      </c>
      <c r="AH52" t="str" cm="1">
        <f t="array" ref="AH5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2" t="str">
        <f>tbl_OriginalData[[#This Row],[Gender]]</f>
        <v>Female</v>
      </c>
      <c r="AJ52" t="str">
        <f>tbl_OriginalData[[#This Row],[Income_Level]]</f>
        <v>Middle</v>
      </c>
      <c r="AK52" t="str">
        <f>tbl_OriginalData[[#This Row],[Marital_Status]]</f>
        <v>Widowed</v>
      </c>
      <c r="AL52" t="str">
        <f>tbl_OriginalData[[#This Row],[Education_Level]]</f>
        <v>High School</v>
      </c>
      <c r="AM52" t="str">
        <f>tbl_OriginalData[[#This Row],[Occupation]]</f>
        <v>High</v>
      </c>
      <c r="AN52" t="s">
        <v>234</v>
      </c>
      <c r="AO52" t="s">
        <v>236</v>
      </c>
      <c r="AP52" t="str">
        <f>tbl_OriginalData[[#This Row],[Purchase_Category]]</f>
        <v>Beauty &amp; Personal Care</v>
      </c>
      <c r="AQ52" s="4">
        <f>tbl_OriginalData[[#This Row],[Purchase_Amount]]</f>
        <v>423.92</v>
      </c>
      <c r="AR52">
        <f>tbl_OriginalData[[#This Row],[Frequency_of_Purchase]]</f>
        <v>8</v>
      </c>
      <c r="AS52" t="str">
        <f>tbl_OriginalData[[#This Row],[Purchase_Channel]]</f>
        <v>Mixed</v>
      </c>
      <c r="AT52">
        <f>tbl_OriginalData[[#This Row],[Brand_Loyalty]]</f>
        <v>3</v>
      </c>
      <c r="AU52">
        <f>tbl_OriginalData[[#This Row],[Product_Rating]]</f>
        <v>1</v>
      </c>
      <c r="AV52">
        <f>tbl_OriginalData[[#This Row],[Time_Spent_on_Product_Research(hours)]]*60</f>
        <v>120</v>
      </c>
      <c r="AW52" t="str">
        <f>tbl_OriginalData[[#This Row],[Social_Media_Influence]]</f>
        <v>Low</v>
      </c>
      <c r="AX52" t="str">
        <f>tbl_OriginalData[[#This Row],[Discount_Sensitivity]]</f>
        <v>Somewhat Sensitive</v>
      </c>
      <c r="AY52" s="3">
        <f>tbl_OriginalData[[#This Row],[Return_Rate]]/tbl_OriginalData[[#This Row],[Frequency_of_Purchase]]</f>
        <v>0</v>
      </c>
      <c r="AZ52">
        <f>tbl_OriginalData[[#This Row],[Customer_Satisfaction]]</f>
        <v>9</v>
      </c>
      <c r="BA52" t="str">
        <f>tbl_OriginalData[[#This Row],[Engagement_with_Ads]]</f>
        <v>High</v>
      </c>
      <c r="BB52" t="str">
        <f>tbl_OriginalData[[#This Row],[Device_Used_for_Shopping]]</f>
        <v>Tablet</v>
      </c>
      <c r="BC52" t="str">
        <f>tbl_OriginalData[[#This Row],[Payment_Method]]</f>
        <v>Credit Card</v>
      </c>
      <c r="BD52" s="1">
        <f>tbl_OriginalData[[#This Row],[Time_of_Purchase]]</f>
        <v>45528</v>
      </c>
      <c r="BE52" t="str">
        <f>IF(tbl_OriginalData[[#This Row],[Discount_Used]]=TRUE,"Yes","No")</f>
        <v>No</v>
      </c>
      <c r="BF52" t="str">
        <f>IF(tbl_OriginalData[[#This Row],[Customer_Loyalty_Program_Member]]=TRUE,"Yes","No")</f>
        <v>Yes</v>
      </c>
      <c r="BG52" t="str">
        <f>tbl_OriginalData[[#This Row],[Purchase_Intent]]</f>
        <v>Need-based</v>
      </c>
      <c r="BH52" t="str">
        <f>tbl_OriginalData[[#This Row],[Shipping_Preference]]</f>
        <v>Standard</v>
      </c>
      <c r="BI52">
        <f>tbl_OriginalData[[#This Row],[Time_to_Decision]]</f>
        <v>8</v>
      </c>
      <c r="BJ52" t="s">
        <v>124</v>
      </c>
      <c r="BK52" t="s">
        <v>115</v>
      </c>
      <c r="BL52" t="s">
        <v>2523</v>
      </c>
    </row>
    <row r="53" spans="1:64">
      <c r="A53" t="s">
        <v>237</v>
      </c>
      <c r="B53">
        <v>43</v>
      </c>
      <c r="C53" t="s">
        <v>238</v>
      </c>
      <c r="D53" t="s">
        <v>51</v>
      </c>
      <c r="E53" t="s">
        <v>82</v>
      </c>
      <c r="F53" t="s">
        <v>66</v>
      </c>
      <c r="G53" t="s">
        <v>34</v>
      </c>
      <c r="H53" t="s">
        <v>239</v>
      </c>
      <c r="I53" t="s">
        <v>170</v>
      </c>
      <c r="J53">
        <v>111.24</v>
      </c>
      <c r="K53">
        <v>9</v>
      </c>
      <c r="L53" t="s">
        <v>39</v>
      </c>
      <c r="M53">
        <v>5</v>
      </c>
      <c r="N53">
        <v>2</v>
      </c>
      <c r="O53">
        <v>0</v>
      </c>
      <c r="P53" t="s">
        <v>56</v>
      </c>
      <c r="Q53" t="s">
        <v>41</v>
      </c>
      <c r="R53">
        <v>0</v>
      </c>
      <c r="S53">
        <v>2</v>
      </c>
      <c r="T53" t="s">
        <v>51</v>
      </c>
      <c r="U53" t="s">
        <v>70</v>
      </c>
      <c r="V53" t="s">
        <v>43</v>
      </c>
      <c r="W53" s="1">
        <v>45510</v>
      </c>
      <c r="X53" t="b">
        <v>1</v>
      </c>
      <c r="Y53" t="b">
        <v>0</v>
      </c>
      <c r="Z53" t="s">
        <v>44</v>
      </c>
      <c r="AA53" t="s">
        <v>45</v>
      </c>
      <c r="AB53">
        <v>12</v>
      </c>
      <c r="AF53" t="str">
        <f>tbl_OriginalData[[#This Row],[Customer_ID]]</f>
        <v>76-148-9413</v>
      </c>
      <c r="AG53">
        <f>tbl_OriginalData[[#This Row],[Age]]</f>
        <v>43</v>
      </c>
      <c r="AH53" t="str" cm="1">
        <f t="array" ref="AH5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3" t="str">
        <f>tbl_OriginalData[[#This Row],[Gender]]</f>
        <v>Non-binary</v>
      </c>
      <c r="AJ53" t="str">
        <f>tbl_OriginalData[[#This Row],[Income_Level]]</f>
        <v>High</v>
      </c>
      <c r="AK53" t="str">
        <f>tbl_OriginalData[[#This Row],[Marital_Status]]</f>
        <v>Widowed</v>
      </c>
      <c r="AL53" t="str">
        <f>tbl_OriginalData[[#This Row],[Education_Level]]</f>
        <v>Master's</v>
      </c>
      <c r="AM53" t="str">
        <f>tbl_OriginalData[[#This Row],[Occupation]]</f>
        <v>Middle</v>
      </c>
      <c r="AN53" t="s">
        <v>239</v>
      </c>
      <c r="AO53" t="s">
        <v>161</v>
      </c>
      <c r="AP53" t="str">
        <f>tbl_OriginalData[[#This Row],[Purchase_Category]]</f>
        <v>Arts &amp; Crafts</v>
      </c>
      <c r="AQ53" s="4">
        <f>tbl_OriginalData[[#This Row],[Purchase_Amount]]</f>
        <v>111.24</v>
      </c>
      <c r="AR53">
        <f>tbl_OriginalData[[#This Row],[Frequency_of_Purchase]]</f>
        <v>9</v>
      </c>
      <c r="AS53" t="str">
        <f>tbl_OriginalData[[#This Row],[Purchase_Channel]]</f>
        <v>Mixed</v>
      </c>
      <c r="AT53">
        <f>tbl_OriginalData[[#This Row],[Brand_Loyalty]]</f>
        <v>5</v>
      </c>
      <c r="AU53">
        <f>tbl_OriginalData[[#This Row],[Product_Rating]]</f>
        <v>2</v>
      </c>
      <c r="AV53">
        <f>tbl_OriginalData[[#This Row],[Time_Spent_on_Product_Research(hours)]]*60</f>
        <v>0</v>
      </c>
      <c r="AW53" t="str">
        <f>tbl_OriginalData[[#This Row],[Social_Media_Influence]]</f>
        <v>Medium</v>
      </c>
      <c r="AX53" t="str">
        <f>tbl_OriginalData[[#This Row],[Discount_Sensitivity]]</f>
        <v>Somewhat Sensitive</v>
      </c>
      <c r="AY53" s="3">
        <f>tbl_OriginalData[[#This Row],[Return_Rate]]/tbl_OriginalData[[#This Row],[Frequency_of_Purchase]]</f>
        <v>0</v>
      </c>
      <c r="AZ53">
        <f>tbl_OriginalData[[#This Row],[Customer_Satisfaction]]</f>
        <v>2</v>
      </c>
      <c r="BA53" t="str">
        <f>tbl_OriginalData[[#This Row],[Engagement_with_Ads]]</f>
        <v>High</v>
      </c>
      <c r="BB53" t="str">
        <f>tbl_OriginalData[[#This Row],[Device_Used_for_Shopping]]</f>
        <v>Smartphone</v>
      </c>
      <c r="BC53" t="str">
        <f>tbl_OriginalData[[#This Row],[Payment_Method]]</f>
        <v>Credit Card</v>
      </c>
      <c r="BD53" s="1">
        <f>tbl_OriginalData[[#This Row],[Time_of_Purchase]]</f>
        <v>45510</v>
      </c>
      <c r="BE53" t="str">
        <f>IF(tbl_OriginalData[[#This Row],[Discount_Used]]=TRUE,"Yes","No")</f>
        <v>Yes</v>
      </c>
      <c r="BF53" t="str">
        <f>IF(tbl_OriginalData[[#This Row],[Customer_Loyalty_Program_Member]]=TRUE,"Yes","No")</f>
        <v>No</v>
      </c>
      <c r="BG53" t="str">
        <f>tbl_OriginalData[[#This Row],[Purchase_Intent]]</f>
        <v>Need-based</v>
      </c>
      <c r="BH53" t="str">
        <f>tbl_OriginalData[[#This Row],[Shipping_Preference]]</f>
        <v>No Preference</v>
      </c>
      <c r="BI53">
        <f>tbl_OriginalData[[#This Row],[Time_to_Decision]]</f>
        <v>12</v>
      </c>
      <c r="BJ53" t="s">
        <v>124</v>
      </c>
      <c r="BK53" t="s">
        <v>115</v>
      </c>
      <c r="BL53" t="s">
        <v>2527</v>
      </c>
    </row>
    <row r="54" spans="1:64">
      <c r="A54" t="s">
        <v>240</v>
      </c>
      <c r="B54">
        <v>37</v>
      </c>
      <c r="C54" t="s">
        <v>33</v>
      </c>
      <c r="D54" t="s">
        <v>34</v>
      </c>
      <c r="E54" t="s">
        <v>65</v>
      </c>
      <c r="F54" t="s">
        <v>36</v>
      </c>
      <c r="G54" t="s">
        <v>34</v>
      </c>
      <c r="H54" t="s">
        <v>241</v>
      </c>
      <c r="I54" t="s">
        <v>242</v>
      </c>
      <c r="J54">
        <v>299.31</v>
      </c>
      <c r="K54">
        <v>7</v>
      </c>
      <c r="L54" t="s">
        <v>39</v>
      </c>
      <c r="M54">
        <v>2</v>
      </c>
      <c r="N54">
        <v>4</v>
      </c>
      <c r="O54">
        <v>1</v>
      </c>
      <c r="P54" t="s">
        <v>56</v>
      </c>
      <c r="Q54" t="s">
        <v>101</v>
      </c>
      <c r="R54">
        <v>2</v>
      </c>
      <c r="S54">
        <v>3</v>
      </c>
      <c r="T54" t="s">
        <v>40</v>
      </c>
      <c r="U54" t="s">
        <v>95</v>
      </c>
      <c r="V54" t="s">
        <v>71</v>
      </c>
      <c r="W54" s="1">
        <v>45323</v>
      </c>
      <c r="X54" t="b">
        <v>1</v>
      </c>
      <c r="Y54" t="b">
        <v>0</v>
      </c>
      <c r="Z54" t="s">
        <v>44</v>
      </c>
      <c r="AA54" t="s">
        <v>77</v>
      </c>
      <c r="AB54">
        <v>3</v>
      </c>
      <c r="AF54" t="str">
        <f>tbl_OriginalData[[#This Row],[Customer_ID]]</f>
        <v>53-639-3774</v>
      </c>
      <c r="AG54">
        <f>tbl_OriginalData[[#This Row],[Age]]</f>
        <v>37</v>
      </c>
      <c r="AH54" t="str" cm="1">
        <f t="array" ref="AH5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4" t="str">
        <f>tbl_OriginalData[[#This Row],[Gender]]</f>
        <v>Female</v>
      </c>
      <c r="AJ54" t="str">
        <f>tbl_OriginalData[[#This Row],[Income_Level]]</f>
        <v>Middle</v>
      </c>
      <c r="AK54" t="str">
        <f>tbl_OriginalData[[#This Row],[Marital_Status]]</f>
        <v>Single</v>
      </c>
      <c r="AL54" t="str">
        <f>tbl_OriginalData[[#This Row],[Education_Level]]</f>
        <v>Bachelor's</v>
      </c>
      <c r="AM54" t="str">
        <f>tbl_OriginalData[[#This Row],[Occupation]]</f>
        <v>Middle</v>
      </c>
      <c r="AN54" t="s">
        <v>243</v>
      </c>
      <c r="AO54" t="s">
        <v>61</v>
      </c>
      <c r="AP54" t="str">
        <f>tbl_OriginalData[[#This Row],[Purchase_Category]]</f>
        <v>Travel &amp; Leisure (Flights</v>
      </c>
      <c r="AQ54" s="4">
        <f>tbl_OriginalData[[#This Row],[Purchase_Amount]]</f>
        <v>299.31</v>
      </c>
      <c r="AR54">
        <f>tbl_OriginalData[[#This Row],[Frequency_of_Purchase]]</f>
        <v>7</v>
      </c>
      <c r="AS54" t="str">
        <f>tbl_OriginalData[[#This Row],[Purchase_Channel]]</f>
        <v>Mixed</v>
      </c>
      <c r="AT54">
        <f>tbl_OriginalData[[#This Row],[Brand_Loyalty]]</f>
        <v>2</v>
      </c>
      <c r="AU54">
        <f>tbl_OriginalData[[#This Row],[Product_Rating]]</f>
        <v>4</v>
      </c>
      <c r="AV54">
        <f>tbl_OriginalData[[#This Row],[Time_Spent_on_Product_Research(hours)]]*60</f>
        <v>60</v>
      </c>
      <c r="AW54" t="str">
        <f>tbl_OriginalData[[#This Row],[Social_Media_Influence]]</f>
        <v>Medium</v>
      </c>
      <c r="AX54" t="str">
        <f>tbl_OriginalData[[#This Row],[Discount_Sensitivity]]</f>
        <v>Very Sensitive</v>
      </c>
      <c r="AY54" s="3">
        <f>tbl_OriginalData[[#This Row],[Return_Rate]]/tbl_OriginalData[[#This Row],[Frequency_of_Purchase]]</f>
        <v>0.2857142857142857</v>
      </c>
      <c r="AZ54">
        <f>tbl_OriginalData[[#This Row],[Customer_Satisfaction]]</f>
        <v>3</v>
      </c>
      <c r="BA54" t="str">
        <f>tbl_OriginalData[[#This Row],[Engagement_with_Ads]]</f>
        <v>None</v>
      </c>
      <c r="BB54" t="str">
        <f>tbl_OriginalData[[#This Row],[Device_Used_for_Shopping]]</f>
        <v>Desktop</v>
      </c>
      <c r="BC54" t="str">
        <f>tbl_OriginalData[[#This Row],[Payment_Method]]</f>
        <v>Debit Card</v>
      </c>
      <c r="BD54" s="1">
        <f>tbl_OriginalData[[#This Row],[Time_of_Purchase]]</f>
        <v>45323</v>
      </c>
      <c r="BE54" t="str">
        <f>IF(tbl_OriginalData[[#This Row],[Discount_Used]]=TRUE,"Yes","No")</f>
        <v>Yes</v>
      </c>
      <c r="BF54" t="str">
        <f>IF(tbl_OriginalData[[#This Row],[Customer_Loyalty_Program_Member]]=TRUE,"Yes","No")</f>
        <v>No</v>
      </c>
      <c r="BG54" t="str">
        <f>tbl_OriginalData[[#This Row],[Purchase_Intent]]</f>
        <v>Need-based</v>
      </c>
      <c r="BH54" t="str">
        <f>tbl_OriginalData[[#This Row],[Shipping_Preference]]</f>
        <v>Express</v>
      </c>
      <c r="BI54">
        <f>tbl_OriginalData[[#This Row],[Time_to_Decision]]</f>
        <v>3</v>
      </c>
      <c r="BJ54" t="s">
        <v>158</v>
      </c>
      <c r="BK54" t="s">
        <v>48</v>
      </c>
      <c r="BL54" t="s">
        <v>2524</v>
      </c>
    </row>
    <row r="55" spans="1:64">
      <c r="A55" t="s">
        <v>244</v>
      </c>
      <c r="B55">
        <v>42</v>
      </c>
      <c r="C55" t="s">
        <v>50</v>
      </c>
      <c r="D55" t="s">
        <v>34</v>
      </c>
      <c r="E55" t="s">
        <v>82</v>
      </c>
      <c r="F55" t="s">
        <v>66</v>
      </c>
      <c r="G55" t="s">
        <v>34</v>
      </c>
      <c r="H55" t="s">
        <v>245</v>
      </c>
      <c r="I55" t="s">
        <v>127</v>
      </c>
      <c r="J55">
        <v>169.28</v>
      </c>
      <c r="K55">
        <v>7</v>
      </c>
      <c r="L55" t="s">
        <v>39</v>
      </c>
      <c r="M55">
        <v>4</v>
      </c>
      <c r="N55">
        <v>4</v>
      </c>
      <c r="O55">
        <v>1</v>
      </c>
      <c r="P55" t="s">
        <v>40</v>
      </c>
      <c r="Q55" t="s">
        <v>41</v>
      </c>
      <c r="R55">
        <v>2</v>
      </c>
      <c r="S55">
        <v>1</v>
      </c>
      <c r="T55" t="s">
        <v>69</v>
      </c>
      <c r="U55" t="s">
        <v>42</v>
      </c>
      <c r="V55" t="s">
        <v>102</v>
      </c>
      <c r="W55" s="1">
        <v>45460</v>
      </c>
      <c r="X55" t="b">
        <v>1</v>
      </c>
      <c r="Y55" t="b">
        <v>1</v>
      </c>
      <c r="Z55" t="s">
        <v>72</v>
      </c>
      <c r="AA55" t="s">
        <v>45</v>
      </c>
      <c r="AB55">
        <v>6</v>
      </c>
      <c r="AF55" t="str">
        <f>tbl_OriginalData[[#This Row],[Customer_ID]]</f>
        <v>20-817-9584</v>
      </c>
      <c r="AG55">
        <f>tbl_OriginalData[[#This Row],[Age]]</f>
        <v>42</v>
      </c>
      <c r="AH55" t="str" cm="1">
        <f t="array" ref="AH5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5" t="str">
        <f>tbl_OriginalData[[#This Row],[Gender]]</f>
        <v>Male</v>
      </c>
      <c r="AJ55" t="str">
        <f>tbl_OriginalData[[#This Row],[Income_Level]]</f>
        <v>Middle</v>
      </c>
      <c r="AK55" t="str">
        <f>tbl_OriginalData[[#This Row],[Marital_Status]]</f>
        <v>Widowed</v>
      </c>
      <c r="AL55" t="str">
        <f>tbl_OriginalData[[#This Row],[Education_Level]]</f>
        <v>Master's</v>
      </c>
      <c r="AM55" t="str">
        <f>tbl_OriginalData[[#This Row],[Occupation]]</f>
        <v>Middle</v>
      </c>
      <c r="AN55" t="s">
        <v>245</v>
      </c>
      <c r="AO55" t="s">
        <v>246</v>
      </c>
      <c r="AP55" t="str">
        <f>tbl_OriginalData[[#This Row],[Purchase_Category]]</f>
        <v>Animal Feed</v>
      </c>
      <c r="AQ55" s="4">
        <f>tbl_OriginalData[[#This Row],[Purchase_Amount]]</f>
        <v>169.28</v>
      </c>
      <c r="AR55">
        <f>tbl_OriginalData[[#This Row],[Frequency_of_Purchase]]</f>
        <v>7</v>
      </c>
      <c r="AS55" t="str">
        <f>tbl_OriginalData[[#This Row],[Purchase_Channel]]</f>
        <v>Mixed</v>
      </c>
      <c r="AT55">
        <f>tbl_OriginalData[[#This Row],[Brand_Loyalty]]</f>
        <v>4</v>
      </c>
      <c r="AU55">
        <f>tbl_OriginalData[[#This Row],[Product_Rating]]</f>
        <v>4</v>
      </c>
      <c r="AV55">
        <f>tbl_OriginalData[[#This Row],[Time_Spent_on_Product_Research(hours)]]*60</f>
        <v>60</v>
      </c>
      <c r="AW55" t="str">
        <f>tbl_OriginalData[[#This Row],[Social_Media_Influence]]</f>
        <v>None</v>
      </c>
      <c r="AX55" t="str">
        <f>tbl_OriginalData[[#This Row],[Discount_Sensitivity]]</f>
        <v>Somewhat Sensitive</v>
      </c>
      <c r="AY55" s="3">
        <f>tbl_OriginalData[[#This Row],[Return_Rate]]/tbl_OriginalData[[#This Row],[Frequency_of_Purchase]]</f>
        <v>0.2857142857142857</v>
      </c>
      <c r="AZ55">
        <f>tbl_OriginalData[[#This Row],[Customer_Satisfaction]]</f>
        <v>1</v>
      </c>
      <c r="BA55" t="str">
        <f>tbl_OriginalData[[#This Row],[Engagement_with_Ads]]</f>
        <v>Low</v>
      </c>
      <c r="BB55" t="str">
        <f>tbl_OriginalData[[#This Row],[Device_Used_for_Shopping]]</f>
        <v>Tablet</v>
      </c>
      <c r="BC55" t="str">
        <f>tbl_OriginalData[[#This Row],[Payment_Method]]</f>
        <v>Cash</v>
      </c>
      <c r="BD55" s="1">
        <f>tbl_OriginalData[[#This Row],[Time_of_Purchase]]</f>
        <v>45460</v>
      </c>
      <c r="BE55" t="str">
        <f>IF(tbl_OriginalData[[#This Row],[Discount_Used]]=TRUE,"Yes","No")</f>
        <v>Yes</v>
      </c>
      <c r="BF55" t="str">
        <f>IF(tbl_OriginalData[[#This Row],[Customer_Loyalty_Program_Member]]=TRUE,"Yes","No")</f>
        <v>Yes</v>
      </c>
      <c r="BG55" t="str">
        <f>tbl_OriginalData[[#This Row],[Purchase_Intent]]</f>
        <v>Impulsive</v>
      </c>
      <c r="BH55" t="str">
        <f>tbl_OriginalData[[#This Row],[Shipping_Preference]]</f>
        <v>No Preference</v>
      </c>
      <c r="BI55">
        <f>tbl_OriginalData[[#This Row],[Time_to_Decision]]</f>
        <v>6</v>
      </c>
      <c r="BJ55" t="s">
        <v>104</v>
      </c>
      <c r="BK55" t="s">
        <v>63</v>
      </c>
      <c r="BL55" t="s">
        <v>2523</v>
      </c>
    </row>
    <row r="56" spans="1:64">
      <c r="A56" t="s">
        <v>247</v>
      </c>
      <c r="B56">
        <v>29</v>
      </c>
      <c r="C56" t="s">
        <v>50</v>
      </c>
      <c r="D56" t="s">
        <v>34</v>
      </c>
      <c r="E56" t="s">
        <v>82</v>
      </c>
      <c r="F56" t="s">
        <v>52</v>
      </c>
      <c r="G56" t="s">
        <v>51</v>
      </c>
      <c r="H56" t="s">
        <v>248</v>
      </c>
      <c r="I56" t="s">
        <v>68</v>
      </c>
      <c r="J56">
        <v>449.13</v>
      </c>
      <c r="K56">
        <v>9</v>
      </c>
      <c r="L56" t="s">
        <v>55</v>
      </c>
      <c r="M56">
        <v>2</v>
      </c>
      <c r="N56">
        <v>1</v>
      </c>
      <c r="O56">
        <v>0.5</v>
      </c>
      <c r="P56" t="s">
        <v>56</v>
      </c>
      <c r="Q56" t="s">
        <v>57</v>
      </c>
      <c r="R56">
        <v>2</v>
      </c>
      <c r="S56">
        <v>2</v>
      </c>
      <c r="T56" t="s">
        <v>69</v>
      </c>
      <c r="U56" t="s">
        <v>42</v>
      </c>
      <c r="V56" t="s">
        <v>43</v>
      </c>
      <c r="W56" s="1">
        <v>45455</v>
      </c>
      <c r="X56" t="b">
        <v>0</v>
      </c>
      <c r="Y56" t="b">
        <v>0</v>
      </c>
      <c r="Z56" t="s">
        <v>89</v>
      </c>
      <c r="AA56" t="s">
        <v>45</v>
      </c>
      <c r="AB56">
        <v>14</v>
      </c>
      <c r="AF56" t="str">
        <f>tbl_OriginalData[[#This Row],[Customer_ID]]</f>
        <v>18-655-3670</v>
      </c>
      <c r="AG56">
        <f>tbl_OriginalData[[#This Row],[Age]]</f>
        <v>29</v>
      </c>
      <c r="AH56" t="str" cm="1">
        <f t="array" ref="AH5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6" t="str">
        <f>tbl_OriginalData[[#This Row],[Gender]]</f>
        <v>Male</v>
      </c>
      <c r="AJ56" t="str">
        <f>tbl_OriginalData[[#This Row],[Income_Level]]</f>
        <v>Middle</v>
      </c>
      <c r="AK56" t="str">
        <f>tbl_OriginalData[[#This Row],[Marital_Status]]</f>
        <v>Widowed</v>
      </c>
      <c r="AL56" t="str">
        <f>tbl_OriginalData[[#This Row],[Education_Level]]</f>
        <v>High School</v>
      </c>
      <c r="AM56" t="str">
        <f>tbl_OriginalData[[#This Row],[Occupation]]</f>
        <v>High</v>
      </c>
      <c r="AN56" t="s">
        <v>248</v>
      </c>
      <c r="AO56" t="s">
        <v>171</v>
      </c>
      <c r="AP56" t="str">
        <f>tbl_OriginalData[[#This Row],[Purchase_Category]]</f>
        <v>Office Supplies</v>
      </c>
      <c r="AQ56" s="4">
        <f>tbl_OriginalData[[#This Row],[Purchase_Amount]]</f>
        <v>449.13</v>
      </c>
      <c r="AR56">
        <f>tbl_OriginalData[[#This Row],[Frequency_of_Purchase]]</f>
        <v>9</v>
      </c>
      <c r="AS56" t="str">
        <f>tbl_OriginalData[[#This Row],[Purchase_Channel]]</f>
        <v>In-Store</v>
      </c>
      <c r="AT56">
        <f>tbl_OriginalData[[#This Row],[Brand_Loyalty]]</f>
        <v>2</v>
      </c>
      <c r="AU56">
        <f>tbl_OriginalData[[#This Row],[Product_Rating]]</f>
        <v>1</v>
      </c>
      <c r="AV56">
        <f>tbl_OriginalData[[#This Row],[Time_Spent_on_Product_Research(hours)]]*60</f>
        <v>30</v>
      </c>
      <c r="AW56" t="str">
        <f>tbl_OriginalData[[#This Row],[Social_Media_Influence]]</f>
        <v>Medium</v>
      </c>
      <c r="AX56" t="str">
        <f>tbl_OriginalData[[#This Row],[Discount_Sensitivity]]</f>
        <v>Not Sensitive</v>
      </c>
      <c r="AY56" s="3">
        <f>tbl_OriginalData[[#This Row],[Return_Rate]]/tbl_OriginalData[[#This Row],[Frequency_of_Purchase]]</f>
        <v>0.22222222222222221</v>
      </c>
      <c r="AZ56">
        <f>tbl_OriginalData[[#This Row],[Customer_Satisfaction]]</f>
        <v>2</v>
      </c>
      <c r="BA56" t="str">
        <f>tbl_OriginalData[[#This Row],[Engagement_with_Ads]]</f>
        <v>Low</v>
      </c>
      <c r="BB56" t="str">
        <f>tbl_OriginalData[[#This Row],[Device_Used_for_Shopping]]</f>
        <v>Tablet</v>
      </c>
      <c r="BC56" t="str">
        <f>tbl_OriginalData[[#This Row],[Payment_Method]]</f>
        <v>Credit Card</v>
      </c>
      <c r="BD56" s="1">
        <f>tbl_OriginalData[[#This Row],[Time_of_Purchase]]</f>
        <v>45455</v>
      </c>
      <c r="BE56" t="str">
        <f>IF(tbl_OriginalData[[#This Row],[Discount_Used]]=TRUE,"Yes","No")</f>
        <v>No</v>
      </c>
      <c r="BF56" t="str">
        <f>IF(tbl_OriginalData[[#This Row],[Customer_Loyalty_Program_Member]]=TRUE,"Yes","No")</f>
        <v>No</v>
      </c>
      <c r="BG56" t="str">
        <f>tbl_OriginalData[[#This Row],[Purchase_Intent]]</f>
        <v>Planned</v>
      </c>
      <c r="BH56" t="str">
        <f>tbl_OriginalData[[#This Row],[Shipping_Preference]]</f>
        <v>No Preference</v>
      </c>
      <c r="BI56">
        <f>tbl_OriginalData[[#This Row],[Time_to_Decision]]</f>
        <v>14</v>
      </c>
      <c r="BJ56" t="s">
        <v>104</v>
      </c>
      <c r="BK56" t="s">
        <v>63</v>
      </c>
      <c r="BL56" t="s">
        <v>2523</v>
      </c>
    </row>
    <row r="57" spans="1:64">
      <c r="A57" t="s">
        <v>249</v>
      </c>
      <c r="B57">
        <v>35</v>
      </c>
      <c r="C57" t="s">
        <v>33</v>
      </c>
      <c r="D57" t="s">
        <v>51</v>
      </c>
      <c r="E57" t="s">
        <v>35</v>
      </c>
      <c r="F57" t="s">
        <v>66</v>
      </c>
      <c r="G57" t="s">
        <v>51</v>
      </c>
      <c r="H57" t="s">
        <v>250</v>
      </c>
      <c r="I57" t="s">
        <v>127</v>
      </c>
      <c r="J57">
        <v>427.48</v>
      </c>
      <c r="K57">
        <v>6</v>
      </c>
      <c r="L57" t="s">
        <v>94</v>
      </c>
      <c r="M57">
        <v>4</v>
      </c>
      <c r="N57">
        <v>2</v>
      </c>
      <c r="O57">
        <v>0</v>
      </c>
      <c r="P57" t="s">
        <v>56</v>
      </c>
      <c r="Q57" t="s">
        <v>57</v>
      </c>
      <c r="R57">
        <v>1</v>
      </c>
      <c r="S57">
        <v>1</v>
      </c>
      <c r="T57" t="s">
        <v>69</v>
      </c>
      <c r="U57" t="s">
        <v>70</v>
      </c>
      <c r="V57" t="s">
        <v>71</v>
      </c>
      <c r="W57" s="1">
        <v>45642</v>
      </c>
      <c r="X57" t="b">
        <v>1</v>
      </c>
      <c r="Y57" t="b">
        <v>0</v>
      </c>
      <c r="Z57" t="s">
        <v>72</v>
      </c>
      <c r="AA57" t="s">
        <v>60</v>
      </c>
      <c r="AB57">
        <v>11</v>
      </c>
      <c r="AF57" t="str">
        <f>tbl_OriginalData[[#This Row],[Customer_ID]]</f>
        <v>72-431-5021</v>
      </c>
      <c r="AG57">
        <f>tbl_OriginalData[[#This Row],[Age]]</f>
        <v>35</v>
      </c>
      <c r="AH57" t="str" cm="1">
        <f t="array" ref="AH5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7" t="str">
        <f>tbl_OriginalData[[#This Row],[Gender]]</f>
        <v>Female</v>
      </c>
      <c r="AJ57" t="str">
        <f>tbl_OriginalData[[#This Row],[Income_Level]]</f>
        <v>High</v>
      </c>
      <c r="AK57" t="str">
        <f>tbl_OriginalData[[#This Row],[Marital_Status]]</f>
        <v>Married</v>
      </c>
      <c r="AL57" t="str">
        <f>tbl_OriginalData[[#This Row],[Education_Level]]</f>
        <v>Master's</v>
      </c>
      <c r="AM57" t="str">
        <f>tbl_OriginalData[[#This Row],[Occupation]]</f>
        <v>High</v>
      </c>
      <c r="AN57" t="s">
        <v>250</v>
      </c>
      <c r="AO57" t="s">
        <v>246</v>
      </c>
      <c r="AP57" t="str">
        <f>tbl_OriginalData[[#This Row],[Purchase_Category]]</f>
        <v>Animal Feed</v>
      </c>
      <c r="AQ57" s="4">
        <f>tbl_OriginalData[[#This Row],[Purchase_Amount]]</f>
        <v>427.48</v>
      </c>
      <c r="AR57">
        <f>tbl_OriginalData[[#This Row],[Frequency_of_Purchase]]</f>
        <v>6</v>
      </c>
      <c r="AS57" t="str">
        <f>tbl_OriginalData[[#This Row],[Purchase_Channel]]</f>
        <v>Online</v>
      </c>
      <c r="AT57">
        <f>tbl_OriginalData[[#This Row],[Brand_Loyalty]]</f>
        <v>4</v>
      </c>
      <c r="AU57">
        <f>tbl_OriginalData[[#This Row],[Product_Rating]]</f>
        <v>2</v>
      </c>
      <c r="AV57">
        <f>tbl_OriginalData[[#This Row],[Time_Spent_on_Product_Research(hours)]]*60</f>
        <v>0</v>
      </c>
      <c r="AW57" t="str">
        <f>tbl_OriginalData[[#This Row],[Social_Media_Influence]]</f>
        <v>Medium</v>
      </c>
      <c r="AX57" t="str">
        <f>tbl_OriginalData[[#This Row],[Discount_Sensitivity]]</f>
        <v>Not Sensitive</v>
      </c>
      <c r="AY57" s="3">
        <f>tbl_OriginalData[[#This Row],[Return_Rate]]/tbl_OriginalData[[#This Row],[Frequency_of_Purchase]]</f>
        <v>0.16666666666666666</v>
      </c>
      <c r="AZ57">
        <f>tbl_OriginalData[[#This Row],[Customer_Satisfaction]]</f>
        <v>1</v>
      </c>
      <c r="BA57" t="str">
        <f>tbl_OriginalData[[#This Row],[Engagement_with_Ads]]</f>
        <v>Low</v>
      </c>
      <c r="BB57" t="str">
        <f>tbl_OriginalData[[#This Row],[Device_Used_for_Shopping]]</f>
        <v>Smartphone</v>
      </c>
      <c r="BC57" t="str">
        <f>tbl_OriginalData[[#This Row],[Payment_Method]]</f>
        <v>Debit Card</v>
      </c>
      <c r="BD57" s="1">
        <f>tbl_OriginalData[[#This Row],[Time_of_Purchase]]</f>
        <v>45642</v>
      </c>
      <c r="BE57" t="str">
        <f>IF(tbl_OriginalData[[#This Row],[Discount_Used]]=TRUE,"Yes","No")</f>
        <v>Yes</v>
      </c>
      <c r="BF57" t="str">
        <f>IF(tbl_OriginalData[[#This Row],[Customer_Loyalty_Program_Member]]=TRUE,"Yes","No")</f>
        <v>No</v>
      </c>
      <c r="BG57" t="str">
        <f>tbl_OriginalData[[#This Row],[Purchase_Intent]]</f>
        <v>Impulsive</v>
      </c>
      <c r="BH57" t="str">
        <f>tbl_OriginalData[[#This Row],[Shipping_Preference]]</f>
        <v>Standard</v>
      </c>
      <c r="BI57">
        <f>tbl_OriginalData[[#This Row],[Time_to_Decision]]</f>
        <v>11</v>
      </c>
      <c r="BJ57" t="s">
        <v>120</v>
      </c>
      <c r="BK57" t="s">
        <v>80</v>
      </c>
      <c r="BL57" t="s">
        <v>2523</v>
      </c>
    </row>
    <row r="58" spans="1:64">
      <c r="A58" t="s">
        <v>251</v>
      </c>
      <c r="B58">
        <v>27</v>
      </c>
      <c r="C58" t="s">
        <v>33</v>
      </c>
      <c r="D58" t="s">
        <v>34</v>
      </c>
      <c r="E58" t="s">
        <v>65</v>
      </c>
      <c r="F58" t="s">
        <v>52</v>
      </c>
      <c r="G58" t="s">
        <v>51</v>
      </c>
      <c r="H58" t="s">
        <v>252</v>
      </c>
      <c r="I58" t="s">
        <v>108</v>
      </c>
      <c r="J58">
        <v>171.61</v>
      </c>
      <c r="K58">
        <v>3</v>
      </c>
      <c r="L58" t="s">
        <v>94</v>
      </c>
      <c r="M58">
        <v>3</v>
      </c>
      <c r="N58">
        <v>1</v>
      </c>
      <c r="O58">
        <v>2</v>
      </c>
      <c r="P58" t="s">
        <v>69</v>
      </c>
      <c r="Q58" t="s">
        <v>101</v>
      </c>
      <c r="R58">
        <v>1</v>
      </c>
      <c r="S58">
        <v>6</v>
      </c>
      <c r="T58" t="s">
        <v>51</v>
      </c>
      <c r="U58" t="s">
        <v>95</v>
      </c>
      <c r="V58" t="s">
        <v>43</v>
      </c>
      <c r="W58" s="1">
        <v>45596</v>
      </c>
      <c r="X58" t="b">
        <v>1</v>
      </c>
      <c r="Y58" t="b">
        <v>0</v>
      </c>
      <c r="Z58" t="s">
        <v>89</v>
      </c>
      <c r="AA58" t="s">
        <v>77</v>
      </c>
      <c r="AB58">
        <v>8</v>
      </c>
      <c r="AF58" t="str">
        <f>tbl_OriginalData[[#This Row],[Customer_ID]]</f>
        <v>07-479-3919</v>
      </c>
      <c r="AG58">
        <f>tbl_OriginalData[[#This Row],[Age]]</f>
        <v>27</v>
      </c>
      <c r="AH58" t="str" cm="1">
        <f t="array" ref="AH5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8" t="str">
        <f>tbl_OriginalData[[#This Row],[Gender]]</f>
        <v>Female</v>
      </c>
      <c r="AJ58" t="str">
        <f>tbl_OriginalData[[#This Row],[Income_Level]]</f>
        <v>Middle</v>
      </c>
      <c r="AK58" t="str">
        <f>tbl_OriginalData[[#This Row],[Marital_Status]]</f>
        <v>Single</v>
      </c>
      <c r="AL58" t="str">
        <f>tbl_OriginalData[[#This Row],[Education_Level]]</f>
        <v>High School</v>
      </c>
      <c r="AM58" t="str">
        <f>tbl_OriginalData[[#This Row],[Occupation]]</f>
        <v>High</v>
      </c>
      <c r="AN58" t="s">
        <v>252</v>
      </c>
      <c r="AO58" t="s">
        <v>232</v>
      </c>
      <c r="AP58" t="str">
        <f>tbl_OriginalData[[#This Row],[Purchase_Category]]</f>
        <v>Sports &amp; Outdoors</v>
      </c>
      <c r="AQ58" s="4">
        <f>tbl_OriginalData[[#This Row],[Purchase_Amount]]</f>
        <v>171.61</v>
      </c>
      <c r="AR58">
        <f>tbl_OriginalData[[#This Row],[Frequency_of_Purchase]]</f>
        <v>3</v>
      </c>
      <c r="AS58" t="str">
        <f>tbl_OriginalData[[#This Row],[Purchase_Channel]]</f>
        <v>Online</v>
      </c>
      <c r="AT58">
        <f>tbl_OriginalData[[#This Row],[Brand_Loyalty]]</f>
        <v>3</v>
      </c>
      <c r="AU58">
        <f>tbl_OriginalData[[#This Row],[Product_Rating]]</f>
        <v>1</v>
      </c>
      <c r="AV58">
        <f>tbl_OriginalData[[#This Row],[Time_Spent_on_Product_Research(hours)]]*60</f>
        <v>120</v>
      </c>
      <c r="AW58" t="str">
        <f>tbl_OriginalData[[#This Row],[Social_Media_Influence]]</f>
        <v>Low</v>
      </c>
      <c r="AX58" t="str">
        <f>tbl_OriginalData[[#This Row],[Discount_Sensitivity]]</f>
        <v>Very Sensitive</v>
      </c>
      <c r="AY58" s="3">
        <f>tbl_OriginalData[[#This Row],[Return_Rate]]/tbl_OriginalData[[#This Row],[Frequency_of_Purchase]]</f>
        <v>0.33333333333333331</v>
      </c>
      <c r="AZ58">
        <f>tbl_OriginalData[[#This Row],[Customer_Satisfaction]]</f>
        <v>6</v>
      </c>
      <c r="BA58" t="str">
        <f>tbl_OriginalData[[#This Row],[Engagement_with_Ads]]</f>
        <v>High</v>
      </c>
      <c r="BB58" t="str">
        <f>tbl_OriginalData[[#This Row],[Device_Used_for_Shopping]]</f>
        <v>Desktop</v>
      </c>
      <c r="BC58" t="str">
        <f>tbl_OriginalData[[#This Row],[Payment_Method]]</f>
        <v>Credit Card</v>
      </c>
      <c r="BD58" s="1">
        <f>tbl_OriginalData[[#This Row],[Time_of_Purchase]]</f>
        <v>45596</v>
      </c>
      <c r="BE58" t="str">
        <f>IF(tbl_OriginalData[[#This Row],[Discount_Used]]=TRUE,"Yes","No")</f>
        <v>Yes</v>
      </c>
      <c r="BF58" t="str">
        <f>IF(tbl_OriginalData[[#This Row],[Customer_Loyalty_Program_Member]]=TRUE,"Yes","No")</f>
        <v>No</v>
      </c>
      <c r="BG58" t="str">
        <f>tbl_OriginalData[[#This Row],[Purchase_Intent]]</f>
        <v>Planned</v>
      </c>
      <c r="BH58" t="str">
        <f>tbl_OriginalData[[#This Row],[Shipping_Preference]]</f>
        <v>Express</v>
      </c>
      <c r="BI58">
        <f>tbl_OriginalData[[#This Row],[Time_to_Decision]]</f>
        <v>8</v>
      </c>
      <c r="BJ58" t="s">
        <v>79</v>
      </c>
      <c r="BK58" t="s">
        <v>80</v>
      </c>
      <c r="BL58" t="s">
        <v>2523</v>
      </c>
    </row>
    <row r="59" spans="1:64">
      <c r="A59" t="s">
        <v>253</v>
      </c>
      <c r="B59">
        <v>40</v>
      </c>
      <c r="C59" t="s">
        <v>33</v>
      </c>
      <c r="D59" t="s">
        <v>51</v>
      </c>
      <c r="E59" t="s">
        <v>35</v>
      </c>
      <c r="F59" t="s">
        <v>36</v>
      </c>
      <c r="G59" t="s">
        <v>51</v>
      </c>
      <c r="H59" t="s">
        <v>254</v>
      </c>
      <c r="I59" t="s">
        <v>98</v>
      </c>
      <c r="J59">
        <v>240.28</v>
      </c>
      <c r="K59">
        <v>3</v>
      </c>
      <c r="L59" t="s">
        <v>94</v>
      </c>
      <c r="M59">
        <v>3</v>
      </c>
      <c r="N59">
        <v>5</v>
      </c>
      <c r="O59">
        <v>2</v>
      </c>
      <c r="P59" t="s">
        <v>51</v>
      </c>
      <c r="Q59" t="s">
        <v>57</v>
      </c>
      <c r="R59">
        <v>2</v>
      </c>
      <c r="S59">
        <v>7</v>
      </c>
      <c r="T59" t="s">
        <v>56</v>
      </c>
      <c r="U59" t="s">
        <v>42</v>
      </c>
      <c r="V59" t="s">
        <v>102</v>
      </c>
      <c r="W59" s="1">
        <v>45633</v>
      </c>
      <c r="X59" t="b">
        <v>1</v>
      </c>
      <c r="Y59" t="b">
        <v>1</v>
      </c>
      <c r="Z59" t="s">
        <v>72</v>
      </c>
      <c r="AA59" t="s">
        <v>60</v>
      </c>
      <c r="AB59">
        <v>4</v>
      </c>
      <c r="AF59" t="str">
        <f>tbl_OriginalData[[#This Row],[Customer_ID]]</f>
        <v>17-032-6274</v>
      </c>
      <c r="AG59">
        <f>tbl_OriginalData[[#This Row],[Age]]</f>
        <v>40</v>
      </c>
      <c r="AH59" t="str" cm="1">
        <f t="array" ref="AH5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9" t="str">
        <f>tbl_OriginalData[[#This Row],[Gender]]</f>
        <v>Female</v>
      </c>
      <c r="AJ59" t="str">
        <f>tbl_OriginalData[[#This Row],[Income_Level]]</f>
        <v>High</v>
      </c>
      <c r="AK59" t="str">
        <f>tbl_OriginalData[[#This Row],[Marital_Status]]</f>
        <v>Married</v>
      </c>
      <c r="AL59" t="str">
        <f>tbl_OriginalData[[#This Row],[Education_Level]]</f>
        <v>Bachelor's</v>
      </c>
      <c r="AM59" t="str">
        <f>tbl_OriginalData[[#This Row],[Occupation]]</f>
        <v>High</v>
      </c>
      <c r="AN59" t="s">
        <v>255</v>
      </c>
      <c r="AO59" t="s">
        <v>194</v>
      </c>
      <c r="AP59" t="str">
        <f>tbl_OriginalData[[#This Row],[Purchase_Category]]</f>
        <v>Books</v>
      </c>
      <c r="AQ59" s="4">
        <f>tbl_OriginalData[[#This Row],[Purchase_Amount]]</f>
        <v>240.28</v>
      </c>
      <c r="AR59">
        <f>tbl_OriginalData[[#This Row],[Frequency_of_Purchase]]</f>
        <v>3</v>
      </c>
      <c r="AS59" t="str">
        <f>tbl_OriginalData[[#This Row],[Purchase_Channel]]</f>
        <v>Online</v>
      </c>
      <c r="AT59">
        <f>tbl_OriginalData[[#This Row],[Brand_Loyalty]]</f>
        <v>3</v>
      </c>
      <c r="AU59">
        <f>tbl_OriginalData[[#This Row],[Product_Rating]]</f>
        <v>5</v>
      </c>
      <c r="AV59">
        <f>tbl_OriginalData[[#This Row],[Time_Spent_on_Product_Research(hours)]]*60</f>
        <v>120</v>
      </c>
      <c r="AW59" t="str">
        <f>tbl_OriginalData[[#This Row],[Social_Media_Influence]]</f>
        <v>High</v>
      </c>
      <c r="AX59" t="str">
        <f>tbl_OriginalData[[#This Row],[Discount_Sensitivity]]</f>
        <v>Not Sensitive</v>
      </c>
      <c r="AY59" s="3">
        <f>tbl_OriginalData[[#This Row],[Return_Rate]]/tbl_OriginalData[[#This Row],[Frequency_of_Purchase]]</f>
        <v>0.66666666666666663</v>
      </c>
      <c r="AZ59">
        <f>tbl_OriginalData[[#This Row],[Customer_Satisfaction]]</f>
        <v>7</v>
      </c>
      <c r="BA59" t="str">
        <f>tbl_OriginalData[[#This Row],[Engagement_with_Ads]]</f>
        <v>Medium</v>
      </c>
      <c r="BB59" t="str">
        <f>tbl_OriginalData[[#This Row],[Device_Used_for_Shopping]]</f>
        <v>Tablet</v>
      </c>
      <c r="BC59" t="str">
        <f>tbl_OriginalData[[#This Row],[Payment_Method]]</f>
        <v>Cash</v>
      </c>
      <c r="BD59" s="1">
        <f>tbl_OriginalData[[#This Row],[Time_of_Purchase]]</f>
        <v>45633</v>
      </c>
      <c r="BE59" t="str">
        <f>IF(tbl_OriginalData[[#This Row],[Discount_Used]]=TRUE,"Yes","No")</f>
        <v>Yes</v>
      </c>
      <c r="BF59" t="str">
        <f>IF(tbl_OriginalData[[#This Row],[Customer_Loyalty_Program_Member]]=TRUE,"Yes","No")</f>
        <v>Yes</v>
      </c>
      <c r="BG59" t="str">
        <f>tbl_OriginalData[[#This Row],[Purchase_Intent]]</f>
        <v>Impulsive</v>
      </c>
      <c r="BH59" t="str">
        <f>tbl_OriginalData[[#This Row],[Shipping_Preference]]</f>
        <v>Standard</v>
      </c>
      <c r="BI59">
        <f>tbl_OriginalData[[#This Row],[Time_to_Decision]]</f>
        <v>4</v>
      </c>
      <c r="BJ59" t="s">
        <v>120</v>
      </c>
      <c r="BK59" t="s">
        <v>80</v>
      </c>
      <c r="BL59" t="s">
        <v>2524</v>
      </c>
    </row>
    <row r="60" spans="1:64">
      <c r="A60" t="s">
        <v>256</v>
      </c>
      <c r="B60">
        <v>34</v>
      </c>
      <c r="C60" t="s">
        <v>33</v>
      </c>
      <c r="D60" t="s">
        <v>51</v>
      </c>
      <c r="E60" t="s">
        <v>65</v>
      </c>
      <c r="F60" t="s">
        <v>52</v>
      </c>
      <c r="G60" t="s">
        <v>51</v>
      </c>
      <c r="H60" t="s">
        <v>257</v>
      </c>
      <c r="I60" t="s">
        <v>84</v>
      </c>
      <c r="J60">
        <v>310.17</v>
      </c>
      <c r="K60">
        <v>6</v>
      </c>
      <c r="L60" t="s">
        <v>55</v>
      </c>
      <c r="M60">
        <v>2</v>
      </c>
      <c r="N60">
        <v>3</v>
      </c>
      <c r="O60">
        <v>2</v>
      </c>
      <c r="P60" t="s">
        <v>56</v>
      </c>
      <c r="Q60" t="s">
        <v>101</v>
      </c>
      <c r="R60">
        <v>0</v>
      </c>
      <c r="S60">
        <v>10</v>
      </c>
      <c r="T60" t="s">
        <v>40</v>
      </c>
      <c r="U60" t="s">
        <v>70</v>
      </c>
      <c r="V60" t="s">
        <v>71</v>
      </c>
      <c r="W60" s="1">
        <v>45346</v>
      </c>
      <c r="X60" t="b">
        <v>0</v>
      </c>
      <c r="Y60" t="b">
        <v>0</v>
      </c>
      <c r="Z60" t="s">
        <v>59</v>
      </c>
      <c r="AA60" t="s">
        <v>45</v>
      </c>
      <c r="AB60">
        <v>13</v>
      </c>
      <c r="AF60" t="str">
        <f>tbl_OriginalData[[#This Row],[Customer_ID]]</f>
        <v>64-166-9097</v>
      </c>
      <c r="AG60">
        <f>tbl_OriginalData[[#This Row],[Age]]</f>
        <v>34</v>
      </c>
      <c r="AH60" t="str" cm="1">
        <f t="array" ref="AH6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0" t="str">
        <f>tbl_OriginalData[[#This Row],[Gender]]</f>
        <v>Female</v>
      </c>
      <c r="AJ60" t="str">
        <f>tbl_OriginalData[[#This Row],[Income_Level]]</f>
        <v>High</v>
      </c>
      <c r="AK60" t="str">
        <f>tbl_OriginalData[[#This Row],[Marital_Status]]</f>
        <v>Single</v>
      </c>
      <c r="AL60" t="str">
        <f>tbl_OriginalData[[#This Row],[Education_Level]]</f>
        <v>High School</v>
      </c>
      <c r="AM60" t="str">
        <f>tbl_OriginalData[[#This Row],[Occupation]]</f>
        <v>High</v>
      </c>
      <c r="AN60" t="s">
        <v>257</v>
      </c>
      <c r="AO60" t="s">
        <v>132</v>
      </c>
      <c r="AP60" t="str">
        <f>tbl_OriginalData[[#This Row],[Purchase_Category]]</f>
        <v>Furniture</v>
      </c>
      <c r="AQ60" s="4">
        <f>tbl_OriginalData[[#This Row],[Purchase_Amount]]</f>
        <v>310.17</v>
      </c>
      <c r="AR60">
        <f>tbl_OriginalData[[#This Row],[Frequency_of_Purchase]]</f>
        <v>6</v>
      </c>
      <c r="AS60" t="str">
        <f>tbl_OriginalData[[#This Row],[Purchase_Channel]]</f>
        <v>In-Store</v>
      </c>
      <c r="AT60">
        <f>tbl_OriginalData[[#This Row],[Brand_Loyalty]]</f>
        <v>2</v>
      </c>
      <c r="AU60">
        <f>tbl_OriginalData[[#This Row],[Product_Rating]]</f>
        <v>3</v>
      </c>
      <c r="AV60">
        <f>tbl_OriginalData[[#This Row],[Time_Spent_on_Product_Research(hours)]]*60</f>
        <v>120</v>
      </c>
      <c r="AW60" t="str">
        <f>tbl_OriginalData[[#This Row],[Social_Media_Influence]]</f>
        <v>Medium</v>
      </c>
      <c r="AX60" t="str">
        <f>tbl_OriginalData[[#This Row],[Discount_Sensitivity]]</f>
        <v>Very Sensitive</v>
      </c>
      <c r="AY60" s="3">
        <f>tbl_OriginalData[[#This Row],[Return_Rate]]/tbl_OriginalData[[#This Row],[Frequency_of_Purchase]]</f>
        <v>0</v>
      </c>
      <c r="AZ60">
        <f>tbl_OriginalData[[#This Row],[Customer_Satisfaction]]</f>
        <v>10</v>
      </c>
      <c r="BA60" t="str">
        <f>tbl_OriginalData[[#This Row],[Engagement_with_Ads]]</f>
        <v>None</v>
      </c>
      <c r="BB60" t="str">
        <f>tbl_OriginalData[[#This Row],[Device_Used_for_Shopping]]</f>
        <v>Smartphone</v>
      </c>
      <c r="BC60" t="str">
        <f>tbl_OriginalData[[#This Row],[Payment_Method]]</f>
        <v>Debit Card</v>
      </c>
      <c r="BD60" s="1">
        <f>tbl_OriginalData[[#This Row],[Time_of_Purchase]]</f>
        <v>45346</v>
      </c>
      <c r="BE60" t="str">
        <f>IF(tbl_OriginalData[[#This Row],[Discount_Used]]=TRUE,"Yes","No")</f>
        <v>No</v>
      </c>
      <c r="BF60" t="str">
        <f>IF(tbl_OriginalData[[#This Row],[Customer_Loyalty_Program_Member]]=TRUE,"Yes","No")</f>
        <v>No</v>
      </c>
      <c r="BG60" t="str">
        <f>tbl_OriginalData[[#This Row],[Purchase_Intent]]</f>
        <v>Wants-based</v>
      </c>
      <c r="BH60" t="str">
        <f>tbl_OriginalData[[#This Row],[Shipping_Preference]]</f>
        <v>No Preference</v>
      </c>
      <c r="BI60">
        <f>tbl_OriginalData[[#This Row],[Time_to_Decision]]</f>
        <v>13</v>
      </c>
      <c r="BJ60" t="s">
        <v>158</v>
      </c>
      <c r="BK60" t="s">
        <v>48</v>
      </c>
      <c r="BL60" t="s">
        <v>2525</v>
      </c>
    </row>
    <row r="61" spans="1:64">
      <c r="A61" t="s">
        <v>258</v>
      </c>
      <c r="B61">
        <v>25</v>
      </c>
      <c r="C61" t="s">
        <v>33</v>
      </c>
      <c r="D61" t="s">
        <v>34</v>
      </c>
      <c r="E61" t="s">
        <v>35</v>
      </c>
      <c r="F61" t="s">
        <v>36</v>
      </c>
      <c r="G61" t="s">
        <v>34</v>
      </c>
      <c r="H61" t="s">
        <v>259</v>
      </c>
      <c r="I61" t="s">
        <v>135</v>
      </c>
      <c r="J61">
        <v>166</v>
      </c>
      <c r="K61">
        <v>10</v>
      </c>
      <c r="L61" t="s">
        <v>94</v>
      </c>
      <c r="M61">
        <v>5</v>
      </c>
      <c r="N61">
        <v>3</v>
      </c>
      <c r="O61">
        <v>0</v>
      </c>
      <c r="P61" t="s">
        <v>51</v>
      </c>
      <c r="Q61" t="s">
        <v>57</v>
      </c>
      <c r="R61">
        <v>2</v>
      </c>
      <c r="S61">
        <v>10</v>
      </c>
      <c r="T61" t="s">
        <v>56</v>
      </c>
      <c r="U61" t="s">
        <v>70</v>
      </c>
      <c r="V61" t="s">
        <v>58</v>
      </c>
      <c r="W61" s="1">
        <v>45454</v>
      </c>
      <c r="X61" t="b">
        <v>0</v>
      </c>
      <c r="Y61" t="b">
        <v>0</v>
      </c>
      <c r="Z61" t="s">
        <v>72</v>
      </c>
      <c r="AA61" t="s">
        <v>77</v>
      </c>
      <c r="AB61">
        <v>5</v>
      </c>
      <c r="AF61" t="str">
        <f>tbl_OriginalData[[#This Row],[Customer_ID]]</f>
        <v>39-499-3854</v>
      </c>
      <c r="AG61">
        <f>tbl_OriginalData[[#This Row],[Age]]</f>
        <v>25</v>
      </c>
      <c r="AH61" t="str" cm="1">
        <f t="array" ref="AH6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1" t="str">
        <f>tbl_OriginalData[[#This Row],[Gender]]</f>
        <v>Female</v>
      </c>
      <c r="AJ61" t="str">
        <f>tbl_OriginalData[[#This Row],[Income_Level]]</f>
        <v>Middle</v>
      </c>
      <c r="AK61" t="str">
        <f>tbl_OriginalData[[#This Row],[Marital_Status]]</f>
        <v>Married</v>
      </c>
      <c r="AL61" t="str">
        <f>tbl_OriginalData[[#This Row],[Education_Level]]</f>
        <v>Bachelor's</v>
      </c>
      <c r="AM61" t="str">
        <f>tbl_OriginalData[[#This Row],[Occupation]]</f>
        <v>Middle</v>
      </c>
      <c r="AN61" t="s">
        <v>259</v>
      </c>
      <c r="AO61" t="s">
        <v>61</v>
      </c>
      <c r="AP61" t="str">
        <f>tbl_OriginalData[[#This Row],[Purchase_Category]]</f>
        <v>Hotels</v>
      </c>
      <c r="AQ61" s="4">
        <f>tbl_OriginalData[[#This Row],[Purchase_Amount]]</f>
        <v>166</v>
      </c>
      <c r="AR61">
        <f>tbl_OriginalData[[#This Row],[Frequency_of_Purchase]]</f>
        <v>10</v>
      </c>
      <c r="AS61" t="str">
        <f>tbl_OriginalData[[#This Row],[Purchase_Channel]]</f>
        <v>Online</v>
      </c>
      <c r="AT61">
        <f>tbl_OriginalData[[#This Row],[Brand_Loyalty]]</f>
        <v>5</v>
      </c>
      <c r="AU61">
        <f>tbl_OriginalData[[#This Row],[Product_Rating]]</f>
        <v>3</v>
      </c>
      <c r="AV61">
        <f>tbl_OriginalData[[#This Row],[Time_Spent_on_Product_Research(hours)]]*60</f>
        <v>0</v>
      </c>
      <c r="AW61" t="str">
        <f>tbl_OriginalData[[#This Row],[Social_Media_Influence]]</f>
        <v>High</v>
      </c>
      <c r="AX61" t="str">
        <f>tbl_OriginalData[[#This Row],[Discount_Sensitivity]]</f>
        <v>Not Sensitive</v>
      </c>
      <c r="AY61" s="3">
        <f>tbl_OriginalData[[#This Row],[Return_Rate]]/tbl_OriginalData[[#This Row],[Frequency_of_Purchase]]</f>
        <v>0.2</v>
      </c>
      <c r="AZ61">
        <f>tbl_OriginalData[[#This Row],[Customer_Satisfaction]]</f>
        <v>10</v>
      </c>
      <c r="BA61" t="str">
        <f>tbl_OriginalData[[#This Row],[Engagement_with_Ads]]</f>
        <v>Medium</v>
      </c>
      <c r="BB61" t="str">
        <f>tbl_OriginalData[[#This Row],[Device_Used_for_Shopping]]</f>
        <v>Smartphone</v>
      </c>
      <c r="BC61" t="str">
        <f>tbl_OriginalData[[#This Row],[Payment_Method]]</f>
        <v>PayPal</v>
      </c>
      <c r="BD61" s="1">
        <f>tbl_OriginalData[[#This Row],[Time_of_Purchase]]</f>
        <v>45454</v>
      </c>
      <c r="BE61" t="str">
        <f>IF(tbl_OriginalData[[#This Row],[Discount_Used]]=TRUE,"Yes","No")</f>
        <v>No</v>
      </c>
      <c r="BF61" t="str">
        <f>IF(tbl_OriginalData[[#This Row],[Customer_Loyalty_Program_Member]]=TRUE,"Yes","No")</f>
        <v>No</v>
      </c>
      <c r="BG61" t="str">
        <f>tbl_OriginalData[[#This Row],[Purchase_Intent]]</f>
        <v>Impulsive</v>
      </c>
      <c r="BH61" t="str">
        <f>tbl_OriginalData[[#This Row],[Shipping_Preference]]</f>
        <v>Express</v>
      </c>
      <c r="BI61">
        <f>tbl_OriginalData[[#This Row],[Time_to_Decision]]</f>
        <v>5</v>
      </c>
      <c r="BJ61" t="s">
        <v>104</v>
      </c>
      <c r="BK61" t="s">
        <v>63</v>
      </c>
      <c r="BL61" t="s">
        <v>2524</v>
      </c>
    </row>
    <row r="62" spans="1:64">
      <c r="A62" t="s">
        <v>260</v>
      </c>
      <c r="B62">
        <v>38</v>
      </c>
      <c r="C62" t="s">
        <v>50</v>
      </c>
      <c r="D62" t="s">
        <v>51</v>
      </c>
      <c r="E62" t="s">
        <v>92</v>
      </c>
      <c r="F62" t="s">
        <v>36</v>
      </c>
      <c r="G62" t="s">
        <v>51</v>
      </c>
      <c r="H62" t="s">
        <v>261</v>
      </c>
      <c r="I62" t="s">
        <v>153</v>
      </c>
      <c r="J62">
        <v>362.01</v>
      </c>
      <c r="K62">
        <v>2</v>
      </c>
      <c r="L62" t="s">
        <v>55</v>
      </c>
      <c r="M62">
        <v>2</v>
      </c>
      <c r="N62">
        <v>4</v>
      </c>
      <c r="O62">
        <v>1</v>
      </c>
      <c r="P62" t="s">
        <v>40</v>
      </c>
      <c r="Q62" t="s">
        <v>41</v>
      </c>
      <c r="R62">
        <v>2</v>
      </c>
      <c r="S62">
        <v>1</v>
      </c>
      <c r="T62" t="s">
        <v>56</v>
      </c>
      <c r="U62" t="s">
        <v>42</v>
      </c>
      <c r="V62" t="s">
        <v>71</v>
      </c>
      <c r="W62" s="1">
        <v>45620</v>
      </c>
      <c r="X62" t="b">
        <v>0</v>
      </c>
      <c r="Y62" t="b">
        <v>0</v>
      </c>
      <c r="Z62" t="s">
        <v>72</v>
      </c>
      <c r="AA62" t="s">
        <v>77</v>
      </c>
      <c r="AB62">
        <v>1</v>
      </c>
      <c r="AF62" t="str">
        <f>tbl_OriginalData[[#This Row],[Customer_ID]]</f>
        <v>39-636-5871</v>
      </c>
      <c r="AG62">
        <f>tbl_OriginalData[[#This Row],[Age]]</f>
        <v>38</v>
      </c>
      <c r="AH62" t="str" cm="1">
        <f t="array" ref="AH6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2" t="str">
        <f>tbl_OriginalData[[#This Row],[Gender]]</f>
        <v>Male</v>
      </c>
      <c r="AJ62" t="str">
        <f>tbl_OriginalData[[#This Row],[Income_Level]]</f>
        <v>High</v>
      </c>
      <c r="AK62" t="str">
        <f>tbl_OriginalData[[#This Row],[Marital_Status]]</f>
        <v>Divorced</v>
      </c>
      <c r="AL62" t="str">
        <f>tbl_OriginalData[[#This Row],[Education_Level]]</f>
        <v>Bachelor's</v>
      </c>
      <c r="AM62" t="str">
        <f>tbl_OriginalData[[#This Row],[Occupation]]</f>
        <v>High</v>
      </c>
      <c r="AN62" t="s">
        <v>261</v>
      </c>
      <c r="AO62" t="s">
        <v>262</v>
      </c>
      <c r="AP62" t="str">
        <f>tbl_OriginalData[[#This Row],[Purchase_Category]]</f>
        <v>Baby Products</v>
      </c>
      <c r="AQ62" s="4">
        <f>tbl_OriginalData[[#This Row],[Purchase_Amount]]</f>
        <v>362.01</v>
      </c>
      <c r="AR62">
        <f>tbl_OriginalData[[#This Row],[Frequency_of_Purchase]]</f>
        <v>2</v>
      </c>
      <c r="AS62" t="str">
        <f>tbl_OriginalData[[#This Row],[Purchase_Channel]]</f>
        <v>In-Store</v>
      </c>
      <c r="AT62">
        <f>tbl_OriginalData[[#This Row],[Brand_Loyalty]]</f>
        <v>2</v>
      </c>
      <c r="AU62">
        <f>tbl_OriginalData[[#This Row],[Product_Rating]]</f>
        <v>4</v>
      </c>
      <c r="AV62">
        <f>tbl_OriginalData[[#This Row],[Time_Spent_on_Product_Research(hours)]]*60</f>
        <v>60</v>
      </c>
      <c r="AW62" t="str">
        <f>tbl_OriginalData[[#This Row],[Social_Media_Influence]]</f>
        <v>None</v>
      </c>
      <c r="AX62" t="str">
        <f>tbl_OriginalData[[#This Row],[Discount_Sensitivity]]</f>
        <v>Somewhat Sensitive</v>
      </c>
      <c r="AY62" s="3">
        <f>tbl_OriginalData[[#This Row],[Return_Rate]]/tbl_OriginalData[[#This Row],[Frequency_of_Purchase]]</f>
        <v>1</v>
      </c>
      <c r="AZ62">
        <f>tbl_OriginalData[[#This Row],[Customer_Satisfaction]]</f>
        <v>1</v>
      </c>
      <c r="BA62" t="str">
        <f>tbl_OriginalData[[#This Row],[Engagement_with_Ads]]</f>
        <v>Medium</v>
      </c>
      <c r="BB62" t="str">
        <f>tbl_OriginalData[[#This Row],[Device_Used_for_Shopping]]</f>
        <v>Tablet</v>
      </c>
      <c r="BC62" t="str">
        <f>tbl_OriginalData[[#This Row],[Payment_Method]]</f>
        <v>Debit Card</v>
      </c>
      <c r="BD62" s="1">
        <f>tbl_OriginalData[[#This Row],[Time_of_Purchase]]</f>
        <v>45620</v>
      </c>
      <c r="BE62" t="str">
        <f>IF(tbl_OriginalData[[#This Row],[Discount_Used]]=TRUE,"Yes","No")</f>
        <v>No</v>
      </c>
      <c r="BF62" t="str">
        <f>IF(tbl_OriginalData[[#This Row],[Customer_Loyalty_Program_Member]]=TRUE,"Yes","No")</f>
        <v>No</v>
      </c>
      <c r="BG62" t="str">
        <f>tbl_OriginalData[[#This Row],[Purchase_Intent]]</f>
        <v>Impulsive</v>
      </c>
      <c r="BH62" t="str">
        <f>tbl_OriginalData[[#This Row],[Shipping_Preference]]</f>
        <v>Express</v>
      </c>
      <c r="BI62">
        <f>tbl_OriginalData[[#This Row],[Time_to_Decision]]</f>
        <v>1</v>
      </c>
      <c r="BJ62" t="s">
        <v>177</v>
      </c>
      <c r="BK62" t="s">
        <v>80</v>
      </c>
      <c r="BL62" t="s">
        <v>2526</v>
      </c>
    </row>
    <row r="63" spans="1:64">
      <c r="A63" t="s">
        <v>263</v>
      </c>
      <c r="B63">
        <v>33</v>
      </c>
      <c r="C63" t="s">
        <v>264</v>
      </c>
      <c r="D63" t="s">
        <v>51</v>
      </c>
      <c r="E63" t="s">
        <v>35</v>
      </c>
      <c r="F63" t="s">
        <v>36</v>
      </c>
      <c r="G63" t="s">
        <v>34</v>
      </c>
      <c r="H63" t="s">
        <v>265</v>
      </c>
      <c r="I63" t="s">
        <v>242</v>
      </c>
      <c r="J63">
        <v>348.5</v>
      </c>
      <c r="K63">
        <v>3</v>
      </c>
      <c r="L63" t="s">
        <v>39</v>
      </c>
      <c r="M63">
        <v>2</v>
      </c>
      <c r="N63">
        <v>3</v>
      </c>
      <c r="O63">
        <v>2</v>
      </c>
      <c r="P63" t="s">
        <v>40</v>
      </c>
      <c r="Q63" t="s">
        <v>57</v>
      </c>
      <c r="R63">
        <v>0</v>
      </c>
      <c r="S63">
        <v>6</v>
      </c>
      <c r="T63" t="s">
        <v>56</v>
      </c>
      <c r="U63" t="s">
        <v>70</v>
      </c>
      <c r="V63" t="s">
        <v>71</v>
      </c>
      <c r="W63" s="1">
        <v>45482</v>
      </c>
      <c r="X63" t="b">
        <v>0</v>
      </c>
      <c r="Y63" t="b">
        <v>0</v>
      </c>
      <c r="Z63" t="s">
        <v>89</v>
      </c>
      <c r="AA63" t="s">
        <v>45</v>
      </c>
      <c r="AB63">
        <v>8</v>
      </c>
      <c r="AF63" t="str">
        <f>tbl_OriginalData[[#This Row],[Customer_ID]]</f>
        <v>71-667-2334</v>
      </c>
      <c r="AG63">
        <f>tbl_OriginalData[[#This Row],[Age]]</f>
        <v>33</v>
      </c>
      <c r="AH63" t="str" cm="1">
        <f t="array" ref="AH6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3" t="str">
        <f>tbl_OriginalData[[#This Row],[Gender]]</f>
        <v>Polygender</v>
      </c>
      <c r="AJ63" t="str">
        <f>tbl_OriginalData[[#This Row],[Income_Level]]</f>
        <v>High</v>
      </c>
      <c r="AK63" t="str">
        <f>tbl_OriginalData[[#This Row],[Marital_Status]]</f>
        <v>Married</v>
      </c>
      <c r="AL63" t="str">
        <f>tbl_OriginalData[[#This Row],[Education_Level]]</f>
        <v>Bachelor's</v>
      </c>
      <c r="AM63" t="str">
        <f>tbl_OriginalData[[#This Row],[Occupation]]</f>
        <v>Middle</v>
      </c>
      <c r="AN63" t="s">
        <v>265</v>
      </c>
      <c r="AO63" t="s">
        <v>266</v>
      </c>
      <c r="AP63" t="str">
        <f>tbl_OriginalData[[#This Row],[Purchase_Category]]</f>
        <v>Travel &amp; Leisure (Flights</v>
      </c>
      <c r="AQ63" s="4">
        <f>tbl_OriginalData[[#This Row],[Purchase_Amount]]</f>
        <v>348.5</v>
      </c>
      <c r="AR63">
        <f>tbl_OriginalData[[#This Row],[Frequency_of_Purchase]]</f>
        <v>3</v>
      </c>
      <c r="AS63" t="str">
        <f>tbl_OriginalData[[#This Row],[Purchase_Channel]]</f>
        <v>Mixed</v>
      </c>
      <c r="AT63">
        <f>tbl_OriginalData[[#This Row],[Brand_Loyalty]]</f>
        <v>2</v>
      </c>
      <c r="AU63">
        <f>tbl_OriginalData[[#This Row],[Product_Rating]]</f>
        <v>3</v>
      </c>
      <c r="AV63">
        <f>tbl_OriginalData[[#This Row],[Time_Spent_on_Product_Research(hours)]]*60</f>
        <v>120</v>
      </c>
      <c r="AW63" t="str">
        <f>tbl_OriginalData[[#This Row],[Social_Media_Influence]]</f>
        <v>None</v>
      </c>
      <c r="AX63" t="str">
        <f>tbl_OriginalData[[#This Row],[Discount_Sensitivity]]</f>
        <v>Not Sensitive</v>
      </c>
      <c r="AY63" s="3">
        <f>tbl_OriginalData[[#This Row],[Return_Rate]]/tbl_OriginalData[[#This Row],[Frequency_of_Purchase]]</f>
        <v>0</v>
      </c>
      <c r="AZ63">
        <f>tbl_OriginalData[[#This Row],[Customer_Satisfaction]]</f>
        <v>6</v>
      </c>
      <c r="BA63" t="str">
        <f>tbl_OriginalData[[#This Row],[Engagement_with_Ads]]</f>
        <v>Medium</v>
      </c>
      <c r="BB63" t="str">
        <f>tbl_OriginalData[[#This Row],[Device_Used_for_Shopping]]</f>
        <v>Smartphone</v>
      </c>
      <c r="BC63" t="str">
        <f>tbl_OriginalData[[#This Row],[Payment_Method]]</f>
        <v>Debit Card</v>
      </c>
      <c r="BD63" s="1">
        <f>tbl_OriginalData[[#This Row],[Time_of_Purchase]]</f>
        <v>45482</v>
      </c>
      <c r="BE63" t="str">
        <f>IF(tbl_OriginalData[[#This Row],[Discount_Used]]=TRUE,"Yes","No")</f>
        <v>No</v>
      </c>
      <c r="BF63" t="str">
        <f>IF(tbl_OriginalData[[#This Row],[Customer_Loyalty_Program_Member]]=TRUE,"Yes","No")</f>
        <v>No</v>
      </c>
      <c r="BG63" t="str">
        <f>tbl_OriginalData[[#This Row],[Purchase_Intent]]</f>
        <v>Planned</v>
      </c>
      <c r="BH63" t="str">
        <f>tbl_OriginalData[[#This Row],[Shipping_Preference]]</f>
        <v>No Preference</v>
      </c>
      <c r="BI63">
        <f>tbl_OriginalData[[#This Row],[Time_to_Decision]]</f>
        <v>8</v>
      </c>
      <c r="BJ63" t="s">
        <v>114</v>
      </c>
      <c r="BK63" t="s">
        <v>115</v>
      </c>
      <c r="BL63" t="s">
        <v>2525</v>
      </c>
    </row>
    <row r="64" spans="1:64">
      <c r="A64" t="s">
        <v>267</v>
      </c>
      <c r="B64">
        <v>32</v>
      </c>
      <c r="C64" t="s">
        <v>33</v>
      </c>
      <c r="D64" t="s">
        <v>34</v>
      </c>
      <c r="E64" t="s">
        <v>35</v>
      </c>
      <c r="F64" t="s">
        <v>36</v>
      </c>
      <c r="G64" t="s">
        <v>51</v>
      </c>
      <c r="H64" t="s">
        <v>268</v>
      </c>
      <c r="I64" t="s">
        <v>127</v>
      </c>
      <c r="J64">
        <v>395.97</v>
      </c>
      <c r="K64">
        <v>9</v>
      </c>
      <c r="L64" t="s">
        <v>55</v>
      </c>
      <c r="M64">
        <v>1</v>
      </c>
      <c r="N64">
        <v>4</v>
      </c>
      <c r="O64">
        <v>0</v>
      </c>
      <c r="P64" t="s">
        <v>56</v>
      </c>
      <c r="Q64" t="s">
        <v>101</v>
      </c>
      <c r="R64">
        <v>1</v>
      </c>
      <c r="S64">
        <v>6</v>
      </c>
      <c r="T64" t="s">
        <v>69</v>
      </c>
      <c r="U64" t="s">
        <v>42</v>
      </c>
      <c r="V64" t="s">
        <v>71</v>
      </c>
      <c r="W64" s="1">
        <v>45522</v>
      </c>
      <c r="X64" t="b">
        <v>1</v>
      </c>
      <c r="Y64" t="b">
        <v>1</v>
      </c>
      <c r="Z64" t="s">
        <v>59</v>
      </c>
      <c r="AA64" t="s">
        <v>60</v>
      </c>
      <c r="AB64">
        <v>1</v>
      </c>
      <c r="AF64" t="str">
        <f>tbl_OriginalData[[#This Row],[Customer_ID]]</f>
        <v>35-192-9050</v>
      </c>
      <c r="AG64">
        <f>tbl_OriginalData[[#This Row],[Age]]</f>
        <v>32</v>
      </c>
      <c r="AH64" t="str" cm="1">
        <f t="array" ref="AH6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4" t="str">
        <f>tbl_OriginalData[[#This Row],[Gender]]</f>
        <v>Female</v>
      </c>
      <c r="AJ64" t="str">
        <f>tbl_OriginalData[[#This Row],[Income_Level]]</f>
        <v>Middle</v>
      </c>
      <c r="AK64" t="str">
        <f>tbl_OriginalData[[#This Row],[Marital_Status]]</f>
        <v>Married</v>
      </c>
      <c r="AL64" t="str">
        <f>tbl_OriginalData[[#This Row],[Education_Level]]</f>
        <v>Bachelor's</v>
      </c>
      <c r="AM64" t="str">
        <f>tbl_OriginalData[[#This Row],[Occupation]]</f>
        <v>High</v>
      </c>
      <c r="AN64" t="s">
        <v>268</v>
      </c>
      <c r="AO64" t="s">
        <v>269</v>
      </c>
      <c r="AP64" t="str">
        <f>tbl_OriginalData[[#This Row],[Purchase_Category]]</f>
        <v>Animal Feed</v>
      </c>
      <c r="AQ64" s="4">
        <f>tbl_OriginalData[[#This Row],[Purchase_Amount]]</f>
        <v>395.97</v>
      </c>
      <c r="AR64">
        <f>tbl_OriginalData[[#This Row],[Frequency_of_Purchase]]</f>
        <v>9</v>
      </c>
      <c r="AS64" t="str">
        <f>tbl_OriginalData[[#This Row],[Purchase_Channel]]</f>
        <v>In-Store</v>
      </c>
      <c r="AT64">
        <f>tbl_OriginalData[[#This Row],[Brand_Loyalty]]</f>
        <v>1</v>
      </c>
      <c r="AU64">
        <f>tbl_OriginalData[[#This Row],[Product_Rating]]</f>
        <v>4</v>
      </c>
      <c r="AV64">
        <f>tbl_OriginalData[[#This Row],[Time_Spent_on_Product_Research(hours)]]*60</f>
        <v>0</v>
      </c>
      <c r="AW64" t="str">
        <f>tbl_OriginalData[[#This Row],[Social_Media_Influence]]</f>
        <v>Medium</v>
      </c>
      <c r="AX64" t="str">
        <f>tbl_OriginalData[[#This Row],[Discount_Sensitivity]]</f>
        <v>Very Sensitive</v>
      </c>
      <c r="AY64" s="3">
        <f>tbl_OriginalData[[#This Row],[Return_Rate]]/tbl_OriginalData[[#This Row],[Frequency_of_Purchase]]</f>
        <v>0.1111111111111111</v>
      </c>
      <c r="AZ64">
        <f>tbl_OriginalData[[#This Row],[Customer_Satisfaction]]</f>
        <v>6</v>
      </c>
      <c r="BA64" t="str">
        <f>tbl_OriginalData[[#This Row],[Engagement_with_Ads]]</f>
        <v>Low</v>
      </c>
      <c r="BB64" t="str">
        <f>tbl_OriginalData[[#This Row],[Device_Used_for_Shopping]]</f>
        <v>Tablet</v>
      </c>
      <c r="BC64" t="str">
        <f>tbl_OriginalData[[#This Row],[Payment_Method]]</f>
        <v>Debit Card</v>
      </c>
      <c r="BD64" s="1">
        <f>tbl_OriginalData[[#This Row],[Time_of_Purchase]]</f>
        <v>45522</v>
      </c>
      <c r="BE64" t="str">
        <f>IF(tbl_OriginalData[[#This Row],[Discount_Used]]=TRUE,"Yes","No")</f>
        <v>Yes</v>
      </c>
      <c r="BF64" t="str">
        <f>IF(tbl_OriginalData[[#This Row],[Customer_Loyalty_Program_Member]]=TRUE,"Yes","No")</f>
        <v>Yes</v>
      </c>
      <c r="BG64" t="str">
        <f>tbl_OriginalData[[#This Row],[Purchase_Intent]]</f>
        <v>Wants-based</v>
      </c>
      <c r="BH64" t="str">
        <f>tbl_OriginalData[[#This Row],[Shipping_Preference]]</f>
        <v>Standard</v>
      </c>
      <c r="BI64">
        <f>tbl_OriginalData[[#This Row],[Time_to_Decision]]</f>
        <v>1</v>
      </c>
      <c r="BJ64" t="s">
        <v>124</v>
      </c>
      <c r="BK64" t="s">
        <v>115</v>
      </c>
      <c r="BL64" t="s">
        <v>2528</v>
      </c>
    </row>
    <row r="65" spans="1:64">
      <c r="A65" t="s">
        <v>270</v>
      </c>
      <c r="B65">
        <v>50</v>
      </c>
      <c r="C65" t="s">
        <v>33</v>
      </c>
      <c r="D65" t="s">
        <v>34</v>
      </c>
      <c r="E65" t="s">
        <v>82</v>
      </c>
      <c r="F65" t="s">
        <v>52</v>
      </c>
      <c r="G65" t="s">
        <v>34</v>
      </c>
      <c r="H65" t="s">
        <v>271</v>
      </c>
      <c r="I65" t="s">
        <v>108</v>
      </c>
      <c r="J65">
        <v>474.99</v>
      </c>
      <c r="K65">
        <v>9</v>
      </c>
      <c r="L65" t="s">
        <v>94</v>
      </c>
      <c r="M65">
        <v>2</v>
      </c>
      <c r="N65">
        <v>4</v>
      </c>
      <c r="O65">
        <v>1</v>
      </c>
      <c r="P65" t="s">
        <v>40</v>
      </c>
      <c r="Q65" t="s">
        <v>41</v>
      </c>
      <c r="R65">
        <v>0</v>
      </c>
      <c r="S65">
        <v>8</v>
      </c>
      <c r="T65" t="s">
        <v>51</v>
      </c>
      <c r="U65" t="s">
        <v>95</v>
      </c>
      <c r="V65" t="s">
        <v>43</v>
      </c>
      <c r="W65" s="1">
        <v>45483</v>
      </c>
      <c r="X65" t="b">
        <v>1</v>
      </c>
      <c r="Y65" t="b">
        <v>0</v>
      </c>
      <c r="Z65" t="s">
        <v>89</v>
      </c>
      <c r="AA65" t="s">
        <v>60</v>
      </c>
      <c r="AB65">
        <v>5</v>
      </c>
      <c r="AF65" t="str">
        <f>tbl_OriginalData[[#This Row],[Customer_ID]]</f>
        <v>91-440-0011</v>
      </c>
      <c r="AG65">
        <f>tbl_OriginalData[[#This Row],[Age]]</f>
        <v>50</v>
      </c>
      <c r="AH65" t="str" cm="1">
        <f t="array" ref="AH6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5" t="str">
        <f>tbl_OriginalData[[#This Row],[Gender]]</f>
        <v>Female</v>
      </c>
      <c r="AJ65" t="str">
        <f>tbl_OriginalData[[#This Row],[Income_Level]]</f>
        <v>Middle</v>
      </c>
      <c r="AK65" t="str">
        <f>tbl_OriginalData[[#This Row],[Marital_Status]]</f>
        <v>Widowed</v>
      </c>
      <c r="AL65" t="str">
        <f>tbl_OriginalData[[#This Row],[Education_Level]]</f>
        <v>High School</v>
      </c>
      <c r="AM65" t="str">
        <f>tbl_OriginalData[[#This Row],[Occupation]]</f>
        <v>Middle</v>
      </c>
      <c r="AN65" t="s">
        <v>271</v>
      </c>
      <c r="AO65" t="s">
        <v>272</v>
      </c>
      <c r="AP65" t="str">
        <f>tbl_OriginalData[[#This Row],[Purchase_Category]]</f>
        <v>Sports &amp; Outdoors</v>
      </c>
      <c r="AQ65" s="4">
        <f>tbl_OriginalData[[#This Row],[Purchase_Amount]]</f>
        <v>474.99</v>
      </c>
      <c r="AR65">
        <f>tbl_OriginalData[[#This Row],[Frequency_of_Purchase]]</f>
        <v>9</v>
      </c>
      <c r="AS65" t="str">
        <f>tbl_OriginalData[[#This Row],[Purchase_Channel]]</f>
        <v>Online</v>
      </c>
      <c r="AT65">
        <f>tbl_OriginalData[[#This Row],[Brand_Loyalty]]</f>
        <v>2</v>
      </c>
      <c r="AU65">
        <f>tbl_OriginalData[[#This Row],[Product_Rating]]</f>
        <v>4</v>
      </c>
      <c r="AV65">
        <f>tbl_OriginalData[[#This Row],[Time_Spent_on_Product_Research(hours)]]*60</f>
        <v>60</v>
      </c>
      <c r="AW65" t="str">
        <f>tbl_OriginalData[[#This Row],[Social_Media_Influence]]</f>
        <v>None</v>
      </c>
      <c r="AX65" t="str">
        <f>tbl_OriginalData[[#This Row],[Discount_Sensitivity]]</f>
        <v>Somewhat Sensitive</v>
      </c>
      <c r="AY65" s="3">
        <f>tbl_OriginalData[[#This Row],[Return_Rate]]/tbl_OriginalData[[#This Row],[Frequency_of_Purchase]]</f>
        <v>0</v>
      </c>
      <c r="AZ65">
        <f>tbl_OriginalData[[#This Row],[Customer_Satisfaction]]</f>
        <v>8</v>
      </c>
      <c r="BA65" t="str">
        <f>tbl_OriginalData[[#This Row],[Engagement_with_Ads]]</f>
        <v>High</v>
      </c>
      <c r="BB65" t="str">
        <f>tbl_OriginalData[[#This Row],[Device_Used_for_Shopping]]</f>
        <v>Desktop</v>
      </c>
      <c r="BC65" t="str">
        <f>tbl_OriginalData[[#This Row],[Payment_Method]]</f>
        <v>Credit Card</v>
      </c>
      <c r="BD65" s="1">
        <f>tbl_OriginalData[[#This Row],[Time_of_Purchase]]</f>
        <v>45483</v>
      </c>
      <c r="BE65" t="str">
        <f>IF(tbl_OriginalData[[#This Row],[Discount_Used]]=TRUE,"Yes","No")</f>
        <v>Yes</v>
      </c>
      <c r="BF65" t="str">
        <f>IF(tbl_OriginalData[[#This Row],[Customer_Loyalty_Program_Member]]=TRUE,"Yes","No")</f>
        <v>No</v>
      </c>
      <c r="BG65" t="str">
        <f>tbl_OriginalData[[#This Row],[Purchase_Intent]]</f>
        <v>Planned</v>
      </c>
      <c r="BH65" t="str">
        <f>tbl_OriginalData[[#This Row],[Shipping_Preference]]</f>
        <v>Standard</v>
      </c>
      <c r="BI65">
        <f>tbl_OriginalData[[#This Row],[Time_to_Decision]]</f>
        <v>5</v>
      </c>
      <c r="BJ65" t="s">
        <v>114</v>
      </c>
      <c r="BK65" t="s">
        <v>115</v>
      </c>
      <c r="BL65" t="s">
        <v>2524</v>
      </c>
    </row>
    <row r="66" spans="1:64">
      <c r="A66" t="s">
        <v>273</v>
      </c>
      <c r="B66">
        <v>35</v>
      </c>
      <c r="C66" t="s">
        <v>33</v>
      </c>
      <c r="D66" t="s">
        <v>34</v>
      </c>
      <c r="E66" t="s">
        <v>82</v>
      </c>
      <c r="F66" t="s">
        <v>52</v>
      </c>
      <c r="G66" t="s">
        <v>34</v>
      </c>
      <c r="H66" t="s">
        <v>274</v>
      </c>
      <c r="I66" t="s">
        <v>123</v>
      </c>
      <c r="J66">
        <v>286.43</v>
      </c>
      <c r="K66">
        <v>4</v>
      </c>
      <c r="L66" t="s">
        <v>39</v>
      </c>
      <c r="M66">
        <v>1</v>
      </c>
      <c r="N66">
        <v>3</v>
      </c>
      <c r="O66">
        <v>0</v>
      </c>
      <c r="P66" t="s">
        <v>51</v>
      </c>
      <c r="Q66" t="s">
        <v>101</v>
      </c>
      <c r="R66">
        <v>2</v>
      </c>
      <c r="S66">
        <v>3</v>
      </c>
      <c r="T66" t="s">
        <v>40</v>
      </c>
      <c r="U66" t="s">
        <v>95</v>
      </c>
      <c r="V66" t="s">
        <v>102</v>
      </c>
      <c r="W66" s="1">
        <v>45485</v>
      </c>
      <c r="X66" t="b">
        <v>1</v>
      </c>
      <c r="Y66" t="b">
        <v>0</v>
      </c>
      <c r="Z66" t="s">
        <v>59</v>
      </c>
      <c r="AA66" t="s">
        <v>77</v>
      </c>
      <c r="AB66">
        <v>14</v>
      </c>
      <c r="AF66" t="str">
        <f>tbl_OriginalData[[#This Row],[Customer_ID]]</f>
        <v>20-830-4758</v>
      </c>
      <c r="AG66">
        <f>tbl_OriginalData[[#This Row],[Age]]</f>
        <v>35</v>
      </c>
      <c r="AH66" t="str" cm="1">
        <f t="array" ref="AH6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6" t="str">
        <f>tbl_OriginalData[[#This Row],[Gender]]</f>
        <v>Female</v>
      </c>
      <c r="AJ66" t="str">
        <f>tbl_OriginalData[[#This Row],[Income_Level]]</f>
        <v>Middle</v>
      </c>
      <c r="AK66" t="str">
        <f>tbl_OriginalData[[#This Row],[Marital_Status]]</f>
        <v>Widowed</v>
      </c>
      <c r="AL66" t="str">
        <f>tbl_OriginalData[[#This Row],[Education_Level]]</f>
        <v>High School</v>
      </c>
      <c r="AM66" t="str">
        <f>tbl_OriginalData[[#This Row],[Occupation]]</f>
        <v>Middle</v>
      </c>
      <c r="AN66" t="s">
        <v>274</v>
      </c>
      <c r="AO66" t="s">
        <v>109</v>
      </c>
      <c r="AP66" t="str">
        <f>tbl_OriginalData[[#This Row],[Purchase_Category]]</f>
        <v>Luxury Goods</v>
      </c>
      <c r="AQ66" s="4">
        <f>tbl_OriginalData[[#This Row],[Purchase_Amount]]</f>
        <v>286.43</v>
      </c>
      <c r="AR66">
        <f>tbl_OriginalData[[#This Row],[Frequency_of_Purchase]]</f>
        <v>4</v>
      </c>
      <c r="AS66" t="str">
        <f>tbl_OriginalData[[#This Row],[Purchase_Channel]]</f>
        <v>Mixed</v>
      </c>
      <c r="AT66">
        <f>tbl_OriginalData[[#This Row],[Brand_Loyalty]]</f>
        <v>1</v>
      </c>
      <c r="AU66">
        <f>tbl_OriginalData[[#This Row],[Product_Rating]]</f>
        <v>3</v>
      </c>
      <c r="AV66">
        <f>tbl_OriginalData[[#This Row],[Time_Spent_on_Product_Research(hours)]]*60</f>
        <v>0</v>
      </c>
      <c r="AW66" t="str">
        <f>tbl_OriginalData[[#This Row],[Social_Media_Influence]]</f>
        <v>High</v>
      </c>
      <c r="AX66" t="str">
        <f>tbl_OriginalData[[#This Row],[Discount_Sensitivity]]</f>
        <v>Very Sensitive</v>
      </c>
      <c r="AY66" s="3">
        <f>tbl_OriginalData[[#This Row],[Return_Rate]]/tbl_OriginalData[[#This Row],[Frequency_of_Purchase]]</f>
        <v>0.5</v>
      </c>
      <c r="AZ66">
        <f>tbl_OriginalData[[#This Row],[Customer_Satisfaction]]</f>
        <v>3</v>
      </c>
      <c r="BA66" t="str">
        <f>tbl_OriginalData[[#This Row],[Engagement_with_Ads]]</f>
        <v>None</v>
      </c>
      <c r="BB66" t="str">
        <f>tbl_OriginalData[[#This Row],[Device_Used_for_Shopping]]</f>
        <v>Desktop</v>
      </c>
      <c r="BC66" t="str">
        <f>tbl_OriginalData[[#This Row],[Payment_Method]]</f>
        <v>Cash</v>
      </c>
      <c r="BD66" s="1">
        <f>tbl_OriginalData[[#This Row],[Time_of_Purchase]]</f>
        <v>45485</v>
      </c>
      <c r="BE66" t="str">
        <f>IF(tbl_OriginalData[[#This Row],[Discount_Used]]=TRUE,"Yes","No")</f>
        <v>Yes</v>
      </c>
      <c r="BF66" t="str">
        <f>IF(tbl_OriginalData[[#This Row],[Customer_Loyalty_Program_Member]]=TRUE,"Yes","No")</f>
        <v>No</v>
      </c>
      <c r="BG66" t="str">
        <f>tbl_OriginalData[[#This Row],[Purchase_Intent]]</f>
        <v>Wants-based</v>
      </c>
      <c r="BH66" t="str">
        <f>tbl_OriginalData[[#This Row],[Shipping_Preference]]</f>
        <v>Express</v>
      </c>
      <c r="BI66">
        <f>tbl_OriginalData[[#This Row],[Time_to_Decision]]</f>
        <v>14</v>
      </c>
      <c r="BJ66" t="s">
        <v>114</v>
      </c>
      <c r="BK66" t="s">
        <v>115</v>
      </c>
      <c r="BL66" t="s">
        <v>2526</v>
      </c>
    </row>
    <row r="67" spans="1:64">
      <c r="A67" t="s">
        <v>275</v>
      </c>
      <c r="B67">
        <v>19</v>
      </c>
      <c r="C67" t="s">
        <v>188</v>
      </c>
      <c r="D67" t="s">
        <v>51</v>
      </c>
      <c r="E67" t="s">
        <v>82</v>
      </c>
      <c r="F67" t="s">
        <v>52</v>
      </c>
      <c r="G67" t="s">
        <v>51</v>
      </c>
      <c r="H67" t="s">
        <v>276</v>
      </c>
      <c r="I67" t="s">
        <v>131</v>
      </c>
      <c r="J67">
        <v>333.32</v>
      </c>
      <c r="K67">
        <v>8</v>
      </c>
      <c r="L67" t="s">
        <v>94</v>
      </c>
      <c r="M67">
        <v>1</v>
      </c>
      <c r="N67">
        <v>5</v>
      </c>
      <c r="O67">
        <v>0</v>
      </c>
      <c r="P67" t="s">
        <v>69</v>
      </c>
      <c r="Q67" t="s">
        <v>101</v>
      </c>
      <c r="R67">
        <v>0</v>
      </c>
      <c r="S67">
        <v>3</v>
      </c>
      <c r="T67" t="s">
        <v>51</v>
      </c>
      <c r="U67" t="s">
        <v>70</v>
      </c>
      <c r="V67" t="s">
        <v>43</v>
      </c>
      <c r="W67" s="1">
        <v>45570</v>
      </c>
      <c r="X67" t="b">
        <v>1</v>
      </c>
      <c r="Y67" t="b">
        <v>0</v>
      </c>
      <c r="Z67" t="s">
        <v>89</v>
      </c>
      <c r="AA67" t="s">
        <v>45</v>
      </c>
      <c r="AB67">
        <v>3</v>
      </c>
      <c r="AF67" t="str">
        <f>tbl_OriginalData[[#This Row],[Customer_ID]]</f>
        <v>84-337-1016</v>
      </c>
      <c r="AG67">
        <f>tbl_OriginalData[[#This Row],[Age]]</f>
        <v>19</v>
      </c>
      <c r="AH67" t="str" cm="1">
        <f t="array" ref="AH6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67" t="str">
        <f>tbl_OriginalData[[#This Row],[Gender]]</f>
        <v>Genderfluid</v>
      </c>
      <c r="AJ67" t="str">
        <f>tbl_OriginalData[[#This Row],[Income_Level]]</f>
        <v>High</v>
      </c>
      <c r="AK67" t="str">
        <f>tbl_OriginalData[[#This Row],[Marital_Status]]</f>
        <v>Widowed</v>
      </c>
      <c r="AL67" t="str">
        <f>tbl_OriginalData[[#This Row],[Education_Level]]</f>
        <v>High School</v>
      </c>
      <c r="AM67" t="str">
        <f>tbl_OriginalData[[#This Row],[Occupation]]</f>
        <v>High</v>
      </c>
      <c r="AN67" t="s">
        <v>276</v>
      </c>
      <c r="AO67" t="s">
        <v>61</v>
      </c>
      <c r="AP67" t="str">
        <f>tbl_OriginalData[[#This Row],[Purchase_Category]]</f>
        <v>Health Care</v>
      </c>
      <c r="AQ67" s="4">
        <f>tbl_OriginalData[[#This Row],[Purchase_Amount]]</f>
        <v>333.32</v>
      </c>
      <c r="AR67">
        <f>tbl_OriginalData[[#This Row],[Frequency_of_Purchase]]</f>
        <v>8</v>
      </c>
      <c r="AS67" t="str">
        <f>tbl_OriginalData[[#This Row],[Purchase_Channel]]</f>
        <v>Online</v>
      </c>
      <c r="AT67">
        <f>tbl_OriginalData[[#This Row],[Brand_Loyalty]]</f>
        <v>1</v>
      </c>
      <c r="AU67">
        <f>tbl_OriginalData[[#This Row],[Product_Rating]]</f>
        <v>5</v>
      </c>
      <c r="AV67">
        <f>tbl_OriginalData[[#This Row],[Time_Spent_on_Product_Research(hours)]]*60</f>
        <v>0</v>
      </c>
      <c r="AW67" t="str">
        <f>tbl_OriginalData[[#This Row],[Social_Media_Influence]]</f>
        <v>Low</v>
      </c>
      <c r="AX67" t="str">
        <f>tbl_OriginalData[[#This Row],[Discount_Sensitivity]]</f>
        <v>Very Sensitive</v>
      </c>
      <c r="AY67" s="3">
        <f>tbl_OriginalData[[#This Row],[Return_Rate]]/tbl_OriginalData[[#This Row],[Frequency_of_Purchase]]</f>
        <v>0</v>
      </c>
      <c r="AZ67">
        <f>tbl_OriginalData[[#This Row],[Customer_Satisfaction]]</f>
        <v>3</v>
      </c>
      <c r="BA67" t="str">
        <f>tbl_OriginalData[[#This Row],[Engagement_with_Ads]]</f>
        <v>High</v>
      </c>
      <c r="BB67" t="str">
        <f>tbl_OriginalData[[#This Row],[Device_Used_for_Shopping]]</f>
        <v>Smartphone</v>
      </c>
      <c r="BC67" t="str">
        <f>tbl_OriginalData[[#This Row],[Payment_Method]]</f>
        <v>Credit Card</v>
      </c>
      <c r="BD67" s="1">
        <f>tbl_OriginalData[[#This Row],[Time_of_Purchase]]</f>
        <v>45570</v>
      </c>
      <c r="BE67" t="str">
        <f>IF(tbl_OriginalData[[#This Row],[Discount_Used]]=TRUE,"Yes","No")</f>
        <v>Yes</v>
      </c>
      <c r="BF67" t="str">
        <f>IF(tbl_OriginalData[[#This Row],[Customer_Loyalty_Program_Member]]=TRUE,"Yes","No")</f>
        <v>No</v>
      </c>
      <c r="BG67" t="str">
        <f>tbl_OriginalData[[#This Row],[Purchase_Intent]]</f>
        <v>Planned</v>
      </c>
      <c r="BH67" t="str">
        <f>tbl_OriginalData[[#This Row],[Shipping_Preference]]</f>
        <v>No Preference</v>
      </c>
      <c r="BI67">
        <f>tbl_OriginalData[[#This Row],[Time_to_Decision]]</f>
        <v>3</v>
      </c>
      <c r="BJ67" t="s">
        <v>79</v>
      </c>
      <c r="BK67" t="s">
        <v>80</v>
      </c>
      <c r="BL67" t="s">
        <v>2524</v>
      </c>
    </row>
    <row r="68" spans="1:64">
      <c r="A68" t="s">
        <v>277</v>
      </c>
      <c r="B68">
        <v>46</v>
      </c>
      <c r="C68" t="s">
        <v>106</v>
      </c>
      <c r="D68" t="s">
        <v>51</v>
      </c>
      <c r="E68" t="s">
        <v>65</v>
      </c>
      <c r="F68" t="s">
        <v>66</v>
      </c>
      <c r="G68" t="s">
        <v>51</v>
      </c>
      <c r="H68" t="s">
        <v>278</v>
      </c>
      <c r="I68" t="s">
        <v>147</v>
      </c>
      <c r="J68">
        <v>223.47</v>
      </c>
      <c r="K68">
        <v>9</v>
      </c>
      <c r="L68" t="s">
        <v>39</v>
      </c>
      <c r="M68">
        <v>2</v>
      </c>
      <c r="N68">
        <v>1</v>
      </c>
      <c r="O68">
        <v>1</v>
      </c>
      <c r="P68" t="s">
        <v>51</v>
      </c>
      <c r="Q68" t="s">
        <v>41</v>
      </c>
      <c r="R68">
        <v>0</v>
      </c>
      <c r="S68">
        <v>2</v>
      </c>
      <c r="T68" t="s">
        <v>40</v>
      </c>
      <c r="U68" t="s">
        <v>42</v>
      </c>
      <c r="V68" t="s">
        <v>71</v>
      </c>
      <c r="W68" s="1">
        <v>45555</v>
      </c>
      <c r="X68" t="b">
        <v>1</v>
      </c>
      <c r="Y68" t="b">
        <v>1</v>
      </c>
      <c r="Z68" t="s">
        <v>44</v>
      </c>
      <c r="AA68" t="s">
        <v>60</v>
      </c>
      <c r="AB68">
        <v>8</v>
      </c>
      <c r="AF68" t="str">
        <f>tbl_OriginalData[[#This Row],[Customer_ID]]</f>
        <v>09-346-4992</v>
      </c>
      <c r="AG68">
        <f>tbl_OriginalData[[#This Row],[Age]]</f>
        <v>46</v>
      </c>
      <c r="AH68" t="str" cm="1">
        <f t="array" ref="AH6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8" t="str">
        <f>tbl_OriginalData[[#This Row],[Gender]]</f>
        <v>Bigender</v>
      </c>
      <c r="AJ68" t="str">
        <f>tbl_OriginalData[[#This Row],[Income_Level]]</f>
        <v>High</v>
      </c>
      <c r="AK68" t="str">
        <f>tbl_OriginalData[[#This Row],[Marital_Status]]</f>
        <v>Single</v>
      </c>
      <c r="AL68" t="str">
        <f>tbl_OriginalData[[#This Row],[Education_Level]]</f>
        <v>Master's</v>
      </c>
      <c r="AM68" t="str">
        <f>tbl_OriginalData[[#This Row],[Occupation]]</f>
        <v>High</v>
      </c>
      <c r="AN68" t="s">
        <v>278</v>
      </c>
      <c r="AO68" t="s">
        <v>279</v>
      </c>
      <c r="AP68" t="str">
        <f>tbl_OriginalData[[#This Row],[Purchase_Category]]</f>
        <v>Electronics</v>
      </c>
      <c r="AQ68" s="4">
        <f>tbl_OriginalData[[#This Row],[Purchase_Amount]]</f>
        <v>223.47</v>
      </c>
      <c r="AR68">
        <f>tbl_OriginalData[[#This Row],[Frequency_of_Purchase]]</f>
        <v>9</v>
      </c>
      <c r="AS68" t="str">
        <f>tbl_OriginalData[[#This Row],[Purchase_Channel]]</f>
        <v>Mixed</v>
      </c>
      <c r="AT68">
        <f>tbl_OriginalData[[#This Row],[Brand_Loyalty]]</f>
        <v>2</v>
      </c>
      <c r="AU68">
        <f>tbl_OriginalData[[#This Row],[Product_Rating]]</f>
        <v>1</v>
      </c>
      <c r="AV68">
        <f>tbl_OriginalData[[#This Row],[Time_Spent_on_Product_Research(hours)]]*60</f>
        <v>60</v>
      </c>
      <c r="AW68" t="str">
        <f>tbl_OriginalData[[#This Row],[Social_Media_Influence]]</f>
        <v>High</v>
      </c>
      <c r="AX68" t="str">
        <f>tbl_OriginalData[[#This Row],[Discount_Sensitivity]]</f>
        <v>Somewhat Sensitive</v>
      </c>
      <c r="AY68" s="3">
        <f>tbl_OriginalData[[#This Row],[Return_Rate]]/tbl_OriginalData[[#This Row],[Frequency_of_Purchase]]</f>
        <v>0</v>
      </c>
      <c r="AZ68">
        <f>tbl_OriginalData[[#This Row],[Customer_Satisfaction]]</f>
        <v>2</v>
      </c>
      <c r="BA68" t="str">
        <f>tbl_OriginalData[[#This Row],[Engagement_with_Ads]]</f>
        <v>None</v>
      </c>
      <c r="BB68" t="str">
        <f>tbl_OriginalData[[#This Row],[Device_Used_for_Shopping]]</f>
        <v>Tablet</v>
      </c>
      <c r="BC68" t="str">
        <f>tbl_OriginalData[[#This Row],[Payment_Method]]</f>
        <v>Debit Card</v>
      </c>
      <c r="BD68" s="1">
        <f>tbl_OriginalData[[#This Row],[Time_of_Purchase]]</f>
        <v>45555</v>
      </c>
      <c r="BE68" t="str">
        <f>IF(tbl_OriginalData[[#This Row],[Discount_Used]]=TRUE,"Yes","No")</f>
        <v>Yes</v>
      </c>
      <c r="BF68" t="str">
        <f>IF(tbl_OriginalData[[#This Row],[Customer_Loyalty_Program_Member]]=TRUE,"Yes","No")</f>
        <v>Yes</v>
      </c>
      <c r="BG68" t="str">
        <f>tbl_OriginalData[[#This Row],[Purchase_Intent]]</f>
        <v>Need-based</v>
      </c>
      <c r="BH68" t="str">
        <f>tbl_OriginalData[[#This Row],[Shipping_Preference]]</f>
        <v>Standard</v>
      </c>
      <c r="BI68">
        <f>tbl_OriginalData[[#This Row],[Time_to_Decision]]</f>
        <v>8</v>
      </c>
      <c r="BJ68" t="s">
        <v>172</v>
      </c>
      <c r="BK68" t="s">
        <v>115</v>
      </c>
      <c r="BL68" t="s">
        <v>2525</v>
      </c>
    </row>
    <row r="69" spans="1:64">
      <c r="A69" t="s">
        <v>280</v>
      </c>
      <c r="B69">
        <v>23</v>
      </c>
      <c r="C69" t="s">
        <v>50</v>
      </c>
      <c r="D69" t="s">
        <v>34</v>
      </c>
      <c r="E69" t="s">
        <v>92</v>
      </c>
      <c r="F69" t="s">
        <v>66</v>
      </c>
      <c r="G69" t="s">
        <v>34</v>
      </c>
      <c r="H69" t="s">
        <v>281</v>
      </c>
      <c r="I69" t="s">
        <v>108</v>
      </c>
      <c r="J69">
        <v>414.83</v>
      </c>
      <c r="K69">
        <v>2</v>
      </c>
      <c r="L69" t="s">
        <v>39</v>
      </c>
      <c r="M69">
        <v>2</v>
      </c>
      <c r="N69">
        <v>4</v>
      </c>
      <c r="O69">
        <v>0.5</v>
      </c>
      <c r="P69" t="s">
        <v>51</v>
      </c>
      <c r="Q69" t="s">
        <v>41</v>
      </c>
      <c r="R69">
        <v>2</v>
      </c>
      <c r="S69">
        <v>4</v>
      </c>
      <c r="T69" t="s">
        <v>51</v>
      </c>
      <c r="U69" t="s">
        <v>95</v>
      </c>
      <c r="V69" t="s">
        <v>43</v>
      </c>
      <c r="W69" s="1">
        <v>45489</v>
      </c>
      <c r="X69" t="b">
        <v>0</v>
      </c>
      <c r="Y69" t="b">
        <v>0</v>
      </c>
      <c r="Z69" t="s">
        <v>89</v>
      </c>
      <c r="AA69" t="s">
        <v>77</v>
      </c>
      <c r="AB69">
        <v>8</v>
      </c>
      <c r="AF69" t="str">
        <f>tbl_OriginalData[[#This Row],[Customer_ID]]</f>
        <v>75-083-3608</v>
      </c>
      <c r="AG69">
        <f>tbl_OriginalData[[#This Row],[Age]]</f>
        <v>23</v>
      </c>
      <c r="AH69" t="str" cm="1">
        <f t="array" ref="AH6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9" t="str">
        <f>tbl_OriginalData[[#This Row],[Gender]]</f>
        <v>Male</v>
      </c>
      <c r="AJ69" t="str">
        <f>tbl_OriginalData[[#This Row],[Income_Level]]</f>
        <v>Middle</v>
      </c>
      <c r="AK69" t="str">
        <f>tbl_OriginalData[[#This Row],[Marital_Status]]</f>
        <v>Divorced</v>
      </c>
      <c r="AL69" t="str">
        <f>tbl_OriginalData[[#This Row],[Education_Level]]</f>
        <v>Master's</v>
      </c>
      <c r="AM69" t="str">
        <f>tbl_OriginalData[[#This Row],[Occupation]]</f>
        <v>Middle</v>
      </c>
      <c r="AN69" t="s">
        <v>281</v>
      </c>
      <c r="AO69" t="s">
        <v>61</v>
      </c>
      <c r="AP69" t="str">
        <f>tbl_OriginalData[[#This Row],[Purchase_Category]]</f>
        <v>Sports &amp; Outdoors</v>
      </c>
      <c r="AQ69" s="4">
        <f>tbl_OriginalData[[#This Row],[Purchase_Amount]]</f>
        <v>414.83</v>
      </c>
      <c r="AR69">
        <f>tbl_OriginalData[[#This Row],[Frequency_of_Purchase]]</f>
        <v>2</v>
      </c>
      <c r="AS69" t="str">
        <f>tbl_OriginalData[[#This Row],[Purchase_Channel]]</f>
        <v>Mixed</v>
      </c>
      <c r="AT69">
        <f>tbl_OriginalData[[#This Row],[Brand_Loyalty]]</f>
        <v>2</v>
      </c>
      <c r="AU69">
        <f>tbl_OriginalData[[#This Row],[Product_Rating]]</f>
        <v>4</v>
      </c>
      <c r="AV69">
        <f>tbl_OriginalData[[#This Row],[Time_Spent_on_Product_Research(hours)]]*60</f>
        <v>30</v>
      </c>
      <c r="AW69" t="str">
        <f>tbl_OriginalData[[#This Row],[Social_Media_Influence]]</f>
        <v>High</v>
      </c>
      <c r="AX69" t="str">
        <f>tbl_OriginalData[[#This Row],[Discount_Sensitivity]]</f>
        <v>Somewhat Sensitive</v>
      </c>
      <c r="AY69" s="3">
        <f>tbl_OriginalData[[#This Row],[Return_Rate]]/tbl_OriginalData[[#This Row],[Frequency_of_Purchase]]</f>
        <v>1</v>
      </c>
      <c r="AZ69">
        <f>tbl_OriginalData[[#This Row],[Customer_Satisfaction]]</f>
        <v>4</v>
      </c>
      <c r="BA69" t="str">
        <f>tbl_OriginalData[[#This Row],[Engagement_with_Ads]]</f>
        <v>High</v>
      </c>
      <c r="BB69" t="str">
        <f>tbl_OriginalData[[#This Row],[Device_Used_for_Shopping]]</f>
        <v>Desktop</v>
      </c>
      <c r="BC69" t="str">
        <f>tbl_OriginalData[[#This Row],[Payment_Method]]</f>
        <v>Credit Card</v>
      </c>
      <c r="BD69" s="1">
        <f>tbl_OriginalData[[#This Row],[Time_of_Purchase]]</f>
        <v>45489</v>
      </c>
      <c r="BE69" t="str">
        <f>IF(tbl_OriginalData[[#This Row],[Discount_Used]]=TRUE,"Yes","No")</f>
        <v>No</v>
      </c>
      <c r="BF69" t="str">
        <f>IF(tbl_OriginalData[[#This Row],[Customer_Loyalty_Program_Member]]=TRUE,"Yes","No")</f>
        <v>No</v>
      </c>
      <c r="BG69" t="str">
        <f>tbl_OriginalData[[#This Row],[Purchase_Intent]]</f>
        <v>Planned</v>
      </c>
      <c r="BH69" t="str">
        <f>tbl_OriginalData[[#This Row],[Shipping_Preference]]</f>
        <v>Express</v>
      </c>
      <c r="BI69">
        <f>tbl_OriginalData[[#This Row],[Time_to_Decision]]</f>
        <v>8</v>
      </c>
      <c r="BJ69" t="s">
        <v>114</v>
      </c>
      <c r="BK69" t="s">
        <v>115</v>
      </c>
      <c r="BL69" t="s">
        <v>2524</v>
      </c>
    </row>
    <row r="70" spans="1:64">
      <c r="A70" t="s">
        <v>282</v>
      </c>
      <c r="B70">
        <v>34</v>
      </c>
      <c r="C70" t="s">
        <v>33</v>
      </c>
      <c r="D70" t="s">
        <v>51</v>
      </c>
      <c r="E70" t="s">
        <v>82</v>
      </c>
      <c r="F70" t="s">
        <v>66</v>
      </c>
      <c r="G70" t="s">
        <v>51</v>
      </c>
      <c r="H70" t="s">
        <v>283</v>
      </c>
      <c r="I70" t="s">
        <v>98</v>
      </c>
      <c r="J70">
        <v>391.38</v>
      </c>
      <c r="K70">
        <v>5</v>
      </c>
      <c r="L70" t="s">
        <v>55</v>
      </c>
      <c r="M70">
        <v>5</v>
      </c>
      <c r="N70">
        <v>2</v>
      </c>
      <c r="O70">
        <v>2</v>
      </c>
      <c r="P70" t="s">
        <v>69</v>
      </c>
      <c r="Q70" t="s">
        <v>57</v>
      </c>
      <c r="R70">
        <v>0</v>
      </c>
      <c r="S70">
        <v>7</v>
      </c>
      <c r="T70" t="s">
        <v>69</v>
      </c>
      <c r="U70" t="s">
        <v>42</v>
      </c>
      <c r="V70" t="s">
        <v>76</v>
      </c>
      <c r="W70" s="1">
        <v>45384</v>
      </c>
      <c r="X70" t="b">
        <v>0</v>
      </c>
      <c r="Y70" t="b">
        <v>0</v>
      </c>
      <c r="Z70" t="s">
        <v>44</v>
      </c>
      <c r="AA70" t="s">
        <v>45</v>
      </c>
      <c r="AB70">
        <v>8</v>
      </c>
      <c r="AF70" t="str">
        <f>tbl_OriginalData[[#This Row],[Customer_ID]]</f>
        <v>29-779-7209</v>
      </c>
      <c r="AG70">
        <f>tbl_OriginalData[[#This Row],[Age]]</f>
        <v>34</v>
      </c>
      <c r="AH70" t="str" cm="1">
        <f t="array" ref="AH7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0" t="str">
        <f>tbl_OriginalData[[#This Row],[Gender]]</f>
        <v>Female</v>
      </c>
      <c r="AJ70" t="str">
        <f>tbl_OriginalData[[#This Row],[Income_Level]]</f>
        <v>High</v>
      </c>
      <c r="AK70" t="str">
        <f>tbl_OriginalData[[#This Row],[Marital_Status]]</f>
        <v>Widowed</v>
      </c>
      <c r="AL70" t="str">
        <f>tbl_OriginalData[[#This Row],[Education_Level]]</f>
        <v>Master's</v>
      </c>
      <c r="AM70" t="str">
        <f>tbl_OriginalData[[#This Row],[Occupation]]</f>
        <v>High</v>
      </c>
      <c r="AN70" t="s">
        <v>283</v>
      </c>
      <c r="AO70" t="s">
        <v>284</v>
      </c>
      <c r="AP70" t="str">
        <f>tbl_OriginalData[[#This Row],[Purchase_Category]]</f>
        <v>Books</v>
      </c>
      <c r="AQ70" s="4">
        <f>tbl_OriginalData[[#This Row],[Purchase_Amount]]</f>
        <v>391.38</v>
      </c>
      <c r="AR70">
        <f>tbl_OriginalData[[#This Row],[Frequency_of_Purchase]]</f>
        <v>5</v>
      </c>
      <c r="AS70" t="str">
        <f>tbl_OriginalData[[#This Row],[Purchase_Channel]]</f>
        <v>In-Store</v>
      </c>
      <c r="AT70">
        <f>tbl_OriginalData[[#This Row],[Brand_Loyalty]]</f>
        <v>5</v>
      </c>
      <c r="AU70">
        <f>tbl_OriginalData[[#This Row],[Product_Rating]]</f>
        <v>2</v>
      </c>
      <c r="AV70">
        <f>tbl_OriginalData[[#This Row],[Time_Spent_on_Product_Research(hours)]]*60</f>
        <v>120</v>
      </c>
      <c r="AW70" t="str">
        <f>tbl_OriginalData[[#This Row],[Social_Media_Influence]]</f>
        <v>Low</v>
      </c>
      <c r="AX70" t="str">
        <f>tbl_OriginalData[[#This Row],[Discount_Sensitivity]]</f>
        <v>Not Sensitive</v>
      </c>
      <c r="AY70" s="3">
        <f>tbl_OriginalData[[#This Row],[Return_Rate]]/tbl_OriginalData[[#This Row],[Frequency_of_Purchase]]</f>
        <v>0</v>
      </c>
      <c r="AZ70">
        <f>tbl_OriginalData[[#This Row],[Customer_Satisfaction]]</f>
        <v>7</v>
      </c>
      <c r="BA70" t="str">
        <f>tbl_OriginalData[[#This Row],[Engagement_with_Ads]]</f>
        <v>Low</v>
      </c>
      <c r="BB70" t="str">
        <f>tbl_OriginalData[[#This Row],[Device_Used_for_Shopping]]</f>
        <v>Tablet</v>
      </c>
      <c r="BC70" t="str">
        <f>tbl_OriginalData[[#This Row],[Payment_Method]]</f>
        <v>Other</v>
      </c>
      <c r="BD70" s="1">
        <f>tbl_OriginalData[[#This Row],[Time_of_Purchase]]</f>
        <v>45384</v>
      </c>
      <c r="BE70" t="str">
        <f>IF(tbl_OriginalData[[#This Row],[Discount_Used]]=TRUE,"Yes","No")</f>
        <v>No</v>
      </c>
      <c r="BF70" t="str">
        <f>IF(tbl_OriginalData[[#This Row],[Customer_Loyalty_Program_Member]]=TRUE,"Yes","No")</f>
        <v>No</v>
      </c>
      <c r="BG70" t="str">
        <f>tbl_OriginalData[[#This Row],[Purchase_Intent]]</f>
        <v>Need-based</v>
      </c>
      <c r="BH70" t="str">
        <f>tbl_OriginalData[[#This Row],[Shipping_Preference]]</f>
        <v>No Preference</v>
      </c>
      <c r="BI70">
        <f>tbl_OriginalData[[#This Row],[Time_to_Decision]]</f>
        <v>8</v>
      </c>
      <c r="BJ70" t="s">
        <v>62</v>
      </c>
      <c r="BK70" t="s">
        <v>63</v>
      </c>
      <c r="BL70" t="s">
        <v>2527</v>
      </c>
    </row>
    <row r="71" spans="1:64">
      <c r="A71" t="s">
        <v>285</v>
      </c>
      <c r="B71">
        <v>48</v>
      </c>
      <c r="C71" t="s">
        <v>50</v>
      </c>
      <c r="D71" t="s">
        <v>34</v>
      </c>
      <c r="E71" t="s">
        <v>92</v>
      </c>
      <c r="F71" t="s">
        <v>36</v>
      </c>
      <c r="G71" t="s">
        <v>51</v>
      </c>
      <c r="H71" t="s">
        <v>286</v>
      </c>
      <c r="I71" t="s">
        <v>84</v>
      </c>
      <c r="J71">
        <v>368.4</v>
      </c>
      <c r="K71">
        <v>11</v>
      </c>
      <c r="L71" t="s">
        <v>94</v>
      </c>
      <c r="M71">
        <v>2</v>
      </c>
      <c r="N71">
        <v>5</v>
      </c>
      <c r="O71">
        <v>1</v>
      </c>
      <c r="P71" t="s">
        <v>51</v>
      </c>
      <c r="Q71" t="s">
        <v>57</v>
      </c>
      <c r="R71">
        <v>0</v>
      </c>
      <c r="S71">
        <v>3</v>
      </c>
      <c r="T71" t="s">
        <v>51</v>
      </c>
      <c r="U71" t="s">
        <v>95</v>
      </c>
      <c r="V71" t="s">
        <v>43</v>
      </c>
      <c r="W71" s="1">
        <v>45464</v>
      </c>
      <c r="X71" t="b">
        <v>0</v>
      </c>
      <c r="Y71" t="b">
        <v>0</v>
      </c>
      <c r="Z71" t="s">
        <v>44</v>
      </c>
      <c r="AA71" t="s">
        <v>45</v>
      </c>
      <c r="AB71">
        <v>13</v>
      </c>
      <c r="AF71" t="str">
        <f>tbl_OriginalData[[#This Row],[Customer_ID]]</f>
        <v>12-409-5166</v>
      </c>
      <c r="AG71">
        <f>tbl_OriginalData[[#This Row],[Age]]</f>
        <v>48</v>
      </c>
      <c r="AH71" t="str" cm="1">
        <f t="array" ref="AH7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1" t="str">
        <f>tbl_OriginalData[[#This Row],[Gender]]</f>
        <v>Male</v>
      </c>
      <c r="AJ71" t="str">
        <f>tbl_OriginalData[[#This Row],[Income_Level]]</f>
        <v>Middle</v>
      </c>
      <c r="AK71" t="str">
        <f>tbl_OriginalData[[#This Row],[Marital_Status]]</f>
        <v>Divorced</v>
      </c>
      <c r="AL71" t="str">
        <f>tbl_OriginalData[[#This Row],[Education_Level]]</f>
        <v>Bachelor's</v>
      </c>
      <c r="AM71" t="str">
        <f>tbl_OriginalData[[#This Row],[Occupation]]</f>
        <v>High</v>
      </c>
      <c r="AN71" t="s">
        <v>286</v>
      </c>
      <c r="AO71" t="s">
        <v>287</v>
      </c>
      <c r="AP71" t="str">
        <f>tbl_OriginalData[[#This Row],[Purchase_Category]]</f>
        <v>Furniture</v>
      </c>
      <c r="AQ71" s="4">
        <f>tbl_OriginalData[[#This Row],[Purchase_Amount]]</f>
        <v>368.4</v>
      </c>
      <c r="AR71">
        <f>tbl_OriginalData[[#This Row],[Frequency_of_Purchase]]</f>
        <v>11</v>
      </c>
      <c r="AS71" t="str">
        <f>tbl_OriginalData[[#This Row],[Purchase_Channel]]</f>
        <v>Online</v>
      </c>
      <c r="AT71">
        <f>tbl_OriginalData[[#This Row],[Brand_Loyalty]]</f>
        <v>2</v>
      </c>
      <c r="AU71">
        <f>tbl_OriginalData[[#This Row],[Product_Rating]]</f>
        <v>5</v>
      </c>
      <c r="AV71">
        <f>tbl_OriginalData[[#This Row],[Time_Spent_on_Product_Research(hours)]]*60</f>
        <v>60</v>
      </c>
      <c r="AW71" t="str">
        <f>tbl_OriginalData[[#This Row],[Social_Media_Influence]]</f>
        <v>High</v>
      </c>
      <c r="AX71" t="str">
        <f>tbl_OriginalData[[#This Row],[Discount_Sensitivity]]</f>
        <v>Not Sensitive</v>
      </c>
      <c r="AY71" s="3">
        <f>tbl_OriginalData[[#This Row],[Return_Rate]]/tbl_OriginalData[[#This Row],[Frequency_of_Purchase]]</f>
        <v>0</v>
      </c>
      <c r="AZ71">
        <f>tbl_OriginalData[[#This Row],[Customer_Satisfaction]]</f>
        <v>3</v>
      </c>
      <c r="BA71" t="str">
        <f>tbl_OriginalData[[#This Row],[Engagement_with_Ads]]</f>
        <v>High</v>
      </c>
      <c r="BB71" t="str">
        <f>tbl_OriginalData[[#This Row],[Device_Used_for_Shopping]]</f>
        <v>Desktop</v>
      </c>
      <c r="BC71" t="str">
        <f>tbl_OriginalData[[#This Row],[Payment_Method]]</f>
        <v>Credit Card</v>
      </c>
      <c r="BD71" s="1">
        <f>tbl_OriginalData[[#This Row],[Time_of_Purchase]]</f>
        <v>45464</v>
      </c>
      <c r="BE71" t="str">
        <f>IF(tbl_OriginalData[[#This Row],[Discount_Used]]=TRUE,"Yes","No")</f>
        <v>No</v>
      </c>
      <c r="BF71" t="str">
        <f>IF(tbl_OriginalData[[#This Row],[Customer_Loyalty_Program_Member]]=TRUE,"Yes","No")</f>
        <v>No</v>
      </c>
      <c r="BG71" t="str">
        <f>tbl_OriginalData[[#This Row],[Purchase_Intent]]</f>
        <v>Need-based</v>
      </c>
      <c r="BH71" t="str">
        <f>tbl_OriginalData[[#This Row],[Shipping_Preference]]</f>
        <v>No Preference</v>
      </c>
      <c r="BI71">
        <f>tbl_OriginalData[[#This Row],[Time_to_Decision]]</f>
        <v>13</v>
      </c>
      <c r="BJ71" t="s">
        <v>104</v>
      </c>
      <c r="BK71" t="s">
        <v>63</v>
      </c>
      <c r="BL71" t="s">
        <v>2525</v>
      </c>
    </row>
    <row r="72" spans="1:64">
      <c r="A72" t="s">
        <v>288</v>
      </c>
      <c r="B72">
        <v>27</v>
      </c>
      <c r="C72" t="s">
        <v>106</v>
      </c>
      <c r="D72" t="s">
        <v>34</v>
      </c>
      <c r="E72" t="s">
        <v>82</v>
      </c>
      <c r="F72" t="s">
        <v>52</v>
      </c>
      <c r="G72" t="s">
        <v>34</v>
      </c>
      <c r="H72" t="s">
        <v>289</v>
      </c>
      <c r="I72" t="s">
        <v>84</v>
      </c>
      <c r="J72">
        <v>328.36</v>
      </c>
      <c r="K72">
        <v>11</v>
      </c>
      <c r="L72" t="s">
        <v>55</v>
      </c>
      <c r="M72">
        <v>1</v>
      </c>
      <c r="N72">
        <v>4</v>
      </c>
      <c r="O72">
        <v>2</v>
      </c>
      <c r="P72" t="s">
        <v>51</v>
      </c>
      <c r="Q72" t="s">
        <v>101</v>
      </c>
      <c r="R72">
        <v>0</v>
      </c>
      <c r="S72">
        <v>4</v>
      </c>
      <c r="T72" t="s">
        <v>40</v>
      </c>
      <c r="U72" t="s">
        <v>42</v>
      </c>
      <c r="V72" t="s">
        <v>102</v>
      </c>
      <c r="W72" s="1">
        <v>45362</v>
      </c>
      <c r="X72" t="b">
        <v>0</v>
      </c>
      <c r="Y72" t="b">
        <v>1</v>
      </c>
      <c r="Z72" t="s">
        <v>59</v>
      </c>
      <c r="AA72" t="s">
        <v>77</v>
      </c>
      <c r="AB72">
        <v>4</v>
      </c>
      <c r="AF72" t="str">
        <f>tbl_OriginalData[[#This Row],[Customer_ID]]</f>
        <v>07-024-4995</v>
      </c>
      <c r="AG72">
        <f>tbl_OriginalData[[#This Row],[Age]]</f>
        <v>27</v>
      </c>
      <c r="AH72" t="str" cm="1">
        <f t="array" ref="AH7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2" t="str">
        <f>tbl_OriginalData[[#This Row],[Gender]]</f>
        <v>Bigender</v>
      </c>
      <c r="AJ72" t="str">
        <f>tbl_OriginalData[[#This Row],[Income_Level]]</f>
        <v>Middle</v>
      </c>
      <c r="AK72" t="str">
        <f>tbl_OriginalData[[#This Row],[Marital_Status]]</f>
        <v>Widowed</v>
      </c>
      <c r="AL72" t="str">
        <f>tbl_OriginalData[[#This Row],[Education_Level]]</f>
        <v>High School</v>
      </c>
      <c r="AM72" t="str">
        <f>tbl_OriginalData[[#This Row],[Occupation]]</f>
        <v>Middle</v>
      </c>
      <c r="AN72" t="s">
        <v>289</v>
      </c>
      <c r="AO72" t="s">
        <v>290</v>
      </c>
      <c r="AP72" t="str">
        <f>tbl_OriginalData[[#This Row],[Purchase_Category]]</f>
        <v>Furniture</v>
      </c>
      <c r="AQ72" s="4">
        <f>tbl_OriginalData[[#This Row],[Purchase_Amount]]</f>
        <v>328.36</v>
      </c>
      <c r="AR72">
        <f>tbl_OriginalData[[#This Row],[Frequency_of_Purchase]]</f>
        <v>11</v>
      </c>
      <c r="AS72" t="str">
        <f>tbl_OriginalData[[#This Row],[Purchase_Channel]]</f>
        <v>In-Store</v>
      </c>
      <c r="AT72">
        <f>tbl_OriginalData[[#This Row],[Brand_Loyalty]]</f>
        <v>1</v>
      </c>
      <c r="AU72">
        <f>tbl_OriginalData[[#This Row],[Product_Rating]]</f>
        <v>4</v>
      </c>
      <c r="AV72">
        <f>tbl_OriginalData[[#This Row],[Time_Spent_on_Product_Research(hours)]]*60</f>
        <v>120</v>
      </c>
      <c r="AW72" t="str">
        <f>tbl_OriginalData[[#This Row],[Social_Media_Influence]]</f>
        <v>High</v>
      </c>
      <c r="AX72" t="str">
        <f>tbl_OriginalData[[#This Row],[Discount_Sensitivity]]</f>
        <v>Very Sensitive</v>
      </c>
      <c r="AY72" s="3">
        <f>tbl_OriginalData[[#This Row],[Return_Rate]]/tbl_OriginalData[[#This Row],[Frequency_of_Purchase]]</f>
        <v>0</v>
      </c>
      <c r="AZ72">
        <f>tbl_OriginalData[[#This Row],[Customer_Satisfaction]]</f>
        <v>4</v>
      </c>
      <c r="BA72" t="str">
        <f>tbl_OriginalData[[#This Row],[Engagement_with_Ads]]</f>
        <v>None</v>
      </c>
      <c r="BB72" t="str">
        <f>tbl_OriginalData[[#This Row],[Device_Used_for_Shopping]]</f>
        <v>Tablet</v>
      </c>
      <c r="BC72" t="str">
        <f>tbl_OriginalData[[#This Row],[Payment_Method]]</f>
        <v>Cash</v>
      </c>
      <c r="BD72" s="1">
        <f>tbl_OriginalData[[#This Row],[Time_of_Purchase]]</f>
        <v>45362</v>
      </c>
      <c r="BE72" t="str">
        <f>IF(tbl_OriginalData[[#This Row],[Discount_Used]]=TRUE,"Yes","No")</f>
        <v>No</v>
      </c>
      <c r="BF72" t="str">
        <f>IF(tbl_OriginalData[[#This Row],[Customer_Loyalty_Program_Member]]=TRUE,"Yes","No")</f>
        <v>Yes</v>
      </c>
      <c r="BG72" t="str">
        <f>tbl_OriginalData[[#This Row],[Purchase_Intent]]</f>
        <v>Wants-based</v>
      </c>
      <c r="BH72" t="str">
        <f>tbl_OriginalData[[#This Row],[Shipping_Preference]]</f>
        <v>Express</v>
      </c>
      <c r="BI72">
        <f>tbl_OriginalData[[#This Row],[Time_to_Decision]]</f>
        <v>4</v>
      </c>
      <c r="BJ72" t="s">
        <v>47</v>
      </c>
      <c r="BK72" t="s">
        <v>48</v>
      </c>
      <c r="BL72" t="s">
        <v>2524</v>
      </c>
    </row>
    <row r="73" spans="1:64">
      <c r="A73" t="s">
        <v>291</v>
      </c>
      <c r="B73">
        <v>37</v>
      </c>
      <c r="C73" t="s">
        <v>33</v>
      </c>
      <c r="D73" t="s">
        <v>34</v>
      </c>
      <c r="E73" t="s">
        <v>92</v>
      </c>
      <c r="F73" t="s">
        <v>36</v>
      </c>
      <c r="G73" t="s">
        <v>34</v>
      </c>
      <c r="H73" t="s">
        <v>292</v>
      </c>
      <c r="I73" t="s">
        <v>75</v>
      </c>
      <c r="J73">
        <v>424.39</v>
      </c>
      <c r="K73">
        <v>9</v>
      </c>
      <c r="L73" t="s">
        <v>39</v>
      </c>
      <c r="M73">
        <v>3</v>
      </c>
      <c r="N73">
        <v>1</v>
      </c>
      <c r="O73">
        <v>1</v>
      </c>
      <c r="P73" t="s">
        <v>51</v>
      </c>
      <c r="Q73" t="s">
        <v>41</v>
      </c>
      <c r="R73">
        <v>0</v>
      </c>
      <c r="S73">
        <v>7</v>
      </c>
      <c r="T73" t="s">
        <v>69</v>
      </c>
      <c r="U73" t="s">
        <v>70</v>
      </c>
      <c r="V73" t="s">
        <v>43</v>
      </c>
      <c r="W73" s="1">
        <v>45348</v>
      </c>
      <c r="X73" t="b">
        <v>1</v>
      </c>
      <c r="Y73" t="b">
        <v>0</v>
      </c>
      <c r="Z73" t="s">
        <v>59</v>
      </c>
      <c r="AA73" t="s">
        <v>45</v>
      </c>
      <c r="AB73">
        <v>13</v>
      </c>
      <c r="AF73" t="str">
        <f>tbl_OriginalData[[#This Row],[Customer_ID]]</f>
        <v>74-478-5950</v>
      </c>
      <c r="AG73">
        <f>tbl_OriginalData[[#This Row],[Age]]</f>
        <v>37</v>
      </c>
      <c r="AH73" t="str" cm="1">
        <f t="array" ref="AH7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3" t="str">
        <f>tbl_OriginalData[[#This Row],[Gender]]</f>
        <v>Female</v>
      </c>
      <c r="AJ73" t="str">
        <f>tbl_OriginalData[[#This Row],[Income_Level]]</f>
        <v>Middle</v>
      </c>
      <c r="AK73" t="str">
        <f>tbl_OriginalData[[#This Row],[Marital_Status]]</f>
        <v>Divorced</v>
      </c>
      <c r="AL73" t="str">
        <f>tbl_OriginalData[[#This Row],[Education_Level]]</f>
        <v>Bachelor's</v>
      </c>
      <c r="AM73" t="str">
        <f>tbl_OriginalData[[#This Row],[Occupation]]</f>
        <v>Middle</v>
      </c>
      <c r="AN73" t="s">
        <v>292</v>
      </c>
      <c r="AO73" t="s">
        <v>61</v>
      </c>
      <c r="AP73" t="str">
        <f>tbl_OriginalData[[#This Row],[Purchase_Category]]</f>
        <v>Home Appliances</v>
      </c>
      <c r="AQ73" s="4">
        <f>tbl_OriginalData[[#This Row],[Purchase_Amount]]</f>
        <v>424.39</v>
      </c>
      <c r="AR73">
        <f>tbl_OriginalData[[#This Row],[Frequency_of_Purchase]]</f>
        <v>9</v>
      </c>
      <c r="AS73" t="str">
        <f>tbl_OriginalData[[#This Row],[Purchase_Channel]]</f>
        <v>Mixed</v>
      </c>
      <c r="AT73">
        <f>tbl_OriginalData[[#This Row],[Brand_Loyalty]]</f>
        <v>3</v>
      </c>
      <c r="AU73">
        <f>tbl_OriginalData[[#This Row],[Product_Rating]]</f>
        <v>1</v>
      </c>
      <c r="AV73">
        <f>tbl_OriginalData[[#This Row],[Time_Spent_on_Product_Research(hours)]]*60</f>
        <v>60</v>
      </c>
      <c r="AW73" t="str">
        <f>tbl_OriginalData[[#This Row],[Social_Media_Influence]]</f>
        <v>High</v>
      </c>
      <c r="AX73" t="str">
        <f>tbl_OriginalData[[#This Row],[Discount_Sensitivity]]</f>
        <v>Somewhat Sensitive</v>
      </c>
      <c r="AY73" s="3">
        <f>tbl_OriginalData[[#This Row],[Return_Rate]]/tbl_OriginalData[[#This Row],[Frequency_of_Purchase]]</f>
        <v>0</v>
      </c>
      <c r="AZ73">
        <f>tbl_OriginalData[[#This Row],[Customer_Satisfaction]]</f>
        <v>7</v>
      </c>
      <c r="BA73" t="str">
        <f>tbl_OriginalData[[#This Row],[Engagement_with_Ads]]</f>
        <v>Low</v>
      </c>
      <c r="BB73" t="str">
        <f>tbl_OriginalData[[#This Row],[Device_Used_for_Shopping]]</f>
        <v>Smartphone</v>
      </c>
      <c r="BC73" t="str">
        <f>tbl_OriginalData[[#This Row],[Payment_Method]]</f>
        <v>Credit Card</v>
      </c>
      <c r="BD73" s="1">
        <f>tbl_OriginalData[[#This Row],[Time_of_Purchase]]</f>
        <v>45348</v>
      </c>
      <c r="BE73" t="str">
        <f>IF(tbl_OriginalData[[#This Row],[Discount_Used]]=TRUE,"Yes","No")</f>
        <v>Yes</v>
      </c>
      <c r="BF73" t="str">
        <f>IF(tbl_OriginalData[[#This Row],[Customer_Loyalty_Program_Member]]=TRUE,"Yes","No")</f>
        <v>No</v>
      </c>
      <c r="BG73" t="str">
        <f>tbl_OriginalData[[#This Row],[Purchase_Intent]]</f>
        <v>Wants-based</v>
      </c>
      <c r="BH73" t="str">
        <f>tbl_OriginalData[[#This Row],[Shipping_Preference]]</f>
        <v>No Preference</v>
      </c>
      <c r="BI73">
        <f>tbl_OriginalData[[#This Row],[Time_to_Decision]]</f>
        <v>13</v>
      </c>
      <c r="BJ73" t="s">
        <v>158</v>
      </c>
      <c r="BK73" t="s">
        <v>48</v>
      </c>
      <c r="BL73" t="s">
        <v>2524</v>
      </c>
    </row>
    <row r="74" spans="1:64">
      <c r="A74" t="s">
        <v>293</v>
      </c>
      <c r="B74">
        <v>47</v>
      </c>
      <c r="C74" t="s">
        <v>50</v>
      </c>
      <c r="D74" t="s">
        <v>51</v>
      </c>
      <c r="E74" t="s">
        <v>35</v>
      </c>
      <c r="F74" t="s">
        <v>52</v>
      </c>
      <c r="G74" t="s">
        <v>51</v>
      </c>
      <c r="H74" t="s">
        <v>294</v>
      </c>
      <c r="I74" t="s">
        <v>180</v>
      </c>
      <c r="J74">
        <v>197.12</v>
      </c>
      <c r="K74">
        <v>10</v>
      </c>
      <c r="L74" t="s">
        <v>55</v>
      </c>
      <c r="M74">
        <v>4</v>
      </c>
      <c r="N74">
        <v>4</v>
      </c>
      <c r="O74">
        <v>0</v>
      </c>
      <c r="P74" t="s">
        <v>69</v>
      </c>
      <c r="Q74" t="s">
        <v>41</v>
      </c>
      <c r="R74">
        <v>1</v>
      </c>
      <c r="S74">
        <v>1</v>
      </c>
      <c r="T74" t="s">
        <v>56</v>
      </c>
      <c r="U74" t="s">
        <v>42</v>
      </c>
      <c r="V74" t="s">
        <v>76</v>
      </c>
      <c r="W74" s="1">
        <v>45457</v>
      </c>
      <c r="X74" t="b">
        <v>1</v>
      </c>
      <c r="Y74" t="b">
        <v>1</v>
      </c>
      <c r="Z74" t="s">
        <v>59</v>
      </c>
      <c r="AA74" t="s">
        <v>60</v>
      </c>
      <c r="AB74">
        <v>10</v>
      </c>
      <c r="AF74" t="str">
        <f>tbl_OriginalData[[#This Row],[Customer_ID]]</f>
        <v>31-395-1286</v>
      </c>
      <c r="AG74">
        <f>tbl_OriginalData[[#This Row],[Age]]</f>
        <v>47</v>
      </c>
      <c r="AH74" t="str" cm="1">
        <f t="array" ref="AH7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4" t="str">
        <f>tbl_OriginalData[[#This Row],[Gender]]</f>
        <v>Male</v>
      </c>
      <c r="AJ74" t="str">
        <f>tbl_OriginalData[[#This Row],[Income_Level]]</f>
        <v>High</v>
      </c>
      <c r="AK74" t="str">
        <f>tbl_OriginalData[[#This Row],[Marital_Status]]</f>
        <v>Married</v>
      </c>
      <c r="AL74" t="str">
        <f>tbl_OriginalData[[#This Row],[Education_Level]]</f>
        <v>High School</v>
      </c>
      <c r="AM74" t="str">
        <f>tbl_OriginalData[[#This Row],[Occupation]]</f>
        <v>High</v>
      </c>
      <c r="AN74" t="s">
        <v>294</v>
      </c>
      <c r="AO74" t="s">
        <v>109</v>
      </c>
      <c r="AP74" t="str">
        <f>tbl_OriginalData[[#This Row],[Purchase_Category]]</f>
        <v>Health Supplements</v>
      </c>
      <c r="AQ74" s="4">
        <f>tbl_OriginalData[[#This Row],[Purchase_Amount]]</f>
        <v>197.12</v>
      </c>
      <c r="AR74">
        <f>tbl_OriginalData[[#This Row],[Frequency_of_Purchase]]</f>
        <v>10</v>
      </c>
      <c r="AS74" t="str">
        <f>tbl_OriginalData[[#This Row],[Purchase_Channel]]</f>
        <v>In-Store</v>
      </c>
      <c r="AT74">
        <f>tbl_OriginalData[[#This Row],[Brand_Loyalty]]</f>
        <v>4</v>
      </c>
      <c r="AU74">
        <f>tbl_OriginalData[[#This Row],[Product_Rating]]</f>
        <v>4</v>
      </c>
      <c r="AV74">
        <f>tbl_OriginalData[[#This Row],[Time_Spent_on_Product_Research(hours)]]*60</f>
        <v>0</v>
      </c>
      <c r="AW74" t="str">
        <f>tbl_OriginalData[[#This Row],[Social_Media_Influence]]</f>
        <v>Low</v>
      </c>
      <c r="AX74" t="str">
        <f>tbl_OriginalData[[#This Row],[Discount_Sensitivity]]</f>
        <v>Somewhat Sensitive</v>
      </c>
      <c r="AY74" s="3">
        <f>tbl_OriginalData[[#This Row],[Return_Rate]]/tbl_OriginalData[[#This Row],[Frequency_of_Purchase]]</f>
        <v>0.1</v>
      </c>
      <c r="AZ74">
        <f>tbl_OriginalData[[#This Row],[Customer_Satisfaction]]</f>
        <v>1</v>
      </c>
      <c r="BA74" t="str">
        <f>tbl_OriginalData[[#This Row],[Engagement_with_Ads]]</f>
        <v>Medium</v>
      </c>
      <c r="BB74" t="str">
        <f>tbl_OriginalData[[#This Row],[Device_Used_for_Shopping]]</f>
        <v>Tablet</v>
      </c>
      <c r="BC74" t="str">
        <f>tbl_OriginalData[[#This Row],[Payment_Method]]</f>
        <v>Other</v>
      </c>
      <c r="BD74" s="1">
        <f>tbl_OriginalData[[#This Row],[Time_of_Purchase]]</f>
        <v>45457</v>
      </c>
      <c r="BE74" t="str">
        <f>IF(tbl_OriginalData[[#This Row],[Discount_Used]]=TRUE,"Yes","No")</f>
        <v>Yes</v>
      </c>
      <c r="BF74" t="str">
        <f>IF(tbl_OriginalData[[#This Row],[Customer_Loyalty_Program_Member]]=TRUE,"Yes","No")</f>
        <v>Yes</v>
      </c>
      <c r="BG74" t="str">
        <f>tbl_OriginalData[[#This Row],[Purchase_Intent]]</f>
        <v>Wants-based</v>
      </c>
      <c r="BH74" t="str">
        <f>tbl_OriginalData[[#This Row],[Shipping_Preference]]</f>
        <v>Standard</v>
      </c>
      <c r="BI74">
        <f>tbl_OriginalData[[#This Row],[Time_to_Decision]]</f>
        <v>10</v>
      </c>
      <c r="BJ74" t="s">
        <v>104</v>
      </c>
      <c r="BK74" t="s">
        <v>63</v>
      </c>
      <c r="BL74" t="s">
        <v>2526</v>
      </c>
    </row>
    <row r="75" spans="1:64">
      <c r="A75" t="s">
        <v>295</v>
      </c>
      <c r="B75">
        <v>45</v>
      </c>
      <c r="C75" t="s">
        <v>50</v>
      </c>
      <c r="D75" t="s">
        <v>51</v>
      </c>
      <c r="E75" t="s">
        <v>65</v>
      </c>
      <c r="F75" t="s">
        <v>36</v>
      </c>
      <c r="G75" t="s">
        <v>51</v>
      </c>
      <c r="H75" t="s">
        <v>296</v>
      </c>
      <c r="I75" t="s">
        <v>98</v>
      </c>
      <c r="J75">
        <v>454.57</v>
      </c>
      <c r="K75">
        <v>9</v>
      </c>
      <c r="L75" t="s">
        <v>39</v>
      </c>
      <c r="M75">
        <v>2</v>
      </c>
      <c r="N75">
        <v>5</v>
      </c>
      <c r="O75">
        <v>1</v>
      </c>
      <c r="P75" t="s">
        <v>69</v>
      </c>
      <c r="Q75" t="s">
        <v>41</v>
      </c>
      <c r="R75">
        <v>0</v>
      </c>
      <c r="S75">
        <v>1</v>
      </c>
      <c r="T75" t="s">
        <v>56</v>
      </c>
      <c r="U75" t="s">
        <v>70</v>
      </c>
      <c r="V75" t="s">
        <v>71</v>
      </c>
      <c r="W75" s="1">
        <v>45375</v>
      </c>
      <c r="X75" t="b">
        <v>1</v>
      </c>
      <c r="Y75" t="b">
        <v>1</v>
      </c>
      <c r="Z75" t="s">
        <v>59</v>
      </c>
      <c r="AA75" t="s">
        <v>77</v>
      </c>
      <c r="AB75">
        <v>1</v>
      </c>
      <c r="AF75" t="str">
        <f>tbl_OriginalData[[#This Row],[Customer_ID]]</f>
        <v>60-838-4334</v>
      </c>
      <c r="AG75">
        <f>tbl_OriginalData[[#This Row],[Age]]</f>
        <v>45</v>
      </c>
      <c r="AH75" t="str" cm="1">
        <f t="array" ref="AH7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5" t="str">
        <f>tbl_OriginalData[[#This Row],[Gender]]</f>
        <v>Male</v>
      </c>
      <c r="AJ75" t="str">
        <f>tbl_OriginalData[[#This Row],[Income_Level]]</f>
        <v>High</v>
      </c>
      <c r="AK75" t="str">
        <f>tbl_OriginalData[[#This Row],[Marital_Status]]</f>
        <v>Single</v>
      </c>
      <c r="AL75" t="str">
        <f>tbl_OriginalData[[#This Row],[Education_Level]]</f>
        <v>Bachelor's</v>
      </c>
      <c r="AM75" t="str">
        <f>tbl_OriginalData[[#This Row],[Occupation]]</f>
        <v>High</v>
      </c>
      <c r="AN75" t="s">
        <v>296</v>
      </c>
      <c r="AO75" t="s">
        <v>61</v>
      </c>
      <c r="AP75" t="str">
        <f>tbl_OriginalData[[#This Row],[Purchase_Category]]</f>
        <v>Books</v>
      </c>
      <c r="AQ75" s="4">
        <f>tbl_OriginalData[[#This Row],[Purchase_Amount]]</f>
        <v>454.57</v>
      </c>
      <c r="AR75">
        <f>tbl_OriginalData[[#This Row],[Frequency_of_Purchase]]</f>
        <v>9</v>
      </c>
      <c r="AS75" t="str">
        <f>tbl_OriginalData[[#This Row],[Purchase_Channel]]</f>
        <v>Mixed</v>
      </c>
      <c r="AT75">
        <f>tbl_OriginalData[[#This Row],[Brand_Loyalty]]</f>
        <v>2</v>
      </c>
      <c r="AU75">
        <f>tbl_OriginalData[[#This Row],[Product_Rating]]</f>
        <v>5</v>
      </c>
      <c r="AV75">
        <f>tbl_OriginalData[[#This Row],[Time_Spent_on_Product_Research(hours)]]*60</f>
        <v>60</v>
      </c>
      <c r="AW75" t="str">
        <f>tbl_OriginalData[[#This Row],[Social_Media_Influence]]</f>
        <v>Low</v>
      </c>
      <c r="AX75" t="str">
        <f>tbl_OriginalData[[#This Row],[Discount_Sensitivity]]</f>
        <v>Somewhat Sensitive</v>
      </c>
      <c r="AY75" s="3">
        <f>tbl_OriginalData[[#This Row],[Return_Rate]]/tbl_OriginalData[[#This Row],[Frequency_of_Purchase]]</f>
        <v>0</v>
      </c>
      <c r="AZ75">
        <f>tbl_OriginalData[[#This Row],[Customer_Satisfaction]]</f>
        <v>1</v>
      </c>
      <c r="BA75" t="str">
        <f>tbl_OriginalData[[#This Row],[Engagement_with_Ads]]</f>
        <v>Medium</v>
      </c>
      <c r="BB75" t="str">
        <f>tbl_OriginalData[[#This Row],[Device_Used_for_Shopping]]</f>
        <v>Smartphone</v>
      </c>
      <c r="BC75" t="str">
        <f>tbl_OriginalData[[#This Row],[Payment_Method]]</f>
        <v>Debit Card</v>
      </c>
      <c r="BD75" s="1">
        <f>tbl_OriginalData[[#This Row],[Time_of_Purchase]]</f>
        <v>45375</v>
      </c>
      <c r="BE75" t="str">
        <f>IF(tbl_OriginalData[[#This Row],[Discount_Used]]=TRUE,"Yes","No")</f>
        <v>Yes</v>
      </c>
      <c r="BF75" t="str">
        <f>IF(tbl_OriginalData[[#This Row],[Customer_Loyalty_Program_Member]]=TRUE,"Yes","No")</f>
        <v>Yes</v>
      </c>
      <c r="BG75" t="str">
        <f>tbl_OriginalData[[#This Row],[Purchase_Intent]]</f>
        <v>Wants-based</v>
      </c>
      <c r="BH75" t="str">
        <f>tbl_OriginalData[[#This Row],[Shipping_Preference]]</f>
        <v>Express</v>
      </c>
      <c r="BI75">
        <f>tbl_OriginalData[[#This Row],[Time_to_Decision]]</f>
        <v>1</v>
      </c>
      <c r="BJ75" t="s">
        <v>47</v>
      </c>
      <c r="BK75" t="s">
        <v>48</v>
      </c>
      <c r="BL75" t="s">
        <v>2524</v>
      </c>
    </row>
    <row r="76" spans="1:64">
      <c r="A76" t="s">
        <v>297</v>
      </c>
      <c r="B76">
        <v>37</v>
      </c>
      <c r="C76" t="s">
        <v>50</v>
      </c>
      <c r="D76" t="s">
        <v>34</v>
      </c>
      <c r="E76" t="s">
        <v>92</v>
      </c>
      <c r="F76" t="s">
        <v>52</v>
      </c>
      <c r="G76" t="s">
        <v>51</v>
      </c>
      <c r="H76" t="s">
        <v>298</v>
      </c>
      <c r="I76" t="s">
        <v>147</v>
      </c>
      <c r="J76">
        <v>298.38</v>
      </c>
      <c r="K76">
        <v>4</v>
      </c>
      <c r="L76" t="s">
        <v>39</v>
      </c>
      <c r="M76">
        <v>3</v>
      </c>
      <c r="N76">
        <v>4</v>
      </c>
      <c r="O76">
        <v>2</v>
      </c>
      <c r="P76" t="s">
        <v>51</v>
      </c>
      <c r="Q76" t="s">
        <v>101</v>
      </c>
      <c r="R76">
        <v>0</v>
      </c>
      <c r="S76">
        <v>2</v>
      </c>
      <c r="T76" t="s">
        <v>69</v>
      </c>
      <c r="U76" t="s">
        <v>42</v>
      </c>
      <c r="V76" t="s">
        <v>102</v>
      </c>
      <c r="W76" s="1">
        <v>45409</v>
      </c>
      <c r="X76" t="b">
        <v>0</v>
      </c>
      <c r="Y76" t="b">
        <v>1</v>
      </c>
      <c r="Z76" t="s">
        <v>44</v>
      </c>
      <c r="AA76" t="s">
        <v>60</v>
      </c>
      <c r="AB76">
        <v>3</v>
      </c>
      <c r="AF76" t="str">
        <f>tbl_OriginalData[[#This Row],[Customer_ID]]</f>
        <v>71-197-8227</v>
      </c>
      <c r="AG76">
        <f>tbl_OriginalData[[#This Row],[Age]]</f>
        <v>37</v>
      </c>
      <c r="AH76" t="str" cm="1">
        <f t="array" ref="AH7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6" t="str">
        <f>tbl_OriginalData[[#This Row],[Gender]]</f>
        <v>Male</v>
      </c>
      <c r="AJ76" t="str">
        <f>tbl_OriginalData[[#This Row],[Income_Level]]</f>
        <v>Middle</v>
      </c>
      <c r="AK76" t="str">
        <f>tbl_OriginalData[[#This Row],[Marital_Status]]</f>
        <v>Divorced</v>
      </c>
      <c r="AL76" t="str">
        <f>tbl_OriginalData[[#This Row],[Education_Level]]</f>
        <v>High School</v>
      </c>
      <c r="AM76" t="str">
        <f>tbl_OriginalData[[#This Row],[Occupation]]</f>
        <v>High</v>
      </c>
      <c r="AN76" t="s">
        <v>298</v>
      </c>
      <c r="AO76" t="s">
        <v>299</v>
      </c>
      <c r="AP76" t="str">
        <f>tbl_OriginalData[[#This Row],[Purchase_Category]]</f>
        <v>Electronics</v>
      </c>
      <c r="AQ76" s="4">
        <f>tbl_OriginalData[[#This Row],[Purchase_Amount]]</f>
        <v>298.38</v>
      </c>
      <c r="AR76">
        <f>tbl_OriginalData[[#This Row],[Frequency_of_Purchase]]</f>
        <v>4</v>
      </c>
      <c r="AS76" t="str">
        <f>tbl_OriginalData[[#This Row],[Purchase_Channel]]</f>
        <v>Mixed</v>
      </c>
      <c r="AT76">
        <f>tbl_OriginalData[[#This Row],[Brand_Loyalty]]</f>
        <v>3</v>
      </c>
      <c r="AU76">
        <f>tbl_OriginalData[[#This Row],[Product_Rating]]</f>
        <v>4</v>
      </c>
      <c r="AV76">
        <f>tbl_OriginalData[[#This Row],[Time_Spent_on_Product_Research(hours)]]*60</f>
        <v>120</v>
      </c>
      <c r="AW76" t="str">
        <f>tbl_OriginalData[[#This Row],[Social_Media_Influence]]</f>
        <v>High</v>
      </c>
      <c r="AX76" t="str">
        <f>tbl_OriginalData[[#This Row],[Discount_Sensitivity]]</f>
        <v>Very Sensitive</v>
      </c>
      <c r="AY76" s="3">
        <f>tbl_OriginalData[[#This Row],[Return_Rate]]/tbl_OriginalData[[#This Row],[Frequency_of_Purchase]]</f>
        <v>0</v>
      </c>
      <c r="AZ76">
        <f>tbl_OriginalData[[#This Row],[Customer_Satisfaction]]</f>
        <v>2</v>
      </c>
      <c r="BA76" t="str">
        <f>tbl_OriginalData[[#This Row],[Engagement_with_Ads]]</f>
        <v>Low</v>
      </c>
      <c r="BB76" t="str">
        <f>tbl_OriginalData[[#This Row],[Device_Used_for_Shopping]]</f>
        <v>Tablet</v>
      </c>
      <c r="BC76" t="str">
        <f>tbl_OriginalData[[#This Row],[Payment_Method]]</f>
        <v>Cash</v>
      </c>
      <c r="BD76" s="1">
        <f>tbl_OriginalData[[#This Row],[Time_of_Purchase]]</f>
        <v>45409</v>
      </c>
      <c r="BE76" t="str">
        <f>IF(tbl_OriginalData[[#This Row],[Discount_Used]]=TRUE,"Yes","No")</f>
        <v>No</v>
      </c>
      <c r="BF76" t="str">
        <f>IF(tbl_OriginalData[[#This Row],[Customer_Loyalty_Program_Member]]=TRUE,"Yes","No")</f>
        <v>Yes</v>
      </c>
      <c r="BG76" t="str">
        <f>tbl_OriginalData[[#This Row],[Purchase_Intent]]</f>
        <v>Need-based</v>
      </c>
      <c r="BH76" t="str">
        <f>tbl_OriginalData[[#This Row],[Shipping_Preference]]</f>
        <v>Standard</v>
      </c>
      <c r="BI76">
        <f>tbl_OriginalData[[#This Row],[Time_to_Decision]]</f>
        <v>3</v>
      </c>
      <c r="BJ76" t="s">
        <v>62</v>
      </c>
      <c r="BK76" t="s">
        <v>63</v>
      </c>
      <c r="BL76" t="s">
        <v>2525</v>
      </c>
    </row>
    <row r="77" spans="1:64">
      <c r="A77" t="s">
        <v>300</v>
      </c>
      <c r="B77">
        <v>36</v>
      </c>
      <c r="C77" t="s">
        <v>50</v>
      </c>
      <c r="D77" t="s">
        <v>51</v>
      </c>
      <c r="E77" t="s">
        <v>92</v>
      </c>
      <c r="F77" t="s">
        <v>52</v>
      </c>
      <c r="G77" t="s">
        <v>51</v>
      </c>
      <c r="H77" t="s">
        <v>301</v>
      </c>
      <c r="I77" t="s">
        <v>229</v>
      </c>
      <c r="J77">
        <v>111.7</v>
      </c>
      <c r="K77">
        <v>6</v>
      </c>
      <c r="L77" t="s">
        <v>94</v>
      </c>
      <c r="M77">
        <v>4</v>
      </c>
      <c r="N77">
        <v>5</v>
      </c>
      <c r="O77">
        <v>0</v>
      </c>
      <c r="P77" t="s">
        <v>56</v>
      </c>
      <c r="Q77" t="s">
        <v>41</v>
      </c>
      <c r="R77">
        <v>2</v>
      </c>
      <c r="S77">
        <v>5</v>
      </c>
      <c r="T77" t="s">
        <v>51</v>
      </c>
      <c r="U77" t="s">
        <v>42</v>
      </c>
      <c r="V77" t="s">
        <v>43</v>
      </c>
      <c r="W77" s="1">
        <v>45603</v>
      </c>
      <c r="X77" t="b">
        <v>0</v>
      </c>
      <c r="Y77" t="b">
        <v>0</v>
      </c>
      <c r="Z77" t="s">
        <v>89</v>
      </c>
      <c r="AA77" t="s">
        <v>60</v>
      </c>
      <c r="AB77">
        <v>7</v>
      </c>
      <c r="AF77" t="str">
        <f>tbl_OriginalData[[#This Row],[Customer_ID]]</f>
        <v>15-530-3861</v>
      </c>
      <c r="AG77">
        <f>tbl_OriginalData[[#This Row],[Age]]</f>
        <v>36</v>
      </c>
      <c r="AH77" t="str" cm="1">
        <f t="array" ref="AH7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7" t="str">
        <f>tbl_OriginalData[[#This Row],[Gender]]</f>
        <v>Male</v>
      </c>
      <c r="AJ77" t="str">
        <f>tbl_OriginalData[[#This Row],[Income_Level]]</f>
        <v>High</v>
      </c>
      <c r="AK77" t="str">
        <f>tbl_OriginalData[[#This Row],[Marital_Status]]</f>
        <v>Divorced</v>
      </c>
      <c r="AL77" t="str">
        <f>tbl_OriginalData[[#This Row],[Education_Level]]</f>
        <v>High School</v>
      </c>
      <c r="AM77" t="str">
        <f>tbl_OriginalData[[#This Row],[Occupation]]</f>
        <v>High</v>
      </c>
      <c r="AN77" t="s">
        <v>301</v>
      </c>
      <c r="AO77" t="s">
        <v>61</v>
      </c>
      <c r="AP77" t="str">
        <f>tbl_OriginalData[[#This Row],[Purchase_Category]]</f>
        <v>Clothing</v>
      </c>
      <c r="AQ77" s="4">
        <f>tbl_OriginalData[[#This Row],[Purchase_Amount]]</f>
        <v>111.7</v>
      </c>
      <c r="AR77">
        <f>tbl_OriginalData[[#This Row],[Frequency_of_Purchase]]</f>
        <v>6</v>
      </c>
      <c r="AS77" t="str">
        <f>tbl_OriginalData[[#This Row],[Purchase_Channel]]</f>
        <v>Online</v>
      </c>
      <c r="AT77">
        <f>tbl_OriginalData[[#This Row],[Brand_Loyalty]]</f>
        <v>4</v>
      </c>
      <c r="AU77">
        <f>tbl_OriginalData[[#This Row],[Product_Rating]]</f>
        <v>5</v>
      </c>
      <c r="AV77">
        <f>tbl_OriginalData[[#This Row],[Time_Spent_on_Product_Research(hours)]]*60</f>
        <v>0</v>
      </c>
      <c r="AW77" t="str">
        <f>tbl_OriginalData[[#This Row],[Social_Media_Influence]]</f>
        <v>Medium</v>
      </c>
      <c r="AX77" t="str">
        <f>tbl_OriginalData[[#This Row],[Discount_Sensitivity]]</f>
        <v>Somewhat Sensitive</v>
      </c>
      <c r="AY77" s="3">
        <f>tbl_OriginalData[[#This Row],[Return_Rate]]/tbl_OriginalData[[#This Row],[Frequency_of_Purchase]]</f>
        <v>0.33333333333333331</v>
      </c>
      <c r="AZ77">
        <f>tbl_OriginalData[[#This Row],[Customer_Satisfaction]]</f>
        <v>5</v>
      </c>
      <c r="BA77" t="str">
        <f>tbl_OriginalData[[#This Row],[Engagement_with_Ads]]</f>
        <v>High</v>
      </c>
      <c r="BB77" t="str">
        <f>tbl_OriginalData[[#This Row],[Device_Used_for_Shopping]]</f>
        <v>Tablet</v>
      </c>
      <c r="BC77" t="str">
        <f>tbl_OriginalData[[#This Row],[Payment_Method]]</f>
        <v>Credit Card</v>
      </c>
      <c r="BD77" s="1">
        <f>tbl_OriginalData[[#This Row],[Time_of_Purchase]]</f>
        <v>45603</v>
      </c>
      <c r="BE77" t="str">
        <f>IF(tbl_OriginalData[[#This Row],[Discount_Used]]=TRUE,"Yes","No")</f>
        <v>No</v>
      </c>
      <c r="BF77" t="str">
        <f>IF(tbl_OriginalData[[#This Row],[Customer_Loyalty_Program_Member]]=TRUE,"Yes","No")</f>
        <v>No</v>
      </c>
      <c r="BG77" t="str">
        <f>tbl_OriginalData[[#This Row],[Purchase_Intent]]</f>
        <v>Planned</v>
      </c>
      <c r="BH77" t="str">
        <f>tbl_OriginalData[[#This Row],[Shipping_Preference]]</f>
        <v>Standard</v>
      </c>
      <c r="BI77">
        <f>tbl_OriginalData[[#This Row],[Time_to_Decision]]</f>
        <v>7</v>
      </c>
      <c r="BJ77" t="s">
        <v>177</v>
      </c>
      <c r="BK77" t="s">
        <v>80</v>
      </c>
      <c r="BL77" t="s">
        <v>2524</v>
      </c>
    </row>
    <row r="78" spans="1:64">
      <c r="A78" t="s">
        <v>302</v>
      </c>
      <c r="B78">
        <v>34</v>
      </c>
      <c r="C78" t="s">
        <v>50</v>
      </c>
      <c r="D78" t="s">
        <v>34</v>
      </c>
      <c r="E78" t="s">
        <v>35</v>
      </c>
      <c r="F78" t="s">
        <v>36</v>
      </c>
      <c r="G78" t="s">
        <v>34</v>
      </c>
      <c r="H78" t="s">
        <v>303</v>
      </c>
      <c r="I78" t="s">
        <v>229</v>
      </c>
      <c r="J78">
        <v>373.69</v>
      </c>
      <c r="K78">
        <v>10</v>
      </c>
      <c r="L78" t="s">
        <v>94</v>
      </c>
      <c r="M78">
        <v>3</v>
      </c>
      <c r="N78">
        <v>2</v>
      </c>
      <c r="O78">
        <v>2</v>
      </c>
      <c r="P78" t="s">
        <v>56</v>
      </c>
      <c r="Q78" t="s">
        <v>57</v>
      </c>
      <c r="R78">
        <v>1</v>
      </c>
      <c r="S78">
        <v>8</v>
      </c>
      <c r="T78" t="s">
        <v>40</v>
      </c>
      <c r="U78" t="s">
        <v>42</v>
      </c>
      <c r="V78" t="s">
        <v>43</v>
      </c>
      <c r="W78" s="1">
        <v>45630</v>
      </c>
      <c r="X78" t="b">
        <v>0</v>
      </c>
      <c r="Y78" t="b">
        <v>1</v>
      </c>
      <c r="Z78" t="s">
        <v>72</v>
      </c>
      <c r="AA78" t="s">
        <v>77</v>
      </c>
      <c r="AB78">
        <v>14</v>
      </c>
      <c r="AF78" t="str">
        <f>tbl_OriginalData[[#This Row],[Customer_ID]]</f>
        <v>30-567-4471</v>
      </c>
      <c r="AG78">
        <f>tbl_OriginalData[[#This Row],[Age]]</f>
        <v>34</v>
      </c>
      <c r="AH78" t="str" cm="1">
        <f t="array" ref="AH7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8" t="str">
        <f>tbl_OriginalData[[#This Row],[Gender]]</f>
        <v>Male</v>
      </c>
      <c r="AJ78" t="str">
        <f>tbl_OriginalData[[#This Row],[Income_Level]]</f>
        <v>Middle</v>
      </c>
      <c r="AK78" t="str">
        <f>tbl_OriginalData[[#This Row],[Marital_Status]]</f>
        <v>Married</v>
      </c>
      <c r="AL78" t="str">
        <f>tbl_OriginalData[[#This Row],[Education_Level]]</f>
        <v>Bachelor's</v>
      </c>
      <c r="AM78" t="str">
        <f>tbl_OriginalData[[#This Row],[Occupation]]</f>
        <v>Middle</v>
      </c>
      <c r="AN78" t="s">
        <v>303</v>
      </c>
      <c r="AO78" t="s">
        <v>90</v>
      </c>
      <c r="AP78" t="str">
        <f>tbl_OriginalData[[#This Row],[Purchase_Category]]</f>
        <v>Clothing</v>
      </c>
      <c r="AQ78" s="4">
        <f>tbl_OriginalData[[#This Row],[Purchase_Amount]]</f>
        <v>373.69</v>
      </c>
      <c r="AR78">
        <f>tbl_OriginalData[[#This Row],[Frequency_of_Purchase]]</f>
        <v>10</v>
      </c>
      <c r="AS78" t="str">
        <f>tbl_OriginalData[[#This Row],[Purchase_Channel]]</f>
        <v>Online</v>
      </c>
      <c r="AT78">
        <f>tbl_OriginalData[[#This Row],[Brand_Loyalty]]</f>
        <v>3</v>
      </c>
      <c r="AU78">
        <f>tbl_OriginalData[[#This Row],[Product_Rating]]</f>
        <v>2</v>
      </c>
      <c r="AV78">
        <f>tbl_OriginalData[[#This Row],[Time_Spent_on_Product_Research(hours)]]*60</f>
        <v>120</v>
      </c>
      <c r="AW78" t="str">
        <f>tbl_OriginalData[[#This Row],[Social_Media_Influence]]</f>
        <v>Medium</v>
      </c>
      <c r="AX78" t="str">
        <f>tbl_OriginalData[[#This Row],[Discount_Sensitivity]]</f>
        <v>Not Sensitive</v>
      </c>
      <c r="AY78" s="3">
        <f>tbl_OriginalData[[#This Row],[Return_Rate]]/tbl_OriginalData[[#This Row],[Frequency_of_Purchase]]</f>
        <v>0.1</v>
      </c>
      <c r="AZ78">
        <f>tbl_OriginalData[[#This Row],[Customer_Satisfaction]]</f>
        <v>8</v>
      </c>
      <c r="BA78" t="str">
        <f>tbl_OriginalData[[#This Row],[Engagement_with_Ads]]</f>
        <v>None</v>
      </c>
      <c r="BB78" t="str">
        <f>tbl_OriginalData[[#This Row],[Device_Used_for_Shopping]]</f>
        <v>Tablet</v>
      </c>
      <c r="BC78" t="str">
        <f>tbl_OriginalData[[#This Row],[Payment_Method]]</f>
        <v>Credit Card</v>
      </c>
      <c r="BD78" s="1">
        <f>tbl_OriginalData[[#This Row],[Time_of_Purchase]]</f>
        <v>45630</v>
      </c>
      <c r="BE78" t="str">
        <f>IF(tbl_OriginalData[[#This Row],[Discount_Used]]=TRUE,"Yes","No")</f>
        <v>No</v>
      </c>
      <c r="BF78" t="str">
        <f>IF(tbl_OriginalData[[#This Row],[Customer_Loyalty_Program_Member]]=TRUE,"Yes","No")</f>
        <v>Yes</v>
      </c>
      <c r="BG78" t="str">
        <f>tbl_OriginalData[[#This Row],[Purchase_Intent]]</f>
        <v>Impulsive</v>
      </c>
      <c r="BH78" t="str">
        <f>tbl_OriginalData[[#This Row],[Shipping_Preference]]</f>
        <v>Express</v>
      </c>
      <c r="BI78">
        <f>tbl_OriginalData[[#This Row],[Time_to_Decision]]</f>
        <v>14</v>
      </c>
      <c r="BJ78" t="s">
        <v>120</v>
      </c>
      <c r="BK78" t="s">
        <v>80</v>
      </c>
      <c r="BL78" t="s">
        <v>2524</v>
      </c>
    </row>
    <row r="79" spans="1:64">
      <c r="A79" t="s">
        <v>304</v>
      </c>
      <c r="B79">
        <v>37</v>
      </c>
      <c r="C79" t="s">
        <v>50</v>
      </c>
      <c r="D79" t="s">
        <v>51</v>
      </c>
      <c r="E79" t="s">
        <v>82</v>
      </c>
      <c r="F79" t="s">
        <v>66</v>
      </c>
      <c r="G79" t="s">
        <v>34</v>
      </c>
      <c r="H79" t="s">
        <v>305</v>
      </c>
      <c r="I79" t="s">
        <v>306</v>
      </c>
      <c r="J79">
        <v>354.87</v>
      </c>
      <c r="K79">
        <v>5</v>
      </c>
      <c r="L79" t="s">
        <v>55</v>
      </c>
      <c r="M79">
        <v>1</v>
      </c>
      <c r="N79">
        <v>1</v>
      </c>
      <c r="O79">
        <v>0</v>
      </c>
      <c r="P79" t="s">
        <v>40</v>
      </c>
      <c r="Q79" t="s">
        <v>57</v>
      </c>
      <c r="R79">
        <v>2</v>
      </c>
      <c r="S79">
        <v>4</v>
      </c>
      <c r="T79" t="s">
        <v>40</v>
      </c>
      <c r="U79" t="s">
        <v>95</v>
      </c>
      <c r="V79" t="s">
        <v>102</v>
      </c>
      <c r="W79" s="1">
        <v>45400</v>
      </c>
      <c r="X79" t="b">
        <v>0</v>
      </c>
      <c r="Y79" t="b">
        <v>1</v>
      </c>
      <c r="Z79" t="s">
        <v>89</v>
      </c>
      <c r="AA79" t="s">
        <v>77</v>
      </c>
      <c r="AB79">
        <v>12</v>
      </c>
      <c r="AF79" t="str">
        <f>tbl_OriginalData[[#This Row],[Customer_ID]]</f>
        <v>04-465-1819</v>
      </c>
      <c r="AG79">
        <f>tbl_OriginalData[[#This Row],[Age]]</f>
        <v>37</v>
      </c>
      <c r="AH79" t="str" cm="1">
        <f t="array" ref="AH7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9" t="str">
        <f>tbl_OriginalData[[#This Row],[Gender]]</f>
        <v>Male</v>
      </c>
      <c r="AJ79" t="str">
        <f>tbl_OriginalData[[#This Row],[Income_Level]]</f>
        <v>High</v>
      </c>
      <c r="AK79" t="str">
        <f>tbl_OriginalData[[#This Row],[Marital_Status]]</f>
        <v>Widowed</v>
      </c>
      <c r="AL79" t="str">
        <f>tbl_OriginalData[[#This Row],[Education_Level]]</f>
        <v>Master's</v>
      </c>
      <c r="AM79" t="str">
        <f>tbl_OriginalData[[#This Row],[Occupation]]</f>
        <v>Middle</v>
      </c>
      <c r="AN79" t="s">
        <v>305</v>
      </c>
      <c r="AO79" t="s">
        <v>109</v>
      </c>
      <c r="AP79" t="str">
        <f>tbl_OriginalData[[#This Row],[Purchase_Category]]</f>
        <v>Jewelry &amp; Accessories</v>
      </c>
      <c r="AQ79" s="4">
        <f>tbl_OriginalData[[#This Row],[Purchase_Amount]]</f>
        <v>354.87</v>
      </c>
      <c r="AR79">
        <f>tbl_OriginalData[[#This Row],[Frequency_of_Purchase]]</f>
        <v>5</v>
      </c>
      <c r="AS79" t="str">
        <f>tbl_OriginalData[[#This Row],[Purchase_Channel]]</f>
        <v>In-Store</v>
      </c>
      <c r="AT79">
        <f>tbl_OriginalData[[#This Row],[Brand_Loyalty]]</f>
        <v>1</v>
      </c>
      <c r="AU79">
        <f>tbl_OriginalData[[#This Row],[Product_Rating]]</f>
        <v>1</v>
      </c>
      <c r="AV79">
        <f>tbl_OriginalData[[#This Row],[Time_Spent_on_Product_Research(hours)]]*60</f>
        <v>0</v>
      </c>
      <c r="AW79" t="str">
        <f>tbl_OriginalData[[#This Row],[Social_Media_Influence]]</f>
        <v>None</v>
      </c>
      <c r="AX79" t="str">
        <f>tbl_OriginalData[[#This Row],[Discount_Sensitivity]]</f>
        <v>Not Sensitive</v>
      </c>
      <c r="AY79" s="3">
        <f>tbl_OriginalData[[#This Row],[Return_Rate]]/tbl_OriginalData[[#This Row],[Frequency_of_Purchase]]</f>
        <v>0.4</v>
      </c>
      <c r="AZ79">
        <f>tbl_OriginalData[[#This Row],[Customer_Satisfaction]]</f>
        <v>4</v>
      </c>
      <c r="BA79" t="str">
        <f>tbl_OriginalData[[#This Row],[Engagement_with_Ads]]</f>
        <v>None</v>
      </c>
      <c r="BB79" t="str">
        <f>tbl_OriginalData[[#This Row],[Device_Used_for_Shopping]]</f>
        <v>Desktop</v>
      </c>
      <c r="BC79" t="str">
        <f>tbl_OriginalData[[#This Row],[Payment_Method]]</f>
        <v>Cash</v>
      </c>
      <c r="BD79" s="1">
        <f>tbl_OriginalData[[#This Row],[Time_of_Purchase]]</f>
        <v>45400</v>
      </c>
      <c r="BE79" t="str">
        <f>IF(tbl_OriginalData[[#This Row],[Discount_Used]]=TRUE,"Yes","No")</f>
        <v>No</v>
      </c>
      <c r="BF79" t="str">
        <f>IF(tbl_OriginalData[[#This Row],[Customer_Loyalty_Program_Member]]=TRUE,"Yes","No")</f>
        <v>Yes</v>
      </c>
      <c r="BG79" t="str">
        <f>tbl_OriginalData[[#This Row],[Purchase_Intent]]</f>
        <v>Planned</v>
      </c>
      <c r="BH79" t="str">
        <f>tbl_OriginalData[[#This Row],[Shipping_Preference]]</f>
        <v>Express</v>
      </c>
      <c r="BI79">
        <f>tbl_OriginalData[[#This Row],[Time_to_Decision]]</f>
        <v>12</v>
      </c>
      <c r="BJ79" t="s">
        <v>62</v>
      </c>
      <c r="BK79" t="s">
        <v>63</v>
      </c>
      <c r="BL79" t="s">
        <v>2526</v>
      </c>
    </row>
    <row r="80" spans="1:64">
      <c r="A80" t="s">
        <v>307</v>
      </c>
      <c r="B80">
        <v>18</v>
      </c>
      <c r="C80" t="s">
        <v>33</v>
      </c>
      <c r="D80" t="s">
        <v>34</v>
      </c>
      <c r="E80" t="s">
        <v>82</v>
      </c>
      <c r="F80" t="s">
        <v>36</v>
      </c>
      <c r="G80" t="s">
        <v>51</v>
      </c>
      <c r="H80" t="s">
        <v>308</v>
      </c>
      <c r="I80" t="s">
        <v>112</v>
      </c>
      <c r="J80">
        <v>214.48</v>
      </c>
      <c r="K80">
        <v>2</v>
      </c>
      <c r="L80" t="s">
        <v>94</v>
      </c>
      <c r="M80">
        <v>4</v>
      </c>
      <c r="N80">
        <v>2</v>
      </c>
      <c r="O80">
        <v>2</v>
      </c>
      <c r="P80" t="s">
        <v>40</v>
      </c>
      <c r="Q80" t="s">
        <v>101</v>
      </c>
      <c r="R80">
        <v>1</v>
      </c>
      <c r="S80">
        <v>3</v>
      </c>
      <c r="T80" t="s">
        <v>40</v>
      </c>
      <c r="U80" t="s">
        <v>42</v>
      </c>
      <c r="V80" t="s">
        <v>102</v>
      </c>
      <c r="W80" s="1">
        <v>45403</v>
      </c>
      <c r="X80" t="b">
        <v>1</v>
      </c>
      <c r="Y80" t="b">
        <v>1</v>
      </c>
      <c r="Z80" t="s">
        <v>59</v>
      </c>
      <c r="AA80" t="s">
        <v>77</v>
      </c>
      <c r="AB80">
        <v>2</v>
      </c>
      <c r="AF80" t="str">
        <f>tbl_OriginalData[[#This Row],[Customer_ID]]</f>
        <v>69-692-0614</v>
      </c>
      <c r="AG80">
        <f>tbl_OriginalData[[#This Row],[Age]]</f>
        <v>18</v>
      </c>
      <c r="AH80" t="str" cm="1">
        <f t="array" ref="AH8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80" t="str">
        <f>tbl_OriginalData[[#This Row],[Gender]]</f>
        <v>Female</v>
      </c>
      <c r="AJ80" t="str">
        <f>tbl_OriginalData[[#This Row],[Income_Level]]</f>
        <v>Middle</v>
      </c>
      <c r="AK80" t="str">
        <f>tbl_OriginalData[[#This Row],[Marital_Status]]</f>
        <v>Widowed</v>
      </c>
      <c r="AL80" t="str">
        <f>tbl_OriginalData[[#This Row],[Education_Level]]</f>
        <v>Bachelor's</v>
      </c>
      <c r="AM80" t="str">
        <f>tbl_OriginalData[[#This Row],[Occupation]]</f>
        <v>High</v>
      </c>
      <c r="AN80" t="s">
        <v>309</v>
      </c>
      <c r="AO80" t="s">
        <v>310</v>
      </c>
      <c r="AP80" t="str">
        <f>tbl_OriginalData[[#This Row],[Purchase_Category]]</f>
        <v>Mobile Accessories</v>
      </c>
      <c r="AQ80" s="4">
        <f>tbl_OriginalData[[#This Row],[Purchase_Amount]]</f>
        <v>214.48</v>
      </c>
      <c r="AR80">
        <f>tbl_OriginalData[[#This Row],[Frequency_of_Purchase]]</f>
        <v>2</v>
      </c>
      <c r="AS80" t="str">
        <f>tbl_OriginalData[[#This Row],[Purchase_Channel]]</f>
        <v>Online</v>
      </c>
      <c r="AT80">
        <f>tbl_OriginalData[[#This Row],[Brand_Loyalty]]</f>
        <v>4</v>
      </c>
      <c r="AU80">
        <f>tbl_OriginalData[[#This Row],[Product_Rating]]</f>
        <v>2</v>
      </c>
      <c r="AV80">
        <f>tbl_OriginalData[[#This Row],[Time_Spent_on_Product_Research(hours)]]*60</f>
        <v>120</v>
      </c>
      <c r="AW80" t="str">
        <f>tbl_OriginalData[[#This Row],[Social_Media_Influence]]</f>
        <v>None</v>
      </c>
      <c r="AX80" t="str">
        <f>tbl_OriginalData[[#This Row],[Discount_Sensitivity]]</f>
        <v>Very Sensitive</v>
      </c>
      <c r="AY80" s="3">
        <f>tbl_OriginalData[[#This Row],[Return_Rate]]/tbl_OriginalData[[#This Row],[Frequency_of_Purchase]]</f>
        <v>0.5</v>
      </c>
      <c r="AZ80">
        <f>tbl_OriginalData[[#This Row],[Customer_Satisfaction]]</f>
        <v>3</v>
      </c>
      <c r="BA80" t="str">
        <f>tbl_OriginalData[[#This Row],[Engagement_with_Ads]]</f>
        <v>None</v>
      </c>
      <c r="BB80" t="str">
        <f>tbl_OriginalData[[#This Row],[Device_Used_for_Shopping]]</f>
        <v>Tablet</v>
      </c>
      <c r="BC80" t="str">
        <f>tbl_OriginalData[[#This Row],[Payment_Method]]</f>
        <v>Cash</v>
      </c>
      <c r="BD80" s="1">
        <f>tbl_OriginalData[[#This Row],[Time_of_Purchase]]</f>
        <v>45403</v>
      </c>
      <c r="BE80" t="str">
        <f>IF(tbl_OriginalData[[#This Row],[Discount_Used]]=TRUE,"Yes","No")</f>
        <v>Yes</v>
      </c>
      <c r="BF80" t="str">
        <f>IF(tbl_OriginalData[[#This Row],[Customer_Loyalty_Program_Member]]=TRUE,"Yes","No")</f>
        <v>Yes</v>
      </c>
      <c r="BG80" t="str">
        <f>tbl_OriginalData[[#This Row],[Purchase_Intent]]</f>
        <v>Wants-based</v>
      </c>
      <c r="BH80" t="str">
        <f>tbl_OriginalData[[#This Row],[Shipping_Preference]]</f>
        <v>Express</v>
      </c>
      <c r="BI80">
        <f>tbl_OriginalData[[#This Row],[Time_to_Decision]]</f>
        <v>2</v>
      </c>
      <c r="BJ80" t="s">
        <v>62</v>
      </c>
      <c r="BK80" t="s">
        <v>63</v>
      </c>
      <c r="BL80" t="s">
        <v>2524</v>
      </c>
    </row>
    <row r="81" spans="1:64">
      <c r="A81" t="s">
        <v>311</v>
      </c>
      <c r="B81">
        <v>20</v>
      </c>
      <c r="C81" t="s">
        <v>50</v>
      </c>
      <c r="D81" t="s">
        <v>51</v>
      </c>
      <c r="E81" t="s">
        <v>92</v>
      </c>
      <c r="F81" t="s">
        <v>36</v>
      </c>
      <c r="G81" t="s">
        <v>34</v>
      </c>
      <c r="H81" t="s">
        <v>312</v>
      </c>
      <c r="I81" t="s">
        <v>150</v>
      </c>
      <c r="J81">
        <v>399.58</v>
      </c>
      <c r="K81">
        <v>6</v>
      </c>
      <c r="L81" t="s">
        <v>55</v>
      </c>
      <c r="M81">
        <v>3</v>
      </c>
      <c r="N81">
        <v>4</v>
      </c>
      <c r="O81">
        <v>0</v>
      </c>
      <c r="P81" t="s">
        <v>40</v>
      </c>
      <c r="Q81" t="s">
        <v>101</v>
      </c>
      <c r="R81">
        <v>1</v>
      </c>
      <c r="S81">
        <v>8</v>
      </c>
      <c r="T81" t="s">
        <v>69</v>
      </c>
      <c r="U81" t="s">
        <v>42</v>
      </c>
      <c r="V81" t="s">
        <v>76</v>
      </c>
      <c r="W81" s="1">
        <v>45560</v>
      </c>
      <c r="X81" t="b">
        <v>1</v>
      </c>
      <c r="Y81" t="b">
        <v>0</v>
      </c>
      <c r="Z81" t="s">
        <v>44</v>
      </c>
      <c r="AA81" t="s">
        <v>60</v>
      </c>
      <c r="AB81">
        <v>7</v>
      </c>
      <c r="AF81" t="str">
        <f>tbl_OriginalData[[#This Row],[Customer_ID]]</f>
        <v>12-839-8066</v>
      </c>
      <c r="AG81">
        <f>tbl_OriginalData[[#This Row],[Age]]</f>
        <v>20</v>
      </c>
      <c r="AH81" t="str" cm="1">
        <f t="array" ref="AH8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1" t="str">
        <f>tbl_OriginalData[[#This Row],[Gender]]</f>
        <v>Male</v>
      </c>
      <c r="AJ81" t="str">
        <f>tbl_OriginalData[[#This Row],[Income_Level]]</f>
        <v>High</v>
      </c>
      <c r="AK81" t="str">
        <f>tbl_OriginalData[[#This Row],[Marital_Status]]</f>
        <v>Divorced</v>
      </c>
      <c r="AL81" t="str">
        <f>tbl_OriginalData[[#This Row],[Education_Level]]</f>
        <v>Bachelor's</v>
      </c>
      <c r="AM81" t="str">
        <f>tbl_OriginalData[[#This Row],[Occupation]]</f>
        <v>Middle</v>
      </c>
      <c r="AN81" t="s">
        <v>312</v>
      </c>
      <c r="AO81" t="s">
        <v>90</v>
      </c>
      <c r="AP81" t="str">
        <f>tbl_OriginalData[[#This Row],[Purchase_Category]]</f>
        <v>Software &amp; Apps</v>
      </c>
      <c r="AQ81" s="4">
        <f>tbl_OriginalData[[#This Row],[Purchase_Amount]]</f>
        <v>399.58</v>
      </c>
      <c r="AR81">
        <f>tbl_OriginalData[[#This Row],[Frequency_of_Purchase]]</f>
        <v>6</v>
      </c>
      <c r="AS81" t="str">
        <f>tbl_OriginalData[[#This Row],[Purchase_Channel]]</f>
        <v>In-Store</v>
      </c>
      <c r="AT81">
        <f>tbl_OriginalData[[#This Row],[Brand_Loyalty]]</f>
        <v>3</v>
      </c>
      <c r="AU81">
        <f>tbl_OriginalData[[#This Row],[Product_Rating]]</f>
        <v>4</v>
      </c>
      <c r="AV81">
        <f>tbl_OriginalData[[#This Row],[Time_Spent_on_Product_Research(hours)]]*60</f>
        <v>0</v>
      </c>
      <c r="AW81" t="str">
        <f>tbl_OriginalData[[#This Row],[Social_Media_Influence]]</f>
        <v>None</v>
      </c>
      <c r="AX81" t="str">
        <f>tbl_OriginalData[[#This Row],[Discount_Sensitivity]]</f>
        <v>Very Sensitive</v>
      </c>
      <c r="AY81" s="3">
        <f>tbl_OriginalData[[#This Row],[Return_Rate]]/tbl_OriginalData[[#This Row],[Frequency_of_Purchase]]</f>
        <v>0.16666666666666666</v>
      </c>
      <c r="AZ81">
        <f>tbl_OriginalData[[#This Row],[Customer_Satisfaction]]</f>
        <v>8</v>
      </c>
      <c r="BA81" t="str">
        <f>tbl_OriginalData[[#This Row],[Engagement_with_Ads]]</f>
        <v>Low</v>
      </c>
      <c r="BB81" t="str">
        <f>tbl_OriginalData[[#This Row],[Device_Used_for_Shopping]]</f>
        <v>Tablet</v>
      </c>
      <c r="BC81" t="str">
        <f>tbl_OriginalData[[#This Row],[Payment_Method]]</f>
        <v>Other</v>
      </c>
      <c r="BD81" s="1">
        <f>tbl_OriginalData[[#This Row],[Time_of_Purchase]]</f>
        <v>45560</v>
      </c>
      <c r="BE81" t="str">
        <f>IF(tbl_OriginalData[[#This Row],[Discount_Used]]=TRUE,"Yes","No")</f>
        <v>Yes</v>
      </c>
      <c r="BF81" t="str">
        <f>IF(tbl_OriginalData[[#This Row],[Customer_Loyalty_Program_Member]]=TRUE,"Yes","No")</f>
        <v>No</v>
      </c>
      <c r="BG81" t="str">
        <f>tbl_OriginalData[[#This Row],[Purchase_Intent]]</f>
        <v>Need-based</v>
      </c>
      <c r="BH81" t="str">
        <f>tbl_OriginalData[[#This Row],[Shipping_Preference]]</f>
        <v>Standard</v>
      </c>
      <c r="BI81">
        <f>tbl_OriginalData[[#This Row],[Time_to_Decision]]</f>
        <v>7</v>
      </c>
      <c r="BJ81" t="s">
        <v>172</v>
      </c>
      <c r="BK81" t="s">
        <v>115</v>
      </c>
      <c r="BL81" t="s">
        <v>2524</v>
      </c>
    </row>
    <row r="82" spans="1:64">
      <c r="A82" t="s">
        <v>313</v>
      </c>
      <c r="B82">
        <v>27</v>
      </c>
      <c r="C82" t="s">
        <v>33</v>
      </c>
      <c r="D82" t="s">
        <v>51</v>
      </c>
      <c r="E82" t="s">
        <v>82</v>
      </c>
      <c r="F82" t="s">
        <v>52</v>
      </c>
      <c r="G82" t="s">
        <v>34</v>
      </c>
      <c r="H82" t="s">
        <v>314</v>
      </c>
      <c r="I82" t="s">
        <v>123</v>
      </c>
      <c r="J82">
        <v>380.99</v>
      </c>
      <c r="K82">
        <v>7</v>
      </c>
      <c r="L82" t="s">
        <v>39</v>
      </c>
      <c r="M82">
        <v>1</v>
      </c>
      <c r="N82">
        <v>2</v>
      </c>
      <c r="O82">
        <v>1</v>
      </c>
      <c r="P82" t="s">
        <v>69</v>
      </c>
      <c r="Q82" t="s">
        <v>41</v>
      </c>
      <c r="R82">
        <v>0</v>
      </c>
      <c r="S82">
        <v>1</v>
      </c>
      <c r="T82" t="s">
        <v>56</v>
      </c>
      <c r="U82" t="s">
        <v>95</v>
      </c>
      <c r="V82" t="s">
        <v>102</v>
      </c>
      <c r="W82" s="1">
        <v>45635</v>
      </c>
      <c r="X82" t="b">
        <v>1</v>
      </c>
      <c r="Y82" t="b">
        <v>1</v>
      </c>
      <c r="Z82" t="s">
        <v>44</v>
      </c>
      <c r="AA82" t="s">
        <v>45</v>
      </c>
      <c r="AB82">
        <v>8</v>
      </c>
      <c r="AF82" t="str">
        <f>tbl_OriginalData[[#This Row],[Customer_ID]]</f>
        <v>05-465-8765</v>
      </c>
      <c r="AG82">
        <f>tbl_OriginalData[[#This Row],[Age]]</f>
        <v>27</v>
      </c>
      <c r="AH82" t="str" cm="1">
        <f t="array" ref="AH8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2" t="str">
        <f>tbl_OriginalData[[#This Row],[Gender]]</f>
        <v>Female</v>
      </c>
      <c r="AJ82" t="str">
        <f>tbl_OriginalData[[#This Row],[Income_Level]]</f>
        <v>High</v>
      </c>
      <c r="AK82" t="str">
        <f>tbl_OriginalData[[#This Row],[Marital_Status]]</f>
        <v>Widowed</v>
      </c>
      <c r="AL82" t="str">
        <f>tbl_OriginalData[[#This Row],[Education_Level]]</f>
        <v>High School</v>
      </c>
      <c r="AM82" t="str">
        <f>tbl_OriginalData[[#This Row],[Occupation]]</f>
        <v>Middle</v>
      </c>
      <c r="AN82" t="s">
        <v>314</v>
      </c>
      <c r="AO82" t="s">
        <v>315</v>
      </c>
      <c r="AP82" t="str">
        <f>tbl_OriginalData[[#This Row],[Purchase_Category]]</f>
        <v>Luxury Goods</v>
      </c>
      <c r="AQ82" s="4">
        <f>tbl_OriginalData[[#This Row],[Purchase_Amount]]</f>
        <v>380.99</v>
      </c>
      <c r="AR82">
        <f>tbl_OriginalData[[#This Row],[Frequency_of_Purchase]]</f>
        <v>7</v>
      </c>
      <c r="AS82" t="str">
        <f>tbl_OriginalData[[#This Row],[Purchase_Channel]]</f>
        <v>Mixed</v>
      </c>
      <c r="AT82">
        <f>tbl_OriginalData[[#This Row],[Brand_Loyalty]]</f>
        <v>1</v>
      </c>
      <c r="AU82">
        <f>tbl_OriginalData[[#This Row],[Product_Rating]]</f>
        <v>2</v>
      </c>
      <c r="AV82">
        <f>tbl_OriginalData[[#This Row],[Time_Spent_on_Product_Research(hours)]]*60</f>
        <v>60</v>
      </c>
      <c r="AW82" t="str">
        <f>tbl_OriginalData[[#This Row],[Social_Media_Influence]]</f>
        <v>Low</v>
      </c>
      <c r="AX82" t="str">
        <f>tbl_OriginalData[[#This Row],[Discount_Sensitivity]]</f>
        <v>Somewhat Sensitive</v>
      </c>
      <c r="AY82" s="3">
        <f>tbl_OriginalData[[#This Row],[Return_Rate]]/tbl_OriginalData[[#This Row],[Frequency_of_Purchase]]</f>
        <v>0</v>
      </c>
      <c r="AZ82">
        <f>tbl_OriginalData[[#This Row],[Customer_Satisfaction]]</f>
        <v>1</v>
      </c>
      <c r="BA82" t="str">
        <f>tbl_OriginalData[[#This Row],[Engagement_with_Ads]]</f>
        <v>Medium</v>
      </c>
      <c r="BB82" t="str">
        <f>tbl_OriginalData[[#This Row],[Device_Used_for_Shopping]]</f>
        <v>Desktop</v>
      </c>
      <c r="BC82" t="str">
        <f>tbl_OriginalData[[#This Row],[Payment_Method]]</f>
        <v>Cash</v>
      </c>
      <c r="BD82" s="1">
        <f>tbl_OriginalData[[#This Row],[Time_of_Purchase]]</f>
        <v>45635</v>
      </c>
      <c r="BE82" t="str">
        <f>IF(tbl_OriginalData[[#This Row],[Discount_Used]]=TRUE,"Yes","No")</f>
        <v>Yes</v>
      </c>
      <c r="BF82" t="str">
        <f>IF(tbl_OriginalData[[#This Row],[Customer_Loyalty_Program_Member]]=TRUE,"Yes","No")</f>
        <v>Yes</v>
      </c>
      <c r="BG82" t="str">
        <f>tbl_OriginalData[[#This Row],[Purchase_Intent]]</f>
        <v>Need-based</v>
      </c>
      <c r="BH82" t="str">
        <f>tbl_OriginalData[[#This Row],[Shipping_Preference]]</f>
        <v>No Preference</v>
      </c>
      <c r="BI82">
        <f>tbl_OriginalData[[#This Row],[Time_to_Decision]]</f>
        <v>8</v>
      </c>
      <c r="BJ82" t="s">
        <v>120</v>
      </c>
      <c r="BK82" t="s">
        <v>80</v>
      </c>
      <c r="BL82" t="s">
        <v>2523</v>
      </c>
    </row>
    <row r="83" spans="1:64">
      <c r="A83" t="s">
        <v>316</v>
      </c>
      <c r="B83">
        <v>36</v>
      </c>
      <c r="C83" t="s">
        <v>50</v>
      </c>
      <c r="D83" t="s">
        <v>34</v>
      </c>
      <c r="E83" t="s">
        <v>35</v>
      </c>
      <c r="F83" t="s">
        <v>52</v>
      </c>
      <c r="G83" t="s">
        <v>51</v>
      </c>
      <c r="H83" t="s">
        <v>317</v>
      </c>
      <c r="I83" t="s">
        <v>54</v>
      </c>
      <c r="J83">
        <v>79</v>
      </c>
      <c r="K83">
        <v>10</v>
      </c>
      <c r="L83" t="s">
        <v>94</v>
      </c>
      <c r="M83">
        <v>1</v>
      </c>
      <c r="N83">
        <v>2</v>
      </c>
      <c r="O83">
        <v>1</v>
      </c>
      <c r="P83" t="s">
        <v>56</v>
      </c>
      <c r="Q83" t="s">
        <v>101</v>
      </c>
      <c r="R83">
        <v>2</v>
      </c>
      <c r="S83">
        <v>6</v>
      </c>
      <c r="T83" t="s">
        <v>69</v>
      </c>
      <c r="U83" t="s">
        <v>70</v>
      </c>
      <c r="V83" t="s">
        <v>102</v>
      </c>
      <c r="W83" s="1">
        <v>45549</v>
      </c>
      <c r="X83" t="b">
        <v>0</v>
      </c>
      <c r="Y83" t="b">
        <v>1</v>
      </c>
      <c r="Z83" t="s">
        <v>89</v>
      </c>
      <c r="AA83" t="s">
        <v>60</v>
      </c>
      <c r="AB83">
        <v>7</v>
      </c>
      <c r="AF83" t="str">
        <f>tbl_OriginalData[[#This Row],[Customer_ID]]</f>
        <v>81-580-3810</v>
      </c>
      <c r="AG83">
        <f>tbl_OriginalData[[#This Row],[Age]]</f>
        <v>36</v>
      </c>
      <c r="AH83" t="str" cm="1">
        <f t="array" ref="AH8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3" t="str">
        <f>tbl_OriginalData[[#This Row],[Gender]]</f>
        <v>Male</v>
      </c>
      <c r="AJ83" t="str">
        <f>tbl_OriginalData[[#This Row],[Income_Level]]</f>
        <v>Middle</v>
      </c>
      <c r="AK83" t="str">
        <f>tbl_OriginalData[[#This Row],[Marital_Status]]</f>
        <v>Married</v>
      </c>
      <c r="AL83" t="str">
        <f>tbl_OriginalData[[#This Row],[Education_Level]]</f>
        <v>High School</v>
      </c>
      <c r="AM83" t="str">
        <f>tbl_OriginalData[[#This Row],[Occupation]]</f>
        <v>High</v>
      </c>
      <c r="AN83" t="s">
        <v>317</v>
      </c>
      <c r="AO83" t="s">
        <v>46</v>
      </c>
      <c r="AP83" t="str">
        <f>tbl_OriginalData[[#This Row],[Purchase_Category]]</f>
        <v>Food &amp; Beverages</v>
      </c>
      <c r="AQ83" s="4">
        <f>tbl_OriginalData[[#This Row],[Purchase_Amount]]</f>
        <v>79</v>
      </c>
      <c r="AR83">
        <f>tbl_OriginalData[[#This Row],[Frequency_of_Purchase]]</f>
        <v>10</v>
      </c>
      <c r="AS83" t="str">
        <f>tbl_OriginalData[[#This Row],[Purchase_Channel]]</f>
        <v>Online</v>
      </c>
      <c r="AT83">
        <f>tbl_OriginalData[[#This Row],[Brand_Loyalty]]</f>
        <v>1</v>
      </c>
      <c r="AU83">
        <f>tbl_OriginalData[[#This Row],[Product_Rating]]</f>
        <v>2</v>
      </c>
      <c r="AV83">
        <f>tbl_OriginalData[[#This Row],[Time_Spent_on_Product_Research(hours)]]*60</f>
        <v>60</v>
      </c>
      <c r="AW83" t="str">
        <f>tbl_OriginalData[[#This Row],[Social_Media_Influence]]</f>
        <v>Medium</v>
      </c>
      <c r="AX83" t="str">
        <f>tbl_OriginalData[[#This Row],[Discount_Sensitivity]]</f>
        <v>Very Sensitive</v>
      </c>
      <c r="AY83" s="3">
        <f>tbl_OriginalData[[#This Row],[Return_Rate]]/tbl_OriginalData[[#This Row],[Frequency_of_Purchase]]</f>
        <v>0.2</v>
      </c>
      <c r="AZ83">
        <f>tbl_OriginalData[[#This Row],[Customer_Satisfaction]]</f>
        <v>6</v>
      </c>
      <c r="BA83" t="str">
        <f>tbl_OriginalData[[#This Row],[Engagement_with_Ads]]</f>
        <v>Low</v>
      </c>
      <c r="BB83" t="str">
        <f>tbl_OriginalData[[#This Row],[Device_Used_for_Shopping]]</f>
        <v>Smartphone</v>
      </c>
      <c r="BC83" t="str">
        <f>tbl_OriginalData[[#This Row],[Payment_Method]]</f>
        <v>Cash</v>
      </c>
      <c r="BD83" s="1">
        <f>tbl_OriginalData[[#This Row],[Time_of_Purchase]]</f>
        <v>45549</v>
      </c>
      <c r="BE83" t="str">
        <f>IF(tbl_OriginalData[[#This Row],[Discount_Used]]=TRUE,"Yes","No")</f>
        <v>No</v>
      </c>
      <c r="BF83" t="str">
        <f>IF(tbl_OriginalData[[#This Row],[Customer_Loyalty_Program_Member]]=TRUE,"Yes","No")</f>
        <v>Yes</v>
      </c>
      <c r="BG83" t="str">
        <f>tbl_OriginalData[[#This Row],[Purchase_Intent]]</f>
        <v>Planned</v>
      </c>
      <c r="BH83" t="str">
        <f>tbl_OriginalData[[#This Row],[Shipping_Preference]]</f>
        <v>Standard</v>
      </c>
      <c r="BI83">
        <f>tbl_OriginalData[[#This Row],[Time_to_Decision]]</f>
        <v>7</v>
      </c>
      <c r="BJ83" t="s">
        <v>172</v>
      </c>
      <c r="BK83" t="s">
        <v>115</v>
      </c>
      <c r="BL83" t="s">
        <v>2523</v>
      </c>
    </row>
    <row r="84" spans="1:64">
      <c r="A84" t="s">
        <v>318</v>
      </c>
      <c r="B84">
        <v>46</v>
      </c>
      <c r="C84" t="s">
        <v>33</v>
      </c>
      <c r="D84" t="s">
        <v>34</v>
      </c>
      <c r="E84" t="s">
        <v>35</v>
      </c>
      <c r="F84" t="s">
        <v>36</v>
      </c>
      <c r="G84" t="s">
        <v>34</v>
      </c>
      <c r="H84" t="s">
        <v>319</v>
      </c>
      <c r="I84" t="s">
        <v>199</v>
      </c>
      <c r="J84">
        <v>113.88</v>
      </c>
      <c r="K84">
        <v>2</v>
      </c>
      <c r="L84" t="s">
        <v>94</v>
      </c>
      <c r="M84">
        <v>5</v>
      </c>
      <c r="N84">
        <v>2</v>
      </c>
      <c r="O84">
        <v>2</v>
      </c>
      <c r="P84" t="s">
        <v>56</v>
      </c>
      <c r="Q84" t="s">
        <v>57</v>
      </c>
      <c r="R84">
        <v>2</v>
      </c>
      <c r="S84">
        <v>4</v>
      </c>
      <c r="T84" t="s">
        <v>51</v>
      </c>
      <c r="U84" t="s">
        <v>42</v>
      </c>
      <c r="V84" t="s">
        <v>58</v>
      </c>
      <c r="W84" s="1">
        <v>45380</v>
      </c>
      <c r="X84" t="b">
        <v>0</v>
      </c>
      <c r="Y84" t="b">
        <v>0</v>
      </c>
      <c r="Z84" t="s">
        <v>59</v>
      </c>
      <c r="AA84" t="s">
        <v>77</v>
      </c>
      <c r="AB84">
        <v>9</v>
      </c>
      <c r="AF84" t="str">
        <f>tbl_OriginalData[[#This Row],[Customer_ID]]</f>
        <v>74-353-6312</v>
      </c>
      <c r="AG84">
        <f>tbl_OriginalData[[#This Row],[Age]]</f>
        <v>46</v>
      </c>
      <c r="AH84" t="str" cm="1">
        <f t="array" ref="AH8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4" t="str">
        <f>tbl_OriginalData[[#This Row],[Gender]]</f>
        <v>Female</v>
      </c>
      <c r="AJ84" t="str">
        <f>tbl_OriginalData[[#This Row],[Income_Level]]</f>
        <v>Middle</v>
      </c>
      <c r="AK84" t="str">
        <f>tbl_OriginalData[[#This Row],[Marital_Status]]</f>
        <v>Married</v>
      </c>
      <c r="AL84" t="str">
        <f>tbl_OriginalData[[#This Row],[Education_Level]]</f>
        <v>Bachelor's</v>
      </c>
      <c r="AM84" t="str">
        <f>tbl_OriginalData[[#This Row],[Occupation]]</f>
        <v>Middle</v>
      </c>
      <c r="AN84" t="s">
        <v>319</v>
      </c>
      <c r="AO84" t="s">
        <v>90</v>
      </c>
      <c r="AP84" t="str">
        <f>tbl_OriginalData[[#This Row],[Purchase_Category]]</f>
        <v>Groceries</v>
      </c>
      <c r="AQ84" s="4">
        <f>tbl_OriginalData[[#This Row],[Purchase_Amount]]</f>
        <v>113.88</v>
      </c>
      <c r="AR84">
        <f>tbl_OriginalData[[#This Row],[Frequency_of_Purchase]]</f>
        <v>2</v>
      </c>
      <c r="AS84" t="str">
        <f>tbl_OriginalData[[#This Row],[Purchase_Channel]]</f>
        <v>Online</v>
      </c>
      <c r="AT84">
        <f>tbl_OriginalData[[#This Row],[Brand_Loyalty]]</f>
        <v>5</v>
      </c>
      <c r="AU84">
        <f>tbl_OriginalData[[#This Row],[Product_Rating]]</f>
        <v>2</v>
      </c>
      <c r="AV84">
        <f>tbl_OriginalData[[#This Row],[Time_Spent_on_Product_Research(hours)]]*60</f>
        <v>120</v>
      </c>
      <c r="AW84" t="str">
        <f>tbl_OriginalData[[#This Row],[Social_Media_Influence]]</f>
        <v>Medium</v>
      </c>
      <c r="AX84" t="str">
        <f>tbl_OriginalData[[#This Row],[Discount_Sensitivity]]</f>
        <v>Not Sensitive</v>
      </c>
      <c r="AY84" s="3">
        <f>tbl_OriginalData[[#This Row],[Return_Rate]]/tbl_OriginalData[[#This Row],[Frequency_of_Purchase]]</f>
        <v>1</v>
      </c>
      <c r="AZ84">
        <f>tbl_OriginalData[[#This Row],[Customer_Satisfaction]]</f>
        <v>4</v>
      </c>
      <c r="BA84" t="str">
        <f>tbl_OriginalData[[#This Row],[Engagement_with_Ads]]</f>
        <v>High</v>
      </c>
      <c r="BB84" t="str">
        <f>tbl_OriginalData[[#This Row],[Device_Used_for_Shopping]]</f>
        <v>Tablet</v>
      </c>
      <c r="BC84" t="str">
        <f>tbl_OriginalData[[#This Row],[Payment_Method]]</f>
        <v>PayPal</v>
      </c>
      <c r="BD84" s="1">
        <f>tbl_OriginalData[[#This Row],[Time_of_Purchase]]</f>
        <v>45380</v>
      </c>
      <c r="BE84" t="str">
        <f>IF(tbl_OriginalData[[#This Row],[Discount_Used]]=TRUE,"Yes","No")</f>
        <v>No</v>
      </c>
      <c r="BF84" t="str">
        <f>IF(tbl_OriginalData[[#This Row],[Customer_Loyalty_Program_Member]]=TRUE,"Yes","No")</f>
        <v>No</v>
      </c>
      <c r="BG84" t="str">
        <f>tbl_OriginalData[[#This Row],[Purchase_Intent]]</f>
        <v>Wants-based</v>
      </c>
      <c r="BH84" t="str">
        <f>tbl_OriginalData[[#This Row],[Shipping_Preference]]</f>
        <v>Express</v>
      </c>
      <c r="BI84">
        <f>tbl_OriginalData[[#This Row],[Time_to_Decision]]</f>
        <v>9</v>
      </c>
      <c r="BJ84" t="s">
        <v>47</v>
      </c>
      <c r="BK84" t="s">
        <v>48</v>
      </c>
      <c r="BL84" t="s">
        <v>2524</v>
      </c>
    </row>
    <row r="85" spans="1:64">
      <c r="A85" t="s">
        <v>320</v>
      </c>
      <c r="B85">
        <v>26</v>
      </c>
      <c r="C85" t="s">
        <v>50</v>
      </c>
      <c r="D85" t="s">
        <v>34</v>
      </c>
      <c r="E85" t="s">
        <v>35</v>
      </c>
      <c r="F85" t="s">
        <v>52</v>
      </c>
      <c r="G85" t="s">
        <v>34</v>
      </c>
      <c r="H85" t="s">
        <v>321</v>
      </c>
      <c r="I85" t="s">
        <v>242</v>
      </c>
      <c r="J85">
        <v>121.57</v>
      </c>
      <c r="K85">
        <v>4</v>
      </c>
      <c r="L85" t="s">
        <v>39</v>
      </c>
      <c r="M85">
        <v>1</v>
      </c>
      <c r="N85">
        <v>5</v>
      </c>
      <c r="O85">
        <v>0</v>
      </c>
      <c r="P85" t="s">
        <v>51</v>
      </c>
      <c r="Q85" t="s">
        <v>57</v>
      </c>
      <c r="R85">
        <v>0</v>
      </c>
      <c r="S85">
        <v>4</v>
      </c>
      <c r="T85" t="s">
        <v>51</v>
      </c>
      <c r="U85" t="s">
        <v>95</v>
      </c>
      <c r="V85" t="s">
        <v>76</v>
      </c>
      <c r="W85" s="1">
        <v>45449</v>
      </c>
      <c r="X85" t="b">
        <v>0</v>
      </c>
      <c r="Y85" t="b">
        <v>1</v>
      </c>
      <c r="Z85" t="s">
        <v>72</v>
      </c>
      <c r="AA85" t="s">
        <v>45</v>
      </c>
      <c r="AB85">
        <v>13</v>
      </c>
      <c r="AF85" t="str">
        <f>tbl_OriginalData[[#This Row],[Customer_ID]]</f>
        <v>78-824-1887</v>
      </c>
      <c r="AG85">
        <f>tbl_OriginalData[[#This Row],[Age]]</f>
        <v>26</v>
      </c>
      <c r="AH85" t="str" cm="1">
        <f t="array" ref="AH8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5" t="str">
        <f>tbl_OriginalData[[#This Row],[Gender]]</f>
        <v>Male</v>
      </c>
      <c r="AJ85" t="str">
        <f>tbl_OriginalData[[#This Row],[Income_Level]]</f>
        <v>Middle</v>
      </c>
      <c r="AK85" t="str">
        <f>tbl_OriginalData[[#This Row],[Marital_Status]]</f>
        <v>Married</v>
      </c>
      <c r="AL85" t="str">
        <f>tbl_OriginalData[[#This Row],[Education_Level]]</f>
        <v>High School</v>
      </c>
      <c r="AM85" t="str">
        <f>tbl_OriginalData[[#This Row],[Occupation]]</f>
        <v>Middle</v>
      </c>
      <c r="AN85" t="s">
        <v>321</v>
      </c>
      <c r="AO85" t="s">
        <v>61</v>
      </c>
      <c r="AP85" t="str">
        <f>tbl_OriginalData[[#This Row],[Purchase_Category]]</f>
        <v>Travel &amp; Leisure (Flights</v>
      </c>
      <c r="AQ85" s="4">
        <f>tbl_OriginalData[[#This Row],[Purchase_Amount]]</f>
        <v>121.57</v>
      </c>
      <c r="AR85">
        <f>tbl_OriginalData[[#This Row],[Frequency_of_Purchase]]</f>
        <v>4</v>
      </c>
      <c r="AS85" t="str">
        <f>tbl_OriginalData[[#This Row],[Purchase_Channel]]</f>
        <v>Mixed</v>
      </c>
      <c r="AT85">
        <f>tbl_OriginalData[[#This Row],[Brand_Loyalty]]</f>
        <v>1</v>
      </c>
      <c r="AU85">
        <f>tbl_OriginalData[[#This Row],[Product_Rating]]</f>
        <v>5</v>
      </c>
      <c r="AV85">
        <f>tbl_OriginalData[[#This Row],[Time_Spent_on_Product_Research(hours)]]*60</f>
        <v>0</v>
      </c>
      <c r="AW85" t="str">
        <f>tbl_OriginalData[[#This Row],[Social_Media_Influence]]</f>
        <v>High</v>
      </c>
      <c r="AX85" t="str">
        <f>tbl_OriginalData[[#This Row],[Discount_Sensitivity]]</f>
        <v>Not Sensitive</v>
      </c>
      <c r="AY85" s="3">
        <f>tbl_OriginalData[[#This Row],[Return_Rate]]/tbl_OriginalData[[#This Row],[Frequency_of_Purchase]]</f>
        <v>0</v>
      </c>
      <c r="AZ85">
        <f>tbl_OriginalData[[#This Row],[Customer_Satisfaction]]</f>
        <v>4</v>
      </c>
      <c r="BA85" t="str">
        <f>tbl_OriginalData[[#This Row],[Engagement_with_Ads]]</f>
        <v>High</v>
      </c>
      <c r="BB85" t="str">
        <f>tbl_OriginalData[[#This Row],[Device_Used_for_Shopping]]</f>
        <v>Desktop</v>
      </c>
      <c r="BC85" t="str">
        <f>tbl_OriginalData[[#This Row],[Payment_Method]]</f>
        <v>Other</v>
      </c>
      <c r="BD85" s="1">
        <f>tbl_OriginalData[[#This Row],[Time_of_Purchase]]</f>
        <v>45449</v>
      </c>
      <c r="BE85" t="str">
        <f>IF(tbl_OriginalData[[#This Row],[Discount_Used]]=TRUE,"Yes","No")</f>
        <v>No</v>
      </c>
      <c r="BF85" t="str">
        <f>IF(tbl_OriginalData[[#This Row],[Customer_Loyalty_Program_Member]]=TRUE,"Yes","No")</f>
        <v>Yes</v>
      </c>
      <c r="BG85" t="str">
        <f>tbl_OriginalData[[#This Row],[Purchase_Intent]]</f>
        <v>Impulsive</v>
      </c>
      <c r="BH85" t="str">
        <f>tbl_OriginalData[[#This Row],[Shipping_Preference]]</f>
        <v>No Preference</v>
      </c>
      <c r="BI85">
        <f>tbl_OriginalData[[#This Row],[Time_to_Decision]]</f>
        <v>13</v>
      </c>
      <c r="BJ85" t="s">
        <v>104</v>
      </c>
      <c r="BK85" t="s">
        <v>63</v>
      </c>
      <c r="BL85" t="s">
        <v>2524</v>
      </c>
    </row>
    <row r="86" spans="1:64">
      <c r="A86" t="s">
        <v>322</v>
      </c>
      <c r="B86">
        <v>21</v>
      </c>
      <c r="C86" t="s">
        <v>33</v>
      </c>
      <c r="D86" t="s">
        <v>51</v>
      </c>
      <c r="E86" t="s">
        <v>92</v>
      </c>
      <c r="F86" t="s">
        <v>52</v>
      </c>
      <c r="G86" t="s">
        <v>34</v>
      </c>
      <c r="H86" t="s">
        <v>323</v>
      </c>
      <c r="I86" t="s">
        <v>180</v>
      </c>
      <c r="J86">
        <v>215.54</v>
      </c>
      <c r="K86">
        <v>11</v>
      </c>
      <c r="L86" t="s">
        <v>94</v>
      </c>
      <c r="M86">
        <v>3</v>
      </c>
      <c r="N86">
        <v>1</v>
      </c>
      <c r="O86">
        <v>2</v>
      </c>
      <c r="P86" t="s">
        <v>69</v>
      </c>
      <c r="Q86" t="s">
        <v>41</v>
      </c>
      <c r="R86">
        <v>2</v>
      </c>
      <c r="S86">
        <v>6</v>
      </c>
      <c r="T86" t="s">
        <v>51</v>
      </c>
      <c r="U86" t="s">
        <v>95</v>
      </c>
      <c r="V86" t="s">
        <v>43</v>
      </c>
      <c r="W86" s="1">
        <v>45390</v>
      </c>
      <c r="X86" t="b">
        <v>1</v>
      </c>
      <c r="Y86" t="b">
        <v>1</v>
      </c>
      <c r="Z86" t="s">
        <v>89</v>
      </c>
      <c r="AA86" t="s">
        <v>45</v>
      </c>
      <c r="AB86">
        <v>10</v>
      </c>
      <c r="AF86" t="str">
        <f>tbl_OriginalData[[#This Row],[Customer_ID]]</f>
        <v>31-218-0024</v>
      </c>
      <c r="AG86">
        <f>tbl_OriginalData[[#This Row],[Age]]</f>
        <v>21</v>
      </c>
      <c r="AH86" t="str" cm="1">
        <f t="array" ref="AH8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6" t="str">
        <f>tbl_OriginalData[[#This Row],[Gender]]</f>
        <v>Female</v>
      </c>
      <c r="AJ86" t="str">
        <f>tbl_OriginalData[[#This Row],[Income_Level]]</f>
        <v>High</v>
      </c>
      <c r="AK86" t="str">
        <f>tbl_OriginalData[[#This Row],[Marital_Status]]</f>
        <v>Divorced</v>
      </c>
      <c r="AL86" t="str">
        <f>tbl_OriginalData[[#This Row],[Education_Level]]</f>
        <v>High School</v>
      </c>
      <c r="AM86" t="str">
        <f>tbl_OriginalData[[#This Row],[Occupation]]</f>
        <v>Middle</v>
      </c>
      <c r="AN86" t="s">
        <v>323</v>
      </c>
      <c r="AO86" t="s">
        <v>90</v>
      </c>
      <c r="AP86" t="str">
        <f>tbl_OriginalData[[#This Row],[Purchase_Category]]</f>
        <v>Health Supplements</v>
      </c>
      <c r="AQ86" s="4">
        <f>tbl_OriginalData[[#This Row],[Purchase_Amount]]</f>
        <v>215.54</v>
      </c>
      <c r="AR86">
        <f>tbl_OriginalData[[#This Row],[Frequency_of_Purchase]]</f>
        <v>11</v>
      </c>
      <c r="AS86" t="str">
        <f>tbl_OriginalData[[#This Row],[Purchase_Channel]]</f>
        <v>Online</v>
      </c>
      <c r="AT86">
        <f>tbl_OriginalData[[#This Row],[Brand_Loyalty]]</f>
        <v>3</v>
      </c>
      <c r="AU86">
        <f>tbl_OriginalData[[#This Row],[Product_Rating]]</f>
        <v>1</v>
      </c>
      <c r="AV86">
        <f>tbl_OriginalData[[#This Row],[Time_Spent_on_Product_Research(hours)]]*60</f>
        <v>120</v>
      </c>
      <c r="AW86" t="str">
        <f>tbl_OriginalData[[#This Row],[Social_Media_Influence]]</f>
        <v>Low</v>
      </c>
      <c r="AX86" t="str">
        <f>tbl_OriginalData[[#This Row],[Discount_Sensitivity]]</f>
        <v>Somewhat Sensitive</v>
      </c>
      <c r="AY86" s="3">
        <f>tbl_OriginalData[[#This Row],[Return_Rate]]/tbl_OriginalData[[#This Row],[Frequency_of_Purchase]]</f>
        <v>0.18181818181818182</v>
      </c>
      <c r="AZ86">
        <f>tbl_OriginalData[[#This Row],[Customer_Satisfaction]]</f>
        <v>6</v>
      </c>
      <c r="BA86" t="str">
        <f>tbl_OriginalData[[#This Row],[Engagement_with_Ads]]</f>
        <v>High</v>
      </c>
      <c r="BB86" t="str">
        <f>tbl_OriginalData[[#This Row],[Device_Used_for_Shopping]]</f>
        <v>Desktop</v>
      </c>
      <c r="BC86" t="str">
        <f>tbl_OriginalData[[#This Row],[Payment_Method]]</f>
        <v>Credit Card</v>
      </c>
      <c r="BD86" s="1">
        <f>tbl_OriginalData[[#This Row],[Time_of_Purchase]]</f>
        <v>45390</v>
      </c>
      <c r="BE86" t="str">
        <f>IF(tbl_OriginalData[[#This Row],[Discount_Used]]=TRUE,"Yes","No")</f>
        <v>Yes</v>
      </c>
      <c r="BF86" t="str">
        <f>IF(tbl_OriginalData[[#This Row],[Customer_Loyalty_Program_Member]]=TRUE,"Yes","No")</f>
        <v>Yes</v>
      </c>
      <c r="BG86" t="str">
        <f>tbl_OriginalData[[#This Row],[Purchase_Intent]]</f>
        <v>Planned</v>
      </c>
      <c r="BH86" t="str">
        <f>tbl_OriginalData[[#This Row],[Shipping_Preference]]</f>
        <v>No Preference</v>
      </c>
      <c r="BI86">
        <f>tbl_OriginalData[[#This Row],[Time_to_Decision]]</f>
        <v>10</v>
      </c>
      <c r="BJ86" t="s">
        <v>62</v>
      </c>
      <c r="BK86" t="s">
        <v>63</v>
      </c>
      <c r="BL86" t="s">
        <v>2524</v>
      </c>
    </row>
    <row r="87" spans="1:64">
      <c r="A87" t="s">
        <v>324</v>
      </c>
      <c r="B87">
        <v>43</v>
      </c>
      <c r="C87" t="s">
        <v>50</v>
      </c>
      <c r="D87" t="s">
        <v>51</v>
      </c>
      <c r="E87" t="s">
        <v>35</v>
      </c>
      <c r="F87" t="s">
        <v>36</v>
      </c>
      <c r="G87" t="s">
        <v>51</v>
      </c>
      <c r="H87" t="s">
        <v>325</v>
      </c>
      <c r="I87" t="s">
        <v>84</v>
      </c>
      <c r="J87">
        <v>87.03</v>
      </c>
      <c r="K87">
        <v>10</v>
      </c>
      <c r="L87" t="s">
        <v>39</v>
      </c>
      <c r="M87">
        <v>1</v>
      </c>
      <c r="N87">
        <v>1</v>
      </c>
      <c r="O87">
        <v>0</v>
      </c>
      <c r="P87" t="s">
        <v>69</v>
      </c>
      <c r="Q87" t="s">
        <v>101</v>
      </c>
      <c r="R87">
        <v>1</v>
      </c>
      <c r="S87">
        <v>5</v>
      </c>
      <c r="T87" t="s">
        <v>51</v>
      </c>
      <c r="U87" t="s">
        <v>95</v>
      </c>
      <c r="V87" t="s">
        <v>58</v>
      </c>
      <c r="W87" s="1">
        <v>45515</v>
      </c>
      <c r="X87" t="b">
        <v>0</v>
      </c>
      <c r="Y87" t="b">
        <v>1</v>
      </c>
      <c r="Z87" t="s">
        <v>44</v>
      </c>
      <c r="AA87" t="s">
        <v>45</v>
      </c>
      <c r="AB87">
        <v>7</v>
      </c>
      <c r="AF87" t="str">
        <f>tbl_OriginalData[[#This Row],[Customer_ID]]</f>
        <v>15-711-4107</v>
      </c>
      <c r="AG87">
        <f>tbl_OriginalData[[#This Row],[Age]]</f>
        <v>43</v>
      </c>
      <c r="AH87" t="str" cm="1">
        <f t="array" ref="AH8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7" t="str">
        <f>tbl_OriginalData[[#This Row],[Gender]]</f>
        <v>Male</v>
      </c>
      <c r="AJ87" t="str">
        <f>tbl_OriginalData[[#This Row],[Income_Level]]</f>
        <v>High</v>
      </c>
      <c r="AK87" t="str">
        <f>tbl_OriginalData[[#This Row],[Marital_Status]]</f>
        <v>Married</v>
      </c>
      <c r="AL87" t="str">
        <f>tbl_OriginalData[[#This Row],[Education_Level]]</f>
        <v>Bachelor's</v>
      </c>
      <c r="AM87" t="str">
        <f>tbl_OriginalData[[#This Row],[Occupation]]</f>
        <v>High</v>
      </c>
      <c r="AN87" t="s">
        <v>325</v>
      </c>
      <c r="AO87" t="s">
        <v>61</v>
      </c>
      <c r="AP87" t="str">
        <f>tbl_OriginalData[[#This Row],[Purchase_Category]]</f>
        <v>Furniture</v>
      </c>
      <c r="AQ87" s="4">
        <f>tbl_OriginalData[[#This Row],[Purchase_Amount]]</f>
        <v>87.03</v>
      </c>
      <c r="AR87">
        <f>tbl_OriginalData[[#This Row],[Frequency_of_Purchase]]</f>
        <v>10</v>
      </c>
      <c r="AS87" t="str">
        <f>tbl_OriginalData[[#This Row],[Purchase_Channel]]</f>
        <v>Mixed</v>
      </c>
      <c r="AT87">
        <f>tbl_OriginalData[[#This Row],[Brand_Loyalty]]</f>
        <v>1</v>
      </c>
      <c r="AU87">
        <f>tbl_OriginalData[[#This Row],[Product_Rating]]</f>
        <v>1</v>
      </c>
      <c r="AV87">
        <f>tbl_OriginalData[[#This Row],[Time_Spent_on_Product_Research(hours)]]*60</f>
        <v>0</v>
      </c>
      <c r="AW87" t="str">
        <f>tbl_OriginalData[[#This Row],[Social_Media_Influence]]</f>
        <v>Low</v>
      </c>
      <c r="AX87" t="str">
        <f>tbl_OriginalData[[#This Row],[Discount_Sensitivity]]</f>
        <v>Very Sensitive</v>
      </c>
      <c r="AY87" s="3">
        <f>tbl_OriginalData[[#This Row],[Return_Rate]]/tbl_OriginalData[[#This Row],[Frequency_of_Purchase]]</f>
        <v>0.1</v>
      </c>
      <c r="AZ87">
        <f>tbl_OriginalData[[#This Row],[Customer_Satisfaction]]</f>
        <v>5</v>
      </c>
      <c r="BA87" t="str">
        <f>tbl_OriginalData[[#This Row],[Engagement_with_Ads]]</f>
        <v>High</v>
      </c>
      <c r="BB87" t="str">
        <f>tbl_OriginalData[[#This Row],[Device_Used_for_Shopping]]</f>
        <v>Desktop</v>
      </c>
      <c r="BC87" t="str">
        <f>tbl_OriginalData[[#This Row],[Payment_Method]]</f>
        <v>PayPal</v>
      </c>
      <c r="BD87" s="1">
        <f>tbl_OriginalData[[#This Row],[Time_of_Purchase]]</f>
        <v>45515</v>
      </c>
      <c r="BE87" t="str">
        <f>IF(tbl_OriginalData[[#This Row],[Discount_Used]]=TRUE,"Yes","No")</f>
        <v>No</v>
      </c>
      <c r="BF87" t="str">
        <f>IF(tbl_OriginalData[[#This Row],[Customer_Loyalty_Program_Member]]=TRUE,"Yes","No")</f>
        <v>Yes</v>
      </c>
      <c r="BG87" t="str">
        <f>tbl_OriginalData[[#This Row],[Purchase_Intent]]</f>
        <v>Need-based</v>
      </c>
      <c r="BH87" t="str">
        <f>tbl_OriginalData[[#This Row],[Shipping_Preference]]</f>
        <v>No Preference</v>
      </c>
      <c r="BI87">
        <f>tbl_OriginalData[[#This Row],[Time_to_Decision]]</f>
        <v>7</v>
      </c>
      <c r="BJ87" t="s">
        <v>124</v>
      </c>
      <c r="BK87" t="s">
        <v>115</v>
      </c>
      <c r="BL87" t="s">
        <v>2524</v>
      </c>
    </row>
    <row r="88" spans="1:64">
      <c r="A88" t="s">
        <v>326</v>
      </c>
      <c r="B88">
        <v>19</v>
      </c>
      <c r="C88" t="s">
        <v>50</v>
      </c>
      <c r="D88" t="s">
        <v>51</v>
      </c>
      <c r="E88" t="s">
        <v>92</v>
      </c>
      <c r="F88" t="s">
        <v>52</v>
      </c>
      <c r="G88" t="s">
        <v>51</v>
      </c>
      <c r="H88" t="s">
        <v>327</v>
      </c>
      <c r="I88" t="s">
        <v>242</v>
      </c>
      <c r="J88">
        <v>111.75</v>
      </c>
      <c r="K88">
        <v>4</v>
      </c>
      <c r="L88" t="s">
        <v>55</v>
      </c>
      <c r="M88">
        <v>1</v>
      </c>
      <c r="N88">
        <v>4</v>
      </c>
      <c r="O88">
        <v>0</v>
      </c>
      <c r="P88" t="s">
        <v>51</v>
      </c>
      <c r="Q88" t="s">
        <v>57</v>
      </c>
      <c r="R88">
        <v>1</v>
      </c>
      <c r="S88">
        <v>6</v>
      </c>
      <c r="T88" t="s">
        <v>51</v>
      </c>
      <c r="U88" t="s">
        <v>42</v>
      </c>
      <c r="V88" t="s">
        <v>71</v>
      </c>
      <c r="W88" s="1">
        <v>45575</v>
      </c>
      <c r="X88" t="b">
        <v>0</v>
      </c>
      <c r="Y88" t="b">
        <v>1</v>
      </c>
      <c r="Z88" t="s">
        <v>72</v>
      </c>
      <c r="AA88" t="s">
        <v>60</v>
      </c>
      <c r="AB88">
        <v>8</v>
      </c>
      <c r="AF88" t="str">
        <f>tbl_OriginalData[[#This Row],[Customer_ID]]</f>
        <v>76-672-1193</v>
      </c>
      <c r="AG88">
        <f>tbl_OriginalData[[#This Row],[Age]]</f>
        <v>19</v>
      </c>
      <c r="AH88" t="str" cm="1">
        <f t="array" ref="AH8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88" t="str">
        <f>tbl_OriginalData[[#This Row],[Gender]]</f>
        <v>Male</v>
      </c>
      <c r="AJ88" t="str">
        <f>tbl_OriginalData[[#This Row],[Income_Level]]</f>
        <v>High</v>
      </c>
      <c r="AK88" t="str">
        <f>tbl_OriginalData[[#This Row],[Marital_Status]]</f>
        <v>Divorced</v>
      </c>
      <c r="AL88" t="str">
        <f>tbl_OriginalData[[#This Row],[Education_Level]]</f>
        <v>High School</v>
      </c>
      <c r="AM88" t="str">
        <f>tbl_OriginalData[[#This Row],[Occupation]]</f>
        <v>High</v>
      </c>
      <c r="AN88" t="s">
        <v>327</v>
      </c>
      <c r="AO88" t="s">
        <v>328</v>
      </c>
      <c r="AP88" t="str">
        <f>tbl_OriginalData[[#This Row],[Purchase_Category]]</f>
        <v>Travel &amp; Leisure (Flights</v>
      </c>
      <c r="AQ88" s="4">
        <f>tbl_OriginalData[[#This Row],[Purchase_Amount]]</f>
        <v>111.75</v>
      </c>
      <c r="AR88">
        <f>tbl_OriginalData[[#This Row],[Frequency_of_Purchase]]</f>
        <v>4</v>
      </c>
      <c r="AS88" t="str">
        <f>tbl_OriginalData[[#This Row],[Purchase_Channel]]</f>
        <v>In-Store</v>
      </c>
      <c r="AT88">
        <f>tbl_OriginalData[[#This Row],[Brand_Loyalty]]</f>
        <v>1</v>
      </c>
      <c r="AU88">
        <f>tbl_OriginalData[[#This Row],[Product_Rating]]</f>
        <v>4</v>
      </c>
      <c r="AV88">
        <f>tbl_OriginalData[[#This Row],[Time_Spent_on_Product_Research(hours)]]*60</f>
        <v>0</v>
      </c>
      <c r="AW88" t="str">
        <f>tbl_OriginalData[[#This Row],[Social_Media_Influence]]</f>
        <v>High</v>
      </c>
      <c r="AX88" t="str">
        <f>tbl_OriginalData[[#This Row],[Discount_Sensitivity]]</f>
        <v>Not Sensitive</v>
      </c>
      <c r="AY88" s="3">
        <f>tbl_OriginalData[[#This Row],[Return_Rate]]/tbl_OriginalData[[#This Row],[Frequency_of_Purchase]]</f>
        <v>0.25</v>
      </c>
      <c r="AZ88">
        <f>tbl_OriginalData[[#This Row],[Customer_Satisfaction]]</f>
        <v>6</v>
      </c>
      <c r="BA88" t="str">
        <f>tbl_OriginalData[[#This Row],[Engagement_with_Ads]]</f>
        <v>High</v>
      </c>
      <c r="BB88" t="str">
        <f>tbl_OriginalData[[#This Row],[Device_Used_for_Shopping]]</f>
        <v>Tablet</v>
      </c>
      <c r="BC88" t="str">
        <f>tbl_OriginalData[[#This Row],[Payment_Method]]</f>
        <v>Debit Card</v>
      </c>
      <c r="BD88" s="1">
        <f>tbl_OriginalData[[#This Row],[Time_of_Purchase]]</f>
        <v>45575</v>
      </c>
      <c r="BE88" t="str">
        <f>IF(tbl_OriginalData[[#This Row],[Discount_Used]]=TRUE,"Yes","No")</f>
        <v>No</v>
      </c>
      <c r="BF88" t="str">
        <f>IF(tbl_OriginalData[[#This Row],[Customer_Loyalty_Program_Member]]=TRUE,"Yes","No")</f>
        <v>Yes</v>
      </c>
      <c r="BG88" t="str">
        <f>tbl_OriginalData[[#This Row],[Purchase_Intent]]</f>
        <v>Impulsive</v>
      </c>
      <c r="BH88" t="str">
        <f>tbl_OriginalData[[#This Row],[Shipping_Preference]]</f>
        <v>Standard</v>
      </c>
      <c r="BI88">
        <f>tbl_OriginalData[[#This Row],[Time_to_Decision]]</f>
        <v>8</v>
      </c>
      <c r="BJ88" t="s">
        <v>79</v>
      </c>
      <c r="BK88" t="s">
        <v>80</v>
      </c>
      <c r="BL88" t="s">
        <v>2527</v>
      </c>
    </row>
    <row r="89" spans="1:64">
      <c r="A89" t="s">
        <v>329</v>
      </c>
      <c r="B89">
        <v>41</v>
      </c>
      <c r="C89" t="s">
        <v>33</v>
      </c>
      <c r="D89" t="s">
        <v>51</v>
      </c>
      <c r="E89" t="s">
        <v>82</v>
      </c>
      <c r="F89" t="s">
        <v>66</v>
      </c>
      <c r="G89" t="s">
        <v>51</v>
      </c>
      <c r="H89" t="s">
        <v>330</v>
      </c>
      <c r="I89" t="s">
        <v>68</v>
      </c>
      <c r="J89">
        <v>136.19999999999999</v>
      </c>
      <c r="K89">
        <v>2</v>
      </c>
      <c r="L89" t="s">
        <v>39</v>
      </c>
      <c r="M89">
        <v>3</v>
      </c>
      <c r="N89">
        <v>2</v>
      </c>
      <c r="O89">
        <v>2</v>
      </c>
      <c r="P89" t="s">
        <v>69</v>
      </c>
      <c r="Q89" t="s">
        <v>57</v>
      </c>
      <c r="R89">
        <v>0</v>
      </c>
      <c r="S89">
        <v>1</v>
      </c>
      <c r="T89" t="s">
        <v>51</v>
      </c>
      <c r="U89" t="s">
        <v>42</v>
      </c>
      <c r="V89" t="s">
        <v>58</v>
      </c>
      <c r="W89" s="1">
        <v>45458</v>
      </c>
      <c r="X89" t="b">
        <v>1</v>
      </c>
      <c r="Y89" t="b">
        <v>1</v>
      </c>
      <c r="Z89" t="s">
        <v>44</v>
      </c>
      <c r="AA89" t="s">
        <v>77</v>
      </c>
      <c r="AB89">
        <v>9</v>
      </c>
      <c r="AF89" t="str">
        <f>tbl_OriginalData[[#This Row],[Customer_ID]]</f>
        <v>46-503-5589</v>
      </c>
      <c r="AG89">
        <f>tbl_OriginalData[[#This Row],[Age]]</f>
        <v>41</v>
      </c>
      <c r="AH89" t="str" cm="1">
        <f t="array" ref="AH8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9" t="str">
        <f>tbl_OriginalData[[#This Row],[Gender]]</f>
        <v>Female</v>
      </c>
      <c r="AJ89" t="str">
        <f>tbl_OriginalData[[#This Row],[Income_Level]]</f>
        <v>High</v>
      </c>
      <c r="AK89" t="str">
        <f>tbl_OriginalData[[#This Row],[Marital_Status]]</f>
        <v>Widowed</v>
      </c>
      <c r="AL89" t="str">
        <f>tbl_OriginalData[[#This Row],[Education_Level]]</f>
        <v>Master's</v>
      </c>
      <c r="AM89" t="str">
        <f>tbl_OriginalData[[#This Row],[Occupation]]</f>
        <v>High</v>
      </c>
      <c r="AN89" t="s">
        <v>330</v>
      </c>
      <c r="AO89" t="s">
        <v>61</v>
      </c>
      <c r="AP89" t="str">
        <f>tbl_OriginalData[[#This Row],[Purchase_Category]]</f>
        <v>Office Supplies</v>
      </c>
      <c r="AQ89" s="4">
        <f>tbl_OriginalData[[#This Row],[Purchase_Amount]]</f>
        <v>136.19999999999999</v>
      </c>
      <c r="AR89">
        <f>tbl_OriginalData[[#This Row],[Frequency_of_Purchase]]</f>
        <v>2</v>
      </c>
      <c r="AS89" t="str">
        <f>tbl_OriginalData[[#This Row],[Purchase_Channel]]</f>
        <v>Mixed</v>
      </c>
      <c r="AT89">
        <f>tbl_OriginalData[[#This Row],[Brand_Loyalty]]</f>
        <v>3</v>
      </c>
      <c r="AU89">
        <f>tbl_OriginalData[[#This Row],[Product_Rating]]</f>
        <v>2</v>
      </c>
      <c r="AV89">
        <f>tbl_OriginalData[[#This Row],[Time_Spent_on_Product_Research(hours)]]*60</f>
        <v>120</v>
      </c>
      <c r="AW89" t="str">
        <f>tbl_OriginalData[[#This Row],[Social_Media_Influence]]</f>
        <v>Low</v>
      </c>
      <c r="AX89" t="str">
        <f>tbl_OriginalData[[#This Row],[Discount_Sensitivity]]</f>
        <v>Not Sensitive</v>
      </c>
      <c r="AY89" s="3">
        <f>tbl_OriginalData[[#This Row],[Return_Rate]]/tbl_OriginalData[[#This Row],[Frequency_of_Purchase]]</f>
        <v>0</v>
      </c>
      <c r="AZ89">
        <f>tbl_OriginalData[[#This Row],[Customer_Satisfaction]]</f>
        <v>1</v>
      </c>
      <c r="BA89" t="str">
        <f>tbl_OriginalData[[#This Row],[Engagement_with_Ads]]</f>
        <v>High</v>
      </c>
      <c r="BB89" t="str">
        <f>tbl_OriginalData[[#This Row],[Device_Used_for_Shopping]]</f>
        <v>Tablet</v>
      </c>
      <c r="BC89" t="str">
        <f>tbl_OriginalData[[#This Row],[Payment_Method]]</f>
        <v>PayPal</v>
      </c>
      <c r="BD89" s="1">
        <f>tbl_OriginalData[[#This Row],[Time_of_Purchase]]</f>
        <v>45458</v>
      </c>
      <c r="BE89" t="str">
        <f>IF(tbl_OriginalData[[#This Row],[Discount_Used]]=TRUE,"Yes","No")</f>
        <v>Yes</v>
      </c>
      <c r="BF89" t="str">
        <f>IF(tbl_OriginalData[[#This Row],[Customer_Loyalty_Program_Member]]=TRUE,"Yes","No")</f>
        <v>Yes</v>
      </c>
      <c r="BG89" t="str">
        <f>tbl_OriginalData[[#This Row],[Purchase_Intent]]</f>
        <v>Need-based</v>
      </c>
      <c r="BH89" t="str">
        <f>tbl_OriginalData[[#This Row],[Shipping_Preference]]</f>
        <v>Express</v>
      </c>
      <c r="BI89">
        <f>tbl_OriginalData[[#This Row],[Time_to_Decision]]</f>
        <v>9</v>
      </c>
      <c r="BJ89" t="s">
        <v>104</v>
      </c>
      <c r="BK89" t="s">
        <v>63</v>
      </c>
      <c r="BL89" t="s">
        <v>2524</v>
      </c>
    </row>
    <row r="90" spans="1:64">
      <c r="A90" t="s">
        <v>331</v>
      </c>
      <c r="B90">
        <v>48</v>
      </c>
      <c r="C90" t="s">
        <v>50</v>
      </c>
      <c r="D90" t="s">
        <v>34</v>
      </c>
      <c r="E90" t="s">
        <v>35</v>
      </c>
      <c r="F90" t="s">
        <v>52</v>
      </c>
      <c r="G90" t="s">
        <v>34</v>
      </c>
      <c r="H90" t="s">
        <v>332</v>
      </c>
      <c r="I90" t="s">
        <v>54</v>
      </c>
      <c r="J90">
        <v>439.31</v>
      </c>
      <c r="K90">
        <v>4</v>
      </c>
      <c r="L90" t="s">
        <v>55</v>
      </c>
      <c r="M90">
        <v>3</v>
      </c>
      <c r="N90">
        <v>2</v>
      </c>
      <c r="O90">
        <v>1</v>
      </c>
      <c r="P90" t="s">
        <v>56</v>
      </c>
      <c r="Q90" t="s">
        <v>101</v>
      </c>
      <c r="R90">
        <v>0</v>
      </c>
      <c r="S90">
        <v>6</v>
      </c>
      <c r="T90" t="s">
        <v>56</v>
      </c>
      <c r="U90" t="s">
        <v>70</v>
      </c>
      <c r="V90" t="s">
        <v>71</v>
      </c>
      <c r="W90" s="1">
        <v>45515</v>
      </c>
      <c r="X90" t="b">
        <v>0</v>
      </c>
      <c r="Y90" t="b">
        <v>1</v>
      </c>
      <c r="Z90" t="s">
        <v>59</v>
      </c>
      <c r="AA90" t="s">
        <v>45</v>
      </c>
      <c r="AB90">
        <v>7</v>
      </c>
      <c r="AF90" t="str">
        <f>tbl_OriginalData[[#This Row],[Customer_ID]]</f>
        <v>87-499-6916</v>
      </c>
      <c r="AG90">
        <f>tbl_OriginalData[[#This Row],[Age]]</f>
        <v>48</v>
      </c>
      <c r="AH90" t="str" cm="1">
        <f t="array" ref="AH9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0" t="str">
        <f>tbl_OriginalData[[#This Row],[Gender]]</f>
        <v>Male</v>
      </c>
      <c r="AJ90" t="str">
        <f>tbl_OriginalData[[#This Row],[Income_Level]]</f>
        <v>Middle</v>
      </c>
      <c r="AK90" t="str">
        <f>tbl_OriginalData[[#This Row],[Marital_Status]]</f>
        <v>Married</v>
      </c>
      <c r="AL90" t="str">
        <f>tbl_OriginalData[[#This Row],[Education_Level]]</f>
        <v>High School</v>
      </c>
      <c r="AM90" t="str">
        <f>tbl_OriginalData[[#This Row],[Occupation]]</f>
        <v>Middle</v>
      </c>
      <c r="AN90" t="s">
        <v>332</v>
      </c>
      <c r="AO90" t="s">
        <v>333</v>
      </c>
      <c r="AP90" t="str">
        <f>tbl_OriginalData[[#This Row],[Purchase_Category]]</f>
        <v>Food &amp; Beverages</v>
      </c>
      <c r="AQ90" s="4">
        <f>tbl_OriginalData[[#This Row],[Purchase_Amount]]</f>
        <v>439.31</v>
      </c>
      <c r="AR90">
        <f>tbl_OriginalData[[#This Row],[Frequency_of_Purchase]]</f>
        <v>4</v>
      </c>
      <c r="AS90" t="str">
        <f>tbl_OriginalData[[#This Row],[Purchase_Channel]]</f>
        <v>In-Store</v>
      </c>
      <c r="AT90">
        <f>tbl_OriginalData[[#This Row],[Brand_Loyalty]]</f>
        <v>3</v>
      </c>
      <c r="AU90">
        <f>tbl_OriginalData[[#This Row],[Product_Rating]]</f>
        <v>2</v>
      </c>
      <c r="AV90">
        <f>tbl_OriginalData[[#This Row],[Time_Spent_on_Product_Research(hours)]]*60</f>
        <v>60</v>
      </c>
      <c r="AW90" t="str">
        <f>tbl_OriginalData[[#This Row],[Social_Media_Influence]]</f>
        <v>Medium</v>
      </c>
      <c r="AX90" t="str">
        <f>tbl_OriginalData[[#This Row],[Discount_Sensitivity]]</f>
        <v>Very Sensitive</v>
      </c>
      <c r="AY90" s="3">
        <f>tbl_OriginalData[[#This Row],[Return_Rate]]/tbl_OriginalData[[#This Row],[Frequency_of_Purchase]]</f>
        <v>0</v>
      </c>
      <c r="AZ90">
        <f>tbl_OriginalData[[#This Row],[Customer_Satisfaction]]</f>
        <v>6</v>
      </c>
      <c r="BA90" t="str">
        <f>tbl_OriginalData[[#This Row],[Engagement_with_Ads]]</f>
        <v>Medium</v>
      </c>
      <c r="BB90" t="str">
        <f>tbl_OriginalData[[#This Row],[Device_Used_for_Shopping]]</f>
        <v>Smartphone</v>
      </c>
      <c r="BC90" t="str">
        <f>tbl_OriginalData[[#This Row],[Payment_Method]]</f>
        <v>Debit Card</v>
      </c>
      <c r="BD90" s="1">
        <f>tbl_OriginalData[[#This Row],[Time_of_Purchase]]</f>
        <v>45515</v>
      </c>
      <c r="BE90" t="str">
        <f>IF(tbl_OriginalData[[#This Row],[Discount_Used]]=TRUE,"Yes","No")</f>
        <v>No</v>
      </c>
      <c r="BF90" t="str">
        <f>IF(tbl_OriginalData[[#This Row],[Customer_Loyalty_Program_Member]]=TRUE,"Yes","No")</f>
        <v>Yes</v>
      </c>
      <c r="BG90" t="str">
        <f>tbl_OriginalData[[#This Row],[Purchase_Intent]]</f>
        <v>Wants-based</v>
      </c>
      <c r="BH90" t="str">
        <f>tbl_OriginalData[[#This Row],[Shipping_Preference]]</f>
        <v>No Preference</v>
      </c>
      <c r="BI90">
        <f>tbl_OriginalData[[#This Row],[Time_to_Decision]]</f>
        <v>7</v>
      </c>
      <c r="BJ90" t="s">
        <v>124</v>
      </c>
      <c r="BK90" t="s">
        <v>115</v>
      </c>
      <c r="BL90" t="s">
        <v>2528</v>
      </c>
    </row>
    <row r="91" spans="1:64">
      <c r="A91" t="s">
        <v>334</v>
      </c>
      <c r="B91">
        <v>19</v>
      </c>
      <c r="C91" t="s">
        <v>33</v>
      </c>
      <c r="D91" t="s">
        <v>34</v>
      </c>
      <c r="E91" t="s">
        <v>35</v>
      </c>
      <c r="F91" t="s">
        <v>36</v>
      </c>
      <c r="G91" t="s">
        <v>34</v>
      </c>
      <c r="H91" t="s">
        <v>335</v>
      </c>
      <c r="I91" t="s">
        <v>131</v>
      </c>
      <c r="J91">
        <v>194.93</v>
      </c>
      <c r="K91">
        <v>9</v>
      </c>
      <c r="L91" t="s">
        <v>94</v>
      </c>
      <c r="M91">
        <v>4</v>
      </c>
      <c r="N91">
        <v>4</v>
      </c>
      <c r="O91">
        <v>1</v>
      </c>
      <c r="P91" t="s">
        <v>51</v>
      </c>
      <c r="Q91" t="s">
        <v>41</v>
      </c>
      <c r="R91">
        <v>0</v>
      </c>
      <c r="S91">
        <v>4</v>
      </c>
      <c r="T91" t="s">
        <v>40</v>
      </c>
      <c r="U91" t="s">
        <v>42</v>
      </c>
      <c r="V91" t="s">
        <v>76</v>
      </c>
      <c r="W91" s="1">
        <v>45379</v>
      </c>
      <c r="X91" t="b">
        <v>1</v>
      </c>
      <c r="Y91" t="b">
        <v>1</v>
      </c>
      <c r="Z91" t="s">
        <v>72</v>
      </c>
      <c r="AA91" t="s">
        <v>45</v>
      </c>
      <c r="AB91">
        <v>5</v>
      </c>
      <c r="AF91" t="str">
        <f>tbl_OriginalData[[#This Row],[Customer_ID]]</f>
        <v>30-520-8656</v>
      </c>
      <c r="AG91">
        <f>tbl_OriginalData[[#This Row],[Age]]</f>
        <v>19</v>
      </c>
      <c r="AH91" t="str" cm="1">
        <f t="array" ref="AH9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91" t="str">
        <f>tbl_OriginalData[[#This Row],[Gender]]</f>
        <v>Female</v>
      </c>
      <c r="AJ91" t="str">
        <f>tbl_OriginalData[[#This Row],[Income_Level]]</f>
        <v>Middle</v>
      </c>
      <c r="AK91" t="str">
        <f>tbl_OriginalData[[#This Row],[Marital_Status]]</f>
        <v>Married</v>
      </c>
      <c r="AL91" t="str">
        <f>tbl_OriginalData[[#This Row],[Education_Level]]</f>
        <v>Bachelor's</v>
      </c>
      <c r="AM91" t="str">
        <f>tbl_OriginalData[[#This Row],[Occupation]]</f>
        <v>Middle</v>
      </c>
      <c r="AN91" t="s">
        <v>335</v>
      </c>
      <c r="AO91" t="s">
        <v>336</v>
      </c>
      <c r="AP91" t="str">
        <f>tbl_OriginalData[[#This Row],[Purchase_Category]]</f>
        <v>Health Care</v>
      </c>
      <c r="AQ91" s="4">
        <f>tbl_OriginalData[[#This Row],[Purchase_Amount]]</f>
        <v>194.93</v>
      </c>
      <c r="AR91">
        <f>tbl_OriginalData[[#This Row],[Frequency_of_Purchase]]</f>
        <v>9</v>
      </c>
      <c r="AS91" t="str">
        <f>tbl_OriginalData[[#This Row],[Purchase_Channel]]</f>
        <v>Online</v>
      </c>
      <c r="AT91">
        <f>tbl_OriginalData[[#This Row],[Brand_Loyalty]]</f>
        <v>4</v>
      </c>
      <c r="AU91">
        <f>tbl_OriginalData[[#This Row],[Product_Rating]]</f>
        <v>4</v>
      </c>
      <c r="AV91">
        <f>tbl_OriginalData[[#This Row],[Time_Spent_on_Product_Research(hours)]]*60</f>
        <v>60</v>
      </c>
      <c r="AW91" t="str">
        <f>tbl_OriginalData[[#This Row],[Social_Media_Influence]]</f>
        <v>High</v>
      </c>
      <c r="AX91" t="str">
        <f>tbl_OriginalData[[#This Row],[Discount_Sensitivity]]</f>
        <v>Somewhat Sensitive</v>
      </c>
      <c r="AY91" s="3">
        <f>tbl_OriginalData[[#This Row],[Return_Rate]]/tbl_OriginalData[[#This Row],[Frequency_of_Purchase]]</f>
        <v>0</v>
      </c>
      <c r="AZ91">
        <f>tbl_OriginalData[[#This Row],[Customer_Satisfaction]]</f>
        <v>4</v>
      </c>
      <c r="BA91" t="str">
        <f>tbl_OriginalData[[#This Row],[Engagement_with_Ads]]</f>
        <v>None</v>
      </c>
      <c r="BB91" t="str">
        <f>tbl_OriginalData[[#This Row],[Device_Used_for_Shopping]]</f>
        <v>Tablet</v>
      </c>
      <c r="BC91" t="str">
        <f>tbl_OriginalData[[#This Row],[Payment_Method]]</f>
        <v>Other</v>
      </c>
      <c r="BD91" s="1">
        <f>tbl_OriginalData[[#This Row],[Time_of_Purchase]]</f>
        <v>45379</v>
      </c>
      <c r="BE91" t="str">
        <f>IF(tbl_OriginalData[[#This Row],[Discount_Used]]=TRUE,"Yes","No")</f>
        <v>Yes</v>
      </c>
      <c r="BF91" t="str">
        <f>IF(tbl_OriginalData[[#This Row],[Customer_Loyalty_Program_Member]]=TRUE,"Yes","No")</f>
        <v>Yes</v>
      </c>
      <c r="BG91" t="str">
        <f>tbl_OriginalData[[#This Row],[Purchase_Intent]]</f>
        <v>Impulsive</v>
      </c>
      <c r="BH91" t="str">
        <f>tbl_OriginalData[[#This Row],[Shipping_Preference]]</f>
        <v>No Preference</v>
      </c>
      <c r="BI91">
        <f>tbl_OriginalData[[#This Row],[Time_to_Decision]]</f>
        <v>5</v>
      </c>
      <c r="BJ91" t="s">
        <v>47</v>
      </c>
      <c r="BK91" t="s">
        <v>48</v>
      </c>
      <c r="BL91" t="s">
        <v>2525</v>
      </c>
    </row>
    <row r="92" spans="1:64">
      <c r="A92" t="s">
        <v>337</v>
      </c>
      <c r="B92">
        <v>29</v>
      </c>
      <c r="C92" t="s">
        <v>50</v>
      </c>
      <c r="D92" t="s">
        <v>34</v>
      </c>
      <c r="E92" t="s">
        <v>82</v>
      </c>
      <c r="F92" t="s">
        <v>66</v>
      </c>
      <c r="G92" t="s">
        <v>51</v>
      </c>
      <c r="H92" t="s">
        <v>338</v>
      </c>
      <c r="I92" t="s">
        <v>54</v>
      </c>
      <c r="J92">
        <v>377.67</v>
      </c>
      <c r="K92">
        <v>8</v>
      </c>
      <c r="L92" t="s">
        <v>94</v>
      </c>
      <c r="M92">
        <v>5</v>
      </c>
      <c r="N92">
        <v>3</v>
      </c>
      <c r="O92">
        <v>0</v>
      </c>
      <c r="P92" t="s">
        <v>40</v>
      </c>
      <c r="Q92" t="s">
        <v>101</v>
      </c>
      <c r="R92">
        <v>2</v>
      </c>
      <c r="S92">
        <v>1</v>
      </c>
      <c r="T92" t="s">
        <v>51</v>
      </c>
      <c r="U92" t="s">
        <v>95</v>
      </c>
      <c r="V92" t="s">
        <v>58</v>
      </c>
      <c r="W92" s="1">
        <v>45425</v>
      </c>
      <c r="X92" t="b">
        <v>1</v>
      </c>
      <c r="Y92" t="b">
        <v>0</v>
      </c>
      <c r="Z92" t="s">
        <v>44</v>
      </c>
      <c r="AA92" t="s">
        <v>45</v>
      </c>
      <c r="AB92">
        <v>14</v>
      </c>
      <c r="AF92" t="str">
        <f>tbl_OriginalData[[#This Row],[Customer_ID]]</f>
        <v>36-323-3504</v>
      </c>
      <c r="AG92">
        <f>tbl_OriginalData[[#This Row],[Age]]</f>
        <v>29</v>
      </c>
      <c r="AH92" t="str" cm="1">
        <f t="array" ref="AH9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2" t="str">
        <f>tbl_OriginalData[[#This Row],[Gender]]</f>
        <v>Male</v>
      </c>
      <c r="AJ92" t="str">
        <f>tbl_OriginalData[[#This Row],[Income_Level]]</f>
        <v>Middle</v>
      </c>
      <c r="AK92" t="str">
        <f>tbl_OriginalData[[#This Row],[Marital_Status]]</f>
        <v>Widowed</v>
      </c>
      <c r="AL92" t="str">
        <f>tbl_OriginalData[[#This Row],[Education_Level]]</f>
        <v>Master's</v>
      </c>
      <c r="AM92" t="str">
        <f>tbl_OriginalData[[#This Row],[Occupation]]</f>
        <v>High</v>
      </c>
      <c r="AN92" t="s">
        <v>338</v>
      </c>
      <c r="AO92" t="s">
        <v>61</v>
      </c>
      <c r="AP92" t="str">
        <f>tbl_OriginalData[[#This Row],[Purchase_Category]]</f>
        <v>Food &amp; Beverages</v>
      </c>
      <c r="AQ92" s="4">
        <f>tbl_OriginalData[[#This Row],[Purchase_Amount]]</f>
        <v>377.67</v>
      </c>
      <c r="AR92">
        <f>tbl_OriginalData[[#This Row],[Frequency_of_Purchase]]</f>
        <v>8</v>
      </c>
      <c r="AS92" t="str">
        <f>tbl_OriginalData[[#This Row],[Purchase_Channel]]</f>
        <v>Online</v>
      </c>
      <c r="AT92">
        <f>tbl_OriginalData[[#This Row],[Brand_Loyalty]]</f>
        <v>5</v>
      </c>
      <c r="AU92">
        <f>tbl_OriginalData[[#This Row],[Product_Rating]]</f>
        <v>3</v>
      </c>
      <c r="AV92">
        <f>tbl_OriginalData[[#This Row],[Time_Spent_on_Product_Research(hours)]]*60</f>
        <v>0</v>
      </c>
      <c r="AW92" t="str">
        <f>tbl_OriginalData[[#This Row],[Social_Media_Influence]]</f>
        <v>None</v>
      </c>
      <c r="AX92" t="str">
        <f>tbl_OriginalData[[#This Row],[Discount_Sensitivity]]</f>
        <v>Very Sensitive</v>
      </c>
      <c r="AY92" s="3">
        <f>tbl_OriginalData[[#This Row],[Return_Rate]]/tbl_OriginalData[[#This Row],[Frequency_of_Purchase]]</f>
        <v>0.25</v>
      </c>
      <c r="AZ92">
        <f>tbl_OriginalData[[#This Row],[Customer_Satisfaction]]</f>
        <v>1</v>
      </c>
      <c r="BA92" t="str">
        <f>tbl_OriginalData[[#This Row],[Engagement_with_Ads]]</f>
        <v>High</v>
      </c>
      <c r="BB92" t="str">
        <f>tbl_OriginalData[[#This Row],[Device_Used_for_Shopping]]</f>
        <v>Desktop</v>
      </c>
      <c r="BC92" t="str">
        <f>tbl_OriginalData[[#This Row],[Payment_Method]]</f>
        <v>PayPal</v>
      </c>
      <c r="BD92" s="1">
        <f>tbl_OriginalData[[#This Row],[Time_of_Purchase]]</f>
        <v>45425</v>
      </c>
      <c r="BE92" t="str">
        <f>IF(tbl_OriginalData[[#This Row],[Discount_Used]]=TRUE,"Yes","No")</f>
        <v>Yes</v>
      </c>
      <c r="BF92" t="str">
        <f>IF(tbl_OriginalData[[#This Row],[Customer_Loyalty_Program_Member]]=TRUE,"Yes","No")</f>
        <v>No</v>
      </c>
      <c r="BG92" t="str">
        <f>tbl_OriginalData[[#This Row],[Purchase_Intent]]</f>
        <v>Need-based</v>
      </c>
      <c r="BH92" t="str">
        <f>tbl_OriginalData[[#This Row],[Shipping_Preference]]</f>
        <v>No Preference</v>
      </c>
      <c r="BI92">
        <f>tbl_OriginalData[[#This Row],[Time_to_Decision]]</f>
        <v>14</v>
      </c>
      <c r="BJ92" t="s">
        <v>167</v>
      </c>
      <c r="BK92" t="s">
        <v>63</v>
      </c>
      <c r="BL92" t="s">
        <v>2524</v>
      </c>
    </row>
    <row r="93" spans="1:64">
      <c r="A93" t="s">
        <v>339</v>
      </c>
      <c r="B93">
        <v>26</v>
      </c>
      <c r="C93" t="s">
        <v>340</v>
      </c>
      <c r="D93" t="s">
        <v>51</v>
      </c>
      <c r="E93" t="s">
        <v>65</v>
      </c>
      <c r="F93" t="s">
        <v>66</v>
      </c>
      <c r="G93" t="s">
        <v>51</v>
      </c>
      <c r="H93" t="s">
        <v>341</v>
      </c>
      <c r="I93" t="s">
        <v>235</v>
      </c>
      <c r="J93">
        <v>108.61</v>
      </c>
      <c r="K93">
        <v>10</v>
      </c>
      <c r="L93" t="s">
        <v>55</v>
      </c>
      <c r="M93">
        <v>3</v>
      </c>
      <c r="N93">
        <v>2</v>
      </c>
      <c r="O93">
        <v>0</v>
      </c>
      <c r="P93" t="s">
        <v>40</v>
      </c>
      <c r="Q93" t="s">
        <v>101</v>
      </c>
      <c r="R93">
        <v>0</v>
      </c>
      <c r="S93">
        <v>3</v>
      </c>
      <c r="T93" t="s">
        <v>69</v>
      </c>
      <c r="U93" t="s">
        <v>70</v>
      </c>
      <c r="V93" t="s">
        <v>102</v>
      </c>
      <c r="W93" s="1">
        <v>45619</v>
      </c>
      <c r="X93" t="b">
        <v>1</v>
      </c>
      <c r="Y93" t="b">
        <v>1</v>
      </c>
      <c r="Z93" t="s">
        <v>44</v>
      </c>
      <c r="AA93" t="s">
        <v>45</v>
      </c>
      <c r="AB93">
        <v>14</v>
      </c>
      <c r="AF93" t="str">
        <f>tbl_OriginalData[[#This Row],[Customer_ID]]</f>
        <v>93-810-4051</v>
      </c>
      <c r="AG93">
        <f>tbl_OriginalData[[#This Row],[Age]]</f>
        <v>26</v>
      </c>
      <c r="AH93" t="str" cm="1">
        <f t="array" ref="AH9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3" t="str">
        <f>tbl_OriginalData[[#This Row],[Gender]]</f>
        <v>Agender</v>
      </c>
      <c r="AJ93" t="str">
        <f>tbl_OriginalData[[#This Row],[Income_Level]]</f>
        <v>High</v>
      </c>
      <c r="AK93" t="str">
        <f>tbl_OriginalData[[#This Row],[Marital_Status]]</f>
        <v>Single</v>
      </c>
      <c r="AL93" t="str">
        <f>tbl_OriginalData[[#This Row],[Education_Level]]</f>
        <v>Master's</v>
      </c>
      <c r="AM93" t="str">
        <f>tbl_OriginalData[[#This Row],[Occupation]]</f>
        <v>High</v>
      </c>
      <c r="AN93" t="s">
        <v>341</v>
      </c>
      <c r="AO93" t="s">
        <v>342</v>
      </c>
      <c r="AP93" t="str">
        <f>tbl_OriginalData[[#This Row],[Purchase_Category]]</f>
        <v>Beauty &amp; Personal Care</v>
      </c>
      <c r="AQ93" s="4">
        <f>tbl_OriginalData[[#This Row],[Purchase_Amount]]</f>
        <v>108.61</v>
      </c>
      <c r="AR93">
        <f>tbl_OriginalData[[#This Row],[Frequency_of_Purchase]]</f>
        <v>10</v>
      </c>
      <c r="AS93" t="str">
        <f>tbl_OriginalData[[#This Row],[Purchase_Channel]]</f>
        <v>In-Store</v>
      </c>
      <c r="AT93">
        <f>tbl_OriginalData[[#This Row],[Brand_Loyalty]]</f>
        <v>3</v>
      </c>
      <c r="AU93">
        <f>tbl_OriginalData[[#This Row],[Product_Rating]]</f>
        <v>2</v>
      </c>
      <c r="AV93">
        <f>tbl_OriginalData[[#This Row],[Time_Spent_on_Product_Research(hours)]]*60</f>
        <v>0</v>
      </c>
      <c r="AW93" t="str">
        <f>tbl_OriginalData[[#This Row],[Social_Media_Influence]]</f>
        <v>None</v>
      </c>
      <c r="AX93" t="str">
        <f>tbl_OriginalData[[#This Row],[Discount_Sensitivity]]</f>
        <v>Very Sensitive</v>
      </c>
      <c r="AY93" s="3">
        <f>tbl_OriginalData[[#This Row],[Return_Rate]]/tbl_OriginalData[[#This Row],[Frequency_of_Purchase]]</f>
        <v>0</v>
      </c>
      <c r="AZ93">
        <f>tbl_OriginalData[[#This Row],[Customer_Satisfaction]]</f>
        <v>3</v>
      </c>
      <c r="BA93" t="str">
        <f>tbl_OriginalData[[#This Row],[Engagement_with_Ads]]</f>
        <v>Low</v>
      </c>
      <c r="BB93" t="str">
        <f>tbl_OriginalData[[#This Row],[Device_Used_for_Shopping]]</f>
        <v>Smartphone</v>
      </c>
      <c r="BC93" t="str">
        <f>tbl_OriginalData[[#This Row],[Payment_Method]]</f>
        <v>Cash</v>
      </c>
      <c r="BD93" s="1">
        <f>tbl_OriginalData[[#This Row],[Time_of_Purchase]]</f>
        <v>45619</v>
      </c>
      <c r="BE93" t="str">
        <f>IF(tbl_OriginalData[[#This Row],[Discount_Used]]=TRUE,"Yes","No")</f>
        <v>Yes</v>
      </c>
      <c r="BF93" t="str">
        <f>IF(tbl_OriginalData[[#This Row],[Customer_Loyalty_Program_Member]]=TRUE,"Yes","No")</f>
        <v>Yes</v>
      </c>
      <c r="BG93" t="str">
        <f>tbl_OriginalData[[#This Row],[Purchase_Intent]]</f>
        <v>Need-based</v>
      </c>
      <c r="BH93" t="str">
        <f>tbl_OriginalData[[#This Row],[Shipping_Preference]]</f>
        <v>No Preference</v>
      </c>
      <c r="BI93">
        <f>tbl_OriginalData[[#This Row],[Time_to_Decision]]</f>
        <v>14</v>
      </c>
      <c r="BJ93" t="s">
        <v>177</v>
      </c>
      <c r="BK93" t="s">
        <v>80</v>
      </c>
      <c r="BL93" t="s">
        <v>2524</v>
      </c>
    </row>
    <row r="94" spans="1:64">
      <c r="A94" t="s">
        <v>343</v>
      </c>
      <c r="B94">
        <v>20</v>
      </c>
      <c r="C94" t="s">
        <v>33</v>
      </c>
      <c r="D94" t="s">
        <v>34</v>
      </c>
      <c r="E94" t="s">
        <v>35</v>
      </c>
      <c r="F94" t="s">
        <v>36</v>
      </c>
      <c r="G94" t="s">
        <v>34</v>
      </c>
      <c r="H94" t="s">
        <v>344</v>
      </c>
      <c r="I94" t="s">
        <v>131</v>
      </c>
      <c r="J94">
        <v>366.77</v>
      </c>
      <c r="K94">
        <v>7</v>
      </c>
      <c r="L94" t="s">
        <v>39</v>
      </c>
      <c r="M94">
        <v>4</v>
      </c>
      <c r="N94">
        <v>3</v>
      </c>
      <c r="O94">
        <v>2</v>
      </c>
      <c r="P94" t="s">
        <v>69</v>
      </c>
      <c r="Q94" t="s">
        <v>57</v>
      </c>
      <c r="R94">
        <v>0</v>
      </c>
      <c r="S94">
        <v>9</v>
      </c>
      <c r="T94" t="s">
        <v>40</v>
      </c>
      <c r="U94" t="s">
        <v>70</v>
      </c>
      <c r="V94" t="s">
        <v>71</v>
      </c>
      <c r="W94" s="1">
        <v>45553</v>
      </c>
      <c r="X94" t="b">
        <v>0</v>
      </c>
      <c r="Y94" t="b">
        <v>0</v>
      </c>
      <c r="Z94" t="s">
        <v>72</v>
      </c>
      <c r="AA94" t="s">
        <v>60</v>
      </c>
      <c r="AB94">
        <v>1</v>
      </c>
      <c r="AF94" t="str">
        <f>tbl_OriginalData[[#This Row],[Customer_ID]]</f>
        <v>66-515-3648</v>
      </c>
      <c r="AG94">
        <f>tbl_OriginalData[[#This Row],[Age]]</f>
        <v>20</v>
      </c>
      <c r="AH94" t="str" cm="1">
        <f t="array" ref="AH9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4" t="str">
        <f>tbl_OriginalData[[#This Row],[Gender]]</f>
        <v>Female</v>
      </c>
      <c r="AJ94" t="str">
        <f>tbl_OriginalData[[#This Row],[Income_Level]]</f>
        <v>Middle</v>
      </c>
      <c r="AK94" t="str">
        <f>tbl_OriginalData[[#This Row],[Marital_Status]]</f>
        <v>Married</v>
      </c>
      <c r="AL94" t="str">
        <f>tbl_OriginalData[[#This Row],[Education_Level]]</f>
        <v>Bachelor's</v>
      </c>
      <c r="AM94" t="str">
        <f>tbl_OriginalData[[#This Row],[Occupation]]</f>
        <v>Middle</v>
      </c>
      <c r="AN94" t="s">
        <v>344</v>
      </c>
      <c r="AO94" t="s">
        <v>328</v>
      </c>
      <c r="AP94" t="str">
        <f>tbl_OriginalData[[#This Row],[Purchase_Category]]</f>
        <v>Health Care</v>
      </c>
      <c r="AQ94" s="4">
        <f>tbl_OriginalData[[#This Row],[Purchase_Amount]]</f>
        <v>366.77</v>
      </c>
      <c r="AR94">
        <f>tbl_OriginalData[[#This Row],[Frequency_of_Purchase]]</f>
        <v>7</v>
      </c>
      <c r="AS94" t="str">
        <f>tbl_OriginalData[[#This Row],[Purchase_Channel]]</f>
        <v>Mixed</v>
      </c>
      <c r="AT94">
        <f>tbl_OriginalData[[#This Row],[Brand_Loyalty]]</f>
        <v>4</v>
      </c>
      <c r="AU94">
        <f>tbl_OriginalData[[#This Row],[Product_Rating]]</f>
        <v>3</v>
      </c>
      <c r="AV94">
        <f>tbl_OriginalData[[#This Row],[Time_Spent_on_Product_Research(hours)]]*60</f>
        <v>120</v>
      </c>
      <c r="AW94" t="str">
        <f>tbl_OriginalData[[#This Row],[Social_Media_Influence]]</f>
        <v>Low</v>
      </c>
      <c r="AX94" t="str">
        <f>tbl_OriginalData[[#This Row],[Discount_Sensitivity]]</f>
        <v>Not Sensitive</v>
      </c>
      <c r="AY94" s="3">
        <f>tbl_OriginalData[[#This Row],[Return_Rate]]/tbl_OriginalData[[#This Row],[Frequency_of_Purchase]]</f>
        <v>0</v>
      </c>
      <c r="AZ94">
        <f>tbl_OriginalData[[#This Row],[Customer_Satisfaction]]</f>
        <v>9</v>
      </c>
      <c r="BA94" t="str">
        <f>tbl_OriginalData[[#This Row],[Engagement_with_Ads]]</f>
        <v>None</v>
      </c>
      <c r="BB94" t="str">
        <f>tbl_OriginalData[[#This Row],[Device_Used_for_Shopping]]</f>
        <v>Smartphone</v>
      </c>
      <c r="BC94" t="str">
        <f>tbl_OriginalData[[#This Row],[Payment_Method]]</f>
        <v>Debit Card</v>
      </c>
      <c r="BD94" s="1">
        <f>tbl_OriginalData[[#This Row],[Time_of_Purchase]]</f>
        <v>45553</v>
      </c>
      <c r="BE94" t="str">
        <f>IF(tbl_OriginalData[[#This Row],[Discount_Used]]=TRUE,"Yes","No")</f>
        <v>No</v>
      </c>
      <c r="BF94" t="str">
        <f>IF(tbl_OriginalData[[#This Row],[Customer_Loyalty_Program_Member]]=TRUE,"Yes","No")</f>
        <v>No</v>
      </c>
      <c r="BG94" t="str">
        <f>tbl_OriginalData[[#This Row],[Purchase_Intent]]</f>
        <v>Impulsive</v>
      </c>
      <c r="BH94" t="str">
        <f>tbl_OriginalData[[#This Row],[Shipping_Preference]]</f>
        <v>Standard</v>
      </c>
      <c r="BI94">
        <f>tbl_OriginalData[[#This Row],[Time_to_Decision]]</f>
        <v>1</v>
      </c>
      <c r="BJ94" t="s">
        <v>172</v>
      </c>
      <c r="BK94" t="s">
        <v>115</v>
      </c>
      <c r="BL94" t="s">
        <v>2527</v>
      </c>
    </row>
    <row r="95" spans="1:64">
      <c r="A95" t="s">
        <v>345</v>
      </c>
      <c r="B95">
        <v>31</v>
      </c>
      <c r="C95" t="s">
        <v>33</v>
      </c>
      <c r="D95" t="s">
        <v>51</v>
      </c>
      <c r="E95" t="s">
        <v>92</v>
      </c>
      <c r="F95" t="s">
        <v>66</v>
      </c>
      <c r="G95" t="s">
        <v>34</v>
      </c>
      <c r="H95" t="s">
        <v>346</v>
      </c>
      <c r="I95" t="s">
        <v>306</v>
      </c>
      <c r="J95">
        <v>178.04</v>
      </c>
      <c r="K95">
        <v>5</v>
      </c>
      <c r="L95" t="s">
        <v>55</v>
      </c>
      <c r="M95">
        <v>5</v>
      </c>
      <c r="N95">
        <v>1</v>
      </c>
      <c r="O95">
        <v>2</v>
      </c>
      <c r="P95" t="s">
        <v>56</v>
      </c>
      <c r="Q95" t="s">
        <v>41</v>
      </c>
      <c r="R95">
        <v>0</v>
      </c>
      <c r="S95">
        <v>5</v>
      </c>
      <c r="T95" t="s">
        <v>51</v>
      </c>
      <c r="U95" t="s">
        <v>42</v>
      </c>
      <c r="V95" t="s">
        <v>43</v>
      </c>
      <c r="W95" s="1">
        <v>45489</v>
      </c>
      <c r="X95" t="b">
        <v>0</v>
      </c>
      <c r="Y95" t="b">
        <v>0</v>
      </c>
      <c r="Z95" t="s">
        <v>44</v>
      </c>
      <c r="AA95" t="s">
        <v>45</v>
      </c>
      <c r="AB95">
        <v>12</v>
      </c>
      <c r="AF95" t="str">
        <f>tbl_OriginalData[[#This Row],[Customer_ID]]</f>
        <v>09-216-1957</v>
      </c>
      <c r="AG95">
        <f>tbl_OriginalData[[#This Row],[Age]]</f>
        <v>31</v>
      </c>
      <c r="AH95" t="str" cm="1">
        <f t="array" ref="AH9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5" t="str">
        <f>tbl_OriginalData[[#This Row],[Gender]]</f>
        <v>Female</v>
      </c>
      <c r="AJ95" t="str">
        <f>tbl_OriginalData[[#This Row],[Income_Level]]</f>
        <v>High</v>
      </c>
      <c r="AK95" t="str">
        <f>tbl_OriginalData[[#This Row],[Marital_Status]]</f>
        <v>Divorced</v>
      </c>
      <c r="AL95" t="str">
        <f>tbl_OriginalData[[#This Row],[Education_Level]]</f>
        <v>Master's</v>
      </c>
      <c r="AM95" t="str">
        <f>tbl_OriginalData[[#This Row],[Occupation]]</f>
        <v>Middle</v>
      </c>
      <c r="AN95" t="s">
        <v>346</v>
      </c>
      <c r="AO95" t="s">
        <v>186</v>
      </c>
      <c r="AP95" t="str">
        <f>tbl_OriginalData[[#This Row],[Purchase_Category]]</f>
        <v>Jewelry &amp; Accessories</v>
      </c>
      <c r="AQ95" s="4">
        <f>tbl_OriginalData[[#This Row],[Purchase_Amount]]</f>
        <v>178.04</v>
      </c>
      <c r="AR95">
        <f>tbl_OriginalData[[#This Row],[Frequency_of_Purchase]]</f>
        <v>5</v>
      </c>
      <c r="AS95" t="str">
        <f>tbl_OriginalData[[#This Row],[Purchase_Channel]]</f>
        <v>In-Store</v>
      </c>
      <c r="AT95">
        <f>tbl_OriginalData[[#This Row],[Brand_Loyalty]]</f>
        <v>5</v>
      </c>
      <c r="AU95">
        <f>tbl_OriginalData[[#This Row],[Product_Rating]]</f>
        <v>1</v>
      </c>
      <c r="AV95">
        <f>tbl_OriginalData[[#This Row],[Time_Spent_on_Product_Research(hours)]]*60</f>
        <v>120</v>
      </c>
      <c r="AW95" t="str">
        <f>tbl_OriginalData[[#This Row],[Social_Media_Influence]]</f>
        <v>Medium</v>
      </c>
      <c r="AX95" t="str">
        <f>tbl_OriginalData[[#This Row],[Discount_Sensitivity]]</f>
        <v>Somewhat Sensitive</v>
      </c>
      <c r="AY95" s="3">
        <f>tbl_OriginalData[[#This Row],[Return_Rate]]/tbl_OriginalData[[#This Row],[Frequency_of_Purchase]]</f>
        <v>0</v>
      </c>
      <c r="AZ95">
        <f>tbl_OriginalData[[#This Row],[Customer_Satisfaction]]</f>
        <v>5</v>
      </c>
      <c r="BA95" t="str">
        <f>tbl_OriginalData[[#This Row],[Engagement_with_Ads]]</f>
        <v>High</v>
      </c>
      <c r="BB95" t="str">
        <f>tbl_OriginalData[[#This Row],[Device_Used_for_Shopping]]</f>
        <v>Tablet</v>
      </c>
      <c r="BC95" t="str">
        <f>tbl_OriginalData[[#This Row],[Payment_Method]]</f>
        <v>Credit Card</v>
      </c>
      <c r="BD95" s="1">
        <f>tbl_OriginalData[[#This Row],[Time_of_Purchase]]</f>
        <v>45489</v>
      </c>
      <c r="BE95" t="str">
        <f>IF(tbl_OriginalData[[#This Row],[Discount_Used]]=TRUE,"Yes","No")</f>
        <v>No</v>
      </c>
      <c r="BF95" t="str">
        <f>IF(tbl_OriginalData[[#This Row],[Customer_Loyalty_Program_Member]]=TRUE,"Yes","No")</f>
        <v>No</v>
      </c>
      <c r="BG95" t="str">
        <f>tbl_OriginalData[[#This Row],[Purchase_Intent]]</f>
        <v>Need-based</v>
      </c>
      <c r="BH95" t="str">
        <f>tbl_OriginalData[[#This Row],[Shipping_Preference]]</f>
        <v>No Preference</v>
      </c>
      <c r="BI95">
        <f>tbl_OriginalData[[#This Row],[Time_to_Decision]]</f>
        <v>12</v>
      </c>
      <c r="BJ95" t="s">
        <v>114</v>
      </c>
      <c r="BK95" t="s">
        <v>115</v>
      </c>
      <c r="BL95" t="s">
        <v>2523</v>
      </c>
    </row>
    <row r="96" spans="1:64">
      <c r="A96" t="s">
        <v>347</v>
      </c>
      <c r="B96">
        <v>23</v>
      </c>
      <c r="C96" t="s">
        <v>33</v>
      </c>
      <c r="D96" t="s">
        <v>51</v>
      </c>
      <c r="E96" t="s">
        <v>92</v>
      </c>
      <c r="F96" t="s">
        <v>52</v>
      </c>
      <c r="G96" t="s">
        <v>51</v>
      </c>
      <c r="H96" t="s">
        <v>348</v>
      </c>
      <c r="I96" t="s">
        <v>156</v>
      </c>
      <c r="J96">
        <v>461.09</v>
      </c>
      <c r="K96">
        <v>8</v>
      </c>
      <c r="L96" t="s">
        <v>94</v>
      </c>
      <c r="M96">
        <v>4</v>
      </c>
      <c r="N96">
        <v>1</v>
      </c>
      <c r="O96">
        <v>0</v>
      </c>
      <c r="P96" t="s">
        <v>56</v>
      </c>
      <c r="Q96" t="s">
        <v>41</v>
      </c>
      <c r="R96">
        <v>0</v>
      </c>
      <c r="S96">
        <v>4</v>
      </c>
      <c r="T96" t="s">
        <v>56</v>
      </c>
      <c r="U96" t="s">
        <v>70</v>
      </c>
      <c r="V96" t="s">
        <v>71</v>
      </c>
      <c r="W96" s="1">
        <v>45507</v>
      </c>
      <c r="X96" t="b">
        <v>1</v>
      </c>
      <c r="Y96" t="b">
        <v>0</v>
      </c>
      <c r="Z96" t="s">
        <v>44</v>
      </c>
      <c r="AA96" t="s">
        <v>45</v>
      </c>
      <c r="AB96">
        <v>8</v>
      </c>
      <c r="AF96" t="str">
        <f>tbl_OriginalData[[#This Row],[Customer_ID]]</f>
        <v>23-253-2565</v>
      </c>
      <c r="AG96">
        <f>tbl_OriginalData[[#This Row],[Age]]</f>
        <v>23</v>
      </c>
      <c r="AH96" t="str" cm="1">
        <f t="array" ref="AH9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6" t="str">
        <f>tbl_OriginalData[[#This Row],[Gender]]</f>
        <v>Female</v>
      </c>
      <c r="AJ96" t="str">
        <f>tbl_OriginalData[[#This Row],[Income_Level]]</f>
        <v>High</v>
      </c>
      <c r="AK96" t="str">
        <f>tbl_OriginalData[[#This Row],[Marital_Status]]</f>
        <v>Divorced</v>
      </c>
      <c r="AL96" t="str">
        <f>tbl_OriginalData[[#This Row],[Education_Level]]</f>
        <v>High School</v>
      </c>
      <c r="AM96" t="str">
        <f>tbl_OriginalData[[#This Row],[Occupation]]</f>
        <v>High</v>
      </c>
      <c r="AN96" t="s">
        <v>348</v>
      </c>
      <c r="AO96" t="s">
        <v>194</v>
      </c>
      <c r="AP96" t="str">
        <f>tbl_OriginalData[[#This Row],[Purchase_Category]]</f>
        <v>Toys &amp; Games</v>
      </c>
      <c r="AQ96" s="4">
        <f>tbl_OriginalData[[#This Row],[Purchase_Amount]]</f>
        <v>461.09</v>
      </c>
      <c r="AR96">
        <f>tbl_OriginalData[[#This Row],[Frequency_of_Purchase]]</f>
        <v>8</v>
      </c>
      <c r="AS96" t="str">
        <f>tbl_OriginalData[[#This Row],[Purchase_Channel]]</f>
        <v>Online</v>
      </c>
      <c r="AT96">
        <f>tbl_OriginalData[[#This Row],[Brand_Loyalty]]</f>
        <v>4</v>
      </c>
      <c r="AU96">
        <f>tbl_OriginalData[[#This Row],[Product_Rating]]</f>
        <v>1</v>
      </c>
      <c r="AV96">
        <f>tbl_OriginalData[[#This Row],[Time_Spent_on_Product_Research(hours)]]*60</f>
        <v>0</v>
      </c>
      <c r="AW96" t="str">
        <f>tbl_OriginalData[[#This Row],[Social_Media_Influence]]</f>
        <v>Medium</v>
      </c>
      <c r="AX96" t="str">
        <f>tbl_OriginalData[[#This Row],[Discount_Sensitivity]]</f>
        <v>Somewhat Sensitive</v>
      </c>
      <c r="AY96" s="3">
        <f>tbl_OriginalData[[#This Row],[Return_Rate]]/tbl_OriginalData[[#This Row],[Frequency_of_Purchase]]</f>
        <v>0</v>
      </c>
      <c r="AZ96">
        <f>tbl_OriginalData[[#This Row],[Customer_Satisfaction]]</f>
        <v>4</v>
      </c>
      <c r="BA96" t="str">
        <f>tbl_OriginalData[[#This Row],[Engagement_with_Ads]]</f>
        <v>Medium</v>
      </c>
      <c r="BB96" t="str">
        <f>tbl_OriginalData[[#This Row],[Device_Used_for_Shopping]]</f>
        <v>Smartphone</v>
      </c>
      <c r="BC96" t="str">
        <f>tbl_OriginalData[[#This Row],[Payment_Method]]</f>
        <v>Debit Card</v>
      </c>
      <c r="BD96" s="1">
        <f>tbl_OriginalData[[#This Row],[Time_of_Purchase]]</f>
        <v>45507</v>
      </c>
      <c r="BE96" t="str">
        <f>IF(tbl_OriginalData[[#This Row],[Discount_Used]]=TRUE,"Yes","No")</f>
        <v>Yes</v>
      </c>
      <c r="BF96" t="str">
        <f>IF(tbl_OriginalData[[#This Row],[Customer_Loyalty_Program_Member]]=TRUE,"Yes","No")</f>
        <v>No</v>
      </c>
      <c r="BG96" t="str">
        <f>tbl_OriginalData[[#This Row],[Purchase_Intent]]</f>
        <v>Need-based</v>
      </c>
      <c r="BH96" t="str">
        <f>tbl_OriginalData[[#This Row],[Shipping_Preference]]</f>
        <v>No Preference</v>
      </c>
      <c r="BI96">
        <f>tbl_OriginalData[[#This Row],[Time_to_Decision]]</f>
        <v>8</v>
      </c>
      <c r="BJ96" t="s">
        <v>124</v>
      </c>
      <c r="BK96" t="s">
        <v>115</v>
      </c>
      <c r="BL96" t="s">
        <v>2524</v>
      </c>
    </row>
    <row r="97" spans="1:64">
      <c r="A97" t="s">
        <v>349</v>
      </c>
      <c r="B97">
        <v>19</v>
      </c>
      <c r="C97" t="s">
        <v>33</v>
      </c>
      <c r="D97" t="s">
        <v>51</v>
      </c>
      <c r="E97" t="s">
        <v>65</v>
      </c>
      <c r="F97" t="s">
        <v>52</v>
      </c>
      <c r="G97" t="s">
        <v>34</v>
      </c>
      <c r="H97" t="s">
        <v>350</v>
      </c>
      <c r="I97" t="s">
        <v>135</v>
      </c>
      <c r="J97">
        <v>211.16</v>
      </c>
      <c r="K97">
        <v>5</v>
      </c>
      <c r="L97" t="s">
        <v>55</v>
      </c>
      <c r="M97">
        <v>2</v>
      </c>
      <c r="N97">
        <v>3</v>
      </c>
      <c r="O97">
        <v>1</v>
      </c>
      <c r="P97" t="s">
        <v>51</v>
      </c>
      <c r="Q97" t="s">
        <v>101</v>
      </c>
      <c r="R97">
        <v>0</v>
      </c>
      <c r="S97">
        <v>3</v>
      </c>
      <c r="T97" t="s">
        <v>40</v>
      </c>
      <c r="U97" t="s">
        <v>70</v>
      </c>
      <c r="V97" t="s">
        <v>58</v>
      </c>
      <c r="W97" s="1">
        <v>45471</v>
      </c>
      <c r="X97" t="b">
        <v>0</v>
      </c>
      <c r="Y97" t="b">
        <v>0</v>
      </c>
      <c r="Z97" t="s">
        <v>89</v>
      </c>
      <c r="AA97" t="s">
        <v>60</v>
      </c>
      <c r="AB97">
        <v>2</v>
      </c>
      <c r="AF97" t="str">
        <f>tbl_OriginalData[[#This Row],[Customer_ID]]</f>
        <v>74-509-4985</v>
      </c>
      <c r="AG97">
        <f>tbl_OriginalData[[#This Row],[Age]]</f>
        <v>19</v>
      </c>
      <c r="AH97" t="str" cm="1">
        <f t="array" ref="AH9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97" t="str">
        <f>tbl_OriginalData[[#This Row],[Gender]]</f>
        <v>Female</v>
      </c>
      <c r="AJ97" t="str">
        <f>tbl_OriginalData[[#This Row],[Income_Level]]</f>
        <v>High</v>
      </c>
      <c r="AK97" t="str">
        <f>tbl_OriginalData[[#This Row],[Marital_Status]]</f>
        <v>Single</v>
      </c>
      <c r="AL97" t="str">
        <f>tbl_OriginalData[[#This Row],[Education_Level]]</f>
        <v>High School</v>
      </c>
      <c r="AM97" t="str">
        <f>tbl_OriginalData[[#This Row],[Occupation]]</f>
        <v>Middle</v>
      </c>
      <c r="AN97" t="s">
        <v>350</v>
      </c>
      <c r="AO97" t="s">
        <v>103</v>
      </c>
      <c r="AP97" t="str">
        <f>tbl_OriginalData[[#This Row],[Purchase_Category]]</f>
        <v>Hotels</v>
      </c>
      <c r="AQ97" s="4">
        <f>tbl_OriginalData[[#This Row],[Purchase_Amount]]</f>
        <v>211.16</v>
      </c>
      <c r="AR97">
        <f>tbl_OriginalData[[#This Row],[Frequency_of_Purchase]]</f>
        <v>5</v>
      </c>
      <c r="AS97" t="str">
        <f>tbl_OriginalData[[#This Row],[Purchase_Channel]]</f>
        <v>In-Store</v>
      </c>
      <c r="AT97">
        <f>tbl_OriginalData[[#This Row],[Brand_Loyalty]]</f>
        <v>2</v>
      </c>
      <c r="AU97">
        <f>tbl_OriginalData[[#This Row],[Product_Rating]]</f>
        <v>3</v>
      </c>
      <c r="AV97">
        <f>tbl_OriginalData[[#This Row],[Time_Spent_on_Product_Research(hours)]]*60</f>
        <v>60</v>
      </c>
      <c r="AW97" t="str">
        <f>tbl_OriginalData[[#This Row],[Social_Media_Influence]]</f>
        <v>High</v>
      </c>
      <c r="AX97" t="str">
        <f>tbl_OriginalData[[#This Row],[Discount_Sensitivity]]</f>
        <v>Very Sensitive</v>
      </c>
      <c r="AY97" s="3">
        <f>tbl_OriginalData[[#This Row],[Return_Rate]]/tbl_OriginalData[[#This Row],[Frequency_of_Purchase]]</f>
        <v>0</v>
      </c>
      <c r="AZ97">
        <f>tbl_OriginalData[[#This Row],[Customer_Satisfaction]]</f>
        <v>3</v>
      </c>
      <c r="BA97" t="str">
        <f>tbl_OriginalData[[#This Row],[Engagement_with_Ads]]</f>
        <v>None</v>
      </c>
      <c r="BB97" t="str">
        <f>tbl_OriginalData[[#This Row],[Device_Used_for_Shopping]]</f>
        <v>Smartphone</v>
      </c>
      <c r="BC97" t="str">
        <f>tbl_OriginalData[[#This Row],[Payment_Method]]</f>
        <v>PayPal</v>
      </c>
      <c r="BD97" s="1">
        <f>tbl_OriginalData[[#This Row],[Time_of_Purchase]]</f>
        <v>45471</v>
      </c>
      <c r="BE97" t="str">
        <f>IF(tbl_OriginalData[[#This Row],[Discount_Used]]=TRUE,"Yes","No")</f>
        <v>No</v>
      </c>
      <c r="BF97" t="str">
        <f>IF(tbl_OriginalData[[#This Row],[Customer_Loyalty_Program_Member]]=TRUE,"Yes","No")</f>
        <v>No</v>
      </c>
      <c r="BG97" t="str">
        <f>tbl_OriginalData[[#This Row],[Purchase_Intent]]</f>
        <v>Planned</v>
      </c>
      <c r="BH97" t="str">
        <f>tbl_OriginalData[[#This Row],[Shipping_Preference]]</f>
        <v>Standard</v>
      </c>
      <c r="BI97">
        <f>tbl_OriginalData[[#This Row],[Time_to_Decision]]</f>
        <v>2</v>
      </c>
      <c r="BJ97" t="s">
        <v>104</v>
      </c>
      <c r="BK97" t="s">
        <v>63</v>
      </c>
      <c r="BL97" t="s">
        <v>2523</v>
      </c>
    </row>
    <row r="98" spans="1:64">
      <c r="A98" t="s">
        <v>351</v>
      </c>
      <c r="B98">
        <v>23</v>
      </c>
      <c r="C98" t="s">
        <v>33</v>
      </c>
      <c r="D98" t="s">
        <v>34</v>
      </c>
      <c r="E98" t="s">
        <v>82</v>
      </c>
      <c r="F98" t="s">
        <v>36</v>
      </c>
      <c r="G98" t="s">
        <v>51</v>
      </c>
      <c r="H98" t="s">
        <v>352</v>
      </c>
      <c r="I98" t="s">
        <v>127</v>
      </c>
      <c r="J98">
        <v>421.95</v>
      </c>
      <c r="K98">
        <v>8</v>
      </c>
      <c r="L98" t="s">
        <v>39</v>
      </c>
      <c r="M98">
        <v>3</v>
      </c>
      <c r="N98">
        <v>5</v>
      </c>
      <c r="O98">
        <v>0</v>
      </c>
      <c r="P98" t="s">
        <v>56</v>
      </c>
      <c r="Q98" t="s">
        <v>57</v>
      </c>
      <c r="R98">
        <v>1</v>
      </c>
      <c r="S98">
        <v>1</v>
      </c>
      <c r="T98" t="s">
        <v>40</v>
      </c>
      <c r="U98" t="s">
        <v>70</v>
      </c>
      <c r="V98" t="s">
        <v>76</v>
      </c>
      <c r="W98" s="1">
        <v>45369</v>
      </c>
      <c r="X98" t="b">
        <v>0</v>
      </c>
      <c r="Y98" t="b">
        <v>1</v>
      </c>
      <c r="Z98" t="s">
        <v>44</v>
      </c>
      <c r="AA98" t="s">
        <v>45</v>
      </c>
      <c r="AB98">
        <v>7</v>
      </c>
      <c r="AF98" t="str">
        <f>tbl_OriginalData[[#This Row],[Customer_ID]]</f>
        <v>05-857-1572</v>
      </c>
      <c r="AG98">
        <f>tbl_OriginalData[[#This Row],[Age]]</f>
        <v>23</v>
      </c>
      <c r="AH98" t="str" cm="1">
        <f t="array" ref="AH9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8" t="str">
        <f>tbl_OriginalData[[#This Row],[Gender]]</f>
        <v>Female</v>
      </c>
      <c r="AJ98" t="str">
        <f>tbl_OriginalData[[#This Row],[Income_Level]]</f>
        <v>Middle</v>
      </c>
      <c r="AK98" t="str">
        <f>tbl_OriginalData[[#This Row],[Marital_Status]]</f>
        <v>Widowed</v>
      </c>
      <c r="AL98" t="str">
        <f>tbl_OriginalData[[#This Row],[Education_Level]]</f>
        <v>Bachelor's</v>
      </c>
      <c r="AM98" t="str">
        <f>tbl_OriginalData[[#This Row],[Occupation]]</f>
        <v>High</v>
      </c>
      <c r="AN98" t="s">
        <v>352</v>
      </c>
      <c r="AO98" t="s">
        <v>186</v>
      </c>
      <c r="AP98" t="str">
        <f>tbl_OriginalData[[#This Row],[Purchase_Category]]</f>
        <v>Animal Feed</v>
      </c>
      <c r="AQ98" s="4">
        <f>tbl_OriginalData[[#This Row],[Purchase_Amount]]</f>
        <v>421.95</v>
      </c>
      <c r="AR98">
        <f>tbl_OriginalData[[#This Row],[Frequency_of_Purchase]]</f>
        <v>8</v>
      </c>
      <c r="AS98" t="str">
        <f>tbl_OriginalData[[#This Row],[Purchase_Channel]]</f>
        <v>Mixed</v>
      </c>
      <c r="AT98">
        <f>tbl_OriginalData[[#This Row],[Brand_Loyalty]]</f>
        <v>3</v>
      </c>
      <c r="AU98">
        <f>tbl_OriginalData[[#This Row],[Product_Rating]]</f>
        <v>5</v>
      </c>
      <c r="AV98">
        <f>tbl_OriginalData[[#This Row],[Time_Spent_on_Product_Research(hours)]]*60</f>
        <v>0</v>
      </c>
      <c r="AW98" t="str">
        <f>tbl_OriginalData[[#This Row],[Social_Media_Influence]]</f>
        <v>Medium</v>
      </c>
      <c r="AX98" t="str">
        <f>tbl_OriginalData[[#This Row],[Discount_Sensitivity]]</f>
        <v>Not Sensitive</v>
      </c>
      <c r="AY98" s="3">
        <f>tbl_OriginalData[[#This Row],[Return_Rate]]/tbl_OriginalData[[#This Row],[Frequency_of_Purchase]]</f>
        <v>0.125</v>
      </c>
      <c r="AZ98">
        <f>tbl_OriginalData[[#This Row],[Customer_Satisfaction]]</f>
        <v>1</v>
      </c>
      <c r="BA98" t="str">
        <f>tbl_OriginalData[[#This Row],[Engagement_with_Ads]]</f>
        <v>None</v>
      </c>
      <c r="BB98" t="str">
        <f>tbl_OriginalData[[#This Row],[Device_Used_for_Shopping]]</f>
        <v>Smartphone</v>
      </c>
      <c r="BC98" t="str">
        <f>tbl_OriginalData[[#This Row],[Payment_Method]]</f>
        <v>Other</v>
      </c>
      <c r="BD98" s="1">
        <f>tbl_OriginalData[[#This Row],[Time_of_Purchase]]</f>
        <v>45369</v>
      </c>
      <c r="BE98" t="str">
        <f>IF(tbl_OriginalData[[#This Row],[Discount_Used]]=TRUE,"Yes","No")</f>
        <v>No</v>
      </c>
      <c r="BF98" t="str">
        <f>IF(tbl_OriginalData[[#This Row],[Customer_Loyalty_Program_Member]]=TRUE,"Yes","No")</f>
        <v>Yes</v>
      </c>
      <c r="BG98" t="str">
        <f>tbl_OriginalData[[#This Row],[Purchase_Intent]]</f>
        <v>Need-based</v>
      </c>
      <c r="BH98" t="str">
        <f>tbl_OriginalData[[#This Row],[Shipping_Preference]]</f>
        <v>No Preference</v>
      </c>
      <c r="BI98">
        <f>tbl_OriginalData[[#This Row],[Time_to_Decision]]</f>
        <v>7</v>
      </c>
      <c r="BJ98" t="s">
        <v>47</v>
      </c>
      <c r="BK98" t="s">
        <v>48</v>
      </c>
      <c r="BL98" t="s">
        <v>2523</v>
      </c>
    </row>
    <row r="99" spans="1:64">
      <c r="A99" t="s">
        <v>353</v>
      </c>
      <c r="B99">
        <v>49</v>
      </c>
      <c r="C99" t="s">
        <v>33</v>
      </c>
      <c r="D99" t="s">
        <v>34</v>
      </c>
      <c r="E99" t="s">
        <v>92</v>
      </c>
      <c r="F99" t="s">
        <v>36</v>
      </c>
      <c r="G99" t="s">
        <v>51</v>
      </c>
      <c r="H99" t="s">
        <v>354</v>
      </c>
      <c r="I99" t="s">
        <v>84</v>
      </c>
      <c r="J99">
        <v>378.59</v>
      </c>
      <c r="K99">
        <v>5</v>
      </c>
      <c r="L99" t="s">
        <v>94</v>
      </c>
      <c r="M99">
        <v>2</v>
      </c>
      <c r="N99">
        <v>1</v>
      </c>
      <c r="O99">
        <v>0</v>
      </c>
      <c r="P99" t="s">
        <v>40</v>
      </c>
      <c r="Q99" t="s">
        <v>41</v>
      </c>
      <c r="R99">
        <v>0</v>
      </c>
      <c r="S99">
        <v>4</v>
      </c>
      <c r="T99" t="s">
        <v>51</v>
      </c>
      <c r="U99" t="s">
        <v>95</v>
      </c>
      <c r="V99" t="s">
        <v>76</v>
      </c>
      <c r="W99" s="1">
        <v>45580</v>
      </c>
      <c r="X99" t="b">
        <v>0</v>
      </c>
      <c r="Y99" t="b">
        <v>0</v>
      </c>
      <c r="Z99" t="s">
        <v>59</v>
      </c>
      <c r="AA99" t="s">
        <v>45</v>
      </c>
      <c r="AB99">
        <v>14</v>
      </c>
      <c r="AF99" t="str">
        <f>tbl_OriginalData[[#This Row],[Customer_ID]]</f>
        <v>26-521-8328</v>
      </c>
      <c r="AG99">
        <f>tbl_OriginalData[[#This Row],[Age]]</f>
        <v>49</v>
      </c>
      <c r="AH99" t="str" cm="1">
        <f t="array" ref="AH9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9" t="str">
        <f>tbl_OriginalData[[#This Row],[Gender]]</f>
        <v>Female</v>
      </c>
      <c r="AJ99" t="str">
        <f>tbl_OriginalData[[#This Row],[Income_Level]]</f>
        <v>Middle</v>
      </c>
      <c r="AK99" t="str">
        <f>tbl_OriginalData[[#This Row],[Marital_Status]]</f>
        <v>Divorced</v>
      </c>
      <c r="AL99" t="str">
        <f>tbl_OriginalData[[#This Row],[Education_Level]]</f>
        <v>Bachelor's</v>
      </c>
      <c r="AM99" t="str">
        <f>tbl_OriginalData[[#This Row],[Occupation]]</f>
        <v>High</v>
      </c>
      <c r="AN99" t="s">
        <v>354</v>
      </c>
      <c r="AO99" t="s">
        <v>61</v>
      </c>
      <c r="AP99" t="str">
        <f>tbl_OriginalData[[#This Row],[Purchase_Category]]</f>
        <v>Furniture</v>
      </c>
      <c r="AQ99" s="4">
        <f>tbl_OriginalData[[#This Row],[Purchase_Amount]]</f>
        <v>378.59</v>
      </c>
      <c r="AR99">
        <f>tbl_OriginalData[[#This Row],[Frequency_of_Purchase]]</f>
        <v>5</v>
      </c>
      <c r="AS99" t="str">
        <f>tbl_OriginalData[[#This Row],[Purchase_Channel]]</f>
        <v>Online</v>
      </c>
      <c r="AT99">
        <f>tbl_OriginalData[[#This Row],[Brand_Loyalty]]</f>
        <v>2</v>
      </c>
      <c r="AU99">
        <f>tbl_OriginalData[[#This Row],[Product_Rating]]</f>
        <v>1</v>
      </c>
      <c r="AV99">
        <f>tbl_OriginalData[[#This Row],[Time_Spent_on_Product_Research(hours)]]*60</f>
        <v>0</v>
      </c>
      <c r="AW99" t="str">
        <f>tbl_OriginalData[[#This Row],[Social_Media_Influence]]</f>
        <v>None</v>
      </c>
      <c r="AX99" t="str">
        <f>tbl_OriginalData[[#This Row],[Discount_Sensitivity]]</f>
        <v>Somewhat Sensitive</v>
      </c>
      <c r="AY99" s="3">
        <f>tbl_OriginalData[[#This Row],[Return_Rate]]/tbl_OriginalData[[#This Row],[Frequency_of_Purchase]]</f>
        <v>0</v>
      </c>
      <c r="AZ99">
        <f>tbl_OriginalData[[#This Row],[Customer_Satisfaction]]</f>
        <v>4</v>
      </c>
      <c r="BA99" t="str">
        <f>tbl_OriginalData[[#This Row],[Engagement_with_Ads]]</f>
        <v>High</v>
      </c>
      <c r="BB99" t="str">
        <f>tbl_OriginalData[[#This Row],[Device_Used_for_Shopping]]</f>
        <v>Desktop</v>
      </c>
      <c r="BC99" t="str">
        <f>tbl_OriginalData[[#This Row],[Payment_Method]]</f>
        <v>Other</v>
      </c>
      <c r="BD99" s="1">
        <f>tbl_OriginalData[[#This Row],[Time_of_Purchase]]</f>
        <v>45580</v>
      </c>
      <c r="BE99" t="str">
        <f>IF(tbl_OriginalData[[#This Row],[Discount_Used]]=TRUE,"Yes","No")</f>
        <v>No</v>
      </c>
      <c r="BF99" t="str">
        <f>IF(tbl_OriginalData[[#This Row],[Customer_Loyalty_Program_Member]]=TRUE,"Yes","No")</f>
        <v>No</v>
      </c>
      <c r="BG99" t="str">
        <f>tbl_OriginalData[[#This Row],[Purchase_Intent]]</f>
        <v>Wants-based</v>
      </c>
      <c r="BH99" t="str">
        <f>tbl_OriginalData[[#This Row],[Shipping_Preference]]</f>
        <v>No Preference</v>
      </c>
      <c r="BI99">
        <f>tbl_OriginalData[[#This Row],[Time_to_Decision]]</f>
        <v>14</v>
      </c>
      <c r="BJ99" t="s">
        <v>79</v>
      </c>
      <c r="BK99" t="s">
        <v>80</v>
      </c>
      <c r="BL99" t="s">
        <v>2524</v>
      </c>
    </row>
    <row r="100" spans="1:64">
      <c r="A100" t="s">
        <v>355</v>
      </c>
      <c r="B100">
        <v>23</v>
      </c>
      <c r="C100" t="s">
        <v>238</v>
      </c>
      <c r="D100" t="s">
        <v>51</v>
      </c>
      <c r="E100" t="s">
        <v>92</v>
      </c>
      <c r="F100" t="s">
        <v>52</v>
      </c>
      <c r="G100" t="s">
        <v>51</v>
      </c>
      <c r="H100" t="s">
        <v>356</v>
      </c>
      <c r="I100" t="s">
        <v>68</v>
      </c>
      <c r="J100">
        <v>268.93</v>
      </c>
      <c r="K100">
        <v>2</v>
      </c>
      <c r="L100" t="s">
        <v>39</v>
      </c>
      <c r="M100">
        <v>5</v>
      </c>
      <c r="N100">
        <v>5</v>
      </c>
      <c r="O100">
        <v>1</v>
      </c>
      <c r="P100" t="s">
        <v>56</v>
      </c>
      <c r="Q100" t="s">
        <v>101</v>
      </c>
      <c r="R100">
        <v>1</v>
      </c>
      <c r="S100">
        <v>3</v>
      </c>
      <c r="T100" t="s">
        <v>40</v>
      </c>
      <c r="U100" t="s">
        <v>42</v>
      </c>
      <c r="V100" t="s">
        <v>71</v>
      </c>
      <c r="W100" s="1">
        <v>45619</v>
      </c>
      <c r="X100" t="b">
        <v>0</v>
      </c>
      <c r="Y100" t="b">
        <v>0</v>
      </c>
      <c r="Z100" t="s">
        <v>72</v>
      </c>
      <c r="AA100" t="s">
        <v>77</v>
      </c>
      <c r="AB100">
        <v>8</v>
      </c>
      <c r="AF100" t="str">
        <f>tbl_OriginalData[[#This Row],[Customer_ID]]</f>
        <v>31-147-6197</v>
      </c>
      <c r="AG100">
        <f>tbl_OriginalData[[#This Row],[Age]]</f>
        <v>23</v>
      </c>
      <c r="AH100" t="str" cm="1">
        <f t="array" ref="AH10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00" t="str">
        <f>tbl_OriginalData[[#This Row],[Gender]]</f>
        <v>Non-binary</v>
      </c>
      <c r="AJ100" t="str">
        <f>tbl_OriginalData[[#This Row],[Income_Level]]</f>
        <v>High</v>
      </c>
      <c r="AK100" t="str">
        <f>tbl_OriginalData[[#This Row],[Marital_Status]]</f>
        <v>Divorced</v>
      </c>
      <c r="AL100" t="str">
        <f>tbl_OriginalData[[#This Row],[Education_Level]]</f>
        <v>High School</v>
      </c>
      <c r="AM100" t="str">
        <f>tbl_OriginalData[[#This Row],[Occupation]]</f>
        <v>High</v>
      </c>
      <c r="AN100" t="s">
        <v>356</v>
      </c>
      <c r="AO100" t="s">
        <v>61</v>
      </c>
      <c r="AP100" t="str">
        <f>tbl_OriginalData[[#This Row],[Purchase_Category]]</f>
        <v>Office Supplies</v>
      </c>
      <c r="AQ100" s="4">
        <f>tbl_OriginalData[[#This Row],[Purchase_Amount]]</f>
        <v>268.93</v>
      </c>
      <c r="AR100">
        <f>tbl_OriginalData[[#This Row],[Frequency_of_Purchase]]</f>
        <v>2</v>
      </c>
      <c r="AS100" t="str">
        <f>tbl_OriginalData[[#This Row],[Purchase_Channel]]</f>
        <v>Mixed</v>
      </c>
      <c r="AT100">
        <f>tbl_OriginalData[[#This Row],[Brand_Loyalty]]</f>
        <v>5</v>
      </c>
      <c r="AU100">
        <f>tbl_OriginalData[[#This Row],[Product_Rating]]</f>
        <v>5</v>
      </c>
      <c r="AV100">
        <f>tbl_OriginalData[[#This Row],[Time_Spent_on_Product_Research(hours)]]*60</f>
        <v>60</v>
      </c>
      <c r="AW100" t="str">
        <f>tbl_OriginalData[[#This Row],[Social_Media_Influence]]</f>
        <v>Medium</v>
      </c>
      <c r="AX100" t="str">
        <f>tbl_OriginalData[[#This Row],[Discount_Sensitivity]]</f>
        <v>Very Sensitive</v>
      </c>
      <c r="AY100" s="3">
        <f>tbl_OriginalData[[#This Row],[Return_Rate]]/tbl_OriginalData[[#This Row],[Frequency_of_Purchase]]</f>
        <v>0.5</v>
      </c>
      <c r="AZ100">
        <f>tbl_OriginalData[[#This Row],[Customer_Satisfaction]]</f>
        <v>3</v>
      </c>
      <c r="BA100" t="str">
        <f>tbl_OriginalData[[#This Row],[Engagement_with_Ads]]</f>
        <v>None</v>
      </c>
      <c r="BB100" t="str">
        <f>tbl_OriginalData[[#This Row],[Device_Used_for_Shopping]]</f>
        <v>Tablet</v>
      </c>
      <c r="BC100" t="str">
        <f>tbl_OriginalData[[#This Row],[Payment_Method]]</f>
        <v>Debit Card</v>
      </c>
      <c r="BD100" s="1">
        <f>tbl_OriginalData[[#This Row],[Time_of_Purchase]]</f>
        <v>45619</v>
      </c>
      <c r="BE100" t="str">
        <f>IF(tbl_OriginalData[[#This Row],[Discount_Used]]=TRUE,"Yes","No")</f>
        <v>No</v>
      </c>
      <c r="BF100" t="str">
        <f>IF(tbl_OriginalData[[#This Row],[Customer_Loyalty_Program_Member]]=TRUE,"Yes","No")</f>
        <v>No</v>
      </c>
      <c r="BG100" t="str">
        <f>tbl_OriginalData[[#This Row],[Purchase_Intent]]</f>
        <v>Impulsive</v>
      </c>
      <c r="BH100" t="str">
        <f>tbl_OriginalData[[#This Row],[Shipping_Preference]]</f>
        <v>Express</v>
      </c>
      <c r="BI100">
        <f>tbl_OriginalData[[#This Row],[Time_to_Decision]]</f>
        <v>8</v>
      </c>
      <c r="BJ100" t="s">
        <v>177</v>
      </c>
      <c r="BK100" t="s">
        <v>80</v>
      </c>
      <c r="BL100" t="s">
        <v>2524</v>
      </c>
    </row>
    <row r="101" spans="1:64">
      <c r="A101" t="s">
        <v>357</v>
      </c>
      <c r="B101">
        <v>42</v>
      </c>
      <c r="C101" t="s">
        <v>50</v>
      </c>
      <c r="D101" t="s">
        <v>34</v>
      </c>
      <c r="E101" t="s">
        <v>92</v>
      </c>
      <c r="F101" t="s">
        <v>36</v>
      </c>
      <c r="G101" t="s">
        <v>51</v>
      </c>
      <c r="H101" t="s">
        <v>358</v>
      </c>
      <c r="I101" t="s">
        <v>131</v>
      </c>
      <c r="J101">
        <v>444.87</v>
      </c>
      <c r="K101">
        <v>11</v>
      </c>
      <c r="L101" t="s">
        <v>94</v>
      </c>
      <c r="M101">
        <v>5</v>
      </c>
      <c r="N101">
        <v>4</v>
      </c>
      <c r="O101">
        <v>0</v>
      </c>
      <c r="P101" t="s">
        <v>56</v>
      </c>
      <c r="Q101" t="s">
        <v>57</v>
      </c>
      <c r="R101">
        <v>1</v>
      </c>
      <c r="S101">
        <v>8</v>
      </c>
      <c r="T101" t="s">
        <v>69</v>
      </c>
      <c r="U101" t="s">
        <v>95</v>
      </c>
      <c r="V101" t="s">
        <v>76</v>
      </c>
      <c r="W101" s="1">
        <v>45625</v>
      </c>
      <c r="X101" t="b">
        <v>0</v>
      </c>
      <c r="Y101" t="b">
        <v>0</v>
      </c>
      <c r="Z101" t="s">
        <v>59</v>
      </c>
      <c r="AA101" t="s">
        <v>45</v>
      </c>
      <c r="AB101">
        <v>7</v>
      </c>
      <c r="AF101" t="str">
        <f>tbl_OriginalData[[#This Row],[Customer_ID]]</f>
        <v>90-093-0469</v>
      </c>
      <c r="AG101">
        <f>tbl_OriginalData[[#This Row],[Age]]</f>
        <v>42</v>
      </c>
      <c r="AH101" t="str" cm="1">
        <f t="array" ref="AH10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01" t="str">
        <f>tbl_OriginalData[[#This Row],[Gender]]</f>
        <v>Male</v>
      </c>
      <c r="AJ101" t="str">
        <f>tbl_OriginalData[[#This Row],[Income_Level]]</f>
        <v>Middle</v>
      </c>
      <c r="AK101" t="str">
        <f>tbl_OriginalData[[#This Row],[Marital_Status]]</f>
        <v>Divorced</v>
      </c>
      <c r="AL101" t="str">
        <f>tbl_OriginalData[[#This Row],[Education_Level]]</f>
        <v>Bachelor's</v>
      </c>
      <c r="AM101" t="str">
        <f>tbl_OriginalData[[#This Row],[Occupation]]</f>
        <v>High</v>
      </c>
      <c r="AN101" t="s">
        <v>358</v>
      </c>
      <c r="AO101" t="s">
        <v>85</v>
      </c>
      <c r="AP101" t="str">
        <f>tbl_OriginalData[[#This Row],[Purchase_Category]]</f>
        <v>Health Care</v>
      </c>
      <c r="AQ101" s="4">
        <f>tbl_OriginalData[[#This Row],[Purchase_Amount]]</f>
        <v>444.87</v>
      </c>
      <c r="AR101">
        <f>tbl_OriginalData[[#This Row],[Frequency_of_Purchase]]</f>
        <v>11</v>
      </c>
      <c r="AS101" t="str">
        <f>tbl_OriginalData[[#This Row],[Purchase_Channel]]</f>
        <v>Online</v>
      </c>
      <c r="AT101">
        <f>tbl_OriginalData[[#This Row],[Brand_Loyalty]]</f>
        <v>5</v>
      </c>
      <c r="AU101">
        <f>tbl_OriginalData[[#This Row],[Product_Rating]]</f>
        <v>4</v>
      </c>
      <c r="AV101">
        <f>tbl_OriginalData[[#This Row],[Time_Spent_on_Product_Research(hours)]]*60</f>
        <v>0</v>
      </c>
      <c r="AW101" t="str">
        <f>tbl_OriginalData[[#This Row],[Social_Media_Influence]]</f>
        <v>Medium</v>
      </c>
      <c r="AX101" t="str">
        <f>tbl_OriginalData[[#This Row],[Discount_Sensitivity]]</f>
        <v>Not Sensitive</v>
      </c>
      <c r="AY101" s="3">
        <f>tbl_OriginalData[[#This Row],[Return_Rate]]/tbl_OriginalData[[#This Row],[Frequency_of_Purchase]]</f>
        <v>9.0909090909090912E-2</v>
      </c>
      <c r="AZ101">
        <f>tbl_OriginalData[[#This Row],[Customer_Satisfaction]]</f>
        <v>8</v>
      </c>
      <c r="BA101" t="str">
        <f>tbl_OriginalData[[#This Row],[Engagement_with_Ads]]</f>
        <v>Low</v>
      </c>
      <c r="BB101" t="str">
        <f>tbl_OriginalData[[#This Row],[Device_Used_for_Shopping]]</f>
        <v>Desktop</v>
      </c>
      <c r="BC101" t="str">
        <f>tbl_OriginalData[[#This Row],[Payment_Method]]</f>
        <v>Other</v>
      </c>
      <c r="BD101" s="1">
        <f>tbl_OriginalData[[#This Row],[Time_of_Purchase]]</f>
        <v>45625</v>
      </c>
      <c r="BE101" t="str">
        <f>IF(tbl_OriginalData[[#This Row],[Discount_Used]]=TRUE,"Yes","No")</f>
        <v>No</v>
      </c>
      <c r="BF101" t="str">
        <f>IF(tbl_OriginalData[[#This Row],[Customer_Loyalty_Program_Member]]=TRUE,"Yes","No")</f>
        <v>No</v>
      </c>
      <c r="BG101" t="str">
        <f>tbl_OriginalData[[#This Row],[Purchase_Intent]]</f>
        <v>Wants-based</v>
      </c>
      <c r="BH101" t="str">
        <f>tbl_OriginalData[[#This Row],[Shipping_Preference]]</f>
        <v>No Preference</v>
      </c>
      <c r="BI101">
        <f>tbl_OriginalData[[#This Row],[Time_to_Decision]]</f>
        <v>7</v>
      </c>
      <c r="BJ101" t="s">
        <v>177</v>
      </c>
      <c r="BK101" t="s">
        <v>80</v>
      </c>
      <c r="BL101" t="s">
        <v>2524</v>
      </c>
    </row>
    <row r="102" spans="1:64">
      <c r="A102" t="s">
        <v>359</v>
      </c>
      <c r="B102">
        <v>18</v>
      </c>
      <c r="C102" t="s">
        <v>33</v>
      </c>
      <c r="D102" t="s">
        <v>51</v>
      </c>
      <c r="E102" t="s">
        <v>82</v>
      </c>
      <c r="F102" t="s">
        <v>36</v>
      </c>
      <c r="G102" t="s">
        <v>51</v>
      </c>
      <c r="H102" t="s">
        <v>360</v>
      </c>
      <c r="I102" t="s">
        <v>235</v>
      </c>
      <c r="J102">
        <v>160.82</v>
      </c>
      <c r="K102">
        <v>7</v>
      </c>
      <c r="L102" t="s">
        <v>55</v>
      </c>
      <c r="M102">
        <v>3</v>
      </c>
      <c r="N102">
        <v>1</v>
      </c>
      <c r="O102">
        <v>1</v>
      </c>
      <c r="P102" t="s">
        <v>51</v>
      </c>
      <c r="Q102" t="s">
        <v>41</v>
      </c>
      <c r="R102">
        <v>0</v>
      </c>
      <c r="S102">
        <v>1</v>
      </c>
      <c r="T102" t="s">
        <v>51</v>
      </c>
      <c r="U102" t="s">
        <v>70</v>
      </c>
      <c r="V102" t="s">
        <v>102</v>
      </c>
      <c r="W102" s="1">
        <v>45482</v>
      </c>
      <c r="X102" t="b">
        <v>1</v>
      </c>
      <c r="Y102" t="b">
        <v>1</v>
      </c>
      <c r="Z102" t="s">
        <v>59</v>
      </c>
      <c r="AA102" t="s">
        <v>45</v>
      </c>
      <c r="AB102">
        <v>3</v>
      </c>
      <c r="AF102" t="str">
        <f>tbl_OriginalData[[#This Row],[Customer_ID]]</f>
        <v>38-935-1865</v>
      </c>
      <c r="AG102">
        <f>tbl_OriginalData[[#This Row],[Age]]</f>
        <v>18</v>
      </c>
      <c r="AH102" t="str" cm="1">
        <f t="array" ref="AH10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102" t="str">
        <f>tbl_OriginalData[[#This Row],[Gender]]</f>
        <v>Female</v>
      </c>
      <c r="AJ102" t="str">
        <f>tbl_OriginalData[[#This Row],[Income_Level]]</f>
        <v>High</v>
      </c>
      <c r="AK102" t="str">
        <f>tbl_OriginalData[[#This Row],[Marital_Status]]</f>
        <v>Widowed</v>
      </c>
      <c r="AL102" t="str">
        <f>tbl_OriginalData[[#This Row],[Education_Level]]</f>
        <v>Bachelor's</v>
      </c>
      <c r="AM102" t="str">
        <f>tbl_OriginalData[[#This Row],[Occupation]]</f>
        <v>High</v>
      </c>
      <c r="AN102" t="s">
        <v>360</v>
      </c>
      <c r="AO102" t="s">
        <v>109</v>
      </c>
      <c r="AP102" t="str">
        <f>tbl_OriginalData[[#This Row],[Purchase_Category]]</f>
        <v>Beauty &amp; Personal Care</v>
      </c>
      <c r="AQ102" s="4">
        <f>tbl_OriginalData[[#This Row],[Purchase_Amount]]</f>
        <v>160.82</v>
      </c>
      <c r="AR102">
        <f>tbl_OriginalData[[#This Row],[Frequency_of_Purchase]]</f>
        <v>7</v>
      </c>
      <c r="AS102" t="str">
        <f>tbl_OriginalData[[#This Row],[Purchase_Channel]]</f>
        <v>In-Store</v>
      </c>
      <c r="AT102">
        <f>tbl_OriginalData[[#This Row],[Brand_Loyalty]]</f>
        <v>3</v>
      </c>
      <c r="AU102">
        <f>tbl_OriginalData[[#This Row],[Product_Rating]]</f>
        <v>1</v>
      </c>
      <c r="AV102">
        <f>tbl_OriginalData[[#This Row],[Time_Spent_on_Product_Research(hours)]]*60</f>
        <v>60</v>
      </c>
      <c r="AW102" t="str">
        <f>tbl_OriginalData[[#This Row],[Social_Media_Influence]]</f>
        <v>High</v>
      </c>
      <c r="AX102" t="str">
        <f>tbl_OriginalData[[#This Row],[Discount_Sensitivity]]</f>
        <v>Somewhat Sensitive</v>
      </c>
      <c r="AY102" s="3">
        <f>tbl_OriginalData[[#This Row],[Return_Rate]]/tbl_OriginalData[[#This Row],[Frequency_of_Purchase]]</f>
        <v>0</v>
      </c>
      <c r="AZ102">
        <f>tbl_OriginalData[[#This Row],[Customer_Satisfaction]]</f>
        <v>1</v>
      </c>
      <c r="BA102" t="str">
        <f>tbl_OriginalData[[#This Row],[Engagement_with_Ads]]</f>
        <v>High</v>
      </c>
      <c r="BB102" t="str">
        <f>tbl_OriginalData[[#This Row],[Device_Used_for_Shopping]]</f>
        <v>Smartphone</v>
      </c>
      <c r="BC102" t="str">
        <f>tbl_OriginalData[[#This Row],[Payment_Method]]</f>
        <v>Cash</v>
      </c>
      <c r="BD102" s="1">
        <f>tbl_OriginalData[[#This Row],[Time_of_Purchase]]</f>
        <v>45482</v>
      </c>
      <c r="BE102" t="str">
        <f>IF(tbl_OriginalData[[#This Row],[Discount_Used]]=TRUE,"Yes","No")</f>
        <v>Yes</v>
      </c>
      <c r="BF102" t="str">
        <f>IF(tbl_OriginalData[[#This Row],[Customer_Loyalty_Program_Member]]=TRUE,"Yes","No")</f>
        <v>Yes</v>
      </c>
      <c r="BG102" t="str">
        <f>tbl_OriginalData[[#This Row],[Purchase_Intent]]</f>
        <v>Wants-based</v>
      </c>
      <c r="BH102" t="str">
        <f>tbl_OriginalData[[#This Row],[Shipping_Preference]]</f>
        <v>No Preference</v>
      </c>
      <c r="BI102">
        <f>tbl_OriginalData[[#This Row],[Time_to_Decision]]</f>
        <v>3</v>
      </c>
      <c r="BJ102" t="s">
        <v>114</v>
      </c>
      <c r="BK102" t="s">
        <v>115</v>
      </c>
      <c r="BL102" t="s">
        <v>2526</v>
      </c>
    </row>
    <row r="103" spans="1:64">
      <c r="A103" t="s">
        <v>361</v>
      </c>
      <c r="B103">
        <v>35</v>
      </c>
      <c r="C103" t="s">
        <v>50</v>
      </c>
      <c r="D103" t="s">
        <v>51</v>
      </c>
      <c r="E103" t="s">
        <v>65</v>
      </c>
      <c r="F103" t="s">
        <v>66</v>
      </c>
      <c r="G103" t="s">
        <v>34</v>
      </c>
      <c r="H103" t="s">
        <v>362</v>
      </c>
      <c r="I103" t="s">
        <v>135</v>
      </c>
      <c r="J103">
        <v>494.18</v>
      </c>
      <c r="K103">
        <v>6</v>
      </c>
      <c r="L103" t="s">
        <v>39</v>
      </c>
      <c r="M103">
        <v>4</v>
      </c>
      <c r="N103">
        <v>5</v>
      </c>
      <c r="O103">
        <v>1</v>
      </c>
      <c r="P103" t="s">
        <v>56</v>
      </c>
      <c r="Q103" t="s">
        <v>57</v>
      </c>
      <c r="R103">
        <v>1</v>
      </c>
      <c r="S103">
        <v>2</v>
      </c>
      <c r="T103" t="s">
        <v>40</v>
      </c>
      <c r="U103" t="s">
        <v>95</v>
      </c>
      <c r="V103" t="s">
        <v>102</v>
      </c>
      <c r="W103" s="1">
        <v>45507</v>
      </c>
      <c r="X103" t="b">
        <v>0</v>
      </c>
      <c r="Y103" t="b">
        <v>0</v>
      </c>
      <c r="Z103" t="s">
        <v>44</v>
      </c>
      <c r="AA103" t="s">
        <v>60</v>
      </c>
      <c r="AB103">
        <v>14</v>
      </c>
      <c r="AF103" t="str">
        <f>tbl_OriginalData[[#This Row],[Customer_ID]]</f>
        <v>75-953-8663</v>
      </c>
      <c r="AG103">
        <f>tbl_OriginalData[[#This Row],[Age]]</f>
        <v>35</v>
      </c>
      <c r="AH103" t="str" cm="1">
        <f t="array" ref="AH10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03" t="str">
        <f>tbl_OriginalData[[#This Row],[Gender]]</f>
        <v>Male</v>
      </c>
      <c r="AJ103" t="str">
        <f>tbl_OriginalData[[#This Row],[Income_Level]]</f>
        <v>High</v>
      </c>
      <c r="AK103" t="str">
        <f>tbl_OriginalData[[#This Row],[Marital_Status]]</f>
        <v>Single</v>
      </c>
      <c r="AL103" t="str">
        <f>tbl_OriginalData[[#This Row],[Education_Level]]</f>
        <v>Master's</v>
      </c>
      <c r="AM103" t="str">
        <f>tbl_OriginalData[[#This Row],[Occupation]]</f>
        <v>Middle</v>
      </c>
      <c r="AN103" t="s">
        <v>362</v>
      </c>
      <c r="AO103" t="s">
        <v>363</v>
      </c>
      <c r="AP103" t="str">
        <f>tbl_OriginalData[[#This Row],[Purchase_Category]]</f>
        <v>Hotels</v>
      </c>
      <c r="AQ103" s="4">
        <f>tbl_OriginalData[[#This Row],[Purchase_Amount]]</f>
        <v>494.18</v>
      </c>
      <c r="AR103">
        <f>tbl_OriginalData[[#This Row],[Frequency_of_Purchase]]</f>
        <v>6</v>
      </c>
      <c r="AS103" t="str">
        <f>tbl_OriginalData[[#This Row],[Purchase_Channel]]</f>
        <v>Mixed</v>
      </c>
      <c r="AT103">
        <f>tbl_OriginalData[[#This Row],[Brand_Loyalty]]</f>
        <v>4</v>
      </c>
      <c r="AU103">
        <f>tbl_OriginalData[[#This Row],[Product_Rating]]</f>
        <v>5</v>
      </c>
      <c r="AV103">
        <f>tbl_OriginalData[[#This Row],[Time_Spent_on_Product_Research(hours)]]*60</f>
        <v>60</v>
      </c>
      <c r="AW103" t="str">
        <f>tbl_OriginalData[[#This Row],[Social_Media_Influence]]</f>
        <v>Medium</v>
      </c>
      <c r="AX103" t="str">
        <f>tbl_OriginalData[[#This Row],[Discount_Sensitivity]]</f>
        <v>Not Sensitive</v>
      </c>
      <c r="AY103" s="3">
        <f>tbl_OriginalData[[#This Row],[Return_Rate]]/tbl_OriginalData[[#This Row],[Frequency_of_Purchase]]</f>
        <v>0.16666666666666666</v>
      </c>
      <c r="AZ103">
        <f>tbl_OriginalData[[#This Row],[Customer_Satisfaction]]</f>
        <v>2</v>
      </c>
      <c r="BA103" t="str">
        <f>tbl_OriginalData[[#This Row],[Engagement_with_Ads]]</f>
        <v>None</v>
      </c>
      <c r="BB103" t="str">
        <f>tbl_OriginalData[[#This Row],[Device_Used_for_Shopping]]</f>
        <v>Desktop</v>
      </c>
      <c r="BC103" t="str">
        <f>tbl_OriginalData[[#This Row],[Payment_Method]]</f>
        <v>Cash</v>
      </c>
      <c r="BD103" s="1">
        <f>tbl_OriginalData[[#This Row],[Time_of_Purchase]]</f>
        <v>45507</v>
      </c>
      <c r="BE103" t="str">
        <f>IF(tbl_OriginalData[[#This Row],[Discount_Used]]=TRUE,"Yes","No")</f>
        <v>No</v>
      </c>
      <c r="BF103" t="str">
        <f>IF(tbl_OriginalData[[#This Row],[Customer_Loyalty_Program_Member]]=TRUE,"Yes","No")</f>
        <v>No</v>
      </c>
      <c r="BG103" t="str">
        <f>tbl_OriginalData[[#This Row],[Purchase_Intent]]</f>
        <v>Need-based</v>
      </c>
      <c r="BH103" t="str">
        <f>tbl_OriginalData[[#This Row],[Shipping_Preference]]</f>
        <v>Standard</v>
      </c>
      <c r="BI103">
        <f>tbl_OriginalData[[#This Row],[Time_to_Decision]]</f>
        <v>14</v>
      </c>
      <c r="BJ103" t="s">
        <v>124</v>
      </c>
      <c r="BK103" t="s">
        <v>115</v>
      </c>
      <c r="BL103" t="s">
        <v>2527</v>
      </c>
    </row>
    <row r="104" spans="1:64">
      <c r="A104" t="s">
        <v>364</v>
      </c>
      <c r="B104">
        <v>22</v>
      </c>
      <c r="C104" t="s">
        <v>50</v>
      </c>
      <c r="D104" t="s">
        <v>34</v>
      </c>
      <c r="E104" t="s">
        <v>65</v>
      </c>
      <c r="F104" t="s">
        <v>36</v>
      </c>
      <c r="G104" t="s">
        <v>34</v>
      </c>
      <c r="H104" t="s">
        <v>365</v>
      </c>
      <c r="I104" t="s">
        <v>75</v>
      </c>
      <c r="J104">
        <v>177.05</v>
      </c>
      <c r="K104">
        <v>5</v>
      </c>
      <c r="L104" t="s">
        <v>94</v>
      </c>
      <c r="M104">
        <v>3</v>
      </c>
      <c r="N104">
        <v>1</v>
      </c>
      <c r="O104">
        <v>1</v>
      </c>
      <c r="P104" t="s">
        <v>40</v>
      </c>
      <c r="Q104" t="s">
        <v>41</v>
      </c>
      <c r="R104">
        <v>2</v>
      </c>
      <c r="S104">
        <v>1</v>
      </c>
      <c r="T104" t="s">
        <v>69</v>
      </c>
      <c r="U104" t="s">
        <v>42</v>
      </c>
      <c r="V104" t="s">
        <v>102</v>
      </c>
      <c r="W104" s="1">
        <v>45630</v>
      </c>
      <c r="X104" t="b">
        <v>1</v>
      </c>
      <c r="Y104" t="b">
        <v>1</v>
      </c>
      <c r="Z104" t="s">
        <v>72</v>
      </c>
      <c r="AA104" t="s">
        <v>60</v>
      </c>
      <c r="AB104">
        <v>1</v>
      </c>
      <c r="AF104" t="str">
        <f>tbl_OriginalData[[#This Row],[Customer_ID]]</f>
        <v>38-478-2681</v>
      </c>
      <c r="AG104">
        <f>tbl_OriginalData[[#This Row],[Age]]</f>
        <v>22</v>
      </c>
      <c r="AH104" t="str" cm="1">
        <f t="array" ref="AH10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04" t="str">
        <f>tbl_OriginalData[[#This Row],[Gender]]</f>
        <v>Male</v>
      </c>
      <c r="AJ104" t="str">
        <f>tbl_OriginalData[[#This Row],[Income_Level]]</f>
        <v>Middle</v>
      </c>
      <c r="AK104" t="str">
        <f>tbl_OriginalData[[#This Row],[Marital_Status]]</f>
        <v>Single</v>
      </c>
      <c r="AL104" t="str">
        <f>tbl_OriginalData[[#This Row],[Education_Level]]</f>
        <v>Bachelor's</v>
      </c>
      <c r="AM104" t="str">
        <f>tbl_OriginalData[[#This Row],[Occupation]]</f>
        <v>Middle</v>
      </c>
      <c r="AN104" t="s">
        <v>365</v>
      </c>
      <c r="AO104" t="s">
        <v>366</v>
      </c>
      <c r="AP104" t="str">
        <f>tbl_OriginalData[[#This Row],[Purchase_Category]]</f>
        <v>Home Appliances</v>
      </c>
      <c r="AQ104" s="4">
        <f>tbl_OriginalData[[#This Row],[Purchase_Amount]]</f>
        <v>177.05</v>
      </c>
      <c r="AR104">
        <f>tbl_OriginalData[[#This Row],[Frequency_of_Purchase]]</f>
        <v>5</v>
      </c>
      <c r="AS104" t="str">
        <f>tbl_OriginalData[[#This Row],[Purchase_Channel]]</f>
        <v>Online</v>
      </c>
      <c r="AT104">
        <f>tbl_OriginalData[[#This Row],[Brand_Loyalty]]</f>
        <v>3</v>
      </c>
      <c r="AU104">
        <f>tbl_OriginalData[[#This Row],[Product_Rating]]</f>
        <v>1</v>
      </c>
      <c r="AV104">
        <f>tbl_OriginalData[[#This Row],[Time_Spent_on_Product_Research(hours)]]*60</f>
        <v>60</v>
      </c>
      <c r="AW104" t="str">
        <f>tbl_OriginalData[[#This Row],[Social_Media_Influence]]</f>
        <v>None</v>
      </c>
      <c r="AX104" t="str">
        <f>tbl_OriginalData[[#This Row],[Discount_Sensitivity]]</f>
        <v>Somewhat Sensitive</v>
      </c>
      <c r="AY104" s="3">
        <f>tbl_OriginalData[[#This Row],[Return_Rate]]/tbl_OriginalData[[#This Row],[Frequency_of_Purchase]]</f>
        <v>0.4</v>
      </c>
      <c r="AZ104">
        <f>tbl_OriginalData[[#This Row],[Customer_Satisfaction]]</f>
        <v>1</v>
      </c>
      <c r="BA104" t="str">
        <f>tbl_OriginalData[[#This Row],[Engagement_with_Ads]]</f>
        <v>Low</v>
      </c>
      <c r="BB104" t="str">
        <f>tbl_OriginalData[[#This Row],[Device_Used_for_Shopping]]</f>
        <v>Tablet</v>
      </c>
      <c r="BC104" t="str">
        <f>tbl_OriginalData[[#This Row],[Payment_Method]]</f>
        <v>Cash</v>
      </c>
      <c r="BD104" s="1">
        <f>tbl_OriginalData[[#This Row],[Time_of_Purchase]]</f>
        <v>45630</v>
      </c>
      <c r="BE104" t="str">
        <f>IF(tbl_OriginalData[[#This Row],[Discount_Used]]=TRUE,"Yes","No")</f>
        <v>Yes</v>
      </c>
      <c r="BF104" t="str">
        <f>IF(tbl_OriginalData[[#This Row],[Customer_Loyalty_Program_Member]]=TRUE,"Yes","No")</f>
        <v>Yes</v>
      </c>
      <c r="BG104" t="str">
        <f>tbl_OriginalData[[#This Row],[Purchase_Intent]]</f>
        <v>Impulsive</v>
      </c>
      <c r="BH104" t="str">
        <f>tbl_OriginalData[[#This Row],[Shipping_Preference]]</f>
        <v>Standard</v>
      </c>
      <c r="BI104">
        <f>tbl_OriginalData[[#This Row],[Time_to_Decision]]</f>
        <v>1</v>
      </c>
      <c r="BJ104" t="s">
        <v>120</v>
      </c>
      <c r="BK104" t="s">
        <v>80</v>
      </c>
      <c r="BL104" t="s">
        <v>2524</v>
      </c>
    </row>
    <row r="105" spans="1:64">
      <c r="A105" t="s">
        <v>367</v>
      </c>
      <c r="B105">
        <v>28</v>
      </c>
      <c r="C105" t="s">
        <v>33</v>
      </c>
      <c r="D105" t="s">
        <v>34</v>
      </c>
      <c r="E105" t="s">
        <v>35</v>
      </c>
      <c r="F105" t="s">
        <v>66</v>
      </c>
      <c r="G105" t="s">
        <v>51</v>
      </c>
      <c r="H105" t="s">
        <v>368</v>
      </c>
      <c r="I105" t="s">
        <v>54</v>
      </c>
      <c r="J105">
        <v>450.66</v>
      </c>
      <c r="K105">
        <v>7</v>
      </c>
      <c r="L105" t="s">
        <v>55</v>
      </c>
      <c r="M105">
        <v>2</v>
      </c>
      <c r="N105">
        <v>5</v>
      </c>
      <c r="O105">
        <v>0</v>
      </c>
      <c r="P105" t="s">
        <v>51</v>
      </c>
      <c r="Q105" t="s">
        <v>41</v>
      </c>
      <c r="R105">
        <v>2</v>
      </c>
      <c r="S105">
        <v>4</v>
      </c>
      <c r="T105" t="s">
        <v>56</v>
      </c>
      <c r="U105" t="s">
        <v>42</v>
      </c>
      <c r="V105" t="s">
        <v>43</v>
      </c>
      <c r="W105" s="1">
        <v>45456</v>
      </c>
      <c r="X105" t="b">
        <v>0</v>
      </c>
      <c r="Y105" t="b">
        <v>1</v>
      </c>
      <c r="Z105" t="s">
        <v>44</v>
      </c>
      <c r="AA105" t="s">
        <v>45</v>
      </c>
      <c r="AB105">
        <v>9</v>
      </c>
      <c r="AF105" t="str">
        <f>tbl_OriginalData[[#This Row],[Customer_ID]]</f>
        <v>70-895-5298</v>
      </c>
      <c r="AG105">
        <f>tbl_OriginalData[[#This Row],[Age]]</f>
        <v>28</v>
      </c>
      <c r="AH105" t="str" cm="1">
        <f t="array" ref="AH10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05" t="str">
        <f>tbl_OriginalData[[#This Row],[Gender]]</f>
        <v>Female</v>
      </c>
      <c r="AJ105" t="str">
        <f>tbl_OriginalData[[#This Row],[Income_Level]]</f>
        <v>Middle</v>
      </c>
      <c r="AK105" t="str">
        <f>tbl_OriginalData[[#This Row],[Marital_Status]]</f>
        <v>Married</v>
      </c>
      <c r="AL105" t="str">
        <f>tbl_OriginalData[[#This Row],[Education_Level]]</f>
        <v>Master's</v>
      </c>
      <c r="AM105" t="str">
        <f>tbl_OriginalData[[#This Row],[Occupation]]</f>
        <v>High</v>
      </c>
      <c r="AN105" t="s">
        <v>368</v>
      </c>
      <c r="AO105" t="s">
        <v>246</v>
      </c>
      <c r="AP105" t="str">
        <f>tbl_OriginalData[[#This Row],[Purchase_Category]]</f>
        <v>Food &amp; Beverages</v>
      </c>
      <c r="AQ105" s="4">
        <f>tbl_OriginalData[[#This Row],[Purchase_Amount]]</f>
        <v>450.66</v>
      </c>
      <c r="AR105">
        <f>tbl_OriginalData[[#This Row],[Frequency_of_Purchase]]</f>
        <v>7</v>
      </c>
      <c r="AS105" t="str">
        <f>tbl_OriginalData[[#This Row],[Purchase_Channel]]</f>
        <v>In-Store</v>
      </c>
      <c r="AT105">
        <f>tbl_OriginalData[[#This Row],[Brand_Loyalty]]</f>
        <v>2</v>
      </c>
      <c r="AU105">
        <f>tbl_OriginalData[[#This Row],[Product_Rating]]</f>
        <v>5</v>
      </c>
      <c r="AV105">
        <f>tbl_OriginalData[[#This Row],[Time_Spent_on_Product_Research(hours)]]*60</f>
        <v>0</v>
      </c>
      <c r="AW105" t="str">
        <f>tbl_OriginalData[[#This Row],[Social_Media_Influence]]</f>
        <v>High</v>
      </c>
      <c r="AX105" t="str">
        <f>tbl_OriginalData[[#This Row],[Discount_Sensitivity]]</f>
        <v>Somewhat Sensitive</v>
      </c>
      <c r="AY105" s="3">
        <f>tbl_OriginalData[[#This Row],[Return_Rate]]/tbl_OriginalData[[#This Row],[Frequency_of_Purchase]]</f>
        <v>0.2857142857142857</v>
      </c>
      <c r="AZ105">
        <f>tbl_OriginalData[[#This Row],[Customer_Satisfaction]]</f>
        <v>4</v>
      </c>
      <c r="BA105" t="str">
        <f>tbl_OriginalData[[#This Row],[Engagement_with_Ads]]</f>
        <v>Medium</v>
      </c>
      <c r="BB105" t="str">
        <f>tbl_OriginalData[[#This Row],[Device_Used_for_Shopping]]</f>
        <v>Tablet</v>
      </c>
      <c r="BC105" t="str">
        <f>tbl_OriginalData[[#This Row],[Payment_Method]]</f>
        <v>Credit Card</v>
      </c>
      <c r="BD105" s="1">
        <f>tbl_OriginalData[[#This Row],[Time_of_Purchase]]</f>
        <v>45456</v>
      </c>
      <c r="BE105" t="str">
        <f>IF(tbl_OriginalData[[#This Row],[Discount_Used]]=TRUE,"Yes","No")</f>
        <v>No</v>
      </c>
      <c r="BF105" t="str">
        <f>IF(tbl_OriginalData[[#This Row],[Customer_Loyalty_Program_Member]]=TRUE,"Yes","No")</f>
        <v>Yes</v>
      </c>
      <c r="BG105" t="str">
        <f>tbl_OriginalData[[#This Row],[Purchase_Intent]]</f>
        <v>Need-based</v>
      </c>
      <c r="BH105" t="str">
        <f>tbl_OriginalData[[#This Row],[Shipping_Preference]]</f>
        <v>No Preference</v>
      </c>
      <c r="BI105">
        <f>tbl_OriginalData[[#This Row],[Time_to_Decision]]</f>
        <v>9</v>
      </c>
      <c r="BJ105" t="s">
        <v>104</v>
      </c>
      <c r="BK105" t="s">
        <v>63</v>
      </c>
      <c r="BL105" t="s">
        <v>2523</v>
      </c>
    </row>
    <row r="106" spans="1:64">
      <c r="A106" t="s">
        <v>369</v>
      </c>
      <c r="B106">
        <v>42</v>
      </c>
      <c r="C106" t="s">
        <v>33</v>
      </c>
      <c r="D106" t="s">
        <v>51</v>
      </c>
      <c r="E106" t="s">
        <v>35</v>
      </c>
      <c r="F106" t="s">
        <v>36</v>
      </c>
      <c r="G106" t="s">
        <v>34</v>
      </c>
      <c r="H106" t="s">
        <v>370</v>
      </c>
      <c r="I106" t="s">
        <v>170</v>
      </c>
      <c r="J106">
        <v>164.27</v>
      </c>
      <c r="K106">
        <v>6</v>
      </c>
      <c r="L106" t="s">
        <v>94</v>
      </c>
      <c r="M106">
        <v>5</v>
      </c>
      <c r="N106">
        <v>3</v>
      </c>
      <c r="O106">
        <v>2</v>
      </c>
      <c r="P106" t="s">
        <v>51</v>
      </c>
      <c r="Q106" t="s">
        <v>57</v>
      </c>
      <c r="R106">
        <v>2</v>
      </c>
      <c r="S106">
        <v>7</v>
      </c>
      <c r="T106" t="s">
        <v>69</v>
      </c>
      <c r="U106" t="s">
        <v>95</v>
      </c>
      <c r="V106" t="s">
        <v>58</v>
      </c>
      <c r="W106" s="1">
        <v>45486</v>
      </c>
      <c r="X106" t="b">
        <v>1</v>
      </c>
      <c r="Y106" t="b">
        <v>0</v>
      </c>
      <c r="Z106" t="s">
        <v>59</v>
      </c>
      <c r="AA106" t="s">
        <v>45</v>
      </c>
      <c r="AB106">
        <v>14</v>
      </c>
      <c r="AF106" t="str">
        <f>tbl_OriginalData[[#This Row],[Customer_ID]]</f>
        <v>02-653-5884</v>
      </c>
      <c r="AG106">
        <f>tbl_OriginalData[[#This Row],[Age]]</f>
        <v>42</v>
      </c>
      <c r="AH106" t="str" cm="1">
        <f t="array" ref="AH10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06" t="str">
        <f>tbl_OriginalData[[#This Row],[Gender]]</f>
        <v>Female</v>
      </c>
      <c r="AJ106" t="str">
        <f>tbl_OriginalData[[#This Row],[Income_Level]]</f>
        <v>High</v>
      </c>
      <c r="AK106" t="str">
        <f>tbl_OriginalData[[#This Row],[Marital_Status]]</f>
        <v>Married</v>
      </c>
      <c r="AL106" t="str">
        <f>tbl_OriginalData[[#This Row],[Education_Level]]</f>
        <v>Bachelor's</v>
      </c>
      <c r="AM106" t="str">
        <f>tbl_OriginalData[[#This Row],[Occupation]]</f>
        <v>Middle</v>
      </c>
      <c r="AN106" t="s">
        <v>370</v>
      </c>
      <c r="AO106" t="s">
        <v>371</v>
      </c>
      <c r="AP106" t="str">
        <f>tbl_OriginalData[[#This Row],[Purchase_Category]]</f>
        <v>Arts &amp; Crafts</v>
      </c>
      <c r="AQ106" s="4">
        <f>tbl_OriginalData[[#This Row],[Purchase_Amount]]</f>
        <v>164.27</v>
      </c>
      <c r="AR106">
        <f>tbl_OriginalData[[#This Row],[Frequency_of_Purchase]]</f>
        <v>6</v>
      </c>
      <c r="AS106" t="str">
        <f>tbl_OriginalData[[#This Row],[Purchase_Channel]]</f>
        <v>Online</v>
      </c>
      <c r="AT106">
        <f>tbl_OriginalData[[#This Row],[Brand_Loyalty]]</f>
        <v>5</v>
      </c>
      <c r="AU106">
        <f>tbl_OriginalData[[#This Row],[Product_Rating]]</f>
        <v>3</v>
      </c>
      <c r="AV106">
        <f>tbl_OriginalData[[#This Row],[Time_Spent_on_Product_Research(hours)]]*60</f>
        <v>120</v>
      </c>
      <c r="AW106" t="str">
        <f>tbl_OriginalData[[#This Row],[Social_Media_Influence]]</f>
        <v>High</v>
      </c>
      <c r="AX106" t="str">
        <f>tbl_OriginalData[[#This Row],[Discount_Sensitivity]]</f>
        <v>Not Sensitive</v>
      </c>
      <c r="AY106" s="3">
        <f>tbl_OriginalData[[#This Row],[Return_Rate]]/tbl_OriginalData[[#This Row],[Frequency_of_Purchase]]</f>
        <v>0.33333333333333331</v>
      </c>
      <c r="AZ106">
        <f>tbl_OriginalData[[#This Row],[Customer_Satisfaction]]</f>
        <v>7</v>
      </c>
      <c r="BA106" t="str">
        <f>tbl_OriginalData[[#This Row],[Engagement_with_Ads]]</f>
        <v>Low</v>
      </c>
      <c r="BB106" t="str">
        <f>tbl_OriginalData[[#This Row],[Device_Used_for_Shopping]]</f>
        <v>Desktop</v>
      </c>
      <c r="BC106" t="str">
        <f>tbl_OriginalData[[#This Row],[Payment_Method]]</f>
        <v>PayPal</v>
      </c>
      <c r="BD106" s="1">
        <f>tbl_OriginalData[[#This Row],[Time_of_Purchase]]</f>
        <v>45486</v>
      </c>
      <c r="BE106" t="str">
        <f>IF(tbl_OriginalData[[#This Row],[Discount_Used]]=TRUE,"Yes","No")</f>
        <v>Yes</v>
      </c>
      <c r="BF106" t="str">
        <f>IF(tbl_OriginalData[[#This Row],[Customer_Loyalty_Program_Member]]=TRUE,"Yes","No")</f>
        <v>No</v>
      </c>
      <c r="BG106" t="str">
        <f>tbl_OriginalData[[#This Row],[Purchase_Intent]]</f>
        <v>Wants-based</v>
      </c>
      <c r="BH106" t="str">
        <f>tbl_OriginalData[[#This Row],[Shipping_Preference]]</f>
        <v>No Preference</v>
      </c>
      <c r="BI106">
        <f>tbl_OriginalData[[#This Row],[Time_to_Decision]]</f>
        <v>14</v>
      </c>
      <c r="BJ106" t="s">
        <v>114</v>
      </c>
      <c r="BK106" t="s">
        <v>115</v>
      </c>
      <c r="BL106" t="s">
        <v>2528</v>
      </c>
    </row>
    <row r="107" spans="1:64">
      <c r="A107" t="s">
        <v>372</v>
      </c>
      <c r="B107">
        <v>37</v>
      </c>
      <c r="C107" t="s">
        <v>33</v>
      </c>
      <c r="D107" t="s">
        <v>34</v>
      </c>
      <c r="E107" t="s">
        <v>82</v>
      </c>
      <c r="F107" t="s">
        <v>66</v>
      </c>
      <c r="G107" t="s">
        <v>51</v>
      </c>
      <c r="H107" t="s">
        <v>373</v>
      </c>
      <c r="I107" t="s">
        <v>54</v>
      </c>
      <c r="J107">
        <v>346.36</v>
      </c>
      <c r="K107">
        <v>12</v>
      </c>
      <c r="L107" t="s">
        <v>39</v>
      </c>
      <c r="M107">
        <v>4</v>
      </c>
      <c r="N107">
        <v>5</v>
      </c>
      <c r="O107">
        <v>0</v>
      </c>
      <c r="P107" t="s">
        <v>56</v>
      </c>
      <c r="Q107" t="s">
        <v>41</v>
      </c>
      <c r="R107">
        <v>0</v>
      </c>
      <c r="S107">
        <v>7</v>
      </c>
      <c r="T107" t="s">
        <v>56</v>
      </c>
      <c r="U107" t="s">
        <v>70</v>
      </c>
      <c r="V107" t="s">
        <v>43</v>
      </c>
      <c r="W107" s="1">
        <v>45539</v>
      </c>
      <c r="X107" t="b">
        <v>0</v>
      </c>
      <c r="Y107" t="b">
        <v>0</v>
      </c>
      <c r="Z107" t="s">
        <v>44</v>
      </c>
      <c r="AA107" t="s">
        <v>60</v>
      </c>
      <c r="AB107">
        <v>14</v>
      </c>
      <c r="AF107" t="str">
        <f>tbl_OriginalData[[#This Row],[Customer_ID]]</f>
        <v>11-719-8800</v>
      </c>
      <c r="AG107">
        <f>tbl_OriginalData[[#This Row],[Age]]</f>
        <v>37</v>
      </c>
      <c r="AH107" t="str" cm="1">
        <f t="array" ref="AH10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07" t="str">
        <f>tbl_OriginalData[[#This Row],[Gender]]</f>
        <v>Female</v>
      </c>
      <c r="AJ107" t="str">
        <f>tbl_OriginalData[[#This Row],[Income_Level]]</f>
        <v>Middle</v>
      </c>
      <c r="AK107" t="str">
        <f>tbl_OriginalData[[#This Row],[Marital_Status]]</f>
        <v>Widowed</v>
      </c>
      <c r="AL107" t="str">
        <f>tbl_OriginalData[[#This Row],[Education_Level]]</f>
        <v>Master's</v>
      </c>
      <c r="AM107" t="str">
        <f>tbl_OriginalData[[#This Row],[Occupation]]</f>
        <v>High</v>
      </c>
      <c r="AN107" t="s">
        <v>373</v>
      </c>
      <c r="AO107" t="s">
        <v>46</v>
      </c>
      <c r="AP107" t="str">
        <f>tbl_OriginalData[[#This Row],[Purchase_Category]]</f>
        <v>Food &amp; Beverages</v>
      </c>
      <c r="AQ107" s="4">
        <f>tbl_OriginalData[[#This Row],[Purchase_Amount]]</f>
        <v>346.36</v>
      </c>
      <c r="AR107">
        <f>tbl_OriginalData[[#This Row],[Frequency_of_Purchase]]</f>
        <v>12</v>
      </c>
      <c r="AS107" t="str">
        <f>tbl_OriginalData[[#This Row],[Purchase_Channel]]</f>
        <v>Mixed</v>
      </c>
      <c r="AT107">
        <f>tbl_OriginalData[[#This Row],[Brand_Loyalty]]</f>
        <v>4</v>
      </c>
      <c r="AU107">
        <f>tbl_OriginalData[[#This Row],[Product_Rating]]</f>
        <v>5</v>
      </c>
      <c r="AV107">
        <f>tbl_OriginalData[[#This Row],[Time_Spent_on_Product_Research(hours)]]*60</f>
        <v>0</v>
      </c>
      <c r="AW107" t="str">
        <f>tbl_OriginalData[[#This Row],[Social_Media_Influence]]</f>
        <v>Medium</v>
      </c>
      <c r="AX107" t="str">
        <f>tbl_OriginalData[[#This Row],[Discount_Sensitivity]]</f>
        <v>Somewhat Sensitive</v>
      </c>
      <c r="AY107" s="3">
        <f>tbl_OriginalData[[#This Row],[Return_Rate]]/tbl_OriginalData[[#This Row],[Frequency_of_Purchase]]</f>
        <v>0</v>
      </c>
      <c r="AZ107">
        <f>tbl_OriginalData[[#This Row],[Customer_Satisfaction]]</f>
        <v>7</v>
      </c>
      <c r="BA107" t="str">
        <f>tbl_OriginalData[[#This Row],[Engagement_with_Ads]]</f>
        <v>Medium</v>
      </c>
      <c r="BB107" t="str">
        <f>tbl_OriginalData[[#This Row],[Device_Used_for_Shopping]]</f>
        <v>Smartphone</v>
      </c>
      <c r="BC107" t="str">
        <f>tbl_OriginalData[[#This Row],[Payment_Method]]</f>
        <v>Credit Card</v>
      </c>
      <c r="BD107" s="1">
        <f>tbl_OriginalData[[#This Row],[Time_of_Purchase]]</f>
        <v>45539</v>
      </c>
      <c r="BE107" t="str">
        <f>IF(tbl_OriginalData[[#This Row],[Discount_Used]]=TRUE,"Yes","No")</f>
        <v>No</v>
      </c>
      <c r="BF107" t="str">
        <f>IF(tbl_OriginalData[[#This Row],[Customer_Loyalty_Program_Member]]=TRUE,"Yes","No")</f>
        <v>No</v>
      </c>
      <c r="BG107" t="str">
        <f>tbl_OriginalData[[#This Row],[Purchase_Intent]]</f>
        <v>Need-based</v>
      </c>
      <c r="BH107" t="str">
        <f>tbl_OriginalData[[#This Row],[Shipping_Preference]]</f>
        <v>Standard</v>
      </c>
      <c r="BI107">
        <f>tbl_OriginalData[[#This Row],[Time_to_Decision]]</f>
        <v>14</v>
      </c>
      <c r="BJ107" t="s">
        <v>172</v>
      </c>
      <c r="BK107" t="s">
        <v>115</v>
      </c>
      <c r="BL107" t="s">
        <v>2523</v>
      </c>
    </row>
    <row r="108" spans="1:64">
      <c r="A108" t="s">
        <v>374</v>
      </c>
      <c r="B108">
        <v>33</v>
      </c>
      <c r="C108" t="s">
        <v>33</v>
      </c>
      <c r="D108" t="s">
        <v>34</v>
      </c>
      <c r="E108" t="s">
        <v>82</v>
      </c>
      <c r="F108" t="s">
        <v>52</v>
      </c>
      <c r="G108" t="s">
        <v>51</v>
      </c>
      <c r="H108" t="s">
        <v>375</v>
      </c>
      <c r="I108" t="s">
        <v>127</v>
      </c>
      <c r="J108">
        <v>377.77</v>
      </c>
      <c r="K108">
        <v>9</v>
      </c>
      <c r="L108" t="s">
        <v>39</v>
      </c>
      <c r="M108">
        <v>4</v>
      </c>
      <c r="N108">
        <v>2</v>
      </c>
      <c r="O108">
        <v>1</v>
      </c>
      <c r="P108" t="s">
        <v>56</v>
      </c>
      <c r="Q108" t="s">
        <v>57</v>
      </c>
      <c r="R108">
        <v>1</v>
      </c>
      <c r="S108">
        <v>5</v>
      </c>
      <c r="T108" t="s">
        <v>56</v>
      </c>
      <c r="U108" t="s">
        <v>42</v>
      </c>
      <c r="V108" t="s">
        <v>43</v>
      </c>
      <c r="W108" s="1">
        <v>45530</v>
      </c>
      <c r="X108" t="b">
        <v>1</v>
      </c>
      <c r="Y108" t="b">
        <v>1</v>
      </c>
      <c r="Z108" t="s">
        <v>72</v>
      </c>
      <c r="AA108" t="s">
        <v>60</v>
      </c>
      <c r="AB108">
        <v>3</v>
      </c>
      <c r="AF108" t="str">
        <f>tbl_OriginalData[[#This Row],[Customer_ID]]</f>
        <v>59-355-5251</v>
      </c>
      <c r="AG108">
        <f>tbl_OriginalData[[#This Row],[Age]]</f>
        <v>33</v>
      </c>
      <c r="AH108" t="str" cm="1">
        <f t="array" ref="AH10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08" t="str">
        <f>tbl_OriginalData[[#This Row],[Gender]]</f>
        <v>Female</v>
      </c>
      <c r="AJ108" t="str">
        <f>tbl_OriginalData[[#This Row],[Income_Level]]</f>
        <v>Middle</v>
      </c>
      <c r="AK108" t="str">
        <f>tbl_OriginalData[[#This Row],[Marital_Status]]</f>
        <v>Widowed</v>
      </c>
      <c r="AL108" t="str">
        <f>tbl_OriginalData[[#This Row],[Education_Level]]</f>
        <v>High School</v>
      </c>
      <c r="AM108" t="str">
        <f>tbl_OriginalData[[#This Row],[Occupation]]</f>
        <v>High</v>
      </c>
      <c r="AN108" t="s">
        <v>375</v>
      </c>
      <c r="AO108" t="s">
        <v>376</v>
      </c>
      <c r="AP108" t="str">
        <f>tbl_OriginalData[[#This Row],[Purchase_Category]]</f>
        <v>Animal Feed</v>
      </c>
      <c r="AQ108" s="4">
        <f>tbl_OriginalData[[#This Row],[Purchase_Amount]]</f>
        <v>377.77</v>
      </c>
      <c r="AR108">
        <f>tbl_OriginalData[[#This Row],[Frequency_of_Purchase]]</f>
        <v>9</v>
      </c>
      <c r="AS108" t="str">
        <f>tbl_OriginalData[[#This Row],[Purchase_Channel]]</f>
        <v>Mixed</v>
      </c>
      <c r="AT108">
        <f>tbl_OriginalData[[#This Row],[Brand_Loyalty]]</f>
        <v>4</v>
      </c>
      <c r="AU108">
        <f>tbl_OriginalData[[#This Row],[Product_Rating]]</f>
        <v>2</v>
      </c>
      <c r="AV108">
        <f>tbl_OriginalData[[#This Row],[Time_Spent_on_Product_Research(hours)]]*60</f>
        <v>60</v>
      </c>
      <c r="AW108" t="str">
        <f>tbl_OriginalData[[#This Row],[Social_Media_Influence]]</f>
        <v>Medium</v>
      </c>
      <c r="AX108" t="str">
        <f>tbl_OriginalData[[#This Row],[Discount_Sensitivity]]</f>
        <v>Not Sensitive</v>
      </c>
      <c r="AY108" s="3">
        <f>tbl_OriginalData[[#This Row],[Return_Rate]]/tbl_OriginalData[[#This Row],[Frequency_of_Purchase]]</f>
        <v>0.1111111111111111</v>
      </c>
      <c r="AZ108">
        <f>tbl_OriginalData[[#This Row],[Customer_Satisfaction]]</f>
        <v>5</v>
      </c>
      <c r="BA108" t="str">
        <f>tbl_OriginalData[[#This Row],[Engagement_with_Ads]]</f>
        <v>Medium</v>
      </c>
      <c r="BB108" t="str">
        <f>tbl_OriginalData[[#This Row],[Device_Used_for_Shopping]]</f>
        <v>Tablet</v>
      </c>
      <c r="BC108" t="str">
        <f>tbl_OriginalData[[#This Row],[Payment_Method]]</f>
        <v>Credit Card</v>
      </c>
      <c r="BD108" s="1">
        <f>tbl_OriginalData[[#This Row],[Time_of_Purchase]]</f>
        <v>45530</v>
      </c>
      <c r="BE108" t="str">
        <f>IF(tbl_OriginalData[[#This Row],[Discount_Used]]=TRUE,"Yes","No")</f>
        <v>Yes</v>
      </c>
      <c r="BF108" t="str">
        <f>IF(tbl_OriginalData[[#This Row],[Customer_Loyalty_Program_Member]]=TRUE,"Yes","No")</f>
        <v>Yes</v>
      </c>
      <c r="BG108" t="str">
        <f>tbl_OriginalData[[#This Row],[Purchase_Intent]]</f>
        <v>Impulsive</v>
      </c>
      <c r="BH108" t="str">
        <f>tbl_OriginalData[[#This Row],[Shipping_Preference]]</f>
        <v>Standard</v>
      </c>
      <c r="BI108">
        <f>tbl_OriginalData[[#This Row],[Time_to_Decision]]</f>
        <v>3</v>
      </c>
      <c r="BJ108" t="s">
        <v>124</v>
      </c>
      <c r="BK108" t="s">
        <v>115</v>
      </c>
      <c r="BL108" t="s">
        <v>2523</v>
      </c>
    </row>
    <row r="109" spans="1:64">
      <c r="A109" t="s">
        <v>377</v>
      </c>
      <c r="B109">
        <v>46</v>
      </c>
      <c r="C109" t="s">
        <v>33</v>
      </c>
      <c r="D109" t="s">
        <v>34</v>
      </c>
      <c r="E109" t="s">
        <v>82</v>
      </c>
      <c r="F109" t="s">
        <v>52</v>
      </c>
      <c r="G109" t="s">
        <v>34</v>
      </c>
      <c r="H109" t="s">
        <v>378</v>
      </c>
      <c r="I109" t="s">
        <v>242</v>
      </c>
      <c r="J109">
        <v>163.41</v>
      </c>
      <c r="K109">
        <v>2</v>
      </c>
      <c r="L109" t="s">
        <v>55</v>
      </c>
      <c r="M109">
        <v>5</v>
      </c>
      <c r="N109">
        <v>5</v>
      </c>
      <c r="O109">
        <v>2</v>
      </c>
      <c r="P109" t="s">
        <v>69</v>
      </c>
      <c r="Q109" t="s">
        <v>57</v>
      </c>
      <c r="R109">
        <v>1</v>
      </c>
      <c r="S109">
        <v>8</v>
      </c>
      <c r="T109" t="s">
        <v>51</v>
      </c>
      <c r="U109" t="s">
        <v>95</v>
      </c>
      <c r="V109" t="s">
        <v>76</v>
      </c>
      <c r="W109" s="1">
        <v>45347</v>
      </c>
      <c r="X109" t="b">
        <v>1</v>
      </c>
      <c r="Y109" t="b">
        <v>1</v>
      </c>
      <c r="Z109" t="s">
        <v>44</v>
      </c>
      <c r="AA109" t="s">
        <v>77</v>
      </c>
      <c r="AB109">
        <v>4</v>
      </c>
      <c r="AF109" t="str">
        <f>tbl_OriginalData[[#This Row],[Customer_ID]]</f>
        <v>82-572-9091</v>
      </c>
      <c r="AG109">
        <f>tbl_OriginalData[[#This Row],[Age]]</f>
        <v>46</v>
      </c>
      <c r="AH109" t="str" cm="1">
        <f t="array" ref="AH10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09" t="str">
        <f>tbl_OriginalData[[#This Row],[Gender]]</f>
        <v>Female</v>
      </c>
      <c r="AJ109" t="str">
        <f>tbl_OriginalData[[#This Row],[Income_Level]]</f>
        <v>Middle</v>
      </c>
      <c r="AK109" t="str">
        <f>tbl_OriginalData[[#This Row],[Marital_Status]]</f>
        <v>Widowed</v>
      </c>
      <c r="AL109" t="str">
        <f>tbl_OriginalData[[#This Row],[Education_Level]]</f>
        <v>High School</v>
      </c>
      <c r="AM109" t="str">
        <f>tbl_OriginalData[[#This Row],[Occupation]]</f>
        <v>Middle</v>
      </c>
      <c r="AN109" t="s">
        <v>378</v>
      </c>
      <c r="AO109" t="s">
        <v>186</v>
      </c>
      <c r="AP109" t="str">
        <f>tbl_OriginalData[[#This Row],[Purchase_Category]]</f>
        <v>Travel &amp; Leisure (Flights</v>
      </c>
      <c r="AQ109" s="4">
        <f>tbl_OriginalData[[#This Row],[Purchase_Amount]]</f>
        <v>163.41</v>
      </c>
      <c r="AR109">
        <f>tbl_OriginalData[[#This Row],[Frequency_of_Purchase]]</f>
        <v>2</v>
      </c>
      <c r="AS109" t="str">
        <f>tbl_OriginalData[[#This Row],[Purchase_Channel]]</f>
        <v>In-Store</v>
      </c>
      <c r="AT109">
        <f>tbl_OriginalData[[#This Row],[Brand_Loyalty]]</f>
        <v>5</v>
      </c>
      <c r="AU109">
        <f>tbl_OriginalData[[#This Row],[Product_Rating]]</f>
        <v>5</v>
      </c>
      <c r="AV109">
        <f>tbl_OriginalData[[#This Row],[Time_Spent_on_Product_Research(hours)]]*60</f>
        <v>120</v>
      </c>
      <c r="AW109" t="str">
        <f>tbl_OriginalData[[#This Row],[Social_Media_Influence]]</f>
        <v>Low</v>
      </c>
      <c r="AX109" t="str">
        <f>tbl_OriginalData[[#This Row],[Discount_Sensitivity]]</f>
        <v>Not Sensitive</v>
      </c>
      <c r="AY109" s="3">
        <f>tbl_OriginalData[[#This Row],[Return_Rate]]/tbl_OriginalData[[#This Row],[Frequency_of_Purchase]]</f>
        <v>0.5</v>
      </c>
      <c r="AZ109">
        <f>tbl_OriginalData[[#This Row],[Customer_Satisfaction]]</f>
        <v>8</v>
      </c>
      <c r="BA109" t="str">
        <f>tbl_OriginalData[[#This Row],[Engagement_with_Ads]]</f>
        <v>High</v>
      </c>
      <c r="BB109" t="str">
        <f>tbl_OriginalData[[#This Row],[Device_Used_for_Shopping]]</f>
        <v>Desktop</v>
      </c>
      <c r="BC109" t="str">
        <f>tbl_OriginalData[[#This Row],[Payment_Method]]</f>
        <v>Other</v>
      </c>
      <c r="BD109" s="1">
        <f>tbl_OriginalData[[#This Row],[Time_of_Purchase]]</f>
        <v>45347</v>
      </c>
      <c r="BE109" t="str">
        <f>IF(tbl_OriginalData[[#This Row],[Discount_Used]]=TRUE,"Yes","No")</f>
        <v>Yes</v>
      </c>
      <c r="BF109" t="str">
        <f>IF(tbl_OriginalData[[#This Row],[Customer_Loyalty_Program_Member]]=TRUE,"Yes","No")</f>
        <v>Yes</v>
      </c>
      <c r="BG109" t="str">
        <f>tbl_OriginalData[[#This Row],[Purchase_Intent]]</f>
        <v>Need-based</v>
      </c>
      <c r="BH109" t="str">
        <f>tbl_OriginalData[[#This Row],[Shipping_Preference]]</f>
        <v>Express</v>
      </c>
      <c r="BI109">
        <f>tbl_OriginalData[[#This Row],[Time_to_Decision]]</f>
        <v>4</v>
      </c>
      <c r="BJ109" t="s">
        <v>158</v>
      </c>
      <c r="BK109" t="s">
        <v>48</v>
      </c>
      <c r="BL109" t="s">
        <v>2523</v>
      </c>
    </row>
    <row r="110" spans="1:64">
      <c r="A110" t="s">
        <v>379</v>
      </c>
      <c r="B110">
        <v>30</v>
      </c>
      <c r="C110" t="s">
        <v>33</v>
      </c>
      <c r="D110" t="s">
        <v>34</v>
      </c>
      <c r="E110" t="s">
        <v>92</v>
      </c>
      <c r="F110" t="s">
        <v>66</v>
      </c>
      <c r="G110" t="s">
        <v>34</v>
      </c>
      <c r="H110" t="s">
        <v>380</v>
      </c>
      <c r="I110" t="s">
        <v>135</v>
      </c>
      <c r="J110">
        <v>467.58</v>
      </c>
      <c r="K110">
        <v>10</v>
      </c>
      <c r="L110" t="s">
        <v>39</v>
      </c>
      <c r="M110">
        <v>1</v>
      </c>
      <c r="N110">
        <v>2</v>
      </c>
      <c r="O110">
        <v>0</v>
      </c>
      <c r="P110" t="s">
        <v>40</v>
      </c>
      <c r="Q110" t="s">
        <v>41</v>
      </c>
      <c r="R110">
        <v>1</v>
      </c>
      <c r="S110">
        <v>6</v>
      </c>
      <c r="T110" t="s">
        <v>69</v>
      </c>
      <c r="U110" t="s">
        <v>95</v>
      </c>
      <c r="V110" t="s">
        <v>58</v>
      </c>
      <c r="W110" s="1">
        <v>45397</v>
      </c>
      <c r="X110" t="b">
        <v>1</v>
      </c>
      <c r="Y110" t="b">
        <v>1</v>
      </c>
      <c r="Z110" t="s">
        <v>59</v>
      </c>
      <c r="AA110" t="s">
        <v>60</v>
      </c>
      <c r="AB110">
        <v>7</v>
      </c>
      <c r="AF110" t="str">
        <f>tbl_OriginalData[[#This Row],[Customer_ID]]</f>
        <v>86-044-1071</v>
      </c>
      <c r="AG110">
        <f>tbl_OriginalData[[#This Row],[Age]]</f>
        <v>30</v>
      </c>
      <c r="AH110" t="str" cm="1">
        <f t="array" ref="AH11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10" t="str">
        <f>tbl_OriginalData[[#This Row],[Gender]]</f>
        <v>Female</v>
      </c>
      <c r="AJ110" t="str">
        <f>tbl_OriginalData[[#This Row],[Income_Level]]</f>
        <v>Middle</v>
      </c>
      <c r="AK110" t="str">
        <f>tbl_OriginalData[[#This Row],[Marital_Status]]</f>
        <v>Divorced</v>
      </c>
      <c r="AL110" t="str">
        <f>tbl_OriginalData[[#This Row],[Education_Level]]</f>
        <v>Master's</v>
      </c>
      <c r="AM110" t="str">
        <f>tbl_OriginalData[[#This Row],[Occupation]]</f>
        <v>Middle</v>
      </c>
      <c r="AN110" t="s">
        <v>380</v>
      </c>
      <c r="AO110" t="s">
        <v>90</v>
      </c>
      <c r="AP110" t="str">
        <f>tbl_OriginalData[[#This Row],[Purchase_Category]]</f>
        <v>Hotels</v>
      </c>
      <c r="AQ110" s="4">
        <f>tbl_OriginalData[[#This Row],[Purchase_Amount]]</f>
        <v>467.58</v>
      </c>
      <c r="AR110">
        <f>tbl_OriginalData[[#This Row],[Frequency_of_Purchase]]</f>
        <v>10</v>
      </c>
      <c r="AS110" t="str">
        <f>tbl_OriginalData[[#This Row],[Purchase_Channel]]</f>
        <v>Mixed</v>
      </c>
      <c r="AT110">
        <f>tbl_OriginalData[[#This Row],[Brand_Loyalty]]</f>
        <v>1</v>
      </c>
      <c r="AU110">
        <f>tbl_OriginalData[[#This Row],[Product_Rating]]</f>
        <v>2</v>
      </c>
      <c r="AV110">
        <f>tbl_OriginalData[[#This Row],[Time_Spent_on_Product_Research(hours)]]*60</f>
        <v>0</v>
      </c>
      <c r="AW110" t="str">
        <f>tbl_OriginalData[[#This Row],[Social_Media_Influence]]</f>
        <v>None</v>
      </c>
      <c r="AX110" t="str">
        <f>tbl_OriginalData[[#This Row],[Discount_Sensitivity]]</f>
        <v>Somewhat Sensitive</v>
      </c>
      <c r="AY110" s="3">
        <f>tbl_OriginalData[[#This Row],[Return_Rate]]/tbl_OriginalData[[#This Row],[Frequency_of_Purchase]]</f>
        <v>0.1</v>
      </c>
      <c r="AZ110">
        <f>tbl_OriginalData[[#This Row],[Customer_Satisfaction]]</f>
        <v>6</v>
      </c>
      <c r="BA110" t="str">
        <f>tbl_OriginalData[[#This Row],[Engagement_with_Ads]]</f>
        <v>Low</v>
      </c>
      <c r="BB110" t="str">
        <f>tbl_OriginalData[[#This Row],[Device_Used_for_Shopping]]</f>
        <v>Desktop</v>
      </c>
      <c r="BC110" t="str">
        <f>tbl_OriginalData[[#This Row],[Payment_Method]]</f>
        <v>PayPal</v>
      </c>
      <c r="BD110" s="1">
        <f>tbl_OriginalData[[#This Row],[Time_of_Purchase]]</f>
        <v>45397</v>
      </c>
      <c r="BE110" t="str">
        <f>IF(tbl_OriginalData[[#This Row],[Discount_Used]]=TRUE,"Yes","No")</f>
        <v>Yes</v>
      </c>
      <c r="BF110" t="str">
        <f>IF(tbl_OriginalData[[#This Row],[Customer_Loyalty_Program_Member]]=TRUE,"Yes","No")</f>
        <v>Yes</v>
      </c>
      <c r="BG110" t="str">
        <f>tbl_OriginalData[[#This Row],[Purchase_Intent]]</f>
        <v>Wants-based</v>
      </c>
      <c r="BH110" t="str">
        <f>tbl_OriginalData[[#This Row],[Shipping_Preference]]</f>
        <v>Standard</v>
      </c>
      <c r="BI110">
        <f>tbl_OriginalData[[#This Row],[Time_to_Decision]]</f>
        <v>7</v>
      </c>
      <c r="BJ110" t="s">
        <v>62</v>
      </c>
      <c r="BK110" t="s">
        <v>63</v>
      </c>
      <c r="BL110" t="s">
        <v>2524</v>
      </c>
    </row>
    <row r="111" spans="1:64">
      <c r="A111" t="s">
        <v>381</v>
      </c>
      <c r="B111">
        <v>39</v>
      </c>
      <c r="C111" t="s">
        <v>33</v>
      </c>
      <c r="D111" t="s">
        <v>34</v>
      </c>
      <c r="E111" t="s">
        <v>82</v>
      </c>
      <c r="F111" t="s">
        <v>36</v>
      </c>
      <c r="G111" t="s">
        <v>51</v>
      </c>
      <c r="H111" t="s">
        <v>382</v>
      </c>
      <c r="I111" t="s">
        <v>98</v>
      </c>
      <c r="J111">
        <v>247.51</v>
      </c>
      <c r="K111">
        <v>10</v>
      </c>
      <c r="L111" t="s">
        <v>39</v>
      </c>
      <c r="M111">
        <v>2</v>
      </c>
      <c r="N111">
        <v>1</v>
      </c>
      <c r="O111">
        <v>2</v>
      </c>
      <c r="P111" t="s">
        <v>69</v>
      </c>
      <c r="Q111" t="s">
        <v>41</v>
      </c>
      <c r="R111">
        <v>1</v>
      </c>
      <c r="S111">
        <v>8</v>
      </c>
      <c r="T111" t="s">
        <v>69</v>
      </c>
      <c r="U111" t="s">
        <v>42</v>
      </c>
      <c r="V111" t="s">
        <v>43</v>
      </c>
      <c r="W111" s="1">
        <v>45474</v>
      </c>
      <c r="X111" t="b">
        <v>1</v>
      </c>
      <c r="Y111" t="b">
        <v>0</v>
      </c>
      <c r="Z111" t="s">
        <v>72</v>
      </c>
      <c r="AA111" t="s">
        <v>60</v>
      </c>
      <c r="AB111">
        <v>2</v>
      </c>
      <c r="AF111" t="str">
        <f>tbl_OriginalData[[#This Row],[Customer_ID]]</f>
        <v>08-733-0300</v>
      </c>
      <c r="AG111">
        <f>tbl_OriginalData[[#This Row],[Age]]</f>
        <v>39</v>
      </c>
      <c r="AH111" t="str" cm="1">
        <f t="array" ref="AH11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11" t="str">
        <f>tbl_OriginalData[[#This Row],[Gender]]</f>
        <v>Female</v>
      </c>
      <c r="AJ111" t="str">
        <f>tbl_OriginalData[[#This Row],[Income_Level]]</f>
        <v>Middle</v>
      </c>
      <c r="AK111" t="str">
        <f>tbl_OriginalData[[#This Row],[Marital_Status]]</f>
        <v>Widowed</v>
      </c>
      <c r="AL111" t="str">
        <f>tbl_OriginalData[[#This Row],[Education_Level]]</f>
        <v>Bachelor's</v>
      </c>
      <c r="AM111" t="str">
        <f>tbl_OriginalData[[#This Row],[Occupation]]</f>
        <v>High</v>
      </c>
      <c r="AN111" t="s">
        <v>382</v>
      </c>
      <c r="AO111" t="s">
        <v>383</v>
      </c>
      <c r="AP111" t="str">
        <f>tbl_OriginalData[[#This Row],[Purchase_Category]]</f>
        <v>Books</v>
      </c>
      <c r="AQ111" s="4">
        <f>tbl_OriginalData[[#This Row],[Purchase_Amount]]</f>
        <v>247.51</v>
      </c>
      <c r="AR111">
        <f>tbl_OriginalData[[#This Row],[Frequency_of_Purchase]]</f>
        <v>10</v>
      </c>
      <c r="AS111" t="str">
        <f>tbl_OriginalData[[#This Row],[Purchase_Channel]]</f>
        <v>Mixed</v>
      </c>
      <c r="AT111">
        <f>tbl_OriginalData[[#This Row],[Brand_Loyalty]]</f>
        <v>2</v>
      </c>
      <c r="AU111">
        <f>tbl_OriginalData[[#This Row],[Product_Rating]]</f>
        <v>1</v>
      </c>
      <c r="AV111">
        <f>tbl_OriginalData[[#This Row],[Time_Spent_on_Product_Research(hours)]]*60</f>
        <v>120</v>
      </c>
      <c r="AW111" t="str">
        <f>tbl_OriginalData[[#This Row],[Social_Media_Influence]]</f>
        <v>Low</v>
      </c>
      <c r="AX111" t="str">
        <f>tbl_OriginalData[[#This Row],[Discount_Sensitivity]]</f>
        <v>Somewhat Sensitive</v>
      </c>
      <c r="AY111" s="3">
        <f>tbl_OriginalData[[#This Row],[Return_Rate]]/tbl_OriginalData[[#This Row],[Frequency_of_Purchase]]</f>
        <v>0.1</v>
      </c>
      <c r="AZ111">
        <f>tbl_OriginalData[[#This Row],[Customer_Satisfaction]]</f>
        <v>8</v>
      </c>
      <c r="BA111" t="str">
        <f>tbl_OriginalData[[#This Row],[Engagement_with_Ads]]</f>
        <v>Low</v>
      </c>
      <c r="BB111" t="str">
        <f>tbl_OriginalData[[#This Row],[Device_Used_for_Shopping]]</f>
        <v>Tablet</v>
      </c>
      <c r="BC111" t="str">
        <f>tbl_OriginalData[[#This Row],[Payment_Method]]</f>
        <v>Credit Card</v>
      </c>
      <c r="BD111" s="1">
        <f>tbl_OriginalData[[#This Row],[Time_of_Purchase]]</f>
        <v>45474</v>
      </c>
      <c r="BE111" t="str">
        <f>IF(tbl_OriginalData[[#This Row],[Discount_Used]]=TRUE,"Yes","No")</f>
        <v>Yes</v>
      </c>
      <c r="BF111" t="str">
        <f>IF(tbl_OriginalData[[#This Row],[Customer_Loyalty_Program_Member]]=TRUE,"Yes","No")</f>
        <v>No</v>
      </c>
      <c r="BG111" t="str">
        <f>tbl_OriginalData[[#This Row],[Purchase_Intent]]</f>
        <v>Impulsive</v>
      </c>
      <c r="BH111" t="str">
        <f>tbl_OriginalData[[#This Row],[Shipping_Preference]]</f>
        <v>Standard</v>
      </c>
      <c r="BI111">
        <f>tbl_OriginalData[[#This Row],[Time_to_Decision]]</f>
        <v>2</v>
      </c>
      <c r="BJ111" t="s">
        <v>114</v>
      </c>
      <c r="BK111" t="s">
        <v>115</v>
      </c>
      <c r="BL111" t="s">
        <v>2523</v>
      </c>
    </row>
    <row r="112" spans="1:64">
      <c r="A112" t="s">
        <v>384</v>
      </c>
      <c r="B112">
        <v>25</v>
      </c>
      <c r="C112" t="s">
        <v>33</v>
      </c>
      <c r="D112" t="s">
        <v>34</v>
      </c>
      <c r="E112" t="s">
        <v>65</v>
      </c>
      <c r="F112" t="s">
        <v>52</v>
      </c>
      <c r="G112" t="s">
        <v>51</v>
      </c>
      <c r="H112" t="s">
        <v>385</v>
      </c>
      <c r="I112" t="s">
        <v>68</v>
      </c>
      <c r="J112">
        <v>365.1</v>
      </c>
      <c r="K112">
        <v>3</v>
      </c>
      <c r="L112" t="s">
        <v>55</v>
      </c>
      <c r="M112">
        <v>2</v>
      </c>
      <c r="N112">
        <v>3</v>
      </c>
      <c r="O112">
        <v>0</v>
      </c>
      <c r="P112" t="s">
        <v>40</v>
      </c>
      <c r="Q112" t="s">
        <v>57</v>
      </c>
      <c r="R112">
        <v>1</v>
      </c>
      <c r="S112">
        <v>3</v>
      </c>
      <c r="T112" t="s">
        <v>51</v>
      </c>
      <c r="U112" t="s">
        <v>95</v>
      </c>
      <c r="V112" t="s">
        <v>71</v>
      </c>
      <c r="W112" s="1">
        <v>45534</v>
      </c>
      <c r="X112" t="b">
        <v>0</v>
      </c>
      <c r="Y112" t="b">
        <v>1</v>
      </c>
      <c r="Z112" t="s">
        <v>59</v>
      </c>
      <c r="AA112" t="s">
        <v>45</v>
      </c>
      <c r="AB112">
        <v>1</v>
      </c>
      <c r="AF112" t="str">
        <f>tbl_OriginalData[[#This Row],[Customer_ID]]</f>
        <v>70-108-1493</v>
      </c>
      <c r="AG112">
        <f>tbl_OriginalData[[#This Row],[Age]]</f>
        <v>25</v>
      </c>
      <c r="AH112" t="str" cm="1">
        <f t="array" ref="AH11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12" t="str">
        <f>tbl_OriginalData[[#This Row],[Gender]]</f>
        <v>Female</v>
      </c>
      <c r="AJ112" t="str">
        <f>tbl_OriginalData[[#This Row],[Income_Level]]</f>
        <v>Middle</v>
      </c>
      <c r="AK112" t="str">
        <f>tbl_OriginalData[[#This Row],[Marital_Status]]</f>
        <v>Single</v>
      </c>
      <c r="AL112" t="str">
        <f>tbl_OriginalData[[#This Row],[Education_Level]]</f>
        <v>High School</v>
      </c>
      <c r="AM112" t="str">
        <f>tbl_OriginalData[[#This Row],[Occupation]]</f>
        <v>High</v>
      </c>
      <c r="AN112" t="s">
        <v>385</v>
      </c>
      <c r="AO112" t="s">
        <v>386</v>
      </c>
      <c r="AP112" t="str">
        <f>tbl_OriginalData[[#This Row],[Purchase_Category]]</f>
        <v>Office Supplies</v>
      </c>
      <c r="AQ112" s="4">
        <f>tbl_OriginalData[[#This Row],[Purchase_Amount]]</f>
        <v>365.1</v>
      </c>
      <c r="AR112">
        <f>tbl_OriginalData[[#This Row],[Frequency_of_Purchase]]</f>
        <v>3</v>
      </c>
      <c r="AS112" t="str">
        <f>tbl_OriginalData[[#This Row],[Purchase_Channel]]</f>
        <v>In-Store</v>
      </c>
      <c r="AT112">
        <f>tbl_OriginalData[[#This Row],[Brand_Loyalty]]</f>
        <v>2</v>
      </c>
      <c r="AU112">
        <f>tbl_OriginalData[[#This Row],[Product_Rating]]</f>
        <v>3</v>
      </c>
      <c r="AV112">
        <f>tbl_OriginalData[[#This Row],[Time_Spent_on_Product_Research(hours)]]*60</f>
        <v>0</v>
      </c>
      <c r="AW112" t="str">
        <f>tbl_OriginalData[[#This Row],[Social_Media_Influence]]</f>
        <v>None</v>
      </c>
      <c r="AX112" t="str">
        <f>tbl_OriginalData[[#This Row],[Discount_Sensitivity]]</f>
        <v>Not Sensitive</v>
      </c>
      <c r="AY112" s="3">
        <f>tbl_OriginalData[[#This Row],[Return_Rate]]/tbl_OriginalData[[#This Row],[Frequency_of_Purchase]]</f>
        <v>0.33333333333333331</v>
      </c>
      <c r="AZ112">
        <f>tbl_OriginalData[[#This Row],[Customer_Satisfaction]]</f>
        <v>3</v>
      </c>
      <c r="BA112" t="str">
        <f>tbl_OriginalData[[#This Row],[Engagement_with_Ads]]</f>
        <v>High</v>
      </c>
      <c r="BB112" t="str">
        <f>tbl_OriginalData[[#This Row],[Device_Used_for_Shopping]]</f>
        <v>Desktop</v>
      </c>
      <c r="BC112" t="str">
        <f>tbl_OriginalData[[#This Row],[Payment_Method]]</f>
        <v>Debit Card</v>
      </c>
      <c r="BD112" s="1">
        <f>tbl_OriginalData[[#This Row],[Time_of_Purchase]]</f>
        <v>45534</v>
      </c>
      <c r="BE112" t="str">
        <f>IF(tbl_OriginalData[[#This Row],[Discount_Used]]=TRUE,"Yes","No")</f>
        <v>No</v>
      </c>
      <c r="BF112" t="str">
        <f>IF(tbl_OriginalData[[#This Row],[Customer_Loyalty_Program_Member]]=TRUE,"Yes","No")</f>
        <v>Yes</v>
      </c>
      <c r="BG112" t="str">
        <f>tbl_OriginalData[[#This Row],[Purchase_Intent]]</f>
        <v>Wants-based</v>
      </c>
      <c r="BH112" t="str">
        <f>tbl_OriginalData[[#This Row],[Shipping_Preference]]</f>
        <v>No Preference</v>
      </c>
      <c r="BI112">
        <f>tbl_OriginalData[[#This Row],[Time_to_Decision]]</f>
        <v>1</v>
      </c>
      <c r="BJ112" t="s">
        <v>124</v>
      </c>
      <c r="BK112" t="s">
        <v>115</v>
      </c>
      <c r="BL112" t="s">
        <v>2523</v>
      </c>
    </row>
    <row r="113" spans="1:64">
      <c r="A113" t="s">
        <v>387</v>
      </c>
      <c r="B113">
        <v>38</v>
      </c>
      <c r="C113" t="s">
        <v>33</v>
      </c>
      <c r="D113" t="s">
        <v>51</v>
      </c>
      <c r="E113" t="s">
        <v>65</v>
      </c>
      <c r="F113" t="s">
        <v>66</v>
      </c>
      <c r="G113" t="s">
        <v>34</v>
      </c>
      <c r="H113" t="s">
        <v>388</v>
      </c>
      <c r="I113" t="s">
        <v>131</v>
      </c>
      <c r="J113">
        <v>485.42</v>
      </c>
      <c r="K113">
        <v>5</v>
      </c>
      <c r="L113" t="s">
        <v>94</v>
      </c>
      <c r="M113">
        <v>1</v>
      </c>
      <c r="N113">
        <v>2</v>
      </c>
      <c r="O113">
        <v>2</v>
      </c>
      <c r="P113" t="s">
        <v>51</v>
      </c>
      <c r="Q113" t="s">
        <v>41</v>
      </c>
      <c r="R113">
        <v>1</v>
      </c>
      <c r="S113">
        <v>6</v>
      </c>
      <c r="T113" t="s">
        <v>51</v>
      </c>
      <c r="U113" t="s">
        <v>95</v>
      </c>
      <c r="V113" t="s">
        <v>76</v>
      </c>
      <c r="W113" s="1">
        <v>45609</v>
      </c>
      <c r="X113" t="b">
        <v>1</v>
      </c>
      <c r="Y113" t="b">
        <v>0</v>
      </c>
      <c r="Z113" t="s">
        <v>59</v>
      </c>
      <c r="AA113" t="s">
        <v>45</v>
      </c>
      <c r="AB113">
        <v>4</v>
      </c>
      <c r="AF113" t="str">
        <f>tbl_OriginalData[[#This Row],[Customer_ID]]</f>
        <v>46-230-8307</v>
      </c>
      <c r="AG113">
        <f>tbl_OriginalData[[#This Row],[Age]]</f>
        <v>38</v>
      </c>
      <c r="AH113" t="str" cm="1">
        <f t="array" ref="AH11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13" t="str">
        <f>tbl_OriginalData[[#This Row],[Gender]]</f>
        <v>Female</v>
      </c>
      <c r="AJ113" t="str">
        <f>tbl_OriginalData[[#This Row],[Income_Level]]</f>
        <v>High</v>
      </c>
      <c r="AK113" t="str">
        <f>tbl_OriginalData[[#This Row],[Marital_Status]]</f>
        <v>Single</v>
      </c>
      <c r="AL113" t="str">
        <f>tbl_OriginalData[[#This Row],[Education_Level]]</f>
        <v>Master's</v>
      </c>
      <c r="AM113" t="str">
        <f>tbl_OriginalData[[#This Row],[Occupation]]</f>
        <v>Middle</v>
      </c>
      <c r="AN113" t="s">
        <v>388</v>
      </c>
      <c r="AO113" t="s">
        <v>46</v>
      </c>
      <c r="AP113" t="str">
        <f>tbl_OriginalData[[#This Row],[Purchase_Category]]</f>
        <v>Health Care</v>
      </c>
      <c r="AQ113" s="4">
        <f>tbl_OriginalData[[#This Row],[Purchase_Amount]]</f>
        <v>485.42</v>
      </c>
      <c r="AR113">
        <f>tbl_OriginalData[[#This Row],[Frequency_of_Purchase]]</f>
        <v>5</v>
      </c>
      <c r="AS113" t="str">
        <f>tbl_OriginalData[[#This Row],[Purchase_Channel]]</f>
        <v>Online</v>
      </c>
      <c r="AT113">
        <f>tbl_OriginalData[[#This Row],[Brand_Loyalty]]</f>
        <v>1</v>
      </c>
      <c r="AU113">
        <f>tbl_OriginalData[[#This Row],[Product_Rating]]</f>
        <v>2</v>
      </c>
      <c r="AV113">
        <f>tbl_OriginalData[[#This Row],[Time_Spent_on_Product_Research(hours)]]*60</f>
        <v>120</v>
      </c>
      <c r="AW113" t="str">
        <f>tbl_OriginalData[[#This Row],[Social_Media_Influence]]</f>
        <v>High</v>
      </c>
      <c r="AX113" t="str">
        <f>tbl_OriginalData[[#This Row],[Discount_Sensitivity]]</f>
        <v>Somewhat Sensitive</v>
      </c>
      <c r="AY113" s="3">
        <f>tbl_OriginalData[[#This Row],[Return_Rate]]/tbl_OriginalData[[#This Row],[Frequency_of_Purchase]]</f>
        <v>0.2</v>
      </c>
      <c r="AZ113">
        <f>tbl_OriginalData[[#This Row],[Customer_Satisfaction]]</f>
        <v>6</v>
      </c>
      <c r="BA113" t="str">
        <f>tbl_OriginalData[[#This Row],[Engagement_with_Ads]]</f>
        <v>High</v>
      </c>
      <c r="BB113" t="str">
        <f>tbl_OriginalData[[#This Row],[Device_Used_for_Shopping]]</f>
        <v>Desktop</v>
      </c>
      <c r="BC113" t="str">
        <f>tbl_OriginalData[[#This Row],[Payment_Method]]</f>
        <v>Other</v>
      </c>
      <c r="BD113" s="1">
        <f>tbl_OriginalData[[#This Row],[Time_of_Purchase]]</f>
        <v>45609</v>
      </c>
      <c r="BE113" t="str">
        <f>IF(tbl_OriginalData[[#This Row],[Discount_Used]]=TRUE,"Yes","No")</f>
        <v>Yes</v>
      </c>
      <c r="BF113" t="str">
        <f>IF(tbl_OriginalData[[#This Row],[Customer_Loyalty_Program_Member]]=TRUE,"Yes","No")</f>
        <v>No</v>
      </c>
      <c r="BG113" t="str">
        <f>tbl_OriginalData[[#This Row],[Purchase_Intent]]</f>
        <v>Wants-based</v>
      </c>
      <c r="BH113" t="str">
        <f>tbl_OriginalData[[#This Row],[Shipping_Preference]]</f>
        <v>No Preference</v>
      </c>
      <c r="BI113">
        <f>tbl_OriginalData[[#This Row],[Time_to_Decision]]</f>
        <v>4</v>
      </c>
      <c r="BJ113" t="s">
        <v>177</v>
      </c>
      <c r="BK113" t="s">
        <v>80</v>
      </c>
      <c r="BL113" t="s">
        <v>2523</v>
      </c>
    </row>
    <row r="114" spans="1:64">
      <c r="A114" t="s">
        <v>389</v>
      </c>
      <c r="B114">
        <v>41</v>
      </c>
      <c r="C114" t="s">
        <v>33</v>
      </c>
      <c r="D114" t="s">
        <v>34</v>
      </c>
      <c r="E114" t="s">
        <v>82</v>
      </c>
      <c r="F114" t="s">
        <v>36</v>
      </c>
      <c r="G114" t="s">
        <v>51</v>
      </c>
      <c r="H114" t="s">
        <v>390</v>
      </c>
      <c r="I114" t="s">
        <v>131</v>
      </c>
      <c r="J114">
        <v>250.54</v>
      </c>
      <c r="K114">
        <v>4</v>
      </c>
      <c r="L114" t="s">
        <v>55</v>
      </c>
      <c r="M114">
        <v>3</v>
      </c>
      <c r="N114">
        <v>3</v>
      </c>
      <c r="O114">
        <v>1</v>
      </c>
      <c r="P114" t="s">
        <v>51</v>
      </c>
      <c r="Q114" t="s">
        <v>57</v>
      </c>
      <c r="R114">
        <v>2</v>
      </c>
      <c r="S114">
        <v>10</v>
      </c>
      <c r="T114" t="s">
        <v>40</v>
      </c>
      <c r="U114" t="s">
        <v>95</v>
      </c>
      <c r="V114" t="s">
        <v>43</v>
      </c>
      <c r="W114" s="1">
        <v>45653</v>
      </c>
      <c r="X114" t="b">
        <v>0</v>
      </c>
      <c r="Y114" t="b">
        <v>0</v>
      </c>
      <c r="Z114" t="s">
        <v>59</v>
      </c>
      <c r="AA114" t="s">
        <v>45</v>
      </c>
      <c r="AB114">
        <v>3</v>
      </c>
      <c r="AF114" t="str">
        <f>tbl_OriginalData[[#This Row],[Customer_ID]]</f>
        <v>74-431-0242</v>
      </c>
      <c r="AG114">
        <f>tbl_OriginalData[[#This Row],[Age]]</f>
        <v>41</v>
      </c>
      <c r="AH114" t="str" cm="1">
        <f t="array" ref="AH11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14" t="str">
        <f>tbl_OriginalData[[#This Row],[Gender]]</f>
        <v>Female</v>
      </c>
      <c r="AJ114" t="str">
        <f>tbl_OriginalData[[#This Row],[Income_Level]]</f>
        <v>Middle</v>
      </c>
      <c r="AK114" t="str">
        <f>tbl_OriginalData[[#This Row],[Marital_Status]]</f>
        <v>Widowed</v>
      </c>
      <c r="AL114" t="str">
        <f>tbl_OriginalData[[#This Row],[Education_Level]]</f>
        <v>Bachelor's</v>
      </c>
      <c r="AM114" t="str">
        <f>tbl_OriginalData[[#This Row],[Occupation]]</f>
        <v>High</v>
      </c>
      <c r="AN114" t="s">
        <v>390</v>
      </c>
      <c r="AO114" t="s">
        <v>391</v>
      </c>
      <c r="AP114" t="str">
        <f>tbl_OriginalData[[#This Row],[Purchase_Category]]</f>
        <v>Health Care</v>
      </c>
      <c r="AQ114" s="4">
        <f>tbl_OriginalData[[#This Row],[Purchase_Amount]]</f>
        <v>250.54</v>
      </c>
      <c r="AR114">
        <f>tbl_OriginalData[[#This Row],[Frequency_of_Purchase]]</f>
        <v>4</v>
      </c>
      <c r="AS114" t="str">
        <f>tbl_OriginalData[[#This Row],[Purchase_Channel]]</f>
        <v>In-Store</v>
      </c>
      <c r="AT114">
        <f>tbl_OriginalData[[#This Row],[Brand_Loyalty]]</f>
        <v>3</v>
      </c>
      <c r="AU114">
        <f>tbl_OriginalData[[#This Row],[Product_Rating]]</f>
        <v>3</v>
      </c>
      <c r="AV114">
        <f>tbl_OriginalData[[#This Row],[Time_Spent_on_Product_Research(hours)]]*60</f>
        <v>60</v>
      </c>
      <c r="AW114" t="str">
        <f>tbl_OriginalData[[#This Row],[Social_Media_Influence]]</f>
        <v>High</v>
      </c>
      <c r="AX114" t="str">
        <f>tbl_OriginalData[[#This Row],[Discount_Sensitivity]]</f>
        <v>Not Sensitive</v>
      </c>
      <c r="AY114" s="3">
        <f>tbl_OriginalData[[#This Row],[Return_Rate]]/tbl_OriginalData[[#This Row],[Frequency_of_Purchase]]</f>
        <v>0.5</v>
      </c>
      <c r="AZ114">
        <f>tbl_OriginalData[[#This Row],[Customer_Satisfaction]]</f>
        <v>10</v>
      </c>
      <c r="BA114" t="str">
        <f>tbl_OriginalData[[#This Row],[Engagement_with_Ads]]</f>
        <v>None</v>
      </c>
      <c r="BB114" t="str">
        <f>tbl_OriginalData[[#This Row],[Device_Used_for_Shopping]]</f>
        <v>Desktop</v>
      </c>
      <c r="BC114" t="str">
        <f>tbl_OriginalData[[#This Row],[Payment_Method]]</f>
        <v>Credit Card</v>
      </c>
      <c r="BD114" s="1">
        <f>tbl_OriginalData[[#This Row],[Time_of_Purchase]]</f>
        <v>45653</v>
      </c>
      <c r="BE114" t="str">
        <f>IF(tbl_OriginalData[[#This Row],[Discount_Used]]=TRUE,"Yes","No")</f>
        <v>No</v>
      </c>
      <c r="BF114" t="str">
        <f>IF(tbl_OriginalData[[#This Row],[Customer_Loyalty_Program_Member]]=TRUE,"Yes","No")</f>
        <v>No</v>
      </c>
      <c r="BG114" t="str">
        <f>tbl_OriginalData[[#This Row],[Purchase_Intent]]</f>
        <v>Wants-based</v>
      </c>
      <c r="BH114" t="str">
        <f>tbl_OriginalData[[#This Row],[Shipping_Preference]]</f>
        <v>No Preference</v>
      </c>
      <c r="BI114">
        <f>tbl_OriginalData[[#This Row],[Time_to_Decision]]</f>
        <v>3</v>
      </c>
      <c r="BJ114" t="s">
        <v>120</v>
      </c>
      <c r="BK114" t="s">
        <v>80</v>
      </c>
      <c r="BL114" t="s">
        <v>2524</v>
      </c>
    </row>
    <row r="115" spans="1:64">
      <c r="A115" t="s">
        <v>392</v>
      </c>
      <c r="B115">
        <v>49</v>
      </c>
      <c r="C115" t="s">
        <v>33</v>
      </c>
      <c r="D115" t="s">
        <v>34</v>
      </c>
      <c r="E115" t="s">
        <v>92</v>
      </c>
      <c r="F115" t="s">
        <v>52</v>
      </c>
      <c r="G115" t="s">
        <v>51</v>
      </c>
      <c r="H115" t="s">
        <v>183</v>
      </c>
      <c r="I115" t="s">
        <v>306</v>
      </c>
      <c r="J115">
        <v>163.13999999999999</v>
      </c>
      <c r="K115">
        <v>5</v>
      </c>
      <c r="L115" t="s">
        <v>39</v>
      </c>
      <c r="M115">
        <v>5</v>
      </c>
      <c r="N115">
        <v>4</v>
      </c>
      <c r="O115">
        <v>0</v>
      </c>
      <c r="P115" t="s">
        <v>69</v>
      </c>
      <c r="Q115" t="s">
        <v>41</v>
      </c>
      <c r="R115">
        <v>1</v>
      </c>
      <c r="S115">
        <v>2</v>
      </c>
      <c r="T115" t="s">
        <v>40</v>
      </c>
      <c r="U115" t="s">
        <v>95</v>
      </c>
      <c r="V115" t="s">
        <v>71</v>
      </c>
      <c r="W115" s="1">
        <v>45511</v>
      </c>
      <c r="X115" t="b">
        <v>1</v>
      </c>
      <c r="Y115" t="b">
        <v>1</v>
      </c>
      <c r="Z115" t="s">
        <v>89</v>
      </c>
      <c r="AA115" t="s">
        <v>45</v>
      </c>
      <c r="AB115">
        <v>1</v>
      </c>
      <c r="AF115" t="str">
        <f>tbl_OriginalData[[#This Row],[Customer_ID]]</f>
        <v>78-272-6417</v>
      </c>
      <c r="AG115">
        <f>tbl_OriginalData[[#This Row],[Age]]</f>
        <v>49</v>
      </c>
      <c r="AH115" t="str" cm="1">
        <f t="array" ref="AH11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15" t="str">
        <f>tbl_OriginalData[[#This Row],[Gender]]</f>
        <v>Female</v>
      </c>
      <c r="AJ115" t="str">
        <f>tbl_OriginalData[[#This Row],[Income_Level]]</f>
        <v>Middle</v>
      </c>
      <c r="AK115" t="str">
        <f>tbl_OriginalData[[#This Row],[Marital_Status]]</f>
        <v>Divorced</v>
      </c>
      <c r="AL115" t="str">
        <f>tbl_OriginalData[[#This Row],[Education_Level]]</f>
        <v>High School</v>
      </c>
      <c r="AM115" t="str">
        <f>tbl_OriginalData[[#This Row],[Occupation]]</f>
        <v>High</v>
      </c>
      <c r="AN115" t="s">
        <v>183</v>
      </c>
      <c r="AO115" t="s">
        <v>46</v>
      </c>
      <c r="AP115" t="str">
        <f>tbl_OriginalData[[#This Row],[Purchase_Category]]</f>
        <v>Jewelry &amp; Accessories</v>
      </c>
      <c r="AQ115" s="4">
        <f>tbl_OriginalData[[#This Row],[Purchase_Amount]]</f>
        <v>163.13999999999999</v>
      </c>
      <c r="AR115">
        <f>tbl_OriginalData[[#This Row],[Frequency_of_Purchase]]</f>
        <v>5</v>
      </c>
      <c r="AS115" t="str">
        <f>tbl_OriginalData[[#This Row],[Purchase_Channel]]</f>
        <v>Mixed</v>
      </c>
      <c r="AT115">
        <f>tbl_OriginalData[[#This Row],[Brand_Loyalty]]</f>
        <v>5</v>
      </c>
      <c r="AU115">
        <f>tbl_OriginalData[[#This Row],[Product_Rating]]</f>
        <v>4</v>
      </c>
      <c r="AV115">
        <f>tbl_OriginalData[[#This Row],[Time_Spent_on_Product_Research(hours)]]*60</f>
        <v>0</v>
      </c>
      <c r="AW115" t="str">
        <f>tbl_OriginalData[[#This Row],[Social_Media_Influence]]</f>
        <v>Low</v>
      </c>
      <c r="AX115" t="str">
        <f>tbl_OriginalData[[#This Row],[Discount_Sensitivity]]</f>
        <v>Somewhat Sensitive</v>
      </c>
      <c r="AY115" s="3">
        <f>tbl_OriginalData[[#This Row],[Return_Rate]]/tbl_OriginalData[[#This Row],[Frequency_of_Purchase]]</f>
        <v>0.2</v>
      </c>
      <c r="AZ115">
        <f>tbl_OriginalData[[#This Row],[Customer_Satisfaction]]</f>
        <v>2</v>
      </c>
      <c r="BA115" t="str">
        <f>tbl_OriginalData[[#This Row],[Engagement_with_Ads]]</f>
        <v>None</v>
      </c>
      <c r="BB115" t="str">
        <f>tbl_OriginalData[[#This Row],[Device_Used_for_Shopping]]</f>
        <v>Desktop</v>
      </c>
      <c r="BC115" t="str">
        <f>tbl_OriginalData[[#This Row],[Payment_Method]]</f>
        <v>Debit Card</v>
      </c>
      <c r="BD115" s="1">
        <f>tbl_OriginalData[[#This Row],[Time_of_Purchase]]</f>
        <v>45511</v>
      </c>
      <c r="BE115" t="str">
        <f>IF(tbl_OriginalData[[#This Row],[Discount_Used]]=TRUE,"Yes","No")</f>
        <v>Yes</v>
      </c>
      <c r="BF115" t="str">
        <f>IF(tbl_OriginalData[[#This Row],[Customer_Loyalty_Program_Member]]=TRUE,"Yes","No")</f>
        <v>Yes</v>
      </c>
      <c r="BG115" t="str">
        <f>tbl_OriginalData[[#This Row],[Purchase_Intent]]</f>
        <v>Planned</v>
      </c>
      <c r="BH115" t="str">
        <f>tbl_OriginalData[[#This Row],[Shipping_Preference]]</f>
        <v>No Preference</v>
      </c>
      <c r="BI115">
        <f>tbl_OriginalData[[#This Row],[Time_to_Decision]]</f>
        <v>1</v>
      </c>
      <c r="BJ115" t="s">
        <v>124</v>
      </c>
      <c r="BK115" t="s">
        <v>115</v>
      </c>
      <c r="BL115" t="s">
        <v>2523</v>
      </c>
    </row>
    <row r="116" spans="1:64">
      <c r="A116" t="s">
        <v>393</v>
      </c>
      <c r="B116">
        <v>21</v>
      </c>
      <c r="C116" t="s">
        <v>50</v>
      </c>
      <c r="D116" t="s">
        <v>51</v>
      </c>
      <c r="E116" t="s">
        <v>92</v>
      </c>
      <c r="F116" t="s">
        <v>36</v>
      </c>
      <c r="G116" t="s">
        <v>34</v>
      </c>
      <c r="H116" t="s">
        <v>394</v>
      </c>
      <c r="I116" t="s">
        <v>38</v>
      </c>
      <c r="J116">
        <v>162.31</v>
      </c>
      <c r="K116">
        <v>8</v>
      </c>
      <c r="L116" t="s">
        <v>55</v>
      </c>
      <c r="M116">
        <v>5</v>
      </c>
      <c r="N116">
        <v>1</v>
      </c>
      <c r="O116">
        <v>1</v>
      </c>
      <c r="P116" t="s">
        <v>51</v>
      </c>
      <c r="Q116" t="s">
        <v>101</v>
      </c>
      <c r="R116">
        <v>1</v>
      </c>
      <c r="S116">
        <v>2</v>
      </c>
      <c r="T116" t="s">
        <v>56</v>
      </c>
      <c r="U116" t="s">
        <v>42</v>
      </c>
      <c r="V116" t="s">
        <v>43</v>
      </c>
      <c r="W116" s="1">
        <v>45570</v>
      </c>
      <c r="X116" t="b">
        <v>0</v>
      </c>
      <c r="Y116" t="b">
        <v>0</v>
      </c>
      <c r="Z116" t="s">
        <v>44</v>
      </c>
      <c r="AA116" t="s">
        <v>45</v>
      </c>
      <c r="AB116">
        <v>11</v>
      </c>
      <c r="AF116" t="str">
        <f>tbl_OriginalData[[#This Row],[Customer_ID]]</f>
        <v>13-792-4356</v>
      </c>
      <c r="AG116">
        <f>tbl_OriginalData[[#This Row],[Age]]</f>
        <v>21</v>
      </c>
      <c r="AH116" t="str" cm="1">
        <f t="array" ref="AH11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16" t="str">
        <f>tbl_OriginalData[[#This Row],[Gender]]</f>
        <v>Male</v>
      </c>
      <c r="AJ116" t="str">
        <f>tbl_OriginalData[[#This Row],[Income_Level]]</f>
        <v>High</v>
      </c>
      <c r="AK116" t="str">
        <f>tbl_OriginalData[[#This Row],[Marital_Status]]</f>
        <v>Divorced</v>
      </c>
      <c r="AL116" t="str">
        <f>tbl_OriginalData[[#This Row],[Education_Level]]</f>
        <v>Bachelor's</v>
      </c>
      <c r="AM116" t="str">
        <f>tbl_OriginalData[[#This Row],[Occupation]]</f>
        <v>Middle</v>
      </c>
      <c r="AN116" t="s">
        <v>394</v>
      </c>
      <c r="AO116" t="s">
        <v>61</v>
      </c>
      <c r="AP116" t="str">
        <f>tbl_OriginalData[[#This Row],[Purchase_Category]]</f>
        <v>Gardening &amp; Outdoors</v>
      </c>
      <c r="AQ116" s="4">
        <f>tbl_OriginalData[[#This Row],[Purchase_Amount]]</f>
        <v>162.31</v>
      </c>
      <c r="AR116">
        <f>tbl_OriginalData[[#This Row],[Frequency_of_Purchase]]</f>
        <v>8</v>
      </c>
      <c r="AS116" t="str">
        <f>tbl_OriginalData[[#This Row],[Purchase_Channel]]</f>
        <v>In-Store</v>
      </c>
      <c r="AT116">
        <f>tbl_OriginalData[[#This Row],[Brand_Loyalty]]</f>
        <v>5</v>
      </c>
      <c r="AU116">
        <f>tbl_OriginalData[[#This Row],[Product_Rating]]</f>
        <v>1</v>
      </c>
      <c r="AV116">
        <f>tbl_OriginalData[[#This Row],[Time_Spent_on_Product_Research(hours)]]*60</f>
        <v>60</v>
      </c>
      <c r="AW116" t="str">
        <f>tbl_OriginalData[[#This Row],[Social_Media_Influence]]</f>
        <v>High</v>
      </c>
      <c r="AX116" t="str">
        <f>tbl_OriginalData[[#This Row],[Discount_Sensitivity]]</f>
        <v>Very Sensitive</v>
      </c>
      <c r="AY116" s="3">
        <f>tbl_OriginalData[[#This Row],[Return_Rate]]/tbl_OriginalData[[#This Row],[Frequency_of_Purchase]]</f>
        <v>0.125</v>
      </c>
      <c r="AZ116">
        <f>tbl_OriginalData[[#This Row],[Customer_Satisfaction]]</f>
        <v>2</v>
      </c>
      <c r="BA116" t="str">
        <f>tbl_OriginalData[[#This Row],[Engagement_with_Ads]]</f>
        <v>Medium</v>
      </c>
      <c r="BB116" t="str">
        <f>tbl_OriginalData[[#This Row],[Device_Used_for_Shopping]]</f>
        <v>Tablet</v>
      </c>
      <c r="BC116" t="str">
        <f>tbl_OriginalData[[#This Row],[Payment_Method]]</f>
        <v>Credit Card</v>
      </c>
      <c r="BD116" s="1">
        <f>tbl_OriginalData[[#This Row],[Time_of_Purchase]]</f>
        <v>45570</v>
      </c>
      <c r="BE116" t="str">
        <f>IF(tbl_OriginalData[[#This Row],[Discount_Used]]=TRUE,"Yes","No")</f>
        <v>No</v>
      </c>
      <c r="BF116" t="str">
        <f>IF(tbl_OriginalData[[#This Row],[Customer_Loyalty_Program_Member]]=TRUE,"Yes","No")</f>
        <v>No</v>
      </c>
      <c r="BG116" t="str">
        <f>tbl_OriginalData[[#This Row],[Purchase_Intent]]</f>
        <v>Need-based</v>
      </c>
      <c r="BH116" t="str">
        <f>tbl_OriginalData[[#This Row],[Shipping_Preference]]</f>
        <v>No Preference</v>
      </c>
      <c r="BI116">
        <f>tbl_OriginalData[[#This Row],[Time_to_Decision]]</f>
        <v>11</v>
      </c>
      <c r="BJ116" t="s">
        <v>79</v>
      </c>
      <c r="BK116" t="s">
        <v>80</v>
      </c>
      <c r="BL116" t="s">
        <v>2524</v>
      </c>
    </row>
    <row r="117" spans="1:64">
      <c r="A117" t="s">
        <v>395</v>
      </c>
      <c r="B117">
        <v>37</v>
      </c>
      <c r="C117" t="s">
        <v>50</v>
      </c>
      <c r="D117" t="s">
        <v>34</v>
      </c>
      <c r="E117" t="s">
        <v>82</v>
      </c>
      <c r="F117" t="s">
        <v>66</v>
      </c>
      <c r="G117" t="s">
        <v>51</v>
      </c>
      <c r="H117" t="s">
        <v>396</v>
      </c>
      <c r="I117" t="s">
        <v>68</v>
      </c>
      <c r="J117">
        <v>328.21</v>
      </c>
      <c r="K117">
        <v>7</v>
      </c>
      <c r="L117" t="s">
        <v>39</v>
      </c>
      <c r="M117">
        <v>5</v>
      </c>
      <c r="N117">
        <v>5</v>
      </c>
      <c r="O117">
        <v>2</v>
      </c>
      <c r="P117" t="s">
        <v>69</v>
      </c>
      <c r="Q117" t="s">
        <v>57</v>
      </c>
      <c r="R117">
        <v>2</v>
      </c>
      <c r="S117">
        <v>2</v>
      </c>
      <c r="T117" t="s">
        <v>69</v>
      </c>
      <c r="U117" t="s">
        <v>70</v>
      </c>
      <c r="V117" t="s">
        <v>43</v>
      </c>
      <c r="W117" s="1">
        <v>45336</v>
      </c>
      <c r="X117" t="b">
        <v>0</v>
      </c>
      <c r="Y117" t="b">
        <v>0</v>
      </c>
      <c r="Z117" t="s">
        <v>44</v>
      </c>
      <c r="AA117" t="s">
        <v>45</v>
      </c>
      <c r="AB117">
        <v>12</v>
      </c>
      <c r="AF117" t="str">
        <f>tbl_OriginalData[[#This Row],[Customer_ID]]</f>
        <v>04-563-9091</v>
      </c>
      <c r="AG117">
        <f>tbl_OriginalData[[#This Row],[Age]]</f>
        <v>37</v>
      </c>
      <c r="AH117" t="str" cm="1">
        <f t="array" ref="AH11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17" t="str">
        <f>tbl_OriginalData[[#This Row],[Gender]]</f>
        <v>Male</v>
      </c>
      <c r="AJ117" t="str">
        <f>tbl_OriginalData[[#This Row],[Income_Level]]</f>
        <v>Middle</v>
      </c>
      <c r="AK117" t="str">
        <f>tbl_OriginalData[[#This Row],[Marital_Status]]</f>
        <v>Widowed</v>
      </c>
      <c r="AL117" t="str">
        <f>tbl_OriginalData[[#This Row],[Education_Level]]</f>
        <v>Master's</v>
      </c>
      <c r="AM117" t="str">
        <f>tbl_OriginalData[[#This Row],[Occupation]]</f>
        <v>High</v>
      </c>
      <c r="AN117" t="s">
        <v>396</v>
      </c>
      <c r="AO117" t="s">
        <v>61</v>
      </c>
      <c r="AP117" t="str">
        <f>tbl_OriginalData[[#This Row],[Purchase_Category]]</f>
        <v>Office Supplies</v>
      </c>
      <c r="AQ117" s="4">
        <f>tbl_OriginalData[[#This Row],[Purchase_Amount]]</f>
        <v>328.21</v>
      </c>
      <c r="AR117">
        <f>tbl_OriginalData[[#This Row],[Frequency_of_Purchase]]</f>
        <v>7</v>
      </c>
      <c r="AS117" t="str">
        <f>tbl_OriginalData[[#This Row],[Purchase_Channel]]</f>
        <v>Mixed</v>
      </c>
      <c r="AT117">
        <f>tbl_OriginalData[[#This Row],[Brand_Loyalty]]</f>
        <v>5</v>
      </c>
      <c r="AU117">
        <f>tbl_OriginalData[[#This Row],[Product_Rating]]</f>
        <v>5</v>
      </c>
      <c r="AV117">
        <f>tbl_OriginalData[[#This Row],[Time_Spent_on_Product_Research(hours)]]*60</f>
        <v>120</v>
      </c>
      <c r="AW117" t="str">
        <f>tbl_OriginalData[[#This Row],[Social_Media_Influence]]</f>
        <v>Low</v>
      </c>
      <c r="AX117" t="str">
        <f>tbl_OriginalData[[#This Row],[Discount_Sensitivity]]</f>
        <v>Not Sensitive</v>
      </c>
      <c r="AY117" s="3">
        <f>tbl_OriginalData[[#This Row],[Return_Rate]]/tbl_OriginalData[[#This Row],[Frequency_of_Purchase]]</f>
        <v>0.2857142857142857</v>
      </c>
      <c r="AZ117">
        <f>tbl_OriginalData[[#This Row],[Customer_Satisfaction]]</f>
        <v>2</v>
      </c>
      <c r="BA117" t="str">
        <f>tbl_OriginalData[[#This Row],[Engagement_with_Ads]]</f>
        <v>Low</v>
      </c>
      <c r="BB117" t="str">
        <f>tbl_OriginalData[[#This Row],[Device_Used_for_Shopping]]</f>
        <v>Smartphone</v>
      </c>
      <c r="BC117" t="str">
        <f>tbl_OriginalData[[#This Row],[Payment_Method]]</f>
        <v>Credit Card</v>
      </c>
      <c r="BD117" s="1">
        <f>tbl_OriginalData[[#This Row],[Time_of_Purchase]]</f>
        <v>45336</v>
      </c>
      <c r="BE117" t="str">
        <f>IF(tbl_OriginalData[[#This Row],[Discount_Used]]=TRUE,"Yes","No")</f>
        <v>No</v>
      </c>
      <c r="BF117" t="str">
        <f>IF(tbl_OriginalData[[#This Row],[Customer_Loyalty_Program_Member]]=TRUE,"Yes","No")</f>
        <v>No</v>
      </c>
      <c r="BG117" t="str">
        <f>tbl_OriginalData[[#This Row],[Purchase_Intent]]</f>
        <v>Need-based</v>
      </c>
      <c r="BH117" t="str">
        <f>tbl_OriginalData[[#This Row],[Shipping_Preference]]</f>
        <v>No Preference</v>
      </c>
      <c r="BI117">
        <f>tbl_OriginalData[[#This Row],[Time_to_Decision]]</f>
        <v>12</v>
      </c>
      <c r="BJ117" t="s">
        <v>158</v>
      </c>
      <c r="BK117" t="s">
        <v>48</v>
      </c>
      <c r="BL117" t="s">
        <v>2524</v>
      </c>
    </row>
    <row r="118" spans="1:64">
      <c r="A118" t="s">
        <v>397</v>
      </c>
      <c r="B118">
        <v>30</v>
      </c>
      <c r="C118" t="s">
        <v>33</v>
      </c>
      <c r="D118" t="s">
        <v>51</v>
      </c>
      <c r="E118" t="s">
        <v>35</v>
      </c>
      <c r="F118" t="s">
        <v>66</v>
      </c>
      <c r="G118" t="s">
        <v>51</v>
      </c>
      <c r="H118" t="s">
        <v>398</v>
      </c>
      <c r="I118" t="s">
        <v>108</v>
      </c>
      <c r="J118">
        <v>268.58999999999997</v>
      </c>
      <c r="K118">
        <v>4</v>
      </c>
      <c r="L118" t="s">
        <v>94</v>
      </c>
      <c r="M118">
        <v>3</v>
      </c>
      <c r="N118">
        <v>3</v>
      </c>
      <c r="O118">
        <v>1</v>
      </c>
      <c r="P118" t="s">
        <v>51</v>
      </c>
      <c r="Q118" t="s">
        <v>101</v>
      </c>
      <c r="R118">
        <v>1</v>
      </c>
      <c r="S118">
        <v>1</v>
      </c>
      <c r="T118" t="s">
        <v>56</v>
      </c>
      <c r="U118" t="s">
        <v>95</v>
      </c>
      <c r="V118" t="s">
        <v>71</v>
      </c>
      <c r="W118" s="1">
        <v>45387</v>
      </c>
      <c r="X118" t="b">
        <v>1</v>
      </c>
      <c r="Y118" t="b">
        <v>1</v>
      </c>
      <c r="Z118" t="s">
        <v>44</v>
      </c>
      <c r="AA118" t="s">
        <v>60</v>
      </c>
      <c r="AB118">
        <v>3</v>
      </c>
      <c r="AF118" t="str">
        <f>tbl_OriginalData[[#This Row],[Customer_ID]]</f>
        <v>79-592-5396</v>
      </c>
      <c r="AG118">
        <f>tbl_OriginalData[[#This Row],[Age]]</f>
        <v>30</v>
      </c>
      <c r="AH118" t="str" cm="1">
        <f t="array" ref="AH11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18" t="str">
        <f>tbl_OriginalData[[#This Row],[Gender]]</f>
        <v>Female</v>
      </c>
      <c r="AJ118" t="str">
        <f>tbl_OriginalData[[#This Row],[Income_Level]]</f>
        <v>High</v>
      </c>
      <c r="AK118" t="str">
        <f>tbl_OriginalData[[#This Row],[Marital_Status]]</f>
        <v>Married</v>
      </c>
      <c r="AL118" t="str">
        <f>tbl_OriginalData[[#This Row],[Education_Level]]</f>
        <v>Master's</v>
      </c>
      <c r="AM118" t="str">
        <f>tbl_OriginalData[[#This Row],[Occupation]]</f>
        <v>High</v>
      </c>
      <c r="AN118" t="s">
        <v>398</v>
      </c>
      <c r="AO118" t="s">
        <v>194</v>
      </c>
      <c r="AP118" t="str">
        <f>tbl_OriginalData[[#This Row],[Purchase_Category]]</f>
        <v>Sports &amp; Outdoors</v>
      </c>
      <c r="AQ118" s="4">
        <f>tbl_OriginalData[[#This Row],[Purchase_Amount]]</f>
        <v>268.58999999999997</v>
      </c>
      <c r="AR118">
        <f>tbl_OriginalData[[#This Row],[Frequency_of_Purchase]]</f>
        <v>4</v>
      </c>
      <c r="AS118" t="str">
        <f>tbl_OriginalData[[#This Row],[Purchase_Channel]]</f>
        <v>Online</v>
      </c>
      <c r="AT118">
        <f>tbl_OriginalData[[#This Row],[Brand_Loyalty]]</f>
        <v>3</v>
      </c>
      <c r="AU118">
        <f>tbl_OriginalData[[#This Row],[Product_Rating]]</f>
        <v>3</v>
      </c>
      <c r="AV118">
        <f>tbl_OriginalData[[#This Row],[Time_Spent_on_Product_Research(hours)]]*60</f>
        <v>60</v>
      </c>
      <c r="AW118" t="str">
        <f>tbl_OriginalData[[#This Row],[Social_Media_Influence]]</f>
        <v>High</v>
      </c>
      <c r="AX118" t="str">
        <f>tbl_OriginalData[[#This Row],[Discount_Sensitivity]]</f>
        <v>Very Sensitive</v>
      </c>
      <c r="AY118" s="3">
        <f>tbl_OriginalData[[#This Row],[Return_Rate]]/tbl_OriginalData[[#This Row],[Frequency_of_Purchase]]</f>
        <v>0.25</v>
      </c>
      <c r="AZ118">
        <f>tbl_OriginalData[[#This Row],[Customer_Satisfaction]]</f>
        <v>1</v>
      </c>
      <c r="BA118" t="str">
        <f>tbl_OriginalData[[#This Row],[Engagement_with_Ads]]</f>
        <v>Medium</v>
      </c>
      <c r="BB118" t="str">
        <f>tbl_OriginalData[[#This Row],[Device_Used_for_Shopping]]</f>
        <v>Desktop</v>
      </c>
      <c r="BC118" t="str">
        <f>tbl_OriginalData[[#This Row],[Payment_Method]]</f>
        <v>Debit Card</v>
      </c>
      <c r="BD118" s="1">
        <f>tbl_OriginalData[[#This Row],[Time_of_Purchase]]</f>
        <v>45387</v>
      </c>
      <c r="BE118" t="str">
        <f>IF(tbl_OriginalData[[#This Row],[Discount_Used]]=TRUE,"Yes","No")</f>
        <v>Yes</v>
      </c>
      <c r="BF118" t="str">
        <f>IF(tbl_OriginalData[[#This Row],[Customer_Loyalty_Program_Member]]=TRUE,"Yes","No")</f>
        <v>Yes</v>
      </c>
      <c r="BG118" t="str">
        <f>tbl_OriginalData[[#This Row],[Purchase_Intent]]</f>
        <v>Need-based</v>
      </c>
      <c r="BH118" t="str">
        <f>tbl_OriginalData[[#This Row],[Shipping_Preference]]</f>
        <v>Standard</v>
      </c>
      <c r="BI118">
        <f>tbl_OriginalData[[#This Row],[Time_to_Decision]]</f>
        <v>3</v>
      </c>
      <c r="BJ118" t="s">
        <v>62</v>
      </c>
      <c r="BK118" t="s">
        <v>63</v>
      </c>
      <c r="BL118" t="s">
        <v>2524</v>
      </c>
    </row>
    <row r="119" spans="1:64">
      <c r="A119" t="s">
        <v>399</v>
      </c>
      <c r="B119">
        <v>18</v>
      </c>
      <c r="C119" t="s">
        <v>33</v>
      </c>
      <c r="D119" t="s">
        <v>51</v>
      </c>
      <c r="E119" t="s">
        <v>92</v>
      </c>
      <c r="F119" t="s">
        <v>52</v>
      </c>
      <c r="G119" t="s">
        <v>51</v>
      </c>
      <c r="H119" t="s">
        <v>400</v>
      </c>
      <c r="I119" t="s">
        <v>147</v>
      </c>
      <c r="J119">
        <v>257.37</v>
      </c>
      <c r="K119">
        <v>7</v>
      </c>
      <c r="L119" t="s">
        <v>94</v>
      </c>
      <c r="M119">
        <v>3</v>
      </c>
      <c r="N119">
        <v>3</v>
      </c>
      <c r="O119">
        <v>0</v>
      </c>
      <c r="P119" t="s">
        <v>56</v>
      </c>
      <c r="Q119" t="s">
        <v>101</v>
      </c>
      <c r="R119">
        <v>2</v>
      </c>
      <c r="S119">
        <v>5</v>
      </c>
      <c r="T119" t="s">
        <v>56</v>
      </c>
      <c r="U119" t="s">
        <v>70</v>
      </c>
      <c r="V119" t="s">
        <v>58</v>
      </c>
      <c r="W119" s="1">
        <v>45323</v>
      </c>
      <c r="X119" t="b">
        <v>1</v>
      </c>
      <c r="Y119" t="b">
        <v>0</v>
      </c>
      <c r="Z119" t="s">
        <v>59</v>
      </c>
      <c r="AA119" t="s">
        <v>77</v>
      </c>
      <c r="AB119">
        <v>13</v>
      </c>
      <c r="AF119" t="str">
        <f>tbl_OriginalData[[#This Row],[Customer_ID]]</f>
        <v>39-952-4459</v>
      </c>
      <c r="AG119">
        <f>tbl_OriginalData[[#This Row],[Age]]</f>
        <v>18</v>
      </c>
      <c r="AH119" t="str" cm="1">
        <f t="array" ref="AH11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119" t="str">
        <f>tbl_OriginalData[[#This Row],[Gender]]</f>
        <v>Female</v>
      </c>
      <c r="AJ119" t="str">
        <f>tbl_OriginalData[[#This Row],[Income_Level]]</f>
        <v>High</v>
      </c>
      <c r="AK119" t="str">
        <f>tbl_OriginalData[[#This Row],[Marital_Status]]</f>
        <v>Divorced</v>
      </c>
      <c r="AL119" t="str">
        <f>tbl_OriginalData[[#This Row],[Education_Level]]</f>
        <v>High School</v>
      </c>
      <c r="AM119" t="str">
        <f>tbl_OriginalData[[#This Row],[Occupation]]</f>
        <v>High</v>
      </c>
      <c r="AN119" t="s">
        <v>400</v>
      </c>
      <c r="AO119" t="s">
        <v>401</v>
      </c>
      <c r="AP119" t="str">
        <f>tbl_OriginalData[[#This Row],[Purchase_Category]]</f>
        <v>Electronics</v>
      </c>
      <c r="AQ119" s="4">
        <f>tbl_OriginalData[[#This Row],[Purchase_Amount]]</f>
        <v>257.37</v>
      </c>
      <c r="AR119">
        <f>tbl_OriginalData[[#This Row],[Frequency_of_Purchase]]</f>
        <v>7</v>
      </c>
      <c r="AS119" t="str">
        <f>tbl_OriginalData[[#This Row],[Purchase_Channel]]</f>
        <v>Online</v>
      </c>
      <c r="AT119">
        <f>tbl_OriginalData[[#This Row],[Brand_Loyalty]]</f>
        <v>3</v>
      </c>
      <c r="AU119">
        <f>tbl_OriginalData[[#This Row],[Product_Rating]]</f>
        <v>3</v>
      </c>
      <c r="AV119">
        <f>tbl_OriginalData[[#This Row],[Time_Spent_on_Product_Research(hours)]]*60</f>
        <v>0</v>
      </c>
      <c r="AW119" t="str">
        <f>tbl_OriginalData[[#This Row],[Social_Media_Influence]]</f>
        <v>Medium</v>
      </c>
      <c r="AX119" t="str">
        <f>tbl_OriginalData[[#This Row],[Discount_Sensitivity]]</f>
        <v>Very Sensitive</v>
      </c>
      <c r="AY119" s="3">
        <f>tbl_OriginalData[[#This Row],[Return_Rate]]/tbl_OriginalData[[#This Row],[Frequency_of_Purchase]]</f>
        <v>0.2857142857142857</v>
      </c>
      <c r="AZ119">
        <f>tbl_OriginalData[[#This Row],[Customer_Satisfaction]]</f>
        <v>5</v>
      </c>
      <c r="BA119" t="str">
        <f>tbl_OriginalData[[#This Row],[Engagement_with_Ads]]</f>
        <v>Medium</v>
      </c>
      <c r="BB119" t="str">
        <f>tbl_OriginalData[[#This Row],[Device_Used_for_Shopping]]</f>
        <v>Smartphone</v>
      </c>
      <c r="BC119" t="str">
        <f>tbl_OriginalData[[#This Row],[Payment_Method]]</f>
        <v>PayPal</v>
      </c>
      <c r="BD119" s="1">
        <f>tbl_OriginalData[[#This Row],[Time_of_Purchase]]</f>
        <v>45323</v>
      </c>
      <c r="BE119" t="str">
        <f>IF(tbl_OriginalData[[#This Row],[Discount_Used]]=TRUE,"Yes","No")</f>
        <v>Yes</v>
      </c>
      <c r="BF119" t="str">
        <f>IF(tbl_OriginalData[[#This Row],[Customer_Loyalty_Program_Member]]=TRUE,"Yes","No")</f>
        <v>No</v>
      </c>
      <c r="BG119" t="str">
        <f>tbl_OriginalData[[#This Row],[Purchase_Intent]]</f>
        <v>Wants-based</v>
      </c>
      <c r="BH119" t="str">
        <f>tbl_OriginalData[[#This Row],[Shipping_Preference]]</f>
        <v>Express</v>
      </c>
      <c r="BI119">
        <f>tbl_OriginalData[[#This Row],[Time_to_Decision]]</f>
        <v>13</v>
      </c>
      <c r="BJ119" t="s">
        <v>158</v>
      </c>
      <c r="BK119" t="s">
        <v>48</v>
      </c>
      <c r="BL119" t="s">
        <v>2528</v>
      </c>
    </row>
    <row r="120" spans="1:64">
      <c r="A120" t="s">
        <v>402</v>
      </c>
      <c r="B120">
        <v>41</v>
      </c>
      <c r="C120" t="s">
        <v>33</v>
      </c>
      <c r="D120" t="s">
        <v>34</v>
      </c>
      <c r="E120" t="s">
        <v>65</v>
      </c>
      <c r="F120" t="s">
        <v>52</v>
      </c>
      <c r="G120" t="s">
        <v>51</v>
      </c>
      <c r="H120" t="s">
        <v>403</v>
      </c>
      <c r="I120" t="s">
        <v>68</v>
      </c>
      <c r="J120">
        <v>205.49</v>
      </c>
      <c r="K120">
        <v>4</v>
      </c>
      <c r="L120" t="s">
        <v>55</v>
      </c>
      <c r="M120">
        <v>5</v>
      </c>
      <c r="N120">
        <v>3</v>
      </c>
      <c r="O120">
        <v>2</v>
      </c>
      <c r="P120" t="s">
        <v>69</v>
      </c>
      <c r="Q120" t="s">
        <v>41</v>
      </c>
      <c r="R120">
        <v>2</v>
      </c>
      <c r="S120">
        <v>2</v>
      </c>
      <c r="T120" t="s">
        <v>51</v>
      </c>
      <c r="U120" t="s">
        <v>42</v>
      </c>
      <c r="V120" t="s">
        <v>102</v>
      </c>
      <c r="W120" s="1">
        <v>45605</v>
      </c>
      <c r="X120" t="b">
        <v>1</v>
      </c>
      <c r="Y120" t="b">
        <v>0</v>
      </c>
      <c r="Z120" t="s">
        <v>44</v>
      </c>
      <c r="AA120" t="s">
        <v>77</v>
      </c>
      <c r="AB120">
        <v>11</v>
      </c>
      <c r="AF120" t="str">
        <f>tbl_OriginalData[[#This Row],[Customer_ID]]</f>
        <v>67-935-7964</v>
      </c>
      <c r="AG120">
        <f>tbl_OriginalData[[#This Row],[Age]]</f>
        <v>41</v>
      </c>
      <c r="AH120" t="str" cm="1">
        <f t="array" ref="AH12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20" t="str">
        <f>tbl_OriginalData[[#This Row],[Gender]]</f>
        <v>Female</v>
      </c>
      <c r="AJ120" t="str">
        <f>tbl_OriginalData[[#This Row],[Income_Level]]</f>
        <v>Middle</v>
      </c>
      <c r="AK120" t="str">
        <f>tbl_OriginalData[[#This Row],[Marital_Status]]</f>
        <v>Single</v>
      </c>
      <c r="AL120" t="str">
        <f>tbl_OriginalData[[#This Row],[Education_Level]]</f>
        <v>High School</v>
      </c>
      <c r="AM120" t="str">
        <f>tbl_OriginalData[[#This Row],[Occupation]]</f>
        <v>High</v>
      </c>
      <c r="AN120" t="s">
        <v>403</v>
      </c>
      <c r="AO120" t="s">
        <v>109</v>
      </c>
      <c r="AP120" t="str">
        <f>tbl_OriginalData[[#This Row],[Purchase_Category]]</f>
        <v>Office Supplies</v>
      </c>
      <c r="AQ120" s="4">
        <f>tbl_OriginalData[[#This Row],[Purchase_Amount]]</f>
        <v>205.49</v>
      </c>
      <c r="AR120">
        <f>tbl_OriginalData[[#This Row],[Frequency_of_Purchase]]</f>
        <v>4</v>
      </c>
      <c r="AS120" t="str">
        <f>tbl_OriginalData[[#This Row],[Purchase_Channel]]</f>
        <v>In-Store</v>
      </c>
      <c r="AT120">
        <f>tbl_OriginalData[[#This Row],[Brand_Loyalty]]</f>
        <v>5</v>
      </c>
      <c r="AU120">
        <f>tbl_OriginalData[[#This Row],[Product_Rating]]</f>
        <v>3</v>
      </c>
      <c r="AV120">
        <f>tbl_OriginalData[[#This Row],[Time_Spent_on_Product_Research(hours)]]*60</f>
        <v>120</v>
      </c>
      <c r="AW120" t="str">
        <f>tbl_OriginalData[[#This Row],[Social_Media_Influence]]</f>
        <v>Low</v>
      </c>
      <c r="AX120" t="str">
        <f>tbl_OriginalData[[#This Row],[Discount_Sensitivity]]</f>
        <v>Somewhat Sensitive</v>
      </c>
      <c r="AY120" s="3">
        <f>tbl_OriginalData[[#This Row],[Return_Rate]]/tbl_OriginalData[[#This Row],[Frequency_of_Purchase]]</f>
        <v>0.5</v>
      </c>
      <c r="AZ120">
        <f>tbl_OriginalData[[#This Row],[Customer_Satisfaction]]</f>
        <v>2</v>
      </c>
      <c r="BA120" t="str">
        <f>tbl_OriginalData[[#This Row],[Engagement_with_Ads]]</f>
        <v>High</v>
      </c>
      <c r="BB120" t="str">
        <f>tbl_OriginalData[[#This Row],[Device_Used_for_Shopping]]</f>
        <v>Tablet</v>
      </c>
      <c r="BC120" t="str">
        <f>tbl_OriginalData[[#This Row],[Payment_Method]]</f>
        <v>Cash</v>
      </c>
      <c r="BD120" s="1">
        <f>tbl_OriginalData[[#This Row],[Time_of_Purchase]]</f>
        <v>45605</v>
      </c>
      <c r="BE120" t="str">
        <f>IF(tbl_OriginalData[[#This Row],[Discount_Used]]=TRUE,"Yes","No")</f>
        <v>Yes</v>
      </c>
      <c r="BF120" t="str">
        <f>IF(tbl_OriginalData[[#This Row],[Customer_Loyalty_Program_Member]]=TRUE,"Yes","No")</f>
        <v>No</v>
      </c>
      <c r="BG120" t="str">
        <f>tbl_OriginalData[[#This Row],[Purchase_Intent]]</f>
        <v>Need-based</v>
      </c>
      <c r="BH120" t="str">
        <f>tbl_OriginalData[[#This Row],[Shipping_Preference]]</f>
        <v>Express</v>
      </c>
      <c r="BI120">
        <f>tbl_OriginalData[[#This Row],[Time_to_Decision]]</f>
        <v>11</v>
      </c>
      <c r="BJ120" t="s">
        <v>177</v>
      </c>
      <c r="BK120" t="s">
        <v>80</v>
      </c>
      <c r="BL120" t="s">
        <v>2526</v>
      </c>
    </row>
    <row r="121" spans="1:64">
      <c r="A121" t="s">
        <v>404</v>
      </c>
      <c r="B121">
        <v>40</v>
      </c>
      <c r="C121" t="s">
        <v>50</v>
      </c>
      <c r="D121" t="s">
        <v>51</v>
      </c>
      <c r="E121" t="s">
        <v>92</v>
      </c>
      <c r="F121" t="s">
        <v>66</v>
      </c>
      <c r="G121" t="s">
        <v>51</v>
      </c>
      <c r="H121" t="s">
        <v>405</v>
      </c>
      <c r="I121" t="s">
        <v>112</v>
      </c>
      <c r="J121">
        <v>407.91</v>
      </c>
      <c r="K121">
        <v>7</v>
      </c>
      <c r="L121" t="s">
        <v>55</v>
      </c>
      <c r="M121">
        <v>2</v>
      </c>
      <c r="N121">
        <v>5</v>
      </c>
      <c r="O121">
        <v>0</v>
      </c>
      <c r="P121" t="s">
        <v>69</v>
      </c>
      <c r="Q121" t="s">
        <v>57</v>
      </c>
      <c r="R121">
        <v>0</v>
      </c>
      <c r="S121">
        <v>5</v>
      </c>
      <c r="T121" t="s">
        <v>69</v>
      </c>
      <c r="U121" t="s">
        <v>42</v>
      </c>
      <c r="V121" t="s">
        <v>76</v>
      </c>
      <c r="W121" s="1">
        <v>45460</v>
      </c>
      <c r="X121" t="b">
        <v>1</v>
      </c>
      <c r="Y121" t="b">
        <v>1</v>
      </c>
      <c r="Z121" t="s">
        <v>44</v>
      </c>
      <c r="AA121" t="s">
        <v>60</v>
      </c>
      <c r="AB121">
        <v>14</v>
      </c>
      <c r="AF121" t="str">
        <f>tbl_OriginalData[[#This Row],[Customer_ID]]</f>
        <v>26-828-2720</v>
      </c>
      <c r="AG121">
        <f>tbl_OriginalData[[#This Row],[Age]]</f>
        <v>40</v>
      </c>
      <c r="AH121" t="str" cm="1">
        <f t="array" ref="AH12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21" t="str">
        <f>tbl_OriginalData[[#This Row],[Gender]]</f>
        <v>Male</v>
      </c>
      <c r="AJ121" t="str">
        <f>tbl_OriginalData[[#This Row],[Income_Level]]</f>
        <v>High</v>
      </c>
      <c r="AK121" t="str">
        <f>tbl_OriginalData[[#This Row],[Marital_Status]]</f>
        <v>Divorced</v>
      </c>
      <c r="AL121" t="str">
        <f>tbl_OriginalData[[#This Row],[Education_Level]]</f>
        <v>Master's</v>
      </c>
      <c r="AM121" t="str">
        <f>tbl_OriginalData[[#This Row],[Occupation]]</f>
        <v>High</v>
      </c>
      <c r="AN121" t="s">
        <v>405</v>
      </c>
      <c r="AO121" t="s">
        <v>61</v>
      </c>
      <c r="AP121" t="str">
        <f>tbl_OriginalData[[#This Row],[Purchase_Category]]</f>
        <v>Mobile Accessories</v>
      </c>
      <c r="AQ121" s="4">
        <f>tbl_OriginalData[[#This Row],[Purchase_Amount]]</f>
        <v>407.91</v>
      </c>
      <c r="AR121">
        <f>tbl_OriginalData[[#This Row],[Frequency_of_Purchase]]</f>
        <v>7</v>
      </c>
      <c r="AS121" t="str">
        <f>tbl_OriginalData[[#This Row],[Purchase_Channel]]</f>
        <v>In-Store</v>
      </c>
      <c r="AT121">
        <f>tbl_OriginalData[[#This Row],[Brand_Loyalty]]</f>
        <v>2</v>
      </c>
      <c r="AU121">
        <f>tbl_OriginalData[[#This Row],[Product_Rating]]</f>
        <v>5</v>
      </c>
      <c r="AV121">
        <f>tbl_OriginalData[[#This Row],[Time_Spent_on_Product_Research(hours)]]*60</f>
        <v>0</v>
      </c>
      <c r="AW121" t="str">
        <f>tbl_OriginalData[[#This Row],[Social_Media_Influence]]</f>
        <v>Low</v>
      </c>
      <c r="AX121" t="str">
        <f>tbl_OriginalData[[#This Row],[Discount_Sensitivity]]</f>
        <v>Not Sensitive</v>
      </c>
      <c r="AY121" s="3">
        <f>tbl_OriginalData[[#This Row],[Return_Rate]]/tbl_OriginalData[[#This Row],[Frequency_of_Purchase]]</f>
        <v>0</v>
      </c>
      <c r="AZ121">
        <f>tbl_OriginalData[[#This Row],[Customer_Satisfaction]]</f>
        <v>5</v>
      </c>
      <c r="BA121" t="str">
        <f>tbl_OriginalData[[#This Row],[Engagement_with_Ads]]</f>
        <v>Low</v>
      </c>
      <c r="BB121" t="str">
        <f>tbl_OriginalData[[#This Row],[Device_Used_for_Shopping]]</f>
        <v>Tablet</v>
      </c>
      <c r="BC121" t="str">
        <f>tbl_OriginalData[[#This Row],[Payment_Method]]</f>
        <v>Other</v>
      </c>
      <c r="BD121" s="1">
        <f>tbl_OriginalData[[#This Row],[Time_of_Purchase]]</f>
        <v>45460</v>
      </c>
      <c r="BE121" t="str">
        <f>IF(tbl_OriginalData[[#This Row],[Discount_Used]]=TRUE,"Yes","No")</f>
        <v>Yes</v>
      </c>
      <c r="BF121" t="str">
        <f>IF(tbl_OriginalData[[#This Row],[Customer_Loyalty_Program_Member]]=TRUE,"Yes","No")</f>
        <v>Yes</v>
      </c>
      <c r="BG121" t="str">
        <f>tbl_OriginalData[[#This Row],[Purchase_Intent]]</f>
        <v>Need-based</v>
      </c>
      <c r="BH121" t="str">
        <f>tbl_OriginalData[[#This Row],[Shipping_Preference]]</f>
        <v>Standard</v>
      </c>
      <c r="BI121">
        <f>tbl_OriginalData[[#This Row],[Time_to_Decision]]</f>
        <v>14</v>
      </c>
      <c r="BJ121" t="s">
        <v>104</v>
      </c>
      <c r="BK121" t="s">
        <v>63</v>
      </c>
      <c r="BL121" t="s">
        <v>2524</v>
      </c>
    </row>
    <row r="122" spans="1:64">
      <c r="A122" t="s">
        <v>406</v>
      </c>
      <c r="B122">
        <v>33</v>
      </c>
      <c r="C122" t="s">
        <v>33</v>
      </c>
      <c r="D122" t="s">
        <v>51</v>
      </c>
      <c r="E122" t="s">
        <v>92</v>
      </c>
      <c r="F122" t="s">
        <v>36</v>
      </c>
      <c r="G122" t="s">
        <v>51</v>
      </c>
      <c r="H122" t="s">
        <v>407</v>
      </c>
      <c r="I122" t="s">
        <v>54</v>
      </c>
      <c r="J122">
        <v>254.73</v>
      </c>
      <c r="K122">
        <v>6</v>
      </c>
      <c r="L122" t="s">
        <v>94</v>
      </c>
      <c r="M122">
        <v>4</v>
      </c>
      <c r="N122">
        <v>3</v>
      </c>
      <c r="O122">
        <v>0</v>
      </c>
      <c r="P122" t="s">
        <v>56</v>
      </c>
      <c r="Q122" t="s">
        <v>101</v>
      </c>
      <c r="R122">
        <v>0</v>
      </c>
      <c r="S122">
        <v>3</v>
      </c>
      <c r="T122" t="s">
        <v>69</v>
      </c>
      <c r="U122" t="s">
        <v>70</v>
      </c>
      <c r="V122" t="s">
        <v>76</v>
      </c>
      <c r="W122" s="1">
        <v>45444</v>
      </c>
      <c r="X122" t="b">
        <v>1</v>
      </c>
      <c r="Y122" t="b">
        <v>1</v>
      </c>
      <c r="Z122" t="s">
        <v>72</v>
      </c>
      <c r="AA122" t="s">
        <v>77</v>
      </c>
      <c r="AB122">
        <v>3</v>
      </c>
      <c r="AF122" t="str">
        <f>tbl_OriginalData[[#This Row],[Customer_ID]]</f>
        <v>57-410-7415</v>
      </c>
      <c r="AG122">
        <f>tbl_OriginalData[[#This Row],[Age]]</f>
        <v>33</v>
      </c>
      <c r="AH122" t="str" cm="1">
        <f t="array" ref="AH12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22" t="str">
        <f>tbl_OriginalData[[#This Row],[Gender]]</f>
        <v>Female</v>
      </c>
      <c r="AJ122" t="str">
        <f>tbl_OriginalData[[#This Row],[Income_Level]]</f>
        <v>High</v>
      </c>
      <c r="AK122" t="str">
        <f>tbl_OriginalData[[#This Row],[Marital_Status]]</f>
        <v>Divorced</v>
      </c>
      <c r="AL122" t="str">
        <f>tbl_OriginalData[[#This Row],[Education_Level]]</f>
        <v>Bachelor's</v>
      </c>
      <c r="AM122" t="str">
        <f>tbl_OriginalData[[#This Row],[Occupation]]</f>
        <v>High</v>
      </c>
      <c r="AN122" t="s">
        <v>407</v>
      </c>
      <c r="AO122" t="s">
        <v>408</v>
      </c>
      <c r="AP122" t="str">
        <f>tbl_OriginalData[[#This Row],[Purchase_Category]]</f>
        <v>Food &amp; Beverages</v>
      </c>
      <c r="AQ122" s="4">
        <f>tbl_OriginalData[[#This Row],[Purchase_Amount]]</f>
        <v>254.73</v>
      </c>
      <c r="AR122">
        <f>tbl_OriginalData[[#This Row],[Frequency_of_Purchase]]</f>
        <v>6</v>
      </c>
      <c r="AS122" t="str">
        <f>tbl_OriginalData[[#This Row],[Purchase_Channel]]</f>
        <v>Online</v>
      </c>
      <c r="AT122">
        <f>tbl_OriginalData[[#This Row],[Brand_Loyalty]]</f>
        <v>4</v>
      </c>
      <c r="AU122">
        <f>tbl_OriginalData[[#This Row],[Product_Rating]]</f>
        <v>3</v>
      </c>
      <c r="AV122">
        <f>tbl_OriginalData[[#This Row],[Time_Spent_on_Product_Research(hours)]]*60</f>
        <v>0</v>
      </c>
      <c r="AW122" t="str">
        <f>tbl_OriginalData[[#This Row],[Social_Media_Influence]]</f>
        <v>Medium</v>
      </c>
      <c r="AX122" t="str">
        <f>tbl_OriginalData[[#This Row],[Discount_Sensitivity]]</f>
        <v>Very Sensitive</v>
      </c>
      <c r="AY122" s="3">
        <f>tbl_OriginalData[[#This Row],[Return_Rate]]/tbl_OriginalData[[#This Row],[Frequency_of_Purchase]]</f>
        <v>0</v>
      </c>
      <c r="AZ122">
        <f>tbl_OriginalData[[#This Row],[Customer_Satisfaction]]</f>
        <v>3</v>
      </c>
      <c r="BA122" t="str">
        <f>tbl_OriginalData[[#This Row],[Engagement_with_Ads]]</f>
        <v>Low</v>
      </c>
      <c r="BB122" t="str">
        <f>tbl_OriginalData[[#This Row],[Device_Used_for_Shopping]]</f>
        <v>Smartphone</v>
      </c>
      <c r="BC122" t="str">
        <f>tbl_OriginalData[[#This Row],[Payment_Method]]</f>
        <v>Other</v>
      </c>
      <c r="BD122" s="1">
        <f>tbl_OriginalData[[#This Row],[Time_of_Purchase]]</f>
        <v>45444</v>
      </c>
      <c r="BE122" t="str">
        <f>IF(tbl_OriginalData[[#This Row],[Discount_Used]]=TRUE,"Yes","No")</f>
        <v>Yes</v>
      </c>
      <c r="BF122" t="str">
        <f>IF(tbl_OriginalData[[#This Row],[Customer_Loyalty_Program_Member]]=TRUE,"Yes","No")</f>
        <v>Yes</v>
      </c>
      <c r="BG122" t="str">
        <f>tbl_OriginalData[[#This Row],[Purchase_Intent]]</f>
        <v>Impulsive</v>
      </c>
      <c r="BH122" t="str">
        <f>tbl_OriginalData[[#This Row],[Shipping_Preference]]</f>
        <v>Express</v>
      </c>
      <c r="BI122">
        <f>tbl_OriginalData[[#This Row],[Time_to_Decision]]</f>
        <v>3</v>
      </c>
      <c r="BJ122" t="s">
        <v>104</v>
      </c>
      <c r="BK122" t="s">
        <v>63</v>
      </c>
      <c r="BL122" t="s">
        <v>2523</v>
      </c>
    </row>
    <row r="123" spans="1:64">
      <c r="A123" t="s">
        <v>409</v>
      </c>
      <c r="B123">
        <v>30</v>
      </c>
      <c r="C123" t="s">
        <v>33</v>
      </c>
      <c r="D123" t="s">
        <v>34</v>
      </c>
      <c r="E123" t="s">
        <v>92</v>
      </c>
      <c r="F123" t="s">
        <v>36</v>
      </c>
      <c r="G123" t="s">
        <v>51</v>
      </c>
      <c r="H123" t="s">
        <v>410</v>
      </c>
      <c r="I123" t="s">
        <v>229</v>
      </c>
      <c r="J123">
        <v>397.78</v>
      </c>
      <c r="K123">
        <v>12</v>
      </c>
      <c r="L123" t="s">
        <v>94</v>
      </c>
      <c r="M123">
        <v>3</v>
      </c>
      <c r="N123">
        <v>3</v>
      </c>
      <c r="O123">
        <v>1</v>
      </c>
      <c r="P123" t="s">
        <v>56</v>
      </c>
      <c r="Q123" t="s">
        <v>57</v>
      </c>
      <c r="R123">
        <v>2</v>
      </c>
      <c r="S123">
        <v>7</v>
      </c>
      <c r="T123" t="s">
        <v>56</v>
      </c>
      <c r="U123" t="s">
        <v>70</v>
      </c>
      <c r="V123" t="s">
        <v>58</v>
      </c>
      <c r="W123" s="1">
        <v>45559</v>
      </c>
      <c r="X123" t="b">
        <v>0</v>
      </c>
      <c r="Y123" t="b">
        <v>1</v>
      </c>
      <c r="Z123" t="s">
        <v>72</v>
      </c>
      <c r="AA123" t="s">
        <v>45</v>
      </c>
      <c r="AB123">
        <v>11</v>
      </c>
      <c r="AF123" t="str">
        <f>tbl_OriginalData[[#This Row],[Customer_ID]]</f>
        <v>62-989-8214</v>
      </c>
      <c r="AG123">
        <f>tbl_OriginalData[[#This Row],[Age]]</f>
        <v>30</v>
      </c>
      <c r="AH123" t="str" cm="1">
        <f t="array" ref="AH12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23" t="str">
        <f>tbl_OriginalData[[#This Row],[Gender]]</f>
        <v>Female</v>
      </c>
      <c r="AJ123" t="str">
        <f>tbl_OriginalData[[#This Row],[Income_Level]]</f>
        <v>Middle</v>
      </c>
      <c r="AK123" t="str">
        <f>tbl_OriginalData[[#This Row],[Marital_Status]]</f>
        <v>Divorced</v>
      </c>
      <c r="AL123" t="str">
        <f>tbl_OriginalData[[#This Row],[Education_Level]]</f>
        <v>Bachelor's</v>
      </c>
      <c r="AM123" t="str">
        <f>tbl_OriginalData[[#This Row],[Occupation]]</f>
        <v>High</v>
      </c>
      <c r="AN123" t="s">
        <v>410</v>
      </c>
      <c r="AO123" t="s">
        <v>411</v>
      </c>
      <c r="AP123" t="str">
        <f>tbl_OriginalData[[#This Row],[Purchase_Category]]</f>
        <v>Clothing</v>
      </c>
      <c r="AQ123" s="4">
        <f>tbl_OriginalData[[#This Row],[Purchase_Amount]]</f>
        <v>397.78</v>
      </c>
      <c r="AR123">
        <f>tbl_OriginalData[[#This Row],[Frequency_of_Purchase]]</f>
        <v>12</v>
      </c>
      <c r="AS123" t="str">
        <f>tbl_OriginalData[[#This Row],[Purchase_Channel]]</f>
        <v>Online</v>
      </c>
      <c r="AT123">
        <f>tbl_OriginalData[[#This Row],[Brand_Loyalty]]</f>
        <v>3</v>
      </c>
      <c r="AU123">
        <f>tbl_OriginalData[[#This Row],[Product_Rating]]</f>
        <v>3</v>
      </c>
      <c r="AV123">
        <f>tbl_OriginalData[[#This Row],[Time_Spent_on_Product_Research(hours)]]*60</f>
        <v>60</v>
      </c>
      <c r="AW123" t="str">
        <f>tbl_OriginalData[[#This Row],[Social_Media_Influence]]</f>
        <v>Medium</v>
      </c>
      <c r="AX123" t="str">
        <f>tbl_OriginalData[[#This Row],[Discount_Sensitivity]]</f>
        <v>Not Sensitive</v>
      </c>
      <c r="AY123" s="3">
        <f>tbl_OriginalData[[#This Row],[Return_Rate]]/tbl_OriginalData[[#This Row],[Frequency_of_Purchase]]</f>
        <v>0.16666666666666666</v>
      </c>
      <c r="AZ123">
        <f>tbl_OriginalData[[#This Row],[Customer_Satisfaction]]</f>
        <v>7</v>
      </c>
      <c r="BA123" t="str">
        <f>tbl_OriginalData[[#This Row],[Engagement_with_Ads]]</f>
        <v>Medium</v>
      </c>
      <c r="BB123" t="str">
        <f>tbl_OriginalData[[#This Row],[Device_Used_for_Shopping]]</f>
        <v>Smartphone</v>
      </c>
      <c r="BC123" t="str">
        <f>tbl_OriginalData[[#This Row],[Payment_Method]]</f>
        <v>PayPal</v>
      </c>
      <c r="BD123" s="1">
        <f>tbl_OriginalData[[#This Row],[Time_of_Purchase]]</f>
        <v>45559</v>
      </c>
      <c r="BE123" t="str">
        <f>IF(tbl_OriginalData[[#This Row],[Discount_Used]]=TRUE,"Yes","No")</f>
        <v>No</v>
      </c>
      <c r="BF123" t="str">
        <f>IF(tbl_OriginalData[[#This Row],[Customer_Loyalty_Program_Member]]=TRUE,"Yes","No")</f>
        <v>Yes</v>
      </c>
      <c r="BG123" t="str">
        <f>tbl_OriginalData[[#This Row],[Purchase_Intent]]</f>
        <v>Impulsive</v>
      </c>
      <c r="BH123" t="str">
        <f>tbl_OriginalData[[#This Row],[Shipping_Preference]]</f>
        <v>No Preference</v>
      </c>
      <c r="BI123">
        <f>tbl_OriginalData[[#This Row],[Time_to_Decision]]</f>
        <v>11</v>
      </c>
      <c r="BJ123" t="s">
        <v>172</v>
      </c>
      <c r="BK123" t="s">
        <v>115</v>
      </c>
      <c r="BL123" t="s">
        <v>2524</v>
      </c>
    </row>
    <row r="124" spans="1:64">
      <c r="A124" t="s">
        <v>412</v>
      </c>
      <c r="B124">
        <v>33</v>
      </c>
      <c r="C124" t="s">
        <v>33</v>
      </c>
      <c r="D124" t="s">
        <v>51</v>
      </c>
      <c r="E124" t="s">
        <v>35</v>
      </c>
      <c r="F124" t="s">
        <v>36</v>
      </c>
      <c r="G124" t="s">
        <v>51</v>
      </c>
      <c r="H124" t="s">
        <v>413</v>
      </c>
      <c r="I124" t="s">
        <v>147</v>
      </c>
      <c r="J124">
        <v>305.29000000000002</v>
      </c>
      <c r="K124">
        <v>3</v>
      </c>
      <c r="L124" t="s">
        <v>94</v>
      </c>
      <c r="M124">
        <v>2</v>
      </c>
      <c r="N124">
        <v>3</v>
      </c>
      <c r="O124">
        <v>1</v>
      </c>
      <c r="P124" t="s">
        <v>56</v>
      </c>
      <c r="Q124" t="s">
        <v>101</v>
      </c>
      <c r="R124">
        <v>1</v>
      </c>
      <c r="S124">
        <v>8</v>
      </c>
      <c r="T124" t="s">
        <v>56</v>
      </c>
      <c r="U124" t="s">
        <v>95</v>
      </c>
      <c r="V124" t="s">
        <v>71</v>
      </c>
      <c r="W124" s="1">
        <v>45540</v>
      </c>
      <c r="X124" t="b">
        <v>1</v>
      </c>
      <c r="Y124" t="b">
        <v>1</v>
      </c>
      <c r="Z124" t="s">
        <v>72</v>
      </c>
      <c r="AA124" t="s">
        <v>60</v>
      </c>
      <c r="AB124">
        <v>10</v>
      </c>
      <c r="AF124" t="str">
        <f>tbl_OriginalData[[#This Row],[Customer_ID]]</f>
        <v>73-827-2774</v>
      </c>
      <c r="AG124">
        <f>tbl_OriginalData[[#This Row],[Age]]</f>
        <v>33</v>
      </c>
      <c r="AH124" t="str" cm="1">
        <f t="array" ref="AH12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24" t="str">
        <f>tbl_OriginalData[[#This Row],[Gender]]</f>
        <v>Female</v>
      </c>
      <c r="AJ124" t="str">
        <f>tbl_OriginalData[[#This Row],[Income_Level]]</f>
        <v>High</v>
      </c>
      <c r="AK124" t="str">
        <f>tbl_OriginalData[[#This Row],[Marital_Status]]</f>
        <v>Married</v>
      </c>
      <c r="AL124" t="str">
        <f>tbl_OriginalData[[#This Row],[Education_Level]]</f>
        <v>Bachelor's</v>
      </c>
      <c r="AM124" t="str">
        <f>tbl_OriginalData[[#This Row],[Occupation]]</f>
        <v>High</v>
      </c>
      <c r="AN124" t="s">
        <v>413</v>
      </c>
      <c r="AO124" t="s">
        <v>90</v>
      </c>
      <c r="AP124" t="str">
        <f>tbl_OriginalData[[#This Row],[Purchase_Category]]</f>
        <v>Electronics</v>
      </c>
      <c r="AQ124" s="4">
        <f>tbl_OriginalData[[#This Row],[Purchase_Amount]]</f>
        <v>305.29000000000002</v>
      </c>
      <c r="AR124">
        <f>tbl_OriginalData[[#This Row],[Frequency_of_Purchase]]</f>
        <v>3</v>
      </c>
      <c r="AS124" t="str">
        <f>tbl_OriginalData[[#This Row],[Purchase_Channel]]</f>
        <v>Online</v>
      </c>
      <c r="AT124">
        <f>tbl_OriginalData[[#This Row],[Brand_Loyalty]]</f>
        <v>2</v>
      </c>
      <c r="AU124">
        <f>tbl_OriginalData[[#This Row],[Product_Rating]]</f>
        <v>3</v>
      </c>
      <c r="AV124">
        <f>tbl_OriginalData[[#This Row],[Time_Spent_on_Product_Research(hours)]]*60</f>
        <v>60</v>
      </c>
      <c r="AW124" t="str">
        <f>tbl_OriginalData[[#This Row],[Social_Media_Influence]]</f>
        <v>Medium</v>
      </c>
      <c r="AX124" t="str">
        <f>tbl_OriginalData[[#This Row],[Discount_Sensitivity]]</f>
        <v>Very Sensitive</v>
      </c>
      <c r="AY124" s="3">
        <f>tbl_OriginalData[[#This Row],[Return_Rate]]/tbl_OriginalData[[#This Row],[Frequency_of_Purchase]]</f>
        <v>0.33333333333333331</v>
      </c>
      <c r="AZ124">
        <f>tbl_OriginalData[[#This Row],[Customer_Satisfaction]]</f>
        <v>8</v>
      </c>
      <c r="BA124" t="str">
        <f>tbl_OriginalData[[#This Row],[Engagement_with_Ads]]</f>
        <v>Medium</v>
      </c>
      <c r="BB124" t="str">
        <f>tbl_OriginalData[[#This Row],[Device_Used_for_Shopping]]</f>
        <v>Desktop</v>
      </c>
      <c r="BC124" t="str">
        <f>tbl_OriginalData[[#This Row],[Payment_Method]]</f>
        <v>Debit Card</v>
      </c>
      <c r="BD124" s="1">
        <f>tbl_OriginalData[[#This Row],[Time_of_Purchase]]</f>
        <v>45540</v>
      </c>
      <c r="BE124" t="str">
        <f>IF(tbl_OriginalData[[#This Row],[Discount_Used]]=TRUE,"Yes","No")</f>
        <v>Yes</v>
      </c>
      <c r="BF124" t="str">
        <f>IF(tbl_OriginalData[[#This Row],[Customer_Loyalty_Program_Member]]=TRUE,"Yes","No")</f>
        <v>Yes</v>
      </c>
      <c r="BG124" t="str">
        <f>tbl_OriginalData[[#This Row],[Purchase_Intent]]</f>
        <v>Impulsive</v>
      </c>
      <c r="BH124" t="str">
        <f>tbl_OriginalData[[#This Row],[Shipping_Preference]]</f>
        <v>Standard</v>
      </c>
      <c r="BI124">
        <f>tbl_OriginalData[[#This Row],[Time_to_Decision]]</f>
        <v>10</v>
      </c>
      <c r="BJ124" t="s">
        <v>172</v>
      </c>
      <c r="BK124" t="s">
        <v>115</v>
      </c>
      <c r="BL124" t="s">
        <v>2524</v>
      </c>
    </row>
    <row r="125" spans="1:64">
      <c r="A125" t="s">
        <v>414</v>
      </c>
      <c r="B125">
        <v>45</v>
      </c>
      <c r="C125" t="s">
        <v>50</v>
      </c>
      <c r="D125" t="s">
        <v>34</v>
      </c>
      <c r="E125" t="s">
        <v>92</v>
      </c>
      <c r="F125" t="s">
        <v>52</v>
      </c>
      <c r="G125" t="s">
        <v>51</v>
      </c>
      <c r="H125" t="s">
        <v>415</v>
      </c>
      <c r="I125" t="s">
        <v>54</v>
      </c>
      <c r="J125">
        <v>257.86</v>
      </c>
      <c r="K125">
        <v>6</v>
      </c>
      <c r="L125" t="s">
        <v>94</v>
      </c>
      <c r="M125">
        <v>2</v>
      </c>
      <c r="N125">
        <v>2</v>
      </c>
      <c r="O125">
        <v>0</v>
      </c>
      <c r="P125" t="s">
        <v>40</v>
      </c>
      <c r="Q125" t="s">
        <v>41</v>
      </c>
      <c r="R125">
        <v>0</v>
      </c>
      <c r="S125">
        <v>4</v>
      </c>
      <c r="T125" t="s">
        <v>51</v>
      </c>
      <c r="U125" t="s">
        <v>42</v>
      </c>
      <c r="V125" t="s">
        <v>58</v>
      </c>
      <c r="W125" s="1">
        <v>45455</v>
      </c>
      <c r="X125" t="b">
        <v>1</v>
      </c>
      <c r="Y125" t="b">
        <v>1</v>
      </c>
      <c r="Z125" t="s">
        <v>44</v>
      </c>
      <c r="AA125" t="s">
        <v>77</v>
      </c>
      <c r="AB125">
        <v>1</v>
      </c>
      <c r="AF125" t="str">
        <f>tbl_OriginalData[[#This Row],[Customer_ID]]</f>
        <v>19-643-1879</v>
      </c>
      <c r="AG125">
        <f>tbl_OriginalData[[#This Row],[Age]]</f>
        <v>45</v>
      </c>
      <c r="AH125" t="str" cm="1">
        <f t="array" ref="AH12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25" t="str">
        <f>tbl_OriginalData[[#This Row],[Gender]]</f>
        <v>Male</v>
      </c>
      <c r="AJ125" t="str">
        <f>tbl_OriginalData[[#This Row],[Income_Level]]</f>
        <v>Middle</v>
      </c>
      <c r="AK125" t="str">
        <f>tbl_OriginalData[[#This Row],[Marital_Status]]</f>
        <v>Divorced</v>
      </c>
      <c r="AL125" t="str">
        <f>tbl_OriginalData[[#This Row],[Education_Level]]</f>
        <v>High School</v>
      </c>
      <c r="AM125" t="str">
        <f>tbl_OriginalData[[#This Row],[Occupation]]</f>
        <v>High</v>
      </c>
      <c r="AN125" t="s">
        <v>415</v>
      </c>
      <c r="AO125" t="s">
        <v>90</v>
      </c>
      <c r="AP125" t="str">
        <f>tbl_OriginalData[[#This Row],[Purchase_Category]]</f>
        <v>Food &amp; Beverages</v>
      </c>
      <c r="AQ125" s="4">
        <f>tbl_OriginalData[[#This Row],[Purchase_Amount]]</f>
        <v>257.86</v>
      </c>
      <c r="AR125">
        <f>tbl_OriginalData[[#This Row],[Frequency_of_Purchase]]</f>
        <v>6</v>
      </c>
      <c r="AS125" t="str">
        <f>tbl_OriginalData[[#This Row],[Purchase_Channel]]</f>
        <v>Online</v>
      </c>
      <c r="AT125">
        <f>tbl_OriginalData[[#This Row],[Brand_Loyalty]]</f>
        <v>2</v>
      </c>
      <c r="AU125">
        <f>tbl_OriginalData[[#This Row],[Product_Rating]]</f>
        <v>2</v>
      </c>
      <c r="AV125">
        <f>tbl_OriginalData[[#This Row],[Time_Spent_on_Product_Research(hours)]]*60</f>
        <v>0</v>
      </c>
      <c r="AW125" t="str">
        <f>tbl_OriginalData[[#This Row],[Social_Media_Influence]]</f>
        <v>None</v>
      </c>
      <c r="AX125" t="str">
        <f>tbl_OriginalData[[#This Row],[Discount_Sensitivity]]</f>
        <v>Somewhat Sensitive</v>
      </c>
      <c r="AY125" s="3">
        <f>tbl_OriginalData[[#This Row],[Return_Rate]]/tbl_OriginalData[[#This Row],[Frequency_of_Purchase]]</f>
        <v>0</v>
      </c>
      <c r="AZ125">
        <f>tbl_OriginalData[[#This Row],[Customer_Satisfaction]]</f>
        <v>4</v>
      </c>
      <c r="BA125" t="str">
        <f>tbl_OriginalData[[#This Row],[Engagement_with_Ads]]</f>
        <v>High</v>
      </c>
      <c r="BB125" t="str">
        <f>tbl_OriginalData[[#This Row],[Device_Used_for_Shopping]]</f>
        <v>Tablet</v>
      </c>
      <c r="BC125" t="str">
        <f>tbl_OriginalData[[#This Row],[Payment_Method]]</f>
        <v>PayPal</v>
      </c>
      <c r="BD125" s="1">
        <f>tbl_OriginalData[[#This Row],[Time_of_Purchase]]</f>
        <v>45455</v>
      </c>
      <c r="BE125" t="str">
        <f>IF(tbl_OriginalData[[#This Row],[Discount_Used]]=TRUE,"Yes","No")</f>
        <v>Yes</v>
      </c>
      <c r="BF125" t="str">
        <f>IF(tbl_OriginalData[[#This Row],[Customer_Loyalty_Program_Member]]=TRUE,"Yes","No")</f>
        <v>Yes</v>
      </c>
      <c r="BG125" t="str">
        <f>tbl_OriginalData[[#This Row],[Purchase_Intent]]</f>
        <v>Need-based</v>
      </c>
      <c r="BH125" t="str">
        <f>tbl_OriginalData[[#This Row],[Shipping_Preference]]</f>
        <v>Express</v>
      </c>
      <c r="BI125">
        <f>tbl_OriginalData[[#This Row],[Time_to_Decision]]</f>
        <v>1</v>
      </c>
      <c r="BJ125" t="s">
        <v>104</v>
      </c>
      <c r="BK125" t="s">
        <v>63</v>
      </c>
      <c r="BL125" t="s">
        <v>2524</v>
      </c>
    </row>
    <row r="126" spans="1:64">
      <c r="A126" t="s">
        <v>416</v>
      </c>
      <c r="B126">
        <v>42</v>
      </c>
      <c r="C126" t="s">
        <v>33</v>
      </c>
      <c r="D126" t="s">
        <v>51</v>
      </c>
      <c r="E126" t="s">
        <v>65</v>
      </c>
      <c r="F126" t="s">
        <v>52</v>
      </c>
      <c r="G126" t="s">
        <v>34</v>
      </c>
      <c r="H126" t="s">
        <v>417</v>
      </c>
      <c r="I126" t="s">
        <v>306</v>
      </c>
      <c r="J126">
        <v>393.45</v>
      </c>
      <c r="K126">
        <v>12</v>
      </c>
      <c r="L126" t="s">
        <v>55</v>
      </c>
      <c r="M126">
        <v>3</v>
      </c>
      <c r="N126">
        <v>1</v>
      </c>
      <c r="O126">
        <v>0</v>
      </c>
      <c r="P126" t="s">
        <v>69</v>
      </c>
      <c r="Q126" t="s">
        <v>41</v>
      </c>
      <c r="R126">
        <v>2</v>
      </c>
      <c r="S126">
        <v>10</v>
      </c>
      <c r="T126" t="s">
        <v>56</v>
      </c>
      <c r="U126" t="s">
        <v>95</v>
      </c>
      <c r="V126" t="s">
        <v>43</v>
      </c>
      <c r="W126" s="1">
        <v>45571</v>
      </c>
      <c r="X126" t="b">
        <v>0</v>
      </c>
      <c r="Y126" t="b">
        <v>0</v>
      </c>
      <c r="Z126" t="s">
        <v>44</v>
      </c>
      <c r="AA126" t="s">
        <v>77</v>
      </c>
      <c r="AB126">
        <v>12</v>
      </c>
      <c r="AF126" t="str">
        <f>tbl_OriginalData[[#This Row],[Customer_ID]]</f>
        <v>57-345-3921</v>
      </c>
      <c r="AG126">
        <f>tbl_OriginalData[[#This Row],[Age]]</f>
        <v>42</v>
      </c>
      <c r="AH126" t="str" cm="1">
        <f t="array" ref="AH12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26" t="str">
        <f>tbl_OriginalData[[#This Row],[Gender]]</f>
        <v>Female</v>
      </c>
      <c r="AJ126" t="str">
        <f>tbl_OriginalData[[#This Row],[Income_Level]]</f>
        <v>High</v>
      </c>
      <c r="AK126" t="str">
        <f>tbl_OriginalData[[#This Row],[Marital_Status]]</f>
        <v>Single</v>
      </c>
      <c r="AL126" t="str">
        <f>tbl_OriginalData[[#This Row],[Education_Level]]</f>
        <v>High School</v>
      </c>
      <c r="AM126" t="str">
        <f>tbl_OriginalData[[#This Row],[Occupation]]</f>
        <v>Middle</v>
      </c>
      <c r="AN126" t="s">
        <v>417</v>
      </c>
      <c r="AO126" t="s">
        <v>418</v>
      </c>
      <c r="AP126" t="str">
        <f>tbl_OriginalData[[#This Row],[Purchase_Category]]</f>
        <v>Jewelry &amp; Accessories</v>
      </c>
      <c r="AQ126" s="4">
        <f>tbl_OriginalData[[#This Row],[Purchase_Amount]]</f>
        <v>393.45</v>
      </c>
      <c r="AR126">
        <f>tbl_OriginalData[[#This Row],[Frequency_of_Purchase]]</f>
        <v>12</v>
      </c>
      <c r="AS126" t="str">
        <f>tbl_OriginalData[[#This Row],[Purchase_Channel]]</f>
        <v>In-Store</v>
      </c>
      <c r="AT126">
        <f>tbl_OriginalData[[#This Row],[Brand_Loyalty]]</f>
        <v>3</v>
      </c>
      <c r="AU126">
        <f>tbl_OriginalData[[#This Row],[Product_Rating]]</f>
        <v>1</v>
      </c>
      <c r="AV126">
        <f>tbl_OriginalData[[#This Row],[Time_Spent_on_Product_Research(hours)]]*60</f>
        <v>0</v>
      </c>
      <c r="AW126" t="str">
        <f>tbl_OriginalData[[#This Row],[Social_Media_Influence]]</f>
        <v>Low</v>
      </c>
      <c r="AX126" t="str">
        <f>tbl_OriginalData[[#This Row],[Discount_Sensitivity]]</f>
        <v>Somewhat Sensitive</v>
      </c>
      <c r="AY126" s="3">
        <f>tbl_OriginalData[[#This Row],[Return_Rate]]/tbl_OriginalData[[#This Row],[Frequency_of_Purchase]]</f>
        <v>0.16666666666666666</v>
      </c>
      <c r="AZ126">
        <f>tbl_OriginalData[[#This Row],[Customer_Satisfaction]]</f>
        <v>10</v>
      </c>
      <c r="BA126" t="str">
        <f>tbl_OriginalData[[#This Row],[Engagement_with_Ads]]</f>
        <v>Medium</v>
      </c>
      <c r="BB126" t="str">
        <f>tbl_OriginalData[[#This Row],[Device_Used_for_Shopping]]</f>
        <v>Desktop</v>
      </c>
      <c r="BC126" t="str">
        <f>tbl_OriginalData[[#This Row],[Payment_Method]]</f>
        <v>Credit Card</v>
      </c>
      <c r="BD126" s="1">
        <f>tbl_OriginalData[[#This Row],[Time_of_Purchase]]</f>
        <v>45571</v>
      </c>
      <c r="BE126" t="str">
        <f>IF(tbl_OriginalData[[#This Row],[Discount_Used]]=TRUE,"Yes","No")</f>
        <v>No</v>
      </c>
      <c r="BF126" t="str">
        <f>IF(tbl_OriginalData[[#This Row],[Customer_Loyalty_Program_Member]]=TRUE,"Yes","No")</f>
        <v>No</v>
      </c>
      <c r="BG126" t="str">
        <f>tbl_OriginalData[[#This Row],[Purchase_Intent]]</f>
        <v>Need-based</v>
      </c>
      <c r="BH126" t="str">
        <f>tbl_OriginalData[[#This Row],[Shipping_Preference]]</f>
        <v>Express</v>
      </c>
      <c r="BI126">
        <f>tbl_OriginalData[[#This Row],[Time_to_Decision]]</f>
        <v>12</v>
      </c>
      <c r="BJ126" t="s">
        <v>79</v>
      </c>
      <c r="BK126" t="s">
        <v>80</v>
      </c>
      <c r="BL126" t="s">
        <v>2523</v>
      </c>
    </row>
    <row r="127" spans="1:64">
      <c r="A127" t="s">
        <v>419</v>
      </c>
      <c r="B127">
        <v>30</v>
      </c>
      <c r="C127" t="s">
        <v>50</v>
      </c>
      <c r="D127" t="s">
        <v>51</v>
      </c>
      <c r="E127" t="s">
        <v>35</v>
      </c>
      <c r="F127" t="s">
        <v>36</v>
      </c>
      <c r="G127" t="s">
        <v>34</v>
      </c>
      <c r="H127" t="s">
        <v>420</v>
      </c>
      <c r="I127" t="s">
        <v>180</v>
      </c>
      <c r="J127">
        <v>58.49</v>
      </c>
      <c r="K127">
        <v>6</v>
      </c>
      <c r="L127" t="s">
        <v>94</v>
      </c>
      <c r="M127">
        <v>2</v>
      </c>
      <c r="N127">
        <v>2</v>
      </c>
      <c r="O127">
        <v>0</v>
      </c>
      <c r="P127" t="s">
        <v>56</v>
      </c>
      <c r="Q127" t="s">
        <v>101</v>
      </c>
      <c r="R127">
        <v>0</v>
      </c>
      <c r="S127">
        <v>8</v>
      </c>
      <c r="T127" t="s">
        <v>51</v>
      </c>
      <c r="U127" t="s">
        <v>42</v>
      </c>
      <c r="V127" t="s">
        <v>76</v>
      </c>
      <c r="W127" s="1">
        <v>45502</v>
      </c>
      <c r="X127" t="b">
        <v>1</v>
      </c>
      <c r="Y127" t="b">
        <v>1</v>
      </c>
      <c r="Z127" t="s">
        <v>89</v>
      </c>
      <c r="AA127" t="s">
        <v>77</v>
      </c>
      <c r="AB127">
        <v>7</v>
      </c>
      <c r="AF127" t="str">
        <f>tbl_OriginalData[[#This Row],[Customer_ID]]</f>
        <v>98-817-6731</v>
      </c>
      <c r="AG127">
        <f>tbl_OriginalData[[#This Row],[Age]]</f>
        <v>30</v>
      </c>
      <c r="AH127" t="str" cm="1">
        <f t="array" ref="AH12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27" t="str">
        <f>tbl_OriginalData[[#This Row],[Gender]]</f>
        <v>Male</v>
      </c>
      <c r="AJ127" t="str">
        <f>tbl_OriginalData[[#This Row],[Income_Level]]</f>
        <v>High</v>
      </c>
      <c r="AK127" t="str">
        <f>tbl_OriginalData[[#This Row],[Marital_Status]]</f>
        <v>Married</v>
      </c>
      <c r="AL127" t="str">
        <f>tbl_OriginalData[[#This Row],[Education_Level]]</f>
        <v>Bachelor's</v>
      </c>
      <c r="AM127" t="str">
        <f>tbl_OriginalData[[#This Row],[Occupation]]</f>
        <v>Middle</v>
      </c>
      <c r="AN127" t="s">
        <v>420</v>
      </c>
      <c r="AO127" t="s">
        <v>421</v>
      </c>
      <c r="AP127" t="str">
        <f>tbl_OriginalData[[#This Row],[Purchase_Category]]</f>
        <v>Health Supplements</v>
      </c>
      <c r="AQ127" s="4">
        <f>tbl_OriginalData[[#This Row],[Purchase_Amount]]</f>
        <v>58.49</v>
      </c>
      <c r="AR127">
        <f>tbl_OriginalData[[#This Row],[Frequency_of_Purchase]]</f>
        <v>6</v>
      </c>
      <c r="AS127" t="str">
        <f>tbl_OriginalData[[#This Row],[Purchase_Channel]]</f>
        <v>Online</v>
      </c>
      <c r="AT127">
        <f>tbl_OriginalData[[#This Row],[Brand_Loyalty]]</f>
        <v>2</v>
      </c>
      <c r="AU127">
        <f>tbl_OriginalData[[#This Row],[Product_Rating]]</f>
        <v>2</v>
      </c>
      <c r="AV127">
        <f>tbl_OriginalData[[#This Row],[Time_Spent_on_Product_Research(hours)]]*60</f>
        <v>0</v>
      </c>
      <c r="AW127" t="str">
        <f>tbl_OriginalData[[#This Row],[Social_Media_Influence]]</f>
        <v>Medium</v>
      </c>
      <c r="AX127" t="str">
        <f>tbl_OriginalData[[#This Row],[Discount_Sensitivity]]</f>
        <v>Very Sensitive</v>
      </c>
      <c r="AY127" s="3">
        <f>tbl_OriginalData[[#This Row],[Return_Rate]]/tbl_OriginalData[[#This Row],[Frequency_of_Purchase]]</f>
        <v>0</v>
      </c>
      <c r="AZ127">
        <f>tbl_OriginalData[[#This Row],[Customer_Satisfaction]]</f>
        <v>8</v>
      </c>
      <c r="BA127" t="str">
        <f>tbl_OriginalData[[#This Row],[Engagement_with_Ads]]</f>
        <v>High</v>
      </c>
      <c r="BB127" t="str">
        <f>tbl_OriginalData[[#This Row],[Device_Used_for_Shopping]]</f>
        <v>Tablet</v>
      </c>
      <c r="BC127" t="str">
        <f>tbl_OriginalData[[#This Row],[Payment_Method]]</f>
        <v>Other</v>
      </c>
      <c r="BD127" s="1">
        <f>tbl_OriginalData[[#This Row],[Time_of_Purchase]]</f>
        <v>45502</v>
      </c>
      <c r="BE127" t="str">
        <f>IF(tbl_OriginalData[[#This Row],[Discount_Used]]=TRUE,"Yes","No")</f>
        <v>Yes</v>
      </c>
      <c r="BF127" t="str">
        <f>IF(tbl_OriginalData[[#This Row],[Customer_Loyalty_Program_Member]]=TRUE,"Yes","No")</f>
        <v>Yes</v>
      </c>
      <c r="BG127" t="str">
        <f>tbl_OriginalData[[#This Row],[Purchase_Intent]]</f>
        <v>Planned</v>
      </c>
      <c r="BH127" t="str">
        <f>tbl_OriginalData[[#This Row],[Shipping_Preference]]</f>
        <v>Express</v>
      </c>
      <c r="BI127">
        <f>tbl_OriginalData[[#This Row],[Time_to_Decision]]</f>
        <v>7</v>
      </c>
      <c r="BJ127" t="s">
        <v>114</v>
      </c>
      <c r="BK127" t="s">
        <v>115</v>
      </c>
      <c r="BL127" t="s">
        <v>2528</v>
      </c>
    </row>
    <row r="128" spans="1:64">
      <c r="A128" t="s">
        <v>422</v>
      </c>
      <c r="B128">
        <v>42</v>
      </c>
      <c r="C128" t="s">
        <v>50</v>
      </c>
      <c r="D128" t="s">
        <v>34</v>
      </c>
      <c r="E128" t="s">
        <v>65</v>
      </c>
      <c r="F128" t="s">
        <v>52</v>
      </c>
      <c r="G128" t="s">
        <v>34</v>
      </c>
      <c r="H128" t="s">
        <v>423</v>
      </c>
      <c r="I128" t="s">
        <v>235</v>
      </c>
      <c r="J128">
        <v>226.48</v>
      </c>
      <c r="K128">
        <v>11</v>
      </c>
      <c r="L128" t="s">
        <v>55</v>
      </c>
      <c r="M128">
        <v>5</v>
      </c>
      <c r="N128">
        <v>3</v>
      </c>
      <c r="O128">
        <v>2</v>
      </c>
      <c r="P128" t="s">
        <v>40</v>
      </c>
      <c r="Q128" t="s">
        <v>57</v>
      </c>
      <c r="R128">
        <v>2</v>
      </c>
      <c r="S128">
        <v>7</v>
      </c>
      <c r="T128" t="s">
        <v>51</v>
      </c>
      <c r="U128" t="s">
        <v>42</v>
      </c>
      <c r="V128" t="s">
        <v>71</v>
      </c>
      <c r="W128" s="1">
        <v>45583</v>
      </c>
      <c r="X128" t="b">
        <v>1</v>
      </c>
      <c r="Y128" t="b">
        <v>0</v>
      </c>
      <c r="Z128" t="s">
        <v>44</v>
      </c>
      <c r="AA128" t="s">
        <v>77</v>
      </c>
      <c r="AB128">
        <v>11</v>
      </c>
      <c r="AF128" t="str">
        <f>tbl_OriginalData[[#This Row],[Customer_ID]]</f>
        <v>31-788-0864</v>
      </c>
      <c r="AG128">
        <f>tbl_OriginalData[[#This Row],[Age]]</f>
        <v>42</v>
      </c>
      <c r="AH128" t="str" cm="1">
        <f t="array" ref="AH12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28" t="str">
        <f>tbl_OriginalData[[#This Row],[Gender]]</f>
        <v>Male</v>
      </c>
      <c r="AJ128" t="str">
        <f>tbl_OriginalData[[#This Row],[Income_Level]]</f>
        <v>Middle</v>
      </c>
      <c r="AK128" t="str">
        <f>tbl_OriginalData[[#This Row],[Marital_Status]]</f>
        <v>Single</v>
      </c>
      <c r="AL128" t="str">
        <f>tbl_OriginalData[[#This Row],[Education_Level]]</f>
        <v>High School</v>
      </c>
      <c r="AM128" t="str">
        <f>tbl_OriginalData[[#This Row],[Occupation]]</f>
        <v>Middle</v>
      </c>
      <c r="AN128" t="s">
        <v>423</v>
      </c>
      <c r="AO128" t="s">
        <v>103</v>
      </c>
      <c r="AP128" t="str">
        <f>tbl_OriginalData[[#This Row],[Purchase_Category]]</f>
        <v>Beauty &amp; Personal Care</v>
      </c>
      <c r="AQ128" s="4">
        <f>tbl_OriginalData[[#This Row],[Purchase_Amount]]</f>
        <v>226.48</v>
      </c>
      <c r="AR128">
        <f>tbl_OriginalData[[#This Row],[Frequency_of_Purchase]]</f>
        <v>11</v>
      </c>
      <c r="AS128" t="str">
        <f>tbl_OriginalData[[#This Row],[Purchase_Channel]]</f>
        <v>In-Store</v>
      </c>
      <c r="AT128">
        <f>tbl_OriginalData[[#This Row],[Brand_Loyalty]]</f>
        <v>5</v>
      </c>
      <c r="AU128">
        <f>tbl_OriginalData[[#This Row],[Product_Rating]]</f>
        <v>3</v>
      </c>
      <c r="AV128">
        <f>tbl_OriginalData[[#This Row],[Time_Spent_on_Product_Research(hours)]]*60</f>
        <v>120</v>
      </c>
      <c r="AW128" t="str">
        <f>tbl_OriginalData[[#This Row],[Social_Media_Influence]]</f>
        <v>None</v>
      </c>
      <c r="AX128" t="str">
        <f>tbl_OriginalData[[#This Row],[Discount_Sensitivity]]</f>
        <v>Not Sensitive</v>
      </c>
      <c r="AY128" s="3">
        <f>tbl_OriginalData[[#This Row],[Return_Rate]]/tbl_OriginalData[[#This Row],[Frequency_of_Purchase]]</f>
        <v>0.18181818181818182</v>
      </c>
      <c r="AZ128">
        <f>tbl_OriginalData[[#This Row],[Customer_Satisfaction]]</f>
        <v>7</v>
      </c>
      <c r="BA128" t="str">
        <f>tbl_OriginalData[[#This Row],[Engagement_with_Ads]]</f>
        <v>High</v>
      </c>
      <c r="BB128" t="str">
        <f>tbl_OriginalData[[#This Row],[Device_Used_for_Shopping]]</f>
        <v>Tablet</v>
      </c>
      <c r="BC128" t="str">
        <f>tbl_OriginalData[[#This Row],[Payment_Method]]</f>
        <v>Debit Card</v>
      </c>
      <c r="BD128" s="1">
        <f>tbl_OriginalData[[#This Row],[Time_of_Purchase]]</f>
        <v>45583</v>
      </c>
      <c r="BE128" t="str">
        <f>IF(tbl_OriginalData[[#This Row],[Discount_Used]]=TRUE,"Yes","No")</f>
        <v>Yes</v>
      </c>
      <c r="BF128" t="str">
        <f>IF(tbl_OriginalData[[#This Row],[Customer_Loyalty_Program_Member]]=TRUE,"Yes","No")</f>
        <v>No</v>
      </c>
      <c r="BG128" t="str">
        <f>tbl_OriginalData[[#This Row],[Purchase_Intent]]</f>
        <v>Need-based</v>
      </c>
      <c r="BH128" t="str">
        <f>tbl_OriginalData[[#This Row],[Shipping_Preference]]</f>
        <v>Express</v>
      </c>
      <c r="BI128">
        <f>tbl_OriginalData[[#This Row],[Time_to_Decision]]</f>
        <v>11</v>
      </c>
      <c r="BJ128" t="s">
        <v>79</v>
      </c>
      <c r="BK128" t="s">
        <v>80</v>
      </c>
      <c r="BL128" t="s">
        <v>2523</v>
      </c>
    </row>
    <row r="129" spans="1:64">
      <c r="A129" t="s">
        <v>424</v>
      </c>
      <c r="B129">
        <v>26</v>
      </c>
      <c r="C129" t="s">
        <v>33</v>
      </c>
      <c r="D129" t="s">
        <v>51</v>
      </c>
      <c r="E129" t="s">
        <v>65</v>
      </c>
      <c r="F129" t="s">
        <v>66</v>
      </c>
      <c r="G129" t="s">
        <v>34</v>
      </c>
      <c r="H129" t="s">
        <v>425</v>
      </c>
      <c r="I129" t="s">
        <v>131</v>
      </c>
      <c r="J129">
        <v>469.22</v>
      </c>
      <c r="K129">
        <v>6</v>
      </c>
      <c r="L129" t="s">
        <v>55</v>
      </c>
      <c r="M129">
        <v>1</v>
      </c>
      <c r="N129">
        <v>1</v>
      </c>
      <c r="O129">
        <v>1</v>
      </c>
      <c r="P129" t="s">
        <v>51</v>
      </c>
      <c r="Q129" t="s">
        <v>57</v>
      </c>
      <c r="R129">
        <v>0</v>
      </c>
      <c r="S129">
        <v>1</v>
      </c>
      <c r="T129" t="s">
        <v>69</v>
      </c>
      <c r="U129" t="s">
        <v>42</v>
      </c>
      <c r="V129" t="s">
        <v>43</v>
      </c>
      <c r="W129" s="1">
        <v>45511</v>
      </c>
      <c r="X129" t="b">
        <v>0</v>
      </c>
      <c r="Y129" t="b">
        <v>0</v>
      </c>
      <c r="Z129" t="s">
        <v>59</v>
      </c>
      <c r="AA129" t="s">
        <v>45</v>
      </c>
      <c r="AB129">
        <v>7</v>
      </c>
      <c r="AF129" t="str">
        <f>tbl_OriginalData[[#This Row],[Customer_ID]]</f>
        <v>27-806-4972</v>
      </c>
      <c r="AG129">
        <f>tbl_OriginalData[[#This Row],[Age]]</f>
        <v>26</v>
      </c>
      <c r="AH129" t="str" cm="1">
        <f t="array" ref="AH12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29" t="str">
        <f>tbl_OriginalData[[#This Row],[Gender]]</f>
        <v>Female</v>
      </c>
      <c r="AJ129" t="str">
        <f>tbl_OriginalData[[#This Row],[Income_Level]]</f>
        <v>High</v>
      </c>
      <c r="AK129" t="str">
        <f>tbl_OriginalData[[#This Row],[Marital_Status]]</f>
        <v>Single</v>
      </c>
      <c r="AL129" t="str">
        <f>tbl_OriginalData[[#This Row],[Education_Level]]</f>
        <v>Master's</v>
      </c>
      <c r="AM129" t="str">
        <f>tbl_OriginalData[[#This Row],[Occupation]]</f>
        <v>Middle</v>
      </c>
      <c r="AN129" t="s">
        <v>425</v>
      </c>
      <c r="AO129" t="s">
        <v>194</v>
      </c>
      <c r="AP129" t="str">
        <f>tbl_OriginalData[[#This Row],[Purchase_Category]]</f>
        <v>Health Care</v>
      </c>
      <c r="AQ129" s="4">
        <f>tbl_OriginalData[[#This Row],[Purchase_Amount]]</f>
        <v>469.22</v>
      </c>
      <c r="AR129">
        <f>tbl_OriginalData[[#This Row],[Frequency_of_Purchase]]</f>
        <v>6</v>
      </c>
      <c r="AS129" t="str">
        <f>tbl_OriginalData[[#This Row],[Purchase_Channel]]</f>
        <v>In-Store</v>
      </c>
      <c r="AT129">
        <f>tbl_OriginalData[[#This Row],[Brand_Loyalty]]</f>
        <v>1</v>
      </c>
      <c r="AU129">
        <f>tbl_OriginalData[[#This Row],[Product_Rating]]</f>
        <v>1</v>
      </c>
      <c r="AV129">
        <f>tbl_OriginalData[[#This Row],[Time_Spent_on_Product_Research(hours)]]*60</f>
        <v>60</v>
      </c>
      <c r="AW129" t="str">
        <f>tbl_OriginalData[[#This Row],[Social_Media_Influence]]</f>
        <v>High</v>
      </c>
      <c r="AX129" t="str">
        <f>tbl_OriginalData[[#This Row],[Discount_Sensitivity]]</f>
        <v>Not Sensitive</v>
      </c>
      <c r="AY129" s="3">
        <f>tbl_OriginalData[[#This Row],[Return_Rate]]/tbl_OriginalData[[#This Row],[Frequency_of_Purchase]]</f>
        <v>0</v>
      </c>
      <c r="AZ129">
        <f>tbl_OriginalData[[#This Row],[Customer_Satisfaction]]</f>
        <v>1</v>
      </c>
      <c r="BA129" t="str">
        <f>tbl_OriginalData[[#This Row],[Engagement_with_Ads]]</f>
        <v>Low</v>
      </c>
      <c r="BB129" t="str">
        <f>tbl_OriginalData[[#This Row],[Device_Used_for_Shopping]]</f>
        <v>Tablet</v>
      </c>
      <c r="BC129" t="str">
        <f>tbl_OriginalData[[#This Row],[Payment_Method]]</f>
        <v>Credit Card</v>
      </c>
      <c r="BD129" s="1">
        <f>tbl_OriginalData[[#This Row],[Time_of_Purchase]]</f>
        <v>45511</v>
      </c>
      <c r="BE129" t="str">
        <f>IF(tbl_OriginalData[[#This Row],[Discount_Used]]=TRUE,"Yes","No")</f>
        <v>No</v>
      </c>
      <c r="BF129" t="str">
        <f>IF(tbl_OriginalData[[#This Row],[Customer_Loyalty_Program_Member]]=TRUE,"Yes","No")</f>
        <v>No</v>
      </c>
      <c r="BG129" t="str">
        <f>tbl_OriginalData[[#This Row],[Purchase_Intent]]</f>
        <v>Wants-based</v>
      </c>
      <c r="BH129" t="str">
        <f>tbl_OriginalData[[#This Row],[Shipping_Preference]]</f>
        <v>No Preference</v>
      </c>
      <c r="BI129">
        <f>tbl_OriginalData[[#This Row],[Time_to_Decision]]</f>
        <v>7</v>
      </c>
      <c r="BJ129" t="s">
        <v>124</v>
      </c>
      <c r="BK129" t="s">
        <v>115</v>
      </c>
      <c r="BL129" t="s">
        <v>2524</v>
      </c>
    </row>
    <row r="130" spans="1:64">
      <c r="A130" t="s">
        <v>426</v>
      </c>
      <c r="B130">
        <v>42</v>
      </c>
      <c r="C130" t="s">
        <v>33</v>
      </c>
      <c r="D130" t="s">
        <v>51</v>
      </c>
      <c r="E130" t="s">
        <v>92</v>
      </c>
      <c r="F130" t="s">
        <v>52</v>
      </c>
      <c r="G130" t="s">
        <v>51</v>
      </c>
      <c r="H130" t="s">
        <v>427</v>
      </c>
      <c r="I130" t="s">
        <v>306</v>
      </c>
      <c r="J130">
        <v>335.32</v>
      </c>
      <c r="K130">
        <v>6</v>
      </c>
      <c r="L130" t="s">
        <v>39</v>
      </c>
      <c r="M130">
        <v>3</v>
      </c>
      <c r="N130">
        <v>3</v>
      </c>
      <c r="O130">
        <v>1</v>
      </c>
      <c r="P130" t="s">
        <v>40</v>
      </c>
      <c r="Q130" t="s">
        <v>57</v>
      </c>
      <c r="R130">
        <v>0</v>
      </c>
      <c r="S130">
        <v>1</v>
      </c>
      <c r="T130" t="s">
        <v>69</v>
      </c>
      <c r="U130" t="s">
        <v>95</v>
      </c>
      <c r="V130" t="s">
        <v>76</v>
      </c>
      <c r="W130" s="1">
        <v>45516</v>
      </c>
      <c r="X130" t="b">
        <v>1</v>
      </c>
      <c r="Y130" t="b">
        <v>0</v>
      </c>
      <c r="Z130" t="s">
        <v>89</v>
      </c>
      <c r="AA130" t="s">
        <v>45</v>
      </c>
      <c r="AB130">
        <v>10</v>
      </c>
      <c r="AF130" t="str">
        <f>tbl_OriginalData[[#This Row],[Customer_ID]]</f>
        <v>48-343-1220</v>
      </c>
      <c r="AG130">
        <f>tbl_OriginalData[[#This Row],[Age]]</f>
        <v>42</v>
      </c>
      <c r="AH130" t="str" cm="1">
        <f t="array" ref="AH13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30" t="str">
        <f>tbl_OriginalData[[#This Row],[Gender]]</f>
        <v>Female</v>
      </c>
      <c r="AJ130" t="str">
        <f>tbl_OriginalData[[#This Row],[Income_Level]]</f>
        <v>High</v>
      </c>
      <c r="AK130" t="str">
        <f>tbl_OriginalData[[#This Row],[Marital_Status]]</f>
        <v>Divorced</v>
      </c>
      <c r="AL130" t="str">
        <f>tbl_OriginalData[[#This Row],[Education_Level]]</f>
        <v>High School</v>
      </c>
      <c r="AM130" t="str">
        <f>tbl_OriginalData[[#This Row],[Occupation]]</f>
        <v>High</v>
      </c>
      <c r="AN130" t="s">
        <v>427</v>
      </c>
      <c r="AO130" t="s">
        <v>186</v>
      </c>
      <c r="AP130" t="str">
        <f>tbl_OriginalData[[#This Row],[Purchase_Category]]</f>
        <v>Jewelry &amp; Accessories</v>
      </c>
      <c r="AQ130" s="4">
        <f>tbl_OriginalData[[#This Row],[Purchase_Amount]]</f>
        <v>335.32</v>
      </c>
      <c r="AR130">
        <f>tbl_OriginalData[[#This Row],[Frequency_of_Purchase]]</f>
        <v>6</v>
      </c>
      <c r="AS130" t="str">
        <f>tbl_OriginalData[[#This Row],[Purchase_Channel]]</f>
        <v>Mixed</v>
      </c>
      <c r="AT130">
        <f>tbl_OriginalData[[#This Row],[Brand_Loyalty]]</f>
        <v>3</v>
      </c>
      <c r="AU130">
        <f>tbl_OriginalData[[#This Row],[Product_Rating]]</f>
        <v>3</v>
      </c>
      <c r="AV130">
        <f>tbl_OriginalData[[#This Row],[Time_Spent_on_Product_Research(hours)]]*60</f>
        <v>60</v>
      </c>
      <c r="AW130" t="str">
        <f>tbl_OriginalData[[#This Row],[Social_Media_Influence]]</f>
        <v>None</v>
      </c>
      <c r="AX130" t="str">
        <f>tbl_OriginalData[[#This Row],[Discount_Sensitivity]]</f>
        <v>Not Sensitive</v>
      </c>
      <c r="AY130" s="3">
        <f>tbl_OriginalData[[#This Row],[Return_Rate]]/tbl_OriginalData[[#This Row],[Frequency_of_Purchase]]</f>
        <v>0</v>
      </c>
      <c r="AZ130">
        <f>tbl_OriginalData[[#This Row],[Customer_Satisfaction]]</f>
        <v>1</v>
      </c>
      <c r="BA130" t="str">
        <f>tbl_OriginalData[[#This Row],[Engagement_with_Ads]]</f>
        <v>Low</v>
      </c>
      <c r="BB130" t="str">
        <f>tbl_OriginalData[[#This Row],[Device_Used_for_Shopping]]</f>
        <v>Desktop</v>
      </c>
      <c r="BC130" t="str">
        <f>tbl_OriginalData[[#This Row],[Payment_Method]]</f>
        <v>Other</v>
      </c>
      <c r="BD130" s="1">
        <f>tbl_OriginalData[[#This Row],[Time_of_Purchase]]</f>
        <v>45516</v>
      </c>
      <c r="BE130" t="str">
        <f>IF(tbl_OriginalData[[#This Row],[Discount_Used]]=TRUE,"Yes","No")</f>
        <v>Yes</v>
      </c>
      <c r="BF130" t="str">
        <f>IF(tbl_OriginalData[[#This Row],[Customer_Loyalty_Program_Member]]=TRUE,"Yes","No")</f>
        <v>No</v>
      </c>
      <c r="BG130" t="str">
        <f>tbl_OriginalData[[#This Row],[Purchase_Intent]]</f>
        <v>Planned</v>
      </c>
      <c r="BH130" t="str">
        <f>tbl_OriginalData[[#This Row],[Shipping_Preference]]</f>
        <v>No Preference</v>
      </c>
      <c r="BI130">
        <f>tbl_OriginalData[[#This Row],[Time_to_Decision]]</f>
        <v>10</v>
      </c>
      <c r="BJ130" t="s">
        <v>124</v>
      </c>
      <c r="BK130" t="s">
        <v>115</v>
      </c>
      <c r="BL130" t="s">
        <v>2523</v>
      </c>
    </row>
    <row r="131" spans="1:64">
      <c r="A131" t="s">
        <v>428</v>
      </c>
      <c r="B131">
        <v>31</v>
      </c>
      <c r="C131" t="s">
        <v>50</v>
      </c>
      <c r="D131" t="s">
        <v>51</v>
      </c>
      <c r="E131" t="s">
        <v>92</v>
      </c>
      <c r="F131" t="s">
        <v>52</v>
      </c>
      <c r="G131" t="s">
        <v>34</v>
      </c>
      <c r="H131" t="s">
        <v>429</v>
      </c>
      <c r="I131" t="s">
        <v>127</v>
      </c>
      <c r="J131">
        <v>184.74</v>
      </c>
      <c r="K131">
        <v>5</v>
      </c>
      <c r="L131" t="s">
        <v>55</v>
      </c>
      <c r="M131">
        <v>4</v>
      </c>
      <c r="N131">
        <v>4</v>
      </c>
      <c r="O131">
        <v>0</v>
      </c>
      <c r="P131" t="s">
        <v>56</v>
      </c>
      <c r="Q131" t="s">
        <v>101</v>
      </c>
      <c r="R131">
        <v>1</v>
      </c>
      <c r="S131">
        <v>5</v>
      </c>
      <c r="T131" t="s">
        <v>51</v>
      </c>
      <c r="U131" t="s">
        <v>42</v>
      </c>
      <c r="V131" t="s">
        <v>71</v>
      </c>
      <c r="W131" s="1">
        <v>45623</v>
      </c>
      <c r="X131" t="b">
        <v>0</v>
      </c>
      <c r="Y131" t="b">
        <v>1</v>
      </c>
      <c r="Z131" t="s">
        <v>72</v>
      </c>
      <c r="AA131" t="s">
        <v>45</v>
      </c>
      <c r="AB131">
        <v>10</v>
      </c>
      <c r="AF131" t="str">
        <f>tbl_OriginalData[[#This Row],[Customer_ID]]</f>
        <v>15-640-6493</v>
      </c>
      <c r="AG131">
        <f>tbl_OriginalData[[#This Row],[Age]]</f>
        <v>31</v>
      </c>
      <c r="AH131" t="str" cm="1">
        <f t="array" ref="AH13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31" t="str">
        <f>tbl_OriginalData[[#This Row],[Gender]]</f>
        <v>Male</v>
      </c>
      <c r="AJ131" t="str">
        <f>tbl_OriginalData[[#This Row],[Income_Level]]</f>
        <v>High</v>
      </c>
      <c r="AK131" t="str">
        <f>tbl_OriginalData[[#This Row],[Marital_Status]]</f>
        <v>Divorced</v>
      </c>
      <c r="AL131" t="str">
        <f>tbl_OriginalData[[#This Row],[Education_Level]]</f>
        <v>High School</v>
      </c>
      <c r="AM131" t="str">
        <f>tbl_OriginalData[[#This Row],[Occupation]]</f>
        <v>Middle</v>
      </c>
      <c r="AN131" t="s">
        <v>429</v>
      </c>
      <c r="AO131" t="s">
        <v>411</v>
      </c>
      <c r="AP131" t="str">
        <f>tbl_OriginalData[[#This Row],[Purchase_Category]]</f>
        <v>Animal Feed</v>
      </c>
      <c r="AQ131" s="4">
        <f>tbl_OriginalData[[#This Row],[Purchase_Amount]]</f>
        <v>184.74</v>
      </c>
      <c r="AR131">
        <f>tbl_OriginalData[[#This Row],[Frequency_of_Purchase]]</f>
        <v>5</v>
      </c>
      <c r="AS131" t="str">
        <f>tbl_OriginalData[[#This Row],[Purchase_Channel]]</f>
        <v>In-Store</v>
      </c>
      <c r="AT131">
        <f>tbl_OriginalData[[#This Row],[Brand_Loyalty]]</f>
        <v>4</v>
      </c>
      <c r="AU131">
        <f>tbl_OriginalData[[#This Row],[Product_Rating]]</f>
        <v>4</v>
      </c>
      <c r="AV131">
        <f>tbl_OriginalData[[#This Row],[Time_Spent_on_Product_Research(hours)]]*60</f>
        <v>0</v>
      </c>
      <c r="AW131" t="str">
        <f>tbl_OriginalData[[#This Row],[Social_Media_Influence]]</f>
        <v>Medium</v>
      </c>
      <c r="AX131" t="str">
        <f>tbl_OriginalData[[#This Row],[Discount_Sensitivity]]</f>
        <v>Very Sensitive</v>
      </c>
      <c r="AY131" s="3">
        <f>tbl_OriginalData[[#This Row],[Return_Rate]]/tbl_OriginalData[[#This Row],[Frequency_of_Purchase]]</f>
        <v>0.2</v>
      </c>
      <c r="AZ131">
        <f>tbl_OriginalData[[#This Row],[Customer_Satisfaction]]</f>
        <v>5</v>
      </c>
      <c r="BA131" t="str">
        <f>tbl_OriginalData[[#This Row],[Engagement_with_Ads]]</f>
        <v>High</v>
      </c>
      <c r="BB131" t="str">
        <f>tbl_OriginalData[[#This Row],[Device_Used_for_Shopping]]</f>
        <v>Tablet</v>
      </c>
      <c r="BC131" t="str">
        <f>tbl_OriginalData[[#This Row],[Payment_Method]]</f>
        <v>Debit Card</v>
      </c>
      <c r="BD131" s="1">
        <f>tbl_OriginalData[[#This Row],[Time_of_Purchase]]</f>
        <v>45623</v>
      </c>
      <c r="BE131" t="str">
        <f>IF(tbl_OriginalData[[#This Row],[Discount_Used]]=TRUE,"Yes","No")</f>
        <v>No</v>
      </c>
      <c r="BF131" t="str">
        <f>IF(tbl_OriginalData[[#This Row],[Customer_Loyalty_Program_Member]]=TRUE,"Yes","No")</f>
        <v>Yes</v>
      </c>
      <c r="BG131" t="str">
        <f>tbl_OriginalData[[#This Row],[Purchase_Intent]]</f>
        <v>Impulsive</v>
      </c>
      <c r="BH131" t="str">
        <f>tbl_OriginalData[[#This Row],[Shipping_Preference]]</f>
        <v>No Preference</v>
      </c>
      <c r="BI131">
        <f>tbl_OriginalData[[#This Row],[Time_to_Decision]]</f>
        <v>10</v>
      </c>
      <c r="BJ131" t="s">
        <v>177</v>
      </c>
      <c r="BK131" t="s">
        <v>80</v>
      </c>
      <c r="BL131" t="s">
        <v>2524</v>
      </c>
    </row>
    <row r="132" spans="1:64">
      <c r="A132" t="s">
        <v>430</v>
      </c>
      <c r="B132">
        <v>37</v>
      </c>
      <c r="C132" t="s">
        <v>431</v>
      </c>
      <c r="D132" t="s">
        <v>51</v>
      </c>
      <c r="E132" t="s">
        <v>92</v>
      </c>
      <c r="F132" t="s">
        <v>36</v>
      </c>
      <c r="G132" t="s">
        <v>34</v>
      </c>
      <c r="H132" t="s">
        <v>432</v>
      </c>
      <c r="I132" t="s">
        <v>242</v>
      </c>
      <c r="J132">
        <v>442.18</v>
      </c>
      <c r="K132">
        <v>5</v>
      </c>
      <c r="L132" t="s">
        <v>55</v>
      </c>
      <c r="M132">
        <v>4</v>
      </c>
      <c r="N132">
        <v>3</v>
      </c>
      <c r="O132">
        <v>1</v>
      </c>
      <c r="P132" t="s">
        <v>40</v>
      </c>
      <c r="Q132" t="s">
        <v>101</v>
      </c>
      <c r="R132">
        <v>2</v>
      </c>
      <c r="S132">
        <v>10</v>
      </c>
      <c r="T132" t="s">
        <v>51</v>
      </c>
      <c r="U132" t="s">
        <v>70</v>
      </c>
      <c r="V132" t="s">
        <v>58</v>
      </c>
      <c r="W132" s="1">
        <v>45316</v>
      </c>
      <c r="X132" t="b">
        <v>0</v>
      </c>
      <c r="Y132" t="b">
        <v>0</v>
      </c>
      <c r="Z132" t="s">
        <v>72</v>
      </c>
      <c r="AA132" t="s">
        <v>77</v>
      </c>
      <c r="AB132">
        <v>12</v>
      </c>
      <c r="AF132" t="str">
        <f>tbl_OriginalData[[#This Row],[Customer_ID]]</f>
        <v>64-846-7450</v>
      </c>
      <c r="AG132">
        <f>tbl_OriginalData[[#This Row],[Age]]</f>
        <v>37</v>
      </c>
      <c r="AH132" t="str" cm="1">
        <f t="array" ref="AH13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32" t="str">
        <f>tbl_OriginalData[[#This Row],[Gender]]</f>
        <v>Genderqueer</v>
      </c>
      <c r="AJ132" t="str">
        <f>tbl_OriginalData[[#This Row],[Income_Level]]</f>
        <v>High</v>
      </c>
      <c r="AK132" t="str">
        <f>tbl_OriginalData[[#This Row],[Marital_Status]]</f>
        <v>Divorced</v>
      </c>
      <c r="AL132" t="str">
        <f>tbl_OriginalData[[#This Row],[Education_Level]]</f>
        <v>Bachelor's</v>
      </c>
      <c r="AM132" t="str">
        <f>tbl_OriginalData[[#This Row],[Occupation]]</f>
        <v>Middle</v>
      </c>
      <c r="AN132" t="s">
        <v>432</v>
      </c>
      <c r="AO132" t="s">
        <v>61</v>
      </c>
      <c r="AP132" t="str">
        <f>tbl_OriginalData[[#This Row],[Purchase_Category]]</f>
        <v>Travel &amp; Leisure (Flights</v>
      </c>
      <c r="AQ132" s="4">
        <f>tbl_OriginalData[[#This Row],[Purchase_Amount]]</f>
        <v>442.18</v>
      </c>
      <c r="AR132">
        <f>tbl_OriginalData[[#This Row],[Frequency_of_Purchase]]</f>
        <v>5</v>
      </c>
      <c r="AS132" t="str">
        <f>tbl_OriginalData[[#This Row],[Purchase_Channel]]</f>
        <v>In-Store</v>
      </c>
      <c r="AT132">
        <f>tbl_OriginalData[[#This Row],[Brand_Loyalty]]</f>
        <v>4</v>
      </c>
      <c r="AU132">
        <f>tbl_OriginalData[[#This Row],[Product_Rating]]</f>
        <v>3</v>
      </c>
      <c r="AV132">
        <f>tbl_OriginalData[[#This Row],[Time_Spent_on_Product_Research(hours)]]*60</f>
        <v>60</v>
      </c>
      <c r="AW132" t="str">
        <f>tbl_OriginalData[[#This Row],[Social_Media_Influence]]</f>
        <v>None</v>
      </c>
      <c r="AX132" t="str">
        <f>tbl_OriginalData[[#This Row],[Discount_Sensitivity]]</f>
        <v>Very Sensitive</v>
      </c>
      <c r="AY132" s="3">
        <f>tbl_OriginalData[[#This Row],[Return_Rate]]/tbl_OriginalData[[#This Row],[Frequency_of_Purchase]]</f>
        <v>0.4</v>
      </c>
      <c r="AZ132">
        <f>tbl_OriginalData[[#This Row],[Customer_Satisfaction]]</f>
        <v>10</v>
      </c>
      <c r="BA132" t="str">
        <f>tbl_OriginalData[[#This Row],[Engagement_with_Ads]]</f>
        <v>High</v>
      </c>
      <c r="BB132" t="str">
        <f>tbl_OriginalData[[#This Row],[Device_Used_for_Shopping]]</f>
        <v>Smartphone</v>
      </c>
      <c r="BC132" t="str">
        <f>tbl_OriginalData[[#This Row],[Payment_Method]]</f>
        <v>PayPal</v>
      </c>
      <c r="BD132" s="1">
        <f>tbl_OriginalData[[#This Row],[Time_of_Purchase]]</f>
        <v>45316</v>
      </c>
      <c r="BE132" t="str">
        <f>IF(tbl_OriginalData[[#This Row],[Discount_Used]]=TRUE,"Yes","No")</f>
        <v>No</v>
      </c>
      <c r="BF132" t="str">
        <f>IF(tbl_OriginalData[[#This Row],[Customer_Loyalty_Program_Member]]=TRUE,"Yes","No")</f>
        <v>No</v>
      </c>
      <c r="BG132" t="str">
        <f>tbl_OriginalData[[#This Row],[Purchase_Intent]]</f>
        <v>Impulsive</v>
      </c>
      <c r="BH132" t="str">
        <f>tbl_OriginalData[[#This Row],[Shipping_Preference]]</f>
        <v>Express</v>
      </c>
      <c r="BI132">
        <f>tbl_OriginalData[[#This Row],[Time_to_Decision]]</f>
        <v>12</v>
      </c>
      <c r="BJ132" t="s">
        <v>86</v>
      </c>
      <c r="BK132" t="s">
        <v>48</v>
      </c>
      <c r="BL132" t="s">
        <v>2524</v>
      </c>
    </row>
    <row r="133" spans="1:64">
      <c r="A133" t="s">
        <v>433</v>
      </c>
      <c r="B133">
        <v>49</v>
      </c>
      <c r="C133" t="s">
        <v>50</v>
      </c>
      <c r="D133" t="s">
        <v>51</v>
      </c>
      <c r="E133" t="s">
        <v>35</v>
      </c>
      <c r="F133" t="s">
        <v>52</v>
      </c>
      <c r="G133" t="s">
        <v>34</v>
      </c>
      <c r="H133" t="s">
        <v>434</v>
      </c>
      <c r="I133" t="s">
        <v>180</v>
      </c>
      <c r="J133">
        <v>427.1</v>
      </c>
      <c r="K133">
        <v>8</v>
      </c>
      <c r="L133" t="s">
        <v>39</v>
      </c>
      <c r="M133">
        <v>1</v>
      </c>
      <c r="N133">
        <v>2</v>
      </c>
      <c r="O133">
        <v>1</v>
      </c>
      <c r="P133" t="s">
        <v>51</v>
      </c>
      <c r="Q133" t="s">
        <v>41</v>
      </c>
      <c r="R133">
        <v>0</v>
      </c>
      <c r="S133">
        <v>2</v>
      </c>
      <c r="T133" t="s">
        <v>56</v>
      </c>
      <c r="U133" t="s">
        <v>95</v>
      </c>
      <c r="V133" t="s">
        <v>58</v>
      </c>
      <c r="W133" s="1">
        <v>45422</v>
      </c>
      <c r="X133" t="b">
        <v>0</v>
      </c>
      <c r="Y133" t="b">
        <v>1</v>
      </c>
      <c r="Z133" t="s">
        <v>89</v>
      </c>
      <c r="AA133" t="s">
        <v>45</v>
      </c>
      <c r="AB133">
        <v>5</v>
      </c>
      <c r="AF133" t="str">
        <f>tbl_OriginalData[[#This Row],[Customer_ID]]</f>
        <v>58-788-8938</v>
      </c>
      <c r="AG133">
        <f>tbl_OriginalData[[#This Row],[Age]]</f>
        <v>49</v>
      </c>
      <c r="AH133" t="str" cm="1">
        <f t="array" ref="AH13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33" t="str">
        <f>tbl_OriginalData[[#This Row],[Gender]]</f>
        <v>Male</v>
      </c>
      <c r="AJ133" t="str">
        <f>tbl_OriginalData[[#This Row],[Income_Level]]</f>
        <v>High</v>
      </c>
      <c r="AK133" t="str">
        <f>tbl_OriginalData[[#This Row],[Marital_Status]]</f>
        <v>Married</v>
      </c>
      <c r="AL133" t="str">
        <f>tbl_OriginalData[[#This Row],[Education_Level]]</f>
        <v>High School</v>
      </c>
      <c r="AM133" t="str">
        <f>tbl_OriginalData[[#This Row],[Occupation]]</f>
        <v>Middle</v>
      </c>
      <c r="AN133" t="s">
        <v>434</v>
      </c>
      <c r="AO133" t="s">
        <v>85</v>
      </c>
      <c r="AP133" t="str">
        <f>tbl_OriginalData[[#This Row],[Purchase_Category]]</f>
        <v>Health Supplements</v>
      </c>
      <c r="AQ133" s="4">
        <f>tbl_OriginalData[[#This Row],[Purchase_Amount]]</f>
        <v>427.1</v>
      </c>
      <c r="AR133">
        <f>tbl_OriginalData[[#This Row],[Frequency_of_Purchase]]</f>
        <v>8</v>
      </c>
      <c r="AS133" t="str">
        <f>tbl_OriginalData[[#This Row],[Purchase_Channel]]</f>
        <v>Mixed</v>
      </c>
      <c r="AT133">
        <f>tbl_OriginalData[[#This Row],[Brand_Loyalty]]</f>
        <v>1</v>
      </c>
      <c r="AU133">
        <f>tbl_OriginalData[[#This Row],[Product_Rating]]</f>
        <v>2</v>
      </c>
      <c r="AV133">
        <f>tbl_OriginalData[[#This Row],[Time_Spent_on_Product_Research(hours)]]*60</f>
        <v>60</v>
      </c>
      <c r="AW133" t="str">
        <f>tbl_OriginalData[[#This Row],[Social_Media_Influence]]</f>
        <v>High</v>
      </c>
      <c r="AX133" t="str">
        <f>tbl_OriginalData[[#This Row],[Discount_Sensitivity]]</f>
        <v>Somewhat Sensitive</v>
      </c>
      <c r="AY133" s="3">
        <f>tbl_OriginalData[[#This Row],[Return_Rate]]/tbl_OriginalData[[#This Row],[Frequency_of_Purchase]]</f>
        <v>0</v>
      </c>
      <c r="AZ133">
        <f>tbl_OriginalData[[#This Row],[Customer_Satisfaction]]</f>
        <v>2</v>
      </c>
      <c r="BA133" t="str">
        <f>tbl_OriginalData[[#This Row],[Engagement_with_Ads]]</f>
        <v>Medium</v>
      </c>
      <c r="BB133" t="str">
        <f>tbl_OriginalData[[#This Row],[Device_Used_for_Shopping]]</f>
        <v>Desktop</v>
      </c>
      <c r="BC133" t="str">
        <f>tbl_OriginalData[[#This Row],[Payment_Method]]</f>
        <v>PayPal</v>
      </c>
      <c r="BD133" s="1">
        <f>tbl_OriginalData[[#This Row],[Time_of_Purchase]]</f>
        <v>45422</v>
      </c>
      <c r="BE133" t="str">
        <f>IF(tbl_OriginalData[[#This Row],[Discount_Used]]=TRUE,"Yes","No")</f>
        <v>No</v>
      </c>
      <c r="BF133" t="str">
        <f>IF(tbl_OriginalData[[#This Row],[Customer_Loyalty_Program_Member]]=TRUE,"Yes","No")</f>
        <v>Yes</v>
      </c>
      <c r="BG133" t="str">
        <f>tbl_OriginalData[[#This Row],[Purchase_Intent]]</f>
        <v>Planned</v>
      </c>
      <c r="BH133" t="str">
        <f>tbl_OriginalData[[#This Row],[Shipping_Preference]]</f>
        <v>No Preference</v>
      </c>
      <c r="BI133">
        <f>tbl_OriginalData[[#This Row],[Time_to_Decision]]</f>
        <v>5</v>
      </c>
      <c r="BJ133" t="s">
        <v>167</v>
      </c>
      <c r="BK133" t="s">
        <v>63</v>
      </c>
      <c r="BL133" t="s">
        <v>2524</v>
      </c>
    </row>
    <row r="134" spans="1:64">
      <c r="A134" t="s">
        <v>435</v>
      </c>
      <c r="B134">
        <v>34</v>
      </c>
      <c r="C134" t="s">
        <v>50</v>
      </c>
      <c r="D134" t="s">
        <v>51</v>
      </c>
      <c r="E134" t="s">
        <v>82</v>
      </c>
      <c r="F134" t="s">
        <v>52</v>
      </c>
      <c r="G134" t="s">
        <v>51</v>
      </c>
      <c r="H134" t="s">
        <v>436</v>
      </c>
      <c r="I134" t="s">
        <v>75</v>
      </c>
      <c r="J134">
        <v>326.82</v>
      </c>
      <c r="K134">
        <v>4</v>
      </c>
      <c r="L134" t="s">
        <v>39</v>
      </c>
      <c r="M134">
        <v>3</v>
      </c>
      <c r="N134">
        <v>2</v>
      </c>
      <c r="O134">
        <v>1</v>
      </c>
      <c r="P134" t="s">
        <v>51</v>
      </c>
      <c r="Q134" t="s">
        <v>41</v>
      </c>
      <c r="R134">
        <v>2</v>
      </c>
      <c r="S134">
        <v>5</v>
      </c>
      <c r="T134" t="s">
        <v>56</v>
      </c>
      <c r="U134" t="s">
        <v>42</v>
      </c>
      <c r="V134" t="s">
        <v>43</v>
      </c>
      <c r="W134" s="1">
        <v>45404</v>
      </c>
      <c r="X134" t="b">
        <v>1</v>
      </c>
      <c r="Y134" t="b">
        <v>0</v>
      </c>
      <c r="Z134" t="s">
        <v>89</v>
      </c>
      <c r="AA134" t="s">
        <v>60</v>
      </c>
      <c r="AB134">
        <v>4</v>
      </c>
      <c r="AF134" t="str">
        <f>tbl_OriginalData[[#This Row],[Customer_ID]]</f>
        <v>52-240-3825</v>
      </c>
      <c r="AG134">
        <f>tbl_OriginalData[[#This Row],[Age]]</f>
        <v>34</v>
      </c>
      <c r="AH134" t="str" cm="1">
        <f t="array" ref="AH13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34" t="str">
        <f>tbl_OriginalData[[#This Row],[Gender]]</f>
        <v>Male</v>
      </c>
      <c r="AJ134" t="str">
        <f>tbl_OriginalData[[#This Row],[Income_Level]]</f>
        <v>High</v>
      </c>
      <c r="AK134" t="str">
        <f>tbl_OriginalData[[#This Row],[Marital_Status]]</f>
        <v>Widowed</v>
      </c>
      <c r="AL134" t="str">
        <f>tbl_OriginalData[[#This Row],[Education_Level]]</f>
        <v>High School</v>
      </c>
      <c r="AM134" t="str">
        <f>tbl_OriginalData[[#This Row],[Occupation]]</f>
        <v>High</v>
      </c>
      <c r="AN134" t="s">
        <v>436</v>
      </c>
      <c r="AO134" t="s">
        <v>194</v>
      </c>
      <c r="AP134" t="str">
        <f>tbl_OriginalData[[#This Row],[Purchase_Category]]</f>
        <v>Home Appliances</v>
      </c>
      <c r="AQ134" s="4">
        <f>tbl_OriginalData[[#This Row],[Purchase_Amount]]</f>
        <v>326.82</v>
      </c>
      <c r="AR134">
        <f>tbl_OriginalData[[#This Row],[Frequency_of_Purchase]]</f>
        <v>4</v>
      </c>
      <c r="AS134" t="str">
        <f>tbl_OriginalData[[#This Row],[Purchase_Channel]]</f>
        <v>Mixed</v>
      </c>
      <c r="AT134">
        <f>tbl_OriginalData[[#This Row],[Brand_Loyalty]]</f>
        <v>3</v>
      </c>
      <c r="AU134">
        <f>tbl_OriginalData[[#This Row],[Product_Rating]]</f>
        <v>2</v>
      </c>
      <c r="AV134">
        <f>tbl_OriginalData[[#This Row],[Time_Spent_on_Product_Research(hours)]]*60</f>
        <v>60</v>
      </c>
      <c r="AW134" t="str">
        <f>tbl_OriginalData[[#This Row],[Social_Media_Influence]]</f>
        <v>High</v>
      </c>
      <c r="AX134" t="str">
        <f>tbl_OriginalData[[#This Row],[Discount_Sensitivity]]</f>
        <v>Somewhat Sensitive</v>
      </c>
      <c r="AY134" s="3">
        <f>tbl_OriginalData[[#This Row],[Return_Rate]]/tbl_OriginalData[[#This Row],[Frequency_of_Purchase]]</f>
        <v>0.5</v>
      </c>
      <c r="AZ134">
        <f>tbl_OriginalData[[#This Row],[Customer_Satisfaction]]</f>
        <v>5</v>
      </c>
      <c r="BA134" t="str">
        <f>tbl_OriginalData[[#This Row],[Engagement_with_Ads]]</f>
        <v>Medium</v>
      </c>
      <c r="BB134" t="str">
        <f>tbl_OriginalData[[#This Row],[Device_Used_for_Shopping]]</f>
        <v>Tablet</v>
      </c>
      <c r="BC134" t="str">
        <f>tbl_OriginalData[[#This Row],[Payment_Method]]</f>
        <v>Credit Card</v>
      </c>
      <c r="BD134" s="1">
        <f>tbl_OriginalData[[#This Row],[Time_of_Purchase]]</f>
        <v>45404</v>
      </c>
      <c r="BE134" t="str">
        <f>IF(tbl_OriginalData[[#This Row],[Discount_Used]]=TRUE,"Yes","No")</f>
        <v>Yes</v>
      </c>
      <c r="BF134" t="str">
        <f>IF(tbl_OriginalData[[#This Row],[Customer_Loyalty_Program_Member]]=TRUE,"Yes","No")</f>
        <v>No</v>
      </c>
      <c r="BG134" t="str">
        <f>tbl_OriginalData[[#This Row],[Purchase_Intent]]</f>
        <v>Planned</v>
      </c>
      <c r="BH134" t="str">
        <f>tbl_OriginalData[[#This Row],[Shipping_Preference]]</f>
        <v>Standard</v>
      </c>
      <c r="BI134">
        <f>tbl_OriginalData[[#This Row],[Time_to_Decision]]</f>
        <v>4</v>
      </c>
      <c r="BJ134" t="s">
        <v>62</v>
      </c>
      <c r="BK134" t="s">
        <v>63</v>
      </c>
      <c r="BL134" t="s">
        <v>2524</v>
      </c>
    </row>
    <row r="135" spans="1:64">
      <c r="A135" t="s">
        <v>437</v>
      </c>
      <c r="B135">
        <v>41</v>
      </c>
      <c r="C135" t="s">
        <v>50</v>
      </c>
      <c r="D135" t="s">
        <v>51</v>
      </c>
      <c r="E135" t="s">
        <v>82</v>
      </c>
      <c r="F135" t="s">
        <v>52</v>
      </c>
      <c r="G135" t="s">
        <v>34</v>
      </c>
      <c r="H135" t="s">
        <v>438</v>
      </c>
      <c r="I135" t="s">
        <v>135</v>
      </c>
      <c r="J135">
        <v>98.97</v>
      </c>
      <c r="K135">
        <v>12</v>
      </c>
      <c r="L135" t="s">
        <v>55</v>
      </c>
      <c r="M135">
        <v>2</v>
      </c>
      <c r="N135">
        <v>5</v>
      </c>
      <c r="O135">
        <v>2</v>
      </c>
      <c r="P135" t="s">
        <v>40</v>
      </c>
      <c r="Q135" t="s">
        <v>101</v>
      </c>
      <c r="R135">
        <v>1</v>
      </c>
      <c r="S135">
        <v>7</v>
      </c>
      <c r="T135" t="s">
        <v>51</v>
      </c>
      <c r="U135" t="s">
        <v>42</v>
      </c>
      <c r="V135" t="s">
        <v>76</v>
      </c>
      <c r="W135" s="1">
        <v>45370</v>
      </c>
      <c r="X135" t="b">
        <v>1</v>
      </c>
      <c r="Y135" t="b">
        <v>1</v>
      </c>
      <c r="Z135" t="s">
        <v>72</v>
      </c>
      <c r="AA135" t="s">
        <v>45</v>
      </c>
      <c r="AB135">
        <v>11</v>
      </c>
      <c r="AF135" t="str">
        <f>tbl_OriginalData[[#This Row],[Customer_ID]]</f>
        <v>60-618-2561</v>
      </c>
      <c r="AG135">
        <f>tbl_OriginalData[[#This Row],[Age]]</f>
        <v>41</v>
      </c>
      <c r="AH135" t="str" cm="1">
        <f t="array" ref="AH13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35" t="str">
        <f>tbl_OriginalData[[#This Row],[Gender]]</f>
        <v>Male</v>
      </c>
      <c r="AJ135" t="str">
        <f>tbl_OriginalData[[#This Row],[Income_Level]]</f>
        <v>High</v>
      </c>
      <c r="AK135" t="str">
        <f>tbl_OriginalData[[#This Row],[Marital_Status]]</f>
        <v>Widowed</v>
      </c>
      <c r="AL135" t="str">
        <f>tbl_OriginalData[[#This Row],[Education_Level]]</f>
        <v>High School</v>
      </c>
      <c r="AM135" t="str">
        <f>tbl_OriginalData[[#This Row],[Occupation]]</f>
        <v>Middle</v>
      </c>
      <c r="AN135" t="s">
        <v>438</v>
      </c>
      <c r="AO135" t="s">
        <v>161</v>
      </c>
      <c r="AP135" t="str">
        <f>tbl_OriginalData[[#This Row],[Purchase_Category]]</f>
        <v>Hotels</v>
      </c>
      <c r="AQ135" s="4">
        <f>tbl_OriginalData[[#This Row],[Purchase_Amount]]</f>
        <v>98.97</v>
      </c>
      <c r="AR135">
        <f>tbl_OriginalData[[#This Row],[Frequency_of_Purchase]]</f>
        <v>12</v>
      </c>
      <c r="AS135" t="str">
        <f>tbl_OriginalData[[#This Row],[Purchase_Channel]]</f>
        <v>In-Store</v>
      </c>
      <c r="AT135">
        <f>tbl_OriginalData[[#This Row],[Brand_Loyalty]]</f>
        <v>2</v>
      </c>
      <c r="AU135">
        <f>tbl_OriginalData[[#This Row],[Product_Rating]]</f>
        <v>5</v>
      </c>
      <c r="AV135">
        <f>tbl_OriginalData[[#This Row],[Time_Spent_on_Product_Research(hours)]]*60</f>
        <v>120</v>
      </c>
      <c r="AW135" t="str">
        <f>tbl_OriginalData[[#This Row],[Social_Media_Influence]]</f>
        <v>None</v>
      </c>
      <c r="AX135" t="str">
        <f>tbl_OriginalData[[#This Row],[Discount_Sensitivity]]</f>
        <v>Very Sensitive</v>
      </c>
      <c r="AY135" s="3">
        <f>tbl_OriginalData[[#This Row],[Return_Rate]]/tbl_OriginalData[[#This Row],[Frequency_of_Purchase]]</f>
        <v>8.3333333333333329E-2</v>
      </c>
      <c r="AZ135">
        <f>tbl_OriginalData[[#This Row],[Customer_Satisfaction]]</f>
        <v>7</v>
      </c>
      <c r="BA135" t="str">
        <f>tbl_OriginalData[[#This Row],[Engagement_with_Ads]]</f>
        <v>High</v>
      </c>
      <c r="BB135" t="str">
        <f>tbl_OriginalData[[#This Row],[Device_Used_for_Shopping]]</f>
        <v>Tablet</v>
      </c>
      <c r="BC135" t="str">
        <f>tbl_OriginalData[[#This Row],[Payment_Method]]</f>
        <v>Other</v>
      </c>
      <c r="BD135" s="1">
        <f>tbl_OriginalData[[#This Row],[Time_of_Purchase]]</f>
        <v>45370</v>
      </c>
      <c r="BE135" t="str">
        <f>IF(tbl_OriginalData[[#This Row],[Discount_Used]]=TRUE,"Yes","No")</f>
        <v>Yes</v>
      </c>
      <c r="BF135" t="str">
        <f>IF(tbl_OriginalData[[#This Row],[Customer_Loyalty_Program_Member]]=TRUE,"Yes","No")</f>
        <v>Yes</v>
      </c>
      <c r="BG135" t="str">
        <f>tbl_OriginalData[[#This Row],[Purchase_Intent]]</f>
        <v>Impulsive</v>
      </c>
      <c r="BH135" t="str">
        <f>tbl_OriginalData[[#This Row],[Shipping_Preference]]</f>
        <v>No Preference</v>
      </c>
      <c r="BI135">
        <f>tbl_OriginalData[[#This Row],[Time_to_Decision]]</f>
        <v>11</v>
      </c>
      <c r="BJ135" t="s">
        <v>47</v>
      </c>
      <c r="BK135" t="s">
        <v>48</v>
      </c>
      <c r="BL135" t="s">
        <v>2527</v>
      </c>
    </row>
    <row r="136" spans="1:64">
      <c r="A136" t="s">
        <v>439</v>
      </c>
      <c r="B136">
        <v>33</v>
      </c>
      <c r="C136" t="s">
        <v>50</v>
      </c>
      <c r="D136" t="s">
        <v>51</v>
      </c>
      <c r="E136" t="s">
        <v>65</v>
      </c>
      <c r="F136" t="s">
        <v>52</v>
      </c>
      <c r="G136" t="s">
        <v>51</v>
      </c>
      <c r="H136" t="s">
        <v>440</v>
      </c>
      <c r="I136" t="s">
        <v>131</v>
      </c>
      <c r="J136">
        <v>77.650000000000006</v>
      </c>
      <c r="K136">
        <v>6</v>
      </c>
      <c r="L136" t="s">
        <v>94</v>
      </c>
      <c r="M136">
        <v>1</v>
      </c>
      <c r="N136">
        <v>4</v>
      </c>
      <c r="O136">
        <v>1</v>
      </c>
      <c r="P136" t="s">
        <v>56</v>
      </c>
      <c r="Q136" t="s">
        <v>41</v>
      </c>
      <c r="R136">
        <v>2</v>
      </c>
      <c r="S136">
        <v>3</v>
      </c>
      <c r="T136" t="s">
        <v>40</v>
      </c>
      <c r="U136" t="s">
        <v>42</v>
      </c>
      <c r="V136" t="s">
        <v>102</v>
      </c>
      <c r="W136" s="1">
        <v>45315</v>
      </c>
      <c r="X136" t="b">
        <v>1</v>
      </c>
      <c r="Y136" t="b">
        <v>1</v>
      </c>
      <c r="Z136" t="s">
        <v>89</v>
      </c>
      <c r="AA136" t="s">
        <v>45</v>
      </c>
      <c r="AB136">
        <v>1</v>
      </c>
      <c r="AF136" t="str">
        <f>tbl_OriginalData[[#This Row],[Customer_ID]]</f>
        <v>94-969-6819</v>
      </c>
      <c r="AG136">
        <f>tbl_OriginalData[[#This Row],[Age]]</f>
        <v>33</v>
      </c>
      <c r="AH136" t="str" cm="1">
        <f t="array" ref="AH13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36" t="str">
        <f>tbl_OriginalData[[#This Row],[Gender]]</f>
        <v>Male</v>
      </c>
      <c r="AJ136" t="str">
        <f>tbl_OriginalData[[#This Row],[Income_Level]]</f>
        <v>High</v>
      </c>
      <c r="AK136" t="str">
        <f>tbl_OriginalData[[#This Row],[Marital_Status]]</f>
        <v>Single</v>
      </c>
      <c r="AL136" t="str">
        <f>tbl_OriginalData[[#This Row],[Education_Level]]</f>
        <v>High School</v>
      </c>
      <c r="AM136" t="str">
        <f>tbl_OriginalData[[#This Row],[Occupation]]</f>
        <v>High</v>
      </c>
      <c r="AN136" t="s">
        <v>440</v>
      </c>
      <c r="AO136" t="s">
        <v>103</v>
      </c>
      <c r="AP136" t="str">
        <f>tbl_OriginalData[[#This Row],[Purchase_Category]]</f>
        <v>Health Care</v>
      </c>
      <c r="AQ136" s="4">
        <f>tbl_OriginalData[[#This Row],[Purchase_Amount]]</f>
        <v>77.650000000000006</v>
      </c>
      <c r="AR136">
        <f>tbl_OriginalData[[#This Row],[Frequency_of_Purchase]]</f>
        <v>6</v>
      </c>
      <c r="AS136" t="str">
        <f>tbl_OriginalData[[#This Row],[Purchase_Channel]]</f>
        <v>Online</v>
      </c>
      <c r="AT136">
        <f>tbl_OriginalData[[#This Row],[Brand_Loyalty]]</f>
        <v>1</v>
      </c>
      <c r="AU136">
        <f>tbl_OriginalData[[#This Row],[Product_Rating]]</f>
        <v>4</v>
      </c>
      <c r="AV136">
        <f>tbl_OriginalData[[#This Row],[Time_Spent_on_Product_Research(hours)]]*60</f>
        <v>60</v>
      </c>
      <c r="AW136" t="str">
        <f>tbl_OriginalData[[#This Row],[Social_Media_Influence]]</f>
        <v>Medium</v>
      </c>
      <c r="AX136" t="str">
        <f>tbl_OriginalData[[#This Row],[Discount_Sensitivity]]</f>
        <v>Somewhat Sensitive</v>
      </c>
      <c r="AY136" s="3">
        <f>tbl_OriginalData[[#This Row],[Return_Rate]]/tbl_OriginalData[[#This Row],[Frequency_of_Purchase]]</f>
        <v>0.33333333333333331</v>
      </c>
      <c r="AZ136">
        <f>tbl_OriginalData[[#This Row],[Customer_Satisfaction]]</f>
        <v>3</v>
      </c>
      <c r="BA136" t="str">
        <f>tbl_OriginalData[[#This Row],[Engagement_with_Ads]]</f>
        <v>None</v>
      </c>
      <c r="BB136" t="str">
        <f>tbl_OriginalData[[#This Row],[Device_Used_for_Shopping]]</f>
        <v>Tablet</v>
      </c>
      <c r="BC136" t="str">
        <f>tbl_OriginalData[[#This Row],[Payment_Method]]</f>
        <v>Cash</v>
      </c>
      <c r="BD136" s="1">
        <f>tbl_OriginalData[[#This Row],[Time_of_Purchase]]</f>
        <v>45315</v>
      </c>
      <c r="BE136" t="str">
        <f>IF(tbl_OriginalData[[#This Row],[Discount_Used]]=TRUE,"Yes","No")</f>
        <v>Yes</v>
      </c>
      <c r="BF136" t="str">
        <f>IF(tbl_OriginalData[[#This Row],[Customer_Loyalty_Program_Member]]=TRUE,"Yes","No")</f>
        <v>Yes</v>
      </c>
      <c r="BG136" t="str">
        <f>tbl_OriginalData[[#This Row],[Purchase_Intent]]</f>
        <v>Planned</v>
      </c>
      <c r="BH136" t="str">
        <f>tbl_OriginalData[[#This Row],[Shipping_Preference]]</f>
        <v>No Preference</v>
      </c>
      <c r="BI136">
        <f>tbl_OriginalData[[#This Row],[Time_to_Decision]]</f>
        <v>1</v>
      </c>
      <c r="BJ136" t="s">
        <v>86</v>
      </c>
      <c r="BK136" t="s">
        <v>48</v>
      </c>
      <c r="BL136" t="s">
        <v>2523</v>
      </c>
    </row>
    <row r="137" spans="1:64">
      <c r="A137" t="s">
        <v>441</v>
      </c>
      <c r="B137">
        <v>47</v>
      </c>
      <c r="C137" t="s">
        <v>33</v>
      </c>
      <c r="D137" t="s">
        <v>34</v>
      </c>
      <c r="E137" t="s">
        <v>82</v>
      </c>
      <c r="F137" t="s">
        <v>66</v>
      </c>
      <c r="G137" t="s">
        <v>51</v>
      </c>
      <c r="H137" t="s">
        <v>442</v>
      </c>
      <c r="I137" t="s">
        <v>147</v>
      </c>
      <c r="J137">
        <v>85.61</v>
      </c>
      <c r="K137">
        <v>2</v>
      </c>
      <c r="L137" t="s">
        <v>94</v>
      </c>
      <c r="M137">
        <v>4</v>
      </c>
      <c r="N137">
        <v>2</v>
      </c>
      <c r="O137">
        <v>1</v>
      </c>
      <c r="P137" t="s">
        <v>51</v>
      </c>
      <c r="Q137" t="s">
        <v>57</v>
      </c>
      <c r="R137">
        <v>1</v>
      </c>
      <c r="S137">
        <v>3</v>
      </c>
      <c r="T137" t="s">
        <v>69</v>
      </c>
      <c r="U137" t="s">
        <v>95</v>
      </c>
      <c r="V137" t="s">
        <v>76</v>
      </c>
      <c r="W137" s="1">
        <v>45569</v>
      </c>
      <c r="X137" t="b">
        <v>1</v>
      </c>
      <c r="Y137" t="b">
        <v>1</v>
      </c>
      <c r="Z137" t="s">
        <v>44</v>
      </c>
      <c r="AA137" t="s">
        <v>60</v>
      </c>
      <c r="AB137">
        <v>5</v>
      </c>
      <c r="AF137" t="str">
        <f>tbl_OriginalData[[#This Row],[Customer_ID]]</f>
        <v>76-982-8107</v>
      </c>
      <c r="AG137">
        <f>tbl_OriginalData[[#This Row],[Age]]</f>
        <v>47</v>
      </c>
      <c r="AH137" t="str" cm="1">
        <f t="array" ref="AH13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37" t="str">
        <f>tbl_OriginalData[[#This Row],[Gender]]</f>
        <v>Female</v>
      </c>
      <c r="AJ137" t="str">
        <f>tbl_OriginalData[[#This Row],[Income_Level]]</f>
        <v>Middle</v>
      </c>
      <c r="AK137" t="str">
        <f>tbl_OriginalData[[#This Row],[Marital_Status]]</f>
        <v>Widowed</v>
      </c>
      <c r="AL137" t="str">
        <f>tbl_OriginalData[[#This Row],[Education_Level]]</f>
        <v>Master's</v>
      </c>
      <c r="AM137" t="str">
        <f>tbl_OriginalData[[#This Row],[Occupation]]</f>
        <v>High</v>
      </c>
      <c r="AN137" t="s">
        <v>442</v>
      </c>
      <c r="AO137" t="s">
        <v>443</v>
      </c>
      <c r="AP137" t="str">
        <f>tbl_OriginalData[[#This Row],[Purchase_Category]]</f>
        <v>Electronics</v>
      </c>
      <c r="AQ137" s="4">
        <f>tbl_OriginalData[[#This Row],[Purchase_Amount]]</f>
        <v>85.61</v>
      </c>
      <c r="AR137">
        <f>tbl_OriginalData[[#This Row],[Frequency_of_Purchase]]</f>
        <v>2</v>
      </c>
      <c r="AS137" t="str">
        <f>tbl_OriginalData[[#This Row],[Purchase_Channel]]</f>
        <v>Online</v>
      </c>
      <c r="AT137">
        <f>tbl_OriginalData[[#This Row],[Brand_Loyalty]]</f>
        <v>4</v>
      </c>
      <c r="AU137">
        <f>tbl_OriginalData[[#This Row],[Product_Rating]]</f>
        <v>2</v>
      </c>
      <c r="AV137">
        <f>tbl_OriginalData[[#This Row],[Time_Spent_on_Product_Research(hours)]]*60</f>
        <v>60</v>
      </c>
      <c r="AW137" t="str">
        <f>tbl_OriginalData[[#This Row],[Social_Media_Influence]]</f>
        <v>High</v>
      </c>
      <c r="AX137" t="str">
        <f>tbl_OriginalData[[#This Row],[Discount_Sensitivity]]</f>
        <v>Not Sensitive</v>
      </c>
      <c r="AY137" s="3">
        <f>tbl_OriginalData[[#This Row],[Return_Rate]]/tbl_OriginalData[[#This Row],[Frequency_of_Purchase]]</f>
        <v>0.5</v>
      </c>
      <c r="AZ137">
        <f>tbl_OriginalData[[#This Row],[Customer_Satisfaction]]</f>
        <v>3</v>
      </c>
      <c r="BA137" t="str">
        <f>tbl_OriginalData[[#This Row],[Engagement_with_Ads]]</f>
        <v>Low</v>
      </c>
      <c r="BB137" t="str">
        <f>tbl_OriginalData[[#This Row],[Device_Used_for_Shopping]]</f>
        <v>Desktop</v>
      </c>
      <c r="BC137" t="str">
        <f>tbl_OriginalData[[#This Row],[Payment_Method]]</f>
        <v>Other</v>
      </c>
      <c r="BD137" s="1">
        <f>tbl_OriginalData[[#This Row],[Time_of_Purchase]]</f>
        <v>45569</v>
      </c>
      <c r="BE137" t="str">
        <f>IF(tbl_OriginalData[[#This Row],[Discount_Used]]=TRUE,"Yes","No")</f>
        <v>Yes</v>
      </c>
      <c r="BF137" t="str">
        <f>IF(tbl_OriginalData[[#This Row],[Customer_Loyalty_Program_Member]]=TRUE,"Yes","No")</f>
        <v>Yes</v>
      </c>
      <c r="BG137" t="str">
        <f>tbl_OriginalData[[#This Row],[Purchase_Intent]]</f>
        <v>Need-based</v>
      </c>
      <c r="BH137" t="str">
        <f>tbl_OriginalData[[#This Row],[Shipping_Preference]]</f>
        <v>Standard</v>
      </c>
      <c r="BI137">
        <f>tbl_OriginalData[[#This Row],[Time_to_Decision]]</f>
        <v>5</v>
      </c>
      <c r="BJ137" t="s">
        <v>79</v>
      </c>
      <c r="BK137" t="s">
        <v>80</v>
      </c>
      <c r="BL137" t="s">
        <v>2528</v>
      </c>
    </row>
    <row r="138" spans="1:64">
      <c r="A138" t="s">
        <v>444</v>
      </c>
      <c r="B138">
        <v>47</v>
      </c>
      <c r="C138" t="s">
        <v>50</v>
      </c>
      <c r="D138" t="s">
        <v>51</v>
      </c>
      <c r="E138" t="s">
        <v>82</v>
      </c>
      <c r="F138" t="s">
        <v>52</v>
      </c>
      <c r="G138" t="s">
        <v>51</v>
      </c>
      <c r="H138" t="s">
        <v>445</v>
      </c>
      <c r="I138" t="s">
        <v>54</v>
      </c>
      <c r="J138">
        <v>164.79</v>
      </c>
      <c r="K138">
        <v>4</v>
      </c>
      <c r="L138" t="s">
        <v>55</v>
      </c>
      <c r="M138">
        <v>3</v>
      </c>
      <c r="N138">
        <v>2</v>
      </c>
      <c r="O138">
        <v>0</v>
      </c>
      <c r="P138" t="s">
        <v>40</v>
      </c>
      <c r="Q138" t="s">
        <v>41</v>
      </c>
      <c r="R138">
        <v>2</v>
      </c>
      <c r="S138">
        <v>5</v>
      </c>
      <c r="T138" t="s">
        <v>51</v>
      </c>
      <c r="U138" t="s">
        <v>42</v>
      </c>
      <c r="V138" t="s">
        <v>43</v>
      </c>
      <c r="W138" s="1">
        <v>45435</v>
      </c>
      <c r="X138" t="b">
        <v>1</v>
      </c>
      <c r="Y138" t="b">
        <v>1</v>
      </c>
      <c r="Z138" t="s">
        <v>72</v>
      </c>
      <c r="AA138" t="s">
        <v>45</v>
      </c>
      <c r="AB138">
        <v>1</v>
      </c>
      <c r="AF138" t="str">
        <f>tbl_OriginalData[[#This Row],[Customer_ID]]</f>
        <v>52-779-8972</v>
      </c>
      <c r="AG138">
        <f>tbl_OriginalData[[#This Row],[Age]]</f>
        <v>47</v>
      </c>
      <c r="AH138" t="str" cm="1">
        <f t="array" ref="AH13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38" t="str">
        <f>tbl_OriginalData[[#This Row],[Gender]]</f>
        <v>Male</v>
      </c>
      <c r="AJ138" t="str">
        <f>tbl_OriginalData[[#This Row],[Income_Level]]</f>
        <v>High</v>
      </c>
      <c r="AK138" t="str">
        <f>tbl_OriginalData[[#This Row],[Marital_Status]]</f>
        <v>Widowed</v>
      </c>
      <c r="AL138" t="str">
        <f>tbl_OriginalData[[#This Row],[Education_Level]]</f>
        <v>High School</v>
      </c>
      <c r="AM138" t="str">
        <f>tbl_OriginalData[[#This Row],[Occupation]]</f>
        <v>High</v>
      </c>
      <c r="AN138" t="s">
        <v>445</v>
      </c>
      <c r="AO138" t="s">
        <v>218</v>
      </c>
      <c r="AP138" t="str">
        <f>tbl_OriginalData[[#This Row],[Purchase_Category]]</f>
        <v>Food &amp; Beverages</v>
      </c>
      <c r="AQ138" s="4">
        <f>tbl_OriginalData[[#This Row],[Purchase_Amount]]</f>
        <v>164.79</v>
      </c>
      <c r="AR138">
        <f>tbl_OriginalData[[#This Row],[Frequency_of_Purchase]]</f>
        <v>4</v>
      </c>
      <c r="AS138" t="str">
        <f>tbl_OriginalData[[#This Row],[Purchase_Channel]]</f>
        <v>In-Store</v>
      </c>
      <c r="AT138">
        <f>tbl_OriginalData[[#This Row],[Brand_Loyalty]]</f>
        <v>3</v>
      </c>
      <c r="AU138">
        <f>tbl_OriginalData[[#This Row],[Product_Rating]]</f>
        <v>2</v>
      </c>
      <c r="AV138">
        <f>tbl_OriginalData[[#This Row],[Time_Spent_on_Product_Research(hours)]]*60</f>
        <v>0</v>
      </c>
      <c r="AW138" t="str">
        <f>tbl_OriginalData[[#This Row],[Social_Media_Influence]]</f>
        <v>None</v>
      </c>
      <c r="AX138" t="str">
        <f>tbl_OriginalData[[#This Row],[Discount_Sensitivity]]</f>
        <v>Somewhat Sensitive</v>
      </c>
      <c r="AY138" s="3">
        <f>tbl_OriginalData[[#This Row],[Return_Rate]]/tbl_OriginalData[[#This Row],[Frequency_of_Purchase]]</f>
        <v>0.5</v>
      </c>
      <c r="AZ138">
        <f>tbl_OriginalData[[#This Row],[Customer_Satisfaction]]</f>
        <v>5</v>
      </c>
      <c r="BA138" t="str">
        <f>tbl_OriginalData[[#This Row],[Engagement_with_Ads]]</f>
        <v>High</v>
      </c>
      <c r="BB138" t="str">
        <f>tbl_OriginalData[[#This Row],[Device_Used_for_Shopping]]</f>
        <v>Tablet</v>
      </c>
      <c r="BC138" t="str">
        <f>tbl_OriginalData[[#This Row],[Payment_Method]]</f>
        <v>Credit Card</v>
      </c>
      <c r="BD138" s="1">
        <f>tbl_OriginalData[[#This Row],[Time_of_Purchase]]</f>
        <v>45435</v>
      </c>
      <c r="BE138" t="str">
        <f>IF(tbl_OriginalData[[#This Row],[Discount_Used]]=TRUE,"Yes","No")</f>
        <v>Yes</v>
      </c>
      <c r="BF138" t="str">
        <f>IF(tbl_OriginalData[[#This Row],[Customer_Loyalty_Program_Member]]=TRUE,"Yes","No")</f>
        <v>Yes</v>
      </c>
      <c r="BG138" t="str">
        <f>tbl_OriginalData[[#This Row],[Purchase_Intent]]</f>
        <v>Impulsive</v>
      </c>
      <c r="BH138" t="str">
        <f>tbl_OriginalData[[#This Row],[Shipping_Preference]]</f>
        <v>No Preference</v>
      </c>
      <c r="BI138">
        <f>tbl_OriginalData[[#This Row],[Time_to_Decision]]</f>
        <v>1</v>
      </c>
      <c r="BJ138" t="s">
        <v>167</v>
      </c>
      <c r="BK138" t="s">
        <v>63</v>
      </c>
      <c r="BL138" t="s">
        <v>2527</v>
      </c>
    </row>
    <row r="139" spans="1:64">
      <c r="A139" t="s">
        <v>446</v>
      </c>
      <c r="B139">
        <v>29</v>
      </c>
      <c r="C139" t="s">
        <v>33</v>
      </c>
      <c r="D139" t="s">
        <v>51</v>
      </c>
      <c r="E139" t="s">
        <v>82</v>
      </c>
      <c r="F139" t="s">
        <v>52</v>
      </c>
      <c r="G139" t="s">
        <v>51</v>
      </c>
      <c r="H139" t="s">
        <v>447</v>
      </c>
      <c r="I139" t="s">
        <v>180</v>
      </c>
      <c r="J139">
        <v>235.46</v>
      </c>
      <c r="K139">
        <v>10</v>
      </c>
      <c r="L139" t="s">
        <v>55</v>
      </c>
      <c r="M139">
        <v>3</v>
      </c>
      <c r="N139">
        <v>4</v>
      </c>
      <c r="O139">
        <v>2</v>
      </c>
      <c r="P139" t="s">
        <v>40</v>
      </c>
      <c r="Q139" t="s">
        <v>57</v>
      </c>
      <c r="R139">
        <v>0</v>
      </c>
      <c r="S139">
        <v>7</v>
      </c>
      <c r="T139" t="s">
        <v>40</v>
      </c>
      <c r="U139" t="s">
        <v>95</v>
      </c>
      <c r="V139" t="s">
        <v>43</v>
      </c>
      <c r="W139" s="1">
        <v>45609</v>
      </c>
      <c r="X139" t="b">
        <v>0</v>
      </c>
      <c r="Y139" t="b">
        <v>1</v>
      </c>
      <c r="Z139" t="s">
        <v>72</v>
      </c>
      <c r="AA139" t="s">
        <v>45</v>
      </c>
      <c r="AB139">
        <v>2</v>
      </c>
      <c r="AF139" t="str">
        <f>tbl_OriginalData[[#This Row],[Customer_ID]]</f>
        <v>40-520-3271</v>
      </c>
      <c r="AG139">
        <f>tbl_OriginalData[[#This Row],[Age]]</f>
        <v>29</v>
      </c>
      <c r="AH139" t="str" cm="1">
        <f t="array" ref="AH13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39" t="str">
        <f>tbl_OriginalData[[#This Row],[Gender]]</f>
        <v>Female</v>
      </c>
      <c r="AJ139" t="str">
        <f>tbl_OriginalData[[#This Row],[Income_Level]]</f>
        <v>High</v>
      </c>
      <c r="AK139" t="str">
        <f>tbl_OriginalData[[#This Row],[Marital_Status]]</f>
        <v>Widowed</v>
      </c>
      <c r="AL139" t="str">
        <f>tbl_OriginalData[[#This Row],[Education_Level]]</f>
        <v>High School</v>
      </c>
      <c r="AM139" t="str">
        <f>tbl_OriginalData[[#This Row],[Occupation]]</f>
        <v>High</v>
      </c>
      <c r="AN139" t="s">
        <v>447</v>
      </c>
      <c r="AO139" t="s">
        <v>61</v>
      </c>
      <c r="AP139" t="str">
        <f>tbl_OriginalData[[#This Row],[Purchase_Category]]</f>
        <v>Health Supplements</v>
      </c>
      <c r="AQ139" s="4">
        <f>tbl_OriginalData[[#This Row],[Purchase_Amount]]</f>
        <v>235.46</v>
      </c>
      <c r="AR139">
        <f>tbl_OriginalData[[#This Row],[Frequency_of_Purchase]]</f>
        <v>10</v>
      </c>
      <c r="AS139" t="str">
        <f>tbl_OriginalData[[#This Row],[Purchase_Channel]]</f>
        <v>In-Store</v>
      </c>
      <c r="AT139">
        <f>tbl_OriginalData[[#This Row],[Brand_Loyalty]]</f>
        <v>3</v>
      </c>
      <c r="AU139">
        <f>tbl_OriginalData[[#This Row],[Product_Rating]]</f>
        <v>4</v>
      </c>
      <c r="AV139">
        <f>tbl_OriginalData[[#This Row],[Time_Spent_on_Product_Research(hours)]]*60</f>
        <v>120</v>
      </c>
      <c r="AW139" t="str">
        <f>tbl_OriginalData[[#This Row],[Social_Media_Influence]]</f>
        <v>None</v>
      </c>
      <c r="AX139" t="str">
        <f>tbl_OriginalData[[#This Row],[Discount_Sensitivity]]</f>
        <v>Not Sensitive</v>
      </c>
      <c r="AY139" s="3">
        <f>tbl_OriginalData[[#This Row],[Return_Rate]]/tbl_OriginalData[[#This Row],[Frequency_of_Purchase]]</f>
        <v>0</v>
      </c>
      <c r="AZ139">
        <f>tbl_OriginalData[[#This Row],[Customer_Satisfaction]]</f>
        <v>7</v>
      </c>
      <c r="BA139" t="str">
        <f>tbl_OriginalData[[#This Row],[Engagement_with_Ads]]</f>
        <v>None</v>
      </c>
      <c r="BB139" t="str">
        <f>tbl_OriginalData[[#This Row],[Device_Used_for_Shopping]]</f>
        <v>Desktop</v>
      </c>
      <c r="BC139" t="str">
        <f>tbl_OriginalData[[#This Row],[Payment_Method]]</f>
        <v>Credit Card</v>
      </c>
      <c r="BD139" s="1">
        <f>tbl_OriginalData[[#This Row],[Time_of_Purchase]]</f>
        <v>45609</v>
      </c>
      <c r="BE139" t="str">
        <f>IF(tbl_OriginalData[[#This Row],[Discount_Used]]=TRUE,"Yes","No")</f>
        <v>No</v>
      </c>
      <c r="BF139" t="str">
        <f>IF(tbl_OriginalData[[#This Row],[Customer_Loyalty_Program_Member]]=TRUE,"Yes","No")</f>
        <v>Yes</v>
      </c>
      <c r="BG139" t="str">
        <f>tbl_OriginalData[[#This Row],[Purchase_Intent]]</f>
        <v>Impulsive</v>
      </c>
      <c r="BH139" t="str">
        <f>tbl_OriginalData[[#This Row],[Shipping_Preference]]</f>
        <v>No Preference</v>
      </c>
      <c r="BI139">
        <f>tbl_OriginalData[[#This Row],[Time_to_Decision]]</f>
        <v>2</v>
      </c>
      <c r="BJ139" t="s">
        <v>177</v>
      </c>
      <c r="BK139" t="s">
        <v>80</v>
      </c>
      <c r="BL139" t="s">
        <v>2524</v>
      </c>
    </row>
    <row r="140" spans="1:64">
      <c r="A140" t="s">
        <v>448</v>
      </c>
      <c r="B140">
        <v>36</v>
      </c>
      <c r="C140" t="s">
        <v>33</v>
      </c>
      <c r="D140" t="s">
        <v>51</v>
      </c>
      <c r="E140" t="s">
        <v>82</v>
      </c>
      <c r="F140" t="s">
        <v>66</v>
      </c>
      <c r="G140" t="s">
        <v>34</v>
      </c>
      <c r="H140" t="s">
        <v>449</v>
      </c>
      <c r="I140" t="s">
        <v>98</v>
      </c>
      <c r="J140">
        <v>245.14</v>
      </c>
      <c r="K140">
        <v>4</v>
      </c>
      <c r="L140" t="s">
        <v>94</v>
      </c>
      <c r="M140">
        <v>4</v>
      </c>
      <c r="N140">
        <v>5</v>
      </c>
      <c r="O140">
        <v>1</v>
      </c>
      <c r="P140" t="s">
        <v>51</v>
      </c>
      <c r="Q140" t="s">
        <v>101</v>
      </c>
      <c r="R140">
        <v>1</v>
      </c>
      <c r="S140">
        <v>4</v>
      </c>
      <c r="T140" t="s">
        <v>56</v>
      </c>
      <c r="U140" t="s">
        <v>70</v>
      </c>
      <c r="V140" t="s">
        <v>58</v>
      </c>
      <c r="W140" s="1">
        <v>45354</v>
      </c>
      <c r="X140" t="b">
        <v>1</v>
      </c>
      <c r="Y140" t="b">
        <v>0</v>
      </c>
      <c r="Z140" t="s">
        <v>72</v>
      </c>
      <c r="AA140" t="s">
        <v>60</v>
      </c>
      <c r="AB140">
        <v>3</v>
      </c>
      <c r="AF140" t="str">
        <f>tbl_OriginalData[[#This Row],[Customer_ID]]</f>
        <v>79-884-5600</v>
      </c>
      <c r="AG140">
        <f>tbl_OriginalData[[#This Row],[Age]]</f>
        <v>36</v>
      </c>
      <c r="AH140" t="str" cm="1">
        <f t="array" ref="AH14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40" t="str">
        <f>tbl_OriginalData[[#This Row],[Gender]]</f>
        <v>Female</v>
      </c>
      <c r="AJ140" t="str">
        <f>tbl_OriginalData[[#This Row],[Income_Level]]</f>
        <v>High</v>
      </c>
      <c r="AK140" t="str">
        <f>tbl_OriginalData[[#This Row],[Marital_Status]]</f>
        <v>Widowed</v>
      </c>
      <c r="AL140" t="str">
        <f>tbl_OriginalData[[#This Row],[Education_Level]]</f>
        <v>Master's</v>
      </c>
      <c r="AM140" t="str">
        <f>tbl_OriginalData[[#This Row],[Occupation]]</f>
        <v>Middle</v>
      </c>
      <c r="AN140" t="s">
        <v>449</v>
      </c>
      <c r="AO140" t="s">
        <v>161</v>
      </c>
      <c r="AP140" t="str">
        <f>tbl_OriginalData[[#This Row],[Purchase_Category]]</f>
        <v>Books</v>
      </c>
      <c r="AQ140" s="4">
        <f>tbl_OriginalData[[#This Row],[Purchase_Amount]]</f>
        <v>245.14</v>
      </c>
      <c r="AR140">
        <f>tbl_OriginalData[[#This Row],[Frequency_of_Purchase]]</f>
        <v>4</v>
      </c>
      <c r="AS140" t="str">
        <f>tbl_OriginalData[[#This Row],[Purchase_Channel]]</f>
        <v>Online</v>
      </c>
      <c r="AT140">
        <f>tbl_OriginalData[[#This Row],[Brand_Loyalty]]</f>
        <v>4</v>
      </c>
      <c r="AU140">
        <f>tbl_OriginalData[[#This Row],[Product_Rating]]</f>
        <v>5</v>
      </c>
      <c r="AV140">
        <f>tbl_OriginalData[[#This Row],[Time_Spent_on_Product_Research(hours)]]*60</f>
        <v>60</v>
      </c>
      <c r="AW140" t="str">
        <f>tbl_OriginalData[[#This Row],[Social_Media_Influence]]</f>
        <v>High</v>
      </c>
      <c r="AX140" t="str">
        <f>tbl_OriginalData[[#This Row],[Discount_Sensitivity]]</f>
        <v>Very Sensitive</v>
      </c>
      <c r="AY140" s="3">
        <f>tbl_OriginalData[[#This Row],[Return_Rate]]/tbl_OriginalData[[#This Row],[Frequency_of_Purchase]]</f>
        <v>0.25</v>
      </c>
      <c r="AZ140">
        <f>tbl_OriginalData[[#This Row],[Customer_Satisfaction]]</f>
        <v>4</v>
      </c>
      <c r="BA140" t="str">
        <f>tbl_OriginalData[[#This Row],[Engagement_with_Ads]]</f>
        <v>Medium</v>
      </c>
      <c r="BB140" t="str">
        <f>tbl_OriginalData[[#This Row],[Device_Used_for_Shopping]]</f>
        <v>Smartphone</v>
      </c>
      <c r="BC140" t="str">
        <f>tbl_OriginalData[[#This Row],[Payment_Method]]</f>
        <v>PayPal</v>
      </c>
      <c r="BD140" s="1">
        <f>tbl_OriginalData[[#This Row],[Time_of_Purchase]]</f>
        <v>45354</v>
      </c>
      <c r="BE140" t="str">
        <f>IF(tbl_OriginalData[[#This Row],[Discount_Used]]=TRUE,"Yes","No")</f>
        <v>Yes</v>
      </c>
      <c r="BF140" t="str">
        <f>IF(tbl_OriginalData[[#This Row],[Customer_Loyalty_Program_Member]]=TRUE,"Yes","No")</f>
        <v>No</v>
      </c>
      <c r="BG140" t="str">
        <f>tbl_OriginalData[[#This Row],[Purchase_Intent]]</f>
        <v>Impulsive</v>
      </c>
      <c r="BH140" t="str">
        <f>tbl_OriginalData[[#This Row],[Shipping_Preference]]</f>
        <v>Standard</v>
      </c>
      <c r="BI140">
        <f>tbl_OriginalData[[#This Row],[Time_to_Decision]]</f>
        <v>3</v>
      </c>
      <c r="BJ140" t="s">
        <v>47</v>
      </c>
      <c r="BK140" t="s">
        <v>48</v>
      </c>
      <c r="BL140" t="s">
        <v>2527</v>
      </c>
    </row>
    <row r="141" spans="1:64">
      <c r="A141" t="s">
        <v>450</v>
      </c>
      <c r="B141">
        <v>43</v>
      </c>
      <c r="C141" t="s">
        <v>50</v>
      </c>
      <c r="D141" t="s">
        <v>51</v>
      </c>
      <c r="E141" t="s">
        <v>92</v>
      </c>
      <c r="F141" t="s">
        <v>36</v>
      </c>
      <c r="G141" t="s">
        <v>34</v>
      </c>
      <c r="H141" t="s">
        <v>451</v>
      </c>
      <c r="I141" t="s">
        <v>156</v>
      </c>
      <c r="J141">
        <v>439.91</v>
      </c>
      <c r="K141">
        <v>5</v>
      </c>
      <c r="L141" t="s">
        <v>94</v>
      </c>
      <c r="M141">
        <v>1</v>
      </c>
      <c r="N141">
        <v>4</v>
      </c>
      <c r="O141">
        <v>2</v>
      </c>
      <c r="P141" t="s">
        <v>69</v>
      </c>
      <c r="Q141" t="s">
        <v>41</v>
      </c>
      <c r="R141">
        <v>0</v>
      </c>
      <c r="S141">
        <v>9</v>
      </c>
      <c r="T141" t="s">
        <v>56</v>
      </c>
      <c r="U141" t="s">
        <v>70</v>
      </c>
      <c r="V141" t="s">
        <v>76</v>
      </c>
      <c r="W141" s="1">
        <v>45354</v>
      </c>
      <c r="X141" t="b">
        <v>0</v>
      </c>
      <c r="Y141" t="b">
        <v>0</v>
      </c>
      <c r="Z141" t="s">
        <v>44</v>
      </c>
      <c r="AA141" t="s">
        <v>77</v>
      </c>
      <c r="AB141">
        <v>10</v>
      </c>
      <c r="AF141" t="str">
        <f>tbl_OriginalData[[#This Row],[Customer_ID]]</f>
        <v>80-607-9947</v>
      </c>
      <c r="AG141">
        <f>tbl_OriginalData[[#This Row],[Age]]</f>
        <v>43</v>
      </c>
      <c r="AH141" t="str" cm="1">
        <f t="array" ref="AH14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41" t="str">
        <f>tbl_OriginalData[[#This Row],[Gender]]</f>
        <v>Male</v>
      </c>
      <c r="AJ141" t="str">
        <f>tbl_OriginalData[[#This Row],[Income_Level]]</f>
        <v>High</v>
      </c>
      <c r="AK141" t="str">
        <f>tbl_OriginalData[[#This Row],[Marital_Status]]</f>
        <v>Divorced</v>
      </c>
      <c r="AL141" t="str">
        <f>tbl_OriginalData[[#This Row],[Education_Level]]</f>
        <v>Bachelor's</v>
      </c>
      <c r="AM141" t="str">
        <f>tbl_OriginalData[[#This Row],[Occupation]]</f>
        <v>Middle</v>
      </c>
      <c r="AN141" t="s">
        <v>451</v>
      </c>
      <c r="AO141" t="s">
        <v>90</v>
      </c>
      <c r="AP141" t="str">
        <f>tbl_OriginalData[[#This Row],[Purchase_Category]]</f>
        <v>Toys &amp; Games</v>
      </c>
      <c r="AQ141" s="4">
        <f>tbl_OriginalData[[#This Row],[Purchase_Amount]]</f>
        <v>439.91</v>
      </c>
      <c r="AR141">
        <f>tbl_OriginalData[[#This Row],[Frequency_of_Purchase]]</f>
        <v>5</v>
      </c>
      <c r="AS141" t="str">
        <f>tbl_OriginalData[[#This Row],[Purchase_Channel]]</f>
        <v>Online</v>
      </c>
      <c r="AT141">
        <f>tbl_OriginalData[[#This Row],[Brand_Loyalty]]</f>
        <v>1</v>
      </c>
      <c r="AU141">
        <f>tbl_OriginalData[[#This Row],[Product_Rating]]</f>
        <v>4</v>
      </c>
      <c r="AV141">
        <f>tbl_OriginalData[[#This Row],[Time_Spent_on_Product_Research(hours)]]*60</f>
        <v>120</v>
      </c>
      <c r="AW141" t="str">
        <f>tbl_OriginalData[[#This Row],[Social_Media_Influence]]</f>
        <v>Low</v>
      </c>
      <c r="AX141" t="str">
        <f>tbl_OriginalData[[#This Row],[Discount_Sensitivity]]</f>
        <v>Somewhat Sensitive</v>
      </c>
      <c r="AY141" s="3">
        <f>tbl_OriginalData[[#This Row],[Return_Rate]]/tbl_OriginalData[[#This Row],[Frequency_of_Purchase]]</f>
        <v>0</v>
      </c>
      <c r="AZ141">
        <f>tbl_OriginalData[[#This Row],[Customer_Satisfaction]]</f>
        <v>9</v>
      </c>
      <c r="BA141" t="str">
        <f>tbl_OriginalData[[#This Row],[Engagement_with_Ads]]</f>
        <v>Medium</v>
      </c>
      <c r="BB141" t="str">
        <f>tbl_OriginalData[[#This Row],[Device_Used_for_Shopping]]</f>
        <v>Smartphone</v>
      </c>
      <c r="BC141" t="str">
        <f>tbl_OriginalData[[#This Row],[Payment_Method]]</f>
        <v>Other</v>
      </c>
      <c r="BD141" s="1">
        <f>tbl_OriginalData[[#This Row],[Time_of_Purchase]]</f>
        <v>45354</v>
      </c>
      <c r="BE141" t="str">
        <f>IF(tbl_OriginalData[[#This Row],[Discount_Used]]=TRUE,"Yes","No")</f>
        <v>No</v>
      </c>
      <c r="BF141" t="str">
        <f>IF(tbl_OriginalData[[#This Row],[Customer_Loyalty_Program_Member]]=TRUE,"Yes","No")</f>
        <v>No</v>
      </c>
      <c r="BG141" t="str">
        <f>tbl_OriginalData[[#This Row],[Purchase_Intent]]</f>
        <v>Need-based</v>
      </c>
      <c r="BH141" t="str">
        <f>tbl_OriginalData[[#This Row],[Shipping_Preference]]</f>
        <v>Express</v>
      </c>
      <c r="BI141">
        <f>tbl_OriginalData[[#This Row],[Time_to_Decision]]</f>
        <v>10</v>
      </c>
      <c r="BJ141" t="s">
        <v>47</v>
      </c>
      <c r="BK141" t="s">
        <v>48</v>
      </c>
      <c r="BL141" t="s">
        <v>2524</v>
      </c>
    </row>
    <row r="142" spans="1:64">
      <c r="A142" t="s">
        <v>452</v>
      </c>
      <c r="B142">
        <v>31</v>
      </c>
      <c r="C142" t="s">
        <v>50</v>
      </c>
      <c r="D142" t="s">
        <v>51</v>
      </c>
      <c r="E142" t="s">
        <v>82</v>
      </c>
      <c r="F142" t="s">
        <v>52</v>
      </c>
      <c r="G142" t="s">
        <v>51</v>
      </c>
      <c r="H142" t="s">
        <v>453</v>
      </c>
      <c r="I142" t="s">
        <v>75</v>
      </c>
      <c r="J142">
        <v>309.22000000000003</v>
      </c>
      <c r="K142">
        <v>5</v>
      </c>
      <c r="L142" t="s">
        <v>39</v>
      </c>
      <c r="M142">
        <v>3</v>
      </c>
      <c r="N142">
        <v>5</v>
      </c>
      <c r="O142">
        <v>2</v>
      </c>
      <c r="P142" t="s">
        <v>69</v>
      </c>
      <c r="Q142" t="s">
        <v>57</v>
      </c>
      <c r="R142">
        <v>2</v>
      </c>
      <c r="S142">
        <v>4</v>
      </c>
      <c r="T142" t="s">
        <v>40</v>
      </c>
      <c r="U142" t="s">
        <v>42</v>
      </c>
      <c r="V142" t="s">
        <v>102</v>
      </c>
      <c r="W142" s="1">
        <v>45375</v>
      </c>
      <c r="X142" t="b">
        <v>0</v>
      </c>
      <c r="Y142" t="b">
        <v>0</v>
      </c>
      <c r="Z142" t="s">
        <v>89</v>
      </c>
      <c r="AA142" t="s">
        <v>60</v>
      </c>
      <c r="AB142">
        <v>10</v>
      </c>
      <c r="AF142" t="str">
        <f>tbl_OriginalData[[#This Row],[Customer_ID]]</f>
        <v>87-290-8263</v>
      </c>
      <c r="AG142">
        <f>tbl_OriginalData[[#This Row],[Age]]</f>
        <v>31</v>
      </c>
      <c r="AH142" t="str" cm="1">
        <f t="array" ref="AH14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42" t="str">
        <f>tbl_OriginalData[[#This Row],[Gender]]</f>
        <v>Male</v>
      </c>
      <c r="AJ142" t="str">
        <f>tbl_OriginalData[[#This Row],[Income_Level]]</f>
        <v>High</v>
      </c>
      <c r="AK142" t="str">
        <f>tbl_OriginalData[[#This Row],[Marital_Status]]</f>
        <v>Widowed</v>
      </c>
      <c r="AL142" t="str">
        <f>tbl_OriginalData[[#This Row],[Education_Level]]</f>
        <v>High School</v>
      </c>
      <c r="AM142" t="str">
        <f>tbl_OriginalData[[#This Row],[Occupation]]</f>
        <v>High</v>
      </c>
      <c r="AN142" t="s">
        <v>453</v>
      </c>
      <c r="AO142" t="s">
        <v>144</v>
      </c>
      <c r="AP142" t="str">
        <f>tbl_OriginalData[[#This Row],[Purchase_Category]]</f>
        <v>Home Appliances</v>
      </c>
      <c r="AQ142" s="4">
        <f>tbl_OriginalData[[#This Row],[Purchase_Amount]]</f>
        <v>309.22000000000003</v>
      </c>
      <c r="AR142">
        <f>tbl_OriginalData[[#This Row],[Frequency_of_Purchase]]</f>
        <v>5</v>
      </c>
      <c r="AS142" t="str">
        <f>tbl_OriginalData[[#This Row],[Purchase_Channel]]</f>
        <v>Mixed</v>
      </c>
      <c r="AT142">
        <f>tbl_OriginalData[[#This Row],[Brand_Loyalty]]</f>
        <v>3</v>
      </c>
      <c r="AU142">
        <f>tbl_OriginalData[[#This Row],[Product_Rating]]</f>
        <v>5</v>
      </c>
      <c r="AV142">
        <f>tbl_OriginalData[[#This Row],[Time_Spent_on_Product_Research(hours)]]*60</f>
        <v>120</v>
      </c>
      <c r="AW142" t="str">
        <f>tbl_OriginalData[[#This Row],[Social_Media_Influence]]</f>
        <v>Low</v>
      </c>
      <c r="AX142" t="str">
        <f>tbl_OriginalData[[#This Row],[Discount_Sensitivity]]</f>
        <v>Not Sensitive</v>
      </c>
      <c r="AY142" s="3">
        <f>tbl_OriginalData[[#This Row],[Return_Rate]]/tbl_OriginalData[[#This Row],[Frequency_of_Purchase]]</f>
        <v>0.4</v>
      </c>
      <c r="AZ142">
        <f>tbl_OriginalData[[#This Row],[Customer_Satisfaction]]</f>
        <v>4</v>
      </c>
      <c r="BA142" t="str">
        <f>tbl_OriginalData[[#This Row],[Engagement_with_Ads]]</f>
        <v>None</v>
      </c>
      <c r="BB142" t="str">
        <f>tbl_OriginalData[[#This Row],[Device_Used_for_Shopping]]</f>
        <v>Tablet</v>
      </c>
      <c r="BC142" t="str">
        <f>tbl_OriginalData[[#This Row],[Payment_Method]]</f>
        <v>Cash</v>
      </c>
      <c r="BD142" s="1">
        <f>tbl_OriginalData[[#This Row],[Time_of_Purchase]]</f>
        <v>45375</v>
      </c>
      <c r="BE142" t="str">
        <f>IF(tbl_OriginalData[[#This Row],[Discount_Used]]=TRUE,"Yes","No")</f>
        <v>No</v>
      </c>
      <c r="BF142" t="str">
        <f>IF(tbl_OriginalData[[#This Row],[Customer_Loyalty_Program_Member]]=TRUE,"Yes","No")</f>
        <v>No</v>
      </c>
      <c r="BG142" t="str">
        <f>tbl_OriginalData[[#This Row],[Purchase_Intent]]</f>
        <v>Planned</v>
      </c>
      <c r="BH142" t="str">
        <f>tbl_OriginalData[[#This Row],[Shipping_Preference]]</f>
        <v>Standard</v>
      </c>
      <c r="BI142">
        <f>tbl_OriginalData[[#This Row],[Time_to_Decision]]</f>
        <v>10</v>
      </c>
      <c r="BJ142" t="s">
        <v>47</v>
      </c>
      <c r="BK142" t="s">
        <v>48</v>
      </c>
      <c r="BL142" t="s">
        <v>2525</v>
      </c>
    </row>
    <row r="143" spans="1:64">
      <c r="A143" t="s">
        <v>454</v>
      </c>
      <c r="B143">
        <v>27</v>
      </c>
      <c r="C143" t="s">
        <v>50</v>
      </c>
      <c r="D143" t="s">
        <v>34</v>
      </c>
      <c r="E143" t="s">
        <v>82</v>
      </c>
      <c r="F143" t="s">
        <v>66</v>
      </c>
      <c r="G143" t="s">
        <v>34</v>
      </c>
      <c r="H143" t="s">
        <v>455</v>
      </c>
      <c r="I143" t="s">
        <v>199</v>
      </c>
      <c r="J143">
        <v>146.59</v>
      </c>
      <c r="K143">
        <v>10</v>
      </c>
      <c r="L143" t="s">
        <v>39</v>
      </c>
      <c r="M143">
        <v>5</v>
      </c>
      <c r="N143">
        <v>1</v>
      </c>
      <c r="O143">
        <v>2</v>
      </c>
      <c r="P143" t="s">
        <v>69</v>
      </c>
      <c r="Q143" t="s">
        <v>101</v>
      </c>
      <c r="R143">
        <v>0</v>
      </c>
      <c r="S143">
        <v>2</v>
      </c>
      <c r="T143" t="s">
        <v>40</v>
      </c>
      <c r="U143" t="s">
        <v>70</v>
      </c>
      <c r="V143" t="s">
        <v>102</v>
      </c>
      <c r="W143" s="1">
        <v>45313</v>
      </c>
      <c r="X143" t="b">
        <v>0</v>
      </c>
      <c r="Y143" t="b">
        <v>1</v>
      </c>
      <c r="Z143" t="s">
        <v>72</v>
      </c>
      <c r="AA143" t="s">
        <v>45</v>
      </c>
      <c r="AB143">
        <v>3</v>
      </c>
      <c r="AF143" t="str">
        <f>tbl_OriginalData[[#This Row],[Customer_ID]]</f>
        <v>99-316-9993</v>
      </c>
      <c r="AG143">
        <f>tbl_OriginalData[[#This Row],[Age]]</f>
        <v>27</v>
      </c>
      <c r="AH143" t="str" cm="1">
        <f t="array" ref="AH14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43" t="str">
        <f>tbl_OriginalData[[#This Row],[Gender]]</f>
        <v>Male</v>
      </c>
      <c r="AJ143" t="str">
        <f>tbl_OriginalData[[#This Row],[Income_Level]]</f>
        <v>Middle</v>
      </c>
      <c r="AK143" t="str">
        <f>tbl_OriginalData[[#This Row],[Marital_Status]]</f>
        <v>Widowed</v>
      </c>
      <c r="AL143" t="str">
        <f>tbl_OriginalData[[#This Row],[Education_Level]]</f>
        <v>Master's</v>
      </c>
      <c r="AM143" t="str">
        <f>tbl_OriginalData[[#This Row],[Occupation]]</f>
        <v>Middle</v>
      </c>
      <c r="AN143" t="s">
        <v>455</v>
      </c>
      <c r="AO143" t="s">
        <v>109</v>
      </c>
      <c r="AP143" t="str">
        <f>tbl_OriginalData[[#This Row],[Purchase_Category]]</f>
        <v>Groceries</v>
      </c>
      <c r="AQ143" s="4">
        <f>tbl_OriginalData[[#This Row],[Purchase_Amount]]</f>
        <v>146.59</v>
      </c>
      <c r="AR143">
        <f>tbl_OriginalData[[#This Row],[Frequency_of_Purchase]]</f>
        <v>10</v>
      </c>
      <c r="AS143" t="str">
        <f>tbl_OriginalData[[#This Row],[Purchase_Channel]]</f>
        <v>Mixed</v>
      </c>
      <c r="AT143">
        <f>tbl_OriginalData[[#This Row],[Brand_Loyalty]]</f>
        <v>5</v>
      </c>
      <c r="AU143">
        <f>tbl_OriginalData[[#This Row],[Product_Rating]]</f>
        <v>1</v>
      </c>
      <c r="AV143">
        <f>tbl_OriginalData[[#This Row],[Time_Spent_on_Product_Research(hours)]]*60</f>
        <v>120</v>
      </c>
      <c r="AW143" t="str">
        <f>tbl_OriginalData[[#This Row],[Social_Media_Influence]]</f>
        <v>Low</v>
      </c>
      <c r="AX143" t="str">
        <f>tbl_OriginalData[[#This Row],[Discount_Sensitivity]]</f>
        <v>Very Sensitive</v>
      </c>
      <c r="AY143" s="3">
        <f>tbl_OriginalData[[#This Row],[Return_Rate]]/tbl_OriginalData[[#This Row],[Frequency_of_Purchase]]</f>
        <v>0</v>
      </c>
      <c r="AZ143">
        <f>tbl_OriginalData[[#This Row],[Customer_Satisfaction]]</f>
        <v>2</v>
      </c>
      <c r="BA143" t="str">
        <f>tbl_OriginalData[[#This Row],[Engagement_with_Ads]]</f>
        <v>None</v>
      </c>
      <c r="BB143" t="str">
        <f>tbl_OriginalData[[#This Row],[Device_Used_for_Shopping]]</f>
        <v>Smartphone</v>
      </c>
      <c r="BC143" t="str">
        <f>tbl_OriginalData[[#This Row],[Payment_Method]]</f>
        <v>Cash</v>
      </c>
      <c r="BD143" s="1">
        <f>tbl_OriginalData[[#This Row],[Time_of_Purchase]]</f>
        <v>45313</v>
      </c>
      <c r="BE143" t="str">
        <f>IF(tbl_OriginalData[[#This Row],[Discount_Used]]=TRUE,"Yes","No")</f>
        <v>No</v>
      </c>
      <c r="BF143" t="str">
        <f>IF(tbl_OriginalData[[#This Row],[Customer_Loyalty_Program_Member]]=TRUE,"Yes","No")</f>
        <v>Yes</v>
      </c>
      <c r="BG143" t="str">
        <f>tbl_OriginalData[[#This Row],[Purchase_Intent]]</f>
        <v>Impulsive</v>
      </c>
      <c r="BH143" t="str">
        <f>tbl_OriginalData[[#This Row],[Shipping_Preference]]</f>
        <v>No Preference</v>
      </c>
      <c r="BI143">
        <f>tbl_OriginalData[[#This Row],[Time_to_Decision]]</f>
        <v>3</v>
      </c>
      <c r="BJ143" t="s">
        <v>86</v>
      </c>
      <c r="BK143" t="s">
        <v>48</v>
      </c>
      <c r="BL143" t="s">
        <v>2526</v>
      </c>
    </row>
    <row r="144" spans="1:64">
      <c r="A144" t="s">
        <v>456</v>
      </c>
      <c r="B144">
        <v>48</v>
      </c>
      <c r="C144" t="s">
        <v>50</v>
      </c>
      <c r="D144" t="s">
        <v>34</v>
      </c>
      <c r="E144" t="s">
        <v>65</v>
      </c>
      <c r="F144" t="s">
        <v>52</v>
      </c>
      <c r="G144" t="s">
        <v>34</v>
      </c>
      <c r="H144" t="s">
        <v>457</v>
      </c>
      <c r="I144" t="s">
        <v>135</v>
      </c>
      <c r="J144">
        <v>298.73</v>
      </c>
      <c r="K144">
        <v>4</v>
      </c>
      <c r="L144" t="s">
        <v>94</v>
      </c>
      <c r="M144">
        <v>1</v>
      </c>
      <c r="N144">
        <v>5</v>
      </c>
      <c r="O144">
        <v>1</v>
      </c>
      <c r="P144" t="s">
        <v>51</v>
      </c>
      <c r="Q144" t="s">
        <v>57</v>
      </c>
      <c r="R144">
        <v>0</v>
      </c>
      <c r="S144">
        <v>2</v>
      </c>
      <c r="T144" t="s">
        <v>69</v>
      </c>
      <c r="U144" t="s">
        <v>42</v>
      </c>
      <c r="V144" t="s">
        <v>71</v>
      </c>
      <c r="W144" s="1">
        <v>45598</v>
      </c>
      <c r="X144" t="b">
        <v>0</v>
      </c>
      <c r="Y144" t="b">
        <v>1</v>
      </c>
      <c r="Z144" t="s">
        <v>44</v>
      </c>
      <c r="AA144" t="s">
        <v>45</v>
      </c>
      <c r="AB144">
        <v>4</v>
      </c>
      <c r="AF144" t="str">
        <f>tbl_OriginalData[[#This Row],[Customer_ID]]</f>
        <v>54-164-2243</v>
      </c>
      <c r="AG144">
        <f>tbl_OriginalData[[#This Row],[Age]]</f>
        <v>48</v>
      </c>
      <c r="AH144" t="str" cm="1">
        <f t="array" ref="AH14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44" t="str">
        <f>tbl_OriginalData[[#This Row],[Gender]]</f>
        <v>Male</v>
      </c>
      <c r="AJ144" t="str">
        <f>tbl_OriginalData[[#This Row],[Income_Level]]</f>
        <v>Middle</v>
      </c>
      <c r="AK144" t="str">
        <f>tbl_OriginalData[[#This Row],[Marital_Status]]</f>
        <v>Single</v>
      </c>
      <c r="AL144" t="str">
        <f>tbl_OriginalData[[#This Row],[Education_Level]]</f>
        <v>High School</v>
      </c>
      <c r="AM144" t="str">
        <f>tbl_OriginalData[[#This Row],[Occupation]]</f>
        <v>Middle</v>
      </c>
      <c r="AN144" t="s">
        <v>457</v>
      </c>
      <c r="AO144" t="s">
        <v>336</v>
      </c>
      <c r="AP144" t="str">
        <f>tbl_OriginalData[[#This Row],[Purchase_Category]]</f>
        <v>Hotels</v>
      </c>
      <c r="AQ144" s="4">
        <f>tbl_OriginalData[[#This Row],[Purchase_Amount]]</f>
        <v>298.73</v>
      </c>
      <c r="AR144">
        <f>tbl_OriginalData[[#This Row],[Frequency_of_Purchase]]</f>
        <v>4</v>
      </c>
      <c r="AS144" t="str">
        <f>tbl_OriginalData[[#This Row],[Purchase_Channel]]</f>
        <v>Online</v>
      </c>
      <c r="AT144">
        <f>tbl_OriginalData[[#This Row],[Brand_Loyalty]]</f>
        <v>1</v>
      </c>
      <c r="AU144">
        <f>tbl_OriginalData[[#This Row],[Product_Rating]]</f>
        <v>5</v>
      </c>
      <c r="AV144">
        <f>tbl_OriginalData[[#This Row],[Time_Spent_on_Product_Research(hours)]]*60</f>
        <v>60</v>
      </c>
      <c r="AW144" t="str">
        <f>tbl_OriginalData[[#This Row],[Social_Media_Influence]]</f>
        <v>High</v>
      </c>
      <c r="AX144" t="str">
        <f>tbl_OriginalData[[#This Row],[Discount_Sensitivity]]</f>
        <v>Not Sensitive</v>
      </c>
      <c r="AY144" s="3">
        <f>tbl_OriginalData[[#This Row],[Return_Rate]]/tbl_OriginalData[[#This Row],[Frequency_of_Purchase]]</f>
        <v>0</v>
      </c>
      <c r="AZ144">
        <f>tbl_OriginalData[[#This Row],[Customer_Satisfaction]]</f>
        <v>2</v>
      </c>
      <c r="BA144" t="str">
        <f>tbl_OriginalData[[#This Row],[Engagement_with_Ads]]</f>
        <v>Low</v>
      </c>
      <c r="BB144" t="str">
        <f>tbl_OriginalData[[#This Row],[Device_Used_for_Shopping]]</f>
        <v>Tablet</v>
      </c>
      <c r="BC144" t="str">
        <f>tbl_OriginalData[[#This Row],[Payment_Method]]</f>
        <v>Debit Card</v>
      </c>
      <c r="BD144" s="1">
        <f>tbl_OriginalData[[#This Row],[Time_of_Purchase]]</f>
        <v>45598</v>
      </c>
      <c r="BE144" t="str">
        <f>IF(tbl_OriginalData[[#This Row],[Discount_Used]]=TRUE,"Yes","No")</f>
        <v>No</v>
      </c>
      <c r="BF144" t="str">
        <f>IF(tbl_OriginalData[[#This Row],[Customer_Loyalty_Program_Member]]=TRUE,"Yes","No")</f>
        <v>Yes</v>
      </c>
      <c r="BG144" t="str">
        <f>tbl_OriginalData[[#This Row],[Purchase_Intent]]</f>
        <v>Need-based</v>
      </c>
      <c r="BH144" t="str">
        <f>tbl_OriginalData[[#This Row],[Shipping_Preference]]</f>
        <v>No Preference</v>
      </c>
      <c r="BI144">
        <f>tbl_OriginalData[[#This Row],[Time_to_Decision]]</f>
        <v>4</v>
      </c>
      <c r="BJ144" t="s">
        <v>177</v>
      </c>
      <c r="BK144" t="s">
        <v>80</v>
      </c>
      <c r="BL144" t="s">
        <v>2525</v>
      </c>
    </row>
    <row r="145" spans="1:64">
      <c r="A145" t="s">
        <v>458</v>
      </c>
      <c r="B145">
        <v>19</v>
      </c>
      <c r="C145" t="s">
        <v>431</v>
      </c>
      <c r="D145" t="s">
        <v>51</v>
      </c>
      <c r="E145" t="s">
        <v>65</v>
      </c>
      <c r="F145" t="s">
        <v>36</v>
      </c>
      <c r="G145" t="s">
        <v>51</v>
      </c>
      <c r="H145" t="s">
        <v>459</v>
      </c>
      <c r="I145" t="s">
        <v>54</v>
      </c>
      <c r="J145">
        <v>395.01</v>
      </c>
      <c r="K145">
        <v>2</v>
      </c>
      <c r="L145" t="s">
        <v>39</v>
      </c>
      <c r="M145">
        <v>1</v>
      </c>
      <c r="N145">
        <v>2</v>
      </c>
      <c r="O145">
        <v>2</v>
      </c>
      <c r="P145" t="s">
        <v>56</v>
      </c>
      <c r="Q145" t="s">
        <v>101</v>
      </c>
      <c r="R145">
        <v>0</v>
      </c>
      <c r="S145">
        <v>6</v>
      </c>
      <c r="T145" t="s">
        <v>56</v>
      </c>
      <c r="U145" t="s">
        <v>95</v>
      </c>
      <c r="V145" t="s">
        <v>43</v>
      </c>
      <c r="W145" s="1">
        <v>45400</v>
      </c>
      <c r="X145" t="b">
        <v>1</v>
      </c>
      <c r="Y145" t="b">
        <v>0</v>
      </c>
      <c r="Z145" t="s">
        <v>59</v>
      </c>
      <c r="AA145" t="s">
        <v>60</v>
      </c>
      <c r="AB145">
        <v>3</v>
      </c>
      <c r="AF145" t="str">
        <f>tbl_OriginalData[[#This Row],[Customer_ID]]</f>
        <v>14-784-5606</v>
      </c>
      <c r="AG145">
        <f>tbl_OriginalData[[#This Row],[Age]]</f>
        <v>19</v>
      </c>
      <c r="AH145" t="str" cm="1">
        <f t="array" ref="AH14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145" t="str">
        <f>tbl_OriginalData[[#This Row],[Gender]]</f>
        <v>Genderqueer</v>
      </c>
      <c r="AJ145" t="str">
        <f>tbl_OriginalData[[#This Row],[Income_Level]]</f>
        <v>High</v>
      </c>
      <c r="AK145" t="str">
        <f>tbl_OriginalData[[#This Row],[Marital_Status]]</f>
        <v>Single</v>
      </c>
      <c r="AL145" t="str">
        <f>tbl_OriginalData[[#This Row],[Education_Level]]</f>
        <v>Bachelor's</v>
      </c>
      <c r="AM145" t="str">
        <f>tbl_OriginalData[[#This Row],[Occupation]]</f>
        <v>High</v>
      </c>
      <c r="AN145" t="s">
        <v>459</v>
      </c>
      <c r="AO145" t="s">
        <v>336</v>
      </c>
      <c r="AP145" t="str">
        <f>tbl_OriginalData[[#This Row],[Purchase_Category]]</f>
        <v>Food &amp; Beverages</v>
      </c>
      <c r="AQ145" s="4">
        <f>tbl_OriginalData[[#This Row],[Purchase_Amount]]</f>
        <v>395.01</v>
      </c>
      <c r="AR145">
        <f>tbl_OriginalData[[#This Row],[Frequency_of_Purchase]]</f>
        <v>2</v>
      </c>
      <c r="AS145" t="str">
        <f>tbl_OriginalData[[#This Row],[Purchase_Channel]]</f>
        <v>Mixed</v>
      </c>
      <c r="AT145">
        <f>tbl_OriginalData[[#This Row],[Brand_Loyalty]]</f>
        <v>1</v>
      </c>
      <c r="AU145">
        <f>tbl_OriginalData[[#This Row],[Product_Rating]]</f>
        <v>2</v>
      </c>
      <c r="AV145">
        <f>tbl_OriginalData[[#This Row],[Time_Spent_on_Product_Research(hours)]]*60</f>
        <v>120</v>
      </c>
      <c r="AW145" t="str">
        <f>tbl_OriginalData[[#This Row],[Social_Media_Influence]]</f>
        <v>Medium</v>
      </c>
      <c r="AX145" t="str">
        <f>tbl_OriginalData[[#This Row],[Discount_Sensitivity]]</f>
        <v>Very Sensitive</v>
      </c>
      <c r="AY145" s="3">
        <f>tbl_OriginalData[[#This Row],[Return_Rate]]/tbl_OriginalData[[#This Row],[Frequency_of_Purchase]]</f>
        <v>0</v>
      </c>
      <c r="AZ145">
        <f>tbl_OriginalData[[#This Row],[Customer_Satisfaction]]</f>
        <v>6</v>
      </c>
      <c r="BA145" t="str">
        <f>tbl_OriginalData[[#This Row],[Engagement_with_Ads]]</f>
        <v>Medium</v>
      </c>
      <c r="BB145" t="str">
        <f>tbl_OriginalData[[#This Row],[Device_Used_for_Shopping]]</f>
        <v>Desktop</v>
      </c>
      <c r="BC145" t="str">
        <f>tbl_OriginalData[[#This Row],[Payment_Method]]</f>
        <v>Credit Card</v>
      </c>
      <c r="BD145" s="1">
        <f>tbl_OriginalData[[#This Row],[Time_of_Purchase]]</f>
        <v>45400</v>
      </c>
      <c r="BE145" t="str">
        <f>IF(tbl_OriginalData[[#This Row],[Discount_Used]]=TRUE,"Yes","No")</f>
        <v>Yes</v>
      </c>
      <c r="BF145" t="str">
        <f>IF(tbl_OriginalData[[#This Row],[Customer_Loyalty_Program_Member]]=TRUE,"Yes","No")</f>
        <v>No</v>
      </c>
      <c r="BG145" t="str">
        <f>tbl_OriginalData[[#This Row],[Purchase_Intent]]</f>
        <v>Wants-based</v>
      </c>
      <c r="BH145" t="str">
        <f>tbl_OriginalData[[#This Row],[Shipping_Preference]]</f>
        <v>Standard</v>
      </c>
      <c r="BI145">
        <f>tbl_OriginalData[[#This Row],[Time_to_Decision]]</f>
        <v>3</v>
      </c>
      <c r="BJ145" t="s">
        <v>62</v>
      </c>
      <c r="BK145" t="s">
        <v>63</v>
      </c>
      <c r="BL145" t="s">
        <v>2525</v>
      </c>
    </row>
    <row r="146" spans="1:64">
      <c r="A146" t="s">
        <v>460</v>
      </c>
      <c r="B146">
        <v>41</v>
      </c>
      <c r="C146" t="s">
        <v>50</v>
      </c>
      <c r="D146" t="s">
        <v>34</v>
      </c>
      <c r="E146" t="s">
        <v>35</v>
      </c>
      <c r="F146" t="s">
        <v>36</v>
      </c>
      <c r="G146" t="s">
        <v>51</v>
      </c>
      <c r="H146" t="s">
        <v>461</v>
      </c>
      <c r="I146" t="s">
        <v>147</v>
      </c>
      <c r="J146">
        <v>371.19</v>
      </c>
      <c r="K146">
        <v>10</v>
      </c>
      <c r="L146" t="s">
        <v>39</v>
      </c>
      <c r="M146">
        <v>1</v>
      </c>
      <c r="N146">
        <v>2</v>
      </c>
      <c r="O146">
        <v>2</v>
      </c>
      <c r="P146" t="s">
        <v>51</v>
      </c>
      <c r="Q146" t="s">
        <v>41</v>
      </c>
      <c r="R146">
        <v>1</v>
      </c>
      <c r="S146">
        <v>8</v>
      </c>
      <c r="T146" t="s">
        <v>56</v>
      </c>
      <c r="U146" t="s">
        <v>95</v>
      </c>
      <c r="V146" t="s">
        <v>43</v>
      </c>
      <c r="W146" s="1">
        <v>45531</v>
      </c>
      <c r="X146" t="b">
        <v>0</v>
      </c>
      <c r="Y146" t="b">
        <v>0</v>
      </c>
      <c r="Z146" t="s">
        <v>89</v>
      </c>
      <c r="AA146" t="s">
        <v>77</v>
      </c>
      <c r="AB146">
        <v>1</v>
      </c>
      <c r="AF146" t="str">
        <f>tbl_OriginalData[[#This Row],[Customer_ID]]</f>
        <v>47-992-7446</v>
      </c>
      <c r="AG146">
        <f>tbl_OriginalData[[#This Row],[Age]]</f>
        <v>41</v>
      </c>
      <c r="AH146" t="str" cm="1">
        <f t="array" ref="AH14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46" t="str">
        <f>tbl_OriginalData[[#This Row],[Gender]]</f>
        <v>Male</v>
      </c>
      <c r="AJ146" t="str">
        <f>tbl_OriginalData[[#This Row],[Income_Level]]</f>
        <v>Middle</v>
      </c>
      <c r="AK146" t="str">
        <f>tbl_OriginalData[[#This Row],[Marital_Status]]</f>
        <v>Married</v>
      </c>
      <c r="AL146" t="str">
        <f>tbl_OriginalData[[#This Row],[Education_Level]]</f>
        <v>Bachelor's</v>
      </c>
      <c r="AM146" t="str">
        <f>tbl_OriginalData[[#This Row],[Occupation]]</f>
        <v>High</v>
      </c>
      <c r="AN146" t="s">
        <v>461</v>
      </c>
      <c r="AO146" t="s">
        <v>194</v>
      </c>
      <c r="AP146" t="str">
        <f>tbl_OriginalData[[#This Row],[Purchase_Category]]</f>
        <v>Electronics</v>
      </c>
      <c r="AQ146" s="4">
        <f>tbl_OriginalData[[#This Row],[Purchase_Amount]]</f>
        <v>371.19</v>
      </c>
      <c r="AR146">
        <f>tbl_OriginalData[[#This Row],[Frequency_of_Purchase]]</f>
        <v>10</v>
      </c>
      <c r="AS146" t="str">
        <f>tbl_OriginalData[[#This Row],[Purchase_Channel]]</f>
        <v>Mixed</v>
      </c>
      <c r="AT146">
        <f>tbl_OriginalData[[#This Row],[Brand_Loyalty]]</f>
        <v>1</v>
      </c>
      <c r="AU146">
        <f>tbl_OriginalData[[#This Row],[Product_Rating]]</f>
        <v>2</v>
      </c>
      <c r="AV146">
        <f>tbl_OriginalData[[#This Row],[Time_Spent_on_Product_Research(hours)]]*60</f>
        <v>120</v>
      </c>
      <c r="AW146" t="str">
        <f>tbl_OriginalData[[#This Row],[Social_Media_Influence]]</f>
        <v>High</v>
      </c>
      <c r="AX146" t="str">
        <f>tbl_OriginalData[[#This Row],[Discount_Sensitivity]]</f>
        <v>Somewhat Sensitive</v>
      </c>
      <c r="AY146" s="3">
        <f>tbl_OriginalData[[#This Row],[Return_Rate]]/tbl_OriginalData[[#This Row],[Frequency_of_Purchase]]</f>
        <v>0.1</v>
      </c>
      <c r="AZ146">
        <f>tbl_OriginalData[[#This Row],[Customer_Satisfaction]]</f>
        <v>8</v>
      </c>
      <c r="BA146" t="str">
        <f>tbl_OriginalData[[#This Row],[Engagement_with_Ads]]</f>
        <v>Medium</v>
      </c>
      <c r="BB146" t="str">
        <f>tbl_OriginalData[[#This Row],[Device_Used_for_Shopping]]</f>
        <v>Desktop</v>
      </c>
      <c r="BC146" t="str">
        <f>tbl_OriginalData[[#This Row],[Payment_Method]]</f>
        <v>Credit Card</v>
      </c>
      <c r="BD146" s="1">
        <f>tbl_OriginalData[[#This Row],[Time_of_Purchase]]</f>
        <v>45531</v>
      </c>
      <c r="BE146" t="str">
        <f>IF(tbl_OriginalData[[#This Row],[Discount_Used]]=TRUE,"Yes","No")</f>
        <v>No</v>
      </c>
      <c r="BF146" t="str">
        <f>IF(tbl_OriginalData[[#This Row],[Customer_Loyalty_Program_Member]]=TRUE,"Yes","No")</f>
        <v>No</v>
      </c>
      <c r="BG146" t="str">
        <f>tbl_OriginalData[[#This Row],[Purchase_Intent]]</f>
        <v>Planned</v>
      </c>
      <c r="BH146" t="str">
        <f>tbl_OriginalData[[#This Row],[Shipping_Preference]]</f>
        <v>Express</v>
      </c>
      <c r="BI146">
        <f>tbl_OriginalData[[#This Row],[Time_to_Decision]]</f>
        <v>1</v>
      </c>
      <c r="BJ146" t="s">
        <v>124</v>
      </c>
      <c r="BK146" t="s">
        <v>115</v>
      </c>
      <c r="BL146" t="s">
        <v>2524</v>
      </c>
    </row>
    <row r="147" spans="1:64">
      <c r="A147" t="s">
        <v>462</v>
      </c>
      <c r="B147">
        <v>33</v>
      </c>
      <c r="C147" t="s">
        <v>33</v>
      </c>
      <c r="D147" t="s">
        <v>34</v>
      </c>
      <c r="E147" t="s">
        <v>35</v>
      </c>
      <c r="F147" t="s">
        <v>66</v>
      </c>
      <c r="G147" t="s">
        <v>51</v>
      </c>
      <c r="H147" t="s">
        <v>463</v>
      </c>
      <c r="I147" t="s">
        <v>147</v>
      </c>
      <c r="J147">
        <v>193.76</v>
      </c>
      <c r="K147">
        <v>10</v>
      </c>
      <c r="L147" t="s">
        <v>39</v>
      </c>
      <c r="M147">
        <v>4</v>
      </c>
      <c r="N147">
        <v>3</v>
      </c>
      <c r="O147">
        <v>1</v>
      </c>
      <c r="P147" t="s">
        <v>56</v>
      </c>
      <c r="Q147" t="s">
        <v>57</v>
      </c>
      <c r="R147">
        <v>0</v>
      </c>
      <c r="S147">
        <v>2</v>
      </c>
      <c r="T147" t="s">
        <v>69</v>
      </c>
      <c r="U147" t="s">
        <v>95</v>
      </c>
      <c r="V147" t="s">
        <v>71</v>
      </c>
      <c r="W147" s="1">
        <v>45325</v>
      </c>
      <c r="X147" t="b">
        <v>0</v>
      </c>
      <c r="Y147" t="b">
        <v>0</v>
      </c>
      <c r="Z147" t="s">
        <v>59</v>
      </c>
      <c r="AA147" t="s">
        <v>45</v>
      </c>
      <c r="AB147">
        <v>12</v>
      </c>
      <c r="AF147" t="str">
        <f>tbl_OriginalData[[#This Row],[Customer_ID]]</f>
        <v>37-513-5073</v>
      </c>
      <c r="AG147">
        <f>tbl_OriginalData[[#This Row],[Age]]</f>
        <v>33</v>
      </c>
      <c r="AH147" t="str" cm="1">
        <f t="array" ref="AH14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47" t="str">
        <f>tbl_OriginalData[[#This Row],[Gender]]</f>
        <v>Female</v>
      </c>
      <c r="AJ147" t="str">
        <f>tbl_OriginalData[[#This Row],[Income_Level]]</f>
        <v>Middle</v>
      </c>
      <c r="AK147" t="str">
        <f>tbl_OriginalData[[#This Row],[Marital_Status]]</f>
        <v>Married</v>
      </c>
      <c r="AL147" t="str">
        <f>tbl_OriginalData[[#This Row],[Education_Level]]</f>
        <v>Master's</v>
      </c>
      <c r="AM147" t="str">
        <f>tbl_OriginalData[[#This Row],[Occupation]]</f>
        <v>High</v>
      </c>
      <c r="AN147" t="s">
        <v>463</v>
      </c>
      <c r="AO147" t="s">
        <v>284</v>
      </c>
      <c r="AP147" t="str">
        <f>tbl_OriginalData[[#This Row],[Purchase_Category]]</f>
        <v>Electronics</v>
      </c>
      <c r="AQ147" s="4">
        <f>tbl_OriginalData[[#This Row],[Purchase_Amount]]</f>
        <v>193.76</v>
      </c>
      <c r="AR147">
        <f>tbl_OriginalData[[#This Row],[Frequency_of_Purchase]]</f>
        <v>10</v>
      </c>
      <c r="AS147" t="str">
        <f>tbl_OriginalData[[#This Row],[Purchase_Channel]]</f>
        <v>Mixed</v>
      </c>
      <c r="AT147">
        <f>tbl_OriginalData[[#This Row],[Brand_Loyalty]]</f>
        <v>4</v>
      </c>
      <c r="AU147">
        <f>tbl_OriginalData[[#This Row],[Product_Rating]]</f>
        <v>3</v>
      </c>
      <c r="AV147">
        <f>tbl_OriginalData[[#This Row],[Time_Spent_on_Product_Research(hours)]]*60</f>
        <v>60</v>
      </c>
      <c r="AW147" t="str">
        <f>tbl_OriginalData[[#This Row],[Social_Media_Influence]]</f>
        <v>Medium</v>
      </c>
      <c r="AX147" t="str">
        <f>tbl_OriginalData[[#This Row],[Discount_Sensitivity]]</f>
        <v>Not Sensitive</v>
      </c>
      <c r="AY147" s="3">
        <f>tbl_OriginalData[[#This Row],[Return_Rate]]/tbl_OriginalData[[#This Row],[Frequency_of_Purchase]]</f>
        <v>0</v>
      </c>
      <c r="AZ147">
        <f>tbl_OriginalData[[#This Row],[Customer_Satisfaction]]</f>
        <v>2</v>
      </c>
      <c r="BA147" t="str">
        <f>tbl_OriginalData[[#This Row],[Engagement_with_Ads]]</f>
        <v>Low</v>
      </c>
      <c r="BB147" t="str">
        <f>tbl_OriginalData[[#This Row],[Device_Used_for_Shopping]]</f>
        <v>Desktop</v>
      </c>
      <c r="BC147" t="str">
        <f>tbl_OriginalData[[#This Row],[Payment_Method]]</f>
        <v>Debit Card</v>
      </c>
      <c r="BD147" s="1">
        <f>tbl_OriginalData[[#This Row],[Time_of_Purchase]]</f>
        <v>45325</v>
      </c>
      <c r="BE147" t="str">
        <f>IF(tbl_OriginalData[[#This Row],[Discount_Used]]=TRUE,"Yes","No")</f>
        <v>No</v>
      </c>
      <c r="BF147" t="str">
        <f>IF(tbl_OriginalData[[#This Row],[Customer_Loyalty_Program_Member]]=TRUE,"Yes","No")</f>
        <v>No</v>
      </c>
      <c r="BG147" t="str">
        <f>tbl_OriginalData[[#This Row],[Purchase_Intent]]</f>
        <v>Wants-based</v>
      </c>
      <c r="BH147" t="str">
        <f>tbl_OriginalData[[#This Row],[Shipping_Preference]]</f>
        <v>No Preference</v>
      </c>
      <c r="BI147">
        <f>tbl_OriginalData[[#This Row],[Time_to_Decision]]</f>
        <v>12</v>
      </c>
      <c r="BJ147" t="s">
        <v>158</v>
      </c>
      <c r="BK147" t="s">
        <v>48</v>
      </c>
      <c r="BL147" t="s">
        <v>2527</v>
      </c>
    </row>
    <row r="148" spans="1:64">
      <c r="A148" t="s">
        <v>464</v>
      </c>
      <c r="B148">
        <v>43</v>
      </c>
      <c r="C148" t="s">
        <v>50</v>
      </c>
      <c r="D148" t="s">
        <v>34</v>
      </c>
      <c r="E148" t="s">
        <v>92</v>
      </c>
      <c r="F148" t="s">
        <v>66</v>
      </c>
      <c r="G148" t="s">
        <v>51</v>
      </c>
      <c r="H148" t="s">
        <v>465</v>
      </c>
      <c r="I148" t="s">
        <v>153</v>
      </c>
      <c r="J148">
        <v>424.27</v>
      </c>
      <c r="K148">
        <v>6</v>
      </c>
      <c r="L148" t="s">
        <v>94</v>
      </c>
      <c r="M148">
        <v>1</v>
      </c>
      <c r="N148">
        <v>4</v>
      </c>
      <c r="O148">
        <v>2</v>
      </c>
      <c r="P148" t="s">
        <v>40</v>
      </c>
      <c r="Q148" t="s">
        <v>57</v>
      </c>
      <c r="R148">
        <v>2</v>
      </c>
      <c r="S148">
        <v>8</v>
      </c>
      <c r="T148" t="s">
        <v>69</v>
      </c>
      <c r="U148" t="s">
        <v>42</v>
      </c>
      <c r="V148" t="s">
        <v>102</v>
      </c>
      <c r="W148" s="1">
        <v>45550</v>
      </c>
      <c r="X148" t="b">
        <v>1</v>
      </c>
      <c r="Y148" t="b">
        <v>1</v>
      </c>
      <c r="Z148" t="s">
        <v>89</v>
      </c>
      <c r="AA148" t="s">
        <v>60</v>
      </c>
      <c r="AB148">
        <v>12</v>
      </c>
      <c r="AF148" t="str">
        <f>tbl_OriginalData[[#This Row],[Customer_ID]]</f>
        <v>93-473-7248</v>
      </c>
      <c r="AG148">
        <f>tbl_OriginalData[[#This Row],[Age]]</f>
        <v>43</v>
      </c>
      <c r="AH148" t="str" cm="1">
        <f t="array" ref="AH14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48" t="str">
        <f>tbl_OriginalData[[#This Row],[Gender]]</f>
        <v>Male</v>
      </c>
      <c r="AJ148" t="str">
        <f>tbl_OriginalData[[#This Row],[Income_Level]]</f>
        <v>Middle</v>
      </c>
      <c r="AK148" t="str">
        <f>tbl_OriginalData[[#This Row],[Marital_Status]]</f>
        <v>Divorced</v>
      </c>
      <c r="AL148" t="str">
        <f>tbl_OriginalData[[#This Row],[Education_Level]]</f>
        <v>Master's</v>
      </c>
      <c r="AM148" t="str">
        <f>tbl_OriginalData[[#This Row],[Occupation]]</f>
        <v>High</v>
      </c>
      <c r="AN148" t="s">
        <v>465</v>
      </c>
      <c r="AO148" t="s">
        <v>466</v>
      </c>
      <c r="AP148" t="str">
        <f>tbl_OriginalData[[#This Row],[Purchase_Category]]</f>
        <v>Baby Products</v>
      </c>
      <c r="AQ148" s="4">
        <f>tbl_OriginalData[[#This Row],[Purchase_Amount]]</f>
        <v>424.27</v>
      </c>
      <c r="AR148">
        <f>tbl_OriginalData[[#This Row],[Frequency_of_Purchase]]</f>
        <v>6</v>
      </c>
      <c r="AS148" t="str">
        <f>tbl_OriginalData[[#This Row],[Purchase_Channel]]</f>
        <v>Online</v>
      </c>
      <c r="AT148">
        <f>tbl_OriginalData[[#This Row],[Brand_Loyalty]]</f>
        <v>1</v>
      </c>
      <c r="AU148">
        <f>tbl_OriginalData[[#This Row],[Product_Rating]]</f>
        <v>4</v>
      </c>
      <c r="AV148">
        <f>tbl_OriginalData[[#This Row],[Time_Spent_on_Product_Research(hours)]]*60</f>
        <v>120</v>
      </c>
      <c r="AW148" t="str">
        <f>tbl_OriginalData[[#This Row],[Social_Media_Influence]]</f>
        <v>None</v>
      </c>
      <c r="AX148" t="str">
        <f>tbl_OriginalData[[#This Row],[Discount_Sensitivity]]</f>
        <v>Not Sensitive</v>
      </c>
      <c r="AY148" s="3">
        <f>tbl_OriginalData[[#This Row],[Return_Rate]]/tbl_OriginalData[[#This Row],[Frequency_of_Purchase]]</f>
        <v>0.33333333333333331</v>
      </c>
      <c r="AZ148">
        <f>tbl_OriginalData[[#This Row],[Customer_Satisfaction]]</f>
        <v>8</v>
      </c>
      <c r="BA148" t="str">
        <f>tbl_OriginalData[[#This Row],[Engagement_with_Ads]]</f>
        <v>Low</v>
      </c>
      <c r="BB148" t="str">
        <f>tbl_OriginalData[[#This Row],[Device_Used_for_Shopping]]</f>
        <v>Tablet</v>
      </c>
      <c r="BC148" t="str">
        <f>tbl_OriginalData[[#This Row],[Payment_Method]]</f>
        <v>Cash</v>
      </c>
      <c r="BD148" s="1">
        <f>tbl_OriginalData[[#This Row],[Time_of_Purchase]]</f>
        <v>45550</v>
      </c>
      <c r="BE148" t="str">
        <f>IF(tbl_OriginalData[[#This Row],[Discount_Used]]=TRUE,"Yes","No")</f>
        <v>Yes</v>
      </c>
      <c r="BF148" t="str">
        <f>IF(tbl_OriginalData[[#This Row],[Customer_Loyalty_Program_Member]]=TRUE,"Yes","No")</f>
        <v>Yes</v>
      </c>
      <c r="BG148" t="str">
        <f>tbl_OriginalData[[#This Row],[Purchase_Intent]]</f>
        <v>Planned</v>
      </c>
      <c r="BH148" t="str">
        <f>tbl_OriginalData[[#This Row],[Shipping_Preference]]</f>
        <v>Standard</v>
      </c>
      <c r="BI148">
        <f>tbl_OriginalData[[#This Row],[Time_to_Decision]]</f>
        <v>12</v>
      </c>
      <c r="BJ148" t="s">
        <v>172</v>
      </c>
      <c r="BK148" t="s">
        <v>115</v>
      </c>
      <c r="BL148" t="s">
        <v>2523</v>
      </c>
    </row>
    <row r="149" spans="1:64">
      <c r="A149" t="s">
        <v>467</v>
      </c>
      <c r="B149">
        <v>38</v>
      </c>
      <c r="C149" t="s">
        <v>50</v>
      </c>
      <c r="D149" t="s">
        <v>51</v>
      </c>
      <c r="E149" t="s">
        <v>65</v>
      </c>
      <c r="F149" t="s">
        <v>36</v>
      </c>
      <c r="G149" t="s">
        <v>51</v>
      </c>
      <c r="H149" t="s">
        <v>468</v>
      </c>
      <c r="I149" t="s">
        <v>306</v>
      </c>
      <c r="J149">
        <v>496.11</v>
      </c>
      <c r="K149">
        <v>2</v>
      </c>
      <c r="L149" t="s">
        <v>39</v>
      </c>
      <c r="M149">
        <v>2</v>
      </c>
      <c r="N149">
        <v>3</v>
      </c>
      <c r="O149">
        <v>1</v>
      </c>
      <c r="P149" t="s">
        <v>51</v>
      </c>
      <c r="Q149" t="s">
        <v>41</v>
      </c>
      <c r="R149">
        <v>2</v>
      </c>
      <c r="S149">
        <v>8</v>
      </c>
      <c r="T149" t="s">
        <v>51</v>
      </c>
      <c r="U149" t="s">
        <v>70</v>
      </c>
      <c r="V149" t="s">
        <v>58</v>
      </c>
      <c r="W149" s="1">
        <v>45451</v>
      </c>
      <c r="X149" t="b">
        <v>1</v>
      </c>
      <c r="Y149" t="b">
        <v>0</v>
      </c>
      <c r="Z149" t="s">
        <v>72</v>
      </c>
      <c r="AA149" t="s">
        <v>60</v>
      </c>
      <c r="AB149">
        <v>12</v>
      </c>
      <c r="AF149" t="str">
        <f>tbl_OriginalData[[#This Row],[Customer_ID]]</f>
        <v>72-830-1211</v>
      </c>
      <c r="AG149">
        <f>tbl_OriginalData[[#This Row],[Age]]</f>
        <v>38</v>
      </c>
      <c r="AH149" t="str" cm="1">
        <f t="array" ref="AH14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49" t="str">
        <f>tbl_OriginalData[[#This Row],[Gender]]</f>
        <v>Male</v>
      </c>
      <c r="AJ149" t="str">
        <f>tbl_OriginalData[[#This Row],[Income_Level]]</f>
        <v>High</v>
      </c>
      <c r="AK149" t="str">
        <f>tbl_OriginalData[[#This Row],[Marital_Status]]</f>
        <v>Single</v>
      </c>
      <c r="AL149" t="str">
        <f>tbl_OriginalData[[#This Row],[Education_Level]]</f>
        <v>Bachelor's</v>
      </c>
      <c r="AM149" t="str">
        <f>tbl_OriginalData[[#This Row],[Occupation]]</f>
        <v>High</v>
      </c>
      <c r="AN149" t="s">
        <v>468</v>
      </c>
      <c r="AO149" t="s">
        <v>469</v>
      </c>
      <c r="AP149" t="str">
        <f>tbl_OriginalData[[#This Row],[Purchase_Category]]</f>
        <v>Jewelry &amp; Accessories</v>
      </c>
      <c r="AQ149" s="4">
        <f>tbl_OriginalData[[#This Row],[Purchase_Amount]]</f>
        <v>496.11</v>
      </c>
      <c r="AR149">
        <f>tbl_OriginalData[[#This Row],[Frequency_of_Purchase]]</f>
        <v>2</v>
      </c>
      <c r="AS149" t="str">
        <f>tbl_OriginalData[[#This Row],[Purchase_Channel]]</f>
        <v>Mixed</v>
      </c>
      <c r="AT149">
        <f>tbl_OriginalData[[#This Row],[Brand_Loyalty]]</f>
        <v>2</v>
      </c>
      <c r="AU149">
        <f>tbl_OriginalData[[#This Row],[Product_Rating]]</f>
        <v>3</v>
      </c>
      <c r="AV149">
        <f>tbl_OriginalData[[#This Row],[Time_Spent_on_Product_Research(hours)]]*60</f>
        <v>60</v>
      </c>
      <c r="AW149" t="str">
        <f>tbl_OriginalData[[#This Row],[Social_Media_Influence]]</f>
        <v>High</v>
      </c>
      <c r="AX149" t="str">
        <f>tbl_OriginalData[[#This Row],[Discount_Sensitivity]]</f>
        <v>Somewhat Sensitive</v>
      </c>
      <c r="AY149" s="3">
        <f>tbl_OriginalData[[#This Row],[Return_Rate]]/tbl_OriginalData[[#This Row],[Frequency_of_Purchase]]</f>
        <v>1</v>
      </c>
      <c r="AZ149">
        <f>tbl_OriginalData[[#This Row],[Customer_Satisfaction]]</f>
        <v>8</v>
      </c>
      <c r="BA149" t="str">
        <f>tbl_OriginalData[[#This Row],[Engagement_with_Ads]]</f>
        <v>High</v>
      </c>
      <c r="BB149" t="str">
        <f>tbl_OriginalData[[#This Row],[Device_Used_for_Shopping]]</f>
        <v>Smartphone</v>
      </c>
      <c r="BC149" t="str">
        <f>tbl_OriginalData[[#This Row],[Payment_Method]]</f>
        <v>PayPal</v>
      </c>
      <c r="BD149" s="1">
        <f>tbl_OriginalData[[#This Row],[Time_of_Purchase]]</f>
        <v>45451</v>
      </c>
      <c r="BE149" t="str">
        <f>IF(tbl_OriginalData[[#This Row],[Discount_Used]]=TRUE,"Yes","No")</f>
        <v>Yes</v>
      </c>
      <c r="BF149" t="str">
        <f>IF(tbl_OriginalData[[#This Row],[Customer_Loyalty_Program_Member]]=TRUE,"Yes","No")</f>
        <v>No</v>
      </c>
      <c r="BG149" t="str">
        <f>tbl_OriginalData[[#This Row],[Purchase_Intent]]</f>
        <v>Impulsive</v>
      </c>
      <c r="BH149" t="str">
        <f>tbl_OriginalData[[#This Row],[Shipping_Preference]]</f>
        <v>Standard</v>
      </c>
      <c r="BI149">
        <f>tbl_OriginalData[[#This Row],[Time_to_Decision]]</f>
        <v>12</v>
      </c>
      <c r="BJ149" t="s">
        <v>104</v>
      </c>
      <c r="BK149" t="s">
        <v>63</v>
      </c>
      <c r="BL149" t="s">
        <v>2527</v>
      </c>
    </row>
    <row r="150" spans="1:64">
      <c r="A150" t="s">
        <v>470</v>
      </c>
      <c r="B150">
        <v>41</v>
      </c>
      <c r="C150" t="s">
        <v>50</v>
      </c>
      <c r="D150" t="s">
        <v>51</v>
      </c>
      <c r="E150" t="s">
        <v>82</v>
      </c>
      <c r="F150" t="s">
        <v>36</v>
      </c>
      <c r="G150" t="s">
        <v>34</v>
      </c>
      <c r="H150" t="s">
        <v>471</v>
      </c>
      <c r="I150" t="s">
        <v>153</v>
      </c>
      <c r="J150">
        <v>341.91</v>
      </c>
      <c r="K150">
        <v>3</v>
      </c>
      <c r="L150" t="s">
        <v>94</v>
      </c>
      <c r="M150">
        <v>4</v>
      </c>
      <c r="N150">
        <v>4</v>
      </c>
      <c r="O150">
        <v>0</v>
      </c>
      <c r="P150" t="s">
        <v>69</v>
      </c>
      <c r="Q150" t="s">
        <v>57</v>
      </c>
      <c r="R150">
        <v>1</v>
      </c>
      <c r="S150">
        <v>9</v>
      </c>
      <c r="T150" t="s">
        <v>40</v>
      </c>
      <c r="U150" t="s">
        <v>42</v>
      </c>
      <c r="V150" t="s">
        <v>102</v>
      </c>
      <c r="W150" s="1">
        <v>45443</v>
      </c>
      <c r="X150" t="b">
        <v>0</v>
      </c>
      <c r="Y150" t="b">
        <v>0</v>
      </c>
      <c r="Z150" t="s">
        <v>72</v>
      </c>
      <c r="AA150" t="s">
        <v>77</v>
      </c>
      <c r="AB150">
        <v>7</v>
      </c>
      <c r="AF150" t="str">
        <f>tbl_OriginalData[[#This Row],[Customer_ID]]</f>
        <v>87-934-6762</v>
      </c>
      <c r="AG150">
        <f>tbl_OriginalData[[#This Row],[Age]]</f>
        <v>41</v>
      </c>
      <c r="AH150" t="str" cm="1">
        <f t="array" ref="AH15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50" t="str">
        <f>tbl_OriginalData[[#This Row],[Gender]]</f>
        <v>Male</v>
      </c>
      <c r="AJ150" t="str">
        <f>tbl_OriginalData[[#This Row],[Income_Level]]</f>
        <v>High</v>
      </c>
      <c r="AK150" t="str">
        <f>tbl_OriginalData[[#This Row],[Marital_Status]]</f>
        <v>Widowed</v>
      </c>
      <c r="AL150" t="str">
        <f>tbl_OriginalData[[#This Row],[Education_Level]]</f>
        <v>Bachelor's</v>
      </c>
      <c r="AM150" t="str">
        <f>tbl_OriginalData[[#This Row],[Occupation]]</f>
        <v>Middle</v>
      </c>
      <c r="AN150" t="s">
        <v>471</v>
      </c>
      <c r="AO150" t="s">
        <v>103</v>
      </c>
      <c r="AP150" t="str">
        <f>tbl_OriginalData[[#This Row],[Purchase_Category]]</f>
        <v>Baby Products</v>
      </c>
      <c r="AQ150" s="4">
        <f>tbl_OriginalData[[#This Row],[Purchase_Amount]]</f>
        <v>341.91</v>
      </c>
      <c r="AR150">
        <f>tbl_OriginalData[[#This Row],[Frequency_of_Purchase]]</f>
        <v>3</v>
      </c>
      <c r="AS150" t="str">
        <f>tbl_OriginalData[[#This Row],[Purchase_Channel]]</f>
        <v>Online</v>
      </c>
      <c r="AT150">
        <f>tbl_OriginalData[[#This Row],[Brand_Loyalty]]</f>
        <v>4</v>
      </c>
      <c r="AU150">
        <f>tbl_OriginalData[[#This Row],[Product_Rating]]</f>
        <v>4</v>
      </c>
      <c r="AV150">
        <f>tbl_OriginalData[[#This Row],[Time_Spent_on_Product_Research(hours)]]*60</f>
        <v>0</v>
      </c>
      <c r="AW150" t="str">
        <f>tbl_OriginalData[[#This Row],[Social_Media_Influence]]</f>
        <v>Low</v>
      </c>
      <c r="AX150" t="str">
        <f>tbl_OriginalData[[#This Row],[Discount_Sensitivity]]</f>
        <v>Not Sensitive</v>
      </c>
      <c r="AY150" s="3">
        <f>tbl_OriginalData[[#This Row],[Return_Rate]]/tbl_OriginalData[[#This Row],[Frequency_of_Purchase]]</f>
        <v>0.33333333333333331</v>
      </c>
      <c r="AZ150">
        <f>tbl_OriginalData[[#This Row],[Customer_Satisfaction]]</f>
        <v>9</v>
      </c>
      <c r="BA150" t="str">
        <f>tbl_OriginalData[[#This Row],[Engagement_with_Ads]]</f>
        <v>None</v>
      </c>
      <c r="BB150" t="str">
        <f>tbl_OriginalData[[#This Row],[Device_Used_for_Shopping]]</f>
        <v>Tablet</v>
      </c>
      <c r="BC150" t="str">
        <f>tbl_OriginalData[[#This Row],[Payment_Method]]</f>
        <v>Cash</v>
      </c>
      <c r="BD150" s="1">
        <f>tbl_OriginalData[[#This Row],[Time_of_Purchase]]</f>
        <v>45443</v>
      </c>
      <c r="BE150" t="str">
        <f>IF(tbl_OriginalData[[#This Row],[Discount_Used]]=TRUE,"Yes","No")</f>
        <v>No</v>
      </c>
      <c r="BF150" t="str">
        <f>IF(tbl_OriginalData[[#This Row],[Customer_Loyalty_Program_Member]]=TRUE,"Yes","No")</f>
        <v>No</v>
      </c>
      <c r="BG150" t="str">
        <f>tbl_OriginalData[[#This Row],[Purchase_Intent]]</f>
        <v>Impulsive</v>
      </c>
      <c r="BH150" t="str">
        <f>tbl_OriginalData[[#This Row],[Shipping_Preference]]</f>
        <v>Express</v>
      </c>
      <c r="BI150">
        <f>tbl_OriginalData[[#This Row],[Time_to_Decision]]</f>
        <v>7</v>
      </c>
      <c r="BJ150" t="s">
        <v>167</v>
      </c>
      <c r="BK150" t="s">
        <v>63</v>
      </c>
      <c r="BL150" t="s">
        <v>2523</v>
      </c>
    </row>
    <row r="151" spans="1:64">
      <c r="A151" t="s">
        <v>472</v>
      </c>
      <c r="B151">
        <v>40</v>
      </c>
      <c r="C151" t="s">
        <v>50</v>
      </c>
      <c r="D151" t="s">
        <v>51</v>
      </c>
      <c r="E151" t="s">
        <v>35</v>
      </c>
      <c r="F151" t="s">
        <v>66</v>
      </c>
      <c r="G151" t="s">
        <v>51</v>
      </c>
      <c r="H151" t="s">
        <v>473</v>
      </c>
      <c r="I151" t="s">
        <v>38</v>
      </c>
      <c r="J151">
        <v>127.66</v>
      </c>
      <c r="K151">
        <v>11</v>
      </c>
      <c r="L151" t="s">
        <v>94</v>
      </c>
      <c r="M151">
        <v>1</v>
      </c>
      <c r="N151">
        <v>2</v>
      </c>
      <c r="O151">
        <v>2</v>
      </c>
      <c r="P151" t="s">
        <v>69</v>
      </c>
      <c r="Q151" t="s">
        <v>57</v>
      </c>
      <c r="R151">
        <v>2</v>
      </c>
      <c r="S151">
        <v>7</v>
      </c>
      <c r="T151" t="s">
        <v>40</v>
      </c>
      <c r="U151" t="s">
        <v>70</v>
      </c>
      <c r="V151" t="s">
        <v>43</v>
      </c>
      <c r="W151" s="1">
        <v>45345</v>
      </c>
      <c r="X151" t="b">
        <v>0</v>
      </c>
      <c r="Y151" t="b">
        <v>1</v>
      </c>
      <c r="Z151" t="s">
        <v>89</v>
      </c>
      <c r="AA151" t="s">
        <v>60</v>
      </c>
      <c r="AB151">
        <v>7</v>
      </c>
      <c r="AF151" t="str">
        <f>tbl_OriginalData[[#This Row],[Customer_ID]]</f>
        <v>71-975-9564</v>
      </c>
      <c r="AG151">
        <f>tbl_OriginalData[[#This Row],[Age]]</f>
        <v>40</v>
      </c>
      <c r="AH151" t="str" cm="1">
        <f t="array" ref="AH15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51" t="str">
        <f>tbl_OriginalData[[#This Row],[Gender]]</f>
        <v>Male</v>
      </c>
      <c r="AJ151" t="str">
        <f>tbl_OriginalData[[#This Row],[Income_Level]]</f>
        <v>High</v>
      </c>
      <c r="AK151" t="str">
        <f>tbl_OriginalData[[#This Row],[Marital_Status]]</f>
        <v>Married</v>
      </c>
      <c r="AL151" t="str">
        <f>tbl_OriginalData[[#This Row],[Education_Level]]</f>
        <v>Master's</v>
      </c>
      <c r="AM151" t="str">
        <f>tbl_OriginalData[[#This Row],[Occupation]]</f>
        <v>High</v>
      </c>
      <c r="AN151" t="s">
        <v>473</v>
      </c>
      <c r="AO151" t="s">
        <v>186</v>
      </c>
      <c r="AP151" t="str">
        <f>tbl_OriginalData[[#This Row],[Purchase_Category]]</f>
        <v>Gardening &amp; Outdoors</v>
      </c>
      <c r="AQ151" s="4">
        <f>tbl_OriginalData[[#This Row],[Purchase_Amount]]</f>
        <v>127.66</v>
      </c>
      <c r="AR151">
        <f>tbl_OriginalData[[#This Row],[Frequency_of_Purchase]]</f>
        <v>11</v>
      </c>
      <c r="AS151" t="str">
        <f>tbl_OriginalData[[#This Row],[Purchase_Channel]]</f>
        <v>Online</v>
      </c>
      <c r="AT151">
        <f>tbl_OriginalData[[#This Row],[Brand_Loyalty]]</f>
        <v>1</v>
      </c>
      <c r="AU151">
        <f>tbl_OriginalData[[#This Row],[Product_Rating]]</f>
        <v>2</v>
      </c>
      <c r="AV151">
        <f>tbl_OriginalData[[#This Row],[Time_Spent_on_Product_Research(hours)]]*60</f>
        <v>120</v>
      </c>
      <c r="AW151" t="str">
        <f>tbl_OriginalData[[#This Row],[Social_Media_Influence]]</f>
        <v>Low</v>
      </c>
      <c r="AX151" t="str">
        <f>tbl_OriginalData[[#This Row],[Discount_Sensitivity]]</f>
        <v>Not Sensitive</v>
      </c>
      <c r="AY151" s="3">
        <f>tbl_OriginalData[[#This Row],[Return_Rate]]/tbl_OriginalData[[#This Row],[Frequency_of_Purchase]]</f>
        <v>0.18181818181818182</v>
      </c>
      <c r="AZ151">
        <f>tbl_OriginalData[[#This Row],[Customer_Satisfaction]]</f>
        <v>7</v>
      </c>
      <c r="BA151" t="str">
        <f>tbl_OriginalData[[#This Row],[Engagement_with_Ads]]</f>
        <v>None</v>
      </c>
      <c r="BB151" t="str">
        <f>tbl_OriginalData[[#This Row],[Device_Used_for_Shopping]]</f>
        <v>Smartphone</v>
      </c>
      <c r="BC151" t="str">
        <f>tbl_OriginalData[[#This Row],[Payment_Method]]</f>
        <v>Credit Card</v>
      </c>
      <c r="BD151" s="1">
        <f>tbl_OriginalData[[#This Row],[Time_of_Purchase]]</f>
        <v>45345</v>
      </c>
      <c r="BE151" t="str">
        <f>IF(tbl_OriginalData[[#This Row],[Discount_Used]]=TRUE,"Yes","No")</f>
        <v>No</v>
      </c>
      <c r="BF151" t="str">
        <f>IF(tbl_OriginalData[[#This Row],[Customer_Loyalty_Program_Member]]=TRUE,"Yes","No")</f>
        <v>Yes</v>
      </c>
      <c r="BG151" t="str">
        <f>tbl_OriginalData[[#This Row],[Purchase_Intent]]</f>
        <v>Planned</v>
      </c>
      <c r="BH151" t="str">
        <f>tbl_OriginalData[[#This Row],[Shipping_Preference]]</f>
        <v>Standard</v>
      </c>
      <c r="BI151">
        <f>tbl_OriginalData[[#This Row],[Time_to_Decision]]</f>
        <v>7</v>
      </c>
      <c r="BJ151" t="s">
        <v>158</v>
      </c>
      <c r="BK151" t="s">
        <v>48</v>
      </c>
      <c r="BL151" t="s">
        <v>2523</v>
      </c>
    </row>
    <row r="152" spans="1:64">
      <c r="A152" t="s">
        <v>474</v>
      </c>
      <c r="B152">
        <v>47</v>
      </c>
      <c r="C152" t="s">
        <v>188</v>
      </c>
      <c r="D152" t="s">
        <v>34</v>
      </c>
      <c r="E152" t="s">
        <v>65</v>
      </c>
      <c r="F152" t="s">
        <v>36</v>
      </c>
      <c r="G152" t="s">
        <v>34</v>
      </c>
      <c r="H152" t="s">
        <v>475</v>
      </c>
      <c r="I152" t="s">
        <v>150</v>
      </c>
      <c r="J152">
        <v>227.47</v>
      </c>
      <c r="K152">
        <v>2</v>
      </c>
      <c r="L152" t="s">
        <v>94</v>
      </c>
      <c r="M152">
        <v>2</v>
      </c>
      <c r="N152">
        <v>2</v>
      </c>
      <c r="O152">
        <v>2</v>
      </c>
      <c r="P152" t="s">
        <v>69</v>
      </c>
      <c r="Q152" t="s">
        <v>101</v>
      </c>
      <c r="R152">
        <v>1</v>
      </c>
      <c r="S152">
        <v>4</v>
      </c>
      <c r="T152" t="s">
        <v>51</v>
      </c>
      <c r="U152" t="s">
        <v>42</v>
      </c>
      <c r="V152" t="s">
        <v>76</v>
      </c>
      <c r="W152" s="1">
        <v>45595</v>
      </c>
      <c r="X152" t="b">
        <v>1</v>
      </c>
      <c r="Y152" t="b">
        <v>0</v>
      </c>
      <c r="Z152" t="s">
        <v>44</v>
      </c>
      <c r="AA152" t="s">
        <v>77</v>
      </c>
      <c r="AB152">
        <v>9</v>
      </c>
      <c r="AF152" t="str">
        <f>tbl_OriginalData[[#This Row],[Customer_ID]]</f>
        <v>40-232-5631</v>
      </c>
      <c r="AG152">
        <f>tbl_OriginalData[[#This Row],[Age]]</f>
        <v>47</v>
      </c>
      <c r="AH152" t="str" cm="1">
        <f t="array" ref="AH15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52" t="str">
        <f>tbl_OriginalData[[#This Row],[Gender]]</f>
        <v>Genderfluid</v>
      </c>
      <c r="AJ152" t="str">
        <f>tbl_OriginalData[[#This Row],[Income_Level]]</f>
        <v>Middle</v>
      </c>
      <c r="AK152" t="str">
        <f>tbl_OriginalData[[#This Row],[Marital_Status]]</f>
        <v>Single</v>
      </c>
      <c r="AL152" t="str">
        <f>tbl_OriginalData[[#This Row],[Education_Level]]</f>
        <v>Bachelor's</v>
      </c>
      <c r="AM152" t="str">
        <f>tbl_OriginalData[[#This Row],[Occupation]]</f>
        <v>Middle</v>
      </c>
      <c r="AN152" t="s">
        <v>475</v>
      </c>
      <c r="AO152" t="s">
        <v>109</v>
      </c>
      <c r="AP152" t="str">
        <f>tbl_OriginalData[[#This Row],[Purchase_Category]]</f>
        <v>Software &amp; Apps</v>
      </c>
      <c r="AQ152" s="4">
        <f>tbl_OriginalData[[#This Row],[Purchase_Amount]]</f>
        <v>227.47</v>
      </c>
      <c r="AR152">
        <f>tbl_OriginalData[[#This Row],[Frequency_of_Purchase]]</f>
        <v>2</v>
      </c>
      <c r="AS152" t="str">
        <f>tbl_OriginalData[[#This Row],[Purchase_Channel]]</f>
        <v>Online</v>
      </c>
      <c r="AT152">
        <f>tbl_OriginalData[[#This Row],[Brand_Loyalty]]</f>
        <v>2</v>
      </c>
      <c r="AU152">
        <f>tbl_OriginalData[[#This Row],[Product_Rating]]</f>
        <v>2</v>
      </c>
      <c r="AV152">
        <f>tbl_OriginalData[[#This Row],[Time_Spent_on_Product_Research(hours)]]*60</f>
        <v>120</v>
      </c>
      <c r="AW152" t="str">
        <f>tbl_OriginalData[[#This Row],[Social_Media_Influence]]</f>
        <v>Low</v>
      </c>
      <c r="AX152" t="str">
        <f>tbl_OriginalData[[#This Row],[Discount_Sensitivity]]</f>
        <v>Very Sensitive</v>
      </c>
      <c r="AY152" s="3">
        <f>tbl_OriginalData[[#This Row],[Return_Rate]]/tbl_OriginalData[[#This Row],[Frequency_of_Purchase]]</f>
        <v>0.5</v>
      </c>
      <c r="AZ152">
        <f>tbl_OriginalData[[#This Row],[Customer_Satisfaction]]</f>
        <v>4</v>
      </c>
      <c r="BA152" t="str">
        <f>tbl_OriginalData[[#This Row],[Engagement_with_Ads]]</f>
        <v>High</v>
      </c>
      <c r="BB152" t="str">
        <f>tbl_OriginalData[[#This Row],[Device_Used_for_Shopping]]</f>
        <v>Tablet</v>
      </c>
      <c r="BC152" t="str">
        <f>tbl_OriginalData[[#This Row],[Payment_Method]]</f>
        <v>Other</v>
      </c>
      <c r="BD152" s="1">
        <f>tbl_OriginalData[[#This Row],[Time_of_Purchase]]</f>
        <v>45595</v>
      </c>
      <c r="BE152" t="str">
        <f>IF(tbl_OriginalData[[#This Row],[Discount_Used]]=TRUE,"Yes","No")</f>
        <v>Yes</v>
      </c>
      <c r="BF152" t="str">
        <f>IF(tbl_OriginalData[[#This Row],[Customer_Loyalty_Program_Member]]=TRUE,"Yes","No")</f>
        <v>No</v>
      </c>
      <c r="BG152" t="str">
        <f>tbl_OriginalData[[#This Row],[Purchase_Intent]]</f>
        <v>Need-based</v>
      </c>
      <c r="BH152" t="str">
        <f>tbl_OriginalData[[#This Row],[Shipping_Preference]]</f>
        <v>Express</v>
      </c>
      <c r="BI152">
        <f>tbl_OriginalData[[#This Row],[Time_to_Decision]]</f>
        <v>9</v>
      </c>
      <c r="BJ152" t="s">
        <v>79</v>
      </c>
      <c r="BK152" t="s">
        <v>80</v>
      </c>
      <c r="BL152" t="s">
        <v>2526</v>
      </c>
    </row>
    <row r="153" spans="1:64">
      <c r="A153" t="s">
        <v>476</v>
      </c>
      <c r="B153">
        <v>35</v>
      </c>
      <c r="C153" t="s">
        <v>50</v>
      </c>
      <c r="D153" t="s">
        <v>51</v>
      </c>
      <c r="E153" t="s">
        <v>82</v>
      </c>
      <c r="F153" t="s">
        <v>36</v>
      </c>
      <c r="G153" t="s">
        <v>51</v>
      </c>
      <c r="H153" t="s">
        <v>477</v>
      </c>
      <c r="I153" t="s">
        <v>180</v>
      </c>
      <c r="J153">
        <v>342.99</v>
      </c>
      <c r="K153">
        <v>3</v>
      </c>
      <c r="L153" t="s">
        <v>55</v>
      </c>
      <c r="M153">
        <v>4</v>
      </c>
      <c r="N153">
        <v>2</v>
      </c>
      <c r="O153">
        <v>2</v>
      </c>
      <c r="P153" t="s">
        <v>69</v>
      </c>
      <c r="Q153" t="s">
        <v>101</v>
      </c>
      <c r="R153">
        <v>0</v>
      </c>
      <c r="S153">
        <v>6</v>
      </c>
      <c r="T153" t="s">
        <v>56</v>
      </c>
      <c r="U153" t="s">
        <v>70</v>
      </c>
      <c r="V153" t="s">
        <v>76</v>
      </c>
      <c r="W153" s="1">
        <v>45618</v>
      </c>
      <c r="X153" t="b">
        <v>0</v>
      </c>
      <c r="Y153" t="b">
        <v>1</v>
      </c>
      <c r="Z153" t="s">
        <v>72</v>
      </c>
      <c r="AA153" t="s">
        <v>77</v>
      </c>
      <c r="AB153">
        <v>6</v>
      </c>
      <c r="AF153" t="str">
        <f>tbl_OriginalData[[#This Row],[Customer_ID]]</f>
        <v>22-414-4955</v>
      </c>
      <c r="AG153">
        <f>tbl_OriginalData[[#This Row],[Age]]</f>
        <v>35</v>
      </c>
      <c r="AH153" t="str" cm="1">
        <f t="array" ref="AH15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53" t="str">
        <f>tbl_OriginalData[[#This Row],[Gender]]</f>
        <v>Male</v>
      </c>
      <c r="AJ153" t="str">
        <f>tbl_OriginalData[[#This Row],[Income_Level]]</f>
        <v>High</v>
      </c>
      <c r="AK153" t="str">
        <f>tbl_OriginalData[[#This Row],[Marital_Status]]</f>
        <v>Widowed</v>
      </c>
      <c r="AL153" t="str">
        <f>tbl_OriginalData[[#This Row],[Education_Level]]</f>
        <v>Bachelor's</v>
      </c>
      <c r="AM153" t="str">
        <f>tbl_OriginalData[[#This Row],[Occupation]]</f>
        <v>High</v>
      </c>
      <c r="AN153" t="s">
        <v>477</v>
      </c>
      <c r="AO153" t="s">
        <v>478</v>
      </c>
      <c r="AP153" t="str">
        <f>tbl_OriginalData[[#This Row],[Purchase_Category]]</f>
        <v>Health Supplements</v>
      </c>
      <c r="AQ153" s="4">
        <f>tbl_OriginalData[[#This Row],[Purchase_Amount]]</f>
        <v>342.99</v>
      </c>
      <c r="AR153">
        <f>tbl_OriginalData[[#This Row],[Frequency_of_Purchase]]</f>
        <v>3</v>
      </c>
      <c r="AS153" t="str">
        <f>tbl_OriginalData[[#This Row],[Purchase_Channel]]</f>
        <v>In-Store</v>
      </c>
      <c r="AT153">
        <f>tbl_OriginalData[[#This Row],[Brand_Loyalty]]</f>
        <v>4</v>
      </c>
      <c r="AU153">
        <f>tbl_OriginalData[[#This Row],[Product_Rating]]</f>
        <v>2</v>
      </c>
      <c r="AV153">
        <f>tbl_OriginalData[[#This Row],[Time_Spent_on_Product_Research(hours)]]*60</f>
        <v>120</v>
      </c>
      <c r="AW153" t="str">
        <f>tbl_OriginalData[[#This Row],[Social_Media_Influence]]</f>
        <v>Low</v>
      </c>
      <c r="AX153" t="str">
        <f>tbl_OriginalData[[#This Row],[Discount_Sensitivity]]</f>
        <v>Very Sensitive</v>
      </c>
      <c r="AY153" s="3">
        <f>tbl_OriginalData[[#This Row],[Return_Rate]]/tbl_OriginalData[[#This Row],[Frequency_of_Purchase]]</f>
        <v>0</v>
      </c>
      <c r="AZ153">
        <f>tbl_OriginalData[[#This Row],[Customer_Satisfaction]]</f>
        <v>6</v>
      </c>
      <c r="BA153" t="str">
        <f>tbl_OriginalData[[#This Row],[Engagement_with_Ads]]</f>
        <v>Medium</v>
      </c>
      <c r="BB153" t="str">
        <f>tbl_OriginalData[[#This Row],[Device_Used_for_Shopping]]</f>
        <v>Smartphone</v>
      </c>
      <c r="BC153" t="str">
        <f>tbl_OriginalData[[#This Row],[Payment_Method]]</f>
        <v>Other</v>
      </c>
      <c r="BD153" s="1">
        <f>tbl_OriginalData[[#This Row],[Time_of_Purchase]]</f>
        <v>45618</v>
      </c>
      <c r="BE153" t="str">
        <f>IF(tbl_OriginalData[[#This Row],[Discount_Used]]=TRUE,"Yes","No")</f>
        <v>No</v>
      </c>
      <c r="BF153" t="str">
        <f>IF(tbl_OriginalData[[#This Row],[Customer_Loyalty_Program_Member]]=TRUE,"Yes","No")</f>
        <v>Yes</v>
      </c>
      <c r="BG153" t="str">
        <f>tbl_OriginalData[[#This Row],[Purchase_Intent]]</f>
        <v>Impulsive</v>
      </c>
      <c r="BH153" t="str">
        <f>tbl_OriginalData[[#This Row],[Shipping_Preference]]</f>
        <v>Express</v>
      </c>
      <c r="BI153">
        <f>tbl_OriginalData[[#This Row],[Time_to_Decision]]</f>
        <v>6</v>
      </c>
      <c r="BJ153" t="s">
        <v>177</v>
      </c>
      <c r="BK153" t="s">
        <v>80</v>
      </c>
      <c r="BL153" t="s">
        <v>2523</v>
      </c>
    </row>
    <row r="154" spans="1:64">
      <c r="A154" t="s">
        <v>479</v>
      </c>
      <c r="B154">
        <v>49</v>
      </c>
      <c r="C154" t="s">
        <v>238</v>
      </c>
      <c r="D154" t="s">
        <v>51</v>
      </c>
      <c r="E154" t="s">
        <v>35</v>
      </c>
      <c r="F154" t="s">
        <v>66</v>
      </c>
      <c r="G154" t="s">
        <v>34</v>
      </c>
      <c r="H154" t="s">
        <v>480</v>
      </c>
      <c r="I154" t="s">
        <v>143</v>
      </c>
      <c r="J154">
        <v>306.48</v>
      </c>
      <c r="K154">
        <v>5</v>
      </c>
      <c r="L154" t="s">
        <v>39</v>
      </c>
      <c r="M154">
        <v>1</v>
      </c>
      <c r="N154">
        <v>3</v>
      </c>
      <c r="O154">
        <v>0</v>
      </c>
      <c r="P154" t="s">
        <v>56</v>
      </c>
      <c r="Q154" t="s">
        <v>101</v>
      </c>
      <c r="R154">
        <v>0</v>
      </c>
      <c r="S154">
        <v>9</v>
      </c>
      <c r="T154" t="s">
        <v>69</v>
      </c>
      <c r="U154" t="s">
        <v>42</v>
      </c>
      <c r="V154" t="s">
        <v>43</v>
      </c>
      <c r="W154" s="1">
        <v>45550</v>
      </c>
      <c r="X154" t="b">
        <v>0</v>
      </c>
      <c r="Y154" t="b">
        <v>1</v>
      </c>
      <c r="Z154" t="s">
        <v>44</v>
      </c>
      <c r="AA154" t="s">
        <v>60</v>
      </c>
      <c r="AB154">
        <v>14</v>
      </c>
      <c r="AF154" t="str">
        <f>tbl_OriginalData[[#This Row],[Customer_ID]]</f>
        <v>99-089-1930</v>
      </c>
      <c r="AG154">
        <f>tbl_OriginalData[[#This Row],[Age]]</f>
        <v>49</v>
      </c>
      <c r="AH154" t="str" cm="1">
        <f t="array" ref="AH15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54" t="str">
        <f>tbl_OriginalData[[#This Row],[Gender]]</f>
        <v>Non-binary</v>
      </c>
      <c r="AJ154" t="str">
        <f>tbl_OriginalData[[#This Row],[Income_Level]]</f>
        <v>High</v>
      </c>
      <c r="AK154" t="str">
        <f>tbl_OriginalData[[#This Row],[Marital_Status]]</f>
        <v>Married</v>
      </c>
      <c r="AL154" t="str">
        <f>tbl_OriginalData[[#This Row],[Education_Level]]</f>
        <v>Master's</v>
      </c>
      <c r="AM154" t="str">
        <f>tbl_OriginalData[[#This Row],[Occupation]]</f>
        <v>Middle</v>
      </c>
      <c r="AN154" t="s">
        <v>480</v>
      </c>
      <c r="AO154" t="s">
        <v>481</v>
      </c>
      <c r="AP154" t="str">
        <f>tbl_OriginalData[[#This Row],[Purchase_Category]]</f>
        <v>Packages)</v>
      </c>
      <c r="AQ154" s="4">
        <f>tbl_OriginalData[[#This Row],[Purchase_Amount]]</f>
        <v>306.48</v>
      </c>
      <c r="AR154">
        <f>tbl_OriginalData[[#This Row],[Frequency_of_Purchase]]</f>
        <v>5</v>
      </c>
      <c r="AS154" t="str">
        <f>tbl_OriginalData[[#This Row],[Purchase_Channel]]</f>
        <v>Mixed</v>
      </c>
      <c r="AT154">
        <f>tbl_OriginalData[[#This Row],[Brand_Loyalty]]</f>
        <v>1</v>
      </c>
      <c r="AU154">
        <f>tbl_OriginalData[[#This Row],[Product_Rating]]</f>
        <v>3</v>
      </c>
      <c r="AV154">
        <f>tbl_OriginalData[[#This Row],[Time_Spent_on_Product_Research(hours)]]*60</f>
        <v>0</v>
      </c>
      <c r="AW154" t="str">
        <f>tbl_OriginalData[[#This Row],[Social_Media_Influence]]</f>
        <v>Medium</v>
      </c>
      <c r="AX154" t="str">
        <f>tbl_OriginalData[[#This Row],[Discount_Sensitivity]]</f>
        <v>Very Sensitive</v>
      </c>
      <c r="AY154" s="3">
        <f>tbl_OriginalData[[#This Row],[Return_Rate]]/tbl_OriginalData[[#This Row],[Frequency_of_Purchase]]</f>
        <v>0</v>
      </c>
      <c r="AZ154">
        <f>tbl_OriginalData[[#This Row],[Customer_Satisfaction]]</f>
        <v>9</v>
      </c>
      <c r="BA154" t="str">
        <f>tbl_OriginalData[[#This Row],[Engagement_with_Ads]]</f>
        <v>Low</v>
      </c>
      <c r="BB154" t="str">
        <f>tbl_OriginalData[[#This Row],[Device_Used_for_Shopping]]</f>
        <v>Tablet</v>
      </c>
      <c r="BC154" t="str">
        <f>tbl_OriginalData[[#This Row],[Payment_Method]]</f>
        <v>Credit Card</v>
      </c>
      <c r="BD154" s="1">
        <f>tbl_OriginalData[[#This Row],[Time_of_Purchase]]</f>
        <v>45550</v>
      </c>
      <c r="BE154" t="str">
        <f>IF(tbl_OriginalData[[#This Row],[Discount_Used]]=TRUE,"Yes","No")</f>
        <v>No</v>
      </c>
      <c r="BF154" t="str">
        <f>IF(tbl_OriginalData[[#This Row],[Customer_Loyalty_Program_Member]]=TRUE,"Yes","No")</f>
        <v>Yes</v>
      </c>
      <c r="BG154" t="str">
        <f>tbl_OriginalData[[#This Row],[Purchase_Intent]]</f>
        <v>Need-based</v>
      </c>
      <c r="BH154" t="str">
        <f>tbl_OriginalData[[#This Row],[Shipping_Preference]]</f>
        <v>Standard</v>
      </c>
      <c r="BI154">
        <f>tbl_OriginalData[[#This Row],[Time_to_Decision]]</f>
        <v>14</v>
      </c>
      <c r="BJ154" t="s">
        <v>172</v>
      </c>
      <c r="BK154" t="s">
        <v>115</v>
      </c>
      <c r="BL154" t="s">
        <v>2523</v>
      </c>
    </row>
    <row r="155" spans="1:64">
      <c r="A155" t="s">
        <v>482</v>
      </c>
      <c r="B155">
        <v>22</v>
      </c>
      <c r="C155" t="s">
        <v>50</v>
      </c>
      <c r="D155" t="s">
        <v>34</v>
      </c>
      <c r="E155" t="s">
        <v>92</v>
      </c>
      <c r="F155" t="s">
        <v>66</v>
      </c>
      <c r="G155" t="s">
        <v>51</v>
      </c>
      <c r="H155" t="s">
        <v>483</v>
      </c>
      <c r="I155" t="s">
        <v>75</v>
      </c>
      <c r="J155">
        <v>308.54000000000002</v>
      </c>
      <c r="K155">
        <v>3</v>
      </c>
      <c r="L155" t="s">
        <v>39</v>
      </c>
      <c r="M155">
        <v>1</v>
      </c>
      <c r="N155">
        <v>3</v>
      </c>
      <c r="O155">
        <v>0</v>
      </c>
      <c r="P155" t="s">
        <v>51</v>
      </c>
      <c r="Q155" t="s">
        <v>57</v>
      </c>
      <c r="R155">
        <v>1</v>
      </c>
      <c r="S155">
        <v>5</v>
      </c>
      <c r="T155" t="s">
        <v>51</v>
      </c>
      <c r="U155" t="s">
        <v>95</v>
      </c>
      <c r="V155" t="s">
        <v>43</v>
      </c>
      <c r="W155" s="1">
        <v>45564</v>
      </c>
      <c r="X155" t="b">
        <v>0</v>
      </c>
      <c r="Y155" t="b">
        <v>1</v>
      </c>
      <c r="Z155" t="s">
        <v>59</v>
      </c>
      <c r="AA155" t="s">
        <v>60</v>
      </c>
      <c r="AB155">
        <v>7</v>
      </c>
      <c r="AF155" t="str">
        <f>tbl_OriginalData[[#This Row],[Customer_ID]]</f>
        <v>62-198-2511</v>
      </c>
      <c r="AG155">
        <f>tbl_OriginalData[[#This Row],[Age]]</f>
        <v>22</v>
      </c>
      <c r="AH155" t="str" cm="1">
        <f t="array" ref="AH15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55" t="str">
        <f>tbl_OriginalData[[#This Row],[Gender]]</f>
        <v>Male</v>
      </c>
      <c r="AJ155" t="str">
        <f>tbl_OriginalData[[#This Row],[Income_Level]]</f>
        <v>Middle</v>
      </c>
      <c r="AK155" t="str">
        <f>tbl_OriginalData[[#This Row],[Marital_Status]]</f>
        <v>Divorced</v>
      </c>
      <c r="AL155" t="str">
        <f>tbl_OriginalData[[#This Row],[Education_Level]]</f>
        <v>Master's</v>
      </c>
      <c r="AM155" t="str">
        <f>tbl_OriginalData[[#This Row],[Occupation]]</f>
        <v>High</v>
      </c>
      <c r="AN155" t="s">
        <v>483</v>
      </c>
      <c r="AO155" t="s">
        <v>61</v>
      </c>
      <c r="AP155" t="str">
        <f>tbl_OriginalData[[#This Row],[Purchase_Category]]</f>
        <v>Home Appliances</v>
      </c>
      <c r="AQ155" s="4">
        <f>tbl_OriginalData[[#This Row],[Purchase_Amount]]</f>
        <v>308.54000000000002</v>
      </c>
      <c r="AR155">
        <f>tbl_OriginalData[[#This Row],[Frequency_of_Purchase]]</f>
        <v>3</v>
      </c>
      <c r="AS155" t="str">
        <f>tbl_OriginalData[[#This Row],[Purchase_Channel]]</f>
        <v>Mixed</v>
      </c>
      <c r="AT155">
        <f>tbl_OriginalData[[#This Row],[Brand_Loyalty]]</f>
        <v>1</v>
      </c>
      <c r="AU155">
        <f>tbl_OriginalData[[#This Row],[Product_Rating]]</f>
        <v>3</v>
      </c>
      <c r="AV155">
        <f>tbl_OriginalData[[#This Row],[Time_Spent_on_Product_Research(hours)]]*60</f>
        <v>0</v>
      </c>
      <c r="AW155" t="str">
        <f>tbl_OriginalData[[#This Row],[Social_Media_Influence]]</f>
        <v>High</v>
      </c>
      <c r="AX155" t="str">
        <f>tbl_OriginalData[[#This Row],[Discount_Sensitivity]]</f>
        <v>Not Sensitive</v>
      </c>
      <c r="AY155" s="3">
        <f>tbl_OriginalData[[#This Row],[Return_Rate]]/tbl_OriginalData[[#This Row],[Frequency_of_Purchase]]</f>
        <v>0.33333333333333331</v>
      </c>
      <c r="AZ155">
        <f>tbl_OriginalData[[#This Row],[Customer_Satisfaction]]</f>
        <v>5</v>
      </c>
      <c r="BA155" t="str">
        <f>tbl_OriginalData[[#This Row],[Engagement_with_Ads]]</f>
        <v>High</v>
      </c>
      <c r="BB155" t="str">
        <f>tbl_OriginalData[[#This Row],[Device_Used_for_Shopping]]</f>
        <v>Desktop</v>
      </c>
      <c r="BC155" t="str">
        <f>tbl_OriginalData[[#This Row],[Payment_Method]]</f>
        <v>Credit Card</v>
      </c>
      <c r="BD155" s="1">
        <f>tbl_OriginalData[[#This Row],[Time_of_Purchase]]</f>
        <v>45564</v>
      </c>
      <c r="BE155" t="str">
        <f>IF(tbl_OriginalData[[#This Row],[Discount_Used]]=TRUE,"Yes","No")</f>
        <v>No</v>
      </c>
      <c r="BF155" t="str">
        <f>IF(tbl_OriginalData[[#This Row],[Customer_Loyalty_Program_Member]]=TRUE,"Yes","No")</f>
        <v>Yes</v>
      </c>
      <c r="BG155" t="str">
        <f>tbl_OriginalData[[#This Row],[Purchase_Intent]]</f>
        <v>Wants-based</v>
      </c>
      <c r="BH155" t="str">
        <f>tbl_OriginalData[[#This Row],[Shipping_Preference]]</f>
        <v>Standard</v>
      </c>
      <c r="BI155">
        <f>tbl_OriginalData[[#This Row],[Time_to_Decision]]</f>
        <v>7</v>
      </c>
      <c r="BJ155" t="s">
        <v>172</v>
      </c>
      <c r="BK155" t="s">
        <v>115</v>
      </c>
      <c r="BL155" t="s">
        <v>2524</v>
      </c>
    </row>
    <row r="156" spans="1:64">
      <c r="A156" t="s">
        <v>484</v>
      </c>
      <c r="B156">
        <v>49</v>
      </c>
      <c r="C156" t="s">
        <v>50</v>
      </c>
      <c r="D156" t="s">
        <v>51</v>
      </c>
      <c r="E156" t="s">
        <v>65</v>
      </c>
      <c r="F156" t="s">
        <v>66</v>
      </c>
      <c r="G156" t="s">
        <v>34</v>
      </c>
      <c r="H156" t="s">
        <v>485</v>
      </c>
      <c r="I156" t="s">
        <v>242</v>
      </c>
      <c r="J156">
        <v>124.17</v>
      </c>
      <c r="K156">
        <v>12</v>
      </c>
      <c r="L156" t="s">
        <v>39</v>
      </c>
      <c r="M156">
        <v>5</v>
      </c>
      <c r="N156">
        <v>2</v>
      </c>
      <c r="O156">
        <v>2</v>
      </c>
      <c r="P156" t="s">
        <v>51</v>
      </c>
      <c r="Q156" t="s">
        <v>101</v>
      </c>
      <c r="R156">
        <v>2</v>
      </c>
      <c r="S156">
        <v>4</v>
      </c>
      <c r="T156" t="s">
        <v>51</v>
      </c>
      <c r="U156" t="s">
        <v>70</v>
      </c>
      <c r="V156" t="s">
        <v>71</v>
      </c>
      <c r="W156" s="1">
        <v>45612</v>
      </c>
      <c r="X156" t="b">
        <v>1</v>
      </c>
      <c r="Y156" t="b">
        <v>1</v>
      </c>
      <c r="Z156" t="s">
        <v>89</v>
      </c>
      <c r="AA156" t="s">
        <v>60</v>
      </c>
      <c r="AB156">
        <v>6</v>
      </c>
      <c r="AF156" t="str">
        <f>tbl_OriginalData[[#This Row],[Customer_ID]]</f>
        <v>21-297-1223</v>
      </c>
      <c r="AG156">
        <f>tbl_OriginalData[[#This Row],[Age]]</f>
        <v>49</v>
      </c>
      <c r="AH156" t="str" cm="1">
        <f t="array" ref="AH15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56" t="str">
        <f>tbl_OriginalData[[#This Row],[Gender]]</f>
        <v>Male</v>
      </c>
      <c r="AJ156" t="str">
        <f>tbl_OriginalData[[#This Row],[Income_Level]]</f>
        <v>High</v>
      </c>
      <c r="AK156" t="str">
        <f>tbl_OriginalData[[#This Row],[Marital_Status]]</f>
        <v>Single</v>
      </c>
      <c r="AL156" t="str">
        <f>tbl_OriginalData[[#This Row],[Education_Level]]</f>
        <v>Master's</v>
      </c>
      <c r="AM156" t="str">
        <f>tbl_OriginalData[[#This Row],[Occupation]]</f>
        <v>Middle</v>
      </c>
      <c r="AN156" t="s">
        <v>485</v>
      </c>
      <c r="AO156" t="s">
        <v>161</v>
      </c>
      <c r="AP156" t="str">
        <f>tbl_OriginalData[[#This Row],[Purchase_Category]]</f>
        <v>Travel &amp; Leisure (Flights</v>
      </c>
      <c r="AQ156" s="4">
        <f>tbl_OriginalData[[#This Row],[Purchase_Amount]]</f>
        <v>124.17</v>
      </c>
      <c r="AR156">
        <f>tbl_OriginalData[[#This Row],[Frequency_of_Purchase]]</f>
        <v>12</v>
      </c>
      <c r="AS156" t="str">
        <f>tbl_OriginalData[[#This Row],[Purchase_Channel]]</f>
        <v>Mixed</v>
      </c>
      <c r="AT156">
        <f>tbl_OriginalData[[#This Row],[Brand_Loyalty]]</f>
        <v>5</v>
      </c>
      <c r="AU156">
        <f>tbl_OriginalData[[#This Row],[Product_Rating]]</f>
        <v>2</v>
      </c>
      <c r="AV156">
        <f>tbl_OriginalData[[#This Row],[Time_Spent_on_Product_Research(hours)]]*60</f>
        <v>120</v>
      </c>
      <c r="AW156" t="str">
        <f>tbl_OriginalData[[#This Row],[Social_Media_Influence]]</f>
        <v>High</v>
      </c>
      <c r="AX156" t="str">
        <f>tbl_OriginalData[[#This Row],[Discount_Sensitivity]]</f>
        <v>Very Sensitive</v>
      </c>
      <c r="AY156" s="3">
        <f>tbl_OriginalData[[#This Row],[Return_Rate]]/tbl_OriginalData[[#This Row],[Frequency_of_Purchase]]</f>
        <v>0.16666666666666666</v>
      </c>
      <c r="AZ156">
        <f>tbl_OriginalData[[#This Row],[Customer_Satisfaction]]</f>
        <v>4</v>
      </c>
      <c r="BA156" t="str">
        <f>tbl_OriginalData[[#This Row],[Engagement_with_Ads]]</f>
        <v>High</v>
      </c>
      <c r="BB156" t="str">
        <f>tbl_OriginalData[[#This Row],[Device_Used_for_Shopping]]</f>
        <v>Smartphone</v>
      </c>
      <c r="BC156" t="str">
        <f>tbl_OriginalData[[#This Row],[Payment_Method]]</f>
        <v>Debit Card</v>
      </c>
      <c r="BD156" s="1">
        <f>tbl_OriginalData[[#This Row],[Time_of_Purchase]]</f>
        <v>45612</v>
      </c>
      <c r="BE156" t="str">
        <f>IF(tbl_OriginalData[[#This Row],[Discount_Used]]=TRUE,"Yes","No")</f>
        <v>Yes</v>
      </c>
      <c r="BF156" t="str">
        <f>IF(tbl_OriginalData[[#This Row],[Customer_Loyalty_Program_Member]]=TRUE,"Yes","No")</f>
        <v>Yes</v>
      </c>
      <c r="BG156" t="str">
        <f>tbl_OriginalData[[#This Row],[Purchase_Intent]]</f>
        <v>Planned</v>
      </c>
      <c r="BH156" t="str">
        <f>tbl_OriginalData[[#This Row],[Shipping_Preference]]</f>
        <v>Standard</v>
      </c>
      <c r="BI156">
        <f>tbl_OriginalData[[#This Row],[Time_to_Decision]]</f>
        <v>6</v>
      </c>
      <c r="BJ156" t="s">
        <v>177</v>
      </c>
      <c r="BK156" t="s">
        <v>80</v>
      </c>
      <c r="BL156" t="s">
        <v>2527</v>
      </c>
    </row>
    <row r="157" spans="1:64">
      <c r="A157" t="s">
        <v>486</v>
      </c>
      <c r="B157">
        <v>27</v>
      </c>
      <c r="C157" t="s">
        <v>33</v>
      </c>
      <c r="D157" t="s">
        <v>34</v>
      </c>
      <c r="E157" t="s">
        <v>35</v>
      </c>
      <c r="F157" t="s">
        <v>66</v>
      </c>
      <c r="G157" t="s">
        <v>34</v>
      </c>
      <c r="H157" t="s">
        <v>487</v>
      </c>
      <c r="I157" t="s">
        <v>242</v>
      </c>
      <c r="J157">
        <v>78</v>
      </c>
      <c r="K157">
        <v>5</v>
      </c>
      <c r="L157" t="s">
        <v>94</v>
      </c>
      <c r="M157">
        <v>1</v>
      </c>
      <c r="N157">
        <v>5</v>
      </c>
      <c r="O157">
        <v>0</v>
      </c>
      <c r="P157" t="s">
        <v>40</v>
      </c>
      <c r="Q157" t="s">
        <v>57</v>
      </c>
      <c r="R157">
        <v>1</v>
      </c>
      <c r="S157">
        <v>1</v>
      </c>
      <c r="T157" t="s">
        <v>69</v>
      </c>
      <c r="U157" t="s">
        <v>95</v>
      </c>
      <c r="V157" t="s">
        <v>71</v>
      </c>
      <c r="W157" s="1">
        <v>45605</v>
      </c>
      <c r="X157" t="b">
        <v>1</v>
      </c>
      <c r="Y157" t="b">
        <v>0</v>
      </c>
      <c r="Z157" t="s">
        <v>59</v>
      </c>
      <c r="AA157" t="s">
        <v>45</v>
      </c>
      <c r="AB157">
        <v>11</v>
      </c>
      <c r="AF157" t="str">
        <f>tbl_OriginalData[[#This Row],[Customer_ID]]</f>
        <v>10-961-9336</v>
      </c>
      <c r="AG157">
        <f>tbl_OriginalData[[#This Row],[Age]]</f>
        <v>27</v>
      </c>
      <c r="AH157" t="str" cm="1">
        <f t="array" ref="AH15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57" t="str">
        <f>tbl_OriginalData[[#This Row],[Gender]]</f>
        <v>Female</v>
      </c>
      <c r="AJ157" t="str">
        <f>tbl_OriginalData[[#This Row],[Income_Level]]</f>
        <v>Middle</v>
      </c>
      <c r="AK157" t="str">
        <f>tbl_OriginalData[[#This Row],[Marital_Status]]</f>
        <v>Married</v>
      </c>
      <c r="AL157" t="str">
        <f>tbl_OriginalData[[#This Row],[Education_Level]]</f>
        <v>Master's</v>
      </c>
      <c r="AM157" t="str">
        <f>tbl_OriginalData[[#This Row],[Occupation]]</f>
        <v>Middle</v>
      </c>
      <c r="AN157" t="s">
        <v>487</v>
      </c>
      <c r="AO157" t="s">
        <v>194</v>
      </c>
      <c r="AP157" t="str">
        <f>tbl_OriginalData[[#This Row],[Purchase_Category]]</f>
        <v>Travel &amp; Leisure (Flights</v>
      </c>
      <c r="AQ157" s="4">
        <f>tbl_OriginalData[[#This Row],[Purchase_Amount]]</f>
        <v>78</v>
      </c>
      <c r="AR157">
        <f>tbl_OriginalData[[#This Row],[Frequency_of_Purchase]]</f>
        <v>5</v>
      </c>
      <c r="AS157" t="str">
        <f>tbl_OriginalData[[#This Row],[Purchase_Channel]]</f>
        <v>Online</v>
      </c>
      <c r="AT157">
        <f>tbl_OriginalData[[#This Row],[Brand_Loyalty]]</f>
        <v>1</v>
      </c>
      <c r="AU157">
        <f>tbl_OriginalData[[#This Row],[Product_Rating]]</f>
        <v>5</v>
      </c>
      <c r="AV157">
        <f>tbl_OriginalData[[#This Row],[Time_Spent_on_Product_Research(hours)]]*60</f>
        <v>0</v>
      </c>
      <c r="AW157" t="str">
        <f>tbl_OriginalData[[#This Row],[Social_Media_Influence]]</f>
        <v>None</v>
      </c>
      <c r="AX157" t="str">
        <f>tbl_OriginalData[[#This Row],[Discount_Sensitivity]]</f>
        <v>Not Sensitive</v>
      </c>
      <c r="AY157" s="3">
        <f>tbl_OriginalData[[#This Row],[Return_Rate]]/tbl_OriginalData[[#This Row],[Frequency_of_Purchase]]</f>
        <v>0.2</v>
      </c>
      <c r="AZ157">
        <f>tbl_OriginalData[[#This Row],[Customer_Satisfaction]]</f>
        <v>1</v>
      </c>
      <c r="BA157" t="str">
        <f>tbl_OriginalData[[#This Row],[Engagement_with_Ads]]</f>
        <v>Low</v>
      </c>
      <c r="BB157" t="str">
        <f>tbl_OriginalData[[#This Row],[Device_Used_for_Shopping]]</f>
        <v>Desktop</v>
      </c>
      <c r="BC157" t="str">
        <f>tbl_OriginalData[[#This Row],[Payment_Method]]</f>
        <v>Debit Card</v>
      </c>
      <c r="BD157" s="1">
        <f>tbl_OriginalData[[#This Row],[Time_of_Purchase]]</f>
        <v>45605</v>
      </c>
      <c r="BE157" t="str">
        <f>IF(tbl_OriginalData[[#This Row],[Discount_Used]]=TRUE,"Yes","No")</f>
        <v>Yes</v>
      </c>
      <c r="BF157" t="str">
        <f>IF(tbl_OriginalData[[#This Row],[Customer_Loyalty_Program_Member]]=TRUE,"Yes","No")</f>
        <v>No</v>
      </c>
      <c r="BG157" t="str">
        <f>tbl_OriginalData[[#This Row],[Purchase_Intent]]</f>
        <v>Wants-based</v>
      </c>
      <c r="BH157" t="str">
        <f>tbl_OriginalData[[#This Row],[Shipping_Preference]]</f>
        <v>No Preference</v>
      </c>
      <c r="BI157">
        <f>tbl_OriginalData[[#This Row],[Time_to_Decision]]</f>
        <v>11</v>
      </c>
      <c r="BJ157" t="s">
        <v>177</v>
      </c>
      <c r="BK157" t="s">
        <v>80</v>
      </c>
      <c r="BL157" t="s">
        <v>2524</v>
      </c>
    </row>
    <row r="158" spans="1:64">
      <c r="A158" t="s">
        <v>488</v>
      </c>
      <c r="B158">
        <v>27</v>
      </c>
      <c r="C158" t="s">
        <v>33</v>
      </c>
      <c r="D158" t="s">
        <v>51</v>
      </c>
      <c r="E158" t="s">
        <v>35</v>
      </c>
      <c r="F158" t="s">
        <v>36</v>
      </c>
      <c r="G158" t="s">
        <v>34</v>
      </c>
      <c r="H158" t="s">
        <v>489</v>
      </c>
      <c r="I158" t="s">
        <v>131</v>
      </c>
      <c r="J158">
        <v>393.03</v>
      </c>
      <c r="K158">
        <v>4</v>
      </c>
      <c r="L158" t="s">
        <v>39</v>
      </c>
      <c r="M158">
        <v>4</v>
      </c>
      <c r="N158">
        <v>4</v>
      </c>
      <c r="O158">
        <v>0</v>
      </c>
      <c r="P158" t="s">
        <v>51</v>
      </c>
      <c r="Q158" t="s">
        <v>41</v>
      </c>
      <c r="R158">
        <v>1</v>
      </c>
      <c r="S158">
        <v>3</v>
      </c>
      <c r="T158" t="s">
        <v>56</v>
      </c>
      <c r="U158" t="s">
        <v>70</v>
      </c>
      <c r="V158" t="s">
        <v>102</v>
      </c>
      <c r="W158" s="1">
        <v>45538</v>
      </c>
      <c r="X158" t="b">
        <v>1</v>
      </c>
      <c r="Y158" t="b">
        <v>1</v>
      </c>
      <c r="Z158" t="s">
        <v>89</v>
      </c>
      <c r="AA158" t="s">
        <v>60</v>
      </c>
      <c r="AB158">
        <v>7</v>
      </c>
      <c r="AF158" t="str">
        <f>tbl_OriginalData[[#This Row],[Customer_ID]]</f>
        <v>71-473-2656</v>
      </c>
      <c r="AG158">
        <f>tbl_OriginalData[[#This Row],[Age]]</f>
        <v>27</v>
      </c>
      <c r="AH158" t="str" cm="1">
        <f t="array" ref="AH15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58" t="str">
        <f>tbl_OriginalData[[#This Row],[Gender]]</f>
        <v>Female</v>
      </c>
      <c r="AJ158" t="str">
        <f>tbl_OriginalData[[#This Row],[Income_Level]]</f>
        <v>High</v>
      </c>
      <c r="AK158" t="str">
        <f>tbl_OriginalData[[#This Row],[Marital_Status]]</f>
        <v>Married</v>
      </c>
      <c r="AL158" t="str">
        <f>tbl_OriginalData[[#This Row],[Education_Level]]</f>
        <v>Bachelor's</v>
      </c>
      <c r="AM158" t="str">
        <f>tbl_OriginalData[[#This Row],[Occupation]]</f>
        <v>Middle</v>
      </c>
      <c r="AN158" t="s">
        <v>489</v>
      </c>
      <c r="AO158" t="s">
        <v>490</v>
      </c>
      <c r="AP158" t="str">
        <f>tbl_OriginalData[[#This Row],[Purchase_Category]]</f>
        <v>Health Care</v>
      </c>
      <c r="AQ158" s="4">
        <f>tbl_OriginalData[[#This Row],[Purchase_Amount]]</f>
        <v>393.03</v>
      </c>
      <c r="AR158">
        <f>tbl_OriginalData[[#This Row],[Frequency_of_Purchase]]</f>
        <v>4</v>
      </c>
      <c r="AS158" t="str">
        <f>tbl_OriginalData[[#This Row],[Purchase_Channel]]</f>
        <v>Mixed</v>
      </c>
      <c r="AT158">
        <f>tbl_OriginalData[[#This Row],[Brand_Loyalty]]</f>
        <v>4</v>
      </c>
      <c r="AU158">
        <f>tbl_OriginalData[[#This Row],[Product_Rating]]</f>
        <v>4</v>
      </c>
      <c r="AV158">
        <f>tbl_OriginalData[[#This Row],[Time_Spent_on_Product_Research(hours)]]*60</f>
        <v>0</v>
      </c>
      <c r="AW158" t="str">
        <f>tbl_OriginalData[[#This Row],[Social_Media_Influence]]</f>
        <v>High</v>
      </c>
      <c r="AX158" t="str">
        <f>tbl_OriginalData[[#This Row],[Discount_Sensitivity]]</f>
        <v>Somewhat Sensitive</v>
      </c>
      <c r="AY158" s="3">
        <f>tbl_OriginalData[[#This Row],[Return_Rate]]/tbl_OriginalData[[#This Row],[Frequency_of_Purchase]]</f>
        <v>0.25</v>
      </c>
      <c r="AZ158">
        <f>tbl_OriginalData[[#This Row],[Customer_Satisfaction]]</f>
        <v>3</v>
      </c>
      <c r="BA158" t="str">
        <f>tbl_OriginalData[[#This Row],[Engagement_with_Ads]]</f>
        <v>Medium</v>
      </c>
      <c r="BB158" t="str">
        <f>tbl_OriginalData[[#This Row],[Device_Used_for_Shopping]]</f>
        <v>Smartphone</v>
      </c>
      <c r="BC158" t="str">
        <f>tbl_OriginalData[[#This Row],[Payment_Method]]</f>
        <v>Cash</v>
      </c>
      <c r="BD158" s="1">
        <f>tbl_OriginalData[[#This Row],[Time_of_Purchase]]</f>
        <v>45538</v>
      </c>
      <c r="BE158" t="str">
        <f>IF(tbl_OriginalData[[#This Row],[Discount_Used]]=TRUE,"Yes","No")</f>
        <v>Yes</v>
      </c>
      <c r="BF158" t="str">
        <f>IF(tbl_OriginalData[[#This Row],[Customer_Loyalty_Program_Member]]=TRUE,"Yes","No")</f>
        <v>Yes</v>
      </c>
      <c r="BG158" t="str">
        <f>tbl_OriginalData[[#This Row],[Purchase_Intent]]</f>
        <v>Planned</v>
      </c>
      <c r="BH158" t="str">
        <f>tbl_OriginalData[[#This Row],[Shipping_Preference]]</f>
        <v>Standard</v>
      </c>
      <c r="BI158">
        <f>tbl_OriginalData[[#This Row],[Time_to_Decision]]</f>
        <v>7</v>
      </c>
      <c r="BJ158" t="s">
        <v>172</v>
      </c>
      <c r="BK158" t="s">
        <v>115</v>
      </c>
      <c r="BL158" t="s">
        <v>2525</v>
      </c>
    </row>
    <row r="159" spans="1:64">
      <c r="A159" t="s">
        <v>491</v>
      </c>
      <c r="B159">
        <v>37</v>
      </c>
      <c r="C159" t="s">
        <v>33</v>
      </c>
      <c r="D159" t="s">
        <v>51</v>
      </c>
      <c r="E159" t="s">
        <v>65</v>
      </c>
      <c r="F159" t="s">
        <v>66</v>
      </c>
      <c r="G159" t="s">
        <v>34</v>
      </c>
      <c r="H159" t="s">
        <v>492</v>
      </c>
      <c r="I159" t="s">
        <v>135</v>
      </c>
      <c r="J159">
        <v>102.09</v>
      </c>
      <c r="K159">
        <v>3</v>
      </c>
      <c r="L159" t="s">
        <v>39</v>
      </c>
      <c r="M159">
        <v>1</v>
      </c>
      <c r="N159">
        <v>4</v>
      </c>
      <c r="O159">
        <v>0</v>
      </c>
      <c r="P159" t="s">
        <v>40</v>
      </c>
      <c r="Q159" t="s">
        <v>101</v>
      </c>
      <c r="R159">
        <v>1</v>
      </c>
      <c r="S159">
        <v>9</v>
      </c>
      <c r="T159" t="s">
        <v>56</v>
      </c>
      <c r="U159" t="s">
        <v>42</v>
      </c>
      <c r="V159" t="s">
        <v>58</v>
      </c>
      <c r="W159" s="1">
        <v>45364</v>
      </c>
      <c r="X159" t="b">
        <v>0</v>
      </c>
      <c r="Y159" t="b">
        <v>1</v>
      </c>
      <c r="Z159" t="s">
        <v>44</v>
      </c>
      <c r="AA159" t="s">
        <v>77</v>
      </c>
      <c r="AB159">
        <v>1</v>
      </c>
      <c r="AF159" t="str">
        <f>tbl_OriginalData[[#This Row],[Customer_ID]]</f>
        <v>84-954-2973</v>
      </c>
      <c r="AG159">
        <f>tbl_OriginalData[[#This Row],[Age]]</f>
        <v>37</v>
      </c>
      <c r="AH159" t="str" cm="1">
        <f t="array" ref="AH15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59" t="str">
        <f>tbl_OriginalData[[#This Row],[Gender]]</f>
        <v>Female</v>
      </c>
      <c r="AJ159" t="str">
        <f>tbl_OriginalData[[#This Row],[Income_Level]]</f>
        <v>High</v>
      </c>
      <c r="AK159" t="str">
        <f>tbl_OriginalData[[#This Row],[Marital_Status]]</f>
        <v>Single</v>
      </c>
      <c r="AL159" t="str">
        <f>tbl_OriginalData[[#This Row],[Education_Level]]</f>
        <v>Master's</v>
      </c>
      <c r="AM159" t="str">
        <f>tbl_OriginalData[[#This Row],[Occupation]]</f>
        <v>Middle</v>
      </c>
      <c r="AN159" t="s">
        <v>492</v>
      </c>
      <c r="AO159" t="s">
        <v>315</v>
      </c>
      <c r="AP159" t="str">
        <f>tbl_OriginalData[[#This Row],[Purchase_Category]]</f>
        <v>Hotels</v>
      </c>
      <c r="AQ159" s="4">
        <f>tbl_OriginalData[[#This Row],[Purchase_Amount]]</f>
        <v>102.09</v>
      </c>
      <c r="AR159">
        <f>tbl_OriginalData[[#This Row],[Frequency_of_Purchase]]</f>
        <v>3</v>
      </c>
      <c r="AS159" t="str">
        <f>tbl_OriginalData[[#This Row],[Purchase_Channel]]</f>
        <v>Mixed</v>
      </c>
      <c r="AT159">
        <f>tbl_OriginalData[[#This Row],[Brand_Loyalty]]</f>
        <v>1</v>
      </c>
      <c r="AU159">
        <f>tbl_OriginalData[[#This Row],[Product_Rating]]</f>
        <v>4</v>
      </c>
      <c r="AV159">
        <f>tbl_OriginalData[[#This Row],[Time_Spent_on_Product_Research(hours)]]*60</f>
        <v>0</v>
      </c>
      <c r="AW159" t="str">
        <f>tbl_OriginalData[[#This Row],[Social_Media_Influence]]</f>
        <v>None</v>
      </c>
      <c r="AX159" t="str">
        <f>tbl_OriginalData[[#This Row],[Discount_Sensitivity]]</f>
        <v>Very Sensitive</v>
      </c>
      <c r="AY159" s="3">
        <f>tbl_OriginalData[[#This Row],[Return_Rate]]/tbl_OriginalData[[#This Row],[Frequency_of_Purchase]]</f>
        <v>0.33333333333333331</v>
      </c>
      <c r="AZ159">
        <f>tbl_OriginalData[[#This Row],[Customer_Satisfaction]]</f>
        <v>9</v>
      </c>
      <c r="BA159" t="str">
        <f>tbl_OriginalData[[#This Row],[Engagement_with_Ads]]</f>
        <v>Medium</v>
      </c>
      <c r="BB159" t="str">
        <f>tbl_OriginalData[[#This Row],[Device_Used_for_Shopping]]</f>
        <v>Tablet</v>
      </c>
      <c r="BC159" t="str">
        <f>tbl_OriginalData[[#This Row],[Payment_Method]]</f>
        <v>PayPal</v>
      </c>
      <c r="BD159" s="1">
        <f>tbl_OriginalData[[#This Row],[Time_of_Purchase]]</f>
        <v>45364</v>
      </c>
      <c r="BE159" t="str">
        <f>IF(tbl_OriginalData[[#This Row],[Discount_Used]]=TRUE,"Yes","No")</f>
        <v>No</v>
      </c>
      <c r="BF159" t="str">
        <f>IF(tbl_OriginalData[[#This Row],[Customer_Loyalty_Program_Member]]=TRUE,"Yes","No")</f>
        <v>Yes</v>
      </c>
      <c r="BG159" t="str">
        <f>tbl_OriginalData[[#This Row],[Purchase_Intent]]</f>
        <v>Need-based</v>
      </c>
      <c r="BH159" t="str">
        <f>tbl_OriginalData[[#This Row],[Shipping_Preference]]</f>
        <v>Express</v>
      </c>
      <c r="BI159">
        <f>tbl_OriginalData[[#This Row],[Time_to_Decision]]</f>
        <v>1</v>
      </c>
      <c r="BJ159" t="s">
        <v>47</v>
      </c>
      <c r="BK159" t="s">
        <v>48</v>
      </c>
      <c r="BL159" t="s">
        <v>2523</v>
      </c>
    </row>
    <row r="160" spans="1:64">
      <c r="A160" t="s">
        <v>493</v>
      </c>
      <c r="B160">
        <v>32</v>
      </c>
      <c r="C160" t="s">
        <v>50</v>
      </c>
      <c r="D160" t="s">
        <v>34</v>
      </c>
      <c r="E160" t="s">
        <v>35</v>
      </c>
      <c r="F160" t="s">
        <v>36</v>
      </c>
      <c r="G160" t="s">
        <v>51</v>
      </c>
      <c r="H160" t="s">
        <v>494</v>
      </c>
      <c r="I160" t="s">
        <v>131</v>
      </c>
      <c r="J160">
        <v>426.21</v>
      </c>
      <c r="K160">
        <v>3</v>
      </c>
      <c r="L160" t="s">
        <v>39</v>
      </c>
      <c r="M160">
        <v>1</v>
      </c>
      <c r="N160">
        <v>4</v>
      </c>
      <c r="O160">
        <v>2</v>
      </c>
      <c r="P160" t="s">
        <v>51</v>
      </c>
      <c r="Q160" t="s">
        <v>41</v>
      </c>
      <c r="R160">
        <v>2</v>
      </c>
      <c r="S160">
        <v>5</v>
      </c>
      <c r="T160" t="s">
        <v>51</v>
      </c>
      <c r="U160" t="s">
        <v>70</v>
      </c>
      <c r="V160" t="s">
        <v>76</v>
      </c>
      <c r="W160" s="1">
        <v>45400</v>
      </c>
      <c r="X160" t="b">
        <v>0</v>
      </c>
      <c r="Y160" t="b">
        <v>1</v>
      </c>
      <c r="Z160" t="s">
        <v>59</v>
      </c>
      <c r="AA160" t="s">
        <v>60</v>
      </c>
      <c r="AB160">
        <v>2</v>
      </c>
      <c r="AF160" t="str">
        <f>tbl_OriginalData[[#This Row],[Customer_ID]]</f>
        <v>22-382-9636</v>
      </c>
      <c r="AG160">
        <f>tbl_OriginalData[[#This Row],[Age]]</f>
        <v>32</v>
      </c>
      <c r="AH160" t="str" cm="1">
        <f t="array" ref="AH16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60" t="str">
        <f>tbl_OriginalData[[#This Row],[Gender]]</f>
        <v>Male</v>
      </c>
      <c r="AJ160" t="str">
        <f>tbl_OriginalData[[#This Row],[Income_Level]]</f>
        <v>Middle</v>
      </c>
      <c r="AK160" t="str">
        <f>tbl_OriginalData[[#This Row],[Marital_Status]]</f>
        <v>Married</v>
      </c>
      <c r="AL160" t="str">
        <f>tbl_OriginalData[[#This Row],[Education_Level]]</f>
        <v>Bachelor's</v>
      </c>
      <c r="AM160" t="str">
        <f>tbl_OriginalData[[#This Row],[Occupation]]</f>
        <v>High</v>
      </c>
      <c r="AN160" t="s">
        <v>494</v>
      </c>
      <c r="AO160" t="s">
        <v>90</v>
      </c>
      <c r="AP160" t="str">
        <f>tbl_OriginalData[[#This Row],[Purchase_Category]]</f>
        <v>Health Care</v>
      </c>
      <c r="AQ160" s="4">
        <f>tbl_OriginalData[[#This Row],[Purchase_Amount]]</f>
        <v>426.21</v>
      </c>
      <c r="AR160">
        <f>tbl_OriginalData[[#This Row],[Frequency_of_Purchase]]</f>
        <v>3</v>
      </c>
      <c r="AS160" t="str">
        <f>tbl_OriginalData[[#This Row],[Purchase_Channel]]</f>
        <v>Mixed</v>
      </c>
      <c r="AT160">
        <f>tbl_OriginalData[[#This Row],[Brand_Loyalty]]</f>
        <v>1</v>
      </c>
      <c r="AU160">
        <f>tbl_OriginalData[[#This Row],[Product_Rating]]</f>
        <v>4</v>
      </c>
      <c r="AV160">
        <f>tbl_OriginalData[[#This Row],[Time_Spent_on_Product_Research(hours)]]*60</f>
        <v>120</v>
      </c>
      <c r="AW160" t="str">
        <f>tbl_OriginalData[[#This Row],[Social_Media_Influence]]</f>
        <v>High</v>
      </c>
      <c r="AX160" t="str">
        <f>tbl_OriginalData[[#This Row],[Discount_Sensitivity]]</f>
        <v>Somewhat Sensitive</v>
      </c>
      <c r="AY160" s="3">
        <f>tbl_OriginalData[[#This Row],[Return_Rate]]/tbl_OriginalData[[#This Row],[Frequency_of_Purchase]]</f>
        <v>0.66666666666666663</v>
      </c>
      <c r="AZ160">
        <f>tbl_OriginalData[[#This Row],[Customer_Satisfaction]]</f>
        <v>5</v>
      </c>
      <c r="BA160" t="str">
        <f>tbl_OriginalData[[#This Row],[Engagement_with_Ads]]</f>
        <v>High</v>
      </c>
      <c r="BB160" t="str">
        <f>tbl_OriginalData[[#This Row],[Device_Used_for_Shopping]]</f>
        <v>Smartphone</v>
      </c>
      <c r="BC160" t="str">
        <f>tbl_OriginalData[[#This Row],[Payment_Method]]</f>
        <v>Other</v>
      </c>
      <c r="BD160" s="1">
        <f>tbl_OriginalData[[#This Row],[Time_of_Purchase]]</f>
        <v>45400</v>
      </c>
      <c r="BE160" t="str">
        <f>IF(tbl_OriginalData[[#This Row],[Discount_Used]]=TRUE,"Yes","No")</f>
        <v>No</v>
      </c>
      <c r="BF160" t="str">
        <f>IF(tbl_OriginalData[[#This Row],[Customer_Loyalty_Program_Member]]=TRUE,"Yes","No")</f>
        <v>Yes</v>
      </c>
      <c r="BG160" t="str">
        <f>tbl_OriginalData[[#This Row],[Purchase_Intent]]</f>
        <v>Wants-based</v>
      </c>
      <c r="BH160" t="str">
        <f>tbl_OriginalData[[#This Row],[Shipping_Preference]]</f>
        <v>Standard</v>
      </c>
      <c r="BI160">
        <f>tbl_OriginalData[[#This Row],[Time_to_Decision]]</f>
        <v>2</v>
      </c>
      <c r="BJ160" t="s">
        <v>62</v>
      </c>
      <c r="BK160" t="s">
        <v>63</v>
      </c>
      <c r="BL160" t="s">
        <v>2524</v>
      </c>
    </row>
    <row r="161" spans="1:64">
      <c r="A161" t="s">
        <v>495</v>
      </c>
      <c r="B161">
        <v>42</v>
      </c>
      <c r="C161" t="s">
        <v>50</v>
      </c>
      <c r="D161" t="s">
        <v>34</v>
      </c>
      <c r="E161" t="s">
        <v>82</v>
      </c>
      <c r="F161" t="s">
        <v>66</v>
      </c>
      <c r="G161" t="s">
        <v>51</v>
      </c>
      <c r="H161" t="s">
        <v>496</v>
      </c>
      <c r="I161" t="s">
        <v>170</v>
      </c>
      <c r="J161">
        <v>140.31</v>
      </c>
      <c r="K161">
        <v>2</v>
      </c>
      <c r="L161" t="s">
        <v>94</v>
      </c>
      <c r="M161">
        <v>2</v>
      </c>
      <c r="N161">
        <v>4</v>
      </c>
      <c r="O161">
        <v>1</v>
      </c>
      <c r="P161" t="s">
        <v>69</v>
      </c>
      <c r="Q161" t="s">
        <v>101</v>
      </c>
      <c r="R161">
        <v>2</v>
      </c>
      <c r="S161">
        <v>5</v>
      </c>
      <c r="T161" t="s">
        <v>40</v>
      </c>
      <c r="U161" t="s">
        <v>95</v>
      </c>
      <c r="V161" t="s">
        <v>102</v>
      </c>
      <c r="W161" s="1">
        <v>45433</v>
      </c>
      <c r="X161" t="b">
        <v>1</v>
      </c>
      <c r="Y161" t="b">
        <v>1</v>
      </c>
      <c r="Z161" t="s">
        <v>72</v>
      </c>
      <c r="AA161" t="s">
        <v>77</v>
      </c>
      <c r="AB161">
        <v>8</v>
      </c>
      <c r="AF161" t="str">
        <f>tbl_OriginalData[[#This Row],[Customer_ID]]</f>
        <v>89-724-2536</v>
      </c>
      <c r="AG161">
        <f>tbl_OriginalData[[#This Row],[Age]]</f>
        <v>42</v>
      </c>
      <c r="AH161" t="str" cm="1">
        <f t="array" ref="AH16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61" t="str">
        <f>tbl_OriginalData[[#This Row],[Gender]]</f>
        <v>Male</v>
      </c>
      <c r="AJ161" t="str">
        <f>tbl_OriginalData[[#This Row],[Income_Level]]</f>
        <v>Middle</v>
      </c>
      <c r="AK161" t="str">
        <f>tbl_OriginalData[[#This Row],[Marital_Status]]</f>
        <v>Widowed</v>
      </c>
      <c r="AL161" t="str">
        <f>tbl_OriginalData[[#This Row],[Education_Level]]</f>
        <v>Master's</v>
      </c>
      <c r="AM161" t="str">
        <f>tbl_OriginalData[[#This Row],[Occupation]]</f>
        <v>High</v>
      </c>
      <c r="AN161" t="s">
        <v>496</v>
      </c>
      <c r="AO161" t="s">
        <v>497</v>
      </c>
      <c r="AP161" t="str">
        <f>tbl_OriginalData[[#This Row],[Purchase_Category]]</f>
        <v>Arts &amp; Crafts</v>
      </c>
      <c r="AQ161" s="4">
        <f>tbl_OriginalData[[#This Row],[Purchase_Amount]]</f>
        <v>140.31</v>
      </c>
      <c r="AR161">
        <f>tbl_OriginalData[[#This Row],[Frequency_of_Purchase]]</f>
        <v>2</v>
      </c>
      <c r="AS161" t="str">
        <f>tbl_OriginalData[[#This Row],[Purchase_Channel]]</f>
        <v>Online</v>
      </c>
      <c r="AT161">
        <f>tbl_OriginalData[[#This Row],[Brand_Loyalty]]</f>
        <v>2</v>
      </c>
      <c r="AU161">
        <f>tbl_OriginalData[[#This Row],[Product_Rating]]</f>
        <v>4</v>
      </c>
      <c r="AV161">
        <f>tbl_OriginalData[[#This Row],[Time_Spent_on_Product_Research(hours)]]*60</f>
        <v>60</v>
      </c>
      <c r="AW161" t="str">
        <f>tbl_OriginalData[[#This Row],[Social_Media_Influence]]</f>
        <v>Low</v>
      </c>
      <c r="AX161" t="str">
        <f>tbl_OriginalData[[#This Row],[Discount_Sensitivity]]</f>
        <v>Very Sensitive</v>
      </c>
      <c r="AY161" s="3">
        <f>tbl_OriginalData[[#This Row],[Return_Rate]]/tbl_OriginalData[[#This Row],[Frequency_of_Purchase]]</f>
        <v>1</v>
      </c>
      <c r="AZ161">
        <f>tbl_OriginalData[[#This Row],[Customer_Satisfaction]]</f>
        <v>5</v>
      </c>
      <c r="BA161" t="str">
        <f>tbl_OriginalData[[#This Row],[Engagement_with_Ads]]</f>
        <v>None</v>
      </c>
      <c r="BB161" t="str">
        <f>tbl_OriginalData[[#This Row],[Device_Used_for_Shopping]]</f>
        <v>Desktop</v>
      </c>
      <c r="BC161" t="str">
        <f>tbl_OriginalData[[#This Row],[Payment_Method]]</f>
        <v>Cash</v>
      </c>
      <c r="BD161" s="1">
        <f>tbl_OriginalData[[#This Row],[Time_of_Purchase]]</f>
        <v>45433</v>
      </c>
      <c r="BE161" t="str">
        <f>IF(tbl_OriginalData[[#This Row],[Discount_Used]]=TRUE,"Yes","No")</f>
        <v>Yes</v>
      </c>
      <c r="BF161" t="str">
        <f>IF(tbl_OriginalData[[#This Row],[Customer_Loyalty_Program_Member]]=TRUE,"Yes","No")</f>
        <v>Yes</v>
      </c>
      <c r="BG161" t="str">
        <f>tbl_OriginalData[[#This Row],[Purchase_Intent]]</f>
        <v>Impulsive</v>
      </c>
      <c r="BH161" t="str">
        <f>tbl_OriginalData[[#This Row],[Shipping_Preference]]</f>
        <v>Express</v>
      </c>
      <c r="BI161">
        <f>tbl_OriginalData[[#This Row],[Time_to_Decision]]</f>
        <v>8</v>
      </c>
      <c r="BJ161" t="s">
        <v>167</v>
      </c>
      <c r="BK161" t="s">
        <v>63</v>
      </c>
      <c r="BL161" t="s">
        <v>2523</v>
      </c>
    </row>
    <row r="162" spans="1:64">
      <c r="A162" t="s">
        <v>498</v>
      </c>
      <c r="B162">
        <v>18</v>
      </c>
      <c r="C162" t="s">
        <v>33</v>
      </c>
      <c r="D162" t="s">
        <v>51</v>
      </c>
      <c r="E162" t="s">
        <v>82</v>
      </c>
      <c r="F162" t="s">
        <v>66</v>
      </c>
      <c r="G162" t="s">
        <v>34</v>
      </c>
      <c r="H162" t="s">
        <v>499</v>
      </c>
      <c r="I162" t="s">
        <v>150</v>
      </c>
      <c r="J162">
        <v>413.7</v>
      </c>
      <c r="K162">
        <v>8</v>
      </c>
      <c r="L162" t="s">
        <v>39</v>
      </c>
      <c r="M162">
        <v>3</v>
      </c>
      <c r="N162">
        <v>3</v>
      </c>
      <c r="O162">
        <v>0.3</v>
      </c>
      <c r="P162" t="s">
        <v>69</v>
      </c>
      <c r="Q162" t="s">
        <v>101</v>
      </c>
      <c r="R162">
        <v>0</v>
      </c>
      <c r="S162">
        <v>9</v>
      </c>
      <c r="T162" t="s">
        <v>51</v>
      </c>
      <c r="U162" t="s">
        <v>95</v>
      </c>
      <c r="V162" t="s">
        <v>76</v>
      </c>
      <c r="W162" s="1">
        <v>45460</v>
      </c>
      <c r="X162" t="b">
        <v>0</v>
      </c>
      <c r="Y162" t="b">
        <v>1</v>
      </c>
      <c r="Z162" t="s">
        <v>44</v>
      </c>
      <c r="AA162" t="s">
        <v>45</v>
      </c>
      <c r="AB162">
        <v>6</v>
      </c>
      <c r="AF162" t="str">
        <f>tbl_OriginalData[[#This Row],[Customer_ID]]</f>
        <v>85-391-1888</v>
      </c>
      <c r="AG162">
        <f>tbl_OriginalData[[#This Row],[Age]]</f>
        <v>18</v>
      </c>
      <c r="AH162" t="str" cm="1">
        <f t="array" ref="AH16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162" t="str">
        <f>tbl_OriginalData[[#This Row],[Gender]]</f>
        <v>Female</v>
      </c>
      <c r="AJ162" t="str">
        <f>tbl_OriginalData[[#This Row],[Income_Level]]</f>
        <v>High</v>
      </c>
      <c r="AK162" t="str">
        <f>tbl_OriginalData[[#This Row],[Marital_Status]]</f>
        <v>Widowed</v>
      </c>
      <c r="AL162" t="str">
        <f>tbl_OriginalData[[#This Row],[Education_Level]]</f>
        <v>Master's</v>
      </c>
      <c r="AM162" t="str">
        <f>tbl_OriginalData[[#This Row],[Occupation]]</f>
        <v>Middle</v>
      </c>
      <c r="AN162" t="s">
        <v>499</v>
      </c>
      <c r="AO162" t="s">
        <v>61</v>
      </c>
      <c r="AP162" t="str">
        <f>tbl_OriginalData[[#This Row],[Purchase_Category]]</f>
        <v>Software &amp; Apps</v>
      </c>
      <c r="AQ162" s="4">
        <f>tbl_OriginalData[[#This Row],[Purchase_Amount]]</f>
        <v>413.7</v>
      </c>
      <c r="AR162">
        <f>tbl_OriginalData[[#This Row],[Frequency_of_Purchase]]</f>
        <v>8</v>
      </c>
      <c r="AS162" t="str">
        <f>tbl_OriginalData[[#This Row],[Purchase_Channel]]</f>
        <v>Mixed</v>
      </c>
      <c r="AT162">
        <f>tbl_OriginalData[[#This Row],[Brand_Loyalty]]</f>
        <v>3</v>
      </c>
      <c r="AU162">
        <f>tbl_OriginalData[[#This Row],[Product_Rating]]</f>
        <v>3</v>
      </c>
      <c r="AV162">
        <f>tbl_OriginalData[[#This Row],[Time_Spent_on_Product_Research(hours)]]*60</f>
        <v>18</v>
      </c>
      <c r="AW162" t="str">
        <f>tbl_OriginalData[[#This Row],[Social_Media_Influence]]</f>
        <v>Low</v>
      </c>
      <c r="AX162" t="str">
        <f>tbl_OriginalData[[#This Row],[Discount_Sensitivity]]</f>
        <v>Very Sensitive</v>
      </c>
      <c r="AY162" s="3">
        <f>tbl_OriginalData[[#This Row],[Return_Rate]]/tbl_OriginalData[[#This Row],[Frequency_of_Purchase]]</f>
        <v>0</v>
      </c>
      <c r="AZ162">
        <f>tbl_OriginalData[[#This Row],[Customer_Satisfaction]]</f>
        <v>9</v>
      </c>
      <c r="BA162" t="str">
        <f>tbl_OriginalData[[#This Row],[Engagement_with_Ads]]</f>
        <v>High</v>
      </c>
      <c r="BB162" t="str">
        <f>tbl_OriginalData[[#This Row],[Device_Used_for_Shopping]]</f>
        <v>Desktop</v>
      </c>
      <c r="BC162" t="str">
        <f>tbl_OriginalData[[#This Row],[Payment_Method]]</f>
        <v>Other</v>
      </c>
      <c r="BD162" s="1">
        <f>tbl_OriginalData[[#This Row],[Time_of_Purchase]]</f>
        <v>45460</v>
      </c>
      <c r="BE162" t="str">
        <f>IF(tbl_OriginalData[[#This Row],[Discount_Used]]=TRUE,"Yes","No")</f>
        <v>No</v>
      </c>
      <c r="BF162" t="str">
        <f>IF(tbl_OriginalData[[#This Row],[Customer_Loyalty_Program_Member]]=TRUE,"Yes","No")</f>
        <v>Yes</v>
      </c>
      <c r="BG162" t="str">
        <f>tbl_OriginalData[[#This Row],[Purchase_Intent]]</f>
        <v>Need-based</v>
      </c>
      <c r="BH162" t="str">
        <f>tbl_OriginalData[[#This Row],[Shipping_Preference]]</f>
        <v>No Preference</v>
      </c>
      <c r="BI162">
        <f>tbl_OriginalData[[#This Row],[Time_to_Decision]]</f>
        <v>6</v>
      </c>
      <c r="BJ162" t="s">
        <v>104</v>
      </c>
      <c r="BK162" t="s">
        <v>63</v>
      </c>
      <c r="BL162" t="s">
        <v>2524</v>
      </c>
    </row>
    <row r="163" spans="1:64">
      <c r="A163" t="s">
        <v>500</v>
      </c>
      <c r="B163">
        <v>49</v>
      </c>
      <c r="C163" t="s">
        <v>50</v>
      </c>
      <c r="D163" t="s">
        <v>51</v>
      </c>
      <c r="E163" t="s">
        <v>82</v>
      </c>
      <c r="F163" t="s">
        <v>66</v>
      </c>
      <c r="G163" t="s">
        <v>34</v>
      </c>
      <c r="H163" t="s">
        <v>501</v>
      </c>
      <c r="I163" t="s">
        <v>170</v>
      </c>
      <c r="J163">
        <v>348.63</v>
      </c>
      <c r="K163">
        <v>4</v>
      </c>
      <c r="L163" t="s">
        <v>94</v>
      </c>
      <c r="M163">
        <v>5</v>
      </c>
      <c r="N163">
        <v>2</v>
      </c>
      <c r="O163">
        <v>0</v>
      </c>
      <c r="P163" t="s">
        <v>51</v>
      </c>
      <c r="Q163" t="s">
        <v>41</v>
      </c>
      <c r="R163">
        <v>0</v>
      </c>
      <c r="S163">
        <v>7</v>
      </c>
      <c r="T163" t="s">
        <v>40</v>
      </c>
      <c r="U163" t="s">
        <v>70</v>
      </c>
      <c r="V163" t="s">
        <v>71</v>
      </c>
      <c r="W163" s="1">
        <v>45383</v>
      </c>
      <c r="X163" t="b">
        <v>0</v>
      </c>
      <c r="Y163" t="b">
        <v>0</v>
      </c>
      <c r="Z163" t="s">
        <v>89</v>
      </c>
      <c r="AA163" t="s">
        <v>45</v>
      </c>
      <c r="AB163">
        <v>6</v>
      </c>
      <c r="AF163" t="str">
        <f>tbl_OriginalData[[#This Row],[Customer_ID]]</f>
        <v>84-934-2483</v>
      </c>
      <c r="AG163">
        <f>tbl_OriginalData[[#This Row],[Age]]</f>
        <v>49</v>
      </c>
      <c r="AH163" t="str" cm="1">
        <f t="array" ref="AH16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63" t="str">
        <f>tbl_OriginalData[[#This Row],[Gender]]</f>
        <v>Male</v>
      </c>
      <c r="AJ163" t="str">
        <f>tbl_OriginalData[[#This Row],[Income_Level]]</f>
        <v>High</v>
      </c>
      <c r="AK163" t="str">
        <f>tbl_OriginalData[[#This Row],[Marital_Status]]</f>
        <v>Widowed</v>
      </c>
      <c r="AL163" t="str">
        <f>tbl_OriginalData[[#This Row],[Education_Level]]</f>
        <v>Master's</v>
      </c>
      <c r="AM163" t="str">
        <f>tbl_OriginalData[[#This Row],[Occupation]]</f>
        <v>Middle</v>
      </c>
      <c r="AN163" t="s">
        <v>501</v>
      </c>
      <c r="AO163" t="s">
        <v>502</v>
      </c>
      <c r="AP163" t="str">
        <f>tbl_OriginalData[[#This Row],[Purchase_Category]]</f>
        <v>Arts &amp; Crafts</v>
      </c>
      <c r="AQ163" s="4">
        <f>tbl_OriginalData[[#This Row],[Purchase_Amount]]</f>
        <v>348.63</v>
      </c>
      <c r="AR163">
        <f>tbl_OriginalData[[#This Row],[Frequency_of_Purchase]]</f>
        <v>4</v>
      </c>
      <c r="AS163" t="str">
        <f>tbl_OriginalData[[#This Row],[Purchase_Channel]]</f>
        <v>Online</v>
      </c>
      <c r="AT163">
        <f>tbl_OriginalData[[#This Row],[Brand_Loyalty]]</f>
        <v>5</v>
      </c>
      <c r="AU163">
        <f>tbl_OriginalData[[#This Row],[Product_Rating]]</f>
        <v>2</v>
      </c>
      <c r="AV163">
        <f>tbl_OriginalData[[#This Row],[Time_Spent_on_Product_Research(hours)]]*60</f>
        <v>0</v>
      </c>
      <c r="AW163" t="str">
        <f>tbl_OriginalData[[#This Row],[Social_Media_Influence]]</f>
        <v>High</v>
      </c>
      <c r="AX163" t="str">
        <f>tbl_OriginalData[[#This Row],[Discount_Sensitivity]]</f>
        <v>Somewhat Sensitive</v>
      </c>
      <c r="AY163" s="3">
        <f>tbl_OriginalData[[#This Row],[Return_Rate]]/tbl_OriginalData[[#This Row],[Frequency_of_Purchase]]</f>
        <v>0</v>
      </c>
      <c r="AZ163">
        <f>tbl_OriginalData[[#This Row],[Customer_Satisfaction]]</f>
        <v>7</v>
      </c>
      <c r="BA163" t="str">
        <f>tbl_OriginalData[[#This Row],[Engagement_with_Ads]]</f>
        <v>None</v>
      </c>
      <c r="BB163" t="str">
        <f>tbl_OriginalData[[#This Row],[Device_Used_for_Shopping]]</f>
        <v>Smartphone</v>
      </c>
      <c r="BC163" t="str">
        <f>tbl_OriginalData[[#This Row],[Payment_Method]]</f>
        <v>Debit Card</v>
      </c>
      <c r="BD163" s="1">
        <f>tbl_OriginalData[[#This Row],[Time_of_Purchase]]</f>
        <v>45383</v>
      </c>
      <c r="BE163" t="str">
        <f>IF(tbl_OriginalData[[#This Row],[Discount_Used]]=TRUE,"Yes","No")</f>
        <v>No</v>
      </c>
      <c r="BF163" t="str">
        <f>IF(tbl_OriginalData[[#This Row],[Customer_Loyalty_Program_Member]]=TRUE,"Yes","No")</f>
        <v>No</v>
      </c>
      <c r="BG163" t="str">
        <f>tbl_OriginalData[[#This Row],[Purchase_Intent]]</f>
        <v>Planned</v>
      </c>
      <c r="BH163" t="str">
        <f>tbl_OriginalData[[#This Row],[Shipping_Preference]]</f>
        <v>No Preference</v>
      </c>
      <c r="BI163">
        <f>tbl_OriginalData[[#This Row],[Time_to_Decision]]</f>
        <v>6</v>
      </c>
      <c r="BJ163" t="s">
        <v>62</v>
      </c>
      <c r="BK163" t="s">
        <v>63</v>
      </c>
      <c r="BL163" t="s">
        <v>2524</v>
      </c>
    </row>
    <row r="164" spans="1:64">
      <c r="A164" t="s">
        <v>503</v>
      </c>
      <c r="B164">
        <v>23</v>
      </c>
      <c r="C164" t="s">
        <v>33</v>
      </c>
      <c r="D164" t="s">
        <v>34</v>
      </c>
      <c r="E164" t="s">
        <v>82</v>
      </c>
      <c r="F164" t="s">
        <v>52</v>
      </c>
      <c r="G164" t="s">
        <v>34</v>
      </c>
      <c r="H164" t="s">
        <v>504</v>
      </c>
      <c r="I164" t="s">
        <v>127</v>
      </c>
      <c r="J164">
        <v>91.27</v>
      </c>
      <c r="K164">
        <v>7</v>
      </c>
      <c r="L164" t="s">
        <v>55</v>
      </c>
      <c r="M164">
        <v>5</v>
      </c>
      <c r="N164">
        <v>1</v>
      </c>
      <c r="O164">
        <v>0</v>
      </c>
      <c r="P164" t="s">
        <v>51</v>
      </c>
      <c r="Q164" t="s">
        <v>57</v>
      </c>
      <c r="R164">
        <v>2</v>
      </c>
      <c r="S164">
        <v>6</v>
      </c>
      <c r="T164" t="s">
        <v>40</v>
      </c>
      <c r="U164" t="s">
        <v>42</v>
      </c>
      <c r="V164" t="s">
        <v>102</v>
      </c>
      <c r="W164" s="1">
        <v>45464</v>
      </c>
      <c r="X164" t="b">
        <v>1</v>
      </c>
      <c r="Y164" t="b">
        <v>1</v>
      </c>
      <c r="Z164" t="s">
        <v>89</v>
      </c>
      <c r="AA164" t="s">
        <v>77</v>
      </c>
      <c r="AB164">
        <v>13</v>
      </c>
      <c r="AF164" t="str">
        <f>tbl_OriginalData[[#This Row],[Customer_ID]]</f>
        <v>96-229-1698</v>
      </c>
      <c r="AG164">
        <f>tbl_OriginalData[[#This Row],[Age]]</f>
        <v>23</v>
      </c>
      <c r="AH164" t="str" cm="1">
        <f t="array" ref="AH16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64" t="str">
        <f>tbl_OriginalData[[#This Row],[Gender]]</f>
        <v>Female</v>
      </c>
      <c r="AJ164" t="str">
        <f>tbl_OriginalData[[#This Row],[Income_Level]]</f>
        <v>Middle</v>
      </c>
      <c r="AK164" t="str">
        <f>tbl_OriginalData[[#This Row],[Marital_Status]]</f>
        <v>Widowed</v>
      </c>
      <c r="AL164" t="str">
        <f>tbl_OriginalData[[#This Row],[Education_Level]]</f>
        <v>High School</v>
      </c>
      <c r="AM164" t="str">
        <f>tbl_OriginalData[[#This Row],[Occupation]]</f>
        <v>Middle</v>
      </c>
      <c r="AN164" t="s">
        <v>504</v>
      </c>
      <c r="AO164" t="s">
        <v>61</v>
      </c>
      <c r="AP164" t="str">
        <f>tbl_OriginalData[[#This Row],[Purchase_Category]]</f>
        <v>Animal Feed</v>
      </c>
      <c r="AQ164" s="4">
        <f>tbl_OriginalData[[#This Row],[Purchase_Amount]]</f>
        <v>91.27</v>
      </c>
      <c r="AR164">
        <f>tbl_OriginalData[[#This Row],[Frequency_of_Purchase]]</f>
        <v>7</v>
      </c>
      <c r="AS164" t="str">
        <f>tbl_OriginalData[[#This Row],[Purchase_Channel]]</f>
        <v>In-Store</v>
      </c>
      <c r="AT164">
        <f>tbl_OriginalData[[#This Row],[Brand_Loyalty]]</f>
        <v>5</v>
      </c>
      <c r="AU164">
        <f>tbl_OriginalData[[#This Row],[Product_Rating]]</f>
        <v>1</v>
      </c>
      <c r="AV164">
        <f>tbl_OriginalData[[#This Row],[Time_Spent_on_Product_Research(hours)]]*60</f>
        <v>0</v>
      </c>
      <c r="AW164" t="str">
        <f>tbl_OriginalData[[#This Row],[Social_Media_Influence]]</f>
        <v>High</v>
      </c>
      <c r="AX164" t="str">
        <f>tbl_OriginalData[[#This Row],[Discount_Sensitivity]]</f>
        <v>Not Sensitive</v>
      </c>
      <c r="AY164" s="3">
        <f>tbl_OriginalData[[#This Row],[Return_Rate]]/tbl_OriginalData[[#This Row],[Frequency_of_Purchase]]</f>
        <v>0.2857142857142857</v>
      </c>
      <c r="AZ164">
        <f>tbl_OriginalData[[#This Row],[Customer_Satisfaction]]</f>
        <v>6</v>
      </c>
      <c r="BA164" t="str">
        <f>tbl_OriginalData[[#This Row],[Engagement_with_Ads]]</f>
        <v>None</v>
      </c>
      <c r="BB164" t="str">
        <f>tbl_OriginalData[[#This Row],[Device_Used_for_Shopping]]</f>
        <v>Tablet</v>
      </c>
      <c r="BC164" t="str">
        <f>tbl_OriginalData[[#This Row],[Payment_Method]]</f>
        <v>Cash</v>
      </c>
      <c r="BD164" s="1">
        <f>tbl_OriginalData[[#This Row],[Time_of_Purchase]]</f>
        <v>45464</v>
      </c>
      <c r="BE164" t="str">
        <f>IF(tbl_OriginalData[[#This Row],[Discount_Used]]=TRUE,"Yes","No")</f>
        <v>Yes</v>
      </c>
      <c r="BF164" t="str">
        <f>IF(tbl_OriginalData[[#This Row],[Customer_Loyalty_Program_Member]]=TRUE,"Yes","No")</f>
        <v>Yes</v>
      </c>
      <c r="BG164" t="str">
        <f>tbl_OriginalData[[#This Row],[Purchase_Intent]]</f>
        <v>Planned</v>
      </c>
      <c r="BH164" t="str">
        <f>tbl_OriginalData[[#This Row],[Shipping_Preference]]</f>
        <v>Express</v>
      </c>
      <c r="BI164">
        <f>tbl_OriginalData[[#This Row],[Time_to_Decision]]</f>
        <v>13</v>
      </c>
      <c r="BJ164" t="s">
        <v>104</v>
      </c>
      <c r="BK164" t="s">
        <v>63</v>
      </c>
      <c r="BL164" t="s">
        <v>2524</v>
      </c>
    </row>
    <row r="165" spans="1:64">
      <c r="A165" t="s">
        <v>505</v>
      </c>
      <c r="B165">
        <v>29</v>
      </c>
      <c r="C165" t="s">
        <v>33</v>
      </c>
      <c r="D165" t="s">
        <v>51</v>
      </c>
      <c r="E165" t="s">
        <v>92</v>
      </c>
      <c r="F165" t="s">
        <v>36</v>
      </c>
      <c r="G165" t="s">
        <v>51</v>
      </c>
      <c r="H165" t="s">
        <v>506</v>
      </c>
      <c r="I165" t="s">
        <v>123</v>
      </c>
      <c r="J165">
        <v>359.94</v>
      </c>
      <c r="K165">
        <v>11</v>
      </c>
      <c r="L165" t="s">
        <v>39</v>
      </c>
      <c r="M165">
        <v>2</v>
      </c>
      <c r="N165">
        <v>5</v>
      </c>
      <c r="O165">
        <v>2</v>
      </c>
      <c r="P165" t="s">
        <v>40</v>
      </c>
      <c r="Q165" t="s">
        <v>101</v>
      </c>
      <c r="R165">
        <v>1</v>
      </c>
      <c r="S165">
        <v>8</v>
      </c>
      <c r="T165" t="s">
        <v>69</v>
      </c>
      <c r="U165" t="s">
        <v>70</v>
      </c>
      <c r="V165" t="s">
        <v>102</v>
      </c>
      <c r="W165" s="1">
        <v>45645</v>
      </c>
      <c r="X165" t="b">
        <v>0</v>
      </c>
      <c r="Y165" t="b">
        <v>1</v>
      </c>
      <c r="Z165" t="s">
        <v>59</v>
      </c>
      <c r="AA165" t="s">
        <v>77</v>
      </c>
      <c r="AB165">
        <v>9</v>
      </c>
      <c r="AF165" t="str">
        <f>tbl_OriginalData[[#This Row],[Customer_ID]]</f>
        <v>36-948-6994</v>
      </c>
      <c r="AG165">
        <f>tbl_OriginalData[[#This Row],[Age]]</f>
        <v>29</v>
      </c>
      <c r="AH165" t="str" cm="1">
        <f t="array" ref="AH16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65" t="str">
        <f>tbl_OriginalData[[#This Row],[Gender]]</f>
        <v>Female</v>
      </c>
      <c r="AJ165" t="str">
        <f>tbl_OriginalData[[#This Row],[Income_Level]]</f>
        <v>High</v>
      </c>
      <c r="AK165" t="str">
        <f>tbl_OriginalData[[#This Row],[Marital_Status]]</f>
        <v>Divorced</v>
      </c>
      <c r="AL165" t="str">
        <f>tbl_OriginalData[[#This Row],[Education_Level]]</f>
        <v>Bachelor's</v>
      </c>
      <c r="AM165" t="str">
        <f>tbl_OriginalData[[#This Row],[Occupation]]</f>
        <v>High</v>
      </c>
      <c r="AN165" t="s">
        <v>506</v>
      </c>
      <c r="AO165" t="s">
        <v>109</v>
      </c>
      <c r="AP165" t="str">
        <f>tbl_OriginalData[[#This Row],[Purchase_Category]]</f>
        <v>Luxury Goods</v>
      </c>
      <c r="AQ165" s="4">
        <f>tbl_OriginalData[[#This Row],[Purchase_Amount]]</f>
        <v>359.94</v>
      </c>
      <c r="AR165">
        <f>tbl_OriginalData[[#This Row],[Frequency_of_Purchase]]</f>
        <v>11</v>
      </c>
      <c r="AS165" t="str">
        <f>tbl_OriginalData[[#This Row],[Purchase_Channel]]</f>
        <v>Mixed</v>
      </c>
      <c r="AT165">
        <f>tbl_OriginalData[[#This Row],[Brand_Loyalty]]</f>
        <v>2</v>
      </c>
      <c r="AU165">
        <f>tbl_OriginalData[[#This Row],[Product_Rating]]</f>
        <v>5</v>
      </c>
      <c r="AV165">
        <f>tbl_OriginalData[[#This Row],[Time_Spent_on_Product_Research(hours)]]*60</f>
        <v>120</v>
      </c>
      <c r="AW165" t="str">
        <f>tbl_OriginalData[[#This Row],[Social_Media_Influence]]</f>
        <v>None</v>
      </c>
      <c r="AX165" t="str">
        <f>tbl_OriginalData[[#This Row],[Discount_Sensitivity]]</f>
        <v>Very Sensitive</v>
      </c>
      <c r="AY165" s="3">
        <f>tbl_OriginalData[[#This Row],[Return_Rate]]/tbl_OriginalData[[#This Row],[Frequency_of_Purchase]]</f>
        <v>9.0909090909090912E-2</v>
      </c>
      <c r="AZ165">
        <f>tbl_OriginalData[[#This Row],[Customer_Satisfaction]]</f>
        <v>8</v>
      </c>
      <c r="BA165" t="str">
        <f>tbl_OriginalData[[#This Row],[Engagement_with_Ads]]</f>
        <v>Low</v>
      </c>
      <c r="BB165" t="str">
        <f>tbl_OriginalData[[#This Row],[Device_Used_for_Shopping]]</f>
        <v>Smartphone</v>
      </c>
      <c r="BC165" t="str">
        <f>tbl_OriginalData[[#This Row],[Payment_Method]]</f>
        <v>Cash</v>
      </c>
      <c r="BD165" s="1">
        <f>tbl_OriginalData[[#This Row],[Time_of_Purchase]]</f>
        <v>45645</v>
      </c>
      <c r="BE165" t="str">
        <f>IF(tbl_OriginalData[[#This Row],[Discount_Used]]=TRUE,"Yes","No")</f>
        <v>No</v>
      </c>
      <c r="BF165" t="str">
        <f>IF(tbl_OriginalData[[#This Row],[Customer_Loyalty_Program_Member]]=TRUE,"Yes","No")</f>
        <v>Yes</v>
      </c>
      <c r="BG165" t="str">
        <f>tbl_OriginalData[[#This Row],[Purchase_Intent]]</f>
        <v>Wants-based</v>
      </c>
      <c r="BH165" t="str">
        <f>tbl_OriginalData[[#This Row],[Shipping_Preference]]</f>
        <v>Express</v>
      </c>
      <c r="BI165">
        <f>tbl_OriginalData[[#This Row],[Time_to_Decision]]</f>
        <v>9</v>
      </c>
      <c r="BJ165" t="s">
        <v>120</v>
      </c>
      <c r="BK165" t="s">
        <v>80</v>
      </c>
      <c r="BL165" t="s">
        <v>2526</v>
      </c>
    </row>
    <row r="166" spans="1:64">
      <c r="A166" t="s">
        <v>507</v>
      </c>
      <c r="B166">
        <v>25</v>
      </c>
      <c r="C166" t="s">
        <v>50</v>
      </c>
      <c r="D166" t="s">
        <v>34</v>
      </c>
      <c r="E166" t="s">
        <v>92</v>
      </c>
      <c r="F166" t="s">
        <v>52</v>
      </c>
      <c r="G166" t="s">
        <v>34</v>
      </c>
      <c r="H166" t="s">
        <v>508</v>
      </c>
      <c r="I166" t="s">
        <v>38</v>
      </c>
      <c r="J166">
        <v>138.19999999999999</v>
      </c>
      <c r="K166">
        <v>8</v>
      </c>
      <c r="L166" t="s">
        <v>55</v>
      </c>
      <c r="M166">
        <v>1</v>
      </c>
      <c r="N166">
        <v>2</v>
      </c>
      <c r="O166">
        <v>2</v>
      </c>
      <c r="P166" t="s">
        <v>51</v>
      </c>
      <c r="Q166" t="s">
        <v>57</v>
      </c>
      <c r="R166">
        <v>0</v>
      </c>
      <c r="S166">
        <v>6</v>
      </c>
      <c r="T166" t="s">
        <v>69</v>
      </c>
      <c r="U166" t="s">
        <v>95</v>
      </c>
      <c r="V166" t="s">
        <v>71</v>
      </c>
      <c r="W166" s="1">
        <v>45353</v>
      </c>
      <c r="X166" t="b">
        <v>0</v>
      </c>
      <c r="Y166" t="b">
        <v>1</v>
      </c>
      <c r="Z166" t="s">
        <v>44</v>
      </c>
      <c r="AA166" t="s">
        <v>45</v>
      </c>
      <c r="AB166">
        <v>12</v>
      </c>
      <c r="AF166" t="str">
        <f>tbl_OriginalData[[#This Row],[Customer_ID]]</f>
        <v>43-172-9431</v>
      </c>
      <c r="AG166">
        <f>tbl_OriginalData[[#This Row],[Age]]</f>
        <v>25</v>
      </c>
      <c r="AH166" t="str" cm="1">
        <f t="array" ref="AH16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66" t="str">
        <f>tbl_OriginalData[[#This Row],[Gender]]</f>
        <v>Male</v>
      </c>
      <c r="AJ166" t="str">
        <f>tbl_OriginalData[[#This Row],[Income_Level]]</f>
        <v>Middle</v>
      </c>
      <c r="AK166" t="str">
        <f>tbl_OriginalData[[#This Row],[Marital_Status]]</f>
        <v>Divorced</v>
      </c>
      <c r="AL166" t="str">
        <f>tbl_OriginalData[[#This Row],[Education_Level]]</f>
        <v>High School</v>
      </c>
      <c r="AM166" t="str">
        <f>tbl_OriginalData[[#This Row],[Occupation]]</f>
        <v>Middle</v>
      </c>
      <c r="AN166" t="s">
        <v>508</v>
      </c>
      <c r="AO166" t="s">
        <v>246</v>
      </c>
      <c r="AP166" t="str">
        <f>tbl_OriginalData[[#This Row],[Purchase_Category]]</f>
        <v>Gardening &amp; Outdoors</v>
      </c>
      <c r="AQ166" s="4">
        <f>tbl_OriginalData[[#This Row],[Purchase_Amount]]</f>
        <v>138.19999999999999</v>
      </c>
      <c r="AR166">
        <f>tbl_OriginalData[[#This Row],[Frequency_of_Purchase]]</f>
        <v>8</v>
      </c>
      <c r="AS166" t="str">
        <f>tbl_OriginalData[[#This Row],[Purchase_Channel]]</f>
        <v>In-Store</v>
      </c>
      <c r="AT166">
        <f>tbl_OriginalData[[#This Row],[Brand_Loyalty]]</f>
        <v>1</v>
      </c>
      <c r="AU166">
        <f>tbl_OriginalData[[#This Row],[Product_Rating]]</f>
        <v>2</v>
      </c>
      <c r="AV166">
        <f>tbl_OriginalData[[#This Row],[Time_Spent_on_Product_Research(hours)]]*60</f>
        <v>120</v>
      </c>
      <c r="AW166" t="str">
        <f>tbl_OriginalData[[#This Row],[Social_Media_Influence]]</f>
        <v>High</v>
      </c>
      <c r="AX166" t="str">
        <f>tbl_OriginalData[[#This Row],[Discount_Sensitivity]]</f>
        <v>Not Sensitive</v>
      </c>
      <c r="AY166" s="3">
        <f>tbl_OriginalData[[#This Row],[Return_Rate]]/tbl_OriginalData[[#This Row],[Frequency_of_Purchase]]</f>
        <v>0</v>
      </c>
      <c r="AZ166">
        <f>tbl_OriginalData[[#This Row],[Customer_Satisfaction]]</f>
        <v>6</v>
      </c>
      <c r="BA166" t="str">
        <f>tbl_OriginalData[[#This Row],[Engagement_with_Ads]]</f>
        <v>Low</v>
      </c>
      <c r="BB166" t="str">
        <f>tbl_OriginalData[[#This Row],[Device_Used_for_Shopping]]</f>
        <v>Desktop</v>
      </c>
      <c r="BC166" t="str">
        <f>tbl_OriginalData[[#This Row],[Payment_Method]]</f>
        <v>Debit Card</v>
      </c>
      <c r="BD166" s="1">
        <f>tbl_OriginalData[[#This Row],[Time_of_Purchase]]</f>
        <v>45353</v>
      </c>
      <c r="BE166" t="str">
        <f>IF(tbl_OriginalData[[#This Row],[Discount_Used]]=TRUE,"Yes","No")</f>
        <v>No</v>
      </c>
      <c r="BF166" t="str">
        <f>IF(tbl_OriginalData[[#This Row],[Customer_Loyalty_Program_Member]]=TRUE,"Yes","No")</f>
        <v>Yes</v>
      </c>
      <c r="BG166" t="str">
        <f>tbl_OriginalData[[#This Row],[Purchase_Intent]]</f>
        <v>Need-based</v>
      </c>
      <c r="BH166" t="str">
        <f>tbl_OriginalData[[#This Row],[Shipping_Preference]]</f>
        <v>No Preference</v>
      </c>
      <c r="BI166">
        <f>tbl_OriginalData[[#This Row],[Time_to_Decision]]</f>
        <v>12</v>
      </c>
      <c r="BJ166" t="s">
        <v>47</v>
      </c>
      <c r="BK166" t="s">
        <v>48</v>
      </c>
      <c r="BL166" t="s">
        <v>2523</v>
      </c>
    </row>
    <row r="167" spans="1:64">
      <c r="A167" t="s">
        <v>509</v>
      </c>
      <c r="B167">
        <v>38</v>
      </c>
      <c r="C167" t="s">
        <v>340</v>
      </c>
      <c r="D167" t="s">
        <v>51</v>
      </c>
      <c r="E167" t="s">
        <v>92</v>
      </c>
      <c r="F167" t="s">
        <v>52</v>
      </c>
      <c r="G167" t="s">
        <v>51</v>
      </c>
      <c r="H167" t="s">
        <v>510</v>
      </c>
      <c r="I167" t="s">
        <v>75</v>
      </c>
      <c r="J167">
        <v>196.33</v>
      </c>
      <c r="K167">
        <v>11</v>
      </c>
      <c r="L167" t="s">
        <v>94</v>
      </c>
      <c r="M167">
        <v>4</v>
      </c>
      <c r="N167">
        <v>3</v>
      </c>
      <c r="O167">
        <v>1</v>
      </c>
      <c r="P167" t="s">
        <v>56</v>
      </c>
      <c r="Q167" t="s">
        <v>57</v>
      </c>
      <c r="R167">
        <v>0</v>
      </c>
      <c r="S167">
        <v>5</v>
      </c>
      <c r="T167" t="s">
        <v>40</v>
      </c>
      <c r="U167" t="s">
        <v>95</v>
      </c>
      <c r="V167" t="s">
        <v>71</v>
      </c>
      <c r="W167" s="1">
        <v>45472</v>
      </c>
      <c r="X167" t="b">
        <v>1</v>
      </c>
      <c r="Y167" t="b">
        <v>1</v>
      </c>
      <c r="Z167" t="s">
        <v>89</v>
      </c>
      <c r="AA167" t="s">
        <v>60</v>
      </c>
      <c r="AB167">
        <v>11</v>
      </c>
      <c r="AF167" t="str">
        <f>tbl_OriginalData[[#This Row],[Customer_ID]]</f>
        <v>53-690-5759</v>
      </c>
      <c r="AG167">
        <f>tbl_OriginalData[[#This Row],[Age]]</f>
        <v>38</v>
      </c>
      <c r="AH167" t="str" cm="1">
        <f t="array" ref="AH16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67" t="str">
        <f>tbl_OriginalData[[#This Row],[Gender]]</f>
        <v>Agender</v>
      </c>
      <c r="AJ167" t="str">
        <f>tbl_OriginalData[[#This Row],[Income_Level]]</f>
        <v>High</v>
      </c>
      <c r="AK167" t="str">
        <f>tbl_OriginalData[[#This Row],[Marital_Status]]</f>
        <v>Divorced</v>
      </c>
      <c r="AL167" t="str">
        <f>tbl_OriginalData[[#This Row],[Education_Level]]</f>
        <v>High School</v>
      </c>
      <c r="AM167" t="str">
        <f>tbl_OriginalData[[#This Row],[Occupation]]</f>
        <v>High</v>
      </c>
      <c r="AN167" t="s">
        <v>510</v>
      </c>
      <c r="AO167" t="s">
        <v>144</v>
      </c>
      <c r="AP167" t="str">
        <f>tbl_OriginalData[[#This Row],[Purchase_Category]]</f>
        <v>Home Appliances</v>
      </c>
      <c r="AQ167" s="4">
        <f>tbl_OriginalData[[#This Row],[Purchase_Amount]]</f>
        <v>196.33</v>
      </c>
      <c r="AR167">
        <f>tbl_OriginalData[[#This Row],[Frequency_of_Purchase]]</f>
        <v>11</v>
      </c>
      <c r="AS167" t="str">
        <f>tbl_OriginalData[[#This Row],[Purchase_Channel]]</f>
        <v>Online</v>
      </c>
      <c r="AT167">
        <f>tbl_OriginalData[[#This Row],[Brand_Loyalty]]</f>
        <v>4</v>
      </c>
      <c r="AU167">
        <f>tbl_OriginalData[[#This Row],[Product_Rating]]</f>
        <v>3</v>
      </c>
      <c r="AV167">
        <f>tbl_OriginalData[[#This Row],[Time_Spent_on_Product_Research(hours)]]*60</f>
        <v>60</v>
      </c>
      <c r="AW167" t="str">
        <f>tbl_OriginalData[[#This Row],[Social_Media_Influence]]</f>
        <v>Medium</v>
      </c>
      <c r="AX167" t="str">
        <f>tbl_OriginalData[[#This Row],[Discount_Sensitivity]]</f>
        <v>Not Sensitive</v>
      </c>
      <c r="AY167" s="3">
        <f>tbl_OriginalData[[#This Row],[Return_Rate]]/tbl_OriginalData[[#This Row],[Frequency_of_Purchase]]</f>
        <v>0</v>
      </c>
      <c r="AZ167">
        <f>tbl_OriginalData[[#This Row],[Customer_Satisfaction]]</f>
        <v>5</v>
      </c>
      <c r="BA167" t="str">
        <f>tbl_OriginalData[[#This Row],[Engagement_with_Ads]]</f>
        <v>None</v>
      </c>
      <c r="BB167" t="str">
        <f>tbl_OriginalData[[#This Row],[Device_Used_for_Shopping]]</f>
        <v>Desktop</v>
      </c>
      <c r="BC167" t="str">
        <f>tbl_OriginalData[[#This Row],[Payment_Method]]</f>
        <v>Debit Card</v>
      </c>
      <c r="BD167" s="1">
        <f>tbl_OriginalData[[#This Row],[Time_of_Purchase]]</f>
        <v>45472</v>
      </c>
      <c r="BE167" t="str">
        <f>IF(tbl_OriginalData[[#This Row],[Discount_Used]]=TRUE,"Yes","No")</f>
        <v>Yes</v>
      </c>
      <c r="BF167" t="str">
        <f>IF(tbl_OriginalData[[#This Row],[Customer_Loyalty_Program_Member]]=TRUE,"Yes","No")</f>
        <v>Yes</v>
      </c>
      <c r="BG167" t="str">
        <f>tbl_OriginalData[[#This Row],[Purchase_Intent]]</f>
        <v>Planned</v>
      </c>
      <c r="BH167" t="str">
        <f>tbl_OriginalData[[#This Row],[Shipping_Preference]]</f>
        <v>Standard</v>
      </c>
      <c r="BI167">
        <f>tbl_OriginalData[[#This Row],[Time_to_Decision]]</f>
        <v>11</v>
      </c>
      <c r="BJ167" t="s">
        <v>104</v>
      </c>
      <c r="BK167" t="s">
        <v>63</v>
      </c>
      <c r="BL167" t="s">
        <v>2525</v>
      </c>
    </row>
    <row r="168" spans="1:64">
      <c r="A168" t="s">
        <v>511</v>
      </c>
      <c r="B168">
        <v>32</v>
      </c>
      <c r="C168" t="s">
        <v>33</v>
      </c>
      <c r="D168" t="s">
        <v>34</v>
      </c>
      <c r="E168" t="s">
        <v>82</v>
      </c>
      <c r="F168" t="s">
        <v>36</v>
      </c>
      <c r="G168" t="s">
        <v>34</v>
      </c>
      <c r="H168" t="s">
        <v>382</v>
      </c>
      <c r="I168" t="s">
        <v>143</v>
      </c>
      <c r="J168">
        <v>249.24</v>
      </c>
      <c r="K168">
        <v>8</v>
      </c>
      <c r="L168" t="s">
        <v>55</v>
      </c>
      <c r="M168">
        <v>4</v>
      </c>
      <c r="N168">
        <v>3</v>
      </c>
      <c r="O168">
        <v>1</v>
      </c>
      <c r="P168" t="s">
        <v>56</v>
      </c>
      <c r="Q168" t="s">
        <v>41</v>
      </c>
      <c r="R168">
        <v>2</v>
      </c>
      <c r="S168">
        <v>3</v>
      </c>
      <c r="T168" t="s">
        <v>51</v>
      </c>
      <c r="U168" t="s">
        <v>70</v>
      </c>
      <c r="V168" t="s">
        <v>102</v>
      </c>
      <c r="W168" s="1">
        <v>45533</v>
      </c>
      <c r="X168" t="b">
        <v>0</v>
      </c>
      <c r="Y168" t="b">
        <v>1</v>
      </c>
      <c r="Z168" t="s">
        <v>44</v>
      </c>
      <c r="AA168" t="s">
        <v>60</v>
      </c>
      <c r="AB168">
        <v>7</v>
      </c>
      <c r="AF168" t="str">
        <f>tbl_OriginalData[[#This Row],[Customer_ID]]</f>
        <v>00-496-3067</v>
      </c>
      <c r="AG168">
        <f>tbl_OriginalData[[#This Row],[Age]]</f>
        <v>32</v>
      </c>
      <c r="AH168" t="str" cm="1">
        <f t="array" ref="AH16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68" t="str">
        <f>tbl_OriginalData[[#This Row],[Gender]]</f>
        <v>Female</v>
      </c>
      <c r="AJ168" t="str">
        <f>tbl_OriginalData[[#This Row],[Income_Level]]</f>
        <v>Middle</v>
      </c>
      <c r="AK168" t="str">
        <f>tbl_OriginalData[[#This Row],[Marital_Status]]</f>
        <v>Widowed</v>
      </c>
      <c r="AL168" t="str">
        <f>tbl_OriginalData[[#This Row],[Education_Level]]</f>
        <v>Bachelor's</v>
      </c>
      <c r="AM168" t="str">
        <f>tbl_OriginalData[[#This Row],[Occupation]]</f>
        <v>Middle</v>
      </c>
      <c r="AN168" t="s">
        <v>382</v>
      </c>
      <c r="AO168" t="s">
        <v>383</v>
      </c>
      <c r="AP168" t="str">
        <f>tbl_OriginalData[[#This Row],[Purchase_Category]]</f>
        <v>Packages)</v>
      </c>
      <c r="AQ168" s="4">
        <f>tbl_OriginalData[[#This Row],[Purchase_Amount]]</f>
        <v>249.24</v>
      </c>
      <c r="AR168">
        <f>tbl_OriginalData[[#This Row],[Frequency_of_Purchase]]</f>
        <v>8</v>
      </c>
      <c r="AS168" t="str">
        <f>tbl_OriginalData[[#This Row],[Purchase_Channel]]</f>
        <v>In-Store</v>
      </c>
      <c r="AT168">
        <f>tbl_OriginalData[[#This Row],[Brand_Loyalty]]</f>
        <v>4</v>
      </c>
      <c r="AU168">
        <f>tbl_OriginalData[[#This Row],[Product_Rating]]</f>
        <v>3</v>
      </c>
      <c r="AV168">
        <f>tbl_OriginalData[[#This Row],[Time_Spent_on_Product_Research(hours)]]*60</f>
        <v>60</v>
      </c>
      <c r="AW168" t="str">
        <f>tbl_OriginalData[[#This Row],[Social_Media_Influence]]</f>
        <v>Medium</v>
      </c>
      <c r="AX168" t="str">
        <f>tbl_OriginalData[[#This Row],[Discount_Sensitivity]]</f>
        <v>Somewhat Sensitive</v>
      </c>
      <c r="AY168" s="3">
        <f>tbl_OriginalData[[#This Row],[Return_Rate]]/tbl_OriginalData[[#This Row],[Frequency_of_Purchase]]</f>
        <v>0.25</v>
      </c>
      <c r="AZ168">
        <f>tbl_OriginalData[[#This Row],[Customer_Satisfaction]]</f>
        <v>3</v>
      </c>
      <c r="BA168" t="str">
        <f>tbl_OriginalData[[#This Row],[Engagement_with_Ads]]</f>
        <v>High</v>
      </c>
      <c r="BB168" t="str">
        <f>tbl_OriginalData[[#This Row],[Device_Used_for_Shopping]]</f>
        <v>Smartphone</v>
      </c>
      <c r="BC168" t="str">
        <f>tbl_OriginalData[[#This Row],[Payment_Method]]</f>
        <v>Cash</v>
      </c>
      <c r="BD168" s="1">
        <f>tbl_OriginalData[[#This Row],[Time_of_Purchase]]</f>
        <v>45533</v>
      </c>
      <c r="BE168" t="str">
        <f>IF(tbl_OriginalData[[#This Row],[Discount_Used]]=TRUE,"Yes","No")</f>
        <v>No</v>
      </c>
      <c r="BF168" t="str">
        <f>IF(tbl_OriginalData[[#This Row],[Customer_Loyalty_Program_Member]]=TRUE,"Yes","No")</f>
        <v>Yes</v>
      </c>
      <c r="BG168" t="str">
        <f>tbl_OriginalData[[#This Row],[Purchase_Intent]]</f>
        <v>Need-based</v>
      </c>
      <c r="BH168" t="str">
        <f>tbl_OriginalData[[#This Row],[Shipping_Preference]]</f>
        <v>Standard</v>
      </c>
      <c r="BI168">
        <f>tbl_OriginalData[[#This Row],[Time_to_Decision]]</f>
        <v>7</v>
      </c>
      <c r="BJ168" t="s">
        <v>124</v>
      </c>
      <c r="BK168" t="s">
        <v>115</v>
      </c>
      <c r="BL168" t="s">
        <v>2523</v>
      </c>
    </row>
    <row r="169" spans="1:64">
      <c r="A169" t="s">
        <v>512</v>
      </c>
      <c r="B169">
        <v>45</v>
      </c>
      <c r="C169" t="s">
        <v>50</v>
      </c>
      <c r="D169" t="s">
        <v>51</v>
      </c>
      <c r="E169" t="s">
        <v>92</v>
      </c>
      <c r="F169" t="s">
        <v>52</v>
      </c>
      <c r="G169" t="s">
        <v>51</v>
      </c>
      <c r="H169" t="s">
        <v>513</v>
      </c>
      <c r="I169" t="s">
        <v>84</v>
      </c>
      <c r="J169">
        <v>129.1</v>
      </c>
      <c r="K169">
        <v>12</v>
      </c>
      <c r="L169" t="s">
        <v>39</v>
      </c>
      <c r="M169">
        <v>5</v>
      </c>
      <c r="N169">
        <v>3</v>
      </c>
      <c r="O169">
        <v>2</v>
      </c>
      <c r="P169" t="s">
        <v>69</v>
      </c>
      <c r="Q169" t="s">
        <v>57</v>
      </c>
      <c r="R169">
        <v>0</v>
      </c>
      <c r="S169">
        <v>8</v>
      </c>
      <c r="T169" t="s">
        <v>51</v>
      </c>
      <c r="U169" t="s">
        <v>95</v>
      </c>
      <c r="V169" t="s">
        <v>43</v>
      </c>
      <c r="W169" s="1">
        <v>45397</v>
      </c>
      <c r="X169" t="b">
        <v>1</v>
      </c>
      <c r="Y169" t="b">
        <v>0</v>
      </c>
      <c r="Z169" t="s">
        <v>89</v>
      </c>
      <c r="AA169" t="s">
        <v>45</v>
      </c>
      <c r="AB169">
        <v>7</v>
      </c>
      <c r="AF169" t="str">
        <f>tbl_OriginalData[[#This Row],[Customer_ID]]</f>
        <v>10-330-6387</v>
      </c>
      <c r="AG169">
        <f>tbl_OriginalData[[#This Row],[Age]]</f>
        <v>45</v>
      </c>
      <c r="AH169" t="str" cm="1">
        <f t="array" ref="AH16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69" t="str">
        <f>tbl_OriginalData[[#This Row],[Gender]]</f>
        <v>Male</v>
      </c>
      <c r="AJ169" t="str">
        <f>tbl_OriginalData[[#This Row],[Income_Level]]</f>
        <v>High</v>
      </c>
      <c r="AK169" t="str">
        <f>tbl_OriginalData[[#This Row],[Marital_Status]]</f>
        <v>Divorced</v>
      </c>
      <c r="AL169" t="str">
        <f>tbl_OriginalData[[#This Row],[Education_Level]]</f>
        <v>High School</v>
      </c>
      <c r="AM169" t="str">
        <f>tbl_OriginalData[[#This Row],[Occupation]]</f>
        <v>High</v>
      </c>
      <c r="AN169" t="s">
        <v>513</v>
      </c>
      <c r="AO169" t="s">
        <v>262</v>
      </c>
      <c r="AP169" t="str">
        <f>tbl_OriginalData[[#This Row],[Purchase_Category]]</f>
        <v>Furniture</v>
      </c>
      <c r="AQ169" s="4">
        <f>tbl_OriginalData[[#This Row],[Purchase_Amount]]</f>
        <v>129.1</v>
      </c>
      <c r="AR169">
        <f>tbl_OriginalData[[#This Row],[Frequency_of_Purchase]]</f>
        <v>12</v>
      </c>
      <c r="AS169" t="str">
        <f>tbl_OriginalData[[#This Row],[Purchase_Channel]]</f>
        <v>Mixed</v>
      </c>
      <c r="AT169">
        <f>tbl_OriginalData[[#This Row],[Brand_Loyalty]]</f>
        <v>5</v>
      </c>
      <c r="AU169">
        <f>tbl_OriginalData[[#This Row],[Product_Rating]]</f>
        <v>3</v>
      </c>
      <c r="AV169">
        <f>tbl_OriginalData[[#This Row],[Time_Spent_on_Product_Research(hours)]]*60</f>
        <v>120</v>
      </c>
      <c r="AW169" t="str">
        <f>tbl_OriginalData[[#This Row],[Social_Media_Influence]]</f>
        <v>Low</v>
      </c>
      <c r="AX169" t="str">
        <f>tbl_OriginalData[[#This Row],[Discount_Sensitivity]]</f>
        <v>Not Sensitive</v>
      </c>
      <c r="AY169" s="3">
        <f>tbl_OriginalData[[#This Row],[Return_Rate]]/tbl_OriginalData[[#This Row],[Frequency_of_Purchase]]</f>
        <v>0</v>
      </c>
      <c r="AZ169">
        <f>tbl_OriginalData[[#This Row],[Customer_Satisfaction]]</f>
        <v>8</v>
      </c>
      <c r="BA169" t="str">
        <f>tbl_OriginalData[[#This Row],[Engagement_with_Ads]]</f>
        <v>High</v>
      </c>
      <c r="BB169" t="str">
        <f>tbl_OriginalData[[#This Row],[Device_Used_for_Shopping]]</f>
        <v>Desktop</v>
      </c>
      <c r="BC169" t="str">
        <f>tbl_OriginalData[[#This Row],[Payment_Method]]</f>
        <v>Credit Card</v>
      </c>
      <c r="BD169" s="1">
        <f>tbl_OriginalData[[#This Row],[Time_of_Purchase]]</f>
        <v>45397</v>
      </c>
      <c r="BE169" t="str">
        <f>IF(tbl_OriginalData[[#This Row],[Discount_Used]]=TRUE,"Yes","No")</f>
        <v>Yes</v>
      </c>
      <c r="BF169" t="str">
        <f>IF(tbl_OriginalData[[#This Row],[Customer_Loyalty_Program_Member]]=TRUE,"Yes","No")</f>
        <v>No</v>
      </c>
      <c r="BG169" t="str">
        <f>tbl_OriginalData[[#This Row],[Purchase_Intent]]</f>
        <v>Planned</v>
      </c>
      <c r="BH169" t="str">
        <f>tbl_OriginalData[[#This Row],[Shipping_Preference]]</f>
        <v>No Preference</v>
      </c>
      <c r="BI169">
        <f>tbl_OriginalData[[#This Row],[Time_to_Decision]]</f>
        <v>7</v>
      </c>
      <c r="BJ169" t="s">
        <v>62</v>
      </c>
      <c r="BK169" t="s">
        <v>63</v>
      </c>
      <c r="BL169" t="s">
        <v>2526</v>
      </c>
    </row>
    <row r="170" spans="1:64">
      <c r="A170" t="s">
        <v>514</v>
      </c>
      <c r="B170">
        <v>45</v>
      </c>
      <c r="C170" t="s">
        <v>33</v>
      </c>
      <c r="D170" t="s">
        <v>51</v>
      </c>
      <c r="E170" t="s">
        <v>35</v>
      </c>
      <c r="F170" t="s">
        <v>66</v>
      </c>
      <c r="G170" t="s">
        <v>51</v>
      </c>
      <c r="H170" t="s">
        <v>515</v>
      </c>
      <c r="I170" t="s">
        <v>153</v>
      </c>
      <c r="J170">
        <v>112.69</v>
      </c>
      <c r="K170">
        <v>10</v>
      </c>
      <c r="L170" t="s">
        <v>55</v>
      </c>
      <c r="M170">
        <v>1</v>
      </c>
      <c r="N170">
        <v>4</v>
      </c>
      <c r="O170">
        <v>0</v>
      </c>
      <c r="P170" t="s">
        <v>51</v>
      </c>
      <c r="Q170" t="s">
        <v>57</v>
      </c>
      <c r="R170">
        <v>0</v>
      </c>
      <c r="S170">
        <v>7</v>
      </c>
      <c r="T170" t="s">
        <v>56</v>
      </c>
      <c r="U170" t="s">
        <v>70</v>
      </c>
      <c r="V170" t="s">
        <v>71</v>
      </c>
      <c r="W170" s="1">
        <v>45531</v>
      </c>
      <c r="X170" t="b">
        <v>0</v>
      </c>
      <c r="Y170" t="b">
        <v>1</v>
      </c>
      <c r="Z170" t="s">
        <v>44</v>
      </c>
      <c r="AA170" t="s">
        <v>60</v>
      </c>
      <c r="AB170">
        <v>1</v>
      </c>
      <c r="AF170" t="str">
        <f>tbl_OriginalData[[#This Row],[Customer_ID]]</f>
        <v>87-590-8963</v>
      </c>
      <c r="AG170">
        <f>tbl_OriginalData[[#This Row],[Age]]</f>
        <v>45</v>
      </c>
      <c r="AH170" t="str" cm="1">
        <f t="array" ref="AH17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70" t="str">
        <f>tbl_OriginalData[[#This Row],[Gender]]</f>
        <v>Female</v>
      </c>
      <c r="AJ170" t="str">
        <f>tbl_OriginalData[[#This Row],[Income_Level]]</f>
        <v>High</v>
      </c>
      <c r="AK170" t="str">
        <f>tbl_OriginalData[[#This Row],[Marital_Status]]</f>
        <v>Married</v>
      </c>
      <c r="AL170" t="str">
        <f>tbl_OriginalData[[#This Row],[Education_Level]]</f>
        <v>Master's</v>
      </c>
      <c r="AM170" t="str">
        <f>tbl_OriginalData[[#This Row],[Occupation]]</f>
        <v>High</v>
      </c>
      <c r="AN170" t="s">
        <v>515</v>
      </c>
      <c r="AO170" t="s">
        <v>236</v>
      </c>
      <c r="AP170" t="str">
        <f>tbl_OriginalData[[#This Row],[Purchase_Category]]</f>
        <v>Baby Products</v>
      </c>
      <c r="AQ170" s="4">
        <f>tbl_OriginalData[[#This Row],[Purchase_Amount]]</f>
        <v>112.69</v>
      </c>
      <c r="AR170">
        <f>tbl_OriginalData[[#This Row],[Frequency_of_Purchase]]</f>
        <v>10</v>
      </c>
      <c r="AS170" t="str">
        <f>tbl_OriginalData[[#This Row],[Purchase_Channel]]</f>
        <v>In-Store</v>
      </c>
      <c r="AT170">
        <f>tbl_OriginalData[[#This Row],[Brand_Loyalty]]</f>
        <v>1</v>
      </c>
      <c r="AU170">
        <f>tbl_OriginalData[[#This Row],[Product_Rating]]</f>
        <v>4</v>
      </c>
      <c r="AV170">
        <f>tbl_OriginalData[[#This Row],[Time_Spent_on_Product_Research(hours)]]*60</f>
        <v>0</v>
      </c>
      <c r="AW170" t="str">
        <f>tbl_OriginalData[[#This Row],[Social_Media_Influence]]</f>
        <v>High</v>
      </c>
      <c r="AX170" t="str">
        <f>tbl_OriginalData[[#This Row],[Discount_Sensitivity]]</f>
        <v>Not Sensitive</v>
      </c>
      <c r="AY170" s="3">
        <f>tbl_OriginalData[[#This Row],[Return_Rate]]/tbl_OriginalData[[#This Row],[Frequency_of_Purchase]]</f>
        <v>0</v>
      </c>
      <c r="AZ170">
        <f>tbl_OriginalData[[#This Row],[Customer_Satisfaction]]</f>
        <v>7</v>
      </c>
      <c r="BA170" t="str">
        <f>tbl_OriginalData[[#This Row],[Engagement_with_Ads]]</f>
        <v>Medium</v>
      </c>
      <c r="BB170" t="str">
        <f>tbl_OriginalData[[#This Row],[Device_Used_for_Shopping]]</f>
        <v>Smartphone</v>
      </c>
      <c r="BC170" t="str">
        <f>tbl_OriginalData[[#This Row],[Payment_Method]]</f>
        <v>Debit Card</v>
      </c>
      <c r="BD170" s="1">
        <f>tbl_OriginalData[[#This Row],[Time_of_Purchase]]</f>
        <v>45531</v>
      </c>
      <c r="BE170" t="str">
        <f>IF(tbl_OriginalData[[#This Row],[Discount_Used]]=TRUE,"Yes","No")</f>
        <v>No</v>
      </c>
      <c r="BF170" t="str">
        <f>IF(tbl_OriginalData[[#This Row],[Customer_Loyalty_Program_Member]]=TRUE,"Yes","No")</f>
        <v>Yes</v>
      </c>
      <c r="BG170" t="str">
        <f>tbl_OriginalData[[#This Row],[Purchase_Intent]]</f>
        <v>Need-based</v>
      </c>
      <c r="BH170" t="str">
        <f>tbl_OriginalData[[#This Row],[Shipping_Preference]]</f>
        <v>Standard</v>
      </c>
      <c r="BI170">
        <f>tbl_OriginalData[[#This Row],[Time_to_Decision]]</f>
        <v>1</v>
      </c>
      <c r="BJ170" t="s">
        <v>124</v>
      </c>
      <c r="BK170" t="s">
        <v>115</v>
      </c>
      <c r="BL170" t="s">
        <v>2523</v>
      </c>
    </row>
    <row r="171" spans="1:64">
      <c r="A171" t="s">
        <v>516</v>
      </c>
      <c r="B171">
        <v>46</v>
      </c>
      <c r="C171" t="s">
        <v>50</v>
      </c>
      <c r="D171" t="s">
        <v>34</v>
      </c>
      <c r="E171" t="s">
        <v>82</v>
      </c>
      <c r="F171" t="s">
        <v>36</v>
      </c>
      <c r="G171" t="s">
        <v>51</v>
      </c>
      <c r="H171" t="s">
        <v>517</v>
      </c>
      <c r="I171" t="s">
        <v>235</v>
      </c>
      <c r="J171">
        <v>267.85000000000002</v>
      </c>
      <c r="K171">
        <v>5</v>
      </c>
      <c r="L171" t="s">
        <v>94</v>
      </c>
      <c r="M171">
        <v>5</v>
      </c>
      <c r="N171">
        <v>2</v>
      </c>
      <c r="O171">
        <v>2</v>
      </c>
      <c r="P171" t="s">
        <v>56</v>
      </c>
      <c r="Q171" t="s">
        <v>41</v>
      </c>
      <c r="R171">
        <v>1</v>
      </c>
      <c r="S171">
        <v>5</v>
      </c>
      <c r="T171" t="s">
        <v>51</v>
      </c>
      <c r="U171" t="s">
        <v>70</v>
      </c>
      <c r="V171" t="s">
        <v>43</v>
      </c>
      <c r="W171" s="1">
        <v>45371</v>
      </c>
      <c r="X171" t="b">
        <v>0</v>
      </c>
      <c r="Y171" t="b">
        <v>1</v>
      </c>
      <c r="Z171" t="s">
        <v>44</v>
      </c>
      <c r="AA171" t="s">
        <v>60</v>
      </c>
      <c r="AB171">
        <v>7</v>
      </c>
      <c r="AF171" t="str">
        <f>tbl_OriginalData[[#This Row],[Customer_ID]]</f>
        <v>47-931-2642</v>
      </c>
      <c r="AG171">
        <f>tbl_OriginalData[[#This Row],[Age]]</f>
        <v>46</v>
      </c>
      <c r="AH171" t="str" cm="1">
        <f t="array" ref="AH17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71" t="str">
        <f>tbl_OriginalData[[#This Row],[Gender]]</f>
        <v>Male</v>
      </c>
      <c r="AJ171" t="str">
        <f>tbl_OriginalData[[#This Row],[Income_Level]]</f>
        <v>Middle</v>
      </c>
      <c r="AK171" t="str">
        <f>tbl_OriginalData[[#This Row],[Marital_Status]]</f>
        <v>Widowed</v>
      </c>
      <c r="AL171" t="str">
        <f>tbl_OriginalData[[#This Row],[Education_Level]]</f>
        <v>Bachelor's</v>
      </c>
      <c r="AM171" t="str">
        <f>tbl_OriginalData[[#This Row],[Occupation]]</f>
        <v>High</v>
      </c>
      <c r="AN171" t="s">
        <v>518</v>
      </c>
      <c r="AO171" t="s">
        <v>519</v>
      </c>
      <c r="AP171" t="str">
        <f>tbl_OriginalData[[#This Row],[Purchase_Category]]</f>
        <v>Beauty &amp; Personal Care</v>
      </c>
      <c r="AQ171" s="4">
        <f>tbl_OriginalData[[#This Row],[Purchase_Amount]]</f>
        <v>267.85000000000002</v>
      </c>
      <c r="AR171">
        <f>tbl_OriginalData[[#This Row],[Frequency_of_Purchase]]</f>
        <v>5</v>
      </c>
      <c r="AS171" t="str">
        <f>tbl_OriginalData[[#This Row],[Purchase_Channel]]</f>
        <v>Online</v>
      </c>
      <c r="AT171">
        <f>tbl_OriginalData[[#This Row],[Brand_Loyalty]]</f>
        <v>5</v>
      </c>
      <c r="AU171">
        <f>tbl_OriginalData[[#This Row],[Product_Rating]]</f>
        <v>2</v>
      </c>
      <c r="AV171">
        <f>tbl_OriginalData[[#This Row],[Time_Spent_on_Product_Research(hours)]]*60</f>
        <v>120</v>
      </c>
      <c r="AW171" t="str">
        <f>tbl_OriginalData[[#This Row],[Social_Media_Influence]]</f>
        <v>Medium</v>
      </c>
      <c r="AX171" t="str">
        <f>tbl_OriginalData[[#This Row],[Discount_Sensitivity]]</f>
        <v>Somewhat Sensitive</v>
      </c>
      <c r="AY171" s="3">
        <f>tbl_OriginalData[[#This Row],[Return_Rate]]/tbl_OriginalData[[#This Row],[Frequency_of_Purchase]]</f>
        <v>0.2</v>
      </c>
      <c r="AZ171">
        <f>tbl_OriginalData[[#This Row],[Customer_Satisfaction]]</f>
        <v>5</v>
      </c>
      <c r="BA171" t="str">
        <f>tbl_OriginalData[[#This Row],[Engagement_with_Ads]]</f>
        <v>High</v>
      </c>
      <c r="BB171" t="str">
        <f>tbl_OriginalData[[#This Row],[Device_Used_for_Shopping]]</f>
        <v>Smartphone</v>
      </c>
      <c r="BC171" t="str">
        <f>tbl_OriginalData[[#This Row],[Payment_Method]]</f>
        <v>Credit Card</v>
      </c>
      <c r="BD171" s="1">
        <f>tbl_OriginalData[[#This Row],[Time_of_Purchase]]</f>
        <v>45371</v>
      </c>
      <c r="BE171" t="str">
        <f>IF(tbl_OriginalData[[#This Row],[Discount_Used]]=TRUE,"Yes","No")</f>
        <v>No</v>
      </c>
      <c r="BF171" t="str">
        <f>IF(tbl_OriginalData[[#This Row],[Customer_Loyalty_Program_Member]]=TRUE,"Yes","No")</f>
        <v>Yes</v>
      </c>
      <c r="BG171" t="str">
        <f>tbl_OriginalData[[#This Row],[Purchase_Intent]]</f>
        <v>Need-based</v>
      </c>
      <c r="BH171" t="str">
        <f>tbl_OriginalData[[#This Row],[Shipping_Preference]]</f>
        <v>Standard</v>
      </c>
      <c r="BI171">
        <f>tbl_OriginalData[[#This Row],[Time_to_Decision]]</f>
        <v>7</v>
      </c>
      <c r="BJ171" t="s">
        <v>47</v>
      </c>
      <c r="BK171" t="s">
        <v>48</v>
      </c>
      <c r="BL171" t="s">
        <v>2524</v>
      </c>
    </row>
    <row r="172" spans="1:64">
      <c r="A172" t="s">
        <v>520</v>
      </c>
      <c r="B172">
        <v>24</v>
      </c>
      <c r="C172" t="s">
        <v>50</v>
      </c>
      <c r="D172" t="s">
        <v>34</v>
      </c>
      <c r="E172" t="s">
        <v>92</v>
      </c>
      <c r="F172" t="s">
        <v>52</v>
      </c>
      <c r="G172" t="s">
        <v>34</v>
      </c>
      <c r="H172" t="s">
        <v>521</v>
      </c>
      <c r="I172" t="s">
        <v>75</v>
      </c>
      <c r="J172">
        <v>205.36</v>
      </c>
      <c r="K172">
        <v>12</v>
      </c>
      <c r="L172" t="s">
        <v>94</v>
      </c>
      <c r="M172">
        <v>1</v>
      </c>
      <c r="N172">
        <v>5</v>
      </c>
      <c r="O172">
        <v>2</v>
      </c>
      <c r="P172" t="s">
        <v>51</v>
      </c>
      <c r="Q172" t="s">
        <v>101</v>
      </c>
      <c r="R172">
        <v>0</v>
      </c>
      <c r="S172">
        <v>1</v>
      </c>
      <c r="T172" t="s">
        <v>69</v>
      </c>
      <c r="U172" t="s">
        <v>42</v>
      </c>
      <c r="V172" t="s">
        <v>43</v>
      </c>
      <c r="W172" s="1">
        <v>45409</v>
      </c>
      <c r="X172" t="b">
        <v>0</v>
      </c>
      <c r="Y172" t="b">
        <v>0</v>
      </c>
      <c r="Z172" t="s">
        <v>72</v>
      </c>
      <c r="AA172" t="s">
        <v>77</v>
      </c>
      <c r="AB172">
        <v>5</v>
      </c>
      <c r="AF172" t="str">
        <f>tbl_OriginalData[[#This Row],[Customer_ID]]</f>
        <v>76-501-6422</v>
      </c>
      <c r="AG172">
        <f>tbl_OriginalData[[#This Row],[Age]]</f>
        <v>24</v>
      </c>
      <c r="AH172" t="str" cm="1">
        <f t="array" ref="AH17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72" t="str">
        <f>tbl_OriginalData[[#This Row],[Gender]]</f>
        <v>Male</v>
      </c>
      <c r="AJ172" t="str">
        <f>tbl_OriginalData[[#This Row],[Income_Level]]</f>
        <v>Middle</v>
      </c>
      <c r="AK172" t="str">
        <f>tbl_OriginalData[[#This Row],[Marital_Status]]</f>
        <v>Divorced</v>
      </c>
      <c r="AL172" t="str">
        <f>tbl_OriginalData[[#This Row],[Education_Level]]</f>
        <v>High School</v>
      </c>
      <c r="AM172" t="str">
        <f>tbl_OriginalData[[#This Row],[Occupation]]</f>
        <v>Middle</v>
      </c>
      <c r="AN172" t="s">
        <v>521</v>
      </c>
      <c r="AO172" t="s">
        <v>132</v>
      </c>
      <c r="AP172" t="str">
        <f>tbl_OriginalData[[#This Row],[Purchase_Category]]</f>
        <v>Home Appliances</v>
      </c>
      <c r="AQ172" s="4">
        <f>tbl_OriginalData[[#This Row],[Purchase_Amount]]</f>
        <v>205.36</v>
      </c>
      <c r="AR172">
        <f>tbl_OriginalData[[#This Row],[Frequency_of_Purchase]]</f>
        <v>12</v>
      </c>
      <c r="AS172" t="str">
        <f>tbl_OriginalData[[#This Row],[Purchase_Channel]]</f>
        <v>Online</v>
      </c>
      <c r="AT172">
        <f>tbl_OriginalData[[#This Row],[Brand_Loyalty]]</f>
        <v>1</v>
      </c>
      <c r="AU172">
        <f>tbl_OriginalData[[#This Row],[Product_Rating]]</f>
        <v>5</v>
      </c>
      <c r="AV172">
        <f>tbl_OriginalData[[#This Row],[Time_Spent_on_Product_Research(hours)]]*60</f>
        <v>120</v>
      </c>
      <c r="AW172" t="str">
        <f>tbl_OriginalData[[#This Row],[Social_Media_Influence]]</f>
        <v>High</v>
      </c>
      <c r="AX172" t="str">
        <f>tbl_OriginalData[[#This Row],[Discount_Sensitivity]]</f>
        <v>Very Sensitive</v>
      </c>
      <c r="AY172" s="3">
        <f>tbl_OriginalData[[#This Row],[Return_Rate]]/tbl_OriginalData[[#This Row],[Frequency_of_Purchase]]</f>
        <v>0</v>
      </c>
      <c r="AZ172">
        <f>tbl_OriginalData[[#This Row],[Customer_Satisfaction]]</f>
        <v>1</v>
      </c>
      <c r="BA172" t="str">
        <f>tbl_OriginalData[[#This Row],[Engagement_with_Ads]]</f>
        <v>Low</v>
      </c>
      <c r="BB172" t="str">
        <f>tbl_OriginalData[[#This Row],[Device_Used_for_Shopping]]</f>
        <v>Tablet</v>
      </c>
      <c r="BC172" t="str">
        <f>tbl_OriginalData[[#This Row],[Payment_Method]]</f>
        <v>Credit Card</v>
      </c>
      <c r="BD172" s="1">
        <f>tbl_OriginalData[[#This Row],[Time_of_Purchase]]</f>
        <v>45409</v>
      </c>
      <c r="BE172" t="str">
        <f>IF(tbl_OriginalData[[#This Row],[Discount_Used]]=TRUE,"Yes","No")</f>
        <v>No</v>
      </c>
      <c r="BF172" t="str">
        <f>IF(tbl_OriginalData[[#This Row],[Customer_Loyalty_Program_Member]]=TRUE,"Yes","No")</f>
        <v>No</v>
      </c>
      <c r="BG172" t="str">
        <f>tbl_OriginalData[[#This Row],[Purchase_Intent]]</f>
        <v>Impulsive</v>
      </c>
      <c r="BH172" t="str">
        <f>tbl_OriginalData[[#This Row],[Shipping_Preference]]</f>
        <v>Express</v>
      </c>
      <c r="BI172">
        <f>tbl_OriginalData[[#This Row],[Time_to_Decision]]</f>
        <v>5</v>
      </c>
      <c r="BJ172" t="s">
        <v>62</v>
      </c>
      <c r="BK172" t="s">
        <v>63</v>
      </c>
      <c r="BL172" t="s">
        <v>2525</v>
      </c>
    </row>
    <row r="173" spans="1:64">
      <c r="A173" t="s">
        <v>522</v>
      </c>
      <c r="B173">
        <v>48</v>
      </c>
      <c r="C173" t="s">
        <v>264</v>
      </c>
      <c r="D173" t="s">
        <v>51</v>
      </c>
      <c r="E173" t="s">
        <v>92</v>
      </c>
      <c r="F173" t="s">
        <v>66</v>
      </c>
      <c r="G173" t="s">
        <v>51</v>
      </c>
      <c r="H173" t="s">
        <v>523</v>
      </c>
      <c r="I173" t="s">
        <v>180</v>
      </c>
      <c r="J173">
        <v>79.099999999999994</v>
      </c>
      <c r="K173">
        <v>10</v>
      </c>
      <c r="L173" t="s">
        <v>55</v>
      </c>
      <c r="M173">
        <v>5</v>
      </c>
      <c r="N173">
        <v>3</v>
      </c>
      <c r="O173">
        <v>1</v>
      </c>
      <c r="P173" t="s">
        <v>40</v>
      </c>
      <c r="Q173" t="s">
        <v>57</v>
      </c>
      <c r="R173">
        <v>0</v>
      </c>
      <c r="S173">
        <v>9</v>
      </c>
      <c r="T173" t="s">
        <v>56</v>
      </c>
      <c r="U173" t="s">
        <v>42</v>
      </c>
      <c r="V173" t="s">
        <v>71</v>
      </c>
      <c r="W173" s="1">
        <v>45417</v>
      </c>
      <c r="X173" t="b">
        <v>1</v>
      </c>
      <c r="Y173" t="b">
        <v>0</v>
      </c>
      <c r="Z173" t="s">
        <v>44</v>
      </c>
      <c r="AA173" t="s">
        <v>77</v>
      </c>
      <c r="AB173">
        <v>4</v>
      </c>
      <c r="AF173" t="str">
        <f>tbl_OriginalData[[#This Row],[Customer_ID]]</f>
        <v>39-274-2175</v>
      </c>
      <c r="AG173">
        <f>tbl_OriginalData[[#This Row],[Age]]</f>
        <v>48</v>
      </c>
      <c r="AH173" t="str" cm="1">
        <f t="array" ref="AH17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73" t="str">
        <f>tbl_OriginalData[[#This Row],[Gender]]</f>
        <v>Polygender</v>
      </c>
      <c r="AJ173" t="str">
        <f>tbl_OriginalData[[#This Row],[Income_Level]]</f>
        <v>High</v>
      </c>
      <c r="AK173" t="str">
        <f>tbl_OriginalData[[#This Row],[Marital_Status]]</f>
        <v>Divorced</v>
      </c>
      <c r="AL173" t="str">
        <f>tbl_OriginalData[[#This Row],[Education_Level]]</f>
        <v>Master's</v>
      </c>
      <c r="AM173" t="str">
        <f>tbl_OriginalData[[#This Row],[Occupation]]</f>
        <v>High</v>
      </c>
      <c r="AN173" t="s">
        <v>523</v>
      </c>
      <c r="AO173" t="s">
        <v>61</v>
      </c>
      <c r="AP173" t="str">
        <f>tbl_OriginalData[[#This Row],[Purchase_Category]]</f>
        <v>Health Supplements</v>
      </c>
      <c r="AQ173" s="4">
        <f>tbl_OriginalData[[#This Row],[Purchase_Amount]]</f>
        <v>79.099999999999994</v>
      </c>
      <c r="AR173">
        <f>tbl_OriginalData[[#This Row],[Frequency_of_Purchase]]</f>
        <v>10</v>
      </c>
      <c r="AS173" t="str">
        <f>tbl_OriginalData[[#This Row],[Purchase_Channel]]</f>
        <v>In-Store</v>
      </c>
      <c r="AT173">
        <f>tbl_OriginalData[[#This Row],[Brand_Loyalty]]</f>
        <v>5</v>
      </c>
      <c r="AU173">
        <f>tbl_OriginalData[[#This Row],[Product_Rating]]</f>
        <v>3</v>
      </c>
      <c r="AV173">
        <f>tbl_OriginalData[[#This Row],[Time_Spent_on_Product_Research(hours)]]*60</f>
        <v>60</v>
      </c>
      <c r="AW173" t="str">
        <f>tbl_OriginalData[[#This Row],[Social_Media_Influence]]</f>
        <v>None</v>
      </c>
      <c r="AX173" t="str">
        <f>tbl_OriginalData[[#This Row],[Discount_Sensitivity]]</f>
        <v>Not Sensitive</v>
      </c>
      <c r="AY173" s="3">
        <f>tbl_OriginalData[[#This Row],[Return_Rate]]/tbl_OriginalData[[#This Row],[Frequency_of_Purchase]]</f>
        <v>0</v>
      </c>
      <c r="AZ173">
        <f>tbl_OriginalData[[#This Row],[Customer_Satisfaction]]</f>
        <v>9</v>
      </c>
      <c r="BA173" t="str">
        <f>tbl_OriginalData[[#This Row],[Engagement_with_Ads]]</f>
        <v>Medium</v>
      </c>
      <c r="BB173" t="str">
        <f>tbl_OriginalData[[#This Row],[Device_Used_for_Shopping]]</f>
        <v>Tablet</v>
      </c>
      <c r="BC173" t="str">
        <f>tbl_OriginalData[[#This Row],[Payment_Method]]</f>
        <v>Debit Card</v>
      </c>
      <c r="BD173" s="1">
        <f>tbl_OriginalData[[#This Row],[Time_of_Purchase]]</f>
        <v>45417</v>
      </c>
      <c r="BE173" t="str">
        <f>IF(tbl_OriginalData[[#This Row],[Discount_Used]]=TRUE,"Yes","No")</f>
        <v>Yes</v>
      </c>
      <c r="BF173" t="str">
        <f>IF(tbl_OriginalData[[#This Row],[Customer_Loyalty_Program_Member]]=TRUE,"Yes","No")</f>
        <v>No</v>
      </c>
      <c r="BG173" t="str">
        <f>tbl_OriginalData[[#This Row],[Purchase_Intent]]</f>
        <v>Need-based</v>
      </c>
      <c r="BH173" t="str">
        <f>tbl_OriginalData[[#This Row],[Shipping_Preference]]</f>
        <v>Express</v>
      </c>
      <c r="BI173">
        <f>tbl_OriginalData[[#This Row],[Time_to_Decision]]</f>
        <v>4</v>
      </c>
      <c r="BJ173" t="s">
        <v>167</v>
      </c>
      <c r="BK173" t="s">
        <v>63</v>
      </c>
      <c r="BL173" t="s">
        <v>2524</v>
      </c>
    </row>
    <row r="174" spans="1:64">
      <c r="A174" t="s">
        <v>524</v>
      </c>
      <c r="B174">
        <v>35</v>
      </c>
      <c r="C174" t="s">
        <v>50</v>
      </c>
      <c r="D174" t="s">
        <v>51</v>
      </c>
      <c r="E174" t="s">
        <v>82</v>
      </c>
      <c r="F174" t="s">
        <v>52</v>
      </c>
      <c r="G174" t="s">
        <v>34</v>
      </c>
      <c r="H174" t="s">
        <v>525</v>
      </c>
      <c r="I174" t="s">
        <v>131</v>
      </c>
      <c r="J174">
        <v>256.63</v>
      </c>
      <c r="K174">
        <v>12</v>
      </c>
      <c r="L174" t="s">
        <v>55</v>
      </c>
      <c r="M174">
        <v>1</v>
      </c>
      <c r="N174">
        <v>4</v>
      </c>
      <c r="O174">
        <v>0</v>
      </c>
      <c r="P174" t="s">
        <v>51</v>
      </c>
      <c r="Q174" t="s">
        <v>41</v>
      </c>
      <c r="R174">
        <v>2</v>
      </c>
      <c r="S174">
        <v>2</v>
      </c>
      <c r="T174" t="s">
        <v>40</v>
      </c>
      <c r="U174" t="s">
        <v>70</v>
      </c>
      <c r="V174" t="s">
        <v>71</v>
      </c>
      <c r="W174" s="1">
        <v>45459</v>
      </c>
      <c r="X174" t="b">
        <v>1</v>
      </c>
      <c r="Y174" t="b">
        <v>1</v>
      </c>
      <c r="Z174" t="s">
        <v>72</v>
      </c>
      <c r="AA174" t="s">
        <v>60</v>
      </c>
      <c r="AB174">
        <v>10</v>
      </c>
      <c r="AF174" t="str">
        <f>tbl_OriginalData[[#This Row],[Customer_ID]]</f>
        <v>62-493-5282</v>
      </c>
      <c r="AG174">
        <f>tbl_OriginalData[[#This Row],[Age]]</f>
        <v>35</v>
      </c>
      <c r="AH174" t="str" cm="1">
        <f t="array" ref="AH17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74" t="str">
        <f>tbl_OriginalData[[#This Row],[Gender]]</f>
        <v>Male</v>
      </c>
      <c r="AJ174" t="str">
        <f>tbl_OriginalData[[#This Row],[Income_Level]]</f>
        <v>High</v>
      </c>
      <c r="AK174" t="str">
        <f>tbl_OriginalData[[#This Row],[Marital_Status]]</f>
        <v>Widowed</v>
      </c>
      <c r="AL174" t="str">
        <f>tbl_OriginalData[[#This Row],[Education_Level]]</f>
        <v>High School</v>
      </c>
      <c r="AM174" t="str">
        <f>tbl_OriginalData[[#This Row],[Occupation]]</f>
        <v>Middle</v>
      </c>
      <c r="AN174" t="s">
        <v>525</v>
      </c>
      <c r="AO174" t="s">
        <v>61</v>
      </c>
      <c r="AP174" t="str">
        <f>tbl_OriginalData[[#This Row],[Purchase_Category]]</f>
        <v>Health Care</v>
      </c>
      <c r="AQ174" s="4">
        <f>tbl_OriginalData[[#This Row],[Purchase_Amount]]</f>
        <v>256.63</v>
      </c>
      <c r="AR174">
        <f>tbl_OriginalData[[#This Row],[Frequency_of_Purchase]]</f>
        <v>12</v>
      </c>
      <c r="AS174" t="str">
        <f>tbl_OriginalData[[#This Row],[Purchase_Channel]]</f>
        <v>In-Store</v>
      </c>
      <c r="AT174">
        <f>tbl_OriginalData[[#This Row],[Brand_Loyalty]]</f>
        <v>1</v>
      </c>
      <c r="AU174">
        <f>tbl_OriginalData[[#This Row],[Product_Rating]]</f>
        <v>4</v>
      </c>
      <c r="AV174">
        <f>tbl_OriginalData[[#This Row],[Time_Spent_on_Product_Research(hours)]]*60</f>
        <v>0</v>
      </c>
      <c r="AW174" t="str">
        <f>tbl_OriginalData[[#This Row],[Social_Media_Influence]]</f>
        <v>High</v>
      </c>
      <c r="AX174" t="str">
        <f>tbl_OriginalData[[#This Row],[Discount_Sensitivity]]</f>
        <v>Somewhat Sensitive</v>
      </c>
      <c r="AY174" s="3">
        <f>tbl_OriginalData[[#This Row],[Return_Rate]]/tbl_OriginalData[[#This Row],[Frequency_of_Purchase]]</f>
        <v>0.16666666666666666</v>
      </c>
      <c r="AZ174">
        <f>tbl_OriginalData[[#This Row],[Customer_Satisfaction]]</f>
        <v>2</v>
      </c>
      <c r="BA174" t="str">
        <f>tbl_OriginalData[[#This Row],[Engagement_with_Ads]]</f>
        <v>None</v>
      </c>
      <c r="BB174" t="str">
        <f>tbl_OriginalData[[#This Row],[Device_Used_for_Shopping]]</f>
        <v>Smartphone</v>
      </c>
      <c r="BC174" t="str">
        <f>tbl_OriginalData[[#This Row],[Payment_Method]]</f>
        <v>Debit Card</v>
      </c>
      <c r="BD174" s="1">
        <f>tbl_OriginalData[[#This Row],[Time_of_Purchase]]</f>
        <v>45459</v>
      </c>
      <c r="BE174" t="str">
        <f>IF(tbl_OriginalData[[#This Row],[Discount_Used]]=TRUE,"Yes","No")</f>
        <v>Yes</v>
      </c>
      <c r="BF174" t="str">
        <f>IF(tbl_OriginalData[[#This Row],[Customer_Loyalty_Program_Member]]=TRUE,"Yes","No")</f>
        <v>Yes</v>
      </c>
      <c r="BG174" t="str">
        <f>tbl_OriginalData[[#This Row],[Purchase_Intent]]</f>
        <v>Impulsive</v>
      </c>
      <c r="BH174" t="str">
        <f>tbl_OriginalData[[#This Row],[Shipping_Preference]]</f>
        <v>Standard</v>
      </c>
      <c r="BI174">
        <f>tbl_OriginalData[[#This Row],[Time_to_Decision]]</f>
        <v>10</v>
      </c>
      <c r="BJ174" t="s">
        <v>104</v>
      </c>
      <c r="BK174" t="s">
        <v>63</v>
      </c>
      <c r="BL174" t="s">
        <v>2524</v>
      </c>
    </row>
    <row r="175" spans="1:64">
      <c r="A175" t="s">
        <v>526</v>
      </c>
      <c r="B175">
        <v>50</v>
      </c>
      <c r="C175" t="s">
        <v>33</v>
      </c>
      <c r="D175" t="s">
        <v>51</v>
      </c>
      <c r="E175" t="s">
        <v>92</v>
      </c>
      <c r="F175" t="s">
        <v>52</v>
      </c>
      <c r="G175" t="s">
        <v>34</v>
      </c>
      <c r="H175" t="s">
        <v>527</v>
      </c>
      <c r="I175" t="s">
        <v>98</v>
      </c>
      <c r="J175">
        <v>409.98</v>
      </c>
      <c r="K175">
        <v>12</v>
      </c>
      <c r="L175" t="s">
        <v>39</v>
      </c>
      <c r="M175">
        <v>5</v>
      </c>
      <c r="N175">
        <v>4</v>
      </c>
      <c r="O175">
        <v>0</v>
      </c>
      <c r="P175" t="s">
        <v>40</v>
      </c>
      <c r="Q175" t="s">
        <v>57</v>
      </c>
      <c r="R175">
        <v>2</v>
      </c>
      <c r="S175">
        <v>1</v>
      </c>
      <c r="T175" t="s">
        <v>56</v>
      </c>
      <c r="U175" t="s">
        <v>95</v>
      </c>
      <c r="V175" t="s">
        <v>58</v>
      </c>
      <c r="W175" s="1">
        <v>45580</v>
      </c>
      <c r="X175" t="b">
        <v>1</v>
      </c>
      <c r="Y175" t="b">
        <v>0</v>
      </c>
      <c r="Z175" t="s">
        <v>59</v>
      </c>
      <c r="AA175" t="s">
        <v>77</v>
      </c>
      <c r="AB175">
        <v>8</v>
      </c>
      <c r="AF175" t="str">
        <f>tbl_OriginalData[[#This Row],[Customer_ID]]</f>
        <v>18-841-7253</v>
      </c>
      <c r="AG175">
        <f>tbl_OriginalData[[#This Row],[Age]]</f>
        <v>50</v>
      </c>
      <c r="AH175" t="str" cm="1">
        <f t="array" ref="AH17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75" t="str">
        <f>tbl_OriginalData[[#This Row],[Gender]]</f>
        <v>Female</v>
      </c>
      <c r="AJ175" t="str">
        <f>tbl_OriginalData[[#This Row],[Income_Level]]</f>
        <v>High</v>
      </c>
      <c r="AK175" t="str">
        <f>tbl_OriginalData[[#This Row],[Marital_Status]]</f>
        <v>Divorced</v>
      </c>
      <c r="AL175" t="str">
        <f>tbl_OriginalData[[#This Row],[Education_Level]]</f>
        <v>High School</v>
      </c>
      <c r="AM175" t="str">
        <f>tbl_OriginalData[[#This Row],[Occupation]]</f>
        <v>Middle</v>
      </c>
      <c r="AN175" t="s">
        <v>527</v>
      </c>
      <c r="AO175" t="s">
        <v>61</v>
      </c>
      <c r="AP175" t="str">
        <f>tbl_OriginalData[[#This Row],[Purchase_Category]]</f>
        <v>Books</v>
      </c>
      <c r="AQ175" s="4">
        <f>tbl_OriginalData[[#This Row],[Purchase_Amount]]</f>
        <v>409.98</v>
      </c>
      <c r="AR175">
        <f>tbl_OriginalData[[#This Row],[Frequency_of_Purchase]]</f>
        <v>12</v>
      </c>
      <c r="AS175" t="str">
        <f>tbl_OriginalData[[#This Row],[Purchase_Channel]]</f>
        <v>Mixed</v>
      </c>
      <c r="AT175">
        <f>tbl_OriginalData[[#This Row],[Brand_Loyalty]]</f>
        <v>5</v>
      </c>
      <c r="AU175">
        <f>tbl_OriginalData[[#This Row],[Product_Rating]]</f>
        <v>4</v>
      </c>
      <c r="AV175">
        <f>tbl_OriginalData[[#This Row],[Time_Spent_on_Product_Research(hours)]]*60</f>
        <v>0</v>
      </c>
      <c r="AW175" t="str">
        <f>tbl_OriginalData[[#This Row],[Social_Media_Influence]]</f>
        <v>None</v>
      </c>
      <c r="AX175" t="str">
        <f>tbl_OriginalData[[#This Row],[Discount_Sensitivity]]</f>
        <v>Not Sensitive</v>
      </c>
      <c r="AY175" s="3">
        <f>tbl_OriginalData[[#This Row],[Return_Rate]]/tbl_OriginalData[[#This Row],[Frequency_of_Purchase]]</f>
        <v>0.16666666666666666</v>
      </c>
      <c r="AZ175">
        <f>tbl_OriginalData[[#This Row],[Customer_Satisfaction]]</f>
        <v>1</v>
      </c>
      <c r="BA175" t="str">
        <f>tbl_OriginalData[[#This Row],[Engagement_with_Ads]]</f>
        <v>Medium</v>
      </c>
      <c r="BB175" t="str">
        <f>tbl_OriginalData[[#This Row],[Device_Used_for_Shopping]]</f>
        <v>Desktop</v>
      </c>
      <c r="BC175" t="str">
        <f>tbl_OriginalData[[#This Row],[Payment_Method]]</f>
        <v>PayPal</v>
      </c>
      <c r="BD175" s="1">
        <f>tbl_OriginalData[[#This Row],[Time_of_Purchase]]</f>
        <v>45580</v>
      </c>
      <c r="BE175" t="str">
        <f>IF(tbl_OriginalData[[#This Row],[Discount_Used]]=TRUE,"Yes","No")</f>
        <v>Yes</v>
      </c>
      <c r="BF175" t="str">
        <f>IF(tbl_OriginalData[[#This Row],[Customer_Loyalty_Program_Member]]=TRUE,"Yes","No")</f>
        <v>No</v>
      </c>
      <c r="BG175" t="str">
        <f>tbl_OriginalData[[#This Row],[Purchase_Intent]]</f>
        <v>Wants-based</v>
      </c>
      <c r="BH175" t="str">
        <f>tbl_OriginalData[[#This Row],[Shipping_Preference]]</f>
        <v>Express</v>
      </c>
      <c r="BI175">
        <f>tbl_OriginalData[[#This Row],[Time_to_Decision]]</f>
        <v>8</v>
      </c>
      <c r="BJ175" t="s">
        <v>79</v>
      </c>
      <c r="BK175" t="s">
        <v>80</v>
      </c>
      <c r="BL175" t="s">
        <v>2524</v>
      </c>
    </row>
    <row r="176" spans="1:64">
      <c r="A176" t="s">
        <v>528</v>
      </c>
      <c r="B176">
        <v>34</v>
      </c>
      <c r="C176" t="s">
        <v>50</v>
      </c>
      <c r="D176" t="s">
        <v>34</v>
      </c>
      <c r="E176" t="s">
        <v>82</v>
      </c>
      <c r="F176" t="s">
        <v>52</v>
      </c>
      <c r="G176" t="s">
        <v>51</v>
      </c>
      <c r="H176" t="s">
        <v>529</v>
      </c>
      <c r="I176" t="s">
        <v>108</v>
      </c>
      <c r="J176">
        <v>291.60000000000002</v>
      </c>
      <c r="K176">
        <v>2</v>
      </c>
      <c r="L176" t="s">
        <v>55</v>
      </c>
      <c r="M176">
        <v>3</v>
      </c>
      <c r="N176">
        <v>3</v>
      </c>
      <c r="O176">
        <v>2</v>
      </c>
      <c r="P176" t="s">
        <v>51</v>
      </c>
      <c r="Q176" t="s">
        <v>41</v>
      </c>
      <c r="R176">
        <v>0</v>
      </c>
      <c r="S176">
        <v>7</v>
      </c>
      <c r="T176" t="s">
        <v>40</v>
      </c>
      <c r="U176" t="s">
        <v>95</v>
      </c>
      <c r="V176" t="s">
        <v>102</v>
      </c>
      <c r="W176" s="1">
        <v>45505</v>
      </c>
      <c r="X176" t="b">
        <v>0</v>
      </c>
      <c r="Y176" t="b">
        <v>1</v>
      </c>
      <c r="Z176" t="s">
        <v>44</v>
      </c>
      <c r="AA176" t="s">
        <v>60</v>
      </c>
      <c r="AB176">
        <v>3</v>
      </c>
      <c r="AF176" t="str">
        <f>tbl_OriginalData[[#This Row],[Customer_ID]]</f>
        <v>18-097-5707</v>
      </c>
      <c r="AG176">
        <f>tbl_OriginalData[[#This Row],[Age]]</f>
        <v>34</v>
      </c>
      <c r="AH176" t="str" cm="1">
        <f t="array" ref="AH17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76" t="str">
        <f>tbl_OriginalData[[#This Row],[Gender]]</f>
        <v>Male</v>
      </c>
      <c r="AJ176" t="str">
        <f>tbl_OriginalData[[#This Row],[Income_Level]]</f>
        <v>Middle</v>
      </c>
      <c r="AK176" t="str">
        <f>tbl_OriginalData[[#This Row],[Marital_Status]]</f>
        <v>Widowed</v>
      </c>
      <c r="AL176" t="str">
        <f>tbl_OriginalData[[#This Row],[Education_Level]]</f>
        <v>High School</v>
      </c>
      <c r="AM176" t="str">
        <f>tbl_OriginalData[[#This Row],[Occupation]]</f>
        <v>High</v>
      </c>
      <c r="AN176" t="s">
        <v>529</v>
      </c>
      <c r="AO176" t="s">
        <v>530</v>
      </c>
      <c r="AP176" t="str">
        <f>tbl_OriginalData[[#This Row],[Purchase_Category]]</f>
        <v>Sports &amp; Outdoors</v>
      </c>
      <c r="AQ176" s="4">
        <f>tbl_OriginalData[[#This Row],[Purchase_Amount]]</f>
        <v>291.60000000000002</v>
      </c>
      <c r="AR176">
        <f>tbl_OriginalData[[#This Row],[Frequency_of_Purchase]]</f>
        <v>2</v>
      </c>
      <c r="AS176" t="str">
        <f>tbl_OriginalData[[#This Row],[Purchase_Channel]]</f>
        <v>In-Store</v>
      </c>
      <c r="AT176">
        <f>tbl_OriginalData[[#This Row],[Brand_Loyalty]]</f>
        <v>3</v>
      </c>
      <c r="AU176">
        <f>tbl_OriginalData[[#This Row],[Product_Rating]]</f>
        <v>3</v>
      </c>
      <c r="AV176">
        <f>tbl_OriginalData[[#This Row],[Time_Spent_on_Product_Research(hours)]]*60</f>
        <v>120</v>
      </c>
      <c r="AW176" t="str">
        <f>tbl_OriginalData[[#This Row],[Social_Media_Influence]]</f>
        <v>High</v>
      </c>
      <c r="AX176" t="str">
        <f>tbl_OriginalData[[#This Row],[Discount_Sensitivity]]</f>
        <v>Somewhat Sensitive</v>
      </c>
      <c r="AY176" s="3">
        <f>tbl_OriginalData[[#This Row],[Return_Rate]]/tbl_OriginalData[[#This Row],[Frequency_of_Purchase]]</f>
        <v>0</v>
      </c>
      <c r="AZ176">
        <f>tbl_OriginalData[[#This Row],[Customer_Satisfaction]]</f>
        <v>7</v>
      </c>
      <c r="BA176" t="str">
        <f>tbl_OriginalData[[#This Row],[Engagement_with_Ads]]</f>
        <v>None</v>
      </c>
      <c r="BB176" t="str">
        <f>tbl_OriginalData[[#This Row],[Device_Used_for_Shopping]]</f>
        <v>Desktop</v>
      </c>
      <c r="BC176" t="str">
        <f>tbl_OriginalData[[#This Row],[Payment_Method]]</f>
        <v>Cash</v>
      </c>
      <c r="BD176" s="1">
        <f>tbl_OriginalData[[#This Row],[Time_of_Purchase]]</f>
        <v>45505</v>
      </c>
      <c r="BE176" t="str">
        <f>IF(tbl_OriginalData[[#This Row],[Discount_Used]]=TRUE,"Yes","No")</f>
        <v>No</v>
      </c>
      <c r="BF176" t="str">
        <f>IF(tbl_OriginalData[[#This Row],[Customer_Loyalty_Program_Member]]=TRUE,"Yes","No")</f>
        <v>Yes</v>
      </c>
      <c r="BG176" t="str">
        <f>tbl_OriginalData[[#This Row],[Purchase_Intent]]</f>
        <v>Need-based</v>
      </c>
      <c r="BH176" t="str">
        <f>tbl_OriginalData[[#This Row],[Shipping_Preference]]</f>
        <v>Standard</v>
      </c>
      <c r="BI176">
        <f>tbl_OriginalData[[#This Row],[Time_to_Decision]]</f>
        <v>3</v>
      </c>
      <c r="BJ176" t="s">
        <v>124</v>
      </c>
      <c r="BK176" t="s">
        <v>115</v>
      </c>
      <c r="BL176" t="s">
        <v>2524</v>
      </c>
    </row>
    <row r="177" spans="1:64">
      <c r="A177" t="s">
        <v>531</v>
      </c>
      <c r="B177">
        <v>50</v>
      </c>
      <c r="C177" t="s">
        <v>33</v>
      </c>
      <c r="D177" t="s">
        <v>34</v>
      </c>
      <c r="E177" t="s">
        <v>65</v>
      </c>
      <c r="F177" t="s">
        <v>36</v>
      </c>
      <c r="G177" t="s">
        <v>34</v>
      </c>
      <c r="H177" t="s">
        <v>532</v>
      </c>
      <c r="I177" t="s">
        <v>75</v>
      </c>
      <c r="J177">
        <v>101.7</v>
      </c>
      <c r="K177">
        <v>7</v>
      </c>
      <c r="L177" t="s">
        <v>94</v>
      </c>
      <c r="M177">
        <v>3</v>
      </c>
      <c r="N177">
        <v>4</v>
      </c>
      <c r="O177">
        <v>2</v>
      </c>
      <c r="P177" t="s">
        <v>56</v>
      </c>
      <c r="Q177" t="s">
        <v>57</v>
      </c>
      <c r="R177">
        <v>2</v>
      </c>
      <c r="S177">
        <v>2</v>
      </c>
      <c r="T177" t="s">
        <v>40</v>
      </c>
      <c r="U177" t="s">
        <v>42</v>
      </c>
      <c r="V177" t="s">
        <v>71</v>
      </c>
      <c r="W177" s="1">
        <v>45468</v>
      </c>
      <c r="X177" t="b">
        <v>0</v>
      </c>
      <c r="Y177" t="b">
        <v>1</v>
      </c>
      <c r="Z177" t="s">
        <v>59</v>
      </c>
      <c r="AA177" t="s">
        <v>60</v>
      </c>
      <c r="AB177">
        <v>4</v>
      </c>
      <c r="AF177" t="str">
        <f>tbl_OriginalData[[#This Row],[Customer_ID]]</f>
        <v>83-792-5141</v>
      </c>
      <c r="AG177">
        <f>tbl_OriginalData[[#This Row],[Age]]</f>
        <v>50</v>
      </c>
      <c r="AH177" t="str" cm="1">
        <f t="array" ref="AH17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77" t="str">
        <f>tbl_OriginalData[[#This Row],[Gender]]</f>
        <v>Female</v>
      </c>
      <c r="AJ177" t="str">
        <f>tbl_OriginalData[[#This Row],[Income_Level]]</f>
        <v>Middle</v>
      </c>
      <c r="AK177" t="str">
        <f>tbl_OriginalData[[#This Row],[Marital_Status]]</f>
        <v>Single</v>
      </c>
      <c r="AL177" t="str">
        <f>tbl_OriginalData[[#This Row],[Education_Level]]</f>
        <v>Bachelor's</v>
      </c>
      <c r="AM177" t="str">
        <f>tbl_OriginalData[[#This Row],[Occupation]]</f>
        <v>Middle</v>
      </c>
      <c r="AN177" t="s">
        <v>532</v>
      </c>
      <c r="AO177" t="s">
        <v>61</v>
      </c>
      <c r="AP177" t="str">
        <f>tbl_OriginalData[[#This Row],[Purchase_Category]]</f>
        <v>Home Appliances</v>
      </c>
      <c r="AQ177" s="4">
        <f>tbl_OriginalData[[#This Row],[Purchase_Amount]]</f>
        <v>101.7</v>
      </c>
      <c r="AR177">
        <f>tbl_OriginalData[[#This Row],[Frequency_of_Purchase]]</f>
        <v>7</v>
      </c>
      <c r="AS177" t="str">
        <f>tbl_OriginalData[[#This Row],[Purchase_Channel]]</f>
        <v>Online</v>
      </c>
      <c r="AT177">
        <f>tbl_OriginalData[[#This Row],[Brand_Loyalty]]</f>
        <v>3</v>
      </c>
      <c r="AU177">
        <f>tbl_OriginalData[[#This Row],[Product_Rating]]</f>
        <v>4</v>
      </c>
      <c r="AV177">
        <f>tbl_OriginalData[[#This Row],[Time_Spent_on_Product_Research(hours)]]*60</f>
        <v>120</v>
      </c>
      <c r="AW177" t="str">
        <f>tbl_OriginalData[[#This Row],[Social_Media_Influence]]</f>
        <v>Medium</v>
      </c>
      <c r="AX177" t="str">
        <f>tbl_OriginalData[[#This Row],[Discount_Sensitivity]]</f>
        <v>Not Sensitive</v>
      </c>
      <c r="AY177" s="3">
        <f>tbl_OriginalData[[#This Row],[Return_Rate]]/tbl_OriginalData[[#This Row],[Frequency_of_Purchase]]</f>
        <v>0.2857142857142857</v>
      </c>
      <c r="AZ177">
        <f>tbl_OriginalData[[#This Row],[Customer_Satisfaction]]</f>
        <v>2</v>
      </c>
      <c r="BA177" t="str">
        <f>tbl_OriginalData[[#This Row],[Engagement_with_Ads]]</f>
        <v>None</v>
      </c>
      <c r="BB177" t="str">
        <f>tbl_OriginalData[[#This Row],[Device_Used_for_Shopping]]</f>
        <v>Tablet</v>
      </c>
      <c r="BC177" t="str">
        <f>tbl_OriginalData[[#This Row],[Payment_Method]]</f>
        <v>Debit Card</v>
      </c>
      <c r="BD177" s="1">
        <f>tbl_OriginalData[[#This Row],[Time_of_Purchase]]</f>
        <v>45468</v>
      </c>
      <c r="BE177" t="str">
        <f>IF(tbl_OriginalData[[#This Row],[Discount_Used]]=TRUE,"Yes","No")</f>
        <v>No</v>
      </c>
      <c r="BF177" t="str">
        <f>IF(tbl_OriginalData[[#This Row],[Customer_Loyalty_Program_Member]]=TRUE,"Yes","No")</f>
        <v>Yes</v>
      </c>
      <c r="BG177" t="str">
        <f>tbl_OriginalData[[#This Row],[Purchase_Intent]]</f>
        <v>Wants-based</v>
      </c>
      <c r="BH177" t="str">
        <f>tbl_OriginalData[[#This Row],[Shipping_Preference]]</f>
        <v>Standard</v>
      </c>
      <c r="BI177">
        <f>tbl_OriginalData[[#This Row],[Time_to_Decision]]</f>
        <v>4</v>
      </c>
      <c r="BJ177" t="s">
        <v>104</v>
      </c>
      <c r="BK177" t="s">
        <v>63</v>
      </c>
      <c r="BL177" t="s">
        <v>2524</v>
      </c>
    </row>
    <row r="178" spans="1:64">
      <c r="A178" t="s">
        <v>533</v>
      </c>
      <c r="B178">
        <v>50</v>
      </c>
      <c r="C178" t="s">
        <v>33</v>
      </c>
      <c r="D178" t="s">
        <v>34</v>
      </c>
      <c r="E178" t="s">
        <v>65</v>
      </c>
      <c r="F178" t="s">
        <v>52</v>
      </c>
      <c r="G178" t="s">
        <v>34</v>
      </c>
      <c r="H178" t="s">
        <v>534</v>
      </c>
      <c r="I178" t="s">
        <v>131</v>
      </c>
      <c r="J178">
        <v>369.73</v>
      </c>
      <c r="K178">
        <v>2</v>
      </c>
      <c r="L178" t="s">
        <v>94</v>
      </c>
      <c r="M178">
        <v>1</v>
      </c>
      <c r="N178">
        <v>2</v>
      </c>
      <c r="O178">
        <v>2</v>
      </c>
      <c r="P178" t="s">
        <v>40</v>
      </c>
      <c r="Q178" t="s">
        <v>57</v>
      </c>
      <c r="R178">
        <v>0</v>
      </c>
      <c r="S178">
        <v>3</v>
      </c>
      <c r="T178" t="s">
        <v>40</v>
      </c>
      <c r="U178" t="s">
        <v>42</v>
      </c>
      <c r="V178" t="s">
        <v>71</v>
      </c>
      <c r="W178" s="1">
        <v>45326</v>
      </c>
      <c r="X178" t="b">
        <v>1</v>
      </c>
      <c r="Y178" t="b">
        <v>1</v>
      </c>
      <c r="Z178" t="s">
        <v>59</v>
      </c>
      <c r="AA178" t="s">
        <v>45</v>
      </c>
      <c r="AB178">
        <v>12</v>
      </c>
      <c r="AF178" t="str">
        <f>tbl_OriginalData[[#This Row],[Customer_ID]]</f>
        <v>65-036-2410</v>
      </c>
      <c r="AG178">
        <f>tbl_OriginalData[[#This Row],[Age]]</f>
        <v>50</v>
      </c>
      <c r="AH178" t="str" cm="1">
        <f t="array" ref="AH17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78" t="str">
        <f>tbl_OriginalData[[#This Row],[Gender]]</f>
        <v>Female</v>
      </c>
      <c r="AJ178" t="str">
        <f>tbl_OriginalData[[#This Row],[Income_Level]]</f>
        <v>Middle</v>
      </c>
      <c r="AK178" t="str">
        <f>tbl_OriginalData[[#This Row],[Marital_Status]]</f>
        <v>Single</v>
      </c>
      <c r="AL178" t="str">
        <f>tbl_OriginalData[[#This Row],[Education_Level]]</f>
        <v>High School</v>
      </c>
      <c r="AM178" t="str">
        <f>tbl_OriginalData[[#This Row],[Occupation]]</f>
        <v>Middle</v>
      </c>
      <c r="AN178" t="s">
        <v>534</v>
      </c>
      <c r="AO178" t="s">
        <v>46</v>
      </c>
      <c r="AP178" t="str">
        <f>tbl_OriginalData[[#This Row],[Purchase_Category]]</f>
        <v>Health Care</v>
      </c>
      <c r="AQ178" s="4">
        <f>tbl_OriginalData[[#This Row],[Purchase_Amount]]</f>
        <v>369.73</v>
      </c>
      <c r="AR178">
        <f>tbl_OriginalData[[#This Row],[Frequency_of_Purchase]]</f>
        <v>2</v>
      </c>
      <c r="AS178" t="str">
        <f>tbl_OriginalData[[#This Row],[Purchase_Channel]]</f>
        <v>Online</v>
      </c>
      <c r="AT178">
        <f>tbl_OriginalData[[#This Row],[Brand_Loyalty]]</f>
        <v>1</v>
      </c>
      <c r="AU178">
        <f>tbl_OriginalData[[#This Row],[Product_Rating]]</f>
        <v>2</v>
      </c>
      <c r="AV178">
        <f>tbl_OriginalData[[#This Row],[Time_Spent_on_Product_Research(hours)]]*60</f>
        <v>120</v>
      </c>
      <c r="AW178" t="str">
        <f>tbl_OriginalData[[#This Row],[Social_Media_Influence]]</f>
        <v>None</v>
      </c>
      <c r="AX178" t="str">
        <f>tbl_OriginalData[[#This Row],[Discount_Sensitivity]]</f>
        <v>Not Sensitive</v>
      </c>
      <c r="AY178" s="3">
        <f>tbl_OriginalData[[#This Row],[Return_Rate]]/tbl_OriginalData[[#This Row],[Frequency_of_Purchase]]</f>
        <v>0</v>
      </c>
      <c r="AZ178">
        <f>tbl_OriginalData[[#This Row],[Customer_Satisfaction]]</f>
        <v>3</v>
      </c>
      <c r="BA178" t="str">
        <f>tbl_OriginalData[[#This Row],[Engagement_with_Ads]]</f>
        <v>None</v>
      </c>
      <c r="BB178" t="str">
        <f>tbl_OriginalData[[#This Row],[Device_Used_for_Shopping]]</f>
        <v>Tablet</v>
      </c>
      <c r="BC178" t="str">
        <f>tbl_OriginalData[[#This Row],[Payment_Method]]</f>
        <v>Debit Card</v>
      </c>
      <c r="BD178" s="1">
        <f>tbl_OriginalData[[#This Row],[Time_of_Purchase]]</f>
        <v>45326</v>
      </c>
      <c r="BE178" t="str">
        <f>IF(tbl_OriginalData[[#This Row],[Discount_Used]]=TRUE,"Yes","No")</f>
        <v>Yes</v>
      </c>
      <c r="BF178" t="str">
        <f>IF(tbl_OriginalData[[#This Row],[Customer_Loyalty_Program_Member]]=TRUE,"Yes","No")</f>
        <v>Yes</v>
      </c>
      <c r="BG178" t="str">
        <f>tbl_OriginalData[[#This Row],[Purchase_Intent]]</f>
        <v>Wants-based</v>
      </c>
      <c r="BH178" t="str">
        <f>tbl_OriginalData[[#This Row],[Shipping_Preference]]</f>
        <v>No Preference</v>
      </c>
      <c r="BI178">
        <f>tbl_OriginalData[[#This Row],[Time_to_Decision]]</f>
        <v>12</v>
      </c>
      <c r="BJ178" t="s">
        <v>158</v>
      </c>
      <c r="BK178" t="s">
        <v>48</v>
      </c>
      <c r="BL178" t="s">
        <v>2523</v>
      </c>
    </row>
    <row r="179" spans="1:64">
      <c r="A179" t="s">
        <v>535</v>
      </c>
      <c r="B179">
        <v>46</v>
      </c>
      <c r="C179" t="s">
        <v>50</v>
      </c>
      <c r="D179" t="s">
        <v>34</v>
      </c>
      <c r="E179" t="s">
        <v>65</v>
      </c>
      <c r="F179" t="s">
        <v>36</v>
      </c>
      <c r="G179" t="s">
        <v>51</v>
      </c>
      <c r="H179" t="s">
        <v>536</v>
      </c>
      <c r="I179" t="s">
        <v>153</v>
      </c>
      <c r="J179">
        <v>71</v>
      </c>
      <c r="K179">
        <v>12</v>
      </c>
      <c r="L179" t="s">
        <v>94</v>
      </c>
      <c r="M179">
        <v>1</v>
      </c>
      <c r="N179">
        <v>5</v>
      </c>
      <c r="O179">
        <v>2</v>
      </c>
      <c r="P179" t="s">
        <v>51</v>
      </c>
      <c r="Q179" t="s">
        <v>57</v>
      </c>
      <c r="R179">
        <v>2</v>
      </c>
      <c r="S179">
        <v>9</v>
      </c>
      <c r="T179" t="s">
        <v>69</v>
      </c>
      <c r="U179" t="s">
        <v>70</v>
      </c>
      <c r="V179" t="s">
        <v>102</v>
      </c>
      <c r="W179" s="1">
        <v>45469</v>
      </c>
      <c r="X179" t="b">
        <v>0</v>
      </c>
      <c r="Y179" t="b">
        <v>0</v>
      </c>
      <c r="Z179" t="s">
        <v>59</v>
      </c>
      <c r="AA179" t="s">
        <v>45</v>
      </c>
      <c r="AB179">
        <v>13</v>
      </c>
      <c r="AF179" t="str">
        <f>tbl_OriginalData[[#This Row],[Customer_ID]]</f>
        <v>67-593-9579</v>
      </c>
      <c r="AG179">
        <f>tbl_OriginalData[[#This Row],[Age]]</f>
        <v>46</v>
      </c>
      <c r="AH179" t="str" cm="1">
        <f t="array" ref="AH17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79" t="str">
        <f>tbl_OriginalData[[#This Row],[Gender]]</f>
        <v>Male</v>
      </c>
      <c r="AJ179" t="str">
        <f>tbl_OriginalData[[#This Row],[Income_Level]]</f>
        <v>Middle</v>
      </c>
      <c r="AK179" t="str">
        <f>tbl_OriginalData[[#This Row],[Marital_Status]]</f>
        <v>Single</v>
      </c>
      <c r="AL179" t="str">
        <f>tbl_OriginalData[[#This Row],[Education_Level]]</f>
        <v>Bachelor's</v>
      </c>
      <c r="AM179" t="str">
        <f>tbl_OriginalData[[#This Row],[Occupation]]</f>
        <v>High</v>
      </c>
      <c r="AN179" t="s">
        <v>536</v>
      </c>
      <c r="AO179" t="s">
        <v>109</v>
      </c>
      <c r="AP179" t="str">
        <f>tbl_OriginalData[[#This Row],[Purchase_Category]]</f>
        <v>Baby Products</v>
      </c>
      <c r="AQ179" s="4">
        <f>tbl_OriginalData[[#This Row],[Purchase_Amount]]</f>
        <v>71</v>
      </c>
      <c r="AR179">
        <f>tbl_OriginalData[[#This Row],[Frequency_of_Purchase]]</f>
        <v>12</v>
      </c>
      <c r="AS179" t="str">
        <f>tbl_OriginalData[[#This Row],[Purchase_Channel]]</f>
        <v>Online</v>
      </c>
      <c r="AT179">
        <f>tbl_OriginalData[[#This Row],[Brand_Loyalty]]</f>
        <v>1</v>
      </c>
      <c r="AU179">
        <f>tbl_OriginalData[[#This Row],[Product_Rating]]</f>
        <v>5</v>
      </c>
      <c r="AV179">
        <f>tbl_OriginalData[[#This Row],[Time_Spent_on_Product_Research(hours)]]*60</f>
        <v>120</v>
      </c>
      <c r="AW179" t="str">
        <f>tbl_OriginalData[[#This Row],[Social_Media_Influence]]</f>
        <v>High</v>
      </c>
      <c r="AX179" t="str">
        <f>tbl_OriginalData[[#This Row],[Discount_Sensitivity]]</f>
        <v>Not Sensitive</v>
      </c>
      <c r="AY179" s="3">
        <f>tbl_OriginalData[[#This Row],[Return_Rate]]/tbl_OriginalData[[#This Row],[Frequency_of_Purchase]]</f>
        <v>0.16666666666666666</v>
      </c>
      <c r="AZ179">
        <f>tbl_OriginalData[[#This Row],[Customer_Satisfaction]]</f>
        <v>9</v>
      </c>
      <c r="BA179" t="str">
        <f>tbl_OriginalData[[#This Row],[Engagement_with_Ads]]</f>
        <v>Low</v>
      </c>
      <c r="BB179" t="str">
        <f>tbl_OriginalData[[#This Row],[Device_Used_for_Shopping]]</f>
        <v>Smartphone</v>
      </c>
      <c r="BC179" t="str">
        <f>tbl_OriginalData[[#This Row],[Payment_Method]]</f>
        <v>Cash</v>
      </c>
      <c r="BD179" s="1">
        <f>tbl_OriginalData[[#This Row],[Time_of_Purchase]]</f>
        <v>45469</v>
      </c>
      <c r="BE179" t="str">
        <f>IF(tbl_OriginalData[[#This Row],[Discount_Used]]=TRUE,"Yes","No")</f>
        <v>No</v>
      </c>
      <c r="BF179" t="str">
        <f>IF(tbl_OriginalData[[#This Row],[Customer_Loyalty_Program_Member]]=TRUE,"Yes","No")</f>
        <v>No</v>
      </c>
      <c r="BG179" t="str">
        <f>tbl_OriginalData[[#This Row],[Purchase_Intent]]</f>
        <v>Wants-based</v>
      </c>
      <c r="BH179" t="str">
        <f>tbl_OriginalData[[#This Row],[Shipping_Preference]]</f>
        <v>No Preference</v>
      </c>
      <c r="BI179">
        <f>tbl_OriginalData[[#This Row],[Time_to_Decision]]</f>
        <v>13</v>
      </c>
      <c r="BJ179" t="s">
        <v>104</v>
      </c>
      <c r="BK179" t="s">
        <v>63</v>
      </c>
      <c r="BL179" t="s">
        <v>2526</v>
      </c>
    </row>
    <row r="180" spans="1:64">
      <c r="A180" t="s">
        <v>537</v>
      </c>
      <c r="B180">
        <v>47</v>
      </c>
      <c r="C180" t="s">
        <v>50</v>
      </c>
      <c r="D180" t="s">
        <v>34</v>
      </c>
      <c r="E180" t="s">
        <v>65</v>
      </c>
      <c r="F180" t="s">
        <v>66</v>
      </c>
      <c r="G180" t="s">
        <v>34</v>
      </c>
      <c r="H180" t="s">
        <v>538</v>
      </c>
      <c r="I180" t="s">
        <v>143</v>
      </c>
      <c r="J180">
        <v>280.05</v>
      </c>
      <c r="K180">
        <v>10</v>
      </c>
      <c r="L180" t="s">
        <v>55</v>
      </c>
      <c r="M180">
        <v>4</v>
      </c>
      <c r="N180">
        <v>1</v>
      </c>
      <c r="O180">
        <v>2</v>
      </c>
      <c r="P180" t="s">
        <v>56</v>
      </c>
      <c r="Q180" t="s">
        <v>101</v>
      </c>
      <c r="R180">
        <v>1</v>
      </c>
      <c r="S180">
        <v>2</v>
      </c>
      <c r="T180" t="s">
        <v>51</v>
      </c>
      <c r="U180" t="s">
        <v>70</v>
      </c>
      <c r="V180" t="s">
        <v>43</v>
      </c>
      <c r="W180" s="1">
        <v>45479</v>
      </c>
      <c r="X180" t="b">
        <v>1</v>
      </c>
      <c r="Y180" t="b">
        <v>0</v>
      </c>
      <c r="Z180" t="s">
        <v>59</v>
      </c>
      <c r="AA180" t="s">
        <v>45</v>
      </c>
      <c r="AB180">
        <v>11</v>
      </c>
      <c r="AF180" t="str">
        <f>tbl_OriginalData[[#This Row],[Customer_ID]]</f>
        <v>33-484-6674</v>
      </c>
      <c r="AG180">
        <f>tbl_OriginalData[[#This Row],[Age]]</f>
        <v>47</v>
      </c>
      <c r="AH180" t="str" cm="1">
        <f t="array" ref="AH18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80" t="str">
        <f>tbl_OriginalData[[#This Row],[Gender]]</f>
        <v>Male</v>
      </c>
      <c r="AJ180" t="str">
        <f>tbl_OriginalData[[#This Row],[Income_Level]]</f>
        <v>Middle</v>
      </c>
      <c r="AK180" t="str">
        <f>tbl_OriginalData[[#This Row],[Marital_Status]]</f>
        <v>Single</v>
      </c>
      <c r="AL180" t="str">
        <f>tbl_OriginalData[[#This Row],[Education_Level]]</f>
        <v>Master's</v>
      </c>
      <c r="AM180" t="str">
        <f>tbl_OriginalData[[#This Row],[Occupation]]</f>
        <v>Middle</v>
      </c>
      <c r="AN180" t="s">
        <v>538</v>
      </c>
      <c r="AO180" t="s">
        <v>161</v>
      </c>
      <c r="AP180" t="str">
        <f>tbl_OriginalData[[#This Row],[Purchase_Category]]</f>
        <v>Packages)</v>
      </c>
      <c r="AQ180" s="4">
        <f>tbl_OriginalData[[#This Row],[Purchase_Amount]]</f>
        <v>280.05</v>
      </c>
      <c r="AR180">
        <f>tbl_OriginalData[[#This Row],[Frequency_of_Purchase]]</f>
        <v>10</v>
      </c>
      <c r="AS180" t="str">
        <f>tbl_OriginalData[[#This Row],[Purchase_Channel]]</f>
        <v>In-Store</v>
      </c>
      <c r="AT180">
        <f>tbl_OriginalData[[#This Row],[Brand_Loyalty]]</f>
        <v>4</v>
      </c>
      <c r="AU180">
        <f>tbl_OriginalData[[#This Row],[Product_Rating]]</f>
        <v>1</v>
      </c>
      <c r="AV180">
        <f>tbl_OriginalData[[#This Row],[Time_Spent_on_Product_Research(hours)]]*60</f>
        <v>120</v>
      </c>
      <c r="AW180" t="str">
        <f>tbl_OriginalData[[#This Row],[Social_Media_Influence]]</f>
        <v>Medium</v>
      </c>
      <c r="AX180" t="str">
        <f>tbl_OriginalData[[#This Row],[Discount_Sensitivity]]</f>
        <v>Very Sensitive</v>
      </c>
      <c r="AY180" s="3">
        <f>tbl_OriginalData[[#This Row],[Return_Rate]]/tbl_OriginalData[[#This Row],[Frequency_of_Purchase]]</f>
        <v>0.1</v>
      </c>
      <c r="AZ180">
        <f>tbl_OriginalData[[#This Row],[Customer_Satisfaction]]</f>
        <v>2</v>
      </c>
      <c r="BA180" t="str">
        <f>tbl_OriginalData[[#This Row],[Engagement_with_Ads]]</f>
        <v>High</v>
      </c>
      <c r="BB180" t="str">
        <f>tbl_OriginalData[[#This Row],[Device_Used_for_Shopping]]</f>
        <v>Smartphone</v>
      </c>
      <c r="BC180" t="str">
        <f>tbl_OriginalData[[#This Row],[Payment_Method]]</f>
        <v>Credit Card</v>
      </c>
      <c r="BD180" s="1">
        <f>tbl_OriginalData[[#This Row],[Time_of_Purchase]]</f>
        <v>45479</v>
      </c>
      <c r="BE180" t="str">
        <f>IF(tbl_OriginalData[[#This Row],[Discount_Used]]=TRUE,"Yes","No")</f>
        <v>Yes</v>
      </c>
      <c r="BF180" t="str">
        <f>IF(tbl_OriginalData[[#This Row],[Customer_Loyalty_Program_Member]]=TRUE,"Yes","No")</f>
        <v>No</v>
      </c>
      <c r="BG180" t="str">
        <f>tbl_OriginalData[[#This Row],[Purchase_Intent]]</f>
        <v>Wants-based</v>
      </c>
      <c r="BH180" t="str">
        <f>tbl_OriginalData[[#This Row],[Shipping_Preference]]</f>
        <v>No Preference</v>
      </c>
      <c r="BI180">
        <f>tbl_OriginalData[[#This Row],[Time_to_Decision]]</f>
        <v>11</v>
      </c>
      <c r="BJ180" t="s">
        <v>114</v>
      </c>
      <c r="BK180" t="s">
        <v>115</v>
      </c>
      <c r="BL180" t="s">
        <v>2527</v>
      </c>
    </row>
    <row r="181" spans="1:64">
      <c r="A181" t="s">
        <v>539</v>
      </c>
      <c r="B181">
        <v>35</v>
      </c>
      <c r="C181" t="s">
        <v>50</v>
      </c>
      <c r="D181" t="s">
        <v>51</v>
      </c>
      <c r="E181" t="s">
        <v>82</v>
      </c>
      <c r="F181" t="s">
        <v>66</v>
      </c>
      <c r="G181" t="s">
        <v>34</v>
      </c>
      <c r="H181" t="s">
        <v>540</v>
      </c>
      <c r="I181" t="s">
        <v>306</v>
      </c>
      <c r="J181">
        <v>54.71</v>
      </c>
      <c r="K181">
        <v>4</v>
      </c>
      <c r="L181" t="s">
        <v>39</v>
      </c>
      <c r="M181">
        <v>5</v>
      </c>
      <c r="N181">
        <v>2</v>
      </c>
      <c r="O181">
        <v>1</v>
      </c>
      <c r="P181" t="s">
        <v>69</v>
      </c>
      <c r="Q181" t="s">
        <v>101</v>
      </c>
      <c r="R181">
        <v>1</v>
      </c>
      <c r="S181">
        <v>3</v>
      </c>
      <c r="T181" t="s">
        <v>40</v>
      </c>
      <c r="U181" t="s">
        <v>95</v>
      </c>
      <c r="V181" t="s">
        <v>58</v>
      </c>
      <c r="W181" s="1">
        <v>45591</v>
      </c>
      <c r="X181" t="b">
        <v>1</v>
      </c>
      <c r="Y181" t="b">
        <v>1</v>
      </c>
      <c r="Z181" t="s">
        <v>44</v>
      </c>
      <c r="AA181" t="s">
        <v>77</v>
      </c>
      <c r="AB181">
        <v>3</v>
      </c>
      <c r="AF181" t="str">
        <f>tbl_OriginalData[[#This Row],[Customer_ID]]</f>
        <v>65-249-5416</v>
      </c>
      <c r="AG181">
        <f>tbl_OriginalData[[#This Row],[Age]]</f>
        <v>35</v>
      </c>
      <c r="AH181" t="str" cm="1">
        <f t="array" ref="AH18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81" t="str">
        <f>tbl_OriginalData[[#This Row],[Gender]]</f>
        <v>Male</v>
      </c>
      <c r="AJ181" t="str">
        <f>tbl_OriginalData[[#This Row],[Income_Level]]</f>
        <v>High</v>
      </c>
      <c r="AK181" t="str">
        <f>tbl_OriginalData[[#This Row],[Marital_Status]]</f>
        <v>Widowed</v>
      </c>
      <c r="AL181" t="str">
        <f>tbl_OriginalData[[#This Row],[Education_Level]]</f>
        <v>Master's</v>
      </c>
      <c r="AM181" t="str">
        <f>tbl_OriginalData[[#This Row],[Occupation]]</f>
        <v>Middle</v>
      </c>
      <c r="AN181" t="s">
        <v>540</v>
      </c>
      <c r="AO181" t="s">
        <v>519</v>
      </c>
      <c r="AP181" t="str">
        <f>tbl_OriginalData[[#This Row],[Purchase_Category]]</f>
        <v>Jewelry &amp; Accessories</v>
      </c>
      <c r="AQ181" s="4">
        <f>tbl_OriginalData[[#This Row],[Purchase_Amount]]</f>
        <v>54.71</v>
      </c>
      <c r="AR181">
        <f>tbl_OriginalData[[#This Row],[Frequency_of_Purchase]]</f>
        <v>4</v>
      </c>
      <c r="AS181" t="str">
        <f>tbl_OriginalData[[#This Row],[Purchase_Channel]]</f>
        <v>Mixed</v>
      </c>
      <c r="AT181">
        <f>tbl_OriginalData[[#This Row],[Brand_Loyalty]]</f>
        <v>5</v>
      </c>
      <c r="AU181">
        <f>tbl_OriginalData[[#This Row],[Product_Rating]]</f>
        <v>2</v>
      </c>
      <c r="AV181">
        <f>tbl_OriginalData[[#This Row],[Time_Spent_on_Product_Research(hours)]]*60</f>
        <v>60</v>
      </c>
      <c r="AW181" t="str">
        <f>tbl_OriginalData[[#This Row],[Social_Media_Influence]]</f>
        <v>Low</v>
      </c>
      <c r="AX181" t="str">
        <f>tbl_OriginalData[[#This Row],[Discount_Sensitivity]]</f>
        <v>Very Sensitive</v>
      </c>
      <c r="AY181" s="3">
        <f>tbl_OriginalData[[#This Row],[Return_Rate]]/tbl_OriginalData[[#This Row],[Frequency_of_Purchase]]</f>
        <v>0.25</v>
      </c>
      <c r="AZ181">
        <f>tbl_OriginalData[[#This Row],[Customer_Satisfaction]]</f>
        <v>3</v>
      </c>
      <c r="BA181" t="str">
        <f>tbl_OriginalData[[#This Row],[Engagement_with_Ads]]</f>
        <v>None</v>
      </c>
      <c r="BB181" t="str">
        <f>tbl_OriginalData[[#This Row],[Device_Used_for_Shopping]]</f>
        <v>Desktop</v>
      </c>
      <c r="BC181" t="str">
        <f>tbl_OriginalData[[#This Row],[Payment_Method]]</f>
        <v>PayPal</v>
      </c>
      <c r="BD181" s="1">
        <f>tbl_OriginalData[[#This Row],[Time_of_Purchase]]</f>
        <v>45591</v>
      </c>
      <c r="BE181" t="str">
        <f>IF(tbl_OriginalData[[#This Row],[Discount_Used]]=TRUE,"Yes","No")</f>
        <v>Yes</v>
      </c>
      <c r="BF181" t="str">
        <f>IF(tbl_OriginalData[[#This Row],[Customer_Loyalty_Program_Member]]=TRUE,"Yes","No")</f>
        <v>Yes</v>
      </c>
      <c r="BG181" t="str">
        <f>tbl_OriginalData[[#This Row],[Purchase_Intent]]</f>
        <v>Need-based</v>
      </c>
      <c r="BH181" t="str">
        <f>tbl_OriginalData[[#This Row],[Shipping_Preference]]</f>
        <v>Express</v>
      </c>
      <c r="BI181">
        <f>tbl_OriginalData[[#This Row],[Time_to_Decision]]</f>
        <v>3</v>
      </c>
      <c r="BJ181" t="s">
        <v>79</v>
      </c>
      <c r="BK181" t="s">
        <v>80</v>
      </c>
      <c r="BL181" t="s">
        <v>2524</v>
      </c>
    </row>
    <row r="182" spans="1:64">
      <c r="A182" t="s">
        <v>541</v>
      </c>
      <c r="B182">
        <v>27</v>
      </c>
      <c r="C182" t="s">
        <v>50</v>
      </c>
      <c r="D182" t="s">
        <v>51</v>
      </c>
      <c r="E182" t="s">
        <v>82</v>
      </c>
      <c r="F182" t="s">
        <v>36</v>
      </c>
      <c r="G182" t="s">
        <v>34</v>
      </c>
      <c r="H182" t="s">
        <v>542</v>
      </c>
      <c r="I182" t="s">
        <v>143</v>
      </c>
      <c r="J182">
        <v>119.51</v>
      </c>
      <c r="K182">
        <v>11</v>
      </c>
      <c r="L182" t="s">
        <v>39</v>
      </c>
      <c r="M182">
        <v>5</v>
      </c>
      <c r="N182">
        <v>5</v>
      </c>
      <c r="O182">
        <v>2</v>
      </c>
      <c r="P182" t="s">
        <v>69</v>
      </c>
      <c r="Q182" t="s">
        <v>101</v>
      </c>
      <c r="R182">
        <v>2</v>
      </c>
      <c r="S182">
        <v>8</v>
      </c>
      <c r="T182" t="s">
        <v>69</v>
      </c>
      <c r="U182" t="s">
        <v>95</v>
      </c>
      <c r="V182" t="s">
        <v>58</v>
      </c>
      <c r="W182" s="1">
        <v>45419</v>
      </c>
      <c r="X182" t="b">
        <v>0</v>
      </c>
      <c r="Y182" t="b">
        <v>0</v>
      </c>
      <c r="Z182" t="s">
        <v>89</v>
      </c>
      <c r="AA182" t="s">
        <v>45</v>
      </c>
      <c r="AB182">
        <v>1</v>
      </c>
      <c r="AF182" t="str">
        <f>tbl_OriginalData[[#This Row],[Customer_ID]]</f>
        <v>17-328-4678</v>
      </c>
      <c r="AG182">
        <f>tbl_OriginalData[[#This Row],[Age]]</f>
        <v>27</v>
      </c>
      <c r="AH182" t="str" cm="1">
        <f t="array" ref="AH18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82" t="str">
        <f>tbl_OriginalData[[#This Row],[Gender]]</f>
        <v>Male</v>
      </c>
      <c r="AJ182" t="str">
        <f>tbl_OriginalData[[#This Row],[Income_Level]]</f>
        <v>High</v>
      </c>
      <c r="AK182" t="str">
        <f>tbl_OriginalData[[#This Row],[Marital_Status]]</f>
        <v>Widowed</v>
      </c>
      <c r="AL182" t="str">
        <f>tbl_OriginalData[[#This Row],[Education_Level]]</f>
        <v>Bachelor's</v>
      </c>
      <c r="AM182" t="str">
        <f>tbl_OriginalData[[#This Row],[Occupation]]</f>
        <v>Middle</v>
      </c>
      <c r="AN182" t="s">
        <v>542</v>
      </c>
      <c r="AO182" t="s">
        <v>328</v>
      </c>
      <c r="AP182" t="str">
        <f>tbl_OriginalData[[#This Row],[Purchase_Category]]</f>
        <v>Packages)</v>
      </c>
      <c r="AQ182" s="4">
        <f>tbl_OriginalData[[#This Row],[Purchase_Amount]]</f>
        <v>119.51</v>
      </c>
      <c r="AR182">
        <f>tbl_OriginalData[[#This Row],[Frequency_of_Purchase]]</f>
        <v>11</v>
      </c>
      <c r="AS182" t="str">
        <f>tbl_OriginalData[[#This Row],[Purchase_Channel]]</f>
        <v>Mixed</v>
      </c>
      <c r="AT182">
        <f>tbl_OriginalData[[#This Row],[Brand_Loyalty]]</f>
        <v>5</v>
      </c>
      <c r="AU182">
        <f>tbl_OriginalData[[#This Row],[Product_Rating]]</f>
        <v>5</v>
      </c>
      <c r="AV182">
        <f>tbl_OriginalData[[#This Row],[Time_Spent_on_Product_Research(hours)]]*60</f>
        <v>120</v>
      </c>
      <c r="AW182" t="str">
        <f>tbl_OriginalData[[#This Row],[Social_Media_Influence]]</f>
        <v>Low</v>
      </c>
      <c r="AX182" t="str">
        <f>tbl_OriginalData[[#This Row],[Discount_Sensitivity]]</f>
        <v>Very Sensitive</v>
      </c>
      <c r="AY182" s="3">
        <f>tbl_OriginalData[[#This Row],[Return_Rate]]/tbl_OriginalData[[#This Row],[Frequency_of_Purchase]]</f>
        <v>0.18181818181818182</v>
      </c>
      <c r="AZ182">
        <f>tbl_OriginalData[[#This Row],[Customer_Satisfaction]]</f>
        <v>8</v>
      </c>
      <c r="BA182" t="str">
        <f>tbl_OriginalData[[#This Row],[Engagement_with_Ads]]</f>
        <v>Low</v>
      </c>
      <c r="BB182" t="str">
        <f>tbl_OriginalData[[#This Row],[Device_Used_for_Shopping]]</f>
        <v>Desktop</v>
      </c>
      <c r="BC182" t="str">
        <f>tbl_OriginalData[[#This Row],[Payment_Method]]</f>
        <v>PayPal</v>
      </c>
      <c r="BD182" s="1">
        <f>tbl_OriginalData[[#This Row],[Time_of_Purchase]]</f>
        <v>45419</v>
      </c>
      <c r="BE182" t="str">
        <f>IF(tbl_OriginalData[[#This Row],[Discount_Used]]=TRUE,"Yes","No")</f>
        <v>No</v>
      </c>
      <c r="BF182" t="str">
        <f>IF(tbl_OriginalData[[#This Row],[Customer_Loyalty_Program_Member]]=TRUE,"Yes","No")</f>
        <v>No</v>
      </c>
      <c r="BG182" t="str">
        <f>tbl_OriginalData[[#This Row],[Purchase_Intent]]</f>
        <v>Planned</v>
      </c>
      <c r="BH182" t="str">
        <f>tbl_OriginalData[[#This Row],[Shipping_Preference]]</f>
        <v>No Preference</v>
      </c>
      <c r="BI182">
        <f>tbl_OriginalData[[#This Row],[Time_to_Decision]]</f>
        <v>1</v>
      </c>
      <c r="BJ182" t="s">
        <v>167</v>
      </c>
      <c r="BK182" t="s">
        <v>63</v>
      </c>
      <c r="BL182" t="s">
        <v>2527</v>
      </c>
    </row>
    <row r="183" spans="1:64">
      <c r="A183" t="s">
        <v>543</v>
      </c>
      <c r="B183">
        <v>37</v>
      </c>
      <c r="C183" t="s">
        <v>33</v>
      </c>
      <c r="D183" t="s">
        <v>51</v>
      </c>
      <c r="E183" t="s">
        <v>65</v>
      </c>
      <c r="F183" t="s">
        <v>66</v>
      </c>
      <c r="G183" t="s">
        <v>51</v>
      </c>
      <c r="H183" t="s">
        <v>544</v>
      </c>
      <c r="I183" t="s">
        <v>170</v>
      </c>
      <c r="J183">
        <v>57.5</v>
      </c>
      <c r="K183">
        <v>12</v>
      </c>
      <c r="L183" t="s">
        <v>94</v>
      </c>
      <c r="M183">
        <v>5</v>
      </c>
      <c r="N183">
        <v>1</v>
      </c>
      <c r="O183">
        <v>1</v>
      </c>
      <c r="P183" t="s">
        <v>40</v>
      </c>
      <c r="Q183" t="s">
        <v>57</v>
      </c>
      <c r="R183">
        <v>0</v>
      </c>
      <c r="S183">
        <v>3</v>
      </c>
      <c r="T183" t="s">
        <v>40</v>
      </c>
      <c r="U183" t="s">
        <v>95</v>
      </c>
      <c r="V183" t="s">
        <v>102</v>
      </c>
      <c r="W183" s="1">
        <v>45634</v>
      </c>
      <c r="X183" t="b">
        <v>1</v>
      </c>
      <c r="Y183" t="b">
        <v>1</v>
      </c>
      <c r="Z183" t="s">
        <v>72</v>
      </c>
      <c r="AA183" t="s">
        <v>45</v>
      </c>
      <c r="AB183">
        <v>13</v>
      </c>
      <c r="AF183" t="str">
        <f>tbl_OriginalData[[#This Row],[Customer_ID]]</f>
        <v>00-733-8770</v>
      </c>
      <c r="AG183">
        <f>tbl_OriginalData[[#This Row],[Age]]</f>
        <v>37</v>
      </c>
      <c r="AH183" t="str" cm="1">
        <f t="array" ref="AH18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83" t="str">
        <f>tbl_OriginalData[[#This Row],[Gender]]</f>
        <v>Female</v>
      </c>
      <c r="AJ183" t="str">
        <f>tbl_OriginalData[[#This Row],[Income_Level]]</f>
        <v>High</v>
      </c>
      <c r="AK183" t="str">
        <f>tbl_OriginalData[[#This Row],[Marital_Status]]</f>
        <v>Single</v>
      </c>
      <c r="AL183" t="str">
        <f>tbl_OriginalData[[#This Row],[Education_Level]]</f>
        <v>Master's</v>
      </c>
      <c r="AM183" t="str">
        <f>tbl_OriginalData[[#This Row],[Occupation]]</f>
        <v>High</v>
      </c>
      <c r="AN183" t="s">
        <v>544</v>
      </c>
      <c r="AO183" t="s">
        <v>545</v>
      </c>
      <c r="AP183" t="str">
        <f>tbl_OriginalData[[#This Row],[Purchase_Category]]</f>
        <v>Arts &amp; Crafts</v>
      </c>
      <c r="AQ183" s="4">
        <f>tbl_OriginalData[[#This Row],[Purchase_Amount]]</f>
        <v>57.5</v>
      </c>
      <c r="AR183">
        <f>tbl_OriginalData[[#This Row],[Frequency_of_Purchase]]</f>
        <v>12</v>
      </c>
      <c r="AS183" t="str">
        <f>tbl_OriginalData[[#This Row],[Purchase_Channel]]</f>
        <v>Online</v>
      </c>
      <c r="AT183">
        <f>tbl_OriginalData[[#This Row],[Brand_Loyalty]]</f>
        <v>5</v>
      </c>
      <c r="AU183">
        <f>tbl_OriginalData[[#This Row],[Product_Rating]]</f>
        <v>1</v>
      </c>
      <c r="AV183">
        <f>tbl_OriginalData[[#This Row],[Time_Spent_on_Product_Research(hours)]]*60</f>
        <v>60</v>
      </c>
      <c r="AW183" t="str">
        <f>tbl_OriginalData[[#This Row],[Social_Media_Influence]]</f>
        <v>None</v>
      </c>
      <c r="AX183" t="str">
        <f>tbl_OriginalData[[#This Row],[Discount_Sensitivity]]</f>
        <v>Not Sensitive</v>
      </c>
      <c r="AY183" s="3">
        <f>tbl_OriginalData[[#This Row],[Return_Rate]]/tbl_OriginalData[[#This Row],[Frequency_of_Purchase]]</f>
        <v>0</v>
      </c>
      <c r="AZ183">
        <f>tbl_OriginalData[[#This Row],[Customer_Satisfaction]]</f>
        <v>3</v>
      </c>
      <c r="BA183" t="str">
        <f>tbl_OriginalData[[#This Row],[Engagement_with_Ads]]</f>
        <v>None</v>
      </c>
      <c r="BB183" t="str">
        <f>tbl_OriginalData[[#This Row],[Device_Used_for_Shopping]]</f>
        <v>Desktop</v>
      </c>
      <c r="BC183" t="str">
        <f>tbl_OriginalData[[#This Row],[Payment_Method]]</f>
        <v>Cash</v>
      </c>
      <c r="BD183" s="1">
        <f>tbl_OriginalData[[#This Row],[Time_of_Purchase]]</f>
        <v>45634</v>
      </c>
      <c r="BE183" t="str">
        <f>IF(tbl_OriginalData[[#This Row],[Discount_Used]]=TRUE,"Yes","No")</f>
        <v>Yes</v>
      </c>
      <c r="BF183" t="str">
        <f>IF(tbl_OriginalData[[#This Row],[Customer_Loyalty_Program_Member]]=TRUE,"Yes","No")</f>
        <v>Yes</v>
      </c>
      <c r="BG183" t="str">
        <f>tbl_OriginalData[[#This Row],[Purchase_Intent]]</f>
        <v>Impulsive</v>
      </c>
      <c r="BH183" t="str">
        <f>tbl_OriginalData[[#This Row],[Shipping_Preference]]</f>
        <v>No Preference</v>
      </c>
      <c r="BI183">
        <f>tbl_OriginalData[[#This Row],[Time_to_Decision]]</f>
        <v>13</v>
      </c>
      <c r="BJ183" t="s">
        <v>120</v>
      </c>
      <c r="BK183" t="s">
        <v>80</v>
      </c>
      <c r="BL183" t="s">
        <v>2528</v>
      </c>
    </row>
    <row r="184" spans="1:64">
      <c r="A184" t="s">
        <v>546</v>
      </c>
      <c r="B184">
        <v>38</v>
      </c>
      <c r="C184" t="s">
        <v>33</v>
      </c>
      <c r="D184" t="s">
        <v>51</v>
      </c>
      <c r="E184" t="s">
        <v>35</v>
      </c>
      <c r="F184" t="s">
        <v>36</v>
      </c>
      <c r="G184" t="s">
        <v>51</v>
      </c>
      <c r="H184" t="s">
        <v>547</v>
      </c>
      <c r="I184" t="s">
        <v>98</v>
      </c>
      <c r="J184">
        <v>225.05</v>
      </c>
      <c r="K184">
        <v>5</v>
      </c>
      <c r="L184" t="s">
        <v>39</v>
      </c>
      <c r="M184">
        <v>2</v>
      </c>
      <c r="N184">
        <v>1</v>
      </c>
      <c r="O184">
        <v>1</v>
      </c>
      <c r="P184" t="s">
        <v>51</v>
      </c>
      <c r="Q184" t="s">
        <v>41</v>
      </c>
      <c r="R184">
        <v>1</v>
      </c>
      <c r="S184">
        <v>1</v>
      </c>
      <c r="T184" t="s">
        <v>69</v>
      </c>
      <c r="U184" t="s">
        <v>95</v>
      </c>
      <c r="V184" t="s">
        <v>43</v>
      </c>
      <c r="W184" s="1">
        <v>45470</v>
      </c>
      <c r="X184" t="b">
        <v>0</v>
      </c>
      <c r="Y184" t="b">
        <v>0</v>
      </c>
      <c r="Z184" t="s">
        <v>44</v>
      </c>
      <c r="AA184" t="s">
        <v>45</v>
      </c>
      <c r="AB184">
        <v>10</v>
      </c>
      <c r="AF184" t="str">
        <f>tbl_OriginalData[[#This Row],[Customer_ID]]</f>
        <v>47-501-3435</v>
      </c>
      <c r="AG184">
        <f>tbl_OriginalData[[#This Row],[Age]]</f>
        <v>38</v>
      </c>
      <c r="AH184" t="str" cm="1">
        <f t="array" ref="AH18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84" t="str">
        <f>tbl_OriginalData[[#This Row],[Gender]]</f>
        <v>Female</v>
      </c>
      <c r="AJ184" t="str">
        <f>tbl_OriginalData[[#This Row],[Income_Level]]</f>
        <v>High</v>
      </c>
      <c r="AK184" t="str">
        <f>tbl_OriginalData[[#This Row],[Marital_Status]]</f>
        <v>Married</v>
      </c>
      <c r="AL184" t="str">
        <f>tbl_OriginalData[[#This Row],[Education_Level]]</f>
        <v>Bachelor's</v>
      </c>
      <c r="AM184" t="str">
        <f>tbl_OriginalData[[#This Row],[Occupation]]</f>
        <v>High</v>
      </c>
      <c r="AN184" t="s">
        <v>547</v>
      </c>
      <c r="AO184" t="s">
        <v>366</v>
      </c>
      <c r="AP184" t="str">
        <f>tbl_OriginalData[[#This Row],[Purchase_Category]]</f>
        <v>Books</v>
      </c>
      <c r="AQ184" s="4">
        <f>tbl_OriginalData[[#This Row],[Purchase_Amount]]</f>
        <v>225.05</v>
      </c>
      <c r="AR184">
        <f>tbl_OriginalData[[#This Row],[Frequency_of_Purchase]]</f>
        <v>5</v>
      </c>
      <c r="AS184" t="str">
        <f>tbl_OriginalData[[#This Row],[Purchase_Channel]]</f>
        <v>Mixed</v>
      </c>
      <c r="AT184">
        <f>tbl_OriginalData[[#This Row],[Brand_Loyalty]]</f>
        <v>2</v>
      </c>
      <c r="AU184">
        <f>tbl_OriginalData[[#This Row],[Product_Rating]]</f>
        <v>1</v>
      </c>
      <c r="AV184">
        <f>tbl_OriginalData[[#This Row],[Time_Spent_on_Product_Research(hours)]]*60</f>
        <v>60</v>
      </c>
      <c r="AW184" t="str">
        <f>tbl_OriginalData[[#This Row],[Social_Media_Influence]]</f>
        <v>High</v>
      </c>
      <c r="AX184" t="str">
        <f>tbl_OriginalData[[#This Row],[Discount_Sensitivity]]</f>
        <v>Somewhat Sensitive</v>
      </c>
      <c r="AY184" s="3">
        <f>tbl_OriginalData[[#This Row],[Return_Rate]]/tbl_OriginalData[[#This Row],[Frequency_of_Purchase]]</f>
        <v>0.2</v>
      </c>
      <c r="AZ184">
        <f>tbl_OriginalData[[#This Row],[Customer_Satisfaction]]</f>
        <v>1</v>
      </c>
      <c r="BA184" t="str">
        <f>tbl_OriginalData[[#This Row],[Engagement_with_Ads]]</f>
        <v>Low</v>
      </c>
      <c r="BB184" t="str">
        <f>tbl_OriginalData[[#This Row],[Device_Used_for_Shopping]]</f>
        <v>Desktop</v>
      </c>
      <c r="BC184" t="str">
        <f>tbl_OriginalData[[#This Row],[Payment_Method]]</f>
        <v>Credit Card</v>
      </c>
      <c r="BD184" s="1">
        <f>tbl_OriginalData[[#This Row],[Time_of_Purchase]]</f>
        <v>45470</v>
      </c>
      <c r="BE184" t="str">
        <f>IF(tbl_OriginalData[[#This Row],[Discount_Used]]=TRUE,"Yes","No")</f>
        <v>No</v>
      </c>
      <c r="BF184" t="str">
        <f>IF(tbl_OriginalData[[#This Row],[Customer_Loyalty_Program_Member]]=TRUE,"Yes","No")</f>
        <v>No</v>
      </c>
      <c r="BG184" t="str">
        <f>tbl_OriginalData[[#This Row],[Purchase_Intent]]</f>
        <v>Need-based</v>
      </c>
      <c r="BH184" t="str">
        <f>tbl_OriginalData[[#This Row],[Shipping_Preference]]</f>
        <v>No Preference</v>
      </c>
      <c r="BI184">
        <f>tbl_OriginalData[[#This Row],[Time_to_Decision]]</f>
        <v>10</v>
      </c>
      <c r="BJ184" t="s">
        <v>104</v>
      </c>
      <c r="BK184" t="s">
        <v>63</v>
      </c>
      <c r="BL184" t="s">
        <v>2524</v>
      </c>
    </row>
    <row r="185" spans="1:64">
      <c r="A185" t="s">
        <v>548</v>
      </c>
      <c r="B185">
        <v>41</v>
      </c>
      <c r="C185" t="s">
        <v>33</v>
      </c>
      <c r="D185" t="s">
        <v>51</v>
      </c>
      <c r="E185" t="s">
        <v>92</v>
      </c>
      <c r="F185" t="s">
        <v>52</v>
      </c>
      <c r="G185" t="s">
        <v>51</v>
      </c>
      <c r="H185" t="s">
        <v>549</v>
      </c>
      <c r="I185" t="s">
        <v>54</v>
      </c>
      <c r="J185">
        <v>441.15</v>
      </c>
      <c r="K185">
        <v>7</v>
      </c>
      <c r="L185" t="s">
        <v>94</v>
      </c>
      <c r="M185">
        <v>3</v>
      </c>
      <c r="N185">
        <v>1</v>
      </c>
      <c r="O185">
        <v>1</v>
      </c>
      <c r="P185" t="s">
        <v>69</v>
      </c>
      <c r="Q185" t="s">
        <v>41</v>
      </c>
      <c r="R185">
        <v>1</v>
      </c>
      <c r="S185">
        <v>1</v>
      </c>
      <c r="T185" t="s">
        <v>40</v>
      </c>
      <c r="U185" t="s">
        <v>70</v>
      </c>
      <c r="V185" t="s">
        <v>71</v>
      </c>
      <c r="W185" s="1">
        <v>45535</v>
      </c>
      <c r="X185" t="b">
        <v>0</v>
      </c>
      <c r="Y185" t="b">
        <v>0</v>
      </c>
      <c r="Z185" t="s">
        <v>44</v>
      </c>
      <c r="AA185" t="s">
        <v>45</v>
      </c>
      <c r="AB185">
        <v>8</v>
      </c>
      <c r="AF185" t="str">
        <f>tbl_OriginalData[[#This Row],[Customer_ID]]</f>
        <v>46-779-7065</v>
      </c>
      <c r="AG185">
        <f>tbl_OriginalData[[#This Row],[Age]]</f>
        <v>41</v>
      </c>
      <c r="AH185" t="str" cm="1">
        <f t="array" ref="AH18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85" t="str">
        <f>tbl_OriginalData[[#This Row],[Gender]]</f>
        <v>Female</v>
      </c>
      <c r="AJ185" t="str">
        <f>tbl_OriginalData[[#This Row],[Income_Level]]</f>
        <v>High</v>
      </c>
      <c r="AK185" t="str">
        <f>tbl_OriginalData[[#This Row],[Marital_Status]]</f>
        <v>Divorced</v>
      </c>
      <c r="AL185" t="str">
        <f>tbl_OriginalData[[#This Row],[Education_Level]]</f>
        <v>High School</v>
      </c>
      <c r="AM185" t="str">
        <f>tbl_OriginalData[[#This Row],[Occupation]]</f>
        <v>High</v>
      </c>
      <c r="AN185" t="s">
        <v>549</v>
      </c>
      <c r="AO185" t="s">
        <v>550</v>
      </c>
      <c r="AP185" t="str">
        <f>tbl_OriginalData[[#This Row],[Purchase_Category]]</f>
        <v>Food &amp; Beverages</v>
      </c>
      <c r="AQ185" s="4">
        <f>tbl_OriginalData[[#This Row],[Purchase_Amount]]</f>
        <v>441.15</v>
      </c>
      <c r="AR185">
        <f>tbl_OriginalData[[#This Row],[Frequency_of_Purchase]]</f>
        <v>7</v>
      </c>
      <c r="AS185" t="str">
        <f>tbl_OriginalData[[#This Row],[Purchase_Channel]]</f>
        <v>Online</v>
      </c>
      <c r="AT185">
        <f>tbl_OriginalData[[#This Row],[Brand_Loyalty]]</f>
        <v>3</v>
      </c>
      <c r="AU185">
        <f>tbl_OriginalData[[#This Row],[Product_Rating]]</f>
        <v>1</v>
      </c>
      <c r="AV185">
        <f>tbl_OriginalData[[#This Row],[Time_Spent_on_Product_Research(hours)]]*60</f>
        <v>60</v>
      </c>
      <c r="AW185" t="str">
        <f>tbl_OriginalData[[#This Row],[Social_Media_Influence]]</f>
        <v>Low</v>
      </c>
      <c r="AX185" t="str">
        <f>tbl_OriginalData[[#This Row],[Discount_Sensitivity]]</f>
        <v>Somewhat Sensitive</v>
      </c>
      <c r="AY185" s="3">
        <f>tbl_OriginalData[[#This Row],[Return_Rate]]/tbl_OriginalData[[#This Row],[Frequency_of_Purchase]]</f>
        <v>0.14285714285714285</v>
      </c>
      <c r="AZ185">
        <f>tbl_OriginalData[[#This Row],[Customer_Satisfaction]]</f>
        <v>1</v>
      </c>
      <c r="BA185" t="str">
        <f>tbl_OriginalData[[#This Row],[Engagement_with_Ads]]</f>
        <v>None</v>
      </c>
      <c r="BB185" t="str">
        <f>tbl_OriginalData[[#This Row],[Device_Used_for_Shopping]]</f>
        <v>Smartphone</v>
      </c>
      <c r="BC185" t="str">
        <f>tbl_OriginalData[[#This Row],[Payment_Method]]</f>
        <v>Debit Card</v>
      </c>
      <c r="BD185" s="1">
        <f>tbl_OriginalData[[#This Row],[Time_of_Purchase]]</f>
        <v>45535</v>
      </c>
      <c r="BE185" t="str">
        <f>IF(tbl_OriginalData[[#This Row],[Discount_Used]]=TRUE,"Yes","No")</f>
        <v>No</v>
      </c>
      <c r="BF185" t="str">
        <f>IF(tbl_OriginalData[[#This Row],[Customer_Loyalty_Program_Member]]=TRUE,"Yes","No")</f>
        <v>No</v>
      </c>
      <c r="BG185" t="str">
        <f>tbl_OriginalData[[#This Row],[Purchase_Intent]]</f>
        <v>Need-based</v>
      </c>
      <c r="BH185" t="str">
        <f>tbl_OriginalData[[#This Row],[Shipping_Preference]]</f>
        <v>No Preference</v>
      </c>
      <c r="BI185">
        <f>tbl_OriginalData[[#This Row],[Time_to_Decision]]</f>
        <v>8</v>
      </c>
      <c r="BJ185" t="s">
        <v>124</v>
      </c>
      <c r="BK185" t="s">
        <v>115</v>
      </c>
      <c r="BL185" t="s">
        <v>2523</v>
      </c>
    </row>
    <row r="186" spans="1:64">
      <c r="A186" t="s">
        <v>551</v>
      </c>
      <c r="B186">
        <v>48</v>
      </c>
      <c r="C186" t="s">
        <v>50</v>
      </c>
      <c r="D186" t="s">
        <v>34</v>
      </c>
      <c r="E186" t="s">
        <v>92</v>
      </c>
      <c r="F186" t="s">
        <v>52</v>
      </c>
      <c r="G186" t="s">
        <v>34</v>
      </c>
      <c r="H186" t="s">
        <v>552</v>
      </c>
      <c r="I186" t="s">
        <v>127</v>
      </c>
      <c r="J186">
        <v>481.21</v>
      </c>
      <c r="K186">
        <v>3</v>
      </c>
      <c r="L186" t="s">
        <v>39</v>
      </c>
      <c r="M186">
        <v>1</v>
      </c>
      <c r="N186">
        <v>2</v>
      </c>
      <c r="O186">
        <v>1</v>
      </c>
      <c r="P186" t="s">
        <v>51</v>
      </c>
      <c r="Q186" t="s">
        <v>57</v>
      </c>
      <c r="R186">
        <v>0</v>
      </c>
      <c r="S186">
        <v>1</v>
      </c>
      <c r="T186" t="s">
        <v>40</v>
      </c>
      <c r="U186" t="s">
        <v>95</v>
      </c>
      <c r="V186" t="s">
        <v>43</v>
      </c>
      <c r="W186" s="1">
        <v>45609</v>
      </c>
      <c r="X186" t="b">
        <v>0</v>
      </c>
      <c r="Y186" t="b">
        <v>0</v>
      </c>
      <c r="Z186" t="s">
        <v>59</v>
      </c>
      <c r="AA186" t="s">
        <v>45</v>
      </c>
      <c r="AB186">
        <v>11</v>
      </c>
      <c r="AF186" t="str">
        <f>tbl_OriginalData[[#This Row],[Customer_ID]]</f>
        <v>91-603-1565</v>
      </c>
      <c r="AG186">
        <f>tbl_OriginalData[[#This Row],[Age]]</f>
        <v>48</v>
      </c>
      <c r="AH186" t="str" cm="1">
        <f t="array" ref="AH18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86" t="str">
        <f>tbl_OriginalData[[#This Row],[Gender]]</f>
        <v>Male</v>
      </c>
      <c r="AJ186" t="str">
        <f>tbl_OriginalData[[#This Row],[Income_Level]]</f>
        <v>Middle</v>
      </c>
      <c r="AK186" t="str">
        <f>tbl_OriginalData[[#This Row],[Marital_Status]]</f>
        <v>Divorced</v>
      </c>
      <c r="AL186" t="str">
        <f>tbl_OriginalData[[#This Row],[Education_Level]]</f>
        <v>High School</v>
      </c>
      <c r="AM186" t="str">
        <f>tbl_OriginalData[[#This Row],[Occupation]]</f>
        <v>Middle</v>
      </c>
      <c r="AN186" t="s">
        <v>552</v>
      </c>
      <c r="AO186" t="s">
        <v>128</v>
      </c>
      <c r="AP186" t="str">
        <f>tbl_OriginalData[[#This Row],[Purchase_Category]]</f>
        <v>Animal Feed</v>
      </c>
      <c r="AQ186" s="4">
        <f>tbl_OriginalData[[#This Row],[Purchase_Amount]]</f>
        <v>481.21</v>
      </c>
      <c r="AR186">
        <f>tbl_OriginalData[[#This Row],[Frequency_of_Purchase]]</f>
        <v>3</v>
      </c>
      <c r="AS186" t="str">
        <f>tbl_OriginalData[[#This Row],[Purchase_Channel]]</f>
        <v>Mixed</v>
      </c>
      <c r="AT186">
        <f>tbl_OriginalData[[#This Row],[Brand_Loyalty]]</f>
        <v>1</v>
      </c>
      <c r="AU186">
        <f>tbl_OriginalData[[#This Row],[Product_Rating]]</f>
        <v>2</v>
      </c>
      <c r="AV186">
        <f>tbl_OriginalData[[#This Row],[Time_Spent_on_Product_Research(hours)]]*60</f>
        <v>60</v>
      </c>
      <c r="AW186" t="str">
        <f>tbl_OriginalData[[#This Row],[Social_Media_Influence]]</f>
        <v>High</v>
      </c>
      <c r="AX186" t="str">
        <f>tbl_OriginalData[[#This Row],[Discount_Sensitivity]]</f>
        <v>Not Sensitive</v>
      </c>
      <c r="AY186" s="3">
        <f>tbl_OriginalData[[#This Row],[Return_Rate]]/tbl_OriginalData[[#This Row],[Frequency_of_Purchase]]</f>
        <v>0</v>
      </c>
      <c r="AZ186">
        <f>tbl_OriginalData[[#This Row],[Customer_Satisfaction]]</f>
        <v>1</v>
      </c>
      <c r="BA186" t="str">
        <f>tbl_OriginalData[[#This Row],[Engagement_with_Ads]]</f>
        <v>None</v>
      </c>
      <c r="BB186" t="str">
        <f>tbl_OriginalData[[#This Row],[Device_Used_for_Shopping]]</f>
        <v>Desktop</v>
      </c>
      <c r="BC186" t="str">
        <f>tbl_OriginalData[[#This Row],[Payment_Method]]</f>
        <v>Credit Card</v>
      </c>
      <c r="BD186" s="1">
        <f>tbl_OriginalData[[#This Row],[Time_of_Purchase]]</f>
        <v>45609</v>
      </c>
      <c r="BE186" t="str">
        <f>IF(tbl_OriginalData[[#This Row],[Discount_Used]]=TRUE,"Yes","No")</f>
        <v>No</v>
      </c>
      <c r="BF186" t="str">
        <f>IF(tbl_OriginalData[[#This Row],[Customer_Loyalty_Program_Member]]=TRUE,"Yes","No")</f>
        <v>No</v>
      </c>
      <c r="BG186" t="str">
        <f>tbl_OriginalData[[#This Row],[Purchase_Intent]]</f>
        <v>Wants-based</v>
      </c>
      <c r="BH186" t="str">
        <f>tbl_OriginalData[[#This Row],[Shipping_Preference]]</f>
        <v>No Preference</v>
      </c>
      <c r="BI186">
        <f>tbl_OriginalData[[#This Row],[Time_to_Decision]]</f>
        <v>11</v>
      </c>
      <c r="BJ186" t="s">
        <v>177</v>
      </c>
      <c r="BK186" t="s">
        <v>80</v>
      </c>
      <c r="BL186" t="s">
        <v>2523</v>
      </c>
    </row>
    <row r="187" spans="1:64">
      <c r="A187" t="s">
        <v>553</v>
      </c>
      <c r="B187">
        <v>48</v>
      </c>
      <c r="C187" t="s">
        <v>33</v>
      </c>
      <c r="D187" t="s">
        <v>51</v>
      </c>
      <c r="E187" t="s">
        <v>35</v>
      </c>
      <c r="F187" t="s">
        <v>36</v>
      </c>
      <c r="G187" t="s">
        <v>34</v>
      </c>
      <c r="H187" t="s">
        <v>554</v>
      </c>
      <c r="I187" t="s">
        <v>170</v>
      </c>
      <c r="J187">
        <v>102.96</v>
      </c>
      <c r="K187">
        <v>3</v>
      </c>
      <c r="L187" t="s">
        <v>39</v>
      </c>
      <c r="M187">
        <v>1</v>
      </c>
      <c r="N187">
        <v>1</v>
      </c>
      <c r="O187">
        <v>1</v>
      </c>
      <c r="P187" t="s">
        <v>69</v>
      </c>
      <c r="Q187" t="s">
        <v>101</v>
      </c>
      <c r="R187">
        <v>0</v>
      </c>
      <c r="S187">
        <v>7</v>
      </c>
      <c r="T187" t="s">
        <v>69</v>
      </c>
      <c r="U187" t="s">
        <v>95</v>
      </c>
      <c r="V187" t="s">
        <v>58</v>
      </c>
      <c r="W187" s="1">
        <v>45645</v>
      </c>
      <c r="X187" t="b">
        <v>0</v>
      </c>
      <c r="Y187" t="b">
        <v>1</v>
      </c>
      <c r="Z187" t="s">
        <v>59</v>
      </c>
      <c r="AA187" t="s">
        <v>60</v>
      </c>
      <c r="AB187">
        <v>4</v>
      </c>
      <c r="AF187" t="str">
        <f>tbl_OriginalData[[#This Row],[Customer_ID]]</f>
        <v>35-122-5020</v>
      </c>
      <c r="AG187">
        <f>tbl_OriginalData[[#This Row],[Age]]</f>
        <v>48</v>
      </c>
      <c r="AH187" t="str" cm="1">
        <f t="array" ref="AH18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87" t="str">
        <f>tbl_OriginalData[[#This Row],[Gender]]</f>
        <v>Female</v>
      </c>
      <c r="AJ187" t="str">
        <f>tbl_OriginalData[[#This Row],[Income_Level]]</f>
        <v>High</v>
      </c>
      <c r="AK187" t="str">
        <f>tbl_OriginalData[[#This Row],[Marital_Status]]</f>
        <v>Married</v>
      </c>
      <c r="AL187" t="str">
        <f>tbl_OriginalData[[#This Row],[Education_Level]]</f>
        <v>Bachelor's</v>
      </c>
      <c r="AM187" t="str">
        <f>tbl_OriginalData[[#This Row],[Occupation]]</f>
        <v>Middle</v>
      </c>
      <c r="AN187" t="s">
        <v>554</v>
      </c>
      <c r="AO187" t="s">
        <v>555</v>
      </c>
      <c r="AP187" t="str">
        <f>tbl_OriginalData[[#This Row],[Purchase_Category]]</f>
        <v>Arts &amp; Crafts</v>
      </c>
      <c r="AQ187" s="4">
        <f>tbl_OriginalData[[#This Row],[Purchase_Amount]]</f>
        <v>102.96</v>
      </c>
      <c r="AR187">
        <f>tbl_OriginalData[[#This Row],[Frequency_of_Purchase]]</f>
        <v>3</v>
      </c>
      <c r="AS187" t="str">
        <f>tbl_OriginalData[[#This Row],[Purchase_Channel]]</f>
        <v>Mixed</v>
      </c>
      <c r="AT187">
        <f>tbl_OriginalData[[#This Row],[Brand_Loyalty]]</f>
        <v>1</v>
      </c>
      <c r="AU187">
        <f>tbl_OriginalData[[#This Row],[Product_Rating]]</f>
        <v>1</v>
      </c>
      <c r="AV187">
        <f>tbl_OriginalData[[#This Row],[Time_Spent_on_Product_Research(hours)]]*60</f>
        <v>60</v>
      </c>
      <c r="AW187" t="str">
        <f>tbl_OriginalData[[#This Row],[Social_Media_Influence]]</f>
        <v>Low</v>
      </c>
      <c r="AX187" t="str">
        <f>tbl_OriginalData[[#This Row],[Discount_Sensitivity]]</f>
        <v>Very Sensitive</v>
      </c>
      <c r="AY187" s="3">
        <f>tbl_OriginalData[[#This Row],[Return_Rate]]/tbl_OriginalData[[#This Row],[Frequency_of_Purchase]]</f>
        <v>0</v>
      </c>
      <c r="AZ187">
        <f>tbl_OriginalData[[#This Row],[Customer_Satisfaction]]</f>
        <v>7</v>
      </c>
      <c r="BA187" t="str">
        <f>tbl_OriginalData[[#This Row],[Engagement_with_Ads]]</f>
        <v>Low</v>
      </c>
      <c r="BB187" t="str">
        <f>tbl_OriginalData[[#This Row],[Device_Used_for_Shopping]]</f>
        <v>Desktop</v>
      </c>
      <c r="BC187" t="str">
        <f>tbl_OriginalData[[#This Row],[Payment_Method]]</f>
        <v>PayPal</v>
      </c>
      <c r="BD187" s="1">
        <f>tbl_OriginalData[[#This Row],[Time_of_Purchase]]</f>
        <v>45645</v>
      </c>
      <c r="BE187" t="str">
        <f>IF(tbl_OriginalData[[#This Row],[Discount_Used]]=TRUE,"Yes","No")</f>
        <v>No</v>
      </c>
      <c r="BF187" t="str">
        <f>IF(tbl_OriginalData[[#This Row],[Customer_Loyalty_Program_Member]]=TRUE,"Yes","No")</f>
        <v>Yes</v>
      </c>
      <c r="BG187" t="str">
        <f>tbl_OriginalData[[#This Row],[Purchase_Intent]]</f>
        <v>Wants-based</v>
      </c>
      <c r="BH187" t="str">
        <f>tbl_OriginalData[[#This Row],[Shipping_Preference]]</f>
        <v>Standard</v>
      </c>
      <c r="BI187">
        <f>tbl_OriginalData[[#This Row],[Time_to_Decision]]</f>
        <v>4</v>
      </c>
      <c r="BJ187" t="s">
        <v>120</v>
      </c>
      <c r="BK187" t="s">
        <v>80</v>
      </c>
      <c r="BL187" t="s">
        <v>2529</v>
      </c>
    </row>
    <row r="188" spans="1:64">
      <c r="A188" t="s">
        <v>556</v>
      </c>
      <c r="B188">
        <v>45</v>
      </c>
      <c r="C188" t="s">
        <v>33</v>
      </c>
      <c r="D188" t="s">
        <v>51</v>
      </c>
      <c r="E188" t="s">
        <v>92</v>
      </c>
      <c r="F188" t="s">
        <v>36</v>
      </c>
      <c r="G188" t="s">
        <v>51</v>
      </c>
      <c r="H188" t="s">
        <v>557</v>
      </c>
      <c r="I188" t="s">
        <v>147</v>
      </c>
      <c r="J188">
        <v>331.57</v>
      </c>
      <c r="K188">
        <v>11</v>
      </c>
      <c r="L188" t="s">
        <v>39</v>
      </c>
      <c r="M188">
        <v>3</v>
      </c>
      <c r="N188">
        <v>1</v>
      </c>
      <c r="O188">
        <v>0</v>
      </c>
      <c r="P188" t="s">
        <v>69</v>
      </c>
      <c r="Q188" t="s">
        <v>41</v>
      </c>
      <c r="R188">
        <v>1</v>
      </c>
      <c r="S188">
        <v>6</v>
      </c>
      <c r="T188" t="s">
        <v>56</v>
      </c>
      <c r="U188" t="s">
        <v>95</v>
      </c>
      <c r="V188" t="s">
        <v>71</v>
      </c>
      <c r="W188" s="1">
        <v>45418</v>
      </c>
      <c r="X188" t="b">
        <v>0</v>
      </c>
      <c r="Y188" t="b">
        <v>0</v>
      </c>
      <c r="Z188" t="s">
        <v>72</v>
      </c>
      <c r="AA188" t="s">
        <v>77</v>
      </c>
      <c r="AB188">
        <v>14</v>
      </c>
      <c r="AF188" t="str">
        <f>tbl_OriginalData[[#This Row],[Customer_ID]]</f>
        <v>63-684-4073</v>
      </c>
      <c r="AG188">
        <f>tbl_OriginalData[[#This Row],[Age]]</f>
        <v>45</v>
      </c>
      <c r="AH188" t="str" cm="1">
        <f t="array" ref="AH18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88" t="str">
        <f>tbl_OriginalData[[#This Row],[Gender]]</f>
        <v>Female</v>
      </c>
      <c r="AJ188" t="str">
        <f>tbl_OriginalData[[#This Row],[Income_Level]]</f>
        <v>High</v>
      </c>
      <c r="AK188" t="str">
        <f>tbl_OriginalData[[#This Row],[Marital_Status]]</f>
        <v>Divorced</v>
      </c>
      <c r="AL188" t="str">
        <f>tbl_OriginalData[[#This Row],[Education_Level]]</f>
        <v>Bachelor's</v>
      </c>
      <c r="AM188" t="str">
        <f>tbl_OriginalData[[#This Row],[Occupation]]</f>
        <v>High</v>
      </c>
      <c r="AN188" t="s">
        <v>557</v>
      </c>
      <c r="AO188" t="s">
        <v>90</v>
      </c>
      <c r="AP188" t="str">
        <f>tbl_OriginalData[[#This Row],[Purchase_Category]]</f>
        <v>Electronics</v>
      </c>
      <c r="AQ188" s="4">
        <f>tbl_OriginalData[[#This Row],[Purchase_Amount]]</f>
        <v>331.57</v>
      </c>
      <c r="AR188">
        <f>tbl_OriginalData[[#This Row],[Frequency_of_Purchase]]</f>
        <v>11</v>
      </c>
      <c r="AS188" t="str">
        <f>tbl_OriginalData[[#This Row],[Purchase_Channel]]</f>
        <v>Mixed</v>
      </c>
      <c r="AT188">
        <f>tbl_OriginalData[[#This Row],[Brand_Loyalty]]</f>
        <v>3</v>
      </c>
      <c r="AU188">
        <f>tbl_OriginalData[[#This Row],[Product_Rating]]</f>
        <v>1</v>
      </c>
      <c r="AV188">
        <f>tbl_OriginalData[[#This Row],[Time_Spent_on_Product_Research(hours)]]*60</f>
        <v>0</v>
      </c>
      <c r="AW188" t="str">
        <f>tbl_OriginalData[[#This Row],[Social_Media_Influence]]</f>
        <v>Low</v>
      </c>
      <c r="AX188" t="str">
        <f>tbl_OriginalData[[#This Row],[Discount_Sensitivity]]</f>
        <v>Somewhat Sensitive</v>
      </c>
      <c r="AY188" s="3">
        <f>tbl_OriginalData[[#This Row],[Return_Rate]]/tbl_OriginalData[[#This Row],[Frequency_of_Purchase]]</f>
        <v>9.0909090909090912E-2</v>
      </c>
      <c r="AZ188">
        <f>tbl_OriginalData[[#This Row],[Customer_Satisfaction]]</f>
        <v>6</v>
      </c>
      <c r="BA188" t="str">
        <f>tbl_OriginalData[[#This Row],[Engagement_with_Ads]]</f>
        <v>Medium</v>
      </c>
      <c r="BB188" t="str">
        <f>tbl_OriginalData[[#This Row],[Device_Used_for_Shopping]]</f>
        <v>Desktop</v>
      </c>
      <c r="BC188" t="str">
        <f>tbl_OriginalData[[#This Row],[Payment_Method]]</f>
        <v>Debit Card</v>
      </c>
      <c r="BD188" s="1">
        <f>tbl_OriginalData[[#This Row],[Time_of_Purchase]]</f>
        <v>45418</v>
      </c>
      <c r="BE188" t="str">
        <f>IF(tbl_OriginalData[[#This Row],[Discount_Used]]=TRUE,"Yes","No")</f>
        <v>No</v>
      </c>
      <c r="BF188" t="str">
        <f>IF(tbl_OriginalData[[#This Row],[Customer_Loyalty_Program_Member]]=TRUE,"Yes","No")</f>
        <v>No</v>
      </c>
      <c r="BG188" t="str">
        <f>tbl_OriginalData[[#This Row],[Purchase_Intent]]</f>
        <v>Impulsive</v>
      </c>
      <c r="BH188" t="str">
        <f>tbl_OriginalData[[#This Row],[Shipping_Preference]]</f>
        <v>Express</v>
      </c>
      <c r="BI188">
        <f>tbl_OriginalData[[#This Row],[Time_to_Decision]]</f>
        <v>14</v>
      </c>
      <c r="BJ188" t="s">
        <v>167</v>
      </c>
      <c r="BK188" t="s">
        <v>63</v>
      </c>
      <c r="BL188" t="s">
        <v>2524</v>
      </c>
    </row>
    <row r="189" spans="1:64">
      <c r="A189" t="s">
        <v>558</v>
      </c>
      <c r="B189">
        <v>26</v>
      </c>
      <c r="C189" t="s">
        <v>238</v>
      </c>
      <c r="D189" t="s">
        <v>34</v>
      </c>
      <c r="E189" t="s">
        <v>82</v>
      </c>
      <c r="F189" t="s">
        <v>52</v>
      </c>
      <c r="G189" t="s">
        <v>34</v>
      </c>
      <c r="H189" t="s">
        <v>559</v>
      </c>
      <c r="I189" t="s">
        <v>147</v>
      </c>
      <c r="J189">
        <v>101.29</v>
      </c>
      <c r="K189">
        <v>11</v>
      </c>
      <c r="L189" t="s">
        <v>55</v>
      </c>
      <c r="M189">
        <v>1</v>
      </c>
      <c r="N189">
        <v>1</v>
      </c>
      <c r="O189">
        <v>2</v>
      </c>
      <c r="P189" t="s">
        <v>56</v>
      </c>
      <c r="Q189" t="s">
        <v>57</v>
      </c>
      <c r="R189">
        <v>2</v>
      </c>
      <c r="S189">
        <v>7</v>
      </c>
      <c r="T189" t="s">
        <v>56</v>
      </c>
      <c r="U189" t="s">
        <v>70</v>
      </c>
      <c r="V189" t="s">
        <v>102</v>
      </c>
      <c r="W189" s="1">
        <v>45595</v>
      </c>
      <c r="X189" t="b">
        <v>0</v>
      </c>
      <c r="Y189" t="b">
        <v>1</v>
      </c>
      <c r="Z189" t="s">
        <v>44</v>
      </c>
      <c r="AA189" t="s">
        <v>45</v>
      </c>
      <c r="AB189">
        <v>4</v>
      </c>
      <c r="AF189" t="str">
        <f>tbl_OriginalData[[#This Row],[Customer_ID]]</f>
        <v>74-483-2893</v>
      </c>
      <c r="AG189">
        <f>tbl_OriginalData[[#This Row],[Age]]</f>
        <v>26</v>
      </c>
      <c r="AH189" t="str" cm="1">
        <f t="array" ref="AH18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89" t="str">
        <f>tbl_OriginalData[[#This Row],[Gender]]</f>
        <v>Non-binary</v>
      </c>
      <c r="AJ189" t="str">
        <f>tbl_OriginalData[[#This Row],[Income_Level]]</f>
        <v>Middle</v>
      </c>
      <c r="AK189" t="str">
        <f>tbl_OriginalData[[#This Row],[Marital_Status]]</f>
        <v>Widowed</v>
      </c>
      <c r="AL189" t="str">
        <f>tbl_OriginalData[[#This Row],[Education_Level]]</f>
        <v>High School</v>
      </c>
      <c r="AM189" t="str">
        <f>tbl_OriginalData[[#This Row],[Occupation]]</f>
        <v>Middle</v>
      </c>
      <c r="AN189" t="s">
        <v>559</v>
      </c>
      <c r="AO189" t="s">
        <v>61</v>
      </c>
      <c r="AP189" t="str">
        <f>tbl_OriginalData[[#This Row],[Purchase_Category]]</f>
        <v>Electronics</v>
      </c>
      <c r="AQ189" s="4">
        <f>tbl_OriginalData[[#This Row],[Purchase_Amount]]</f>
        <v>101.29</v>
      </c>
      <c r="AR189">
        <f>tbl_OriginalData[[#This Row],[Frequency_of_Purchase]]</f>
        <v>11</v>
      </c>
      <c r="AS189" t="str">
        <f>tbl_OriginalData[[#This Row],[Purchase_Channel]]</f>
        <v>In-Store</v>
      </c>
      <c r="AT189">
        <f>tbl_OriginalData[[#This Row],[Brand_Loyalty]]</f>
        <v>1</v>
      </c>
      <c r="AU189">
        <f>tbl_OriginalData[[#This Row],[Product_Rating]]</f>
        <v>1</v>
      </c>
      <c r="AV189">
        <f>tbl_OriginalData[[#This Row],[Time_Spent_on_Product_Research(hours)]]*60</f>
        <v>120</v>
      </c>
      <c r="AW189" t="str">
        <f>tbl_OriginalData[[#This Row],[Social_Media_Influence]]</f>
        <v>Medium</v>
      </c>
      <c r="AX189" t="str">
        <f>tbl_OriginalData[[#This Row],[Discount_Sensitivity]]</f>
        <v>Not Sensitive</v>
      </c>
      <c r="AY189" s="3">
        <f>tbl_OriginalData[[#This Row],[Return_Rate]]/tbl_OriginalData[[#This Row],[Frequency_of_Purchase]]</f>
        <v>0.18181818181818182</v>
      </c>
      <c r="AZ189">
        <f>tbl_OriginalData[[#This Row],[Customer_Satisfaction]]</f>
        <v>7</v>
      </c>
      <c r="BA189" t="str">
        <f>tbl_OriginalData[[#This Row],[Engagement_with_Ads]]</f>
        <v>Medium</v>
      </c>
      <c r="BB189" t="str">
        <f>tbl_OriginalData[[#This Row],[Device_Used_for_Shopping]]</f>
        <v>Smartphone</v>
      </c>
      <c r="BC189" t="str">
        <f>tbl_OriginalData[[#This Row],[Payment_Method]]</f>
        <v>Cash</v>
      </c>
      <c r="BD189" s="1">
        <f>tbl_OriginalData[[#This Row],[Time_of_Purchase]]</f>
        <v>45595</v>
      </c>
      <c r="BE189" t="str">
        <f>IF(tbl_OriginalData[[#This Row],[Discount_Used]]=TRUE,"Yes","No")</f>
        <v>No</v>
      </c>
      <c r="BF189" t="str">
        <f>IF(tbl_OriginalData[[#This Row],[Customer_Loyalty_Program_Member]]=TRUE,"Yes","No")</f>
        <v>Yes</v>
      </c>
      <c r="BG189" t="str">
        <f>tbl_OriginalData[[#This Row],[Purchase_Intent]]</f>
        <v>Need-based</v>
      </c>
      <c r="BH189" t="str">
        <f>tbl_OriginalData[[#This Row],[Shipping_Preference]]</f>
        <v>No Preference</v>
      </c>
      <c r="BI189">
        <f>tbl_OriginalData[[#This Row],[Time_to_Decision]]</f>
        <v>4</v>
      </c>
      <c r="BJ189" t="s">
        <v>79</v>
      </c>
      <c r="BK189" t="s">
        <v>80</v>
      </c>
      <c r="BL189" t="s">
        <v>2524</v>
      </c>
    </row>
    <row r="190" spans="1:64">
      <c r="A190" t="s">
        <v>560</v>
      </c>
      <c r="B190">
        <v>50</v>
      </c>
      <c r="C190" t="s">
        <v>33</v>
      </c>
      <c r="D190" t="s">
        <v>34</v>
      </c>
      <c r="E190" t="s">
        <v>65</v>
      </c>
      <c r="F190" t="s">
        <v>66</v>
      </c>
      <c r="G190" t="s">
        <v>51</v>
      </c>
      <c r="H190" t="s">
        <v>561</v>
      </c>
      <c r="I190" t="s">
        <v>143</v>
      </c>
      <c r="J190">
        <v>143.52000000000001</v>
      </c>
      <c r="K190">
        <v>9</v>
      </c>
      <c r="L190" t="s">
        <v>55</v>
      </c>
      <c r="M190">
        <v>2</v>
      </c>
      <c r="N190">
        <v>5</v>
      </c>
      <c r="O190">
        <v>1</v>
      </c>
      <c r="P190" t="s">
        <v>56</v>
      </c>
      <c r="Q190" t="s">
        <v>41</v>
      </c>
      <c r="R190">
        <v>2</v>
      </c>
      <c r="S190">
        <v>3</v>
      </c>
      <c r="T190" t="s">
        <v>40</v>
      </c>
      <c r="U190" t="s">
        <v>42</v>
      </c>
      <c r="V190" t="s">
        <v>43</v>
      </c>
      <c r="W190" s="1">
        <v>45393</v>
      </c>
      <c r="X190" t="b">
        <v>1</v>
      </c>
      <c r="Y190" t="b">
        <v>0</v>
      </c>
      <c r="Z190" t="s">
        <v>72</v>
      </c>
      <c r="AA190" t="s">
        <v>77</v>
      </c>
      <c r="AB190">
        <v>12</v>
      </c>
      <c r="AF190" t="str">
        <f>tbl_OriginalData[[#This Row],[Customer_ID]]</f>
        <v>72-728-4406</v>
      </c>
      <c r="AG190">
        <f>tbl_OriginalData[[#This Row],[Age]]</f>
        <v>50</v>
      </c>
      <c r="AH190" t="str" cm="1">
        <f t="array" ref="AH19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90" t="str">
        <f>tbl_OriginalData[[#This Row],[Gender]]</f>
        <v>Female</v>
      </c>
      <c r="AJ190" t="str">
        <f>tbl_OriginalData[[#This Row],[Income_Level]]</f>
        <v>Middle</v>
      </c>
      <c r="AK190" t="str">
        <f>tbl_OriginalData[[#This Row],[Marital_Status]]</f>
        <v>Single</v>
      </c>
      <c r="AL190" t="str">
        <f>tbl_OriginalData[[#This Row],[Education_Level]]</f>
        <v>Master's</v>
      </c>
      <c r="AM190" t="str">
        <f>tbl_OriginalData[[#This Row],[Occupation]]</f>
        <v>High</v>
      </c>
      <c r="AN190" t="s">
        <v>561</v>
      </c>
      <c r="AO190" t="s">
        <v>61</v>
      </c>
      <c r="AP190" t="str">
        <f>tbl_OriginalData[[#This Row],[Purchase_Category]]</f>
        <v>Packages)</v>
      </c>
      <c r="AQ190" s="4">
        <f>tbl_OriginalData[[#This Row],[Purchase_Amount]]</f>
        <v>143.52000000000001</v>
      </c>
      <c r="AR190">
        <f>tbl_OriginalData[[#This Row],[Frequency_of_Purchase]]</f>
        <v>9</v>
      </c>
      <c r="AS190" t="str">
        <f>tbl_OriginalData[[#This Row],[Purchase_Channel]]</f>
        <v>In-Store</v>
      </c>
      <c r="AT190">
        <f>tbl_OriginalData[[#This Row],[Brand_Loyalty]]</f>
        <v>2</v>
      </c>
      <c r="AU190">
        <f>tbl_OriginalData[[#This Row],[Product_Rating]]</f>
        <v>5</v>
      </c>
      <c r="AV190">
        <f>tbl_OriginalData[[#This Row],[Time_Spent_on_Product_Research(hours)]]*60</f>
        <v>60</v>
      </c>
      <c r="AW190" t="str">
        <f>tbl_OriginalData[[#This Row],[Social_Media_Influence]]</f>
        <v>Medium</v>
      </c>
      <c r="AX190" t="str">
        <f>tbl_OriginalData[[#This Row],[Discount_Sensitivity]]</f>
        <v>Somewhat Sensitive</v>
      </c>
      <c r="AY190" s="3">
        <f>tbl_OriginalData[[#This Row],[Return_Rate]]/tbl_OriginalData[[#This Row],[Frequency_of_Purchase]]</f>
        <v>0.22222222222222221</v>
      </c>
      <c r="AZ190">
        <f>tbl_OriginalData[[#This Row],[Customer_Satisfaction]]</f>
        <v>3</v>
      </c>
      <c r="BA190" t="str">
        <f>tbl_OriginalData[[#This Row],[Engagement_with_Ads]]</f>
        <v>None</v>
      </c>
      <c r="BB190" t="str">
        <f>tbl_OriginalData[[#This Row],[Device_Used_for_Shopping]]</f>
        <v>Tablet</v>
      </c>
      <c r="BC190" t="str">
        <f>tbl_OriginalData[[#This Row],[Payment_Method]]</f>
        <v>Credit Card</v>
      </c>
      <c r="BD190" s="1">
        <f>tbl_OriginalData[[#This Row],[Time_of_Purchase]]</f>
        <v>45393</v>
      </c>
      <c r="BE190" t="str">
        <f>IF(tbl_OriginalData[[#This Row],[Discount_Used]]=TRUE,"Yes","No")</f>
        <v>Yes</v>
      </c>
      <c r="BF190" t="str">
        <f>IF(tbl_OriginalData[[#This Row],[Customer_Loyalty_Program_Member]]=TRUE,"Yes","No")</f>
        <v>No</v>
      </c>
      <c r="BG190" t="str">
        <f>tbl_OriginalData[[#This Row],[Purchase_Intent]]</f>
        <v>Impulsive</v>
      </c>
      <c r="BH190" t="str">
        <f>tbl_OriginalData[[#This Row],[Shipping_Preference]]</f>
        <v>Express</v>
      </c>
      <c r="BI190">
        <f>tbl_OriginalData[[#This Row],[Time_to_Decision]]</f>
        <v>12</v>
      </c>
      <c r="BJ190" t="s">
        <v>62</v>
      </c>
      <c r="BK190" t="s">
        <v>63</v>
      </c>
      <c r="BL190" t="s">
        <v>2524</v>
      </c>
    </row>
    <row r="191" spans="1:64">
      <c r="A191" t="s">
        <v>562</v>
      </c>
      <c r="B191">
        <v>39</v>
      </c>
      <c r="C191" t="s">
        <v>50</v>
      </c>
      <c r="D191" t="s">
        <v>34</v>
      </c>
      <c r="E191" t="s">
        <v>82</v>
      </c>
      <c r="F191" t="s">
        <v>36</v>
      </c>
      <c r="G191" t="s">
        <v>34</v>
      </c>
      <c r="H191" t="s">
        <v>563</v>
      </c>
      <c r="I191" t="s">
        <v>108</v>
      </c>
      <c r="J191">
        <v>276.48</v>
      </c>
      <c r="K191">
        <v>3</v>
      </c>
      <c r="L191" t="s">
        <v>39</v>
      </c>
      <c r="M191">
        <v>1</v>
      </c>
      <c r="N191">
        <v>2</v>
      </c>
      <c r="O191">
        <v>1</v>
      </c>
      <c r="P191" t="s">
        <v>40</v>
      </c>
      <c r="Q191" t="s">
        <v>41</v>
      </c>
      <c r="R191">
        <v>0</v>
      </c>
      <c r="S191">
        <v>4</v>
      </c>
      <c r="T191" t="s">
        <v>69</v>
      </c>
      <c r="U191" t="s">
        <v>95</v>
      </c>
      <c r="V191" t="s">
        <v>102</v>
      </c>
      <c r="W191" s="1">
        <v>45417</v>
      </c>
      <c r="X191" t="b">
        <v>0</v>
      </c>
      <c r="Y191" t="b">
        <v>0</v>
      </c>
      <c r="Z191" t="s">
        <v>44</v>
      </c>
      <c r="AA191" t="s">
        <v>77</v>
      </c>
      <c r="AB191">
        <v>7</v>
      </c>
      <c r="AF191" t="str">
        <f>tbl_OriginalData[[#This Row],[Customer_ID]]</f>
        <v>13-588-2488</v>
      </c>
      <c r="AG191">
        <f>tbl_OriginalData[[#This Row],[Age]]</f>
        <v>39</v>
      </c>
      <c r="AH191" t="str" cm="1">
        <f t="array" ref="AH19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91" t="str">
        <f>tbl_OriginalData[[#This Row],[Gender]]</f>
        <v>Male</v>
      </c>
      <c r="AJ191" t="str">
        <f>tbl_OriginalData[[#This Row],[Income_Level]]</f>
        <v>Middle</v>
      </c>
      <c r="AK191" t="str">
        <f>tbl_OriginalData[[#This Row],[Marital_Status]]</f>
        <v>Widowed</v>
      </c>
      <c r="AL191" t="str">
        <f>tbl_OriginalData[[#This Row],[Education_Level]]</f>
        <v>Bachelor's</v>
      </c>
      <c r="AM191" t="str">
        <f>tbl_OriginalData[[#This Row],[Occupation]]</f>
        <v>Middle</v>
      </c>
      <c r="AN191" t="s">
        <v>563</v>
      </c>
      <c r="AO191" t="s">
        <v>61</v>
      </c>
      <c r="AP191" t="str">
        <f>tbl_OriginalData[[#This Row],[Purchase_Category]]</f>
        <v>Sports &amp; Outdoors</v>
      </c>
      <c r="AQ191" s="4">
        <f>tbl_OriginalData[[#This Row],[Purchase_Amount]]</f>
        <v>276.48</v>
      </c>
      <c r="AR191">
        <f>tbl_OriginalData[[#This Row],[Frequency_of_Purchase]]</f>
        <v>3</v>
      </c>
      <c r="AS191" t="str">
        <f>tbl_OriginalData[[#This Row],[Purchase_Channel]]</f>
        <v>Mixed</v>
      </c>
      <c r="AT191">
        <f>tbl_OriginalData[[#This Row],[Brand_Loyalty]]</f>
        <v>1</v>
      </c>
      <c r="AU191">
        <f>tbl_OriginalData[[#This Row],[Product_Rating]]</f>
        <v>2</v>
      </c>
      <c r="AV191">
        <f>tbl_OriginalData[[#This Row],[Time_Spent_on_Product_Research(hours)]]*60</f>
        <v>60</v>
      </c>
      <c r="AW191" t="str">
        <f>tbl_OriginalData[[#This Row],[Social_Media_Influence]]</f>
        <v>None</v>
      </c>
      <c r="AX191" t="str">
        <f>tbl_OriginalData[[#This Row],[Discount_Sensitivity]]</f>
        <v>Somewhat Sensitive</v>
      </c>
      <c r="AY191" s="3">
        <f>tbl_OriginalData[[#This Row],[Return_Rate]]/tbl_OriginalData[[#This Row],[Frequency_of_Purchase]]</f>
        <v>0</v>
      </c>
      <c r="AZ191">
        <f>tbl_OriginalData[[#This Row],[Customer_Satisfaction]]</f>
        <v>4</v>
      </c>
      <c r="BA191" t="str">
        <f>tbl_OriginalData[[#This Row],[Engagement_with_Ads]]</f>
        <v>Low</v>
      </c>
      <c r="BB191" t="str">
        <f>tbl_OriginalData[[#This Row],[Device_Used_for_Shopping]]</f>
        <v>Desktop</v>
      </c>
      <c r="BC191" t="str">
        <f>tbl_OriginalData[[#This Row],[Payment_Method]]</f>
        <v>Cash</v>
      </c>
      <c r="BD191" s="1">
        <f>tbl_OriginalData[[#This Row],[Time_of_Purchase]]</f>
        <v>45417</v>
      </c>
      <c r="BE191" t="str">
        <f>IF(tbl_OriginalData[[#This Row],[Discount_Used]]=TRUE,"Yes","No")</f>
        <v>No</v>
      </c>
      <c r="BF191" t="str">
        <f>IF(tbl_OriginalData[[#This Row],[Customer_Loyalty_Program_Member]]=TRUE,"Yes","No")</f>
        <v>No</v>
      </c>
      <c r="BG191" t="str">
        <f>tbl_OriginalData[[#This Row],[Purchase_Intent]]</f>
        <v>Need-based</v>
      </c>
      <c r="BH191" t="str">
        <f>tbl_OriginalData[[#This Row],[Shipping_Preference]]</f>
        <v>Express</v>
      </c>
      <c r="BI191">
        <f>tbl_OriginalData[[#This Row],[Time_to_Decision]]</f>
        <v>7</v>
      </c>
      <c r="BJ191" t="s">
        <v>167</v>
      </c>
      <c r="BK191" t="s">
        <v>63</v>
      </c>
      <c r="BL191" t="s">
        <v>2524</v>
      </c>
    </row>
    <row r="192" spans="1:64">
      <c r="A192" t="s">
        <v>564</v>
      </c>
      <c r="B192">
        <v>20</v>
      </c>
      <c r="C192" t="s">
        <v>50</v>
      </c>
      <c r="D192" t="s">
        <v>51</v>
      </c>
      <c r="E192" t="s">
        <v>82</v>
      </c>
      <c r="F192" t="s">
        <v>52</v>
      </c>
      <c r="G192" t="s">
        <v>51</v>
      </c>
      <c r="H192" t="s">
        <v>565</v>
      </c>
      <c r="I192" t="s">
        <v>156</v>
      </c>
      <c r="J192">
        <v>352.87</v>
      </c>
      <c r="K192">
        <v>11</v>
      </c>
      <c r="L192" t="s">
        <v>55</v>
      </c>
      <c r="M192">
        <v>5</v>
      </c>
      <c r="N192">
        <v>3</v>
      </c>
      <c r="O192">
        <v>0</v>
      </c>
      <c r="P192" t="s">
        <v>51</v>
      </c>
      <c r="Q192" t="s">
        <v>57</v>
      </c>
      <c r="R192">
        <v>0</v>
      </c>
      <c r="S192">
        <v>6</v>
      </c>
      <c r="T192" t="s">
        <v>51</v>
      </c>
      <c r="U192" t="s">
        <v>42</v>
      </c>
      <c r="V192" t="s">
        <v>58</v>
      </c>
      <c r="W192" s="1">
        <v>45341</v>
      </c>
      <c r="X192" t="b">
        <v>0</v>
      </c>
      <c r="Y192" t="b">
        <v>0</v>
      </c>
      <c r="Z192" t="s">
        <v>59</v>
      </c>
      <c r="AA192" t="s">
        <v>60</v>
      </c>
      <c r="AB192">
        <v>12</v>
      </c>
      <c r="AF192" t="str">
        <f>tbl_OriginalData[[#This Row],[Customer_ID]]</f>
        <v>79-861-6506</v>
      </c>
      <c r="AG192">
        <f>tbl_OriginalData[[#This Row],[Age]]</f>
        <v>20</v>
      </c>
      <c r="AH192" t="str" cm="1">
        <f t="array" ref="AH19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92" t="str">
        <f>tbl_OriginalData[[#This Row],[Gender]]</f>
        <v>Male</v>
      </c>
      <c r="AJ192" t="str">
        <f>tbl_OriginalData[[#This Row],[Income_Level]]</f>
        <v>High</v>
      </c>
      <c r="AK192" t="str">
        <f>tbl_OriginalData[[#This Row],[Marital_Status]]</f>
        <v>Widowed</v>
      </c>
      <c r="AL192" t="str">
        <f>tbl_OriginalData[[#This Row],[Education_Level]]</f>
        <v>High School</v>
      </c>
      <c r="AM192" t="str">
        <f>tbl_OriginalData[[#This Row],[Occupation]]</f>
        <v>High</v>
      </c>
      <c r="AN192" t="s">
        <v>565</v>
      </c>
      <c r="AO192" t="s">
        <v>161</v>
      </c>
      <c r="AP192" t="str">
        <f>tbl_OriginalData[[#This Row],[Purchase_Category]]</f>
        <v>Toys &amp; Games</v>
      </c>
      <c r="AQ192" s="4">
        <f>tbl_OriginalData[[#This Row],[Purchase_Amount]]</f>
        <v>352.87</v>
      </c>
      <c r="AR192">
        <f>tbl_OriginalData[[#This Row],[Frequency_of_Purchase]]</f>
        <v>11</v>
      </c>
      <c r="AS192" t="str">
        <f>tbl_OriginalData[[#This Row],[Purchase_Channel]]</f>
        <v>In-Store</v>
      </c>
      <c r="AT192">
        <f>tbl_OriginalData[[#This Row],[Brand_Loyalty]]</f>
        <v>5</v>
      </c>
      <c r="AU192">
        <f>tbl_OriginalData[[#This Row],[Product_Rating]]</f>
        <v>3</v>
      </c>
      <c r="AV192">
        <f>tbl_OriginalData[[#This Row],[Time_Spent_on_Product_Research(hours)]]*60</f>
        <v>0</v>
      </c>
      <c r="AW192" t="str">
        <f>tbl_OriginalData[[#This Row],[Social_Media_Influence]]</f>
        <v>High</v>
      </c>
      <c r="AX192" t="str">
        <f>tbl_OriginalData[[#This Row],[Discount_Sensitivity]]</f>
        <v>Not Sensitive</v>
      </c>
      <c r="AY192" s="3">
        <f>tbl_OriginalData[[#This Row],[Return_Rate]]/tbl_OriginalData[[#This Row],[Frequency_of_Purchase]]</f>
        <v>0</v>
      </c>
      <c r="AZ192">
        <f>tbl_OriginalData[[#This Row],[Customer_Satisfaction]]</f>
        <v>6</v>
      </c>
      <c r="BA192" t="str">
        <f>tbl_OriginalData[[#This Row],[Engagement_with_Ads]]</f>
        <v>High</v>
      </c>
      <c r="BB192" t="str">
        <f>tbl_OriginalData[[#This Row],[Device_Used_for_Shopping]]</f>
        <v>Tablet</v>
      </c>
      <c r="BC192" t="str">
        <f>tbl_OriginalData[[#This Row],[Payment_Method]]</f>
        <v>PayPal</v>
      </c>
      <c r="BD192" s="1">
        <f>tbl_OriginalData[[#This Row],[Time_of_Purchase]]</f>
        <v>45341</v>
      </c>
      <c r="BE192" t="str">
        <f>IF(tbl_OriginalData[[#This Row],[Discount_Used]]=TRUE,"Yes","No")</f>
        <v>No</v>
      </c>
      <c r="BF192" t="str">
        <f>IF(tbl_OriginalData[[#This Row],[Customer_Loyalty_Program_Member]]=TRUE,"Yes","No")</f>
        <v>No</v>
      </c>
      <c r="BG192" t="str">
        <f>tbl_OriginalData[[#This Row],[Purchase_Intent]]</f>
        <v>Wants-based</v>
      </c>
      <c r="BH192" t="str">
        <f>tbl_OriginalData[[#This Row],[Shipping_Preference]]</f>
        <v>Standard</v>
      </c>
      <c r="BI192">
        <f>tbl_OriginalData[[#This Row],[Time_to_Decision]]</f>
        <v>12</v>
      </c>
      <c r="BJ192" t="s">
        <v>158</v>
      </c>
      <c r="BK192" t="s">
        <v>48</v>
      </c>
      <c r="BL192" t="s">
        <v>2527</v>
      </c>
    </row>
    <row r="193" spans="1:64">
      <c r="A193" t="s">
        <v>566</v>
      </c>
      <c r="B193">
        <v>48</v>
      </c>
      <c r="C193" t="s">
        <v>50</v>
      </c>
      <c r="D193" t="s">
        <v>34</v>
      </c>
      <c r="E193" t="s">
        <v>35</v>
      </c>
      <c r="F193" t="s">
        <v>66</v>
      </c>
      <c r="G193" t="s">
        <v>34</v>
      </c>
      <c r="H193" t="s">
        <v>567</v>
      </c>
      <c r="I193" t="s">
        <v>112</v>
      </c>
      <c r="J193">
        <v>228.68</v>
      </c>
      <c r="K193">
        <v>3</v>
      </c>
      <c r="L193" t="s">
        <v>39</v>
      </c>
      <c r="M193">
        <v>2</v>
      </c>
      <c r="N193">
        <v>1</v>
      </c>
      <c r="O193">
        <v>2</v>
      </c>
      <c r="P193" t="s">
        <v>69</v>
      </c>
      <c r="Q193" t="s">
        <v>101</v>
      </c>
      <c r="R193">
        <v>1</v>
      </c>
      <c r="S193">
        <v>4</v>
      </c>
      <c r="T193" t="s">
        <v>40</v>
      </c>
      <c r="U193" t="s">
        <v>42</v>
      </c>
      <c r="V193" t="s">
        <v>71</v>
      </c>
      <c r="W193" s="1">
        <v>45574</v>
      </c>
      <c r="X193" t="b">
        <v>1</v>
      </c>
      <c r="Y193" t="b">
        <v>0</v>
      </c>
      <c r="Z193" t="s">
        <v>89</v>
      </c>
      <c r="AA193" t="s">
        <v>60</v>
      </c>
      <c r="AB193">
        <v>4</v>
      </c>
      <c r="AF193" t="str">
        <f>tbl_OriginalData[[#This Row],[Customer_ID]]</f>
        <v>66-974-6707</v>
      </c>
      <c r="AG193">
        <f>tbl_OriginalData[[#This Row],[Age]]</f>
        <v>48</v>
      </c>
      <c r="AH193" t="str" cm="1">
        <f t="array" ref="AH19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93" t="str">
        <f>tbl_OriginalData[[#This Row],[Gender]]</f>
        <v>Male</v>
      </c>
      <c r="AJ193" t="str">
        <f>tbl_OriginalData[[#This Row],[Income_Level]]</f>
        <v>Middle</v>
      </c>
      <c r="AK193" t="str">
        <f>tbl_OriginalData[[#This Row],[Marital_Status]]</f>
        <v>Married</v>
      </c>
      <c r="AL193" t="str">
        <f>tbl_OriginalData[[#This Row],[Education_Level]]</f>
        <v>Master's</v>
      </c>
      <c r="AM193" t="str">
        <f>tbl_OriginalData[[#This Row],[Occupation]]</f>
        <v>Middle</v>
      </c>
      <c r="AN193" t="s">
        <v>567</v>
      </c>
      <c r="AO193" t="s">
        <v>61</v>
      </c>
      <c r="AP193" t="str">
        <f>tbl_OriginalData[[#This Row],[Purchase_Category]]</f>
        <v>Mobile Accessories</v>
      </c>
      <c r="AQ193" s="4">
        <f>tbl_OriginalData[[#This Row],[Purchase_Amount]]</f>
        <v>228.68</v>
      </c>
      <c r="AR193">
        <f>tbl_OriginalData[[#This Row],[Frequency_of_Purchase]]</f>
        <v>3</v>
      </c>
      <c r="AS193" t="str">
        <f>tbl_OriginalData[[#This Row],[Purchase_Channel]]</f>
        <v>Mixed</v>
      </c>
      <c r="AT193">
        <f>tbl_OriginalData[[#This Row],[Brand_Loyalty]]</f>
        <v>2</v>
      </c>
      <c r="AU193">
        <f>tbl_OriginalData[[#This Row],[Product_Rating]]</f>
        <v>1</v>
      </c>
      <c r="AV193">
        <f>tbl_OriginalData[[#This Row],[Time_Spent_on_Product_Research(hours)]]*60</f>
        <v>120</v>
      </c>
      <c r="AW193" t="str">
        <f>tbl_OriginalData[[#This Row],[Social_Media_Influence]]</f>
        <v>Low</v>
      </c>
      <c r="AX193" t="str">
        <f>tbl_OriginalData[[#This Row],[Discount_Sensitivity]]</f>
        <v>Very Sensitive</v>
      </c>
      <c r="AY193" s="3">
        <f>tbl_OriginalData[[#This Row],[Return_Rate]]/tbl_OriginalData[[#This Row],[Frequency_of_Purchase]]</f>
        <v>0.33333333333333331</v>
      </c>
      <c r="AZ193">
        <f>tbl_OriginalData[[#This Row],[Customer_Satisfaction]]</f>
        <v>4</v>
      </c>
      <c r="BA193" t="str">
        <f>tbl_OriginalData[[#This Row],[Engagement_with_Ads]]</f>
        <v>None</v>
      </c>
      <c r="BB193" t="str">
        <f>tbl_OriginalData[[#This Row],[Device_Used_for_Shopping]]</f>
        <v>Tablet</v>
      </c>
      <c r="BC193" t="str">
        <f>tbl_OriginalData[[#This Row],[Payment_Method]]</f>
        <v>Debit Card</v>
      </c>
      <c r="BD193" s="1">
        <f>tbl_OriginalData[[#This Row],[Time_of_Purchase]]</f>
        <v>45574</v>
      </c>
      <c r="BE193" t="str">
        <f>IF(tbl_OriginalData[[#This Row],[Discount_Used]]=TRUE,"Yes","No")</f>
        <v>Yes</v>
      </c>
      <c r="BF193" t="str">
        <f>IF(tbl_OriginalData[[#This Row],[Customer_Loyalty_Program_Member]]=TRUE,"Yes","No")</f>
        <v>No</v>
      </c>
      <c r="BG193" t="str">
        <f>tbl_OriginalData[[#This Row],[Purchase_Intent]]</f>
        <v>Planned</v>
      </c>
      <c r="BH193" t="str">
        <f>tbl_OriginalData[[#This Row],[Shipping_Preference]]</f>
        <v>Standard</v>
      </c>
      <c r="BI193">
        <f>tbl_OriginalData[[#This Row],[Time_to_Decision]]</f>
        <v>4</v>
      </c>
      <c r="BJ193" t="s">
        <v>79</v>
      </c>
      <c r="BK193" t="s">
        <v>80</v>
      </c>
      <c r="BL193" t="s">
        <v>2524</v>
      </c>
    </row>
    <row r="194" spans="1:64">
      <c r="A194" t="s">
        <v>568</v>
      </c>
      <c r="B194">
        <v>31</v>
      </c>
      <c r="C194" t="s">
        <v>33</v>
      </c>
      <c r="D194" t="s">
        <v>34</v>
      </c>
      <c r="E194" t="s">
        <v>92</v>
      </c>
      <c r="F194" t="s">
        <v>66</v>
      </c>
      <c r="G194" t="s">
        <v>51</v>
      </c>
      <c r="H194" t="s">
        <v>569</v>
      </c>
      <c r="I194" t="s">
        <v>54</v>
      </c>
      <c r="J194">
        <v>301.39</v>
      </c>
      <c r="K194">
        <v>6</v>
      </c>
      <c r="L194" t="s">
        <v>94</v>
      </c>
      <c r="M194">
        <v>2</v>
      </c>
      <c r="N194">
        <v>1</v>
      </c>
      <c r="O194">
        <v>0</v>
      </c>
      <c r="P194" t="s">
        <v>40</v>
      </c>
      <c r="Q194" t="s">
        <v>101</v>
      </c>
      <c r="R194">
        <v>1</v>
      </c>
      <c r="S194">
        <v>4</v>
      </c>
      <c r="T194" t="s">
        <v>69</v>
      </c>
      <c r="U194" t="s">
        <v>95</v>
      </c>
      <c r="V194" t="s">
        <v>71</v>
      </c>
      <c r="W194" s="1">
        <v>45403</v>
      </c>
      <c r="X194" t="b">
        <v>0</v>
      </c>
      <c r="Y194" t="b">
        <v>0</v>
      </c>
      <c r="Z194" t="s">
        <v>44</v>
      </c>
      <c r="AA194" t="s">
        <v>45</v>
      </c>
      <c r="AB194">
        <v>11</v>
      </c>
      <c r="AF194" t="str">
        <f>tbl_OriginalData[[#This Row],[Customer_ID]]</f>
        <v>95-112-6724</v>
      </c>
      <c r="AG194">
        <f>tbl_OriginalData[[#This Row],[Age]]</f>
        <v>31</v>
      </c>
      <c r="AH194" t="str" cm="1">
        <f t="array" ref="AH19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94" t="str">
        <f>tbl_OriginalData[[#This Row],[Gender]]</f>
        <v>Female</v>
      </c>
      <c r="AJ194" t="str">
        <f>tbl_OriginalData[[#This Row],[Income_Level]]</f>
        <v>Middle</v>
      </c>
      <c r="AK194" t="str">
        <f>tbl_OriginalData[[#This Row],[Marital_Status]]</f>
        <v>Divorced</v>
      </c>
      <c r="AL194" t="str">
        <f>tbl_OriginalData[[#This Row],[Education_Level]]</f>
        <v>Master's</v>
      </c>
      <c r="AM194" t="str">
        <f>tbl_OriginalData[[#This Row],[Occupation]]</f>
        <v>High</v>
      </c>
      <c r="AN194" t="s">
        <v>569</v>
      </c>
      <c r="AO194" t="s">
        <v>61</v>
      </c>
      <c r="AP194" t="str">
        <f>tbl_OriginalData[[#This Row],[Purchase_Category]]</f>
        <v>Food &amp; Beverages</v>
      </c>
      <c r="AQ194" s="4">
        <f>tbl_OriginalData[[#This Row],[Purchase_Amount]]</f>
        <v>301.39</v>
      </c>
      <c r="AR194">
        <f>tbl_OriginalData[[#This Row],[Frequency_of_Purchase]]</f>
        <v>6</v>
      </c>
      <c r="AS194" t="str">
        <f>tbl_OriginalData[[#This Row],[Purchase_Channel]]</f>
        <v>Online</v>
      </c>
      <c r="AT194">
        <f>tbl_OriginalData[[#This Row],[Brand_Loyalty]]</f>
        <v>2</v>
      </c>
      <c r="AU194">
        <f>tbl_OriginalData[[#This Row],[Product_Rating]]</f>
        <v>1</v>
      </c>
      <c r="AV194">
        <f>tbl_OriginalData[[#This Row],[Time_Spent_on_Product_Research(hours)]]*60</f>
        <v>0</v>
      </c>
      <c r="AW194" t="str">
        <f>tbl_OriginalData[[#This Row],[Social_Media_Influence]]</f>
        <v>None</v>
      </c>
      <c r="AX194" t="str">
        <f>tbl_OriginalData[[#This Row],[Discount_Sensitivity]]</f>
        <v>Very Sensitive</v>
      </c>
      <c r="AY194" s="3">
        <f>tbl_OriginalData[[#This Row],[Return_Rate]]/tbl_OriginalData[[#This Row],[Frequency_of_Purchase]]</f>
        <v>0.16666666666666666</v>
      </c>
      <c r="AZ194">
        <f>tbl_OriginalData[[#This Row],[Customer_Satisfaction]]</f>
        <v>4</v>
      </c>
      <c r="BA194" t="str">
        <f>tbl_OriginalData[[#This Row],[Engagement_with_Ads]]</f>
        <v>Low</v>
      </c>
      <c r="BB194" t="str">
        <f>tbl_OriginalData[[#This Row],[Device_Used_for_Shopping]]</f>
        <v>Desktop</v>
      </c>
      <c r="BC194" t="str">
        <f>tbl_OriginalData[[#This Row],[Payment_Method]]</f>
        <v>Debit Card</v>
      </c>
      <c r="BD194" s="1">
        <f>tbl_OriginalData[[#This Row],[Time_of_Purchase]]</f>
        <v>45403</v>
      </c>
      <c r="BE194" t="str">
        <f>IF(tbl_OriginalData[[#This Row],[Discount_Used]]=TRUE,"Yes","No")</f>
        <v>No</v>
      </c>
      <c r="BF194" t="str">
        <f>IF(tbl_OriginalData[[#This Row],[Customer_Loyalty_Program_Member]]=TRUE,"Yes","No")</f>
        <v>No</v>
      </c>
      <c r="BG194" t="str">
        <f>tbl_OriginalData[[#This Row],[Purchase_Intent]]</f>
        <v>Need-based</v>
      </c>
      <c r="BH194" t="str">
        <f>tbl_OriginalData[[#This Row],[Shipping_Preference]]</f>
        <v>No Preference</v>
      </c>
      <c r="BI194">
        <f>tbl_OriginalData[[#This Row],[Time_to_Decision]]</f>
        <v>11</v>
      </c>
      <c r="BJ194" t="s">
        <v>62</v>
      </c>
      <c r="BK194" t="s">
        <v>63</v>
      </c>
      <c r="BL194" t="s">
        <v>2524</v>
      </c>
    </row>
    <row r="195" spans="1:64">
      <c r="A195" t="s">
        <v>570</v>
      </c>
      <c r="B195">
        <v>25</v>
      </c>
      <c r="C195" t="s">
        <v>33</v>
      </c>
      <c r="D195" t="s">
        <v>34</v>
      </c>
      <c r="E195" t="s">
        <v>35</v>
      </c>
      <c r="F195" t="s">
        <v>36</v>
      </c>
      <c r="G195" t="s">
        <v>51</v>
      </c>
      <c r="H195" t="s">
        <v>571</v>
      </c>
      <c r="I195" t="s">
        <v>98</v>
      </c>
      <c r="J195">
        <v>473.5</v>
      </c>
      <c r="K195">
        <v>11</v>
      </c>
      <c r="L195" t="s">
        <v>39</v>
      </c>
      <c r="M195">
        <v>2</v>
      </c>
      <c r="N195">
        <v>4</v>
      </c>
      <c r="O195">
        <v>1</v>
      </c>
      <c r="P195" t="s">
        <v>69</v>
      </c>
      <c r="Q195" t="s">
        <v>41</v>
      </c>
      <c r="R195">
        <v>2</v>
      </c>
      <c r="S195">
        <v>3</v>
      </c>
      <c r="T195" t="s">
        <v>51</v>
      </c>
      <c r="U195" t="s">
        <v>42</v>
      </c>
      <c r="V195" t="s">
        <v>76</v>
      </c>
      <c r="W195" s="1">
        <v>45497</v>
      </c>
      <c r="X195" t="b">
        <v>0</v>
      </c>
      <c r="Y195" t="b">
        <v>1</v>
      </c>
      <c r="Z195" t="s">
        <v>72</v>
      </c>
      <c r="AA195" t="s">
        <v>77</v>
      </c>
      <c r="AB195">
        <v>10</v>
      </c>
      <c r="AF195" t="str">
        <f>tbl_OriginalData[[#This Row],[Customer_ID]]</f>
        <v>27-262-6874</v>
      </c>
      <c r="AG195">
        <f>tbl_OriginalData[[#This Row],[Age]]</f>
        <v>25</v>
      </c>
      <c r="AH195" t="str" cm="1">
        <f t="array" ref="AH19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195" t="str">
        <f>tbl_OriginalData[[#This Row],[Gender]]</f>
        <v>Female</v>
      </c>
      <c r="AJ195" t="str">
        <f>tbl_OriginalData[[#This Row],[Income_Level]]</f>
        <v>Middle</v>
      </c>
      <c r="AK195" t="str">
        <f>tbl_OriginalData[[#This Row],[Marital_Status]]</f>
        <v>Married</v>
      </c>
      <c r="AL195" t="str">
        <f>tbl_OriginalData[[#This Row],[Education_Level]]</f>
        <v>Bachelor's</v>
      </c>
      <c r="AM195" t="str">
        <f>tbl_OriginalData[[#This Row],[Occupation]]</f>
        <v>High</v>
      </c>
      <c r="AN195" t="s">
        <v>571</v>
      </c>
      <c r="AO195" t="s">
        <v>363</v>
      </c>
      <c r="AP195" t="str">
        <f>tbl_OriginalData[[#This Row],[Purchase_Category]]</f>
        <v>Books</v>
      </c>
      <c r="AQ195" s="4">
        <f>tbl_OriginalData[[#This Row],[Purchase_Amount]]</f>
        <v>473.5</v>
      </c>
      <c r="AR195">
        <f>tbl_OriginalData[[#This Row],[Frequency_of_Purchase]]</f>
        <v>11</v>
      </c>
      <c r="AS195" t="str">
        <f>tbl_OriginalData[[#This Row],[Purchase_Channel]]</f>
        <v>Mixed</v>
      </c>
      <c r="AT195">
        <f>tbl_OriginalData[[#This Row],[Brand_Loyalty]]</f>
        <v>2</v>
      </c>
      <c r="AU195">
        <f>tbl_OriginalData[[#This Row],[Product_Rating]]</f>
        <v>4</v>
      </c>
      <c r="AV195">
        <f>tbl_OriginalData[[#This Row],[Time_Spent_on_Product_Research(hours)]]*60</f>
        <v>60</v>
      </c>
      <c r="AW195" t="str">
        <f>tbl_OriginalData[[#This Row],[Social_Media_Influence]]</f>
        <v>Low</v>
      </c>
      <c r="AX195" t="str">
        <f>tbl_OriginalData[[#This Row],[Discount_Sensitivity]]</f>
        <v>Somewhat Sensitive</v>
      </c>
      <c r="AY195" s="3">
        <f>tbl_OriginalData[[#This Row],[Return_Rate]]/tbl_OriginalData[[#This Row],[Frequency_of_Purchase]]</f>
        <v>0.18181818181818182</v>
      </c>
      <c r="AZ195">
        <f>tbl_OriginalData[[#This Row],[Customer_Satisfaction]]</f>
        <v>3</v>
      </c>
      <c r="BA195" t="str">
        <f>tbl_OriginalData[[#This Row],[Engagement_with_Ads]]</f>
        <v>High</v>
      </c>
      <c r="BB195" t="str">
        <f>tbl_OriginalData[[#This Row],[Device_Used_for_Shopping]]</f>
        <v>Tablet</v>
      </c>
      <c r="BC195" t="str">
        <f>tbl_OriginalData[[#This Row],[Payment_Method]]</f>
        <v>Other</v>
      </c>
      <c r="BD195" s="1">
        <f>tbl_OriginalData[[#This Row],[Time_of_Purchase]]</f>
        <v>45497</v>
      </c>
      <c r="BE195" t="str">
        <f>IF(tbl_OriginalData[[#This Row],[Discount_Used]]=TRUE,"Yes","No")</f>
        <v>No</v>
      </c>
      <c r="BF195" t="str">
        <f>IF(tbl_OriginalData[[#This Row],[Customer_Loyalty_Program_Member]]=TRUE,"Yes","No")</f>
        <v>Yes</v>
      </c>
      <c r="BG195" t="str">
        <f>tbl_OriginalData[[#This Row],[Purchase_Intent]]</f>
        <v>Impulsive</v>
      </c>
      <c r="BH195" t="str">
        <f>tbl_OriginalData[[#This Row],[Shipping_Preference]]</f>
        <v>Express</v>
      </c>
      <c r="BI195">
        <f>tbl_OriginalData[[#This Row],[Time_to_Decision]]</f>
        <v>10</v>
      </c>
      <c r="BJ195" t="s">
        <v>114</v>
      </c>
      <c r="BK195" t="s">
        <v>115</v>
      </c>
      <c r="BL195" t="s">
        <v>2527</v>
      </c>
    </row>
    <row r="196" spans="1:64">
      <c r="A196" t="s">
        <v>572</v>
      </c>
      <c r="B196">
        <v>18</v>
      </c>
      <c r="C196" t="s">
        <v>340</v>
      </c>
      <c r="D196" t="s">
        <v>34</v>
      </c>
      <c r="E196" t="s">
        <v>65</v>
      </c>
      <c r="F196" t="s">
        <v>36</v>
      </c>
      <c r="G196" t="s">
        <v>51</v>
      </c>
      <c r="H196" t="s">
        <v>573</v>
      </c>
      <c r="I196" t="s">
        <v>75</v>
      </c>
      <c r="J196">
        <v>72.8</v>
      </c>
      <c r="K196">
        <v>11</v>
      </c>
      <c r="L196" t="s">
        <v>55</v>
      </c>
      <c r="M196">
        <v>2</v>
      </c>
      <c r="N196">
        <v>4</v>
      </c>
      <c r="O196">
        <v>1</v>
      </c>
      <c r="P196" t="s">
        <v>51</v>
      </c>
      <c r="Q196" t="s">
        <v>41</v>
      </c>
      <c r="R196">
        <v>2</v>
      </c>
      <c r="S196">
        <v>10</v>
      </c>
      <c r="T196" t="s">
        <v>51</v>
      </c>
      <c r="U196" t="s">
        <v>95</v>
      </c>
      <c r="V196" t="s">
        <v>58</v>
      </c>
      <c r="W196" s="1">
        <v>45524</v>
      </c>
      <c r="X196" t="b">
        <v>1</v>
      </c>
      <c r="Y196" t="b">
        <v>0</v>
      </c>
      <c r="Z196" t="s">
        <v>44</v>
      </c>
      <c r="AA196" t="s">
        <v>77</v>
      </c>
      <c r="AB196">
        <v>3</v>
      </c>
      <c r="AF196" t="str">
        <f>tbl_OriginalData[[#This Row],[Customer_ID]]</f>
        <v>92-908-5062</v>
      </c>
      <c r="AG196">
        <f>tbl_OriginalData[[#This Row],[Age]]</f>
        <v>18</v>
      </c>
      <c r="AH196" t="str" cm="1">
        <f t="array" ref="AH19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196" t="str">
        <f>tbl_OriginalData[[#This Row],[Gender]]</f>
        <v>Agender</v>
      </c>
      <c r="AJ196" t="str">
        <f>tbl_OriginalData[[#This Row],[Income_Level]]</f>
        <v>Middle</v>
      </c>
      <c r="AK196" t="str">
        <f>tbl_OriginalData[[#This Row],[Marital_Status]]</f>
        <v>Single</v>
      </c>
      <c r="AL196" t="str">
        <f>tbl_OriginalData[[#This Row],[Education_Level]]</f>
        <v>Bachelor's</v>
      </c>
      <c r="AM196" t="str">
        <f>tbl_OriginalData[[#This Row],[Occupation]]</f>
        <v>High</v>
      </c>
      <c r="AN196" t="s">
        <v>573</v>
      </c>
      <c r="AO196" t="s">
        <v>85</v>
      </c>
      <c r="AP196" t="str">
        <f>tbl_OriginalData[[#This Row],[Purchase_Category]]</f>
        <v>Home Appliances</v>
      </c>
      <c r="AQ196" s="4">
        <f>tbl_OriginalData[[#This Row],[Purchase_Amount]]</f>
        <v>72.8</v>
      </c>
      <c r="AR196">
        <f>tbl_OriginalData[[#This Row],[Frequency_of_Purchase]]</f>
        <v>11</v>
      </c>
      <c r="AS196" t="str">
        <f>tbl_OriginalData[[#This Row],[Purchase_Channel]]</f>
        <v>In-Store</v>
      </c>
      <c r="AT196">
        <f>tbl_OriginalData[[#This Row],[Brand_Loyalty]]</f>
        <v>2</v>
      </c>
      <c r="AU196">
        <f>tbl_OriginalData[[#This Row],[Product_Rating]]</f>
        <v>4</v>
      </c>
      <c r="AV196">
        <f>tbl_OriginalData[[#This Row],[Time_Spent_on_Product_Research(hours)]]*60</f>
        <v>60</v>
      </c>
      <c r="AW196" t="str">
        <f>tbl_OriginalData[[#This Row],[Social_Media_Influence]]</f>
        <v>High</v>
      </c>
      <c r="AX196" t="str">
        <f>tbl_OriginalData[[#This Row],[Discount_Sensitivity]]</f>
        <v>Somewhat Sensitive</v>
      </c>
      <c r="AY196" s="3">
        <f>tbl_OriginalData[[#This Row],[Return_Rate]]/tbl_OriginalData[[#This Row],[Frequency_of_Purchase]]</f>
        <v>0.18181818181818182</v>
      </c>
      <c r="AZ196">
        <f>tbl_OriginalData[[#This Row],[Customer_Satisfaction]]</f>
        <v>10</v>
      </c>
      <c r="BA196" t="str">
        <f>tbl_OriginalData[[#This Row],[Engagement_with_Ads]]</f>
        <v>High</v>
      </c>
      <c r="BB196" t="str">
        <f>tbl_OriginalData[[#This Row],[Device_Used_for_Shopping]]</f>
        <v>Desktop</v>
      </c>
      <c r="BC196" t="str">
        <f>tbl_OriginalData[[#This Row],[Payment_Method]]</f>
        <v>PayPal</v>
      </c>
      <c r="BD196" s="1">
        <f>tbl_OriginalData[[#This Row],[Time_of_Purchase]]</f>
        <v>45524</v>
      </c>
      <c r="BE196" t="str">
        <f>IF(tbl_OriginalData[[#This Row],[Discount_Used]]=TRUE,"Yes","No")</f>
        <v>Yes</v>
      </c>
      <c r="BF196" t="str">
        <f>IF(tbl_OriginalData[[#This Row],[Customer_Loyalty_Program_Member]]=TRUE,"Yes","No")</f>
        <v>No</v>
      </c>
      <c r="BG196" t="str">
        <f>tbl_OriginalData[[#This Row],[Purchase_Intent]]</f>
        <v>Need-based</v>
      </c>
      <c r="BH196" t="str">
        <f>tbl_OriginalData[[#This Row],[Shipping_Preference]]</f>
        <v>Express</v>
      </c>
      <c r="BI196">
        <f>tbl_OriginalData[[#This Row],[Time_to_Decision]]</f>
        <v>3</v>
      </c>
      <c r="BJ196" t="s">
        <v>124</v>
      </c>
      <c r="BK196" t="s">
        <v>115</v>
      </c>
      <c r="BL196" t="s">
        <v>2524</v>
      </c>
    </row>
    <row r="197" spans="1:64">
      <c r="A197" t="s">
        <v>574</v>
      </c>
      <c r="B197">
        <v>18</v>
      </c>
      <c r="C197" t="s">
        <v>50</v>
      </c>
      <c r="D197" t="s">
        <v>34</v>
      </c>
      <c r="E197" t="s">
        <v>92</v>
      </c>
      <c r="F197" t="s">
        <v>36</v>
      </c>
      <c r="G197" t="s">
        <v>51</v>
      </c>
      <c r="H197" t="s">
        <v>575</v>
      </c>
      <c r="I197" t="s">
        <v>143</v>
      </c>
      <c r="J197">
        <v>171.72</v>
      </c>
      <c r="K197">
        <v>3</v>
      </c>
      <c r="L197" t="s">
        <v>94</v>
      </c>
      <c r="M197">
        <v>5</v>
      </c>
      <c r="N197">
        <v>3</v>
      </c>
      <c r="O197">
        <v>1</v>
      </c>
      <c r="P197" t="s">
        <v>69</v>
      </c>
      <c r="Q197" t="s">
        <v>101</v>
      </c>
      <c r="R197">
        <v>1</v>
      </c>
      <c r="S197">
        <v>2</v>
      </c>
      <c r="T197" t="s">
        <v>40</v>
      </c>
      <c r="U197" t="s">
        <v>95</v>
      </c>
      <c r="V197" t="s">
        <v>58</v>
      </c>
      <c r="W197" s="1">
        <v>45375</v>
      </c>
      <c r="X197" t="b">
        <v>0</v>
      </c>
      <c r="Y197" t="b">
        <v>1</v>
      </c>
      <c r="Z197" t="s">
        <v>72</v>
      </c>
      <c r="AA197" t="s">
        <v>60</v>
      </c>
      <c r="AB197">
        <v>12</v>
      </c>
      <c r="AF197" t="str">
        <f>tbl_OriginalData[[#This Row],[Customer_ID]]</f>
        <v>70-014-6406</v>
      </c>
      <c r="AG197">
        <f>tbl_OriginalData[[#This Row],[Age]]</f>
        <v>18</v>
      </c>
      <c r="AH197" t="str" cm="1">
        <f t="array" ref="AH19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197" t="str">
        <f>tbl_OriginalData[[#This Row],[Gender]]</f>
        <v>Male</v>
      </c>
      <c r="AJ197" t="str">
        <f>tbl_OriginalData[[#This Row],[Income_Level]]</f>
        <v>Middle</v>
      </c>
      <c r="AK197" t="str">
        <f>tbl_OriginalData[[#This Row],[Marital_Status]]</f>
        <v>Divorced</v>
      </c>
      <c r="AL197" t="str">
        <f>tbl_OriginalData[[#This Row],[Education_Level]]</f>
        <v>Bachelor's</v>
      </c>
      <c r="AM197" t="str">
        <f>tbl_OriginalData[[#This Row],[Occupation]]</f>
        <v>High</v>
      </c>
      <c r="AN197" t="s">
        <v>575</v>
      </c>
      <c r="AO197" t="s">
        <v>85</v>
      </c>
      <c r="AP197" t="str">
        <f>tbl_OriginalData[[#This Row],[Purchase_Category]]</f>
        <v>Packages)</v>
      </c>
      <c r="AQ197" s="4">
        <f>tbl_OriginalData[[#This Row],[Purchase_Amount]]</f>
        <v>171.72</v>
      </c>
      <c r="AR197">
        <f>tbl_OriginalData[[#This Row],[Frequency_of_Purchase]]</f>
        <v>3</v>
      </c>
      <c r="AS197" t="str">
        <f>tbl_OriginalData[[#This Row],[Purchase_Channel]]</f>
        <v>Online</v>
      </c>
      <c r="AT197">
        <f>tbl_OriginalData[[#This Row],[Brand_Loyalty]]</f>
        <v>5</v>
      </c>
      <c r="AU197">
        <f>tbl_OriginalData[[#This Row],[Product_Rating]]</f>
        <v>3</v>
      </c>
      <c r="AV197">
        <f>tbl_OriginalData[[#This Row],[Time_Spent_on_Product_Research(hours)]]*60</f>
        <v>60</v>
      </c>
      <c r="AW197" t="str">
        <f>tbl_OriginalData[[#This Row],[Social_Media_Influence]]</f>
        <v>Low</v>
      </c>
      <c r="AX197" t="str">
        <f>tbl_OriginalData[[#This Row],[Discount_Sensitivity]]</f>
        <v>Very Sensitive</v>
      </c>
      <c r="AY197" s="3">
        <f>tbl_OriginalData[[#This Row],[Return_Rate]]/tbl_OriginalData[[#This Row],[Frequency_of_Purchase]]</f>
        <v>0.33333333333333331</v>
      </c>
      <c r="AZ197">
        <f>tbl_OriginalData[[#This Row],[Customer_Satisfaction]]</f>
        <v>2</v>
      </c>
      <c r="BA197" t="str">
        <f>tbl_OriginalData[[#This Row],[Engagement_with_Ads]]</f>
        <v>None</v>
      </c>
      <c r="BB197" t="str">
        <f>tbl_OriginalData[[#This Row],[Device_Used_for_Shopping]]</f>
        <v>Desktop</v>
      </c>
      <c r="BC197" t="str">
        <f>tbl_OriginalData[[#This Row],[Payment_Method]]</f>
        <v>PayPal</v>
      </c>
      <c r="BD197" s="1">
        <f>tbl_OriginalData[[#This Row],[Time_of_Purchase]]</f>
        <v>45375</v>
      </c>
      <c r="BE197" t="str">
        <f>IF(tbl_OriginalData[[#This Row],[Discount_Used]]=TRUE,"Yes","No")</f>
        <v>No</v>
      </c>
      <c r="BF197" t="str">
        <f>IF(tbl_OriginalData[[#This Row],[Customer_Loyalty_Program_Member]]=TRUE,"Yes","No")</f>
        <v>Yes</v>
      </c>
      <c r="BG197" t="str">
        <f>tbl_OriginalData[[#This Row],[Purchase_Intent]]</f>
        <v>Impulsive</v>
      </c>
      <c r="BH197" t="str">
        <f>tbl_OriginalData[[#This Row],[Shipping_Preference]]</f>
        <v>Standard</v>
      </c>
      <c r="BI197">
        <f>tbl_OriginalData[[#This Row],[Time_to_Decision]]</f>
        <v>12</v>
      </c>
      <c r="BJ197" t="s">
        <v>47</v>
      </c>
      <c r="BK197" t="s">
        <v>48</v>
      </c>
      <c r="BL197" t="s">
        <v>2524</v>
      </c>
    </row>
    <row r="198" spans="1:64">
      <c r="A198" t="s">
        <v>576</v>
      </c>
      <c r="B198">
        <v>31</v>
      </c>
      <c r="C198" t="s">
        <v>50</v>
      </c>
      <c r="D198" t="s">
        <v>34</v>
      </c>
      <c r="E198" t="s">
        <v>82</v>
      </c>
      <c r="F198" t="s">
        <v>52</v>
      </c>
      <c r="G198" t="s">
        <v>34</v>
      </c>
      <c r="H198" t="s">
        <v>577</v>
      </c>
      <c r="I198" t="s">
        <v>150</v>
      </c>
      <c r="J198">
        <v>467.5</v>
      </c>
      <c r="K198">
        <v>6</v>
      </c>
      <c r="L198" t="s">
        <v>55</v>
      </c>
      <c r="M198">
        <v>2</v>
      </c>
      <c r="N198">
        <v>1</v>
      </c>
      <c r="O198">
        <v>0</v>
      </c>
      <c r="P198" t="s">
        <v>40</v>
      </c>
      <c r="Q198" t="s">
        <v>41</v>
      </c>
      <c r="R198">
        <v>1</v>
      </c>
      <c r="S198">
        <v>1</v>
      </c>
      <c r="T198" t="s">
        <v>51</v>
      </c>
      <c r="U198" t="s">
        <v>95</v>
      </c>
      <c r="V198" t="s">
        <v>58</v>
      </c>
      <c r="W198" s="1">
        <v>45386</v>
      </c>
      <c r="X198" t="b">
        <v>0</v>
      </c>
      <c r="Y198" t="b">
        <v>0</v>
      </c>
      <c r="Z198" t="s">
        <v>89</v>
      </c>
      <c r="AA198" t="s">
        <v>45</v>
      </c>
      <c r="AB198">
        <v>6</v>
      </c>
      <c r="AF198" t="str">
        <f>tbl_OriginalData[[#This Row],[Customer_ID]]</f>
        <v>52-908-9971</v>
      </c>
      <c r="AG198">
        <f>tbl_OriginalData[[#This Row],[Age]]</f>
        <v>31</v>
      </c>
      <c r="AH198" t="str" cm="1">
        <f t="array" ref="AH19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198" t="str">
        <f>tbl_OriginalData[[#This Row],[Gender]]</f>
        <v>Male</v>
      </c>
      <c r="AJ198" t="str">
        <f>tbl_OriginalData[[#This Row],[Income_Level]]</f>
        <v>Middle</v>
      </c>
      <c r="AK198" t="str">
        <f>tbl_OriginalData[[#This Row],[Marital_Status]]</f>
        <v>Widowed</v>
      </c>
      <c r="AL198" t="str">
        <f>tbl_OriginalData[[#This Row],[Education_Level]]</f>
        <v>High School</v>
      </c>
      <c r="AM198" t="str">
        <f>tbl_OriginalData[[#This Row],[Occupation]]</f>
        <v>Middle</v>
      </c>
      <c r="AN198" t="s">
        <v>577</v>
      </c>
      <c r="AO198" t="s">
        <v>61</v>
      </c>
      <c r="AP198" t="str">
        <f>tbl_OriginalData[[#This Row],[Purchase_Category]]</f>
        <v>Software &amp; Apps</v>
      </c>
      <c r="AQ198" s="4">
        <f>tbl_OriginalData[[#This Row],[Purchase_Amount]]</f>
        <v>467.5</v>
      </c>
      <c r="AR198">
        <f>tbl_OriginalData[[#This Row],[Frequency_of_Purchase]]</f>
        <v>6</v>
      </c>
      <c r="AS198" t="str">
        <f>tbl_OriginalData[[#This Row],[Purchase_Channel]]</f>
        <v>In-Store</v>
      </c>
      <c r="AT198">
        <f>tbl_OriginalData[[#This Row],[Brand_Loyalty]]</f>
        <v>2</v>
      </c>
      <c r="AU198">
        <f>tbl_OriginalData[[#This Row],[Product_Rating]]</f>
        <v>1</v>
      </c>
      <c r="AV198">
        <f>tbl_OriginalData[[#This Row],[Time_Spent_on_Product_Research(hours)]]*60</f>
        <v>0</v>
      </c>
      <c r="AW198" t="str">
        <f>tbl_OriginalData[[#This Row],[Social_Media_Influence]]</f>
        <v>None</v>
      </c>
      <c r="AX198" t="str">
        <f>tbl_OriginalData[[#This Row],[Discount_Sensitivity]]</f>
        <v>Somewhat Sensitive</v>
      </c>
      <c r="AY198" s="3">
        <f>tbl_OriginalData[[#This Row],[Return_Rate]]/tbl_OriginalData[[#This Row],[Frequency_of_Purchase]]</f>
        <v>0.16666666666666666</v>
      </c>
      <c r="AZ198">
        <f>tbl_OriginalData[[#This Row],[Customer_Satisfaction]]</f>
        <v>1</v>
      </c>
      <c r="BA198" t="str">
        <f>tbl_OriginalData[[#This Row],[Engagement_with_Ads]]</f>
        <v>High</v>
      </c>
      <c r="BB198" t="str">
        <f>tbl_OriginalData[[#This Row],[Device_Used_for_Shopping]]</f>
        <v>Desktop</v>
      </c>
      <c r="BC198" t="str">
        <f>tbl_OriginalData[[#This Row],[Payment_Method]]</f>
        <v>PayPal</v>
      </c>
      <c r="BD198" s="1">
        <f>tbl_OriginalData[[#This Row],[Time_of_Purchase]]</f>
        <v>45386</v>
      </c>
      <c r="BE198" t="str">
        <f>IF(tbl_OriginalData[[#This Row],[Discount_Used]]=TRUE,"Yes","No")</f>
        <v>No</v>
      </c>
      <c r="BF198" t="str">
        <f>IF(tbl_OriginalData[[#This Row],[Customer_Loyalty_Program_Member]]=TRUE,"Yes","No")</f>
        <v>No</v>
      </c>
      <c r="BG198" t="str">
        <f>tbl_OriginalData[[#This Row],[Purchase_Intent]]</f>
        <v>Planned</v>
      </c>
      <c r="BH198" t="str">
        <f>tbl_OriginalData[[#This Row],[Shipping_Preference]]</f>
        <v>No Preference</v>
      </c>
      <c r="BI198">
        <f>tbl_OriginalData[[#This Row],[Time_to_Decision]]</f>
        <v>6</v>
      </c>
      <c r="BJ198" t="s">
        <v>62</v>
      </c>
      <c r="BK198" t="s">
        <v>63</v>
      </c>
      <c r="BL198" t="s">
        <v>2524</v>
      </c>
    </row>
    <row r="199" spans="1:64">
      <c r="A199" t="s">
        <v>578</v>
      </c>
      <c r="B199">
        <v>43</v>
      </c>
      <c r="C199" t="s">
        <v>431</v>
      </c>
      <c r="D199" t="s">
        <v>51</v>
      </c>
      <c r="E199" t="s">
        <v>35</v>
      </c>
      <c r="F199" t="s">
        <v>36</v>
      </c>
      <c r="G199" t="s">
        <v>51</v>
      </c>
      <c r="H199" t="s">
        <v>579</v>
      </c>
      <c r="I199" t="s">
        <v>84</v>
      </c>
      <c r="J199">
        <v>209.79</v>
      </c>
      <c r="K199">
        <v>6</v>
      </c>
      <c r="L199" t="s">
        <v>39</v>
      </c>
      <c r="M199">
        <v>5</v>
      </c>
      <c r="N199">
        <v>1</v>
      </c>
      <c r="O199">
        <v>2</v>
      </c>
      <c r="P199" t="s">
        <v>51</v>
      </c>
      <c r="Q199" t="s">
        <v>57</v>
      </c>
      <c r="R199">
        <v>1</v>
      </c>
      <c r="S199">
        <v>9</v>
      </c>
      <c r="T199" t="s">
        <v>69</v>
      </c>
      <c r="U199" t="s">
        <v>42</v>
      </c>
      <c r="V199" t="s">
        <v>76</v>
      </c>
      <c r="W199" s="1">
        <v>45548</v>
      </c>
      <c r="X199" t="b">
        <v>1</v>
      </c>
      <c r="Y199" t="b">
        <v>1</v>
      </c>
      <c r="Z199" t="s">
        <v>44</v>
      </c>
      <c r="AA199" t="s">
        <v>60</v>
      </c>
      <c r="AB199">
        <v>10</v>
      </c>
      <c r="AF199" t="str">
        <f>tbl_OriginalData[[#This Row],[Customer_ID]]</f>
        <v>57-623-5362</v>
      </c>
      <c r="AG199">
        <f>tbl_OriginalData[[#This Row],[Age]]</f>
        <v>43</v>
      </c>
      <c r="AH199" t="str" cm="1">
        <f t="array" ref="AH19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199" t="str">
        <f>tbl_OriginalData[[#This Row],[Gender]]</f>
        <v>Genderqueer</v>
      </c>
      <c r="AJ199" t="str">
        <f>tbl_OriginalData[[#This Row],[Income_Level]]</f>
        <v>High</v>
      </c>
      <c r="AK199" t="str">
        <f>tbl_OriginalData[[#This Row],[Marital_Status]]</f>
        <v>Married</v>
      </c>
      <c r="AL199" t="str">
        <f>tbl_OriginalData[[#This Row],[Education_Level]]</f>
        <v>Bachelor's</v>
      </c>
      <c r="AM199" t="str">
        <f>tbl_OriginalData[[#This Row],[Occupation]]</f>
        <v>High</v>
      </c>
      <c r="AN199" t="s">
        <v>579</v>
      </c>
      <c r="AO199" t="s">
        <v>61</v>
      </c>
      <c r="AP199" t="str">
        <f>tbl_OriginalData[[#This Row],[Purchase_Category]]</f>
        <v>Furniture</v>
      </c>
      <c r="AQ199" s="4">
        <f>tbl_OriginalData[[#This Row],[Purchase_Amount]]</f>
        <v>209.79</v>
      </c>
      <c r="AR199">
        <f>tbl_OriginalData[[#This Row],[Frequency_of_Purchase]]</f>
        <v>6</v>
      </c>
      <c r="AS199" t="str">
        <f>tbl_OriginalData[[#This Row],[Purchase_Channel]]</f>
        <v>Mixed</v>
      </c>
      <c r="AT199">
        <f>tbl_OriginalData[[#This Row],[Brand_Loyalty]]</f>
        <v>5</v>
      </c>
      <c r="AU199">
        <f>tbl_OriginalData[[#This Row],[Product_Rating]]</f>
        <v>1</v>
      </c>
      <c r="AV199">
        <f>tbl_OriginalData[[#This Row],[Time_Spent_on_Product_Research(hours)]]*60</f>
        <v>120</v>
      </c>
      <c r="AW199" t="str">
        <f>tbl_OriginalData[[#This Row],[Social_Media_Influence]]</f>
        <v>High</v>
      </c>
      <c r="AX199" t="str">
        <f>tbl_OriginalData[[#This Row],[Discount_Sensitivity]]</f>
        <v>Not Sensitive</v>
      </c>
      <c r="AY199" s="3">
        <f>tbl_OriginalData[[#This Row],[Return_Rate]]/tbl_OriginalData[[#This Row],[Frequency_of_Purchase]]</f>
        <v>0.16666666666666666</v>
      </c>
      <c r="AZ199">
        <f>tbl_OriginalData[[#This Row],[Customer_Satisfaction]]</f>
        <v>9</v>
      </c>
      <c r="BA199" t="str">
        <f>tbl_OriginalData[[#This Row],[Engagement_with_Ads]]</f>
        <v>Low</v>
      </c>
      <c r="BB199" t="str">
        <f>tbl_OriginalData[[#This Row],[Device_Used_for_Shopping]]</f>
        <v>Tablet</v>
      </c>
      <c r="BC199" t="str">
        <f>tbl_OriginalData[[#This Row],[Payment_Method]]</f>
        <v>Other</v>
      </c>
      <c r="BD199" s="1">
        <f>tbl_OriginalData[[#This Row],[Time_of_Purchase]]</f>
        <v>45548</v>
      </c>
      <c r="BE199" t="str">
        <f>IF(tbl_OriginalData[[#This Row],[Discount_Used]]=TRUE,"Yes","No")</f>
        <v>Yes</v>
      </c>
      <c r="BF199" t="str">
        <f>IF(tbl_OriginalData[[#This Row],[Customer_Loyalty_Program_Member]]=TRUE,"Yes","No")</f>
        <v>Yes</v>
      </c>
      <c r="BG199" t="str">
        <f>tbl_OriginalData[[#This Row],[Purchase_Intent]]</f>
        <v>Need-based</v>
      </c>
      <c r="BH199" t="str">
        <f>tbl_OriginalData[[#This Row],[Shipping_Preference]]</f>
        <v>Standard</v>
      </c>
      <c r="BI199">
        <f>tbl_OriginalData[[#This Row],[Time_to_Decision]]</f>
        <v>10</v>
      </c>
      <c r="BJ199" t="s">
        <v>172</v>
      </c>
      <c r="BK199" t="s">
        <v>115</v>
      </c>
      <c r="BL199" t="s">
        <v>2524</v>
      </c>
    </row>
    <row r="200" spans="1:64">
      <c r="A200" t="s">
        <v>580</v>
      </c>
      <c r="B200">
        <v>23</v>
      </c>
      <c r="C200" t="s">
        <v>50</v>
      </c>
      <c r="D200" t="s">
        <v>34</v>
      </c>
      <c r="E200" t="s">
        <v>65</v>
      </c>
      <c r="F200" t="s">
        <v>52</v>
      </c>
      <c r="G200" t="s">
        <v>34</v>
      </c>
      <c r="H200" t="s">
        <v>581</v>
      </c>
      <c r="I200" t="s">
        <v>68</v>
      </c>
      <c r="J200">
        <v>150.33000000000001</v>
      </c>
      <c r="K200">
        <v>9</v>
      </c>
      <c r="L200" t="s">
        <v>55</v>
      </c>
      <c r="M200">
        <v>4</v>
      </c>
      <c r="N200">
        <v>4</v>
      </c>
      <c r="O200">
        <v>2</v>
      </c>
      <c r="P200" t="s">
        <v>40</v>
      </c>
      <c r="Q200" t="s">
        <v>41</v>
      </c>
      <c r="R200">
        <v>2</v>
      </c>
      <c r="S200">
        <v>9</v>
      </c>
      <c r="T200" t="s">
        <v>56</v>
      </c>
      <c r="U200" t="s">
        <v>95</v>
      </c>
      <c r="V200" t="s">
        <v>71</v>
      </c>
      <c r="W200" s="1">
        <v>45406</v>
      </c>
      <c r="X200" t="b">
        <v>1</v>
      </c>
      <c r="Y200" t="b">
        <v>0</v>
      </c>
      <c r="Z200" t="s">
        <v>59</v>
      </c>
      <c r="AA200" t="s">
        <v>77</v>
      </c>
      <c r="AB200">
        <v>6</v>
      </c>
      <c r="AF200" t="str">
        <f>tbl_OriginalData[[#This Row],[Customer_ID]]</f>
        <v>48-315-0196</v>
      </c>
      <c r="AG200">
        <f>tbl_OriginalData[[#This Row],[Age]]</f>
        <v>23</v>
      </c>
      <c r="AH200" t="str" cm="1">
        <f t="array" ref="AH20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00" t="str">
        <f>tbl_OriginalData[[#This Row],[Gender]]</f>
        <v>Male</v>
      </c>
      <c r="AJ200" t="str">
        <f>tbl_OriginalData[[#This Row],[Income_Level]]</f>
        <v>Middle</v>
      </c>
      <c r="AK200" t="str">
        <f>tbl_OriginalData[[#This Row],[Marital_Status]]</f>
        <v>Single</v>
      </c>
      <c r="AL200" t="str">
        <f>tbl_OriginalData[[#This Row],[Education_Level]]</f>
        <v>High School</v>
      </c>
      <c r="AM200" t="str">
        <f>tbl_OriginalData[[#This Row],[Occupation]]</f>
        <v>Middle</v>
      </c>
      <c r="AN200" t="s">
        <v>581</v>
      </c>
      <c r="AO200" t="s">
        <v>582</v>
      </c>
      <c r="AP200" t="str">
        <f>tbl_OriginalData[[#This Row],[Purchase_Category]]</f>
        <v>Office Supplies</v>
      </c>
      <c r="AQ200" s="4">
        <f>tbl_OriginalData[[#This Row],[Purchase_Amount]]</f>
        <v>150.33000000000001</v>
      </c>
      <c r="AR200">
        <f>tbl_OriginalData[[#This Row],[Frequency_of_Purchase]]</f>
        <v>9</v>
      </c>
      <c r="AS200" t="str">
        <f>tbl_OriginalData[[#This Row],[Purchase_Channel]]</f>
        <v>In-Store</v>
      </c>
      <c r="AT200">
        <f>tbl_OriginalData[[#This Row],[Brand_Loyalty]]</f>
        <v>4</v>
      </c>
      <c r="AU200">
        <f>tbl_OriginalData[[#This Row],[Product_Rating]]</f>
        <v>4</v>
      </c>
      <c r="AV200">
        <f>tbl_OriginalData[[#This Row],[Time_Spent_on_Product_Research(hours)]]*60</f>
        <v>120</v>
      </c>
      <c r="AW200" t="str">
        <f>tbl_OriginalData[[#This Row],[Social_Media_Influence]]</f>
        <v>None</v>
      </c>
      <c r="AX200" t="str">
        <f>tbl_OriginalData[[#This Row],[Discount_Sensitivity]]</f>
        <v>Somewhat Sensitive</v>
      </c>
      <c r="AY200" s="3">
        <f>tbl_OriginalData[[#This Row],[Return_Rate]]/tbl_OriginalData[[#This Row],[Frequency_of_Purchase]]</f>
        <v>0.22222222222222221</v>
      </c>
      <c r="AZ200">
        <f>tbl_OriginalData[[#This Row],[Customer_Satisfaction]]</f>
        <v>9</v>
      </c>
      <c r="BA200" t="str">
        <f>tbl_OriginalData[[#This Row],[Engagement_with_Ads]]</f>
        <v>Medium</v>
      </c>
      <c r="BB200" t="str">
        <f>tbl_OriginalData[[#This Row],[Device_Used_for_Shopping]]</f>
        <v>Desktop</v>
      </c>
      <c r="BC200" t="str">
        <f>tbl_OriginalData[[#This Row],[Payment_Method]]</f>
        <v>Debit Card</v>
      </c>
      <c r="BD200" s="1">
        <f>tbl_OriginalData[[#This Row],[Time_of_Purchase]]</f>
        <v>45406</v>
      </c>
      <c r="BE200" t="str">
        <f>IF(tbl_OriginalData[[#This Row],[Discount_Used]]=TRUE,"Yes","No")</f>
        <v>Yes</v>
      </c>
      <c r="BF200" t="str">
        <f>IF(tbl_OriginalData[[#This Row],[Customer_Loyalty_Program_Member]]=TRUE,"Yes","No")</f>
        <v>No</v>
      </c>
      <c r="BG200" t="str">
        <f>tbl_OriginalData[[#This Row],[Purchase_Intent]]</f>
        <v>Wants-based</v>
      </c>
      <c r="BH200" t="str">
        <f>tbl_OriginalData[[#This Row],[Shipping_Preference]]</f>
        <v>Express</v>
      </c>
      <c r="BI200">
        <f>tbl_OriginalData[[#This Row],[Time_to_Decision]]</f>
        <v>6</v>
      </c>
      <c r="BJ200" t="s">
        <v>62</v>
      </c>
      <c r="BK200" t="s">
        <v>63</v>
      </c>
      <c r="BL200" t="s">
        <v>2525</v>
      </c>
    </row>
    <row r="201" spans="1:64">
      <c r="A201" t="s">
        <v>583</v>
      </c>
      <c r="B201">
        <v>29</v>
      </c>
      <c r="C201" t="s">
        <v>50</v>
      </c>
      <c r="D201" t="s">
        <v>51</v>
      </c>
      <c r="E201" t="s">
        <v>35</v>
      </c>
      <c r="F201" t="s">
        <v>36</v>
      </c>
      <c r="G201" t="s">
        <v>51</v>
      </c>
      <c r="H201" t="s">
        <v>584</v>
      </c>
      <c r="I201" t="s">
        <v>123</v>
      </c>
      <c r="J201">
        <v>98.63</v>
      </c>
      <c r="K201">
        <v>7</v>
      </c>
      <c r="L201" t="s">
        <v>94</v>
      </c>
      <c r="M201">
        <v>4</v>
      </c>
      <c r="N201">
        <v>5</v>
      </c>
      <c r="O201">
        <v>2</v>
      </c>
      <c r="P201" t="s">
        <v>51</v>
      </c>
      <c r="Q201" t="s">
        <v>41</v>
      </c>
      <c r="R201">
        <v>1</v>
      </c>
      <c r="S201">
        <v>3</v>
      </c>
      <c r="T201" t="s">
        <v>69</v>
      </c>
      <c r="U201" t="s">
        <v>42</v>
      </c>
      <c r="V201" t="s">
        <v>76</v>
      </c>
      <c r="W201" s="1">
        <v>45300</v>
      </c>
      <c r="X201" t="b">
        <v>0</v>
      </c>
      <c r="Y201" t="b">
        <v>1</v>
      </c>
      <c r="Z201" t="s">
        <v>89</v>
      </c>
      <c r="AA201" t="s">
        <v>60</v>
      </c>
      <c r="AB201">
        <v>6</v>
      </c>
      <c r="AF201" t="str">
        <f>tbl_OriginalData[[#This Row],[Customer_ID]]</f>
        <v>71-959-3896</v>
      </c>
      <c r="AG201">
        <f>tbl_OriginalData[[#This Row],[Age]]</f>
        <v>29</v>
      </c>
      <c r="AH201" t="str" cm="1">
        <f t="array" ref="AH20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01" t="str">
        <f>tbl_OriginalData[[#This Row],[Gender]]</f>
        <v>Male</v>
      </c>
      <c r="AJ201" t="str">
        <f>tbl_OriginalData[[#This Row],[Income_Level]]</f>
        <v>High</v>
      </c>
      <c r="AK201" t="str">
        <f>tbl_OriginalData[[#This Row],[Marital_Status]]</f>
        <v>Married</v>
      </c>
      <c r="AL201" t="str">
        <f>tbl_OriginalData[[#This Row],[Education_Level]]</f>
        <v>Bachelor's</v>
      </c>
      <c r="AM201" t="str">
        <f>tbl_OriginalData[[#This Row],[Occupation]]</f>
        <v>High</v>
      </c>
      <c r="AN201" t="s">
        <v>584</v>
      </c>
      <c r="AO201" t="s">
        <v>90</v>
      </c>
      <c r="AP201" t="str">
        <f>tbl_OriginalData[[#This Row],[Purchase_Category]]</f>
        <v>Luxury Goods</v>
      </c>
      <c r="AQ201" s="4">
        <f>tbl_OriginalData[[#This Row],[Purchase_Amount]]</f>
        <v>98.63</v>
      </c>
      <c r="AR201">
        <f>tbl_OriginalData[[#This Row],[Frequency_of_Purchase]]</f>
        <v>7</v>
      </c>
      <c r="AS201" t="str">
        <f>tbl_OriginalData[[#This Row],[Purchase_Channel]]</f>
        <v>Online</v>
      </c>
      <c r="AT201">
        <f>tbl_OriginalData[[#This Row],[Brand_Loyalty]]</f>
        <v>4</v>
      </c>
      <c r="AU201">
        <f>tbl_OriginalData[[#This Row],[Product_Rating]]</f>
        <v>5</v>
      </c>
      <c r="AV201">
        <f>tbl_OriginalData[[#This Row],[Time_Spent_on_Product_Research(hours)]]*60</f>
        <v>120</v>
      </c>
      <c r="AW201" t="str">
        <f>tbl_OriginalData[[#This Row],[Social_Media_Influence]]</f>
        <v>High</v>
      </c>
      <c r="AX201" t="str">
        <f>tbl_OriginalData[[#This Row],[Discount_Sensitivity]]</f>
        <v>Somewhat Sensitive</v>
      </c>
      <c r="AY201" s="3">
        <f>tbl_OriginalData[[#This Row],[Return_Rate]]/tbl_OriginalData[[#This Row],[Frequency_of_Purchase]]</f>
        <v>0.14285714285714285</v>
      </c>
      <c r="AZ201">
        <f>tbl_OriginalData[[#This Row],[Customer_Satisfaction]]</f>
        <v>3</v>
      </c>
      <c r="BA201" t="str">
        <f>tbl_OriginalData[[#This Row],[Engagement_with_Ads]]</f>
        <v>Low</v>
      </c>
      <c r="BB201" t="str">
        <f>tbl_OriginalData[[#This Row],[Device_Used_for_Shopping]]</f>
        <v>Tablet</v>
      </c>
      <c r="BC201" t="str">
        <f>tbl_OriginalData[[#This Row],[Payment_Method]]</f>
        <v>Other</v>
      </c>
      <c r="BD201" s="1">
        <f>tbl_OriginalData[[#This Row],[Time_of_Purchase]]</f>
        <v>45300</v>
      </c>
      <c r="BE201" t="str">
        <f>IF(tbl_OriginalData[[#This Row],[Discount_Used]]=TRUE,"Yes","No")</f>
        <v>No</v>
      </c>
      <c r="BF201" t="str">
        <f>IF(tbl_OriginalData[[#This Row],[Customer_Loyalty_Program_Member]]=TRUE,"Yes","No")</f>
        <v>Yes</v>
      </c>
      <c r="BG201" t="str">
        <f>tbl_OriginalData[[#This Row],[Purchase_Intent]]</f>
        <v>Planned</v>
      </c>
      <c r="BH201" t="str">
        <f>tbl_OriginalData[[#This Row],[Shipping_Preference]]</f>
        <v>Standard</v>
      </c>
      <c r="BI201">
        <f>tbl_OriginalData[[#This Row],[Time_to_Decision]]</f>
        <v>6</v>
      </c>
      <c r="BJ201" t="s">
        <v>86</v>
      </c>
      <c r="BK201" t="s">
        <v>48</v>
      </c>
      <c r="BL201" t="s">
        <v>2524</v>
      </c>
    </row>
    <row r="202" spans="1:64">
      <c r="A202" t="s">
        <v>585</v>
      </c>
      <c r="B202">
        <v>21</v>
      </c>
      <c r="C202" t="s">
        <v>33</v>
      </c>
      <c r="D202" t="s">
        <v>34</v>
      </c>
      <c r="E202" t="s">
        <v>92</v>
      </c>
      <c r="F202" t="s">
        <v>66</v>
      </c>
      <c r="G202" t="s">
        <v>34</v>
      </c>
      <c r="H202" t="s">
        <v>586</v>
      </c>
      <c r="I202" t="s">
        <v>235</v>
      </c>
      <c r="J202">
        <v>193.3</v>
      </c>
      <c r="K202">
        <v>11</v>
      </c>
      <c r="L202" t="s">
        <v>39</v>
      </c>
      <c r="M202">
        <v>4</v>
      </c>
      <c r="N202">
        <v>2</v>
      </c>
      <c r="O202">
        <v>2</v>
      </c>
      <c r="P202" t="s">
        <v>40</v>
      </c>
      <c r="Q202" t="s">
        <v>101</v>
      </c>
      <c r="R202">
        <v>2</v>
      </c>
      <c r="S202">
        <v>1</v>
      </c>
      <c r="T202" t="s">
        <v>56</v>
      </c>
      <c r="U202" t="s">
        <v>42</v>
      </c>
      <c r="V202" t="s">
        <v>76</v>
      </c>
      <c r="W202" s="1">
        <v>45446</v>
      </c>
      <c r="X202" t="b">
        <v>1</v>
      </c>
      <c r="Y202" t="b">
        <v>1</v>
      </c>
      <c r="Z202" t="s">
        <v>89</v>
      </c>
      <c r="AA202" t="s">
        <v>45</v>
      </c>
      <c r="AB202">
        <v>12</v>
      </c>
      <c r="AF202" t="str">
        <f>tbl_OriginalData[[#This Row],[Customer_ID]]</f>
        <v>29-987-3969</v>
      </c>
      <c r="AG202">
        <f>tbl_OriginalData[[#This Row],[Age]]</f>
        <v>21</v>
      </c>
      <c r="AH202" t="str" cm="1">
        <f t="array" ref="AH20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02" t="str">
        <f>tbl_OriginalData[[#This Row],[Gender]]</f>
        <v>Female</v>
      </c>
      <c r="AJ202" t="str">
        <f>tbl_OriginalData[[#This Row],[Income_Level]]</f>
        <v>Middle</v>
      </c>
      <c r="AK202" t="str">
        <f>tbl_OriginalData[[#This Row],[Marital_Status]]</f>
        <v>Divorced</v>
      </c>
      <c r="AL202" t="str">
        <f>tbl_OriginalData[[#This Row],[Education_Level]]</f>
        <v>Master's</v>
      </c>
      <c r="AM202" t="str">
        <f>tbl_OriginalData[[#This Row],[Occupation]]</f>
        <v>Middle</v>
      </c>
      <c r="AN202" t="s">
        <v>586</v>
      </c>
      <c r="AO202" t="s">
        <v>132</v>
      </c>
      <c r="AP202" t="str">
        <f>tbl_OriginalData[[#This Row],[Purchase_Category]]</f>
        <v>Beauty &amp; Personal Care</v>
      </c>
      <c r="AQ202" s="4">
        <f>tbl_OriginalData[[#This Row],[Purchase_Amount]]</f>
        <v>193.3</v>
      </c>
      <c r="AR202">
        <f>tbl_OriginalData[[#This Row],[Frequency_of_Purchase]]</f>
        <v>11</v>
      </c>
      <c r="AS202" t="str">
        <f>tbl_OriginalData[[#This Row],[Purchase_Channel]]</f>
        <v>Mixed</v>
      </c>
      <c r="AT202">
        <f>tbl_OriginalData[[#This Row],[Brand_Loyalty]]</f>
        <v>4</v>
      </c>
      <c r="AU202">
        <f>tbl_OriginalData[[#This Row],[Product_Rating]]</f>
        <v>2</v>
      </c>
      <c r="AV202">
        <f>tbl_OriginalData[[#This Row],[Time_Spent_on_Product_Research(hours)]]*60</f>
        <v>120</v>
      </c>
      <c r="AW202" t="str">
        <f>tbl_OriginalData[[#This Row],[Social_Media_Influence]]</f>
        <v>None</v>
      </c>
      <c r="AX202" t="str">
        <f>tbl_OriginalData[[#This Row],[Discount_Sensitivity]]</f>
        <v>Very Sensitive</v>
      </c>
      <c r="AY202" s="3">
        <f>tbl_OriginalData[[#This Row],[Return_Rate]]/tbl_OriginalData[[#This Row],[Frequency_of_Purchase]]</f>
        <v>0.18181818181818182</v>
      </c>
      <c r="AZ202">
        <f>tbl_OriginalData[[#This Row],[Customer_Satisfaction]]</f>
        <v>1</v>
      </c>
      <c r="BA202" t="str">
        <f>tbl_OriginalData[[#This Row],[Engagement_with_Ads]]</f>
        <v>Medium</v>
      </c>
      <c r="BB202" t="str">
        <f>tbl_OriginalData[[#This Row],[Device_Used_for_Shopping]]</f>
        <v>Tablet</v>
      </c>
      <c r="BC202" t="str">
        <f>tbl_OriginalData[[#This Row],[Payment_Method]]</f>
        <v>Other</v>
      </c>
      <c r="BD202" s="1">
        <f>tbl_OriginalData[[#This Row],[Time_of_Purchase]]</f>
        <v>45446</v>
      </c>
      <c r="BE202" t="str">
        <f>IF(tbl_OriginalData[[#This Row],[Discount_Used]]=TRUE,"Yes","No")</f>
        <v>Yes</v>
      </c>
      <c r="BF202" t="str">
        <f>IF(tbl_OriginalData[[#This Row],[Customer_Loyalty_Program_Member]]=TRUE,"Yes","No")</f>
        <v>Yes</v>
      </c>
      <c r="BG202" t="str">
        <f>tbl_OriginalData[[#This Row],[Purchase_Intent]]</f>
        <v>Planned</v>
      </c>
      <c r="BH202" t="str">
        <f>tbl_OriginalData[[#This Row],[Shipping_Preference]]</f>
        <v>No Preference</v>
      </c>
      <c r="BI202">
        <f>tbl_OriginalData[[#This Row],[Time_to_Decision]]</f>
        <v>12</v>
      </c>
      <c r="BJ202" t="s">
        <v>104</v>
      </c>
      <c r="BK202" t="s">
        <v>63</v>
      </c>
      <c r="BL202" t="s">
        <v>2525</v>
      </c>
    </row>
    <row r="203" spans="1:64">
      <c r="A203" t="s">
        <v>587</v>
      </c>
      <c r="B203">
        <v>49</v>
      </c>
      <c r="C203" t="s">
        <v>33</v>
      </c>
      <c r="D203" t="s">
        <v>34</v>
      </c>
      <c r="E203" t="s">
        <v>65</v>
      </c>
      <c r="F203" t="s">
        <v>52</v>
      </c>
      <c r="G203" t="s">
        <v>34</v>
      </c>
      <c r="H203" t="s">
        <v>588</v>
      </c>
      <c r="I203" t="s">
        <v>123</v>
      </c>
      <c r="J203">
        <v>145.02000000000001</v>
      </c>
      <c r="K203">
        <v>7</v>
      </c>
      <c r="L203" t="s">
        <v>55</v>
      </c>
      <c r="M203">
        <v>3</v>
      </c>
      <c r="N203">
        <v>2</v>
      </c>
      <c r="O203">
        <v>0</v>
      </c>
      <c r="P203" t="s">
        <v>51</v>
      </c>
      <c r="Q203" t="s">
        <v>101</v>
      </c>
      <c r="R203">
        <v>1</v>
      </c>
      <c r="S203">
        <v>1</v>
      </c>
      <c r="T203" t="s">
        <v>56</v>
      </c>
      <c r="U203" t="s">
        <v>95</v>
      </c>
      <c r="V203" t="s">
        <v>43</v>
      </c>
      <c r="W203" s="1">
        <v>45466</v>
      </c>
      <c r="X203" t="b">
        <v>1</v>
      </c>
      <c r="Y203" t="b">
        <v>1</v>
      </c>
      <c r="Z203" t="s">
        <v>59</v>
      </c>
      <c r="AA203" t="s">
        <v>77</v>
      </c>
      <c r="AB203">
        <v>9</v>
      </c>
      <c r="AF203" t="str">
        <f>tbl_OriginalData[[#This Row],[Customer_ID]]</f>
        <v>78-613-1546</v>
      </c>
      <c r="AG203">
        <f>tbl_OriginalData[[#This Row],[Age]]</f>
        <v>49</v>
      </c>
      <c r="AH203" t="str" cm="1">
        <f t="array" ref="AH20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03" t="str">
        <f>tbl_OriginalData[[#This Row],[Gender]]</f>
        <v>Female</v>
      </c>
      <c r="AJ203" t="str">
        <f>tbl_OriginalData[[#This Row],[Income_Level]]</f>
        <v>Middle</v>
      </c>
      <c r="AK203" t="str">
        <f>tbl_OriginalData[[#This Row],[Marital_Status]]</f>
        <v>Single</v>
      </c>
      <c r="AL203" t="str">
        <f>tbl_OriginalData[[#This Row],[Education_Level]]</f>
        <v>High School</v>
      </c>
      <c r="AM203" t="str">
        <f>tbl_OriginalData[[#This Row],[Occupation]]</f>
        <v>Middle</v>
      </c>
      <c r="AN203" t="s">
        <v>588</v>
      </c>
      <c r="AO203" t="s">
        <v>103</v>
      </c>
      <c r="AP203" t="str">
        <f>tbl_OriginalData[[#This Row],[Purchase_Category]]</f>
        <v>Luxury Goods</v>
      </c>
      <c r="AQ203" s="4">
        <f>tbl_OriginalData[[#This Row],[Purchase_Amount]]</f>
        <v>145.02000000000001</v>
      </c>
      <c r="AR203">
        <f>tbl_OriginalData[[#This Row],[Frequency_of_Purchase]]</f>
        <v>7</v>
      </c>
      <c r="AS203" t="str">
        <f>tbl_OriginalData[[#This Row],[Purchase_Channel]]</f>
        <v>In-Store</v>
      </c>
      <c r="AT203">
        <f>tbl_OriginalData[[#This Row],[Brand_Loyalty]]</f>
        <v>3</v>
      </c>
      <c r="AU203">
        <f>tbl_OriginalData[[#This Row],[Product_Rating]]</f>
        <v>2</v>
      </c>
      <c r="AV203">
        <f>tbl_OriginalData[[#This Row],[Time_Spent_on_Product_Research(hours)]]*60</f>
        <v>0</v>
      </c>
      <c r="AW203" t="str">
        <f>tbl_OriginalData[[#This Row],[Social_Media_Influence]]</f>
        <v>High</v>
      </c>
      <c r="AX203" t="str">
        <f>tbl_OriginalData[[#This Row],[Discount_Sensitivity]]</f>
        <v>Very Sensitive</v>
      </c>
      <c r="AY203" s="3">
        <f>tbl_OriginalData[[#This Row],[Return_Rate]]/tbl_OriginalData[[#This Row],[Frequency_of_Purchase]]</f>
        <v>0.14285714285714285</v>
      </c>
      <c r="AZ203">
        <f>tbl_OriginalData[[#This Row],[Customer_Satisfaction]]</f>
        <v>1</v>
      </c>
      <c r="BA203" t="str">
        <f>tbl_OriginalData[[#This Row],[Engagement_with_Ads]]</f>
        <v>Medium</v>
      </c>
      <c r="BB203" t="str">
        <f>tbl_OriginalData[[#This Row],[Device_Used_for_Shopping]]</f>
        <v>Desktop</v>
      </c>
      <c r="BC203" t="str">
        <f>tbl_OriginalData[[#This Row],[Payment_Method]]</f>
        <v>Credit Card</v>
      </c>
      <c r="BD203" s="1">
        <f>tbl_OriginalData[[#This Row],[Time_of_Purchase]]</f>
        <v>45466</v>
      </c>
      <c r="BE203" t="str">
        <f>IF(tbl_OriginalData[[#This Row],[Discount_Used]]=TRUE,"Yes","No")</f>
        <v>Yes</v>
      </c>
      <c r="BF203" t="str">
        <f>IF(tbl_OriginalData[[#This Row],[Customer_Loyalty_Program_Member]]=TRUE,"Yes","No")</f>
        <v>Yes</v>
      </c>
      <c r="BG203" t="str">
        <f>tbl_OriginalData[[#This Row],[Purchase_Intent]]</f>
        <v>Wants-based</v>
      </c>
      <c r="BH203" t="str">
        <f>tbl_OriginalData[[#This Row],[Shipping_Preference]]</f>
        <v>Express</v>
      </c>
      <c r="BI203">
        <f>tbl_OriginalData[[#This Row],[Time_to_Decision]]</f>
        <v>9</v>
      </c>
      <c r="BJ203" t="s">
        <v>104</v>
      </c>
      <c r="BK203" t="s">
        <v>63</v>
      </c>
      <c r="BL203" t="s">
        <v>2523</v>
      </c>
    </row>
    <row r="204" spans="1:64">
      <c r="A204" t="s">
        <v>589</v>
      </c>
      <c r="B204">
        <v>30</v>
      </c>
      <c r="C204" t="s">
        <v>33</v>
      </c>
      <c r="D204" t="s">
        <v>34</v>
      </c>
      <c r="E204" t="s">
        <v>92</v>
      </c>
      <c r="F204" t="s">
        <v>66</v>
      </c>
      <c r="G204" t="s">
        <v>34</v>
      </c>
      <c r="H204" t="s">
        <v>590</v>
      </c>
      <c r="I204" t="s">
        <v>180</v>
      </c>
      <c r="J204">
        <v>294.99</v>
      </c>
      <c r="K204">
        <v>4</v>
      </c>
      <c r="L204" t="s">
        <v>94</v>
      </c>
      <c r="M204">
        <v>3</v>
      </c>
      <c r="N204">
        <v>5</v>
      </c>
      <c r="O204">
        <v>2</v>
      </c>
      <c r="P204" t="s">
        <v>69</v>
      </c>
      <c r="Q204" t="s">
        <v>41</v>
      </c>
      <c r="R204">
        <v>1</v>
      </c>
      <c r="S204">
        <v>4</v>
      </c>
      <c r="T204" t="s">
        <v>51</v>
      </c>
      <c r="U204" t="s">
        <v>95</v>
      </c>
      <c r="V204" t="s">
        <v>58</v>
      </c>
      <c r="W204" s="1">
        <v>45626</v>
      </c>
      <c r="X204" t="b">
        <v>0</v>
      </c>
      <c r="Y204" t="b">
        <v>0</v>
      </c>
      <c r="Z204" t="s">
        <v>44</v>
      </c>
      <c r="AA204" t="s">
        <v>60</v>
      </c>
      <c r="AB204">
        <v>5</v>
      </c>
      <c r="AF204" t="str">
        <f>tbl_OriginalData[[#This Row],[Customer_ID]]</f>
        <v>43-664-4451</v>
      </c>
      <c r="AG204">
        <f>tbl_OriginalData[[#This Row],[Age]]</f>
        <v>30</v>
      </c>
      <c r="AH204" t="str" cm="1">
        <f t="array" ref="AH20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04" t="str">
        <f>tbl_OriginalData[[#This Row],[Gender]]</f>
        <v>Female</v>
      </c>
      <c r="AJ204" t="str">
        <f>tbl_OriginalData[[#This Row],[Income_Level]]</f>
        <v>Middle</v>
      </c>
      <c r="AK204" t="str">
        <f>tbl_OriginalData[[#This Row],[Marital_Status]]</f>
        <v>Divorced</v>
      </c>
      <c r="AL204" t="str">
        <f>tbl_OriginalData[[#This Row],[Education_Level]]</f>
        <v>Master's</v>
      </c>
      <c r="AM204" t="str">
        <f>tbl_OriginalData[[#This Row],[Occupation]]</f>
        <v>Middle</v>
      </c>
      <c r="AN204" t="s">
        <v>590</v>
      </c>
      <c r="AO204" t="s">
        <v>194</v>
      </c>
      <c r="AP204" t="str">
        <f>tbl_OriginalData[[#This Row],[Purchase_Category]]</f>
        <v>Health Supplements</v>
      </c>
      <c r="AQ204" s="4">
        <f>tbl_OriginalData[[#This Row],[Purchase_Amount]]</f>
        <v>294.99</v>
      </c>
      <c r="AR204">
        <f>tbl_OriginalData[[#This Row],[Frequency_of_Purchase]]</f>
        <v>4</v>
      </c>
      <c r="AS204" t="str">
        <f>tbl_OriginalData[[#This Row],[Purchase_Channel]]</f>
        <v>Online</v>
      </c>
      <c r="AT204">
        <f>tbl_OriginalData[[#This Row],[Brand_Loyalty]]</f>
        <v>3</v>
      </c>
      <c r="AU204">
        <f>tbl_OriginalData[[#This Row],[Product_Rating]]</f>
        <v>5</v>
      </c>
      <c r="AV204">
        <f>tbl_OriginalData[[#This Row],[Time_Spent_on_Product_Research(hours)]]*60</f>
        <v>120</v>
      </c>
      <c r="AW204" t="str">
        <f>tbl_OriginalData[[#This Row],[Social_Media_Influence]]</f>
        <v>Low</v>
      </c>
      <c r="AX204" t="str">
        <f>tbl_OriginalData[[#This Row],[Discount_Sensitivity]]</f>
        <v>Somewhat Sensitive</v>
      </c>
      <c r="AY204" s="3">
        <f>tbl_OriginalData[[#This Row],[Return_Rate]]/tbl_OriginalData[[#This Row],[Frequency_of_Purchase]]</f>
        <v>0.25</v>
      </c>
      <c r="AZ204">
        <f>tbl_OriginalData[[#This Row],[Customer_Satisfaction]]</f>
        <v>4</v>
      </c>
      <c r="BA204" t="str">
        <f>tbl_OriginalData[[#This Row],[Engagement_with_Ads]]</f>
        <v>High</v>
      </c>
      <c r="BB204" t="str">
        <f>tbl_OriginalData[[#This Row],[Device_Used_for_Shopping]]</f>
        <v>Desktop</v>
      </c>
      <c r="BC204" t="str">
        <f>tbl_OriginalData[[#This Row],[Payment_Method]]</f>
        <v>PayPal</v>
      </c>
      <c r="BD204" s="1">
        <f>tbl_OriginalData[[#This Row],[Time_of_Purchase]]</f>
        <v>45626</v>
      </c>
      <c r="BE204" t="str">
        <f>IF(tbl_OriginalData[[#This Row],[Discount_Used]]=TRUE,"Yes","No")</f>
        <v>No</v>
      </c>
      <c r="BF204" t="str">
        <f>IF(tbl_OriginalData[[#This Row],[Customer_Loyalty_Program_Member]]=TRUE,"Yes","No")</f>
        <v>No</v>
      </c>
      <c r="BG204" t="str">
        <f>tbl_OriginalData[[#This Row],[Purchase_Intent]]</f>
        <v>Need-based</v>
      </c>
      <c r="BH204" t="str">
        <f>tbl_OriginalData[[#This Row],[Shipping_Preference]]</f>
        <v>Standard</v>
      </c>
      <c r="BI204">
        <f>tbl_OriginalData[[#This Row],[Time_to_Decision]]</f>
        <v>5</v>
      </c>
      <c r="BJ204" t="s">
        <v>177</v>
      </c>
      <c r="BK204" t="s">
        <v>80</v>
      </c>
      <c r="BL204" t="s">
        <v>2524</v>
      </c>
    </row>
    <row r="205" spans="1:64">
      <c r="A205" t="s">
        <v>591</v>
      </c>
      <c r="B205">
        <v>31</v>
      </c>
      <c r="C205" t="s">
        <v>264</v>
      </c>
      <c r="D205" t="s">
        <v>34</v>
      </c>
      <c r="E205" t="s">
        <v>92</v>
      </c>
      <c r="F205" t="s">
        <v>52</v>
      </c>
      <c r="G205" t="s">
        <v>34</v>
      </c>
      <c r="H205" t="s">
        <v>592</v>
      </c>
      <c r="I205" t="s">
        <v>68</v>
      </c>
      <c r="J205">
        <v>305.45</v>
      </c>
      <c r="K205">
        <v>2</v>
      </c>
      <c r="L205" t="s">
        <v>39</v>
      </c>
      <c r="M205">
        <v>5</v>
      </c>
      <c r="N205">
        <v>5</v>
      </c>
      <c r="O205">
        <v>1</v>
      </c>
      <c r="P205" t="s">
        <v>40</v>
      </c>
      <c r="Q205" t="s">
        <v>101</v>
      </c>
      <c r="R205">
        <v>1</v>
      </c>
      <c r="S205">
        <v>1</v>
      </c>
      <c r="T205" t="s">
        <v>51</v>
      </c>
      <c r="U205" t="s">
        <v>70</v>
      </c>
      <c r="V205" t="s">
        <v>58</v>
      </c>
      <c r="W205" s="1">
        <v>45589</v>
      </c>
      <c r="X205" t="b">
        <v>0</v>
      </c>
      <c r="Y205" t="b">
        <v>1</v>
      </c>
      <c r="Z205" t="s">
        <v>72</v>
      </c>
      <c r="AA205" t="s">
        <v>77</v>
      </c>
      <c r="AB205">
        <v>9</v>
      </c>
      <c r="AF205" t="str">
        <f>tbl_OriginalData[[#This Row],[Customer_ID]]</f>
        <v>34-095-3364</v>
      </c>
      <c r="AG205">
        <f>tbl_OriginalData[[#This Row],[Age]]</f>
        <v>31</v>
      </c>
      <c r="AH205" t="str" cm="1">
        <f t="array" ref="AH20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05" t="str">
        <f>tbl_OriginalData[[#This Row],[Gender]]</f>
        <v>Polygender</v>
      </c>
      <c r="AJ205" t="str">
        <f>tbl_OriginalData[[#This Row],[Income_Level]]</f>
        <v>Middle</v>
      </c>
      <c r="AK205" t="str">
        <f>tbl_OriginalData[[#This Row],[Marital_Status]]</f>
        <v>Divorced</v>
      </c>
      <c r="AL205" t="str">
        <f>tbl_OriginalData[[#This Row],[Education_Level]]</f>
        <v>High School</v>
      </c>
      <c r="AM205" t="str">
        <f>tbl_OriginalData[[#This Row],[Occupation]]</f>
        <v>Middle</v>
      </c>
      <c r="AN205" t="s">
        <v>592</v>
      </c>
      <c r="AO205" t="s">
        <v>186</v>
      </c>
      <c r="AP205" t="str">
        <f>tbl_OriginalData[[#This Row],[Purchase_Category]]</f>
        <v>Office Supplies</v>
      </c>
      <c r="AQ205" s="4">
        <f>tbl_OriginalData[[#This Row],[Purchase_Amount]]</f>
        <v>305.45</v>
      </c>
      <c r="AR205">
        <f>tbl_OriginalData[[#This Row],[Frequency_of_Purchase]]</f>
        <v>2</v>
      </c>
      <c r="AS205" t="str">
        <f>tbl_OriginalData[[#This Row],[Purchase_Channel]]</f>
        <v>Mixed</v>
      </c>
      <c r="AT205">
        <f>tbl_OriginalData[[#This Row],[Brand_Loyalty]]</f>
        <v>5</v>
      </c>
      <c r="AU205">
        <f>tbl_OriginalData[[#This Row],[Product_Rating]]</f>
        <v>5</v>
      </c>
      <c r="AV205">
        <f>tbl_OriginalData[[#This Row],[Time_Spent_on_Product_Research(hours)]]*60</f>
        <v>60</v>
      </c>
      <c r="AW205" t="str">
        <f>tbl_OriginalData[[#This Row],[Social_Media_Influence]]</f>
        <v>None</v>
      </c>
      <c r="AX205" t="str">
        <f>tbl_OriginalData[[#This Row],[Discount_Sensitivity]]</f>
        <v>Very Sensitive</v>
      </c>
      <c r="AY205" s="3">
        <f>tbl_OriginalData[[#This Row],[Return_Rate]]/tbl_OriginalData[[#This Row],[Frequency_of_Purchase]]</f>
        <v>0.5</v>
      </c>
      <c r="AZ205">
        <f>tbl_OriginalData[[#This Row],[Customer_Satisfaction]]</f>
        <v>1</v>
      </c>
      <c r="BA205" t="str">
        <f>tbl_OriginalData[[#This Row],[Engagement_with_Ads]]</f>
        <v>High</v>
      </c>
      <c r="BB205" t="str">
        <f>tbl_OriginalData[[#This Row],[Device_Used_for_Shopping]]</f>
        <v>Smartphone</v>
      </c>
      <c r="BC205" t="str">
        <f>tbl_OriginalData[[#This Row],[Payment_Method]]</f>
        <v>PayPal</v>
      </c>
      <c r="BD205" s="1">
        <f>tbl_OriginalData[[#This Row],[Time_of_Purchase]]</f>
        <v>45589</v>
      </c>
      <c r="BE205" t="str">
        <f>IF(tbl_OriginalData[[#This Row],[Discount_Used]]=TRUE,"Yes","No")</f>
        <v>No</v>
      </c>
      <c r="BF205" t="str">
        <f>IF(tbl_OriginalData[[#This Row],[Customer_Loyalty_Program_Member]]=TRUE,"Yes","No")</f>
        <v>Yes</v>
      </c>
      <c r="BG205" t="str">
        <f>tbl_OriginalData[[#This Row],[Purchase_Intent]]</f>
        <v>Impulsive</v>
      </c>
      <c r="BH205" t="str">
        <f>tbl_OriginalData[[#This Row],[Shipping_Preference]]</f>
        <v>Express</v>
      </c>
      <c r="BI205">
        <f>tbl_OriginalData[[#This Row],[Time_to_Decision]]</f>
        <v>9</v>
      </c>
      <c r="BJ205" t="s">
        <v>79</v>
      </c>
      <c r="BK205" t="s">
        <v>80</v>
      </c>
      <c r="BL205" t="s">
        <v>2523</v>
      </c>
    </row>
    <row r="206" spans="1:64">
      <c r="A206" t="s">
        <v>593</v>
      </c>
      <c r="B206">
        <v>50</v>
      </c>
      <c r="C206" t="s">
        <v>33</v>
      </c>
      <c r="D206" t="s">
        <v>34</v>
      </c>
      <c r="E206" t="s">
        <v>82</v>
      </c>
      <c r="F206" t="s">
        <v>52</v>
      </c>
      <c r="G206" t="s">
        <v>34</v>
      </c>
      <c r="H206" t="s">
        <v>594</v>
      </c>
      <c r="I206" t="s">
        <v>156</v>
      </c>
      <c r="J206">
        <v>432.42</v>
      </c>
      <c r="K206">
        <v>2</v>
      </c>
      <c r="L206" t="s">
        <v>55</v>
      </c>
      <c r="M206">
        <v>4</v>
      </c>
      <c r="N206">
        <v>4</v>
      </c>
      <c r="O206">
        <v>0</v>
      </c>
      <c r="P206" t="s">
        <v>56</v>
      </c>
      <c r="Q206" t="s">
        <v>57</v>
      </c>
      <c r="R206">
        <v>0</v>
      </c>
      <c r="S206">
        <v>8</v>
      </c>
      <c r="T206" t="s">
        <v>40</v>
      </c>
      <c r="U206" t="s">
        <v>42</v>
      </c>
      <c r="V206" t="s">
        <v>58</v>
      </c>
      <c r="W206" s="1">
        <v>45403</v>
      </c>
      <c r="X206" t="b">
        <v>0</v>
      </c>
      <c r="Y206" t="b">
        <v>1</v>
      </c>
      <c r="Z206" t="s">
        <v>44</v>
      </c>
      <c r="AA206" t="s">
        <v>77</v>
      </c>
      <c r="AB206">
        <v>13</v>
      </c>
      <c r="AF206" t="str">
        <f>tbl_OriginalData[[#This Row],[Customer_ID]]</f>
        <v>72-393-6893</v>
      </c>
      <c r="AG206">
        <f>tbl_OriginalData[[#This Row],[Age]]</f>
        <v>50</v>
      </c>
      <c r="AH206" t="str" cm="1">
        <f t="array" ref="AH20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06" t="str">
        <f>tbl_OriginalData[[#This Row],[Gender]]</f>
        <v>Female</v>
      </c>
      <c r="AJ206" t="str">
        <f>tbl_OriginalData[[#This Row],[Income_Level]]</f>
        <v>Middle</v>
      </c>
      <c r="AK206" t="str">
        <f>tbl_OriginalData[[#This Row],[Marital_Status]]</f>
        <v>Widowed</v>
      </c>
      <c r="AL206" t="str">
        <f>tbl_OriginalData[[#This Row],[Education_Level]]</f>
        <v>High School</v>
      </c>
      <c r="AM206" t="str">
        <f>tbl_OriginalData[[#This Row],[Occupation]]</f>
        <v>Middle</v>
      </c>
      <c r="AN206" t="s">
        <v>594</v>
      </c>
      <c r="AO206" t="s">
        <v>469</v>
      </c>
      <c r="AP206" t="str">
        <f>tbl_OriginalData[[#This Row],[Purchase_Category]]</f>
        <v>Toys &amp; Games</v>
      </c>
      <c r="AQ206" s="4">
        <f>tbl_OriginalData[[#This Row],[Purchase_Amount]]</f>
        <v>432.42</v>
      </c>
      <c r="AR206">
        <f>tbl_OriginalData[[#This Row],[Frequency_of_Purchase]]</f>
        <v>2</v>
      </c>
      <c r="AS206" t="str">
        <f>tbl_OriginalData[[#This Row],[Purchase_Channel]]</f>
        <v>In-Store</v>
      </c>
      <c r="AT206">
        <f>tbl_OriginalData[[#This Row],[Brand_Loyalty]]</f>
        <v>4</v>
      </c>
      <c r="AU206">
        <f>tbl_OriginalData[[#This Row],[Product_Rating]]</f>
        <v>4</v>
      </c>
      <c r="AV206">
        <f>tbl_OriginalData[[#This Row],[Time_Spent_on_Product_Research(hours)]]*60</f>
        <v>0</v>
      </c>
      <c r="AW206" t="str">
        <f>tbl_OriginalData[[#This Row],[Social_Media_Influence]]</f>
        <v>Medium</v>
      </c>
      <c r="AX206" t="str">
        <f>tbl_OriginalData[[#This Row],[Discount_Sensitivity]]</f>
        <v>Not Sensitive</v>
      </c>
      <c r="AY206" s="3">
        <f>tbl_OriginalData[[#This Row],[Return_Rate]]/tbl_OriginalData[[#This Row],[Frequency_of_Purchase]]</f>
        <v>0</v>
      </c>
      <c r="AZ206">
        <f>tbl_OriginalData[[#This Row],[Customer_Satisfaction]]</f>
        <v>8</v>
      </c>
      <c r="BA206" t="str">
        <f>tbl_OriginalData[[#This Row],[Engagement_with_Ads]]</f>
        <v>None</v>
      </c>
      <c r="BB206" t="str">
        <f>tbl_OriginalData[[#This Row],[Device_Used_for_Shopping]]</f>
        <v>Tablet</v>
      </c>
      <c r="BC206" t="str">
        <f>tbl_OriginalData[[#This Row],[Payment_Method]]</f>
        <v>PayPal</v>
      </c>
      <c r="BD206" s="1">
        <f>tbl_OriginalData[[#This Row],[Time_of_Purchase]]</f>
        <v>45403</v>
      </c>
      <c r="BE206" t="str">
        <f>IF(tbl_OriginalData[[#This Row],[Discount_Used]]=TRUE,"Yes","No")</f>
        <v>No</v>
      </c>
      <c r="BF206" t="str">
        <f>IF(tbl_OriginalData[[#This Row],[Customer_Loyalty_Program_Member]]=TRUE,"Yes","No")</f>
        <v>Yes</v>
      </c>
      <c r="BG206" t="str">
        <f>tbl_OriginalData[[#This Row],[Purchase_Intent]]</f>
        <v>Need-based</v>
      </c>
      <c r="BH206" t="str">
        <f>tbl_OriginalData[[#This Row],[Shipping_Preference]]</f>
        <v>Express</v>
      </c>
      <c r="BI206">
        <f>tbl_OriginalData[[#This Row],[Time_to_Decision]]</f>
        <v>13</v>
      </c>
      <c r="BJ206" t="s">
        <v>62</v>
      </c>
      <c r="BK206" t="s">
        <v>63</v>
      </c>
      <c r="BL206" t="s">
        <v>2527</v>
      </c>
    </row>
    <row r="207" spans="1:64">
      <c r="A207" t="s">
        <v>595</v>
      </c>
      <c r="B207">
        <v>35</v>
      </c>
      <c r="C207" t="s">
        <v>33</v>
      </c>
      <c r="D207" t="s">
        <v>34</v>
      </c>
      <c r="E207" t="s">
        <v>65</v>
      </c>
      <c r="F207" t="s">
        <v>36</v>
      </c>
      <c r="G207" t="s">
        <v>51</v>
      </c>
      <c r="H207" t="s">
        <v>596</v>
      </c>
      <c r="I207" t="s">
        <v>38</v>
      </c>
      <c r="J207">
        <v>227.58</v>
      </c>
      <c r="K207">
        <v>11</v>
      </c>
      <c r="L207" t="s">
        <v>39</v>
      </c>
      <c r="M207">
        <v>3</v>
      </c>
      <c r="N207">
        <v>1</v>
      </c>
      <c r="O207">
        <v>1</v>
      </c>
      <c r="P207" t="s">
        <v>40</v>
      </c>
      <c r="Q207" t="s">
        <v>57</v>
      </c>
      <c r="R207">
        <v>1</v>
      </c>
      <c r="S207">
        <v>8</v>
      </c>
      <c r="T207" t="s">
        <v>51</v>
      </c>
      <c r="U207" t="s">
        <v>70</v>
      </c>
      <c r="V207" t="s">
        <v>43</v>
      </c>
      <c r="W207" s="1">
        <v>45314</v>
      </c>
      <c r="X207" t="b">
        <v>0</v>
      </c>
      <c r="Y207" t="b">
        <v>1</v>
      </c>
      <c r="Z207" t="s">
        <v>44</v>
      </c>
      <c r="AA207" t="s">
        <v>77</v>
      </c>
      <c r="AB207">
        <v>6</v>
      </c>
      <c r="AF207" t="str">
        <f>tbl_OriginalData[[#This Row],[Customer_ID]]</f>
        <v>73-707-2809</v>
      </c>
      <c r="AG207">
        <f>tbl_OriginalData[[#This Row],[Age]]</f>
        <v>35</v>
      </c>
      <c r="AH207" t="str" cm="1">
        <f t="array" ref="AH20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07" t="str">
        <f>tbl_OriginalData[[#This Row],[Gender]]</f>
        <v>Female</v>
      </c>
      <c r="AJ207" t="str">
        <f>tbl_OriginalData[[#This Row],[Income_Level]]</f>
        <v>Middle</v>
      </c>
      <c r="AK207" t="str">
        <f>tbl_OriginalData[[#This Row],[Marital_Status]]</f>
        <v>Single</v>
      </c>
      <c r="AL207" t="str">
        <f>tbl_OriginalData[[#This Row],[Education_Level]]</f>
        <v>Bachelor's</v>
      </c>
      <c r="AM207" t="str">
        <f>tbl_OriginalData[[#This Row],[Occupation]]</f>
        <v>High</v>
      </c>
      <c r="AN207" t="s">
        <v>596</v>
      </c>
      <c r="AO207" t="s">
        <v>328</v>
      </c>
      <c r="AP207" t="str">
        <f>tbl_OriginalData[[#This Row],[Purchase_Category]]</f>
        <v>Gardening &amp; Outdoors</v>
      </c>
      <c r="AQ207" s="4">
        <f>tbl_OriginalData[[#This Row],[Purchase_Amount]]</f>
        <v>227.58</v>
      </c>
      <c r="AR207">
        <f>tbl_OriginalData[[#This Row],[Frequency_of_Purchase]]</f>
        <v>11</v>
      </c>
      <c r="AS207" t="str">
        <f>tbl_OriginalData[[#This Row],[Purchase_Channel]]</f>
        <v>Mixed</v>
      </c>
      <c r="AT207">
        <f>tbl_OriginalData[[#This Row],[Brand_Loyalty]]</f>
        <v>3</v>
      </c>
      <c r="AU207">
        <f>tbl_OriginalData[[#This Row],[Product_Rating]]</f>
        <v>1</v>
      </c>
      <c r="AV207">
        <f>tbl_OriginalData[[#This Row],[Time_Spent_on_Product_Research(hours)]]*60</f>
        <v>60</v>
      </c>
      <c r="AW207" t="str">
        <f>tbl_OriginalData[[#This Row],[Social_Media_Influence]]</f>
        <v>None</v>
      </c>
      <c r="AX207" t="str">
        <f>tbl_OriginalData[[#This Row],[Discount_Sensitivity]]</f>
        <v>Not Sensitive</v>
      </c>
      <c r="AY207" s="3">
        <f>tbl_OriginalData[[#This Row],[Return_Rate]]/tbl_OriginalData[[#This Row],[Frequency_of_Purchase]]</f>
        <v>9.0909090909090912E-2</v>
      </c>
      <c r="AZ207">
        <f>tbl_OriginalData[[#This Row],[Customer_Satisfaction]]</f>
        <v>8</v>
      </c>
      <c r="BA207" t="str">
        <f>tbl_OriginalData[[#This Row],[Engagement_with_Ads]]</f>
        <v>High</v>
      </c>
      <c r="BB207" t="str">
        <f>tbl_OriginalData[[#This Row],[Device_Used_for_Shopping]]</f>
        <v>Smartphone</v>
      </c>
      <c r="BC207" t="str">
        <f>tbl_OriginalData[[#This Row],[Payment_Method]]</f>
        <v>Credit Card</v>
      </c>
      <c r="BD207" s="1">
        <f>tbl_OriginalData[[#This Row],[Time_of_Purchase]]</f>
        <v>45314</v>
      </c>
      <c r="BE207" t="str">
        <f>IF(tbl_OriginalData[[#This Row],[Discount_Used]]=TRUE,"Yes","No")</f>
        <v>No</v>
      </c>
      <c r="BF207" t="str">
        <f>IF(tbl_OriginalData[[#This Row],[Customer_Loyalty_Program_Member]]=TRUE,"Yes","No")</f>
        <v>Yes</v>
      </c>
      <c r="BG207" t="str">
        <f>tbl_OriginalData[[#This Row],[Purchase_Intent]]</f>
        <v>Need-based</v>
      </c>
      <c r="BH207" t="str">
        <f>tbl_OriginalData[[#This Row],[Shipping_Preference]]</f>
        <v>Express</v>
      </c>
      <c r="BI207">
        <f>tbl_OriginalData[[#This Row],[Time_to_Decision]]</f>
        <v>6</v>
      </c>
      <c r="BJ207" t="s">
        <v>86</v>
      </c>
      <c r="BK207" t="s">
        <v>48</v>
      </c>
      <c r="BL207" t="s">
        <v>2527</v>
      </c>
    </row>
    <row r="208" spans="1:64">
      <c r="A208" t="s">
        <v>597</v>
      </c>
      <c r="B208">
        <v>36</v>
      </c>
      <c r="C208" t="s">
        <v>50</v>
      </c>
      <c r="D208" t="s">
        <v>34</v>
      </c>
      <c r="E208" t="s">
        <v>65</v>
      </c>
      <c r="F208" t="s">
        <v>52</v>
      </c>
      <c r="G208" t="s">
        <v>51</v>
      </c>
      <c r="H208" t="s">
        <v>382</v>
      </c>
      <c r="I208" t="s">
        <v>156</v>
      </c>
      <c r="J208">
        <v>160.88999999999999</v>
      </c>
      <c r="K208">
        <v>10</v>
      </c>
      <c r="L208" t="s">
        <v>94</v>
      </c>
      <c r="M208">
        <v>5</v>
      </c>
      <c r="N208">
        <v>5</v>
      </c>
      <c r="O208">
        <v>2</v>
      </c>
      <c r="P208" t="s">
        <v>40</v>
      </c>
      <c r="Q208" t="s">
        <v>41</v>
      </c>
      <c r="R208">
        <v>2</v>
      </c>
      <c r="S208">
        <v>6</v>
      </c>
      <c r="T208" t="s">
        <v>56</v>
      </c>
      <c r="U208" t="s">
        <v>95</v>
      </c>
      <c r="V208" t="s">
        <v>58</v>
      </c>
      <c r="W208" s="1">
        <v>45466</v>
      </c>
      <c r="X208" t="b">
        <v>1</v>
      </c>
      <c r="Y208" t="b">
        <v>1</v>
      </c>
      <c r="Z208" t="s">
        <v>89</v>
      </c>
      <c r="AA208" t="s">
        <v>45</v>
      </c>
      <c r="AB208">
        <v>13</v>
      </c>
      <c r="AF208" t="str">
        <f>tbl_OriginalData[[#This Row],[Customer_ID]]</f>
        <v>04-609-7885</v>
      </c>
      <c r="AG208">
        <f>tbl_OriginalData[[#This Row],[Age]]</f>
        <v>36</v>
      </c>
      <c r="AH208" t="str" cm="1">
        <f t="array" ref="AH20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08" t="str">
        <f>tbl_OriginalData[[#This Row],[Gender]]</f>
        <v>Male</v>
      </c>
      <c r="AJ208" t="str">
        <f>tbl_OriginalData[[#This Row],[Income_Level]]</f>
        <v>Middle</v>
      </c>
      <c r="AK208" t="str">
        <f>tbl_OriginalData[[#This Row],[Marital_Status]]</f>
        <v>Single</v>
      </c>
      <c r="AL208" t="str">
        <f>tbl_OriginalData[[#This Row],[Education_Level]]</f>
        <v>High School</v>
      </c>
      <c r="AM208" t="str">
        <f>tbl_OriginalData[[#This Row],[Occupation]]</f>
        <v>High</v>
      </c>
      <c r="AN208" t="s">
        <v>382</v>
      </c>
      <c r="AO208" t="s">
        <v>383</v>
      </c>
      <c r="AP208" t="str">
        <f>tbl_OriginalData[[#This Row],[Purchase_Category]]</f>
        <v>Toys &amp; Games</v>
      </c>
      <c r="AQ208" s="4">
        <f>tbl_OriginalData[[#This Row],[Purchase_Amount]]</f>
        <v>160.88999999999999</v>
      </c>
      <c r="AR208">
        <f>tbl_OriginalData[[#This Row],[Frequency_of_Purchase]]</f>
        <v>10</v>
      </c>
      <c r="AS208" t="str">
        <f>tbl_OriginalData[[#This Row],[Purchase_Channel]]</f>
        <v>Online</v>
      </c>
      <c r="AT208">
        <f>tbl_OriginalData[[#This Row],[Brand_Loyalty]]</f>
        <v>5</v>
      </c>
      <c r="AU208">
        <f>tbl_OriginalData[[#This Row],[Product_Rating]]</f>
        <v>5</v>
      </c>
      <c r="AV208">
        <f>tbl_OriginalData[[#This Row],[Time_Spent_on_Product_Research(hours)]]*60</f>
        <v>120</v>
      </c>
      <c r="AW208" t="str">
        <f>tbl_OriginalData[[#This Row],[Social_Media_Influence]]</f>
        <v>None</v>
      </c>
      <c r="AX208" t="str">
        <f>tbl_OriginalData[[#This Row],[Discount_Sensitivity]]</f>
        <v>Somewhat Sensitive</v>
      </c>
      <c r="AY208" s="3">
        <f>tbl_OriginalData[[#This Row],[Return_Rate]]/tbl_OriginalData[[#This Row],[Frequency_of_Purchase]]</f>
        <v>0.2</v>
      </c>
      <c r="AZ208">
        <f>tbl_OriginalData[[#This Row],[Customer_Satisfaction]]</f>
        <v>6</v>
      </c>
      <c r="BA208" t="str">
        <f>tbl_OriginalData[[#This Row],[Engagement_with_Ads]]</f>
        <v>Medium</v>
      </c>
      <c r="BB208" t="str">
        <f>tbl_OriginalData[[#This Row],[Device_Used_for_Shopping]]</f>
        <v>Desktop</v>
      </c>
      <c r="BC208" t="str">
        <f>tbl_OriginalData[[#This Row],[Payment_Method]]</f>
        <v>PayPal</v>
      </c>
      <c r="BD208" s="1">
        <f>tbl_OriginalData[[#This Row],[Time_of_Purchase]]</f>
        <v>45466</v>
      </c>
      <c r="BE208" t="str">
        <f>IF(tbl_OriginalData[[#This Row],[Discount_Used]]=TRUE,"Yes","No")</f>
        <v>Yes</v>
      </c>
      <c r="BF208" t="str">
        <f>IF(tbl_OriginalData[[#This Row],[Customer_Loyalty_Program_Member]]=TRUE,"Yes","No")</f>
        <v>Yes</v>
      </c>
      <c r="BG208" t="str">
        <f>tbl_OriginalData[[#This Row],[Purchase_Intent]]</f>
        <v>Planned</v>
      </c>
      <c r="BH208" t="str">
        <f>tbl_OriginalData[[#This Row],[Shipping_Preference]]</f>
        <v>No Preference</v>
      </c>
      <c r="BI208">
        <f>tbl_OriginalData[[#This Row],[Time_to_Decision]]</f>
        <v>13</v>
      </c>
      <c r="BJ208" t="s">
        <v>104</v>
      </c>
      <c r="BK208" t="s">
        <v>63</v>
      </c>
      <c r="BL208" t="s">
        <v>2523</v>
      </c>
    </row>
    <row r="209" spans="1:64">
      <c r="A209" t="s">
        <v>598</v>
      </c>
      <c r="B209">
        <v>24</v>
      </c>
      <c r="C209" t="s">
        <v>33</v>
      </c>
      <c r="D209" t="s">
        <v>34</v>
      </c>
      <c r="E209" t="s">
        <v>35</v>
      </c>
      <c r="F209" t="s">
        <v>66</v>
      </c>
      <c r="G209" t="s">
        <v>51</v>
      </c>
      <c r="H209" t="s">
        <v>599</v>
      </c>
      <c r="I209" t="s">
        <v>123</v>
      </c>
      <c r="J209">
        <v>139.1</v>
      </c>
      <c r="K209">
        <v>7</v>
      </c>
      <c r="L209" t="s">
        <v>94</v>
      </c>
      <c r="M209">
        <v>2</v>
      </c>
      <c r="N209">
        <v>5</v>
      </c>
      <c r="O209">
        <v>0</v>
      </c>
      <c r="P209" t="s">
        <v>69</v>
      </c>
      <c r="Q209" t="s">
        <v>41</v>
      </c>
      <c r="R209">
        <v>2</v>
      </c>
      <c r="S209">
        <v>3</v>
      </c>
      <c r="T209" t="s">
        <v>56</v>
      </c>
      <c r="U209" t="s">
        <v>95</v>
      </c>
      <c r="V209" t="s">
        <v>58</v>
      </c>
      <c r="W209" s="1">
        <v>45371</v>
      </c>
      <c r="X209" t="b">
        <v>0</v>
      </c>
      <c r="Y209" t="b">
        <v>0</v>
      </c>
      <c r="Z209" t="s">
        <v>72</v>
      </c>
      <c r="AA209" t="s">
        <v>45</v>
      </c>
      <c r="AB209">
        <v>8</v>
      </c>
      <c r="AF209" t="str">
        <f>tbl_OriginalData[[#This Row],[Customer_ID]]</f>
        <v>73-139-4306</v>
      </c>
      <c r="AG209">
        <f>tbl_OriginalData[[#This Row],[Age]]</f>
        <v>24</v>
      </c>
      <c r="AH209" t="str" cm="1">
        <f t="array" ref="AH20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09" t="str">
        <f>tbl_OriginalData[[#This Row],[Gender]]</f>
        <v>Female</v>
      </c>
      <c r="AJ209" t="str">
        <f>tbl_OriginalData[[#This Row],[Income_Level]]</f>
        <v>Middle</v>
      </c>
      <c r="AK209" t="str">
        <f>tbl_OriginalData[[#This Row],[Marital_Status]]</f>
        <v>Married</v>
      </c>
      <c r="AL209" t="str">
        <f>tbl_OriginalData[[#This Row],[Education_Level]]</f>
        <v>Master's</v>
      </c>
      <c r="AM209" t="str">
        <f>tbl_OriginalData[[#This Row],[Occupation]]</f>
        <v>High</v>
      </c>
      <c r="AN209" t="s">
        <v>599</v>
      </c>
      <c r="AO209" t="s">
        <v>328</v>
      </c>
      <c r="AP209" t="str">
        <f>tbl_OriginalData[[#This Row],[Purchase_Category]]</f>
        <v>Luxury Goods</v>
      </c>
      <c r="AQ209" s="4">
        <f>tbl_OriginalData[[#This Row],[Purchase_Amount]]</f>
        <v>139.1</v>
      </c>
      <c r="AR209">
        <f>tbl_OriginalData[[#This Row],[Frequency_of_Purchase]]</f>
        <v>7</v>
      </c>
      <c r="AS209" t="str">
        <f>tbl_OriginalData[[#This Row],[Purchase_Channel]]</f>
        <v>Online</v>
      </c>
      <c r="AT209">
        <f>tbl_OriginalData[[#This Row],[Brand_Loyalty]]</f>
        <v>2</v>
      </c>
      <c r="AU209">
        <f>tbl_OriginalData[[#This Row],[Product_Rating]]</f>
        <v>5</v>
      </c>
      <c r="AV209">
        <f>tbl_OriginalData[[#This Row],[Time_Spent_on_Product_Research(hours)]]*60</f>
        <v>0</v>
      </c>
      <c r="AW209" t="str">
        <f>tbl_OriginalData[[#This Row],[Social_Media_Influence]]</f>
        <v>Low</v>
      </c>
      <c r="AX209" t="str">
        <f>tbl_OriginalData[[#This Row],[Discount_Sensitivity]]</f>
        <v>Somewhat Sensitive</v>
      </c>
      <c r="AY209" s="3">
        <f>tbl_OriginalData[[#This Row],[Return_Rate]]/tbl_OriginalData[[#This Row],[Frequency_of_Purchase]]</f>
        <v>0.2857142857142857</v>
      </c>
      <c r="AZ209">
        <f>tbl_OriginalData[[#This Row],[Customer_Satisfaction]]</f>
        <v>3</v>
      </c>
      <c r="BA209" t="str">
        <f>tbl_OriginalData[[#This Row],[Engagement_with_Ads]]</f>
        <v>Medium</v>
      </c>
      <c r="BB209" t="str">
        <f>tbl_OriginalData[[#This Row],[Device_Used_for_Shopping]]</f>
        <v>Desktop</v>
      </c>
      <c r="BC209" t="str">
        <f>tbl_OriginalData[[#This Row],[Payment_Method]]</f>
        <v>PayPal</v>
      </c>
      <c r="BD209" s="1">
        <f>tbl_OriginalData[[#This Row],[Time_of_Purchase]]</f>
        <v>45371</v>
      </c>
      <c r="BE209" t="str">
        <f>IF(tbl_OriginalData[[#This Row],[Discount_Used]]=TRUE,"Yes","No")</f>
        <v>No</v>
      </c>
      <c r="BF209" t="str">
        <f>IF(tbl_OriginalData[[#This Row],[Customer_Loyalty_Program_Member]]=TRUE,"Yes","No")</f>
        <v>No</v>
      </c>
      <c r="BG209" t="str">
        <f>tbl_OriginalData[[#This Row],[Purchase_Intent]]</f>
        <v>Impulsive</v>
      </c>
      <c r="BH209" t="str">
        <f>tbl_OriginalData[[#This Row],[Shipping_Preference]]</f>
        <v>No Preference</v>
      </c>
      <c r="BI209">
        <f>tbl_OriginalData[[#This Row],[Time_to_Decision]]</f>
        <v>8</v>
      </c>
      <c r="BJ209" t="s">
        <v>47</v>
      </c>
      <c r="BK209" t="s">
        <v>48</v>
      </c>
      <c r="BL209" t="s">
        <v>2527</v>
      </c>
    </row>
    <row r="210" spans="1:64">
      <c r="A210" t="s">
        <v>600</v>
      </c>
      <c r="B210">
        <v>36</v>
      </c>
      <c r="C210" t="s">
        <v>188</v>
      </c>
      <c r="D210" t="s">
        <v>51</v>
      </c>
      <c r="E210" t="s">
        <v>35</v>
      </c>
      <c r="F210" t="s">
        <v>66</v>
      </c>
      <c r="G210" t="s">
        <v>34</v>
      </c>
      <c r="H210" t="s">
        <v>601</v>
      </c>
      <c r="I210" t="s">
        <v>84</v>
      </c>
      <c r="J210">
        <v>268.27999999999997</v>
      </c>
      <c r="K210">
        <v>9</v>
      </c>
      <c r="L210" t="s">
        <v>39</v>
      </c>
      <c r="M210">
        <v>5</v>
      </c>
      <c r="N210">
        <v>2</v>
      </c>
      <c r="O210">
        <v>2</v>
      </c>
      <c r="P210" t="s">
        <v>51</v>
      </c>
      <c r="Q210" t="s">
        <v>101</v>
      </c>
      <c r="R210">
        <v>2</v>
      </c>
      <c r="S210">
        <v>2</v>
      </c>
      <c r="T210" t="s">
        <v>51</v>
      </c>
      <c r="U210" t="s">
        <v>70</v>
      </c>
      <c r="V210" t="s">
        <v>43</v>
      </c>
      <c r="W210" s="1">
        <v>45391</v>
      </c>
      <c r="X210" t="b">
        <v>0</v>
      </c>
      <c r="Y210" t="b">
        <v>1</v>
      </c>
      <c r="Z210" t="s">
        <v>44</v>
      </c>
      <c r="AA210" t="s">
        <v>60</v>
      </c>
      <c r="AB210">
        <v>8</v>
      </c>
      <c r="AF210" t="str">
        <f>tbl_OriginalData[[#This Row],[Customer_ID]]</f>
        <v>23-794-8196</v>
      </c>
      <c r="AG210">
        <f>tbl_OriginalData[[#This Row],[Age]]</f>
        <v>36</v>
      </c>
      <c r="AH210" t="str" cm="1">
        <f t="array" ref="AH21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10" t="str">
        <f>tbl_OriginalData[[#This Row],[Gender]]</f>
        <v>Genderfluid</v>
      </c>
      <c r="AJ210" t="str">
        <f>tbl_OriginalData[[#This Row],[Income_Level]]</f>
        <v>High</v>
      </c>
      <c r="AK210" t="str">
        <f>tbl_OriginalData[[#This Row],[Marital_Status]]</f>
        <v>Married</v>
      </c>
      <c r="AL210" t="str">
        <f>tbl_OriginalData[[#This Row],[Education_Level]]</f>
        <v>Master's</v>
      </c>
      <c r="AM210" t="str">
        <f>tbl_OriginalData[[#This Row],[Occupation]]</f>
        <v>Middle</v>
      </c>
      <c r="AN210" t="s">
        <v>601</v>
      </c>
      <c r="AO210" t="s">
        <v>61</v>
      </c>
      <c r="AP210" t="str">
        <f>tbl_OriginalData[[#This Row],[Purchase_Category]]</f>
        <v>Furniture</v>
      </c>
      <c r="AQ210" s="4">
        <f>tbl_OriginalData[[#This Row],[Purchase_Amount]]</f>
        <v>268.27999999999997</v>
      </c>
      <c r="AR210">
        <f>tbl_OriginalData[[#This Row],[Frequency_of_Purchase]]</f>
        <v>9</v>
      </c>
      <c r="AS210" t="str">
        <f>tbl_OriginalData[[#This Row],[Purchase_Channel]]</f>
        <v>Mixed</v>
      </c>
      <c r="AT210">
        <f>tbl_OriginalData[[#This Row],[Brand_Loyalty]]</f>
        <v>5</v>
      </c>
      <c r="AU210">
        <f>tbl_OriginalData[[#This Row],[Product_Rating]]</f>
        <v>2</v>
      </c>
      <c r="AV210">
        <f>tbl_OriginalData[[#This Row],[Time_Spent_on_Product_Research(hours)]]*60</f>
        <v>120</v>
      </c>
      <c r="AW210" t="str">
        <f>tbl_OriginalData[[#This Row],[Social_Media_Influence]]</f>
        <v>High</v>
      </c>
      <c r="AX210" t="str">
        <f>tbl_OriginalData[[#This Row],[Discount_Sensitivity]]</f>
        <v>Very Sensitive</v>
      </c>
      <c r="AY210" s="3">
        <f>tbl_OriginalData[[#This Row],[Return_Rate]]/tbl_OriginalData[[#This Row],[Frequency_of_Purchase]]</f>
        <v>0.22222222222222221</v>
      </c>
      <c r="AZ210">
        <f>tbl_OriginalData[[#This Row],[Customer_Satisfaction]]</f>
        <v>2</v>
      </c>
      <c r="BA210" t="str">
        <f>tbl_OriginalData[[#This Row],[Engagement_with_Ads]]</f>
        <v>High</v>
      </c>
      <c r="BB210" t="str">
        <f>tbl_OriginalData[[#This Row],[Device_Used_for_Shopping]]</f>
        <v>Smartphone</v>
      </c>
      <c r="BC210" t="str">
        <f>tbl_OriginalData[[#This Row],[Payment_Method]]</f>
        <v>Credit Card</v>
      </c>
      <c r="BD210" s="1">
        <f>tbl_OriginalData[[#This Row],[Time_of_Purchase]]</f>
        <v>45391</v>
      </c>
      <c r="BE210" t="str">
        <f>IF(tbl_OriginalData[[#This Row],[Discount_Used]]=TRUE,"Yes","No")</f>
        <v>No</v>
      </c>
      <c r="BF210" t="str">
        <f>IF(tbl_OriginalData[[#This Row],[Customer_Loyalty_Program_Member]]=TRUE,"Yes","No")</f>
        <v>Yes</v>
      </c>
      <c r="BG210" t="str">
        <f>tbl_OriginalData[[#This Row],[Purchase_Intent]]</f>
        <v>Need-based</v>
      </c>
      <c r="BH210" t="str">
        <f>tbl_OriginalData[[#This Row],[Shipping_Preference]]</f>
        <v>Standard</v>
      </c>
      <c r="BI210">
        <f>tbl_OriginalData[[#This Row],[Time_to_Decision]]</f>
        <v>8</v>
      </c>
      <c r="BJ210" t="s">
        <v>62</v>
      </c>
      <c r="BK210" t="s">
        <v>63</v>
      </c>
      <c r="BL210" t="s">
        <v>2524</v>
      </c>
    </row>
    <row r="211" spans="1:64">
      <c r="A211" t="s">
        <v>602</v>
      </c>
      <c r="B211">
        <v>45</v>
      </c>
      <c r="C211" t="s">
        <v>33</v>
      </c>
      <c r="D211" t="s">
        <v>34</v>
      </c>
      <c r="E211" t="s">
        <v>65</v>
      </c>
      <c r="F211" t="s">
        <v>66</v>
      </c>
      <c r="G211" t="s">
        <v>51</v>
      </c>
      <c r="H211" t="s">
        <v>603</v>
      </c>
      <c r="I211" t="s">
        <v>108</v>
      </c>
      <c r="J211">
        <v>64.489999999999995</v>
      </c>
      <c r="K211">
        <v>6</v>
      </c>
      <c r="L211" t="s">
        <v>94</v>
      </c>
      <c r="M211">
        <v>2</v>
      </c>
      <c r="N211">
        <v>1</v>
      </c>
      <c r="O211">
        <v>0</v>
      </c>
      <c r="P211" t="s">
        <v>40</v>
      </c>
      <c r="Q211" t="s">
        <v>101</v>
      </c>
      <c r="R211">
        <v>1</v>
      </c>
      <c r="S211">
        <v>10</v>
      </c>
      <c r="T211" t="s">
        <v>40</v>
      </c>
      <c r="U211" t="s">
        <v>42</v>
      </c>
      <c r="V211" t="s">
        <v>76</v>
      </c>
      <c r="W211" s="1">
        <v>45584</v>
      </c>
      <c r="X211" t="b">
        <v>0</v>
      </c>
      <c r="Y211" t="b">
        <v>0</v>
      </c>
      <c r="Z211" t="s">
        <v>89</v>
      </c>
      <c r="AA211" t="s">
        <v>77</v>
      </c>
      <c r="AB211">
        <v>7</v>
      </c>
      <c r="AF211" t="str">
        <f>tbl_OriginalData[[#This Row],[Customer_ID]]</f>
        <v>66-050-6391</v>
      </c>
      <c r="AG211">
        <f>tbl_OriginalData[[#This Row],[Age]]</f>
        <v>45</v>
      </c>
      <c r="AH211" t="str" cm="1">
        <f t="array" ref="AH21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11" t="str">
        <f>tbl_OriginalData[[#This Row],[Gender]]</f>
        <v>Female</v>
      </c>
      <c r="AJ211" t="str">
        <f>tbl_OriginalData[[#This Row],[Income_Level]]</f>
        <v>Middle</v>
      </c>
      <c r="AK211" t="str">
        <f>tbl_OriginalData[[#This Row],[Marital_Status]]</f>
        <v>Single</v>
      </c>
      <c r="AL211" t="str">
        <f>tbl_OriginalData[[#This Row],[Education_Level]]</f>
        <v>Master's</v>
      </c>
      <c r="AM211" t="str">
        <f>tbl_OriginalData[[#This Row],[Occupation]]</f>
        <v>High</v>
      </c>
      <c r="AN211" t="s">
        <v>603</v>
      </c>
      <c r="AO211" t="s">
        <v>221</v>
      </c>
      <c r="AP211" t="str">
        <f>tbl_OriginalData[[#This Row],[Purchase_Category]]</f>
        <v>Sports &amp; Outdoors</v>
      </c>
      <c r="AQ211" s="4">
        <f>tbl_OriginalData[[#This Row],[Purchase_Amount]]</f>
        <v>64.489999999999995</v>
      </c>
      <c r="AR211">
        <f>tbl_OriginalData[[#This Row],[Frequency_of_Purchase]]</f>
        <v>6</v>
      </c>
      <c r="AS211" t="str">
        <f>tbl_OriginalData[[#This Row],[Purchase_Channel]]</f>
        <v>Online</v>
      </c>
      <c r="AT211">
        <f>tbl_OriginalData[[#This Row],[Brand_Loyalty]]</f>
        <v>2</v>
      </c>
      <c r="AU211">
        <f>tbl_OriginalData[[#This Row],[Product_Rating]]</f>
        <v>1</v>
      </c>
      <c r="AV211">
        <f>tbl_OriginalData[[#This Row],[Time_Spent_on_Product_Research(hours)]]*60</f>
        <v>0</v>
      </c>
      <c r="AW211" t="str">
        <f>tbl_OriginalData[[#This Row],[Social_Media_Influence]]</f>
        <v>None</v>
      </c>
      <c r="AX211" t="str">
        <f>tbl_OriginalData[[#This Row],[Discount_Sensitivity]]</f>
        <v>Very Sensitive</v>
      </c>
      <c r="AY211" s="3">
        <f>tbl_OriginalData[[#This Row],[Return_Rate]]/tbl_OriginalData[[#This Row],[Frequency_of_Purchase]]</f>
        <v>0.16666666666666666</v>
      </c>
      <c r="AZ211">
        <f>tbl_OriginalData[[#This Row],[Customer_Satisfaction]]</f>
        <v>10</v>
      </c>
      <c r="BA211" t="str">
        <f>tbl_OriginalData[[#This Row],[Engagement_with_Ads]]</f>
        <v>None</v>
      </c>
      <c r="BB211" t="str">
        <f>tbl_OriginalData[[#This Row],[Device_Used_for_Shopping]]</f>
        <v>Tablet</v>
      </c>
      <c r="BC211" t="str">
        <f>tbl_OriginalData[[#This Row],[Payment_Method]]</f>
        <v>Other</v>
      </c>
      <c r="BD211" s="1">
        <f>tbl_OriginalData[[#This Row],[Time_of_Purchase]]</f>
        <v>45584</v>
      </c>
      <c r="BE211" t="str">
        <f>IF(tbl_OriginalData[[#This Row],[Discount_Used]]=TRUE,"Yes","No")</f>
        <v>No</v>
      </c>
      <c r="BF211" t="str">
        <f>IF(tbl_OriginalData[[#This Row],[Customer_Loyalty_Program_Member]]=TRUE,"Yes","No")</f>
        <v>No</v>
      </c>
      <c r="BG211" t="str">
        <f>tbl_OriginalData[[#This Row],[Purchase_Intent]]</f>
        <v>Planned</v>
      </c>
      <c r="BH211" t="str">
        <f>tbl_OriginalData[[#This Row],[Shipping_Preference]]</f>
        <v>Express</v>
      </c>
      <c r="BI211">
        <f>tbl_OriginalData[[#This Row],[Time_to_Decision]]</f>
        <v>7</v>
      </c>
      <c r="BJ211" t="s">
        <v>79</v>
      </c>
      <c r="BK211" t="s">
        <v>80</v>
      </c>
      <c r="BL211" t="s">
        <v>2525</v>
      </c>
    </row>
    <row r="212" spans="1:64">
      <c r="A212" t="s">
        <v>604</v>
      </c>
      <c r="B212">
        <v>44</v>
      </c>
      <c r="C212" t="s">
        <v>50</v>
      </c>
      <c r="D212" t="s">
        <v>34</v>
      </c>
      <c r="E212" t="s">
        <v>82</v>
      </c>
      <c r="F212" t="s">
        <v>52</v>
      </c>
      <c r="G212" t="s">
        <v>34</v>
      </c>
      <c r="H212" t="s">
        <v>191</v>
      </c>
      <c r="I212" t="s">
        <v>170</v>
      </c>
      <c r="J212">
        <v>80.17</v>
      </c>
      <c r="K212">
        <v>10</v>
      </c>
      <c r="L212" t="s">
        <v>94</v>
      </c>
      <c r="M212">
        <v>1</v>
      </c>
      <c r="N212">
        <v>1</v>
      </c>
      <c r="O212">
        <v>1</v>
      </c>
      <c r="P212" t="s">
        <v>51</v>
      </c>
      <c r="Q212" t="s">
        <v>57</v>
      </c>
      <c r="R212">
        <v>1</v>
      </c>
      <c r="S212">
        <v>8</v>
      </c>
      <c r="T212" t="s">
        <v>40</v>
      </c>
      <c r="U212" t="s">
        <v>42</v>
      </c>
      <c r="V212" t="s">
        <v>43</v>
      </c>
      <c r="W212" s="1">
        <v>45422</v>
      </c>
      <c r="X212" t="b">
        <v>1</v>
      </c>
      <c r="Y212" t="b">
        <v>1</v>
      </c>
      <c r="Z212" t="s">
        <v>89</v>
      </c>
      <c r="AA212" t="s">
        <v>45</v>
      </c>
      <c r="AB212">
        <v>6</v>
      </c>
      <c r="AF212" t="str">
        <f>tbl_OriginalData[[#This Row],[Customer_ID]]</f>
        <v>22-311-5460</v>
      </c>
      <c r="AG212">
        <f>tbl_OriginalData[[#This Row],[Age]]</f>
        <v>44</v>
      </c>
      <c r="AH212" t="str" cm="1">
        <f t="array" ref="AH21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12" t="str">
        <f>tbl_OriginalData[[#This Row],[Gender]]</f>
        <v>Male</v>
      </c>
      <c r="AJ212" t="str">
        <f>tbl_OriginalData[[#This Row],[Income_Level]]</f>
        <v>Middle</v>
      </c>
      <c r="AK212" t="str">
        <f>tbl_OriginalData[[#This Row],[Marital_Status]]</f>
        <v>Widowed</v>
      </c>
      <c r="AL212" t="str">
        <f>tbl_OriginalData[[#This Row],[Education_Level]]</f>
        <v>High School</v>
      </c>
      <c r="AM212" t="str">
        <f>tbl_OriginalData[[#This Row],[Occupation]]</f>
        <v>Middle</v>
      </c>
      <c r="AN212" t="s">
        <v>191</v>
      </c>
      <c r="AO212" t="s">
        <v>109</v>
      </c>
      <c r="AP212" t="str">
        <f>tbl_OriginalData[[#This Row],[Purchase_Category]]</f>
        <v>Arts &amp; Crafts</v>
      </c>
      <c r="AQ212" s="4">
        <f>tbl_OriginalData[[#This Row],[Purchase_Amount]]</f>
        <v>80.17</v>
      </c>
      <c r="AR212">
        <f>tbl_OriginalData[[#This Row],[Frequency_of_Purchase]]</f>
        <v>10</v>
      </c>
      <c r="AS212" t="str">
        <f>tbl_OriginalData[[#This Row],[Purchase_Channel]]</f>
        <v>Online</v>
      </c>
      <c r="AT212">
        <f>tbl_OriginalData[[#This Row],[Brand_Loyalty]]</f>
        <v>1</v>
      </c>
      <c r="AU212">
        <f>tbl_OriginalData[[#This Row],[Product_Rating]]</f>
        <v>1</v>
      </c>
      <c r="AV212">
        <f>tbl_OriginalData[[#This Row],[Time_Spent_on_Product_Research(hours)]]*60</f>
        <v>60</v>
      </c>
      <c r="AW212" t="str">
        <f>tbl_OriginalData[[#This Row],[Social_Media_Influence]]</f>
        <v>High</v>
      </c>
      <c r="AX212" t="str">
        <f>tbl_OriginalData[[#This Row],[Discount_Sensitivity]]</f>
        <v>Not Sensitive</v>
      </c>
      <c r="AY212" s="3">
        <f>tbl_OriginalData[[#This Row],[Return_Rate]]/tbl_OriginalData[[#This Row],[Frequency_of_Purchase]]</f>
        <v>0.1</v>
      </c>
      <c r="AZ212">
        <f>tbl_OriginalData[[#This Row],[Customer_Satisfaction]]</f>
        <v>8</v>
      </c>
      <c r="BA212" t="str">
        <f>tbl_OriginalData[[#This Row],[Engagement_with_Ads]]</f>
        <v>None</v>
      </c>
      <c r="BB212" t="str">
        <f>tbl_OriginalData[[#This Row],[Device_Used_for_Shopping]]</f>
        <v>Tablet</v>
      </c>
      <c r="BC212" t="str">
        <f>tbl_OriginalData[[#This Row],[Payment_Method]]</f>
        <v>Credit Card</v>
      </c>
      <c r="BD212" s="1">
        <f>tbl_OriginalData[[#This Row],[Time_of_Purchase]]</f>
        <v>45422</v>
      </c>
      <c r="BE212" t="str">
        <f>IF(tbl_OriginalData[[#This Row],[Discount_Used]]=TRUE,"Yes","No")</f>
        <v>Yes</v>
      </c>
      <c r="BF212" t="str">
        <f>IF(tbl_OriginalData[[#This Row],[Customer_Loyalty_Program_Member]]=TRUE,"Yes","No")</f>
        <v>Yes</v>
      </c>
      <c r="BG212" t="str">
        <f>tbl_OriginalData[[#This Row],[Purchase_Intent]]</f>
        <v>Planned</v>
      </c>
      <c r="BH212" t="str">
        <f>tbl_OriginalData[[#This Row],[Shipping_Preference]]</f>
        <v>No Preference</v>
      </c>
      <c r="BI212">
        <f>tbl_OriginalData[[#This Row],[Time_to_Decision]]</f>
        <v>6</v>
      </c>
      <c r="BJ212" t="s">
        <v>167</v>
      </c>
      <c r="BK212" t="s">
        <v>63</v>
      </c>
      <c r="BL212" t="s">
        <v>2526</v>
      </c>
    </row>
    <row r="213" spans="1:64">
      <c r="A213" t="s">
        <v>605</v>
      </c>
      <c r="B213">
        <v>28</v>
      </c>
      <c r="C213" t="s">
        <v>50</v>
      </c>
      <c r="D213" t="s">
        <v>51</v>
      </c>
      <c r="E213" t="s">
        <v>35</v>
      </c>
      <c r="F213" t="s">
        <v>66</v>
      </c>
      <c r="G213" t="s">
        <v>51</v>
      </c>
      <c r="H213" t="s">
        <v>606</v>
      </c>
      <c r="I213" t="s">
        <v>199</v>
      </c>
      <c r="J213">
        <v>277.52</v>
      </c>
      <c r="K213">
        <v>11</v>
      </c>
      <c r="L213" t="s">
        <v>55</v>
      </c>
      <c r="M213">
        <v>4</v>
      </c>
      <c r="N213">
        <v>1</v>
      </c>
      <c r="O213">
        <v>0</v>
      </c>
      <c r="P213" t="s">
        <v>40</v>
      </c>
      <c r="Q213" t="s">
        <v>57</v>
      </c>
      <c r="R213">
        <v>1</v>
      </c>
      <c r="S213">
        <v>7</v>
      </c>
      <c r="T213" t="s">
        <v>56</v>
      </c>
      <c r="U213" t="s">
        <v>70</v>
      </c>
      <c r="V213" t="s">
        <v>58</v>
      </c>
      <c r="W213" s="1">
        <v>45426</v>
      </c>
      <c r="X213" t="b">
        <v>1</v>
      </c>
      <c r="Y213" t="b">
        <v>0</v>
      </c>
      <c r="Z213" t="s">
        <v>44</v>
      </c>
      <c r="AA213" t="s">
        <v>60</v>
      </c>
      <c r="AB213">
        <v>11</v>
      </c>
      <c r="AF213" t="str">
        <f>tbl_OriginalData[[#This Row],[Customer_ID]]</f>
        <v>51-917-0766</v>
      </c>
      <c r="AG213">
        <f>tbl_OriginalData[[#This Row],[Age]]</f>
        <v>28</v>
      </c>
      <c r="AH213" t="str" cm="1">
        <f t="array" ref="AH21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13" t="str">
        <f>tbl_OriginalData[[#This Row],[Gender]]</f>
        <v>Male</v>
      </c>
      <c r="AJ213" t="str">
        <f>tbl_OriginalData[[#This Row],[Income_Level]]</f>
        <v>High</v>
      </c>
      <c r="AK213" t="str">
        <f>tbl_OriginalData[[#This Row],[Marital_Status]]</f>
        <v>Married</v>
      </c>
      <c r="AL213" t="str">
        <f>tbl_OriginalData[[#This Row],[Education_Level]]</f>
        <v>Master's</v>
      </c>
      <c r="AM213" t="str">
        <f>tbl_OriginalData[[#This Row],[Occupation]]</f>
        <v>High</v>
      </c>
      <c r="AN213" t="s">
        <v>606</v>
      </c>
      <c r="AO213" t="s">
        <v>161</v>
      </c>
      <c r="AP213" t="str">
        <f>tbl_OriginalData[[#This Row],[Purchase_Category]]</f>
        <v>Groceries</v>
      </c>
      <c r="AQ213" s="4">
        <f>tbl_OriginalData[[#This Row],[Purchase_Amount]]</f>
        <v>277.52</v>
      </c>
      <c r="AR213">
        <f>tbl_OriginalData[[#This Row],[Frequency_of_Purchase]]</f>
        <v>11</v>
      </c>
      <c r="AS213" t="str">
        <f>tbl_OriginalData[[#This Row],[Purchase_Channel]]</f>
        <v>In-Store</v>
      </c>
      <c r="AT213">
        <f>tbl_OriginalData[[#This Row],[Brand_Loyalty]]</f>
        <v>4</v>
      </c>
      <c r="AU213">
        <f>tbl_OriginalData[[#This Row],[Product_Rating]]</f>
        <v>1</v>
      </c>
      <c r="AV213">
        <f>tbl_OriginalData[[#This Row],[Time_Spent_on_Product_Research(hours)]]*60</f>
        <v>0</v>
      </c>
      <c r="AW213" t="str">
        <f>tbl_OriginalData[[#This Row],[Social_Media_Influence]]</f>
        <v>None</v>
      </c>
      <c r="AX213" t="str">
        <f>tbl_OriginalData[[#This Row],[Discount_Sensitivity]]</f>
        <v>Not Sensitive</v>
      </c>
      <c r="AY213" s="3">
        <f>tbl_OriginalData[[#This Row],[Return_Rate]]/tbl_OriginalData[[#This Row],[Frequency_of_Purchase]]</f>
        <v>9.0909090909090912E-2</v>
      </c>
      <c r="AZ213">
        <f>tbl_OriginalData[[#This Row],[Customer_Satisfaction]]</f>
        <v>7</v>
      </c>
      <c r="BA213" t="str">
        <f>tbl_OriginalData[[#This Row],[Engagement_with_Ads]]</f>
        <v>Medium</v>
      </c>
      <c r="BB213" t="str">
        <f>tbl_OriginalData[[#This Row],[Device_Used_for_Shopping]]</f>
        <v>Smartphone</v>
      </c>
      <c r="BC213" t="str">
        <f>tbl_OriginalData[[#This Row],[Payment_Method]]</f>
        <v>PayPal</v>
      </c>
      <c r="BD213" s="1">
        <f>tbl_OriginalData[[#This Row],[Time_of_Purchase]]</f>
        <v>45426</v>
      </c>
      <c r="BE213" t="str">
        <f>IF(tbl_OriginalData[[#This Row],[Discount_Used]]=TRUE,"Yes","No")</f>
        <v>Yes</v>
      </c>
      <c r="BF213" t="str">
        <f>IF(tbl_OriginalData[[#This Row],[Customer_Loyalty_Program_Member]]=TRUE,"Yes","No")</f>
        <v>No</v>
      </c>
      <c r="BG213" t="str">
        <f>tbl_OriginalData[[#This Row],[Purchase_Intent]]</f>
        <v>Need-based</v>
      </c>
      <c r="BH213" t="str">
        <f>tbl_OriginalData[[#This Row],[Shipping_Preference]]</f>
        <v>Standard</v>
      </c>
      <c r="BI213">
        <f>tbl_OriginalData[[#This Row],[Time_to_Decision]]</f>
        <v>11</v>
      </c>
      <c r="BJ213" t="s">
        <v>167</v>
      </c>
      <c r="BK213" t="s">
        <v>63</v>
      </c>
      <c r="BL213" t="s">
        <v>2527</v>
      </c>
    </row>
    <row r="214" spans="1:64">
      <c r="A214" t="s">
        <v>607</v>
      </c>
      <c r="B214">
        <v>40</v>
      </c>
      <c r="C214" t="s">
        <v>50</v>
      </c>
      <c r="D214" t="s">
        <v>51</v>
      </c>
      <c r="E214" t="s">
        <v>82</v>
      </c>
      <c r="F214" t="s">
        <v>66</v>
      </c>
      <c r="G214" t="s">
        <v>34</v>
      </c>
      <c r="H214" t="s">
        <v>608</v>
      </c>
      <c r="I214" t="s">
        <v>180</v>
      </c>
      <c r="J214">
        <v>53.67</v>
      </c>
      <c r="K214">
        <v>7</v>
      </c>
      <c r="L214" t="s">
        <v>94</v>
      </c>
      <c r="M214">
        <v>3</v>
      </c>
      <c r="N214">
        <v>5</v>
      </c>
      <c r="O214">
        <v>1</v>
      </c>
      <c r="P214" t="s">
        <v>51</v>
      </c>
      <c r="Q214" t="s">
        <v>57</v>
      </c>
      <c r="R214">
        <v>0</v>
      </c>
      <c r="S214">
        <v>2</v>
      </c>
      <c r="T214" t="s">
        <v>51</v>
      </c>
      <c r="U214" t="s">
        <v>95</v>
      </c>
      <c r="V214" t="s">
        <v>58</v>
      </c>
      <c r="W214" s="1">
        <v>45395</v>
      </c>
      <c r="X214" t="b">
        <v>0</v>
      </c>
      <c r="Y214" t="b">
        <v>0</v>
      </c>
      <c r="Z214" t="s">
        <v>89</v>
      </c>
      <c r="AA214" t="s">
        <v>77</v>
      </c>
      <c r="AB214">
        <v>11</v>
      </c>
      <c r="AF214" t="str">
        <f>tbl_OriginalData[[#This Row],[Customer_ID]]</f>
        <v>53-013-1026</v>
      </c>
      <c r="AG214">
        <f>tbl_OriginalData[[#This Row],[Age]]</f>
        <v>40</v>
      </c>
      <c r="AH214" t="str" cm="1">
        <f t="array" ref="AH21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14" t="str">
        <f>tbl_OriginalData[[#This Row],[Gender]]</f>
        <v>Male</v>
      </c>
      <c r="AJ214" t="str">
        <f>tbl_OriginalData[[#This Row],[Income_Level]]</f>
        <v>High</v>
      </c>
      <c r="AK214" t="str">
        <f>tbl_OriginalData[[#This Row],[Marital_Status]]</f>
        <v>Widowed</v>
      </c>
      <c r="AL214" t="str">
        <f>tbl_OriginalData[[#This Row],[Education_Level]]</f>
        <v>Master's</v>
      </c>
      <c r="AM214" t="str">
        <f>tbl_OriginalData[[#This Row],[Occupation]]</f>
        <v>Middle</v>
      </c>
      <c r="AN214" t="s">
        <v>608</v>
      </c>
      <c r="AO214" t="s">
        <v>299</v>
      </c>
      <c r="AP214" t="str">
        <f>tbl_OriginalData[[#This Row],[Purchase_Category]]</f>
        <v>Health Supplements</v>
      </c>
      <c r="AQ214" s="4">
        <f>tbl_OriginalData[[#This Row],[Purchase_Amount]]</f>
        <v>53.67</v>
      </c>
      <c r="AR214">
        <f>tbl_OriginalData[[#This Row],[Frequency_of_Purchase]]</f>
        <v>7</v>
      </c>
      <c r="AS214" t="str">
        <f>tbl_OriginalData[[#This Row],[Purchase_Channel]]</f>
        <v>Online</v>
      </c>
      <c r="AT214">
        <f>tbl_OriginalData[[#This Row],[Brand_Loyalty]]</f>
        <v>3</v>
      </c>
      <c r="AU214">
        <f>tbl_OriginalData[[#This Row],[Product_Rating]]</f>
        <v>5</v>
      </c>
      <c r="AV214">
        <f>tbl_OriginalData[[#This Row],[Time_Spent_on_Product_Research(hours)]]*60</f>
        <v>60</v>
      </c>
      <c r="AW214" t="str">
        <f>tbl_OriginalData[[#This Row],[Social_Media_Influence]]</f>
        <v>High</v>
      </c>
      <c r="AX214" t="str">
        <f>tbl_OriginalData[[#This Row],[Discount_Sensitivity]]</f>
        <v>Not Sensitive</v>
      </c>
      <c r="AY214" s="3">
        <f>tbl_OriginalData[[#This Row],[Return_Rate]]/tbl_OriginalData[[#This Row],[Frequency_of_Purchase]]</f>
        <v>0</v>
      </c>
      <c r="AZ214">
        <f>tbl_OriginalData[[#This Row],[Customer_Satisfaction]]</f>
        <v>2</v>
      </c>
      <c r="BA214" t="str">
        <f>tbl_OriginalData[[#This Row],[Engagement_with_Ads]]</f>
        <v>High</v>
      </c>
      <c r="BB214" t="str">
        <f>tbl_OriginalData[[#This Row],[Device_Used_for_Shopping]]</f>
        <v>Desktop</v>
      </c>
      <c r="BC214" t="str">
        <f>tbl_OriginalData[[#This Row],[Payment_Method]]</f>
        <v>PayPal</v>
      </c>
      <c r="BD214" s="1">
        <f>tbl_OriginalData[[#This Row],[Time_of_Purchase]]</f>
        <v>45395</v>
      </c>
      <c r="BE214" t="str">
        <f>IF(tbl_OriginalData[[#This Row],[Discount_Used]]=TRUE,"Yes","No")</f>
        <v>No</v>
      </c>
      <c r="BF214" t="str">
        <f>IF(tbl_OriginalData[[#This Row],[Customer_Loyalty_Program_Member]]=TRUE,"Yes","No")</f>
        <v>No</v>
      </c>
      <c r="BG214" t="str">
        <f>tbl_OriginalData[[#This Row],[Purchase_Intent]]</f>
        <v>Planned</v>
      </c>
      <c r="BH214" t="str">
        <f>tbl_OriginalData[[#This Row],[Shipping_Preference]]</f>
        <v>Express</v>
      </c>
      <c r="BI214">
        <f>tbl_OriginalData[[#This Row],[Time_to_Decision]]</f>
        <v>11</v>
      </c>
      <c r="BJ214" t="s">
        <v>62</v>
      </c>
      <c r="BK214" t="s">
        <v>63</v>
      </c>
      <c r="BL214" t="s">
        <v>2525</v>
      </c>
    </row>
    <row r="215" spans="1:64">
      <c r="A215" t="s">
        <v>609</v>
      </c>
      <c r="B215">
        <v>49</v>
      </c>
      <c r="C215" t="s">
        <v>33</v>
      </c>
      <c r="D215" t="s">
        <v>34</v>
      </c>
      <c r="E215" t="s">
        <v>82</v>
      </c>
      <c r="F215" t="s">
        <v>36</v>
      </c>
      <c r="G215" t="s">
        <v>51</v>
      </c>
      <c r="H215" t="s">
        <v>610</v>
      </c>
      <c r="I215" t="s">
        <v>68</v>
      </c>
      <c r="J215">
        <v>323.39</v>
      </c>
      <c r="K215">
        <v>10</v>
      </c>
      <c r="L215" t="s">
        <v>55</v>
      </c>
      <c r="M215">
        <v>2</v>
      </c>
      <c r="N215">
        <v>3</v>
      </c>
      <c r="O215">
        <v>2</v>
      </c>
      <c r="P215" t="s">
        <v>40</v>
      </c>
      <c r="Q215" t="s">
        <v>101</v>
      </c>
      <c r="R215">
        <v>0</v>
      </c>
      <c r="S215">
        <v>7</v>
      </c>
      <c r="T215" t="s">
        <v>51</v>
      </c>
      <c r="U215" t="s">
        <v>42</v>
      </c>
      <c r="V215" t="s">
        <v>102</v>
      </c>
      <c r="W215" s="1">
        <v>45295</v>
      </c>
      <c r="X215" t="b">
        <v>1</v>
      </c>
      <c r="Y215" t="b">
        <v>1</v>
      </c>
      <c r="Z215" t="s">
        <v>44</v>
      </c>
      <c r="AA215" t="s">
        <v>45</v>
      </c>
      <c r="AB215">
        <v>11</v>
      </c>
      <c r="AF215" t="str">
        <f>tbl_OriginalData[[#This Row],[Customer_ID]]</f>
        <v>29-779-3457</v>
      </c>
      <c r="AG215">
        <f>tbl_OriginalData[[#This Row],[Age]]</f>
        <v>49</v>
      </c>
      <c r="AH215" t="str" cm="1">
        <f t="array" ref="AH21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15" t="str">
        <f>tbl_OriginalData[[#This Row],[Gender]]</f>
        <v>Female</v>
      </c>
      <c r="AJ215" t="str">
        <f>tbl_OriginalData[[#This Row],[Income_Level]]</f>
        <v>Middle</v>
      </c>
      <c r="AK215" t="str">
        <f>tbl_OriginalData[[#This Row],[Marital_Status]]</f>
        <v>Widowed</v>
      </c>
      <c r="AL215" t="str">
        <f>tbl_OriginalData[[#This Row],[Education_Level]]</f>
        <v>Bachelor's</v>
      </c>
      <c r="AM215" t="str">
        <f>tbl_OriginalData[[#This Row],[Occupation]]</f>
        <v>High</v>
      </c>
      <c r="AN215" t="s">
        <v>610</v>
      </c>
      <c r="AO215" t="s">
        <v>61</v>
      </c>
      <c r="AP215" t="str">
        <f>tbl_OriginalData[[#This Row],[Purchase_Category]]</f>
        <v>Office Supplies</v>
      </c>
      <c r="AQ215" s="4">
        <f>tbl_OriginalData[[#This Row],[Purchase_Amount]]</f>
        <v>323.39</v>
      </c>
      <c r="AR215">
        <f>tbl_OriginalData[[#This Row],[Frequency_of_Purchase]]</f>
        <v>10</v>
      </c>
      <c r="AS215" t="str">
        <f>tbl_OriginalData[[#This Row],[Purchase_Channel]]</f>
        <v>In-Store</v>
      </c>
      <c r="AT215">
        <f>tbl_OriginalData[[#This Row],[Brand_Loyalty]]</f>
        <v>2</v>
      </c>
      <c r="AU215">
        <f>tbl_OriginalData[[#This Row],[Product_Rating]]</f>
        <v>3</v>
      </c>
      <c r="AV215">
        <f>tbl_OriginalData[[#This Row],[Time_Spent_on_Product_Research(hours)]]*60</f>
        <v>120</v>
      </c>
      <c r="AW215" t="str">
        <f>tbl_OriginalData[[#This Row],[Social_Media_Influence]]</f>
        <v>None</v>
      </c>
      <c r="AX215" t="str">
        <f>tbl_OriginalData[[#This Row],[Discount_Sensitivity]]</f>
        <v>Very Sensitive</v>
      </c>
      <c r="AY215" s="3">
        <f>tbl_OriginalData[[#This Row],[Return_Rate]]/tbl_OriginalData[[#This Row],[Frequency_of_Purchase]]</f>
        <v>0</v>
      </c>
      <c r="AZ215">
        <f>tbl_OriginalData[[#This Row],[Customer_Satisfaction]]</f>
        <v>7</v>
      </c>
      <c r="BA215" t="str">
        <f>tbl_OriginalData[[#This Row],[Engagement_with_Ads]]</f>
        <v>High</v>
      </c>
      <c r="BB215" t="str">
        <f>tbl_OriginalData[[#This Row],[Device_Used_for_Shopping]]</f>
        <v>Tablet</v>
      </c>
      <c r="BC215" t="str">
        <f>tbl_OriginalData[[#This Row],[Payment_Method]]</f>
        <v>Cash</v>
      </c>
      <c r="BD215" s="1">
        <f>tbl_OriginalData[[#This Row],[Time_of_Purchase]]</f>
        <v>45295</v>
      </c>
      <c r="BE215" t="str">
        <f>IF(tbl_OriginalData[[#This Row],[Discount_Used]]=TRUE,"Yes","No")</f>
        <v>Yes</v>
      </c>
      <c r="BF215" t="str">
        <f>IF(tbl_OriginalData[[#This Row],[Customer_Loyalty_Program_Member]]=TRUE,"Yes","No")</f>
        <v>Yes</v>
      </c>
      <c r="BG215" t="str">
        <f>tbl_OriginalData[[#This Row],[Purchase_Intent]]</f>
        <v>Need-based</v>
      </c>
      <c r="BH215" t="str">
        <f>tbl_OriginalData[[#This Row],[Shipping_Preference]]</f>
        <v>No Preference</v>
      </c>
      <c r="BI215">
        <f>tbl_OriginalData[[#This Row],[Time_to_Decision]]</f>
        <v>11</v>
      </c>
      <c r="BJ215" t="s">
        <v>86</v>
      </c>
      <c r="BK215" t="s">
        <v>48</v>
      </c>
      <c r="BL215" t="s">
        <v>2524</v>
      </c>
    </row>
    <row r="216" spans="1:64">
      <c r="A216" t="s">
        <v>611</v>
      </c>
      <c r="B216">
        <v>50</v>
      </c>
      <c r="C216" t="s">
        <v>33</v>
      </c>
      <c r="D216" t="s">
        <v>51</v>
      </c>
      <c r="E216" t="s">
        <v>65</v>
      </c>
      <c r="F216" t="s">
        <v>36</v>
      </c>
      <c r="G216" t="s">
        <v>51</v>
      </c>
      <c r="H216" t="s">
        <v>612</v>
      </c>
      <c r="I216" t="s">
        <v>108</v>
      </c>
      <c r="J216">
        <v>98.02</v>
      </c>
      <c r="K216">
        <v>5</v>
      </c>
      <c r="L216" t="s">
        <v>55</v>
      </c>
      <c r="M216">
        <v>3</v>
      </c>
      <c r="N216">
        <v>3</v>
      </c>
      <c r="O216">
        <v>1</v>
      </c>
      <c r="P216" t="s">
        <v>69</v>
      </c>
      <c r="Q216" t="s">
        <v>57</v>
      </c>
      <c r="R216">
        <v>0</v>
      </c>
      <c r="S216">
        <v>3</v>
      </c>
      <c r="T216" t="s">
        <v>51</v>
      </c>
      <c r="U216" t="s">
        <v>95</v>
      </c>
      <c r="V216" t="s">
        <v>71</v>
      </c>
      <c r="W216" s="1">
        <v>45473</v>
      </c>
      <c r="X216" t="b">
        <v>1</v>
      </c>
      <c r="Y216" t="b">
        <v>0</v>
      </c>
      <c r="Z216" t="s">
        <v>89</v>
      </c>
      <c r="AA216" t="s">
        <v>45</v>
      </c>
      <c r="AB216">
        <v>10</v>
      </c>
      <c r="AF216" t="str">
        <f>tbl_OriginalData[[#This Row],[Customer_ID]]</f>
        <v>18-047-5540</v>
      </c>
      <c r="AG216">
        <f>tbl_OriginalData[[#This Row],[Age]]</f>
        <v>50</v>
      </c>
      <c r="AH216" t="str" cm="1">
        <f t="array" ref="AH21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16" t="str">
        <f>tbl_OriginalData[[#This Row],[Gender]]</f>
        <v>Female</v>
      </c>
      <c r="AJ216" t="str">
        <f>tbl_OriginalData[[#This Row],[Income_Level]]</f>
        <v>High</v>
      </c>
      <c r="AK216" t="str">
        <f>tbl_OriginalData[[#This Row],[Marital_Status]]</f>
        <v>Single</v>
      </c>
      <c r="AL216" t="str">
        <f>tbl_OriginalData[[#This Row],[Education_Level]]</f>
        <v>Bachelor's</v>
      </c>
      <c r="AM216" t="str">
        <f>tbl_OriginalData[[#This Row],[Occupation]]</f>
        <v>High</v>
      </c>
      <c r="AN216" t="s">
        <v>612</v>
      </c>
      <c r="AO216" t="s">
        <v>613</v>
      </c>
      <c r="AP216" t="str">
        <f>tbl_OriginalData[[#This Row],[Purchase_Category]]</f>
        <v>Sports &amp; Outdoors</v>
      </c>
      <c r="AQ216" s="4">
        <f>tbl_OriginalData[[#This Row],[Purchase_Amount]]</f>
        <v>98.02</v>
      </c>
      <c r="AR216">
        <f>tbl_OriginalData[[#This Row],[Frequency_of_Purchase]]</f>
        <v>5</v>
      </c>
      <c r="AS216" t="str">
        <f>tbl_OriginalData[[#This Row],[Purchase_Channel]]</f>
        <v>In-Store</v>
      </c>
      <c r="AT216">
        <f>tbl_OriginalData[[#This Row],[Brand_Loyalty]]</f>
        <v>3</v>
      </c>
      <c r="AU216">
        <f>tbl_OriginalData[[#This Row],[Product_Rating]]</f>
        <v>3</v>
      </c>
      <c r="AV216">
        <f>tbl_OriginalData[[#This Row],[Time_Spent_on_Product_Research(hours)]]*60</f>
        <v>60</v>
      </c>
      <c r="AW216" t="str">
        <f>tbl_OriginalData[[#This Row],[Social_Media_Influence]]</f>
        <v>Low</v>
      </c>
      <c r="AX216" t="str">
        <f>tbl_OriginalData[[#This Row],[Discount_Sensitivity]]</f>
        <v>Not Sensitive</v>
      </c>
      <c r="AY216" s="3">
        <f>tbl_OriginalData[[#This Row],[Return_Rate]]/tbl_OriginalData[[#This Row],[Frequency_of_Purchase]]</f>
        <v>0</v>
      </c>
      <c r="AZ216">
        <f>tbl_OriginalData[[#This Row],[Customer_Satisfaction]]</f>
        <v>3</v>
      </c>
      <c r="BA216" t="str">
        <f>tbl_OriginalData[[#This Row],[Engagement_with_Ads]]</f>
        <v>High</v>
      </c>
      <c r="BB216" t="str">
        <f>tbl_OriginalData[[#This Row],[Device_Used_for_Shopping]]</f>
        <v>Desktop</v>
      </c>
      <c r="BC216" t="str">
        <f>tbl_OriginalData[[#This Row],[Payment_Method]]</f>
        <v>Debit Card</v>
      </c>
      <c r="BD216" s="1">
        <f>tbl_OriginalData[[#This Row],[Time_of_Purchase]]</f>
        <v>45473</v>
      </c>
      <c r="BE216" t="str">
        <f>IF(tbl_OriginalData[[#This Row],[Discount_Used]]=TRUE,"Yes","No")</f>
        <v>Yes</v>
      </c>
      <c r="BF216" t="str">
        <f>IF(tbl_OriginalData[[#This Row],[Customer_Loyalty_Program_Member]]=TRUE,"Yes","No")</f>
        <v>No</v>
      </c>
      <c r="BG216" t="str">
        <f>tbl_OriginalData[[#This Row],[Purchase_Intent]]</f>
        <v>Planned</v>
      </c>
      <c r="BH216" t="str">
        <f>tbl_OriginalData[[#This Row],[Shipping_Preference]]</f>
        <v>No Preference</v>
      </c>
      <c r="BI216">
        <f>tbl_OriginalData[[#This Row],[Time_to_Decision]]</f>
        <v>10</v>
      </c>
      <c r="BJ216" t="s">
        <v>104</v>
      </c>
      <c r="BK216" t="s">
        <v>63</v>
      </c>
      <c r="BL216" t="s">
        <v>2524</v>
      </c>
    </row>
    <row r="217" spans="1:64">
      <c r="A217" t="s">
        <v>614</v>
      </c>
      <c r="B217">
        <v>24</v>
      </c>
      <c r="C217" t="s">
        <v>50</v>
      </c>
      <c r="D217" t="s">
        <v>51</v>
      </c>
      <c r="E217" t="s">
        <v>92</v>
      </c>
      <c r="F217" t="s">
        <v>36</v>
      </c>
      <c r="G217" t="s">
        <v>51</v>
      </c>
      <c r="H217" t="s">
        <v>615</v>
      </c>
      <c r="I217" t="s">
        <v>242</v>
      </c>
      <c r="J217">
        <v>231.26</v>
      </c>
      <c r="K217">
        <v>10</v>
      </c>
      <c r="L217" t="s">
        <v>55</v>
      </c>
      <c r="M217">
        <v>5</v>
      </c>
      <c r="N217">
        <v>1</v>
      </c>
      <c r="O217">
        <v>2</v>
      </c>
      <c r="P217" t="s">
        <v>69</v>
      </c>
      <c r="Q217" t="s">
        <v>101</v>
      </c>
      <c r="R217">
        <v>2</v>
      </c>
      <c r="S217">
        <v>5</v>
      </c>
      <c r="T217" t="s">
        <v>69</v>
      </c>
      <c r="U217" t="s">
        <v>95</v>
      </c>
      <c r="V217" t="s">
        <v>102</v>
      </c>
      <c r="W217" s="1">
        <v>45412</v>
      </c>
      <c r="X217" t="b">
        <v>0</v>
      </c>
      <c r="Y217" t="b">
        <v>1</v>
      </c>
      <c r="Z217" t="s">
        <v>72</v>
      </c>
      <c r="AA217" t="s">
        <v>45</v>
      </c>
      <c r="AB217">
        <v>10</v>
      </c>
      <c r="AF217" t="str">
        <f>tbl_OriginalData[[#This Row],[Customer_ID]]</f>
        <v>89-438-5310</v>
      </c>
      <c r="AG217">
        <f>tbl_OriginalData[[#This Row],[Age]]</f>
        <v>24</v>
      </c>
      <c r="AH217" t="str" cm="1">
        <f t="array" ref="AH21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17" t="str">
        <f>tbl_OriginalData[[#This Row],[Gender]]</f>
        <v>Male</v>
      </c>
      <c r="AJ217" t="str">
        <f>tbl_OriginalData[[#This Row],[Income_Level]]</f>
        <v>High</v>
      </c>
      <c r="AK217" t="str">
        <f>tbl_OriginalData[[#This Row],[Marital_Status]]</f>
        <v>Divorced</v>
      </c>
      <c r="AL217" t="str">
        <f>tbl_OriginalData[[#This Row],[Education_Level]]</f>
        <v>Bachelor's</v>
      </c>
      <c r="AM217" t="str">
        <f>tbl_OriginalData[[#This Row],[Occupation]]</f>
        <v>High</v>
      </c>
      <c r="AN217" t="s">
        <v>615</v>
      </c>
      <c r="AO217" t="s">
        <v>386</v>
      </c>
      <c r="AP217" t="str">
        <f>tbl_OriginalData[[#This Row],[Purchase_Category]]</f>
        <v>Travel &amp; Leisure (Flights</v>
      </c>
      <c r="AQ217" s="4">
        <f>tbl_OriginalData[[#This Row],[Purchase_Amount]]</f>
        <v>231.26</v>
      </c>
      <c r="AR217">
        <f>tbl_OriginalData[[#This Row],[Frequency_of_Purchase]]</f>
        <v>10</v>
      </c>
      <c r="AS217" t="str">
        <f>tbl_OriginalData[[#This Row],[Purchase_Channel]]</f>
        <v>In-Store</v>
      </c>
      <c r="AT217">
        <f>tbl_OriginalData[[#This Row],[Brand_Loyalty]]</f>
        <v>5</v>
      </c>
      <c r="AU217">
        <f>tbl_OriginalData[[#This Row],[Product_Rating]]</f>
        <v>1</v>
      </c>
      <c r="AV217">
        <f>tbl_OriginalData[[#This Row],[Time_Spent_on_Product_Research(hours)]]*60</f>
        <v>120</v>
      </c>
      <c r="AW217" t="str">
        <f>tbl_OriginalData[[#This Row],[Social_Media_Influence]]</f>
        <v>Low</v>
      </c>
      <c r="AX217" t="str">
        <f>tbl_OriginalData[[#This Row],[Discount_Sensitivity]]</f>
        <v>Very Sensitive</v>
      </c>
      <c r="AY217" s="3">
        <f>tbl_OriginalData[[#This Row],[Return_Rate]]/tbl_OriginalData[[#This Row],[Frequency_of_Purchase]]</f>
        <v>0.2</v>
      </c>
      <c r="AZ217">
        <f>tbl_OriginalData[[#This Row],[Customer_Satisfaction]]</f>
        <v>5</v>
      </c>
      <c r="BA217" t="str">
        <f>tbl_OriginalData[[#This Row],[Engagement_with_Ads]]</f>
        <v>Low</v>
      </c>
      <c r="BB217" t="str">
        <f>tbl_OriginalData[[#This Row],[Device_Used_for_Shopping]]</f>
        <v>Desktop</v>
      </c>
      <c r="BC217" t="str">
        <f>tbl_OriginalData[[#This Row],[Payment_Method]]</f>
        <v>Cash</v>
      </c>
      <c r="BD217" s="1">
        <f>tbl_OriginalData[[#This Row],[Time_of_Purchase]]</f>
        <v>45412</v>
      </c>
      <c r="BE217" t="str">
        <f>IF(tbl_OriginalData[[#This Row],[Discount_Used]]=TRUE,"Yes","No")</f>
        <v>No</v>
      </c>
      <c r="BF217" t="str">
        <f>IF(tbl_OriginalData[[#This Row],[Customer_Loyalty_Program_Member]]=TRUE,"Yes","No")</f>
        <v>Yes</v>
      </c>
      <c r="BG217" t="str">
        <f>tbl_OriginalData[[#This Row],[Purchase_Intent]]</f>
        <v>Impulsive</v>
      </c>
      <c r="BH217" t="str">
        <f>tbl_OriginalData[[#This Row],[Shipping_Preference]]</f>
        <v>No Preference</v>
      </c>
      <c r="BI217">
        <f>tbl_OriginalData[[#This Row],[Time_to_Decision]]</f>
        <v>10</v>
      </c>
      <c r="BJ217" t="s">
        <v>62</v>
      </c>
      <c r="BK217" t="s">
        <v>63</v>
      </c>
      <c r="BL217" t="s">
        <v>2523</v>
      </c>
    </row>
    <row r="218" spans="1:64">
      <c r="A218" t="s">
        <v>616</v>
      </c>
      <c r="B218">
        <v>26</v>
      </c>
      <c r="C218" t="s">
        <v>50</v>
      </c>
      <c r="D218" t="s">
        <v>51</v>
      </c>
      <c r="E218" t="s">
        <v>65</v>
      </c>
      <c r="F218" t="s">
        <v>66</v>
      </c>
      <c r="G218" t="s">
        <v>34</v>
      </c>
      <c r="H218" t="s">
        <v>617</v>
      </c>
      <c r="I218" t="s">
        <v>54</v>
      </c>
      <c r="J218">
        <v>382.49</v>
      </c>
      <c r="K218">
        <v>6</v>
      </c>
      <c r="L218" t="s">
        <v>55</v>
      </c>
      <c r="M218">
        <v>4</v>
      </c>
      <c r="N218">
        <v>2</v>
      </c>
      <c r="O218">
        <v>2</v>
      </c>
      <c r="P218" t="s">
        <v>40</v>
      </c>
      <c r="Q218" t="s">
        <v>101</v>
      </c>
      <c r="R218">
        <v>2</v>
      </c>
      <c r="S218">
        <v>3</v>
      </c>
      <c r="T218" t="s">
        <v>56</v>
      </c>
      <c r="U218" t="s">
        <v>42</v>
      </c>
      <c r="V218" t="s">
        <v>71</v>
      </c>
      <c r="W218" s="1">
        <v>45323</v>
      </c>
      <c r="X218" t="b">
        <v>1</v>
      </c>
      <c r="Y218" t="b">
        <v>0</v>
      </c>
      <c r="Z218" t="s">
        <v>72</v>
      </c>
      <c r="AA218" t="s">
        <v>45</v>
      </c>
      <c r="AB218">
        <v>1</v>
      </c>
      <c r="AF218" t="str">
        <f>tbl_OriginalData[[#This Row],[Customer_ID]]</f>
        <v>23-985-3535</v>
      </c>
      <c r="AG218">
        <f>tbl_OriginalData[[#This Row],[Age]]</f>
        <v>26</v>
      </c>
      <c r="AH218" t="str" cm="1">
        <f t="array" ref="AH21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18" t="str">
        <f>tbl_OriginalData[[#This Row],[Gender]]</f>
        <v>Male</v>
      </c>
      <c r="AJ218" t="str">
        <f>tbl_OriginalData[[#This Row],[Income_Level]]</f>
        <v>High</v>
      </c>
      <c r="AK218" t="str">
        <f>tbl_OriginalData[[#This Row],[Marital_Status]]</f>
        <v>Single</v>
      </c>
      <c r="AL218" t="str">
        <f>tbl_OriginalData[[#This Row],[Education_Level]]</f>
        <v>Master's</v>
      </c>
      <c r="AM218" t="str">
        <f>tbl_OriginalData[[#This Row],[Occupation]]</f>
        <v>Middle</v>
      </c>
      <c r="AN218" t="s">
        <v>617</v>
      </c>
      <c r="AO218" t="s">
        <v>618</v>
      </c>
      <c r="AP218" t="str">
        <f>tbl_OriginalData[[#This Row],[Purchase_Category]]</f>
        <v>Food &amp; Beverages</v>
      </c>
      <c r="AQ218" s="4">
        <f>tbl_OriginalData[[#This Row],[Purchase_Amount]]</f>
        <v>382.49</v>
      </c>
      <c r="AR218">
        <f>tbl_OriginalData[[#This Row],[Frequency_of_Purchase]]</f>
        <v>6</v>
      </c>
      <c r="AS218" t="str">
        <f>tbl_OriginalData[[#This Row],[Purchase_Channel]]</f>
        <v>In-Store</v>
      </c>
      <c r="AT218">
        <f>tbl_OriginalData[[#This Row],[Brand_Loyalty]]</f>
        <v>4</v>
      </c>
      <c r="AU218">
        <f>tbl_OriginalData[[#This Row],[Product_Rating]]</f>
        <v>2</v>
      </c>
      <c r="AV218">
        <f>tbl_OriginalData[[#This Row],[Time_Spent_on_Product_Research(hours)]]*60</f>
        <v>120</v>
      </c>
      <c r="AW218" t="str">
        <f>tbl_OriginalData[[#This Row],[Social_Media_Influence]]</f>
        <v>None</v>
      </c>
      <c r="AX218" t="str">
        <f>tbl_OriginalData[[#This Row],[Discount_Sensitivity]]</f>
        <v>Very Sensitive</v>
      </c>
      <c r="AY218" s="3">
        <f>tbl_OriginalData[[#This Row],[Return_Rate]]/tbl_OriginalData[[#This Row],[Frequency_of_Purchase]]</f>
        <v>0.33333333333333331</v>
      </c>
      <c r="AZ218">
        <f>tbl_OriginalData[[#This Row],[Customer_Satisfaction]]</f>
        <v>3</v>
      </c>
      <c r="BA218" t="str">
        <f>tbl_OriginalData[[#This Row],[Engagement_with_Ads]]</f>
        <v>Medium</v>
      </c>
      <c r="BB218" t="str">
        <f>tbl_OriginalData[[#This Row],[Device_Used_for_Shopping]]</f>
        <v>Tablet</v>
      </c>
      <c r="BC218" t="str">
        <f>tbl_OriginalData[[#This Row],[Payment_Method]]</f>
        <v>Debit Card</v>
      </c>
      <c r="BD218" s="1">
        <f>tbl_OriginalData[[#This Row],[Time_of_Purchase]]</f>
        <v>45323</v>
      </c>
      <c r="BE218" t="str">
        <f>IF(tbl_OriginalData[[#This Row],[Discount_Used]]=TRUE,"Yes","No")</f>
        <v>Yes</v>
      </c>
      <c r="BF218" t="str">
        <f>IF(tbl_OriginalData[[#This Row],[Customer_Loyalty_Program_Member]]=TRUE,"Yes","No")</f>
        <v>No</v>
      </c>
      <c r="BG218" t="str">
        <f>tbl_OriginalData[[#This Row],[Purchase_Intent]]</f>
        <v>Impulsive</v>
      </c>
      <c r="BH218" t="str">
        <f>tbl_OriginalData[[#This Row],[Shipping_Preference]]</f>
        <v>No Preference</v>
      </c>
      <c r="BI218">
        <f>tbl_OriginalData[[#This Row],[Time_to_Decision]]</f>
        <v>1</v>
      </c>
      <c r="BJ218" t="s">
        <v>158</v>
      </c>
      <c r="BK218" t="s">
        <v>48</v>
      </c>
      <c r="BL218" t="s">
        <v>2528</v>
      </c>
    </row>
    <row r="219" spans="1:64">
      <c r="A219" t="s">
        <v>619</v>
      </c>
      <c r="B219">
        <v>28</v>
      </c>
      <c r="C219" t="s">
        <v>50</v>
      </c>
      <c r="D219" t="s">
        <v>34</v>
      </c>
      <c r="E219" t="s">
        <v>92</v>
      </c>
      <c r="F219" t="s">
        <v>66</v>
      </c>
      <c r="G219" t="s">
        <v>51</v>
      </c>
      <c r="H219" t="s">
        <v>620</v>
      </c>
      <c r="I219" t="s">
        <v>242</v>
      </c>
      <c r="J219">
        <v>255.42</v>
      </c>
      <c r="K219">
        <v>9</v>
      </c>
      <c r="L219" t="s">
        <v>39</v>
      </c>
      <c r="M219">
        <v>5</v>
      </c>
      <c r="N219">
        <v>5</v>
      </c>
      <c r="O219">
        <v>2</v>
      </c>
      <c r="P219" t="s">
        <v>40</v>
      </c>
      <c r="Q219" t="s">
        <v>41</v>
      </c>
      <c r="R219">
        <v>1</v>
      </c>
      <c r="S219">
        <v>9</v>
      </c>
      <c r="T219" t="s">
        <v>40</v>
      </c>
      <c r="U219" t="s">
        <v>42</v>
      </c>
      <c r="V219" t="s">
        <v>58</v>
      </c>
      <c r="W219" s="1">
        <v>45474</v>
      </c>
      <c r="X219" t="b">
        <v>1</v>
      </c>
      <c r="Y219" t="b">
        <v>1</v>
      </c>
      <c r="Z219" t="s">
        <v>72</v>
      </c>
      <c r="AA219" t="s">
        <v>60</v>
      </c>
      <c r="AB219">
        <v>11</v>
      </c>
      <c r="AF219" t="str">
        <f>tbl_OriginalData[[#This Row],[Customer_ID]]</f>
        <v>67-939-2463</v>
      </c>
      <c r="AG219">
        <f>tbl_OriginalData[[#This Row],[Age]]</f>
        <v>28</v>
      </c>
      <c r="AH219" t="str" cm="1">
        <f t="array" ref="AH21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19" t="str">
        <f>tbl_OriginalData[[#This Row],[Gender]]</f>
        <v>Male</v>
      </c>
      <c r="AJ219" t="str">
        <f>tbl_OriginalData[[#This Row],[Income_Level]]</f>
        <v>Middle</v>
      </c>
      <c r="AK219" t="str">
        <f>tbl_OriginalData[[#This Row],[Marital_Status]]</f>
        <v>Divorced</v>
      </c>
      <c r="AL219" t="str">
        <f>tbl_OriginalData[[#This Row],[Education_Level]]</f>
        <v>Master's</v>
      </c>
      <c r="AM219" t="str">
        <f>tbl_OriginalData[[#This Row],[Occupation]]</f>
        <v>High</v>
      </c>
      <c r="AN219" t="s">
        <v>620</v>
      </c>
      <c r="AO219" t="s">
        <v>103</v>
      </c>
      <c r="AP219" t="str">
        <f>tbl_OriginalData[[#This Row],[Purchase_Category]]</f>
        <v>Travel &amp; Leisure (Flights</v>
      </c>
      <c r="AQ219" s="4">
        <f>tbl_OriginalData[[#This Row],[Purchase_Amount]]</f>
        <v>255.42</v>
      </c>
      <c r="AR219">
        <f>tbl_OriginalData[[#This Row],[Frequency_of_Purchase]]</f>
        <v>9</v>
      </c>
      <c r="AS219" t="str">
        <f>tbl_OriginalData[[#This Row],[Purchase_Channel]]</f>
        <v>Mixed</v>
      </c>
      <c r="AT219">
        <f>tbl_OriginalData[[#This Row],[Brand_Loyalty]]</f>
        <v>5</v>
      </c>
      <c r="AU219">
        <f>tbl_OriginalData[[#This Row],[Product_Rating]]</f>
        <v>5</v>
      </c>
      <c r="AV219">
        <f>tbl_OriginalData[[#This Row],[Time_Spent_on_Product_Research(hours)]]*60</f>
        <v>120</v>
      </c>
      <c r="AW219" t="str">
        <f>tbl_OriginalData[[#This Row],[Social_Media_Influence]]</f>
        <v>None</v>
      </c>
      <c r="AX219" t="str">
        <f>tbl_OriginalData[[#This Row],[Discount_Sensitivity]]</f>
        <v>Somewhat Sensitive</v>
      </c>
      <c r="AY219" s="3">
        <f>tbl_OriginalData[[#This Row],[Return_Rate]]/tbl_OriginalData[[#This Row],[Frequency_of_Purchase]]</f>
        <v>0.1111111111111111</v>
      </c>
      <c r="AZ219">
        <f>tbl_OriginalData[[#This Row],[Customer_Satisfaction]]</f>
        <v>9</v>
      </c>
      <c r="BA219" t="str">
        <f>tbl_OriginalData[[#This Row],[Engagement_with_Ads]]</f>
        <v>None</v>
      </c>
      <c r="BB219" t="str">
        <f>tbl_OriginalData[[#This Row],[Device_Used_for_Shopping]]</f>
        <v>Tablet</v>
      </c>
      <c r="BC219" t="str">
        <f>tbl_OriginalData[[#This Row],[Payment_Method]]</f>
        <v>PayPal</v>
      </c>
      <c r="BD219" s="1">
        <f>tbl_OriginalData[[#This Row],[Time_of_Purchase]]</f>
        <v>45474</v>
      </c>
      <c r="BE219" t="str">
        <f>IF(tbl_OriginalData[[#This Row],[Discount_Used]]=TRUE,"Yes","No")</f>
        <v>Yes</v>
      </c>
      <c r="BF219" t="str">
        <f>IF(tbl_OriginalData[[#This Row],[Customer_Loyalty_Program_Member]]=TRUE,"Yes","No")</f>
        <v>Yes</v>
      </c>
      <c r="BG219" t="str">
        <f>tbl_OriginalData[[#This Row],[Purchase_Intent]]</f>
        <v>Impulsive</v>
      </c>
      <c r="BH219" t="str">
        <f>tbl_OriginalData[[#This Row],[Shipping_Preference]]</f>
        <v>Standard</v>
      </c>
      <c r="BI219">
        <f>tbl_OriginalData[[#This Row],[Time_to_Decision]]</f>
        <v>11</v>
      </c>
      <c r="BJ219" t="s">
        <v>114</v>
      </c>
      <c r="BK219" t="s">
        <v>115</v>
      </c>
      <c r="BL219" t="s">
        <v>2523</v>
      </c>
    </row>
    <row r="220" spans="1:64">
      <c r="A220" t="s">
        <v>621</v>
      </c>
      <c r="B220">
        <v>48</v>
      </c>
      <c r="C220" t="s">
        <v>33</v>
      </c>
      <c r="D220" t="s">
        <v>34</v>
      </c>
      <c r="E220" t="s">
        <v>65</v>
      </c>
      <c r="F220" t="s">
        <v>52</v>
      </c>
      <c r="G220" t="s">
        <v>51</v>
      </c>
      <c r="H220" t="s">
        <v>622</v>
      </c>
      <c r="I220" t="s">
        <v>156</v>
      </c>
      <c r="J220">
        <v>423.23</v>
      </c>
      <c r="K220">
        <v>12</v>
      </c>
      <c r="L220" t="s">
        <v>55</v>
      </c>
      <c r="M220">
        <v>3</v>
      </c>
      <c r="N220">
        <v>3</v>
      </c>
      <c r="O220">
        <v>2</v>
      </c>
      <c r="P220" t="s">
        <v>51</v>
      </c>
      <c r="Q220" t="s">
        <v>41</v>
      </c>
      <c r="R220">
        <v>0</v>
      </c>
      <c r="S220">
        <v>7</v>
      </c>
      <c r="T220" t="s">
        <v>69</v>
      </c>
      <c r="U220" t="s">
        <v>42</v>
      </c>
      <c r="V220" t="s">
        <v>71</v>
      </c>
      <c r="W220" s="1">
        <v>45601</v>
      </c>
      <c r="X220" t="b">
        <v>0</v>
      </c>
      <c r="Y220" t="b">
        <v>0</v>
      </c>
      <c r="Z220" t="s">
        <v>89</v>
      </c>
      <c r="AA220" t="s">
        <v>60</v>
      </c>
      <c r="AB220">
        <v>6</v>
      </c>
      <c r="AF220" t="str">
        <f>tbl_OriginalData[[#This Row],[Customer_ID]]</f>
        <v>03-623-6767</v>
      </c>
      <c r="AG220">
        <f>tbl_OriginalData[[#This Row],[Age]]</f>
        <v>48</v>
      </c>
      <c r="AH220" t="str" cm="1">
        <f t="array" ref="AH22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20" t="str">
        <f>tbl_OriginalData[[#This Row],[Gender]]</f>
        <v>Female</v>
      </c>
      <c r="AJ220" t="str">
        <f>tbl_OriginalData[[#This Row],[Income_Level]]</f>
        <v>Middle</v>
      </c>
      <c r="AK220" t="str">
        <f>tbl_OriginalData[[#This Row],[Marital_Status]]</f>
        <v>Single</v>
      </c>
      <c r="AL220" t="str">
        <f>tbl_OriginalData[[#This Row],[Education_Level]]</f>
        <v>High School</v>
      </c>
      <c r="AM220" t="str">
        <f>tbl_OriginalData[[#This Row],[Occupation]]</f>
        <v>High</v>
      </c>
      <c r="AN220" t="s">
        <v>622</v>
      </c>
      <c r="AO220" t="s">
        <v>363</v>
      </c>
      <c r="AP220" t="str">
        <f>tbl_OriginalData[[#This Row],[Purchase_Category]]</f>
        <v>Toys &amp; Games</v>
      </c>
      <c r="AQ220" s="4">
        <f>tbl_OriginalData[[#This Row],[Purchase_Amount]]</f>
        <v>423.23</v>
      </c>
      <c r="AR220">
        <f>tbl_OriginalData[[#This Row],[Frequency_of_Purchase]]</f>
        <v>12</v>
      </c>
      <c r="AS220" t="str">
        <f>tbl_OriginalData[[#This Row],[Purchase_Channel]]</f>
        <v>In-Store</v>
      </c>
      <c r="AT220">
        <f>tbl_OriginalData[[#This Row],[Brand_Loyalty]]</f>
        <v>3</v>
      </c>
      <c r="AU220">
        <f>tbl_OriginalData[[#This Row],[Product_Rating]]</f>
        <v>3</v>
      </c>
      <c r="AV220">
        <f>tbl_OriginalData[[#This Row],[Time_Spent_on_Product_Research(hours)]]*60</f>
        <v>120</v>
      </c>
      <c r="AW220" t="str">
        <f>tbl_OriginalData[[#This Row],[Social_Media_Influence]]</f>
        <v>High</v>
      </c>
      <c r="AX220" t="str">
        <f>tbl_OriginalData[[#This Row],[Discount_Sensitivity]]</f>
        <v>Somewhat Sensitive</v>
      </c>
      <c r="AY220" s="3">
        <f>tbl_OriginalData[[#This Row],[Return_Rate]]/tbl_OriginalData[[#This Row],[Frequency_of_Purchase]]</f>
        <v>0</v>
      </c>
      <c r="AZ220">
        <f>tbl_OriginalData[[#This Row],[Customer_Satisfaction]]</f>
        <v>7</v>
      </c>
      <c r="BA220" t="str">
        <f>tbl_OriginalData[[#This Row],[Engagement_with_Ads]]</f>
        <v>Low</v>
      </c>
      <c r="BB220" t="str">
        <f>tbl_OriginalData[[#This Row],[Device_Used_for_Shopping]]</f>
        <v>Tablet</v>
      </c>
      <c r="BC220" t="str">
        <f>tbl_OriginalData[[#This Row],[Payment_Method]]</f>
        <v>Debit Card</v>
      </c>
      <c r="BD220" s="1">
        <f>tbl_OriginalData[[#This Row],[Time_of_Purchase]]</f>
        <v>45601</v>
      </c>
      <c r="BE220" t="str">
        <f>IF(tbl_OriginalData[[#This Row],[Discount_Used]]=TRUE,"Yes","No")</f>
        <v>No</v>
      </c>
      <c r="BF220" t="str">
        <f>IF(tbl_OriginalData[[#This Row],[Customer_Loyalty_Program_Member]]=TRUE,"Yes","No")</f>
        <v>No</v>
      </c>
      <c r="BG220" t="str">
        <f>tbl_OriginalData[[#This Row],[Purchase_Intent]]</f>
        <v>Planned</v>
      </c>
      <c r="BH220" t="str">
        <f>tbl_OriginalData[[#This Row],[Shipping_Preference]]</f>
        <v>Standard</v>
      </c>
      <c r="BI220">
        <f>tbl_OriginalData[[#This Row],[Time_to_Decision]]</f>
        <v>6</v>
      </c>
      <c r="BJ220" t="s">
        <v>177</v>
      </c>
      <c r="BK220" t="s">
        <v>80</v>
      </c>
      <c r="BL220" t="s">
        <v>2527</v>
      </c>
    </row>
    <row r="221" spans="1:64">
      <c r="A221" t="s">
        <v>623</v>
      </c>
      <c r="B221">
        <v>47</v>
      </c>
      <c r="C221" t="s">
        <v>50</v>
      </c>
      <c r="D221" t="s">
        <v>34</v>
      </c>
      <c r="E221" t="s">
        <v>65</v>
      </c>
      <c r="F221" t="s">
        <v>52</v>
      </c>
      <c r="G221" t="s">
        <v>51</v>
      </c>
      <c r="H221" t="s">
        <v>624</v>
      </c>
      <c r="I221" t="s">
        <v>235</v>
      </c>
      <c r="J221">
        <v>276.08</v>
      </c>
      <c r="K221">
        <v>4</v>
      </c>
      <c r="L221" t="s">
        <v>39</v>
      </c>
      <c r="M221">
        <v>4</v>
      </c>
      <c r="N221">
        <v>5</v>
      </c>
      <c r="O221">
        <v>0.3</v>
      </c>
      <c r="P221" t="s">
        <v>51</v>
      </c>
      <c r="Q221" t="s">
        <v>41</v>
      </c>
      <c r="R221">
        <v>2</v>
      </c>
      <c r="S221">
        <v>10</v>
      </c>
      <c r="T221" t="s">
        <v>69</v>
      </c>
      <c r="U221" t="s">
        <v>70</v>
      </c>
      <c r="V221" t="s">
        <v>43</v>
      </c>
      <c r="W221" s="1">
        <v>45320</v>
      </c>
      <c r="X221" t="b">
        <v>0</v>
      </c>
      <c r="Y221" t="b">
        <v>1</v>
      </c>
      <c r="Z221" t="s">
        <v>44</v>
      </c>
      <c r="AA221" t="s">
        <v>45</v>
      </c>
      <c r="AB221">
        <v>10</v>
      </c>
      <c r="AF221" t="str">
        <f>tbl_OriginalData[[#This Row],[Customer_ID]]</f>
        <v>86-749-6914</v>
      </c>
      <c r="AG221">
        <f>tbl_OriginalData[[#This Row],[Age]]</f>
        <v>47</v>
      </c>
      <c r="AH221" t="str" cm="1">
        <f t="array" ref="AH22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21" t="str">
        <f>tbl_OriginalData[[#This Row],[Gender]]</f>
        <v>Male</v>
      </c>
      <c r="AJ221" t="str">
        <f>tbl_OriginalData[[#This Row],[Income_Level]]</f>
        <v>Middle</v>
      </c>
      <c r="AK221" t="str">
        <f>tbl_OriginalData[[#This Row],[Marital_Status]]</f>
        <v>Single</v>
      </c>
      <c r="AL221" t="str">
        <f>tbl_OriginalData[[#This Row],[Education_Level]]</f>
        <v>High School</v>
      </c>
      <c r="AM221" t="str">
        <f>tbl_OriginalData[[#This Row],[Occupation]]</f>
        <v>High</v>
      </c>
      <c r="AN221" t="s">
        <v>624</v>
      </c>
      <c r="AO221" t="s">
        <v>221</v>
      </c>
      <c r="AP221" t="str">
        <f>tbl_OriginalData[[#This Row],[Purchase_Category]]</f>
        <v>Beauty &amp; Personal Care</v>
      </c>
      <c r="AQ221" s="4">
        <f>tbl_OriginalData[[#This Row],[Purchase_Amount]]</f>
        <v>276.08</v>
      </c>
      <c r="AR221">
        <f>tbl_OriginalData[[#This Row],[Frequency_of_Purchase]]</f>
        <v>4</v>
      </c>
      <c r="AS221" t="str">
        <f>tbl_OriginalData[[#This Row],[Purchase_Channel]]</f>
        <v>Mixed</v>
      </c>
      <c r="AT221">
        <f>tbl_OriginalData[[#This Row],[Brand_Loyalty]]</f>
        <v>4</v>
      </c>
      <c r="AU221">
        <f>tbl_OriginalData[[#This Row],[Product_Rating]]</f>
        <v>5</v>
      </c>
      <c r="AV221">
        <f>tbl_OriginalData[[#This Row],[Time_Spent_on_Product_Research(hours)]]*60</f>
        <v>18</v>
      </c>
      <c r="AW221" t="str">
        <f>tbl_OriginalData[[#This Row],[Social_Media_Influence]]</f>
        <v>High</v>
      </c>
      <c r="AX221" t="str">
        <f>tbl_OriginalData[[#This Row],[Discount_Sensitivity]]</f>
        <v>Somewhat Sensitive</v>
      </c>
      <c r="AY221" s="3">
        <f>tbl_OriginalData[[#This Row],[Return_Rate]]/tbl_OriginalData[[#This Row],[Frequency_of_Purchase]]</f>
        <v>0.5</v>
      </c>
      <c r="AZ221">
        <f>tbl_OriginalData[[#This Row],[Customer_Satisfaction]]</f>
        <v>10</v>
      </c>
      <c r="BA221" t="str">
        <f>tbl_OriginalData[[#This Row],[Engagement_with_Ads]]</f>
        <v>Low</v>
      </c>
      <c r="BB221" t="str">
        <f>tbl_OriginalData[[#This Row],[Device_Used_for_Shopping]]</f>
        <v>Smartphone</v>
      </c>
      <c r="BC221" t="str">
        <f>tbl_OriginalData[[#This Row],[Payment_Method]]</f>
        <v>Credit Card</v>
      </c>
      <c r="BD221" s="1">
        <f>tbl_OriginalData[[#This Row],[Time_of_Purchase]]</f>
        <v>45320</v>
      </c>
      <c r="BE221" t="str">
        <f>IF(tbl_OriginalData[[#This Row],[Discount_Used]]=TRUE,"Yes","No")</f>
        <v>No</v>
      </c>
      <c r="BF221" t="str">
        <f>IF(tbl_OriginalData[[#This Row],[Customer_Loyalty_Program_Member]]=TRUE,"Yes","No")</f>
        <v>Yes</v>
      </c>
      <c r="BG221" t="str">
        <f>tbl_OriginalData[[#This Row],[Purchase_Intent]]</f>
        <v>Need-based</v>
      </c>
      <c r="BH221" t="str">
        <f>tbl_OriginalData[[#This Row],[Shipping_Preference]]</f>
        <v>No Preference</v>
      </c>
      <c r="BI221">
        <f>tbl_OriginalData[[#This Row],[Time_to_Decision]]</f>
        <v>10</v>
      </c>
      <c r="BJ221" t="s">
        <v>86</v>
      </c>
      <c r="BK221" t="s">
        <v>48</v>
      </c>
      <c r="BL221" t="s">
        <v>2525</v>
      </c>
    </row>
    <row r="222" spans="1:64">
      <c r="A222" t="s">
        <v>625</v>
      </c>
      <c r="B222">
        <v>25</v>
      </c>
      <c r="C222" t="s">
        <v>50</v>
      </c>
      <c r="D222" t="s">
        <v>34</v>
      </c>
      <c r="E222" t="s">
        <v>82</v>
      </c>
      <c r="F222" t="s">
        <v>36</v>
      </c>
      <c r="G222" t="s">
        <v>34</v>
      </c>
      <c r="H222" t="s">
        <v>626</v>
      </c>
      <c r="I222" t="s">
        <v>98</v>
      </c>
      <c r="J222">
        <v>333.56</v>
      </c>
      <c r="K222">
        <v>3</v>
      </c>
      <c r="L222" t="s">
        <v>39</v>
      </c>
      <c r="M222">
        <v>4</v>
      </c>
      <c r="N222">
        <v>5</v>
      </c>
      <c r="O222">
        <v>1</v>
      </c>
      <c r="P222" t="s">
        <v>69</v>
      </c>
      <c r="Q222" t="s">
        <v>57</v>
      </c>
      <c r="R222">
        <v>2</v>
      </c>
      <c r="S222">
        <v>2</v>
      </c>
      <c r="T222" t="s">
        <v>51</v>
      </c>
      <c r="U222" t="s">
        <v>70</v>
      </c>
      <c r="V222" t="s">
        <v>76</v>
      </c>
      <c r="W222" s="1">
        <v>45590</v>
      </c>
      <c r="X222" t="b">
        <v>1</v>
      </c>
      <c r="Y222" t="b">
        <v>1</v>
      </c>
      <c r="Z222" t="s">
        <v>72</v>
      </c>
      <c r="AA222" t="s">
        <v>45</v>
      </c>
      <c r="AB222">
        <v>14</v>
      </c>
      <c r="AF222" t="str">
        <f>tbl_OriginalData[[#This Row],[Customer_ID]]</f>
        <v>03-977-8103</v>
      </c>
      <c r="AG222">
        <f>tbl_OriginalData[[#This Row],[Age]]</f>
        <v>25</v>
      </c>
      <c r="AH222" t="str" cm="1">
        <f t="array" ref="AH22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22" t="str">
        <f>tbl_OriginalData[[#This Row],[Gender]]</f>
        <v>Male</v>
      </c>
      <c r="AJ222" t="str">
        <f>tbl_OriginalData[[#This Row],[Income_Level]]</f>
        <v>Middle</v>
      </c>
      <c r="AK222" t="str">
        <f>tbl_OriginalData[[#This Row],[Marital_Status]]</f>
        <v>Widowed</v>
      </c>
      <c r="AL222" t="str">
        <f>tbl_OriginalData[[#This Row],[Education_Level]]</f>
        <v>Bachelor's</v>
      </c>
      <c r="AM222" t="str">
        <f>tbl_OriginalData[[#This Row],[Occupation]]</f>
        <v>Middle</v>
      </c>
      <c r="AN222" t="s">
        <v>626</v>
      </c>
      <c r="AO222" t="s">
        <v>582</v>
      </c>
      <c r="AP222" t="str">
        <f>tbl_OriginalData[[#This Row],[Purchase_Category]]</f>
        <v>Books</v>
      </c>
      <c r="AQ222" s="4">
        <f>tbl_OriginalData[[#This Row],[Purchase_Amount]]</f>
        <v>333.56</v>
      </c>
      <c r="AR222">
        <f>tbl_OriginalData[[#This Row],[Frequency_of_Purchase]]</f>
        <v>3</v>
      </c>
      <c r="AS222" t="str">
        <f>tbl_OriginalData[[#This Row],[Purchase_Channel]]</f>
        <v>Mixed</v>
      </c>
      <c r="AT222">
        <f>tbl_OriginalData[[#This Row],[Brand_Loyalty]]</f>
        <v>4</v>
      </c>
      <c r="AU222">
        <f>tbl_OriginalData[[#This Row],[Product_Rating]]</f>
        <v>5</v>
      </c>
      <c r="AV222">
        <f>tbl_OriginalData[[#This Row],[Time_Spent_on_Product_Research(hours)]]*60</f>
        <v>60</v>
      </c>
      <c r="AW222" t="str">
        <f>tbl_OriginalData[[#This Row],[Social_Media_Influence]]</f>
        <v>Low</v>
      </c>
      <c r="AX222" t="str">
        <f>tbl_OriginalData[[#This Row],[Discount_Sensitivity]]</f>
        <v>Not Sensitive</v>
      </c>
      <c r="AY222" s="3">
        <f>tbl_OriginalData[[#This Row],[Return_Rate]]/tbl_OriginalData[[#This Row],[Frequency_of_Purchase]]</f>
        <v>0.66666666666666663</v>
      </c>
      <c r="AZ222">
        <f>tbl_OriginalData[[#This Row],[Customer_Satisfaction]]</f>
        <v>2</v>
      </c>
      <c r="BA222" t="str">
        <f>tbl_OriginalData[[#This Row],[Engagement_with_Ads]]</f>
        <v>High</v>
      </c>
      <c r="BB222" t="str">
        <f>tbl_OriginalData[[#This Row],[Device_Used_for_Shopping]]</f>
        <v>Smartphone</v>
      </c>
      <c r="BC222" t="str">
        <f>tbl_OriginalData[[#This Row],[Payment_Method]]</f>
        <v>Other</v>
      </c>
      <c r="BD222" s="1">
        <f>tbl_OriginalData[[#This Row],[Time_of_Purchase]]</f>
        <v>45590</v>
      </c>
      <c r="BE222" t="str">
        <f>IF(tbl_OriginalData[[#This Row],[Discount_Used]]=TRUE,"Yes","No")</f>
        <v>Yes</v>
      </c>
      <c r="BF222" t="str">
        <f>IF(tbl_OriginalData[[#This Row],[Customer_Loyalty_Program_Member]]=TRUE,"Yes","No")</f>
        <v>Yes</v>
      </c>
      <c r="BG222" t="str">
        <f>tbl_OriginalData[[#This Row],[Purchase_Intent]]</f>
        <v>Impulsive</v>
      </c>
      <c r="BH222" t="str">
        <f>tbl_OriginalData[[#This Row],[Shipping_Preference]]</f>
        <v>No Preference</v>
      </c>
      <c r="BI222">
        <f>tbl_OriginalData[[#This Row],[Time_to_Decision]]</f>
        <v>14</v>
      </c>
      <c r="BJ222" t="s">
        <v>79</v>
      </c>
      <c r="BK222" t="s">
        <v>80</v>
      </c>
      <c r="BL222" t="s">
        <v>2525</v>
      </c>
    </row>
    <row r="223" spans="1:64">
      <c r="A223" t="s">
        <v>627</v>
      </c>
      <c r="B223">
        <v>39</v>
      </c>
      <c r="C223" t="s">
        <v>50</v>
      </c>
      <c r="D223" t="s">
        <v>51</v>
      </c>
      <c r="E223" t="s">
        <v>92</v>
      </c>
      <c r="F223" t="s">
        <v>36</v>
      </c>
      <c r="G223" t="s">
        <v>34</v>
      </c>
      <c r="H223" t="s">
        <v>628</v>
      </c>
      <c r="I223" t="s">
        <v>199</v>
      </c>
      <c r="J223">
        <v>129.82</v>
      </c>
      <c r="K223">
        <v>12</v>
      </c>
      <c r="L223" t="s">
        <v>39</v>
      </c>
      <c r="M223">
        <v>1</v>
      </c>
      <c r="N223">
        <v>2</v>
      </c>
      <c r="O223">
        <v>0</v>
      </c>
      <c r="P223" t="s">
        <v>51</v>
      </c>
      <c r="Q223" t="s">
        <v>57</v>
      </c>
      <c r="R223">
        <v>2</v>
      </c>
      <c r="S223">
        <v>1</v>
      </c>
      <c r="T223" t="s">
        <v>51</v>
      </c>
      <c r="U223" t="s">
        <v>42</v>
      </c>
      <c r="V223" t="s">
        <v>102</v>
      </c>
      <c r="W223" s="1">
        <v>45446</v>
      </c>
      <c r="X223" t="b">
        <v>0</v>
      </c>
      <c r="Y223" t="b">
        <v>0</v>
      </c>
      <c r="Z223" t="s">
        <v>72</v>
      </c>
      <c r="AA223" t="s">
        <v>60</v>
      </c>
      <c r="AB223">
        <v>8</v>
      </c>
      <c r="AF223" t="str">
        <f>tbl_OriginalData[[#This Row],[Customer_ID]]</f>
        <v>03-827-4021</v>
      </c>
      <c r="AG223">
        <f>tbl_OriginalData[[#This Row],[Age]]</f>
        <v>39</v>
      </c>
      <c r="AH223" t="str" cm="1">
        <f t="array" ref="AH22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23" t="str">
        <f>tbl_OriginalData[[#This Row],[Gender]]</f>
        <v>Male</v>
      </c>
      <c r="AJ223" t="str">
        <f>tbl_OriginalData[[#This Row],[Income_Level]]</f>
        <v>High</v>
      </c>
      <c r="AK223" t="str">
        <f>tbl_OriginalData[[#This Row],[Marital_Status]]</f>
        <v>Divorced</v>
      </c>
      <c r="AL223" t="str">
        <f>tbl_OriginalData[[#This Row],[Education_Level]]</f>
        <v>Bachelor's</v>
      </c>
      <c r="AM223" t="str">
        <f>tbl_OriginalData[[#This Row],[Occupation]]</f>
        <v>Middle</v>
      </c>
      <c r="AN223" t="s">
        <v>628</v>
      </c>
      <c r="AO223" t="s">
        <v>181</v>
      </c>
      <c r="AP223" t="str">
        <f>tbl_OriginalData[[#This Row],[Purchase_Category]]</f>
        <v>Groceries</v>
      </c>
      <c r="AQ223" s="4">
        <f>tbl_OriginalData[[#This Row],[Purchase_Amount]]</f>
        <v>129.82</v>
      </c>
      <c r="AR223">
        <f>tbl_OriginalData[[#This Row],[Frequency_of_Purchase]]</f>
        <v>12</v>
      </c>
      <c r="AS223" t="str">
        <f>tbl_OriginalData[[#This Row],[Purchase_Channel]]</f>
        <v>Mixed</v>
      </c>
      <c r="AT223">
        <f>tbl_OriginalData[[#This Row],[Brand_Loyalty]]</f>
        <v>1</v>
      </c>
      <c r="AU223">
        <f>tbl_OriginalData[[#This Row],[Product_Rating]]</f>
        <v>2</v>
      </c>
      <c r="AV223">
        <f>tbl_OriginalData[[#This Row],[Time_Spent_on_Product_Research(hours)]]*60</f>
        <v>0</v>
      </c>
      <c r="AW223" t="str">
        <f>tbl_OriginalData[[#This Row],[Social_Media_Influence]]</f>
        <v>High</v>
      </c>
      <c r="AX223" t="str">
        <f>tbl_OriginalData[[#This Row],[Discount_Sensitivity]]</f>
        <v>Not Sensitive</v>
      </c>
      <c r="AY223" s="3">
        <f>tbl_OriginalData[[#This Row],[Return_Rate]]/tbl_OriginalData[[#This Row],[Frequency_of_Purchase]]</f>
        <v>0.16666666666666666</v>
      </c>
      <c r="AZ223">
        <f>tbl_OriginalData[[#This Row],[Customer_Satisfaction]]</f>
        <v>1</v>
      </c>
      <c r="BA223" t="str">
        <f>tbl_OriginalData[[#This Row],[Engagement_with_Ads]]</f>
        <v>High</v>
      </c>
      <c r="BB223" t="str">
        <f>tbl_OriginalData[[#This Row],[Device_Used_for_Shopping]]</f>
        <v>Tablet</v>
      </c>
      <c r="BC223" t="str">
        <f>tbl_OriginalData[[#This Row],[Payment_Method]]</f>
        <v>Cash</v>
      </c>
      <c r="BD223" s="1">
        <f>tbl_OriginalData[[#This Row],[Time_of_Purchase]]</f>
        <v>45446</v>
      </c>
      <c r="BE223" t="str">
        <f>IF(tbl_OriginalData[[#This Row],[Discount_Used]]=TRUE,"Yes","No")</f>
        <v>No</v>
      </c>
      <c r="BF223" t="str">
        <f>IF(tbl_OriginalData[[#This Row],[Customer_Loyalty_Program_Member]]=TRUE,"Yes","No")</f>
        <v>No</v>
      </c>
      <c r="BG223" t="str">
        <f>tbl_OriginalData[[#This Row],[Purchase_Intent]]</f>
        <v>Impulsive</v>
      </c>
      <c r="BH223" t="str">
        <f>tbl_OriginalData[[#This Row],[Shipping_Preference]]</f>
        <v>Standard</v>
      </c>
      <c r="BI223">
        <f>tbl_OriginalData[[#This Row],[Time_to_Decision]]</f>
        <v>8</v>
      </c>
      <c r="BJ223" t="s">
        <v>104</v>
      </c>
      <c r="BK223" t="s">
        <v>63</v>
      </c>
      <c r="BL223" t="s">
        <v>2523</v>
      </c>
    </row>
    <row r="224" spans="1:64">
      <c r="A224" t="s">
        <v>629</v>
      </c>
      <c r="B224">
        <v>41</v>
      </c>
      <c r="C224" t="s">
        <v>33</v>
      </c>
      <c r="D224" t="s">
        <v>51</v>
      </c>
      <c r="E224" t="s">
        <v>82</v>
      </c>
      <c r="F224" t="s">
        <v>52</v>
      </c>
      <c r="G224" t="s">
        <v>51</v>
      </c>
      <c r="H224" t="s">
        <v>630</v>
      </c>
      <c r="I224" t="s">
        <v>229</v>
      </c>
      <c r="J224">
        <v>278.77999999999997</v>
      </c>
      <c r="K224">
        <v>3</v>
      </c>
      <c r="L224" t="s">
        <v>39</v>
      </c>
      <c r="M224">
        <v>5</v>
      </c>
      <c r="N224">
        <v>2</v>
      </c>
      <c r="O224">
        <v>0</v>
      </c>
      <c r="P224" t="s">
        <v>56</v>
      </c>
      <c r="Q224" t="s">
        <v>57</v>
      </c>
      <c r="R224">
        <v>0</v>
      </c>
      <c r="S224">
        <v>1</v>
      </c>
      <c r="T224" t="s">
        <v>69</v>
      </c>
      <c r="U224" t="s">
        <v>95</v>
      </c>
      <c r="V224" t="s">
        <v>43</v>
      </c>
      <c r="W224" s="1">
        <v>45457</v>
      </c>
      <c r="X224" t="b">
        <v>1</v>
      </c>
      <c r="Y224" t="b">
        <v>0</v>
      </c>
      <c r="Z224" t="s">
        <v>59</v>
      </c>
      <c r="AA224" t="s">
        <v>60</v>
      </c>
      <c r="AB224">
        <v>2</v>
      </c>
      <c r="AF224" t="str">
        <f>tbl_OriginalData[[#This Row],[Customer_ID]]</f>
        <v>68-507-4747</v>
      </c>
      <c r="AG224">
        <f>tbl_OriginalData[[#This Row],[Age]]</f>
        <v>41</v>
      </c>
      <c r="AH224" t="str" cm="1">
        <f t="array" ref="AH22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24" t="str">
        <f>tbl_OriginalData[[#This Row],[Gender]]</f>
        <v>Female</v>
      </c>
      <c r="AJ224" t="str">
        <f>tbl_OriginalData[[#This Row],[Income_Level]]</f>
        <v>High</v>
      </c>
      <c r="AK224" t="str">
        <f>tbl_OriginalData[[#This Row],[Marital_Status]]</f>
        <v>Widowed</v>
      </c>
      <c r="AL224" t="str">
        <f>tbl_OriginalData[[#This Row],[Education_Level]]</f>
        <v>High School</v>
      </c>
      <c r="AM224" t="str">
        <f>tbl_OriginalData[[#This Row],[Occupation]]</f>
        <v>High</v>
      </c>
      <c r="AN224" t="s">
        <v>630</v>
      </c>
      <c r="AO224" t="s">
        <v>90</v>
      </c>
      <c r="AP224" t="str">
        <f>tbl_OriginalData[[#This Row],[Purchase_Category]]</f>
        <v>Clothing</v>
      </c>
      <c r="AQ224" s="4">
        <f>tbl_OriginalData[[#This Row],[Purchase_Amount]]</f>
        <v>278.77999999999997</v>
      </c>
      <c r="AR224">
        <f>tbl_OriginalData[[#This Row],[Frequency_of_Purchase]]</f>
        <v>3</v>
      </c>
      <c r="AS224" t="str">
        <f>tbl_OriginalData[[#This Row],[Purchase_Channel]]</f>
        <v>Mixed</v>
      </c>
      <c r="AT224">
        <f>tbl_OriginalData[[#This Row],[Brand_Loyalty]]</f>
        <v>5</v>
      </c>
      <c r="AU224">
        <f>tbl_OriginalData[[#This Row],[Product_Rating]]</f>
        <v>2</v>
      </c>
      <c r="AV224">
        <f>tbl_OriginalData[[#This Row],[Time_Spent_on_Product_Research(hours)]]*60</f>
        <v>0</v>
      </c>
      <c r="AW224" t="str">
        <f>tbl_OriginalData[[#This Row],[Social_Media_Influence]]</f>
        <v>Medium</v>
      </c>
      <c r="AX224" t="str">
        <f>tbl_OriginalData[[#This Row],[Discount_Sensitivity]]</f>
        <v>Not Sensitive</v>
      </c>
      <c r="AY224" s="3">
        <f>tbl_OriginalData[[#This Row],[Return_Rate]]/tbl_OriginalData[[#This Row],[Frequency_of_Purchase]]</f>
        <v>0</v>
      </c>
      <c r="AZ224">
        <f>tbl_OriginalData[[#This Row],[Customer_Satisfaction]]</f>
        <v>1</v>
      </c>
      <c r="BA224" t="str">
        <f>tbl_OriginalData[[#This Row],[Engagement_with_Ads]]</f>
        <v>Low</v>
      </c>
      <c r="BB224" t="str">
        <f>tbl_OriginalData[[#This Row],[Device_Used_for_Shopping]]</f>
        <v>Desktop</v>
      </c>
      <c r="BC224" t="str">
        <f>tbl_OriginalData[[#This Row],[Payment_Method]]</f>
        <v>Credit Card</v>
      </c>
      <c r="BD224" s="1">
        <f>tbl_OriginalData[[#This Row],[Time_of_Purchase]]</f>
        <v>45457</v>
      </c>
      <c r="BE224" t="str">
        <f>IF(tbl_OriginalData[[#This Row],[Discount_Used]]=TRUE,"Yes","No")</f>
        <v>Yes</v>
      </c>
      <c r="BF224" t="str">
        <f>IF(tbl_OriginalData[[#This Row],[Customer_Loyalty_Program_Member]]=TRUE,"Yes","No")</f>
        <v>No</v>
      </c>
      <c r="BG224" t="str">
        <f>tbl_OriginalData[[#This Row],[Purchase_Intent]]</f>
        <v>Wants-based</v>
      </c>
      <c r="BH224" t="str">
        <f>tbl_OriginalData[[#This Row],[Shipping_Preference]]</f>
        <v>Standard</v>
      </c>
      <c r="BI224">
        <f>tbl_OriginalData[[#This Row],[Time_to_Decision]]</f>
        <v>2</v>
      </c>
      <c r="BJ224" t="s">
        <v>104</v>
      </c>
      <c r="BK224" t="s">
        <v>63</v>
      </c>
      <c r="BL224" t="s">
        <v>2524</v>
      </c>
    </row>
    <row r="225" spans="1:64">
      <c r="A225" t="s">
        <v>632</v>
      </c>
      <c r="B225">
        <v>50</v>
      </c>
      <c r="C225" t="s">
        <v>33</v>
      </c>
      <c r="D225" t="s">
        <v>34</v>
      </c>
      <c r="E225" t="s">
        <v>92</v>
      </c>
      <c r="F225" t="s">
        <v>36</v>
      </c>
      <c r="G225" t="s">
        <v>51</v>
      </c>
      <c r="H225" t="s">
        <v>633</v>
      </c>
      <c r="I225" t="s">
        <v>156</v>
      </c>
      <c r="J225">
        <v>142.02000000000001</v>
      </c>
      <c r="K225">
        <v>7</v>
      </c>
      <c r="L225" t="s">
        <v>55</v>
      </c>
      <c r="M225">
        <v>1</v>
      </c>
      <c r="N225">
        <v>5</v>
      </c>
      <c r="O225">
        <v>0</v>
      </c>
      <c r="P225" t="s">
        <v>69</v>
      </c>
      <c r="Q225" t="s">
        <v>101</v>
      </c>
      <c r="R225">
        <v>1</v>
      </c>
      <c r="S225">
        <v>9</v>
      </c>
      <c r="T225" t="s">
        <v>56</v>
      </c>
      <c r="U225" t="s">
        <v>95</v>
      </c>
      <c r="V225" t="s">
        <v>102</v>
      </c>
      <c r="W225" s="1">
        <v>45482</v>
      </c>
      <c r="X225" t="b">
        <v>1</v>
      </c>
      <c r="Y225" t="b">
        <v>0</v>
      </c>
      <c r="Z225" t="s">
        <v>72</v>
      </c>
      <c r="AA225" t="s">
        <v>60</v>
      </c>
      <c r="AB225">
        <v>3</v>
      </c>
      <c r="AF225" t="str">
        <f>tbl_OriginalData[[#This Row],[Customer_ID]]</f>
        <v>21-821-6398</v>
      </c>
      <c r="AG225">
        <f>tbl_OriginalData[[#This Row],[Age]]</f>
        <v>50</v>
      </c>
      <c r="AH225" t="str" cm="1">
        <f t="array" ref="AH22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25" t="str">
        <f>tbl_OriginalData[[#This Row],[Gender]]</f>
        <v>Female</v>
      </c>
      <c r="AJ225" t="str">
        <f>tbl_OriginalData[[#This Row],[Income_Level]]</f>
        <v>Middle</v>
      </c>
      <c r="AK225" t="str">
        <f>tbl_OriginalData[[#This Row],[Marital_Status]]</f>
        <v>Divorced</v>
      </c>
      <c r="AL225" t="str">
        <f>tbl_OriginalData[[#This Row],[Education_Level]]</f>
        <v>Bachelor's</v>
      </c>
      <c r="AM225" t="str">
        <f>tbl_OriginalData[[#This Row],[Occupation]]</f>
        <v>High</v>
      </c>
      <c r="AN225" t="s">
        <v>633</v>
      </c>
      <c r="AO225" t="s">
        <v>61</v>
      </c>
      <c r="AP225" t="str">
        <f>tbl_OriginalData[[#This Row],[Purchase_Category]]</f>
        <v>Toys &amp; Games</v>
      </c>
      <c r="AQ225" s="4">
        <f>tbl_OriginalData[[#This Row],[Purchase_Amount]]</f>
        <v>142.02000000000001</v>
      </c>
      <c r="AR225">
        <f>tbl_OriginalData[[#This Row],[Frequency_of_Purchase]]</f>
        <v>7</v>
      </c>
      <c r="AS225" t="str">
        <f>tbl_OriginalData[[#This Row],[Purchase_Channel]]</f>
        <v>In-Store</v>
      </c>
      <c r="AT225">
        <f>tbl_OriginalData[[#This Row],[Brand_Loyalty]]</f>
        <v>1</v>
      </c>
      <c r="AU225">
        <f>tbl_OriginalData[[#This Row],[Product_Rating]]</f>
        <v>5</v>
      </c>
      <c r="AV225">
        <f>tbl_OriginalData[[#This Row],[Time_Spent_on_Product_Research(hours)]]*60</f>
        <v>0</v>
      </c>
      <c r="AW225" t="str">
        <f>tbl_OriginalData[[#This Row],[Social_Media_Influence]]</f>
        <v>Low</v>
      </c>
      <c r="AX225" t="str">
        <f>tbl_OriginalData[[#This Row],[Discount_Sensitivity]]</f>
        <v>Very Sensitive</v>
      </c>
      <c r="AY225" s="3">
        <f>tbl_OriginalData[[#This Row],[Return_Rate]]/tbl_OriginalData[[#This Row],[Frequency_of_Purchase]]</f>
        <v>0.14285714285714285</v>
      </c>
      <c r="AZ225">
        <f>tbl_OriginalData[[#This Row],[Customer_Satisfaction]]</f>
        <v>9</v>
      </c>
      <c r="BA225" t="str">
        <f>tbl_OriginalData[[#This Row],[Engagement_with_Ads]]</f>
        <v>Medium</v>
      </c>
      <c r="BB225" t="str">
        <f>tbl_OriginalData[[#This Row],[Device_Used_for_Shopping]]</f>
        <v>Desktop</v>
      </c>
      <c r="BC225" t="str">
        <f>tbl_OriginalData[[#This Row],[Payment_Method]]</f>
        <v>Cash</v>
      </c>
      <c r="BD225" s="1">
        <f>tbl_OriginalData[[#This Row],[Time_of_Purchase]]</f>
        <v>45482</v>
      </c>
      <c r="BE225" t="str">
        <f>IF(tbl_OriginalData[[#This Row],[Discount_Used]]=TRUE,"Yes","No")</f>
        <v>Yes</v>
      </c>
      <c r="BF225" t="str">
        <f>IF(tbl_OriginalData[[#This Row],[Customer_Loyalty_Program_Member]]=TRUE,"Yes","No")</f>
        <v>No</v>
      </c>
      <c r="BG225" t="str">
        <f>tbl_OriginalData[[#This Row],[Purchase_Intent]]</f>
        <v>Impulsive</v>
      </c>
      <c r="BH225" t="str">
        <f>tbl_OriginalData[[#This Row],[Shipping_Preference]]</f>
        <v>Standard</v>
      </c>
      <c r="BI225">
        <f>tbl_OriginalData[[#This Row],[Time_to_Decision]]</f>
        <v>3</v>
      </c>
      <c r="BJ225" t="s">
        <v>114</v>
      </c>
      <c r="BK225" t="s">
        <v>115</v>
      </c>
      <c r="BL225" t="s">
        <v>2524</v>
      </c>
    </row>
    <row r="226" spans="1:64">
      <c r="A226" t="s">
        <v>634</v>
      </c>
      <c r="B226">
        <v>33</v>
      </c>
      <c r="C226" t="s">
        <v>33</v>
      </c>
      <c r="D226" t="s">
        <v>51</v>
      </c>
      <c r="E226" t="s">
        <v>82</v>
      </c>
      <c r="F226" t="s">
        <v>52</v>
      </c>
      <c r="G226" t="s">
        <v>51</v>
      </c>
      <c r="H226" t="s">
        <v>635</v>
      </c>
      <c r="I226" t="s">
        <v>143</v>
      </c>
      <c r="J226">
        <v>481.84</v>
      </c>
      <c r="K226">
        <v>10</v>
      </c>
      <c r="L226" t="s">
        <v>55</v>
      </c>
      <c r="M226">
        <v>1</v>
      </c>
      <c r="N226">
        <v>4</v>
      </c>
      <c r="O226">
        <v>2</v>
      </c>
      <c r="P226" t="s">
        <v>51</v>
      </c>
      <c r="Q226" t="s">
        <v>41</v>
      </c>
      <c r="R226">
        <v>1</v>
      </c>
      <c r="S226">
        <v>1</v>
      </c>
      <c r="T226" t="s">
        <v>56</v>
      </c>
      <c r="U226" t="s">
        <v>42</v>
      </c>
      <c r="V226" t="s">
        <v>102</v>
      </c>
      <c r="W226" s="1">
        <v>45518</v>
      </c>
      <c r="X226" t="b">
        <v>0</v>
      </c>
      <c r="Y226" t="b">
        <v>0</v>
      </c>
      <c r="Z226" t="s">
        <v>59</v>
      </c>
      <c r="AA226" t="s">
        <v>77</v>
      </c>
      <c r="AB226">
        <v>9</v>
      </c>
      <c r="AF226" t="str">
        <f>tbl_OriginalData[[#This Row],[Customer_ID]]</f>
        <v>64-641-7874</v>
      </c>
      <c r="AG226">
        <f>tbl_OriginalData[[#This Row],[Age]]</f>
        <v>33</v>
      </c>
      <c r="AH226" t="str" cm="1">
        <f t="array" ref="AH22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26" t="str">
        <f>tbl_OriginalData[[#This Row],[Gender]]</f>
        <v>Female</v>
      </c>
      <c r="AJ226" t="str">
        <f>tbl_OriginalData[[#This Row],[Income_Level]]</f>
        <v>High</v>
      </c>
      <c r="AK226" t="str">
        <f>tbl_OriginalData[[#This Row],[Marital_Status]]</f>
        <v>Widowed</v>
      </c>
      <c r="AL226" t="str">
        <f>tbl_OriginalData[[#This Row],[Education_Level]]</f>
        <v>High School</v>
      </c>
      <c r="AM226" t="str">
        <f>tbl_OriginalData[[#This Row],[Occupation]]</f>
        <v>High</v>
      </c>
      <c r="AN226" t="s">
        <v>635</v>
      </c>
      <c r="AO226" t="s">
        <v>132</v>
      </c>
      <c r="AP226" t="str">
        <f>tbl_OriginalData[[#This Row],[Purchase_Category]]</f>
        <v>Packages)</v>
      </c>
      <c r="AQ226" s="4">
        <f>tbl_OriginalData[[#This Row],[Purchase_Amount]]</f>
        <v>481.84</v>
      </c>
      <c r="AR226">
        <f>tbl_OriginalData[[#This Row],[Frequency_of_Purchase]]</f>
        <v>10</v>
      </c>
      <c r="AS226" t="str">
        <f>tbl_OriginalData[[#This Row],[Purchase_Channel]]</f>
        <v>In-Store</v>
      </c>
      <c r="AT226">
        <f>tbl_OriginalData[[#This Row],[Brand_Loyalty]]</f>
        <v>1</v>
      </c>
      <c r="AU226">
        <f>tbl_OriginalData[[#This Row],[Product_Rating]]</f>
        <v>4</v>
      </c>
      <c r="AV226">
        <f>tbl_OriginalData[[#This Row],[Time_Spent_on_Product_Research(hours)]]*60</f>
        <v>120</v>
      </c>
      <c r="AW226" t="str">
        <f>tbl_OriginalData[[#This Row],[Social_Media_Influence]]</f>
        <v>High</v>
      </c>
      <c r="AX226" t="str">
        <f>tbl_OriginalData[[#This Row],[Discount_Sensitivity]]</f>
        <v>Somewhat Sensitive</v>
      </c>
      <c r="AY226" s="3">
        <f>tbl_OriginalData[[#This Row],[Return_Rate]]/tbl_OriginalData[[#This Row],[Frequency_of_Purchase]]</f>
        <v>0.1</v>
      </c>
      <c r="AZ226">
        <f>tbl_OriginalData[[#This Row],[Customer_Satisfaction]]</f>
        <v>1</v>
      </c>
      <c r="BA226" t="str">
        <f>tbl_OriginalData[[#This Row],[Engagement_with_Ads]]</f>
        <v>Medium</v>
      </c>
      <c r="BB226" t="str">
        <f>tbl_OriginalData[[#This Row],[Device_Used_for_Shopping]]</f>
        <v>Tablet</v>
      </c>
      <c r="BC226" t="str">
        <f>tbl_OriginalData[[#This Row],[Payment_Method]]</f>
        <v>Cash</v>
      </c>
      <c r="BD226" s="1">
        <f>tbl_OriginalData[[#This Row],[Time_of_Purchase]]</f>
        <v>45518</v>
      </c>
      <c r="BE226" t="str">
        <f>IF(tbl_OriginalData[[#This Row],[Discount_Used]]=TRUE,"Yes","No")</f>
        <v>No</v>
      </c>
      <c r="BF226" t="str">
        <f>IF(tbl_OriginalData[[#This Row],[Customer_Loyalty_Program_Member]]=TRUE,"Yes","No")</f>
        <v>No</v>
      </c>
      <c r="BG226" t="str">
        <f>tbl_OriginalData[[#This Row],[Purchase_Intent]]</f>
        <v>Wants-based</v>
      </c>
      <c r="BH226" t="str">
        <f>tbl_OriginalData[[#This Row],[Shipping_Preference]]</f>
        <v>Express</v>
      </c>
      <c r="BI226">
        <f>tbl_OriginalData[[#This Row],[Time_to_Decision]]</f>
        <v>9</v>
      </c>
      <c r="BJ226" t="s">
        <v>124</v>
      </c>
      <c r="BK226" t="s">
        <v>115</v>
      </c>
      <c r="BL226" t="s">
        <v>2525</v>
      </c>
    </row>
    <row r="227" spans="1:64">
      <c r="A227" t="s">
        <v>636</v>
      </c>
      <c r="B227">
        <v>50</v>
      </c>
      <c r="C227" t="s">
        <v>340</v>
      </c>
      <c r="D227" t="s">
        <v>51</v>
      </c>
      <c r="E227" t="s">
        <v>92</v>
      </c>
      <c r="F227" t="s">
        <v>66</v>
      </c>
      <c r="G227" t="s">
        <v>34</v>
      </c>
      <c r="H227" t="s">
        <v>637</v>
      </c>
      <c r="I227" t="s">
        <v>143</v>
      </c>
      <c r="J227">
        <v>165.01</v>
      </c>
      <c r="K227">
        <v>10</v>
      </c>
      <c r="L227" t="s">
        <v>39</v>
      </c>
      <c r="M227">
        <v>1</v>
      </c>
      <c r="N227">
        <v>2</v>
      </c>
      <c r="O227">
        <v>1</v>
      </c>
      <c r="P227" t="s">
        <v>56</v>
      </c>
      <c r="Q227" t="s">
        <v>41</v>
      </c>
      <c r="R227">
        <v>1</v>
      </c>
      <c r="S227">
        <v>5</v>
      </c>
      <c r="T227" t="s">
        <v>56</v>
      </c>
      <c r="U227" t="s">
        <v>95</v>
      </c>
      <c r="V227" t="s">
        <v>58</v>
      </c>
      <c r="W227" s="1">
        <v>45399</v>
      </c>
      <c r="X227" t="b">
        <v>1</v>
      </c>
      <c r="Y227" t="b">
        <v>0</v>
      </c>
      <c r="Z227" t="s">
        <v>72</v>
      </c>
      <c r="AA227" t="s">
        <v>45</v>
      </c>
      <c r="AB227">
        <v>10</v>
      </c>
      <c r="AF227" t="str">
        <f>tbl_OriginalData[[#This Row],[Customer_ID]]</f>
        <v>53-459-7870</v>
      </c>
      <c r="AG227">
        <f>tbl_OriginalData[[#This Row],[Age]]</f>
        <v>50</v>
      </c>
      <c r="AH227" t="str" cm="1">
        <f t="array" ref="AH22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27" t="str">
        <f>tbl_OriginalData[[#This Row],[Gender]]</f>
        <v>Agender</v>
      </c>
      <c r="AJ227" t="str">
        <f>tbl_OriginalData[[#This Row],[Income_Level]]</f>
        <v>High</v>
      </c>
      <c r="AK227" t="str">
        <f>tbl_OriginalData[[#This Row],[Marital_Status]]</f>
        <v>Divorced</v>
      </c>
      <c r="AL227" t="str">
        <f>tbl_OriginalData[[#This Row],[Education_Level]]</f>
        <v>Master's</v>
      </c>
      <c r="AM227" t="str">
        <f>tbl_OriginalData[[#This Row],[Occupation]]</f>
        <v>Middle</v>
      </c>
      <c r="AN227" t="s">
        <v>637</v>
      </c>
      <c r="AO227" t="s">
        <v>46</v>
      </c>
      <c r="AP227" t="str">
        <f>tbl_OriginalData[[#This Row],[Purchase_Category]]</f>
        <v>Packages)</v>
      </c>
      <c r="AQ227" s="4">
        <f>tbl_OriginalData[[#This Row],[Purchase_Amount]]</f>
        <v>165.01</v>
      </c>
      <c r="AR227">
        <f>tbl_OriginalData[[#This Row],[Frequency_of_Purchase]]</f>
        <v>10</v>
      </c>
      <c r="AS227" t="str">
        <f>tbl_OriginalData[[#This Row],[Purchase_Channel]]</f>
        <v>Mixed</v>
      </c>
      <c r="AT227">
        <f>tbl_OriginalData[[#This Row],[Brand_Loyalty]]</f>
        <v>1</v>
      </c>
      <c r="AU227">
        <f>tbl_OriginalData[[#This Row],[Product_Rating]]</f>
        <v>2</v>
      </c>
      <c r="AV227">
        <f>tbl_OriginalData[[#This Row],[Time_Spent_on_Product_Research(hours)]]*60</f>
        <v>60</v>
      </c>
      <c r="AW227" t="str">
        <f>tbl_OriginalData[[#This Row],[Social_Media_Influence]]</f>
        <v>Medium</v>
      </c>
      <c r="AX227" t="str">
        <f>tbl_OriginalData[[#This Row],[Discount_Sensitivity]]</f>
        <v>Somewhat Sensitive</v>
      </c>
      <c r="AY227" s="3">
        <f>tbl_OriginalData[[#This Row],[Return_Rate]]/tbl_OriginalData[[#This Row],[Frequency_of_Purchase]]</f>
        <v>0.1</v>
      </c>
      <c r="AZ227">
        <f>tbl_OriginalData[[#This Row],[Customer_Satisfaction]]</f>
        <v>5</v>
      </c>
      <c r="BA227" t="str">
        <f>tbl_OriginalData[[#This Row],[Engagement_with_Ads]]</f>
        <v>Medium</v>
      </c>
      <c r="BB227" t="str">
        <f>tbl_OriginalData[[#This Row],[Device_Used_for_Shopping]]</f>
        <v>Desktop</v>
      </c>
      <c r="BC227" t="str">
        <f>tbl_OriginalData[[#This Row],[Payment_Method]]</f>
        <v>PayPal</v>
      </c>
      <c r="BD227" s="1">
        <f>tbl_OriginalData[[#This Row],[Time_of_Purchase]]</f>
        <v>45399</v>
      </c>
      <c r="BE227" t="str">
        <f>IF(tbl_OriginalData[[#This Row],[Discount_Used]]=TRUE,"Yes","No")</f>
        <v>Yes</v>
      </c>
      <c r="BF227" t="str">
        <f>IF(tbl_OriginalData[[#This Row],[Customer_Loyalty_Program_Member]]=TRUE,"Yes","No")</f>
        <v>No</v>
      </c>
      <c r="BG227" t="str">
        <f>tbl_OriginalData[[#This Row],[Purchase_Intent]]</f>
        <v>Impulsive</v>
      </c>
      <c r="BH227" t="str">
        <f>tbl_OriginalData[[#This Row],[Shipping_Preference]]</f>
        <v>No Preference</v>
      </c>
      <c r="BI227">
        <f>tbl_OriginalData[[#This Row],[Time_to_Decision]]</f>
        <v>10</v>
      </c>
      <c r="BJ227" t="s">
        <v>62</v>
      </c>
      <c r="BK227" t="s">
        <v>63</v>
      </c>
      <c r="BL227" t="s">
        <v>2523</v>
      </c>
    </row>
    <row r="228" spans="1:64">
      <c r="A228" t="s">
        <v>638</v>
      </c>
      <c r="B228">
        <v>25</v>
      </c>
      <c r="C228" t="s">
        <v>50</v>
      </c>
      <c r="D228" t="s">
        <v>34</v>
      </c>
      <c r="E228" t="s">
        <v>92</v>
      </c>
      <c r="F228" t="s">
        <v>52</v>
      </c>
      <c r="G228" t="s">
        <v>34</v>
      </c>
      <c r="H228" t="s">
        <v>639</v>
      </c>
      <c r="I228" t="s">
        <v>153</v>
      </c>
      <c r="J228">
        <v>56.85</v>
      </c>
      <c r="K228">
        <v>5</v>
      </c>
      <c r="L228" t="s">
        <v>94</v>
      </c>
      <c r="M228">
        <v>2</v>
      </c>
      <c r="N228">
        <v>1</v>
      </c>
      <c r="O228">
        <v>2</v>
      </c>
      <c r="P228" t="s">
        <v>40</v>
      </c>
      <c r="Q228" t="s">
        <v>101</v>
      </c>
      <c r="R228">
        <v>0</v>
      </c>
      <c r="S228">
        <v>1</v>
      </c>
      <c r="T228" t="s">
        <v>51</v>
      </c>
      <c r="U228" t="s">
        <v>70</v>
      </c>
      <c r="V228" t="s">
        <v>102</v>
      </c>
      <c r="W228" s="1">
        <v>45612</v>
      </c>
      <c r="X228" t="b">
        <v>1</v>
      </c>
      <c r="Y228" t="b">
        <v>0</v>
      </c>
      <c r="Z228" t="s">
        <v>59</v>
      </c>
      <c r="AA228" t="s">
        <v>60</v>
      </c>
      <c r="AB228">
        <v>14</v>
      </c>
      <c r="AF228" t="str">
        <f>tbl_OriginalData[[#This Row],[Customer_ID]]</f>
        <v>36-240-3240</v>
      </c>
      <c r="AG228">
        <f>tbl_OriginalData[[#This Row],[Age]]</f>
        <v>25</v>
      </c>
      <c r="AH228" t="str" cm="1">
        <f t="array" ref="AH22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28" t="str">
        <f>tbl_OriginalData[[#This Row],[Gender]]</f>
        <v>Male</v>
      </c>
      <c r="AJ228" t="str">
        <f>tbl_OriginalData[[#This Row],[Income_Level]]</f>
        <v>Middle</v>
      </c>
      <c r="AK228" t="str">
        <f>tbl_OriginalData[[#This Row],[Marital_Status]]</f>
        <v>Divorced</v>
      </c>
      <c r="AL228" t="str">
        <f>tbl_OriginalData[[#This Row],[Education_Level]]</f>
        <v>High School</v>
      </c>
      <c r="AM228" t="str">
        <f>tbl_OriginalData[[#This Row],[Occupation]]</f>
        <v>Middle</v>
      </c>
      <c r="AN228" t="s">
        <v>639</v>
      </c>
      <c r="AO228" t="s">
        <v>61</v>
      </c>
      <c r="AP228" t="str">
        <f>tbl_OriginalData[[#This Row],[Purchase_Category]]</f>
        <v>Baby Products</v>
      </c>
      <c r="AQ228" s="4">
        <f>tbl_OriginalData[[#This Row],[Purchase_Amount]]</f>
        <v>56.85</v>
      </c>
      <c r="AR228">
        <f>tbl_OriginalData[[#This Row],[Frequency_of_Purchase]]</f>
        <v>5</v>
      </c>
      <c r="AS228" t="str">
        <f>tbl_OriginalData[[#This Row],[Purchase_Channel]]</f>
        <v>Online</v>
      </c>
      <c r="AT228">
        <f>tbl_OriginalData[[#This Row],[Brand_Loyalty]]</f>
        <v>2</v>
      </c>
      <c r="AU228">
        <f>tbl_OriginalData[[#This Row],[Product_Rating]]</f>
        <v>1</v>
      </c>
      <c r="AV228">
        <f>tbl_OriginalData[[#This Row],[Time_Spent_on_Product_Research(hours)]]*60</f>
        <v>120</v>
      </c>
      <c r="AW228" t="str">
        <f>tbl_OriginalData[[#This Row],[Social_Media_Influence]]</f>
        <v>None</v>
      </c>
      <c r="AX228" t="str">
        <f>tbl_OriginalData[[#This Row],[Discount_Sensitivity]]</f>
        <v>Very Sensitive</v>
      </c>
      <c r="AY228" s="3">
        <f>tbl_OriginalData[[#This Row],[Return_Rate]]/tbl_OriginalData[[#This Row],[Frequency_of_Purchase]]</f>
        <v>0</v>
      </c>
      <c r="AZ228">
        <f>tbl_OriginalData[[#This Row],[Customer_Satisfaction]]</f>
        <v>1</v>
      </c>
      <c r="BA228" t="str">
        <f>tbl_OriginalData[[#This Row],[Engagement_with_Ads]]</f>
        <v>High</v>
      </c>
      <c r="BB228" t="str">
        <f>tbl_OriginalData[[#This Row],[Device_Used_for_Shopping]]</f>
        <v>Smartphone</v>
      </c>
      <c r="BC228" t="str">
        <f>tbl_OriginalData[[#This Row],[Payment_Method]]</f>
        <v>Cash</v>
      </c>
      <c r="BD228" s="1">
        <f>tbl_OriginalData[[#This Row],[Time_of_Purchase]]</f>
        <v>45612</v>
      </c>
      <c r="BE228" t="str">
        <f>IF(tbl_OriginalData[[#This Row],[Discount_Used]]=TRUE,"Yes","No")</f>
        <v>Yes</v>
      </c>
      <c r="BF228" t="str">
        <f>IF(tbl_OriginalData[[#This Row],[Customer_Loyalty_Program_Member]]=TRUE,"Yes","No")</f>
        <v>No</v>
      </c>
      <c r="BG228" t="str">
        <f>tbl_OriginalData[[#This Row],[Purchase_Intent]]</f>
        <v>Wants-based</v>
      </c>
      <c r="BH228" t="str">
        <f>tbl_OriginalData[[#This Row],[Shipping_Preference]]</f>
        <v>Standard</v>
      </c>
      <c r="BI228">
        <f>tbl_OriginalData[[#This Row],[Time_to_Decision]]</f>
        <v>14</v>
      </c>
      <c r="BJ228" t="s">
        <v>177</v>
      </c>
      <c r="BK228" t="s">
        <v>80</v>
      </c>
      <c r="BL228" t="s">
        <v>2524</v>
      </c>
    </row>
    <row r="229" spans="1:64">
      <c r="A229" t="s">
        <v>640</v>
      </c>
      <c r="B229">
        <v>34</v>
      </c>
      <c r="C229" t="s">
        <v>340</v>
      </c>
      <c r="D229" t="s">
        <v>51</v>
      </c>
      <c r="E229" t="s">
        <v>65</v>
      </c>
      <c r="F229" t="s">
        <v>36</v>
      </c>
      <c r="G229" t="s">
        <v>51</v>
      </c>
      <c r="H229" t="s">
        <v>641</v>
      </c>
      <c r="I229" t="s">
        <v>135</v>
      </c>
      <c r="J229">
        <v>182.89</v>
      </c>
      <c r="K229">
        <v>2</v>
      </c>
      <c r="L229" t="s">
        <v>39</v>
      </c>
      <c r="M229">
        <v>5</v>
      </c>
      <c r="N229">
        <v>3</v>
      </c>
      <c r="O229">
        <v>1</v>
      </c>
      <c r="P229" t="s">
        <v>69</v>
      </c>
      <c r="Q229" t="s">
        <v>57</v>
      </c>
      <c r="R229">
        <v>1</v>
      </c>
      <c r="S229">
        <v>9</v>
      </c>
      <c r="T229" t="s">
        <v>69</v>
      </c>
      <c r="U229" t="s">
        <v>70</v>
      </c>
      <c r="V229" t="s">
        <v>58</v>
      </c>
      <c r="W229" s="1">
        <v>45516</v>
      </c>
      <c r="X229" t="b">
        <v>0</v>
      </c>
      <c r="Y229" t="b">
        <v>0</v>
      </c>
      <c r="Z229" t="s">
        <v>59</v>
      </c>
      <c r="AA229" t="s">
        <v>77</v>
      </c>
      <c r="AB229">
        <v>5</v>
      </c>
      <c r="AF229" t="str">
        <f>tbl_OriginalData[[#This Row],[Customer_ID]]</f>
        <v>54-936-4361</v>
      </c>
      <c r="AG229">
        <f>tbl_OriginalData[[#This Row],[Age]]</f>
        <v>34</v>
      </c>
      <c r="AH229" t="str" cm="1">
        <f t="array" ref="AH22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29" t="str">
        <f>tbl_OriginalData[[#This Row],[Gender]]</f>
        <v>Agender</v>
      </c>
      <c r="AJ229" t="str">
        <f>tbl_OriginalData[[#This Row],[Income_Level]]</f>
        <v>High</v>
      </c>
      <c r="AK229" t="str">
        <f>tbl_OriginalData[[#This Row],[Marital_Status]]</f>
        <v>Single</v>
      </c>
      <c r="AL229" t="str">
        <f>tbl_OriginalData[[#This Row],[Education_Level]]</f>
        <v>Bachelor's</v>
      </c>
      <c r="AM229" t="str">
        <f>tbl_OriginalData[[#This Row],[Occupation]]</f>
        <v>High</v>
      </c>
      <c r="AN229" t="s">
        <v>641</v>
      </c>
      <c r="AO229" t="s">
        <v>46</v>
      </c>
      <c r="AP229" t="str">
        <f>tbl_OriginalData[[#This Row],[Purchase_Category]]</f>
        <v>Hotels</v>
      </c>
      <c r="AQ229" s="4">
        <f>tbl_OriginalData[[#This Row],[Purchase_Amount]]</f>
        <v>182.89</v>
      </c>
      <c r="AR229">
        <f>tbl_OriginalData[[#This Row],[Frequency_of_Purchase]]</f>
        <v>2</v>
      </c>
      <c r="AS229" t="str">
        <f>tbl_OriginalData[[#This Row],[Purchase_Channel]]</f>
        <v>Mixed</v>
      </c>
      <c r="AT229">
        <f>tbl_OriginalData[[#This Row],[Brand_Loyalty]]</f>
        <v>5</v>
      </c>
      <c r="AU229">
        <f>tbl_OriginalData[[#This Row],[Product_Rating]]</f>
        <v>3</v>
      </c>
      <c r="AV229">
        <f>tbl_OriginalData[[#This Row],[Time_Spent_on_Product_Research(hours)]]*60</f>
        <v>60</v>
      </c>
      <c r="AW229" t="str">
        <f>tbl_OriginalData[[#This Row],[Social_Media_Influence]]</f>
        <v>Low</v>
      </c>
      <c r="AX229" t="str">
        <f>tbl_OriginalData[[#This Row],[Discount_Sensitivity]]</f>
        <v>Not Sensitive</v>
      </c>
      <c r="AY229" s="3">
        <f>tbl_OriginalData[[#This Row],[Return_Rate]]/tbl_OriginalData[[#This Row],[Frequency_of_Purchase]]</f>
        <v>0.5</v>
      </c>
      <c r="AZ229">
        <f>tbl_OriginalData[[#This Row],[Customer_Satisfaction]]</f>
        <v>9</v>
      </c>
      <c r="BA229" t="str">
        <f>tbl_OriginalData[[#This Row],[Engagement_with_Ads]]</f>
        <v>Low</v>
      </c>
      <c r="BB229" t="str">
        <f>tbl_OriginalData[[#This Row],[Device_Used_for_Shopping]]</f>
        <v>Smartphone</v>
      </c>
      <c r="BC229" t="str">
        <f>tbl_OriginalData[[#This Row],[Payment_Method]]</f>
        <v>PayPal</v>
      </c>
      <c r="BD229" s="1">
        <f>tbl_OriginalData[[#This Row],[Time_of_Purchase]]</f>
        <v>45516</v>
      </c>
      <c r="BE229" t="str">
        <f>IF(tbl_OriginalData[[#This Row],[Discount_Used]]=TRUE,"Yes","No")</f>
        <v>No</v>
      </c>
      <c r="BF229" t="str">
        <f>IF(tbl_OriginalData[[#This Row],[Customer_Loyalty_Program_Member]]=TRUE,"Yes","No")</f>
        <v>No</v>
      </c>
      <c r="BG229" t="str">
        <f>tbl_OriginalData[[#This Row],[Purchase_Intent]]</f>
        <v>Wants-based</v>
      </c>
      <c r="BH229" t="str">
        <f>tbl_OriginalData[[#This Row],[Shipping_Preference]]</f>
        <v>Express</v>
      </c>
      <c r="BI229">
        <f>tbl_OriginalData[[#This Row],[Time_to_Decision]]</f>
        <v>5</v>
      </c>
      <c r="BJ229" t="s">
        <v>124</v>
      </c>
      <c r="BK229" t="s">
        <v>115</v>
      </c>
      <c r="BL229" t="s">
        <v>2523</v>
      </c>
    </row>
    <row r="230" spans="1:64">
      <c r="A230" t="s">
        <v>642</v>
      </c>
      <c r="B230">
        <v>39</v>
      </c>
      <c r="C230" t="s">
        <v>50</v>
      </c>
      <c r="D230" t="s">
        <v>51</v>
      </c>
      <c r="E230" t="s">
        <v>82</v>
      </c>
      <c r="F230" t="s">
        <v>52</v>
      </c>
      <c r="G230" t="s">
        <v>51</v>
      </c>
      <c r="H230" t="s">
        <v>643</v>
      </c>
      <c r="I230" t="s">
        <v>98</v>
      </c>
      <c r="J230">
        <v>373.01</v>
      </c>
      <c r="K230">
        <v>5</v>
      </c>
      <c r="L230" t="s">
        <v>55</v>
      </c>
      <c r="M230">
        <v>5</v>
      </c>
      <c r="N230">
        <v>5</v>
      </c>
      <c r="O230">
        <v>1</v>
      </c>
      <c r="P230" t="s">
        <v>69</v>
      </c>
      <c r="Q230" t="s">
        <v>41</v>
      </c>
      <c r="R230">
        <v>1</v>
      </c>
      <c r="S230">
        <v>4</v>
      </c>
      <c r="T230" t="s">
        <v>56</v>
      </c>
      <c r="U230" t="s">
        <v>70</v>
      </c>
      <c r="V230" t="s">
        <v>58</v>
      </c>
      <c r="W230" s="1">
        <v>45500</v>
      </c>
      <c r="X230" t="b">
        <v>0</v>
      </c>
      <c r="Y230" t="b">
        <v>1</v>
      </c>
      <c r="Z230" t="s">
        <v>72</v>
      </c>
      <c r="AA230" t="s">
        <v>77</v>
      </c>
      <c r="AB230">
        <v>8</v>
      </c>
      <c r="AF230" t="str">
        <f>tbl_OriginalData[[#This Row],[Customer_ID]]</f>
        <v>67-209-0990</v>
      </c>
      <c r="AG230">
        <f>tbl_OriginalData[[#This Row],[Age]]</f>
        <v>39</v>
      </c>
      <c r="AH230" t="str" cm="1">
        <f t="array" ref="AH23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30" t="str">
        <f>tbl_OriginalData[[#This Row],[Gender]]</f>
        <v>Male</v>
      </c>
      <c r="AJ230" t="str">
        <f>tbl_OriginalData[[#This Row],[Income_Level]]</f>
        <v>High</v>
      </c>
      <c r="AK230" t="str">
        <f>tbl_OriginalData[[#This Row],[Marital_Status]]</f>
        <v>Widowed</v>
      </c>
      <c r="AL230" t="str">
        <f>tbl_OriginalData[[#This Row],[Education_Level]]</f>
        <v>High School</v>
      </c>
      <c r="AM230" t="str">
        <f>tbl_OriginalData[[#This Row],[Occupation]]</f>
        <v>High</v>
      </c>
      <c r="AN230" t="s">
        <v>643</v>
      </c>
      <c r="AO230" t="s">
        <v>186</v>
      </c>
      <c r="AP230" t="str">
        <f>tbl_OriginalData[[#This Row],[Purchase_Category]]</f>
        <v>Books</v>
      </c>
      <c r="AQ230" s="4">
        <f>tbl_OriginalData[[#This Row],[Purchase_Amount]]</f>
        <v>373.01</v>
      </c>
      <c r="AR230">
        <f>tbl_OriginalData[[#This Row],[Frequency_of_Purchase]]</f>
        <v>5</v>
      </c>
      <c r="AS230" t="str">
        <f>tbl_OriginalData[[#This Row],[Purchase_Channel]]</f>
        <v>In-Store</v>
      </c>
      <c r="AT230">
        <f>tbl_OriginalData[[#This Row],[Brand_Loyalty]]</f>
        <v>5</v>
      </c>
      <c r="AU230">
        <f>tbl_OriginalData[[#This Row],[Product_Rating]]</f>
        <v>5</v>
      </c>
      <c r="AV230">
        <f>tbl_OriginalData[[#This Row],[Time_Spent_on_Product_Research(hours)]]*60</f>
        <v>60</v>
      </c>
      <c r="AW230" t="str">
        <f>tbl_OriginalData[[#This Row],[Social_Media_Influence]]</f>
        <v>Low</v>
      </c>
      <c r="AX230" t="str">
        <f>tbl_OriginalData[[#This Row],[Discount_Sensitivity]]</f>
        <v>Somewhat Sensitive</v>
      </c>
      <c r="AY230" s="3">
        <f>tbl_OriginalData[[#This Row],[Return_Rate]]/tbl_OriginalData[[#This Row],[Frequency_of_Purchase]]</f>
        <v>0.2</v>
      </c>
      <c r="AZ230">
        <f>tbl_OriginalData[[#This Row],[Customer_Satisfaction]]</f>
        <v>4</v>
      </c>
      <c r="BA230" t="str">
        <f>tbl_OriginalData[[#This Row],[Engagement_with_Ads]]</f>
        <v>Medium</v>
      </c>
      <c r="BB230" t="str">
        <f>tbl_OriginalData[[#This Row],[Device_Used_for_Shopping]]</f>
        <v>Smartphone</v>
      </c>
      <c r="BC230" t="str">
        <f>tbl_OriginalData[[#This Row],[Payment_Method]]</f>
        <v>PayPal</v>
      </c>
      <c r="BD230" s="1">
        <f>tbl_OriginalData[[#This Row],[Time_of_Purchase]]</f>
        <v>45500</v>
      </c>
      <c r="BE230" t="str">
        <f>IF(tbl_OriginalData[[#This Row],[Discount_Used]]=TRUE,"Yes","No")</f>
        <v>No</v>
      </c>
      <c r="BF230" t="str">
        <f>IF(tbl_OriginalData[[#This Row],[Customer_Loyalty_Program_Member]]=TRUE,"Yes","No")</f>
        <v>Yes</v>
      </c>
      <c r="BG230" t="str">
        <f>tbl_OriginalData[[#This Row],[Purchase_Intent]]</f>
        <v>Impulsive</v>
      </c>
      <c r="BH230" t="str">
        <f>tbl_OriginalData[[#This Row],[Shipping_Preference]]</f>
        <v>Express</v>
      </c>
      <c r="BI230">
        <f>tbl_OriginalData[[#This Row],[Time_to_Decision]]</f>
        <v>8</v>
      </c>
      <c r="BJ230" t="s">
        <v>114</v>
      </c>
      <c r="BK230" t="s">
        <v>115</v>
      </c>
      <c r="BL230" t="s">
        <v>2523</v>
      </c>
    </row>
    <row r="231" spans="1:64">
      <c r="A231" t="s">
        <v>644</v>
      </c>
      <c r="B231">
        <v>41</v>
      </c>
      <c r="C231" t="s">
        <v>50</v>
      </c>
      <c r="D231" t="s">
        <v>34</v>
      </c>
      <c r="E231" t="s">
        <v>65</v>
      </c>
      <c r="F231" t="s">
        <v>66</v>
      </c>
      <c r="G231" t="s">
        <v>34</v>
      </c>
      <c r="H231" t="s">
        <v>645</v>
      </c>
      <c r="I231" t="s">
        <v>75</v>
      </c>
      <c r="J231">
        <v>220.77</v>
      </c>
      <c r="K231">
        <v>7</v>
      </c>
      <c r="L231" t="s">
        <v>94</v>
      </c>
      <c r="M231">
        <v>4</v>
      </c>
      <c r="N231">
        <v>2</v>
      </c>
      <c r="O231">
        <v>2</v>
      </c>
      <c r="P231" t="s">
        <v>69</v>
      </c>
      <c r="Q231" t="s">
        <v>57</v>
      </c>
      <c r="R231">
        <v>2</v>
      </c>
      <c r="S231">
        <v>1</v>
      </c>
      <c r="T231" t="s">
        <v>40</v>
      </c>
      <c r="U231" t="s">
        <v>70</v>
      </c>
      <c r="V231" t="s">
        <v>71</v>
      </c>
      <c r="W231" s="1">
        <v>45397</v>
      </c>
      <c r="X231" t="b">
        <v>1</v>
      </c>
      <c r="Y231" t="b">
        <v>1</v>
      </c>
      <c r="Z231" t="s">
        <v>44</v>
      </c>
      <c r="AA231" t="s">
        <v>60</v>
      </c>
      <c r="AB231">
        <v>11</v>
      </c>
      <c r="AF231" t="str">
        <f>tbl_OriginalData[[#This Row],[Customer_ID]]</f>
        <v>19-667-0201</v>
      </c>
      <c r="AG231">
        <f>tbl_OriginalData[[#This Row],[Age]]</f>
        <v>41</v>
      </c>
      <c r="AH231" t="str" cm="1">
        <f t="array" ref="AH23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31" t="str">
        <f>tbl_OriginalData[[#This Row],[Gender]]</f>
        <v>Male</v>
      </c>
      <c r="AJ231" t="str">
        <f>tbl_OriginalData[[#This Row],[Income_Level]]</f>
        <v>Middle</v>
      </c>
      <c r="AK231" t="str">
        <f>tbl_OriginalData[[#This Row],[Marital_Status]]</f>
        <v>Single</v>
      </c>
      <c r="AL231" t="str">
        <f>tbl_OriginalData[[#This Row],[Education_Level]]</f>
        <v>Master's</v>
      </c>
      <c r="AM231" t="str">
        <f>tbl_OriginalData[[#This Row],[Occupation]]</f>
        <v>Middle</v>
      </c>
      <c r="AN231" t="s">
        <v>645</v>
      </c>
      <c r="AO231" t="s">
        <v>144</v>
      </c>
      <c r="AP231" t="str">
        <f>tbl_OriginalData[[#This Row],[Purchase_Category]]</f>
        <v>Home Appliances</v>
      </c>
      <c r="AQ231" s="4">
        <f>tbl_OriginalData[[#This Row],[Purchase_Amount]]</f>
        <v>220.77</v>
      </c>
      <c r="AR231">
        <f>tbl_OriginalData[[#This Row],[Frequency_of_Purchase]]</f>
        <v>7</v>
      </c>
      <c r="AS231" t="str">
        <f>tbl_OriginalData[[#This Row],[Purchase_Channel]]</f>
        <v>Online</v>
      </c>
      <c r="AT231">
        <f>tbl_OriginalData[[#This Row],[Brand_Loyalty]]</f>
        <v>4</v>
      </c>
      <c r="AU231">
        <f>tbl_OriginalData[[#This Row],[Product_Rating]]</f>
        <v>2</v>
      </c>
      <c r="AV231">
        <f>tbl_OriginalData[[#This Row],[Time_Spent_on_Product_Research(hours)]]*60</f>
        <v>120</v>
      </c>
      <c r="AW231" t="str">
        <f>tbl_OriginalData[[#This Row],[Social_Media_Influence]]</f>
        <v>Low</v>
      </c>
      <c r="AX231" t="str">
        <f>tbl_OriginalData[[#This Row],[Discount_Sensitivity]]</f>
        <v>Not Sensitive</v>
      </c>
      <c r="AY231" s="3">
        <f>tbl_OriginalData[[#This Row],[Return_Rate]]/tbl_OriginalData[[#This Row],[Frequency_of_Purchase]]</f>
        <v>0.2857142857142857</v>
      </c>
      <c r="AZ231">
        <f>tbl_OriginalData[[#This Row],[Customer_Satisfaction]]</f>
        <v>1</v>
      </c>
      <c r="BA231" t="str">
        <f>tbl_OriginalData[[#This Row],[Engagement_with_Ads]]</f>
        <v>None</v>
      </c>
      <c r="BB231" t="str">
        <f>tbl_OriginalData[[#This Row],[Device_Used_for_Shopping]]</f>
        <v>Smartphone</v>
      </c>
      <c r="BC231" t="str">
        <f>tbl_OriginalData[[#This Row],[Payment_Method]]</f>
        <v>Debit Card</v>
      </c>
      <c r="BD231" s="1">
        <f>tbl_OriginalData[[#This Row],[Time_of_Purchase]]</f>
        <v>45397</v>
      </c>
      <c r="BE231" t="str">
        <f>IF(tbl_OriginalData[[#This Row],[Discount_Used]]=TRUE,"Yes","No")</f>
        <v>Yes</v>
      </c>
      <c r="BF231" t="str">
        <f>IF(tbl_OriginalData[[#This Row],[Customer_Loyalty_Program_Member]]=TRUE,"Yes","No")</f>
        <v>Yes</v>
      </c>
      <c r="BG231" t="str">
        <f>tbl_OriginalData[[#This Row],[Purchase_Intent]]</f>
        <v>Need-based</v>
      </c>
      <c r="BH231" t="str">
        <f>tbl_OriginalData[[#This Row],[Shipping_Preference]]</f>
        <v>Standard</v>
      </c>
      <c r="BI231">
        <f>tbl_OriginalData[[#This Row],[Time_to_Decision]]</f>
        <v>11</v>
      </c>
      <c r="BJ231" t="s">
        <v>62</v>
      </c>
      <c r="BK231" t="s">
        <v>63</v>
      </c>
      <c r="BL231" t="s">
        <v>2525</v>
      </c>
    </row>
    <row r="232" spans="1:64">
      <c r="A232" t="s">
        <v>646</v>
      </c>
      <c r="B232">
        <v>27</v>
      </c>
      <c r="C232" t="s">
        <v>50</v>
      </c>
      <c r="D232" t="s">
        <v>34</v>
      </c>
      <c r="E232" t="s">
        <v>35</v>
      </c>
      <c r="F232" t="s">
        <v>66</v>
      </c>
      <c r="G232" t="s">
        <v>51</v>
      </c>
      <c r="H232" t="s">
        <v>647</v>
      </c>
      <c r="I232" t="s">
        <v>135</v>
      </c>
      <c r="J232">
        <v>291.08999999999997</v>
      </c>
      <c r="K232">
        <v>11</v>
      </c>
      <c r="L232" t="s">
        <v>94</v>
      </c>
      <c r="M232">
        <v>2</v>
      </c>
      <c r="N232">
        <v>2</v>
      </c>
      <c r="O232">
        <v>2</v>
      </c>
      <c r="P232" t="s">
        <v>40</v>
      </c>
      <c r="Q232" t="s">
        <v>41</v>
      </c>
      <c r="R232">
        <v>0</v>
      </c>
      <c r="S232">
        <v>9</v>
      </c>
      <c r="T232" t="s">
        <v>51</v>
      </c>
      <c r="U232" t="s">
        <v>70</v>
      </c>
      <c r="V232" t="s">
        <v>58</v>
      </c>
      <c r="W232" s="1">
        <v>45571</v>
      </c>
      <c r="X232" t="b">
        <v>1</v>
      </c>
      <c r="Y232" t="b">
        <v>0</v>
      </c>
      <c r="Z232" t="s">
        <v>44</v>
      </c>
      <c r="AA232" t="s">
        <v>45</v>
      </c>
      <c r="AB232">
        <v>1</v>
      </c>
      <c r="AF232" t="str">
        <f>tbl_OriginalData[[#This Row],[Customer_ID]]</f>
        <v>36-274-5269</v>
      </c>
      <c r="AG232">
        <f>tbl_OriginalData[[#This Row],[Age]]</f>
        <v>27</v>
      </c>
      <c r="AH232" t="str" cm="1">
        <f t="array" ref="AH23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32" t="str">
        <f>tbl_OriginalData[[#This Row],[Gender]]</f>
        <v>Male</v>
      </c>
      <c r="AJ232" t="str">
        <f>tbl_OriginalData[[#This Row],[Income_Level]]</f>
        <v>Middle</v>
      </c>
      <c r="AK232" t="str">
        <f>tbl_OriginalData[[#This Row],[Marital_Status]]</f>
        <v>Married</v>
      </c>
      <c r="AL232" t="str">
        <f>tbl_OriginalData[[#This Row],[Education_Level]]</f>
        <v>Master's</v>
      </c>
      <c r="AM232" t="str">
        <f>tbl_OriginalData[[#This Row],[Occupation]]</f>
        <v>High</v>
      </c>
      <c r="AN232" t="s">
        <v>647</v>
      </c>
      <c r="AO232" t="s">
        <v>246</v>
      </c>
      <c r="AP232" t="str">
        <f>tbl_OriginalData[[#This Row],[Purchase_Category]]</f>
        <v>Hotels</v>
      </c>
      <c r="AQ232" s="4">
        <f>tbl_OriginalData[[#This Row],[Purchase_Amount]]</f>
        <v>291.08999999999997</v>
      </c>
      <c r="AR232">
        <f>tbl_OriginalData[[#This Row],[Frequency_of_Purchase]]</f>
        <v>11</v>
      </c>
      <c r="AS232" t="str">
        <f>tbl_OriginalData[[#This Row],[Purchase_Channel]]</f>
        <v>Online</v>
      </c>
      <c r="AT232">
        <f>tbl_OriginalData[[#This Row],[Brand_Loyalty]]</f>
        <v>2</v>
      </c>
      <c r="AU232">
        <f>tbl_OriginalData[[#This Row],[Product_Rating]]</f>
        <v>2</v>
      </c>
      <c r="AV232">
        <f>tbl_OriginalData[[#This Row],[Time_Spent_on_Product_Research(hours)]]*60</f>
        <v>120</v>
      </c>
      <c r="AW232" t="str">
        <f>tbl_OriginalData[[#This Row],[Social_Media_Influence]]</f>
        <v>None</v>
      </c>
      <c r="AX232" t="str">
        <f>tbl_OriginalData[[#This Row],[Discount_Sensitivity]]</f>
        <v>Somewhat Sensitive</v>
      </c>
      <c r="AY232" s="3">
        <f>tbl_OriginalData[[#This Row],[Return_Rate]]/tbl_OriginalData[[#This Row],[Frequency_of_Purchase]]</f>
        <v>0</v>
      </c>
      <c r="AZ232">
        <f>tbl_OriginalData[[#This Row],[Customer_Satisfaction]]</f>
        <v>9</v>
      </c>
      <c r="BA232" t="str">
        <f>tbl_OriginalData[[#This Row],[Engagement_with_Ads]]</f>
        <v>High</v>
      </c>
      <c r="BB232" t="str">
        <f>tbl_OriginalData[[#This Row],[Device_Used_for_Shopping]]</f>
        <v>Smartphone</v>
      </c>
      <c r="BC232" t="str">
        <f>tbl_OriginalData[[#This Row],[Payment_Method]]</f>
        <v>PayPal</v>
      </c>
      <c r="BD232" s="1">
        <f>tbl_OriginalData[[#This Row],[Time_of_Purchase]]</f>
        <v>45571</v>
      </c>
      <c r="BE232" t="str">
        <f>IF(tbl_OriginalData[[#This Row],[Discount_Used]]=TRUE,"Yes","No")</f>
        <v>Yes</v>
      </c>
      <c r="BF232" t="str">
        <f>IF(tbl_OriginalData[[#This Row],[Customer_Loyalty_Program_Member]]=TRUE,"Yes","No")</f>
        <v>No</v>
      </c>
      <c r="BG232" t="str">
        <f>tbl_OriginalData[[#This Row],[Purchase_Intent]]</f>
        <v>Need-based</v>
      </c>
      <c r="BH232" t="str">
        <f>tbl_OriginalData[[#This Row],[Shipping_Preference]]</f>
        <v>No Preference</v>
      </c>
      <c r="BI232">
        <f>tbl_OriginalData[[#This Row],[Time_to_Decision]]</f>
        <v>1</v>
      </c>
      <c r="BJ232" t="s">
        <v>79</v>
      </c>
      <c r="BK232" t="s">
        <v>80</v>
      </c>
      <c r="BL232" t="s">
        <v>2523</v>
      </c>
    </row>
    <row r="233" spans="1:64">
      <c r="A233" t="s">
        <v>648</v>
      </c>
      <c r="B233">
        <v>23</v>
      </c>
      <c r="C233" t="s">
        <v>340</v>
      </c>
      <c r="D233" t="s">
        <v>51</v>
      </c>
      <c r="E233" t="s">
        <v>35</v>
      </c>
      <c r="F233" t="s">
        <v>36</v>
      </c>
      <c r="G233" t="s">
        <v>34</v>
      </c>
      <c r="H233" t="s">
        <v>649</v>
      </c>
      <c r="I233" t="s">
        <v>150</v>
      </c>
      <c r="J233">
        <v>414.06</v>
      </c>
      <c r="K233">
        <v>9</v>
      </c>
      <c r="L233" t="s">
        <v>39</v>
      </c>
      <c r="M233">
        <v>1</v>
      </c>
      <c r="N233">
        <v>4</v>
      </c>
      <c r="O233">
        <v>2</v>
      </c>
      <c r="P233" t="s">
        <v>56</v>
      </c>
      <c r="Q233" t="s">
        <v>41</v>
      </c>
      <c r="R233">
        <v>2</v>
      </c>
      <c r="S233">
        <v>4</v>
      </c>
      <c r="T233" t="s">
        <v>51</v>
      </c>
      <c r="U233" t="s">
        <v>95</v>
      </c>
      <c r="V233" t="s">
        <v>58</v>
      </c>
      <c r="W233" s="1">
        <v>45622</v>
      </c>
      <c r="X233" t="b">
        <v>1</v>
      </c>
      <c r="Y233" t="b">
        <v>0</v>
      </c>
      <c r="Z233" t="s">
        <v>89</v>
      </c>
      <c r="AA233" t="s">
        <v>77</v>
      </c>
      <c r="AB233">
        <v>2</v>
      </c>
      <c r="AF233" t="str">
        <f>tbl_OriginalData[[#This Row],[Customer_ID]]</f>
        <v>09-948-3150</v>
      </c>
      <c r="AG233">
        <f>tbl_OriginalData[[#This Row],[Age]]</f>
        <v>23</v>
      </c>
      <c r="AH233" t="str" cm="1">
        <f t="array" ref="AH23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33" t="str">
        <f>tbl_OriginalData[[#This Row],[Gender]]</f>
        <v>Agender</v>
      </c>
      <c r="AJ233" t="str">
        <f>tbl_OriginalData[[#This Row],[Income_Level]]</f>
        <v>High</v>
      </c>
      <c r="AK233" t="str">
        <f>tbl_OriginalData[[#This Row],[Marital_Status]]</f>
        <v>Married</v>
      </c>
      <c r="AL233" t="str">
        <f>tbl_OriginalData[[#This Row],[Education_Level]]</f>
        <v>Bachelor's</v>
      </c>
      <c r="AM233" t="str">
        <f>tbl_OriginalData[[#This Row],[Occupation]]</f>
        <v>Middle</v>
      </c>
      <c r="AN233" t="s">
        <v>649</v>
      </c>
      <c r="AO233" t="s">
        <v>650</v>
      </c>
      <c r="AP233" t="str">
        <f>tbl_OriginalData[[#This Row],[Purchase_Category]]</f>
        <v>Software &amp; Apps</v>
      </c>
      <c r="AQ233" s="4">
        <f>tbl_OriginalData[[#This Row],[Purchase_Amount]]</f>
        <v>414.06</v>
      </c>
      <c r="AR233">
        <f>tbl_OriginalData[[#This Row],[Frequency_of_Purchase]]</f>
        <v>9</v>
      </c>
      <c r="AS233" t="str">
        <f>tbl_OriginalData[[#This Row],[Purchase_Channel]]</f>
        <v>Mixed</v>
      </c>
      <c r="AT233">
        <f>tbl_OriginalData[[#This Row],[Brand_Loyalty]]</f>
        <v>1</v>
      </c>
      <c r="AU233">
        <f>tbl_OriginalData[[#This Row],[Product_Rating]]</f>
        <v>4</v>
      </c>
      <c r="AV233">
        <f>tbl_OriginalData[[#This Row],[Time_Spent_on_Product_Research(hours)]]*60</f>
        <v>120</v>
      </c>
      <c r="AW233" t="str">
        <f>tbl_OriginalData[[#This Row],[Social_Media_Influence]]</f>
        <v>Medium</v>
      </c>
      <c r="AX233" t="str">
        <f>tbl_OriginalData[[#This Row],[Discount_Sensitivity]]</f>
        <v>Somewhat Sensitive</v>
      </c>
      <c r="AY233" s="3">
        <f>tbl_OriginalData[[#This Row],[Return_Rate]]/tbl_OriginalData[[#This Row],[Frequency_of_Purchase]]</f>
        <v>0.22222222222222221</v>
      </c>
      <c r="AZ233">
        <f>tbl_OriginalData[[#This Row],[Customer_Satisfaction]]</f>
        <v>4</v>
      </c>
      <c r="BA233" t="str">
        <f>tbl_OriginalData[[#This Row],[Engagement_with_Ads]]</f>
        <v>High</v>
      </c>
      <c r="BB233" t="str">
        <f>tbl_OriginalData[[#This Row],[Device_Used_for_Shopping]]</f>
        <v>Desktop</v>
      </c>
      <c r="BC233" t="str">
        <f>tbl_OriginalData[[#This Row],[Payment_Method]]</f>
        <v>PayPal</v>
      </c>
      <c r="BD233" s="1">
        <f>tbl_OriginalData[[#This Row],[Time_of_Purchase]]</f>
        <v>45622</v>
      </c>
      <c r="BE233" t="str">
        <f>IF(tbl_OriginalData[[#This Row],[Discount_Used]]=TRUE,"Yes","No")</f>
        <v>Yes</v>
      </c>
      <c r="BF233" t="str">
        <f>IF(tbl_OriginalData[[#This Row],[Customer_Loyalty_Program_Member]]=TRUE,"Yes","No")</f>
        <v>No</v>
      </c>
      <c r="BG233" t="str">
        <f>tbl_OriginalData[[#This Row],[Purchase_Intent]]</f>
        <v>Planned</v>
      </c>
      <c r="BH233" t="str">
        <f>tbl_OriginalData[[#This Row],[Shipping_Preference]]</f>
        <v>Express</v>
      </c>
      <c r="BI233">
        <f>tbl_OriginalData[[#This Row],[Time_to_Decision]]</f>
        <v>2</v>
      </c>
      <c r="BJ233" t="s">
        <v>177</v>
      </c>
      <c r="BK233" t="s">
        <v>80</v>
      </c>
      <c r="BL233" t="s">
        <v>2524</v>
      </c>
    </row>
    <row r="234" spans="1:64">
      <c r="A234" t="s">
        <v>652</v>
      </c>
      <c r="B234">
        <v>21</v>
      </c>
      <c r="C234" t="s">
        <v>50</v>
      </c>
      <c r="D234" t="s">
        <v>34</v>
      </c>
      <c r="E234" t="s">
        <v>35</v>
      </c>
      <c r="F234" t="s">
        <v>52</v>
      </c>
      <c r="G234" t="s">
        <v>51</v>
      </c>
      <c r="H234" t="s">
        <v>653</v>
      </c>
      <c r="I234" t="s">
        <v>84</v>
      </c>
      <c r="J234">
        <v>103.4</v>
      </c>
      <c r="K234">
        <v>9</v>
      </c>
      <c r="L234" t="s">
        <v>55</v>
      </c>
      <c r="M234">
        <v>4</v>
      </c>
      <c r="N234">
        <v>1</v>
      </c>
      <c r="O234">
        <v>2</v>
      </c>
      <c r="P234" t="s">
        <v>51</v>
      </c>
      <c r="Q234" t="s">
        <v>57</v>
      </c>
      <c r="R234">
        <v>1</v>
      </c>
      <c r="S234">
        <v>9</v>
      </c>
      <c r="T234" t="s">
        <v>56</v>
      </c>
      <c r="U234" t="s">
        <v>70</v>
      </c>
      <c r="V234" t="s">
        <v>71</v>
      </c>
      <c r="W234" s="1">
        <v>45600</v>
      </c>
      <c r="X234" t="b">
        <v>1</v>
      </c>
      <c r="Y234" t="b">
        <v>0</v>
      </c>
      <c r="Z234" t="s">
        <v>89</v>
      </c>
      <c r="AA234" t="s">
        <v>60</v>
      </c>
      <c r="AB234">
        <v>9</v>
      </c>
      <c r="AF234" t="str">
        <f>tbl_OriginalData[[#This Row],[Customer_ID]]</f>
        <v>37-748-4988</v>
      </c>
      <c r="AG234">
        <f>tbl_OriginalData[[#This Row],[Age]]</f>
        <v>21</v>
      </c>
      <c r="AH234" t="str" cm="1">
        <f t="array" ref="AH23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34" t="str">
        <f>tbl_OriginalData[[#This Row],[Gender]]</f>
        <v>Male</v>
      </c>
      <c r="AJ234" t="str">
        <f>tbl_OriginalData[[#This Row],[Income_Level]]</f>
        <v>Middle</v>
      </c>
      <c r="AK234" t="str">
        <f>tbl_OriginalData[[#This Row],[Marital_Status]]</f>
        <v>Married</v>
      </c>
      <c r="AL234" t="str">
        <f>tbl_OriginalData[[#This Row],[Education_Level]]</f>
        <v>High School</v>
      </c>
      <c r="AM234" t="str">
        <f>tbl_OriginalData[[#This Row],[Occupation]]</f>
        <v>High</v>
      </c>
      <c r="AN234" t="s">
        <v>653</v>
      </c>
      <c r="AO234" t="s">
        <v>342</v>
      </c>
      <c r="AP234" t="str">
        <f>tbl_OriginalData[[#This Row],[Purchase_Category]]</f>
        <v>Furniture</v>
      </c>
      <c r="AQ234" s="4">
        <f>tbl_OriginalData[[#This Row],[Purchase_Amount]]</f>
        <v>103.4</v>
      </c>
      <c r="AR234">
        <f>tbl_OriginalData[[#This Row],[Frequency_of_Purchase]]</f>
        <v>9</v>
      </c>
      <c r="AS234" t="str">
        <f>tbl_OriginalData[[#This Row],[Purchase_Channel]]</f>
        <v>In-Store</v>
      </c>
      <c r="AT234">
        <f>tbl_OriginalData[[#This Row],[Brand_Loyalty]]</f>
        <v>4</v>
      </c>
      <c r="AU234">
        <f>tbl_OriginalData[[#This Row],[Product_Rating]]</f>
        <v>1</v>
      </c>
      <c r="AV234">
        <f>tbl_OriginalData[[#This Row],[Time_Spent_on_Product_Research(hours)]]*60</f>
        <v>120</v>
      </c>
      <c r="AW234" t="str">
        <f>tbl_OriginalData[[#This Row],[Social_Media_Influence]]</f>
        <v>High</v>
      </c>
      <c r="AX234" t="str">
        <f>tbl_OriginalData[[#This Row],[Discount_Sensitivity]]</f>
        <v>Not Sensitive</v>
      </c>
      <c r="AY234" s="3">
        <f>tbl_OriginalData[[#This Row],[Return_Rate]]/tbl_OriginalData[[#This Row],[Frequency_of_Purchase]]</f>
        <v>0.1111111111111111</v>
      </c>
      <c r="AZ234">
        <f>tbl_OriginalData[[#This Row],[Customer_Satisfaction]]</f>
        <v>9</v>
      </c>
      <c r="BA234" t="str">
        <f>tbl_OriginalData[[#This Row],[Engagement_with_Ads]]</f>
        <v>Medium</v>
      </c>
      <c r="BB234" t="str">
        <f>tbl_OriginalData[[#This Row],[Device_Used_for_Shopping]]</f>
        <v>Smartphone</v>
      </c>
      <c r="BC234" t="str">
        <f>tbl_OriginalData[[#This Row],[Payment_Method]]</f>
        <v>Debit Card</v>
      </c>
      <c r="BD234" s="1">
        <f>tbl_OriginalData[[#This Row],[Time_of_Purchase]]</f>
        <v>45600</v>
      </c>
      <c r="BE234" t="str">
        <f>IF(tbl_OriginalData[[#This Row],[Discount_Used]]=TRUE,"Yes","No")</f>
        <v>Yes</v>
      </c>
      <c r="BF234" t="str">
        <f>IF(tbl_OriginalData[[#This Row],[Customer_Loyalty_Program_Member]]=TRUE,"Yes","No")</f>
        <v>No</v>
      </c>
      <c r="BG234" t="str">
        <f>tbl_OriginalData[[#This Row],[Purchase_Intent]]</f>
        <v>Planned</v>
      </c>
      <c r="BH234" t="str">
        <f>tbl_OriginalData[[#This Row],[Shipping_Preference]]</f>
        <v>Standard</v>
      </c>
      <c r="BI234">
        <f>tbl_OriginalData[[#This Row],[Time_to_Decision]]</f>
        <v>9</v>
      </c>
      <c r="BJ234" t="s">
        <v>177</v>
      </c>
      <c r="BK234" t="s">
        <v>80</v>
      </c>
      <c r="BL234" t="s">
        <v>2524</v>
      </c>
    </row>
    <row r="235" spans="1:64">
      <c r="A235" t="s">
        <v>654</v>
      </c>
      <c r="B235">
        <v>47</v>
      </c>
      <c r="C235" t="s">
        <v>50</v>
      </c>
      <c r="D235" t="s">
        <v>34</v>
      </c>
      <c r="E235" t="s">
        <v>65</v>
      </c>
      <c r="F235" t="s">
        <v>52</v>
      </c>
      <c r="G235" t="s">
        <v>51</v>
      </c>
      <c r="H235" t="s">
        <v>655</v>
      </c>
      <c r="I235" t="s">
        <v>84</v>
      </c>
      <c r="J235">
        <v>67.92</v>
      </c>
      <c r="K235">
        <v>3</v>
      </c>
      <c r="L235" t="s">
        <v>55</v>
      </c>
      <c r="M235">
        <v>1</v>
      </c>
      <c r="N235">
        <v>3</v>
      </c>
      <c r="O235">
        <v>0</v>
      </c>
      <c r="P235" t="s">
        <v>69</v>
      </c>
      <c r="Q235" t="s">
        <v>57</v>
      </c>
      <c r="R235">
        <v>1</v>
      </c>
      <c r="S235">
        <v>8</v>
      </c>
      <c r="T235" t="s">
        <v>69</v>
      </c>
      <c r="U235" t="s">
        <v>42</v>
      </c>
      <c r="V235" t="s">
        <v>102</v>
      </c>
      <c r="W235" s="1">
        <v>45583</v>
      </c>
      <c r="X235" t="b">
        <v>0</v>
      </c>
      <c r="Y235" t="b">
        <v>1</v>
      </c>
      <c r="Z235" t="s">
        <v>72</v>
      </c>
      <c r="AA235" t="s">
        <v>77</v>
      </c>
      <c r="AB235">
        <v>10</v>
      </c>
      <c r="AF235" t="str">
        <f>tbl_OriginalData[[#This Row],[Customer_ID]]</f>
        <v>08-755-1170</v>
      </c>
      <c r="AG235">
        <f>tbl_OriginalData[[#This Row],[Age]]</f>
        <v>47</v>
      </c>
      <c r="AH235" t="str" cm="1">
        <f t="array" ref="AH23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35" t="str">
        <f>tbl_OriginalData[[#This Row],[Gender]]</f>
        <v>Male</v>
      </c>
      <c r="AJ235" t="str">
        <f>tbl_OriginalData[[#This Row],[Income_Level]]</f>
        <v>Middle</v>
      </c>
      <c r="AK235" t="str">
        <f>tbl_OriginalData[[#This Row],[Marital_Status]]</f>
        <v>Single</v>
      </c>
      <c r="AL235" t="str">
        <f>tbl_OriginalData[[#This Row],[Education_Level]]</f>
        <v>High School</v>
      </c>
      <c r="AM235" t="str">
        <f>tbl_OriginalData[[#This Row],[Occupation]]</f>
        <v>High</v>
      </c>
      <c r="AN235" t="s">
        <v>655</v>
      </c>
      <c r="AO235" t="s">
        <v>90</v>
      </c>
      <c r="AP235" t="str">
        <f>tbl_OriginalData[[#This Row],[Purchase_Category]]</f>
        <v>Furniture</v>
      </c>
      <c r="AQ235" s="4">
        <f>tbl_OriginalData[[#This Row],[Purchase_Amount]]</f>
        <v>67.92</v>
      </c>
      <c r="AR235">
        <f>tbl_OriginalData[[#This Row],[Frequency_of_Purchase]]</f>
        <v>3</v>
      </c>
      <c r="AS235" t="str">
        <f>tbl_OriginalData[[#This Row],[Purchase_Channel]]</f>
        <v>In-Store</v>
      </c>
      <c r="AT235">
        <f>tbl_OriginalData[[#This Row],[Brand_Loyalty]]</f>
        <v>1</v>
      </c>
      <c r="AU235">
        <f>tbl_OriginalData[[#This Row],[Product_Rating]]</f>
        <v>3</v>
      </c>
      <c r="AV235">
        <f>tbl_OriginalData[[#This Row],[Time_Spent_on_Product_Research(hours)]]*60</f>
        <v>0</v>
      </c>
      <c r="AW235" t="str">
        <f>tbl_OriginalData[[#This Row],[Social_Media_Influence]]</f>
        <v>Low</v>
      </c>
      <c r="AX235" t="str">
        <f>tbl_OriginalData[[#This Row],[Discount_Sensitivity]]</f>
        <v>Not Sensitive</v>
      </c>
      <c r="AY235" s="3">
        <f>tbl_OriginalData[[#This Row],[Return_Rate]]/tbl_OriginalData[[#This Row],[Frequency_of_Purchase]]</f>
        <v>0.33333333333333331</v>
      </c>
      <c r="AZ235">
        <f>tbl_OriginalData[[#This Row],[Customer_Satisfaction]]</f>
        <v>8</v>
      </c>
      <c r="BA235" t="str">
        <f>tbl_OriginalData[[#This Row],[Engagement_with_Ads]]</f>
        <v>Low</v>
      </c>
      <c r="BB235" t="str">
        <f>tbl_OriginalData[[#This Row],[Device_Used_for_Shopping]]</f>
        <v>Tablet</v>
      </c>
      <c r="BC235" t="str">
        <f>tbl_OriginalData[[#This Row],[Payment_Method]]</f>
        <v>Cash</v>
      </c>
      <c r="BD235" s="1">
        <f>tbl_OriginalData[[#This Row],[Time_of_Purchase]]</f>
        <v>45583</v>
      </c>
      <c r="BE235" t="str">
        <f>IF(tbl_OriginalData[[#This Row],[Discount_Used]]=TRUE,"Yes","No")</f>
        <v>No</v>
      </c>
      <c r="BF235" t="str">
        <f>IF(tbl_OriginalData[[#This Row],[Customer_Loyalty_Program_Member]]=TRUE,"Yes","No")</f>
        <v>Yes</v>
      </c>
      <c r="BG235" t="str">
        <f>tbl_OriginalData[[#This Row],[Purchase_Intent]]</f>
        <v>Impulsive</v>
      </c>
      <c r="BH235" t="str">
        <f>tbl_OriginalData[[#This Row],[Shipping_Preference]]</f>
        <v>Express</v>
      </c>
      <c r="BI235">
        <f>tbl_OriginalData[[#This Row],[Time_to_Decision]]</f>
        <v>10</v>
      </c>
      <c r="BJ235" t="s">
        <v>79</v>
      </c>
      <c r="BK235" t="s">
        <v>80</v>
      </c>
      <c r="BL235" t="s">
        <v>2524</v>
      </c>
    </row>
    <row r="236" spans="1:64">
      <c r="A236" t="s">
        <v>656</v>
      </c>
      <c r="B236">
        <v>42</v>
      </c>
      <c r="C236" t="s">
        <v>340</v>
      </c>
      <c r="D236" t="s">
        <v>34</v>
      </c>
      <c r="E236" t="s">
        <v>65</v>
      </c>
      <c r="F236" t="s">
        <v>52</v>
      </c>
      <c r="G236" t="s">
        <v>34</v>
      </c>
      <c r="H236" t="s">
        <v>657</v>
      </c>
      <c r="I236" t="s">
        <v>180</v>
      </c>
      <c r="J236">
        <v>354.16</v>
      </c>
      <c r="K236">
        <v>8</v>
      </c>
      <c r="L236" t="s">
        <v>55</v>
      </c>
      <c r="M236">
        <v>1</v>
      </c>
      <c r="N236">
        <v>1</v>
      </c>
      <c r="O236">
        <v>1</v>
      </c>
      <c r="P236" t="s">
        <v>69</v>
      </c>
      <c r="Q236" t="s">
        <v>57</v>
      </c>
      <c r="R236">
        <v>2</v>
      </c>
      <c r="S236">
        <v>3</v>
      </c>
      <c r="T236" t="s">
        <v>69</v>
      </c>
      <c r="U236" t="s">
        <v>95</v>
      </c>
      <c r="V236" t="s">
        <v>43</v>
      </c>
      <c r="W236" s="1">
        <v>45456</v>
      </c>
      <c r="X236" t="b">
        <v>1</v>
      </c>
      <c r="Y236" t="b">
        <v>0</v>
      </c>
      <c r="Z236" t="s">
        <v>89</v>
      </c>
      <c r="AA236" t="s">
        <v>77</v>
      </c>
      <c r="AB236">
        <v>5</v>
      </c>
      <c r="AF236" t="str">
        <f>tbl_OriginalData[[#This Row],[Customer_ID]]</f>
        <v>07-402-7433</v>
      </c>
      <c r="AG236">
        <f>tbl_OriginalData[[#This Row],[Age]]</f>
        <v>42</v>
      </c>
      <c r="AH236" t="str" cm="1">
        <f t="array" ref="AH23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36" t="str">
        <f>tbl_OriginalData[[#This Row],[Gender]]</f>
        <v>Agender</v>
      </c>
      <c r="AJ236" t="str">
        <f>tbl_OriginalData[[#This Row],[Income_Level]]</f>
        <v>Middle</v>
      </c>
      <c r="AK236" t="str">
        <f>tbl_OriginalData[[#This Row],[Marital_Status]]</f>
        <v>Single</v>
      </c>
      <c r="AL236" t="str">
        <f>tbl_OriginalData[[#This Row],[Education_Level]]</f>
        <v>High School</v>
      </c>
      <c r="AM236" t="str">
        <f>tbl_OriginalData[[#This Row],[Occupation]]</f>
        <v>Middle</v>
      </c>
      <c r="AN236" t="s">
        <v>657</v>
      </c>
      <c r="AO236" t="s">
        <v>194</v>
      </c>
      <c r="AP236" t="str">
        <f>tbl_OriginalData[[#This Row],[Purchase_Category]]</f>
        <v>Health Supplements</v>
      </c>
      <c r="AQ236" s="4">
        <f>tbl_OriginalData[[#This Row],[Purchase_Amount]]</f>
        <v>354.16</v>
      </c>
      <c r="AR236">
        <f>tbl_OriginalData[[#This Row],[Frequency_of_Purchase]]</f>
        <v>8</v>
      </c>
      <c r="AS236" t="str">
        <f>tbl_OriginalData[[#This Row],[Purchase_Channel]]</f>
        <v>In-Store</v>
      </c>
      <c r="AT236">
        <f>tbl_OriginalData[[#This Row],[Brand_Loyalty]]</f>
        <v>1</v>
      </c>
      <c r="AU236">
        <f>tbl_OriginalData[[#This Row],[Product_Rating]]</f>
        <v>1</v>
      </c>
      <c r="AV236">
        <f>tbl_OriginalData[[#This Row],[Time_Spent_on_Product_Research(hours)]]*60</f>
        <v>60</v>
      </c>
      <c r="AW236" t="str">
        <f>tbl_OriginalData[[#This Row],[Social_Media_Influence]]</f>
        <v>Low</v>
      </c>
      <c r="AX236" t="str">
        <f>tbl_OriginalData[[#This Row],[Discount_Sensitivity]]</f>
        <v>Not Sensitive</v>
      </c>
      <c r="AY236" s="3">
        <f>tbl_OriginalData[[#This Row],[Return_Rate]]/tbl_OriginalData[[#This Row],[Frequency_of_Purchase]]</f>
        <v>0.25</v>
      </c>
      <c r="AZ236">
        <f>tbl_OriginalData[[#This Row],[Customer_Satisfaction]]</f>
        <v>3</v>
      </c>
      <c r="BA236" t="str">
        <f>tbl_OriginalData[[#This Row],[Engagement_with_Ads]]</f>
        <v>Low</v>
      </c>
      <c r="BB236" t="str">
        <f>tbl_OriginalData[[#This Row],[Device_Used_for_Shopping]]</f>
        <v>Desktop</v>
      </c>
      <c r="BC236" t="str">
        <f>tbl_OriginalData[[#This Row],[Payment_Method]]</f>
        <v>Credit Card</v>
      </c>
      <c r="BD236" s="1">
        <f>tbl_OriginalData[[#This Row],[Time_of_Purchase]]</f>
        <v>45456</v>
      </c>
      <c r="BE236" t="str">
        <f>IF(tbl_OriginalData[[#This Row],[Discount_Used]]=TRUE,"Yes","No")</f>
        <v>Yes</v>
      </c>
      <c r="BF236" t="str">
        <f>IF(tbl_OriginalData[[#This Row],[Customer_Loyalty_Program_Member]]=TRUE,"Yes","No")</f>
        <v>No</v>
      </c>
      <c r="BG236" t="str">
        <f>tbl_OriginalData[[#This Row],[Purchase_Intent]]</f>
        <v>Planned</v>
      </c>
      <c r="BH236" t="str">
        <f>tbl_OriginalData[[#This Row],[Shipping_Preference]]</f>
        <v>Express</v>
      </c>
      <c r="BI236">
        <f>tbl_OriginalData[[#This Row],[Time_to_Decision]]</f>
        <v>5</v>
      </c>
      <c r="BJ236" t="s">
        <v>104</v>
      </c>
      <c r="BK236" t="s">
        <v>63</v>
      </c>
      <c r="BL236" t="s">
        <v>2524</v>
      </c>
    </row>
    <row r="237" spans="1:64">
      <c r="A237" t="s">
        <v>658</v>
      </c>
      <c r="B237">
        <v>30</v>
      </c>
      <c r="C237" t="s">
        <v>50</v>
      </c>
      <c r="D237" t="s">
        <v>34</v>
      </c>
      <c r="E237" t="s">
        <v>82</v>
      </c>
      <c r="F237" t="s">
        <v>36</v>
      </c>
      <c r="G237" t="s">
        <v>34</v>
      </c>
      <c r="H237" t="s">
        <v>659</v>
      </c>
      <c r="I237" t="s">
        <v>98</v>
      </c>
      <c r="J237">
        <v>276.77</v>
      </c>
      <c r="K237">
        <v>2</v>
      </c>
      <c r="L237" t="s">
        <v>39</v>
      </c>
      <c r="M237">
        <v>1</v>
      </c>
      <c r="N237">
        <v>1</v>
      </c>
      <c r="O237">
        <v>2</v>
      </c>
      <c r="P237" t="s">
        <v>69</v>
      </c>
      <c r="Q237" t="s">
        <v>101</v>
      </c>
      <c r="R237">
        <v>1</v>
      </c>
      <c r="S237">
        <v>2</v>
      </c>
      <c r="T237" t="s">
        <v>51</v>
      </c>
      <c r="U237" t="s">
        <v>70</v>
      </c>
      <c r="V237" t="s">
        <v>102</v>
      </c>
      <c r="W237" s="1">
        <v>45354</v>
      </c>
      <c r="X237" t="b">
        <v>1</v>
      </c>
      <c r="Y237" t="b">
        <v>1</v>
      </c>
      <c r="Z237" t="s">
        <v>59</v>
      </c>
      <c r="AA237" t="s">
        <v>45</v>
      </c>
      <c r="AB237">
        <v>4</v>
      </c>
      <c r="AF237" t="str">
        <f>tbl_OriginalData[[#This Row],[Customer_ID]]</f>
        <v>60-073-3575</v>
      </c>
      <c r="AG237">
        <f>tbl_OriginalData[[#This Row],[Age]]</f>
        <v>30</v>
      </c>
      <c r="AH237" t="str" cm="1">
        <f t="array" ref="AH23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37" t="str">
        <f>tbl_OriginalData[[#This Row],[Gender]]</f>
        <v>Male</v>
      </c>
      <c r="AJ237" t="str">
        <f>tbl_OriginalData[[#This Row],[Income_Level]]</f>
        <v>Middle</v>
      </c>
      <c r="AK237" t="str">
        <f>tbl_OriginalData[[#This Row],[Marital_Status]]</f>
        <v>Widowed</v>
      </c>
      <c r="AL237" t="str">
        <f>tbl_OriginalData[[#This Row],[Education_Level]]</f>
        <v>Bachelor's</v>
      </c>
      <c r="AM237" t="str">
        <f>tbl_OriginalData[[#This Row],[Occupation]]</f>
        <v>Middle</v>
      </c>
      <c r="AN237" t="s">
        <v>659</v>
      </c>
      <c r="AO237" t="s">
        <v>186</v>
      </c>
      <c r="AP237" t="str">
        <f>tbl_OriginalData[[#This Row],[Purchase_Category]]</f>
        <v>Books</v>
      </c>
      <c r="AQ237" s="4">
        <f>tbl_OriginalData[[#This Row],[Purchase_Amount]]</f>
        <v>276.77</v>
      </c>
      <c r="AR237">
        <f>tbl_OriginalData[[#This Row],[Frequency_of_Purchase]]</f>
        <v>2</v>
      </c>
      <c r="AS237" t="str">
        <f>tbl_OriginalData[[#This Row],[Purchase_Channel]]</f>
        <v>Mixed</v>
      </c>
      <c r="AT237">
        <f>tbl_OriginalData[[#This Row],[Brand_Loyalty]]</f>
        <v>1</v>
      </c>
      <c r="AU237">
        <f>tbl_OriginalData[[#This Row],[Product_Rating]]</f>
        <v>1</v>
      </c>
      <c r="AV237">
        <f>tbl_OriginalData[[#This Row],[Time_Spent_on_Product_Research(hours)]]*60</f>
        <v>120</v>
      </c>
      <c r="AW237" t="str">
        <f>tbl_OriginalData[[#This Row],[Social_Media_Influence]]</f>
        <v>Low</v>
      </c>
      <c r="AX237" t="str">
        <f>tbl_OriginalData[[#This Row],[Discount_Sensitivity]]</f>
        <v>Very Sensitive</v>
      </c>
      <c r="AY237" s="3">
        <f>tbl_OriginalData[[#This Row],[Return_Rate]]/tbl_OriginalData[[#This Row],[Frequency_of_Purchase]]</f>
        <v>0.5</v>
      </c>
      <c r="AZ237">
        <f>tbl_OriginalData[[#This Row],[Customer_Satisfaction]]</f>
        <v>2</v>
      </c>
      <c r="BA237" t="str">
        <f>tbl_OriginalData[[#This Row],[Engagement_with_Ads]]</f>
        <v>High</v>
      </c>
      <c r="BB237" t="str">
        <f>tbl_OriginalData[[#This Row],[Device_Used_for_Shopping]]</f>
        <v>Smartphone</v>
      </c>
      <c r="BC237" t="str">
        <f>tbl_OriginalData[[#This Row],[Payment_Method]]</f>
        <v>Cash</v>
      </c>
      <c r="BD237" s="1">
        <f>tbl_OriginalData[[#This Row],[Time_of_Purchase]]</f>
        <v>45354</v>
      </c>
      <c r="BE237" t="str">
        <f>IF(tbl_OriginalData[[#This Row],[Discount_Used]]=TRUE,"Yes","No")</f>
        <v>Yes</v>
      </c>
      <c r="BF237" t="str">
        <f>IF(tbl_OriginalData[[#This Row],[Customer_Loyalty_Program_Member]]=TRUE,"Yes","No")</f>
        <v>Yes</v>
      </c>
      <c r="BG237" t="str">
        <f>tbl_OriginalData[[#This Row],[Purchase_Intent]]</f>
        <v>Wants-based</v>
      </c>
      <c r="BH237" t="str">
        <f>tbl_OriginalData[[#This Row],[Shipping_Preference]]</f>
        <v>No Preference</v>
      </c>
      <c r="BI237">
        <f>tbl_OriginalData[[#This Row],[Time_to_Decision]]</f>
        <v>4</v>
      </c>
      <c r="BJ237" t="s">
        <v>47</v>
      </c>
      <c r="BK237" t="s">
        <v>48</v>
      </c>
      <c r="BL237" t="s">
        <v>2523</v>
      </c>
    </row>
    <row r="238" spans="1:64">
      <c r="A238" t="s">
        <v>660</v>
      </c>
      <c r="B238">
        <v>49</v>
      </c>
      <c r="C238" t="s">
        <v>50</v>
      </c>
      <c r="D238" t="s">
        <v>34</v>
      </c>
      <c r="E238" t="s">
        <v>65</v>
      </c>
      <c r="F238" t="s">
        <v>52</v>
      </c>
      <c r="G238" t="s">
        <v>34</v>
      </c>
      <c r="H238" t="s">
        <v>661</v>
      </c>
      <c r="I238" t="s">
        <v>131</v>
      </c>
      <c r="J238">
        <v>190.25</v>
      </c>
      <c r="K238">
        <v>6</v>
      </c>
      <c r="L238" t="s">
        <v>39</v>
      </c>
      <c r="M238">
        <v>4</v>
      </c>
      <c r="N238">
        <v>2</v>
      </c>
      <c r="O238">
        <v>2</v>
      </c>
      <c r="P238" t="s">
        <v>40</v>
      </c>
      <c r="Q238" t="s">
        <v>101</v>
      </c>
      <c r="R238">
        <v>2</v>
      </c>
      <c r="S238">
        <v>9</v>
      </c>
      <c r="T238" t="s">
        <v>40</v>
      </c>
      <c r="U238" t="s">
        <v>42</v>
      </c>
      <c r="V238" t="s">
        <v>58</v>
      </c>
      <c r="W238" s="1">
        <v>45446</v>
      </c>
      <c r="X238" t="b">
        <v>0</v>
      </c>
      <c r="Y238" t="b">
        <v>0</v>
      </c>
      <c r="Z238" t="s">
        <v>89</v>
      </c>
      <c r="AA238" t="s">
        <v>77</v>
      </c>
      <c r="AB238">
        <v>13</v>
      </c>
      <c r="AF238" t="str">
        <f>tbl_OriginalData[[#This Row],[Customer_ID]]</f>
        <v>97-237-3483</v>
      </c>
      <c r="AG238">
        <f>tbl_OriginalData[[#This Row],[Age]]</f>
        <v>49</v>
      </c>
      <c r="AH238" t="str" cm="1">
        <f t="array" ref="AH23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38" t="str">
        <f>tbl_OriginalData[[#This Row],[Gender]]</f>
        <v>Male</v>
      </c>
      <c r="AJ238" t="str">
        <f>tbl_OriginalData[[#This Row],[Income_Level]]</f>
        <v>Middle</v>
      </c>
      <c r="AK238" t="str">
        <f>tbl_OriginalData[[#This Row],[Marital_Status]]</f>
        <v>Single</v>
      </c>
      <c r="AL238" t="str">
        <f>tbl_OriginalData[[#This Row],[Education_Level]]</f>
        <v>High School</v>
      </c>
      <c r="AM238" t="str">
        <f>tbl_OriginalData[[#This Row],[Occupation]]</f>
        <v>Middle</v>
      </c>
      <c r="AN238" t="s">
        <v>661</v>
      </c>
      <c r="AO238" t="s">
        <v>161</v>
      </c>
      <c r="AP238" t="str">
        <f>tbl_OriginalData[[#This Row],[Purchase_Category]]</f>
        <v>Health Care</v>
      </c>
      <c r="AQ238" s="4">
        <f>tbl_OriginalData[[#This Row],[Purchase_Amount]]</f>
        <v>190.25</v>
      </c>
      <c r="AR238">
        <f>tbl_OriginalData[[#This Row],[Frequency_of_Purchase]]</f>
        <v>6</v>
      </c>
      <c r="AS238" t="str">
        <f>tbl_OriginalData[[#This Row],[Purchase_Channel]]</f>
        <v>Mixed</v>
      </c>
      <c r="AT238">
        <f>tbl_OriginalData[[#This Row],[Brand_Loyalty]]</f>
        <v>4</v>
      </c>
      <c r="AU238">
        <f>tbl_OriginalData[[#This Row],[Product_Rating]]</f>
        <v>2</v>
      </c>
      <c r="AV238">
        <f>tbl_OriginalData[[#This Row],[Time_Spent_on_Product_Research(hours)]]*60</f>
        <v>120</v>
      </c>
      <c r="AW238" t="str">
        <f>tbl_OriginalData[[#This Row],[Social_Media_Influence]]</f>
        <v>None</v>
      </c>
      <c r="AX238" t="str">
        <f>tbl_OriginalData[[#This Row],[Discount_Sensitivity]]</f>
        <v>Very Sensitive</v>
      </c>
      <c r="AY238" s="3">
        <f>tbl_OriginalData[[#This Row],[Return_Rate]]/tbl_OriginalData[[#This Row],[Frequency_of_Purchase]]</f>
        <v>0.33333333333333331</v>
      </c>
      <c r="AZ238">
        <f>tbl_OriginalData[[#This Row],[Customer_Satisfaction]]</f>
        <v>9</v>
      </c>
      <c r="BA238" t="str">
        <f>tbl_OriginalData[[#This Row],[Engagement_with_Ads]]</f>
        <v>None</v>
      </c>
      <c r="BB238" t="str">
        <f>tbl_OriginalData[[#This Row],[Device_Used_for_Shopping]]</f>
        <v>Tablet</v>
      </c>
      <c r="BC238" t="str">
        <f>tbl_OriginalData[[#This Row],[Payment_Method]]</f>
        <v>PayPal</v>
      </c>
      <c r="BD238" s="1">
        <f>tbl_OriginalData[[#This Row],[Time_of_Purchase]]</f>
        <v>45446</v>
      </c>
      <c r="BE238" t="str">
        <f>IF(tbl_OriginalData[[#This Row],[Discount_Used]]=TRUE,"Yes","No")</f>
        <v>No</v>
      </c>
      <c r="BF238" t="str">
        <f>IF(tbl_OriginalData[[#This Row],[Customer_Loyalty_Program_Member]]=TRUE,"Yes","No")</f>
        <v>No</v>
      </c>
      <c r="BG238" t="str">
        <f>tbl_OriginalData[[#This Row],[Purchase_Intent]]</f>
        <v>Planned</v>
      </c>
      <c r="BH238" t="str">
        <f>tbl_OriginalData[[#This Row],[Shipping_Preference]]</f>
        <v>Express</v>
      </c>
      <c r="BI238">
        <f>tbl_OriginalData[[#This Row],[Time_to_Decision]]</f>
        <v>13</v>
      </c>
      <c r="BJ238" t="s">
        <v>104</v>
      </c>
      <c r="BK238" t="s">
        <v>63</v>
      </c>
      <c r="BL238" t="s">
        <v>2527</v>
      </c>
    </row>
    <row r="239" spans="1:64">
      <c r="A239" t="s">
        <v>662</v>
      </c>
      <c r="B239">
        <v>28</v>
      </c>
      <c r="C239" t="s">
        <v>33</v>
      </c>
      <c r="D239" t="s">
        <v>34</v>
      </c>
      <c r="E239" t="s">
        <v>35</v>
      </c>
      <c r="F239" t="s">
        <v>66</v>
      </c>
      <c r="G239" t="s">
        <v>34</v>
      </c>
      <c r="H239" t="s">
        <v>663</v>
      </c>
      <c r="I239" t="s">
        <v>127</v>
      </c>
      <c r="J239">
        <v>203.49</v>
      </c>
      <c r="K239">
        <v>7</v>
      </c>
      <c r="L239" t="s">
        <v>55</v>
      </c>
      <c r="M239">
        <v>4</v>
      </c>
      <c r="N239">
        <v>1</v>
      </c>
      <c r="O239">
        <v>2</v>
      </c>
      <c r="P239" t="s">
        <v>56</v>
      </c>
      <c r="Q239" t="s">
        <v>57</v>
      </c>
      <c r="R239">
        <v>1</v>
      </c>
      <c r="S239">
        <v>8</v>
      </c>
      <c r="T239" t="s">
        <v>51</v>
      </c>
      <c r="U239" t="s">
        <v>42</v>
      </c>
      <c r="V239" t="s">
        <v>102</v>
      </c>
      <c r="W239" s="1">
        <v>45514</v>
      </c>
      <c r="X239" t="b">
        <v>0</v>
      </c>
      <c r="Y239" t="b">
        <v>1</v>
      </c>
      <c r="Z239" t="s">
        <v>44</v>
      </c>
      <c r="AA239" t="s">
        <v>77</v>
      </c>
      <c r="AB239">
        <v>11</v>
      </c>
      <c r="AF239" t="str">
        <f>tbl_OriginalData[[#This Row],[Customer_ID]]</f>
        <v>93-675-1619</v>
      </c>
      <c r="AG239">
        <f>tbl_OriginalData[[#This Row],[Age]]</f>
        <v>28</v>
      </c>
      <c r="AH239" t="str" cm="1">
        <f t="array" ref="AH23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39" t="str">
        <f>tbl_OriginalData[[#This Row],[Gender]]</f>
        <v>Female</v>
      </c>
      <c r="AJ239" t="str">
        <f>tbl_OriginalData[[#This Row],[Income_Level]]</f>
        <v>Middle</v>
      </c>
      <c r="AK239" t="str">
        <f>tbl_OriginalData[[#This Row],[Marital_Status]]</f>
        <v>Married</v>
      </c>
      <c r="AL239" t="str">
        <f>tbl_OriginalData[[#This Row],[Education_Level]]</f>
        <v>Master's</v>
      </c>
      <c r="AM239" t="str">
        <f>tbl_OriginalData[[#This Row],[Occupation]]</f>
        <v>Middle</v>
      </c>
      <c r="AN239" t="s">
        <v>663</v>
      </c>
      <c r="AO239" t="s">
        <v>232</v>
      </c>
      <c r="AP239" t="str">
        <f>tbl_OriginalData[[#This Row],[Purchase_Category]]</f>
        <v>Animal Feed</v>
      </c>
      <c r="AQ239" s="4">
        <f>tbl_OriginalData[[#This Row],[Purchase_Amount]]</f>
        <v>203.49</v>
      </c>
      <c r="AR239">
        <f>tbl_OriginalData[[#This Row],[Frequency_of_Purchase]]</f>
        <v>7</v>
      </c>
      <c r="AS239" t="str">
        <f>tbl_OriginalData[[#This Row],[Purchase_Channel]]</f>
        <v>In-Store</v>
      </c>
      <c r="AT239">
        <f>tbl_OriginalData[[#This Row],[Brand_Loyalty]]</f>
        <v>4</v>
      </c>
      <c r="AU239">
        <f>tbl_OriginalData[[#This Row],[Product_Rating]]</f>
        <v>1</v>
      </c>
      <c r="AV239">
        <f>tbl_OriginalData[[#This Row],[Time_Spent_on_Product_Research(hours)]]*60</f>
        <v>120</v>
      </c>
      <c r="AW239" t="str">
        <f>tbl_OriginalData[[#This Row],[Social_Media_Influence]]</f>
        <v>Medium</v>
      </c>
      <c r="AX239" t="str">
        <f>tbl_OriginalData[[#This Row],[Discount_Sensitivity]]</f>
        <v>Not Sensitive</v>
      </c>
      <c r="AY239" s="3">
        <f>tbl_OriginalData[[#This Row],[Return_Rate]]/tbl_OriginalData[[#This Row],[Frequency_of_Purchase]]</f>
        <v>0.14285714285714285</v>
      </c>
      <c r="AZ239">
        <f>tbl_OriginalData[[#This Row],[Customer_Satisfaction]]</f>
        <v>8</v>
      </c>
      <c r="BA239" t="str">
        <f>tbl_OriginalData[[#This Row],[Engagement_with_Ads]]</f>
        <v>High</v>
      </c>
      <c r="BB239" t="str">
        <f>tbl_OriginalData[[#This Row],[Device_Used_for_Shopping]]</f>
        <v>Tablet</v>
      </c>
      <c r="BC239" t="str">
        <f>tbl_OriginalData[[#This Row],[Payment_Method]]</f>
        <v>Cash</v>
      </c>
      <c r="BD239" s="1">
        <f>tbl_OriginalData[[#This Row],[Time_of_Purchase]]</f>
        <v>45514</v>
      </c>
      <c r="BE239" t="str">
        <f>IF(tbl_OriginalData[[#This Row],[Discount_Used]]=TRUE,"Yes","No")</f>
        <v>No</v>
      </c>
      <c r="BF239" t="str">
        <f>IF(tbl_OriginalData[[#This Row],[Customer_Loyalty_Program_Member]]=TRUE,"Yes","No")</f>
        <v>Yes</v>
      </c>
      <c r="BG239" t="str">
        <f>tbl_OriginalData[[#This Row],[Purchase_Intent]]</f>
        <v>Need-based</v>
      </c>
      <c r="BH239" t="str">
        <f>tbl_OriginalData[[#This Row],[Shipping_Preference]]</f>
        <v>Express</v>
      </c>
      <c r="BI239">
        <f>tbl_OriginalData[[#This Row],[Time_to_Decision]]</f>
        <v>11</v>
      </c>
      <c r="BJ239" t="s">
        <v>124</v>
      </c>
      <c r="BK239" t="s">
        <v>115</v>
      </c>
      <c r="BL239" t="s">
        <v>2523</v>
      </c>
    </row>
    <row r="240" spans="1:64">
      <c r="A240" t="s">
        <v>664</v>
      </c>
      <c r="B240">
        <v>24</v>
      </c>
      <c r="C240" t="s">
        <v>50</v>
      </c>
      <c r="D240" t="s">
        <v>34</v>
      </c>
      <c r="E240" t="s">
        <v>65</v>
      </c>
      <c r="F240" t="s">
        <v>52</v>
      </c>
      <c r="G240" t="s">
        <v>51</v>
      </c>
      <c r="H240" t="s">
        <v>665</v>
      </c>
      <c r="I240" t="s">
        <v>180</v>
      </c>
      <c r="J240">
        <v>263.5</v>
      </c>
      <c r="K240">
        <v>6</v>
      </c>
      <c r="L240" t="s">
        <v>39</v>
      </c>
      <c r="M240">
        <v>3</v>
      </c>
      <c r="N240">
        <v>2</v>
      </c>
      <c r="O240">
        <v>2</v>
      </c>
      <c r="P240" t="s">
        <v>40</v>
      </c>
      <c r="Q240" t="s">
        <v>57</v>
      </c>
      <c r="R240">
        <v>0</v>
      </c>
      <c r="S240">
        <v>8</v>
      </c>
      <c r="T240" t="s">
        <v>69</v>
      </c>
      <c r="U240" t="s">
        <v>42</v>
      </c>
      <c r="V240" t="s">
        <v>71</v>
      </c>
      <c r="W240" s="1">
        <v>45614</v>
      </c>
      <c r="X240" t="b">
        <v>0</v>
      </c>
      <c r="Y240" t="b">
        <v>0</v>
      </c>
      <c r="Z240" t="s">
        <v>89</v>
      </c>
      <c r="AA240" t="s">
        <v>60</v>
      </c>
      <c r="AB240">
        <v>1</v>
      </c>
      <c r="AF240" t="str">
        <f>tbl_OriginalData[[#This Row],[Customer_ID]]</f>
        <v>43-884-2577</v>
      </c>
      <c r="AG240">
        <f>tbl_OriginalData[[#This Row],[Age]]</f>
        <v>24</v>
      </c>
      <c r="AH240" t="str" cm="1">
        <f t="array" ref="AH24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40" t="str">
        <f>tbl_OriginalData[[#This Row],[Gender]]</f>
        <v>Male</v>
      </c>
      <c r="AJ240" t="str">
        <f>tbl_OriginalData[[#This Row],[Income_Level]]</f>
        <v>Middle</v>
      </c>
      <c r="AK240" t="str">
        <f>tbl_OriginalData[[#This Row],[Marital_Status]]</f>
        <v>Single</v>
      </c>
      <c r="AL240" t="str">
        <f>tbl_OriginalData[[#This Row],[Education_Level]]</f>
        <v>High School</v>
      </c>
      <c r="AM240" t="str">
        <f>tbl_OriginalData[[#This Row],[Occupation]]</f>
        <v>High</v>
      </c>
      <c r="AN240" t="s">
        <v>665</v>
      </c>
      <c r="AO240" t="s">
        <v>144</v>
      </c>
      <c r="AP240" t="str">
        <f>tbl_OriginalData[[#This Row],[Purchase_Category]]</f>
        <v>Health Supplements</v>
      </c>
      <c r="AQ240" s="4">
        <f>tbl_OriginalData[[#This Row],[Purchase_Amount]]</f>
        <v>263.5</v>
      </c>
      <c r="AR240">
        <f>tbl_OriginalData[[#This Row],[Frequency_of_Purchase]]</f>
        <v>6</v>
      </c>
      <c r="AS240" t="str">
        <f>tbl_OriginalData[[#This Row],[Purchase_Channel]]</f>
        <v>Mixed</v>
      </c>
      <c r="AT240">
        <f>tbl_OriginalData[[#This Row],[Brand_Loyalty]]</f>
        <v>3</v>
      </c>
      <c r="AU240">
        <f>tbl_OriginalData[[#This Row],[Product_Rating]]</f>
        <v>2</v>
      </c>
      <c r="AV240">
        <f>tbl_OriginalData[[#This Row],[Time_Spent_on_Product_Research(hours)]]*60</f>
        <v>120</v>
      </c>
      <c r="AW240" t="str">
        <f>tbl_OriginalData[[#This Row],[Social_Media_Influence]]</f>
        <v>None</v>
      </c>
      <c r="AX240" t="str">
        <f>tbl_OriginalData[[#This Row],[Discount_Sensitivity]]</f>
        <v>Not Sensitive</v>
      </c>
      <c r="AY240" s="3">
        <f>tbl_OriginalData[[#This Row],[Return_Rate]]/tbl_OriginalData[[#This Row],[Frequency_of_Purchase]]</f>
        <v>0</v>
      </c>
      <c r="AZ240">
        <f>tbl_OriginalData[[#This Row],[Customer_Satisfaction]]</f>
        <v>8</v>
      </c>
      <c r="BA240" t="str">
        <f>tbl_OriginalData[[#This Row],[Engagement_with_Ads]]</f>
        <v>Low</v>
      </c>
      <c r="BB240" t="str">
        <f>tbl_OriginalData[[#This Row],[Device_Used_for_Shopping]]</f>
        <v>Tablet</v>
      </c>
      <c r="BC240" t="str">
        <f>tbl_OriginalData[[#This Row],[Payment_Method]]</f>
        <v>Debit Card</v>
      </c>
      <c r="BD240" s="1">
        <f>tbl_OriginalData[[#This Row],[Time_of_Purchase]]</f>
        <v>45614</v>
      </c>
      <c r="BE240" t="str">
        <f>IF(tbl_OriginalData[[#This Row],[Discount_Used]]=TRUE,"Yes","No")</f>
        <v>No</v>
      </c>
      <c r="BF240" t="str">
        <f>IF(tbl_OriginalData[[#This Row],[Customer_Loyalty_Program_Member]]=TRUE,"Yes","No")</f>
        <v>No</v>
      </c>
      <c r="BG240" t="str">
        <f>tbl_OriginalData[[#This Row],[Purchase_Intent]]</f>
        <v>Planned</v>
      </c>
      <c r="BH240" t="str">
        <f>tbl_OriginalData[[#This Row],[Shipping_Preference]]</f>
        <v>Standard</v>
      </c>
      <c r="BI240">
        <f>tbl_OriginalData[[#This Row],[Time_to_Decision]]</f>
        <v>1</v>
      </c>
      <c r="BJ240" t="s">
        <v>177</v>
      </c>
      <c r="BK240" t="s">
        <v>80</v>
      </c>
      <c r="BL240" t="s">
        <v>2525</v>
      </c>
    </row>
    <row r="241" spans="1:64">
      <c r="A241" t="s">
        <v>666</v>
      </c>
      <c r="B241">
        <v>40</v>
      </c>
      <c r="C241" t="s">
        <v>33</v>
      </c>
      <c r="D241" t="s">
        <v>51</v>
      </c>
      <c r="E241" t="s">
        <v>92</v>
      </c>
      <c r="F241" t="s">
        <v>36</v>
      </c>
      <c r="G241" t="s">
        <v>34</v>
      </c>
      <c r="H241" t="s">
        <v>667</v>
      </c>
      <c r="I241" t="s">
        <v>170</v>
      </c>
      <c r="J241">
        <v>247.3</v>
      </c>
      <c r="K241">
        <v>2</v>
      </c>
      <c r="L241" t="s">
        <v>55</v>
      </c>
      <c r="M241">
        <v>4</v>
      </c>
      <c r="N241">
        <v>4</v>
      </c>
      <c r="O241">
        <v>2</v>
      </c>
      <c r="P241" t="s">
        <v>69</v>
      </c>
      <c r="Q241" t="s">
        <v>101</v>
      </c>
      <c r="R241">
        <v>0</v>
      </c>
      <c r="S241">
        <v>1</v>
      </c>
      <c r="T241" t="s">
        <v>56</v>
      </c>
      <c r="U241" t="s">
        <v>95</v>
      </c>
      <c r="V241" t="s">
        <v>43</v>
      </c>
      <c r="W241" s="1">
        <v>45330</v>
      </c>
      <c r="X241" t="b">
        <v>1</v>
      </c>
      <c r="Y241" t="b">
        <v>1</v>
      </c>
      <c r="Z241" t="s">
        <v>59</v>
      </c>
      <c r="AA241" t="s">
        <v>45</v>
      </c>
      <c r="AB241">
        <v>11</v>
      </c>
      <c r="AF241" t="str">
        <f>tbl_OriginalData[[#This Row],[Customer_ID]]</f>
        <v>33-200-7615</v>
      </c>
      <c r="AG241">
        <f>tbl_OriginalData[[#This Row],[Age]]</f>
        <v>40</v>
      </c>
      <c r="AH241" t="str" cm="1">
        <f t="array" ref="AH24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41" t="str">
        <f>tbl_OriginalData[[#This Row],[Gender]]</f>
        <v>Female</v>
      </c>
      <c r="AJ241" t="str">
        <f>tbl_OriginalData[[#This Row],[Income_Level]]</f>
        <v>High</v>
      </c>
      <c r="AK241" t="str">
        <f>tbl_OriginalData[[#This Row],[Marital_Status]]</f>
        <v>Divorced</v>
      </c>
      <c r="AL241" t="str">
        <f>tbl_OriginalData[[#This Row],[Education_Level]]</f>
        <v>Bachelor's</v>
      </c>
      <c r="AM241" t="str">
        <f>tbl_OriginalData[[#This Row],[Occupation]]</f>
        <v>Middle</v>
      </c>
      <c r="AN241" t="s">
        <v>667</v>
      </c>
      <c r="AO241" t="s">
        <v>61</v>
      </c>
      <c r="AP241" t="str">
        <f>tbl_OriginalData[[#This Row],[Purchase_Category]]</f>
        <v>Arts &amp; Crafts</v>
      </c>
      <c r="AQ241" s="4">
        <f>tbl_OriginalData[[#This Row],[Purchase_Amount]]</f>
        <v>247.3</v>
      </c>
      <c r="AR241">
        <f>tbl_OriginalData[[#This Row],[Frequency_of_Purchase]]</f>
        <v>2</v>
      </c>
      <c r="AS241" t="str">
        <f>tbl_OriginalData[[#This Row],[Purchase_Channel]]</f>
        <v>In-Store</v>
      </c>
      <c r="AT241">
        <f>tbl_OriginalData[[#This Row],[Brand_Loyalty]]</f>
        <v>4</v>
      </c>
      <c r="AU241">
        <f>tbl_OriginalData[[#This Row],[Product_Rating]]</f>
        <v>4</v>
      </c>
      <c r="AV241">
        <f>tbl_OriginalData[[#This Row],[Time_Spent_on_Product_Research(hours)]]*60</f>
        <v>120</v>
      </c>
      <c r="AW241" t="str">
        <f>tbl_OriginalData[[#This Row],[Social_Media_Influence]]</f>
        <v>Low</v>
      </c>
      <c r="AX241" t="str">
        <f>tbl_OriginalData[[#This Row],[Discount_Sensitivity]]</f>
        <v>Very Sensitive</v>
      </c>
      <c r="AY241" s="3">
        <f>tbl_OriginalData[[#This Row],[Return_Rate]]/tbl_OriginalData[[#This Row],[Frequency_of_Purchase]]</f>
        <v>0</v>
      </c>
      <c r="AZ241">
        <f>tbl_OriginalData[[#This Row],[Customer_Satisfaction]]</f>
        <v>1</v>
      </c>
      <c r="BA241" t="str">
        <f>tbl_OriginalData[[#This Row],[Engagement_with_Ads]]</f>
        <v>Medium</v>
      </c>
      <c r="BB241" t="str">
        <f>tbl_OriginalData[[#This Row],[Device_Used_for_Shopping]]</f>
        <v>Desktop</v>
      </c>
      <c r="BC241" t="str">
        <f>tbl_OriginalData[[#This Row],[Payment_Method]]</f>
        <v>Credit Card</v>
      </c>
      <c r="BD241" s="1">
        <f>tbl_OriginalData[[#This Row],[Time_of_Purchase]]</f>
        <v>45330</v>
      </c>
      <c r="BE241" t="str">
        <f>IF(tbl_OriginalData[[#This Row],[Discount_Used]]=TRUE,"Yes","No")</f>
        <v>Yes</v>
      </c>
      <c r="BF241" t="str">
        <f>IF(tbl_OriginalData[[#This Row],[Customer_Loyalty_Program_Member]]=TRUE,"Yes","No")</f>
        <v>Yes</v>
      </c>
      <c r="BG241" t="str">
        <f>tbl_OriginalData[[#This Row],[Purchase_Intent]]</f>
        <v>Wants-based</v>
      </c>
      <c r="BH241" t="str">
        <f>tbl_OriginalData[[#This Row],[Shipping_Preference]]</f>
        <v>No Preference</v>
      </c>
      <c r="BI241">
        <f>tbl_OriginalData[[#This Row],[Time_to_Decision]]</f>
        <v>11</v>
      </c>
      <c r="BJ241" t="s">
        <v>158</v>
      </c>
      <c r="BK241" t="s">
        <v>48</v>
      </c>
      <c r="BL241" t="s">
        <v>2524</v>
      </c>
    </row>
    <row r="242" spans="1:64">
      <c r="A242" t="s">
        <v>668</v>
      </c>
      <c r="B242">
        <v>18</v>
      </c>
      <c r="C242" t="s">
        <v>50</v>
      </c>
      <c r="D242" t="s">
        <v>51</v>
      </c>
      <c r="E242" t="s">
        <v>35</v>
      </c>
      <c r="F242" t="s">
        <v>36</v>
      </c>
      <c r="G242" t="s">
        <v>34</v>
      </c>
      <c r="H242" t="s">
        <v>669</v>
      </c>
      <c r="I242" t="s">
        <v>156</v>
      </c>
      <c r="J242">
        <v>50.71</v>
      </c>
      <c r="K242">
        <v>12</v>
      </c>
      <c r="L242" t="s">
        <v>94</v>
      </c>
      <c r="M242">
        <v>4</v>
      </c>
      <c r="N242">
        <v>3</v>
      </c>
      <c r="O242">
        <v>0.3</v>
      </c>
      <c r="P242" t="s">
        <v>40</v>
      </c>
      <c r="Q242" t="s">
        <v>57</v>
      </c>
      <c r="R242">
        <v>0</v>
      </c>
      <c r="S242">
        <v>9</v>
      </c>
      <c r="T242" t="s">
        <v>56</v>
      </c>
      <c r="U242" t="s">
        <v>70</v>
      </c>
      <c r="V242" t="s">
        <v>71</v>
      </c>
      <c r="W242" s="1">
        <v>45368</v>
      </c>
      <c r="X242" t="b">
        <v>1</v>
      </c>
      <c r="Y242" t="b">
        <v>1</v>
      </c>
      <c r="Z242" t="s">
        <v>59</v>
      </c>
      <c r="AA242" t="s">
        <v>45</v>
      </c>
      <c r="AB242">
        <v>8</v>
      </c>
      <c r="AF242" t="str">
        <f>tbl_OriginalData[[#This Row],[Customer_ID]]</f>
        <v>63-631-8261</v>
      </c>
      <c r="AG242">
        <f>tbl_OriginalData[[#This Row],[Age]]</f>
        <v>18</v>
      </c>
      <c r="AH242" t="str" cm="1">
        <f t="array" ref="AH24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242" t="str">
        <f>tbl_OriginalData[[#This Row],[Gender]]</f>
        <v>Male</v>
      </c>
      <c r="AJ242" t="str">
        <f>tbl_OriginalData[[#This Row],[Income_Level]]</f>
        <v>High</v>
      </c>
      <c r="AK242" t="str">
        <f>tbl_OriginalData[[#This Row],[Marital_Status]]</f>
        <v>Married</v>
      </c>
      <c r="AL242" t="str">
        <f>tbl_OriginalData[[#This Row],[Education_Level]]</f>
        <v>Bachelor's</v>
      </c>
      <c r="AM242" t="str">
        <f>tbl_OriginalData[[#This Row],[Occupation]]</f>
        <v>Middle</v>
      </c>
      <c r="AN242" t="s">
        <v>669</v>
      </c>
      <c r="AO242" t="s">
        <v>194</v>
      </c>
      <c r="AP242" t="str">
        <f>tbl_OriginalData[[#This Row],[Purchase_Category]]</f>
        <v>Toys &amp; Games</v>
      </c>
      <c r="AQ242" s="4">
        <f>tbl_OriginalData[[#This Row],[Purchase_Amount]]</f>
        <v>50.71</v>
      </c>
      <c r="AR242">
        <f>tbl_OriginalData[[#This Row],[Frequency_of_Purchase]]</f>
        <v>12</v>
      </c>
      <c r="AS242" t="str">
        <f>tbl_OriginalData[[#This Row],[Purchase_Channel]]</f>
        <v>Online</v>
      </c>
      <c r="AT242">
        <f>tbl_OriginalData[[#This Row],[Brand_Loyalty]]</f>
        <v>4</v>
      </c>
      <c r="AU242">
        <f>tbl_OriginalData[[#This Row],[Product_Rating]]</f>
        <v>3</v>
      </c>
      <c r="AV242">
        <f>tbl_OriginalData[[#This Row],[Time_Spent_on_Product_Research(hours)]]*60</f>
        <v>18</v>
      </c>
      <c r="AW242" t="str">
        <f>tbl_OriginalData[[#This Row],[Social_Media_Influence]]</f>
        <v>None</v>
      </c>
      <c r="AX242" t="str">
        <f>tbl_OriginalData[[#This Row],[Discount_Sensitivity]]</f>
        <v>Not Sensitive</v>
      </c>
      <c r="AY242" s="3">
        <f>tbl_OriginalData[[#This Row],[Return_Rate]]/tbl_OriginalData[[#This Row],[Frequency_of_Purchase]]</f>
        <v>0</v>
      </c>
      <c r="AZ242">
        <f>tbl_OriginalData[[#This Row],[Customer_Satisfaction]]</f>
        <v>9</v>
      </c>
      <c r="BA242" t="str">
        <f>tbl_OriginalData[[#This Row],[Engagement_with_Ads]]</f>
        <v>Medium</v>
      </c>
      <c r="BB242" t="str">
        <f>tbl_OriginalData[[#This Row],[Device_Used_for_Shopping]]</f>
        <v>Smartphone</v>
      </c>
      <c r="BC242" t="str">
        <f>tbl_OriginalData[[#This Row],[Payment_Method]]</f>
        <v>Debit Card</v>
      </c>
      <c r="BD242" s="1">
        <f>tbl_OriginalData[[#This Row],[Time_of_Purchase]]</f>
        <v>45368</v>
      </c>
      <c r="BE242" t="str">
        <f>IF(tbl_OriginalData[[#This Row],[Discount_Used]]=TRUE,"Yes","No")</f>
        <v>Yes</v>
      </c>
      <c r="BF242" t="str">
        <f>IF(tbl_OriginalData[[#This Row],[Customer_Loyalty_Program_Member]]=TRUE,"Yes","No")</f>
        <v>Yes</v>
      </c>
      <c r="BG242" t="str">
        <f>tbl_OriginalData[[#This Row],[Purchase_Intent]]</f>
        <v>Wants-based</v>
      </c>
      <c r="BH242" t="str">
        <f>tbl_OriginalData[[#This Row],[Shipping_Preference]]</f>
        <v>No Preference</v>
      </c>
      <c r="BI242">
        <f>tbl_OriginalData[[#This Row],[Time_to_Decision]]</f>
        <v>8</v>
      </c>
      <c r="BJ242" t="s">
        <v>47</v>
      </c>
      <c r="BK242" t="s">
        <v>48</v>
      </c>
      <c r="BL242" t="s">
        <v>2524</v>
      </c>
    </row>
    <row r="243" spans="1:64">
      <c r="A243" t="s">
        <v>670</v>
      </c>
      <c r="B243">
        <v>42</v>
      </c>
      <c r="C243" t="s">
        <v>50</v>
      </c>
      <c r="D243" t="s">
        <v>51</v>
      </c>
      <c r="E243" t="s">
        <v>35</v>
      </c>
      <c r="F243" t="s">
        <v>52</v>
      </c>
      <c r="G243" t="s">
        <v>34</v>
      </c>
      <c r="H243" t="s">
        <v>671</v>
      </c>
      <c r="I243" t="s">
        <v>68</v>
      </c>
      <c r="J243">
        <v>131.85</v>
      </c>
      <c r="K243">
        <v>4</v>
      </c>
      <c r="L243" t="s">
        <v>39</v>
      </c>
      <c r="M243">
        <v>5</v>
      </c>
      <c r="N243">
        <v>4</v>
      </c>
      <c r="O243">
        <v>2</v>
      </c>
      <c r="P243" t="s">
        <v>69</v>
      </c>
      <c r="Q243" t="s">
        <v>41</v>
      </c>
      <c r="R243">
        <v>1</v>
      </c>
      <c r="S243">
        <v>5</v>
      </c>
      <c r="T243" t="s">
        <v>56</v>
      </c>
      <c r="U243" t="s">
        <v>70</v>
      </c>
      <c r="V243" t="s">
        <v>71</v>
      </c>
      <c r="W243" s="1">
        <v>45295</v>
      </c>
      <c r="X243" t="b">
        <v>1</v>
      </c>
      <c r="Y243" t="b">
        <v>0</v>
      </c>
      <c r="Z243" t="s">
        <v>44</v>
      </c>
      <c r="AA243" t="s">
        <v>45</v>
      </c>
      <c r="AB243">
        <v>6</v>
      </c>
      <c r="AF243" t="str">
        <f>tbl_OriginalData[[#This Row],[Customer_ID]]</f>
        <v>34-016-7909</v>
      </c>
      <c r="AG243">
        <f>tbl_OriginalData[[#This Row],[Age]]</f>
        <v>42</v>
      </c>
      <c r="AH243" t="str" cm="1">
        <f t="array" ref="AH24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43" t="str">
        <f>tbl_OriginalData[[#This Row],[Gender]]</f>
        <v>Male</v>
      </c>
      <c r="AJ243" t="str">
        <f>tbl_OriginalData[[#This Row],[Income_Level]]</f>
        <v>High</v>
      </c>
      <c r="AK243" t="str">
        <f>tbl_OriginalData[[#This Row],[Marital_Status]]</f>
        <v>Married</v>
      </c>
      <c r="AL243" t="str">
        <f>tbl_OriginalData[[#This Row],[Education_Level]]</f>
        <v>High School</v>
      </c>
      <c r="AM243" t="str">
        <f>tbl_OriginalData[[#This Row],[Occupation]]</f>
        <v>Middle</v>
      </c>
      <c r="AN243" t="s">
        <v>671</v>
      </c>
      <c r="AO243" t="s">
        <v>672</v>
      </c>
      <c r="AP243" t="str">
        <f>tbl_OriginalData[[#This Row],[Purchase_Category]]</f>
        <v>Office Supplies</v>
      </c>
      <c r="AQ243" s="4">
        <f>tbl_OriginalData[[#This Row],[Purchase_Amount]]</f>
        <v>131.85</v>
      </c>
      <c r="AR243">
        <f>tbl_OriginalData[[#This Row],[Frequency_of_Purchase]]</f>
        <v>4</v>
      </c>
      <c r="AS243" t="str">
        <f>tbl_OriginalData[[#This Row],[Purchase_Channel]]</f>
        <v>Mixed</v>
      </c>
      <c r="AT243">
        <f>tbl_OriginalData[[#This Row],[Brand_Loyalty]]</f>
        <v>5</v>
      </c>
      <c r="AU243">
        <f>tbl_OriginalData[[#This Row],[Product_Rating]]</f>
        <v>4</v>
      </c>
      <c r="AV243">
        <f>tbl_OriginalData[[#This Row],[Time_Spent_on_Product_Research(hours)]]*60</f>
        <v>120</v>
      </c>
      <c r="AW243" t="str">
        <f>tbl_OriginalData[[#This Row],[Social_Media_Influence]]</f>
        <v>Low</v>
      </c>
      <c r="AX243" t="str">
        <f>tbl_OriginalData[[#This Row],[Discount_Sensitivity]]</f>
        <v>Somewhat Sensitive</v>
      </c>
      <c r="AY243" s="3">
        <f>tbl_OriginalData[[#This Row],[Return_Rate]]/tbl_OriginalData[[#This Row],[Frequency_of_Purchase]]</f>
        <v>0.25</v>
      </c>
      <c r="AZ243">
        <f>tbl_OriginalData[[#This Row],[Customer_Satisfaction]]</f>
        <v>5</v>
      </c>
      <c r="BA243" t="str">
        <f>tbl_OriginalData[[#This Row],[Engagement_with_Ads]]</f>
        <v>Medium</v>
      </c>
      <c r="BB243" t="str">
        <f>tbl_OriginalData[[#This Row],[Device_Used_for_Shopping]]</f>
        <v>Smartphone</v>
      </c>
      <c r="BC243" t="str">
        <f>tbl_OriginalData[[#This Row],[Payment_Method]]</f>
        <v>Debit Card</v>
      </c>
      <c r="BD243" s="1">
        <f>tbl_OriginalData[[#This Row],[Time_of_Purchase]]</f>
        <v>45295</v>
      </c>
      <c r="BE243" t="str">
        <f>IF(tbl_OriginalData[[#This Row],[Discount_Used]]=TRUE,"Yes","No")</f>
        <v>Yes</v>
      </c>
      <c r="BF243" t="str">
        <f>IF(tbl_OriginalData[[#This Row],[Customer_Loyalty_Program_Member]]=TRUE,"Yes","No")</f>
        <v>No</v>
      </c>
      <c r="BG243" t="str">
        <f>tbl_OriginalData[[#This Row],[Purchase_Intent]]</f>
        <v>Need-based</v>
      </c>
      <c r="BH243" t="str">
        <f>tbl_OriginalData[[#This Row],[Shipping_Preference]]</f>
        <v>No Preference</v>
      </c>
      <c r="BI243">
        <f>tbl_OriginalData[[#This Row],[Time_to_Decision]]</f>
        <v>6</v>
      </c>
      <c r="BJ243" t="s">
        <v>86</v>
      </c>
      <c r="BK243" t="s">
        <v>48</v>
      </c>
      <c r="BL243" t="s">
        <v>2527</v>
      </c>
    </row>
    <row r="244" spans="1:64">
      <c r="A244" t="s">
        <v>673</v>
      </c>
      <c r="B244">
        <v>19</v>
      </c>
      <c r="C244" t="s">
        <v>50</v>
      </c>
      <c r="D244" t="s">
        <v>51</v>
      </c>
      <c r="E244" t="s">
        <v>35</v>
      </c>
      <c r="F244" t="s">
        <v>66</v>
      </c>
      <c r="G244" t="s">
        <v>51</v>
      </c>
      <c r="H244" t="s">
        <v>674</v>
      </c>
      <c r="I244" t="s">
        <v>235</v>
      </c>
      <c r="J244">
        <v>459.39</v>
      </c>
      <c r="K244">
        <v>6</v>
      </c>
      <c r="L244" t="s">
        <v>39</v>
      </c>
      <c r="M244">
        <v>2</v>
      </c>
      <c r="N244">
        <v>2</v>
      </c>
      <c r="O244">
        <v>0.3</v>
      </c>
      <c r="P244" t="s">
        <v>69</v>
      </c>
      <c r="Q244" t="s">
        <v>101</v>
      </c>
      <c r="R244">
        <v>2</v>
      </c>
      <c r="S244">
        <v>4</v>
      </c>
      <c r="T244" t="s">
        <v>51</v>
      </c>
      <c r="U244" t="s">
        <v>42</v>
      </c>
      <c r="V244" t="s">
        <v>43</v>
      </c>
      <c r="W244" s="1">
        <v>45564</v>
      </c>
      <c r="X244" t="b">
        <v>0</v>
      </c>
      <c r="Y244" t="b">
        <v>0</v>
      </c>
      <c r="Z244" t="s">
        <v>89</v>
      </c>
      <c r="AA244" t="s">
        <v>45</v>
      </c>
      <c r="AB244">
        <v>14</v>
      </c>
      <c r="AF244" t="str">
        <f>tbl_OriginalData[[#This Row],[Customer_ID]]</f>
        <v>82-304-6495</v>
      </c>
      <c r="AG244">
        <f>tbl_OriginalData[[#This Row],[Age]]</f>
        <v>19</v>
      </c>
      <c r="AH244" t="str" cm="1">
        <f t="array" ref="AH24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244" t="str">
        <f>tbl_OriginalData[[#This Row],[Gender]]</f>
        <v>Male</v>
      </c>
      <c r="AJ244" t="str">
        <f>tbl_OriginalData[[#This Row],[Income_Level]]</f>
        <v>High</v>
      </c>
      <c r="AK244" t="str">
        <f>tbl_OriginalData[[#This Row],[Marital_Status]]</f>
        <v>Married</v>
      </c>
      <c r="AL244" t="str">
        <f>tbl_OriginalData[[#This Row],[Education_Level]]</f>
        <v>Master's</v>
      </c>
      <c r="AM244" t="str">
        <f>tbl_OriginalData[[#This Row],[Occupation]]</f>
        <v>High</v>
      </c>
      <c r="AN244" t="s">
        <v>674</v>
      </c>
      <c r="AO244" t="s">
        <v>194</v>
      </c>
      <c r="AP244" t="str">
        <f>tbl_OriginalData[[#This Row],[Purchase_Category]]</f>
        <v>Beauty &amp; Personal Care</v>
      </c>
      <c r="AQ244" s="4">
        <f>tbl_OriginalData[[#This Row],[Purchase_Amount]]</f>
        <v>459.39</v>
      </c>
      <c r="AR244">
        <f>tbl_OriginalData[[#This Row],[Frequency_of_Purchase]]</f>
        <v>6</v>
      </c>
      <c r="AS244" t="str">
        <f>tbl_OriginalData[[#This Row],[Purchase_Channel]]</f>
        <v>Mixed</v>
      </c>
      <c r="AT244">
        <f>tbl_OriginalData[[#This Row],[Brand_Loyalty]]</f>
        <v>2</v>
      </c>
      <c r="AU244">
        <f>tbl_OriginalData[[#This Row],[Product_Rating]]</f>
        <v>2</v>
      </c>
      <c r="AV244">
        <f>tbl_OriginalData[[#This Row],[Time_Spent_on_Product_Research(hours)]]*60</f>
        <v>18</v>
      </c>
      <c r="AW244" t="str">
        <f>tbl_OriginalData[[#This Row],[Social_Media_Influence]]</f>
        <v>Low</v>
      </c>
      <c r="AX244" t="str">
        <f>tbl_OriginalData[[#This Row],[Discount_Sensitivity]]</f>
        <v>Very Sensitive</v>
      </c>
      <c r="AY244" s="3">
        <f>tbl_OriginalData[[#This Row],[Return_Rate]]/tbl_OriginalData[[#This Row],[Frequency_of_Purchase]]</f>
        <v>0.33333333333333331</v>
      </c>
      <c r="AZ244">
        <f>tbl_OriginalData[[#This Row],[Customer_Satisfaction]]</f>
        <v>4</v>
      </c>
      <c r="BA244" t="str">
        <f>tbl_OriginalData[[#This Row],[Engagement_with_Ads]]</f>
        <v>High</v>
      </c>
      <c r="BB244" t="str">
        <f>tbl_OriginalData[[#This Row],[Device_Used_for_Shopping]]</f>
        <v>Tablet</v>
      </c>
      <c r="BC244" t="str">
        <f>tbl_OriginalData[[#This Row],[Payment_Method]]</f>
        <v>Credit Card</v>
      </c>
      <c r="BD244" s="1">
        <f>tbl_OriginalData[[#This Row],[Time_of_Purchase]]</f>
        <v>45564</v>
      </c>
      <c r="BE244" t="str">
        <f>IF(tbl_OriginalData[[#This Row],[Discount_Used]]=TRUE,"Yes","No")</f>
        <v>No</v>
      </c>
      <c r="BF244" t="str">
        <f>IF(tbl_OriginalData[[#This Row],[Customer_Loyalty_Program_Member]]=TRUE,"Yes","No")</f>
        <v>No</v>
      </c>
      <c r="BG244" t="str">
        <f>tbl_OriginalData[[#This Row],[Purchase_Intent]]</f>
        <v>Planned</v>
      </c>
      <c r="BH244" t="str">
        <f>tbl_OriginalData[[#This Row],[Shipping_Preference]]</f>
        <v>No Preference</v>
      </c>
      <c r="BI244">
        <f>tbl_OriginalData[[#This Row],[Time_to_Decision]]</f>
        <v>14</v>
      </c>
      <c r="BJ244" t="s">
        <v>172</v>
      </c>
      <c r="BK244" t="s">
        <v>115</v>
      </c>
      <c r="BL244" t="s">
        <v>2524</v>
      </c>
    </row>
    <row r="245" spans="1:64">
      <c r="A245" t="s">
        <v>675</v>
      </c>
      <c r="B245">
        <v>36</v>
      </c>
      <c r="C245" t="s">
        <v>33</v>
      </c>
      <c r="D245" t="s">
        <v>51</v>
      </c>
      <c r="E245" t="s">
        <v>92</v>
      </c>
      <c r="F245" t="s">
        <v>52</v>
      </c>
      <c r="G245" t="s">
        <v>34</v>
      </c>
      <c r="H245" t="s">
        <v>676</v>
      </c>
      <c r="I245" t="s">
        <v>68</v>
      </c>
      <c r="J245">
        <v>383.33</v>
      </c>
      <c r="K245">
        <v>6</v>
      </c>
      <c r="L245" t="s">
        <v>94</v>
      </c>
      <c r="M245">
        <v>3</v>
      </c>
      <c r="N245">
        <v>4</v>
      </c>
      <c r="O245">
        <v>2</v>
      </c>
      <c r="P245" t="s">
        <v>56</v>
      </c>
      <c r="Q245" t="s">
        <v>101</v>
      </c>
      <c r="R245">
        <v>1</v>
      </c>
      <c r="S245">
        <v>3</v>
      </c>
      <c r="T245" t="s">
        <v>40</v>
      </c>
      <c r="U245" t="s">
        <v>70</v>
      </c>
      <c r="V245" t="s">
        <v>43</v>
      </c>
      <c r="W245" s="1">
        <v>45509</v>
      </c>
      <c r="X245" t="b">
        <v>0</v>
      </c>
      <c r="Y245" t="b">
        <v>0</v>
      </c>
      <c r="Z245" t="s">
        <v>89</v>
      </c>
      <c r="AA245" t="s">
        <v>60</v>
      </c>
      <c r="AB245">
        <v>12</v>
      </c>
      <c r="AF245" t="str">
        <f>tbl_OriginalData[[#This Row],[Customer_ID]]</f>
        <v>70-207-6999</v>
      </c>
      <c r="AG245">
        <f>tbl_OriginalData[[#This Row],[Age]]</f>
        <v>36</v>
      </c>
      <c r="AH245" t="str" cm="1">
        <f t="array" ref="AH24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45" t="str">
        <f>tbl_OriginalData[[#This Row],[Gender]]</f>
        <v>Female</v>
      </c>
      <c r="AJ245" t="str">
        <f>tbl_OriginalData[[#This Row],[Income_Level]]</f>
        <v>High</v>
      </c>
      <c r="AK245" t="str">
        <f>tbl_OriginalData[[#This Row],[Marital_Status]]</f>
        <v>Divorced</v>
      </c>
      <c r="AL245" t="str">
        <f>tbl_OriginalData[[#This Row],[Education_Level]]</f>
        <v>High School</v>
      </c>
      <c r="AM245" t="str">
        <f>tbl_OriginalData[[#This Row],[Occupation]]</f>
        <v>Middle</v>
      </c>
      <c r="AN245" t="s">
        <v>676</v>
      </c>
      <c r="AO245" t="s">
        <v>269</v>
      </c>
      <c r="AP245" t="str">
        <f>tbl_OriginalData[[#This Row],[Purchase_Category]]</f>
        <v>Office Supplies</v>
      </c>
      <c r="AQ245" s="4">
        <f>tbl_OriginalData[[#This Row],[Purchase_Amount]]</f>
        <v>383.33</v>
      </c>
      <c r="AR245">
        <f>tbl_OriginalData[[#This Row],[Frequency_of_Purchase]]</f>
        <v>6</v>
      </c>
      <c r="AS245" t="str">
        <f>tbl_OriginalData[[#This Row],[Purchase_Channel]]</f>
        <v>Online</v>
      </c>
      <c r="AT245">
        <f>tbl_OriginalData[[#This Row],[Brand_Loyalty]]</f>
        <v>3</v>
      </c>
      <c r="AU245">
        <f>tbl_OriginalData[[#This Row],[Product_Rating]]</f>
        <v>4</v>
      </c>
      <c r="AV245">
        <f>tbl_OriginalData[[#This Row],[Time_Spent_on_Product_Research(hours)]]*60</f>
        <v>120</v>
      </c>
      <c r="AW245" t="str">
        <f>tbl_OriginalData[[#This Row],[Social_Media_Influence]]</f>
        <v>Medium</v>
      </c>
      <c r="AX245" t="str">
        <f>tbl_OriginalData[[#This Row],[Discount_Sensitivity]]</f>
        <v>Very Sensitive</v>
      </c>
      <c r="AY245" s="3">
        <f>tbl_OriginalData[[#This Row],[Return_Rate]]/tbl_OriginalData[[#This Row],[Frequency_of_Purchase]]</f>
        <v>0.16666666666666666</v>
      </c>
      <c r="AZ245">
        <f>tbl_OriginalData[[#This Row],[Customer_Satisfaction]]</f>
        <v>3</v>
      </c>
      <c r="BA245" t="str">
        <f>tbl_OriginalData[[#This Row],[Engagement_with_Ads]]</f>
        <v>None</v>
      </c>
      <c r="BB245" t="str">
        <f>tbl_OriginalData[[#This Row],[Device_Used_for_Shopping]]</f>
        <v>Smartphone</v>
      </c>
      <c r="BC245" t="str">
        <f>tbl_OriginalData[[#This Row],[Payment_Method]]</f>
        <v>Credit Card</v>
      </c>
      <c r="BD245" s="1">
        <f>tbl_OriginalData[[#This Row],[Time_of_Purchase]]</f>
        <v>45509</v>
      </c>
      <c r="BE245" t="str">
        <f>IF(tbl_OriginalData[[#This Row],[Discount_Used]]=TRUE,"Yes","No")</f>
        <v>No</v>
      </c>
      <c r="BF245" t="str">
        <f>IF(tbl_OriginalData[[#This Row],[Customer_Loyalty_Program_Member]]=TRUE,"Yes","No")</f>
        <v>No</v>
      </c>
      <c r="BG245" t="str">
        <f>tbl_OriginalData[[#This Row],[Purchase_Intent]]</f>
        <v>Planned</v>
      </c>
      <c r="BH245" t="str">
        <f>tbl_OriginalData[[#This Row],[Shipping_Preference]]</f>
        <v>Standard</v>
      </c>
      <c r="BI245">
        <f>tbl_OriginalData[[#This Row],[Time_to_Decision]]</f>
        <v>12</v>
      </c>
      <c r="BJ245" t="s">
        <v>124</v>
      </c>
      <c r="BK245" t="s">
        <v>115</v>
      </c>
      <c r="BL245" t="s">
        <v>2528</v>
      </c>
    </row>
    <row r="246" spans="1:64">
      <c r="A246" t="s">
        <v>677</v>
      </c>
      <c r="B246">
        <v>26</v>
      </c>
      <c r="C246" t="s">
        <v>33</v>
      </c>
      <c r="D246" t="s">
        <v>51</v>
      </c>
      <c r="E246" t="s">
        <v>82</v>
      </c>
      <c r="F246" t="s">
        <v>36</v>
      </c>
      <c r="G246" t="s">
        <v>51</v>
      </c>
      <c r="H246" t="s">
        <v>678</v>
      </c>
      <c r="I246" t="s">
        <v>156</v>
      </c>
      <c r="J246">
        <v>212.08</v>
      </c>
      <c r="K246">
        <v>8</v>
      </c>
      <c r="L246" t="s">
        <v>55</v>
      </c>
      <c r="M246">
        <v>5</v>
      </c>
      <c r="N246">
        <v>5</v>
      </c>
      <c r="O246">
        <v>2</v>
      </c>
      <c r="P246" t="s">
        <v>69</v>
      </c>
      <c r="Q246" t="s">
        <v>101</v>
      </c>
      <c r="R246">
        <v>1</v>
      </c>
      <c r="S246">
        <v>9</v>
      </c>
      <c r="T246" t="s">
        <v>40</v>
      </c>
      <c r="U246" t="s">
        <v>42</v>
      </c>
      <c r="V246" t="s">
        <v>43</v>
      </c>
      <c r="W246" s="1">
        <v>45419</v>
      </c>
      <c r="X246" t="b">
        <v>0</v>
      </c>
      <c r="Y246" t="b">
        <v>0</v>
      </c>
      <c r="Z246" t="s">
        <v>44</v>
      </c>
      <c r="AA246" t="s">
        <v>60</v>
      </c>
      <c r="AB246">
        <v>13</v>
      </c>
      <c r="AF246" t="str">
        <f>tbl_OriginalData[[#This Row],[Customer_ID]]</f>
        <v>71-780-8195</v>
      </c>
      <c r="AG246">
        <f>tbl_OriginalData[[#This Row],[Age]]</f>
        <v>26</v>
      </c>
      <c r="AH246" t="str" cm="1">
        <f t="array" ref="AH24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46" t="str">
        <f>tbl_OriginalData[[#This Row],[Gender]]</f>
        <v>Female</v>
      </c>
      <c r="AJ246" t="str">
        <f>tbl_OriginalData[[#This Row],[Income_Level]]</f>
        <v>High</v>
      </c>
      <c r="AK246" t="str">
        <f>tbl_OriginalData[[#This Row],[Marital_Status]]</f>
        <v>Widowed</v>
      </c>
      <c r="AL246" t="str">
        <f>tbl_OriginalData[[#This Row],[Education_Level]]</f>
        <v>Bachelor's</v>
      </c>
      <c r="AM246" t="str">
        <f>tbl_OriginalData[[#This Row],[Occupation]]</f>
        <v>High</v>
      </c>
      <c r="AN246" t="s">
        <v>678</v>
      </c>
      <c r="AO246" t="s">
        <v>90</v>
      </c>
      <c r="AP246" t="str">
        <f>tbl_OriginalData[[#This Row],[Purchase_Category]]</f>
        <v>Toys &amp; Games</v>
      </c>
      <c r="AQ246" s="4">
        <f>tbl_OriginalData[[#This Row],[Purchase_Amount]]</f>
        <v>212.08</v>
      </c>
      <c r="AR246">
        <f>tbl_OriginalData[[#This Row],[Frequency_of_Purchase]]</f>
        <v>8</v>
      </c>
      <c r="AS246" t="str">
        <f>tbl_OriginalData[[#This Row],[Purchase_Channel]]</f>
        <v>In-Store</v>
      </c>
      <c r="AT246">
        <f>tbl_OriginalData[[#This Row],[Brand_Loyalty]]</f>
        <v>5</v>
      </c>
      <c r="AU246">
        <f>tbl_OriginalData[[#This Row],[Product_Rating]]</f>
        <v>5</v>
      </c>
      <c r="AV246">
        <f>tbl_OriginalData[[#This Row],[Time_Spent_on_Product_Research(hours)]]*60</f>
        <v>120</v>
      </c>
      <c r="AW246" t="str">
        <f>tbl_OriginalData[[#This Row],[Social_Media_Influence]]</f>
        <v>Low</v>
      </c>
      <c r="AX246" t="str">
        <f>tbl_OriginalData[[#This Row],[Discount_Sensitivity]]</f>
        <v>Very Sensitive</v>
      </c>
      <c r="AY246" s="3">
        <f>tbl_OriginalData[[#This Row],[Return_Rate]]/tbl_OriginalData[[#This Row],[Frequency_of_Purchase]]</f>
        <v>0.125</v>
      </c>
      <c r="AZ246">
        <f>tbl_OriginalData[[#This Row],[Customer_Satisfaction]]</f>
        <v>9</v>
      </c>
      <c r="BA246" t="str">
        <f>tbl_OriginalData[[#This Row],[Engagement_with_Ads]]</f>
        <v>None</v>
      </c>
      <c r="BB246" t="str">
        <f>tbl_OriginalData[[#This Row],[Device_Used_for_Shopping]]</f>
        <v>Tablet</v>
      </c>
      <c r="BC246" t="str">
        <f>tbl_OriginalData[[#This Row],[Payment_Method]]</f>
        <v>Credit Card</v>
      </c>
      <c r="BD246" s="1">
        <f>tbl_OriginalData[[#This Row],[Time_of_Purchase]]</f>
        <v>45419</v>
      </c>
      <c r="BE246" t="str">
        <f>IF(tbl_OriginalData[[#This Row],[Discount_Used]]=TRUE,"Yes","No")</f>
        <v>No</v>
      </c>
      <c r="BF246" t="str">
        <f>IF(tbl_OriginalData[[#This Row],[Customer_Loyalty_Program_Member]]=TRUE,"Yes","No")</f>
        <v>No</v>
      </c>
      <c r="BG246" t="str">
        <f>tbl_OriginalData[[#This Row],[Purchase_Intent]]</f>
        <v>Need-based</v>
      </c>
      <c r="BH246" t="str">
        <f>tbl_OriginalData[[#This Row],[Shipping_Preference]]</f>
        <v>Standard</v>
      </c>
      <c r="BI246">
        <f>tbl_OriginalData[[#This Row],[Time_to_Decision]]</f>
        <v>13</v>
      </c>
      <c r="BJ246" t="s">
        <v>167</v>
      </c>
      <c r="BK246" t="s">
        <v>63</v>
      </c>
      <c r="BL246" t="s">
        <v>2524</v>
      </c>
    </row>
    <row r="247" spans="1:64">
      <c r="A247" t="s">
        <v>679</v>
      </c>
      <c r="B247">
        <v>35</v>
      </c>
      <c r="C247" t="s">
        <v>33</v>
      </c>
      <c r="D247" t="s">
        <v>51</v>
      </c>
      <c r="E247" t="s">
        <v>35</v>
      </c>
      <c r="F247" t="s">
        <v>66</v>
      </c>
      <c r="G247" t="s">
        <v>51</v>
      </c>
      <c r="H247" t="s">
        <v>680</v>
      </c>
      <c r="I247" t="s">
        <v>170</v>
      </c>
      <c r="J247">
        <v>370.73</v>
      </c>
      <c r="K247">
        <v>7</v>
      </c>
      <c r="L247" t="s">
        <v>94</v>
      </c>
      <c r="M247">
        <v>3</v>
      </c>
      <c r="N247">
        <v>2</v>
      </c>
      <c r="O247">
        <v>1</v>
      </c>
      <c r="P247" t="s">
        <v>51</v>
      </c>
      <c r="Q247" t="s">
        <v>57</v>
      </c>
      <c r="R247">
        <v>0</v>
      </c>
      <c r="S247">
        <v>9</v>
      </c>
      <c r="T247" t="s">
        <v>51</v>
      </c>
      <c r="U247" t="s">
        <v>70</v>
      </c>
      <c r="V247" t="s">
        <v>71</v>
      </c>
      <c r="W247" s="1">
        <v>45522</v>
      </c>
      <c r="X247" t="b">
        <v>0</v>
      </c>
      <c r="Y247" t="b">
        <v>1</v>
      </c>
      <c r="Z247" t="s">
        <v>44</v>
      </c>
      <c r="AA247" t="s">
        <v>45</v>
      </c>
      <c r="AB247">
        <v>7</v>
      </c>
      <c r="AF247" t="str">
        <f>tbl_OriginalData[[#This Row],[Customer_ID]]</f>
        <v>93-356-8589</v>
      </c>
      <c r="AG247">
        <f>tbl_OriginalData[[#This Row],[Age]]</f>
        <v>35</v>
      </c>
      <c r="AH247" t="str" cm="1">
        <f t="array" ref="AH24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47" t="str">
        <f>tbl_OriginalData[[#This Row],[Gender]]</f>
        <v>Female</v>
      </c>
      <c r="AJ247" t="str">
        <f>tbl_OriginalData[[#This Row],[Income_Level]]</f>
        <v>High</v>
      </c>
      <c r="AK247" t="str">
        <f>tbl_OriginalData[[#This Row],[Marital_Status]]</f>
        <v>Married</v>
      </c>
      <c r="AL247" t="str">
        <f>tbl_OriginalData[[#This Row],[Education_Level]]</f>
        <v>Master's</v>
      </c>
      <c r="AM247" t="str">
        <f>tbl_OriginalData[[#This Row],[Occupation]]</f>
        <v>High</v>
      </c>
      <c r="AN247" t="s">
        <v>680</v>
      </c>
      <c r="AO247" t="s">
        <v>186</v>
      </c>
      <c r="AP247" t="str">
        <f>tbl_OriginalData[[#This Row],[Purchase_Category]]</f>
        <v>Arts &amp; Crafts</v>
      </c>
      <c r="AQ247" s="4">
        <f>tbl_OriginalData[[#This Row],[Purchase_Amount]]</f>
        <v>370.73</v>
      </c>
      <c r="AR247">
        <f>tbl_OriginalData[[#This Row],[Frequency_of_Purchase]]</f>
        <v>7</v>
      </c>
      <c r="AS247" t="str">
        <f>tbl_OriginalData[[#This Row],[Purchase_Channel]]</f>
        <v>Online</v>
      </c>
      <c r="AT247">
        <f>tbl_OriginalData[[#This Row],[Brand_Loyalty]]</f>
        <v>3</v>
      </c>
      <c r="AU247">
        <f>tbl_OriginalData[[#This Row],[Product_Rating]]</f>
        <v>2</v>
      </c>
      <c r="AV247">
        <f>tbl_OriginalData[[#This Row],[Time_Spent_on_Product_Research(hours)]]*60</f>
        <v>60</v>
      </c>
      <c r="AW247" t="str">
        <f>tbl_OriginalData[[#This Row],[Social_Media_Influence]]</f>
        <v>High</v>
      </c>
      <c r="AX247" t="str">
        <f>tbl_OriginalData[[#This Row],[Discount_Sensitivity]]</f>
        <v>Not Sensitive</v>
      </c>
      <c r="AY247" s="3">
        <f>tbl_OriginalData[[#This Row],[Return_Rate]]/tbl_OriginalData[[#This Row],[Frequency_of_Purchase]]</f>
        <v>0</v>
      </c>
      <c r="AZ247">
        <f>tbl_OriginalData[[#This Row],[Customer_Satisfaction]]</f>
        <v>9</v>
      </c>
      <c r="BA247" t="str">
        <f>tbl_OriginalData[[#This Row],[Engagement_with_Ads]]</f>
        <v>High</v>
      </c>
      <c r="BB247" t="str">
        <f>tbl_OriginalData[[#This Row],[Device_Used_for_Shopping]]</f>
        <v>Smartphone</v>
      </c>
      <c r="BC247" t="str">
        <f>tbl_OriginalData[[#This Row],[Payment_Method]]</f>
        <v>Debit Card</v>
      </c>
      <c r="BD247" s="1">
        <f>tbl_OriginalData[[#This Row],[Time_of_Purchase]]</f>
        <v>45522</v>
      </c>
      <c r="BE247" t="str">
        <f>IF(tbl_OriginalData[[#This Row],[Discount_Used]]=TRUE,"Yes","No")</f>
        <v>No</v>
      </c>
      <c r="BF247" t="str">
        <f>IF(tbl_OriginalData[[#This Row],[Customer_Loyalty_Program_Member]]=TRUE,"Yes","No")</f>
        <v>Yes</v>
      </c>
      <c r="BG247" t="str">
        <f>tbl_OriginalData[[#This Row],[Purchase_Intent]]</f>
        <v>Need-based</v>
      </c>
      <c r="BH247" t="str">
        <f>tbl_OriginalData[[#This Row],[Shipping_Preference]]</f>
        <v>No Preference</v>
      </c>
      <c r="BI247">
        <f>tbl_OriginalData[[#This Row],[Time_to_Decision]]</f>
        <v>7</v>
      </c>
      <c r="BJ247" t="s">
        <v>124</v>
      </c>
      <c r="BK247" t="s">
        <v>115</v>
      </c>
      <c r="BL247" t="s">
        <v>2523</v>
      </c>
    </row>
    <row r="248" spans="1:64">
      <c r="A248" t="s">
        <v>681</v>
      </c>
      <c r="B248">
        <v>39</v>
      </c>
      <c r="C248" t="s">
        <v>50</v>
      </c>
      <c r="D248" t="s">
        <v>51</v>
      </c>
      <c r="E248" t="s">
        <v>92</v>
      </c>
      <c r="F248" t="s">
        <v>66</v>
      </c>
      <c r="G248" t="s">
        <v>34</v>
      </c>
      <c r="H248" t="s">
        <v>682</v>
      </c>
      <c r="I248" t="s">
        <v>229</v>
      </c>
      <c r="J248">
        <v>319.66000000000003</v>
      </c>
      <c r="K248">
        <v>7</v>
      </c>
      <c r="L248" t="s">
        <v>39</v>
      </c>
      <c r="M248">
        <v>4</v>
      </c>
      <c r="N248">
        <v>2</v>
      </c>
      <c r="O248">
        <v>1</v>
      </c>
      <c r="P248" t="s">
        <v>51</v>
      </c>
      <c r="Q248" t="s">
        <v>57</v>
      </c>
      <c r="R248">
        <v>1</v>
      </c>
      <c r="S248">
        <v>10</v>
      </c>
      <c r="T248" t="s">
        <v>40</v>
      </c>
      <c r="U248" t="s">
        <v>95</v>
      </c>
      <c r="V248" t="s">
        <v>71</v>
      </c>
      <c r="W248" s="1">
        <v>45340</v>
      </c>
      <c r="X248" t="b">
        <v>0</v>
      </c>
      <c r="Y248" t="b">
        <v>0</v>
      </c>
      <c r="Z248" t="s">
        <v>59</v>
      </c>
      <c r="AA248" t="s">
        <v>77</v>
      </c>
      <c r="AB248">
        <v>3</v>
      </c>
      <c r="AF248" t="str">
        <f>tbl_OriginalData[[#This Row],[Customer_ID]]</f>
        <v>92-142-9480</v>
      </c>
      <c r="AG248">
        <f>tbl_OriginalData[[#This Row],[Age]]</f>
        <v>39</v>
      </c>
      <c r="AH248" t="str" cm="1">
        <f t="array" ref="AH24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48" t="str">
        <f>tbl_OriginalData[[#This Row],[Gender]]</f>
        <v>Male</v>
      </c>
      <c r="AJ248" t="str">
        <f>tbl_OriginalData[[#This Row],[Income_Level]]</f>
        <v>High</v>
      </c>
      <c r="AK248" t="str">
        <f>tbl_OriginalData[[#This Row],[Marital_Status]]</f>
        <v>Divorced</v>
      </c>
      <c r="AL248" t="str">
        <f>tbl_OriginalData[[#This Row],[Education_Level]]</f>
        <v>Master's</v>
      </c>
      <c r="AM248" t="str">
        <f>tbl_OriginalData[[#This Row],[Occupation]]</f>
        <v>Middle</v>
      </c>
      <c r="AN248" t="s">
        <v>682</v>
      </c>
      <c r="AO248" t="s">
        <v>46</v>
      </c>
      <c r="AP248" t="str">
        <f>tbl_OriginalData[[#This Row],[Purchase_Category]]</f>
        <v>Clothing</v>
      </c>
      <c r="AQ248" s="4">
        <f>tbl_OriginalData[[#This Row],[Purchase_Amount]]</f>
        <v>319.66000000000003</v>
      </c>
      <c r="AR248">
        <f>tbl_OriginalData[[#This Row],[Frequency_of_Purchase]]</f>
        <v>7</v>
      </c>
      <c r="AS248" t="str">
        <f>tbl_OriginalData[[#This Row],[Purchase_Channel]]</f>
        <v>Mixed</v>
      </c>
      <c r="AT248">
        <f>tbl_OriginalData[[#This Row],[Brand_Loyalty]]</f>
        <v>4</v>
      </c>
      <c r="AU248">
        <f>tbl_OriginalData[[#This Row],[Product_Rating]]</f>
        <v>2</v>
      </c>
      <c r="AV248">
        <f>tbl_OriginalData[[#This Row],[Time_Spent_on_Product_Research(hours)]]*60</f>
        <v>60</v>
      </c>
      <c r="AW248" t="str">
        <f>tbl_OriginalData[[#This Row],[Social_Media_Influence]]</f>
        <v>High</v>
      </c>
      <c r="AX248" t="str">
        <f>tbl_OriginalData[[#This Row],[Discount_Sensitivity]]</f>
        <v>Not Sensitive</v>
      </c>
      <c r="AY248" s="3">
        <f>tbl_OriginalData[[#This Row],[Return_Rate]]/tbl_OriginalData[[#This Row],[Frequency_of_Purchase]]</f>
        <v>0.14285714285714285</v>
      </c>
      <c r="AZ248">
        <f>tbl_OriginalData[[#This Row],[Customer_Satisfaction]]</f>
        <v>10</v>
      </c>
      <c r="BA248" t="str">
        <f>tbl_OriginalData[[#This Row],[Engagement_with_Ads]]</f>
        <v>None</v>
      </c>
      <c r="BB248" t="str">
        <f>tbl_OriginalData[[#This Row],[Device_Used_for_Shopping]]</f>
        <v>Desktop</v>
      </c>
      <c r="BC248" t="str">
        <f>tbl_OriginalData[[#This Row],[Payment_Method]]</f>
        <v>Debit Card</v>
      </c>
      <c r="BD248" s="1">
        <f>tbl_OriginalData[[#This Row],[Time_of_Purchase]]</f>
        <v>45340</v>
      </c>
      <c r="BE248" t="str">
        <f>IF(tbl_OriginalData[[#This Row],[Discount_Used]]=TRUE,"Yes","No")</f>
        <v>No</v>
      </c>
      <c r="BF248" t="str">
        <f>IF(tbl_OriginalData[[#This Row],[Customer_Loyalty_Program_Member]]=TRUE,"Yes","No")</f>
        <v>No</v>
      </c>
      <c r="BG248" t="str">
        <f>tbl_OriginalData[[#This Row],[Purchase_Intent]]</f>
        <v>Wants-based</v>
      </c>
      <c r="BH248" t="str">
        <f>tbl_OriginalData[[#This Row],[Shipping_Preference]]</f>
        <v>Express</v>
      </c>
      <c r="BI248">
        <f>tbl_OriginalData[[#This Row],[Time_to_Decision]]</f>
        <v>3</v>
      </c>
      <c r="BJ248" t="s">
        <v>158</v>
      </c>
      <c r="BK248" t="s">
        <v>48</v>
      </c>
      <c r="BL248" t="s">
        <v>2523</v>
      </c>
    </row>
    <row r="249" spans="1:64">
      <c r="A249" t="s">
        <v>683</v>
      </c>
      <c r="B249">
        <v>44</v>
      </c>
      <c r="C249" t="s">
        <v>33</v>
      </c>
      <c r="D249" t="s">
        <v>34</v>
      </c>
      <c r="E249" t="s">
        <v>82</v>
      </c>
      <c r="F249" t="s">
        <v>36</v>
      </c>
      <c r="G249" t="s">
        <v>51</v>
      </c>
      <c r="H249" t="s">
        <v>684</v>
      </c>
      <c r="I249" t="s">
        <v>306</v>
      </c>
      <c r="J249">
        <v>373.05</v>
      </c>
      <c r="K249">
        <v>3</v>
      </c>
      <c r="L249" t="s">
        <v>55</v>
      </c>
      <c r="M249">
        <v>3</v>
      </c>
      <c r="N249">
        <v>4</v>
      </c>
      <c r="O249">
        <v>0.3</v>
      </c>
      <c r="P249" t="s">
        <v>69</v>
      </c>
      <c r="Q249" t="s">
        <v>57</v>
      </c>
      <c r="R249">
        <v>1</v>
      </c>
      <c r="S249">
        <v>10</v>
      </c>
      <c r="T249" t="s">
        <v>56</v>
      </c>
      <c r="U249" t="s">
        <v>42</v>
      </c>
      <c r="V249" t="s">
        <v>102</v>
      </c>
      <c r="W249" s="1">
        <v>45365</v>
      </c>
      <c r="X249" t="b">
        <v>0</v>
      </c>
      <c r="Y249" t="b">
        <v>1</v>
      </c>
      <c r="Z249" t="s">
        <v>89</v>
      </c>
      <c r="AA249" t="s">
        <v>60</v>
      </c>
      <c r="AB249">
        <v>7</v>
      </c>
      <c r="AF249" t="str">
        <f>tbl_OriginalData[[#This Row],[Customer_ID]]</f>
        <v>53-042-5685</v>
      </c>
      <c r="AG249">
        <f>tbl_OriginalData[[#This Row],[Age]]</f>
        <v>44</v>
      </c>
      <c r="AH249" t="str" cm="1">
        <f t="array" ref="AH24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49" t="str">
        <f>tbl_OriginalData[[#This Row],[Gender]]</f>
        <v>Female</v>
      </c>
      <c r="AJ249" t="str">
        <f>tbl_OriginalData[[#This Row],[Income_Level]]</f>
        <v>Middle</v>
      </c>
      <c r="AK249" t="str">
        <f>tbl_OriginalData[[#This Row],[Marital_Status]]</f>
        <v>Widowed</v>
      </c>
      <c r="AL249" t="str">
        <f>tbl_OriginalData[[#This Row],[Education_Level]]</f>
        <v>Bachelor's</v>
      </c>
      <c r="AM249" t="str">
        <f>tbl_OriginalData[[#This Row],[Occupation]]</f>
        <v>High</v>
      </c>
      <c r="AN249" t="s">
        <v>684</v>
      </c>
      <c r="AO249" t="s">
        <v>299</v>
      </c>
      <c r="AP249" t="str">
        <f>tbl_OriginalData[[#This Row],[Purchase_Category]]</f>
        <v>Jewelry &amp; Accessories</v>
      </c>
      <c r="AQ249" s="4">
        <f>tbl_OriginalData[[#This Row],[Purchase_Amount]]</f>
        <v>373.05</v>
      </c>
      <c r="AR249">
        <f>tbl_OriginalData[[#This Row],[Frequency_of_Purchase]]</f>
        <v>3</v>
      </c>
      <c r="AS249" t="str">
        <f>tbl_OriginalData[[#This Row],[Purchase_Channel]]</f>
        <v>In-Store</v>
      </c>
      <c r="AT249">
        <f>tbl_OriginalData[[#This Row],[Brand_Loyalty]]</f>
        <v>3</v>
      </c>
      <c r="AU249">
        <f>tbl_OriginalData[[#This Row],[Product_Rating]]</f>
        <v>4</v>
      </c>
      <c r="AV249">
        <f>tbl_OriginalData[[#This Row],[Time_Spent_on_Product_Research(hours)]]*60</f>
        <v>18</v>
      </c>
      <c r="AW249" t="str">
        <f>tbl_OriginalData[[#This Row],[Social_Media_Influence]]</f>
        <v>Low</v>
      </c>
      <c r="AX249" t="str">
        <f>tbl_OriginalData[[#This Row],[Discount_Sensitivity]]</f>
        <v>Not Sensitive</v>
      </c>
      <c r="AY249" s="3">
        <f>tbl_OriginalData[[#This Row],[Return_Rate]]/tbl_OriginalData[[#This Row],[Frequency_of_Purchase]]</f>
        <v>0.33333333333333331</v>
      </c>
      <c r="AZ249">
        <f>tbl_OriginalData[[#This Row],[Customer_Satisfaction]]</f>
        <v>10</v>
      </c>
      <c r="BA249" t="str">
        <f>tbl_OriginalData[[#This Row],[Engagement_with_Ads]]</f>
        <v>Medium</v>
      </c>
      <c r="BB249" t="str">
        <f>tbl_OriginalData[[#This Row],[Device_Used_for_Shopping]]</f>
        <v>Tablet</v>
      </c>
      <c r="BC249" t="str">
        <f>tbl_OriginalData[[#This Row],[Payment_Method]]</f>
        <v>Cash</v>
      </c>
      <c r="BD249" s="1">
        <f>tbl_OriginalData[[#This Row],[Time_of_Purchase]]</f>
        <v>45365</v>
      </c>
      <c r="BE249" t="str">
        <f>IF(tbl_OriginalData[[#This Row],[Discount_Used]]=TRUE,"Yes","No")</f>
        <v>No</v>
      </c>
      <c r="BF249" t="str">
        <f>IF(tbl_OriginalData[[#This Row],[Customer_Loyalty_Program_Member]]=TRUE,"Yes","No")</f>
        <v>Yes</v>
      </c>
      <c r="BG249" t="str">
        <f>tbl_OriginalData[[#This Row],[Purchase_Intent]]</f>
        <v>Planned</v>
      </c>
      <c r="BH249" t="str">
        <f>tbl_OriginalData[[#This Row],[Shipping_Preference]]</f>
        <v>Standard</v>
      </c>
      <c r="BI249">
        <f>tbl_OriginalData[[#This Row],[Time_to_Decision]]</f>
        <v>7</v>
      </c>
      <c r="BJ249" t="s">
        <v>47</v>
      </c>
      <c r="BK249" t="s">
        <v>48</v>
      </c>
      <c r="BL249" t="s">
        <v>2525</v>
      </c>
    </row>
    <row r="250" spans="1:64">
      <c r="A250" t="s">
        <v>685</v>
      </c>
      <c r="B250">
        <v>19</v>
      </c>
      <c r="C250" t="s">
        <v>33</v>
      </c>
      <c r="D250" t="s">
        <v>51</v>
      </c>
      <c r="E250" t="s">
        <v>35</v>
      </c>
      <c r="F250" t="s">
        <v>36</v>
      </c>
      <c r="G250" t="s">
        <v>51</v>
      </c>
      <c r="H250" t="s">
        <v>686</v>
      </c>
      <c r="I250" t="s">
        <v>108</v>
      </c>
      <c r="J250">
        <v>393.78</v>
      </c>
      <c r="K250">
        <v>6</v>
      </c>
      <c r="L250" t="s">
        <v>94</v>
      </c>
      <c r="M250">
        <v>3</v>
      </c>
      <c r="N250">
        <v>4</v>
      </c>
      <c r="O250">
        <v>1</v>
      </c>
      <c r="P250" t="s">
        <v>56</v>
      </c>
      <c r="Q250" t="s">
        <v>101</v>
      </c>
      <c r="R250">
        <v>0</v>
      </c>
      <c r="S250">
        <v>5</v>
      </c>
      <c r="T250" t="s">
        <v>69</v>
      </c>
      <c r="U250" t="s">
        <v>42</v>
      </c>
      <c r="V250" t="s">
        <v>76</v>
      </c>
      <c r="W250" s="1">
        <v>45376</v>
      </c>
      <c r="X250" t="b">
        <v>1</v>
      </c>
      <c r="Y250" t="b">
        <v>0</v>
      </c>
      <c r="Z250" t="s">
        <v>44</v>
      </c>
      <c r="AA250" t="s">
        <v>45</v>
      </c>
      <c r="AB250">
        <v>14</v>
      </c>
      <c r="AF250" t="str">
        <f>tbl_OriginalData[[#This Row],[Customer_ID]]</f>
        <v>35-853-2222</v>
      </c>
      <c r="AG250">
        <f>tbl_OriginalData[[#This Row],[Age]]</f>
        <v>19</v>
      </c>
      <c r="AH250" t="str" cm="1">
        <f t="array" ref="AH25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250" t="str">
        <f>tbl_OriginalData[[#This Row],[Gender]]</f>
        <v>Female</v>
      </c>
      <c r="AJ250" t="str">
        <f>tbl_OriginalData[[#This Row],[Income_Level]]</f>
        <v>High</v>
      </c>
      <c r="AK250" t="str">
        <f>tbl_OriginalData[[#This Row],[Marital_Status]]</f>
        <v>Married</v>
      </c>
      <c r="AL250" t="str">
        <f>tbl_OriginalData[[#This Row],[Education_Level]]</f>
        <v>Bachelor's</v>
      </c>
      <c r="AM250" t="str">
        <f>tbl_OriginalData[[#This Row],[Occupation]]</f>
        <v>High</v>
      </c>
      <c r="AN250" t="s">
        <v>686</v>
      </c>
      <c r="AO250" t="s">
        <v>246</v>
      </c>
      <c r="AP250" t="str">
        <f>tbl_OriginalData[[#This Row],[Purchase_Category]]</f>
        <v>Sports &amp; Outdoors</v>
      </c>
      <c r="AQ250" s="4">
        <f>tbl_OriginalData[[#This Row],[Purchase_Amount]]</f>
        <v>393.78</v>
      </c>
      <c r="AR250">
        <f>tbl_OriginalData[[#This Row],[Frequency_of_Purchase]]</f>
        <v>6</v>
      </c>
      <c r="AS250" t="str">
        <f>tbl_OriginalData[[#This Row],[Purchase_Channel]]</f>
        <v>Online</v>
      </c>
      <c r="AT250">
        <f>tbl_OriginalData[[#This Row],[Brand_Loyalty]]</f>
        <v>3</v>
      </c>
      <c r="AU250">
        <f>tbl_OriginalData[[#This Row],[Product_Rating]]</f>
        <v>4</v>
      </c>
      <c r="AV250">
        <f>tbl_OriginalData[[#This Row],[Time_Spent_on_Product_Research(hours)]]*60</f>
        <v>60</v>
      </c>
      <c r="AW250" t="str">
        <f>tbl_OriginalData[[#This Row],[Social_Media_Influence]]</f>
        <v>Medium</v>
      </c>
      <c r="AX250" t="str">
        <f>tbl_OriginalData[[#This Row],[Discount_Sensitivity]]</f>
        <v>Very Sensitive</v>
      </c>
      <c r="AY250" s="3">
        <f>tbl_OriginalData[[#This Row],[Return_Rate]]/tbl_OriginalData[[#This Row],[Frequency_of_Purchase]]</f>
        <v>0</v>
      </c>
      <c r="AZ250">
        <f>tbl_OriginalData[[#This Row],[Customer_Satisfaction]]</f>
        <v>5</v>
      </c>
      <c r="BA250" t="str">
        <f>tbl_OriginalData[[#This Row],[Engagement_with_Ads]]</f>
        <v>Low</v>
      </c>
      <c r="BB250" t="str">
        <f>tbl_OriginalData[[#This Row],[Device_Used_for_Shopping]]</f>
        <v>Tablet</v>
      </c>
      <c r="BC250" t="str">
        <f>tbl_OriginalData[[#This Row],[Payment_Method]]</f>
        <v>Other</v>
      </c>
      <c r="BD250" s="1">
        <f>tbl_OriginalData[[#This Row],[Time_of_Purchase]]</f>
        <v>45376</v>
      </c>
      <c r="BE250" t="str">
        <f>IF(tbl_OriginalData[[#This Row],[Discount_Used]]=TRUE,"Yes","No")</f>
        <v>Yes</v>
      </c>
      <c r="BF250" t="str">
        <f>IF(tbl_OriginalData[[#This Row],[Customer_Loyalty_Program_Member]]=TRUE,"Yes","No")</f>
        <v>No</v>
      </c>
      <c r="BG250" t="str">
        <f>tbl_OriginalData[[#This Row],[Purchase_Intent]]</f>
        <v>Need-based</v>
      </c>
      <c r="BH250" t="str">
        <f>tbl_OriginalData[[#This Row],[Shipping_Preference]]</f>
        <v>No Preference</v>
      </c>
      <c r="BI250">
        <f>tbl_OriginalData[[#This Row],[Time_to_Decision]]</f>
        <v>14</v>
      </c>
      <c r="BJ250" t="s">
        <v>47</v>
      </c>
      <c r="BK250" t="s">
        <v>48</v>
      </c>
      <c r="BL250" t="s">
        <v>2523</v>
      </c>
    </row>
    <row r="251" spans="1:64">
      <c r="A251" t="s">
        <v>687</v>
      </c>
      <c r="B251">
        <v>27</v>
      </c>
      <c r="C251" t="s">
        <v>33</v>
      </c>
      <c r="D251" t="s">
        <v>51</v>
      </c>
      <c r="E251" t="s">
        <v>82</v>
      </c>
      <c r="F251" t="s">
        <v>66</v>
      </c>
      <c r="G251" t="s">
        <v>51</v>
      </c>
      <c r="H251" t="s">
        <v>688</v>
      </c>
      <c r="I251" t="s">
        <v>229</v>
      </c>
      <c r="J251">
        <v>245.04</v>
      </c>
      <c r="K251">
        <v>4</v>
      </c>
      <c r="L251" t="s">
        <v>94</v>
      </c>
      <c r="M251">
        <v>3</v>
      </c>
      <c r="N251">
        <v>2</v>
      </c>
      <c r="O251">
        <v>0</v>
      </c>
      <c r="P251" t="s">
        <v>51</v>
      </c>
      <c r="Q251" t="s">
        <v>57</v>
      </c>
      <c r="R251">
        <v>2</v>
      </c>
      <c r="S251">
        <v>6</v>
      </c>
      <c r="T251" t="s">
        <v>51</v>
      </c>
      <c r="U251" t="s">
        <v>42</v>
      </c>
      <c r="V251" t="s">
        <v>76</v>
      </c>
      <c r="W251" s="1">
        <v>45629</v>
      </c>
      <c r="X251" t="b">
        <v>1</v>
      </c>
      <c r="Y251" t="b">
        <v>1</v>
      </c>
      <c r="Z251" t="s">
        <v>44</v>
      </c>
      <c r="AA251" t="s">
        <v>60</v>
      </c>
      <c r="AB251">
        <v>10</v>
      </c>
      <c r="AF251" t="str">
        <f>tbl_OriginalData[[#This Row],[Customer_ID]]</f>
        <v>83-670-9273</v>
      </c>
      <c r="AG251">
        <f>tbl_OriginalData[[#This Row],[Age]]</f>
        <v>27</v>
      </c>
      <c r="AH251" t="str" cm="1">
        <f t="array" ref="AH25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51" t="str">
        <f>tbl_OriginalData[[#This Row],[Gender]]</f>
        <v>Female</v>
      </c>
      <c r="AJ251" t="str">
        <f>tbl_OriginalData[[#This Row],[Income_Level]]</f>
        <v>High</v>
      </c>
      <c r="AK251" t="str">
        <f>tbl_OriginalData[[#This Row],[Marital_Status]]</f>
        <v>Widowed</v>
      </c>
      <c r="AL251" t="str">
        <f>tbl_OriginalData[[#This Row],[Education_Level]]</f>
        <v>Master's</v>
      </c>
      <c r="AM251" t="str">
        <f>tbl_OriginalData[[#This Row],[Occupation]]</f>
        <v>High</v>
      </c>
      <c r="AN251" t="s">
        <v>688</v>
      </c>
      <c r="AO251" t="s">
        <v>164</v>
      </c>
      <c r="AP251" t="str">
        <f>tbl_OriginalData[[#This Row],[Purchase_Category]]</f>
        <v>Clothing</v>
      </c>
      <c r="AQ251" s="4">
        <f>tbl_OriginalData[[#This Row],[Purchase_Amount]]</f>
        <v>245.04</v>
      </c>
      <c r="AR251">
        <f>tbl_OriginalData[[#This Row],[Frequency_of_Purchase]]</f>
        <v>4</v>
      </c>
      <c r="AS251" t="str">
        <f>tbl_OriginalData[[#This Row],[Purchase_Channel]]</f>
        <v>Online</v>
      </c>
      <c r="AT251">
        <f>tbl_OriginalData[[#This Row],[Brand_Loyalty]]</f>
        <v>3</v>
      </c>
      <c r="AU251">
        <f>tbl_OriginalData[[#This Row],[Product_Rating]]</f>
        <v>2</v>
      </c>
      <c r="AV251">
        <f>tbl_OriginalData[[#This Row],[Time_Spent_on_Product_Research(hours)]]*60</f>
        <v>0</v>
      </c>
      <c r="AW251" t="str">
        <f>tbl_OriginalData[[#This Row],[Social_Media_Influence]]</f>
        <v>High</v>
      </c>
      <c r="AX251" t="str">
        <f>tbl_OriginalData[[#This Row],[Discount_Sensitivity]]</f>
        <v>Not Sensitive</v>
      </c>
      <c r="AY251" s="3">
        <f>tbl_OriginalData[[#This Row],[Return_Rate]]/tbl_OriginalData[[#This Row],[Frequency_of_Purchase]]</f>
        <v>0.5</v>
      </c>
      <c r="AZ251">
        <f>tbl_OriginalData[[#This Row],[Customer_Satisfaction]]</f>
        <v>6</v>
      </c>
      <c r="BA251" t="str">
        <f>tbl_OriginalData[[#This Row],[Engagement_with_Ads]]</f>
        <v>High</v>
      </c>
      <c r="BB251" t="str">
        <f>tbl_OriginalData[[#This Row],[Device_Used_for_Shopping]]</f>
        <v>Tablet</v>
      </c>
      <c r="BC251" t="str">
        <f>tbl_OriginalData[[#This Row],[Payment_Method]]</f>
        <v>Other</v>
      </c>
      <c r="BD251" s="1">
        <f>tbl_OriginalData[[#This Row],[Time_of_Purchase]]</f>
        <v>45629</v>
      </c>
      <c r="BE251" t="str">
        <f>IF(tbl_OriginalData[[#This Row],[Discount_Used]]=TRUE,"Yes","No")</f>
        <v>Yes</v>
      </c>
      <c r="BF251" t="str">
        <f>IF(tbl_OriginalData[[#This Row],[Customer_Loyalty_Program_Member]]=TRUE,"Yes","No")</f>
        <v>Yes</v>
      </c>
      <c r="BG251" t="str">
        <f>tbl_OriginalData[[#This Row],[Purchase_Intent]]</f>
        <v>Need-based</v>
      </c>
      <c r="BH251" t="str">
        <f>tbl_OriginalData[[#This Row],[Shipping_Preference]]</f>
        <v>Standard</v>
      </c>
      <c r="BI251">
        <f>tbl_OriginalData[[#This Row],[Time_to_Decision]]</f>
        <v>10</v>
      </c>
      <c r="BJ251" t="s">
        <v>120</v>
      </c>
      <c r="BK251" t="s">
        <v>80</v>
      </c>
      <c r="BL251" t="s">
        <v>2528</v>
      </c>
    </row>
    <row r="252" spans="1:64">
      <c r="A252" t="s">
        <v>689</v>
      </c>
      <c r="B252">
        <v>26</v>
      </c>
      <c r="C252" t="s">
        <v>33</v>
      </c>
      <c r="D252" t="s">
        <v>51</v>
      </c>
      <c r="E252" t="s">
        <v>92</v>
      </c>
      <c r="F252" t="s">
        <v>66</v>
      </c>
      <c r="G252" t="s">
        <v>34</v>
      </c>
      <c r="H252" t="s">
        <v>690</v>
      </c>
      <c r="I252" t="s">
        <v>235</v>
      </c>
      <c r="J252">
        <v>111.27</v>
      </c>
      <c r="K252">
        <v>3</v>
      </c>
      <c r="L252" t="s">
        <v>94</v>
      </c>
      <c r="M252">
        <v>1</v>
      </c>
      <c r="N252">
        <v>3</v>
      </c>
      <c r="O252">
        <v>1</v>
      </c>
      <c r="P252" t="s">
        <v>51</v>
      </c>
      <c r="Q252" t="s">
        <v>101</v>
      </c>
      <c r="R252">
        <v>2</v>
      </c>
      <c r="S252">
        <v>10</v>
      </c>
      <c r="T252" t="s">
        <v>40</v>
      </c>
      <c r="U252" t="s">
        <v>70</v>
      </c>
      <c r="V252" t="s">
        <v>58</v>
      </c>
      <c r="W252" s="1">
        <v>45425</v>
      </c>
      <c r="X252" t="b">
        <v>0</v>
      </c>
      <c r="Y252" t="b">
        <v>0</v>
      </c>
      <c r="Z252" t="s">
        <v>72</v>
      </c>
      <c r="AA252" t="s">
        <v>45</v>
      </c>
      <c r="AB252">
        <v>12</v>
      </c>
      <c r="AF252" t="str">
        <f>tbl_OriginalData[[#This Row],[Customer_ID]]</f>
        <v>37-783-6086</v>
      </c>
      <c r="AG252">
        <f>tbl_OriginalData[[#This Row],[Age]]</f>
        <v>26</v>
      </c>
      <c r="AH252" t="str" cm="1">
        <f t="array" ref="AH25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52" t="str">
        <f>tbl_OriginalData[[#This Row],[Gender]]</f>
        <v>Female</v>
      </c>
      <c r="AJ252" t="str">
        <f>tbl_OriginalData[[#This Row],[Income_Level]]</f>
        <v>High</v>
      </c>
      <c r="AK252" t="str">
        <f>tbl_OriginalData[[#This Row],[Marital_Status]]</f>
        <v>Divorced</v>
      </c>
      <c r="AL252" t="str">
        <f>tbl_OriginalData[[#This Row],[Education_Level]]</f>
        <v>Master's</v>
      </c>
      <c r="AM252" t="str">
        <f>tbl_OriginalData[[#This Row],[Occupation]]</f>
        <v>Middle</v>
      </c>
      <c r="AN252" t="s">
        <v>690</v>
      </c>
      <c r="AO252" t="s">
        <v>246</v>
      </c>
      <c r="AP252" t="str">
        <f>tbl_OriginalData[[#This Row],[Purchase_Category]]</f>
        <v>Beauty &amp; Personal Care</v>
      </c>
      <c r="AQ252" s="4">
        <f>tbl_OriginalData[[#This Row],[Purchase_Amount]]</f>
        <v>111.27</v>
      </c>
      <c r="AR252">
        <f>tbl_OriginalData[[#This Row],[Frequency_of_Purchase]]</f>
        <v>3</v>
      </c>
      <c r="AS252" t="str">
        <f>tbl_OriginalData[[#This Row],[Purchase_Channel]]</f>
        <v>Online</v>
      </c>
      <c r="AT252">
        <f>tbl_OriginalData[[#This Row],[Brand_Loyalty]]</f>
        <v>1</v>
      </c>
      <c r="AU252">
        <f>tbl_OriginalData[[#This Row],[Product_Rating]]</f>
        <v>3</v>
      </c>
      <c r="AV252">
        <f>tbl_OriginalData[[#This Row],[Time_Spent_on_Product_Research(hours)]]*60</f>
        <v>60</v>
      </c>
      <c r="AW252" t="str">
        <f>tbl_OriginalData[[#This Row],[Social_Media_Influence]]</f>
        <v>High</v>
      </c>
      <c r="AX252" t="str">
        <f>tbl_OriginalData[[#This Row],[Discount_Sensitivity]]</f>
        <v>Very Sensitive</v>
      </c>
      <c r="AY252" s="3">
        <f>tbl_OriginalData[[#This Row],[Return_Rate]]/tbl_OriginalData[[#This Row],[Frequency_of_Purchase]]</f>
        <v>0.66666666666666663</v>
      </c>
      <c r="AZ252">
        <f>tbl_OriginalData[[#This Row],[Customer_Satisfaction]]</f>
        <v>10</v>
      </c>
      <c r="BA252" t="str">
        <f>tbl_OriginalData[[#This Row],[Engagement_with_Ads]]</f>
        <v>None</v>
      </c>
      <c r="BB252" t="str">
        <f>tbl_OriginalData[[#This Row],[Device_Used_for_Shopping]]</f>
        <v>Smartphone</v>
      </c>
      <c r="BC252" t="str">
        <f>tbl_OriginalData[[#This Row],[Payment_Method]]</f>
        <v>PayPal</v>
      </c>
      <c r="BD252" s="1">
        <f>tbl_OriginalData[[#This Row],[Time_of_Purchase]]</f>
        <v>45425</v>
      </c>
      <c r="BE252" t="str">
        <f>IF(tbl_OriginalData[[#This Row],[Discount_Used]]=TRUE,"Yes","No")</f>
        <v>No</v>
      </c>
      <c r="BF252" t="str">
        <f>IF(tbl_OriginalData[[#This Row],[Customer_Loyalty_Program_Member]]=TRUE,"Yes","No")</f>
        <v>No</v>
      </c>
      <c r="BG252" t="str">
        <f>tbl_OriginalData[[#This Row],[Purchase_Intent]]</f>
        <v>Impulsive</v>
      </c>
      <c r="BH252" t="str">
        <f>tbl_OriginalData[[#This Row],[Shipping_Preference]]</f>
        <v>No Preference</v>
      </c>
      <c r="BI252">
        <f>tbl_OriginalData[[#This Row],[Time_to_Decision]]</f>
        <v>12</v>
      </c>
      <c r="BJ252" t="s">
        <v>167</v>
      </c>
      <c r="BK252" t="s">
        <v>63</v>
      </c>
      <c r="BL252" t="s">
        <v>2523</v>
      </c>
    </row>
    <row r="253" spans="1:64">
      <c r="A253" t="s">
        <v>691</v>
      </c>
      <c r="B253">
        <v>26</v>
      </c>
      <c r="C253" t="s">
        <v>33</v>
      </c>
      <c r="D253" t="s">
        <v>51</v>
      </c>
      <c r="E253" t="s">
        <v>65</v>
      </c>
      <c r="F253" t="s">
        <v>36</v>
      </c>
      <c r="G253" t="s">
        <v>34</v>
      </c>
      <c r="H253" t="s">
        <v>692</v>
      </c>
      <c r="I253" t="s">
        <v>153</v>
      </c>
      <c r="J253">
        <v>93.29</v>
      </c>
      <c r="K253">
        <v>11</v>
      </c>
      <c r="L253" t="s">
        <v>94</v>
      </c>
      <c r="M253">
        <v>2</v>
      </c>
      <c r="N253">
        <v>2</v>
      </c>
      <c r="O253">
        <v>0</v>
      </c>
      <c r="P253" t="s">
        <v>51</v>
      </c>
      <c r="Q253" t="s">
        <v>101</v>
      </c>
      <c r="R253">
        <v>0</v>
      </c>
      <c r="S253">
        <v>7</v>
      </c>
      <c r="T253" t="s">
        <v>69</v>
      </c>
      <c r="U253" t="s">
        <v>42</v>
      </c>
      <c r="V253" t="s">
        <v>76</v>
      </c>
      <c r="W253" s="1">
        <v>45498</v>
      </c>
      <c r="X253" t="b">
        <v>1</v>
      </c>
      <c r="Y253" t="b">
        <v>0</v>
      </c>
      <c r="Z253" t="s">
        <v>72</v>
      </c>
      <c r="AA253" t="s">
        <v>45</v>
      </c>
      <c r="AB253">
        <v>9</v>
      </c>
      <c r="AF253" t="str">
        <f>tbl_OriginalData[[#This Row],[Customer_ID]]</f>
        <v>79-902-8144</v>
      </c>
      <c r="AG253">
        <f>tbl_OriginalData[[#This Row],[Age]]</f>
        <v>26</v>
      </c>
      <c r="AH253" t="str" cm="1">
        <f t="array" ref="AH25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53" t="str">
        <f>tbl_OriginalData[[#This Row],[Gender]]</f>
        <v>Female</v>
      </c>
      <c r="AJ253" t="str">
        <f>tbl_OriginalData[[#This Row],[Income_Level]]</f>
        <v>High</v>
      </c>
      <c r="AK253" t="str">
        <f>tbl_OriginalData[[#This Row],[Marital_Status]]</f>
        <v>Single</v>
      </c>
      <c r="AL253" t="str">
        <f>tbl_OriginalData[[#This Row],[Education_Level]]</f>
        <v>Bachelor's</v>
      </c>
      <c r="AM253" t="str">
        <f>tbl_OriginalData[[#This Row],[Occupation]]</f>
        <v>Middle</v>
      </c>
      <c r="AN253" t="s">
        <v>692</v>
      </c>
      <c r="AO253" t="s">
        <v>246</v>
      </c>
      <c r="AP253" t="str">
        <f>tbl_OriginalData[[#This Row],[Purchase_Category]]</f>
        <v>Baby Products</v>
      </c>
      <c r="AQ253" s="4">
        <f>tbl_OriginalData[[#This Row],[Purchase_Amount]]</f>
        <v>93.29</v>
      </c>
      <c r="AR253">
        <f>tbl_OriginalData[[#This Row],[Frequency_of_Purchase]]</f>
        <v>11</v>
      </c>
      <c r="AS253" t="str">
        <f>tbl_OriginalData[[#This Row],[Purchase_Channel]]</f>
        <v>Online</v>
      </c>
      <c r="AT253">
        <f>tbl_OriginalData[[#This Row],[Brand_Loyalty]]</f>
        <v>2</v>
      </c>
      <c r="AU253">
        <f>tbl_OriginalData[[#This Row],[Product_Rating]]</f>
        <v>2</v>
      </c>
      <c r="AV253">
        <f>tbl_OriginalData[[#This Row],[Time_Spent_on_Product_Research(hours)]]*60</f>
        <v>0</v>
      </c>
      <c r="AW253" t="str">
        <f>tbl_OriginalData[[#This Row],[Social_Media_Influence]]</f>
        <v>High</v>
      </c>
      <c r="AX253" t="str">
        <f>tbl_OriginalData[[#This Row],[Discount_Sensitivity]]</f>
        <v>Very Sensitive</v>
      </c>
      <c r="AY253" s="3">
        <f>tbl_OriginalData[[#This Row],[Return_Rate]]/tbl_OriginalData[[#This Row],[Frequency_of_Purchase]]</f>
        <v>0</v>
      </c>
      <c r="AZ253">
        <f>tbl_OriginalData[[#This Row],[Customer_Satisfaction]]</f>
        <v>7</v>
      </c>
      <c r="BA253" t="str">
        <f>tbl_OriginalData[[#This Row],[Engagement_with_Ads]]</f>
        <v>Low</v>
      </c>
      <c r="BB253" t="str">
        <f>tbl_OriginalData[[#This Row],[Device_Used_for_Shopping]]</f>
        <v>Tablet</v>
      </c>
      <c r="BC253" t="str">
        <f>tbl_OriginalData[[#This Row],[Payment_Method]]</f>
        <v>Other</v>
      </c>
      <c r="BD253" s="1">
        <f>tbl_OriginalData[[#This Row],[Time_of_Purchase]]</f>
        <v>45498</v>
      </c>
      <c r="BE253" t="str">
        <f>IF(tbl_OriginalData[[#This Row],[Discount_Used]]=TRUE,"Yes","No")</f>
        <v>Yes</v>
      </c>
      <c r="BF253" t="str">
        <f>IF(tbl_OriginalData[[#This Row],[Customer_Loyalty_Program_Member]]=TRUE,"Yes","No")</f>
        <v>No</v>
      </c>
      <c r="BG253" t="str">
        <f>tbl_OriginalData[[#This Row],[Purchase_Intent]]</f>
        <v>Impulsive</v>
      </c>
      <c r="BH253" t="str">
        <f>tbl_OriginalData[[#This Row],[Shipping_Preference]]</f>
        <v>No Preference</v>
      </c>
      <c r="BI253">
        <f>tbl_OriginalData[[#This Row],[Time_to_Decision]]</f>
        <v>9</v>
      </c>
      <c r="BJ253" t="s">
        <v>114</v>
      </c>
      <c r="BK253" t="s">
        <v>115</v>
      </c>
      <c r="BL253" t="s">
        <v>2523</v>
      </c>
    </row>
    <row r="254" spans="1:64">
      <c r="A254" t="s">
        <v>693</v>
      </c>
      <c r="B254">
        <v>27</v>
      </c>
      <c r="C254" t="s">
        <v>33</v>
      </c>
      <c r="D254" t="s">
        <v>51</v>
      </c>
      <c r="E254" t="s">
        <v>35</v>
      </c>
      <c r="F254" t="s">
        <v>52</v>
      </c>
      <c r="G254" t="s">
        <v>34</v>
      </c>
      <c r="H254" t="s">
        <v>694</v>
      </c>
      <c r="I254" t="s">
        <v>135</v>
      </c>
      <c r="J254">
        <v>156.5</v>
      </c>
      <c r="K254">
        <v>5</v>
      </c>
      <c r="L254" t="s">
        <v>39</v>
      </c>
      <c r="M254">
        <v>1</v>
      </c>
      <c r="N254">
        <v>1</v>
      </c>
      <c r="O254">
        <v>1</v>
      </c>
      <c r="P254" t="s">
        <v>51</v>
      </c>
      <c r="Q254" t="s">
        <v>101</v>
      </c>
      <c r="R254">
        <v>0</v>
      </c>
      <c r="S254">
        <v>3</v>
      </c>
      <c r="T254" t="s">
        <v>51</v>
      </c>
      <c r="U254" t="s">
        <v>95</v>
      </c>
      <c r="V254" t="s">
        <v>76</v>
      </c>
      <c r="W254" s="1">
        <v>45301</v>
      </c>
      <c r="X254" t="b">
        <v>1</v>
      </c>
      <c r="Y254" t="b">
        <v>0</v>
      </c>
      <c r="Z254" t="s">
        <v>59</v>
      </c>
      <c r="AA254" t="s">
        <v>60</v>
      </c>
      <c r="AB254">
        <v>14</v>
      </c>
      <c r="AF254" t="str">
        <f>tbl_OriginalData[[#This Row],[Customer_ID]]</f>
        <v>41-009-7879</v>
      </c>
      <c r="AG254">
        <f>tbl_OriginalData[[#This Row],[Age]]</f>
        <v>27</v>
      </c>
      <c r="AH254" t="str" cm="1">
        <f t="array" ref="AH25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54" t="str">
        <f>tbl_OriginalData[[#This Row],[Gender]]</f>
        <v>Female</v>
      </c>
      <c r="AJ254" t="str">
        <f>tbl_OriginalData[[#This Row],[Income_Level]]</f>
        <v>High</v>
      </c>
      <c r="AK254" t="str">
        <f>tbl_OriginalData[[#This Row],[Marital_Status]]</f>
        <v>Married</v>
      </c>
      <c r="AL254" t="str">
        <f>tbl_OriginalData[[#This Row],[Education_Level]]</f>
        <v>High School</v>
      </c>
      <c r="AM254" t="str">
        <f>tbl_OriginalData[[#This Row],[Occupation]]</f>
        <v>Middle</v>
      </c>
      <c r="AN254" t="s">
        <v>694</v>
      </c>
      <c r="AO254" t="s">
        <v>61</v>
      </c>
      <c r="AP254" t="str">
        <f>tbl_OriginalData[[#This Row],[Purchase_Category]]</f>
        <v>Hotels</v>
      </c>
      <c r="AQ254" s="4">
        <f>tbl_OriginalData[[#This Row],[Purchase_Amount]]</f>
        <v>156.5</v>
      </c>
      <c r="AR254">
        <f>tbl_OriginalData[[#This Row],[Frequency_of_Purchase]]</f>
        <v>5</v>
      </c>
      <c r="AS254" t="str">
        <f>tbl_OriginalData[[#This Row],[Purchase_Channel]]</f>
        <v>Mixed</v>
      </c>
      <c r="AT254">
        <f>tbl_OriginalData[[#This Row],[Brand_Loyalty]]</f>
        <v>1</v>
      </c>
      <c r="AU254">
        <f>tbl_OriginalData[[#This Row],[Product_Rating]]</f>
        <v>1</v>
      </c>
      <c r="AV254">
        <f>tbl_OriginalData[[#This Row],[Time_Spent_on_Product_Research(hours)]]*60</f>
        <v>60</v>
      </c>
      <c r="AW254" t="str">
        <f>tbl_OriginalData[[#This Row],[Social_Media_Influence]]</f>
        <v>High</v>
      </c>
      <c r="AX254" t="str">
        <f>tbl_OriginalData[[#This Row],[Discount_Sensitivity]]</f>
        <v>Very Sensitive</v>
      </c>
      <c r="AY254" s="3">
        <f>tbl_OriginalData[[#This Row],[Return_Rate]]/tbl_OriginalData[[#This Row],[Frequency_of_Purchase]]</f>
        <v>0</v>
      </c>
      <c r="AZ254">
        <f>tbl_OriginalData[[#This Row],[Customer_Satisfaction]]</f>
        <v>3</v>
      </c>
      <c r="BA254" t="str">
        <f>tbl_OriginalData[[#This Row],[Engagement_with_Ads]]</f>
        <v>High</v>
      </c>
      <c r="BB254" t="str">
        <f>tbl_OriginalData[[#This Row],[Device_Used_for_Shopping]]</f>
        <v>Desktop</v>
      </c>
      <c r="BC254" t="str">
        <f>tbl_OriginalData[[#This Row],[Payment_Method]]</f>
        <v>Other</v>
      </c>
      <c r="BD254" s="1">
        <f>tbl_OriginalData[[#This Row],[Time_of_Purchase]]</f>
        <v>45301</v>
      </c>
      <c r="BE254" t="str">
        <f>IF(tbl_OriginalData[[#This Row],[Discount_Used]]=TRUE,"Yes","No")</f>
        <v>Yes</v>
      </c>
      <c r="BF254" t="str">
        <f>IF(tbl_OriginalData[[#This Row],[Customer_Loyalty_Program_Member]]=TRUE,"Yes","No")</f>
        <v>No</v>
      </c>
      <c r="BG254" t="str">
        <f>tbl_OriginalData[[#This Row],[Purchase_Intent]]</f>
        <v>Wants-based</v>
      </c>
      <c r="BH254" t="str">
        <f>tbl_OriginalData[[#This Row],[Shipping_Preference]]</f>
        <v>Standard</v>
      </c>
      <c r="BI254">
        <f>tbl_OriginalData[[#This Row],[Time_to_Decision]]</f>
        <v>14</v>
      </c>
      <c r="BJ254" t="s">
        <v>86</v>
      </c>
      <c r="BK254" t="s">
        <v>48</v>
      </c>
      <c r="BL254" t="s">
        <v>2524</v>
      </c>
    </row>
    <row r="255" spans="1:64">
      <c r="A255" t="s">
        <v>695</v>
      </c>
      <c r="B255">
        <v>37</v>
      </c>
      <c r="C255" t="s">
        <v>50</v>
      </c>
      <c r="D255" t="s">
        <v>34</v>
      </c>
      <c r="E255" t="s">
        <v>65</v>
      </c>
      <c r="F255" t="s">
        <v>66</v>
      </c>
      <c r="G255" t="s">
        <v>34</v>
      </c>
      <c r="H255" t="s">
        <v>696</v>
      </c>
      <c r="I255" t="s">
        <v>143</v>
      </c>
      <c r="J255">
        <v>290.11</v>
      </c>
      <c r="K255">
        <v>8</v>
      </c>
      <c r="L255" t="s">
        <v>39</v>
      </c>
      <c r="M255">
        <v>4</v>
      </c>
      <c r="N255">
        <v>4</v>
      </c>
      <c r="O255">
        <v>1</v>
      </c>
      <c r="P255" t="s">
        <v>56</v>
      </c>
      <c r="Q255" t="s">
        <v>101</v>
      </c>
      <c r="R255">
        <v>1</v>
      </c>
      <c r="S255">
        <v>4</v>
      </c>
      <c r="T255" t="s">
        <v>56</v>
      </c>
      <c r="U255" t="s">
        <v>70</v>
      </c>
      <c r="V255" t="s">
        <v>58</v>
      </c>
      <c r="W255" s="1">
        <v>45595</v>
      </c>
      <c r="X255" t="b">
        <v>0</v>
      </c>
      <c r="Y255" t="b">
        <v>0</v>
      </c>
      <c r="Z255" t="s">
        <v>72</v>
      </c>
      <c r="AA255" t="s">
        <v>45</v>
      </c>
      <c r="AB255">
        <v>14</v>
      </c>
      <c r="AF255" t="str">
        <f>tbl_OriginalData[[#This Row],[Customer_ID]]</f>
        <v>89-302-8461</v>
      </c>
      <c r="AG255">
        <f>tbl_OriginalData[[#This Row],[Age]]</f>
        <v>37</v>
      </c>
      <c r="AH255" t="str" cm="1">
        <f t="array" ref="AH25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55" t="str">
        <f>tbl_OriginalData[[#This Row],[Gender]]</f>
        <v>Male</v>
      </c>
      <c r="AJ255" t="str">
        <f>tbl_OriginalData[[#This Row],[Income_Level]]</f>
        <v>Middle</v>
      </c>
      <c r="AK255" t="str">
        <f>tbl_OriginalData[[#This Row],[Marital_Status]]</f>
        <v>Single</v>
      </c>
      <c r="AL255" t="str">
        <f>tbl_OriginalData[[#This Row],[Education_Level]]</f>
        <v>Master's</v>
      </c>
      <c r="AM255" t="str">
        <f>tbl_OriginalData[[#This Row],[Occupation]]</f>
        <v>Middle</v>
      </c>
      <c r="AN255" t="s">
        <v>696</v>
      </c>
      <c r="AO255" t="s">
        <v>408</v>
      </c>
      <c r="AP255" t="str">
        <f>tbl_OriginalData[[#This Row],[Purchase_Category]]</f>
        <v>Packages)</v>
      </c>
      <c r="AQ255" s="4">
        <f>tbl_OriginalData[[#This Row],[Purchase_Amount]]</f>
        <v>290.11</v>
      </c>
      <c r="AR255">
        <f>tbl_OriginalData[[#This Row],[Frequency_of_Purchase]]</f>
        <v>8</v>
      </c>
      <c r="AS255" t="str">
        <f>tbl_OriginalData[[#This Row],[Purchase_Channel]]</f>
        <v>Mixed</v>
      </c>
      <c r="AT255">
        <f>tbl_OriginalData[[#This Row],[Brand_Loyalty]]</f>
        <v>4</v>
      </c>
      <c r="AU255">
        <f>tbl_OriginalData[[#This Row],[Product_Rating]]</f>
        <v>4</v>
      </c>
      <c r="AV255">
        <f>tbl_OriginalData[[#This Row],[Time_Spent_on_Product_Research(hours)]]*60</f>
        <v>60</v>
      </c>
      <c r="AW255" t="str">
        <f>tbl_OriginalData[[#This Row],[Social_Media_Influence]]</f>
        <v>Medium</v>
      </c>
      <c r="AX255" t="str">
        <f>tbl_OriginalData[[#This Row],[Discount_Sensitivity]]</f>
        <v>Very Sensitive</v>
      </c>
      <c r="AY255" s="3">
        <f>tbl_OriginalData[[#This Row],[Return_Rate]]/tbl_OriginalData[[#This Row],[Frequency_of_Purchase]]</f>
        <v>0.125</v>
      </c>
      <c r="AZ255">
        <f>tbl_OriginalData[[#This Row],[Customer_Satisfaction]]</f>
        <v>4</v>
      </c>
      <c r="BA255" t="str">
        <f>tbl_OriginalData[[#This Row],[Engagement_with_Ads]]</f>
        <v>Medium</v>
      </c>
      <c r="BB255" t="str">
        <f>tbl_OriginalData[[#This Row],[Device_Used_for_Shopping]]</f>
        <v>Smartphone</v>
      </c>
      <c r="BC255" t="str">
        <f>tbl_OriginalData[[#This Row],[Payment_Method]]</f>
        <v>PayPal</v>
      </c>
      <c r="BD255" s="1">
        <f>tbl_OriginalData[[#This Row],[Time_of_Purchase]]</f>
        <v>45595</v>
      </c>
      <c r="BE255" t="str">
        <f>IF(tbl_OriginalData[[#This Row],[Discount_Used]]=TRUE,"Yes","No")</f>
        <v>No</v>
      </c>
      <c r="BF255" t="str">
        <f>IF(tbl_OriginalData[[#This Row],[Customer_Loyalty_Program_Member]]=TRUE,"Yes","No")</f>
        <v>No</v>
      </c>
      <c r="BG255" t="str">
        <f>tbl_OriginalData[[#This Row],[Purchase_Intent]]</f>
        <v>Impulsive</v>
      </c>
      <c r="BH255" t="str">
        <f>tbl_OriginalData[[#This Row],[Shipping_Preference]]</f>
        <v>No Preference</v>
      </c>
      <c r="BI255">
        <f>tbl_OriginalData[[#This Row],[Time_to_Decision]]</f>
        <v>14</v>
      </c>
      <c r="BJ255" t="s">
        <v>79</v>
      </c>
      <c r="BK255" t="s">
        <v>80</v>
      </c>
      <c r="BL255" t="s">
        <v>2523</v>
      </c>
    </row>
    <row r="256" spans="1:64">
      <c r="A256" t="s">
        <v>697</v>
      </c>
      <c r="B256">
        <v>23</v>
      </c>
      <c r="C256" t="s">
        <v>33</v>
      </c>
      <c r="D256" t="s">
        <v>34</v>
      </c>
      <c r="E256" t="s">
        <v>65</v>
      </c>
      <c r="F256" t="s">
        <v>36</v>
      </c>
      <c r="G256" t="s">
        <v>34</v>
      </c>
      <c r="H256" t="s">
        <v>356</v>
      </c>
      <c r="I256" t="s">
        <v>150</v>
      </c>
      <c r="J256">
        <v>355.28</v>
      </c>
      <c r="K256">
        <v>3</v>
      </c>
      <c r="L256" t="s">
        <v>39</v>
      </c>
      <c r="M256">
        <v>5</v>
      </c>
      <c r="N256">
        <v>5</v>
      </c>
      <c r="O256">
        <v>0</v>
      </c>
      <c r="P256" t="s">
        <v>69</v>
      </c>
      <c r="Q256" t="s">
        <v>101</v>
      </c>
      <c r="R256">
        <v>1</v>
      </c>
      <c r="S256">
        <v>4</v>
      </c>
      <c r="T256" t="s">
        <v>69</v>
      </c>
      <c r="U256" t="s">
        <v>70</v>
      </c>
      <c r="V256" t="s">
        <v>43</v>
      </c>
      <c r="W256" s="1">
        <v>45552</v>
      </c>
      <c r="X256" t="b">
        <v>1</v>
      </c>
      <c r="Y256" t="b">
        <v>1</v>
      </c>
      <c r="Z256" t="s">
        <v>89</v>
      </c>
      <c r="AA256" t="s">
        <v>45</v>
      </c>
      <c r="AB256">
        <v>5</v>
      </c>
      <c r="AF256" t="str">
        <f>tbl_OriginalData[[#This Row],[Customer_ID]]</f>
        <v>23-066-1915</v>
      </c>
      <c r="AG256">
        <f>tbl_OriginalData[[#This Row],[Age]]</f>
        <v>23</v>
      </c>
      <c r="AH256" t="str" cm="1">
        <f t="array" ref="AH25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56" t="str">
        <f>tbl_OriginalData[[#This Row],[Gender]]</f>
        <v>Female</v>
      </c>
      <c r="AJ256" t="str">
        <f>tbl_OriginalData[[#This Row],[Income_Level]]</f>
        <v>Middle</v>
      </c>
      <c r="AK256" t="str">
        <f>tbl_OriginalData[[#This Row],[Marital_Status]]</f>
        <v>Single</v>
      </c>
      <c r="AL256" t="str">
        <f>tbl_OriginalData[[#This Row],[Education_Level]]</f>
        <v>Bachelor's</v>
      </c>
      <c r="AM256" t="str">
        <f>tbl_OriginalData[[#This Row],[Occupation]]</f>
        <v>Middle</v>
      </c>
      <c r="AN256" t="s">
        <v>356</v>
      </c>
      <c r="AO256" t="s">
        <v>61</v>
      </c>
      <c r="AP256" t="str">
        <f>tbl_OriginalData[[#This Row],[Purchase_Category]]</f>
        <v>Software &amp; Apps</v>
      </c>
      <c r="AQ256" s="4">
        <f>tbl_OriginalData[[#This Row],[Purchase_Amount]]</f>
        <v>355.28</v>
      </c>
      <c r="AR256">
        <f>tbl_OriginalData[[#This Row],[Frequency_of_Purchase]]</f>
        <v>3</v>
      </c>
      <c r="AS256" t="str">
        <f>tbl_OriginalData[[#This Row],[Purchase_Channel]]</f>
        <v>Mixed</v>
      </c>
      <c r="AT256">
        <f>tbl_OriginalData[[#This Row],[Brand_Loyalty]]</f>
        <v>5</v>
      </c>
      <c r="AU256">
        <f>tbl_OriginalData[[#This Row],[Product_Rating]]</f>
        <v>5</v>
      </c>
      <c r="AV256">
        <f>tbl_OriginalData[[#This Row],[Time_Spent_on_Product_Research(hours)]]*60</f>
        <v>0</v>
      </c>
      <c r="AW256" t="str">
        <f>tbl_OriginalData[[#This Row],[Social_Media_Influence]]</f>
        <v>Low</v>
      </c>
      <c r="AX256" t="str">
        <f>tbl_OriginalData[[#This Row],[Discount_Sensitivity]]</f>
        <v>Very Sensitive</v>
      </c>
      <c r="AY256" s="3">
        <f>tbl_OriginalData[[#This Row],[Return_Rate]]/tbl_OriginalData[[#This Row],[Frequency_of_Purchase]]</f>
        <v>0.33333333333333331</v>
      </c>
      <c r="AZ256">
        <f>tbl_OriginalData[[#This Row],[Customer_Satisfaction]]</f>
        <v>4</v>
      </c>
      <c r="BA256" t="str">
        <f>tbl_OriginalData[[#This Row],[Engagement_with_Ads]]</f>
        <v>Low</v>
      </c>
      <c r="BB256" t="str">
        <f>tbl_OriginalData[[#This Row],[Device_Used_for_Shopping]]</f>
        <v>Smartphone</v>
      </c>
      <c r="BC256" t="str">
        <f>tbl_OriginalData[[#This Row],[Payment_Method]]</f>
        <v>Credit Card</v>
      </c>
      <c r="BD256" s="1">
        <f>tbl_OriginalData[[#This Row],[Time_of_Purchase]]</f>
        <v>45552</v>
      </c>
      <c r="BE256" t="str">
        <f>IF(tbl_OriginalData[[#This Row],[Discount_Used]]=TRUE,"Yes","No")</f>
        <v>Yes</v>
      </c>
      <c r="BF256" t="str">
        <f>IF(tbl_OriginalData[[#This Row],[Customer_Loyalty_Program_Member]]=TRUE,"Yes","No")</f>
        <v>Yes</v>
      </c>
      <c r="BG256" t="str">
        <f>tbl_OriginalData[[#This Row],[Purchase_Intent]]</f>
        <v>Planned</v>
      </c>
      <c r="BH256" t="str">
        <f>tbl_OriginalData[[#This Row],[Shipping_Preference]]</f>
        <v>No Preference</v>
      </c>
      <c r="BI256">
        <f>tbl_OriginalData[[#This Row],[Time_to_Decision]]</f>
        <v>5</v>
      </c>
      <c r="BJ256" t="s">
        <v>172</v>
      </c>
      <c r="BK256" t="s">
        <v>115</v>
      </c>
      <c r="BL256" t="s">
        <v>2524</v>
      </c>
    </row>
    <row r="257" spans="1:64">
      <c r="A257" t="s">
        <v>698</v>
      </c>
      <c r="B257">
        <v>31</v>
      </c>
      <c r="C257" t="s">
        <v>106</v>
      </c>
      <c r="D257" t="s">
        <v>34</v>
      </c>
      <c r="E257" t="s">
        <v>65</v>
      </c>
      <c r="F257" t="s">
        <v>36</v>
      </c>
      <c r="G257" t="s">
        <v>51</v>
      </c>
      <c r="H257" t="s">
        <v>699</v>
      </c>
      <c r="I257" t="s">
        <v>38</v>
      </c>
      <c r="J257">
        <v>73.739999999999995</v>
      </c>
      <c r="K257">
        <v>7</v>
      </c>
      <c r="L257" t="s">
        <v>94</v>
      </c>
      <c r="M257">
        <v>4</v>
      </c>
      <c r="N257">
        <v>2</v>
      </c>
      <c r="O257">
        <v>0.3</v>
      </c>
      <c r="P257" t="s">
        <v>51</v>
      </c>
      <c r="Q257" t="s">
        <v>57</v>
      </c>
      <c r="R257">
        <v>1</v>
      </c>
      <c r="S257">
        <v>3</v>
      </c>
      <c r="T257" t="s">
        <v>56</v>
      </c>
      <c r="U257" t="s">
        <v>70</v>
      </c>
      <c r="V257" t="s">
        <v>76</v>
      </c>
      <c r="W257" s="1">
        <v>45521</v>
      </c>
      <c r="X257" t="b">
        <v>0</v>
      </c>
      <c r="Y257" t="b">
        <v>0</v>
      </c>
      <c r="Z257" t="s">
        <v>59</v>
      </c>
      <c r="AA257" t="s">
        <v>60</v>
      </c>
      <c r="AB257">
        <v>13</v>
      </c>
      <c r="AF257" t="str">
        <f>tbl_OriginalData[[#This Row],[Customer_ID]]</f>
        <v>39-090-0124</v>
      </c>
      <c r="AG257">
        <f>tbl_OriginalData[[#This Row],[Age]]</f>
        <v>31</v>
      </c>
      <c r="AH257" t="str" cm="1">
        <f t="array" ref="AH25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57" t="str">
        <f>tbl_OriginalData[[#This Row],[Gender]]</f>
        <v>Bigender</v>
      </c>
      <c r="AJ257" t="str">
        <f>tbl_OriginalData[[#This Row],[Income_Level]]</f>
        <v>Middle</v>
      </c>
      <c r="AK257" t="str">
        <f>tbl_OriginalData[[#This Row],[Marital_Status]]</f>
        <v>Single</v>
      </c>
      <c r="AL257" t="str">
        <f>tbl_OriginalData[[#This Row],[Education_Level]]</f>
        <v>Bachelor's</v>
      </c>
      <c r="AM257" t="str">
        <f>tbl_OriginalData[[#This Row],[Occupation]]</f>
        <v>High</v>
      </c>
      <c r="AN257" t="s">
        <v>699</v>
      </c>
      <c r="AO257" t="s">
        <v>700</v>
      </c>
      <c r="AP257" t="str">
        <f>tbl_OriginalData[[#This Row],[Purchase_Category]]</f>
        <v>Gardening &amp; Outdoors</v>
      </c>
      <c r="AQ257" s="4">
        <f>tbl_OriginalData[[#This Row],[Purchase_Amount]]</f>
        <v>73.739999999999995</v>
      </c>
      <c r="AR257">
        <f>tbl_OriginalData[[#This Row],[Frequency_of_Purchase]]</f>
        <v>7</v>
      </c>
      <c r="AS257" t="str">
        <f>tbl_OriginalData[[#This Row],[Purchase_Channel]]</f>
        <v>Online</v>
      </c>
      <c r="AT257">
        <f>tbl_OriginalData[[#This Row],[Brand_Loyalty]]</f>
        <v>4</v>
      </c>
      <c r="AU257">
        <f>tbl_OriginalData[[#This Row],[Product_Rating]]</f>
        <v>2</v>
      </c>
      <c r="AV257">
        <f>tbl_OriginalData[[#This Row],[Time_Spent_on_Product_Research(hours)]]*60</f>
        <v>18</v>
      </c>
      <c r="AW257" t="str">
        <f>tbl_OriginalData[[#This Row],[Social_Media_Influence]]</f>
        <v>High</v>
      </c>
      <c r="AX257" t="str">
        <f>tbl_OriginalData[[#This Row],[Discount_Sensitivity]]</f>
        <v>Not Sensitive</v>
      </c>
      <c r="AY257" s="3">
        <f>tbl_OriginalData[[#This Row],[Return_Rate]]/tbl_OriginalData[[#This Row],[Frequency_of_Purchase]]</f>
        <v>0.14285714285714285</v>
      </c>
      <c r="AZ257">
        <f>tbl_OriginalData[[#This Row],[Customer_Satisfaction]]</f>
        <v>3</v>
      </c>
      <c r="BA257" t="str">
        <f>tbl_OriginalData[[#This Row],[Engagement_with_Ads]]</f>
        <v>Medium</v>
      </c>
      <c r="BB257" t="str">
        <f>tbl_OriginalData[[#This Row],[Device_Used_for_Shopping]]</f>
        <v>Smartphone</v>
      </c>
      <c r="BC257" t="str">
        <f>tbl_OriginalData[[#This Row],[Payment_Method]]</f>
        <v>Other</v>
      </c>
      <c r="BD257" s="1">
        <f>tbl_OriginalData[[#This Row],[Time_of_Purchase]]</f>
        <v>45521</v>
      </c>
      <c r="BE257" t="str">
        <f>IF(tbl_OriginalData[[#This Row],[Discount_Used]]=TRUE,"Yes","No")</f>
        <v>No</v>
      </c>
      <c r="BF257" t="str">
        <f>IF(tbl_OriginalData[[#This Row],[Customer_Loyalty_Program_Member]]=TRUE,"Yes","No")</f>
        <v>No</v>
      </c>
      <c r="BG257" t="str">
        <f>tbl_OriginalData[[#This Row],[Purchase_Intent]]</f>
        <v>Wants-based</v>
      </c>
      <c r="BH257" t="str">
        <f>tbl_OriginalData[[#This Row],[Shipping_Preference]]</f>
        <v>Standard</v>
      </c>
      <c r="BI257">
        <f>tbl_OriginalData[[#This Row],[Time_to_Decision]]</f>
        <v>13</v>
      </c>
      <c r="BJ257" t="s">
        <v>124</v>
      </c>
      <c r="BK257" t="s">
        <v>115</v>
      </c>
      <c r="BL257" t="s">
        <v>2528</v>
      </c>
    </row>
    <row r="258" spans="1:64">
      <c r="A258" t="s">
        <v>701</v>
      </c>
      <c r="B258">
        <v>21</v>
      </c>
      <c r="C258" t="s">
        <v>33</v>
      </c>
      <c r="D258" t="s">
        <v>34</v>
      </c>
      <c r="E258" t="s">
        <v>82</v>
      </c>
      <c r="F258" t="s">
        <v>66</v>
      </c>
      <c r="G258" t="s">
        <v>34</v>
      </c>
      <c r="H258" t="s">
        <v>702</v>
      </c>
      <c r="I258" t="s">
        <v>108</v>
      </c>
      <c r="J258">
        <v>170.35</v>
      </c>
      <c r="K258">
        <v>10</v>
      </c>
      <c r="L258" t="s">
        <v>55</v>
      </c>
      <c r="M258">
        <v>2</v>
      </c>
      <c r="N258">
        <v>1</v>
      </c>
      <c r="O258">
        <v>1</v>
      </c>
      <c r="P258" t="s">
        <v>56</v>
      </c>
      <c r="Q258" t="s">
        <v>101</v>
      </c>
      <c r="R258">
        <v>1</v>
      </c>
      <c r="S258">
        <v>10</v>
      </c>
      <c r="T258" t="s">
        <v>69</v>
      </c>
      <c r="U258" t="s">
        <v>95</v>
      </c>
      <c r="V258" t="s">
        <v>102</v>
      </c>
      <c r="W258" s="1">
        <v>45446</v>
      </c>
      <c r="X258" t="b">
        <v>1</v>
      </c>
      <c r="Y258" t="b">
        <v>1</v>
      </c>
      <c r="Z258" t="s">
        <v>44</v>
      </c>
      <c r="AA258" t="s">
        <v>60</v>
      </c>
      <c r="AB258">
        <v>1</v>
      </c>
      <c r="AF258" t="str">
        <f>tbl_OriginalData[[#This Row],[Customer_ID]]</f>
        <v>41-854-0707</v>
      </c>
      <c r="AG258">
        <f>tbl_OriginalData[[#This Row],[Age]]</f>
        <v>21</v>
      </c>
      <c r="AH258" t="str" cm="1">
        <f t="array" ref="AH25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58" t="str">
        <f>tbl_OriginalData[[#This Row],[Gender]]</f>
        <v>Female</v>
      </c>
      <c r="AJ258" t="str">
        <f>tbl_OriginalData[[#This Row],[Income_Level]]</f>
        <v>Middle</v>
      </c>
      <c r="AK258" t="str">
        <f>tbl_OriginalData[[#This Row],[Marital_Status]]</f>
        <v>Widowed</v>
      </c>
      <c r="AL258" t="str">
        <f>tbl_OriginalData[[#This Row],[Education_Level]]</f>
        <v>Master's</v>
      </c>
      <c r="AM258" t="str">
        <f>tbl_OriginalData[[#This Row],[Occupation]]</f>
        <v>Middle</v>
      </c>
      <c r="AN258" t="s">
        <v>702</v>
      </c>
      <c r="AO258" t="s">
        <v>90</v>
      </c>
      <c r="AP258" t="str">
        <f>tbl_OriginalData[[#This Row],[Purchase_Category]]</f>
        <v>Sports &amp; Outdoors</v>
      </c>
      <c r="AQ258" s="4">
        <f>tbl_OriginalData[[#This Row],[Purchase_Amount]]</f>
        <v>170.35</v>
      </c>
      <c r="AR258">
        <f>tbl_OriginalData[[#This Row],[Frequency_of_Purchase]]</f>
        <v>10</v>
      </c>
      <c r="AS258" t="str">
        <f>tbl_OriginalData[[#This Row],[Purchase_Channel]]</f>
        <v>In-Store</v>
      </c>
      <c r="AT258">
        <f>tbl_OriginalData[[#This Row],[Brand_Loyalty]]</f>
        <v>2</v>
      </c>
      <c r="AU258">
        <f>tbl_OriginalData[[#This Row],[Product_Rating]]</f>
        <v>1</v>
      </c>
      <c r="AV258">
        <f>tbl_OriginalData[[#This Row],[Time_Spent_on_Product_Research(hours)]]*60</f>
        <v>60</v>
      </c>
      <c r="AW258" t="str">
        <f>tbl_OriginalData[[#This Row],[Social_Media_Influence]]</f>
        <v>Medium</v>
      </c>
      <c r="AX258" t="str">
        <f>tbl_OriginalData[[#This Row],[Discount_Sensitivity]]</f>
        <v>Very Sensitive</v>
      </c>
      <c r="AY258" s="3">
        <f>tbl_OriginalData[[#This Row],[Return_Rate]]/tbl_OriginalData[[#This Row],[Frequency_of_Purchase]]</f>
        <v>0.1</v>
      </c>
      <c r="AZ258">
        <f>tbl_OriginalData[[#This Row],[Customer_Satisfaction]]</f>
        <v>10</v>
      </c>
      <c r="BA258" t="str">
        <f>tbl_OriginalData[[#This Row],[Engagement_with_Ads]]</f>
        <v>Low</v>
      </c>
      <c r="BB258" t="str">
        <f>tbl_OriginalData[[#This Row],[Device_Used_for_Shopping]]</f>
        <v>Desktop</v>
      </c>
      <c r="BC258" t="str">
        <f>tbl_OriginalData[[#This Row],[Payment_Method]]</f>
        <v>Cash</v>
      </c>
      <c r="BD258" s="1">
        <f>tbl_OriginalData[[#This Row],[Time_of_Purchase]]</f>
        <v>45446</v>
      </c>
      <c r="BE258" t="str">
        <f>IF(tbl_OriginalData[[#This Row],[Discount_Used]]=TRUE,"Yes","No")</f>
        <v>Yes</v>
      </c>
      <c r="BF258" t="str">
        <f>IF(tbl_OriginalData[[#This Row],[Customer_Loyalty_Program_Member]]=TRUE,"Yes","No")</f>
        <v>Yes</v>
      </c>
      <c r="BG258" t="str">
        <f>tbl_OriginalData[[#This Row],[Purchase_Intent]]</f>
        <v>Need-based</v>
      </c>
      <c r="BH258" t="str">
        <f>tbl_OriginalData[[#This Row],[Shipping_Preference]]</f>
        <v>Standard</v>
      </c>
      <c r="BI258">
        <f>tbl_OriginalData[[#This Row],[Time_to_Decision]]</f>
        <v>1</v>
      </c>
      <c r="BJ258" t="s">
        <v>104</v>
      </c>
      <c r="BK258" t="s">
        <v>63</v>
      </c>
      <c r="BL258" t="s">
        <v>2524</v>
      </c>
    </row>
    <row r="259" spans="1:64">
      <c r="A259" t="s">
        <v>703</v>
      </c>
      <c r="B259">
        <v>36</v>
      </c>
      <c r="C259" t="s">
        <v>33</v>
      </c>
      <c r="D259" t="s">
        <v>51</v>
      </c>
      <c r="E259" t="s">
        <v>65</v>
      </c>
      <c r="F259" t="s">
        <v>66</v>
      </c>
      <c r="G259" t="s">
        <v>34</v>
      </c>
      <c r="H259" t="s">
        <v>704</v>
      </c>
      <c r="I259" t="s">
        <v>75</v>
      </c>
      <c r="J259">
        <v>123.7</v>
      </c>
      <c r="K259">
        <v>6</v>
      </c>
      <c r="L259" t="s">
        <v>94</v>
      </c>
      <c r="M259">
        <v>2</v>
      </c>
      <c r="N259">
        <v>5</v>
      </c>
      <c r="O259">
        <v>0</v>
      </c>
      <c r="P259" t="s">
        <v>51</v>
      </c>
      <c r="Q259" t="s">
        <v>101</v>
      </c>
      <c r="R259">
        <v>1</v>
      </c>
      <c r="S259">
        <v>5</v>
      </c>
      <c r="T259" t="s">
        <v>40</v>
      </c>
      <c r="U259" t="s">
        <v>70</v>
      </c>
      <c r="V259" t="s">
        <v>76</v>
      </c>
      <c r="W259" s="1">
        <v>45501</v>
      </c>
      <c r="X259" t="b">
        <v>0</v>
      </c>
      <c r="Y259" t="b">
        <v>0</v>
      </c>
      <c r="Z259" t="s">
        <v>72</v>
      </c>
      <c r="AA259" t="s">
        <v>77</v>
      </c>
      <c r="AB259">
        <v>2</v>
      </c>
      <c r="AF259" t="str">
        <f>tbl_OriginalData[[#This Row],[Customer_ID]]</f>
        <v>04-352-1558</v>
      </c>
      <c r="AG259">
        <f>tbl_OriginalData[[#This Row],[Age]]</f>
        <v>36</v>
      </c>
      <c r="AH259" t="str" cm="1">
        <f t="array" ref="AH25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59" t="str">
        <f>tbl_OriginalData[[#This Row],[Gender]]</f>
        <v>Female</v>
      </c>
      <c r="AJ259" t="str">
        <f>tbl_OriginalData[[#This Row],[Income_Level]]</f>
        <v>High</v>
      </c>
      <c r="AK259" t="str">
        <f>tbl_OriginalData[[#This Row],[Marital_Status]]</f>
        <v>Single</v>
      </c>
      <c r="AL259" t="str">
        <f>tbl_OriginalData[[#This Row],[Education_Level]]</f>
        <v>Master's</v>
      </c>
      <c r="AM259" t="str">
        <f>tbl_OriginalData[[#This Row],[Occupation]]</f>
        <v>Middle</v>
      </c>
      <c r="AN259" t="s">
        <v>704</v>
      </c>
      <c r="AO259" t="s">
        <v>502</v>
      </c>
      <c r="AP259" t="str">
        <f>tbl_OriginalData[[#This Row],[Purchase_Category]]</f>
        <v>Home Appliances</v>
      </c>
      <c r="AQ259" s="4">
        <f>tbl_OriginalData[[#This Row],[Purchase_Amount]]</f>
        <v>123.7</v>
      </c>
      <c r="AR259">
        <f>tbl_OriginalData[[#This Row],[Frequency_of_Purchase]]</f>
        <v>6</v>
      </c>
      <c r="AS259" t="str">
        <f>tbl_OriginalData[[#This Row],[Purchase_Channel]]</f>
        <v>Online</v>
      </c>
      <c r="AT259">
        <f>tbl_OriginalData[[#This Row],[Brand_Loyalty]]</f>
        <v>2</v>
      </c>
      <c r="AU259">
        <f>tbl_OriginalData[[#This Row],[Product_Rating]]</f>
        <v>5</v>
      </c>
      <c r="AV259">
        <f>tbl_OriginalData[[#This Row],[Time_Spent_on_Product_Research(hours)]]*60</f>
        <v>0</v>
      </c>
      <c r="AW259" t="str">
        <f>tbl_OriginalData[[#This Row],[Social_Media_Influence]]</f>
        <v>High</v>
      </c>
      <c r="AX259" t="str">
        <f>tbl_OriginalData[[#This Row],[Discount_Sensitivity]]</f>
        <v>Very Sensitive</v>
      </c>
      <c r="AY259" s="3">
        <f>tbl_OriginalData[[#This Row],[Return_Rate]]/tbl_OriginalData[[#This Row],[Frequency_of_Purchase]]</f>
        <v>0.16666666666666666</v>
      </c>
      <c r="AZ259">
        <f>tbl_OriginalData[[#This Row],[Customer_Satisfaction]]</f>
        <v>5</v>
      </c>
      <c r="BA259" t="str">
        <f>tbl_OriginalData[[#This Row],[Engagement_with_Ads]]</f>
        <v>None</v>
      </c>
      <c r="BB259" t="str">
        <f>tbl_OriginalData[[#This Row],[Device_Used_for_Shopping]]</f>
        <v>Smartphone</v>
      </c>
      <c r="BC259" t="str">
        <f>tbl_OriginalData[[#This Row],[Payment_Method]]</f>
        <v>Other</v>
      </c>
      <c r="BD259" s="1">
        <f>tbl_OriginalData[[#This Row],[Time_of_Purchase]]</f>
        <v>45501</v>
      </c>
      <c r="BE259" t="str">
        <f>IF(tbl_OriginalData[[#This Row],[Discount_Used]]=TRUE,"Yes","No")</f>
        <v>No</v>
      </c>
      <c r="BF259" t="str">
        <f>IF(tbl_OriginalData[[#This Row],[Customer_Loyalty_Program_Member]]=TRUE,"Yes","No")</f>
        <v>No</v>
      </c>
      <c r="BG259" t="str">
        <f>tbl_OriginalData[[#This Row],[Purchase_Intent]]</f>
        <v>Impulsive</v>
      </c>
      <c r="BH259" t="str">
        <f>tbl_OriginalData[[#This Row],[Shipping_Preference]]</f>
        <v>Express</v>
      </c>
      <c r="BI259">
        <f>tbl_OriginalData[[#This Row],[Time_to_Decision]]</f>
        <v>2</v>
      </c>
      <c r="BJ259" t="s">
        <v>114</v>
      </c>
      <c r="BK259" t="s">
        <v>115</v>
      </c>
      <c r="BL259" t="s">
        <v>2524</v>
      </c>
    </row>
    <row r="260" spans="1:64">
      <c r="A260" t="s">
        <v>705</v>
      </c>
      <c r="B260">
        <v>21</v>
      </c>
      <c r="C260" t="s">
        <v>33</v>
      </c>
      <c r="D260" t="s">
        <v>34</v>
      </c>
      <c r="E260" t="s">
        <v>65</v>
      </c>
      <c r="F260" t="s">
        <v>66</v>
      </c>
      <c r="G260" t="s">
        <v>51</v>
      </c>
      <c r="H260" t="s">
        <v>706</v>
      </c>
      <c r="I260" t="s">
        <v>38</v>
      </c>
      <c r="J260">
        <v>201.6</v>
      </c>
      <c r="K260">
        <v>9</v>
      </c>
      <c r="L260" t="s">
        <v>55</v>
      </c>
      <c r="M260">
        <v>1</v>
      </c>
      <c r="N260">
        <v>4</v>
      </c>
      <c r="O260">
        <v>2</v>
      </c>
      <c r="P260" t="s">
        <v>56</v>
      </c>
      <c r="Q260" t="s">
        <v>101</v>
      </c>
      <c r="R260">
        <v>1</v>
      </c>
      <c r="S260">
        <v>4</v>
      </c>
      <c r="T260" t="s">
        <v>51</v>
      </c>
      <c r="U260" t="s">
        <v>70</v>
      </c>
      <c r="V260" t="s">
        <v>58</v>
      </c>
      <c r="W260" s="1">
        <v>45589</v>
      </c>
      <c r="X260" t="b">
        <v>0</v>
      </c>
      <c r="Y260" t="b">
        <v>0</v>
      </c>
      <c r="Z260" t="s">
        <v>72</v>
      </c>
      <c r="AA260" t="s">
        <v>77</v>
      </c>
      <c r="AB260">
        <v>14</v>
      </c>
      <c r="AF260" t="str">
        <f>tbl_OriginalData[[#This Row],[Customer_ID]]</f>
        <v>93-867-8303</v>
      </c>
      <c r="AG260">
        <f>tbl_OriginalData[[#This Row],[Age]]</f>
        <v>21</v>
      </c>
      <c r="AH260" t="str" cm="1">
        <f t="array" ref="AH26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60" t="str">
        <f>tbl_OriginalData[[#This Row],[Gender]]</f>
        <v>Female</v>
      </c>
      <c r="AJ260" t="str">
        <f>tbl_OriginalData[[#This Row],[Income_Level]]</f>
        <v>Middle</v>
      </c>
      <c r="AK260" t="str">
        <f>tbl_OriginalData[[#This Row],[Marital_Status]]</f>
        <v>Single</v>
      </c>
      <c r="AL260" t="str">
        <f>tbl_OriginalData[[#This Row],[Education_Level]]</f>
        <v>Master's</v>
      </c>
      <c r="AM260" t="str">
        <f>tbl_OriginalData[[#This Row],[Occupation]]</f>
        <v>High</v>
      </c>
      <c r="AN260" t="s">
        <v>706</v>
      </c>
      <c r="AO260" t="s">
        <v>61</v>
      </c>
      <c r="AP260" t="str">
        <f>tbl_OriginalData[[#This Row],[Purchase_Category]]</f>
        <v>Gardening &amp; Outdoors</v>
      </c>
      <c r="AQ260" s="4">
        <f>tbl_OriginalData[[#This Row],[Purchase_Amount]]</f>
        <v>201.6</v>
      </c>
      <c r="AR260">
        <f>tbl_OriginalData[[#This Row],[Frequency_of_Purchase]]</f>
        <v>9</v>
      </c>
      <c r="AS260" t="str">
        <f>tbl_OriginalData[[#This Row],[Purchase_Channel]]</f>
        <v>In-Store</v>
      </c>
      <c r="AT260">
        <f>tbl_OriginalData[[#This Row],[Brand_Loyalty]]</f>
        <v>1</v>
      </c>
      <c r="AU260">
        <f>tbl_OriginalData[[#This Row],[Product_Rating]]</f>
        <v>4</v>
      </c>
      <c r="AV260">
        <f>tbl_OriginalData[[#This Row],[Time_Spent_on_Product_Research(hours)]]*60</f>
        <v>120</v>
      </c>
      <c r="AW260" t="str">
        <f>tbl_OriginalData[[#This Row],[Social_Media_Influence]]</f>
        <v>Medium</v>
      </c>
      <c r="AX260" t="str">
        <f>tbl_OriginalData[[#This Row],[Discount_Sensitivity]]</f>
        <v>Very Sensitive</v>
      </c>
      <c r="AY260" s="3">
        <f>tbl_OriginalData[[#This Row],[Return_Rate]]/tbl_OriginalData[[#This Row],[Frequency_of_Purchase]]</f>
        <v>0.1111111111111111</v>
      </c>
      <c r="AZ260">
        <f>tbl_OriginalData[[#This Row],[Customer_Satisfaction]]</f>
        <v>4</v>
      </c>
      <c r="BA260" t="str">
        <f>tbl_OriginalData[[#This Row],[Engagement_with_Ads]]</f>
        <v>High</v>
      </c>
      <c r="BB260" t="str">
        <f>tbl_OriginalData[[#This Row],[Device_Used_for_Shopping]]</f>
        <v>Smartphone</v>
      </c>
      <c r="BC260" t="str">
        <f>tbl_OriginalData[[#This Row],[Payment_Method]]</f>
        <v>PayPal</v>
      </c>
      <c r="BD260" s="1">
        <f>tbl_OriginalData[[#This Row],[Time_of_Purchase]]</f>
        <v>45589</v>
      </c>
      <c r="BE260" t="str">
        <f>IF(tbl_OriginalData[[#This Row],[Discount_Used]]=TRUE,"Yes","No")</f>
        <v>No</v>
      </c>
      <c r="BF260" t="str">
        <f>IF(tbl_OriginalData[[#This Row],[Customer_Loyalty_Program_Member]]=TRUE,"Yes","No")</f>
        <v>No</v>
      </c>
      <c r="BG260" t="str">
        <f>tbl_OriginalData[[#This Row],[Purchase_Intent]]</f>
        <v>Impulsive</v>
      </c>
      <c r="BH260" t="str">
        <f>tbl_OriginalData[[#This Row],[Shipping_Preference]]</f>
        <v>Express</v>
      </c>
      <c r="BI260">
        <f>tbl_OriginalData[[#This Row],[Time_to_Decision]]</f>
        <v>14</v>
      </c>
      <c r="BJ260" t="s">
        <v>79</v>
      </c>
      <c r="BK260" t="s">
        <v>80</v>
      </c>
      <c r="BL260" t="s">
        <v>2524</v>
      </c>
    </row>
    <row r="261" spans="1:64">
      <c r="A261" t="s">
        <v>707</v>
      </c>
      <c r="B261">
        <v>27</v>
      </c>
      <c r="C261" t="s">
        <v>33</v>
      </c>
      <c r="D261" t="s">
        <v>34</v>
      </c>
      <c r="E261" t="s">
        <v>65</v>
      </c>
      <c r="F261" t="s">
        <v>66</v>
      </c>
      <c r="G261" t="s">
        <v>51</v>
      </c>
      <c r="H261" t="s">
        <v>708</v>
      </c>
      <c r="I261" t="s">
        <v>84</v>
      </c>
      <c r="J261">
        <v>116.14</v>
      </c>
      <c r="K261">
        <v>11</v>
      </c>
      <c r="L261" t="s">
        <v>39</v>
      </c>
      <c r="M261">
        <v>1</v>
      </c>
      <c r="N261">
        <v>4</v>
      </c>
      <c r="O261">
        <v>1</v>
      </c>
      <c r="P261" t="s">
        <v>51</v>
      </c>
      <c r="Q261" t="s">
        <v>41</v>
      </c>
      <c r="R261">
        <v>0</v>
      </c>
      <c r="S261">
        <v>8</v>
      </c>
      <c r="T261" t="s">
        <v>56</v>
      </c>
      <c r="U261" t="s">
        <v>95</v>
      </c>
      <c r="V261" t="s">
        <v>43</v>
      </c>
      <c r="W261" s="1">
        <v>45383</v>
      </c>
      <c r="X261" t="b">
        <v>0</v>
      </c>
      <c r="Y261" t="b">
        <v>1</v>
      </c>
      <c r="Z261" t="s">
        <v>59</v>
      </c>
      <c r="AA261" t="s">
        <v>77</v>
      </c>
      <c r="AB261">
        <v>14</v>
      </c>
      <c r="AF261" t="str">
        <f>tbl_OriginalData[[#This Row],[Customer_ID]]</f>
        <v>31-088-6950</v>
      </c>
      <c r="AG261">
        <f>tbl_OriginalData[[#This Row],[Age]]</f>
        <v>27</v>
      </c>
      <c r="AH261" t="str" cm="1">
        <f t="array" ref="AH26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61" t="str">
        <f>tbl_OriginalData[[#This Row],[Gender]]</f>
        <v>Female</v>
      </c>
      <c r="AJ261" t="str">
        <f>tbl_OriginalData[[#This Row],[Income_Level]]</f>
        <v>Middle</v>
      </c>
      <c r="AK261" t="str">
        <f>tbl_OriginalData[[#This Row],[Marital_Status]]</f>
        <v>Single</v>
      </c>
      <c r="AL261" t="str">
        <f>tbl_OriginalData[[#This Row],[Education_Level]]</f>
        <v>Master's</v>
      </c>
      <c r="AM261" t="str">
        <f>tbl_OriginalData[[#This Row],[Occupation]]</f>
        <v>High</v>
      </c>
      <c r="AN261" t="s">
        <v>708</v>
      </c>
      <c r="AO261" t="s">
        <v>61</v>
      </c>
      <c r="AP261" t="str">
        <f>tbl_OriginalData[[#This Row],[Purchase_Category]]</f>
        <v>Furniture</v>
      </c>
      <c r="AQ261" s="4">
        <f>tbl_OriginalData[[#This Row],[Purchase_Amount]]</f>
        <v>116.14</v>
      </c>
      <c r="AR261">
        <f>tbl_OriginalData[[#This Row],[Frequency_of_Purchase]]</f>
        <v>11</v>
      </c>
      <c r="AS261" t="str">
        <f>tbl_OriginalData[[#This Row],[Purchase_Channel]]</f>
        <v>Mixed</v>
      </c>
      <c r="AT261">
        <f>tbl_OriginalData[[#This Row],[Brand_Loyalty]]</f>
        <v>1</v>
      </c>
      <c r="AU261">
        <f>tbl_OriginalData[[#This Row],[Product_Rating]]</f>
        <v>4</v>
      </c>
      <c r="AV261">
        <f>tbl_OriginalData[[#This Row],[Time_Spent_on_Product_Research(hours)]]*60</f>
        <v>60</v>
      </c>
      <c r="AW261" t="str">
        <f>tbl_OriginalData[[#This Row],[Social_Media_Influence]]</f>
        <v>High</v>
      </c>
      <c r="AX261" t="str">
        <f>tbl_OriginalData[[#This Row],[Discount_Sensitivity]]</f>
        <v>Somewhat Sensitive</v>
      </c>
      <c r="AY261" s="3">
        <f>tbl_OriginalData[[#This Row],[Return_Rate]]/tbl_OriginalData[[#This Row],[Frequency_of_Purchase]]</f>
        <v>0</v>
      </c>
      <c r="AZ261">
        <f>tbl_OriginalData[[#This Row],[Customer_Satisfaction]]</f>
        <v>8</v>
      </c>
      <c r="BA261" t="str">
        <f>tbl_OriginalData[[#This Row],[Engagement_with_Ads]]</f>
        <v>Medium</v>
      </c>
      <c r="BB261" t="str">
        <f>tbl_OriginalData[[#This Row],[Device_Used_for_Shopping]]</f>
        <v>Desktop</v>
      </c>
      <c r="BC261" t="str">
        <f>tbl_OriginalData[[#This Row],[Payment_Method]]</f>
        <v>Credit Card</v>
      </c>
      <c r="BD261" s="1">
        <f>tbl_OriginalData[[#This Row],[Time_of_Purchase]]</f>
        <v>45383</v>
      </c>
      <c r="BE261" t="str">
        <f>IF(tbl_OriginalData[[#This Row],[Discount_Used]]=TRUE,"Yes","No")</f>
        <v>No</v>
      </c>
      <c r="BF261" t="str">
        <f>IF(tbl_OriginalData[[#This Row],[Customer_Loyalty_Program_Member]]=TRUE,"Yes","No")</f>
        <v>Yes</v>
      </c>
      <c r="BG261" t="str">
        <f>tbl_OriginalData[[#This Row],[Purchase_Intent]]</f>
        <v>Wants-based</v>
      </c>
      <c r="BH261" t="str">
        <f>tbl_OriginalData[[#This Row],[Shipping_Preference]]</f>
        <v>Express</v>
      </c>
      <c r="BI261">
        <f>tbl_OriginalData[[#This Row],[Time_to_Decision]]</f>
        <v>14</v>
      </c>
      <c r="BJ261" t="s">
        <v>62</v>
      </c>
      <c r="BK261" t="s">
        <v>63</v>
      </c>
      <c r="BL261" t="s">
        <v>2524</v>
      </c>
    </row>
    <row r="262" spans="1:64">
      <c r="A262" t="s">
        <v>709</v>
      </c>
      <c r="B262">
        <v>29</v>
      </c>
      <c r="C262" t="s">
        <v>33</v>
      </c>
      <c r="D262" t="s">
        <v>34</v>
      </c>
      <c r="E262" t="s">
        <v>65</v>
      </c>
      <c r="F262" t="s">
        <v>66</v>
      </c>
      <c r="G262" t="s">
        <v>51</v>
      </c>
      <c r="H262" t="s">
        <v>710</v>
      </c>
      <c r="I262" t="s">
        <v>306</v>
      </c>
      <c r="J262">
        <v>483.38</v>
      </c>
      <c r="K262">
        <v>9</v>
      </c>
      <c r="L262" t="s">
        <v>94</v>
      </c>
      <c r="M262">
        <v>2</v>
      </c>
      <c r="N262">
        <v>1</v>
      </c>
      <c r="O262">
        <v>0</v>
      </c>
      <c r="P262" t="s">
        <v>51</v>
      </c>
      <c r="Q262" t="s">
        <v>41</v>
      </c>
      <c r="R262">
        <v>2</v>
      </c>
      <c r="S262">
        <v>3</v>
      </c>
      <c r="T262" t="s">
        <v>51</v>
      </c>
      <c r="U262" t="s">
        <v>95</v>
      </c>
      <c r="V262" t="s">
        <v>76</v>
      </c>
      <c r="W262" s="1">
        <v>45452</v>
      </c>
      <c r="X262" t="b">
        <v>0</v>
      </c>
      <c r="Y262" t="b">
        <v>1</v>
      </c>
      <c r="Z262" t="s">
        <v>44</v>
      </c>
      <c r="AA262" t="s">
        <v>60</v>
      </c>
      <c r="AB262">
        <v>8</v>
      </c>
      <c r="AF262" t="str">
        <f>tbl_OriginalData[[#This Row],[Customer_ID]]</f>
        <v>43-616-8365</v>
      </c>
      <c r="AG262">
        <f>tbl_OriginalData[[#This Row],[Age]]</f>
        <v>29</v>
      </c>
      <c r="AH262" t="str" cm="1">
        <f t="array" ref="AH26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62" t="str">
        <f>tbl_OriginalData[[#This Row],[Gender]]</f>
        <v>Female</v>
      </c>
      <c r="AJ262" t="str">
        <f>tbl_OriginalData[[#This Row],[Income_Level]]</f>
        <v>Middle</v>
      </c>
      <c r="AK262" t="str">
        <f>tbl_OriginalData[[#This Row],[Marital_Status]]</f>
        <v>Single</v>
      </c>
      <c r="AL262" t="str">
        <f>tbl_OriginalData[[#This Row],[Education_Level]]</f>
        <v>Master's</v>
      </c>
      <c r="AM262" t="str">
        <f>tbl_OriginalData[[#This Row],[Occupation]]</f>
        <v>High</v>
      </c>
      <c r="AN262" t="s">
        <v>710</v>
      </c>
      <c r="AO262" t="s">
        <v>90</v>
      </c>
      <c r="AP262" t="str">
        <f>tbl_OriginalData[[#This Row],[Purchase_Category]]</f>
        <v>Jewelry &amp; Accessories</v>
      </c>
      <c r="AQ262" s="4">
        <f>tbl_OriginalData[[#This Row],[Purchase_Amount]]</f>
        <v>483.38</v>
      </c>
      <c r="AR262">
        <f>tbl_OriginalData[[#This Row],[Frequency_of_Purchase]]</f>
        <v>9</v>
      </c>
      <c r="AS262" t="str">
        <f>tbl_OriginalData[[#This Row],[Purchase_Channel]]</f>
        <v>Online</v>
      </c>
      <c r="AT262">
        <f>tbl_OriginalData[[#This Row],[Brand_Loyalty]]</f>
        <v>2</v>
      </c>
      <c r="AU262">
        <f>tbl_OriginalData[[#This Row],[Product_Rating]]</f>
        <v>1</v>
      </c>
      <c r="AV262">
        <f>tbl_OriginalData[[#This Row],[Time_Spent_on_Product_Research(hours)]]*60</f>
        <v>0</v>
      </c>
      <c r="AW262" t="str">
        <f>tbl_OriginalData[[#This Row],[Social_Media_Influence]]</f>
        <v>High</v>
      </c>
      <c r="AX262" t="str">
        <f>tbl_OriginalData[[#This Row],[Discount_Sensitivity]]</f>
        <v>Somewhat Sensitive</v>
      </c>
      <c r="AY262" s="3">
        <f>tbl_OriginalData[[#This Row],[Return_Rate]]/tbl_OriginalData[[#This Row],[Frequency_of_Purchase]]</f>
        <v>0.22222222222222221</v>
      </c>
      <c r="AZ262">
        <f>tbl_OriginalData[[#This Row],[Customer_Satisfaction]]</f>
        <v>3</v>
      </c>
      <c r="BA262" t="str">
        <f>tbl_OriginalData[[#This Row],[Engagement_with_Ads]]</f>
        <v>High</v>
      </c>
      <c r="BB262" t="str">
        <f>tbl_OriginalData[[#This Row],[Device_Used_for_Shopping]]</f>
        <v>Desktop</v>
      </c>
      <c r="BC262" t="str">
        <f>tbl_OriginalData[[#This Row],[Payment_Method]]</f>
        <v>Other</v>
      </c>
      <c r="BD262" s="1">
        <f>tbl_OriginalData[[#This Row],[Time_of_Purchase]]</f>
        <v>45452</v>
      </c>
      <c r="BE262" t="str">
        <f>IF(tbl_OriginalData[[#This Row],[Discount_Used]]=TRUE,"Yes","No")</f>
        <v>No</v>
      </c>
      <c r="BF262" t="str">
        <f>IF(tbl_OriginalData[[#This Row],[Customer_Loyalty_Program_Member]]=TRUE,"Yes","No")</f>
        <v>Yes</v>
      </c>
      <c r="BG262" t="str">
        <f>tbl_OriginalData[[#This Row],[Purchase_Intent]]</f>
        <v>Need-based</v>
      </c>
      <c r="BH262" t="str">
        <f>tbl_OriginalData[[#This Row],[Shipping_Preference]]</f>
        <v>Standard</v>
      </c>
      <c r="BI262">
        <f>tbl_OriginalData[[#This Row],[Time_to_Decision]]</f>
        <v>8</v>
      </c>
      <c r="BJ262" t="s">
        <v>104</v>
      </c>
      <c r="BK262" t="s">
        <v>63</v>
      </c>
      <c r="BL262" t="s">
        <v>2524</v>
      </c>
    </row>
    <row r="263" spans="1:64">
      <c r="A263" t="s">
        <v>711</v>
      </c>
      <c r="B263">
        <v>24</v>
      </c>
      <c r="C263" t="s">
        <v>50</v>
      </c>
      <c r="D263" t="s">
        <v>34</v>
      </c>
      <c r="E263" t="s">
        <v>65</v>
      </c>
      <c r="F263" t="s">
        <v>52</v>
      </c>
      <c r="G263" t="s">
        <v>34</v>
      </c>
      <c r="H263" t="s">
        <v>712</v>
      </c>
      <c r="I263" t="s">
        <v>180</v>
      </c>
      <c r="J263">
        <v>418.62</v>
      </c>
      <c r="K263">
        <v>9</v>
      </c>
      <c r="L263" t="s">
        <v>55</v>
      </c>
      <c r="M263">
        <v>1</v>
      </c>
      <c r="N263">
        <v>2</v>
      </c>
      <c r="O263">
        <v>0</v>
      </c>
      <c r="P263" t="s">
        <v>69</v>
      </c>
      <c r="Q263" t="s">
        <v>57</v>
      </c>
      <c r="R263">
        <v>0</v>
      </c>
      <c r="S263">
        <v>9</v>
      </c>
      <c r="T263" t="s">
        <v>40</v>
      </c>
      <c r="U263" t="s">
        <v>70</v>
      </c>
      <c r="V263" t="s">
        <v>76</v>
      </c>
      <c r="W263" s="1">
        <v>45610</v>
      </c>
      <c r="X263" t="b">
        <v>1</v>
      </c>
      <c r="Y263" t="b">
        <v>0</v>
      </c>
      <c r="Z263" t="s">
        <v>44</v>
      </c>
      <c r="AA263" t="s">
        <v>60</v>
      </c>
      <c r="AB263">
        <v>11</v>
      </c>
      <c r="AF263" t="str">
        <f>tbl_OriginalData[[#This Row],[Customer_ID]]</f>
        <v>71-876-9118</v>
      </c>
      <c r="AG263">
        <f>tbl_OriginalData[[#This Row],[Age]]</f>
        <v>24</v>
      </c>
      <c r="AH263" t="str" cm="1">
        <f t="array" ref="AH26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63" t="str">
        <f>tbl_OriginalData[[#This Row],[Gender]]</f>
        <v>Male</v>
      </c>
      <c r="AJ263" t="str">
        <f>tbl_OriginalData[[#This Row],[Income_Level]]</f>
        <v>Middle</v>
      </c>
      <c r="AK263" t="str">
        <f>tbl_OriginalData[[#This Row],[Marital_Status]]</f>
        <v>Single</v>
      </c>
      <c r="AL263" t="str">
        <f>tbl_OriginalData[[#This Row],[Education_Level]]</f>
        <v>High School</v>
      </c>
      <c r="AM263" t="str">
        <f>tbl_OriginalData[[#This Row],[Occupation]]</f>
        <v>Middle</v>
      </c>
      <c r="AN263" t="s">
        <v>712</v>
      </c>
      <c r="AO263" t="s">
        <v>713</v>
      </c>
      <c r="AP263" t="str">
        <f>tbl_OriginalData[[#This Row],[Purchase_Category]]</f>
        <v>Health Supplements</v>
      </c>
      <c r="AQ263" s="4">
        <f>tbl_OriginalData[[#This Row],[Purchase_Amount]]</f>
        <v>418.62</v>
      </c>
      <c r="AR263">
        <f>tbl_OriginalData[[#This Row],[Frequency_of_Purchase]]</f>
        <v>9</v>
      </c>
      <c r="AS263" t="str">
        <f>tbl_OriginalData[[#This Row],[Purchase_Channel]]</f>
        <v>In-Store</v>
      </c>
      <c r="AT263">
        <f>tbl_OriginalData[[#This Row],[Brand_Loyalty]]</f>
        <v>1</v>
      </c>
      <c r="AU263">
        <f>tbl_OriginalData[[#This Row],[Product_Rating]]</f>
        <v>2</v>
      </c>
      <c r="AV263">
        <f>tbl_OriginalData[[#This Row],[Time_Spent_on_Product_Research(hours)]]*60</f>
        <v>0</v>
      </c>
      <c r="AW263" t="str">
        <f>tbl_OriginalData[[#This Row],[Social_Media_Influence]]</f>
        <v>Low</v>
      </c>
      <c r="AX263" t="str">
        <f>tbl_OriginalData[[#This Row],[Discount_Sensitivity]]</f>
        <v>Not Sensitive</v>
      </c>
      <c r="AY263" s="3">
        <f>tbl_OriginalData[[#This Row],[Return_Rate]]/tbl_OriginalData[[#This Row],[Frequency_of_Purchase]]</f>
        <v>0</v>
      </c>
      <c r="AZ263">
        <f>tbl_OriginalData[[#This Row],[Customer_Satisfaction]]</f>
        <v>9</v>
      </c>
      <c r="BA263" t="str">
        <f>tbl_OriginalData[[#This Row],[Engagement_with_Ads]]</f>
        <v>None</v>
      </c>
      <c r="BB263" t="str">
        <f>tbl_OriginalData[[#This Row],[Device_Used_for_Shopping]]</f>
        <v>Smartphone</v>
      </c>
      <c r="BC263" t="str">
        <f>tbl_OriginalData[[#This Row],[Payment_Method]]</f>
        <v>Other</v>
      </c>
      <c r="BD263" s="1">
        <f>tbl_OriginalData[[#This Row],[Time_of_Purchase]]</f>
        <v>45610</v>
      </c>
      <c r="BE263" t="str">
        <f>IF(tbl_OriginalData[[#This Row],[Discount_Used]]=TRUE,"Yes","No")</f>
        <v>Yes</v>
      </c>
      <c r="BF263" t="str">
        <f>IF(tbl_OriginalData[[#This Row],[Customer_Loyalty_Program_Member]]=TRUE,"Yes","No")</f>
        <v>No</v>
      </c>
      <c r="BG263" t="str">
        <f>tbl_OriginalData[[#This Row],[Purchase_Intent]]</f>
        <v>Need-based</v>
      </c>
      <c r="BH263" t="str">
        <f>tbl_OriginalData[[#This Row],[Shipping_Preference]]</f>
        <v>Standard</v>
      </c>
      <c r="BI263">
        <f>tbl_OriginalData[[#This Row],[Time_to_Decision]]</f>
        <v>11</v>
      </c>
      <c r="BJ263" t="s">
        <v>177</v>
      </c>
      <c r="BK263" t="s">
        <v>80</v>
      </c>
      <c r="BL263" t="s">
        <v>2527</v>
      </c>
    </row>
    <row r="264" spans="1:64">
      <c r="A264" t="s">
        <v>714</v>
      </c>
      <c r="B264">
        <v>33</v>
      </c>
      <c r="C264" t="s">
        <v>33</v>
      </c>
      <c r="D264" t="s">
        <v>34</v>
      </c>
      <c r="E264" t="s">
        <v>92</v>
      </c>
      <c r="F264" t="s">
        <v>36</v>
      </c>
      <c r="G264" t="s">
        <v>34</v>
      </c>
      <c r="H264" t="s">
        <v>715</v>
      </c>
      <c r="I264" t="s">
        <v>98</v>
      </c>
      <c r="J264">
        <v>139.83000000000001</v>
      </c>
      <c r="K264">
        <v>12</v>
      </c>
      <c r="L264" t="s">
        <v>94</v>
      </c>
      <c r="M264">
        <v>2</v>
      </c>
      <c r="N264">
        <v>4</v>
      </c>
      <c r="O264">
        <v>2</v>
      </c>
      <c r="P264" t="s">
        <v>40</v>
      </c>
      <c r="Q264" t="s">
        <v>57</v>
      </c>
      <c r="R264">
        <v>0</v>
      </c>
      <c r="S264">
        <v>1</v>
      </c>
      <c r="T264" t="s">
        <v>40</v>
      </c>
      <c r="U264" t="s">
        <v>42</v>
      </c>
      <c r="V264" t="s">
        <v>102</v>
      </c>
      <c r="W264" s="1">
        <v>45573</v>
      </c>
      <c r="X264" t="b">
        <v>0</v>
      </c>
      <c r="Y264" t="b">
        <v>0</v>
      </c>
      <c r="Z264" t="s">
        <v>72</v>
      </c>
      <c r="AA264" t="s">
        <v>77</v>
      </c>
      <c r="AB264">
        <v>10</v>
      </c>
      <c r="AF264" t="str">
        <f>tbl_OriginalData[[#This Row],[Customer_ID]]</f>
        <v>18-263-0366</v>
      </c>
      <c r="AG264">
        <f>tbl_OriginalData[[#This Row],[Age]]</f>
        <v>33</v>
      </c>
      <c r="AH264" t="str" cm="1">
        <f t="array" ref="AH26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64" t="str">
        <f>tbl_OriginalData[[#This Row],[Gender]]</f>
        <v>Female</v>
      </c>
      <c r="AJ264" t="str">
        <f>tbl_OriginalData[[#This Row],[Income_Level]]</f>
        <v>Middle</v>
      </c>
      <c r="AK264" t="str">
        <f>tbl_OriginalData[[#This Row],[Marital_Status]]</f>
        <v>Divorced</v>
      </c>
      <c r="AL264" t="str">
        <f>tbl_OriginalData[[#This Row],[Education_Level]]</f>
        <v>Bachelor's</v>
      </c>
      <c r="AM264" t="str">
        <f>tbl_OriginalData[[#This Row],[Occupation]]</f>
        <v>Middle</v>
      </c>
      <c r="AN264" t="s">
        <v>715</v>
      </c>
      <c r="AO264" t="s">
        <v>85</v>
      </c>
      <c r="AP264" t="str">
        <f>tbl_OriginalData[[#This Row],[Purchase_Category]]</f>
        <v>Books</v>
      </c>
      <c r="AQ264" s="4">
        <f>tbl_OriginalData[[#This Row],[Purchase_Amount]]</f>
        <v>139.83000000000001</v>
      </c>
      <c r="AR264">
        <f>tbl_OriginalData[[#This Row],[Frequency_of_Purchase]]</f>
        <v>12</v>
      </c>
      <c r="AS264" t="str">
        <f>tbl_OriginalData[[#This Row],[Purchase_Channel]]</f>
        <v>Online</v>
      </c>
      <c r="AT264">
        <f>tbl_OriginalData[[#This Row],[Brand_Loyalty]]</f>
        <v>2</v>
      </c>
      <c r="AU264">
        <f>tbl_OriginalData[[#This Row],[Product_Rating]]</f>
        <v>4</v>
      </c>
      <c r="AV264">
        <f>tbl_OriginalData[[#This Row],[Time_Spent_on_Product_Research(hours)]]*60</f>
        <v>120</v>
      </c>
      <c r="AW264" t="str">
        <f>tbl_OriginalData[[#This Row],[Social_Media_Influence]]</f>
        <v>None</v>
      </c>
      <c r="AX264" t="str">
        <f>tbl_OriginalData[[#This Row],[Discount_Sensitivity]]</f>
        <v>Not Sensitive</v>
      </c>
      <c r="AY264" s="3">
        <f>tbl_OriginalData[[#This Row],[Return_Rate]]/tbl_OriginalData[[#This Row],[Frequency_of_Purchase]]</f>
        <v>0</v>
      </c>
      <c r="AZ264">
        <f>tbl_OriginalData[[#This Row],[Customer_Satisfaction]]</f>
        <v>1</v>
      </c>
      <c r="BA264" t="str">
        <f>tbl_OriginalData[[#This Row],[Engagement_with_Ads]]</f>
        <v>None</v>
      </c>
      <c r="BB264" t="str">
        <f>tbl_OriginalData[[#This Row],[Device_Used_for_Shopping]]</f>
        <v>Tablet</v>
      </c>
      <c r="BC264" t="str">
        <f>tbl_OriginalData[[#This Row],[Payment_Method]]</f>
        <v>Cash</v>
      </c>
      <c r="BD264" s="1">
        <f>tbl_OriginalData[[#This Row],[Time_of_Purchase]]</f>
        <v>45573</v>
      </c>
      <c r="BE264" t="str">
        <f>IF(tbl_OriginalData[[#This Row],[Discount_Used]]=TRUE,"Yes","No")</f>
        <v>No</v>
      </c>
      <c r="BF264" t="str">
        <f>IF(tbl_OriginalData[[#This Row],[Customer_Loyalty_Program_Member]]=TRUE,"Yes","No")</f>
        <v>No</v>
      </c>
      <c r="BG264" t="str">
        <f>tbl_OriginalData[[#This Row],[Purchase_Intent]]</f>
        <v>Impulsive</v>
      </c>
      <c r="BH264" t="str">
        <f>tbl_OriginalData[[#This Row],[Shipping_Preference]]</f>
        <v>Express</v>
      </c>
      <c r="BI264">
        <f>tbl_OriginalData[[#This Row],[Time_to_Decision]]</f>
        <v>10</v>
      </c>
      <c r="BJ264" t="s">
        <v>79</v>
      </c>
      <c r="BK264" t="s">
        <v>80</v>
      </c>
      <c r="BL264" t="s">
        <v>2524</v>
      </c>
    </row>
    <row r="265" spans="1:64">
      <c r="A265" t="s">
        <v>716</v>
      </c>
      <c r="B265">
        <v>38</v>
      </c>
      <c r="C265" t="s">
        <v>33</v>
      </c>
      <c r="D265" t="s">
        <v>51</v>
      </c>
      <c r="E265" t="s">
        <v>35</v>
      </c>
      <c r="F265" t="s">
        <v>66</v>
      </c>
      <c r="G265" t="s">
        <v>34</v>
      </c>
      <c r="H265" t="s">
        <v>717</v>
      </c>
      <c r="I265" t="s">
        <v>170</v>
      </c>
      <c r="J265">
        <v>54.17</v>
      </c>
      <c r="K265">
        <v>4</v>
      </c>
      <c r="L265" t="s">
        <v>39</v>
      </c>
      <c r="M265">
        <v>4</v>
      </c>
      <c r="N265">
        <v>5</v>
      </c>
      <c r="O265">
        <v>0</v>
      </c>
      <c r="P265" t="s">
        <v>56</v>
      </c>
      <c r="Q265" t="s">
        <v>41</v>
      </c>
      <c r="R265">
        <v>2</v>
      </c>
      <c r="S265">
        <v>2</v>
      </c>
      <c r="T265" t="s">
        <v>56</v>
      </c>
      <c r="U265" t="s">
        <v>95</v>
      </c>
      <c r="V265" t="s">
        <v>43</v>
      </c>
      <c r="W265" s="1">
        <v>45302</v>
      </c>
      <c r="X265" t="b">
        <v>0</v>
      </c>
      <c r="Y265" t="b">
        <v>1</v>
      </c>
      <c r="Z265" t="s">
        <v>89</v>
      </c>
      <c r="AA265" t="s">
        <v>45</v>
      </c>
      <c r="AB265">
        <v>7</v>
      </c>
      <c r="AF265" t="str">
        <f>tbl_OriginalData[[#This Row],[Customer_ID]]</f>
        <v>25-502-1415</v>
      </c>
      <c r="AG265">
        <f>tbl_OriginalData[[#This Row],[Age]]</f>
        <v>38</v>
      </c>
      <c r="AH265" t="str" cm="1">
        <f t="array" ref="AH26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65" t="str">
        <f>tbl_OriginalData[[#This Row],[Gender]]</f>
        <v>Female</v>
      </c>
      <c r="AJ265" t="str">
        <f>tbl_OriginalData[[#This Row],[Income_Level]]</f>
        <v>High</v>
      </c>
      <c r="AK265" t="str">
        <f>tbl_OriginalData[[#This Row],[Marital_Status]]</f>
        <v>Married</v>
      </c>
      <c r="AL265" t="str">
        <f>tbl_OriginalData[[#This Row],[Education_Level]]</f>
        <v>Master's</v>
      </c>
      <c r="AM265" t="str">
        <f>tbl_OriginalData[[#This Row],[Occupation]]</f>
        <v>Middle</v>
      </c>
      <c r="AN265" t="s">
        <v>717</v>
      </c>
      <c r="AO265" t="s">
        <v>61</v>
      </c>
      <c r="AP265" t="str">
        <f>tbl_OriginalData[[#This Row],[Purchase_Category]]</f>
        <v>Arts &amp; Crafts</v>
      </c>
      <c r="AQ265" s="4">
        <f>tbl_OriginalData[[#This Row],[Purchase_Amount]]</f>
        <v>54.17</v>
      </c>
      <c r="AR265">
        <f>tbl_OriginalData[[#This Row],[Frequency_of_Purchase]]</f>
        <v>4</v>
      </c>
      <c r="AS265" t="str">
        <f>tbl_OriginalData[[#This Row],[Purchase_Channel]]</f>
        <v>Mixed</v>
      </c>
      <c r="AT265">
        <f>tbl_OriginalData[[#This Row],[Brand_Loyalty]]</f>
        <v>4</v>
      </c>
      <c r="AU265">
        <f>tbl_OriginalData[[#This Row],[Product_Rating]]</f>
        <v>5</v>
      </c>
      <c r="AV265">
        <f>tbl_OriginalData[[#This Row],[Time_Spent_on_Product_Research(hours)]]*60</f>
        <v>0</v>
      </c>
      <c r="AW265" t="str">
        <f>tbl_OriginalData[[#This Row],[Social_Media_Influence]]</f>
        <v>Medium</v>
      </c>
      <c r="AX265" t="str">
        <f>tbl_OriginalData[[#This Row],[Discount_Sensitivity]]</f>
        <v>Somewhat Sensitive</v>
      </c>
      <c r="AY265" s="3">
        <f>tbl_OriginalData[[#This Row],[Return_Rate]]/tbl_OriginalData[[#This Row],[Frequency_of_Purchase]]</f>
        <v>0.5</v>
      </c>
      <c r="AZ265">
        <f>tbl_OriginalData[[#This Row],[Customer_Satisfaction]]</f>
        <v>2</v>
      </c>
      <c r="BA265" t="str">
        <f>tbl_OriginalData[[#This Row],[Engagement_with_Ads]]</f>
        <v>Medium</v>
      </c>
      <c r="BB265" t="str">
        <f>tbl_OriginalData[[#This Row],[Device_Used_for_Shopping]]</f>
        <v>Desktop</v>
      </c>
      <c r="BC265" t="str">
        <f>tbl_OriginalData[[#This Row],[Payment_Method]]</f>
        <v>Credit Card</v>
      </c>
      <c r="BD265" s="1">
        <f>tbl_OriginalData[[#This Row],[Time_of_Purchase]]</f>
        <v>45302</v>
      </c>
      <c r="BE265" t="str">
        <f>IF(tbl_OriginalData[[#This Row],[Discount_Used]]=TRUE,"Yes","No")</f>
        <v>No</v>
      </c>
      <c r="BF265" t="str">
        <f>IF(tbl_OriginalData[[#This Row],[Customer_Loyalty_Program_Member]]=TRUE,"Yes","No")</f>
        <v>Yes</v>
      </c>
      <c r="BG265" t="str">
        <f>tbl_OriginalData[[#This Row],[Purchase_Intent]]</f>
        <v>Planned</v>
      </c>
      <c r="BH265" t="str">
        <f>tbl_OriginalData[[#This Row],[Shipping_Preference]]</f>
        <v>No Preference</v>
      </c>
      <c r="BI265">
        <f>tbl_OriginalData[[#This Row],[Time_to_Decision]]</f>
        <v>7</v>
      </c>
      <c r="BJ265" t="s">
        <v>86</v>
      </c>
      <c r="BK265" t="s">
        <v>48</v>
      </c>
      <c r="BL265" t="s">
        <v>2524</v>
      </c>
    </row>
    <row r="266" spans="1:64">
      <c r="A266" t="s">
        <v>718</v>
      </c>
      <c r="B266">
        <v>47</v>
      </c>
      <c r="C266" t="s">
        <v>50</v>
      </c>
      <c r="D266" t="s">
        <v>51</v>
      </c>
      <c r="E266" t="s">
        <v>92</v>
      </c>
      <c r="F266" t="s">
        <v>66</v>
      </c>
      <c r="G266" t="s">
        <v>51</v>
      </c>
      <c r="H266" t="s">
        <v>719</v>
      </c>
      <c r="I266" t="s">
        <v>306</v>
      </c>
      <c r="J266">
        <v>437.59</v>
      </c>
      <c r="K266">
        <v>10</v>
      </c>
      <c r="L266" t="s">
        <v>55</v>
      </c>
      <c r="M266">
        <v>1</v>
      </c>
      <c r="N266">
        <v>4</v>
      </c>
      <c r="O266">
        <v>0</v>
      </c>
      <c r="P266" t="s">
        <v>40</v>
      </c>
      <c r="Q266" t="s">
        <v>101</v>
      </c>
      <c r="R266">
        <v>0</v>
      </c>
      <c r="S266">
        <v>4</v>
      </c>
      <c r="T266" t="s">
        <v>51</v>
      </c>
      <c r="U266" t="s">
        <v>42</v>
      </c>
      <c r="V266" t="s">
        <v>43</v>
      </c>
      <c r="W266" s="1">
        <v>45348</v>
      </c>
      <c r="X266" t="b">
        <v>1</v>
      </c>
      <c r="Y266" t="b">
        <v>1</v>
      </c>
      <c r="Z266" t="s">
        <v>72</v>
      </c>
      <c r="AA266" t="s">
        <v>77</v>
      </c>
      <c r="AB266">
        <v>9</v>
      </c>
      <c r="AF266" t="str">
        <f>tbl_OriginalData[[#This Row],[Customer_ID]]</f>
        <v>50-000-9588</v>
      </c>
      <c r="AG266">
        <f>tbl_OriginalData[[#This Row],[Age]]</f>
        <v>47</v>
      </c>
      <c r="AH266" t="str" cm="1">
        <f t="array" ref="AH26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66" t="str">
        <f>tbl_OriginalData[[#This Row],[Gender]]</f>
        <v>Male</v>
      </c>
      <c r="AJ266" t="str">
        <f>tbl_OriginalData[[#This Row],[Income_Level]]</f>
        <v>High</v>
      </c>
      <c r="AK266" t="str">
        <f>tbl_OriginalData[[#This Row],[Marital_Status]]</f>
        <v>Divorced</v>
      </c>
      <c r="AL266" t="str">
        <f>tbl_OriginalData[[#This Row],[Education_Level]]</f>
        <v>Master's</v>
      </c>
      <c r="AM266" t="str">
        <f>tbl_OriginalData[[#This Row],[Occupation]]</f>
        <v>High</v>
      </c>
      <c r="AN266" t="s">
        <v>719</v>
      </c>
      <c r="AO266" t="s">
        <v>128</v>
      </c>
      <c r="AP266" t="str">
        <f>tbl_OriginalData[[#This Row],[Purchase_Category]]</f>
        <v>Jewelry &amp; Accessories</v>
      </c>
      <c r="AQ266" s="4">
        <f>tbl_OriginalData[[#This Row],[Purchase_Amount]]</f>
        <v>437.59</v>
      </c>
      <c r="AR266">
        <f>tbl_OriginalData[[#This Row],[Frequency_of_Purchase]]</f>
        <v>10</v>
      </c>
      <c r="AS266" t="str">
        <f>tbl_OriginalData[[#This Row],[Purchase_Channel]]</f>
        <v>In-Store</v>
      </c>
      <c r="AT266">
        <f>tbl_OriginalData[[#This Row],[Brand_Loyalty]]</f>
        <v>1</v>
      </c>
      <c r="AU266">
        <f>tbl_OriginalData[[#This Row],[Product_Rating]]</f>
        <v>4</v>
      </c>
      <c r="AV266">
        <f>tbl_OriginalData[[#This Row],[Time_Spent_on_Product_Research(hours)]]*60</f>
        <v>0</v>
      </c>
      <c r="AW266" t="str">
        <f>tbl_OriginalData[[#This Row],[Social_Media_Influence]]</f>
        <v>None</v>
      </c>
      <c r="AX266" t="str">
        <f>tbl_OriginalData[[#This Row],[Discount_Sensitivity]]</f>
        <v>Very Sensitive</v>
      </c>
      <c r="AY266" s="3">
        <f>tbl_OriginalData[[#This Row],[Return_Rate]]/tbl_OriginalData[[#This Row],[Frequency_of_Purchase]]</f>
        <v>0</v>
      </c>
      <c r="AZ266">
        <f>tbl_OriginalData[[#This Row],[Customer_Satisfaction]]</f>
        <v>4</v>
      </c>
      <c r="BA266" t="str">
        <f>tbl_OriginalData[[#This Row],[Engagement_with_Ads]]</f>
        <v>High</v>
      </c>
      <c r="BB266" t="str">
        <f>tbl_OriginalData[[#This Row],[Device_Used_for_Shopping]]</f>
        <v>Tablet</v>
      </c>
      <c r="BC266" t="str">
        <f>tbl_OriginalData[[#This Row],[Payment_Method]]</f>
        <v>Credit Card</v>
      </c>
      <c r="BD266" s="1">
        <f>tbl_OriginalData[[#This Row],[Time_of_Purchase]]</f>
        <v>45348</v>
      </c>
      <c r="BE266" t="str">
        <f>IF(tbl_OriginalData[[#This Row],[Discount_Used]]=TRUE,"Yes","No")</f>
        <v>Yes</v>
      </c>
      <c r="BF266" t="str">
        <f>IF(tbl_OriginalData[[#This Row],[Customer_Loyalty_Program_Member]]=TRUE,"Yes","No")</f>
        <v>Yes</v>
      </c>
      <c r="BG266" t="str">
        <f>tbl_OriginalData[[#This Row],[Purchase_Intent]]</f>
        <v>Impulsive</v>
      </c>
      <c r="BH266" t="str">
        <f>tbl_OriginalData[[#This Row],[Shipping_Preference]]</f>
        <v>Express</v>
      </c>
      <c r="BI266">
        <f>tbl_OriginalData[[#This Row],[Time_to_Decision]]</f>
        <v>9</v>
      </c>
      <c r="BJ266" t="s">
        <v>158</v>
      </c>
      <c r="BK266" t="s">
        <v>48</v>
      </c>
      <c r="BL266" t="s">
        <v>2523</v>
      </c>
    </row>
    <row r="267" spans="1:64">
      <c r="A267" t="s">
        <v>720</v>
      </c>
      <c r="B267">
        <v>32</v>
      </c>
      <c r="C267" t="s">
        <v>50</v>
      </c>
      <c r="D267" t="s">
        <v>34</v>
      </c>
      <c r="E267" t="s">
        <v>82</v>
      </c>
      <c r="F267" t="s">
        <v>36</v>
      </c>
      <c r="G267" t="s">
        <v>51</v>
      </c>
      <c r="H267" t="s">
        <v>721</v>
      </c>
      <c r="I267" t="s">
        <v>135</v>
      </c>
      <c r="J267">
        <v>113.57</v>
      </c>
      <c r="K267">
        <v>5</v>
      </c>
      <c r="L267" t="s">
        <v>94</v>
      </c>
      <c r="M267">
        <v>4</v>
      </c>
      <c r="N267">
        <v>4</v>
      </c>
      <c r="O267">
        <v>2</v>
      </c>
      <c r="P267" t="s">
        <v>56</v>
      </c>
      <c r="Q267" t="s">
        <v>101</v>
      </c>
      <c r="R267">
        <v>1</v>
      </c>
      <c r="S267">
        <v>1</v>
      </c>
      <c r="T267" t="s">
        <v>51</v>
      </c>
      <c r="U267" t="s">
        <v>42</v>
      </c>
      <c r="V267" t="s">
        <v>102</v>
      </c>
      <c r="W267" s="1">
        <v>45597</v>
      </c>
      <c r="X267" t="b">
        <v>0</v>
      </c>
      <c r="Y267" t="b">
        <v>1</v>
      </c>
      <c r="Z267" t="s">
        <v>59</v>
      </c>
      <c r="AA267" t="s">
        <v>60</v>
      </c>
      <c r="AB267">
        <v>8</v>
      </c>
      <c r="AF267" t="str">
        <f>tbl_OriginalData[[#This Row],[Customer_ID]]</f>
        <v>32-338-5967</v>
      </c>
      <c r="AG267">
        <f>tbl_OriginalData[[#This Row],[Age]]</f>
        <v>32</v>
      </c>
      <c r="AH267" t="str" cm="1">
        <f t="array" ref="AH26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67" t="str">
        <f>tbl_OriginalData[[#This Row],[Gender]]</f>
        <v>Male</v>
      </c>
      <c r="AJ267" t="str">
        <f>tbl_OriginalData[[#This Row],[Income_Level]]</f>
        <v>Middle</v>
      </c>
      <c r="AK267" t="str">
        <f>tbl_OriginalData[[#This Row],[Marital_Status]]</f>
        <v>Widowed</v>
      </c>
      <c r="AL267" t="str">
        <f>tbl_OriginalData[[#This Row],[Education_Level]]</f>
        <v>Bachelor's</v>
      </c>
      <c r="AM267" t="str">
        <f>tbl_OriginalData[[#This Row],[Occupation]]</f>
        <v>High</v>
      </c>
      <c r="AN267" t="s">
        <v>721</v>
      </c>
      <c r="AO267" t="s">
        <v>90</v>
      </c>
      <c r="AP267" t="str">
        <f>tbl_OriginalData[[#This Row],[Purchase_Category]]</f>
        <v>Hotels</v>
      </c>
      <c r="AQ267" s="4">
        <f>tbl_OriginalData[[#This Row],[Purchase_Amount]]</f>
        <v>113.57</v>
      </c>
      <c r="AR267">
        <f>tbl_OriginalData[[#This Row],[Frequency_of_Purchase]]</f>
        <v>5</v>
      </c>
      <c r="AS267" t="str">
        <f>tbl_OriginalData[[#This Row],[Purchase_Channel]]</f>
        <v>Online</v>
      </c>
      <c r="AT267">
        <f>tbl_OriginalData[[#This Row],[Brand_Loyalty]]</f>
        <v>4</v>
      </c>
      <c r="AU267">
        <f>tbl_OriginalData[[#This Row],[Product_Rating]]</f>
        <v>4</v>
      </c>
      <c r="AV267">
        <f>tbl_OriginalData[[#This Row],[Time_Spent_on_Product_Research(hours)]]*60</f>
        <v>120</v>
      </c>
      <c r="AW267" t="str">
        <f>tbl_OriginalData[[#This Row],[Social_Media_Influence]]</f>
        <v>Medium</v>
      </c>
      <c r="AX267" t="str">
        <f>tbl_OriginalData[[#This Row],[Discount_Sensitivity]]</f>
        <v>Very Sensitive</v>
      </c>
      <c r="AY267" s="3">
        <f>tbl_OriginalData[[#This Row],[Return_Rate]]/tbl_OriginalData[[#This Row],[Frequency_of_Purchase]]</f>
        <v>0.2</v>
      </c>
      <c r="AZ267">
        <f>tbl_OriginalData[[#This Row],[Customer_Satisfaction]]</f>
        <v>1</v>
      </c>
      <c r="BA267" t="str">
        <f>tbl_OriginalData[[#This Row],[Engagement_with_Ads]]</f>
        <v>High</v>
      </c>
      <c r="BB267" t="str">
        <f>tbl_OriginalData[[#This Row],[Device_Used_for_Shopping]]</f>
        <v>Tablet</v>
      </c>
      <c r="BC267" t="str">
        <f>tbl_OriginalData[[#This Row],[Payment_Method]]</f>
        <v>Cash</v>
      </c>
      <c r="BD267" s="1">
        <f>tbl_OriginalData[[#This Row],[Time_of_Purchase]]</f>
        <v>45597</v>
      </c>
      <c r="BE267" t="str">
        <f>IF(tbl_OriginalData[[#This Row],[Discount_Used]]=TRUE,"Yes","No")</f>
        <v>No</v>
      </c>
      <c r="BF267" t="str">
        <f>IF(tbl_OriginalData[[#This Row],[Customer_Loyalty_Program_Member]]=TRUE,"Yes","No")</f>
        <v>Yes</v>
      </c>
      <c r="BG267" t="str">
        <f>tbl_OriginalData[[#This Row],[Purchase_Intent]]</f>
        <v>Wants-based</v>
      </c>
      <c r="BH267" t="str">
        <f>tbl_OriginalData[[#This Row],[Shipping_Preference]]</f>
        <v>Standard</v>
      </c>
      <c r="BI267">
        <f>tbl_OriginalData[[#This Row],[Time_to_Decision]]</f>
        <v>8</v>
      </c>
      <c r="BJ267" t="s">
        <v>177</v>
      </c>
      <c r="BK267" t="s">
        <v>80</v>
      </c>
      <c r="BL267" t="s">
        <v>2524</v>
      </c>
    </row>
    <row r="268" spans="1:64">
      <c r="A268" t="s">
        <v>722</v>
      </c>
      <c r="B268">
        <v>21</v>
      </c>
      <c r="C268" t="s">
        <v>106</v>
      </c>
      <c r="D268" t="s">
        <v>51</v>
      </c>
      <c r="E268" t="s">
        <v>65</v>
      </c>
      <c r="F268" t="s">
        <v>52</v>
      </c>
      <c r="G268" t="s">
        <v>51</v>
      </c>
      <c r="H268" t="s">
        <v>723</v>
      </c>
      <c r="I268" t="s">
        <v>143</v>
      </c>
      <c r="J268">
        <v>305.54000000000002</v>
      </c>
      <c r="K268">
        <v>6</v>
      </c>
      <c r="L268" t="s">
        <v>55</v>
      </c>
      <c r="M268">
        <v>3</v>
      </c>
      <c r="N268">
        <v>5</v>
      </c>
      <c r="O268">
        <v>0</v>
      </c>
      <c r="P268" t="s">
        <v>56</v>
      </c>
      <c r="Q268" t="s">
        <v>41</v>
      </c>
      <c r="R268">
        <v>0</v>
      </c>
      <c r="S268">
        <v>5</v>
      </c>
      <c r="T268" t="s">
        <v>56</v>
      </c>
      <c r="U268" t="s">
        <v>70</v>
      </c>
      <c r="V268" t="s">
        <v>76</v>
      </c>
      <c r="W268" s="1">
        <v>45379</v>
      </c>
      <c r="X268" t="b">
        <v>1</v>
      </c>
      <c r="Y268" t="b">
        <v>0</v>
      </c>
      <c r="Z268" t="s">
        <v>59</v>
      </c>
      <c r="AA268" t="s">
        <v>45</v>
      </c>
      <c r="AB268">
        <v>7</v>
      </c>
      <c r="AF268" t="str">
        <f>tbl_OriginalData[[#This Row],[Customer_ID]]</f>
        <v>19-311-9149</v>
      </c>
      <c r="AG268">
        <f>tbl_OriginalData[[#This Row],[Age]]</f>
        <v>21</v>
      </c>
      <c r="AH268" t="str" cm="1">
        <f t="array" ref="AH26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68" t="str">
        <f>tbl_OriginalData[[#This Row],[Gender]]</f>
        <v>Bigender</v>
      </c>
      <c r="AJ268" t="str">
        <f>tbl_OriginalData[[#This Row],[Income_Level]]</f>
        <v>High</v>
      </c>
      <c r="AK268" t="str">
        <f>tbl_OriginalData[[#This Row],[Marital_Status]]</f>
        <v>Single</v>
      </c>
      <c r="AL268" t="str">
        <f>tbl_OriginalData[[#This Row],[Education_Level]]</f>
        <v>High School</v>
      </c>
      <c r="AM268" t="str">
        <f>tbl_OriginalData[[#This Row],[Occupation]]</f>
        <v>High</v>
      </c>
      <c r="AN268" t="s">
        <v>723</v>
      </c>
      <c r="AO268" t="s">
        <v>724</v>
      </c>
      <c r="AP268" t="str">
        <f>tbl_OriginalData[[#This Row],[Purchase_Category]]</f>
        <v>Packages)</v>
      </c>
      <c r="AQ268" s="4">
        <f>tbl_OriginalData[[#This Row],[Purchase_Amount]]</f>
        <v>305.54000000000002</v>
      </c>
      <c r="AR268">
        <f>tbl_OriginalData[[#This Row],[Frequency_of_Purchase]]</f>
        <v>6</v>
      </c>
      <c r="AS268" t="str">
        <f>tbl_OriginalData[[#This Row],[Purchase_Channel]]</f>
        <v>In-Store</v>
      </c>
      <c r="AT268">
        <f>tbl_OriginalData[[#This Row],[Brand_Loyalty]]</f>
        <v>3</v>
      </c>
      <c r="AU268">
        <f>tbl_OriginalData[[#This Row],[Product_Rating]]</f>
        <v>5</v>
      </c>
      <c r="AV268">
        <f>tbl_OriginalData[[#This Row],[Time_Spent_on_Product_Research(hours)]]*60</f>
        <v>0</v>
      </c>
      <c r="AW268" t="str">
        <f>tbl_OriginalData[[#This Row],[Social_Media_Influence]]</f>
        <v>Medium</v>
      </c>
      <c r="AX268" t="str">
        <f>tbl_OriginalData[[#This Row],[Discount_Sensitivity]]</f>
        <v>Somewhat Sensitive</v>
      </c>
      <c r="AY268" s="3">
        <f>tbl_OriginalData[[#This Row],[Return_Rate]]/tbl_OriginalData[[#This Row],[Frequency_of_Purchase]]</f>
        <v>0</v>
      </c>
      <c r="AZ268">
        <f>tbl_OriginalData[[#This Row],[Customer_Satisfaction]]</f>
        <v>5</v>
      </c>
      <c r="BA268" t="str">
        <f>tbl_OriginalData[[#This Row],[Engagement_with_Ads]]</f>
        <v>Medium</v>
      </c>
      <c r="BB268" t="str">
        <f>tbl_OriginalData[[#This Row],[Device_Used_for_Shopping]]</f>
        <v>Smartphone</v>
      </c>
      <c r="BC268" t="str">
        <f>tbl_OriginalData[[#This Row],[Payment_Method]]</f>
        <v>Other</v>
      </c>
      <c r="BD268" s="1">
        <f>tbl_OriginalData[[#This Row],[Time_of_Purchase]]</f>
        <v>45379</v>
      </c>
      <c r="BE268" t="str">
        <f>IF(tbl_OriginalData[[#This Row],[Discount_Used]]=TRUE,"Yes","No")</f>
        <v>Yes</v>
      </c>
      <c r="BF268" t="str">
        <f>IF(tbl_OriginalData[[#This Row],[Customer_Loyalty_Program_Member]]=TRUE,"Yes","No")</f>
        <v>No</v>
      </c>
      <c r="BG268" t="str">
        <f>tbl_OriginalData[[#This Row],[Purchase_Intent]]</f>
        <v>Wants-based</v>
      </c>
      <c r="BH268" t="str">
        <f>tbl_OriginalData[[#This Row],[Shipping_Preference]]</f>
        <v>No Preference</v>
      </c>
      <c r="BI268">
        <f>tbl_OriginalData[[#This Row],[Time_to_Decision]]</f>
        <v>7</v>
      </c>
      <c r="BJ268" t="s">
        <v>47</v>
      </c>
      <c r="BK268" t="s">
        <v>48</v>
      </c>
      <c r="BL268" t="s">
        <v>2524</v>
      </c>
    </row>
    <row r="269" spans="1:64">
      <c r="A269" t="s">
        <v>725</v>
      </c>
      <c r="B269">
        <v>23</v>
      </c>
      <c r="C269" t="s">
        <v>33</v>
      </c>
      <c r="D269" t="s">
        <v>51</v>
      </c>
      <c r="E269" t="s">
        <v>92</v>
      </c>
      <c r="F269" t="s">
        <v>52</v>
      </c>
      <c r="G269" t="s">
        <v>51</v>
      </c>
      <c r="H269" t="s">
        <v>726</v>
      </c>
      <c r="I269" t="s">
        <v>54</v>
      </c>
      <c r="J269">
        <v>339.12</v>
      </c>
      <c r="K269">
        <v>2</v>
      </c>
      <c r="L269" t="s">
        <v>55</v>
      </c>
      <c r="M269">
        <v>4</v>
      </c>
      <c r="N269">
        <v>4</v>
      </c>
      <c r="O269">
        <v>0</v>
      </c>
      <c r="P269" t="s">
        <v>56</v>
      </c>
      <c r="Q269" t="s">
        <v>57</v>
      </c>
      <c r="R269">
        <v>0</v>
      </c>
      <c r="S269">
        <v>5</v>
      </c>
      <c r="T269" t="s">
        <v>69</v>
      </c>
      <c r="U269" t="s">
        <v>70</v>
      </c>
      <c r="V269" t="s">
        <v>58</v>
      </c>
      <c r="W269" s="1">
        <v>45299</v>
      </c>
      <c r="X269" t="b">
        <v>0</v>
      </c>
      <c r="Y269" t="b">
        <v>0</v>
      </c>
      <c r="Z269" t="s">
        <v>72</v>
      </c>
      <c r="AA269" t="s">
        <v>45</v>
      </c>
      <c r="AB269">
        <v>1</v>
      </c>
      <c r="AF269" t="str">
        <f>tbl_OriginalData[[#This Row],[Customer_ID]]</f>
        <v>94-212-7169</v>
      </c>
      <c r="AG269">
        <f>tbl_OriginalData[[#This Row],[Age]]</f>
        <v>23</v>
      </c>
      <c r="AH269" t="str" cm="1">
        <f t="array" ref="AH26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69" t="str">
        <f>tbl_OriginalData[[#This Row],[Gender]]</f>
        <v>Female</v>
      </c>
      <c r="AJ269" t="str">
        <f>tbl_OriginalData[[#This Row],[Income_Level]]</f>
        <v>High</v>
      </c>
      <c r="AK269" t="str">
        <f>tbl_OriginalData[[#This Row],[Marital_Status]]</f>
        <v>Divorced</v>
      </c>
      <c r="AL269" t="str">
        <f>tbl_OriginalData[[#This Row],[Education_Level]]</f>
        <v>High School</v>
      </c>
      <c r="AM269" t="str">
        <f>tbl_OriginalData[[#This Row],[Occupation]]</f>
        <v>High</v>
      </c>
      <c r="AN269" t="s">
        <v>726</v>
      </c>
      <c r="AO269" t="s">
        <v>727</v>
      </c>
      <c r="AP269" t="str">
        <f>tbl_OriginalData[[#This Row],[Purchase_Category]]</f>
        <v>Food &amp; Beverages</v>
      </c>
      <c r="AQ269" s="4">
        <f>tbl_OriginalData[[#This Row],[Purchase_Amount]]</f>
        <v>339.12</v>
      </c>
      <c r="AR269">
        <f>tbl_OriginalData[[#This Row],[Frequency_of_Purchase]]</f>
        <v>2</v>
      </c>
      <c r="AS269" t="str">
        <f>tbl_OriginalData[[#This Row],[Purchase_Channel]]</f>
        <v>In-Store</v>
      </c>
      <c r="AT269">
        <f>tbl_OriginalData[[#This Row],[Brand_Loyalty]]</f>
        <v>4</v>
      </c>
      <c r="AU269">
        <f>tbl_OriginalData[[#This Row],[Product_Rating]]</f>
        <v>4</v>
      </c>
      <c r="AV269">
        <f>tbl_OriginalData[[#This Row],[Time_Spent_on_Product_Research(hours)]]*60</f>
        <v>0</v>
      </c>
      <c r="AW269" t="str">
        <f>tbl_OriginalData[[#This Row],[Social_Media_Influence]]</f>
        <v>Medium</v>
      </c>
      <c r="AX269" t="str">
        <f>tbl_OriginalData[[#This Row],[Discount_Sensitivity]]</f>
        <v>Not Sensitive</v>
      </c>
      <c r="AY269" s="3">
        <f>tbl_OriginalData[[#This Row],[Return_Rate]]/tbl_OriginalData[[#This Row],[Frequency_of_Purchase]]</f>
        <v>0</v>
      </c>
      <c r="AZ269">
        <f>tbl_OriginalData[[#This Row],[Customer_Satisfaction]]</f>
        <v>5</v>
      </c>
      <c r="BA269" t="str">
        <f>tbl_OriginalData[[#This Row],[Engagement_with_Ads]]</f>
        <v>Low</v>
      </c>
      <c r="BB269" t="str">
        <f>tbl_OriginalData[[#This Row],[Device_Used_for_Shopping]]</f>
        <v>Smartphone</v>
      </c>
      <c r="BC269" t="str">
        <f>tbl_OriginalData[[#This Row],[Payment_Method]]</f>
        <v>PayPal</v>
      </c>
      <c r="BD269" s="1">
        <f>tbl_OriginalData[[#This Row],[Time_of_Purchase]]</f>
        <v>45299</v>
      </c>
      <c r="BE269" t="str">
        <f>IF(tbl_OriginalData[[#This Row],[Discount_Used]]=TRUE,"Yes","No")</f>
        <v>No</v>
      </c>
      <c r="BF269" t="str">
        <f>IF(tbl_OriginalData[[#This Row],[Customer_Loyalty_Program_Member]]=TRUE,"Yes","No")</f>
        <v>No</v>
      </c>
      <c r="BG269" t="str">
        <f>tbl_OriginalData[[#This Row],[Purchase_Intent]]</f>
        <v>Impulsive</v>
      </c>
      <c r="BH269" t="str">
        <f>tbl_OriginalData[[#This Row],[Shipping_Preference]]</f>
        <v>No Preference</v>
      </c>
      <c r="BI269">
        <f>tbl_OriginalData[[#This Row],[Time_to_Decision]]</f>
        <v>1</v>
      </c>
      <c r="BJ269" t="s">
        <v>86</v>
      </c>
      <c r="BK269" t="s">
        <v>48</v>
      </c>
      <c r="BL269" t="s">
        <v>2524</v>
      </c>
    </row>
    <row r="270" spans="1:64">
      <c r="A270" t="s">
        <v>728</v>
      </c>
      <c r="B270">
        <v>45</v>
      </c>
      <c r="C270" t="s">
        <v>238</v>
      </c>
      <c r="D270" t="s">
        <v>34</v>
      </c>
      <c r="E270" t="s">
        <v>92</v>
      </c>
      <c r="F270" t="s">
        <v>36</v>
      </c>
      <c r="G270" t="s">
        <v>51</v>
      </c>
      <c r="H270" t="s">
        <v>729</v>
      </c>
      <c r="I270" t="s">
        <v>306</v>
      </c>
      <c r="J270">
        <v>323.39999999999998</v>
      </c>
      <c r="K270">
        <v>11</v>
      </c>
      <c r="L270" t="s">
        <v>39</v>
      </c>
      <c r="M270">
        <v>2</v>
      </c>
      <c r="N270">
        <v>3</v>
      </c>
      <c r="O270">
        <v>2</v>
      </c>
      <c r="P270" t="s">
        <v>69</v>
      </c>
      <c r="Q270" t="s">
        <v>101</v>
      </c>
      <c r="R270">
        <v>0</v>
      </c>
      <c r="S270">
        <v>8</v>
      </c>
      <c r="T270" t="s">
        <v>40</v>
      </c>
      <c r="U270" t="s">
        <v>70</v>
      </c>
      <c r="V270" t="s">
        <v>43</v>
      </c>
      <c r="W270" s="1">
        <v>45350</v>
      </c>
      <c r="X270" t="b">
        <v>1</v>
      </c>
      <c r="Y270" t="b">
        <v>1</v>
      </c>
      <c r="Z270" t="s">
        <v>44</v>
      </c>
      <c r="AA270" t="s">
        <v>60</v>
      </c>
      <c r="AB270">
        <v>10</v>
      </c>
      <c r="AF270" t="str">
        <f>tbl_OriginalData[[#This Row],[Customer_ID]]</f>
        <v>17-246-6194</v>
      </c>
      <c r="AG270">
        <f>tbl_OriginalData[[#This Row],[Age]]</f>
        <v>45</v>
      </c>
      <c r="AH270" t="str" cm="1">
        <f t="array" ref="AH27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70" t="str">
        <f>tbl_OriginalData[[#This Row],[Gender]]</f>
        <v>Non-binary</v>
      </c>
      <c r="AJ270" t="str">
        <f>tbl_OriginalData[[#This Row],[Income_Level]]</f>
        <v>Middle</v>
      </c>
      <c r="AK270" t="str">
        <f>tbl_OriginalData[[#This Row],[Marital_Status]]</f>
        <v>Divorced</v>
      </c>
      <c r="AL270" t="str">
        <f>tbl_OriginalData[[#This Row],[Education_Level]]</f>
        <v>Bachelor's</v>
      </c>
      <c r="AM270" t="str">
        <f>tbl_OriginalData[[#This Row],[Occupation]]</f>
        <v>High</v>
      </c>
      <c r="AN270" t="s">
        <v>729</v>
      </c>
      <c r="AO270" t="s">
        <v>61</v>
      </c>
      <c r="AP270" t="str">
        <f>tbl_OriginalData[[#This Row],[Purchase_Category]]</f>
        <v>Jewelry &amp; Accessories</v>
      </c>
      <c r="AQ270" s="4">
        <f>tbl_OriginalData[[#This Row],[Purchase_Amount]]</f>
        <v>323.39999999999998</v>
      </c>
      <c r="AR270">
        <f>tbl_OriginalData[[#This Row],[Frequency_of_Purchase]]</f>
        <v>11</v>
      </c>
      <c r="AS270" t="str">
        <f>tbl_OriginalData[[#This Row],[Purchase_Channel]]</f>
        <v>Mixed</v>
      </c>
      <c r="AT270">
        <f>tbl_OriginalData[[#This Row],[Brand_Loyalty]]</f>
        <v>2</v>
      </c>
      <c r="AU270">
        <f>tbl_OriginalData[[#This Row],[Product_Rating]]</f>
        <v>3</v>
      </c>
      <c r="AV270">
        <f>tbl_OriginalData[[#This Row],[Time_Spent_on_Product_Research(hours)]]*60</f>
        <v>120</v>
      </c>
      <c r="AW270" t="str">
        <f>tbl_OriginalData[[#This Row],[Social_Media_Influence]]</f>
        <v>Low</v>
      </c>
      <c r="AX270" t="str">
        <f>tbl_OriginalData[[#This Row],[Discount_Sensitivity]]</f>
        <v>Very Sensitive</v>
      </c>
      <c r="AY270" s="3">
        <f>tbl_OriginalData[[#This Row],[Return_Rate]]/tbl_OriginalData[[#This Row],[Frequency_of_Purchase]]</f>
        <v>0</v>
      </c>
      <c r="AZ270">
        <f>tbl_OriginalData[[#This Row],[Customer_Satisfaction]]</f>
        <v>8</v>
      </c>
      <c r="BA270" t="str">
        <f>tbl_OriginalData[[#This Row],[Engagement_with_Ads]]</f>
        <v>None</v>
      </c>
      <c r="BB270" t="str">
        <f>tbl_OriginalData[[#This Row],[Device_Used_for_Shopping]]</f>
        <v>Smartphone</v>
      </c>
      <c r="BC270" t="str">
        <f>tbl_OriginalData[[#This Row],[Payment_Method]]</f>
        <v>Credit Card</v>
      </c>
      <c r="BD270" s="1">
        <f>tbl_OriginalData[[#This Row],[Time_of_Purchase]]</f>
        <v>45350</v>
      </c>
      <c r="BE270" t="str">
        <f>IF(tbl_OriginalData[[#This Row],[Discount_Used]]=TRUE,"Yes","No")</f>
        <v>Yes</v>
      </c>
      <c r="BF270" t="str">
        <f>IF(tbl_OriginalData[[#This Row],[Customer_Loyalty_Program_Member]]=TRUE,"Yes","No")</f>
        <v>Yes</v>
      </c>
      <c r="BG270" t="str">
        <f>tbl_OriginalData[[#This Row],[Purchase_Intent]]</f>
        <v>Need-based</v>
      </c>
      <c r="BH270" t="str">
        <f>tbl_OriginalData[[#This Row],[Shipping_Preference]]</f>
        <v>Standard</v>
      </c>
      <c r="BI270">
        <f>tbl_OriginalData[[#This Row],[Time_to_Decision]]</f>
        <v>10</v>
      </c>
      <c r="BJ270" t="s">
        <v>158</v>
      </c>
      <c r="BK270" t="s">
        <v>48</v>
      </c>
      <c r="BL270" t="s">
        <v>2524</v>
      </c>
    </row>
    <row r="271" spans="1:64">
      <c r="A271" t="s">
        <v>730</v>
      </c>
      <c r="B271">
        <v>24</v>
      </c>
      <c r="C271" t="s">
        <v>188</v>
      </c>
      <c r="D271" t="s">
        <v>34</v>
      </c>
      <c r="E271" t="s">
        <v>35</v>
      </c>
      <c r="F271" t="s">
        <v>52</v>
      </c>
      <c r="G271" t="s">
        <v>34</v>
      </c>
      <c r="H271" t="s">
        <v>731</v>
      </c>
      <c r="I271" t="s">
        <v>229</v>
      </c>
      <c r="J271">
        <v>472.61</v>
      </c>
      <c r="K271">
        <v>9</v>
      </c>
      <c r="L271" t="s">
        <v>55</v>
      </c>
      <c r="M271">
        <v>5</v>
      </c>
      <c r="N271">
        <v>5</v>
      </c>
      <c r="O271">
        <v>2</v>
      </c>
      <c r="P271" t="s">
        <v>40</v>
      </c>
      <c r="Q271" t="s">
        <v>101</v>
      </c>
      <c r="R271">
        <v>1</v>
      </c>
      <c r="S271">
        <v>4</v>
      </c>
      <c r="T271" t="s">
        <v>40</v>
      </c>
      <c r="U271" t="s">
        <v>70</v>
      </c>
      <c r="V271" t="s">
        <v>58</v>
      </c>
      <c r="W271" s="1">
        <v>45550</v>
      </c>
      <c r="X271" t="b">
        <v>1</v>
      </c>
      <c r="Y271" t="b">
        <v>1</v>
      </c>
      <c r="Z271" t="s">
        <v>72</v>
      </c>
      <c r="AA271" t="s">
        <v>77</v>
      </c>
      <c r="AB271">
        <v>5</v>
      </c>
      <c r="AF271" t="str">
        <f>tbl_OriginalData[[#This Row],[Customer_ID]]</f>
        <v>26-672-1285</v>
      </c>
      <c r="AG271">
        <f>tbl_OriginalData[[#This Row],[Age]]</f>
        <v>24</v>
      </c>
      <c r="AH271" t="str" cm="1">
        <f t="array" ref="AH27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71" t="str">
        <f>tbl_OriginalData[[#This Row],[Gender]]</f>
        <v>Genderfluid</v>
      </c>
      <c r="AJ271" t="str">
        <f>tbl_OriginalData[[#This Row],[Income_Level]]</f>
        <v>Middle</v>
      </c>
      <c r="AK271" t="str">
        <f>tbl_OriginalData[[#This Row],[Marital_Status]]</f>
        <v>Married</v>
      </c>
      <c r="AL271" t="str">
        <f>tbl_OriginalData[[#This Row],[Education_Level]]</f>
        <v>High School</v>
      </c>
      <c r="AM271" t="str">
        <f>tbl_OriginalData[[#This Row],[Occupation]]</f>
        <v>Middle</v>
      </c>
      <c r="AN271" t="s">
        <v>731</v>
      </c>
      <c r="AO271" t="s">
        <v>408</v>
      </c>
      <c r="AP271" t="str">
        <f>tbl_OriginalData[[#This Row],[Purchase_Category]]</f>
        <v>Clothing</v>
      </c>
      <c r="AQ271" s="4">
        <f>tbl_OriginalData[[#This Row],[Purchase_Amount]]</f>
        <v>472.61</v>
      </c>
      <c r="AR271">
        <f>tbl_OriginalData[[#This Row],[Frequency_of_Purchase]]</f>
        <v>9</v>
      </c>
      <c r="AS271" t="str">
        <f>tbl_OriginalData[[#This Row],[Purchase_Channel]]</f>
        <v>In-Store</v>
      </c>
      <c r="AT271">
        <f>tbl_OriginalData[[#This Row],[Brand_Loyalty]]</f>
        <v>5</v>
      </c>
      <c r="AU271">
        <f>tbl_OriginalData[[#This Row],[Product_Rating]]</f>
        <v>5</v>
      </c>
      <c r="AV271">
        <f>tbl_OriginalData[[#This Row],[Time_Spent_on_Product_Research(hours)]]*60</f>
        <v>120</v>
      </c>
      <c r="AW271" t="str">
        <f>tbl_OriginalData[[#This Row],[Social_Media_Influence]]</f>
        <v>None</v>
      </c>
      <c r="AX271" t="str">
        <f>tbl_OriginalData[[#This Row],[Discount_Sensitivity]]</f>
        <v>Very Sensitive</v>
      </c>
      <c r="AY271" s="3">
        <f>tbl_OriginalData[[#This Row],[Return_Rate]]/tbl_OriginalData[[#This Row],[Frequency_of_Purchase]]</f>
        <v>0.1111111111111111</v>
      </c>
      <c r="AZ271">
        <f>tbl_OriginalData[[#This Row],[Customer_Satisfaction]]</f>
        <v>4</v>
      </c>
      <c r="BA271" t="str">
        <f>tbl_OriginalData[[#This Row],[Engagement_with_Ads]]</f>
        <v>None</v>
      </c>
      <c r="BB271" t="str">
        <f>tbl_OriginalData[[#This Row],[Device_Used_for_Shopping]]</f>
        <v>Smartphone</v>
      </c>
      <c r="BC271" t="str">
        <f>tbl_OriginalData[[#This Row],[Payment_Method]]</f>
        <v>PayPal</v>
      </c>
      <c r="BD271" s="1">
        <f>tbl_OriginalData[[#This Row],[Time_of_Purchase]]</f>
        <v>45550</v>
      </c>
      <c r="BE271" t="str">
        <f>IF(tbl_OriginalData[[#This Row],[Discount_Used]]=TRUE,"Yes","No")</f>
        <v>Yes</v>
      </c>
      <c r="BF271" t="str">
        <f>IF(tbl_OriginalData[[#This Row],[Customer_Loyalty_Program_Member]]=TRUE,"Yes","No")</f>
        <v>Yes</v>
      </c>
      <c r="BG271" t="str">
        <f>tbl_OriginalData[[#This Row],[Purchase_Intent]]</f>
        <v>Impulsive</v>
      </c>
      <c r="BH271" t="str">
        <f>tbl_OriginalData[[#This Row],[Shipping_Preference]]</f>
        <v>Express</v>
      </c>
      <c r="BI271">
        <f>tbl_OriginalData[[#This Row],[Time_to_Decision]]</f>
        <v>5</v>
      </c>
      <c r="BJ271" t="s">
        <v>172</v>
      </c>
      <c r="BK271" t="s">
        <v>115</v>
      </c>
      <c r="BL271" t="s">
        <v>2523</v>
      </c>
    </row>
    <row r="272" spans="1:64">
      <c r="A272" t="s">
        <v>732</v>
      </c>
      <c r="B272">
        <v>20</v>
      </c>
      <c r="C272" t="s">
        <v>33</v>
      </c>
      <c r="D272" t="s">
        <v>34</v>
      </c>
      <c r="E272" t="s">
        <v>82</v>
      </c>
      <c r="F272" t="s">
        <v>52</v>
      </c>
      <c r="G272" t="s">
        <v>34</v>
      </c>
      <c r="H272" t="s">
        <v>733</v>
      </c>
      <c r="I272" t="s">
        <v>84</v>
      </c>
      <c r="J272">
        <v>68.02</v>
      </c>
      <c r="K272">
        <v>10</v>
      </c>
      <c r="L272" t="s">
        <v>94</v>
      </c>
      <c r="M272">
        <v>3</v>
      </c>
      <c r="N272">
        <v>2</v>
      </c>
      <c r="O272">
        <v>1</v>
      </c>
      <c r="P272" t="s">
        <v>40</v>
      </c>
      <c r="Q272" t="s">
        <v>101</v>
      </c>
      <c r="R272">
        <v>1</v>
      </c>
      <c r="S272">
        <v>6</v>
      </c>
      <c r="T272" t="s">
        <v>40</v>
      </c>
      <c r="U272" t="s">
        <v>42</v>
      </c>
      <c r="V272" t="s">
        <v>43</v>
      </c>
      <c r="W272" s="1">
        <v>45597</v>
      </c>
      <c r="X272" t="b">
        <v>1</v>
      </c>
      <c r="Y272" t="b">
        <v>1</v>
      </c>
      <c r="Z272" t="s">
        <v>44</v>
      </c>
      <c r="AA272" t="s">
        <v>77</v>
      </c>
      <c r="AB272">
        <v>6</v>
      </c>
      <c r="AF272" t="str">
        <f>tbl_OriginalData[[#This Row],[Customer_ID]]</f>
        <v>00-265-0556</v>
      </c>
      <c r="AG272">
        <f>tbl_OriginalData[[#This Row],[Age]]</f>
        <v>20</v>
      </c>
      <c r="AH272" t="str" cm="1">
        <f t="array" ref="AH27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72" t="str">
        <f>tbl_OriginalData[[#This Row],[Gender]]</f>
        <v>Female</v>
      </c>
      <c r="AJ272" t="str">
        <f>tbl_OriginalData[[#This Row],[Income_Level]]</f>
        <v>Middle</v>
      </c>
      <c r="AK272" t="str">
        <f>tbl_OriginalData[[#This Row],[Marital_Status]]</f>
        <v>Widowed</v>
      </c>
      <c r="AL272" t="str">
        <f>tbl_OriginalData[[#This Row],[Education_Level]]</f>
        <v>High School</v>
      </c>
      <c r="AM272" t="str">
        <f>tbl_OriginalData[[#This Row],[Occupation]]</f>
        <v>Middle</v>
      </c>
      <c r="AN272" t="s">
        <v>733</v>
      </c>
      <c r="AO272" t="s">
        <v>734</v>
      </c>
      <c r="AP272" t="str">
        <f>tbl_OriginalData[[#This Row],[Purchase_Category]]</f>
        <v>Furniture</v>
      </c>
      <c r="AQ272" s="4">
        <f>tbl_OriginalData[[#This Row],[Purchase_Amount]]</f>
        <v>68.02</v>
      </c>
      <c r="AR272">
        <f>tbl_OriginalData[[#This Row],[Frequency_of_Purchase]]</f>
        <v>10</v>
      </c>
      <c r="AS272" t="str">
        <f>tbl_OriginalData[[#This Row],[Purchase_Channel]]</f>
        <v>Online</v>
      </c>
      <c r="AT272">
        <f>tbl_OriginalData[[#This Row],[Brand_Loyalty]]</f>
        <v>3</v>
      </c>
      <c r="AU272">
        <f>tbl_OriginalData[[#This Row],[Product_Rating]]</f>
        <v>2</v>
      </c>
      <c r="AV272">
        <f>tbl_OriginalData[[#This Row],[Time_Spent_on_Product_Research(hours)]]*60</f>
        <v>60</v>
      </c>
      <c r="AW272" t="str">
        <f>tbl_OriginalData[[#This Row],[Social_Media_Influence]]</f>
        <v>None</v>
      </c>
      <c r="AX272" t="str">
        <f>tbl_OriginalData[[#This Row],[Discount_Sensitivity]]</f>
        <v>Very Sensitive</v>
      </c>
      <c r="AY272" s="3">
        <f>tbl_OriginalData[[#This Row],[Return_Rate]]/tbl_OriginalData[[#This Row],[Frequency_of_Purchase]]</f>
        <v>0.1</v>
      </c>
      <c r="AZ272">
        <f>tbl_OriginalData[[#This Row],[Customer_Satisfaction]]</f>
        <v>6</v>
      </c>
      <c r="BA272" t="str">
        <f>tbl_OriginalData[[#This Row],[Engagement_with_Ads]]</f>
        <v>None</v>
      </c>
      <c r="BB272" t="str">
        <f>tbl_OriginalData[[#This Row],[Device_Used_for_Shopping]]</f>
        <v>Tablet</v>
      </c>
      <c r="BC272" t="str">
        <f>tbl_OriginalData[[#This Row],[Payment_Method]]</f>
        <v>Credit Card</v>
      </c>
      <c r="BD272" s="1">
        <f>tbl_OriginalData[[#This Row],[Time_of_Purchase]]</f>
        <v>45597</v>
      </c>
      <c r="BE272" t="str">
        <f>IF(tbl_OriginalData[[#This Row],[Discount_Used]]=TRUE,"Yes","No")</f>
        <v>Yes</v>
      </c>
      <c r="BF272" t="str">
        <f>IF(tbl_OriginalData[[#This Row],[Customer_Loyalty_Program_Member]]=TRUE,"Yes","No")</f>
        <v>Yes</v>
      </c>
      <c r="BG272" t="str">
        <f>tbl_OriginalData[[#This Row],[Purchase_Intent]]</f>
        <v>Need-based</v>
      </c>
      <c r="BH272" t="str">
        <f>tbl_OriginalData[[#This Row],[Shipping_Preference]]</f>
        <v>Express</v>
      </c>
      <c r="BI272">
        <f>tbl_OriginalData[[#This Row],[Time_to_Decision]]</f>
        <v>6</v>
      </c>
      <c r="BJ272" t="s">
        <v>177</v>
      </c>
      <c r="BK272" t="s">
        <v>80</v>
      </c>
      <c r="BL272" t="s">
        <v>2524</v>
      </c>
    </row>
    <row r="273" spans="1:64">
      <c r="A273" t="s">
        <v>735</v>
      </c>
      <c r="B273">
        <v>27</v>
      </c>
      <c r="C273" t="s">
        <v>50</v>
      </c>
      <c r="D273" t="s">
        <v>51</v>
      </c>
      <c r="E273" t="s">
        <v>65</v>
      </c>
      <c r="F273" t="s">
        <v>66</v>
      </c>
      <c r="G273" t="s">
        <v>34</v>
      </c>
      <c r="H273" t="s">
        <v>736</v>
      </c>
      <c r="I273" t="s">
        <v>156</v>
      </c>
      <c r="J273">
        <v>199.44</v>
      </c>
      <c r="K273">
        <v>7</v>
      </c>
      <c r="L273" t="s">
        <v>94</v>
      </c>
      <c r="M273">
        <v>2</v>
      </c>
      <c r="N273">
        <v>1</v>
      </c>
      <c r="O273">
        <v>2</v>
      </c>
      <c r="P273" t="s">
        <v>40</v>
      </c>
      <c r="Q273" t="s">
        <v>101</v>
      </c>
      <c r="R273">
        <v>0</v>
      </c>
      <c r="S273">
        <v>3</v>
      </c>
      <c r="T273" t="s">
        <v>40</v>
      </c>
      <c r="U273" t="s">
        <v>42</v>
      </c>
      <c r="V273" t="s">
        <v>102</v>
      </c>
      <c r="W273" s="1">
        <v>45487</v>
      </c>
      <c r="X273" t="b">
        <v>0</v>
      </c>
      <c r="Y273" t="b">
        <v>1</v>
      </c>
      <c r="Z273" t="s">
        <v>44</v>
      </c>
      <c r="AA273" t="s">
        <v>60</v>
      </c>
      <c r="AB273">
        <v>1</v>
      </c>
      <c r="AF273" t="str">
        <f>tbl_OriginalData[[#This Row],[Customer_ID]]</f>
        <v>76-397-3294</v>
      </c>
      <c r="AG273">
        <f>tbl_OriginalData[[#This Row],[Age]]</f>
        <v>27</v>
      </c>
      <c r="AH273" t="str" cm="1">
        <f t="array" ref="AH27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73" t="str">
        <f>tbl_OriginalData[[#This Row],[Gender]]</f>
        <v>Male</v>
      </c>
      <c r="AJ273" t="str">
        <f>tbl_OriginalData[[#This Row],[Income_Level]]</f>
        <v>High</v>
      </c>
      <c r="AK273" t="str">
        <f>tbl_OriginalData[[#This Row],[Marital_Status]]</f>
        <v>Single</v>
      </c>
      <c r="AL273" t="str">
        <f>tbl_OriginalData[[#This Row],[Education_Level]]</f>
        <v>Master's</v>
      </c>
      <c r="AM273" t="str">
        <f>tbl_OriginalData[[#This Row],[Occupation]]</f>
        <v>Middle</v>
      </c>
      <c r="AN273" t="s">
        <v>736</v>
      </c>
      <c r="AO273" t="s">
        <v>469</v>
      </c>
      <c r="AP273" t="str">
        <f>tbl_OriginalData[[#This Row],[Purchase_Category]]</f>
        <v>Toys &amp; Games</v>
      </c>
      <c r="AQ273" s="4">
        <f>tbl_OriginalData[[#This Row],[Purchase_Amount]]</f>
        <v>199.44</v>
      </c>
      <c r="AR273">
        <f>tbl_OriginalData[[#This Row],[Frequency_of_Purchase]]</f>
        <v>7</v>
      </c>
      <c r="AS273" t="str">
        <f>tbl_OriginalData[[#This Row],[Purchase_Channel]]</f>
        <v>Online</v>
      </c>
      <c r="AT273">
        <f>tbl_OriginalData[[#This Row],[Brand_Loyalty]]</f>
        <v>2</v>
      </c>
      <c r="AU273">
        <f>tbl_OriginalData[[#This Row],[Product_Rating]]</f>
        <v>1</v>
      </c>
      <c r="AV273">
        <f>tbl_OriginalData[[#This Row],[Time_Spent_on_Product_Research(hours)]]*60</f>
        <v>120</v>
      </c>
      <c r="AW273" t="str">
        <f>tbl_OriginalData[[#This Row],[Social_Media_Influence]]</f>
        <v>None</v>
      </c>
      <c r="AX273" t="str">
        <f>tbl_OriginalData[[#This Row],[Discount_Sensitivity]]</f>
        <v>Very Sensitive</v>
      </c>
      <c r="AY273" s="3">
        <f>tbl_OriginalData[[#This Row],[Return_Rate]]/tbl_OriginalData[[#This Row],[Frequency_of_Purchase]]</f>
        <v>0</v>
      </c>
      <c r="AZ273">
        <f>tbl_OriginalData[[#This Row],[Customer_Satisfaction]]</f>
        <v>3</v>
      </c>
      <c r="BA273" t="str">
        <f>tbl_OriginalData[[#This Row],[Engagement_with_Ads]]</f>
        <v>None</v>
      </c>
      <c r="BB273" t="str">
        <f>tbl_OriginalData[[#This Row],[Device_Used_for_Shopping]]</f>
        <v>Tablet</v>
      </c>
      <c r="BC273" t="str">
        <f>tbl_OriginalData[[#This Row],[Payment_Method]]</f>
        <v>Cash</v>
      </c>
      <c r="BD273" s="1">
        <f>tbl_OriginalData[[#This Row],[Time_of_Purchase]]</f>
        <v>45487</v>
      </c>
      <c r="BE273" t="str">
        <f>IF(tbl_OriginalData[[#This Row],[Discount_Used]]=TRUE,"Yes","No")</f>
        <v>No</v>
      </c>
      <c r="BF273" t="str">
        <f>IF(tbl_OriginalData[[#This Row],[Customer_Loyalty_Program_Member]]=TRUE,"Yes","No")</f>
        <v>Yes</v>
      </c>
      <c r="BG273" t="str">
        <f>tbl_OriginalData[[#This Row],[Purchase_Intent]]</f>
        <v>Need-based</v>
      </c>
      <c r="BH273" t="str">
        <f>tbl_OriginalData[[#This Row],[Shipping_Preference]]</f>
        <v>Standard</v>
      </c>
      <c r="BI273">
        <f>tbl_OriginalData[[#This Row],[Time_to_Decision]]</f>
        <v>1</v>
      </c>
      <c r="BJ273" t="s">
        <v>114</v>
      </c>
      <c r="BK273" t="s">
        <v>115</v>
      </c>
      <c r="BL273" t="s">
        <v>2527</v>
      </c>
    </row>
    <row r="274" spans="1:64">
      <c r="A274" t="s">
        <v>737</v>
      </c>
      <c r="B274">
        <v>47</v>
      </c>
      <c r="C274" t="s">
        <v>50</v>
      </c>
      <c r="D274" t="s">
        <v>51</v>
      </c>
      <c r="E274" t="s">
        <v>92</v>
      </c>
      <c r="F274" t="s">
        <v>52</v>
      </c>
      <c r="G274" t="s">
        <v>34</v>
      </c>
      <c r="H274" t="s">
        <v>738</v>
      </c>
      <c r="I274" t="s">
        <v>108</v>
      </c>
      <c r="J274">
        <v>250.73</v>
      </c>
      <c r="K274">
        <v>4</v>
      </c>
      <c r="L274" t="s">
        <v>94</v>
      </c>
      <c r="M274">
        <v>3</v>
      </c>
      <c r="N274">
        <v>2</v>
      </c>
      <c r="O274">
        <v>1</v>
      </c>
      <c r="P274" t="s">
        <v>69</v>
      </c>
      <c r="Q274" t="s">
        <v>41</v>
      </c>
      <c r="R274">
        <v>1</v>
      </c>
      <c r="S274">
        <v>10</v>
      </c>
      <c r="T274" t="s">
        <v>40</v>
      </c>
      <c r="U274" t="s">
        <v>95</v>
      </c>
      <c r="V274" t="s">
        <v>102</v>
      </c>
      <c r="W274" s="1">
        <v>45406</v>
      </c>
      <c r="X274" t="b">
        <v>0</v>
      </c>
      <c r="Y274" t="b">
        <v>1</v>
      </c>
      <c r="Z274" t="s">
        <v>89</v>
      </c>
      <c r="AA274" t="s">
        <v>45</v>
      </c>
      <c r="AB274">
        <v>10</v>
      </c>
      <c r="AF274" t="str">
        <f>tbl_OriginalData[[#This Row],[Customer_ID]]</f>
        <v>43-612-8079</v>
      </c>
      <c r="AG274">
        <f>tbl_OriginalData[[#This Row],[Age]]</f>
        <v>47</v>
      </c>
      <c r="AH274" t="str" cm="1">
        <f t="array" ref="AH27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74" t="str">
        <f>tbl_OriginalData[[#This Row],[Gender]]</f>
        <v>Male</v>
      </c>
      <c r="AJ274" t="str">
        <f>tbl_OriginalData[[#This Row],[Income_Level]]</f>
        <v>High</v>
      </c>
      <c r="AK274" t="str">
        <f>tbl_OriginalData[[#This Row],[Marital_Status]]</f>
        <v>Divorced</v>
      </c>
      <c r="AL274" t="str">
        <f>tbl_OriginalData[[#This Row],[Education_Level]]</f>
        <v>High School</v>
      </c>
      <c r="AM274" t="str">
        <f>tbl_OriginalData[[#This Row],[Occupation]]</f>
        <v>Middle</v>
      </c>
      <c r="AN274" t="s">
        <v>738</v>
      </c>
      <c r="AO274" t="s">
        <v>336</v>
      </c>
      <c r="AP274" t="str">
        <f>tbl_OriginalData[[#This Row],[Purchase_Category]]</f>
        <v>Sports &amp; Outdoors</v>
      </c>
      <c r="AQ274" s="4">
        <f>tbl_OriginalData[[#This Row],[Purchase_Amount]]</f>
        <v>250.73</v>
      </c>
      <c r="AR274">
        <f>tbl_OriginalData[[#This Row],[Frequency_of_Purchase]]</f>
        <v>4</v>
      </c>
      <c r="AS274" t="str">
        <f>tbl_OriginalData[[#This Row],[Purchase_Channel]]</f>
        <v>Online</v>
      </c>
      <c r="AT274">
        <f>tbl_OriginalData[[#This Row],[Brand_Loyalty]]</f>
        <v>3</v>
      </c>
      <c r="AU274">
        <f>tbl_OriginalData[[#This Row],[Product_Rating]]</f>
        <v>2</v>
      </c>
      <c r="AV274">
        <f>tbl_OriginalData[[#This Row],[Time_Spent_on_Product_Research(hours)]]*60</f>
        <v>60</v>
      </c>
      <c r="AW274" t="str">
        <f>tbl_OriginalData[[#This Row],[Social_Media_Influence]]</f>
        <v>Low</v>
      </c>
      <c r="AX274" t="str">
        <f>tbl_OriginalData[[#This Row],[Discount_Sensitivity]]</f>
        <v>Somewhat Sensitive</v>
      </c>
      <c r="AY274" s="3">
        <f>tbl_OriginalData[[#This Row],[Return_Rate]]/tbl_OriginalData[[#This Row],[Frequency_of_Purchase]]</f>
        <v>0.25</v>
      </c>
      <c r="AZ274">
        <f>tbl_OriginalData[[#This Row],[Customer_Satisfaction]]</f>
        <v>10</v>
      </c>
      <c r="BA274" t="str">
        <f>tbl_OriginalData[[#This Row],[Engagement_with_Ads]]</f>
        <v>None</v>
      </c>
      <c r="BB274" t="str">
        <f>tbl_OriginalData[[#This Row],[Device_Used_for_Shopping]]</f>
        <v>Desktop</v>
      </c>
      <c r="BC274" t="str">
        <f>tbl_OriginalData[[#This Row],[Payment_Method]]</f>
        <v>Cash</v>
      </c>
      <c r="BD274" s="1">
        <f>tbl_OriginalData[[#This Row],[Time_of_Purchase]]</f>
        <v>45406</v>
      </c>
      <c r="BE274" t="str">
        <f>IF(tbl_OriginalData[[#This Row],[Discount_Used]]=TRUE,"Yes","No")</f>
        <v>No</v>
      </c>
      <c r="BF274" t="str">
        <f>IF(tbl_OriginalData[[#This Row],[Customer_Loyalty_Program_Member]]=TRUE,"Yes","No")</f>
        <v>Yes</v>
      </c>
      <c r="BG274" t="str">
        <f>tbl_OriginalData[[#This Row],[Purchase_Intent]]</f>
        <v>Planned</v>
      </c>
      <c r="BH274" t="str">
        <f>tbl_OriginalData[[#This Row],[Shipping_Preference]]</f>
        <v>No Preference</v>
      </c>
      <c r="BI274">
        <f>tbl_OriginalData[[#This Row],[Time_to_Decision]]</f>
        <v>10</v>
      </c>
      <c r="BJ274" t="s">
        <v>62</v>
      </c>
      <c r="BK274" t="s">
        <v>63</v>
      </c>
      <c r="BL274" t="s">
        <v>2525</v>
      </c>
    </row>
    <row r="275" spans="1:64">
      <c r="A275" t="s">
        <v>739</v>
      </c>
      <c r="B275">
        <v>34</v>
      </c>
      <c r="C275" t="s">
        <v>50</v>
      </c>
      <c r="D275" t="s">
        <v>34</v>
      </c>
      <c r="E275" t="s">
        <v>65</v>
      </c>
      <c r="F275" t="s">
        <v>52</v>
      </c>
      <c r="G275" t="s">
        <v>34</v>
      </c>
      <c r="H275" t="s">
        <v>740</v>
      </c>
      <c r="I275" t="s">
        <v>229</v>
      </c>
      <c r="J275">
        <v>372.49</v>
      </c>
      <c r="K275">
        <v>12</v>
      </c>
      <c r="L275" t="s">
        <v>94</v>
      </c>
      <c r="M275">
        <v>4</v>
      </c>
      <c r="N275">
        <v>3</v>
      </c>
      <c r="O275">
        <v>0</v>
      </c>
      <c r="P275" t="s">
        <v>51</v>
      </c>
      <c r="Q275" t="s">
        <v>101</v>
      </c>
      <c r="R275">
        <v>0</v>
      </c>
      <c r="S275">
        <v>5</v>
      </c>
      <c r="T275" t="s">
        <v>56</v>
      </c>
      <c r="U275" t="s">
        <v>95</v>
      </c>
      <c r="V275" t="s">
        <v>71</v>
      </c>
      <c r="W275" s="1">
        <v>45526</v>
      </c>
      <c r="X275" t="b">
        <v>1</v>
      </c>
      <c r="Y275" t="b">
        <v>0</v>
      </c>
      <c r="Z275" t="s">
        <v>89</v>
      </c>
      <c r="AA275" t="s">
        <v>45</v>
      </c>
      <c r="AB275">
        <v>7</v>
      </c>
      <c r="AF275" t="str">
        <f>tbl_OriginalData[[#This Row],[Customer_ID]]</f>
        <v>17-213-2834</v>
      </c>
      <c r="AG275">
        <f>tbl_OriginalData[[#This Row],[Age]]</f>
        <v>34</v>
      </c>
      <c r="AH275" t="str" cm="1">
        <f t="array" ref="AH27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75" t="str">
        <f>tbl_OriginalData[[#This Row],[Gender]]</f>
        <v>Male</v>
      </c>
      <c r="AJ275" t="str">
        <f>tbl_OriginalData[[#This Row],[Income_Level]]</f>
        <v>Middle</v>
      </c>
      <c r="AK275" t="str">
        <f>tbl_OriginalData[[#This Row],[Marital_Status]]</f>
        <v>Single</v>
      </c>
      <c r="AL275" t="str">
        <f>tbl_OriginalData[[#This Row],[Education_Level]]</f>
        <v>High School</v>
      </c>
      <c r="AM275" t="str">
        <f>tbl_OriginalData[[#This Row],[Occupation]]</f>
        <v>Middle</v>
      </c>
      <c r="AN275" t="s">
        <v>740</v>
      </c>
      <c r="AO275" t="s">
        <v>128</v>
      </c>
      <c r="AP275" t="str">
        <f>tbl_OriginalData[[#This Row],[Purchase_Category]]</f>
        <v>Clothing</v>
      </c>
      <c r="AQ275" s="4">
        <f>tbl_OriginalData[[#This Row],[Purchase_Amount]]</f>
        <v>372.49</v>
      </c>
      <c r="AR275">
        <f>tbl_OriginalData[[#This Row],[Frequency_of_Purchase]]</f>
        <v>12</v>
      </c>
      <c r="AS275" t="str">
        <f>tbl_OriginalData[[#This Row],[Purchase_Channel]]</f>
        <v>Online</v>
      </c>
      <c r="AT275">
        <f>tbl_OriginalData[[#This Row],[Brand_Loyalty]]</f>
        <v>4</v>
      </c>
      <c r="AU275">
        <f>tbl_OriginalData[[#This Row],[Product_Rating]]</f>
        <v>3</v>
      </c>
      <c r="AV275">
        <f>tbl_OriginalData[[#This Row],[Time_Spent_on_Product_Research(hours)]]*60</f>
        <v>0</v>
      </c>
      <c r="AW275" t="str">
        <f>tbl_OriginalData[[#This Row],[Social_Media_Influence]]</f>
        <v>High</v>
      </c>
      <c r="AX275" t="str">
        <f>tbl_OriginalData[[#This Row],[Discount_Sensitivity]]</f>
        <v>Very Sensitive</v>
      </c>
      <c r="AY275" s="3">
        <f>tbl_OriginalData[[#This Row],[Return_Rate]]/tbl_OriginalData[[#This Row],[Frequency_of_Purchase]]</f>
        <v>0</v>
      </c>
      <c r="AZ275">
        <f>tbl_OriginalData[[#This Row],[Customer_Satisfaction]]</f>
        <v>5</v>
      </c>
      <c r="BA275" t="str">
        <f>tbl_OriginalData[[#This Row],[Engagement_with_Ads]]</f>
        <v>Medium</v>
      </c>
      <c r="BB275" t="str">
        <f>tbl_OriginalData[[#This Row],[Device_Used_for_Shopping]]</f>
        <v>Desktop</v>
      </c>
      <c r="BC275" t="str">
        <f>tbl_OriginalData[[#This Row],[Payment_Method]]</f>
        <v>Debit Card</v>
      </c>
      <c r="BD275" s="1">
        <f>tbl_OriginalData[[#This Row],[Time_of_Purchase]]</f>
        <v>45526</v>
      </c>
      <c r="BE275" t="str">
        <f>IF(tbl_OriginalData[[#This Row],[Discount_Used]]=TRUE,"Yes","No")</f>
        <v>Yes</v>
      </c>
      <c r="BF275" t="str">
        <f>IF(tbl_OriginalData[[#This Row],[Customer_Loyalty_Program_Member]]=TRUE,"Yes","No")</f>
        <v>No</v>
      </c>
      <c r="BG275" t="str">
        <f>tbl_OriginalData[[#This Row],[Purchase_Intent]]</f>
        <v>Planned</v>
      </c>
      <c r="BH275" t="str">
        <f>tbl_OriginalData[[#This Row],[Shipping_Preference]]</f>
        <v>No Preference</v>
      </c>
      <c r="BI275">
        <f>tbl_OriginalData[[#This Row],[Time_to_Decision]]</f>
        <v>7</v>
      </c>
      <c r="BJ275" t="s">
        <v>124</v>
      </c>
      <c r="BK275" t="s">
        <v>115</v>
      </c>
      <c r="BL275" t="s">
        <v>2523</v>
      </c>
    </row>
    <row r="276" spans="1:64">
      <c r="A276" t="s">
        <v>741</v>
      </c>
      <c r="B276">
        <v>41</v>
      </c>
      <c r="C276" t="s">
        <v>50</v>
      </c>
      <c r="D276" t="s">
        <v>51</v>
      </c>
      <c r="E276" t="s">
        <v>82</v>
      </c>
      <c r="F276" t="s">
        <v>52</v>
      </c>
      <c r="G276" t="s">
        <v>51</v>
      </c>
      <c r="H276" t="s">
        <v>742</v>
      </c>
      <c r="I276" t="s">
        <v>98</v>
      </c>
      <c r="J276">
        <v>186.85</v>
      </c>
      <c r="K276">
        <v>2</v>
      </c>
      <c r="L276" t="s">
        <v>94</v>
      </c>
      <c r="M276">
        <v>3</v>
      </c>
      <c r="N276">
        <v>1</v>
      </c>
      <c r="O276">
        <v>2</v>
      </c>
      <c r="P276" t="s">
        <v>51</v>
      </c>
      <c r="Q276" t="s">
        <v>57</v>
      </c>
      <c r="R276">
        <v>2</v>
      </c>
      <c r="S276">
        <v>8</v>
      </c>
      <c r="T276" t="s">
        <v>69</v>
      </c>
      <c r="U276" t="s">
        <v>70</v>
      </c>
      <c r="V276" t="s">
        <v>76</v>
      </c>
      <c r="W276" s="1">
        <v>45342</v>
      </c>
      <c r="X276" t="b">
        <v>1</v>
      </c>
      <c r="Y276" t="b">
        <v>0</v>
      </c>
      <c r="Z276" t="s">
        <v>72</v>
      </c>
      <c r="AA276" t="s">
        <v>77</v>
      </c>
      <c r="AB276">
        <v>12</v>
      </c>
      <c r="AF276" t="str">
        <f>tbl_OriginalData[[#This Row],[Customer_ID]]</f>
        <v>36-214-1586</v>
      </c>
      <c r="AG276">
        <f>tbl_OriginalData[[#This Row],[Age]]</f>
        <v>41</v>
      </c>
      <c r="AH276" t="str" cm="1">
        <f t="array" ref="AH27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76" t="str">
        <f>tbl_OriginalData[[#This Row],[Gender]]</f>
        <v>Male</v>
      </c>
      <c r="AJ276" t="str">
        <f>tbl_OriginalData[[#This Row],[Income_Level]]</f>
        <v>High</v>
      </c>
      <c r="AK276" t="str">
        <f>tbl_OriginalData[[#This Row],[Marital_Status]]</f>
        <v>Widowed</v>
      </c>
      <c r="AL276" t="str">
        <f>tbl_OriginalData[[#This Row],[Education_Level]]</f>
        <v>High School</v>
      </c>
      <c r="AM276" t="str">
        <f>tbl_OriginalData[[#This Row],[Occupation]]</f>
        <v>High</v>
      </c>
      <c r="AN276" t="s">
        <v>742</v>
      </c>
      <c r="AO276" t="s">
        <v>186</v>
      </c>
      <c r="AP276" t="str">
        <f>tbl_OriginalData[[#This Row],[Purchase_Category]]</f>
        <v>Books</v>
      </c>
      <c r="AQ276" s="4">
        <f>tbl_OriginalData[[#This Row],[Purchase_Amount]]</f>
        <v>186.85</v>
      </c>
      <c r="AR276">
        <f>tbl_OriginalData[[#This Row],[Frequency_of_Purchase]]</f>
        <v>2</v>
      </c>
      <c r="AS276" t="str">
        <f>tbl_OriginalData[[#This Row],[Purchase_Channel]]</f>
        <v>Online</v>
      </c>
      <c r="AT276">
        <f>tbl_OriginalData[[#This Row],[Brand_Loyalty]]</f>
        <v>3</v>
      </c>
      <c r="AU276">
        <f>tbl_OriginalData[[#This Row],[Product_Rating]]</f>
        <v>1</v>
      </c>
      <c r="AV276">
        <f>tbl_OriginalData[[#This Row],[Time_Spent_on_Product_Research(hours)]]*60</f>
        <v>120</v>
      </c>
      <c r="AW276" t="str">
        <f>tbl_OriginalData[[#This Row],[Social_Media_Influence]]</f>
        <v>High</v>
      </c>
      <c r="AX276" t="str">
        <f>tbl_OriginalData[[#This Row],[Discount_Sensitivity]]</f>
        <v>Not Sensitive</v>
      </c>
      <c r="AY276" s="3">
        <f>tbl_OriginalData[[#This Row],[Return_Rate]]/tbl_OriginalData[[#This Row],[Frequency_of_Purchase]]</f>
        <v>1</v>
      </c>
      <c r="AZ276">
        <f>tbl_OriginalData[[#This Row],[Customer_Satisfaction]]</f>
        <v>8</v>
      </c>
      <c r="BA276" t="str">
        <f>tbl_OriginalData[[#This Row],[Engagement_with_Ads]]</f>
        <v>Low</v>
      </c>
      <c r="BB276" t="str">
        <f>tbl_OriginalData[[#This Row],[Device_Used_for_Shopping]]</f>
        <v>Smartphone</v>
      </c>
      <c r="BC276" t="str">
        <f>tbl_OriginalData[[#This Row],[Payment_Method]]</f>
        <v>Other</v>
      </c>
      <c r="BD276" s="1">
        <f>tbl_OriginalData[[#This Row],[Time_of_Purchase]]</f>
        <v>45342</v>
      </c>
      <c r="BE276" t="str">
        <f>IF(tbl_OriginalData[[#This Row],[Discount_Used]]=TRUE,"Yes","No")</f>
        <v>Yes</v>
      </c>
      <c r="BF276" t="str">
        <f>IF(tbl_OriginalData[[#This Row],[Customer_Loyalty_Program_Member]]=TRUE,"Yes","No")</f>
        <v>No</v>
      </c>
      <c r="BG276" t="str">
        <f>tbl_OriginalData[[#This Row],[Purchase_Intent]]</f>
        <v>Impulsive</v>
      </c>
      <c r="BH276" t="str">
        <f>tbl_OriginalData[[#This Row],[Shipping_Preference]]</f>
        <v>Express</v>
      </c>
      <c r="BI276">
        <f>tbl_OriginalData[[#This Row],[Time_to_Decision]]</f>
        <v>12</v>
      </c>
      <c r="BJ276" t="s">
        <v>158</v>
      </c>
      <c r="BK276" t="s">
        <v>48</v>
      </c>
      <c r="BL276" t="s">
        <v>2523</v>
      </c>
    </row>
    <row r="277" spans="1:64">
      <c r="A277" t="s">
        <v>743</v>
      </c>
      <c r="B277">
        <v>26</v>
      </c>
      <c r="C277" t="s">
        <v>50</v>
      </c>
      <c r="D277" t="s">
        <v>51</v>
      </c>
      <c r="E277" t="s">
        <v>82</v>
      </c>
      <c r="F277" t="s">
        <v>66</v>
      </c>
      <c r="G277" t="s">
        <v>34</v>
      </c>
      <c r="H277" t="s">
        <v>744</v>
      </c>
      <c r="I277" t="s">
        <v>108</v>
      </c>
      <c r="J277">
        <v>73.319999999999993</v>
      </c>
      <c r="K277">
        <v>10</v>
      </c>
      <c r="L277" t="s">
        <v>55</v>
      </c>
      <c r="M277">
        <v>5</v>
      </c>
      <c r="N277">
        <v>1</v>
      </c>
      <c r="O277">
        <v>1</v>
      </c>
      <c r="P277" t="s">
        <v>40</v>
      </c>
      <c r="Q277" t="s">
        <v>57</v>
      </c>
      <c r="R277">
        <v>1</v>
      </c>
      <c r="S277">
        <v>1</v>
      </c>
      <c r="T277" t="s">
        <v>56</v>
      </c>
      <c r="U277" t="s">
        <v>70</v>
      </c>
      <c r="V277" t="s">
        <v>71</v>
      </c>
      <c r="W277" s="1">
        <v>45318</v>
      </c>
      <c r="X277" t="b">
        <v>1</v>
      </c>
      <c r="Y277" t="b">
        <v>0</v>
      </c>
      <c r="Z277" t="s">
        <v>59</v>
      </c>
      <c r="AA277" t="s">
        <v>60</v>
      </c>
      <c r="AB277">
        <v>14</v>
      </c>
      <c r="AF277" t="str">
        <f>tbl_OriginalData[[#This Row],[Customer_ID]]</f>
        <v>32-414-1466</v>
      </c>
      <c r="AG277">
        <f>tbl_OriginalData[[#This Row],[Age]]</f>
        <v>26</v>
      </c>
      <c r="AH277" t="str" cm="1">
        <f t="array" ref="AH27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77" t="str">
        <f>tbl_OriginalData[[#This Row],[Gender]]</f>
        <v>Male</v>
      </c>
      <c r="AJ277" t="str">
        <f>tbl_OriginalData[[#This Row],[Income_Level]]</f>
        <v>High</v>
      </c>
      <c r="AK277" t="str">
        <f>tbl_OriginalData[[#This Row],[Marital_Status]]</f>
        <v>Widowed</v>
      </c>
      <c r="AL277" t="str">
        <f>tbl_OriginalData[[#This Row],[Education_Level]]</f>
        <v>Master's</v>
      </c>
      <c r="AM277" t="str">
        <f>tbl_OriginalData[[#This Row],[Occupation]]</f>
        <v>Middle</v>
      </c>
      <c r="AN277" t="s">
        <v>744</v>
      </c>
      <c r="AO277" t="s">
        <v>103</v>
      </c>
      <c r="AP277" t="str">
        <f>tbl_OriginalData[[#This Row],[Purchase_Category]]</f>
        <v>Sports &amp; Outdoors</v>
      </c>
      <c r="AQ277" s="4">
        <f>tbl_OriginalData[[#This Row],[Purchase_Amount]]</f>
        <v>73.319999999999993</v>
      </c>
      <c r="AR277">
        <f>tbl_OriginalData[[#This Row],[Frequency_of_Purchase]]</f>
        <v>10</v>
      </c>
      <c r="AS277" t="str">
        <f>tbl_OriginalData[[#This Row],[Purchase_Channel]]</f>
        <v>In-Store</v>
      </c>
      <c r="AT277">
        <f>tbl_OriginalData[[#This Row],[Brand_Loyalty]]</f>
        <v>5</v>
      </c>
      <c r="AU277">
        <f>tbl_OriginalData[[#This Row],[Product_Rating]]</f>
        <v>1</v>
      </c>
      <c r="AV277">
        <f>tbl_OriginalData[[#This Row],[Time_Spent_on_Product_Research(hours)]]*60</f>
        <v>60</v>
      </c>
      <c r="AW277" t="str">
        <f>tbl_OriginalData[[#This Row],[Social_Media_Influence]]</f>
        <v>None</v>
      </c>
      <c r="AX277" t="str">
        <f>tbl_OriginalData[[#This Row],[Discount_Sensitivity]]</f>
        <v>Not Sensitive</v>
      </c>
      <c r="AY277" s="3">
        <f>tbl_OriginalData[[#This Row],[Return_Rate]]/tbl_OriginalData[[#This Row],[Frequency_of_Purchase]]</f>
        <v>0.1</v>
      </c>
      <c r="AZ277">
        <f>tbl_OriginalData[[#This Row],[Customer_Satisfaction]]</f>
        <v>1</v>
      </c>
      <c r="BA277" t="str">
        <f>tbl_OriginalData[[#This Row],[Engagement_with_Ads]]</f>
        <v>Medium</v>
      </c>
      <c r="BB277" t="str">
        <f>tbl_OriginalData[[#This Row],[Device_Used_for_Shopping]]</f>
        <v>Smartphone</v>
      </c>
      <c r="BC277" t="str">
        <f>tbl_OriginalData[[#This Row],[Payment_Method]]</f>
        <v>Debit Card</v>
      </c>
      <c r="BD277" s="1">
        <f>tbl_OriginalData[[#This Row],[Time_of_Purchase]]</f>
        <v>45318</v>
      </c>
      <c r="BE277" t="str">
        <f>IF(tbl_OriginalData[[#This Row],[Discount_Used]]=TRUE,"Yes","No")</f>
        <v>Yes</v>
      </c>
      <c r="BF277" t="str">
        <f>IF(tbl_OriginalData[[#This Row],[Customer_Loyalty_Program_Member]]=TRUE,"Yes","No")</f>
        <v>No</v>
      </c>
      <c r="BG277" t="str">
        <f>tbl_OriginalData[[#This Row],[Purchase_Intent]]</f>
        <v>Wants-based</v>
      </c>
      <c r="BH277" t="str">
        <f>tbl_OriginalData[[#This Row],[Shipping_Preference]]</f>
        <v>Standard</v>
      </c>
      <c r="BI277">
        <f>tbl_OriginalData[[#This Row],[Time_to_Decision]]</f>
        <v>14</v>
      </c>
      <c r="BJ277" t="s">
        <v>86</v>
      </c>
      <c r="BK277" t="s">
        <v>48</v>
      </c>
      <c r="BL277" t="s">
        <v>2523</v>
      </c>
    </row>
    <row r="278" spans="1:64">
      <c r="A278" t="s">
        <v>745</v>
      </c>
      <c r="B278">
        <v>49</v>
      </c>
      <c r="C278" t="s">
        <v>50</v>
      </c>
      <c r="D278" t="s">
        <v>34</v>
      </c>
      <c r="E278" t="s">
        <v>82</v>
      </c>
      <c r="F278" t="s">
        <v>36</v>
      </c>
      <c r="G278" t="s">
        <v>34</v>
      </c>
      <c r="H278" t="s">
        <v>746</v>
      </c>
      <c r="I278" t="s">
        <v>229</v>
      </c>
      <c r="J278">
        <v>214.59</v>
      </c>
      <c r="K278">
        <v>6</v>
      </c>
      <c r="L278" t="s">
        <v>94</v>
      </c>
      <c r="M278">
        <v>1</v>
      </c>
      <c r="N278">
        <v>1</v>
      </c>
      <c r="O278">
        <v>0</v>
      </c>
      <c r="P278" t="s">
        <v>40</v>
      </c>
      <c r="Q278" t="s">
        <v>41</v>
      </c>
      <c r="R278">
        <v>1</v>
      </c>
      <c r="S278">
        <v>8</v>
      </c>
      <c r="T278" t="s">
        <v>69</v>
      </c>
      <c r="U278" t="s">
        <v>42</v>
      </c>
      <c r="V278" t="s">
        <v>76</v>
      </c>
      <c r="W278" s="1">
        <v>45331</v>
      </c>
      <c r="X278" t="b">
        <v>1</v>
      </c>
      <c r="Y278" t="b">
        <v>0</v>
      </c>
      <c r="Z278" t="s">
        <v>59</v>
      </c>
      <c r="AA278" t="s">
        <v>60</v>
      </c>
      <c r="AB278">
        <v>9</v>
      </c>
      <c r="AF278" t="str">
        <f>tbl_OriginalData[[#This Row],[Customer_ID]]</f>
        <v>12-699-6543</v>
      </c>
      <c r="AG278">
        <f>tbl_OriginalData[[#This Row],[Age]]</f>
        <v>49</v>
      </c>
      <c r="AH278" t="str" cm="1">
        <f t="array" ref="AH27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78" t="str">
        <f>tbl_OriginalData[[#This Row],[Gender]]</f>
        <v>Male</v>
      </c>
      <c r="AJ278" t="str">
        <f>tbl_OriginalData[[#This Row],[Income_Level]]</f>
        <v>Middle</v>
      </c>
      <c r="AK278" t="str">
        <f>tbl_OriginalData[[#This Row],[Marital_Status]]</f>
        <v>Widowed</v>
      </c>
      <c r="AL278" t="str">
        <f>tbl_OriginalData[[#This Row],[Education_Level]]</f>
        <v>Bachelor's</v>
      </c>
      <c r="AM278" t="str">
        <f>tbl_OriginalData[[#This Row],[Occupation]]</f>
        <v>Middle</v>
      </c>
      <c r="AN278" t="s">
        <v>746</v>
      </c>
      <c r="AO278" t="s">
        <v>161</v>
      </c>
      <c r="AP278" t="str">
        <f>tbl_OriginalData[[#This Row],[Purchase_Category]]</f>
        <v>Clothing</v>
      </c>
      <c r="AQ278" s="4">
        <f>tbl_OriginalData[[#This Row],[Purchase_Amount]]</f>
        <v>214.59</v>
      </c>
      <c r="AR278">
        <f>tbl_OriginalData[[#This Row],[Frequency_of_Purchase]]</f>
        <v>6</v>
      </c>
      <c r="AS278" t="str">
        <f>tbl_OriginalData[[#This Row],[Purchase_Channel]]</f>
        <v>Online</v>
      </c>
      <c r="AT278">
        <f>tbl_OriginalData[[#This Row],[Brand_Loyalty]]</f>
        <v>1</v>
      </c>
      <c r="AU278">
        <f>tbl_OriginalData[[#This Row],[Product_Rating]]</f>
        <v>1</v>
      </c>
      <c r="AV278">
        <f>tbl_OriginalData[[#This Row],[Time_Spent_on_Product_Research(hours)]]*60</f>
        <v>0</v>
      </c>
      <c r="AW278" t="str">
        <f>tbl_OriginalData[[#This Row],[Social_Media_Influence]]</f>
        <v>None</v>
      </c>
      <c r="AX278" t="str">
        <f>tbl_OriginalData[[#This Row],[Discount_Sensitivity]]</f>
        <v>Somewhat Sensitive</v>
      </c>
      <c r="AY278" s="3">
        <f>tbl_OriginalData[[#This Row],[Return_Rate]]/tbl_OriginalData[[#This Row],[Frequency_of_Purchase]]</f>
        <v>0.16666666666666666</v>
      </c>
      <c r="AZ278">
        <f>tbl_OriginalData[[#This Row],[Customer_Satisfaction]]</f>
        <v>8</v>
      </c>
      <c r="BA278" t="str">
        <f>tbl_OriginalData[[#This Row],[Engagement_with_Ads]]</f>
        <v>Low</v>
      </c>
      <c r="BB278" t="str">
        <f>tbl_OriginalData[[#This Row],[Device_Used_for_Shopping]]</f>
        <v>Tablet</v>
      </c>
      <c r="BC278" t="str">
        <f>tbl_OriginalData[[#This Row],[Payment_Method]]</f>
        <v>Other</v>
      </c>
      <c r="BD278" s="1">
        <f>tbl_OriginalData[[#This Row],[Time_of_Purchase]]</f>
        <v>45331</v>
      </c>
      <c r="BE278" t="str">
        <f>IF(tbl_OriginalData[[#This Row],[Discount_Used]]=TRUE,"Yes","No")</f>
        <v>Yes</v>
      </c>
      <c r="BF278" t="str">
        <f>IF(tbl_OriginalData[[#This Row],[Customer_Loyalty_Program_Member]]=TRUE,"Yes","No")</f>
        <v>No</v>
      </c>
      <c r="BG278" t="str">
        <f>tbl_OriginalData[[#This Row],[Purchase_Intent]]</f>
        <v>Wants-based</v>
      </c>
      <c r="BH278" t="str">
        <f>tbl_OriginalData[[#This Row],[Shipping_Preference]]</f>
        <v>Standard</v>
      </c>
      <c r="BI278">
        <f>tbl_OriginalData[[#This Row],[Time_to_Decision]]</f>
        <v>9</v>
      </c>
      <c r="BJ278" t="s">
        <v>158</v>
      </c>
      <c r="BK278" t="s">
        <v>48</v>
      </c>
      <c r="BL278" t="s">
        <v>2527</v>
      </c>
    </row>
    <row r="279" spans="1:64">
      <c r="A279" t="s">
        <v>747</v>
      </c>
      <c r="B279">
        <v>47</v>
      </c>
      <c r="C279" t="s">
        <v>33</v>
      </c>
      <c r="D279" t="s">
        <v>34</v>
      </c>
      <c r="E279" t="s">
        <v>82</v>
      </c>
      <c r="F279" t="s">
        <v>52</v>
      </c>
      <c r="G279" t="s">
        <v>34</v>
      </c>
      <c r="H279" t="s">
        <v>748</v>
      </c>
      <c r="I279" t="s">
        <v>84</v>
      </c>
      <c r="J279">
        <v>467.32</v>
      </c>
      <c r="K279">
        <v>12</v>
      </c>
      <c r="L279" t="s">
        <v>55</v>
      </c>
      <c r="M279">
        <v>4</v>
      </c>
      <c r="N279">
        <v>4</v>
      </c>
      <c r="O279">
        <v>2</v>
      </c>
      <c r="P279" t="s">
        <v>56</v>
      </c>
      <c r="Q279" t="s">
        <v>41</v>
      </c>
      <c r="R279">
        <v>2</v>
      </c>
      <c r="S279">
        <v>4</v>
      </c>
      <c r="T279" t="s">
        <v>69</v>
      </c>
      <c r="U279" t="s">
        <v>70</v>
      </c>
      <c r="V279" t="s">
        <v>58</v>
      </c>
      <c r="W279" s="1">
        <v>45319</v>
      </c>
      <c r="X279" t="b">
        <v>0</v>
      </c>
      <c r="Y279" t="b">
        <v>1</v>
      </c>
      <c r="Z279" t="s">
        <v>44</v>
      </c>
      <c r="AA279" t="s">
        <v>45</v>
      </c>
      <c r="AB279">
        <v>11</v>
      </c>
      <c r="AF279" t="str">
        <f>tbl_OriginalData[[#This Row],[Customer_ID]]</f>
        <v>83-427-3218</v>
      </c>
      <c r="AG279">
        <f>tbl_OriginalData[[#This Row],[Age]]</f>
        <v>47</v>
      </c>
      <c r="AH279" t="str" cm="1">
        <f t="array" ref="AH27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79" t="str">
        <f>tbl_OriginalData[[#This Row],[Gender]]</f>
        <v>Female</v>
      </c>
      <c r="AJ279" t="str">
        <f>tbl_OriginalData[[#This Row],[Income_Level]]</f>
        <v>Middle</v>
      </c>
      <c r="AK279" t="str">
        <f>tbl_OriginalData[[#This Row],[Marital_Status]]</f>
        <v>Widowed</v>
      </c>
      <c r="AL279" t="str">
        <f>tbl_OriginalData[[#This Row],[Education_Level]]</f>
        <v>High School</v>
      </c>
      <c r="AM279" t="str">
        <f>tbl_OriginalData[[#This Row],[Occupation]]</f>
        <v>Middle</v>
      </c>
      <c r="AN279" t="s">
        <v>748</v>
      </c>
      <c r="AO279" t="s">
        <v>749</v>
      </c>
      <c r="AP279" t="str">
        <f>tbl_OriginalData[[#This Row],[Purchase_Category]]</f>
        <v>Furniture</v>
      </c>
      <c r="AQ279" s="4">
        <f>tbl_OriginalData[[#This Row],[Purchase_Amount]]</f>
        <v>467.32</v>
      </c>
      <c r="AR279">
        <f>tbl_OriginalData[[#This Row],[Frequency_of_Purchase]]</f>
        <v>12</v>
      </c>
      <c r="AS279" t="str">
        <f>tbl_OriginalData[[#This Row],[Purchase_Channel]]</f>
        <v>In-Store</v>
      </c>
      <c r="AT279">
        <f>tbl_OriginalData[[#This Row],[Brand_Loyalty]]</f>
        <v>4</v>
      </c>
      <c r="AU279">
        <f>tbl_OriginalData[[#This Row],[Product_Rating]]</f>
        <v>4</v>
      </c>
      <c r="AV279">
        <f>tbl_OriginalData[[#This Row],[Time_Spent_on_Product_Research(hours)]]*60</f>
        <v>120</v>
      </c>
      <c r="AW279" t="str">
        <f>tbl_OriginalData[[#This Row],[Social_Media_Influence]]</f>
        <v>Medium</v>
      </c>
      <c r="AX279" t="str">
        <f>tbl_OriginalData[[#This Row],[Discount_Sensitivity]]</f>
        <v>Somewhat Sensitive</v>
      </c>
      <c r="AY279" s="3">
        <f>tbl_OriginalData[[#This Row],[Return_Rate]]/tbl_OriginalData[[#This Row],[Frequency_of_Purchase]]</f>
        <v>0.16666666666666666</v>
      </c>
      <c r="AZ279">
        <f>tbl_OriginalData[[#This Row],[Customer_Satisfaction]]</f>
        <v>4</v>
      </c>
      <c r="BA279" t="str">
        <f>tbl_OriginalData[[#This Row],[Engagement_with_Ads]]</f>
        <v>Low</v>
      </c>
      <c r="BB279" t="str">
        <f>tbl_OriginalData[[#This Row],[Device_Used_for_Shopping]]</f>
        <v>Smartphone</v>
      </c>
      <c r="BC279" t="str">
        <f>tbl_OriginalData[[#This Row],[Payment_Method]]</f>
        <v>PayPal</v>
      </c>
      <c r="BD279" s="1">
        <f>tbl_OriginalData[[#This Row],[Time_of_Purchase]]</f>
        <v>45319</v>
      </c>
      <c r="BE279" t="str">
        <f>IF(tbl_OriginalData[[#This Row],[Discount_Used]]=TRUE,"Yes","No")</f>
        <v>No</v>
      </c>
      <c r="BF279" t="str">
        <f>IF(tbl_OriginalData[[#This Row],[Customer_Loyalty_Program_Member]]=TRUE,"Yes","No")</f>
        <v>Yes</v>
      </c>
      <c r="BG279" t="str">
        <f>tbl_OriginalData[[#This Row],[Purchase_Intent]]</f>
        <v>Need-based</v>
      </c>
      <c r="BH279" t="str">
        <f>tbl_OriginalData[[#This Row],[Shipping_Preference]]</f>
        <v>No Preference</v>
      </c>
      <c r="BI279">
        <f>tbl_OriginalData[[#This Row],[Time_to_Decision]]</f>
        <v>11</v>
      </c>
      <c r="BJ279" t="s">
        <v>86</v>
      </c>
      <c r="BK279" t="s">
        <v>48</v>
      </c>
      <c r="BL279" t="s">
        <v>2528</v>
      </c>
    </row>
    <row r="280" spans="1:64">
      <c r="A280" t="s">
        <v>750</v>
      </c>
      <c r="B280">
        <v>18</v>
      </c>
      <c r="C280" t="s">
        <v>50</v>
      </c>
      <c r="D280" t="s">
        <v>34</v>
      </c>
      <c r="E280" t="s">
        <v>35</v>
      </c>
      <c r="F280" t="s">
        <v>66</v>
      </c>
      <c r="G280" t="s">
        <v>34</v>
      </c>
      <c r="H280" t="s">
        <v>751</v>
      </c>
      <c r="I280" t="s">
        <v>242</v>
      </c>
      <c r="J280">
        <v>475.65</v>
      </c>
      <c r="K280">
        <v>4</v>
      </c>
      <c r="L280" t="s">
        <v>55</v>
      </c>
      <c r="M280">
        <v>4</v>
      </c>
      <c r="N280">
        <v>5</v>
      </c>
      <c r="O280">
        <v>0</v>
      </c>
      <c r="P280" t="s">
        <v>51</v>
      </c>
      <c r="Q280" t="s">
        <v>41</v>
      </c>
      <c r="R280">
        <v>2</v>
      </c>
      <c r="S280">
        <v>6</v>
      </c>
      <c r="T280" t="s">
        <v>69</v>
      </c>
      <c r="U280" t="s">
        <v>70</v>
      </c>
      <c r="V280" t="s">
        <v>58</v>
      </c>
      <c r="W280" s="1">
        <v>45466</v>
      </c>
      <c r="X280" t="b">
        <v>1</v>
      </c>
      <c r="Y280" t="b">
        <v>1</v>
      </c>
      <c r="Z280" t="s">
        <v>59</v>
      </c>
      <c r="AA280" t="s">
        <v>77</v>
      </c>
      <c r="AB280">
        <v>14</v>
      </c>
      <c r="AF280" t="str">
        <f>tbl_OriginalData[[#This Row],[Customer_ID]]</f>
        <v>61-663-9008</v>
      </c>
      <c r="AG280">
        <f>tbl_OriginalData[[#This Row],[Age]]</f>
        <v>18</v>
      </c>
      <c r="AH280" t="str" cm="1">
        <f t="array" ref="AH28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280" t="str">
        <f>tbl_OriginalData[[#This Row],[Gender]]</f>
        <v>Male</v>
      </c>
      <c r="AJ280" t="str">
        <f>tbl_OriginalData[[#This Row],[Income_Level]]</f>
        <v>Middle</v>
      </c>
      <c r="AK280" t="str">
        <f>tbl_OriginalData[[#This Row],[Marital_Status]]</f>
        <v>Married</v>
      </c>
      <c r="AL280" t="str">
        <f>tbl_OriginalData[[#This Row],[Education_Level]]</f>
        <v>Master's</v>
      </c>
      <c r="AM280" t="str">
        <f>tbl_OriginalData[[#This Row],[Occupation]]</f>
        <v>Middle</v>
      </c>
      <c r="AN280" t="s">
        <v>751</v>
      </c>
      <c r="AO280" t="s">
        <v>61</v>
      </c>
      <c r="AP280" t="str">
        <f>tbl_OriginalData[[#This Row],[Purchase_Category]]</f>
        <v>Travel &amp; Leisure (Flights</v>
      </c>
      <c r="AQ280" s="4">
        <f>tbl_OriginalData[[#This Row],[Purchase_Amount]]</f>
        <v>475.65</v>
      </c>
      <c r="AR280">
        <f>tbl_OriginalData[[#This Row],[Frequency_of_Purchase]]</f>
        <v>4</v>
      </c>
      <c r="AS280" t="str">
        <f>tbl_OriginalData[[#This Row],[Purchase_Channel]]</f>
        <v>In-Store</v>
      </c>
      <c r="AT280">
        <f>tbl_OriginalData[[#This Row],[Brand_Loyalty]]</f>
        <v>4</v>
      </c>
      <c r="AU280">
        <f>tbl_OriginalData[[#This Row],[Product_Rating]]</f>
        <v>5</v>
      </c>
      <c r="AV280">
        <f>tbl_OriginalData[[#This Row],[Time_Spent_on_Product_Research(hours)]]*60</f>
        <v>0</v>
      </c>
      <c r="AW280" t="str">
        <f>tbl_OriginalData[[#This Row],[Social_Media_Influence]]</f>
        <v>High</v>
      </c>
      <c r="AX280" t="str">
        <f>tbl_OriginalData[[#This Row],[Discount_Sensitivity]]</f>
        <v>Somewhat Sensitive</v>
      </c>
      <c r="AY280" s="3">
        <f>tbl_OriginalData[[#This Row],[Return_Rate]]/tbl_OriginalData[[#This Row],[Frequency_of_Purchase]]</f>
        <v>0.5</v>
      </c>
      <c r="AZ280">
        <f>tbl_OriginalData[[#This Row],[Customer_Satisfaction]]</f>
        <v>6</v>
      </c>
      <c r="BA280" t="str">
        <f>tbl_OriginalData[[#This Row],[Engagement_with_Ads]]</f>
        <v>Low</v>
      </c>
      <c r="BB280" t="str">
        <f>tbl_OriginalData[[#This Row],[Device_Used_for_Shopping]]</f>
        <v>Smartphone</v>
      </c>
      <c r="BC280" t="str">
        <f>tbl_OriginalData[[#This Row],[Payment_Method]]</f>
        <v>PayPal</v>
      </c>
      <c r="BD280" s="1">
        <f>tbl_OriginalData[[#This Row],[Time_of_Purchase]]</f>
        <v>45466</v>
      </c>
      <c r="BE280" t="str">
        <f>IF(tbl_OriginalData[[#This Row],[Discount_Used]]=TRUE,"Yes","No")</f>
        <v>Yes</v>
      </c>
      <c r="BF280" t="str">
        <f>IF(tbl_OriginalData[[#This Row],[Customer_Loyalty_Program_Member]]=TRUE,"Yes","No")</f>
        <v>Yes</v>
      </c>
      <c r="BG280" t="str">
        <f>tbl_OriginalData[[#This Row],[Purchase_Intent]]</f>
        <v>Wants-based</v>
      </c>
      <c r="BH280" t="str">
        <f>tbl_OriginalData[[#This Row],[Shipping_Preference]]</f>
        <v>Express</v>
      </c>
      <c r="BI280">
        <f>tbl_OriginalData[[#This Row],[Time_to_Decision]]</f>
        <v>14</v>
      </c>
      <c r="BJ280" t="s">
        <v>104</v>
      </c>
      <c r="BK280" t="s">
        <v>63</v>
      </c>
      <c r="BL280" t="s">
        <v>2524</v>
      </c>
    </row>
    <row r="281" spans="1:64">
      <c r="A281" t="s">
        <v>752</v>
      </c>
      <c r="B281">
        <v>48</v>
      </c>
      <c r="C281" t="s">
        <v>33</v>
      </c>
      <c r="D281" t="s">
        <v>34</v>
      </c>
      <c r="E281" t="s">
        <v>82</v>
      </c>
      <c r="F281" t="s">
        <v>66</v>
      </c>
      <c r="G281" t="s">
        <v>51</v>
      </c>
      <c r="H281" t="s">
        <v>753</v>
      </c>
      <c r="I281" t="s">
        <v>127</v>
      </c>
      <c r="J281">
        <v>161.38</v>
      </c>
      <c r="K281">
        <v>11</v>
      </c>
      <c r="L281" t="s">
        <v>39</v>
      </c>
      <c r="M281">
        <v>5</v>
      </c>
      <c r="N281">
        <v>3</v>
      </c>
      <c r="O281">
        <v>0</v>
      </c>
      <c r="P281" t="s">
        <v>40</v>
      </c>
      <c r="Q281" t="s">
        <v>101</v>
      </c>
      <c r="R281">
        <v>1</v>
      </c>
      <c r="S281">
        <v>10</v>
      </c>
      <c r="T281" t="s">
        <v>51</v>
      </c>
      <c r="U281" t="s">
        <v>42</v>
      </c>
      <c r="V281" t="s">
        <v>71</v>
      </c>
      <c r="W281" s="1">
        <v>45524</v>
      </c>
      <c r="X281" t="b">
        <v>1</v>
      </c>
      <c r="Y281" t="b">
        <v>1</v>
      </c>
      <c r="Z281" t="s">
        <v>72</v>
      </c>
      <c r="AA281" t="s">
        <v>60</v>
      </c>
      <c r="AB281">
        <v>10</v>
      </c>
      <c r="AF281" t="str">
        <f>tbl_OriginalData[[#This Row],[Customer_ID]]</f>
        <v>86-917-7481</v>
      </c>
      <c r="AG281">
        <f>tbl_OriginalData[[#This Row],[Age]]</f>
        <v>48</v>
      </c>
      <c r="AH281" t="str" cm="1">
        <f t="array" ref="AH28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81" t="str">
        <f>tbl_OriginalData[[#This Row],[Gender]]</f>
        <v>Female</v>
      </c>
      <c r="AJ281" t="str">
        <f>tbl_OriginalData[[#This Row],[Income_Level]]</f>
        <v>Middle</v>
      </c>
      <c r="AK281" t="str">
        <f>tbl_OriginalData[[#This Row],[Marital_Status]]</f>
        <v>Widowed</v>
      </c>
      <c r="AL281" t="str">
        <f>tbl_OriginalData[[#This Row],[Education_Level]]</f>
        <v>Master's</v>
      </c>
      <c r="AM281" t="str">
        <f>tbl_OriginalData[[#This Row],[Occupation]]</f>
        <v>High</v>
      </c>
      <c r="AN281" t="s">
        <v>753</v>
      </c>
      <c r="AO281" t="s">
        <v>61</v>
      </c>
      <c r="AP281" t="str">
        <f>tbl_OriginalData[[#This Row],[Purchase_Category]]</f>
        <v>Animal Feed</v>
      </c>
      <c r="AQ281" s="4">
        <f>tbl_OriginalData[[#This Row],[Purchase_Amount]]</f>
        <v>161.38</v>
      </c>
      <c r="AR281">
        <f>tbl_OriginalData[[#This Row],[Frequency_of_Purchase]]</f>
        <v>11</v>
      </c>
      <c r="AS281" t="str">
        <f>tbl_OriginalData[[#This Row],[Purchase_Channel]]</f>
        <v>Mixed</v>
      </c>
      <c r="AT281">
        <f>tbl_OriginalData[[#This Row],[Brand_Loyalty]]</f>
        <v>5</v>
      </c>
      <c r="AU281">
        <f>tbl_OriginalData[[#This Row],[Product_Rating]]</f>
        <v>3</v>
      </c>
      <c r="AV281">
        <f>tbl_OriginalData[[#This Row],[Time_Spent_on_Product_Research(hours)]]*60</f>
        <v>0</v>
      </c>
      <c r="AW281" t="str">
        <f>tbl_OriginalData[[#This Row],[Social_Media_Influence]]</f>
        <v>None</v>
      </c>
      <c r="AX281" t="str">
        <f>tbl_OriginalData[[#This Row],[Discount_Sensitivity]]</f>
        <v>Very Sensitive</v>
      </c>
      <c r="AY281" s="3">
        <f>tbl_OriginalData[[#This Row],[Return_Rate]]/tbl_OriginalData[[#This Row],[Frequency_of_Purchase]]</f>
        <v>9.0909090909090912E-2</v>
      </c>
      <c r="AZ281">
        <f>tbl_OriginalData[[#This Row],[Customer_Satisfaction]]</f>
        <v>10</v>
      </c>
      <c r="BA281" t="str">
        <f>tbl_OriginalData[[#This Row],[Engagement_with_Ads]]</f>
        <v>High</v>
      </c>
      <c r="BB281" t="str">
        <f>tbl_OriginalData[[#This Row],[Device_Used_for_Shopping]]</f>
        <v>Tablet</v>
      </c>
      <c r="BC281" t="str">
        <f>tbl_OriginalData[[#This Row],[Payment_Method]]</f>
        <v>Debit Card</v>
      </c>
      <c r="BD281" s="1">
        <f>tbl_OriginalData[[#This Row],[Time_of_Purchase]]</f>
        <v>45524</v>
      </c>
      <c r="BE281" t="str">
        <f>IF(tbl_OriginalData[[#This Row],[Discount_Used]]=TRUE,"Yes","No")</f>
        <v>Yes</v>
      </c>
      <c r="BF281" t="str">
        <f>IF(tbl_OriginalData[[#This Row],[Customer_Loyalty_Program_Member]]=TRUE,"Yes","No")</f>
        <v>Yes</v>
      </c>
      <c r="BG281" t="str">
        <f>tbl_OriginalData[[#This Row],[Purchase_Intent]]</f>
        <v>Impulsive</v>
      </c>
      <c r="BH281" t="str">
        <f>tbl_OriginalData[[#This Row],[Shipping_Preference]]</f>
        <v>Standard</v>
      </c>
      <c r="BI281">
        <f>tbl_OriginalData[[#This Row],[Time_to_Decision]]</f>
        <v>10</v>
      </c>
      <c r="BJ281" t="s">
        <v>124</v>
      </c>
      <c r="BK281" t="s">
        <v>115</v>
      </c>
      <c r="BL281" t="s">
        <v>2524</v>
      </c>
    </row>
    <row r="282" spans="1:64">
      <c r="A282" t="s">
        <v>754</v>
      </c>
      <c r="B282">
        <v>19</v>
      </c>
      <c r="C282" t="s">
        <v>50</v>
      </c>
      <c r="D282" t="s">
        <v>34</v>
      </c>
      <c r="E282" t="s">
        <v>65</v>
      </c>
      <c r="F282" t="s">
        <v>36</v>
      </c>
      <c r="G282" t="s">
        <v>34</v>
      </c>
      <c r="H282" t="s">
        <v>755</v>
      </c>
      <c r="I282" t="s">
        <v>153</v>
      </c>
      <c r="J282">
        <v>249.78</v>
      </c>
      <c r="K282">
        <v>4</v>
      </c>
      <c r="L282" t="s">
        <v>55</v>
      </c>
      <c r="M282">
        <v>5</v>
      </c>
      <c r="N282">
        <v>4</v>
      </c>
      <c r="O282">
        <v>0</v>
      </c>
      <c r="P282" t="s">
        <v>69</v>
      </c>
      <c r="Q282" t="s">
        <v>101</v>
      </c>
      <c r="R282">
        <v>0</v>
      </c>
      <c r="S282">
        <v>1</v>
      </c>
      <c r="T282" t="s">
        <v>40</v>
      </c>
      <c r="U282" t="s">
        <v>95</v>
      </c>
      <c r="V282" t="s">
        <v>58</v>
      </c>
      <c r="W282" s="1">
        <v>45620</v>
      </c>
      <c r="X282" t="b">
        <v>0</v>
      </c>
      <c r="Y282" t="b">
        <v>0</v>
      </c>
      <c r="Z282" t="s">
        <v>59</v>
      </c>
      <c r="AA282" t="s">
        <v>45</v>
      </c>
      <c r="AB282">
        <v>11</v>
      </c>
      <c r="AF282" t="str">
        <f>tbl_OriginalData[[#This Row],[Customer_ID]]</f>
        <v>66-086-2306</v>
      </c>
      <c r="AG282">
        <f>tbl_OriginalData[[#This Row],[Age]]</f>
        <v>19</v>
      </c>
      <c r="AH282" t="str" cm="1">
        <f t="array" ref="AH28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282" t="str">
        <f>tbl_OriginalData[[#This Row],[Gender]]</f>
        <v>Male</v>
      </c>
      <c r="AJ282" t="str">
        <f>tbl_OriginalData[[#This Row],[Income_Level]]</f>
        <v>Middle</v>
      </c>
      <c r="AK282" t="str">
        <f>tbl_OriginalData[[#This Row],[Marital_Status]]</f>
        <v>Single</v>
      </c>
      <c r="AL282" t="str">
        <f>tbl_OriginalData[[#This Row],[Education_Level]]</f>
        <v>Bachelor's</v>
      </c>
      <c r="AM282" t="str">
        <f>tbl_OriginalData[[#This Row],[Occupation]]</f>
        <v>Middle</v>
      </c>
      <c r="AN282" t="s">
        <v>755</v>
      </c>
      <c r="AO282" t="s">
        <v>469</v>
      </c>
      <c r="AP282" t="str">
        <f>tbl_OriginalData[[#This Row],[Purchase_Category]]</f>
        <v>Baby Products</v>
      </c>
      <c r="AQ282" s="4">
        <f>tbl_OriginalData[[#This Row],[Purchase_Amount]]</f>
        <v>249.78</v>
      </c>
      <c r="AR282">
        <f>tbl_OriginalData[[#This Row],[Frequency_of_Purchase]]</f>
        <v>4</v>
      </c>
      <c r="AS282" t="str">
        <f>tbl_OriginalData[[#This Row],[Purchase_Channel]]</f>
        <v>In-Store</v>
      </c>
      <c r="AT282">
        <f>tbl_OriginalData[[#This Row],[Brand_Loyalty]]</f>
        <v>5</v>
      </c>
      <c r="AU282">
        <f>tbl_OriginalData[[#This Row],[Product_Rating]]</f>
        <v>4</v>
      </c>
      <c r="AV282">
        <f>tbl_OriginalData[[#This Row],[Time_Spent_on_Product_Research(hours)]]*60</f>
        <v>0</v>
      </c>
      <c r="AW282" t="str">
        <f>tbl_OriginalData[[#This Row],[Social_Media_Influence]]</f>
        <v>Low</v>
      </c>
      <c r="AX282" t="str">
        <f>tbl_OriginalData[[#This Row],[Discount_Sensitivity]]</f>
        <v>Very Sensitive</v>
      </c>
      <c r="AY282" s="3">
        <f>tbl_OriginalData[[#This Row],[Return_Rate]]/tbl_OriginalData[[#This Row],[Frequency_of_Purchase]]</f>
        <v>0</v>
      </c>
      <c r="AZ282">
        <f>tbl_OriginalData[[#This Row],[Customer_Satisfaction]]</f>
        <v>1</v>
      </c>
      <c r="BA282" t="str">
        <f>tbl_OriginalData[[#This Row],[Engagement_with_Ads]]</f>
        <v>None</v>
      </c>
      <c r="BB282" t="str">
        <f>tbl_OriginalData[[#This Row],[Device_Used_for_Shopping]]</f>
        <v>Desktop</v>
      </c>
      <c r="BC282" t="str">
        <f>tbl_OriginalData[[#This Row],[Payment_Method]]</f>
        <v>PayPal</v>
      </c>
      <c r="BD282" s="1">
        <f>tbl_OriginalData[[#This Row],[Time_of_Purchase]]</f>
        <v>45620</v>
      </c>
      <c r="BE282" t="str">
        <f>IF(tbl_OriginalData[[#This Row],[Discount_Used]]=TRUE,"Yes","No")</f>
        <v>No</v>
      </c>
      <c r="BF282" t="str">
        <f>IF(tbl_OriginalData[[#This Row],[Customer_Loyalty_Program_Member]]=TRUE,"Yes","No")</f>
        <v>No</v>
      </c>
      <c r="BG282" t="str">
        <f>tbl_OriginalData[[#This Row],[Purchase_Intent]]</f>
        <v>Wants-based</v>
      </c>
      <c r="BH282" t="str">
        <f>tbl_OriginalData[[#This Row],[Shipping_Preference]]</f>
        <v>No Preference</v>
      </c>
      <c r="BI282">
        <f>tbl_OriginalData[[#This Row],[Time_to_Decision]]</f>
        <v>11</v>
      </c>
      <c r="BJ282" t="s">
        <v>177</v>
      </c>
      <c r="BK282" t="s">
        <v>80</v>
      </c>
      <c r="BL282" t="s">
        <v>2527</v>
      </c>
    </row>
    <row r="283" spans="1:64">
      <c r="A283" t="s">
        <v>756</v>
      </c>
      <c r="B283">
        <v>39</v>
      </c>
      <c r="C283" t="s">
        <v>33</v>
      </c>
      <c r="D283" t="s">
        <v>34</v>
      </c>
      <c r="E283" t="s">
        <v>92</v>
      </c>
      <c r="F283" t="s">
        <v>52</v>
      </c>
      <c r="G283" t="s">
        <v>51</v>
      </c>
      <c r="H283" t="s">
        <v>757</v>
      </c>
      <c r="I283" t="s">
        <v>229</v>
      </c>
      <c r="J283">
        <v>149.88</v>
      </c>
      <c r="K283">
        <v>9</v>
      </c>
      <c r="L283" t="s">
        <v>39</v>
      </c>
      <c r="M283">
        <v>3</v>
      </c>
      <c r="N283">
        <v>2</v>
      </c>
      <c r="O283">
        <v>0</v>
      </c>
      <c r="P283" t="s">
        <v>69</v>
      </c>
      <c r="Q283" t="s">
        <v>41</v>
      </c>
      <c r="R283">
        <v>1</v>
      </c>
      <c r="S283">
        <v>10</v>
      </c>
      <c r="T283" t="s">
        <v>69</v>
      </c>
      <c r="U283" t="s">
        <v>70</v>
      </c>
      <c r="V283" t="s">
        <v>71</v>
      </c>
      <c r="W283" s="1">
        <v>45401</v>
      </c>
      <c r="X283" t="b">
        <v>0</v>
      </c>
      <c r="Y283" t="b">
        <v>0</v>
      </c>
      <c r="Z283" t="s">
        <v>72</v>
      </c>
      <c r="AA283" t="s">
        <v>60</v>
      </c>
      <c r="AB283">
        <v>4</v>
      </c>
      <c r="AF283" t="str">
        <f>tbl_OriginalData[[#This Row],[Customer_ID]]</f>
        <v>43-671-9834</v>
      </c>
      <c r="AG283">
        <f>tbl_OriginalData[[#This Row],[Age]]</f>
        <v>39</v>
      </c>
      <c r="AH283" t="str" cm="1">
        <f t="array" ref="AH28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83" t="str">
        <f>tbl_OriginalData[[#This Row],[Gender]]</f>
        <v>Female</v>
      </c>
      <c r="AJ283" t="str">
        <f>tbl_OriginalData[[#This Row],[Income_Level]]</f>
        <v>Middle</v>
      </c>
      <c r="AK283" t="str">
        <f>tbl_OriginalData[[#This Row],[Marital_Status]]</f>
        <v>Divorced</v>
      </c>
      <c r="AL283" t="str">
        <f>tbl_OriginalData[[#This Row],[Education_Level]]</f>
        <v>High School</v>
      </c>
      <c r="AM283" t="str">
        <f>tbl_OriginalData[[#This Row],[Occupation]]</f>
        <v>High</v>
      </c>
      <c r="AN283" t="s">
        <v>757</v>
      </c>
      <c r="AO283" t="s">
        <v>502</v>
      </c>
      <c r="AP283" t="str">
        <f>tbl_OriginalData[[#This Row],[Purchase_Category]]</f>
        <v>Clothing</v>
      </c>
      <c r="AQ283" s="4">
        <f>tbl_OriginalData[[#This Row],[Purchase_Amount]]</f>
        <v>149.88</v>
      </c>
      <c r="AR283">
        <f>tbl_OriginalData[[#This Row],[Frequency_of_Purchase]]</f>
        <v>9</v>
      </c>
      <c r="AS283" t="str">
        <f>tbl_OriginalData[[#This Row],[Purchase_Channel]]</f>
        <v>Mixed</v>
      </c>
      <c r="AT283">
        <f>tbl_OriginalData[[#This Row],[Brand_Loyalty]]</f>
        <v>3</v>
      </c>
      <c r="AU283">
        <f>tbl_OriginalData[[#This Row],[Product_Rating]]</f>
        <v>2</v>
      </c>
      <c r="AV283">
        <f>tbl_OriginalData[[#This Row],[Time_Spent_on_Product_Research(hours)]]*60</f>
        <v>0</v>
      </c>
      <c r="AW283" t="str">
        <f>tbl_OriginalData[[#This Row],[Social_Media_Influence]]</f>
        <v>Low</v>
      </c>
      <c r="AX283" t="str">
        <f>tbl_OriginalData[[#This Row],[Discount_Sensitivity]]</f>
        <v>Somewhat Sensitive</v>
      </c>
      <c r="AY283" s="3">
        <f>tbl_OriginalData[[#This Row],[Return_Rate]]/tbl_OriginalData[[#This Row],[Frequency_of_Purchase]]</f>
        <v>0.1111111111111111</v>
      </c>
      <c r="AZ283">
        <f>tbl_OriginalData[[#This Row],[Customer_Satisfaction]]</f>
        <v>10</v>
      </c>
      <c r="BA283" t="str">
        <f>tbl_OriginalData[[#This Row],[Engagement_with_Ads]]</f>
        <v>Low</v>
      </c>
      <c r="BB283" t="str">
        <f>tbl_OriginalData[[#This Row],[Device_Used_for_Shopping]]</f>
        <v>Smartphone</v>
      </c>
      <c r="BC283" t="str">
        <f>tbl_OriginalData[[#This Row],[Payment_Method]]</f>
        <v>Debit Card</v>
      </c>
      <c r="BD283" s="1">
        <f>tbl_OriginalData[[#This Row],[Time_of_Purchase]]</f>
        <v>45401</v>
      </c>
      <c r="BE283" t="str">
        <f>IF(tbl_OriginalData[[#This Row],[Discount_Used]]=TRUE,"Yes","No")</f>
        <v>No</v>
      </c>
      <c r="BF283" t="str">
        <f>IF(tbl_OriginalData[[#This Row],[Customer_Loyalty_Program_Member]]=TRUE,"Yes","No")</f>
        <v>No</v>
      </c>
      <c r="BG283" t="str">
        <f>tbl_OriginalData[[#This Row],[Purchase_Intent]]</f>
        <v>Impulsive</v>
      </c>
      <c r="BH283" t="str">
        <f>tbl_OriginalData[[#This Row],[Shipping_Preference]]</f>
        <v>Standard</v>
      </c>
      <c r="BI283">
        <f>tbl_OriginalData[[#This Row],[Time_to_Decision]]</f>
        <v>4</v>
      </c>
      <c r="BJ283" t="s">
        <v>62</v>
      </c>
      <c r="BK283" t="s">
        <v>63</v>
      </c>
      <c r="BL283" t="s">
        <v>2524</v>
      </c>
    </row>
    <row r="284" spans="1:64">
      <c r="A284" t="s">
        <v>758</v>
      </c>
      <c r="B284">
        <v>48</v>
      </c>
      <c r="C284" t="s">
        <v>33</v>
      </c>
      <c r="D284" t="s">
        <v>51</v>
      </c>
      <c r="E284" t="s">
        <v>92</v>
      </c>
      <c r="F284" t="s">
        <v>66</v>
      </c>
      <c r="G284" t="s">
        <v>34</v>
      </c>
      <c r="H284" t="s">
        <v>759</v>
      </c>
      <c r="I284" t="s">
        <v>306</v>
      </c>
      <c r="J284">
        <v>347.09</v>
      </c>
      <c r="K284">
        <v>5</v>
      </c>
      <c r="L284" t="s">
        <v>55</v>
      </c>
      <c r="M284">
        <v>5</v>
      </c>
      <c r="N284">
        <v>2</v>
      </c>
      <c r="O284">
        <v>0</v>
      </c>
      <c r="P284" t="s">
        <v>56</v>
      </c>
      <c r="Q284" t="s">
        <v>41</v>
      </c>
      <c r="R284">
        <v>2</v>
      </c>
      <c r="S284">
        <v>1</v>
      </c>
      <c r="T284" t="s">
        <v>40</v>
      </c>
      <c r="U284" t="s">
        <v>70</v>
      </c>
      <c r="V284" t="s">
        <v>76</v>
      </c>
      <c r="W284" s="1">
        <v>45317</v>
      </c>
      <c r="X284" t="b">
        <v>0</v>
      </c>
      <c r="Y284" t="b">
        <v>0</v>
      </c>
      <c r="Z284" t="s">
        <v>89</v>
      </c>
      <c r="AA284" t="s">
        <v>45</v>
      </c>
      <c r="AB284">
        <v>7</v>
      </c>
      <c r="AF284" t="str">
        <f>tbl_OriginalData[[#This Row],[Customer_ID]]</f>
        <v>90-888-8726</v>
      </c>
      <c r="AG284">
        <f>tbl_OriginalData[[#This Row],[Age]]</f>
        <v>48</v>
      </c>
      <c r="AH284" t="str" cm="1">
        <f t="array" ref="AH28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84" t="str">
        <f>tbl_OriginalData[[#This Row],[Gender]]</f>
        <v>Female</v>
      </c>
      <c r="AJ284" t="str">
        <f>tbl_OriginalData[[#This Row],[Income_Level]]</f>
        <v>High</v>
      </c>
      <c r="AK284" t="str">
        <f>tbl_OriginalData[[#This Row],[Marital_Status]]</f>
        <v>Divorced</v>
      </c>
      <c r="AL284" t="str">
        <f>tbl_OriginalData[[#This Row],[Education_Level]]</f>
        <v>Master's</v>
      </c>
      <c r="AM284" t="str">
        <f>tbl_OriginalData[[#This Row],[Occupation]]</f>
        <v>Middle</v>
      </c>
      <c r="AN284" t="s">
        <v>759</v>
      </c>
      <c r="AO284" t="s">
        <v>46</v>
      </c>
      <c r="AP284" t="str">
        <f>tbl_OriginalData[[#This Row],[Purchase_Category]]</f>
        <v>Jewelry &amp; Accessories</v>
      </c>
      <c r="AQ284" s="4">
        <f>tbl_OriginalData[[#This Row],[Purchase_Amount]]</f>
        <v>347.09</v>
      </c>
      <c r="AR284">
        <f>tbl_OriginalData[[#This Row],[Frequency_of_Purchase]]</f>
        <v>5</v>
      </c>
      <c r="AS284" t="str">
        <f>tbl_OriginalData[[#This Row],[Purchase_Channel]]</f>
        <v>In-Store</v>
      </c>
      <c r="AT284">
        <f>tbl_OriginalData[[#This Row],[Brand_Loyalty]]</f>
        <v>5</v>
      </c>
      <c r="AU284">
        <f>tbl_OriginalData[[#This Row],[Product_Rating]]</f>
        <v>2</v>
      </c>
      <c r="AV284">
        <f>tbl_OriginalData[[#This Row],[Time_Spent_on_Product_Research(hours)]]*60</f>
        <v>0</v>
      </c>
      <c r="AW284" t="str">
        <f>tbl_OriginalData[[#This Row],[Social_Media_Influence]]</f>
        <v>Medium</v>
      </c>
      <c r="AX284" t="str">
        <f>tbl_OriginalData[[#This Row],[Discount_Sensitivity]]</f>
        <v>Somewhat Sensitive</v>
      </c>
      <c r="AY284" s="3">
        <f>tbl_OriginalData[[#This Row],[Return_Rate]]/tbl_OriginalData[[#This Row],[Frequency_of_Purchase]]</f>
        <v>0.4</v>
      </c>
      <c r="AZ284">
        <f>tbl_OriginalData[[#This Row],[Customer_Satisfaction]]</f>
        <v>1</v>
      </c>
      <c r="BA284" t="str">
        <f>tbl_OriginalData[[#This Row],[Engagement_with_Ads]]</f>
        <v>None</v>
      </c>
      <c r="BB284" t="str">
        <f>tbl_OriginalData[[#This Row],[Device_Used_for_Shopping]]</f>
        <v>Smartphone</v>
      </c>
      <c r="BC284" t="str">
        <f>tbl_OriginalData[[#This Row],[Payment_Method]]</f>
        <v>Other</v>
      </c>
      <c r="BD284" s="1">
        <f>tbl_OriginalData[[#This Row],[Time_of_Purchase]]</f>
        <v>45317</v>
      </c>
      <c r="BE284" t="str">
        <f>IF(tbl_OriginalData[[#This Row],[Discount_Used]]=TRUE,"Yes","No")</f>
        <v>No</v>
      </c>
      <c r="BF284" t="str">
        <f>IF(tbl_OriginalData[[#This Row],[Customer_Loyalty_Program_Member]]=TRUE,"Yes","No")</f>
        <v>No</v>
      </c>
      <c r="BG284" t="str">
        <f>tbl_OriginalData[[#This Row],[Purchase_Intent]]</f>
        <v>Planned</v>
      </c>
      <c r="BH284" t="str">
        <f>tbl_OriginalData[[#This Row],[Shipping_Preference]]</f>
        <v>No Preference</v>
      </c>
      <c r="BI284">
        <f>tbl_OriginalData[[#This Row],[Time_to_Decision]]</f>
        <v>7</v>
      </c>
      <c r="BJ284" t="s">
        <v>86</v>
      </c>
      <c r="BK284" t="s">
        <v>48</v>
      </c>
      <c r="BL284" t="s">
        <v>2523</v>
      </c>
    </row>
    <row r="285" spans="1:64">
      <c r="A285" t="s">
        <v>760</v>
      </c>
      <c r="B285">
        <v>43</v>
      </c>
      <c r="C285" t="s">
        <v>33</v>
      </c>
      <c r="D285" t="s">
        <v>51</v>
      </c>
      <c r="E285" t="s">
        <v>82</v>
      </c>
      <c r="F285" t="s">
        <v>66</v>
      </c>
      <c r="G285" t="s">
        <v>51</v>
      </c>
      <c r="H285" t="s">
        <v>761</v>
      </c>
      <c r="I285" t="s">
        <v>131</v>
      </c>
      <c r="J285">
        <v>345.49</v>
      </c>
      <c r="K285">
        <v>9</v>
      </c>
      <c r="L285" t="s">
        <v>39</v>
      </c>
      <c r="M285">
        <v>3</v>
      </c>
      <c r="N285">
        <v>1</v>
      </c>
      <c r="O285">
        <v>2</v>
      </c>
      <c r="P285" t="s">
        <v>51</v>
      </c>
      <c r="Q285" t="s">
        <v>57</v>
      </c>
      <c r="R285">
        <v>0</v>
      </c>
      <c r="S285">
        <v>10</v>
      </c>
      <c r="T285" t="s">
        <v>56</v>
      </c>
      <c r="U285" t="s">
        <v>42</v>
      </c>
      <c r="V285" t="s">
        <v>58</v>
      </c>
      <c r="W285" s="1">
        <v>45541</v>
      </c>
      <c r="X285" t="b">
        <v>1</v>
      </c>
      <c r="Y285" t="b">
        <v>0</v>
      </c>
      <c r="Z285" t="s">
        <v>72</v>
      </c>
      <c r="AA285" t="s">
        <v>77</v>
      </c>
      <c r="AB285">
        <v>3</v>
      </c>
      <c r="AF285" t="str">
        <f>tbl_OriginalData[[#This Row],[Customer_ID]]</f>
        <v>23-085-0811</v>
      </c>
      <c r="AG285">
        <f>tbl_OriginalData[[#This Row],[Age]]</f>
        <v>43</v>
      </c>
      <c r="AH285" t="str" cm="1">
        <f t="array" ref="AH28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85" t="str">
        <f>tbl_OriginalData[[#This Row],[Gender]]</f>
        <v>Female</v>
      </c>
      <c r="AJ285" t="str">
        <f>tbl_OriginalData[[#This Row],[Income_Level]]</f>
        <v>High</v>
      </c>
      <c r="AK285" t="str">
        <f>tbl_OriginalData[[#This Row],[Marital_Status]]</f>
        <v>Widowed</v>
      </c>
      <c r="AL285" t="str">
        <f>tbl_OriginalData[[#This Row],[Education_Level]]</f>
        <v>Master's</v>
      </c>
      <c r="AM285" t="str">
        <f>tbl_OriginalData[[#This Row],[Occupation]]</f>
        <v>High</v>
      </c>
      <c r="AN285" t="s">
        <v>761</v>
      </c>
      <c r="AO285" t="s">
        <v>61</v>
      </c>
      <c r="AP285" t="str">
        <f>tbl_OriginalData[[#This Row],[Purchase_Category]]</f>
        <v>Health Care</v>
      </c>
      <c r="AQ285" s="4">
        <f>tbl_OriginalData[[#This Row],[Purchase_Amount]]</f>
        <v>345.49</v>
      </c>
      <c r="AR285">
        <f>tbl_OriginalData[[#This Row],[Frequency_of_Purchase]]</f>
        <v>9</v>
      </c>
      <c r="AS285" t="str">
        <f>tbl_OriginalData[[#This Row],[Purchase_Channel]]</f>
        <v>Mixed</v>
      </c>
      <c r="AT285">
        <f>tbl_OriginalData[[#This Row],[Brand_Loyalty]]</f>
        <v>3</v>
      </c>
      <c r="AU285">
        <f>tbl_OriginalData[[#This Row],[Product_Rating]]</f>
        <v>1</v>
      </c>
      <c r="AV285">
        <f>tbl_OriginalData[[#This Row],[Time_Spent_on_Product_Research(hours)]]*60</f>
        <v>120</v>
      </c>
      <c r="AW285" t="str">
        <f>tbl_OriginalData[[#This Row],[Social_Media_Influence]]</f>
        <v>High</v>
      </c>
      <c r="AX285" t="str">
        <f>tbl_OriginalData[[#This Row],[Discount_Sensitivity]]</f>
        <v>Not Sensitive</v>
      </c>
      <c r="AY285" s="3">
        <f>tbl_OriginalData[[#This Row],[Return_Rate]]/tbl_OriginalData[[#This Row],[Frequency_of_Purchase]]</f>
        <v>0</v>
      </c>
      <c r="AZ285">
        <f>tbl_OriginalData[[#This Row],[Customer_Satisfaction]]</f>
        <v>10</v>
      </c>
      <c r="BA285" t="str">
        <f>tbl_OriginalData[[#This Row],[Engagement_with_Ads]]</f>
        <v>Medium</v>
      </c>
      <c r="BB285" t="str">
        <f>tbl_OriginalData[[#This Row],[Device_Used_for_Shopping]]</f>
        <v>Tablet</v>
      </c>
      <c r="BC285" t="str">
        <f>tbl_OriginalData[[#This Row],[Payment_Method]]</f>
        <v>PayPal</v>
      </c>
      <c r="BD285" s="1">
        <f>tbl_OriginalData[[#This Row],[Time_of_Purchase]]</f>
        <v>45541</v>
      </c>
      <c r="BE285" t="str">
        <f>IF(tbl_OriginalData[[#This Row],[Discount_Used]]=TRUE,"Yes","No")</f>
        <v>Yes</v>
      </c>
      <c r="BF285" t="str">
        <f>IF(tbl_OriginalData[[#This Row],[Customer_Loyalty_Program_Member]]=TRUE,"Yes","No")</f>
        <v>No</v>
      </c>
      <c r="BG285" t="str">
        <f>tbl_OriginalData[[#This Row],[Purchase_Intent]]</f>
        <v>Impulsive</v>
      </c>
      <c r="BH285" t="str">
        <f>tbl_OriginalData[[#This Row],[Shipping_Preference]]</f>
        <v>Express</v>
      </c>
      <c r="BI285">
        <f>tbl_OriginalData[[#This Row],[Time_to_Decision]]</f>
        <v>3</v>
      </c>
      <c r="BJ285" t="s">
        <v>172</v>
      </c>
      <c r="BK285" t="s">
        <v>115</v>
      </c>
      <c r="BL285" t="s">
        <v>2524</v>
      </c>
    </row>
    <row r="286" spans="1:64">
      <c r="A286" t="s">
        <v>762</v>
      </c>
      <c r="B286">
        <v>31</v>
      </c>
      <c r="C286" t="s">
        <v>33</v>
      </c>
      <c r="D286" t="s">
        <v>51</v>
      </c>
      <c r="E286" t="s">
        <v>92</v>
      </c>
      <c r="F286" t="s">
        <v>36</v>
      </c>
      <c r="G286" t="s">
        <v>51</v>
      </c>
      <c r="H286" t="s">
        <v>763</v>
      </c>
      <c r="I286" t="s">
        <v>131</v>
      </c>
      <c r="J286">
        <v>297.24</v>
      </c>
      <c r="K286">
        <v>2</v>
      </c>
      <c r="L286" t="s">
        <v>39</v>
      </c>
      <c r="M286">
        <v>1</v>
      </c>
      <c r="N286">
        <v>4</v>
      </c>
      <c r="O286">
        <v>0</v>
      </c>
      <c r="P286" t="s">
        <v>56</v>
      </c>
      <c r="Q286" t="s">
        <v>57</v>
      </c>
      <c r="R286">
        <v>0</v>
      </c>
      <c r="S286">
        <v>9</v>
      </c>
      <c r="T286" t="s">
        <v>51</v>
      </c>
      <c r="U286" t="s">
        <v>95</v>
      </c>
      <c r="V286" t="s">
        <v>58</v>
      </c>
      <c r="W286" s="1">
        <v>45472</v>
      </c>
      <c r="X286" t="b">
        <v>1</v>
      </c>
      <c r="Y286" t="b">
        <v>1</v>
      </c>
      <c r="Z286" t="s">
        <v>89</v>
      </c>
      <c r="AA286" t="s">
        <v>77</v>
      </c>
      <c r="AB286">
        <v>7</v>
      </c>
      <c r="AF286" t="str">
        <f>tbl_OriginalData[[#This Row],[Customer_ID]]</f>
        <v>85-192-9218</v>
      </c>
      <c r="AG286">
        <f>tbl_OriginalData[[#This Row],[Age]]</f>
        <v>31</v>
      </c>
      <c r="AH286" t="str" cm="1">
        <f t="array" ref="AH28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86" t="str">
        <f>tbl_OriginalData[[#This Row],[Gender]]</f>
        <v>Female</v>
      </c>
      <c r="AJ286" t="str">
        <f>tbl_OriginalData[[#This Row],[Income_Level]]</f>
        <v>High</v>
      </c>
      <c r="AK286" t="str">
        <f>tbl_OriginalData[[#This Row],[Marital_Status]]</f>
        <v>Divorced</v>
      </c>
      <c r="AL286" t="str">
        <f>tbl_OriginalData[[#This Row],[Education_Level]]</f>
        <v>Bachelor's</v>
      </c>
      <c r="AM286" t="str">
        <f>tbl_OriginalData[[#This Row],[Occupation]]</f>
        <v>High</v>
      </c>
      <c r="AN286" t="s">
        <v>763</v>
      </c>
      <c r="AO286" t="s">
        <v>466</v>
      </c>
      <c r="AP286" t="str">
        <f>tbl_OriginalData[[#This Row],[Purchase_Category]]</f>
        <v>Health Care</v>
      </c>
      <c r="AQ286" s="4">
        <f>tbl_OriginalData[[#This Row],[Purchase_Amount]]</f>
        <v>297.24</v>
      </c>
      <c r="AR286">
        <f>tbl_OriginalData[[#This Row],[Frequency_of_Purchase]]</f>
        <v>2</v>
      </c>
      <c r="AS286" t="str">
        <f>tbl_OriginalData[[#This Row],[Purchase_Channel]]</f>
        <v>Mixed</v>
      </c>
      <c r="AT286">
        <f>tbl_OriginalData[[#This Row],[Brand_Loyalty]]</f>
        <v>1</v>
      </c>
      <c r="AU286">
        <f>tbl_OriginalData[[#This Row],[Product_Rating]]</f>
        <v>4</v>
      </c>
      <c r="AV286">
        <f>tbl_OriginalData[[#This Row],[Time_Spent_on_Product_Research(hours)]]*60</f>
        <v>0</v>
      </c>
      <c r="AW286" t="str">
        <f>tbl_OriginalData[[#This Row],[Social_Media_Influence]]</f>
        <v>Medium</v>
      </c>
      <c r="AX286" t="str">
        <f>tbl_OriginalData[[#This Row],[Discount_Sensitivity]]</f>
        <v>Not Sensitive</v>
      </c>
      <c r="AY286" s="3">
        <f>tbl_OriginalData[[#This Row],[Return_Rate]]/tbl_OriginalData[[#This Row],[Frequency_of_Purchase]]</f>
        <v>0</v>
      </c>
      <c r="AZ286">
        <f>tbl_OriginalData[[#This Row],[Customer_Satisfaction]]</f>
        <v>9</v>
      </c>
      <c r="BA286" t="str">
        <f>tbl_OriginalData[[#This Row],[Engagement_with_Ads]]</f>
        <v>High</v>
      </c>
      <c r="BB286" t="str">
        <f>tbl_OriginalData[[#This Row],[Device_Used_for_Shopping]]</f>
        <v>Desktop</v>
      </c>
      <c r="BC286" t="str">
        <f>tbl_OriginalData[[#This Row],[Payment_Method]]</f>
        <v>PayPal</v>
      </c>
      <c r="BD286" s="1">
        <f>tbl_OriginalData[[#This Row],[Time_of_Purchase]]</f>
        <v>45472</v>
      </c>
      <c r="BE286" t="str">
        <f>IF(tbl_OriginalData[[#This Row],[Discount_Used]]=TRUE,"Yes","No")</f>
        <v>Yes</v>
      </c>
      <c r="BF286" t="str">
        <f>IF(tbl_OriginalData[[#This Row],[Customer_Loyalty_Program_Member]]=TRUE,"Yes","No")</f>
        <v>Yes</v>
      </c>
      <c r="BG286" t="str">
        <f>tbl_OriginalData[[#This Row],[Purchase_Intent]]</f>
        <v>Planned</v>
      </c>
      <c r="BH286" t="str">
        <f>tbl_OriginalData[[#This Row],[Shipping_Preference]]</f>
        <v>Express</v>
      </c>
      <c r="BI286">
        <f>tbl_OriginalData[[#This Row],[Time_to_Decision]]</f>
        <v>7</v>
      </c>
      <c r="BJ286" t="s">
        <v>104</v>
      </c>
      <c r="BK286" t="s">
        <v>63</v>
      </c>
      <c r="BL286" t="s">
        <v>2523</v>
      </c>
    </row>
    <row r="287" spans="1:64">
      <c r="A287" t="s">
        <v>764</v>
      </c>
      <c r="B287">
        <v>28</v>
      </c>
      <c r="C287" t="s">
        <v>33</v>
      </c>
      <c r="D287" t="s">
        <v>34</v>
      </c>
      <c r="E287" t="s">
        <v>92</v>
      </c>
      <c r="F287" t="s">
        <v>36</v>
      </c>
      <c r="G287" t="s">
        <v>51</v>
      </c>
      <c r="H287" t="s">
        <v>765</v>
      </c>
      <c r="I287" t="s">
        <v>75</v>
      </c>
      <c r="J287">
        <v>494.34</v>
      </c>
      <c r="K287">
        <v>12</v>
      </c>
      <c r="L287" t="s">
        <v>94</v>
      </c>
      <c r="M287">
        <v>5</v>
      </c>
      <c r="N287">
        <v>3</v>
      </c>
      <c r="O287">
        <v>0.25</v>
      </c>
      <c r="P287" t="s">
        <v>51</v>
      </c>
      <c r="Q287" t="s">
        <v>101</v>
      </c>
      <c r="R287">
        <v>1</v>
      </c>
      <c r="S287">
        <v>8</v>
      </c>
      <c r="T287" t="s">
        <v>69</v>
      </c>
      <c r="U287" t="s">
        <v>95</v>
      </c>
      <c r="V287" t="s">
        <v>71</v>
      </c>
      <c r="W287" s="1">
        <v>45354</v>
      </c>
      <c r="X287" t="b">
        <v>0</v>
      </c>
      <c r="Y287" t="b">
        <v>0</v>
      </c>
      <c r="Z287" t="s">
        <v>59</v>
      </c>
      <c r="AA287" t="s">
        <v>77</v>
      </c>
      <c r="AB287">
        <v>3</v>
      </c>
      <c r="AF287" t="str">
        <f>tbl_OriginalData[[#This Row],[Customer_ID]]</f>
        <v>82-671-7236</v>
      </c>
      <c r="AG287">
        <f>tbl_OriginalData[[#This Row],[Age]]</f>
        <v>28</v>
      </c>
      <c r="AH287" t="str" cm="1">
        <f t="array" ref="AH28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87" t="str">
        <f>tbl_OriginalData[[#This Row],[Gender]]</f>
        <v>Female</v>
      </c>
      <c r="AJ287" t="str">
        <f>tbl_OriginalData[[#This Row],[Income_Level]]</f>
        <v>Middle</v>
      </c>
      <c r="AK287" t="str">
        <f>tbl_OriginalData[[#This Row],[Marital_Status]]</f>
        <v>Divorced</v>
      </c>
      <c r="AL287" t="str">
        <f>tbl_OriginalData[[#This Row],[Education_Level]]</f>
        <v>Bachelor's</v>
      </c>
      <c r="AM287" t="str">
        <f>tbl_OriginalData[[#This Row],[Occupation]]</f>
        <v>High</v>
      </c>
      <c r="AN287" t="s">
        <v>765</v>
      </c>
      <c r="AO287" t="s">
        <v>766</v>
      </c>
      <c r="AP287" t="str">
        <f>tbl_OriginalData[[#This Row],[Purchase_Category]]</f>
        <v>Home Appliances</v>
      </c>
      <c r="AQ287" s="4">
        <f>tbl_OriginalData[[#This Row],[Purchase_Amount]]</f>
        <v>494.34</v>
      </c>
      <c r="AR287">
        <f>tbl_OriginalData[[#This Row],[Frequency_of_Purchase]]</f>
        <v>12</v>
      </c>
      <c r="AS287" t="str">
        <f>tbl_OriginalData[[#This Row],[Purchase_Channel]]</f>
        <v>Online</v>
      </c>
      <c r="AT287">
        <f>tbl_OriginalData[[#This Row],[Brand_Loyalty]]</f>
        <v>5</v>
      </c>
      <c r="AU287">
        <f>tbl_OriginalData[[#This Row],[Product_Rating]]</f>
        <v>3</v>
      </c>
      <c r="AV287">
        <f>tbl_OriginalData[[#This Row],[Time_Spent_on_Product_Research(hours)]]*60</f>
        <v>15</v>
      </c>
      <c r="AW287" t="str">
        <f>tbl_OriginalData[[#This Row],[Social_Media_Influence]]</f>
        <v>High</v>
      </c>
      <c r="AX287" t="str">
        <f>tbl_OriginalData[[#This Row],[Discount_Sensitivity]]</f>
        <v>Very Sensitive</v>
      </c>
      <c r="AY287" s="3">
        <f>tbl_OriginalData[[#This Row],[Return_Rate]]/tbl_OriginalData[[#This Row],[Frequency_of_Purchase]]</f>
        <v>8.3333333333333329E-2</v>
      </c>
      <c r="AZ287">
        <f>tbl_OriginalData[[#This Row],[Customer_Satisfaction]]</f>
        <v>8</v>
      </c>
      <c r="BA287" t="str">
        <f>tbl_OriginalData[[#This Row],[Engagement_with_Ads]]</f>
        <v>Low</v>
      </c>
      <c r="BB287" t="str">
        <f>tbl_OriginalData[[#This Row],[Device_Used_for_Shopping]]</f>
        <v>Desktop</v>
      </c>
      <c r="BC287" t="str">
        <f>tbl_OriginalData[[#This Row],[Payment_Method]]</f>
        <v>Debit Card</v>
      </c>
      <c r="BD287" s="1">
        <f>tbl_OriginalData[[#This Row],[Time_of_Purchase]]</f>
        <v>45354</v>
      </c>
      <c r="BE287" t="str">
        <f>IF(tbl_OriginalData[[#This Row],[Discount_Used]]=TRUE,"Yes","No")</f>
        <v>No</v>
      </c>
      <c r="BF287" t="str">
        <f>IF(tbl_OriginalData[[#This Row],[Customer_Loyalty_Program_Member]]=TRUE,"Yes","No")</f>
        <v>No</v>
      </c>
      <c r="BG287" t="str">
        <f>tbl_OriginalData[[#This Row],[Purchase_Intent]]</f>
        <v>Wants-based</v>
      </c>
      <c r="BH287" t="str">
        <f>tbl_OriginalData[[#This Row],[Shipping_Preference]]</f>
        <v>Express</v>
      </c>
      <c r="BI287">
        <f>tbl_OriginalData[[#This Row],[Time_to_Decision]]</f>
        <v>3</v>
      </c>
      <c r="BJ287" t="s">
        <v>47</v>
      </c>
      <c r="BK287" t="s">
        <v>48</v>
      </c>
      <c r="BL287" t="s">
        <v>2524</v>
      </c>
    </row>
    <row r="288" spans="1:64">
      <c r="A288" t="s">
        <v>767</v>
      </c>
      <c r="B288">
        <v>29</v>
      </c>
      <c r="C288" t="s">
        <v>431</v>
      </c>
      <c r="D288" t="s">
        <v>34</v>
      </c>
      <c r="E288" t="s">
        <v>35</v>
      </c>
      <c r="F288" t="s">
        <v>66</v>
      </c>
      <c r="G288" t="s">
        <v>51</v>
      </c>
      <c r="H288" t="s">
        <v>768</v>
      </c>
      <c r="I288" t="s">
        <v>127</v>
      </c>
      <c r="J288">
        <v>443.52</v>
      </c>
      <c r="K288">
        <v>5</v>
      </c>
      <c r="L288" t="s">
        <v>55</v>
      </c>
      <c r="M288">
        <v>5</v>
      </c>
      <c r="N288">
        <v>3</v>
      </c>
      <c r="O288">
        <v>0</v>
      </c>
      <c r="P288" t="s">
        <v>40</v>
      </c>
      <c r="Q288" t="s">
        <v>41</v>
      </c>
      <c r="R288">
        <v>0</v>
      </c>
      <c r="S288">
        <v>7</v>
      </c>
      <c r="T288" t="s">
        <v>69</v>
      </c>
      <c r="U288" t="s">
        <v>42</v>
      </c>
      <c r="V288" t="s">
        <v>102</v>
      </c>
      <c r="W288" s="1">
        <v>45422</v>
      </c>
      <c r="X288" t="b">
        <v>1</v>
      </c>
      <c r="Y288" t="b">
        <v>0</v>
      </c>
      <c r="Z288" t="s">
        <v>44</v>
      </c>
      <c r="AA288" t="s">
        <v>60</v>
      </c>
      <c r="AB288">
        <v>9</v>
      </c>
      <c r="AF288" t="str">
        <f>tbl_OriginalData[[#This Row],[Customer_ID]]</f>
        <v>42-674-3987</v>
      </c>
      <c r="AG288">
        <f>tbl_OriginalData[[#This Row],[Age]]</f>
        <v>29</v>
      </c>
      <c r="AH288" t="str" cm="1">
        <f t="array" ref="AH28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88" t="str">
        <f>tbl_OriginalData[[#This Row],[Gender]]</f>
        <v>Genderqueer</v>
      </c>
      <c r="AJ288" t="str">
        <f>tbl_OriginalData[[#This Row],[Income_Level]]</f>
        <v>Middle</v>
      </c>
      <c r="AK288" t="str">
        <f>tbl_OriginalData[[#This Row],[Marital_Status]]</f>
        <v>Married</v>
      </c>
      <c r="AL288" t="str">
        <f>tbl_OriginalData[[#This Row],[Education_Level]]</f>
        <v>Master's</v>
      </c>
      <c r="AM288" t="str">
        <f>tbl_OriginalData[[#This Row],[Occupation]]</f>
        <v>High</v>
      </c>
      <c r="AN288" t="s">
        <v>768</v>
      </c>
      <c r="AO288" t="s">
        <v>61</v>
      </c>
      <c r="AP288" t="str">
        <f>tbl_OriginalData[[#This Row],[Purchase_Category]]</f>
        <v>Animal Feed</v>
      </c>
      <c r="AQ288" s="4">
        <f>tbl_OriginalData[[#This Row],[Purchase_Amount]]</f>
        <v>443.52</v>
      </c>
      <c r="AR288">
        <f>tbl_OriginalData[[#This Row],[Frequency_of_Purchase]]</f>
        <v>5</v>
      </c>
      <c r="AS288" t="str">
        <f>tbl_OriginalData[[#This Row],[Purchase_Channel]]</f>
        <v>In-Store</v>
      </c>
      <c r="AT288">
        <f>tbl_OriginalData[[#This Row],[Brand_Loyalty]]</f>
        <v>5</v>
      </c>
      <c r="AU288">
        <f>tbl_OriginalData[[#This Row],[Product_Rating]]</f>
        <v>3</v>
      </c>
      <c r="AV288">
        <f>tbl_OriginalData[[#This Row],[Time_Spent_on_Product_Research(hours)]]*60</f>
        <v>0</v>
      </c>
      <c r="AW288" t="str">
        <f>tbl_OriginalData[[#This Row],[Social_Media_Influence]]</f>
        <v>None</v>
      </c>
      <c r="AX288" t="str">
        <f>tbl_OriginalData[[#This Row],[Discount_Sensitivity]]</f>
        <v>Somewhat Sensitive</v>
      </c>
      <c r="AY288" s="3">
        <f>tbl_OriginalData[[#This Row],[Return_Rate]]/tbl_OriginalData[[#This Row],[Frequency_of_Purchase]]</f>
        <v>0</v>
      </c>
      <c r="AZ288">
        <f>tbl_OriginalData[[#This Row],[Customer_Satisfaction]]</f>
        <v>7</v>
      </c>
      <c r="BA288" t="str">
        <f>tbl_OriginalData[[#This Row],[Engagement_with_Ads]]</f>
        <v>Low</v>
      </c>
      <c r="BB288" t="str">
        <f>tbl_OriginalData[[#This Row],[Device_Used_for_Shopping]]</f>
        <v>Tablet</v>
      </c>
      <c r="BC288" t="str">
        <f>tbl_OriginalData[[#This Row],[Payment_Method]]</f>
        <v>Cash</v>
      </c>
      <c r="BD288" s="1">
        <f>tbl_OriginalData[[#This Row],[Time_of_Purchase]]</f>
        <v>45422</v>
      </c>
      <c r="BE288" t="str">
        <f>IF(tbl_OriginalData[[#This Row],[Discount_Used]]=TRUE,"Yes","No")</f>
        <v>Yes</v>
      </c>
      <c r="BF288" t="str">
        <f>IF(tbl_OriginalData[[#This Row],[Customer_Loyalty_Program_Member]]=TRUE,"Yes","No")</f>
        <v>No</v>
      </c>
      <c r="BG288" t="str">
        <f>tbl_OriginalData[[#This Row],[Purchase_Intent]]</f>
        <v>Need-based</v>
      </c>
      <c r="BH288" t="str">
        <f>tbl_OriginalData[[#This Row],[Shipping_Preference]]</f>
        <v>Standard</v>
      </c>
      <c r="BI288">
        <f>tbl_OriginalData[[#This Row],[Time_to_Decision]]</f>
        <v>9</v>
      </c>
      <c r="BJ288" t="s">
        <v>167</v>
      </c>
      <c r="BK288" t="s">
        <v>63</v>
      </c>
      <c r="BL288" t="s">
        <v>2524</v>
      </c>
    </row>
    <row r="289" spans="1:64">
      <c r="A289" t="s">
        <v>769</v>
      </c>
      <c r="B289">
        <v>45</v>
      </c>
      <c r="C289" t="s">
        <v>188</v>
      </c>
      <c r="D289" t="s">
        <v>34</v>
      </c>
      <c r="E289" t="s">
        <v>92</v>
      </c>
      <c r="F289" t="s">
        <v>52</v>
      </c>
      <c r="G289" t="s">
        <v>51</v>
      </c>
      <c r="H289" t="s">
        <v>770</v>
      </c>
      <c r="I289" t="s">
        <v>306</v>
      </c>
      <c r="J289">
        <v>457.18</v>
      </c>
      <c r="K289">
        <v>7</v>
      </c>
      <c r="L289" t="s">
        <v>55</v>
      </c>
      <c r="M289">
        <v>4</v>
      </c>
      <c r="N289">
        <v>3</v>
      </c>
      <c r="O289">
        <v>2</v>
      </c>
      <c r="P289" t="s">
        <v>51</v>
      </c>
      <c r="Q289" t="s">
        <v>101</v>
      </c>
      <c r="R289">
        <v>2</v>
      </c>
      <c r="S289">
        <v>6</v>
      </c>
      <c r="T289" t="s">
        <v>56</v>
      </c>
      <c r="U289" t="s">
        <v>70</v>
      </c>
      <c r="V289" t="s">
        <v>76</v>
      </c>
      <c r="W289" s="1">
        <v>45524</v>
      </c>
      <c r="X289" t="b">
        <v>1</v>
      </c>
      <c r="Y289" t="b">
        <v>1</v>
      </c>
      <c r="Z289" t="s">
        <v>59</v>
      </c>
      <c r="AA289" t="s">
        <v>77</v>
      </c>
      <c r="AB289">
        <v>10</v>
      </c>
      <c r="AF289" t="str">
        <f>tbl_OriginalData[[#This Row],[Customer_ID]]</f>
        <v>41-934-7739</v>
      </c>
      <c r="AG289">
        <f>tbl_OriginalData[[#This Row],[Age]]</f>
        <v>45</v>
      </c>
      <c r="AH289" t="str" cm="1">
        <f t="array" ref="AH28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89" t="str">
        <f>tbl_OriginalData[[#This Row],[Gender]]</f>
        <v>Genderfluid</v>
      </c>
      <c r="AJ289" t="str">
        <f>tbl_OriginalData[[#This Row],[Income_Level]]</f>
        <v>Middle</v>
      </c>
      <c r="AK289" t="str">
        <f>tbl_OriginalData[[#This Row],[Marital_Status]]</f>
        <v>Divorced</v>
      </c>
      <c r="AL289" t="str">
        <f>tbl_OriginalData[[#This Row],[Education_Level]]</f>
        <v>High School</v>
      </c>
      <c r="AM289" t="str">
        <f>tbl_OriginalData[[#This Row],[Occupation]]</f>
        <v>High</v>
      </c>
      <c r="AN289" t="s">
        <v>770</v>
      </c>
      <c r="AO289" t="s">
        <v>246</v>
      </c>
      <c r="AP289" t="str">
        <f>tbl_OriginalData[[#This Row],[Purchase_Category]]</f>
        <v>Jewelry &amp; Accessories</v>
      </c>
      <c r="AQ289" s="4">
        <f>tbl_OriginalData[[#This Row],[Purchase_Amount]]</f>
        <v>457.18</v>
      </c>
      <c r="AR289">
        <f>tbl_OriginalData[[#This Row],[Frequency_of_Purchase]]</f>
        <v>7</v>
      </c>
      <c r="AS289" t="str">
        <f>tbl_OriginalData[[#This Row],[Purchase_Channel]]</f>
        <v>In-Store</v>
      </c>
      <c r="AT289">
        <f>tbl_OriginalData[[#This Row],[Brand_Loyalty]]</f>
        <v>4</v>
      </c>
      <c r="AU289">
        <f>tbl_OriginalData[[#This Row],[Product_Rating]]</f>
        <v>3</v>
      </c>
      <c r="AV289">
        <f>tbl_OriginalData[[#This Row],[Time_Spent_on_Product_Research(hours)]]*60</f>
        <v>120</v>
      </c>
      <c r="AW289" t="str">
        <f>tbl_OriginalData[[#This Row],[Social_Media_Influence]]</f>
        <v>High</v>
      </c>
      <c r="AX289" t="str">
        <f>tbl_OriginalData[[#This Row],[Discount_Sensitivity]]</f>
        <v>Very Sensitive</v>
      </c>
      <c r="AY289" s="3">
        <f>tbl_OriginalData[[#This Row],[Return_Rate]]/tbl_OriginalData[[#This Row],[Frequency_of_Purchase]]</f>
        <v>0.2857142857142857</v>
      </c>
      <c r="AZ289">
        <f>tbl_OriginalData[[#This Row],[Customer_Satisfaction]]</f>
        <v>6</v>
      </c>
      <c r="BA289" t="str">
        <f>tbl_OriginalData[[#This Row],[Engagement_with_Ads]]</f>
        <v>Medium</v>
      </c>
      <c r="BB289" t="str">
        <f>tbl_OriginalData[[#This Row],[Device_Used_for_Shopping]]</f>
        <v>Smartphone</v>
      </c>
      <c r="BC289" t="str">
        <f>tbl_OriginalData[[#This Row],[Payment_Method]]</f>
        <v>Other</v>
      </c>
      <c r="BD289" s="1">
        <f>tbl_OriginalData[[#This Row],[Time_of_Purchase]]</f>
        <v>45524</v>
      </c>
      <c r="BE289" t="str">
        <f>IF(tbl_OriginalData[[#This Row],[Discount_Used]]=TRUE,"Yes","No")</f>
        <v>Yes</v>
      </c>
      <c r="BF289" t="str">
        <f>IF(tbl_OriginalData[[#This Row],[Customer_Loyalty_Program_Member]]=TRUE,"Yes","No")</f>
        <v>Yes</v>
      </c>
      <c r="BG289" t="str">
        <f>tbl_OriginalData[[#This Row],[Purchase_Intent]]</f>
        <v>Wants-based</v>
      </c>
      <c r="BH289" t="str">
        <f>tbl_OriginalData[[#This Row],[Shipping_Preference]]</f>
        <v>Express</v>
      </c>
      <c r="BI289">
        <f>tbl_OriginalData[[#This Row],[Time_to_Decision]]</f>
        <v>10</v>
      </c>
      <c r="BJ289" t="s">
        <v>124</v>
      </c>
      <c r="BK289" t="s">
        <v>115</v>
      </c>
      <c r="BL289" t="s">
        <v>2523</v>
      </c>
    </row>
    <row r="290" spans="1:64">
      <c r="A290" t="s">
        <v>771</v>
      </c>
      <c r="B290">
        <v>38</v>
      </c>
      <c r="C290" t="s">
        <v>50</v>
      </c>
      <c r="D290" t="s">
        <v>34</v>
      </c>
      <c r="E290" t="s">
        <v>65</v>
      </c>
      <c r="F290" t="s">
        <v>66</v>
      </c>
      <c r="G290" t="s">
        <v>51</v>
      </c>
      <c r="H290" t="s">
        <v>772</v>
      </c>
      <c r="I290" t="s">
        <v>98</v>
      </c>
      <c r="J290">
        <v>407.88</v>
      </c>
      <c r="K290">
        <v>4</v>
      </c>
      <c r="L290" t="s">
        <v>55</v>
      </c>
      <c r="M290">
        <v>1</v>
      </c>
      <c r="N290">
        <v>3</v>
      </c>
      <c r="O290">
        <v>1</v>
      </c>
      <c r="P290" t="s">
        <v>40</v>
      </c>
      <c r="Q290" t="s">
        <v>101</v>
      </c>
      <c r="R290">
        <v>1</v>
      </c>
      <c r="S290">
        <v>10</v>
      </c>
      <c r="T290" t="s">
        <v>56</v>
      </c>
      <c r="U290" t="s">
        <v>42</v>
      </c>
      <c r="V290" t="s">
        <v>102</v>
      </c>
      <c r="W290" s="1">
        <v>45607</v>
      </c>
      <c r="X290" t="b">
        <v>0</v>
      </c>
      <c r="Y290" t="b">
        <v>0</v>
      </c>
      <c r="Z290" t="s">
        <v>89</v>
      </c>
      <c r="AA290" t="s">
        <v>60</v>
      </c>
      <c r="AB290">
        <v>14</v>
      </c>
      <c r="AF290" t="str">
        <f>tbl_OriginalData[[#This Row],[Customer_ID]]</f>
        <v>48-825-0400</v>
      </c>
      <c r="AG290">
        <f>tbl_OriginalData[[#This Row],[Age]]</f>
        <v>38</v>
      </c>
      <c r="AH290" t="str" cm="1">
        <f t="array" ref="AH29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90" t="str">
        <f>tbl_OriginalData[[#This Row],[Gender]]</f>
        <v>Male</v>
      </c>
      <c r="AJ290" t="str">
        <f>tbl_OriginalData[[#This Row],[Income_Level]]</f>
        <v>Middle</v>
      </c>
      <c r="AK290" t="str">
        <f>tbl_OriginalData[[#This Row],[Marital_Status]]</f>
        <v>Single</v>
      </c>
      <c r="AL290" t="str">
        <f>tbl_OriginalData[[#This Row],[Education_Level]]</f>
        <v>Master's</v>
      </c>
      <c r="AM290" t="str">
        <f>tbl_OriginalData[[#This Row],[Occupation]]</f>
        <v>High</v>
      </c>
      <c r="AN290" t="s">
        <v>772</v>
      </c>
      <c r="AO290" t="s">
        <v>103</v>
      </c>
      <c r="AP290" t="str">
        <f>tbl_OriginalData[[#This Row],[Purchase_Category]]</f>
        <v>Books</v>
      </c>
      <c r="AQ290" s="4">
        <f>tbl_OriginalData[[#This Row],[Purchase_Amount]]</f>
        <v>407.88</v>
      </c>
      <c r="AR290">
        <f>tbl_OriginalData[[#This Row],[Frequency_of_Purchase]]</f>
        <v>4</v>
      </c>
      <c r="AS290" t="str">
        <f>tbl_OriginalData[[#This Row],[Purchase_Channel]]</f>
        <v>In-Store</v>
      </c>
      <c r="AT290">
        <f>tbl_OriginalData[[#This Row],[Brand_Loyalty]]</f>
        <v>1</v>
      </c>
      <c r="AU290">
        <f>tbl_OriginalData[[#This Row],[Product_Rating]]</f>
        <v>3</v>
      </c>
      <c r="AV290">
        <f>tbl_OriginalData[[#This Row],[Time_Spent_on_Product_Research(hours)]]*60</f>
        <v>60</v>
      </c>
      <c r="AW290" t="str">
        <f>tbl_OriginalData[[#This Row],[Social_Media_Influence]]</f>
        <v>None</v>
      </c>
      <c r="AX290" t="str">
        <f>tbl_OriginalData[[#This Row],[Discount_Sensitivity]]</f>
        <v>Very Sensitive</v>
      </c>
      <c r="AY290" s="3">
        <f>tbl_OriginalData[[#This Row],[Return_Rate]]/tbl_OriginalData[[#This Row],[Frequency_of_Purchase]]</f>
        <v>0.25</v>
      </c>
      <c r="AZ290">
        <f>tbl_OriginalData[[#This Row],[Customer_Satisfaction]]</f>
        <v>10</v>
      </c>
      <c r="BA290" t="str">
        <f>tbl_OriginalData[[#This Row],[Engagement_with_Ads]]</f>
        <v>Medium</v>
      </c>
      <c r="BB290" t="str">
        <f>tbl_OriginalData[[#This Row],[Device_Used_for_Shopping]]</f>
        <v>Tablet</v>
      </c>
      <c r="BC290" t="str">
        <f>tbl_OriginalData[[#This Row],[Payment_Method]]</f>
        <v>Cash</v>
      </c>
      <c r="BD290" s="1">
        <f>tbl_OriginalData[[#This Row],[Time_of_Purchase]]</f>
        <v>45607</v>
      </c>
      <c r="BE290" t="str">
        <f>IF(tbl_OriginalData[[#This Row],[Discount_Used]]=TRUE,"Yes","No")</f>
        <v>No</v>
      </c>
      <c r="BF290" t="str">
        <f>IF(tbl_OriginalData[[#This Row],[Customer_Loyalty_Program_Member]]=TRUE,"Yes","No")</f>
        <v>No</v>
      </c>
      <c r="BG290" t="str">
        <f>tbl_OriginalData[[#This Row],[Purchase_Intent]]</f>
        <v>Planned</v>
      </c>
      <c r="BH290" t="str">
        <f>tbl_OriginalData[[#This Row],[Shipping_Preference]]</f>
        <v>Standard</v>
      </c>
      <c r="BI290">
        <f>tbl_OriginalData[[#This Row],[Time_to_Decision]]</f>
        <v>14</v>
      </c>
      <c r="BJ290" t="s">
        <v>177</v>
      </c>
      <c r="BK290" t="s">
        <v>80</v>
      </c>
      <c r="BL290" t="s">
        <v>2523</v>
      </c>
    </row>
    <row r="291" spans="1:64">
      <c r="A291" t="s">
        <v>773</v>
      </c>
      <c r="B291">
        <v>30</v>
      </c>
      <c r="C291" t="s">
        <v>50</v>
      </c>
      <c r="D291" t="s">
        <v>34</v>
      </c>
      <c r="E291" t="s">
        <v>82</v>
      </c>
      <c r="F291" t="s">
        <v>36</v>
      </c>
      <c r="G291" t="s">
        <v>34</v>
      </c>
      <c r="H291" t="s">
        <v>774</v>
      </c>
      <c r="I291" t="s">
        <v>98</v>
      </c>
      <c r="J291">
        <v>448.68</v>
      </c>
      <c r="K291">
        <v>8</v>
      </c>
      <c r="L291" t="s">
        <v>55</v>
      </c>
      <c r="M291">
        <v>4</v>
      </c>
      <c r="N291">
        <v>4</v>
      </c>
      <c r="O291">
        <v>2</v>
      </c>
      <c r="P291" t="s">
        <v>51</v>
      </c>
      <c r="Q291" t="s">
        <v>41</v>
      </c>
      <c r="R291">
        <v>1</v>
      </c>
      <c r="S291">
        <v>3</v>
      </c>
      <c r="T291" t="s">
        <v>56</v>
      </c>
      <c r="U291" t="s">
        <v>42</v>
      </c>
      <c r="V291" t="s">
        <v>71</v>
      </c>
      <c r="W291" s="1">
        <v>45437</v>
      </c>
      <c r="X291" t="b">
        <v>1</v>
      </c>
      <c r="Y291" t="b">
        <v>0</v>
      </c>
      <c r="Z291" t="s">
        <v>59</v>
      </c>
      <c r="AA291" t="s">
        <v>77</v>
      </c>
      <c r="AB291">
        <v>8</v>
      </c>
      <c r="AF291" t="str">
        <f>tbl_OriginalData[[#This Row],[Customer_ID]]</f>
        <v>30-133-5120</v>
      </c>
      <c r="AG291">
        <f>tbl_OriginalData[[#This Row],[Age]]</f>
        <v>30</v>
      </c>
      <c r="AH291" t="str" cm="1">
        <f t="array" ref="AH29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91" t="str">
        <f>tbl_OriginalData[[#This Row],[Gender]]</f>
        <v>Male</v>
      </c>
      <c r="AJ291" t="str">
        <f>tbl_OriginalData[[#This Row],[Income_Level]]</f>
        <v>Middle</v>
      </c>
      <c r="AK291" t="str">
        <f>tbl_OriginalData[[#This Row],[Marital_Status]]</f>
        <v>Widowed</v>
      </c>
      <c r="AL291" t="str">
        <f>tbl_OriginalData[[#This Row],[Education_Level]]</f>
        <v>Bachelor's</v>
      </c>
      <c r="AM291" t="str">
        <f>tbl_OriginalData[[#This Row],[Occupation]]</f>
        <v>Middle</v>
      </c>
      <c r="AN291" t="s">
        <v>774</v>
      </c>
      <c r="AO291" t="s">
        <v>775</v>
      </c>
      <c r="AP291" t="str">
        <f>tbl_OriginalData[[#This Row],[Purchase_Category]]</f>
        <v>Books</v>
      </c>
      <c r="AQ291" s="4">
        <f>tbl_OriginalData[[#This Row],[Purchase_Amount]]</f>
        <v>448.68</v>
      </c>
      <c r="AR291">
        <f>tbl_OriginalData[[#This Row],[Frequency_of_Purchase]]</f>
        <v>8</v>
      </c>
      <c r="AS291" t="str">
        <f>tbl_OriginalData[[#This Row],[Purchase_Channel]]</f>
        <v>In-Store</v>
      </c>
      <c r="AT291">
        <f>tbl_OriginalData[[#This Row],[Brand_Loyalty]]</f>
        <v>4</v>
      </c>
      <c r="AU291">
        <f>tbl_OriginalData[[#This Row],[Product_Rating]]</f>
        <v>4</v>
      </c>
      <c r="AV291">
        <f>tbl_OriginalData[[#This Row],[Time_Spent_on_Product_Research(hours)]]*60</f>
        <v>120</v>
      </c>
      <c r="AW291" t="str">
        <f>tbl_OriginalData[[#This Row],[Social_Media_Influence]]</f>
        <v>High</v>
      </c>
      <c r="AX291" t="str">
        <f>tbl_OriginalData[[#This Row],[Discount_Sensitivity]]</f>
        <v>Somewhat Sensitive</v>
      </c>
      <c r="AY291" s="3">
        <f>tbl_OriginalData[[#This Row],[Return_Rate]]/tbl_OriginalData[[#This Row],[Frequency_of_Purchase]]</f>
        <v>0.125</v>
      </c>
      <c r="AZ291">
        <f>tbl_OriginalData[[#This Row],[Customer_Satisfaction]]</f>
        <v>3</v>
      </c>
      <c r="BA291" t="str">
        <f>tbl_OriginalData[[#This Row],[Engagement_with_Ads]]</f>
        <v>Medium</v>
      </c>
      <c r="BB291" t="str">
        <f>tbl_OriginalData[[#This Row],[Device_Used_for_Shopping]]</f>
        <v>Tablet</v>
      </c>
      <c r="BC291" t="str">
        <f>tbl_OriginalData[[#This Row],[Payment_Method]]</f>
        <v>Debit Card</v>
      </c>
      <c r="BD291" s="1">
        <f>tbl_OriginalData[[#This Row],[Time_of_Purchase]]</f>
        <v>45437</v>
      </c>
      <c r="BE291" t="str">
        <f>IF(tbl_OriginalData[[#This Row],[Discount_Used]]=TRUE,"Yes","No")</f>
        <v>Yes</v>
      </c>
      <c r="BF291" t="str">
        <f>IF(tbl_OriginalData[[#This Row],[Customer_Loyalty_Program_Member]]=TRUE,"Yes","No")</f>
        <v>No</v>
      </c>
      <c r="BG291" t="str">
        <f>tbl_OriginalData[[#This Row],[Purchase_Intent]]</f>
        <v>Wants-based</v>
      </c>
      <c r="BH291" t="str">
        <f>tbl_OriginalData[[#This Row],[Shipping_Preference]]</f>
        <v>Express</v>
      </c>
      <c r="BI291">
        <f>tbl_OriginalData[[#This Row],[Time_to_Decision]]</f>
        <v>8</v>
      </c>
      <c r="BJ291" t="s">
        <v>167</v>
      </c>
      <c r="BK291" t="s">
        <v>63</v>
      </c>
      <c r="BL291" t="s">
        <v>2528</v>
      </c>
    </row>
    <row r="292" spans="1:64">
      <c r="A292" t="s">
        <v>776</v>
      </c>
      <c r="B292">
        <v>40</v>
      </c>
      <c r="C292" t="s">
        <v>33</v>
      </c>
      <c r="D292" t="s">
        <v>51</v>
      </c>
      <c r="E292" t="s">
        <v>82</v>
      </c>
      <c r="F292" t="s">
        <v>36</v>
      </c>
      <c r="G292" t="s">
        <v>51</v>
      </c>
      <c r="H292" t="s">
        <v>777</v>
      </c>
      <c r="I292" t="s">
        <v>147</v>
      </c>
      <c r="J292">
        <v>255.96</v>
      </c>
      <c r="K292">
        <v>7</v>
      </c>
      <c r="L292" t="s">
        <v>94</v>
      </c>
      <c r="M292">
        <v>5</v>
      </c>
      <c r="N292">
        <v>1</v>
      </c>
      <c r="O292">
        <v>1</v>
      </c>
      <c r="P292" t="s">
        <v>51</v>
      </c>
      <c r="Q292" t="s">
        <v>101</v>
      </c>
      <c r="R292">
        <v>0</v>
      </c>
      <c r="S292">
        <v>10</v>
      </c>
      <c r="T292" t="s">
        <v>40</v>
      </c>
      <c r="U292" t="s">
        <v>42</v>
      </c>
      <c r="V292" t="s">
        <v>102</v>
      </c>
      <c r="W292" s="1">
        <v>45649</v>
      </c>
      <c r="X292" t="b">
        <v>0</v>
      </c>
      <c r="Y292" t="b">
        <v>0</v>
      </c>
      <c r="Z292" t="s">
        <v>44</v>
      </c>
      <c r="AA292" t="s">
        <v>45</v>
      </c>
      <c r="AB292">
        <v>13</v>
      </c>
      <c r="AF292" t="str">
        <f>tbl_OriginalData[[#This Row],[Customer_ID]]</f>
        <v>29-827-8515</v>
      </c>
      <c r="AG292">
        <f>tbl_OriginalData[[#This Row],[Age]]</f>
        <v>40</v>
      </c>
      <c r="AH292" t="str" cm="1">
        <f t="array" ref="AH29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92" t="str">
        <f>tbl_OriginalData[[#This Row],[Gender]]</f>
        <v>Female</v>
      </c>
      <c r="AJ292" t="str">
        <f>tbl_OriginalData[[#This Row],[Income_Level]]</f>
        <v>High</v>
      </c>
      <c r="AK292" t="str">
        <f>tbl_OriginalData[[#This Row],[Marital_Status]]</f>
        <v>Widowed</v>
      </c>
      <c r="AL292" t="str">
        <f>tbl_OriginalData[[#This Row],[Education_Level]]</f>
        <v>Bachelor's</v>
      </c>
      <c r="AM292" t="str">
        <f>tbl_OriginalData[[#This Row],[Occupation]]</f>
        <v>High</v>
      </c>
      <c r="AN292" t="s">
        <v>777</v>
      </c>
      <c r="AO292" t="s">
        <v>61</v>
      </c>
      <c r="AP292" t="str">
        <f>tbl_OriginalData[[#This Row],[Purchase_Category]]</f>
        <v>Electronics</v>
      </c>
      <c r="AQ292" s="4">
        <f>tbl_OriginalData[[#This Row],[Purchase_Amount]]</f>
        <v>255.96</v>
      </c>
      <c r="AR292">
        <f>tbl_OriginalData[[#This Row],[Frequency_of_Purchase]]</f>
        <v>7</v>
      </c>
      <c r="AS292" t="str">
        <f>tbl_OriginalData[[#This Row],[Purchase_Channel]]</f>
        <v>Online</v>
      </c>
      <c r="AT292">
        <f>tbl_OriginalData[[#This Row],[Brand_Loyalty]]</f>
        <v>5</v>
      </c>
      <c r="AU292">
        <f>tbl_OriginalData[[#This Row],[Product_Rating]]</f>
        <v>1</v>
      </c>
      <c r="AV292">
        <f>tbl_OriginalData[[#This Row],[Time_Spent_on_Product_Research(hours)]]*60</f>
        <v>60</v>
      </c>
      <c r="AW292" t="str">
        <f>tbl_OriginalData[[#This Row],[Social_Media_Influence]]</f>
        <v>High</v>
      </c>
      <c r="AX292" t="str">
        <f>tbl_OriginalData[[#This Row],[Discount_Sensitivity]]</f>
        <v>Very Sensitive</v>
      </c>
      <c r="AY292" s="3">
        <f>tbl_OriginalData[[#This Row],[Return_Rate]]/tbl_OriginalData[[#This Row],[Frequency_of_Purchase]]</f>
        <v>0</v>
      </c>
      <c r="AZ292">
        <f>tbl_OriginalData[[#This Row],[Customer_Satisfaction]]</f>
        <v>10</v>
      </c>
      <c r="BA292" t="str">
        <f>tbl_OriginalData[[#This Row],[Engagement_with_Ads]]</f>
        <v>None</v>
      </c>
      <c r="BB292" t="str">
        <f>tbl_OriginalData[[#This Row],[Device_Used_for_Shopping]]</f>
        <v>Tablet</v>
      </c>
      <c r="BC292" t="str">
        <f>tbl_OriginalData[[#This Row],[Payment_Method]]</f>
        <v>Cash</v>
      </c>
      <c r="BD292" s="1">
        <f>tbl_OriginalData[[#This Row],[Time_of_Purchase]]</f>
        <v>45649</v>
      </c>
      <c r="BE292" t="str">
        <f>IF(tbl_OriginalData[[#This Row],[Discount_Used]]=TRUE,"Yes","No")</f>
        <v>No</v>
      </c>
      <c r="BF292" t="str">
        <f>IF(tbl_OriginalData[[#This Row],[Customer_Loyalty_Program_Member]]=TRUE,"Yes","No")</f>
        <v>No</v>
      </c>
      <c r="BG292" t="str">
        <f>tbl_OriginalData[[#This Row],[Purchase_Intent]]</f>
        <v>Need-based</v>
      </c>
      <c r="BH292" t="str">
        <f>tbl_OriginalData[[#This Row],[Shipping_Preference]]</f>
        <v>No Preference</v>
      </c>
      <c r="BI292">
        <f>tbl_OriginalData[[#This Row],[Time_to_Decision]]</f>
        <v>13</v>
      </c>
      <c r="BJ292" t="s">
        <v>120</v>
      </c>
      <c r="BK292" t="s">
        <v>80</v>
      </c>
      <c r="BL292" t="s">
        <v>2524</v>
      </c>
    </row>
    <row r="293" spans="1:64">
      <c r="A293" t="s">
        <v>778</v>
      </c>
      <c r="B293">
        <v>45</v>
      </c>
      <c r="C293" t="s">
        <v>50</v>
      </c>
      <c r="D293" t="s">
        <v>34</v>
      </c>
      <c r="E293" t="s">
        <v>35</v>
      </c>
      <c r="F293" t="s">
        <v>52</v>
      </c>
      <c r="G293" t="s">
        <v>51</v>
      </c>
      <c r="H293" t="s">
        <v>779</v>
      </c>
      <c r="I293" t="s">
        <v>123</v>
      </c>
      <c r="J293">
        <v>146.07</v>
      </c>
      <c r="K293">
        <v>7</v>
      </c>
      <c r="L293" t="s">
        <v>55</v>
      </c>
      <c r="M293">
        <v>4</v>
      </c>
      <c r="N293">
        <v>2</v>
      </c>
      <c r="O293">
        <v>1</v>
      </c>
      <c r="P293" t="s">
        <v>69</v>
      </c>
      <c r="Q293" t="s">
        <v>101</v>
      </c>
      <c r="R293">
        <v>1</v>
      </c>
      <c r="S293">
        <v>6</v>
      </c>
      <c r="T293" t="s">
        <v>40</v>
      </c>
      <c r="U293" t="s">
        <v>42</v>
      </c>
      <c r="V293" t="s">
        <v>43</v>
      </c>
      <c r="W293" s="1">
        <v>45480</v>
      </c>
      <c r="X293" t="b">
        <v>1</v>
      </c>
      <c r="Y293" t="b">
        <v>1</v>
      </c>
      <c r="Z293" t="s">
        <v>44</v>
      </c>
      <c r="AA293" t="s">
        <v>60</v>
      </c>
      <c r="AB293">
        <v>1</v>
      </c>
      <c r="AF293" t="str">
        <f>tbl_OriginalData[[#This Row],[Customer_ID]]</f>
        <v>91-724-4633</v>
      </c>
      <c r="AG293">
        <f>tbl_OriginalData[[#This Row],[Age]]</f>
        <v>45</v>
      </c>
      <c r="AH293" t="str" cm="1">
        <f t="array" ref="AH29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93" t="str">
        <f>tbl_OriginalData[[#This Row],[Gender]]</f>
        <v>Male</v>
      </c>
      <c r="AJ293" t="str">
        <f>tbl_OriginalData[[#This Row],[Income_Level]]</f>
        <v>Middle</v>
      </c>
      <c r="AK293" t="str">
        <f>tbl_OriginalData[[#This Row],[Marital_Status]]</f>
        <v>Married</v>
      </c>
      <c r="AL293" t="str">
        <f>tbl_OriginalData[[#This Row],[Education_Level]]</f>
        <v>High School</v>
      </c>
      <c r="AM293" t="str">
        <f>tbl_OriginalData[[#This Row],[Occupation]]</f>
        <v>High</v>
      </c>
      <c r="AN293" t="s">
        <v>779</v>
      </c>
      <c r="AO293" t="s">
        <v>328</v>
      </c>
      <c r="AP293" t="str">
        <f>tbl_OriginalData[[#This Row],[Purchase_Category]]</f>
        <v>Luxury Goods</v>
      </c>
      <c r="AQ293" s="4">
        <f>tbl_OriginalData[[#This Row],[Purchase_Amount]]</f>
        <v>146.07</v>
      </c>
      <c r="AR293">
        <f>tbl_OriginalData[[#This Row],[Frequency_of_Purchase]]</f>
        <v>7</v>
      </c>
      <c r="AS293" t="str">
        <f>tbl_OriginalData[[#This Row],[Purchase_Channel]]</f>
        <v>In-Store</v>
      </c>
      <c r="AT293">
        <f>tbl_OriginalData[[#This Row],[Brand_Loyalty]]</f>
        <v>4</v>
      </c>
      <c r="AU293">
        <f>tbl_OriginalData[[#This Row],[Product_Rating]]</f>
        <v>2</v>
      </c>
      <c r="AV293">
        <f>tbl_OriginalData[[#This Row],[Time_Spent_on_Product_Research(hours)]]*60</f>
        <v>60</v>
      </c>
      <c r="AW293" t="str">
        <f>tbl_OriginalData[[#This Row],[Social_Media_Influence]]</f>
        <v>Low</v>
      </c>
      <c r="AX293" t="str">
        <f>tbl_OriginalData[[#This Row],[Discount_Sensitivity]]</f>
        <v>Very Sensitive</v>
      </c>
      <c r="AY293" s="3">
        <f>tbl_OriginalData[[#This Row],[Return_Rate]]/tbl_OriginalData[[#This Row],[Frequency_of_Purchase]]</f>
        <v>0.14285714285714285</v>
      </c>
      <c r="AZ293">
        <f>tbl_OriginalData[[#This Row],[Customer_Satisfaction]]</f>
        <v>6</v>
      </c>
      <c r="BA293" t="str">
        <f>tbl_OriginalData[[#This Row],[Engagement_with_Ads]]</f>
        <v>None</v>
      </c>
      <c r="BB293" t="str">
        <f>tbl_OriginalData[[#This Row],[Device_Used_for_Shopping]]</f>
        <v>Tablet</v>
      </c>
      <c r="BC293" t="str">
        <f>tbl_OriginalData[[#This Row],[Payment_Method]]</f>
        <v>Credit Card</v>
      </c>
      <c r="BD293" s="1">
        <f>tbl_OriginalData[[#This Row],[Time_of_Purchase]]</f>
        <v>45480</v>
      </c>
      <c r="BE293" t="str">
        <f>IF(tbl_OriginalData[[#This Row],[Discount_Used]]=TRUE,"Yes","No")</f>
        <v>Yes</v>
      </c>
      <c r="BF293" t="str">
        <f>IF(tbl_OriginalData[[#This Row],[Customer_Loyalty_Program_Member]]=TRUE,"Yes","No")</f>
        <v>Yes</v>
      </c>
      <c r="BG293" t="str">
        <f>tbl_OriginalData[[#This Row],[Purchase_Intent]]</f>
        <v>Need-based</v>
      </c>
      <c r="BH293" t="str">
        <f>tbl_OriginalData[[#This Row],[Shipping_Preference]]</f>
        <v>Standard</v>
      </c>
      <c r="BI293">
        <f>tbl_OriginalData[[#This Row],[Time_to_Decision]]</f>
        <v>1</v>
      </c>
      <c r="BJ293" t="s">
        <v>114</v>
      </c>
      <c r="BK293" t="s">
        <v>115</v>
      </c>
      <c r="BL293" t="s">
        <v>2527</v>
      </c>
    </row>
    <row r="294" spans="1:64">
      <c r="A294" t="s">
        <v>780</v>
      </c>
      <c r="B294">
        <v>44</v>
      </c>
      <c r="C294" t="s">
        <v>33</v>
      </c>
      <c r="D294" t="s">
        <v>51</v>
      </c>
      <c r="E294" t="s">
        <v>65</v>
      </c>
      <c r="F294" t="s">
        <v>52</v>
      </c>
      <c r="G294" t="s">
        <v>34</v>
      </c>
      <c r="H294" t="s">
        <v>781</v>
      </c>
      <c r="I294" t="s">
        <v>180</v>
      </c>
      <c r="J294">
        <v>311.89999999999998</v>
      </c>
      <c r="K294">
        <v>4</v>
      </c>
      <c r="L294" t="s">
        <v>55</v>
      </c>
      <c r="M294">
        <v>2</v>
      </c>
      <c r="N294">
        <v>4</v>
      </c>
      <c r="O294">
        <v>2</v>
      </c>
      <c r="P294" t="s">
        <v>69</v>
      </c>
      <c r="Q294" t="s">
        <v>101</v>
      </c>
      <c r="R294">
        <v>0</v>
      </c>
      <c r="S294">
        <v>6</v>
      </c>
      <c r="T294" t="s">
        <v>51</v>
      </c>
      <c r="U294" t="s">
        <v>70</v>
      </c>
      <c r="V294" t="s">
        <v>43</v>
      </c>
      <c r="W294" s="1">
        <v>45656</v>
      </c>
      <c r="X294" t="b">
        <v>0</v>
      </c>
      <c r="Y294" t="b">
        <v>1</v>
      </c>
      <c r="Z294" t="s">
        <v>89</v>
      </c>
      <c r="AA294" t="s">
        <v>45</v>
      </c>
      <c r="AB294">
        <v>2</v>
      </c>
      <c r="AF294" t="str">
        <f>tbl_OriginalData[[#This Row],[Customer_ID]]</f>
        <v>10-328-5732</v>
      </c>
      <c r="AG294">
        <f>tbl_OriginalData[[#This Row],[Age]]</f>
        <v>44</v>
      </c>
      <c r="AH294" t="str" cm="1">
        <f t="array" ref="AH29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94" t="str">
        <f>tbl_OriginalData[[#This Row],[Gender]]</f>
        <v>Female</v>
      </c>
      <c r="AJ294" t="str">
        <f>tbl_OriginalData[[#This Row],[Income_Level]]</f>
        <v>High</v>
      </c>
      <c r="AK294" t="str">
        <f>tbl_OriginalData[[#This Row],[Marital_Status]]</f>
        <v>Single</v>
      </c>
      <c r="AL294" t="str">
        <f>tbl_OriginalData[[#This Row],[Education_Level]]</f>
        <v>High School</v>
      </c>
      <c r="AM294" t="str">
        <f>tbl_OriginalData[[#This Row],[Occupation]]</f>
        <v>Middle</v>
      </c>
      <c r="AN294" t="s">
        <v>781</v>
      </c>
      <c r="AO294" t="s">
        <v>90</v>
      </c>
      <c r="AP294" t="str">
        <f>tbl_OriginalData[[#This Row],[Purchase_Category]]</f>
        <v>Health Supplements</v>
      </c>
      <c r="AQ294" s="4">
        <f>tbl_OriginalData[[#This Row],[Purchase_Amount]]</f>
        <v>311.89999999999998</v>
      </c>
      <c r="AR294">
        <f>tbl_OriginalData[[#This Row],[Frequency_of_Purchase]]</f>
        <v>4</v>
      </c>
      <c r="AS294" t="str">
        <f>tbl_OriginalData[[#This Row],[Purchase_Channel]]</f>
        <v>In-Store</v>
      </c>
      <c r="AT294">
        <f>tbl_OriginalData[[#This Row],[Brand_Loyalty]]</f>
        <v>2</v>
      </c>
      <c r="AU294">
        <f>tbl_OriginalData[[#This Row],[Product_Rating]]</f>
        <v>4</v>
      </c>
      <c r="AV294">
        <f>tbl_OriginalData[[#This Row],[Time_Spent_on_Product_Research(hours)]]*60</f>
        <v>120</v>
      </c>
      <c r="AW294" t="str">
        <f>tbl_OriginalData[[#This Row],[Social_Media_Influence]]</f>
        <v>Low</v>
      </c>
      <c r="AX294" t="str">
        <f>tbl_OriginalData[[#This Row],[Discount_Sensitivity]]</f>
        <v>Very Sensitive</v>
      </c>
      <c r="AY294" s="3">
        <f>tbl_OriginalData[[#This Row],[Return_Rate]]/tbl_OriginalData[[#This Row],[Frequency_of_Purchase]]</f>
        <v>0</v>
      </c>
      <c r="AZ294">
        <f>tbl_OriginalData[[#This Row],[Customer_Satisfaction]]</f>
        <v>6</v>
      </c>
      <c r="BA294" t="str">
        <f>tbl_OriginalData[[#This Row],[Engagement_with_Ads]]</f>
        <v>High</v>
      </c>
      <c r="BB294" t="str">
        <f>tbl_OriginalData[[#This Row],[Device_Used_for_Shopping]]</f>
        <v>Smartphone</v>
      </c>
      <c r="BC294" t="str">
        <f>tbl_OriginalData[[#This Row],[Payment_Method]]</f>
        <v>Credit Card</v>
      </c>
      <c r="BD294" s="1">
        <f>tbl_OriginalData[[#This Row],[Time_of_Purchase]]</f>
        <v>45656</v>
      </c>
      <c r="BE294" t="str">
        <f>IF(tbl_OriginalData[[#This Row],[Discount_Used]]=TRUE,"Yes","No")</f>
        <v>No</v>
      </c>
      <c r="BF294" t="str">
        <f>IF(tbl_OriginalData[[#This Row],[Customer_Loyalty_Program_Member]]=TRUE,"Yes","No")</f>
        <v>Yes</v>
      </c>
      <c r="BG294" t="str">
        <f>tbl_OriginalData[[#This Row],[Purchase_Intent]]</f>
        <v>Planned</v>
      </c>
      <c r="BH294" t="str">
        <f>tbl_OriginalData[[#This Row],[Shipping_Preference]]</f>
        <v>No Preference</v>
      </c>
      <c r="BI294">
        <f>tbl_OriginalData[[#This Row],[Time_to_Decision]]</f>
        <v>2</v>
      </c>
      <c r="BJ294" t="s">
        <v>120</v>
      </c>
      <c r="BK294" t="s">
        <v>80</v>
      </c>
      <c r="BL294" t="s">
        <v>2524</v>
      </c>
    </row>
    <row r="295" spans="1:64">
      <c r="A295" t="s">
        <v>782</v>
      </c>
      <c r="B295">
        <v>38</v>
      </c>
      <c r="C295" t="s">
        <v>33</v>
      </c>
      <c r="D295" t="s">
        <v>34</v>
      </c>
      <c r="E295" t="s">
        <v>82</v>
      </c>
      <c r="F295" t="s">
        <v>52</v>
      </c>
      <c r="G295" t="s">
        <v>34</v>
      </c>
      <c r="H295" t="s">
        <v>783</v>
      </c>
      <c r="I295" t="s">
        <v>38</v>
      </c>
      <c r="J295">
        <v>301.60000000000002</v>
      </c>
      <c r="K295">
        <v>4</v>
      </c>
      <c r="L295" t="s">
        <v>39</v>
      </c>
      <c r="M295">
        <v>4</v>
      </c>
      <c r="N295">
        <v>5</v>
      </c>
      <c r="O295">
        <v>1</v>
      </c>
      <c r="P295" t="s">
        <v>69</v>
      </c>
      <c r="Q295" t="s">
        <v>57</v>
      </c>
      <c r="R295">
        <v>2</v>
      </c>
      <c r="S295">
        <v>10</v>
      </c>
      <c r="T295" t="s">
        <v>51</v>
      </c>
      <c r="U295" t="s">
        <v>95</v>
      </c>
      <c r="V295" t="s">
        <v>43</v>
      </c>
      <c r="W295" s="1">
        <v>45362</v>
      </c>
      <c r="X295" t="b">
        <v>0</v>
      </c>
      <c r="Y295" t="b">
        <v>0</v>
      </c>
      <c r="Z295" t="s">
        <v>72</v>
      </c>
      <c r="AA295" t="s">
        <v>60</v>
      </c>
      <c r="AB295">
        <v>13</v>
      </c>
      <c r="AF295" t="str">
        <f>tbl_OriginalData[[#This Row],[Customer_ID]]</f>
        <v>38-912-1128</v>
      </c>
      <c r="AG295">
        <f>tbl_OriginalData[[#This Row],[Age]]</f>
        <v>38</v>
      </c>
      <c r="AH295" t="str" cm="1">
        <f t="array" ref="AH29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95" t="str">
        <f>tbl_OriginalData[[#This Row],[Gender]]</f>
        <v>Female</v>
      </c>
      <c r="AJ295" t="str">
        <f>tbl_OriginalData[[#This Row],[Income_Level]]</f>
        <v>Middle</v>
      </c>
      <c r="AK295" t="str">
        <f>tbl_OriginalData[[#This Row],[Marital_Status]]</f>
        <v>Widowed</v>
      </c>
      <c r="AL295" t="str">
        <f>tbl_OriginalData[[#This Row],[Education_Level]]</f>
        <v>High School</v>
      </c>
      <c r="AM295" t="str">
        <f>tbl_OriginalData[[#This Row],[Occupation]]</f>
        <v>Middle</v>
      </c>
      <c r="AN295" t="s">
        <v>783</v>
      </c>
      <c r="AO295" t="s">
        <v>784</v>
      </c>
      <c r="AP295" t="str">
        <f>tbl_OriginalData[[#This Row],[Purchase_Category]]</f>
        <v>Gardening &amp; Outdoors</v>
      </c>
      <c r="AQ295" s="4">
        <f>tbl_OriginalData[[#This Row],[Purchase_Amount]]</f>
        <v>301.60000000000002</v>
      </c>
      <c r="AR295">
        <f>tbl_OriginalData[[#This Row],[Frequency_of_Purchase]]</f>
        <v>4</v>
      </c>
      <c r="AS295" t="str">
        <f>tbl_OriginalData[[#This Row],[Purchase_Channel]]</f>
        <v>Mixed</v>
      </c>
      <c r="AT295">
        <f>tbl_OriginalData[[#This Row],[Brand_Loyalty]]</f>
        <v>4</v>
      </c>
      <c r="AU295">
        <f>tbl_OriginalData[[#This Row],[Product_Rating]]</f>
        <v>5</v>
      </c>
      <c r="AV295">
        <f>tbl_OriginalData[[#This Row],[Time_Spent_on_Product_Research(hours)]]*60</f>
        <v>60</v>
      </c>
      <c r="AW295" t="str">
        <f>tbl_OriginalData[[#This Row],[Social_Media_Influence]]</f>
        <v>Low</v>
      </c>
      <c r="AX295" t="str">
        <f>tbl_OriginalData[[#This Row],[Discount_Sensitivity]]</f>
        <v>Not Sensitive</v>
      </c>
      <c r="AY295" s="3">
        <f>tbl_OriginalData[[#This Row],[Return_Rate]]/tbl_OriginalData[[#This Row],[Frequency_of_Purchase]]</f>
        <v>0.5</v>
      </c>
      <c r="AZ295">
        <f>tbl_OriginalData[[#This Row],[Customer_Satisfaction]]</f>
        <v>10</v>
      </c>
      <c r="BA295" t="str">
        <f>tbl_OriginalData[[#This Row],[Engagement_with_Ads]]</f>
        <v>High</v>
      </c>
      <c r="BB295" t="str">
        <f>tbl_OriginalData[[#This Row],[Device_Used_for_Shopping]]</f>
        <v>Desktop</v>
      </c>
      <c r="BC295" t="str">
        <f>tbl_OriginalData[[#This Row],[Payment_Method]]</f>
        <v>Credit Card</v>
      </c>
      <c r="BD295" s="1">
        <f>tbl_OriginalData[[#This Row],[Time_of_Purchase]]</f>
        <v>45362</v>
      </c>
      <c r="BE295" t="str">
        <f>IF(tbl_OriginalData[[#This Row],[Discount_Used]]=TRUE,"Yes","No")</f>
        <v>No</v>
      </c>
      <c r="BF295" t="str">
        <f>IF(tbl_OriginalData[[#This Row],[Customer_Loyalty_Program_Member]]=TRUE,"Yes","No")</f>
        <v>No</v>
      </c>
      <c r="BG295" t="str">
        <f>tbl_OriginalData[[#This Row],[Purchase_Intent]]</f>
        <v>Impulsive</v>
      </c>
      <c r="BH295" t="str">
        <f>tbl_OriginalData[[#This Row],[Shipping_Preference]]</f>
        <v>Standard</v>
      </c>
      <c r="BI295">
        <f>tbl_OriginalData[[#This Row],[Time_to_Decision]]</f>
        <v>13</v>
      </c>
      <c r="BJ295" t="s">
        <v>47</v>
      </c>
      <c r="BK295" t="s">
        <v>48</v>
      </c>
      <c r="BL295" t="s">
        <v>2528</v>
      </c>
    </row>
    <row r="296" spans="1:64">
      <c r="A296" t="s">
        <v>785</v>
      </c>
      <c r="B296">
        <v>23</v>
      </c>
      <c r="C296" t="s">
        <v>264</v>
      </c>
      <c r="D296" t="s">
        <v>34</v>
      </c>
      <c r="E296" t="s">
        <v>82</v>
      </c>
      <c r="F296" t="s">
        <v>36</v>
      </c>
      <c r="G296" t="s">
        <v>51</v>
      </c>
      <c r="H296" t="s">
        <v>786</v>
      </c>
      <c r="I296" t="s">
        <v>150</v>
      </c>
      <c r="J296">
        <v>297.45</v>
      </c>
      <c r="K296">
        <v>3</v>
      </c>
      <c r="L296" t="s">
        <v>39</v>
      </c>
      <c r="M296">
        <v>1</v>
      </c>
      <c r="N296">
        <v>5</v>
      </c>
      <c r="O296">
        <v>0</v>
      </c>
      <c r="P296" t="s">
        <v>56</v>
      </c>
      <c r="Q296" t="s">
        <v>101</v>
      </c>
      <c r="R296">
        <v>0</v>
      </c>
      <c r="S296">
        <v>7</v>
      </c>
      <c r="T296" t="s">
        <v>69</v>
      </c>
      <c r="U296" t="s">
        <v>42</v>
      </c>
      <c r="V296" t="s">
        <v>71</v>
      </c>
      <c r="W296" s="1">
        <v>45480</v>
      </c>
      <c r="X296" t="b">
        <v>0</v>
      </c>
      <c r="Y296" t="b">
        <v>0</v>
      </c>
      <c r="Z296" t="s">
        <v>89</v>
      </c>
      <c r="AA296" t="s">
        <v>45</v>
      </c>
      <c r="AB296">
        <v>4</v>
      </c>
      <c r="AF296" t="str">
        <f>tbl_OriginalData[[#This Row],[Customer_ID]]</f>
        <v>07-751-9620</v>
      </c>
      <c r="AG296">
        <f>tbl_OriginalData[[#This Row],[Age]]</f>
        <v>23</v>
      </c>
      <c r="AH296" t="str" cm="1">
        <f t="array" ref="AH29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96" t="str">
        <f>tbl_OriginalData[[#This Row],[Gender]]</f>
        <v>Polygender</v>
      </c>
      <c r="AJ296" t="str">
        <f>tbl_OriginalData[[#This Row],[Income_Level]]</f>
        <v>Middle</v>
      </c>
      <c r="AK296" t="str">
        <f>tbl_OriginalData[[#This Row],[Marital_Status]]</f>
        <v>Widowed</v>
      </c>
      <c r="AL296" t="str">
        <f>tbl_OriginalData[[#This Row],[Education_Level]]</f>
        <v>Bachelor's</v>
      </c>
      <c r="AM296" t="str">
        <f>tbl_OriginalData[[#This Row],[Occupation]]</f>
        <v>High</v>
      </c>
      <c r="AN296" t="s">
        <v>786</v>
      </c>
      <c r="AO296" t="s">
        <v>246</v>
      </c>
      <c r="AP296" t="str">
        <f>tbl_OriginalData[[#This Row],[Purchase_Category]]</f>
        <v>Software &amp; Apps</v>
      </c>
      <c r="AQ296" s="4">
        <f>tbl_OriginalData[[#This Row],[Purchase_Amount]]</f>
        <v>297.45</v>
      </c>
      <c r="AR296">
        <f>tbl_OriginalData[[#This Row],[Frequency_of_Purchase]]</f>
        <v>3</v>
      </c>
      <c r="AS296" t="str">
        <f>tbl_OriginalData[[#This Row],[Purchase_Channel]]</f>
        <v>Mixed</v>
      </c>
      <c r="AT296">
        <f>tbl_OriginalData[[#This Row],[Brand_Loyalty]]</f>
        <v>1</v>
      </c>
      <c r="AU296">
        <f>tbl_OriginalData[[#This Row],[Product_Rating]]</f>
        <v>5</v>
      </c>
      <c r="AV296">
        <f>tbl_OriginalData[[#This Row],[Time_Spent_on_Product_Research(hours)]]*60</f>
        <v>0</v>
      </c>
      <c r="AW296" t="str">
        <f>tbl_OriginalData[[#This Row],[Social_Media_Influence]]</f>
        <v>Medium</v>
      </c>
      <c r="AX296" t="str">
        <f>tbl_OriginalData[[#This Row],[Discount_Sensitivity]]</f>
        <v>Very Sensitive</v>
      </c>
      <c r="AY296" s="3">
        <f>tbl_OriginalData[[#This Row],[Return_Rate]]/tbl_OriginalData[[#This Row],[Frequency_of_Purchase]]</f>
        <v>0</v>
      </c>
      <c r="AZ296">
        <f>tbl_OriginalData[[#This Row],[Customer_Satisfaction]]</f>
        <v>7</v>
      </c>
      <c r="BA296" t="str">
        <f>tbl_OriginalData[[#This Row],[Engagement_with_Ads]]</f>
        <v>Low</v>
      </c>
      <c r="BB296" t="str">
        <f>tbl_OriginalData[[#This Row],[Device_Used_for_Shopping]]</f>
        <v>Tablet</v>
      </c>
      <c r="BC296" t="str">
        <f>tbl_OriginalData[[#This Row],[Payment_Method]]</f>
        <v>Debit Card</v>
      </c>
      <c r="BD296" s="1">
        <f>tbl_OriginalData[[#This Row],[Time_of_Purchase]]</f>
        <v>45480</v>
      </c>
      <c r="BE296" t="str">
        <f>IF(tbl_OriginalData[[#This Row],[Discount_Used]]=TRUE,"Yes","No")</f>
        <v>No</v>
      </c>
      <c r="BF296" t="str">
        <f>IF(tbl_OriginalData[[#This Row],[Customer_Loyalty_Program_Member]]=TRUE,"Yes","No")</f>
        <v>No</v>
      </c>
      <c r="BG296" t="str">
        <f>tbl_OriginalData[[#This Row],[Purchase_Intent]]</f>
        <v>Planned</v>
      </c>
      <c r="BH296" t="str">
        <f>tbl_OriginalData[[#This Row],[Shipping_Preference]]</f>
        <v>No Preference</v>
      </c>
      <c r="BI296">
        <f>tbl_OriginalData[[#This Row],[Time_to_Decision]]</f>
        <v>4</v>
      </c>
      <c r="BJ296" t="s">
        <v>114</v>
      </c>
      <c r="BK296" t="s">
        <v>115</v>
      </c>
      <c r="BL296" t="s">
        <v>2523</v>
      </c>
    </row>
    <row r="297" spans="1:64">
      <c r="A297" t="s">
        <v>787</v>
      </c>
      <c r="B297">
        <v>30</v>
      </c>
      <c r="C297" t="s">
        <v>431</v>
      </c>
      <c r="D297" t="s">
        <v>51</v>
      </c>
      <c r="E297" t="s">
        <v>82</v>
      </c>
      <c r="F297" t="s">
        <v>36</v>
      </c>
      <c r="G297" t="s">
        <v>51</v>
      </c>
      <c r="H297" t="s">
        <v>788</v>
      </c>
      <c r="I297" t="s">
        <v>108</v>
      </c>
      <c r="J297">
        <v>157.26</v>
      </c>
      <c r="K297">
        <v>3</v>
      </c>
      <c r="L297" t="s">
        <v>94</v>
      </c>
      <c r="M297">
        <v>1</v>
      </c>
      <c r="N297">
        <v>3</v>
      </c>
      <c r="O297">
        <v>1</v>
      </c>
      <c r="P297" t="s">
        <v>56</v>
      </c>
      <c r="Q297" t="s">
        <v>57</v>
      </c>
      <c r="R297">
        <v>1</v>
      </c>
      <c r="S297">
        <v>1</v>
      </c>
      <c r="T297" t="s">
        <v>40</v>
      </c>
      <c r="U297" t="s">
        <v>95</v>
      </c>
      <c r="V297" t="s">
        <v>102</v>
      </c>
      <c r="W297" s="1">
        <v>45497</v>
      </c>
      <c r="X297" t="b">
        <v>0</v>
      </c>
      <c r="Y297" t="b">
        <v>0</v>
      </c>
      <c r="Z297" t="s">
        <v>44</v>
      </c>
      <c r="AA297" t="s">
        <v>60</v>
      </c>
      <c r="AB297">
        <v>8</v>
      </c>
      <c r="AF297" t="str">
        <f>tbl_OriginalData[[#This Row],[Customer_ID]]</f>
        <v>81-877-9170</v>
      </c>
      <c r="AG297">
        <f>tbl_OriginalData[[#This Row],[Age]]</f>
        <v>30</v>
      </c>
      <c r="AH297" t="str" cm="1">
        <f t="array" ref="AH29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297" t="str">
        <f>tbl_OriginalData[[#This Row],[Gender]]</f>
        <v>Genderqueer</v>
      </c>
      <c r="AJ297" t="str">
        <f>tbl_OriginalData[[#This Row],[Income_Level]]</f>
        <v>High</v>
      </c>
      <c r="AK297" t="str">
        <f>tbl_OriginalData[[#This Row],[Marital_Status]]</f>
        <v>Widowed</v>
      </c>
      <c r="AL297" t="str">
        <f>tbl_OriginalData[[#This Row],[Education_Level]]</f>
        <v>Bachelor's</v>
      </c>
      <c r="AM297" t="str">
        <f>tbl_OriginalData[[#This Row],[Occupation]]</f>
        <v>High</v>
      </c>
      <c r="AN297" t="s">
        <v>788</v>
      </c>
      <c r="AO297" t="s">
        <v>90</v>
      </c>
      <c r="AP297" t="str">
        <f>tbl_OriginalData[[#This Row],[Purchase_Category]]</f>
        <v>Sports &amp; Outdoors</v>
      </c>
      <c r="AQ297" s="4">
        <f>tbl_OriginalData[[#This Row],[Purchase_Amount]]</f>
        <v>157.26</v>
      </c>
      <c r="AR297">
        <f>tbl_OriginalData[[#This Row],[Frequency_of_Purchase]]</f>
        <v>3</v>
      </c>
      <c r="AS297" t="str">
        <f>tbl_OriginalData[[#This Row],[Purchase_Channel]]</f>
        <v>Online</v>
      </c>
      <c r="AT297">
        <f>tbl_OriginalData[[#This Row],[Brand_Loyalty]]</f>
        <v>1</v>
      </c>
      <c r="AU297">
        <f>tbl_OriginalData[[#This Row],[Product_Rating]]</f>
        <v>3</v>
      </c>
      <c r="AV297">
        <f>tbl_OriginalData[[#This Row],[Time_Spent_on_Product_Research(hours)]]*60</f>
        <v>60</v>
      </c>
      <c r="AW297" t="str">
        <f>tbl_OriginalData[[#This Row],[Social_Media_Influence]]</f>
        <v>Medium</v>
      </c>
      <c r="AX297" t="str">
        <f>tbl_OriginalData[[#This Row],[Discount_Sensitivity]]</f>
        <v>Not Sensitive</v>
      </c>
      <c r="AY297" s="3">
        <f>tbl_OriginalData[[#This Row],[Return_Rate]]/tbl_OriginalData[[#This Row],[Frequency_of_Purchase]]</f>
        <v>0.33333333333333331</v>
      </c>
      <c r="AZ297">
        <f>tbl_OriginalData[[#This Row],[Customer_Satisfaction]]</f>
        <v>1</v>
      </c>
      <c r="BA297" t="str">
        <f>tbl_OriginalData[[#This Row],[Engagement_with_Ads]]</f>
        <v>None</v>
      </c>
      <c r="BB297" t="str">
        <f>tbl_OriginalData[[#This Row],[Device_Used_for_Shopping]]</f>
        <v>Desktop</v>
      </c>
      <c r="BC297" t="str">
        <f>tbl_OriginalData[[#This Row],[Payment_Method]]</f>
        <v>Cash</v>
      </c>
      <c r="BD297" s="1">
        <f>tbl_OriginalData[[#This Row],[Time_of_Purchase]]</f>
        <v>45497</v>
      </c>
      <c r="BE297" t="str">
        <f>IF(tbl_OriginalData[[#This Row],[Discount_Used]]=TRUE,"Yes","No")</f>
        <v>No</v>
      </c>
      <c r="BF297" t="str">
        <f>IF(tbl_OriginalData[[#This Row],[Customer_Loyalty_Program_Member]]=TRUE,"Yes","No")</f>
        <v>No</v>
      </c>
      <c r="BG297" t="str">
        <f>tbl_OriginalData[[#This Row],[Purchase_Intent]]</f>
        <v>Need-based</v>
      </c>
      <c r="BH297" t="str">
        <f>tbl_OriginalData[[#This Row],[Shipping_Preference]]</f>
        <v>Standard</v>
      </c>
      <c r="BI297">
        <f>tbl_OriginalData[[#This Row],[Time_to_Decision]]</f>
        <v>8</v>
      </c>
      <c r="BJ297" t="s">
        <v>114</v>
      </c>
      <c r="BK297" t="s">
        <v>115</v>
      </c>
      <c r="BL297" t="s">
        <v>2524</v>
      </c>
    </row>
    <row r="298" spans="1:64">
      <c r="A298" t="s">
        <v>789</v>
      </c>
      <c r="B298">
        <v>42</v>
      </c>
      <c r="C298" t="s">
        <v>50</v>
      </c>
      <c r="D298" t="s">
        <v>51</v>
      </c>
      <c r="E298" t="s">
        <v>82</v>
      </c>
      <c r="F298" t="s">
        <v>66</v>
      </c>
      <c r="G298" t="s">
        <v>34</v>
      </c>
      <c r="H298" t="s">
        <v>790</v>
      </c>
      <c r="I298" t="s">
        <v>180</v>
      </c>
      <c r="J298">
        <v>239.46</v>
      </c>
      <c r="K298">
        <v>3</v>
      </c>
      <c r="L298" t="s">
        <v>39</v>
      </c>
      <c r="M298">
        <v>3</v>
      </c>
      <c r="N298">
        <v>1</v>
      </c>
      <c r="O298">
        <v>0</v>
      </c>
      <c r="P298" t="s">
        <v>69</v>
      </c>
      <c r="Q298" t="s">
        <v>57</v>
      </c>
      <c r="R298">
        <v>2</v>
      </c>
      <c r="S298">
        <v>8</v>
      </c>
      <c r="T298" t="s">
        <v>51</v>
      </c>
      <c r="U298" t="s">
        <v>95</v>
      </c>
      <c r="V298" t="s">
        <v>76</v>
      </c>
      <c r="W298" s="1">
        <v>45508</v>
      </c>
      <c r="X298" t="b">
        <v>1</v>
      </c>
      <c r="Y298" t="b">
        <v>1</v>
      </c>
      <c r="Z298" t="s">
        <v>89</v>
      </c>
      <c r="AA298" t="s">
        <v>60</v>
      </c>
      <c r="AB298">
        <v>7</v>
      </c>
      <c r="AF298" t="str">
        <f>tbl_OriginalData[[#This Row],[Customer_ID]]</f>
        <v>19-885-2597</v>
      </c>
      <c r="AG298">
        <f>tbl_OriginalData[[#This Row],[Age]]</f>
        <v>42</v>
      </c>
      <c r="AH298" t="str" cm="1">
        <f t="array" ref="AH29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298" t="str">
        <f>tbl_OriginalData[[#This Row],[Gender]]</f>
        <v>Male</v>
      </c>
      <c r="AJ298" t="str">
        <f>tbl_OriginalData[[#This Row],[Income_Level]]</f>
        <v>High</v>
      </c>
      <c r="AK298" t="str">
        <f>tbl_OriginalData[[#This Row],[Marital_Status]]</f>
        <v>Widowed</v>
      </c>
      <c r="AL298" t="str">
        <f>tbl_OriginalData[[#This Row],[Education_Level]]</f>
        <v>Master's</v>
      </c>
      <c r="AM298" t="str">
        <f>tbl_OriginalData[[#This Row],[Occupation]]</f>
        <v>Middle</v>
      </c>
      <c r="AN298" t="s">
        <v>790</v>
      </c>
      <c r="AO298" t="s">
        <v>328</v>
      </c>
      <c r="AP298" t="str">
        <f>tbl_OriginalData[[#This Row],[Purchase_Category]]</f>
        <v>Health Supplements</v>
      </c>
      <c r="AQ298" s="4">
        <f>tbl_OriginalData[[#This Row],[Purchase_Amount]]</f>
        <v>239.46</v>
      </c>
      <c r="AR298">
        <f>tbl_OriginalData[[#This Row],[Frequency_of_Purchase]]</f>
        <v>3</v>
      </c>
      <c r="AS298" t="str">
        <f>tbl_OriginalData[[#This Row],[Purchase_Channel]]</f>
        <v>Mixed</v>
      </c>
      <c r="AT298">
        <f>tbl_OriginalData[[#This Row],[Brand_Loyalty]]</f>
        <v>3</v>
      </c>
      <c r="AU298">
        <f>tbl_OriginalData[[#This Row],[Product_Rating]]</f>
        <v>1</v>
      </c>
      <c r="AV298">
        <f>tbl_OriginalData[[#This Row],[Time_Spent_on_Product_Research(hours)]]*60</f>
        <v>0</v>
      </c>
      <c r="AW298" t="str">
        <f>tbl_OriginalData[[#This Row],[Social_Media_Influence]]</f>
        <v>Low</v>
      </c>
      <c r="AX298" t="str">
        <f>tbl_OriginalData[[#This Row],[Discount_Sensitivity]]</f>
        <v>Not Sensitive</v>
      </c>
      <c r="AY298" s="3">
        <f>tbl_OriginalData[[#This Row],[Return_Rate]]/tbl_OriginalData[[#This Row],[Frequency_of_Purchase]]</f>
        <v>0.66666666666666663</v>
      </c>
      <c r="AZ298">
        <f>tbl_OriginalData[[#This Row],[Customer_Satisfaction]]</f>
        <v>8</v>
      </c>
      <c r="BA298" t="str">
        <f>tbl_OriginalData[[#This Row],[Engagement_with_Ads]]</f>
        <v>High</v>
      </c>
      <c r="BB298" t="str">
        <f>tbl_OriginalData[[#This Row],[Device_Used_for_Shopping]]</f>
        <v>Desktop</v>
      </c>
      <c r="BC298" t="str">
        <f>tbl_OriginalData[[#This Row],[Payment_Method]]</f>
        <v>Other</v>
      </c>
      <c r="BD298" s="1">
        <f>tbl_OriginalData[[#This Row],[Time_of_Purchase]]</f>
        <v>45508</v>
      </c>
      <c r="BE298" t="str">
        <f>IF(tbl_OriginalData[[#This Row],[Discount_Used]]=TRUE,"Yes","No")</f>
        <v>Yes</v>
      </c>
      <c r="BF298" t="str">
        <f>IF(tbl_OriginalData[[#This Row],[Customer_Loyalty_Program_Member]]=TRUE,"Yes","No")</f>
        <v>Yes</v>
      </c>
      <c r="BG298" t="str">
        <f>tbl_OriginalData[[#This Row],[Purchase_Intent]]</f>
        <v>Planned</v>
      </c>
      <c r="BH298" t="str">
        <f>tbl_OriginalData[[#This Row],[Shipping_Preference]]</f>
        <v>Standard</v>
      </c>
      <c r="BI298">
        <f>tbl_OriginalData[[#This Row],[Time_to_Decision]]</f>
        <v>7</v>
      </c>
      <c r="BJ298" t="s">
        <v>124</v>
      </c>
      <c r="BK298" t="s">
        <v>115</v>
      </c>
      <c r="BL298" t="s">
        <v>2527</v>
      </c>
    </row>
    <row r="299" spans="1:64">
      <c r="A299" t="s">
        <v>791</v>
      </c>
      <c r="B299">
        <v>28</v>
      </c>
      <c r="C299" t="s">
        <v>33</v>
      </c>
      <c r="D299" t="s">
        <v>51</v>
      </c>
      <c r="E299" t="s">
        <v>82</v>
      </c>
      <c r="F299" t="s">
        <v>52</v>
      </c>
      <c r="G299" t="s">
        <v>51</v>
      </c>
      <c r="H299" t="s">
        <v>792</v>
      </c>
      <c r="I299" t="s">
        <v>38</v>
      </c>
      <c r="J299">
        <v>240.82</v>
      </c>
      <c r="K299">
        <v>10</v>
      </c>
      <c r="L299" t="s">
        <v>39</v>
      </c>
      <c r="M299">
        <v>1</v>
      </c>
      <c r="N299">
        <v>3</v>
      </c>
      <c r="O299">
        <v>2</v>
      </c>
      <c r="P299" t="s">
        <v>51</v>
      </c>
      <c r="Q299" t="s">
        <v>41</v>
      </c>
      <c r="R299">
        <v>0</v>
      </c>
      <c r="S299">
        <v>3</v>
      </c>
      <c r="T299" t="s">
        <v>56</v>
      </c>
      <c r="U299" t="s">
        <v>42</v>
      </c>
      <c r="V299" t="s">
        <v>58</v>
      </c>
      <c r="W299" s="1">
        <v>45293</v>
      </c>
      <c r="X299" t="b">
        <v>1</v>
      </c>
      <c r="Y299" t="b">
        <v>0</v>
      </c>
      <c r="Z299" t="s">
        <v>89</v>
      </c>
      <c r="AA299" t="s">
        <v>45</v>
      </c>
      <c r="AB299">
        <v>8</v>
      </c>
      <c r="AF299" t="str">
        <f>tbl_OriginalData[[#This Row],[Customer_ID]]</f>
        <v>82-389-2029</v>
      </c>
      <c r="AG299">
        <f>tbl_OriginalData[[#This Row],[Age]]</f>
        <v>28</v>
      </c>
      <c r="AH299" t="str" cm="1">
        <f t="array" ref="AH29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299" t="str">
        <f>tbl_OriginalData[[#This Row],[Gender]]</f>
        <v>Female</v>
      </c>
      <c r="AJ299" t="str">
        <f>tbl_OriginalData[[#This Row],[Income_Level]]</f>
        <v>High</v>
      </c>
      <c r="AK299" t="str">
        <f>tbl_OriginalData[[#This Row],[Marital_Status]]</f>
        <v>Widowed</v>
      </c>
      <c r="AL299" t="str">
        <f>tbl_OriginalData[[#This Row],[Education_Level]]</f>
        <v>High School</v>
      </c>
      <c r="AM299" t="str">
        <f>tbl_OriginalData[[#This Row],[Occupation]]</f>
        <v>High</v>
      </c>
      <c r="AN299" t="s">
        <v>792</v>
      </c>
      <c r="AO299" t="s">
        <v>310</v>
      </c>
      <c r="AP299" t="str">
        <f>tbl_OriginalData[[#This Row],[Purchase_Category]]</f>
        <v>Gardening &amp; Outdoors</v>
      </c>
      <c r="AQ299" s="4">
        <f>tbl_OriginalData[[#This Row],[Purchase_Amount]]</f>
        <v>240.82</v>
      </c>
      <c r="AR299">
        <f>tbl_OriginalData[[#This Row],[Frequency_of_Purchase]]</f>
        <v>10</v>
      </c>
      <c r="AS299" t="str">
        <f>tbl_OriginalData[[#This Row],[Purchase_Channel]]</f>
        <v>Mixed</v>
      </c>
      <c r="AT299">
        <f>tbl_OriginalData[[#This Row],[Brand_Loyalty]]</f>
        <v>1</v>
      </c>
      <c r="AU299">
        <f>tbl_OriginalData[[#This Row],[Product_Rating]]</f>
        <v>3</v>
      </c>
      <c r="AV299">
        <f>tbl_OriginalData[[#This Row],[Time_Spent_on_Product_Research(hours)]]*60</f>
        <v>120</v>
      </c>
      <c r="AW299" t="str">
        <f>tbl_OriginalData[[#This Row],[Social_Media_Influence]]</f>
        <v>High</v>
      </c>
      <c r="AX299" t="str">
        <f>tbl_OriginalData[[#This Row],[Discount_Sensitivity]]</f>
        <v>Somewhat Sensitive</v>
      </c>
      <c r="AY299" s="3">
        <f>tbl_OriginalData[[#This Row],[Return_Rate]]/tbl_OriginalData[[#This Row],[Frequency_of_Purchase]]</f>
        <v>0</v>
      </c>
      <c r="AZ299">
        <f>tbl_OriginalData[[#This Row],[Customer_Satisfaction]]</f>
        <v>3</v>
      </c>
      <c r="BA299" t="str">
        <f>tbl_OriginalData[[#This Row],[Engagement_with_Ads]]</f>
        <v>Medium</v>
      </c>
      <c r="BB299" t="str">
        <f>tbl_OriginalData[[#This Row],[Device_Used_for_Shopping]]</f>
        <v>Tablet</v>
      </c>
      <c r="BC299" t="str">
        <f>tbl_OriginalData[[#This Row],[Payment_Method]]</f>
        <v>PayPal</v>
      </c>
      <c r="BD299" s="1">
        <f>tbl_OriginalData[[#This Row],[Time_of_Purchase]]</f>
        <v>45293</v>
      </c>
      <c r="BE299" t="str">
        <f>IF(tbl_OriginalData[[#This Row],[Discount_Used]]=TRUE,"Yes","No")</f>
        <v>Yes</v>
      </c>
      <c r="BF299" t="str">
        <f>IF(tbl_OriginalData[[#This Row],[Customer_Loyalty_Program_Member]]=TRUE,"Yes","No")</f>
        <v>No</v>
      </c>
      <c r="BG299" t="str">
        <f>tbl_OriginalData[[#This Row],[Purchase_Intent]]</f>
        <v>Planned</v>
      </c>
      <c r="BH299" t="str">
        <f>tbl_OriginalData[[#This Row],[Shipping_Preference]]</f>
        <v>No Preference</v>
      </c>
      <c r="BI299">
        <f>tbl_OriginalData[[#This Row],[Time_to_Decision]]</f>
        <v>8</v>
      </c>
      <c r="BJ299" t="s">
        <v>86</v>
      </c>
      <c r="BK299" t="s">
        <v>48</v>
      </c>
      <c r="BL299" t="s">
        <v>2524</v>
      </c>
    </row>
    <row r="300" spans="1:64">
      <c r="A300" t="s">
        <v>793</v>
      </c>
      <c r="B300">
        <v>44</v>
      </c>
      <c r="C300" t="s">
        <v>33</v>
      </c>
      <c r="D300" t="s">
        <v>34</v>
      </c>
      <c r="E300" t="s">
        <v>65</v>
      </c>
      <c r="F300" t="s">
        <v>66</v>
      </c>
      <c r="G300" t="s">
        <v>51</v>
      </c>
      <c r="H300" t="s">
        <v>794</v>
      </c>
      <c r="I300" t="s">
        <v>108</v>
      </c>
      <c r="J300">
        <v>302.07</v>
      </c>
      <c r="K300">
        <v>6</v>
      </c>
      <c r="L300" t="s">
        <v>39</v>
      </c>
      <c r="M300">
        <v>1</v>
      </c>
      <c r="N300">
        <v>5</v>
      </c>
      <c r="O300">
        <v>1</v>
      </c>
      <c r="P300" t="s">
        <v>56</v>
      </c>
      <c r="Q300" t="s">
        <v>57</v>
      </c>
      <c r="R300">
        <v>2</v>
      </c>
      <c r="S300">
        <v>5</v>
      </c>
      <c r="T300" t="s">
        <v>56</v>
      </c>
      <c r="U300" t="s">
        <v>95</v>
      </c>
      <c r="V300" t="s">
        <v>76</v>
      </c>
      <c r="W300" s="1">
        <v>45391</v>
      </c>
      <c r="X300" t="b">
        <v>1</v>
      </c>
      <c r="Y300" t="b">
        <v>0</v>
      </c>
      <c r="Z300" t="s">
        <v>89</v>
      </c>
      <c r="AA300" t="s">
        <v>77</v>
      </c>
      <c r="AB300">
        <v>13</v>
      </c>
      <c r="AF300" t="str">
        <f>tbl_OriginalData[[#This Row],[Customer_ID]]</f>
        <v>97-463-0048</v>
      </c>
      <c r="AG300">
        <f>tbl_OriginalData[[#This Row],[Age]]</f>
        <v>44</v>
      </c>
      <c r="AH300" t="str" cm="1">
        <f t="array" ref="AH30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00" t="str">
        <f>tbl_OriginalData[[#This Row],[Gender]]</f>
        <v>Female</v>
      </c>
      <c r="AJ300" t="str">
        <f>tbl_OriginalData[[#This Row],[Income_Level]]</f>
        <v>Middle</v>
      </c>
      <c r="AK300" t="str">
        <f>tbl_OriginalData[[#This Row],[Marital_Status]]</f>
        <v>Single</v>
      </c>
      <c r="AL300" t="str">
        <f>tbl_OriginalData[[#This Row],[Education_Level]]</f>
        <v>Master's</v>
      </c>
      <c r="AM300" t="str">
        <f>tbl_OriginalData[[#This Row],[Occupation]]</f>
        <v>High</v>
      </c>
      <c r="AN300" t="s">
        <v>794</v>
      </c>
      <c r="AO300" t="s">
        <v>61</v>
      </c>
      <c r="AP300" t="str">
        <f>tbl_OriginalData[[#This Row],[Purchase_Category]]</f>
        <v>Sports &amp; Outdoors</v>
      </c>
      <c r="AQ300" s="4">
        <f>tbl_OriginalData[[#This Row],[Purchase_Amount]]</f>
        <v>302.07</v>
      </c>
      <c r="AR300">
        <f>tbl_OriginalData[[#This Row],[Frequency_of_Purchase]]</f>
        <v>6</v>
      </c>
      <c r="AS300" t="str">
        <f>tbl_OriginalData[[#This Row],[Purchase_Channel]]</f>
        <v>Mixed</v>
      </c>
      <c r="AT300">
        <f>tbl_OriginalData[[#This Row],[Brand_Loyalty]]</f>
        <v>1</v>
      </c>
      <c r="AU300">
        <f>tbl_OriginalData[[#This Row],[Product_Rating]]</f>
        <v>5</v>
      </c>
      <c r="AV300">
        <f>tbl_OriginalData[[#This Row],[Time_Spent_on_Product_Research(hours)]]*60</f>
        <v>60</v>
      </c>
      <c r="AW300" t="str">
        <f>tbl_OriginalData[[#This Row],[Social_Media_Influence]]</f>
        <v>Medium</v>
      </c>
      <c r="AX300" t="str">
        <f>tbl_OriginalData[[#This Row],[Discount_Sensitivity]]</f>
        <v>Not Sensitive</v>
      </c>
      <c r="AY300" s="3">
        <f>tbl_OriginalData[[#This Row],[Return_Rate]]/tbl_OriginalData[[#This Row],[Frequency_of_Purchase]]</f>
        <v>0.33333333333333331</v>
      </c>
      <c r="AZ300">
        <f>tbl_OriginalData[[#This Row],[Customer_Satisfaction]]</f>
        <v>5</v>
      </c>
      <c r="BA300" t="str">
        <f>tbl_OriginalData[[#This Row],[Engagement_with_Ads]]</f>
        <v>Medium</v>
      </c>
      <c r="BB300" t="str">
        <f>tbl_OriginalData[[#This Row],[Device_Used_for_Shopping]]</f>
        <v>Desktop</v>
      </c>
      <c r="BC300" t="str">
        <f>tbl_OriginalData[[#This Row],[Payment_Method]]</f>
        <v>Other</v>
      </c>
      <c r="BD300" s="1">
        <f>tbl_OriginalData[[#This Row],[Time_of_Purchase]]</f>
        <v>45391</v>
      </c>
      <c r="BE300" t="str">
        <f>IF(tbl_OriginalData[[#This Row],[Discount_Used]]=TRUE,"Yes","No")</f>
        <v>Yes</v>
      </c>
      <c r="BF300" t="str">
        <f>IF(tbl_OriginalData[[#This Row],[Customer_Loyalty_Program_Member]]=TRUE,"Yes","No")</f>
        <v>No</v>
      </c>
      <c r="BG300" t="str">
        <f>tbl_OriginalData[[#This Row],[Purchase_Intent]]</f>
        <v>Planned</v>
      </c>
      <c r="BH300" t="str">
        <f>tbl_OriginalData[[#This Row],[Shipping_Preference]]</f>
        <v>Express</v>
      </c>
      <c r="BI300">
        <f>tbl_OriginalData[[#This Row],[Time_to_Decision]]</f>
        <v>13</v>
      </c>
      <c r="BJ300" t="s">
        <v>62</v>
      </c>
      <c r="BK300" t="s">
        <v>63</v>
      </c>
      <c r="BL300" t="s">
        <v>2524</v>
      </c>
    </row>
    <row r="301" spans="1:64">
      <c r="A301" t="s">
        <v>795</v>
      </c>
      <c r="B301">
        <v>45</v>
      </c>
      <c r="C301" t="s">
        <v>50</v>
      </c>
      <c r="D301" t="s">
        <v>34</v>
      </c>
      <c r="E301" t="s">
        <v>82</v>
      </c>
      <c r="F301" t="s">
        <v>36</v>
      </c>
      <c r="G301" t="s">
        <v>34</v>
      </c>
      <c r="H301" t="s">
        <v>796</v>
      </c>
      <c r="I301" t="s">
        <v>150</v>
      </c>
      <c r="J301">
        <v>367.99</v>
      </c>
      <c r="K301">
        <v>2</v>
      </c>
      <c r="L301" t="s">
        <v>94</v>
      </c>
      <c r="M301">
        <v>2</v>
      </c>
      <c r="N301">
        <v>5</v>
      </c>
      <c r="O301">
        <v>1</v>
      </c>
      <c r="P301" t="s">
        <v>40</v>
      </c>
      <c r="Q301" t="s">
        <v>57</v>
      </c>
      <c r="R301">
        <v>2</v>
      </c>
      <c r="S301">
        <v>2</v>
      </c>
      <c r="T301" t="s">
        <v>51</v>
      </c>
      <c r="U301" t="s">
        <v>70</v>
      </c>
      <c r="V301" t="s">
        <v>71</v>
      </c>
      <c r="W301" s="1">
        <v>45580</v>
      </c>
      <c r="X301" t="b">
        <v>0</v>
      </c>
      <c r="Y301" t="b">
        <v>0</v>
      </c>
      <c r="Z301" t="s">
        <v>89</v>
      </c>
      <c r="AA301" t="s">
        <v>77</v>
      </c>
      <c r="AB301">
        <v>8</v>
      </c>
      <c r="AF301" t="str">
        <f>tbl_OriginalData[[#This Row],[Customer_ID]]</f>
        <v>91-572-6135</v>
      </c>
      <c r="AG301">
        <f>tbl_OriginalData[[#This Row],[Age]]</f>
        <v>45</v>
      </c>
      <c r="AH301" t="str" cm="1">
        <f t="array" ref="AH30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01" t="str">
        <f>tbl_OriginalData[[#This Row],[Gender]]</f>
        <v>Male</v>
      </c>
      <c r="AJ301" t="str">
        <f>tbl_OriginalData[[#This Row],[Income_Level]]</f>
        <v>Middle</v>
      </c>
      <c r="AK301" t="str">
        <f>tbl_OriginalData[[#This Row],[Marital_Status]]</f>
        <v>Widowed</v>
      </c>
      <c r="AL301" t="str">
        <f>tbl_OriginalData[[#This Row],[Education_Level]]</f>
        <v>Bachelor's</v>
      </c>
      <c r="AM301" t="str">
        <f>tbl_OriginalData[[#This Row],[Occupation]]</f>
        <v>Middle</v>
      </c>
      <c r="AN301" t="s">
        <v>796</v>
      </c>
      <c r="AO301" t="s">
        <v>171</v>
      </c>
      <c r="AP301" t="str">
        <f>tbl_OriginalData[[#This Row],[Purchase_Category]]</f>
        <v>Software &amp; Apps</v>
      </c>
      <c r="AQ301" s="4">
        <f>tbl_OriginalData[[#This Row],[Purchase_Amount]]</f>
        <v>367.99</v>
      </c>
      <c r="AR301">
        <f>tbl_OriginalData[[#This Row],[Frequency_of_Purchase]]</f>
        <v>2</v>
      </c>
      <c r="AS301" t="str">
        <f>tbl_OriginalData[[#This Row],[Purchase_Channel]]</f>
        <v>Online</v>
      </c>
      <c r="AT301">
        <f>tbl_OriginalData[[#This Row],[Brand_Loyalty]]</f>
        <v>2</v>
      </c>
      <c r="AU301">
        <f>tbl_OriginalData[[#This Row],[Product_Rating]]</f>
        <v>5</v>
      </c>
      <c r="AV301">
        <f>tbl_OriginalData[[#This Row],[Time_Spent_on_Product_Research(hours)]]*60</f>
        <v>60</v>
      </c>
      <c r="AW301" t="str">
        <f>tbl_OriginalData[[#This Row],[Social_Media_Influence]]</f>
        <v>None</v>
      </c>
      <c r="AX301" t="str">
        <f>tbl_OriginalData[[#This Row],[Discount_Sensitivity]]</f>
        <v>Not Sensitive</v>
      </c>
      <c r="AY301" s="3">
        <f>tbl_OriginalData[[#This Row],[Return_Rate]]/tbl_OriginalData[[#This Row],[Frequency_of_Purchase]]</f>
        <v>1</v>
      </c>
      <c r="AZ301">
        <f>tbl_OriginalData[[#This Row],[Customer_Satisfaction]]</f>
        <v>2</v>
      </c>
      <c r="BA301" t="str">
        <f>tbl_OriginalData[[#This Row],[Engagement_with_Ads]]</f>
        <v>High</v>
      </c>
      <c r="BB301" t="str">
        <f>tbl_OriginalData[[#This Row],[Device_Used_for_Shopping]]</f>
        <v>Smartphone</v>
      </c>
      <c r="BC301" t="str">
        <f>tbl_OriginalData[[#This Row],[Payment_Method]]</f>
        <v>Debit Card</v>
      </c>
      <c r="BD301" s="1">
        <f>tbl_OriginalData[[#This Row],[Time_of_Purchase]]</f>
        <v>45580</v>
      </c>
      <c r="BE301" t="str">
        <f>IF(tbl_OriginalData[[#This Row],[Discount_Used]]=TRUE,"Yes","No")</f>
        <v>No</v>
      </c>
      <c r="BF301" t="str">
        <f>IF(tbl_OriginalData[[#This Row],[Customer_Loyalty_Program_Member]]=TRUE,"Yes","No")</f>
        <v>No</v>
      </c>
      <c r="BG301" t="str">
        <f>tbl_OriginalData[[#This Row],[Purchase_Intent]]</f>
        <v>Planned</v>
      </c>
      <c r="BH301" t="str">
        <f>tbl_OriginalData[[#This Row],[Shipping_Preference]]</f>
        <v>Express</v>
      </c>
      <c r="BI301">
        <f>tbl_OriginalData[[#This Row],[Time_to_Decision]]</f>
        <v>8</v>
      </c>
      <c r="BJ301" t="s">
        <v>79</v>
      </c>
      <c r="BK301" t="s">
        <v>80</v>
      </c>
      <c r="BL301" t="s">
        <v>2523</v>
      </c>
    </row>
    <row r="302" spans="1:64">
      <c r="A302" t="s">
        <v>797</v>
      </c>
      <c r="B302">
        <v>46</v>
      </c>
      <c r="C302" t="s">
        <v>33</v>
      </c>
      <c r="D302" t="s">
        <v>51</v>
      </c>
      <c r="E302" t="s">
        <v>35</v>
      </c>
      <c r="F302" t="s">
        <v>66</v>
      </c>
      <c r="G302" t="s">
        <v>34</v>
      </c>
      <c r="H302" t="s">
        <v>798</v>
      </c>
      <c r="I302" t="s">
        <v>199</v>
      </c>
      <c r="J302">
        <v>359.75</v>
      </c>
      <c r="K302">
        <v>7</v>
      </c>
      <c r="L302" t="s">
        <v>55</v>
      </c>
      <c r="M302">
        <v>5</v>
      </c>
      <c r="N302">
        <v>1</v>
      </c>
      <c r="O302">
        <v>1</v>
      </c>
      <c r="P302" t="s">
        <v>51</v>
      </c>
      <c r="Q302" t="s">
        <v>57</v>
      </c>
      <c r="R302">
        <v>1</v>
      </c>
      <c r="S302">
        <v>6</v>
      </c>
      <c r="T302" t="s">
        <v>69</v>
      </c>
      <c r="U302" t="s">
        <v>42</v>
      </c>
      <c r="V302" t="s">
        <v>76</v>
      </c>
      <c r="W302" s="1">
        <v>45314</v>
      </c>
      <c r="X302" t="b">
        <v>0</v>
      </c>
      <c r="Y302" t="b">
        <v>0</v>
      </c>
      <c r="Z302" t="s">
        <v>59</v>
      </c>
      <c r="AA302" t="s">
        <v>60</v>
      </c>
      <c r="AB302">
        <v>3</v>
      </c>
      <c r="AF302" t="str">
        <f>tbl_OriginalData[[#This Row],[Customer_ID]]</f>
        <v>10-232-0685</v>
      </c>
      <c r="AG302">
        <f>tbl_OriginalData[[#This Row],[Age]]</f>
        <v>46</v>
      </c>
      <c r="AH302" t="str" cm="1">
        <f t="array" ref="AH30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02" t="str">
        <f>tbl_OriginalData[[#This Row],[Gender]]</f>
        <v>Female</v>
      </c>
      <c r="AJ302" t="str">
        <f>tbl_OriginalData[[#This Row],[Income_Level]]</f>
        <v>High</v>
      </c>
      <c r="AK302" t="str">
        <f>tbl_OriginalData[[#This Row],[Marital_Status]]</f>
        <v>Married</v>
      </c>
      <c r="AL302" t="str">
        <f>tbl_OriginalData[[#This Row],[Education_Level]]</f>
        <v>Master's</v>
      </c>
      <c r="AM302" t="str">
        <f>tbl_OriginalData[[#This Row],[Occupation]]</f>
        <v>Middle</v>
      </c>
      <c r="AN302" t="s">
        <v>798</v>
      </c>
      <c r="AO302" t="s">
        <v>61</v>
      </c>
      <c r="AP302" t="str">
        <f>tbl_OriginalData[[#This Row],[Purchase_Category]]</f>
        <v>Groceries</v>
      </c>
      <c r="AQ302" s="4">
        <f>tbl_OriginalData[[#This Row],[Purchase_Amount]]</f>
        <v>359.75</v>
      </c>
      <c r="AR302">
        <f>tbl_OriginalData[[#This Row],[Frequency_of_Purchase]]</f>
        <v>7</v>
      </c>
      <c r="AS302" t="str">
        <f>tbl_OriginalData[[#This Row],[Purchase_Channel]]</f>
        <v>In-Store</v>
      </c>
      <c r="AT302">
        <f>tbl_OriginalData[[#This Row],[Brand_Loyalty]]</f>
        <v>5</v>
      </c>
      <c r="AU302">
        <f>tbl_OriginalData[[#This Row],[Product_Rating]]</f>
        <v>1</v>
      </c>
      <c r="AV302">
        <f>tbl_OriginalData[[#This Row],[Time_Spent_on_Product_Research(hours)]]*60</f>
        <v>60</v>
      </c>
      <c r="AW302" t="str">
        <f>tbl_OriginalData[[#This Row],[Social_Media_Influence]]</f>
        <v>High</v>
      </c>
      <c r="AX302" t="str">
        <f>tbl_OriginalData[[#This Row],[Discount_Sensitivity]]</f>
        <v>Not Sensitive</v>
      </c>
      <c r="AY302" s="3">
        <f>tbl_OriginalData[[#This Row],[Return_Rate]]/tbl_OriginalData[[#This Row],[Frequency_of_Purchase]]</f>
        <v>0.14285714285714285</v>
      </c>
      <c r="AZ302">
        <f>tbl_OriginalData[[#This Row],[Customer_Satisfaction]]</f>
        <v>6</v>
      </c>
      <c r="BA302" t="str">
        <f>tbl_OriginalData[[#This Row],[Engagement_with_Ads]]</f>
        <v>Low</v>
      </c>
      <c r="BB302" t="str">
        <f>tbl_OriginalData[[#This Row],[Device_Used_for_Shopping]]</f>
        <v>Tablet</v>
      </c>
      <c r="BC302" t="str">
        <f>tbl_OriginalData[[#This Row],[Payment_Method]]</f>
        <v>Other</v>
      </c>
      <c r="BD302" s="1">
        <f>tbl_OriginalData[[#This Row],[Time_of_Purchase]]</f>
        <v>45314</v>
      </c>
      <c r="BE302" t="str">
        <f>IF(tbl_OriginalData[[#This Row],[Discount_Used]]=TRUE,"Yes","No")</f>
        <v>No</v>
      </c>
      <c r="BF302" t="str">
        <f>IF(tbl_OriginalData[[#This Row],[Customer_Loyalty_Program_Member]]=TRUE,"Yes","No")</f>
        <v>No</v>
      </c>
      <c r="BG302" t="str">
        <f>tbl_OriginalData[[#This Row],[Purchase_Intent]]</f>
        <v>Wants-based</v>
      </c>
      <c r="BH302" t="str">
        <f>tbl_OriginalData[[#This Row],[Shipping_Preference]]</f>
        <v>Standard</v>
      </c>
      <c r="BI302">
        <f>tbl_OriginalData[[#This Row],[Time_to_Decision]]</f>
        <v>3</v>
      </c>
      <c r="BJ302" t="s">
        <v>86</v>
      </c>
      <c r="BK302" t="s">
        <v>48</v>
      </c>
      <c r="BL302" t="s">
        <v>2524</v>
      </c>
    </row>
    <row r="303" spans="1:64">
      <c r="A303" t="s">
        <v>799</v>
      </c>
      <c r="B303">
        <v>28</v>
      </c>
      <c r="C303" t="s">
        <v>33</v>
      </c>
      <c r="D303" t="s">
        <v>34</v>
      </c>
      <c r="E303" t="s">
        <v>92</v>
      </c>
      <c r="F303" t="s">
        <v>36</v>
      </c>
      <c r="G303" t="s">
        <v>51</v>
      </c>
      <c r="H303" t="s">
        <v>800</v>
      </c>
      <c r="I303" t="s">
        <v>143</v>
      </c>
      <c r="J303">
        <v>204.44</v>
      </c>
      <c r="K303">
        <v>2</v>
      </c>
      <c r="L303" t="s">
        <v>39</v>
      </c>
      <c r="M303">
        <v>5</v>
      </c>
      <c r="N303">
        <v>3</v>
      </c>
      <c r="O303">
        <v>2</v>
      </c>
      <c r="P303" t="s">
        <v>40</v>
      </c>
      <c r="Q303" t="s">
        <v>41</v>
      </c>
      <c r="R303">
        <v>1</v>
      </c>
      <c r="S303">
        <v>3</v>
      </c>
      <c r="T303" t="s">
        <v>51</v>
      </c>
      <c r="U303" t="s">
        <v>95</v>
      </c>
      <c r="V303" t="s">
        <v>71</v>
      </c>
      <c r="W303" s="1">
        <v>45627</v>
      </c>
      <c r="X303" t="b">
        <v>0</v>
      </c>
      <c r="Y303" t="b">
        <v>1</v>
      </c>
      <c r="Z303" t="s">
        <v>72</v>
      </c>
      <c r="AA303" t="s">
        <v>60</v>
      </c>
      <c r="AB303">
        <v>13</v>
      </c>
      <c r="AF303" t="str">
        <f>tbl_OriginalData[[#This Row],[Customer_ID]]</f>
        <v>77-761-7475</v>
      </c>
      <c r="AG303">
        <f>tbl_OriginalData[[#This Row],[Age]]</f>
        <v>28</v>
      </c>
      <c r="AH303" t="str" cm="1">
        <f t="array" ref="AH30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03" t="str">
        <f>tbl_OriginalData[[#This Row],[Gender]]</f>
        <v>Female</v>
      </c>
      <c r="AJ303" t="str">
        <f>tbl_OriginalData[[#This Row],[Income_Level]]</f>
        <v>Middle</v>
      </c>
      <c r="AK303" t="str">
        <f>tbl_OriginalData[[#This Row],[Marital_Status]]</f>
        <v>Divorced</v>
      </c>
      <c r="AL303" t="str">
        <f>tbl_OriginalData[[#This Row],[Education_Level]]</f>
        <v>Bachelor's</v>
      </c>
      <c r="AM303" t="str">
        <f>tbl_OriginalData[[#This Row],[Occupation]]</f>
        <v>High</v>
      </c>
      <c r="AN303" t="s">
        <v>800</v>
      </c>
      <c r="AO303" t="s">
        <v>128</v>
      </c>
      <c r="AP303" t="str">
        <f>tbl_OriginalData[[#This Row],[Purchase_Category]]</f>
        <v>Packages)</v>
      </c>
      <c r="AQ303" s="4">
        <f>tbl_OriginalData[[#This Row],[Purchase_Amount]]</f>
        <v>204.44</v>
      </c>
      <c r="AR303">
        <f>tbl_OriginalData[[#This Row],[Frequency_of_Purchase]]</f>
        <v>2</v>
      </c>
      <c r="AS303" t="str">
        <f>tbl_OriginalData[[#This Row],[Purchase_Channel]]</f>
        <v>Mixed</v>
      </c>
      <c r="AT303">
        <f>tbl_OriginalData[[#This Row],[Brand_Loyalty]]</f>
        <v>5</v>
      </c>
      <c r="AU303">
        <f>tbl_OriginalData[[#This Row],[Product_Rating]]</f>
        <v>3</v>
      </c>
      <c r="AV303">
        <f>tbl_OriginalData[[#This Row],[Time_Spent_on_Product_Research(hours)]]*60</f>
        <v>120</v>
      </c>
      <c r="AW303" t="str">
        <f>tbl_OriginalData[[#This Row],[Social_Media_Influence]]</f>
        <v>None</v>
      </c>
      <c r="AX303" t="str">
        <f>tbl_OriginalData[[#This Row],[Discount_Sensitivity]]</f>
        <v>Somewhat Sensitive</v>
      </c>
      <c r="AY303" s="3">
        <f>tbl_OriginalData[[#This Row],[Return_Rate]]/tbl_OriginalData[[#This Row],[Frequency_of_Purchase]]</f>
        <v>0.5</v>
      </c>
      <c r="AZ303">
        <f>tbl_OriginalData[[#This Row],[Customer_Satisfaction]]</f>
        <v>3</v>
      </c>
      <c r="BA303" t="str">
        <f>tbl_OriginalData[[#This Row],[Engagement_with_Ads]]</f>
        <v>High</v>
      </c>
      <c r="BB303" t="str">
        <f>tbl_OriginalData[[#This Row],[Device_Used_for_Shopping]]</f>
        <v>Desktop</v>
      </c>
      <c r="BC303" t="str">
        <f>tbl_OriginalData[[#This Row],[Payment_Method]]</f>
        <v>Debit Card</v>
      </c>
      <c r="BD303" s="1">
        <f>tbl_OriginalData[[#This Row],[Time_of_Purchase]]</f>
        <v>45627</v>
      </c>
      <c r="BE303" t="str">
        <f>IF(tbl_OriginalData[[#This Row],[Discount_Used]]=TRUE,"Yes","No")</f>
        <v>No</v>
      </c>
      <c r="BF303" t="str">
        <f>IF(tbl_OriginalData[[#This Row],[Customer_Loyalty_Program_Member]]=TRUE,"Yes","No")</f>
        <v>Yes</v>
      </c>
      <c r="BG303" t="str">
        <f>tbl_OriginalData[[#This Row],[Purchase_Intent]]</f>
        <v>Impulsive</v>
      </c>
      <c r="BH303" t="str">
        <f>tbl_OriginalData[[#This Row],[Shipping_Preference]]</f>
        <v>Standard</v>
      </c>
      <c r="BI303">
        <f>tbl_OriginalData[[#This Row],[Time_to_Decision]]</f>
        <v>13</v>
      </c>
      <c r="BJ303" t="s">
        <v>120</v>
      </c>
      <c r="BK303" t="s">
        <v>80</v>
      </c>
      <c r="BL303" t="s">
        <v>2523</v>
      </c>
    </row>
    <row r="304" spans="1:64">
      <c r="A304" t="s">
        <v>801</v>
      </c>
      <c r="B304">
        <v>27</v>
      </c>
      <c r="C304" t="s">
        <v>50</v>
      </c>
      <c r="D304" t="s">
        <v>51</v>
      </c>
      <c r="E304" t="s">
        <v>65</v>
      </c>
      <c r="F304" t="s">
        <v>66</v>
      </c>
      <c r="G304" t="s">
        <v>51</v>
      </c>
      <c r="H304" t="s">
        <v>802</v>
      </c>
      <c r="I304" t="s">
        <v>38</v>
      </c>
      <c r="J304">
        <v>228.93</v>
      </c>
      <c r="K304">
        <v>7</v>
      </c>
      <c r="L304" t="s">
        <v>94</v>
      </c>
      <c r="M304">
        <v>1</v>
      </c>
      <c r="N304">
        <v>1</v>
      </c>
      <c r="O304">
        <v>2</v>
      </c>
      <c r="P304" t="s">
        <v>69</v>
      </c>
      <c r="Q304" t="s">
        <v>57</v>
      </c>
      <c r="R304">
        <v>2</v>
      </c>
      <c r="S304">
        <v>2</v>
      </c>
      <c r="T304" t="s">
        <v>56</v>
      </c>
      <c r="U304" t="s">
        <v>95</v>
      </c>
      <c r="V304" t="s">
        <v>58</v>
      </c>
      <c r="W304" s="1">
        <v>45341</v>
      </c>
      <c r="X304" t="b">
        <v>1</v>
      </c>
      <c r="Y304" t="b">
        <v>1</v>
      </c>
      <c r="Z304" t="s">
        <v>72</v>
      </c>
      <c r="AA304" t="s">
        <v>77</v>
      </c>
      <c r="AB304">
        <v>11</v>
      </c>
      <c r="AF304" t="str">
        <f>tbl_OriginalData[[#This Row],[Customer_ID]]</f>
        <v>78-826-3039</v>
      </c>
      <c r="AG304">
        <f>tbl_OriginalData[[#This Row],[Age]]</f>
        <v>27</v>
      </c>
      <c r="AH304" t="str" cm="1">
        <f t="array" ref="AH30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04" t="str">
        <f>tbl_OriginalData[[#This Row],[Gender]]</f>
        <v>Male</v>
      </c>
      <c r="AJ304" t="str">
        <f>tbl_OriginalData[[#This Row],[Income_Level]]</f>
        <v>High</v>
      </c>
      <c r="AK304" t="str">
        <f>tbl_OriginalData[[#This Row],[Marital_Status]]</f>
        <v>Single</v>
      </c>
      <c r="AL304" t="str">
        <f>tbl_OriginalData[[#This Row],[Education_Level]]</f>
        <v>Master's</v>
      </c>
      <c r="AM304" t="str">
        <f>tbl_OriginalData[[#This Row],[Occupation]]</f>
        <v>High</v>
      </c>
      <c r="AN304" t="s">
        <v>802</v>
      </c>
      <c r="AO304" t="s">
        <v>194</v>
      </c>
      <c r="AP304" t="str">
        <f>tbl_OriginalData[[#This Row],[Purchase_Category]]</f>
        <v>Gardening &amp; Outdoors</v>
      </c>
      <c r="AQ304" s="4">
        <f>tbl_OriginalData[[#This Row],[Purchase_Amount]]</f>
        <v>228.93</v>
      </c>
      <c r="AR304">
        <f>tbl_OriginalData[[#This Row],[Frequency_of_Purchase]]</f>
        <v>7</v>
      </c>
      <c r="AS304" t="str">
        <f>tbl_OriginalData[[#This Row],[Purchase_Channel]]</f>
        <v>Online</v>
      </c>
      <c r="AT304">
        <f>tbl_OriginalData[[#This Row],[Brand_Loyalty]]</f>
        <v>1</v>
      </c>
      <c r="AU304">
        <f>tbl_OriginalData[[#This Row],[Product_Rating]]</f>
        <v>1</v>
      </c>
      <c r="AV304">
        <f>tbl_OriginalData[[#This Row],[Time_Spent_on_Product_Research(hours)]]*60</f>
        <v>120</v>
      </c>
      <c r="AW304" t="str">
        <f>tbl_OriginalData[[#This Row],[Social_Media_Influence]]</f>
        <v>Low</v>
      </c>
      <c r="AX304" t="str">
        <f>tbl_OriginalData[[#This Row],[Discount_Sensitivity]]</f>
        <v>Not Sensitive</v>
      </c>
      <c r="AY304" s="3">
        <f>tbl_OriginalData[[#This Row],[Return_Rate]]/tbl_OriginalData[[#This Row],[Frequency_of_Purchase]]</f>
        <v>0.2857142857142857</v>
      </c>
      <c r="AZ304">
        <f>tbl_OriginalData[[#This Row],[Customer_Satisfaction]]</f>
        <v>2</v>
      </c>
      <c r="BA304" t="str">
        <f>tbl_OriginalData[[#This Row],[Engagement_with_Ads]]</f>
        <v>Medium</v>
      </c>
      <c r="BB304" t="str">
        <f>tbl_OriginalData[[#This Row],[Device_Used_for_Shopping]]</f>
        <v>Desktop</v>
      </c>
      <c r="BC304" t="str">
        <f>tbl_OriginalData[[#This Row],[Payment_Method]]</f>
        <v>PayPal</v>
      </c>
      <c r="BD304" s="1">
        <f>tbl_OriginalData[[#This Row],[Time_of_Purchase]]</f>
        <v>45341</v>
      </c>
      <c r="BE304" t="str">
        <f>IF(tbl_OriginalData[[#This Row],[Discount_Used]]=TRUE,"Yes","No")</f>
        <v>Yes</v>
      </c>
      <c r="BF304" t="str">
        <f>IF(tbl_OriginalData[[#This Row],[Customer_Loyalty_Program_Member]]=TRUE,"Yes","No")</f>
        <v>Yes</v>
      </c>
      <c r="BG304" t="str">
        <f>tbl_OriginalData[[#This Row],[Purchase_Intent]]</f>
        <v>Impulsive</v>
      </c>
      <c r="BH304" t="str">
        <f>tbl_OriginalData[[#This Row],[Shipping_Preference]]</f>
        <v>Express</v>
      </c>
      <c r="BI304">
        <f>tbl_OriginalData[[#This Row],[Time_to_Decision]]</f>
        <v>11</v>
      </c>
      <c r="BJ304" t="s">
        <v>158</v>
      </c>
      <c r="BK304" t="s">
        <v>48</v>
      </c>
      <c r="BL304" t="s">
        <v>2524</v>
      </c>
    </row>
    <row r="305" spans="1:64">
      <c r="A305" t="s">
        <v>803</v>
      </c>
      <c r="B305">
        <v>20</v>
      </c>
      <c r="C305" t="s">
        <v>33</v>
      </c>
      <c r="D305" t="s">
        <v>51</v>
      </c>
      <c r="E305" t="s">
        <v>65</v>
      </c>
      <c r="F305" t="s">
        <v>52</v>
      </c>
      <c r="G305" t="s">
        <v>34</v>
      </c>
      <c r="H305" t="s">
        <v>641</v>
      </c>
      <c r="I305" t="s">
        <v>68</v>
      </c>
      <c r="J305">
        <v>355.31</v>
      </c>
      <c r="K305">
        <v>11</v>
      </c>
      <c r="L305" t="s">
        <v>94</v>
      </c>
      <c r="M305">
        <v>1</v>
      </c>
      <c r="N305">
        <v>1</v>
      </c>
      <c r="O305">
        <v>0</v>
      </c>
      <c r="P305" t="s">
        <v>51</v>
      </c>
      <c r="Q305" t="s">
        <v>57</v>
      </c>
      <c r="R305">
        <v>1</v>
      </c>
      <c r="S305">
        <v>2</v>
      </c>
      <c r="T305" t="s">
        <v>56</v>
      </c>
      <c r="U305" t="s">
        <v>95</v>
      </c>
      <c r="V305" t="s">
        <v>71</v>
      </c>
      <c r="W305" s="1">
        <v>45523</v>
      </c>
      <c r="X305" t="b">
        <v>0</v>
      </c>
      <c r="Y305" t="b">
        <v>1</v>
      </c>
      <c r="Z305" t="s">
        <v>72</v>
      </c>
      <c r="AA305" t="s">
        <v>77</v>
      </c>
      <c r="AB305">
        <v>12</v>
      </c>
      <c r="AF305" t="str">
        <f>tbl_OriginalData[[#This Row],[Customer_ID]]</f>
        <v>86-668-1045</v>
      </c>
      <c r="AG305">
        <f>tbl_OriginalData[[#This Row],[Age]]</f>
        <v>20</v>
      </c>
      <c r="AH305" t="str" cm="1">
        <f t="array" ref="AH30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05" t="str">
        <f>tbl_OriginalData[[#This Row],[Gender]]</f>
        <v>Female</v>
      </c>
      <c r="AJ305" t="str">
        <f>tbl_OriginalData[[#This Row],[Income_Level]]</f>
        <v>High</v>
      </c>
      <c r="AK305" t="str">
        <f>tbl_OriginalData[[#This Row],[Marital_Status]]</f>
        <v>Single</v>
      </c>
      <c r="AL305" t="str">
        <f>tbl_OriginalData[[#This Row],[Education_Level]]</f>
        <v>High School</v>
      </c>
      <c r="AM305" t="str">
        <f>tbl_OriginalData[[#This Row],[Occupation]]</f>
        <v>Middle</v>
      </c>
      <c r="AN305" t="s">
        <v>641</v>
      </c>
      <c r="AO305" t="s">
        <v>46</v>
      </c>
      <c r="AP305" t="str">
        <f>tbl_OriginalData[[#This Row],[Purchase_Category]]</f>
        <v>Office Supplies</v>
      </c>
      <c r="AQ305" s="4">
        <f>tbl_OriginalData[[#This Row],[Purchase_Amount]]</f>
        <v>355.31</v>
      </c>
      <c r="AR305">
        <f>tbl_OriginalData[[#This Row],[Frequency_of_Purchase]]</f>
        <v>11</v>
      </c>
      <c r="AS305" t="str">
        <f>tbl_OriginalData[[#This Row],[Purchase_Channel]]</f>
        <v>Online</v>
      </c>
      <c r="AT305">
        <f>tbl_OriginalData[[#This Row],[Brand_Loyalty]]</f>
        <v>1</v>
      </c>
      <c r="AU305">
        <f>tbl_OriginalData[[#This Row],[Product_Rating]]</f>
        <v>1</v>
      </c>
      <c r="AV305">
        <f>tbl_OriginalData[[#This Row],[Time_Spent_on_Product_Research(hours)]]*60</f>
        <v>0</v>
      </c>
      <c r="AW305" t="str">
        <f>tbl_OriginalData[[#This Row],[Social_Media_Influence]]</f>
        <v>High</v>
      </c>
      <c r="AX305" t="str">
        <f>tbl_OriginalData[[#This Row],[Discount_Sensitivity]]</f>
        <v>Not Sensitive</v>
      </c>
      <c r="AY305" s="3">
        <f>tbl_OriginalData[[#This Row],[Return_Rate]]/tbl_OriginalData[[#This Row],[Frequency_of_Purchase]]</f>
        <v>9.0909090909090912E-2</v>
      </c>
      <c r="AZ305">
        <f>tbl_OriginalData[[#This Row],[Customer_Satisfaction]]</f>
        <v>2</v>
      </c>
      <c r="BA305" t="str">
        <f>tbl_OriginalData[[#This Row],[Engagement_with_Ads]]</f>
        <v>Medium</v>
      </c>
      <c r="BB305" t="str">
        <f>tbl_OriginalData[[#This Row],[Device_Used_for_Shopping]]</f>
        <v>Desktop</v>
      </c>
      <c r="BC305" t="str">
        <f>tbl_OriginalData[[#This Row],[Payment_Method]]</f>
        <v>Debit Card</v>
      </c>
      <c r="BD305" s="1">
        <f>tbl_OriginalData[[#This Row],[Time_of_Purchase]]</f>
        <v>45523</v>
      </c>
      <c r="BE305" t="str">
        <f>IF(tbl_OriginalData[[#This Row],[Discount_Used]]=TRUE,"Yes","No")</f>
        <v>No</v>
      </c>
      <c r="BF305" t="str">
        <f>IF(tbl_OriginalData[[#This Row],[Customer_Loyalty_Program_Member]]=TRUE,"Yes","No")</f>
        <v>Yes</v>
      </c>
      <c r="BG305" t="str">
        <f>tbl_OriginalData[[#This Row],[Purchase_Intent]]</f>
        <v>Impulsive</v>
      </c>
      <c r="BH305" t="str">
        <f>tbl_OriginalData[[#This Row],[Shipping_Preference]]</f>
        <v>Express</v>
      </c>
      <c r="BI305">
        <f>tbl_OriginalData[[#This Row],[Time_to_Decision]]</f>
        <v>12</v>
      </c>
      <c r="BJ305" t="s">
        <v>124</v>
      </c>
      <c r="BK305" t="s">
        <v>115</v>
      </c>
      <c r="BL305" t="s">
        <v>2523</v>
      </c>
    </row>
    <row r="306" spans="1:64">
      <c r="A306" t="s">
        <v>804</v>
      </c>
      <c r="B306">
        <v>40</v>
      </c>
      <c r="C306" t="s">
        <v>50</v>
      </c>
      <c r="D306" t="s">
        <v>51</v>
      </c>
      <c r="E306" t="s">
        <v>35</v>
      </c>
      <c r="F306" t="s">
        <v>52</v>
      </c>
      <c r="G306" t="s">
        <v>51</v>
      </c>
      <c r="H306" t="s">
        <v>805</v>
      </c>
      <c r="I306" t="s">
        <v>127</v>
      </c>
      <c r="J306">
        <v>334.67</v>
      </c>
      <c r="K306">
        <v>12</v>
      </c>
      <c r="L306" t="s">
        <v>55</v>
      </c>
      <c r="M306">
        <v>2</v>
      </c>
      <c r="N306">
        <v>1</v>
      </c>
      <c r="O306">
        <v>2</v>
      </c>
      <c r="P306" t="s">
        <v>40</v>
      </c>
      <c r="Q306" t="s">
        <v>41</v>
      </c>
      <c r="R306">
        <v>2</v>
      </c>
      <c r="S306">
        <v>5</v>
      </c>
      <c r="T306" t="s">
        <v>40</v>
      </c>
      <c r="U306" t="s">
        <v>42</v>
      </c>
      <c r="V306" t="s">
        <v>71</v>
      </c>
      <c r="W306" s="1">
        <v>45614</v>
      </c>
      <c r="X306" t="b">
        <v>1</v>
      </c>
      <c r="Y306" t="b">
        <v>0</v>
      </c>
      <c r="Z306" t="s">
        <v>44</v>
      </c>
      <c r="AA306" t="s">
        <v>60</v>
      </c>
      <c r="AB306">
        <v>13</v>
      </c>
      <c r="AF306" t="str">
        <f>tbl_OriginalData[[#This Row],[Customer_ID]]</f>
        <v>14-603-9698</v>
      </c>
      <c r="AG306">
        <f>tbl_OriginalData[[#This Row],[Age]]</f>
        <v>40</v>
      </c>
      <c r="AH306" t="str" cm="1">
        <f t="array" ref="AH30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06" t="str">
        <f>tbl_OriginalData[[#This Row],[Gender]]</f>
        <v>Male</v>
      </c>
      <c r="AJ306" t="str">
        <f>tbl_OriginalData[[#This Row],[Income_Level]]</f>
        <v>High</v>
      </c>
      <c r="AK306" t="str">
        <f>tbl_OriginalData[[#This Row],[Marital_Status]]</f>
        <v>Married</v>
      </c>
      <c r="AL306" t="str">
        <f>tbl_OriginalData[[#This Row],[Education_Level]]</f>
        <v>High School</v>
      </c>
      <c r="AM306" t="str">
        <f>tbl_OriginalData[[#This Row],[Occupation]]</f>
        <v>High</v>
      </c>
      <c r="AN306" t="s">
        <v>805</v>
      </c>
      <c r="AO306" t="s">
        <v>103</v>
      </c>
      <c r="AP306" t="str">
        <f>tbl_OriginalData[[#This Row],[Purchase_Category]]</f>
        <v>Animal Feed</v>
      </c>
      <c r="AQ306" s="4">
        <f>tbl_OriginalData[[#This Row],[Purchase_Amount]]</f>
        <v>334.67</v>
      </c>
      <c r="AR306">
        <f>tbl_OriginalData[[#This Row],[Frequency_of_Purchase]]</f>
        <v>12</v>
      </c>
      <c r="AS306" t="str">
        <f>tbl_OriginalData[[#This Row],[Purchase_Channel]]</f>
        <v>In-Store</v>
      </c>
      <c r="AT306">
        <f>tbl_OriginalData[[#This Row],[Brand_Loyalty]]</f>
        <v>2</v>
      </c>
      <c r="AU306">
        <f>tbl_OriginalData[[#This Row],[Product_Rating]]</f>
        <v>1</v>
      </c>
      <c r="AV306">
        <f>tbl_OriginalData[[#This Row],[Time_Spent_on_Product_Research(hours)]]*60</f>
        <v>120</v>
      </c>
      <c r="AW306" t="str">
        <f>tbl_OriginalData[[#This Row],[Social_Media_Influence]]</f>
        <v>None</v>
      </c>
      <c r="AX306" t="str">
        <f>tbl_OriginalData[[#This Row],[Discount_Sensitivity]]</f>
        <v>Somewhat Sensitive</v>
      </c>
      <c r="AY306" s="3">
        <f>tbl_OriginalData[[#This Row],[Return_Rate]]/tbl_OriginalData[[#This Row],[Frequency_of_Purchase]]</f>
        <v>0.16666666666666666</v>
      </c>
      <c r="AZ306">
        <f>tbl_OriginalData[[#This Row],[Customer_Satisfaction]]</f>
        <v>5</v>
      </c>
      <c r="BA306" t="str">
        <f>tbl_OriginalData[[#This Row],[Engagement_with_Ads]]</f>
        <v>None</v>
      </c>
      <c r="BB306" t="str">
        <f>tbl_OriginalData[[#This Row],[Device_Used_for_Shopping]]</f>
        <v>Tablet</v>
      </c>
      <c r="BC306" t="str">
        <f>tbl_OriginalData[[#This Row],[Payment_Method]]</f>
        <v>Debit Card</v>
      </c>
      <c r="BD306" s="1">
        <f>tbl_OriginalData[[#This Row],[Time_of_Purchase]]</f>
        <v>45614</v>
      </c>
      <c r="BE306" t="str">
        <f>IF(tbl_OriginalData[[#This Row],[Discount_Used]]=TRUE,"Yes","No")</f>
        <v>Yes</v>
      </c>
      <c r="BF306" t="str">
        <f>IF(tbl_OriginalData[[#This Row],[Customer_Loyalty_Program_Member]]=TRUE,"Yes","No")</f>
        <v>No</v>
      </c>
      <c r="BG306" t="str">
        <f>tbl_OriginalData[[#This Row],[Purchase_Intent]]</f>
        <v>Need-based</v>
      </c>
      <c r="BH306" t="str">
        <f>tbl_OriginalData[[#This Row],[Shipping_Preference]]</f>
        <v>Standard</v>
      </c>
      <c r="BI306">
        <f>tbl_OriginalData[[#This Row],[Time_to_Decision]]</f>
        <v>13</v>
      </c>
      <c r="BJ306" t="s">
        <v>177</v>
      </c>
      <c r="BK306" t="s">
        <v>80</v>
      </c>
      <c r="BL306" t="s">
        <v>2523</v>
      </c>
    </row>
    <row r="307" spans="1:64">
      <c r="A307" t="s">
        <v>806</v>
      </c>
      <c r="B307">
        <v>36</v>
      </c>
      <c r="C307" t="s">
        <v>50</v>
      </c>
      <c r="D307" t="s">
        <v>34</v>
      </c>
      <c r="E307" t="s">
        <v>82</v>
      </c>
      <c r="F307" t="s">
        <v>66</v>
      </c>
      <c r="G307" t="s">
        <v>34</v>
      </c>
      <c r="H307" t="s">
        <v>807</v>
      </c>
      <c r="I307" t="s">
        <v>98</v>
      </c>
      <c r="J307">
        <v>182.72</v>
      </c>
      <c r="K307">
        <v>5</v>
      </c>
      <c r="L307" t="s">
        <v>94</v>
      </c>
      <c r="M307">
        <v>2</v>
      </c>
      <c r="N307">
        <v>1</v>
      </c>
      <c r="O307">
        <v>2</v>
      </c>
      <c r="P307" t="s">
        <v>51</v>
      </c>
      <c r="Q307" t="s">
        <v>101</v>
      </c>
      <c r="R307">
        <v>1</v>
      </c>
      <c r="S307">
        <v>7</v>
      </c>
      <c r="T307" t="s">
        <v>40</v>
      </c>
      <c r="U307" t="s">
        <v>95</v>
      </c>
      <c r="V307" t="s">
        <v>76</v>
      </c>
      <c r="W307" s="1">
        <v>45447</v>
      </c>
      <c r="X307" t="b">
        <v>0</v>
      </c>
      <c r="Y307" t="b">
        <v>0</v>
      </c>
      <c r="Z307" t="s">
        <v>72</v>
      </c>
      <c r="AA307" t="s">
        <v>45</v>
      </c>
      <c r="AB307">
        <v>13</v>
      </c>
      <c r="AF307" t="str">
        <f>tbl_OriginalData[[#This Row],[Customer_ID]]</f>
        <v>23-752-2213</v>
      </c>
      <c r="AG307">
        <f>tbl_OriginalData[[#This Row],[Age]]</f>
        <v>36</v>
      </c>
      <c r="AH307" t="str" cm="1">
        <f t="array" ref="AH30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07" t="str">
        <f>tbl_OriginalData[[#This Row],[Gender]]</f>
        <v>Male</v>
      </c>
      <c r="AJ307" t="str">
        <f>tbl_OriginalData[[#This Row],[Income_Level]]</f>
        <v>Middle</v>
      </c>
      <c r="AK307" t="str">
        <f>tbl_OriginalData[[#This Row],[Marital_Status]]</f>
        <v>Widowed</v>
      </c>
      <c r="AL307" t="str">
        <f>tbl_OriginalData[[#This Row],[Education_Level]]</f>
        <v>Master's</v>
      </c>
      <c r="AM307" t="str">
        <f>tbl_OriginalData[[#This Row],[Occupation]]</f>
        <v>Middle</v>
      </c>
      <c r="AN307" t="s">
        <v>807</v>
      </c>
      <c r="AO307" t="s">
        <v>232</v>
      </c>
      <c r="AP307" t="str">
        <f>tbl_OriginalData[[#This Row],[Purchase_Category]]</f>
        <v>Books</v>
      </c>
      <c r="AQ307" s="4">
        <f>tbl_OriginalData[[#This Row],[Purchase_Amount]]</f>
        <v>182.72</v>
      </c>
      <c r="AR307">
        <f>tbl_OriginalData[[#This Row],[Frequency_of_Purchase]]</f>
        <v>5</v>
      </c>
      <c r="AS307" t="str">
        <f>tbl_OriginalData[[#This Row],[Purchase_Channel]]</f>
        <v>Online</v>
      </c>
      <c r="AT307">
        <f>tbl_OriginalData[[#This Row],[Brand_Loyalty]]</f>
        <v>2</v>
      </c>
      <c r="AU307">
        <f>tbl_OriginalData[[#This Row],[Product_Rating]]</f>
        <v>1</v>
      </c>
      <c r="AV307">
        <f>tbl_OriginalData[[#This Row],[Time_Spent_on_Product_Research(hours)]]*60</f>
        <v>120</v>
      </c>
      <c r="AW307" t="str">
        <f>tbl_OriginalData[[#This Row],[Social_Media_Influence]]</f>
        <v>High</v>
      </c>
      <c r="AX307" t="str">
        <f>tbl_OriginalData[[#This Row],[Discount_Sensitivity]]</f>
        <v>Very Sensitive</v>
      </c>
      <c r="AY307" s="3">
        <f>tbl_OriginalData[[#This Row],[Return_Rate]]/tbl_OriginalData[[#This Row],[Frequency_of_Purchase]]</f>
        <v>0.2</v>
      </c>
      <c r="AZ307">
        <f>tbl_OriginalData[[#This Row],[Customer_Satisfaction]]</f>
        <v>7</v>
      </c>
      <c r="BA307" t="str">
        <f>tbl_OriginalData[[#This Row],[Engagement_with_Ads]]</f>
        <v>None</v>
      </c>
      <c r="BB307" t="str">
        <f>tbl_OriginalData[[#This Row],[Device_Used_for_Shopping]]</f>
        <v>Desktop</v>
      </c>
      <c r="BC307" t="str">
        <f>tbl_OriginalData[[#This Row],[Payment_Method]]</f>
        <v>Other</v>
      </c>
      <c r="BD307" s="1">
        <f>tbl_OriginalData[[#This Row],[Time_of_Purchase]]</f>
        <v>45447</v>
      </c>
      <c r="BE307" t="str">
        <f>IF(tbl_OriginalData[[#This Row],[Discount_Used]]=TRUE,"Yes","No")</f>
        <v>No</v>
      </c>
      <c r="BF307" t="str">
        <f>IF(tbl_OriginalData[[#This Row],[Customer_Loyalty_Program_Member]]=TRUE,"Yes","No")</f>
        <v>No</v>
      </c>
      <c r="BG307" t="str">
        <f>tbl_OriginalData[[#This Row],[Purchase_Intent]]</f>
        <v>Impulsive</v>
      </c>
      <c r="BH307" t="str">
        <f>tbl_OriginalData[[#This Row],[Shipping_Preference]]</f>
        <v>No Preference</v>
      </c>
      <c r="BI307">
        <f>tbl_OriginalData[[#This Row],[Time_to_Decision]]</f>
        <v>13</v>
      </c>
      <c r="BJ307" t="s">
        <v>104</v>
      </c>
      <c r="BK307" t="s">
        <v>63</v>
      </c>
      <c r="BL307" t="s">
        <v>2523</v>
      </c>
    </row>
    <row r="308" spans="1:64">
      <c r="A308" t="s">
        <v>808</v>
      </c>
      <c r="B308">
        <v>43</v>
      </c>
      <c r="C308" t="s">
        <v>50</v>
      </c>
      <c r="D308" t="s">
        <v>51</v>
      </c>
      <c r="E308" t="s">
        <v>82</v>
      </c>
      <c r="F308" t="s">
        <v>52</v>
      </c>
      <c r="G308" t="s">
        <v>34</v>
      </c>
      <c r="H308" t="s">
        <v>809</v>
      </c>
      <c r="I308" t="s">
        <v>306</v>
      </c>
      <c r="J308">
        <v>260.22000000000003</v>
      </c>
      <c r="K308">
        <v>11</v>
      </c>
      <c r="L308" t="s">
        <v>55</v>
      </c>
      <c r="M308">
        <v>4</v>
      </c>
      <c r="N308">
        <v>3</v>
      </c>
      <c r="O308">
        <v>0</v>
      </c>
      <c r="P308" t="s">
        <v>40</v>
      </c>
      <c r="Q308" t="s">
        <v>57</v>
      </c>
      <c r="R308">
        <v>2</v>
      </c>
      <c r="S308">
        <v>5</v>
      </c>
      <c r="T308" t="s">
        <v>51</v>
      </c>
      <c r="U308" t="s">
        <v>95</v>
      </c>
      <c r="V308" t="s">
        <v>43</v>
      </c>
      <c r="W308" s="1">
        <v>45616</v>
      </c>
      <c r="X308" t="b">
        <v>0</v>
      </c>
      <c r="Y308" t="b">
        <v>1</v>
      </c>
      <c r="Z308" t="s">
        <v>44</v>
      </c>
      <c r="AA308" t="s">
        <v>77</v>
      </c>
      <c r="AB308">
        <v>13</v>
      </c>
      <c r="AF308" t="str">
        <f>tbl_OriginalData[[#This Row],[Customer_ID]]</f>
        <v>71-486-8561</v>
      </c>
      <c r="AG308">
        <f>tbl_OriginalData[[#This Row],[Age]]</f>
        <v>43</v>
      </c>
      <c r="AH308" t="str" cm="1">
        <f t="array" ref="AH30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08" t="str">
        <f>tbl_OriginalData[[#This Row],[Gender]]</f>
        <v>Male</v>
      </c>
      <c r="AJ308" t="str">
        <f>tbl_OriginalData[[#This Row],[Income_Level]]</f>
        <v>High</v>
      </c>
      <c r="AK308" t="str">
        <f>tbl_OriginalData[[#This Row],[Marital_Status]]</f>
        <v>Widowed</v>
      </c>
      <c r="AL308" t="str">
        <f>tbl_OriginalData[[#This Row],[Education_Level]]</f>
        <v>High School</v>
      </c>
      <c r="AM308" t="str">
        <f>tbl_OriginalData[[#This Row],[Occupation]]</f>
        <v>Middle</v>
      </c>
      <c r="AN308" t="s">
        <v>809</v>
      </c>
      <c r="AO308" t="s">
        <v>194</v>
      </c>
      <c r="AP308" t="str">
        <f>tbl_OriginalData[[#This Row],[Purchase_Category]]</f>
        <v>Jewelry &amp; Accessories</v>
      </c>
      <c r="AQ308" s="4">
        <f>tbl_OriginalData[[#This Row],[Purchase_Amount]]</f>
        <v>260.22000000000003</v>
      </c>
      <c r="AR308">
        <f>tbl_OriginalData[[#This Row],[Frequency_of_Purchase]]</f>
        <v>11</v>
      </c>
      <c r="AS308" t="str">
        <f>tbl_OriginalData[[#This Row],[Purchase_Channel]]</f>
        <v>In-Store</v>
      </c>
      <c r="AT308">
        <f>tbl_OriginalData[[#This Row],[Brand_Loyalty]]</f>
        <v>4</v>
      </c>
      <c r="AU308">
        <f>tbl_OriginalData[[#This Row],[Product_Rating]]</f>
        <v>3</v>
      </c>
      <c r="AV308">
        <f>tbl_OriginalData[[#This Row],[Time_Spent_on_Product_Research(hours)]]*60</f>
        <v>0</v>
      </c>
      <c r="AW308" t="str">
        <f>tbl_OriginalData[[#This Row],[Social_Media_Influence]]</f>
        <v>None</v>
      </c>
      <c r="AX308" t="str">
        <f>tbl_OriginalData[[#This Row],[Discount_Sensitivity]]</f>
        <v>Not Sensitive</v>
      </c>
      <c r="AY308" s="3">
        <f>tbl_OriginalData[[#This Row],[Return_Rate]]/tbl_OriginalData[[#This Row],[Frequency_of_Purchase]]</f>
        <v>0.18181818181818182</v>
      </c>
      <c r="AZ308">
        <f>tbl_OriginalData[[#This Row],[Customer_Satisfaction]]</f>
        <v>5</v>
      </c>
      <c r="BA308" t="str">
        <f>tbl_OriginalData[[#This Row],[Engagement_with_Ads]]</f>
        <v>High</v>
      </c>
      <c r="BB308" t="str">
        <f>tbl_OriginalData[[#This Row],[Device_Used_for_Shopping]]</f>
        <v>Desktop</v>
      </c>
      <c r="BC308" t="str">
        <f>tbl_OriginalData[[#This Row],[Payment_Method]]</f>
        <v>Credit Card</v>
      </c>
      <c r="BD308" s="1">
        <f>tbl_OriginalData[[#This Row],[Time_of_Purchase]]</f>
        <v>45616</v>
      </c>
      <c r="BE308" t="str">
        <f>IF(tbl_OriginalData[[#This Row],[Discount_Used]]=TRUE,"Yes","No")</f>
        <v>No</v>
      </c>
      <c r="BF308" t="str">
        <f>IF(tbl_OriginalData[[#This Row],[Customer_Loyalty_Program_Member]]=TRUE,"Yes","No")</f>
        <v>Yes</v>
      </c>
      <c r="BG308" t="str">
        <f>tbl_OriginalData[[#This Row],[Purchase_Intent]]</f>
        <v>Need-based</v>
      </c>
      <c r="BH308" t="str">
        <f>tbl_OriginalData[[#This Row],[Shipping_Preference]]</f>
        <v>Express</v>
      </c>
      <c r="BI308">
        <f>tbl_OriginalData[[#This Row],[Time_to_Decision]]</f>
        <v>13</v>
      </c>
      <c r="BJ308" t="s">
        <v>177</v>
      </c>
      <c r="BK308" t="s">
        <v>80</v>
      </c>
      <c r="BL308" t="s">
        <v>2524</v>
      </c>
    </row>
    <row r="309" spans="1:64">
      <c r="A309" t="s">
        <v>810</v>
      </c>
      <c r="B309">
        <v>26</v>
      </c>
      <c r="C309" t="s">
        <v>33</v>
      </c>
      <c r="D309" t="s">
        <v>51</v>
      </c>
      <c r="E309" t="s">
        <v>65</v>
      </c>
      <c r="F309" t="s">
        <v>52</v>
      </c>
      <c r="G309" t="s">
        <v>34</v>
      </c>
      <c r="H309" t="s">
        <v>811</v>
      </c>
      <c r="I309" t="s">
        <v>54</v>
      </c>
      <c r="J309">
        <v>454.93</v>
      </c>
      <c r="K309">
        <v>8</v>
      </c>
      <c r="L309" t="s">
        <v>94</v>
      </c>
      <c r="M309">
        <v>3</v>
      </c>
      <c r="N309">
        <v>5</v>
      </c>
      <c r="O309">
        <v>0</v>
      </c>
      <c r="P309" t="s">
        <v>69</v>
      </c>
      <c r="Q309" t="s">
        <v>41</v>
      </c>
      <c r="R309">
        <v>2</v>
      </c>
      <c r="S309">
        <v>7</v>
      </c>
      <c r="T309" t="s">
        <v>56</v>
      </c>
      <c r="U309" t="s">
        <v>95</v>
      </c>
      <c r="V309" t="s">
        <v>71</v>
      </c>
      <c r="W309" s="1">
        <v>45403</v>
      </c>
      <c r="X309" t="b">
        <v>0</v>
      </c>
      <c r="Y309" t="b">
        <v>0</v>
      </c>
      <c r="Z309" t="s">
        <v>59</v>
      </c>
      <c r="AA309" t="s">
        <v>45</v>
      </c>
      <c r="AB309">
        <v>11</v>
      </c>
      <c r="AF309" t="str">
        <f>tbl_OriginalData[[#This Row],[Customer_ID]]</f>
        <v>76-382-7162</v>
      </c>
      <c r="AG309">
        <f>tbl_OriginalData[[#This Row],[Age]]</f>
        <v>26</v>
      </c>
      <c r="AH309" t="str" cm="1">
        <f t="array" ref="AH30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09" t="str">
        <f>tbl_OriginalData[[#This Row],[Gender]]</f>
        <v>Female</v>
      </c>
      <c r="AJ309" t="str">
        <f>tbl_OriginalData[[#This Row],[Income_Level]]</f>
        <v>High</v>
      </c>
      <c r="AK309" t="str">
        <f>tbl_OriginalData[[#This Row],[Marital_Status]]</f>
        <v>Single</v>
      </c>
      <c r="AL309" t="str">
        <f>tbl_OriginalData[[#This Row],[Education_Level]]</f>
        <v>High School</v>
      </c>
      <c r="AM309" t="str">
        <f>tbl_OriginalData[[#This Row],[Occupation]]</f>
        <v>Middle</v>
      </c>
      <c r="AN309" t="s">
        <v>811</v>
      </c>
      <c r="AO309" t="s">
        <v>812</v>
      </c>
      <c r="AP309" t="str">
        <f>tbl_OriginalData[[#This Row],[Purchase_Category]]</f>
        <v>Food &amp; Beverages</v>
      </c>
      <c r="AQ309" s="4">
        <f>tbl_OriginalData[[#This Row],[Purchase_Amount]]</f>
        <v>454.93</v>
      </c>
      <c r="AR309">
        <f>tbl_OriginalData[[#This Row],[Frequency_of_Purchase]]</f>
        <v>8</v>
      </c>
      <c r="AS309" t="str">
        <f>tbl_OriginalData[[#This Row],[Purchase_Channel]]</f>
        <v>Online</v>
      </c>
      <c r="AT309">
        <f>tbl_OriginalData[[#This Row],[Brand_Loyalty]]</f>
        <v>3</v>
      </c>
      <c r="AU309">
        <f>tbl_OriginalData[[#This Row],[Product_Rating]]</f>
        <v>5</v>
      </c>
      <c r="AV309">
        <f>tbl_OriginalData[[#This Row],[Time_Spent_on_Product_Research(hours)]]*60</f>
        <v>0</v>
      </c>
      <c r="AW309" t="str">
        <f>tbl_OriginalData[[#This Row],[Social_Media_Influence]]</f>
        <v>Low</v>
      </c>
      <c r="AX309" t="str">
        <f>tbl_OriginalData[[#This Row],[Discount_Sensitivity]]</f>
        <v>Somewhat Sensitive</v>
      </c>
      <c r="AY309" s="3">
        <f>tbl_OriginalData[[#This Row],[Return_Rate]]/tbl_OriginalData[[#This Row],[Frequency_of_Purchase]]</f>
        <v>0.25</v>
      </c>
      <c r="AZ309">
        <f>tbl_OriginalData[[#This Row],[Customer_Satisfaction]]</f>
        <v>7</v>
      </c>
      <c r="BA309" t="str">
        <f>tbl_OriginalData[[#This Row],[Engagement_with_Ads]]</f>
        <v>Medium</v>
      </c>
      <c r="BB309" t="str">
        <f>tbl_OriginalData[[#This Row],[Device_Used_for_Shopping]]</f>
        <v>Desktop</v>
      </c>
      <c r="BC309" t="str">
        <f>tbl_OriginalData[[#This Row],[Payment_Method]]</f>
        <v>Debit Card</v>
      </c>
      <c r="BD309" s="1">
        <f>tbl_OriginalData[[#This Row],[Time_of_Purchase]]</f>
        <v>45403</v>
      </c>
      <c r="BE309" t="str">
        <f>IF(tbl_OriginalData[[#This Row],[Discount_Used]]=TRUE,"Yes","No")</f>
        <v>No</v>
      </c>
      <c r="BF309" t="str">
        <f>IF(tbl_OriginalData[[#This Row],[Customer_Loyalty_Program_Member]]=TRUE,"Yes","No")</f>
        <v>No</v>
      </c>
      <c r="BG309" t="str">
        <f>tbl_OriginalData[[#This Row],[Purchase_Intent]]</f>
        <v>Wants-based</v>
      </c>
      <c r="BH309" t="str">
        <f>tbl_OriginalData[[#This Row],[Shipping_Preference]]</f>
        <v>No Preference</v>
      </c>
      <c r="BI309">
        <f>tbl_OriginalData[[#This Row],[Time_to_Decision]]</f>
        <v>11</v>
      </c>
      <c r="BJ309" t="s">
        <v>62</v>
      </c>
      <c r="BK309" t="s">
        <v>63</v>
      </c>
      <c r="BL309" t="s">
        <v>2528</v>
      </c>
    </row>
    <row r="310" spans="1:64">
      <c r="A310" t="s">
        <v>813</v>
      </c>
      <c r="B310">
        <v>29</v>
      </c>
      <c r="C310" t="s">
        <v>50</v>
      </c>
      <c r="D310" t="s">
        <v>34</v>
      </c>
      <c r="E310" t="s">
        <v>82</v>
      </c>
      <c r="F310" t="s">
        <v>36</v>
      </c>
      <c r="G310" t="s">
        <v>51</v>
      </c>
      <c r="H310" t="s">
        <v>814</v>
      </c>
      <c r="I310" t="s">
        <v>235</v>
      </c>
      <c r="J310">
        <v>325.42</v>
      </c>
      <c r="K310">
        <v>11</v>
      </c>
      <c r="L310" t="s">
        <v>55</v>
      </c>
      <c r="M310">
        <v>2</v>
      </c>
      <c r="N310">
        <v>4</v>
      </c>
      <c r="O310">
        <v>2</v>
      </c>
      <c r="P310" t="s">
        <v>69</v>
      </c>
      <c r="Q310" t="s">
        <v>57</v>
      </c>
      <c r="R310">
        <v>1</v>
      </c>
      <c r="S310">
        <v>1</v>
      </c>
      <c r="T310" t="s">
        <v>51</v>
      </c>
      <c r="U310" t="s">
        <v>95</v>
      </c>
      <c r="V310" t="s">
        <v>76</v>
      </c>
      <c r="W310" s="1">
        <v>45585</v>
      </c>
      <c r="X310" t="b">
        <v>1</v>
      </c>
      <c r="Y310" t="b">
        <v>0</v>
      </c>
      <c r="Z310" t="s">
        <v>72</v>
      </c>
      <c r="AA310" t="s">
        <v>77</v>
      </c>
      <c r="AB310">
        <v>7</v>
      </c>
      <c r="AF310" t="str">
        <f>tbl_OriginalData[[#This Row],[Customer_ID]]</f>
        <v>28-947-4295</v>
      </c>
      <c r="AG310">
        <f>tbl_OriginalData[[#This Row],[Age]]</f>
        <v>29</v>
      </c>
      <c r="AH310" t="str" cm="1">
        <f t="array" ref="AH31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10" t="str">
        <f>tbl_OriginalData[[#This Row],[Gender]]</f>
        <v>Male</v>
      </c>
      <c r="AJ310" t="str">
        <f>tbl_OriginalData[[#This Row],[Income_Level]]</f>
        <v>Middle</v>
      </c>
      <c r="AK310" t="str">
        <f>tbl_OriginalData[[#This Row],[Marital_Status]]</f>
        <v>Widowed</v>
      </c>
      <c r="AL310" t="str">
        <f>tbl_OriginalData[[#This Row],[Education_Level]]</f>
        <v>Bachelor's</v>
      </c>
      <c r="AM310" t="str">
        <f>tbl_OriginalData[[#This Row],[Occupation]]</f>
        <v>High</v>
      </c>
      <c r="AN310" t="s">
        <v>814</v>
      </c>
      <c r="AO310" t="s">
        <v>109</v>
      </c>
      <c r="AP310" t="str">
        <f>tbl_OriginalData[[#This Row],[Purchase_Category]]</f>
        <v>Beauty &amp; Personal Care</v>
      </c>
      <c r="AQ310" s="4">
        <f>tbl_OriginalData[[#This Row],[Purchase_Amount]]</f>
        <v>325.42</v>
      </c>
      <c r="AR310">
        <f>tbl_OriginalData[[#This Row],[Frequency_of_Purchase]]</f>
        <v>11</v>
      </c>
      <c r="AS310" t="str">
        <f>tbl_OriginalData[[#This Row],[Purchase_Channel]]</f>
        <v>In-Store</v>
      </c>
      <c r="AT310">
        <f>tbl_OriginalData[[#This Row],[Brand_Loyalty]]</f>
        <v>2</v>
      </c>
      <c r="AU310">
        <f>tbl_OriginalData[[#This Row],[Product_Rating]]</f>
        <v>4</v>
      </c>
      <c r="AV310">
        <f>tbl_OriginalData[[#This Row],[Time_Spent_on_Product_Research(hours)]]*60</f>
        <v>120</v>
      </c>
      <c r="AW310" t="str">
        <f>tbl_OriginalData[[#This Row],[Social_Media_Influence]]</f>
        <v>Low</v>
      </c>
      <c r="AX310" t="str">
        <f>tbl_OriginalData[[#This Row],[Discount_Sensitivity]]</f>
        <v>Not Sensitive</v>
      </c>
      <c r="AY310" s="3">
        <f>tbl_OriginalData[[#This Row],[Return_Rate]]/tbl_OriginalData[[#This Row],[Frequency_of_Purchase]]</f>
        <v>9.0909090909090912E-2</v>
      </c>
      <c r="AZ310">
        <f>tbl_OriginalData[[#This Row],[Customer_Satisfaction]]</f>
        <v>1</v>
      </c>
      <c r="BA310" t="str">
        <f>tbl_OriginalData[[#This Row],[Engagement_with_Ads]]</f>
        <v>High</v>
      </c>
      <c r="BB310" t="str">
        <f>tbl_OriginalData[[#This Row],[Device_Used_for_Shopping]]</f>
        <v>Desktop</v>
      </c>
      <c r="BC310" t="str">
        <f>tbl_OriginalData[[#This Row],[Payment_Method]]</f>
        <v>Other</v>
      </c>
      <c r="BD310" s="1">
        <f>tbl_OriginalData[[#This Row],[Time_of_Purchase]]</f>
        <v>45585</v>
      </c>
      <c r="BE310" t="str">
        <f>IF(tbl_OriginalData[[#This Row],[Discount_Used]]=TRUE,"Yes","No")</f>
        <v>Yes</v>
      </c>
      <c r="BF310" t="str">
        <f>IF(tbl_OriginalData[[#This Row],[Customer_Loyalty_Program_Member]]=TRUE,"Yes","No")</f>
        <v>No</v>
      </c>
      <c r="BG310" t="str">
        <f>tbl_OriginalData[[#This Row],[Purchase_Intent]]</f>
        <v>Impulsive</v>
      </c>
      <c r="BH310" t="str">
        <f>tbl_OriginalData[[#This Row],[Shipping_Preference]]</f>
        <v>Express</v>
      </c>
      <c r="BI310">
        <f>tbl_OriginalData[[#This Row],[Time_to_Decision]]</f>
        <v>7</v>
      </c>
      <c r="BJ310" t="s">
        <v>79</v>
      </c>
      <c r="BK310" t="s">
        <v>80</v>
      </c>
      <c r="BL310" t="s">
        <v>2526</v>
      </c>
    </row>
    <row r="311" spans="1:64">
      <c r="A311" t="s">
        <v>815</v>
      </c>
      <c r="B311">
        <v>34</v>
      </c>
      <c r="C311" t="s">
        <v>33</v>
      </c>
      <c r="D311" t="s">
        <v>34</v>
      </c>
      <c r="E311" t="s">
        <v>82</v>
      </c>
      <c r="F311" t="s">
        <v>52</v>
      </c>
      <c r="G311" t="s">
        <v>51</v>
      </c>
      <c r="H311" t="s">
        <v>816</v>
      </c>
      <c r="I311" t="s">
        <v>306</v>
      </c>
      <c r="J311">
        <v>351.36</v>
      </c>
      <c r="K311">
        <v>2</v>
      </c>
      <c r="L311" t="s">
        <v>55</v>
      </c>
      <c r="M311">
        <v>5</v>
      </c>
      <c r="N311">
        <v>3</v>
      </c>
      <c r="O311">
        <v>2</v>
      </c>
      <c r="P311" t="s">
        <v>51</v>
      </c>
      <c r="Q311" t="s">
        <v>101</v>
      </c>
      <c r="R311">
        <v>2</v>
      </c>
      <c r="S311">
        <v>6</v>
      </c>
      <c r="T311" t="s">
        <v>40</v>
      </c>
      <c r="U311" t="s">
        <v>95</v>
      </c>
      <c r="V311" t="s">
        <v>76</v>
      </c>
      <c r="W311" s="1">
        <v>45331</v>
      </c>
      <c r="X311" t="b">
        <v>0</v>
      </c>
      <c r="Y311" t="b">
        <v>1</v>
      </c>
      <c r="Z311" t="s">
        <v>44</v>
      </c>
      <c r="AA311" t="s">
        <v>60</v>
      </c>
      <c r="AB311">
        <v>7</v>
      </c>
      <c r="AF311" t="str">
        <f>tbl_OriginalData[[#This Row],[Customer_ID]]</f>
        <v>84-765-0748</v>
      </c>
      <c r="AG311">
        <f>tbl_OriginalData[[#This Row],[Age]]</f>
        <v>34</v>
      </c>
      <c r="AH311" t="str" cm="1">
        <f t="array" ref="AH31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11" t="str">
        <f>tbl_OriginalData[[#This Row],[Gender]]</f>
        <v>Female</v>
      </c>
      <c r="AJ311" t="str">
        <f>tbl_OriginalData[[#This Row],[Income_Level]]</f>
        <v>Middle</v>
      </c>
      <c r="AK311" t="str">
        <f>tbl_OriginalData[[#This Row],[Marital_Status]]</f>
        <v>Widowed</v>
      </c>
      <c r="AL311" t="str">
        <f>tbl_OriginalData[[#This Row],[Education_Level]]</f>
        <v>High School</v>
      </c>
      <c r="AM311" t="str">
        <f>tbl_OriginalData[[#This Row],[Occupation]]</f>
        <v>High</v>
      </c>
      <c r="AN311" t="s">
        <v>816</v>
      </c>
      <c r="AO311" t="s">
        <v>290</v>
      </c>
      <c r="AP311" t="str">
        <f>tbl_OriginalData[[#This Row],[Purchase_Category]]</f>
        <v>Jewelry &amp; Accessories</v>
      </c>
      <c r="AQ311" s="4">
        <f>tbl_OriginalData[[#This Row],[Purchase_Amount]]</f>
        <v>351.36</v>
      </c>
      <c r="AR311">
        <f>tbl_OriginalData[[#This Row],[Frequency_of_Purchase]]</f>
        <v>2</v>
      </c>
      <c r="AS311" t="str">
        <f>tbl_OriginalData[[#This Row],[Purchase_Channel]]</f>
        <v>In-Store</v>
      </c>
      <c r="AT311">
        <f>tbl_OriginalData[[#This Row],[Brand_Loyalty]]</f>
        <v>5</v>
      </c>
      <c r="AU311">
        <f>tbl_OriginalData[[#This Row],[Product_Rating]]</f>
        <v>3</v>
      </c>
      <c r="AV311">
        <f>tbl_OriginalData[[#This Row],[Time_Spent_on_Product_Research(hours)]]*60</f>
        <v>120</v>
      </c>
      <c r="AW311" t="str">
        <f>tbl_OriginalData[[#This Row],[Social_Media_Influence]]</f>
        <v>High</v>
      </c>
      <c r="AX311" t="str">
        <f>tbl_OriginalData[[#This Row],[Discount_Sensitivity]]</f>
        <v>Very Sensitive</v>
      </c>
      <c r="AY311" s="3">
        <f>tbl_OriginalData[[#This Row],[Return_Rate]]/tbl_OriginalData[[#This Row],[Frequency_of_Purchase]]</f>
        <v>1</v>
      </c>
      <c r="AZ311">
        <f>tbl_OriginalData[[#This Row],[Customer_Satisfaction]]</f>
        <v>6</v>
      </c>
      <c r="BA311" t="str">
        <f>tbl_OriginalData[[#This Row],[Engagement_with_Ads]]</f>
        <v>None</v>
      </c>
      <c r="BB311" t="str">
        <f>tbl_OriginalData[[#This Row],[Device_Used_for_Shopping]]</f>
        <v>Desktop</v>
      </c>
      <c r="BC311" t="str">
        <f>tbl_OriginalData[[#This Row],[Payment_Method]]</f>
        <v>Other</v>
      </c>
      <c r="BD311" s="1">
        <f>tbl_OriginalData[[#This Row],[Time_of_Purchase]]</f>
        <v>45331</v>
      </c>
      <c r="BE311" t="str">
        <f>IF(tbl_OriginalData[[#This Row],[Discount_Used]]=TRUE,"Yes","No")</f>
        <v>No</v>
      </c>
      <c r="BF311" t="str">
        <f>IF(tbl_OriginalData[[#This Row],[Customer_Loyalty_Program_Member]]=TRUE,"Yes","No")</f>
        <v>Yes</v>
      </c>
      <c r="BG311" t="str">
        <f>tbl_OriginalData[[#This Row],[Purchase_Intent]]</f>
        <v>Need-based</v>
      </c>
      <c r="BH311" t="str">
        <f>tbl_OriginalData[[#This Row],[Shipping_Preference]]</f>
        <v>Standard</v>
      </c>
      <c r="BI311">
        <f>tbl_OriginalData[[#This Row],[Time_to_Decision]]</f>
        <v>7</v>
      </c>
      <c r="BJ311" t="s">
        <v>158</v>
      </c>
      <c r="BK311" t="s">
        <v>48</v>
      </c>
      <c r="BL311" t="s">
        <v>2524</v>
      </c>
    </row>
    <row r="312" spans="1:64">
      <c r="A312" t="s">
        <v>817</v>
      </c>
      <c r="B312">
        <v>40</v>
      </c>
      <c r="C312" t="s">
        <v>50</v>
      </c>
      <c r="D312" t="s">
        <v>51</v>
      </c>
      <c r="E312" t="s">
        <v>65</v>
      </c>
      <c r="F312" t="s">
        <v>36</v>
      </c>
      <c r="G312" t="s">
        <v>34</v>
      </c>
      <c r="H312" t="s">
        <v>818</v>
      </c>
      <c r="I312" t="s">
        <v>153</v>
      </c>
      <c r="J312">
        <v>333.63</v>
      </c>
      <c r="K312">
        <v>8</v>
      </c>
      <c r="L312" t="s">
        <v>39</v>
      </c>
      <c r="M312">
        <v>4</v>
      </c>
      <c r="N312">
        <v>5</v>
      </c>
      <c r="O312">
        <v>2</v>
      </c>
      <c r="P312" t="s">
        <v>40</v>
      </c>
      <c r="Q312" t="s">
        <v>101</v>
      </c>
      <c r="R312">
        <v>2</v>
      </c>
      <c r="S312">
        <v>2</v>
      </c>
      <c r="T312" t="s">
        <v>51</v>
      </c>
      <c r="U312" t="s">
        <v>70</v>
      </c>
      <c r="V312" t="s">
        <v>76</v>
      </c>
      <c r="W312" s="1">
        <v>45631</v>
      </c>
      <c r="X312" t="b">
        <v>0</v>
      </c>
      <c r="Y312" t="b">
        <v>0</v>
      </c>
      <c r="Z312" t="s">
        <v>44</v>
      </c>
      <c r="AA312" t="s">
        <v>77</v>
      </c>
      <c r="AB312">
        <v>14</v>
      </c>
      <c r="AF312" t="str">
        <f>tbl_OriginalData[[#This Row],[Customer_ID]]</f>
        <v>54-207-8349</v>
      </c>
      <c r="AG312">
        <f>tbl_OriginalData[[#This Row],[Age]]</f>
        <v>40</v>
      </c>
      <c r="AH312" t="str" cm="1">
        <f t="array" ref="AH31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12" t="str">
        <f>tbl_OriginalData[[#This Row],[Gender]]</f>
        <v>Male</v>
      </c>
      <c r="AJ312" t="str">
        <f>tbl_OriginalData[[#This Row],[Income_Level]]</f>
        <v>High</v>
      </c>
      <c r="AK312" t="str">
        <f>tbl_OriginalData[[#This Row],[Marital_Status]]</f>
        <v>Single</v>
      </c>
      <c r="AL312" t="str">
        <f>tbl_OriginalData[[#This Row],[Education_Level]]</f>
        <v>Bachelor's</v>
      </c>
      <c r="AM312" t="str">
        <f>tbl_OriginalData[[#This Row],[Occupation]]</f>
        <v>Middle</v>
      </c>
      <c r="AN312" t="s">
        <v>818</v>
      </c>
      <c r="AO312" t="s">
        <v>469</v>
      </c>
      <c r="AP312" t="str">
        <f>tbl_OriginalData[[#This Row],[Purchase_Category]]</f>
        <v>Baby Products</v>
      </c>
      <c r="AQ312" s="4">
        <f>tbl_OriginalData[[#This Row],[Purchase_Amount]]</f>
        <v>333.63</v>
      </c>
      <c r="AR312">
        <f>tbl_OriginalData[[#This Row],[Frequency_of_Purchase]]</f>
        <v>8</v>
      </c>
      <c r="AS312" t="str">
        <f>tbl_OriginalData[[#This Row],[Purchase_Channel]]</f>
        <v>Mixed</v>
      </c>
      <c r="AT312">
        <f>tbl_OriginalData[[#This Row],[Brand_Loyalty]]</f>
        <v>4</v>
      </c>
      <c r="AU312">
        <f>tbl_OriginalData[[#This Row],[Product_Rating]]</f>
        <v>5</v>
      </c>
      <c r="AV312">
        <f>tbl_OriginalData[[#This Row],[Time_Spent_on_Product_Research(hours)]]*60</f>
        <v>120</v>
      </c>
      <c r="AW312" t="str">
        <f>tbl_OriginalData[[#This Row],[Social_Media_Influence]]</f>
        <v>None</v>
      </c>
      <c r="AX312" t="str">
        <f>tbl_OriginalData[[#This Row],[Discount_Sensitivity]]</f>
        <v>Very Sensitive</v>
      </c>
      <c r="AY312" s="3">
        <f>tbl_OriginalData[[#This Row],[Return_Rate]]/tbl_OriginalData[[#This Row],[Frequency_of_Purchase]]</f>
        <v>0.25</v>
      </c>
      <c r="AZ312">
        <f>tbl_OriginalData[[#This Row],[Customer_Satisfaction]]</f>
        <v>2</v>
      </c>
      <c r="BA312" t="str">
        <f>tbl_OriginalData[[#This Row],[Engagement_with_Ads]]</f>
        <v>High</v>
      </c>
      <c r="BB312" t="str">
        <f>tbl_OriginalData[[#This Row],[Device_Used_for_Shopping]]</f>
        <v>Smartphone</v>
      </c>
      <c r="BC312" t="str">
        <f>tbl_OriginalData[[#This Row],[Payment_Method]]</f>
        <v>Other</v>
      </c>
      <c r="BD312" s="1">
        <f>tbl_OriginalData[[#This Row],[Time_of_Purchase]]</f>
        <v>45631</v>
      </c>
      <c r="BE312" t="str">
        <f>IF(tbl_OriginalData[[#This Row],[Discount_Used]]=TRUE,"Yes","No")</f>
        <v>No</v>
      </c>
      <c r="BF312" t="str">
        <f>IF(tbl_OriginalData[[#This Row],[Customer_Loyalty_Program_Member]]=TRUE,"Yes","No")</f>
        <v>No</v>
      </c>
      <c r="BG312" t="str">
        <f>tbl_OriginalData[[#This Row],[Purchase_Intent]]</f>
        <v>Need-based</v>
      </c>
      <c r="BH312" t="str">
        <f>tbl_OriginalData[[#This Row],[Shipping_Preference]]</f>
        <v>Express</v>
      </c>
      <c r="BI312">
        <f>tbl_OriginalData[[#This Row],[Time_to_Decision]]</f>
        <v>14</v>
      </c>
      <c r="BJ312" t="s">
        <v>120</v>
      </c>
      <c r="BK312" t="s">
        <v>80</v>
      </c>
      <c r="BL312" t="s">
        <v>2527</v>
      </c>
    </row>
    <row r="313" spans="1:64">
      <c r="A313" t="s">
        <v>819</v>
      </c>
      <c r="B313">
        <v>42</v>
      </c>
      <c r="C313" t="s">
        <v>33</v>
      </c>
      <c r="D313" t="s">
        <v>51</v>
      </c>
      <c r="E313" t="s">
        <v>35</v>
      </c>
      <c r="F313" t="s">
        <v>36</v>
      </c>
      <c r="G313" t="s">
        <v>34</v>
      </c>
      <c r="H313" t="s">
        <v>820</v>
      </c>
      <c r="I313" t="s">
        <v>235</v>
      </c>
      <c r="J313">
        <v>469.9</v>
      </c>
      <c r="K313">
        <v>4</v>
      </c>
      <c r="L313" t="s">
        <v>39</v>
      </c>
      <c r="M313">
        <v>2</v>
      </c>
      <c r="N313">
        <v>5</v>
      </c>
      <c r="O313">
        <v>1</v>
      </c>
      <c r="P313" t="s">
        <v>69</v>
      </c>
      <c r="Q313" t="s">
        <v>57</v>
      </c>
      <c r="R313">
        <v>1</v>
      </c>
      <c r="S313">
        <v>7</v>
      </c>
      <c r="T313" t="s">
        <v>40</v>
      </c>
      <c r="U313" t="s">
        <v>95</v>
      </c>
      <c r="V313" t="s">
        <v>102</v>
      </c>
      <c r="W313" s="1">
        <v>45471</v>
      </c>
      <c r="X313" t="b">
        <v>0</v>
      </c>
      <c r="Y313" t="b">
        <v>0</v>
      </c>
      <c r="Z313" t="s">
        <v>89</v>
      </c>
      <c r="AA313" t="s">
        <v>45</v>
      </c>
      <c r="AB313">
        <v>7</v>
      </c>
      <c r="AF313" t="str">
        <f>tbl_OriginalData[[#This Row],[Customer_ID]]</f>
        <v>20-419-0341</v>
      </c>
      <c r="AG313">
        <f>tbl_OriginalData[[#This Row],[Age]]</f>
        <v>42</v>
      </c>
      <c r="AH313" t="str" cm="1">
        <f t="array" ref="AH31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13" t="str">
        <f>tbl_OriginalData[[#This Row],[Gender]]</f>
        <v>Female</v>
      </c>
      <c r="AJ313" t="str">
        <f>tbl_OriginalData[[#This Row],[Income_Level]]</f>
        <v>High</v>
      </c>
      <c r="AK313" t="str">
        <f>tbl_OriginalData[[#This Row],[Marital_Status]]</f>
        <v>Married</v>
      </c>
      <c r="AL313" t="str">
        <f>tbl_OriginalData[[#This Row],[Education_Level]]</f>
        <v>Bachelor's</v>
      </c>
      <c r="AM313" t="str">
        <f>tbl_OriginalData[[#This Row],[Occupation]]</f>
        <v>Middle</v>
      </c>
      <c r="AN313" t="s">
        <v>820</v>
      </c>
      <c r="AO313" t="s">
        <v>90</v>
      </c>
      <c r="AP313" t="str">
        <f>tbl_OriginalData[[#This Row],[Purchase_Category]]</f>
        <v>Beauty &amp; Personal Care</v>
      </c>
      <c r="AQ313" s="4">
        <f>tbl_OriginalData[[#This Row],[Purchase_Amount]]</f>
        <v>469.9</v>
      </c>
      <c r="AR313">
        <f>tbl_OriginalData[[#This Row],[Frequency_of_Purchase]]</f>
        <v>4</v>
      </c>
      <c r="AS313" t="str">
        <f>tbl_OriginalData[[#This Row],[Purchase_Channel]]</f>
        <v>Mixed</v>
      </c>
      <c r="AT313">
        <f>tbl_OriginalData[[#This Row],[Brand_Loyalty]]</f>
        <v>2</v>
      </c>
      <c r="AU313">
        <f>tbl_OriginalData[[#This Row],[Product_Rating]]</f>
        <v>5</v>
      </c>
      <c r="AV313">
        <f>tbl_OriginalData[[#This Row],[Time_Spent_on_Product_Research(hours)]]*60</f>
        <v>60</v>
      </c>
      <c r="AW313" t="str">
        <f>tbl_OriginalData[[#This Row],[Social_Media_Influence]]</f>
        <v>Low</v>
      </c>
      <c r="AX313" t="str">
        <f>tbl_OriginalData[[#This Row],[Discount_Sensitivity]]</f>
        <v>Not Sensitive</v>
      </c>
      <c r="AY313" s="3">
        <f>tbl_OriginalData[[#This Row],[Return_Rate]]/tbl_OriginalData[[#This Row],[Frequency_of_Purchase]]</f>
        <v>0.25</v>
      </c>
      <c r="AZ313">
        <f>tbl_OriginalData[[#This Row],[Customer_Satisfaction]]</f>
        <v>7</v>
      </c>
      <c r="BA313" t="str">
        <f>tbl_OriginalData[[#This Row],[Engagement_with_Ads]]</f>
        <v>None</v>
      </c>
      <c r="BB313" t="str">
        <f>tbl_OriginalData[[#This Row],[Device_Used_for_Shopping]]</f>
        <v>Desktop</v>
      </c>
      <c r="BC313" t="str">
        <f>tbl_OriginalData[[#This Row],[Payment_Method]]</f>
        <v>Cash</v>
      </c>
      <c r="BD313" s="1">
        <f>tbl_OriginalData[[#This Row],[Time_of_Purchase]]</f>
        <v>45471</v>
      </c>
      <c r="BE313" t="str">
        <f>IF(tbl_OriginalData[[#This Row],[Discount_Used]]=TRUE,"Yes","No")</f>
        <v>No</v>
      </c>
      <c r="BF313" t="str">
        <f>IF(tbl_OriginalData[[#This Row],[Customer_Loyalty_Program_Member]]=TRUE,"Yes","No")</f>
        <v>No</v>
      </c>
      <c r="BG313" t="str">
        <f>tbl_OriginalData[[#This Row],[Purchase_Intent]]</f>
        <v>Planned</v>
      </c>
      <c r="BH313" t="str">
        <f>tbl_OriginalData[[#This Row],[Shipping_Preference]]</f>
        <v>No Preference</v>
      </c>
      <c r="BI313">
        <f>tbl_OriginalData[[#This Row],[Time_to_Decision]]</f>
        <v>7</v>
      </c>
      <c r="BJ313" t="s">
        <v>104</v>
      </c>
      <c r="BK313" t="s">
        <v>63</v>
      </c>
      <c r="BL313" t="s">
        <v>2524</v>
      </c>
    </row>
    <row r="314" spans="1:64">
      <c r="A314" t="s">
        <v>821</v>
      </c>
      <c r="B314">
        <v>28</v>
      </c>
      <c r="C314" t="s">
        <v>50</v>
      </c>
      <c r="D314" t="s">
        <v>51</v>
      </c>
      <c r="E314" t="s">
        <v>35</v>
      </c>
      <c r="F314" t="s">
        <v>36</v>
      </c>
      <c r="G314" t="s">
        <v>51</v>
      </c>
      <c r="H314" t="s">
        <v>822</v>
      </c>
      <c r="I314" t="s">
        <v>112</v>
      </c>
      <c r="J314">
        <v>207.52</v>
      </c>
      <c r="K314">
        <v>4</v>
      </c>
      <c r="L314" t="s">
        <v>55</v>
      </c>
      <c r="M314">
        <v>3</v>
      </c>
      <c r="N314">
        <v>4</v>
      </c>
      <c r="O314">
        <v>1</v>
      </c>
      <c r="P314" t="s">
        <v>69</v>
      </c>
      <c r="Q314" t="s">
        <v>57</v>
      </c>
      <c r="R314">
        <v>1</v>
      </c>
      <c r="S314">
        <v>8</v>
      </c>
      <c r="T314" t="s">
        <v>51</v>
      </c>
      <c r="U314" t="s">
        <v>95</v>
      </c>
      <c r="V314" t="s">
        <v>71</v>
      </c>
      <c r="W314" s="1">
        <v>45510</v>
      </c>
      <c r="X314" t="b">
        <v>0</v>
      </c>
      <c r="Y314" t="b">
        <v>0</v>
      </c>
      <c r="Z314" t="s">
        <v>72</v>
      </c>
      <c r="AA314" t="s">
        <v>45</v>
      </c>
      <c r="AB314">
        <v>2</v>
      </c>
      <c r="AF314" t="str">
        <f>tbl_OriginalData[[#This Row],[Customer_ID]]</f>
        <v>52-005-9914</v>
      </c>
      <c r="AG314">
        <f>tbl_OriginalData[[#This Row],[Age]]</f>
        <v>28</v>
      </c>
      <c r="AH314" t="str" cm="1">
        <f t="array" ref="AH31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14" t="str">
        <f>tbl_OriginalData[[#This Row],[Gender]]</f>
        <v>Male</v>
      </c>
      <c r="AJ314" t="str">
        <f>tbl_OriginalData[[#This Row],[Income_Level]]</f>
        <v>High</v>
      </c>
      <c r="AK314" t="str">
        <f>tbl_OriginalData[[#This Row],[Marital_Status]]</f>
        <v>Married</v>
      </c>
      <c r="AL314" t="str">
        <f>tbl_OriginalData[[#This Row],[Education_Level]]</f>
        <v>Bachelor's</v>
      </c>
      <c r="AM314" t="str">
        <f>tbl_OriginalData[[#This Row],[Occupation]]</f>
        <v>High</v>
      </c>
      <c r="AN314" t="s">
        <v>822</v>
      </c>
      <c r="AO314" t="s">
        <v>823</v>
      </c>
      <c r="AP314" t="str">
        <f>tbl_OriginalData[[#This Row],[Purchase_Category]]</f>
        <v>Mobile Accessories</v>
      </c>
      <c r="AQ314" s="4">
        <f>tbl_OriginalData[[#This Row],[Purchase_Amount]]</f>
        <v>207.52</v>
      </c>
      <c r="AR314">
        <f>tbl_OriginalData[[#This Row],[Frequency_of_Purchase]]</f>
        <v>4</v>
      </c>
      <c r="AS314" t="str">
        <f>tbl_OriginalData[[#This Row],[Purchase_Channel]]</f>
        <v>In-Store</v>
      </c>
      <c r="AT314">
        <f>tbl_OriginalData[[#This Row],[Brand_Loyalty]]</f>
        <v>3</v>
      </c>
      <c r="AU314">
        <f>tbl_OriginalData[[#This Row],[Product_Rating]]</f>
        <v>4</v>
      </c>
      <c r="AV314">
        <f>tbl_OriginalData[[#This Row],[Time_Spent_on_Product_Research(hours)]]*60</f>
        <v>60</v>
      </c>
      <c r="AW314" t="str">
        <f>tbl_OriginalData[[#This Row],[Social_Media_Influence]]</f>
        <v>Low</v>
      </c>
      <c r="AX314" t="str">
        <f>tbl_OriginalData[[#This Row],[Discount_Sensitivity]]</f>
        <v>Not Sensitive</v>
      </c>
      <c r="AY314" s="3">
        <f>tbl_OriginalData[[#This Row],[Return_Rate]]/tbl_OriginalData[[#This Row],[Frequency_of_Purchase]]</f>
        <v>0.25</v>
      </c>
      <c r="AZ314">
        <f>tbl_OriginalData[[#This Row],[Customer_Satisfaction]]</f>
        <v>8</v>
      </c>
      <c r="BA314" t="str">
        <f>tbl_OriginalData[[#This Row],[Engagement_with_Ads]]</f>
        <v>High</v>
      </c>
      <c r="BB314" t="str">
        <f>tbl_OriginalData[[#This Row],[Device_Used_for_Shopping]]</f>
        <v>Desktop</v>
      </c>
      <c r="BC314" t="str">
        <f>tbl_OriginalData[[#This Row],[Payment_Method]]</f>
        <v>Debit Card</v>
      </c>
      <c r="BD314" s="1">
        <f>tbl_OriginalData[[#This Row],[Time_of_Purchase]]</f>
        <v>45510</v>
      </c>
      <c r="BE314" t="str">
        <f>IF(tbl_OriginalData[[#This Row],[Discount_Used]]=TRUE,"Yes","No")</f>
        <v>No</v>
      </c>
      <c r="BF314" t="str">
        <f>IF(tbl_OriginalData[[#This Row],[Customer_Loyalty_Program_Member]]=TRUE,"Yes","No")</f>
        <v>No</v>
      </c>
      <c r="BG314" t="str">
        <f>tbl_OriginalData[[#This Row],[Purchase_Intent]]</f>
        <v>Impulsive</v>
      </c>
      <c r="BH314" t="str">
        <f>tbl_OriginalData[[#This Row],[Shipping_Preference]]</f>
        <v>No Preference</v>
      </c>
      <c r="BI314">
        <f>tbl_OriginalData[[#This Row],[Time_to_Decision]]</f>
        <v>2</v>
      </c>
      <c r="BJ314" t="s">
        <v>124</v>
      </c>
      <c r="BK314" t="s">
        <v>115</v>
      </c>
      <c r="BL314" t="s">
        <v>2528</v>
      </c>
    </row>
    <row r="315" spans="1:64">
      <c r="A315" t="s">
        <v>824</v>
      </c>
      <c r="B315">
        <v>49</v>
      </c>
      <c r="C315" t="s">
        <v>50</v>
      </c>
      <c r="D315" t="s">
        <v>51</v>
      </c>
      <c r="E315" t="s">
        <v>65</v>
      </c>
      <c r="F315" t="s">
        <v>36</v>
      </c>
      <c r="G315" t="s">
        <v>51</v>
      </c>
      <c r="H315" t="s">
        <v>825</v>
      </c>
      <c r="I315" t="s">
        <v>156</v>
      </c>
      <c r="J315">
        <v>125.89</v>
      </c>
      <c r="K315">
        <v>7</v>
      </c>
      <c r="L315" t="s">
        <v>55</v>
      </c>
      <c r="M315">
        <v>3</v>
      </c>
      <c r="N315">
        <v>3</v>
      </c>
      <c r="O315">
        <v>2</v>
      </c>
      <c r="P315" t="s">
        <v>69</v>
      </c>
      <c r="Q315" t="s">
        <v>57</v>
      </c>
      <c r="R315">
        <v>1</v>
      </c>
      <c r="S315">
        <v>6</v>
      </c>
      <c r="T315" t="s">
        <v>56</v>
      </c>
      <c r="U315" t="s">
        <v>95</v>
      </c>
      <c r="V315" t="s">
        <v>71</v>
      </c>
      <c r="W315" s="1">
        <v>45618</v>
      </c>
      <c r="X315" t="b">
        <v>0</v>
      </c>
      <c r="Y315" t="b">
        <v>0</v>
      </c>
      <c r="Z315" t="s">
        <v>59</v>
      </c>
      <c r="AA315" t="s">
        <v>45</v>
      </c>
      <c r="AB315">
        <v>13</v>
      </c>
      <c r="AF315" t="str">
        <f>tbl_OriginalData[[#This Row],[Customer_ID]]</f>
        <v>34-846-7805</v>
      </c>
      <c r="AG315">
        <f>tbl_OriginalData[[#This Row],[Age]]</f>
        <v>49</v>
      </c>
      <c r="AH315" t="str" cm="1">
        <f t="array" ref="AH31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15" t="str">
        <f>tbl_OriginalData[[#This Row],[Gender]]</f>
        <v>Male</v>
      </c>
      <c r="AJ315" t="str">
        <f>tbl_OriginalData[[#This Row],[Income_Level]]</f>
        <v>High</v>
      </c>
      <c r="AK315" t="str">
        <f>tbl_OriginalData[[#This Row],[Marital_Status]]</f>
        <v>Single</v>
      </c>
      <c r="AL315" t="str">
        <f>tbl_OriginalData[[#This Row],[Education_Level]]</f>
        <v>Bachelor's</v>
      </c>
      <c r="AM315" t="str">
        <f>tbl_OriginalData[[#This Row],[Occupation]]</f>
        <v>High</v>
      </c>
      <c r="AN315" t="s">
        <v>825</v>
      </c>
      <c r="AO315" t="s">
        <v>186</v>
      </c>
      <c r="AP315" t="str">
        <f>tbl_OriginalData[[#This Row],[Purchase_Category]]</f>
        <v>Toys &amp; Games</v>
      </c>
      <c r="AQ315" s="4">
        <f>tbl_OriginalData[[#This Row],[Purchase_Amount]]</f>
        <v>125.89</v>
      </c>
      <c r="AR315">
        <f>tbl_OriginalData[[#This Row],[Frequency_of_Purchase]]</f>
        <v>7</v>
      </c>
      <c r="AS315" t="str">
        <f>tbl_OriginalData[[#This Row],[Purchase_Channel]]</f>
        <v>In-Store</v>
      </c>
      <c r="AT315">
        <f>tbl_OriginalData[[#This Row],[Brand_Loyalty]]</f>
        <v>3</v>
      </c>
      <c r="AU315">
        <f>tbl_OriginalData[[#This Row],[Product_Rating]]</f>
        <v>3</v>
      </c>
      <c r="AV315">
        <f>tbl_OriginalData[[#This Row],[Time_Spent_on_Product_Research(hours)]]*60</f>
        <v>120</v>
      </c>
      <c r="AW315" t="str">
        <f>tbl_OriginalData[[#This Row],[Social_Media_Influence]]</f>
        <v>Low</v>
      </c>
      <c r="AX315" t="str">
        <f>tbl_OriginalData[[#This Row],[Discount_Sensitivity]]</f>
        <v>Not Sensitive</v>
      </c>
      <c r="AY315" s="3">
        <f>tbl_OriginalData[[#This Row],[Return_Rate]]/tbl_OriginalData[[#This Row],[Frequency_of_Purchase]]</f>
        <v>0.14285714285714285</v>
      </c>
      <c r="AZ315">
        <f>tbl_OriginalData[[#This Row],[Customer_Satisfaction]]</f>
        <v>6</v>
      </c>
      <c r="BA315" t="str">
        <f>tbl_OriginalData[[#This Row],[Engagement_with_Ads]]</f>
        <v>Medium</v>
      </c>
      <c r="BB315" t="str">
        <f>tbl_OriginalData[[#This Row],[Device_Used_for_Shopping]]</f>
        <v>Desktop</v>
      </c>
      <c r="BC315" t="str">
        <f>tbl_OriginalData[[#This Row],[Payment_Method]]</f>
        <v>Debit Card</v>
      </c>
      <c r="BD315" s="1">
        <f>tbl_OriginalData[[#This Row],[Time_of_Purchase]]</f>
        <v>45618</v>
      </c>
      <c r="BE315" t="str">
        <f>IF(tbl_OriginalData[[#This Row],[Discount_Used]]=TRUE,"Yes","No")</f>
        <v>No</v>
      </c>
      <c r="BF315" t="str">
        <f>IF(tbl_OriginalData[[#This Row],[Customer_Loyalty_Program_Member]]=TRUE,"Yes","No")</f>
        <v>No</v>
      </c>
      <c r="BG315" t="str">
        <f>tbl_OriginalData[[#This Row],[Purchase_Intent]]</f>
        <v>Wants-based</v>
      </c>
      <c r="BH315" t="str">
        <f>tbl_OriginalData[[#This Row],[Shipping_Preference]]</f>
        <v>No Preference</v>
      </c>
      <c r="BI315">
        <f>tbl_OriginalData[[#This Row],[Time_to_Decision]]</f>
        <v>13</v>
      </c>
      <c r="BJ315" t="s">
        <v>177</v>
      </c>
      <c r="BK315" t="s">
        <v>80</v>
      </c>
      <c r="BL315" t="s">
        <v>2523</v>
      </c>
    </row>
    <row r="316" spans="1:64">
      <c r="A316" t="s">
        <v>826</v>
      </c>
      <c r="B316">
        <v>46</v>
      </c>
      <c r="C316" t="s">
        <v>33</v>
      </c>
      <c r="D316" t="s">
        <v>51</v>
      </c>
      <c r="E316" t="s">
        <v>65</v>
      </c>
      <c r="F316" t="s">
        <v>66</v>
      </c>
      <c r="G316" t="s">
        <v>34</v>
      </c>
      <c r="H316" t="s">
        <v>827</v>
      </c>
      <c r="I316" t="s">
        <v>147</v>
      </c>
      <c r="J316">
        <v>170.77</v>
      </c>
      <c r="K316">
        <v>9</v>
      </c>
      <c r="L316" t="s">
        <v>94</v>
      </c>
      <c r="M316">
        <v>5</v>
      </c>
      <c r="N316">
        <v>2</v>
      </c>
      <c r="O316">
        <v>1</v>
      </c>
      <c r="P316" t="s">
        <v>56</v>
      </c>
      <c r="Q316" t="s">
        <v>41</v>
      </c>
      <c r="R316">
        <v>2</v>
      </c>
      <c r="S316">
        <v>1</v>
      </c>
      <c r="T316" t="s">
        <v>69</v>
      </c>
      <c r="U316" t="s">
        <v>70</v>
      </c>
      <c r="V316" t="s">
        <v>43</v>
      </c>
      <c r="W316" s="1">
        <v>45508</v>
      </c>
      <c r="X316" t="b">
        <v>0</v>
      </c>
      <c r="Y316" t="b">
        <v>0</v>
      </c>
      <c r="Z316" t="s">
        <v>72</v>
      </c>
      <c r="AA316" t="s">
        <v>45</v>
      </c>
      <c r="AB316">
        <v>4</v>
      </c>
      <c r="AF316" t="str">
        <f>tbl_OriginalData[[#This Row],[Customer_ID]]</f>
        <v>26-596-5461</v>
      </c>
      <c r="AG316">
        <f>tbl_OriginalData[[#This Row],[Age]]</f>
        <v>46</v>
      </c>
      <c r="AH316" t="str" cm="1">
        <f t="array" ref="AH31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16" t="str">
        <f>tbl_OriginalData[[#This Row],[Gender]]</f>
        <v>Female</v>
      </c>
      <c r="AJ316" t="str">
        <f>tbl_OriginalData[[#This Row],[Income_Level]]</f>
        <v>High</v>
      </c>
      <c r="AK316" t="str">
        <f>tbl_OriginalData[[#This Row],[Marital_Status]]</f>
        <v>Single</v>
      </c>
      <c r="AL316" t="str">
        <f>tbl_OriginalData[[#This Row],[Education_Level]]</f>
        <v>Master's</v>
      </c>
      <c r="AM316" t="str">
        <f>tbl_OriginalData[[#This Row],[Occupation]]</f>
        <v>Middle</v>
      </c>
      <c r="AN316" t="s">
        <v>827</v>
      </c>
      <c r="AO316" t="s">
        <v>194</v>
      </c>
      <c r="AP316" t="str">
        <f>tbl_OriginalData[[#This Row],[Purchase_Category]]</f>
        <v>Electronics</v>
      </c>
      <c r="AQ316" s="4">
        <f>tbl_OriginalData[[#This Row],[Purchase_Amount]]</f>
        <v>170.77</v>
      </c>
      <c r="AR316">
        <f>tbl_OriginalData[[#This Row],[Frequency_of_Purchase]]</f>
        <v>9</v>
      </c>
      <c r="AS316" t="str">
        <f>tbl_OriginalData[[#This Row],[Purchase_Channel]]</f>
        <v>Online</v>
      </c>
      <c r="AT316">
        <f>tbl_OriginalData[[#This Row],[Brand_Loyalty]]</f>
        <v>5</v>
      </c>
      <c r="AU316">
        <f>tbl_OriginalData[[#This Row],[Product_Rating]]</f>
        <v>2</v>
      </c>
      <c r="AV316">
        <f>tbl_OriginalData[[#This Row],[Time_Spent_on_Product_Research(hours)]]*60</f>
        <v>60</v>
      </c>
      <c r="AW316" t="str">
        <f>tbl_OriginalData[[#This Row],[Social_Media_Influence]]</f>
        <v>Medium</v>
      </c>
      <c r="AX316" t="str">
        <f>tbl_OriginalData[[#This Row],[Discount_Sensitivity]]</f>
        <v>Somewhat Sensitive</v>
      </c>
      <c r="AY316" s="3">
        <f>tbl_OriginalData[[#This Row],[Return_Rate]]/tbl_OriginalData[[#This Row],[Frequency_of_Purchase]]</f>
        <v>0.22222222222222221</v>
      </c>
      <c r="AZ316">
        <f>tbl_OriginalData[[#This Row],[Customer_Satisfaction]]</f>
        <v>1</v>
      </c>
      <c r="BA316" t="str">
        <f>tbl_OriginalData[[#This Row],[Engagement_with_Ads]]</f>
        <v>Low</v>
      </c>
      <c r="BB316" t="str">
        <f>tbl_OriginalData[[#This Row],[Device_Used_for_Shopping]]</f>
        <v>Smartphone</v>
      </c>
      <c r="BC316" t="str">
        <f>tbl_OriginalData[[#This Row],[Payment_Method]]</f>
        <v>Credit Card</v>
      </c>
      <c r="BD316" s="1">
        <f>tbl_OriginalData[[#This Row],[Time_of_Purchase]]</f>
        <v>45508</v>
      </c>
      <c r="BE316" t="str">
        <f>IF(tbl_OriginalData[[#This Row],[Discount_Used]]=TRUE,"Yes","No")</f>
        <v>No</v>
      </c>
      <c r="BF316" t="str">
        <f>IF(tbl_OriginalData[[#This Row],[Customer_Loyalty_Program_Member]]=TRUE,"Yes","No")</f>
        <v>No</v>
      </c>
      <c r="BG316" t="str">
        <f>tbl_OriginalData[[#This Row],[Purchase_Intent]]</f>
        <v>Impulsive</v>
      </c>
      <c r="BH316" t="str">
        <f>tbl_OriginalData[[#This Row],[Shipping_Preference]]</f>
        <v>No Preference</v>
      </c>
      <c r="BI316">
        <f>tbl_OriginalData[[#This Row],[Time_to_Decision]]</f>
        <v>4</v>
      </c>
      <c r="BJ316" t="s">
        <v>124</v>
      </c>
      <c r="BK316" t="s">
        <v>115</v>
      </c>
      <c r="BL316" t="s">
        <v>2524</v>
      </c>
    </row>
    <row r="317" spans="1:64">
      <c r="A317" t="s">
        <v>828</v>
      </c>
      <c r="B317">
        <v>44</v>
      </c>
      <c r="C317" t="s">
        <v>33</v>
      </c>
      <c r="D317" t="s">
        <v>51</v>
      </c>
      <c r="E317" t="s">
        <v>92</v>
      </c>
      <c r="F317" t="s">
        <v>66</v>
      </c>
      <c r="G317" t="s">
        <v>51</v>
      </c>
      <c r="H317" t="s">
        <v>829</v>
      </c>
      <c r="I317" t="s">
        <v>147</v>
      </c>
      <c r="J317">
        <v>63.91</v>
      </c>
      <c r="K317">
        <v>2</v>
      </c>
      <c r="L317" t="s">
        <v>94</v>
      </c>
      <c r="M317">
        <v>1</v>
      </c>
      <c r="N317">
        <v>4</v>
      </c>
      <c r="O317">
        <v>2</v>
      </c>
      <c r="P317" t="s">
        <v>40</v>
      </c>
      <c r="Q317" t="s">
        <v>57</v>
      </c>
      <c r="R317">
        <v>0</v>
      </c>
      <c r="S317">
        <v>6</v>
      </c>
      <c r="T317" t="s">
        <v>56</v>
      </c>
      <c r="U317" t="s">
        <v>70</v>
      </c>
      <c r="V317" t="s">
        <v>102</v>
      </c>
      <c r="W317" s="1">
        <v>45303</v>
      </c>
      <c r="X317" t="b">
        <v>0</v>
      </c>
      <c r="Y317" t="b">
        <v>1</v>
      </c>
      <c r="Z317" t="s">
        <v>89</v>
      </c>
      <c r="AA317" t="s">
        <v>45</v>
      </c>
      <c r="AB317">
        <v>12</v>
      </c>
      <c r="AF317" t="str">
        <f>tbl_OriginalData[[#This Row],[Customer_ID]]</f>
        <v>20-157-8631</v>
      </c>
      <c r="AG317">
        <f>tbl_OriginalData[[#This Row],[Age]]</f>
        <v>44</v>
      </c>
      <c r="AH317" t="str" cm="1">
        <f t="array" ref="AH31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17" t="str">
        <f>tbl_OriginalData[[#This Row],[Gender]]</f>
        <v>Female</v>
      </c>
      <c r="AJ317" t="str">
        <f>tbl_OriginalData[[#This Row],[Income_Level]]</f>
        <v>High</v>
      </c>
      <c r="AK317" t="str">
        <f>tbl_OriginalData[[#This Row],[Marital_Status]]</f>
        <v>Divorced</v>
      </c>
      <c r="AL317" t="str">
        <f>tbl_OriginalData[[#This Row],[Education_Level]]</f>
        <v>Master's</v>
      </c>
      <c r="AM317" t="str">
        <f>tbl_OriginalData[[#This Row],[Occupation]]</f>
        <v>High</v>
      </c>
      <c r="AN317" t="s">
        <v>829</v>
      </c>
      <c r="AO317" t="s">
        <v>502</v>
      </c>
      <c r="AP317" t="str">
        <f>tbl_OriginalData[[#This Row],[Purchase_Category]]</f>
        <v>Electronics</v>
      </c>
      <c r="AQ317" s="4">
        <f>tbl_OriginalData[[#This Row],[Purchase_Amount]]</f>
        <v>63.91</v>
      </c>
      <c r="AR317">
        <f>tbl_OriginalData[[#This Row],[Frequency_of_Purchase]]</f>
        <v>2</v>
      </c>
      <c r="AS317" t="str">
        <f>tbl_OriginalData[[#This Row],[Purchase_Channel]]</f>
        <v>Online</v>
      </c>
      <c r="AT317">
        <f>tbl_OriginalData[[#This Row],[Brand_Loyalty]]</f>
        <v>1</v>
      </c>
      <c r="AU317">
        <f>tbl_OriginalData[[#This Row],[Product_Rating]]</f>
        <v>4</v>
      </c>
      <c r="AV317">
        <f>tbl_OriginalData[[#This Row],[Time_Spent_on_Product_Research(hours)]]*60</f>
        <v>120</v>
      </c>
      <c r="AW317" t="str">
        <f>tbl_OriginalData[[#This Row],[Social_Media_Influence]]</f>
        <v>None</v>
      </c>
      <c r="AX317" t="str">
        <f>tbl_OriginalData[[#This Row],[Discount_Sensitivity]]</f>
        <v>Not Sensitive</v>
      </c>
      <c r="AY317" s="3">
        <f>tbl_OriginalData[[#This Row],[Return_Rate]]/tbl_OriginalData[[#This Row],[Frequency_of_Purchase]]</f>
        <v>0</v>
      </c>
      <c r="AZ317">
        <f>tbl_OriginalData[[#This Row],[Customer_Satisfaction]]</f>
        <v>6</v>
      </c>
      <c r="BA317" t="str">
        <f>tbl_OriginalData[[#This Row],[Engagement_with_Ads]]</f>
        <v>Medium</v>
      </c>
      <c r="BB317" t="str">
        <f>tbl_OriginalData[[#This Row],[Device_Used_for_Shopping]]</f>
        <v>Smartphone</v>
      </c>
      <c r="BC317" t="str">
        <f>tbl_OriginalData[[#This Row],[Payment_Method]]</f>
        <v>Cash</v>
      </c>
      <c r="BD317" s="1">
        <f>tbl_OriginalData[[#This Row],[Time_of_Purchase]]</f>
        <v>45303</v>
      </c>
      <c r="BE317" t="str">
        <f>IF(tbl_OriginalData[[#This Row],[Discount_Used]]=TRUE,"Yes","No")</f>
        <v>No</v>
      </c>
      <c r="BF317" t="str">
        <f>IF(tbl_OriginalData[[#This Row],[Customer_Loyalty_Program_Member]]=TRUE,"Yes","No")</f>
        <v>Yes</v>
      </c>
      <c r="BG317" t="str">
        <f>tbl_OriginalData[[#This Row],[Purchase_Intent]]</f>
        <v>Planned</v>
      </c>
      <c r="BH317" t="str">
        <f>tbl_OriginalData[[#This Row],[Shipping_Preference]]</f>
        <v>No Preference</v>
      </c>
      <c r="BI317">
        <f>tbl_OriginalData[[#This Row],[Time_to_Decision]]</f>
        <v>12</v>
      </c>
      <c r="BJ317" t="s">
        <v>86</v>
      </c>
      <c r="BK317" t="s">
        <v>48</v>
      </c>
      <c r="BL317" t="s">
        <v>2524</v>
      </c>
    </row>
    <row r="318" spans="1:64">
      <c r="A318" t="s">
        <v>830</v>
      </c>
      <c r="B318">
        <v>29</v>
      </c>
      <c r="C318" t="s">
        <v>50</v>
      </c>
      <c r="D318" t="s">
        <v>51</v>
      </c>
      <c r="E318" t="s">
        <v>35</v>
      </c>
      <c r="F318" t="s">
        <v>52</v>
      </c>
      <c r="G318" t="s">
        <v>34</v>
      </c>
      <c r="H318" t="s">
        <v>831</v>
      </c>
      <c r="I318" t="s">
        <v>229</v>
      </c>
      <c r="J318">
        <v>340.55</v>
      </c>
      <c r="K318">
        <v>7</v>
      </c>
      <c r="L318" t="s">
        <v>55</v>
      </c>
      <c r="M318">
        <v>4</v>
      </c>
      <c r="N318">
        <v>5</v>
      </c>
      <c r="O318">
        <v>0</v>
      </c>
      <c r="P318" t="s">
        <v>69</v>
      </c>
      <c r="Q318" t="s">
        <v>57</v>
      </c>
      <c r="R318">
        <v>0</v>
      </c>
      <c r="S318">
        <v>7</v>
      </c>
      <c r="T318" t="s">
        <v>40</v>
      </c>
      <c r="U318" t="s">
        <v>95</v>
      </c>
      <c r="V318" t="s">
        <v>43</v>
      </c>
      <c r="W318" s="1">
        <v>45615</v>
      </c>
      <c r="X318" t="b">
        <v>0</v>
      </c>
      <c r="Y318" t="b">
        <v>1</v>
      </c>
      <c r="Z318" t="s">
        <v>89</v>
      </c>
      <c r="AA318" t="s">
        <v>77</v>
      </c>
      <c r="AB318">
        <v>1</v>
      </c>
      <c r="AF318" t="str">
        <f>tbl_OriginalData[[#This Row],[Customer_ID]]</f>
        <v>91-199-9097</v>
      </c>
      <c r="AG318">
        <f>tbl_OriginalData[[#This Row],[Age]]</f>
        <v>29</v>
      </c>
      <c r="AH318" t="str" cm="1">
        <f t="array" ref="AH31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18" t="str">
        <f>tbl_OriginalData[[#This Row],[Gender]]</f>
        <v>Male</v>
      </c>
      <c r="AJ318" t="str">
        <f>tbl_OriginalData[[#This Row],[Income_Level]]</f>
        <v>High</v>
      </c>
      <c r="AK318" t="str">
        <f>tbl_OriginalData[[#This Row],[Marital_Status]]</f>
        <v>Married</v>
      </c>
      <c r="AL318" t="str">
        <f>tbl_OriginalData[[#This Row],[Education_Level]]</f>
        <v>High School</v>
      </c>
      <c r="AM318" t="str">
        <f>tbl_OriginalData[[#This Row],[Occupation]]</f>
        <v>Middle</v>
      </c>
      <c r="AN318" t="s">
        <v>831</v>
      </c>
      <c r="AO318" t="s">
        <v>171</v>
      </c>
      <c r="AP318" t="str">
        <f>tbl_OriginalData[[#This Row],[Purchase_Category]]</f>
        <v>Clothing</v>
      </c>
      <c r="AQ318" s="4">
        <f>tbl_OriginalData[[#This Row],[Purchase_Amount]]</f>
        <v>340.55</v>
      </c>
      <c r="AR318">
        <f>tbl_OriginalData[[#This Row],[Frequency_of_Purchase]]</f>
        <v>7</v>
      </c>
      <c r="AS318" t="str">
        <f>tbl_OriginalData[[#This Row],[Purchase_Channel]]</f>
        <v>In-Store</v>
      </c>
      <c r="AT318">
        <f>tbl_OriginalData[[#This Row],[Brand_Loyalty]]</f>
        <v>4</v>
      </c>
      <c r="AU318">
        <f>tbl_OriginalData[[#This Row],[Product_Rating]]</f>
        <v>5</v>
      </c>
      <c r="AV318">
        <f>tbl_OriginalData[[#This Row],[Time_Spent_on_Product_Research(hours)]]*60</f>
        <v>0</v>
      </c>
      <c r="AW318" t="str">
        <f>tbl_OriginalData[[#This Row],[Social_Media_Influence]]</f>
        <v>Low</v>
      </c>
      <c r="AX318" t="str">
        <f>tbl_OriginalData[[#This Row],[Discount_Sensitivity]]</f>
        <v>Not Sensitive</v>
      </c>
      <c r="AY318" s="3">
        <f>tbl_OriginalData[[#This Row],[Return_Rate]]/tbl_OriginalData[[#This Row],[Frequency_of_Purchase]]</f>
        <v>0</v>
      </c>
      <c r="AZ318">
        <f>tbl_OriginalData[[#This Row],[Customer_Satisfaction]]</f>
        <v>7</v>
      </c>
      <c r="BA318" t="str">
        <f>tbl_OriginalData[[#This Row],[Engagement_with_Ads]]</f>
        <v>None</v>
      </c>
      <c r="BB318" t="str">
        <f>tbl_OriginalData[[#This Row],[Device_Used_for_Shopping]]</f>
        <v>Desktop</v>
      </c>
      <c r="BC318" t="str">
        <f>tbl_OriginalData[[#This Row],[Payment_Method]]</f>
        <v>Credit Card</v>
      </c>
      <c r="BD318" s="1">
        <f>tbl_OriginalData[[#This Row],[Time_of_Purchase]]</f>
        <v>45615</v>
      </c>
      <c r="BE318" t="str">
        <f>IF(tbl_OriginalData[[#This Row],[Discount_Used]]=TRUE,"Yes","No")</f>
        <v>No</v>
      </c>
      <c r="BF318" t="str">
        <f>IF(tbl_OriginalData[[#This Row],[Customer_Loyalty_Program_Member]]=TRUE,"Yes","No")</f>
        <v>Yes</v>
      </c>
      <c r="BG318" t="str">
        <f>tbl_OriginalData[[#This Row],[Purchase_Intent]]</f>
        <v>Planned</v>
      </c>
      <c r="BH318" t="str">
        <f>tbl_OriginalData[[#This Row],[Shipping_Preference]]</f>
        <v>Express</v>
      </c>
      <c r="BI318">
        <f>tbl_OriginalData[[#This Row],[Time_to_Decision]]</f>
        <v>1</v>
      </c>
      <c r="BJ318" t="s">
        <v>177</v>
      </c>
      <c r="BK318" t="s">
        <v>80</v>
      </c>
      <c r="BL318" t="s">
        <v>2523</v>
      </c>
    </row>
    <row r="319" spans="1:64">
      <c r="A319" t="s">
        <v>832</v>
      </c>
      <c r="B319">
        <v>47</v>
      </c>
      <c r="C319" t="s">
        <v>50</v>
      </c>
      <c r="D319" t="s">
        <v>34</v>
      </c>
      <c r="E319" t="s">
        <v>92</v>
      </c>
      <c r="F319" t="s">
        <v>36</v>
      </c>
      <c r="G319" t="s">
        <v>51</v>
      </c>
      <c r="H319" t="s">
        <v>833</v>
      </c>
      <c r="I319" t="s">
        <v>150</v>
      </c>
      <c r="J319">
        <v>378.14</v>
      </c>
      <c r="K319">
        <v>6</v>
      </c>
      <c r="L319" t="s">
        <v>39</v>
      </c>
      <c r="M319">
        <v>2</v>
      </c>
      <c r="N319">
        <v>2</v>
      </c>
      <c r="O319">
        <v>1</v>
      </c>
      <c r="P319" t="s">
        <v>56</v>
      </c>
      <c r="Q319" t="s">
        <v>101</v>
      </c>
      <c r="R319">
        <v>1</v>
      </c>
      <c r="S319">
        <v>6</v>
      </c>
      <c r="T319" t="s">
        <v>51</v>
      </c>
      <c r="U319" t="s">
        <v>70</v>
      </c>
      <c r="V319" t="s">
        <v>58</v>
      </c>
      <c r="W319" s="1">
        <v>45539</v>
      </c>
      <c r="X319" t="b">
        <v>0</v>
      </c>
      <c r="Y319" t="b">
        <v>0</v>
      </c>
      <c r="Z319" t="s">
        <v>59</v>
      </c>
      <c r="AA319" t="s">
        <v>60</v>
      </c>
      <c r="AB319">
        <v>7</v>
      </c>
      <c r="AF319" t="str">
        <f>tbl_OriginalData[[#This Row],[Customer_ID]]</f>
        <v>55-846-2579</v>
      </c>
      <c r="AG319">
        <f>tbl_OriginalData[[#This Row],[Age]]</f>
        <v>47</v>
      </c>
      <c r="AH319" t="str" cm="1">
        <f t="array" ref="AH31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19" t="str">
        <f>tbl_OriginalData[[#This Row],[Gender]]</f>
        <v>Male</v>
      </c>
      <c r="AJ319" t="str">
        <f>tbl_OriginalData[[#This Row],[Income_Level]]</f>
        <v>Middle</v>
      </c>
      <c r="AK319" t="str">
        <f>tbl_OriginalData[[#This Row],[Marital_Status]]</f>
        <v>Divorced</v>
      </c>
      <c r="AL319" t="str">
        <f>tbl_OriginalData[[#This Row],[Education_Level]]</f>
        <v>Bachelor's</v>
      </c>
      <c r="AM319" t="str">
        <f>tbl_OriginalData[[#This Row],[Occupation]]</f>
        <v>High</v>
      </c>
      <c r="AN319" t="s">
        <v>833</v>
      </c>
      <c r="AO319" t="s">
        <v>128</v>
      </c>
      <c r="AP319" t="str">
        <f>tbl_OriginalData[[#This Row],[Purchase_Category]]</f>
        <v>Software &amp; Apps</v>
      </c>
      <c r="AQ319" s="4">
        <f>tbl_OriginalData[[#This Row],[Purchase_Amount]]</f>
        <v>378.14</v>
      </c>
      <c r="AR319">
        <f>tbl_OriginalData[[#This Row],[Frequency_of_Purchase]]</f>
        <v>6</v>
      </c>
      <c r="AS319" t="str">
        <f>tbl_OriginalData[[#This Row],[Purchase_Channel]]</f>
        <v>Mixed</v>
      </c>
      <c r="AT319">
        <f>tbl_OriginalData[[#This Row],[Brand_Loyalty]]</f>
        <v>2</v>
      </c>
      <c r="AU319">
        <f>tbl_OriginalData[[#This Row],[Product_Rating]]</f>
        <v>2</v>
      </c>
      <c r="AV319">
        <f>tbl_OriginalData[[#This Row],[Time_Spent_on_Product_Research(hours)]]*60</f>
        <v>60</v>
      </c>
      <c r="AW319" t="str">
        <f>tbl_OriginalData[[#This Row],[Social_Media_Influence]]</f>
        <v>Medium</v>
      </c>
      <c r="AX319" t="str">
        <f>tbl_OriginalData[[#This Row],[Discount_Sensitivity]]</f>
        <v>Very Sensitive</v>
      </c>
      <c r="AY319" s="3">
        <f>tbl_OriginalData[[#This Row],[Return_Rate]]/tbl_OriginalData[[#This Row],[Frequency_of_Purchase]]</f>
        <v>0.16666666666666666</v>
      </c>
      <c r="AZ319">
        <f>tbl_OriginalData[[#This Row],[Customer_Satisfaction]]</f>
        <v>6</v>
      </c>
      <c r="BA319" t="str">
        <f>tbl_OriginalData[[#This Row],[Engagement_with_Ads]]</f>
        <v>High</v>
      </c>
      <c r="BB319" t="str">
        <f>tbl_OriginalData[[#This Row],[Device_Used_for_Shopping]]</f>
        <v>Smartphone</v>
      </c>
      <c r="BC319" t="str">
        <f>tbl_OriginalData[[#This Row],[Payment_Method]]</f>
        <v>PayPal</v>
      </c>
      <c r="BD319" s="1">
        <f>tbl_OriginalData[[#This Row],[Time_of_Purchase]]</f>
        <v>45539</v>
      </c>
      <c r="BE319" t="str">
        <f>IF(tbl_OriginalData[[#This Row],[Discount_Used]]=TRUE,"Yes","No")</f>
        <v>No</v>
      </c>
      <c r="BF319" t="str">
        <f>IF(tbl_OriginalData[[#This Row],[Customer_Loyalty_Program_Member]]=TRUE,"Yes","No")</f>
        <v>No</v>
      </c>
      <c r="BG319" t="str">
        <f>tbl_OriginalData[[#This Row],[Purchase_Intent]]</f>
        <v>Wants-based</v>
      </c>
      <c r="BH319" t="str">
        <f>tbl_OriginalData[[#This Row],[Shipping_Preference]]</f>
        <v>Standard</v>
      </c>
      <c r="BI319">
        <f>tbl_OriginalData[[#This Row],[Time_to_Decision]]</f>
        <v>7</v>
      </c>
      <c r="BJ319" t="s">
        <v>172</v>
      </c>
      <c r="BK319" t="s">
        <v>115</v>
      </c>
      <c r="BL319" t="s">
        <v>2523</v>
      </c>
    </row>
    <row r="320" spans="1:64">
      <c r="A320" t="s">
        <v>834</v>
      </c>
      <c r="B320">
        <v>37</v>
      </c>
      <c r="C320" t="s">
        <v>33</v>
      </c>
      <c r="D320" t="s">
        <v>34</v>
      </c>
      <c r="E320" t="s">
        <v>35</v>
      </c>
      <c r="F320" t="s">
        <v>36</v>
      </c>
      <c r="G320" t="s">
        <v>34</v>
      </c>
      <c r="H320" t="s">
        <v>317</v>
      </c>
      <c r="I320" t="s">
        <v>156</v>
      </c>
      <c r="J320">
        <v>235.84</v>
      </c>
      <c r="K320">
        <v>9</v>
      </c>
      <c r="L320" t="s">
        <v>39</v>
      </c>
      <c r="M320">
        <v>5</v>
      </c>
      <c r="N320">
        <v>2</v>
      </c>
      <c r="O320">
        <v>0</v>
      </c>
      <c r="P320" t="s">
        <v>40</v>
      </c>
      <c r="Q320" t="s">
        <v>101</v>
      </c>
      <c r="R320">
        <v>2</v>
      </c>
      <c r="S320">
        <v>3</v>
      </c>
      <c r="T320" t="s">
        <v>40</v>
      </c>
      <c r="U320" t="s">
        <v>95</v>
      </c>
      <c r="V320" t="s">
        <v>102</v>
      </c>
      <c r="W320" s="1">
        <v>45507</v>
      </c>
      <c r="X320" t="b">
        <v>0</v>
      </c>
      <c r="Y320" t="b">
        <v>0</v>
      </c>
      <c r="Z320" t="s">
        <v>89</v>
      </c>
      <c r="AA320" t="s">
        <v>45</v>
      </c>
      <c r="AB320">
        <v>14</v>
      </c>
      <c r="AF320" t="str">
        <f>tbl_OriginalData[[#This Row],[Customer_ID]]</f>
        <v>83-455-7266</v>
      </c>
      <c r="AG320">
        <f>tbl_OriginalData[[#This Row],[Age]]</f>
        <v>37</v>
      </c>
      <c r="AH320" t="str" cm="1">
        <f t="array" ref="AH32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20" t="str">
        <f>tbl_OriginalData[[#This Row],[Gender]]</f>
        <v>Female</v>
      </c>
      <c r="AJ320" t="str">
        <f>tbl_OriginalData[[#This Row],[Income_Level]]</f>
        <v>Middle</v>
      </c>
      <c r="AK320" t="str">
        <f>tbl_OriginalData[[#This Row],[Marital_Status]]</f>
        <v>Married</v>
      </c>
      <c r="AL320" t="str">
        <f>tbl_OriginalData[[#This Row],[Education_Level]]</f>
        <v>Bachelor's</v>
      </c>
      <c r="AM320" t="str">
        <f>tbl_OriginalData[[#This Row],[Occupation]]</f>
        <v>Middle</v>
      </c>
      <c r="AN320" t="s">
        <v>317</v>
      </c>
      <c r="AO320" t="s">
        <v>46</v>
      </c>
      <c r="AP320" t="str">
        <f>tbl_OriginalData[[#This Row],[Purchase_Category]]</f>
        <v>Toys &amp; Games</v>
      </c>
      <c r="AQ320" s="4">
        <f>tbl_OriginalData[[#This Row],[Purchase_Amount]]</f>
        <v>235.84</v>
      </c>
      <c r="AR320">
        <f>tbl_OriginalData[[#This Row],[Frequency_of_Purchase]]</f>
        <v>9</v>
      </c>
      <c r="AS320" t="str">
        <f>tbl_OriginalData[[#This Row],[Purchase_Channel]]</f>
        <v>Mixed</v>
      </c>
      <c r="AT320">
        <f>tbl_OriginalData[[#This Row],[Brand_Loyalty]]</f>
        <v>5</v>
      </c>
      <c r="AU320">
        <f>tbl_OriginalData[[#This Row],[Product_Rating]]</f>
        <v>2</v>
      </c>
      <c r="AV320">
        <f>tbl_OriginalData[[#This Row],[Time_Spent_on_Product_Research(hours)]]*60</f>
        <v>0</v>
      </c>
      <c r="AW320" t="str">
        <f>tbl_OriginalData[[#This Row],[Social_Media_Influence]]</f>
        <v>None</v>
      </c>
      <c r="AX320" t="str">
        <f>tbl_OriginalData[[#This Row],[Discount_Sensitivity]]</f>
        <v>Very Sensitive</v>
      </c>
      <c r="AY320" s="3">
        <f>tbl_OriginalData[[#This Row],[Return_Rate]]/tbl_OriginalData[[#This Row],[Frequency_of_Purchase]]</f>
        <v>0.22222222222222221</v>
      </c>
      <c r="AZ320">
        <f>tbl_OriginalData[[#This Row],[Customer_Satisfaction]]</f>
        <v>3</v>
      </c>
      <c r="BA320" t="str">
        <f>tbl_OriginalData[[#This Row],[Engagement_with_Ads]]</f>
        <v>None</v>
      </c>
      <c r="BB320" t="str">
        <f>tbl_OriginalData[[#This Row],[Device_Used_for_Shopping]]</f>
        <v>Desktop</v>
      </c>
      <c r="BC320" t="str">
        <f>tbl_OriginalData[[#This Row],[Payment_Method]]</f>
        <v>Cash</v>
      </c>
      <c r="BD320" s="1">
        <f>tbl_OriginalData[[#This Row],[Time_of_Purchase]]</f>
        <v>45507</v>
      </c>
      <c r="BE320" t="str">
        <f>IF(tbl_OriginalData[[#This Row],[Discount_Used]]=TRUE,"Yes","No")</f>
        <v>No</v>
      </c>
      <c r="BF320" t="str">
        <f>IF(tbl_OriginalData[[#This Row],[Customer_Loyalty_Program_Member]]=TRUE,"Yes","No")</f>
        <v>No</v>
      </c>
      <c r="BG320" t="str">
        <f>tbl_OriginalData[[#This Row],[Purchase_Intent]]</f>
        <v>Planned</v>
      </c>
      <c r="BH320" t="str">
        <f>tbl_OriginalData[[#This Row],[Shipping_Preference]]</f>
        <v>No Preference</v>
      </c>
      <c r="BI320">
        <f>tbl_OriginalData[[#This Row],[Time_to_Decision]]</f>
        <v>14</v>
      </c>
      <c r="BJ320" t="s">
        <v>124</v>
      </c>
      <c r="BK320" t="s">
        <v>115</v>
      </c>
      <c r="BL320" t="s">
        <v>2523</v>
      </c>
    </row>
    <row r="321" spans="1:64">
      <c r="A321" t="s">
        <v>835</v>
      </c>
      <c r="B321">
        <v>47</v>
      </c>
      <c r="C321" t="s">
        <v>50</v>
      </c>
      <c r="D321" t="s">
        <v>51</v>
      </c>
      <c r="E321" t="s">
        <v>82</v>
      </c>
      <c r="F321" t="s">
        <v>52</v>
      </c>
      <c r="G321" t="s">
        <v>34</v>
      </c>
      <c r="H321" t="s">
        <v>836</v>
      </c>
      <c r="I321" t="s">
        <v>170</v>
      </c>
      <c r="J321">
        <v>164.44</v>
      </c>
      <c r="K321">
        <v>5</v>
      </c>
      <c r="L321" t="s">
        <v>55</v>
      </c>
      <c r="M321">
        <v>5</v>
      </c>
      <c r="N321">
        <v>1</v>
      </c>
      <c r="O321">
        <v>2</v>
      </c>
      <c r="P321" t="s">
        <v>69</v>
      </c>
      <c r="Q321" t="s">
        <v>41</v>
      </c>
      <c r="R321">
        <v>1</v>
      </c>
      <c r="S321">
        <v>10</v>
      </c>
      <c r="T321" t="s">
        <v>51</v>
      </c>
      <c r="U321" t="s">
        <v>70</v>
      </c>
      <c r="V321" t="s">
        <v>76</v>
      </c>
      <c r="W321" s="1">
        <v>45390</v>
      </c>
      <c r="X321" t="b">
        <v>0</v>
      </c>
      <c r="Y321" t="b">
        <v>0</v>
      </c>
      <c r="Z321" t="s">
        <v>72</v>
      </c>
      <c r="AA321" t="s">
        <v>45</v>
      </c>
      <c r="AB321">
        <v>5</v>
      </c>
      <c r="AF321" t="str">
        <f>tbl_OriginalData[[#This Row],[Customer_ID]]</f>
        <v>67-599-9267</v>
      </c>
      <c r="AG321">
        <f>tbl_OriginalData[[#This Row],[Age]]</f>
        <v>47</v>
      </c>
      <c r="AH321" t="str" cm="1">
        <f t="array" ref="AH32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21" t="str">
        <f>tbl_OriginalData[[#This Row],[Gender]]</f>
        <v>Male</v>
      </c>
      <c r="AJ321" t="str">
        <f>tbl_OriginalData[[#This Row],[Income_Level]]</f>
        <v>High</v>
      </c>
      <c r="AK321" t="str">
        <f>tbl_OriginalData[[#This Row],[Marital_Status]]</f>
        <v>Widowed</v>
      </c>
      <c r="AL321" t="str">
        <f>tbl_OriginalData[[#This Row],[Education_Level]]</f>
        <v>High School</v>
      </c>
      <c r="AM321" t="str">
        <f>tbl_OriginalData[[#This Row],[Occupation]]</f>
        <v>Middle</v>
      </c>
      <c r="AN321" t="s">
        <v>836</v>
      </c>
      <c r="AO321" t="s">
        <v>109</v>
      </c>
      <c r="AP321" t="str">
        <f>tbl_OriginalData[[#This Row],[Purchase_Category]]</f>
        <v>Arts &amp; Crafts</v>
      </c>
      <c r="AQ321" s="4">
        <f>tbl_OriginalData[[#This Row],[Purchase_Amount]]</f>
        <v>164.44</v>
      </c>
      <c r="AR321">
        <f>tbl_OriginalData[[#This Row],[Frequency_of_Purchase]]</f>
        <v>5</v>
      </c>
      <c r="AS321" t="str">
        <f>tbl_OriginalData[[#This Row],[Purchase_Channel]]</f>
        <v>In-Store</v>
      </c>
      <c r="AT321">
        <f>tbl_OriginalData[[#This Row],[Brand_Loyalty]]</f>
        <v>5</v>
      </c>
      <c r="AU321">
        <f>tbl_OriginalData[[#This Row],[Product_Rating]]</f>
        <v>1</v>
      </c>
      <c r="AV321">
        <f>tbl_OriginalData[[#This Row],[Time_Spent_on_Product_Research(hours)]]*60</f>
        <v>120</v>
      </c>
      <c r="AW321" t="str">
        <f>tbl_OriginalData[[#This Row],[Social_Media_Influence]]</f>
        <v>Low</v>
      </c>
      <c r="AX321" t="str">
        <f>tbl_OriginalData[[#This Row],[Discount_Sensitivity]]</f>
        <v>Somewhat Sensitive</v>
      </c>
      <c r="AY321" s="3">
        <f>tbl_OriginalData[[#This Row],[Return_Rate]]/tbl_OriginalData[[#This Row],[Frequency_of_Purchase]]</f>
        <v>0.2</v>
      </c>
      <c r="AZ321">
        <f>tbl_OriginalData[[#This Row],[Customer_Satisfaction]]</f>
        <v>10</v>
      </c>
      <c r="BA321" t="str">
        <f>tbl_OriginalData[[#This Row],[Engagement_with_Ads]]</f>
        <v>High</v>
      </c>
      <c r="BB321" t="str">
        <f>tbl_OriginalData[[#This Row],[Device_Used_for_Shopping]]</f>
        <v>Smartphone</v>
      </c>
      <c r="BC321" t="str">
        <f>tbl_OriginalData[[#This Row],[Payment_Method]]</f>
        <v>Other</v>
      </c>
      <c r="BD321" s="1">
        <f>tbl_OriginalData[[#This Row],[Time_of_Purchase]]</f>
        <v>45390</v>
      </c>
      <c r="BE321" t="str">
        <f>IF(tbl_OriginalData[[#This Row],[Discount_Used]]=TRUE,"Yes","No")</f>
        <v>No</v>
      </c>
      <c r="BF321" t="str">
        <f>IF(tbl_OriginalData[[#This Row],[Customer_Loyalty_Program_Member]]=TRUE,"Yes","No")</f>
        <v>No</v>
      </c>
      <c r="BG321" t="str">
        <f>tbl_OriginalData[[#This Row],[Purchase_Intent]]</f>
        <v>Impulsive</v>
      </c>
      <c r="BH321" t="str">
        <f>tbl_OriginalData[[#This Row],[Shipping_Preference]]</f>
        <v>No Preference</v>
      </c>
      <c r="BI321">
        <f>tbl_OriginalData[[#This Row],[Time_to_Decision]]</f>
        <v>5</v>
      </c>
      <c r="BJ321" t="s">
        <v>62</v>
      </c>
      <c r="BK321" t="s">
        <v>63</v>
      </c>
      <c r="BL321" t="s">
        <v>2526</v>
      </c>
    </row>
    <row r="322" spans="1:64">
      <c r="A322" t="s">
        <v>837</v>
      </c>
      <c r="B322">
        <v>24</v>
      </c>
      <c r="C322" t="s">
        <v>50</v>
      </c>
      <c r="D322" t="s">
        <v>51</v>
      </c>
      <c r="E322" t="s">
        <v>35</v>
      </c>
      <c r="F322" t="s">
        <v>36</v>
      </c>
      <c r="G322" t="s">
        <v>51</v>
      </c>
      <c r="H322" t="s">
        <v>838</v>
      </c>
      <c r="I322" t="s">
        <v>108</v>
      </c>
      <c r="J322">
        <v>455.81</v>
      </c>
      <c r="K322">
        <v>3</v>
      </c>
      <c r="L322" t="s">
        <v>94</v>
      </c>
      <c r="M322">
        <v>2</v>
      </c>
      <c r="N322">
        <v>3</v>
      </c>
      <c r="O322">
        <v>1</v>
      </c>
      <c r="P322" t="s">
        <v>69</v>
      </c>
      <c r="Q322" t="s">
        <v>41</v>
      </c>
      <c r="R322">
        <v>1</v>
      </c>
      <c r="S322">
        <v>6</v>
      </c>
      <c r="T322" t="s">
        <v>56</v>
      </c>
      <c r="U322" t="s">
        <v>70</v>
      </c>
      <c r="V322" t="s">
        <v>71</v>
      </c>
      <c r="W322" s="1">
        <v>45403</v>
      </c>
      <c r="X322" t="b">
        <v>0</v>
      </c>
      <c r="Y322" t="b">
        <v>0</v>
      </c>
      <c r="Z322" t="s">
        <v>59</v>
      </c>
      <c r="AA322" t="s">
        <v>77</v>
      </c>
      <c r="AB322">
        <v>6</v>
      </c>
      <c r="AF322" t="str">
        <f>tbl_OriginalData[[#This Row],[Customer_ID]]</f>
        <v>41-501-9276</v>
      </c>
      <c r="AG322">
        <f>tbl_OriginalData[[#This Row],[Age]]</f>
        <v>24</v>
      </c>
      <c r="AH322" t="str" cm="1">
        <f t="array" ref="AH32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22" t="str">
        <f>tbl_OriginalData[[#This Row],[Gender]]</f>
        <v>Male</v>
      </c>
      <c r="AJ322" t="str">
        <f>tbl_OriginalData[[#This Row],[Income_Level]]</f>
        <v>High</v>
      </c>
      <c r="AK322" t="str">
        <f>tbl_OriginalData[[#This Row],[Marital_Status]]</f>
        <v>Married</v>
      </c>
      <c r="AL322" t="str">
        <f>tbl_OriginalData[[#This Row],[Education_Level]]</f>
        <v>Bachelor's</v>
      </c>
      <c r="AM322" t="str">
        <f>tbl_OriginalData[[#This Row],[Occupation]]</f>
        <v>High</v>
      </c>
      <c r="AN322" t="s">
        <v>838</v>
      </c>
      <c r="AO322" t="s">
        <v>109</v>
      </c>
      <c r="AP322" t="str">
        <f>tbl_OriginalData[[#This Row],[Purchase_Category]]</f>
        <v>Sports &amp; Outdoors</v>
      </c>
      <c r="AQ322" s="4">
        <f>tbl_OriginalData[[#This Row],[Purchase_Amount]]</f>
        <v>455.81</v>
      </c>
      <c r="AR322">
        <f>tbl_OriginalData[[#This Row],[Frequency_of_Purchase]]</f>
        <v>3</v>
      </c>
      <c r="AS322" t="str">
        <f>tbl_OriginalData[[#This Row],[Purchase_Channel]]</f>
        <v>Online</v>
      </c>
      <c r="AT322">
        <f>tbl_OriginalData[[#This Row],[Brand_Loyalty]]</f>
        <v>2</v>
      </c>
      <c r="AU322">
        <f>tbl_OriginalData[[#This Row],[Product_Rating]]</f>
        <v>3</v>
      </c>
      <c r="AV322">
        <f>tbl_OriginalData[[#This Row],[Time_Spent_on_Product_Research(hours)]]*60</f>
        <v>60</v>
      </c>
      <c r="AW322" t="str">
        <f>tbl_OriginalData[[#This Row],[Social_Media_Influence]]</f>
        <v>Low</v>
      </c>
      <c r="AX322" t="str">
        <f>tbl_OriginalData[[#This Row],[Discount_Sensitivity]]</f>
        <v>Somewhat Sensitive</v>
      </c>
      <c r="AY322" s="3">
        <f>tbl_OriginalData[[#This Row],[Return_Rate]]/tbl_OriginalData[[#This Row],[Frequency_of_Purchase]]</f>
        <v>0.33333333333333331</v>
      </c>
      <c r="AZ322">
        <f>tbl_OriginalData[[#This Row],[Customer_Satisfaction]]</f>
        <v>6</v>
      </c>
      <c r="BA322" t="str">
        <f>tbl_OriginalData[[#This Row],[Engagement_with_Ads]]</f>
        <v>Medium</v>
      </c>
      <c r="BB322" t="str">
        <f>tbl_OriginalData[[#This Row],[Device_Used_for_Shopping]]</f>
        <v>Smartphone</v>
      </c>
      <c r="BC322" t="str">
        <f>tbl_OriginalData[[#This Row],[Payment_Method]]</f>
        <v>Debit Card</v>
      </c>
      <c r="BD322" s="1">
        <f>tbl_OriginalData[[#This Row],[Time_of_Purchase]]</f>
        <v>45403</v>
      </c>
      <c r="BE322" t="str">
        <f>IF(tbl_OriginalData[[#This Row],[Discount_Used]]=TRUE,"Yes","No")</f>
        <v>No</v>
      </c>
      <c r="BF322" t="str">
        <f>IF(tbl_OriginalData[[#This Row],[Customer_Loyalty_Program_Member]]=TRUE,"Yes","No")</f>
        <v>No</v>
      </c>
      <c r="BG322" t="str">
        <f>tbl_OriginalData[[#This Row],[Purchase_Intent]]</f>
        <v>Wants-based</v>
      </c>
      <c r="BH322" t="str">
        <f>tbl_OriginalData[[#This Row],[Shipping_Preference]]</f>
        <v>Express</v>
      </c>
      <c r="BI322">
        <f>tbl_OriginalData[[#This Row],[Time_to_Decision]]</f>
        <v>6</v>
      </c>
      <c r="BJ322" t="s">
        <v>62</v>
      </c>
      <c r="BK322" t="s">
        <v>63</v>
      </c>
      <c r="BL322" t="s">
        <v>2526</v>
      </c>
    </row>
    <row r="323" spans="1:64">
      <c r="A323" t="s">
        <v>839</v>
      </c>
      <c r="B323">
        <v>36</v>
      </c>
      <c r="C323" t="s">
        <v>50</v>
      </c>
      <c r="D323" t="s">
        <v>51</v>
      </c>
      <c r="E323" t="s">
        <v>82</v>
      </c>
      <c r="F323" t="s">
        <v>66</v>
      </c>
      <c r="G323" t="s">
        <v>51</v>
      </c>
      <c r="H323" t="s">
        <v>840</v>
      </c>
      <c r="I323" t="s">
        <v>131</v>
      </c>
      <c r="J323">
        <v>298.32</v>
      </c>
      <c r="K323">
        <v>7</v>
      </c>
      <c r="L323" t="s">
        <v>55</v>
      </c>
      <c r="M323">
        <v>3</v>
      </c>
      <c r="N323">
        <v>5</v>
      </c>
      <c r="O323">
        <v>1</v>
      </c>
      <c r="P323" t="s">
        <v>69</v>
      </c>
      <c r="Q323" t="s">
        <v>41</v>
      </c>
      <c r="R323">
        <v>2</v>
      </c>
      <c r="S323">
        <v>8</v>
      </c>
      <c r="T323" t="s">
        <v>40</v>
      </c>
      <c r="U323" t="s">
        <v>42</v>
      </c>
      <c r="V323" t="s">
        <v>76</v>
      </c>
      <c r="W323" s="1">
        <v>45460</v>
      </c>
      <c r="X323" t="b">
        <v>1</v>
      </c>
      <c r="Y323" t="b">
        <v>0</v>
      </c>
      <c r="Z323" t="s">
        <v>59</v>
      </c>
      <c r="AA323" t="s">
        <v>60</v>
      </c>
      <c r="AB323">
        <v>12</v>
      </c>
      <c r="AF323" t="str">
        <f>tbl_OriginalData[[#This Row],[Customer_ID]]</f>
        <v>99-509-4653</v>
      </c>
      <c r="AG323">
        <f>tbl_OriginalData[[#This Row],[Age]]</f>
        <v>36</v>
      </c>
      <c r="AH323" t="str" cm="1">
        <f t="array" ref="AH32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23" t="str">
        <f>tbl_OriginalData[[#This Row],[Gender]]</f>
        <v>Male</v>
      </c>
      <c r="AJ323" t="str">
        <f>tbl_OriginalData[[#This Row],[Income_Level]]</f>
        <v>High</v>
      </c>
      <c r="AK323" t="str">
        <f>tbl_OriginalData[[#This Row],[Marital_Status]]</f>
        <v>Widowed</v>
      </c>
      <c r="AL323" t="str">
        <f>tbl_OriginalData[[#This Row],[Education_Level]]</f>
        <v>Master's</v>
      </c>
      <c r="AM323" t="str">
        <f>tbl_OriginalData[[#This Row],[Occupation]]</f>
        <v>High</v>
      </c>
      <c r="AN323" t="s">
        <v>840</v>
      </c>
      <c r="AO323" t="s">
        <v>469</v>
      </c>
      <c r="AP323" t="str">
        <f>tbl_OriginalData[[#This Row],[Purchase_Category]]</f>
        <v>Health Care</v>
      </c>
      <c r="AQ323" s="4">
        <f>tbl_OriginalData[[#This Row],[Purchase_Amount]]</f>
        <v>298.32</v>
      </c>
      <c r="AR323">
        <f>tbl_OriginalData[[#This Row],[Frequency_of_Purchase]]</f>
        <v>7</v>
      </c>
      <c r="AS323" t="str">
        <f>tbl_OriginalData[[#This Row],[Purchase_Channel]]</f>
        <v>In-Store</v>
      </c>
      <c r="AT323">
        <f>tbl_OriginalData[[#This Row],[Brand_Loyalty]]</f>
        <v>3</v>
      </c>
      <c r="AU323">
        <f>tbl_OriginalData[[#This Row],[Product_Rating]]</f>
        <v>5</v>
      </c>
      <c r="AV323">
        <f>tbl_OriginalData[[#This Row],[Time_Spent_on_Product_Research(hours)]]*60</f>
        <v>60</v>
      </c>
      <c r="AW323" t="str">
        <f>tbl_OriginalData[[#This Row],[Social_Media_Influence]]</f>
        <v>Low</v>
      </c>
      <c r="AX323" t="str">
        <f>tbl_OriginalData[[#This Row],[Discount_Sensitivity]]</f>
        <v>Somewhat Sensitive</v>
      </c>
      <c r="AY323" s="3">
        <f>tbl_OriginalData[[#This Row],[Return_Rate]]/tbl_OriginalData[[#This Row],[Frequency_of_Purchase]]</f>
        <v>0.2857142857142857</v>
      </c>
      <c r="AZ323">
        <f>tbl_OriginalData[[#This Row],[Customer_Satisfaction]]</f>
        <v>8</v>
      </c>
      <c r="BA323" t="str">
        <f>tbl_OriginalData[[#This Row],[Engagement_with_Ads]]</f>
        <v>None</v>
      </c>
      <c r="BB323" t="str">
        <f>tbl_OriginalData[[#This Row],[Device_Used_for_Shopping]]</f>
        <v>Tablet</v>
      </c>
      <c r="BC323" t="str">
        <f>tbl_OriginalData[[#This Row],[Payment_Method]]</f>
        <v>Other</v>
      </c>
      <c r="BD323" s="1">
        <f>tbl_OriginalData[[#This Row],[Time_of_Purchase]]</f>
        <v>45460</v>
      </c>
      <c r="BE323" t="str">
        <f>IF(tbl_OriginalData[[#This Row],[Discount_Used]]=TRUE,"Yes","No")</f>
        <v>Yes</v>
      </c>
      <c r="BF323" t="str">
        <f>IF(tbl_OriginalData[[#This Row],[Customer_Loyalty_Program_Member]]=TRUE,"Yes","No")</f>
        <v>No</v>
      </c>
      <c r="BG323" t="str">
        <f>tbl_OriginalData[[#This Row],[Purchase_Intent]]</f>
        <v>Wants-based</v>
      </c>
      <c r="BH323" t="str">
        <f>tbl_OriginalData[[#This Row],[Shipping_Preference]]</f>
        <v>Standard</v>
      </c>
      <c r="BI323">
        <f>tbl_OriginalData[[#This Row],[Time_to_Decision]]</f>
        <v>12</v>
      </c>
      <c r="BJ323" t="s">
        <v>104</v>
      </c>
      <c r="BK323" t="s">
        <v>63</v>
      </c>
      <c r="BL323" t="s">
        <v>2527</v>
      </c>
    </row>
    <row r="324" spans="1:64">
      <c r="A324" t="s">
        <v>841</v>
      </c>
      <c r="B324">
        <v>36</v>
      </c>
      <c r="C324" t="s">
        <v>33</v>
      </c>
      <c r="D324" t="s">
        <v>51</v>
      </c>
      <c r="E324" t="s">
        <v>65</v>
      </c>
      <c r="F324" t="s">
        <v>36</v>
      </c>
      <c r="G324" t="s">
        <v>51</v>
      </c>
      <c r="H324" t="s">
        <v>842</v>
      </c>
      <c r="I324" t="s">
        <v>135</v>
      </c>
      <c r="J324">
        <v>351.71</v>
      </c>
      <c r="K324">
        <v>7</v>
      </c>
      <c r="L324" t="s">
        <v>55</v>
      </c>
      <c r="M324">
        <v>2</v>
      </c>
      <c r="N324">
        <v>2</v>
      </c>
      <c r="O324">
        <v>0</v>
      </c>
      <c r="P324" t="s">
        <v>56</v>
      </c>
      <c r="Q324" t="s">
        <v>101</v>
      </c>
      <c r="R324">
        <v>1</v>
      </c>
      <c r="S324">
        <v>6</v>
      </c>
      <c r="T324" t="s">
        <v>56</v>
      </c>
      <c r="U324" t="s">
        <v>42</v>
      </c>
      <c r="V324" t="s">
        <v>76</v>
      </c>
      <c r="W324" s="1">
        <v>45370</v>
      </c>
      <c r="X324" t="b">
        <v>1</v>
      </c>
      <c r="Y324" t="b">
        <v>0</v>
      </c>
      <c r="Z324" t="s">
        <v>44</v>
      </c>
      <c r="AA324" t="s">
        <v>60</v>
      </c>
      <c r="AB324">
        <v>8</v>
      </c>
      <c r="AF324" t="str">
        <f>tbl_OriginalData[[#This Row],[Customer_ID]]</f>
        <v>31-284-5722</v>
      </c>
      <c r="AG324">
        <f>tbl_OriginalData[[#This Row],[Age]]</f>
        <v>36</v>
      </c>
      <c r="AH324" t="str" cm="1">
        <f t="array" ref="AH32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24" t="str">
        <f>tbl_OriginalData[[#This Row],[Gender]]</f>
        <v>Female</v>
      </c>
      <c r="AJ324" t="str">
        <f>tbl_OriginalData[[#This Row],[Income_Level]]</f>
        <v>High</v>
      </c>
      <c r="AK324" t="str">
        <f>tbl_OriginalData[[#This Row],[Marital_Status]]</f>
        <v>Single</v>
      </c>
      <c r="AL324" t="str">
        <f>tbl_OriginalData[[#This Row],[Education_Level]]</f>
        <v>Bachelor's</v>
      </c>
      <c r="AM324" t="str">
        <f>tbl_OriginalData[[#This Row],[Occupation]]</f>
        <v>High</v>
      </c>
      <c r="AN324" t="s">
        <v>842</v>
      </c>
      <c r="AO324" t="s">
        <v>61</v>
      </c>
      <c r="AP324" t="str">
        <f>tbl_OriginalData[[#This Row],[Purchase_Category]]</f>
        <v>Hotels</v>
      </c>
      <c r="AQ324" s="4">
        <f>tbl_OriginalData[[#This Row],[Purchase_Amount]]</f>
        <v>351.71</v>
      </c>
      <c r="AR324">
        <f>tbl_OriginalData[[#This Row],[Frequency_of_Purchase]]</f>
        <v>7</v>
      </c>
      <c r="AS324" t="str">
        <f>tbl_OriginalData[[#This Row],[Purchase_Channel]]</f>
        <v>In-Store</v>
      </c>
      <c r="AT324">
        <f>tbl_OriginalData[[#This Row],[Brand_Loyalty]]</f>
        <v>2</v>
      </c>
      <c r="AU324">
        <f>tbl_OriginalData[[#This Row],[Product_Rating]]</f>
        <v>2</v>
      </c>
      <c r="AV324">
        <f>tbl_OriginalData[[#This Row],[Time_Spent_on_Product_Research(hours)]]*60</f>
        <v>0</v>
      </c>
      <c r="AW324" t="str">
        <f>tbl_OriginalData[[#This Row],[Social_Media_Influence]]</f>
        <v>Medium</v>
      </c>
      <c r="AX324" t="str">
        <f>tbl_OriginalData[[#This Row],[Discount_Sensitivity]]</f>
        <v>Very Sensitive</v>
      </c>
      <c r="AY324" s="3">
        <f>tbl_OriginalData[[#This Row],[Return_Rate]]/tbl_OriginalData[[#This Row],[Frequency_of_Purchase]]</f>
        <v>0.14285714285714285</v>
      </c>
      <c r="AZ324">
        <f>tbl_OriginalData[[#This Row],[Customer_Satisfaction]]</f>
        <v>6</v>
      </c>
      <c r="BA324" t="str">
        <f>tbl_OriginalData[[#This Row],[Engagement_with_Ads]]</f>
        <v>Medium</v>
      </c>
      <c r="BB324" t="str">
        <f>tbl_OriginalData[[#This Row],[Device_Used_for_Shopping]]</f>
        <v>Tablet</v>
      </c>
      <c r="BC324" t="str">
        <f>tbl_OriginalData[[#This Row],[Payment_Method]]</f>
        <v>Other</v>
      </c>
      <c r="BD324" s="1">
        <f>tbl_OriginalData[[#This Row],[Time_of_Purchase]]</f>
        <v>45370</v>
      </c>
      <c r="BE324" t="str">
        <f>IF(tbl_OriginalData[[#This Row],[Discount_Used]]=TRUE,"Yes","No")</f>
        <v>Yes</v>
      </c>
      <c r="BF324" t="str">
        <f>IF(tbl_OriginalData[[#This Row],[Customer_Loyalty_Program_Member]]=TRUE,"Yes","No")</f>
        <v>No</v>
      </c>
      <c r="BG324" t="str">
        <f>tbl_OriginalData[[#This Row],[Purchase_Intent]]</f>
        <v>Need-based</v>
      </c>
      <c r="BH324" t="str">
        <f>tbl_OriginalData[[#This Row],[Shipping_Preference]]</f>
        <v>Standard</v>
      </c>
      <c r="BI324">
        <f>tbl_OriginalData[[#This Row],[Time_to_Decision]]</f>
        <v>8</v>
      </c>
      <c r="BJ324" t="s">
        <v>47</v>
      </c>
      <c r="BK324" t="s">
        <v>48</v>
      </c>
      <c r="BL324" t="s">
        <v>2524</v>
      </c>
    </row>
    <row r="325" spans="1:64">
      <c r="A325" t="s">
        <v>843</v>
      </c>
      <c r="B325">
        <v>49</v>
      </c>
      <c r="C325" t="s">
        <v>50</v>
      </c>
      <c r="D325" t="s">
        <v>34</v>
      </c>
      <c r="E325" t="s">
        <v>92</v>
      </c>
      <c r="F325" t="s">
        <v>36</v>
      </c>
      <c r="G325" t="s">
        <v>34</v>
      </c>
      <c r="H325" t="s">
        <v>844</v>
      </c>
      <c r="I325" t="s">
        <v>156</v>
      </c>
      <c r="J325">
        <v>393.48</v>
      </c>
      <c r="K325">
        <v>11</v>
      </c>
      <c r="L325" t="s">
        <v>55</v>
      </c>
      <c r="M325">
        <v>2</v>
      </c>
      <c r="N325">
        <v>2</v>
      </c>
      <c r="O325">
        <v>0</v>
      </c>
      <c r="P325" t="s">
        <v>51</v>
      </c>
      <c r="Q325" t="s">
        <v>101</v>
      </c>
      <c r="R325">
        <v>1</v>
      </c>
      <c r="S325">
        <v>10</v>
      </c>
      <c r="T325" t="s">
        <v>40</v>
      </c>
      <c r="U325" t="s">
        <v>42</v>
      </c>
      <c r="V325" t="s">
        <v>76</v>
      </c>
      <c r="W325" s="1">
        <v>45517</v>
      </c>
      <c r="X325" t="b">
        <v>1</v>
      </c>
      <c r="Y325" t="b">
        <v>1</v>
      </c>
      <c r="Z325" t="s">
        <v>44</v>
      </c>
      <c r="AA325" t="s">
        <v>60</v>
      </c>
      <c r="AB325">
        <v>3</v>
      </c>
      <c r="AF325" t="str">
        <f>tbl_OriginalData[[#This Row],[Customer_ID]]</f>
        <v>88-000-9227</v>
      </c>
      <c r="AG325">
        <f>tbl_OriginalData[[#This Row],[Age]]</f>
        <v>49</v>
      </c>
      <c r="AH325" t="str" cm="1">
        <f t="array" ref="AH32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25" t="str">
        <f>tbl_OriginalData[[#This Row],[Gender]]</f>
        <v>Male</v>
      </c>
      <c r="AJ325" t="str">
        <f>tbl_OriginalData[[#This Row],[Income_Level]]</f>
        <v>Middle</v>
      </c>
      <c r="AK325" t="str">
        <f>tbl_OriginalData[[#This Row],[Marital_Status]]</f>
        <v>Divorced</v>
      </c>
      <c r="AL325" t="str">
        <f>tbl_OriginalData[[#This Row],[Education_Level]]</f>
        <v>Bachelor's</v>
      </c>
      <c r="AM325" t="str">
        <f>tbl_OriginalData[[#This Row],[Occupation]]</f>
        <v>Middle</v>
      </c>
      <c r="AN325" t="s">
        <v>844</v>
      </c>
      <c r="AO325" t="s">
        <v>132</v>
      </c>
      <c r="AP325" t="str">
        <f>tbl_OriginalData[[#This Row],[Purchase_Category]]</f>
        <v>Toys &amp; Games</v>
      </c>
      <c r="AQ325" s="4">
        <f>tbl_OriginalData[[#This Row],[Purchase_Amount]]</f>
        <v>393.48</v>
      </c>
      <c r="AR325">
        <f>tbl_OriginalData[[#This Row],[Frequency_of_Purchase]]</f>
        <v>11</v>
      </c>
      <c r="AS325" t="str">
        <f>tbl_OriginalData[[#This Row],[Purchase_Channel]]</f>
        <v>In-Store</v>
      </c>
      <c r="AT325">
        <f>tbl_OriginalData[[#This Row],[Brand_Loyalty]]</f>
        <v>2</v>
      </c>
      <c r="AU325">
        <f>tbl_OriginalData[[#This Row],[Product_Rating]]</f>
        <v>2</v>
      </c>
      <c r="AV325">
        <f>tbl_OriginalData[[#This Row],[Time_Spent_on_Product_Research(hours)]]*60</f>
        <v>0</v>
      </c>
      <c r="AW325" t="str">
        <f>tbl_OriginalData[[#This Row],[Social_Media_Influence]]</f>
        <v>High</v>
      </c>
      <c r="AX325" t="str">
        <f>tbl_OriginalData[[#This Row],[Discount_Sensitivity]]</f>
        <v>Very Sensitive</v>
      </c>
      <c r="AY325" s="3">
        <f>tbl_OriginalData[[#This Row],[Return_Rate]]/tbl_OriginalData[[#This Row],[Frequency_of_Purchase]]</f>
        <v>9.0909090909090912E-2</v>
      </c>
      <c r="AZ325">
        <f>tbl_OriginalData[[#This Row],[Customer_Satisfaction]]</f>
        <v>10</v>
      </c>
      <c r="BA325" t="str">
        <f>tbl_OriginalData[[#This Row],[Engagement_with_Ads]]</f>
        <v>None</v>
      </c>
      <c r="BB325" t="str">
        <f>tbl_OriginalData[[#This Row],[Device_Used_for_Shopping]]</f>
        <v>Tablet</v>
      </c>
      <c r="BC325" t="str">
        <f>tbl_OriginalData[[#This Row],[Payment_Method]]</f>
        <v>Other</v>
      </c>
      <c r="BD325" s="1">
        <f>tbl_OriginalData[[#This Row],[Time_of_Purchase]]</f>
        <v>45517</v>
      </c>
      <c r="BE325" t="str">
        <f>IF(tbl_OriginalData[[#This Row],[Discount_Used]]=TRUE,"Yes","No")</f>
        <v>Yes</v>
      </c>
      <c r="BF325" t="str">
        <f>IF(tbl_OriginalData[[#This Row],[Customer_Loyalty_Program_Member]]=TRUE,"Yes","No")</f>
        <v>Yes</v>
      </c>
      <c r="BG325" t="str">
        <f>tbl_OriginalData[[#This Row],[Purchase_Intent]]</f>
        <v>Need-based</v>
      </c>
      <c r="BH325" t="str">
        <f>tbl_OriginalData[[#This Row],[Shipping_Preference]]</f>
        <v>Standard</v>
      </c>
      <c r="BI325">
        <f>tbl_OriginalData[[#This Row],[Time_to_Decision]]</f>
        <v>3</v>
      </c>
      <c r="BJ325" t="s">
        <v>124</v>
      </c>
      <c r="BK325" t="s">
        <v>115</v>
      </c>
      <c r="BL325" t="s">
        <v>2525</v>
      </c>
    </row>
    <row r="326" spans="1:64">
      <c r="A326" t="s">
        <v>845</v>
      </c>
      <c r="B326">
        <v>19</v>
      </c>
      <c r="C326" t="s">
        <v>188</v>
      </c>
      <c r="D326" t="s">
        <v>51</v>
      </c>
      <c r="E326" t="s">
        <v>65</v>
      </c>
      <c r="F326" t="s">
        <v>52</v>
      </c>
      <c r="G326" t="s">
        <v>51</v>
      </c>
      <c r="H326" t="s">
        <v>846</v>
      </c>
      <c r="I326" t="s">
        <v>68</v>
      </c>
      <c r="J326">
        <v>241.72</v>
      </c>
      <c r="K326">
        <v>6</v>
      </c>
      <c r="L326" t="s">
        <v>39</v>
      </c>
      <c r="M326">
        <v>5</v>
      </c>
      <c r="N326">
        <v>2</v>
      </c>
      <c r="O326">
        <v>1</v>
      </c>
      <c r="P326" t="s">
        <v>56</v>
      </c>
      <c r="Q326" t="s">
        <v>57</v>
      </c>
      <c r="R326">
        <v>0</v>
      </c>
      <c r="S326">
        <v>8</v>
      </c>
      <c r="T326" t="s">
        <v>51</v>
      </c>
      <c r="U326" t="s">
        <v>95</v>
      </c>
      <c r="V326" t="s">
        <v>71</v>
      </c>
      <c r="W326" s="1">
        <v>45441</v>
      </c>
      <c r="X326" t="b">
        <v>0</v>
      </c>
      <c r="Y326" t="b">
        <v>1</v>
      </c>
      <c r="Z326" t="s">
        <v>89</v>
      </c>
      <c r="AA326" t="s">
        <v>77</v>
      </c>
      <c r="AB326">
        <v>2</v>
      </c>
      <c r="AF326" t="str">
        <f>tbl_OriginalData[[#This Row],[Customer_ID]]</f>
        <v>52-726-9328</v>
      </c>
      <c r="AG326">
        <f>tbl_OriginalData[[#This Row],[Age]]</f>
        <v>19</v>
      </c>
      <c r="AH326" t="str" cm="1">
        <f t="array" ref="AH32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326" t="str">
        <f>tbl_OriginalData[[#This Row],[Gender]]</f>
        <v>Genderfluid</v>
      </c>
      <c r="AJ326" t="str">
        <f>tbl_OriginalData[[#This Row],[Income_Level]]</f>
        <v>High</v>
      </c>
      <c r="AK326" t="str">
        <f>tbl_OriginalData[[#This Row],[Marital_Status]]</f>
        <v>Single</v>
      </c>
      <c r="AL326" t="str">
        <f>tbl_OriginalData[[#This Row],[Education_Level]]</f>
        <v>High School</v>
      </c>
      <c r="AM326" t="str">
        <f>tbl_OriginalData[[#This Row],[Occupation]]</f>
        <v>High</v>
      </c>
      <c r="AN326" t="s">
        <v>846</v>
      </c>
      <c r="AO326" t="s">
        <v>61</v>
      </c>
      <c r="AP326" t="str">
        <f>tbl_OriginalData[[#This Row],[Purchase_Category]]</f>
        <v>Office Supplies</v>
      </c>
      <c r="AQ326" s="4">
        <f>tbl_OriginalData[[#This Row],[Purchase_Amount]]</f>
        <v>241.72</v>
      </c>
      <c r="AR326">
        <f>tbl_OriginalData[[#This Row],[Frequency_of_Purchase]]</f>
        <v>6</v>
      </c>
      <c r="AS326" t="str">
        <f>tbl_OriginalData[[#This Row],[Purchase_Channel]]</f>
        <v>Mixed</v>
      </c>
      <c r="AT326">
        <f>tbl_OriginalData[[#This Row],[Brand_Loyalty]]</f>
        <v>5</v>
      </c>
      <c r="AU326">
        <f>tbl_OriginalData[[#This Row],[Product_Rating]]</f>
        <v>2</v>
      </c>
      <c r="AV326">
        <f>tbl_OriginalData[[#This Row],[Time_Spent_on_Product_Research(hours)]]*60</f>
        <v>60</v>
      </c>
      <c r="AW326" t="str">
        <f>tbl_OriginalData[[#This Row],[Social_Media_Influence]]</f>
        <v>Medium</v>
      </c>
      <c r="AX326" t="str">
        <f>tbl_OriginalData[[#This Row],[Discount_Sensitivity]]</f>
        <v>Not Sensitive</v>
      </c>
      <c r="AY326" s="3">
        <f>tbl_OriginalData[[#This Row],[Return_Rate]]/tbl_OriginalData[[#This Row],[Frequency_of_Purchase]]</f>
        <v>0</v>
      </c>
      <c r="AZ326">
        <f>tbl_OriginalData[[#This Row],[Customer_Satisfaction]]</f>
        <v>8</v>
      </c>
      <c r="BA326" t="str">
        <f>tbl_OriginalData[[#This Row],[Engagement_with_Ads]]</f>
        <v>High</v>
      </c>
      <c r="BB326" t="str">
        <f>tbl_OriginalData[[#This Row],[Device_Used_for_Shopping]]</f>
        <v>Desktop</v>
      </c>
      <c r="BC326" t="str">
        <f>tbl_OriginalData[[#This Row],[Payment_Method]]</f>
        <v>Debit Card</v>
      </c>
      <c r="BD326" s="1">
        <f>tbl_OriginalData[[#This Row],[Time_of_Purchase]]</f>
        <v>45441</v>
      </c>
      <c r="BE326" t="str">
        <f>IF(tbl_OriginalData[[#This Row],[Discount_Used]]=TRUE,"Yes","No")</f>
        <v>No</v>
      </c>
      <c r="BF326" t="str">
        <f>IF(tbl_OriginalData[[#This Row],[Customer_Loyalty_Program_Member]]=TRUE,"Yes","No")</f>
        <v>Yes</v>
      </c>
      <c r="BG326" t="str">
        <f>tbl_OriginalData[[#This Row],[Purchase_Intent]]</f>
        <v>Planned</v>
      </c>
      <c r="BH326" t="str">
        <f>tbl_OriginalData[[#This Row],[Shipping_Preference]]</f>
        <v>Express</v>
      </c>
      <c r="BI326">
        <f>tbl_OriginalData[[#This Row],[Time_to_Decision]]</f>
        <v>2</v>
      </c>
      <c r="BJ326" t="s">
        <v>167</v>
      </c>
      <c r="BK326" t="s">
        <v>63</v>
      </c>
      <c r="BL326" t="s">
        <v>2524</v>
      </c>
    </row>
    <row r="327" spans="1:64">
      <c r="A327" t="s">
        <v>847</v>
      </c>
      <c r="B327">
        <v>27</v>
      </c>
      <c r="C327" t="s">
        <v>33</v>
      </c>
      <c r="D327" t="s">
        <v>51</v>
      </c>
      <c r="E327" t="s">
        <v>65</v>
      </c>
      <c r="F327" t="s">
        <v>36</v>
      </c>
      <c r="G327" t="s">
        <v>51</v>
      </c>
      <c r="H327" t="s">
        <v>746</v>
      </c>
      <c r="I327" t="s">
        <v>150</v>
      </c>
      <c r="J327">
        <v>280.2</v>
      </c>
      <c r="K327">
        <v>3</v>
      </c>
      <c r="L327" t="s">
        <v>55</v>
      </c>
      <c r="M327">
        <v>4</v>
      </c>
      <c r="N327">
        <v>2</v>
      </c>
      <c r="O327">
        <v>0</v>
      </c>
      <c r="P327" t="s">
        <v>56</v>
      </c>
      <c r="Q327" t="s">
        <v>41</v>
      </c>
      <c r="R327">
        <v>2</v>
      </c>
      <c r="S327">
        <v>7</v>
      </c>
      <c r="T327" t="s">
        <v>40</v>
      </c>
      <c r="U327" t="s">
        <v>95</v>
      </c>
      <c r="V327" t="s">
        <v>76</v>
      </c>
      <c r="W327" s="1">
        <v>45629</v>
      </c>
      <c r="X327" t="b">
        <v>0</v>
      </c>
      <c r="Y327" t="b">
        <v>0</v>
      </c>
      <c r="Z327" t="s">
        <v>44</v>
      </c>
      <c r="AA327" t="s">
        <v>45</v>
      </c>
      <c r="AB327">
        <v>13</v>
      </c>
      <c r="AF327" t="str">
        <f>tbl_OriginalData[[#This Row],[Customer_ID]]</f>
        <v>60-198-5417</v>
      </c>
      <c r="AG327">
        <f>tbl_OriginalData[[#This Row],[Age]]</f>
        <v>27</v>
      </c>
      <c r="AH327" t="str" cm="1">
        <f t="array" ref="AH32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27" t="str">
        <f>tbl_OriginalData[[#This Row],[Gender]]</f>
        <v>Female</v>
      </c>
      <c r="AJ327" t="str">
        <f>tbl_OriginalData[[#This Row],[Income_Level]]</f>
        <v>High</v>
      </c>
      <c r="AK327" t="str">
        <f>tbl_OriginalData[[#This Row],[Marital_Status]]</f>
        <v>Single</v>
      </c>
      <c r="AL327" t="str">
        <f>tbl_OriginalData[[#This Row],[Education_Level]]</f>
        <v>Bachelor's</v>
      </c>
      <c r="AM327" t="str">
        <f>tbl_OriginalData[[#This Row],[Occupation]]</f>
        <v>High</v>
      </c>
      <c r="AN327" t="s">
        <v>746</v>
      </c>
      <c r="AO327" t="s">
        <v>161</v>
      </c>
      <c r="AP327" t="str">
        <f>tbl_OriginalData[[#This Row],[Purchase_Category]]</f>
        <v>Software &amp; Apps</v>
      </c>
      <c r="AQ327" s="4">
        <f>tbl_OriginalData[[#This Row],[Purchase_Amount]]</f>
        <v>280.2</v>
      </c>
      <c r="AR327">
        <f>tbl_OriginalData[[#This Row],[Frequency_of_Purchase]]</f>
        <v>3</v>
      </c>
      <c r="AS327" t="str">
        <f>tbl_OriginalData[[#This Row],[Purchase_Channel]]</f>
        <v>In-Store</v>
      </c>
      <c r="AT327">
        <f>tbl_OriginalData[[#This Row],[Brand_Loyalty]]</f>
        <v>4</v>
      </c>
      <c r="AU327">
        <f>tbl_OriginalData[[#This Row],[Product_Rating]]</f>
        <v>2</v>
      </c>
      <c r="AV327">
        <f>tbl_OriginalData[[#This Row],[Time_Spent_on_Product_Research(hours)]]*60</f>
        <v>0</v>
      </c>
      <c r="AW327" t="str">
        <f>tbl_OriginalData[[#This Row],[Social_Media_Influence]]</f>
        <v>Medium</v>
      </c>
      <c r="AX327" t="str">
        <f>tbl_OriginalData[[#This Row],[Discount_Sensitivity]]</f>
        <v>Somewhat Sensitive</v>
      </c>
      <c r="AY327" s="3">
        <f>tbl_OriginalData[[#This Row],[Return_Rate]]/tbl_OriginalData[[#This Row],[Frequency_of_Purchase]]</f>
        <v>0.66666666666666663</v>
      </c>
      <c r="AZ327">
        <f>tbl_OriginalData[[#This Row],[Customer_Satisfaction]]</f>
        <v>7</v>
      </c>
      <c r="BA327" t="str">
        <f>tbl_OriginalData[[#This Row],[Engagement_with_Ads]]</f>
        <v>None</v>
      </c>
      <c r="BB327" t="str">
        <f>tbl_OriginalData[[#This Row],[Device_Used_for_Shopping]]</f>
        <v>Desktop</v>
      </c>
      <c r="BC327" t="str">
        <f>tbl_OriginalData[[#This Row],[Payment_Method]]</f>
        <v>Other</v>
      </c>
      <c r="BD327" s="1">
        <f>tbl_OriginalData[[#This Row],[Time_of_Purchase]]</f>
        <v>45629</v>
      </c>
      <c r="BE327" t="str">
        <f>IF(tbl_OriginalData[[#This Row],[Discount_Used]]=TRUE,"Yes","No")</f>
        <v>No</v>
      </c>
      <c r="BF327" t="str">
        <f>IF(tbl_OriginalData[[#This Row],[Customer_Loyalty_Program_Member]]=TRUE,"Yes","No")</f>
        <v>No</v>
      </c>
      <c r="BG327" t="str">
        <f>tbl_OriginalData[[#This Row],[Purchase_Intent]]</f>
        <v>Need-based</v>
      </c>
      <c r="BH327" t="str">
        <f>tbl_OriginalData[[#This Row],[Shipping_Preference]]</f>
        <v>No Preference</v>
      </c>
      <c r="BI327">
        <f>tbl_OriginalData[[#This Row],[Time_to_Decision]]</f>
        <v>13</v>
      </c>
      <c r="BJ327" t="s">
        <v>120</v>
      </c>
      <c r="BK327" t="s">
        <v>80</v>
      </c>
      <c r="BL327" t="s">
        <v>2527</v>
      </c>
    </row>
    <row r="328" spans="1:64">
      <c r="A328" t="s">
        <v>848</v>
      </c>
      <c r="B328">
        <v>36</v>
      </c>
      <c r="C328" t="s">
        <v>33</v>
      </c>
      <c r="D328" t="s">
        <v>34</v>
      </c>
      <c r="E328" t="s">
        <v>65</v>
      </c>
      <c r="F328" t="s">
        <v>66</v>
      </c>
      <c r="G328" t="s">
        <v>34</v>
      </c>
      <c r="H328" t="s">
        <v>849</v>
      </c>
      <c r="I328" t="s">
        <v>180</v>
      </c>
      <c r="J328">
        <v>178.04</v>
      </c>
      <c r="K328">
        <v>5</v>
      </c>
      <c r="L328" t="s">
        <v>39</v>
      </c>
      <c r="M328">
        <v>1</v>
      </c>
      <c r="N328">
        <v>1</v>
      </c>
      <c r="O328">
        <v>2</v>
      </c>
      <c r="P328" t="s">
        <v>40</v>
      </c>
      <c r="Q328" t="s">
        <v>41</v>
      </c>
      <c r="R328">
        <v>2</v>
      </c>
      <c r="S328">
        <v>10</v>
      </c>
      <c r="T328" t="s">
        <v>51</v>
      </c>
      <c r="U328" t="s">
        <v>70</v>
      </c>
      <c r="V328" t="s">
        <v>43</v>
      </c>
      <c r="W328" s="1">
        <v>45554</v>
      </c>
      <c r="X328" t="b">
        <v>1</v>
      </c>
      <c r="Y328" t="b">
        <v>1</v>
      </c>
      <c r="Z328" t="s">
        <v>72</v>
      </c>
      <c r="AA328" t="s">
        <v>77</v>
      </c>
      <c r="AB328">
        <v>11</v>
      </c>
      <c r="AF328" t="str">
        <f>tbl_OriginalData[[#This Row],[Customer_ID]]</f>
        <v>00-107-4749</v>
      </c>
      <c r="AG328">
        <f>tbl_OriginalData[[#This Row],[Age]]</f>
        <v>36</v>
      </c>
      <c r="AH328" t="str" cm="1">
        <f t="array" ref="AH32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28" t="str">
        <f>tbl_OriginalData[[#This Row],[Gender]]</f>
        <v>Female</v>
      </c>
      <c r="AJ328" t="str">
        <f>tbl_OriginalData[[#This Row],[Income_Level]]</f>
        <v>Middle</v>
      </c>
      <c r="AK328" t="str">
        <f>tbl_OriginalData[[#This Row],[Marital_Status]]</f>
        <v>Single</v>
      </c>
      <c r="AL328" t="str">
        <f>tbl_OriginalData[[#This Row],[Education_Level]]</f>
        <v>Master's</v>
      </c>
      <c r="AM328" t="str">
        <f>tbl_OriginalData[[#This Row],[Occupation]]</f>
        <v>Middle</v>
      </c>
      <c r="AN328" t="s">
        <v>849</v>
      </c>
      <c r="AO328" t="s">
        <v>469</v>
      </c>
      <c r="AP328" t="str">
        <f>tbl_OriginalData[[#This Row],[Purchase_Category]]</f>
        <v>Health Supplements</v>
      </c>
      <c r="AQ328" s="4">
        <f>tbl_OriginalData[[#This Row],[Purchase_Amount]]</f>
        <v>178.04</v>
      </c>
      <c r="AR328">
        <f>tbl_OriginalData[[#This Row],[Frequency_of_Purchase]]</f>
        <v>5</v>
      </c>
      <c r="AS328" t="str">
        <f>tbl_OriginalData[[#This Row],[Purchase_Channel]]</f>
        <v>Mixed</v>
      </c>
      <c r="AT328">
        <f>tbl_OriginalData[[#This Row],[Brand_Loyalty]]</f>
        <v>1</v>
      </c>
      <c r="AU328">
        <f>tbl_OriginalData[[#This Row],[Product_Rating]]</f>
        <v>1</v>
      </c>
      <c r="AV328">
        <f>tbl_OriginalData[[#This Row],[Time_Spent_on_Product_Research(hours)]]*60</f>
        <v>120</v>
      </c>
      <c r="AW328" t="str">
        <f>tbl_OriginalData[[#This Row],[Social_Media_Influence]]</f>
        <v>None</v>
      </c>
      <c r="AX328" t="str">
        <f>tbl_OriginalData[[#This Row],[Discount_Sensitivity]]</f>
        <v>Somewhat Sensitive</v>
      </c>
      <c r="AY328" s="3">
        <f>tbl_OriginalData[[#This Row],[Return_Rate]]/tbl_OriginalData[[#This Row],[Frequency_of_Purchase]]</f>
        <v>0.4</v>
      </c>
      <c r="AZ328">
        <f>tbl_OriginalData[[#This Row],[Customer_Satisfaction]]</f>
        <v>10</v>
      </c>
      <c r="BA328" t="str">
        <f>tbl_OriginalData[[#This Row],[Engagement_with_Ads]]</f>
        <v>High</v>
      </c>
      <c r="BB328" t="str">
        <f>tbl_OriginalData[[#This Row],[Device_Used_for_Shopping]]</f>
        <v>Smartphone</v>
      </c>
      <c r="BC328" t="str">
        <f>tbl_OriginalData[[#This Row],[Payment_Method]]</f>
        <v>Credit Card</v>
      </c>
      <c r="BD328" s="1">
        <f>tbl_OriginalData[[#This Row],[Time_of_Purchase]]</f>
        <v>45554</v>
      </c>
      <c r="BE328" t="str">
        <f>IF(tbl_OriginalData[[#This Row],[Discount_Used]]=TRUE,"Yes","No")</f>
        <v>Yes</v>
      </c>
      <c r="BF328" t="str">
        <f>IF(tbl_OriginalData[[#This Row],[Customer_Loyalty_Program_Member]]=TRUE,"Yes","No")</f>
        <v>Yes</v>
      </c>
      <c r="BG328" t="str">
        <f>tbl_OriginalData[[#This Row],[Purchase_Intent]]</f>
        <v>Impulsive</v>
      </c>
      <c r="BH328" t="str">
        <f>tbl_OriginalData[[#This Row],[Shipping_Preference]]</f>
        <v>Express</v>
      </c>
      <c r="BI328">
        <f>tbl_OriginalData[[#This Row],[Time_to_Decision]]</f>
        <v>11</v>
      </c>
      <c r="BJ328" t="s">
        <v>172</v>
      </c>
      <c r="BK328" t="s">
        <v>115</v>
      </c>
      <c r="BL328" t="s">
        <v>2527</v>
      </c>
    </row>
    <row r="329" spans="1:64">
      <c r="A329" t="s">
        <v>850</v>
      </c>
      <c r="B329">
        <v>37</v>
      </c>
      <c r="C329" t="s">
        <v>50</v>
      </c>
      <c r="D329" t="s">
        <v>51</v>
      </c>
      <c r="E329" t="s">
        <v>35</v>
      </c>
      <c r="F329" t="s">
        <v>66</v>
      </c>
      <c r="G329" t="s">
        <v>34</v>
      </c>
      <c r="H329" t="s">
        <v>851</v>
      </c>
      <c r="I329" t="s">
        <v>143</v>
      </c>
      <c r="J329">
        <v>347.99</v>
      </c>
      <c r="K329">
        <v>5</v>
      </c>
      <c r="L329" t="s">
        <v>39</v>
      </c>
      <c r="M329">
        <v>4</v>
      </c>
      <c r="N329">
        <v>4</v>
      </c>
      <c r="O329">
        <v>1</v>
      </c>
      <c r="P329" t="s">
        <v>69</v>
      </c>
      <c r="Q329" t="s">
        <v>41</v>
      </c>
      <c r="R329">
        <v>0</v>
      </c>
      <c r="S329">
        <v>1</v>
      </c>
      <c r="T329" t="s">
        <v>51</v>
      </c>
      <c r="U329" t="s">
        <v>95</v>
      </c>
      <c r="V329" t="s">
        <v>58</v>
      </c>
      <c r="W329" s="1">
        <v>45373</v>
      </c>
      <c r="X329" t="b">
        <v>1</v>
      </c>
      <c r="Y329" t="b">
        <v>0</v>
      </c>
      <c r="Z329" t="s">
        <v>89</v>
      </c>
      <c r="AA329" t="s">
        <v>60</v>
      </c>
      <c r="AB329">
        <v>6</v>
      </c>
      <c r="AF329" t="str">
        <f>tbl_OriginalData[[#This Row],[Customer_ID]]</f>
        <v>88-428-8409</v>
      </c>
      <c r="AG329">
        <f>tbl_OriginalData[[#This Row],[Age]]</f>
        <v>37</v>
      </c>
      <c r="AH329" t="str" cm="1">
        <f t="array" ref="AH32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29" t="str">
        <f>tbl_OriginalData[[#This Row],[Gender]]</f>
        <v>Male</v>
      </c>
      <c r="AJ329" t="str">
        <f>tbl_OriginalData[[#This Row],[Income_Level]]</f>
        <v>High</v>
      </c>
      <c r="AK329" t="str">
        <f>tbl_OriginalData[[#This Row],[Marital_Status]]</f>
        <v>Married</v>
      </c>
      <c r="AL329" t="str">
        <f>tbl_OriginalData[[#This Row],[Education_Level]]</f>
        <v>Master's</v>
      </c>
      <c r="AM329" t="str">
        <f>tbl_OriginalData[[#This Row],[Occupation]]</f>
        <v>Middle</v>
      </c>
      <c r="AN329" t="s">
        <v>851</v>
      </c>
      <c r="AO329" t="s">
        <v>852</v>
      </c>
      <c r="AP329" t="str">
        <f>tbl_OriginalData[[#This Row],[Purchase_Category]]</f>
        <v>Packages)</v>
      </c>
      <c r="AQ329" s="4">
        <f>tbl_OriginalData[[#This Row],[Purchase_Amount]]</f>
        <v>347.99</v>
      </c>
      <c r="AR329">
        <f>tbl_OriginalData[[#This Row],[Frequency_of_Purchase]]</f>
        <v>5</v>
      </c>
      <c r="AS329" t="str">
        <f>tbl_OriginalData[[#This Row],[Purchase_Channel]]</f>
        <v>Mixed</v>
      </c>
      <c r="AT329">
        <f>tbl_OriginalData[[#This Row],[Brand_Loyalty]]</f>
        <v>4</v>
      </c>
      <c r="AU329">
        <f>tbl_OriginalData[[#This Row],[Product_Rating]]</f>
        <v>4</v>
      </c>
      <c r="AV329">
        <f>tbl_OriginalData[[#This Row],[Time_Spent_on_Product_Research(hours)]]*60</f>
        <v>60</v>
      </c>
      <c r="AW329" t="str">
        <f>tbl_OriginalData[[#This Row],[Social_Media_Influence]]</f>
        <v>Low</v>
      </c>
      <c r="AX329" t="str">
        <f>tbl_OriginalData[[#This Row],[Discount_Sensitivity]]</f>
        <v>Somewhat Sensitive</v>
      </c>
      <c r="AY329" s="3">
        <f>tbl_OriginalData[[#This Row],[Return_Rate]]/tbl_OriginalData[[#This Row],[Frequency_of_Purchase]]</f>
        <v>0</v>
      </c>
      <c r="AZ329">
        <f>tbl_OriginalData[[#This Row],[Customer_Satisfaction]]</f>
        <v>1</v>
      </c>
      <c r="BA329" t="str">
        <f>tbl_OriginalData[[#This Row],[Engagement_with_Ads]]</f>
        <v>High</v>
      </c>
      <c r="BB329" t="str">
        <f>tbl_OriginalData[[#This Row],[Device_Used_for_Shopping]]</f>
        <v>Desktop</v>
      </c>
      <c r="BC329" t="str">
        <f>tbl_OriginalData[[#This Row],[Payment_Method]]</f>
        <v>PayPal</v>
      </c>
      <c r="BD329" s="1">
        <f>tbl_OriginalData[[#This Row],[Time_of_Purchase]]</f>
        <v>45373</v>
      </c>
      <c r="BE329" t="str">
        <f>IF(tbl_OriginalData[[#This Row],[Discount_Used]]=TRUE,"Yes","No")</f>
        <v>Yes</v>
      </c>
      <c r="BF329" t="str">
        <f>IF(tbl_OriginalData[[#This Row],[Customer_Loyalty_Program_Member]]=TRUE,"Yes","No")</f>
        <v>No</v>
      </c>
      <c r="BG329" t="str">
        <f>tbl_OriginalData[[#This Row],[Purchase_Intent]]</f>
        <v>Planned</v>
      </c>
      <c r="BH329" t="str">
        <f>tbl_OriginalData[[#This Row],[Shipping_Preference]]</f>
        <v>Standard</v>
      </c>
      <c r="BI329">
        <f>tbl_OriginalData[[#This Row],[Time_to_Decision]]</f>
        <v>6</v>
      </c>
      <c r="BJ329" t="s">
        <v>47</v>
      </c>
      <c r="BK329" t="s">
        <v>48</v>
      </c>
      <c r="BL329" t="s">
        <v>2528</v>
      </c>
    </row>
    <row r="330" spans="1:64">
      <c r="A330" t="s">
        <v>853</v>
      </c>
      <c r="B330">
        <v>45</v>
      </c>
      <c r="C330" t="s">
        <v>33</v>
      </c>
      <c r="D330" t="s">
        <v>34</v>
      </c>
      <c r="E330" t="s">
        <v>65</v>
      </c>
      <c r="F330" t="s">
        <v>66</v>
      </c>
      <c r="G330" t="s">
        <v>51</v>
      </c>
      <c r="H330" t="s">
        <v>854</v>
      </c>
      <c r="I330" t="s">
        <v>68</v>
      </c>
      <c r="J330">
        <v>343.81</v>
      </c>
      <c r="K330">
        <v>3</v>
      </c>
      <c r="L330" t="s">
        <v>55</v>
      </c>
      <c r="M330">
        <v>3</v>
      </c>
      <c r="N330">
        <v>5</v>
      </c>
      <c r="O330">
        <v>0</v>
      </c>
      <c r="P330" t="s">
        <v>51</v>
      </c>
      <c r="Q330" t="s">
        <v>41</v>
      </c>
      <c r="R330">
        <v>0</v>
      </c>
      <c r="S330">
        <v>7</v>
      </c>
      <c r="T330" t="s">
        <v>56</v>
      </c>
      <c r="U330" t="s">
        <v>95</v>
      </c>
      <c r="V330" t="s">
        <v>43</v>
      </c>
      <c r="W330" s="1">
        <v>45344</v>
      </c>
      <c r="X330" t="b">
        <v>0</v>
      </c>
      <c r="Y330" t="b">
        <v>1</v>
      </c>
      <c r="Z330" t="s">
        <v>44</v>
      </c>
      <c r="AA330" t="s">
        <v>60</v>
      </c>
      <c r="AB330">
        <v>3</v>
      </c>
      <c r="AF330" t="str">
        <f>tbl_OriginalData[[#This Row],[Customer_ID]]</f>
        <v>21-313-7424</v>
      </c>
      <c r="AG330">
        <f>tbl_OriginalData[[#This Row],[Age]]</f>
        <v>45</v>
      </c>
      <c r="AH330" t="str" cm="1">
        <f t="array" ref="AH33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30" t="str">
        <f>tbl_OriginalData[[#This Row],[Gender]]</f>
        <v>Female</v>
      </c>
      <c r="AJ330" t="str">
        <f>tbl_OriginalData[[#This Row],[Income_Level]]</f>
        <v>Middle</v>
      </c>
      <c r="AK330" t="str">
        <f>tbl_OriginalData[[#This Row],[Marital_Status]]</f>
        <v>Single</v>
      </c>
      <c r="AL330" t="str">
        <f>tbl_OriginalData[[#This Row],[Education_Level]]</f>
        <v>Master's</v>
      </c>
      <c r="AM330" t="str">
        <f>tbl_OriginalData[[#This Row],[Occupation]]</f>
        <v>High</v>
      </c>
      <c r="AN330" t="s">
        <v>854</v>
      </c>
      <c r="AO330" t="s">
        <v>186</v>
      </c>
      <c r="AP330" t="str">
        <f>tbl_OriginalData[[#This Row],[Purchase_Category]]</f>
        <v>Office Supplies</v>
      </c>
      <c r="AQ330" s="4">
        <f>tbl_OriginalData[[#This Row],[Purchase_Amount]]</f>
        <v>343.81</v>
      </c>
      <c r="AR330">
        <f>tbl_OriginalData[[#This Row],[Frequency_of_Purchase]]</f>
        <v>3</v>
      </c>
      <c r="AS330" t="str">
        <f>tbl_OriginalData[[#This Row],[Purchase_Channel]]</f>
        <v>In-Store</v>
      </c>
      <c r="AT330">
        <f>tbl_OriginalData[[#This Row],[Brand_Loyalty]]</f>
        <v>3</v>
      </c>
      <c r="AU330">
        <f>tbl_OriginalData[[#This Row],[Product_Rating]]</f>
        <v>5</v>
      </c>
      <c r="AV330">
        <f>tbl_OriginalData[[#This Row],[Time_Spent_on_Product_Research(hours)]]*60</f>
        <v>0</v>
      </c>
      <c r="AW330" t="str">
        <f>tbl_OriginalData[[#This Row],[Social_Media_Influence]]</f>
        <v>High</v>
      </c>
      <c r="AX330" t="str">
        <f>tbl_OriginalData[[#This Row],[Discount_Sensitivity]]</f>
        <v>Somewhat Sensitive</v>
      </c>
      <c r="AY330" s="3">
        <f>tbl_OriginalData[[#This Row],[Return_Rate]]/tbl_OriginalData[[#This Row],[Frequency_of_Purchase]]</f>
        <v>0</v>
      </c>
      <c r="AZ330">
        <f>tbl_OriginalData[[#This Row],[Customer_Satisfaction]]</f>
        <v>7</v>
      </c>
      <c r="BA330" t="str">
        <f>tbl_OriginalData[[#This Row],[Engagement_with_Ads]]</f>
        <v>Medium</v>
      </c>
      <c r="BB330" t="str">
        <f>tbl_OriginalData[[#This Row],[Device_Used_for_Shopping]]</f>
        <v>Desktop</v>
      </c>
      <c r="BC330" t="str">
        <f>tbl_OriginalData[[#This Row],[Payment_Method]]</f>
        <v>Credit Card</v>
      </c>
      <c r="BD330" s="1">
        <f>tbl_OriginalData[[#This Row],[Time_of_Purchase]]</f>
        <v>45344</v>
      </c>
      <c r="BE330" t="str">
        <f>IF(tbl_OriginalData[[#This Row],[Discount_Used]]=TRUE,"Yes","No")</f>
        <v>No</v>
      </c>
      <c r="BF330" t="str">
        <f>IF(tbl_OriginalData[[#This Row],[Customer_Loyalty_Program_Member]]=TRUE,"Yes","No")</f>
        <v>Yes</v>
      </c>
      <c r="BG330" t="str">
        <f>tbl_OriginalData[[#This Row],[Purchase_Intent]]</f>
        <v>Need-based</v>
      </c>
      <c r="BH330" t="str">
        <f>tbl_OriginalData[[#This Row],[Shipping_Preference]]</f>
        <v>Standard</v>
      </c>
      <c r="BI330">
        <f>tbl_OriginalData[[#This Row],[Time_to_Decision]]</f>
        <v>3</v>
      </c>
      <c r="BJ330" t="s">
        <v>158</v>
      </c>
      <c r="BK330" t="s">
        <v>48</v>
      </c>
      <c r="BL330" t="s">
        <v>2523</v>
      </c>
    </row>
    <row r="331" spans="1:64">
      <c r="A331" t="s">
        <v>855</v>
      </c>
      <c r="B331">
        <v>47</v>
      </c>
      <c r="C331" t="s">
        <v>33</v>
      </c>
      <c r="D331" t="s">
        <v>34</v>
      </c>
      <c r="E331" t="s">
        <v>35</v>
      </c>
      <c r="F331" t="s">
        <v>66</v>
      </c>
      <c r="G331" t="s">
        <v>34</v>
      </c>
      <c r="H331" t="s">
        <v>856</v>
      </c>
      <c r="I331" t="s">
        <v>127</v>
      </c>
      <c r="J331">
        <v>105.29</v>
      </c>
      <c r="K331">
        <v>7</v>
      </c>
      <c r="L331" t="s">
        <v>55</v>
      </c>
      <c r="M331">
        <v>2</v>
      </c>
      <c r="N331">
        <v>5</v>
      </c>
      <c r="O331">
        <v>0</v>
      </c>
      <c r="P331" t="s">
        <v>69</v>
      </c>
      <c r="Q331" t="s">
        <v>101</v>
      </c>
      <c r="R331">
        <v>0</v>
      </c>
      <c r="S331">
        <v>1</v>
      </c>
      <c r="T331" t="s">
        <v>51</v>
      </c>
      <c r="U331" t="s">
        <v>95</v>
      </c>
      <c r="V331" t="s">
        <v>102</v>
      </c>
      <c r="W331" s="1">
        <v>45651</v>
      </c>
      <c r="X331" t="b">
        <v>0</v>
      </c>
      <c r="Y331" t="b">
        <v>1</v>
      </c>
      <c r="Z331" t="s">
        <v>44</v>
      </c>
      <c r="AA331" t="s">
        <v>77</v>
      </c>
      <c r="AB331">
        <v>4</v>
      </c>
      <c r="AF331" t="str">
        <f>tbl_OriginalData[[#This Row],[Customer_ID]]</f>
        <v>79-973-7862</v>
      </c>
      <c r="AG331">
        <f>tbl_OriginalData[[#This Row],[Age]]</f>
        <v>47</v>
      </c>
      <c r="AH331" t="str" cm="1">
        <f t="array" ref="AH33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31" t="str">
        <f>tbl_OriginalData[[#This Row],[Gender]]</f>
        <v>Female</v>
      </c>
      <c r="AJ331" t="str">
        <f>tbl_OriginalData[[#This Row],[Income_Level]]</f>
        <v>Middle</v>
      </c>
      <c r="AK331" t="str">
        <f>tbl_OriginalData[[#This Row],[Marital_Status]]</f>
        <v>Married</v>
      </c>
      <c r="AL331" t="str">
        <f>tbl_OriginalData[[#This Row],[Education_Level]]</f>
        <v>Master's</v>
      </c>
      <c r="AM331" t="str">
        <f>tbl_OriginalData[[#This Row],[Occupation]]</f>
        <v>Middle</v>
      </c>
      <c r="AN331" t="s">
        <v>856</v>
      </c>
      <c r="AO331" t="s">
        <v>749</v>
      </c>
      <c r="AP331" t="str">
        <f>tbl_OriginalData[[#This Row],[Purchase_Category]]</f>
        <v>Animal Feed</v>
      </c>
      <c r="AQ331" s="4">
        <f>tbl_OriginalData[[#This Row],[Purchase_Amount]]</f>
        <v>105.29</v>
      </c>
      <c r="AR331">
        <f>tbl_OriginalData[[#This Row],[Frequency_of_Purchase]]</f>
        <v>7</v>
      </c>
      <c r="AS331" t="str">
        <f>tbl_OriginalData[[#This Row],[Purchase_Channel]]</f>
        <v>In-Store</v>
      </c>
      <c r="AT331">
        <f>tbl_OriginalData[[#This Row],[Brand_Loyalty]]</f>
        <v>2</v>
      </c>
      <c r="AU331">
        <f>tbl_OriginalData[[#This Row],[Product_Rating]]</f>
        <v>5</v>
      </c>
      <c r="AV331">
        <f>tbl_OriginalData[[#This Row],[Time_Spent_on_Product_Research(hours)]]*60</f>
        <v>0</v>
      </c>
      <c r="AW331" t="str">
        <f>tbl_OriginalData[[#This Row],[Social_Media_Influence]]</f>
        <v>Low</v>
      </c>
      <c r="AX331" t="str">
        <f>tbl_OriginalData[[#This Row],[Discount_Sensitivity]]</f>
        <v>Very Sensitive</v>
      </c>
      <c r="AY331" s="3">
        <f>tbl_OriginalData[[#This Row],[Return_Rate]]/tbl_OriginalData[[#This Row],[Frequency_of_Purchase]]</f>
        <v>0</v>
      </c>
      <c r="AZ331">
        <f>tbl_OriginalData[[#This Row],[Customer_Satisfaction]]</f>
        <v>1</v>
      </c>
      <c r="BA331" t="str">
        <f>tbl_OriginalData[[#This Row],[Engagement_with_Ads]]</f>
        <v>High</v>
      </c>
      <c r="BB331" t="str">
        <f>tbl_OriginalData[[#This Row],[Device_Used_for_Shopping]]</f>
        <v>Desktop</v>
      </c>
      <c r="BC331" t="str">
        <f>tbl_OriginalData[[#This Row],[Payment_Method]]</f>
        <v>Cash</v>
      </c>
      <c r="BD331" s="1">
        <f>tbl_OriginalData[[#This Row],[Time_of_Purchase]]</f>
        <v>45651</v>
      </c>
      <c r="BE331" t="str">
        <f>IF(tbl_OriginalData[[#This Row],[Discount_Used]]=TRUE,"Yes","No")</f>
        <v>No</v>
      </c>
      <c r="BF331" t="str">
        <f>IF(tbl_OriginalData[[#This Row],[Customer_Loyalty_Program_Member]]=TRUE,"Yes","No")</f>
        <v>Yes</v>
      </c>
      <c r="BG331" t="str">
        <f>tbl_OriginalData[[#This Row],[Purchase_Intent]]</f>
        <v>Need-based</v>
      </c>
      <c r="BH331" t="str">
        <f>tbl_OriginalData[[#This Row],[Shipping_Preference]]</f>
        <v>Express</v>
      </c>
      <c r="BI331">
        <f>tbl_OriginalData[[#This Row],[Time_to_Decision]]</f>
        <v>4</v>
      </c>
      <c r="BJ331" t="s">
        <v>120</v>
      </c>
      <c r="BK331" t="s">
        <v>80</v>
      </c>
      <c r="BL331" t="s">
        <v>2528</v>
      </c>
    </row>
    <row r="332" spans="1:64">
      <c r="A332" t="s">
        <v>857</v>
      </c>
      <c r="B332">
        <v>32</v>
      </c>
      <c r="C332" t="s">
        <v>50</v>
      </c>
      <c r="D332" t="s">
        <v>34</v>
      </c>
      <c r="E332" t="s">
        <v>65</v>
      </c>
      <c r="F332" t="s">
        <v>52</v>
      </c>
      <c r="G332" t="s">
        <v>34</v>
      </c>
      <c r="H332" t="s">
        <v>858</v>
      </c>
      <c r="I332" t="s">
        <v>135</v>
      </c>
      <c r="J332">
        <v>483.66</v>
      </c>
      <c r="K332">
        <v>3</v>
      </c>
      <c r="L332" t="s">
        <v>94</v>
      </c>
      <c r="M332">
        <v>1</v>
      </c>
      <c r="N332">
        <v>4</v>
      </c>
      <c r="O332">
        <v>1</v>
      </c>
      <c r="P332" t="s">
        <v>56</v>
      </c>
      <c r="Q332" t="s">
        <v>57</v>
      </c>
      <c r="R332">
        <v>2</v>
      </c>
      <c r="S332">
        <v>1</v>
      </c>
      <c r="T332" t="s">
        <v>56</v>
      </c>
      <c r="U332" t="s">
        <v>95</v>
      </c>
      <c r="V332" t="s">
        <v>76</v>
      </c>
      <c r="W332" s="1">
        <v>45531</v>
      </c>
      <c r="X332" t="b">
        <v>0</v>
      </c>
      <c r="Y332" t="b">
        <v>0</v>
      </c>
      <c r="Z332" t="s">
        <v>72</v>
      </c>
      <c r="AA332" t="s">
        <v>60</v>
      </c>
      <c r="AB332">
        <v>9</v>
      </c>
      <c r="AF332" t="str">
        <f>tbl_OriginalData[[#This Row],[Customer_ID]]</f>
        <v>81-814-3498</v>
      </c>
      <c r="AG332">
        <f>tbl_OriginalData[[#This Row],[Age]]</f>
        <v>32</v>
      </c>
      <c r="AH332" t="str" cm="1">
        <f t="array" ref="AH33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32" t="str">
        <f>tbl_OriginalData[[#This Row],[Gender]]</f>
        <v>Male</v>
      </c>
      <c r="AJ332" t="str">
        <f>tbl_OriginalData[[#This Row],[Income_Level]]</f>
        <v>Middle</v>
      </c>
      <c r="AK332" t="str">
        <f>tbl_OriginalData[[#This Row],[Marital_Status]]</f>
        <v>Single</v>
      </c>
      <c r="AL332" t="str">
        <f>tbl_OriginalData[[#This Row],[Education_Level]]</f>
        <v>High School</v>
      </c>
      <c r="AM332" t="str">
        <f>tbl_OriginalData[[#This Row],[Occupation]]</f>
        <v>Middle</v>
      </c>
      <c r="AN332" t="s">
        <v>859</v>
      </c>
      <c r="AO332" t="s">
        <v>290</v>
      </c>
      <c r="AP332" t="str">
        <f>tbl_OriginalData[[#This Row],[Purchase_Category]]</f>
        <v>Hotels</v>
      </c>
      <c r="AQ332" s="4">
        <f>tbl_OriginalData[[#This Row],[Purchase_Amount]]</f>
        <v>483.66</v>
      </c>
      <c r="AR332">
        <f>tbl_OriginalData[[#This Row],[Frequency_of_Purchase]]</f>
        <v>3</v>
      </c>
      <c r="AS332" t="str">
        <f>tbl_OriginalData[[#This Row],[Purchase_Channel]]</f>
        <v>Online</v>
      </c>
      <c r="AT332">
        <f>tbl_OriginalData[[#This Row],[Brand_Loyalty]]</f>
        <v>1</v>
      </c>
      <c r="AU332">
        <f>tbl_OriginalData[[#This Row],[Product_Rating]]</f>
        <v>4</v>
      </c>
      <c r="AV332">
        <f>tbl_OriginalData[[#This Row],[Time_Spent_on_Product_Research(hours)]]*60</f>
        <v>60</v>
      </c>
      <c r="AW332" t="str">
        <f>tbl_OriginalData[[#This Row],[Social_Media_Influence]]</f>
        <v>Medium</v>
      </c>
      <c r="AX332" t="str">
        <f>tbl_OriginalData[[#This Row],[Discount_Sensitivity]]</f>
        <v>Not Sensitive</v>
      </c>
      <c r="AY332" s="3">
        <f>tbl_OriginalData[[#This Row],[Return_Rate]]/tbl_OriginalData[[#This Row],[Frequency_of_Purchase]]</f>
        <v>0.66666666666666663</v>
      </c>
      <c r="AZ332">
        <f>tbl_OriginalData[[#This Row],[Customer_Satisfaction]]</f>
        <v>1</v>
      </c>
      <c r="BA332" t="str">
        <f>tbl_OriginalData[[#This Row],[Engagement_with_Ads]]</f>
        <v>Medium</v>
      </c>
      <c r="BB332" t="str">
        <f>tbl_OriginalData[[#This Row],[Device_Used_for_Shopping]]</f>
        <v>Desktop</v>
      </c>
      <c r="BC332" t="str">
        <f>tbl_OriginalData[[#This Row],[Payment_Method]]</f>
        <v>Other</v>
      </c>
      <c r="BD332" s="1">
        <f>tbl_OriginalData[[#This Row],[Time_of_Purchase]]</f>
        <v>45531</v>
      </c>
      <c r="BE332" t="str">
        <f>IF(tbl_OriginalData[[#This Row],[Discount_Used]]=TRUE,"Yes","No")</f>
        <v>No</v>
      </c>
      <c r="BF332" t="str">
        <f>IF(tbl_OriginalData[[#This Row],[Customer_Loyalty_Program_Member]]=TRUE,"Yes","No")</f>
        <v>No</v>
      </c>
      <c r="BG332" t="str">
        <f>tbl_OriginalData[[#This Row],[Purchase_Intent]]</f>
        <v>Impulsive</v>
      </c>
      <c r="BH332" t="str">
        <f>tbl_OriginalData[[#This Row],[Shipping_Preference]]</f>
        <v>Standard</v>
      </c>
      <c r="BI332">
        <f>tbl_OriginalData[[#This Row],[Time_to_Decision]]</f>
        <v>9</v>
      </c>
      <c r="BJ332" t="s">
        <v>124</v>
      </c>
      <c r="BK332" t="s">
        <v>115</v>
      </c>
      <c r="BL332" t="s">
        <v>2524</v>
      </c>
    </row>
    <row r="333" spans="1:64">
      <c r="A333" t="s">
        <v>860</v>
      </c>
      <c r="B333">
        <v>48</v>
      </c>
      <c r="C333" t="s">
        <v>50</v>
      </c>
      <c r="D333" t="s">
        <v>34</v>
      </c>
      <c r="E333" t="s">
        <v>35</v>
      </c>
      <c r="F333" t="s">
        <v>36</v>
      </c>
      <c r="G333" t="s">
        <v>34</v>
      </c>
      <c r="H333" t="s">
        <v>861</v>
      </c>
      <c r="I333" t="s">
        <v>75</v>
      </c>
      <c r="J333">
        <v>69.41</v>
      </c>
      <c r="K333">
        <v>8</v>
      </c>
      <c r="L333" t="s">
        <v>39</v>
      </c>
      <c r="M333">
        <v>5</v>
      </c>
      <c r="N333">
        <v>3</v>
      </c>
      <c r="O333">
        <v>0</v>
      </c>
      <c r="P333" t="s">
        <v>51</v>
      </c>
      <c r="Q333" t="s">
        <v>41</v>
      </c>
      <c r="R333">
        <v>1</v>
      </c>
      <c r="S333">
        <v>9</v>
      </c>
      <c r="T333" t="s">
        <v>51</v>
      </c>
      <c r="U333" t="s">
        <v>42</v>
      </c>
      <c r="V333" t="s">
        <v>102</v>
      </c>
      <c r="W333" s="1">
        <v>45319</v>
      </c>
      <c r="X333" t="b">
        <v>0</v>
      </c>
      <c r="Y333" t="b">
        <v>0</v>
      </c>
      <c r="Z333" t="s">
        <v>59</v>
      </c>
      <c r="AA333" t="s">
        <v>60</v>
      </c>
      <c r="AB333">
        <v>5</v>
      </c>
      <c r="AF333" t="str">
        <f>tbl_OriginalData[[#This Row],[Customer_ID]]</f>
        <v>34-375-8138</v>
      </c>
      <c r="AG333">
        <f>tbl_OriginalData[[#This Row],[Age]]</f>
        <v>48</v>
      </c>
      <c r="AH333" t="str" cm="1">
        <f t="array" ref="AH33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33" t="str">
        <f>tbl_OriginalData[[#This Row],[Gender]]</f>
        <v>Male</v>
      </c>
      <c r="AJ333" t="str">
        <f>tbl_OriginalData[[#This Row],[Income_Level]]</f>
        <v>Middle</v>
      </c>
      <c r="AK333" t="str">
        <f>tbl_OriginalData[[#This Row],[Marital_Status]]</f>
        <v>Married</v>
      </c>
      <c r="AL333" t="str">
        <f>tbl_OriginalData[[#This Row],[Education_Level]]</f>
        <v>Bachelor's</v>
      </c>
      <c r="AM333" t="str">
        <f>tbl_OriginalData[[#This Row],[Occupation]]</f>
        <v>Middle</v>
      </c>
      <c r="AN333" t="s">
        <v>861</v>
      </c>
      <c r="AO333" t="s">
        <v>171</v>
      </c>
      <c r="AP333" t="str">
        <f>tbl_OriginalData[[#This Row],[Purchase_Category]]</f>
        <v>Home Appliances</v>
      </c>
      <c r="AQ333" s="4">
        <f>tbl_OriginalData[[#This Row],[Purchase_Amount]]</f>
        <v>69.41</v>
      </c>
      <c r="AR333">
        <f>tbl_OriginalData[[#This Row],[Frequency_of_Purchase]]</f>
        <v>8</v>
      </c>
      <c r="AS333" t="str">
        <f>tbl_OriginalData[[#This Row],[Purchase_Channel]]</f>
        <v>Mixed</v>
      </c>
      <c r="AT333">
        <f>tbl_OriginalData[[#This Row],[Brand_Loyalty]]</f>
        <v>5</v>
      </c>
      <c r="AU333">
        <f>tbl_OriginalData[[#This Row],[Product_Rating]]</f>
        <v>3</v>
      </c>
      <c r="AV333">
        <f>tbl_OriginalData[[#This Row],[Time_Spent_on_Product_Research(hours)]]*60</f>
        <v>0</v>
      </c>
      <c r="AW333" t="str">
        <f>tbl_OriginalData[[#This Row],[Social_Media_Influence]]</f>
        <v>High</v>
      </c>
      <c r="AX333" t="str">
        <f>tbl_OriginalData[[#This Row],[Discount_Sensitivity]]</f>
        <v>Somewhat Sensitive</v>
      </c>
      <c r="AY333" s="3">
        <f>tbl_OriginalData[[#This Row],[Return_Rate]]/tbl_OriginalData[[#This Row],[Frequency_of_Purchase]]</f>
        <v>0.125</v>
      </c>
      <c r="AZ333">
        <f>tbl_OriginalData[[#This Row],[Customer_Satisfaction]]</f>
        <v>9</v>
      </c>
      <c r="BA333" t="str">
        <f>tbl_OriginalData[[#This Row],[Engagement_with_Ads]]</f>
        <v>High</v>
      </c>
      <c r="BB333" t="str">
        <f>tbl_OriginalData[[#This Row],[Device_Used_for_Shopping]]</f>
        <v>Tablet</v>
      </c>
      <c r="BC333" t="str">
        <f>tbl_OriginalData[[#This Row],[Payment_Method]]</f>
        <v>Cash</v>
      </c>
      <c r="BD333" s="1">
        <f>tbl_OriginalData[[#This Row],[Time_of_Purchase]]</f>
        <v>45319</v>
      </c>
      <c r="BE333" t="str">
        <f>IF(tbl_OriginalData[[#This Row],[Discount_Used]]=TRUE,"Yes","No")</f>
        <v>No</v>
      </c>
      <c r="BF333" t="str">
        <f>IF(tbl_OriginalData[[#This Row],[Customer_Loyalty_Program_Member]]=TRUE,"Yes","No")</f>
        <v>No</v>
      </c>
      <c r="BG333" t="str">
        <f>tbl_OriginalData[[#This Row],[Purchase_Intent]]</f>
        <v>Wants-based</v>
      </c>
      <c r="BH333" t="str">
        <f>tbl_OriginalData[[#This Row],[Shipping_Preference]]</f>
        <v>Standard</v>
      </c>
      <c r="BI333">
        <f>tbl_OriginalData[[#This Row],[Time_to_Decision]]</f>
        <v>5</v>
      </c>
      <c r="BJ333" t="s">
        <v>86</v>
      </c>
      <c r="BK333" t="s">
        <v>48</v>
      </c>
      <c r="BL333" t="s">
        <v>2523</v>
      </c>
    </row>
    <row r="334" spans="1:64">
      <c r="A334" t="s">
        <v>862</v>
      </c>
      <c r="B334">
        <v>20</v>
      </c>
      <c r="C334" t="s">
        <v>188</v>
      </c>
      <c r="D334" t="s">
        <v>51</v>
      </c>
      <c r="E334" t="s">
        <v>65</v>
      </c>
      <c r="F334" t="s">
        <v>66</v>
      </c>
      <c r="G334" t="s">
        <v>34</v>
      </c>
      <c r="H334" t="s">
        <v>863</v>
      </c>
      <c r="I334" t="s">
        <v>156</v>
      </c>
      <c r="J334">
        <v>207.18</v>
      </c>
      <c r="K334">
        <v>11</v>
      </c>
      <c r="L334" t="s">
        <v>94</v>
      </c>
      <c r="M334">
        <v>1</v>
      </c>
      <c r="N334">
        <v>3</v>
      </c>
      <c r="O334">
        <v>0</v>
      </c>
      <c r="P334" t="s">
        <v>69</v>
      </c>
      <c r="Q334" t="s">
        <v>41</v>
      </c>
      <c r="R334">
        <v>1</v>
      </c>
      <c r="S334">
        <v>5</v>
      </c>
      <c r="T334" t="s">
        <v>51</v>
      </c>
      <c r="U334" t="s">
        <v>42</v>
      </c>
      <c r="V334" t="s">
        <v>58</v>
      </c>
      <c r="W334" s="1">
        <v>45612</v>
      </c>
      <c r="X334" t="b">
        <v>0</v>
      </c>
      <c r="Y334" t="b">
        <v>0</v>
      </c>
      <c r="Z334" t="s">
        <v>59</v>
      </c>
      <c r="AA334" t="s">
        <v>60</v>
      </c>
      <c r="AB334">
        <v>8</v>
      </c>
      <c r="AF334" t="str">
        <f>tbl_OriginalData[[#This Row],[Customer_ID]]</f>
        <v>05-067-9686</v>
      </c>
      <c r="AG334">
        <f>tbl_OriginalData[[#This Row],[Age]]</f>
        <v>20</v>
      </c>
      <c r="AH334" t="str" cm="1">
        <f t="array" ref="AH33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34" t="str">
        <f>tbl_OriginalData[[#This Row],[Gender]]</f>
        <v>Genderfluid</v>
      </c>
      <c r="AJ334" t="str">
        <f>tbl_OriginalData[[#This Row],[Income_Level]]</f>
        <v>High</v>
      </c>
      <c r="AK334" t="str">
        <f>tbl_OriginalData[[#This Row],[Marital_Status]]</f>
        <v>Single</v>
      </c>
      <c r="AL334" t="str">
        <f>tbl_OriginalData[[#This Row],[Education_Level]]</f>
        <v>Master's</v>
      </c>
      <c r="AM334" t="str">
        <f>tbl_OriginalData[[#This Row],[Occupation]]</f>
        <v>Middle</v>
      </c>
      <c r="AN334" t="s">
        <v>863</v>
      </c>
      <c r="AO334" t="s">
        <v>61</v>
      </c>
      <c r="AP334" t="str">
        <f>tbl_OriginalData[[#This Row],[Purchase_Category]]</f>
        <v>Toys &amp; Games</v>
      </c>
      <c r="AQ334" s="4">
        <f>tbl_OriginalData[[#This Row],[Purchase_Amount]]</f>
        <v>207.18</v>
      </c>
      <c r="AR334">
        <f>tbl_OriginalData[[#This Row],[Frequency_of_Purchase]]</f>
        <v>11</v>
      </c>
      <c r="AS334" t="str">
        <f>tbl_OriginalData[[#This Row],[Purchase_Channel]]</f>
        <v>Online</v>
      </c>
      <c r="AT334">
        <f>tbl_OriginalData[[#This Row],[Brand_Loyalty]]</f>
        <v>1</v>
      </c>
      <c r="AU334">
        <f>tbl_OriginalData[[#This Row],[Product_Rating]]</f>
        <v>3</v>
      </c>
      <c r="AV334">
        <f>tbl_OriginalData[[#This Row],[Time_Spent_on_Product_Research(hours)]]*60</f>
        <v>0</v>
      </c>
      <c r="AW334" t="str">
        <f>tbl_OriginalData[[#This Row],[Social_Media_Influence]]</f>
        <v>Low</v>
      </c>
      <c r="AX334" t="str">
        <f>tbl_OriginalData[[#This Row],[Discount_Sensitivity]]</f>
        <v>Somewhat Sensitive</v>
      </c>
      <c r="AY334" s="3">
        <f>tbl_OriginalData[[#This Row],[Return_Rate]]/tbl_OriginalData[[#This Row],[Frequency_of_Purchase]]</f>
        <v>9.0909090909090912E-2</v>
      </c>
      <c r="AZ334">
        <f>tbl_OriginalData[[#This Row],[Customer_Satisfaction]]</f>
        <v>5</v>
      </c>
      <c r="BA334" t="str">
        <f>tbl_OriginalData[[#This Row],[Engagement_with_Ads]]</f>
        <v>High</v>
      </c>
      <c r="BB334" t="str">
        <f>tbl_OriginalData[[#This Row],[Device_Used_for_Shopping]]</f>
        <v>Tablet</v>
      </c>
      <c r="BC334" t="str">
        <f>tbl_OriginalData[[#This Row],[Payment_Method]]</f>
        <v>PayPal</v>
      </c>
      <c r="BD334" s="1">
        <f>tbl_OriginalData[[#This Row],[Time_of_Purchase]]</f>
        <v>45612</v>
      </c>
      <c r="BE334" t="str">
        <f>IF(tbl_OriginalData[[#This Row],[Discount_Used]]=TRUE,"Yes","No")</f>
        <v>No</v>
      </c>
      <c r="BF334" t="str">
        <f>IF(tbl_OriginalData[[#This Row],[Customer_Loyalty_Program_Member]]=TRUE,"Yes","No")</f>
        <v>No</v>
      </c>
      <c r="BG334" t="str">
        <f>tbl_OriginalData[[#This Row],[Purchase_Intent]]</f>
        <v>Wants-based</v>
      </c>
      <c r="BH334" t="str">
        <f>tbl_OriginalData[[#This Row],[Shipping_Preference]]</f>
        <v>Standard</v>
      </c>
      <c r="BI334">
        <f>tbl_OriginalData[[#This Row],[Time_to_Decision]]</f>
        <v>8</v>
      </c>
      <c r="BJ334" t="s">
        <v>177</v>
      </c>
      <c r="BK334" t="s">
        <v>80</v>
      </c>
      <c r="BL334" t="s">
        <v>2524</v>
      </c>
    </row>
    <row r="335" spans="1:64">
      <c r="A335" t="s">
        <v>864</v>
      </c>
      <c r="B335">
        <v>32</v>
      </c>
      <c r="C335" t="s">
        <v>50</v>
      </c>
      <c r="D335" t="s">
        <v>34</v>
      </c>
      <c r="E335" t="s">
        <v>92</v>
      </c>
      <c r="F335" t="s">
        <v>52</v>
      </c>
      <c r="G335" t="s">
        <v>51</v>
      </c>
      <c r="H335" t="s">
        <v>865</v>
      </c>
      <c r="I335" t="s">
        <v>180</v>
      </c>
      <c r="J335">
        <v>454.15</v>
      </c>
      <c r="K335">
        <v>11</v>
      </c>
      <c r="L335" t="s">
        <v>55</v>
      </c>
      <c r="M335">
        <v>2</v>
      </c>
      <c r="N335">
        <v>1</v>
      </c>
      <c r="O335">
        <v>1</v>
      </c>
      <c r="P335" t="s">
        <v>51</v>
      </c>
      <c r="Q335" t="s">
        <v>57</v>
      </c>
      <c r="R335">
        <v>1</v>
      </c>
      <c r="S335">
        <v>8</v>
      </c>
      <c r="T335" t="s">
        <v>51</v>
      </c>
      <c r="U335" t="s">
        <v>70</v>
      </c>
      <c r="V335" t="s">
        <v>102</v>
      </c>
      <c r="W335" s="1">
        <v>45634</v>
      </c>
      <c r="X335" t="b">
        <v>1</v>
      </c>
      <c r="Y335" t="b">
        <v>1</v>
      </c>
      <c r="Z335" t="s">
        <v>89</v>
      </c>
      <c r="AA335" t="s">
        <v>77</v>
      </c>
      <c r="AB335">
        <v>13</v>
      </c>
      <c r="AF335" t="str">
        <f>tbl_OriginalData[[#This Row],[Customer_ID]]</f>
        <v>61-951-7929</v>
      </c>
      <c r="AG335">
        <f>tbl_OriginalData[[#This Row],[Age]]</f>
        <v>32</v>
      </c>
      <c r="AH335" t="str" cm="1">
        <f t="array" ref="AH33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35" t="str">
        <f>tbl_OriginalData[[#This Row],[Gender]]</f>
        <v>Male</v>
      </c>
      <c r="AJ335" t="str">
        <f>tbl_OriginalData[[#This Row],[Income_Level]]</f>
        <v>Middle</v>
      </c>
      <c r="AK335" t="str">
        <f>tbl_OriginalData[[#This Row],[Marital_Status]]</f>
        <v>Divorced</v>
      </c>
      <c r="AL335" t="str">
        <f>tbl_OriginalData[[#This Row],[Education_Level]]</f>
        <v>High School</v>
      </c>
      <c r="AM335" t="str">
        <f>tbl_OriginalData[[#This Row],[Occupation]]</f>
        <v>High</v>
      </c>
      <c r="AN335" t="s">
        <v>865</v>
      </c>
      <c r="AO335" t="s">
        <v>109</v>
      </c>
      <c r="AP335" t="str">
        <f>tbl_OriginalData[[#This Row],[Purchase_Category]]</f>
        <v>Health Supplements</v>
      </c>
      <c r="AQ335" s="4">
        <f>tbl_OriginalData[[#This Row],[Purchase_Amount]]</f>
        <v>454.15</v>
      </c>
      <c r="AR335">
        <f>tbl_OriginalData[[#This Row],[Frequency_of_Purchase]]</f>
        <v>11</v>
      </c>
      <c r="AS335" t="str">
        <f>tbl_OriginalData[[#This Row],[Purchase_Channel]]</f>
        <v>In-Store</v>
      </c>
      <c r="AT335">
        <f>tbl_OriginalData[[#This Row],[Brand_Loyalty]]</f>
        <v>2</v>
      </c>
      <c r="AU335">
        <f>tbl_OriginalData[[#This Row],[Product_Rating]]</f>
        <v>1</v>
      </c>
      <c r="AV335">
        <f>tbl_OriginalData[[#This Row],[Time_Spent_on_Product_Research(hours)]]*60</f>
        <v>60</v>
      </c>
      <c r="AW335" t="str">
        <f>tbl_OriginalData[[#This Row],[Social_Media_Influence]]</f>
        <v>High</v>
      </c>
      <c r="AX335" t="str">
        <f>tbl_OriginalData[[#This Row],[Discount_Sensitivity]]</f>
        <v>Not Sensitive</v>
      </c>
      <c r="AY335" s="3">
        <f>tbl_OriginalData[[#This Row],[Return_Rate]]/tbl_OriginalData[[#This Row],[Frequency_of_Purchase]]</f>
        <v>9.0909090909090912E-2</v>
      </c>
      <c r="AZ335">
        <f>tbl_OriginalData[[#This Row],[Customer_Satisfaction]]</f>
        <v>8</v>
      </c>
      <c r="BA335" t="str">
        <f>tbl_OriginalData[[#This Row],[Engagement_with_Ads]]</f>
        <v>High</v>
      </c>
      <c r="BB335" t="str">
        <f>tbl_OriginalData[[#This Row],[Device_Used_for_Shopping]]</f>
        <v>Smartphone</v>
      </c>
      <c r="BC335" t="str">
        <f>tbl_OriginalData[[#This Row],[Payment_Method]]</f>
        <v>Cash</v>
      </c>
      <c r="BD335" s="1">
        <f>tbl_OriginalData[[#This Row],[Time_of_Purchase]]</f>
        <v>45634</v>
      </c>
      <c r="BE335" t="str">
        <f>IF(tbl_OriginalData[[#This Row],[Discount_Used]]=TRUE,"Yes","No")</f>
        <v>Yes</v>
      </c>
      <c r="BF335" t="str">
        <f>IF(tbl_OriginalData[[#This Row],[Customer_Loyalty_Program_Member]]=TRUE,"Yes","No")</f>
        <v>Yes</v>
      </c>
      <c r="BG335" t="str">
        <f>tbl_OriginalData[[#This Row],[Purchase_Intent]]</f>
        <v>Planned</v>
      </c>
      <c r="BH335" t="str">
        <f>tbl_OriginalData[[#This Row],[Shipping_Preference]]</f>
        <v>Express</v>
      </c>
      <c r="BI335">
        <f>tbl_OriginalData[[#This Row],[Time_to_Decision]]</f>
        <v>13</v>
      </c>
      <c r="BJ335" t="s">
        <v>120</v>
      </c>
      <c r="BK335" t="s">
        <v>80</v>
      </c>
      <c r="BL335" t="s">
        <v>2526</v>
      </c>
    </row>
    <row r="336" spans="1:64">
      <c r="A336" t="s">
        <v>866</v>
      </c>
      <c r="B336">
        <v>25</v>
      </c>
      <c r="C336" t="s">
        <v>50</v>
      </c>
      <c r="D336" t="s">
        <v>51</v>
      </c>
      <c r="E336" t="s">
        <v>82</v>
      </c>
      <c r="F336" t="s">
        <v>52</v>
      </c>
      <c r="G336" t="s">
        <v>51</v>
      </c>
      <c r="H336" t="s">
        <v>867</v>
      </c>
      <c r="I336" t="s">
        <v>199</v>
      </c>
      <c r="J336">
        <v>113.01</v>
      </c>
      <c r="K336">
        <v>11</v>
      </c>
      <c r="L336" t="s">
        <v>55</v>
      </c>
      <c r="M336">
        <v>5</v>
      </c>
      <c r="N336">
        <v>2</v>
      </c>
      <c r="O336">
        <v>2</v>
      </c>
      <c r="P336" t="s">
        <v>69</v>
      </c>
      <c r="Q336" t="s">
        <v>101</v>
      </c>
      <c r="R336">
        <v>1</v>
      </c>
      <c r="S336">
        <v>1</v>
      </c>
      <c r="T336" t="s">
        <v>40</v>
      </c>
      <c r="U336" t="s">
        <v>42</v>
      </c>
      <c r="V336" t="s">
        <v>43</v>
      </c>
      <c r="W336" s="1">
        <v>45427</v>
      </c>
      <c r="X336" t="b">
        <v>0</v>
      </c>
      <c r="Y336" t="b">
        <v>1</v>
      </c>
      <c r="Z336" t="s">
        <v>72</v>
      </c>
      <c r="AA336" t="s">
        <v>77</v>
      </c>
      <c r="AB336">
        <v>4</v>
      </c>
      <c r="AF336" t="str">
        <f>tbl_OriginalData[[#This Row],[Customer_ID]]</f>
        <v>53-667-0793</v>
      </c>
      <c r="AG336">
        <f>tbl_OriginalData[[#This Row],[Age]]</f>
        <v>25</v>
      </c>
      <c r="AH336" t="str" cm="1">
        <f t="array" ref="AH33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36" t="str">
        <f>tbl_OriginalData[[#This Row],[Gender]]</f>
        <v>Male</v>
      </c>
      <c r="AJ336" t="str">
        <f>tbl_OriginalData[[#This Row],[Income_Level]]</f>
        <v>High</v>
      </c>
      <c r="AK336" t="str">
        <f>tbl_OriginalData[[#This Row],[Marital_Status]]</f>
        <v>Widowed</v>
      </c>
      <c r="AL336" t="str">
        <f>tbl_OriginalData[[#This Row],[Education_Level]]</f>
        <v>High School</v>
      </c>
      <c r="AM336" t="str">
        <f>tbl_OriginalData[[#This Row],[Occupation]]</f>
        <v>High</v>
      </c>
      <c r="AN336" t="s">
        <v>867</v>
      </c>
      <c r="AO336" t="s">
        <v>46</v>
      </c>
      <c r="AP336" t="str">
        <f>tbl_OriginalData[[#This Row],[Purchase_Category]]</f>
        <v>Groceries</v>
      </c>
      <c r="AQ336" s="4">
        <f>tbl_OriginalData[[#This Row],[Purchase_Amount]]</f>
        <v>113.01</v>
      </c>
      <c r="AR336">
        <f>tbl_OriginalData[[#This Row],[Frequency_of_Purchase]]</f>
        <v>11</v>
      </c>
      <c r="AS336" t="str">
        <f>tbl_OriginalData[[#This Row],[Purchase_Channel]]</f>
        <v>In-Store</v>
      </c>
      <c r="AT336">
        <f>tbl_OriginalData[[#This Row],[Brand_Loyalty]]</f>
        <v>5</v>
      </c>
      <c r="AU336">
        <f>tbl_OriginalData[[#This Row],[Product_Rating]]</f>
        <v>2</v>
      </c>
      <c r="AV336">
        <f>tbl_OriginalData[[#This Row],[Time_Spent_on_Product_Research(hours)]]*60</f>
        <v>120</v>
      </c>
      <c r="AW336" t="str">
        <f>tbl_OriginalData[[#This Row],[Social_Media_Influence]]</f>
        <v>Low</v>
      </c>
      <c r="AX336" t="str">
        <f>tbl_OriginalData[[#This Row],[Discount_Sensitivity]]</f>
        <v>Very Sensitive</v>
      </c>
      <c r="AY336" s="3">
        <f>tbl_OriginalData[[#This Row],[Return_Rate]]/tbl_OriginalData[[#This Row],[Frequency_of_Purchase]]</f>
        <v>9.0909090909090912E-2</v>
      </c>
      <c r="AZ336">
        <f>tbl_OriginalData[[#This Row],[Customer_Satisfaction]]</f>
        <v>1</v>
      </c>
      <c r="BA336" t="str">
        <f>tbl_OriginalData[[#This Row],[Engagement_with_Ads]]</f>
        <v>None</v>
      </c>
      <c r="BB336" t="str">
        <f>tbl_OriginalData[[#This Row],[Device_Used_for_Shopping]]</f>
        <v>Tablet</v>
      </c>
      <c r="BC336" t="str">
        <f>tbl_OriginalData[[#This Row],[Payment_Method]]</f>
        <v>Credit Card</v>
      </c>
      <c r="BD336" s="1">
        <f>tbl_OriginalData[[#This Row],[Time_of_Purchase]]</f>
        <v>45427</v>
      </c>
      <c r="BE336" t="str">
        <f>IF(tbl_OriginalData[[#This Row],[Discount_Used]]=TRUE,"Yes","No")</f>
        <v>No</v>
      </c>
      <c r="BF336" t="str">
        <f>IF(tbl_OriginalData[[#This Row],[Customer_Loyalty_Program_Member]]=TRUE,"Yes","No")</f>
        <v>Yes</v>
      </c>
      <c r="BG336" t="str">
        <f>tbl_OriginalData[[#This Row],[Purchase_Intent]]</f>
        <v>Impulsive</v>
      </c>
      <c r="BH336" t="str">
        <f>tbl_OriginalData[[#This Row],[Shipping_Preference]]</f>
        <v>Express</v>
      </c>
      <c r="BI336">
        <f>tbl_OriginalData[[#This Row],[Time_to_Decision]]</f>
        <v>4</v>
      </c>
      <c r="BJ336" t="s">
        <v>167</v>
      </c>
      <c r="BK336" t="s">
        <v>63</v>
      </c>
      <c r="BL336" t="s">
        <v>2523</v>
      </c>
    </row>
    <row r="337" spans="1:64">
      <c r="A337" t="s">
        <v>868</v>
      </c>
      <c r="B337">
        <v>42</v>
      </c>
      <c r="C337" t="s">
        <v>50</v>
      </c>
      <c r="D337" t="s">
        <v>34</v>
      </c>
      <c r="E337" t="s">
        <v>92</v>
      </c>
      <c r="F337" t="s">
        <v>36</v>
      </c>
      <c r="G337" t="s">
        <v>34</v>
      </c>
      <c r="H337" t="s">
        <v>869</v>
      </c>
      <c r="I337" t="s">
        <v>143</v>
      </c>
      <c r="J337">
        <v>419.13</v>
      </c>
      <c r="K337">
        <v>4</v>
      </c>
      <c r="L337" t="s">
        <v>39</v>
      </c>
      <c r="M337">
        <v>3</v>
      </c>
      <c r="N337">
        <v>5</v>
      </c>
      <c r="O337">
        <v>1</v>
      </c>
      <c r="P337" t="s">
        <v>40</v>
      </c>
      <c r="Q337" t="s">
        <v>57</v>
      </c>
      <c r="R337">
        <v>0</v>
      </c>
      <c r="S337">
        <v>1</v>
      </c>
      <c r="T337" t="s">
        <v>40</v>
      </c>
      <c r="U337" t="s">
        <v>70</v>
      </c>
      <c r="V337" t="s">
        <v>102</v>
      </c>
      <c r="W337" s="1">
        <v>45507</v>
      </c>
      <c r="X337" t="b">
        <v>0</v>
      </c>
      <c r="Y337" t="b">
        <v>1</v>
      </c>
      <c r="Z337" t="s">
        <v>59</v>
      </c>
      <c r="AA337" t="s">
        <v>77</v>
      </c>
      <c r="AB337">
        <v>6</v>
      </c>
      <c r="AF337" t="str">
        <f>tbl_OriginalData[[#This Row],[Customer_ID]]</f>
        <v>61-212-1117</v>
      </c>
      <c r="AG337">
        <f>tbl_OriginalData[[#This Row],[Age]]</f>
        <v>42</v>
      </c>
      <c r="AH337" t="str" cm="1">
        <f t="array" ref="AH33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37" t="str">
        <f>tbl_OriginalData[[#This Row],[Gender]]</f>
        <v>Male</v>
      </c>
      <c r="AJ337" t="str">
        <f>tbl_OriginalData[[#This Row],[Income_Level]]</f>
        <v>Middle</v>
      </c>
      <c r="AK337" t="str">
        <f>tbl_OriginalData[[#This Row],[Marital_Status]]</f>
        <v>Divorced</v>
      </c>
      <c r="AL337" t="str">
        <f>tbl_OriginalData[[#This Row],[Education_Level]]</f>
        <v>Bachelor's</v>
      </c>
      <c r="AM337" t="str">
        <f>tbl_OriginalData[[#This Row],[Occupation]]</f>
        <v>Middle</v>
      </c>
      <c r="AN337" t="s">
        <v>869</v>
      </c>
      <c r="AO337" t="s">
        <v>823</v>
      </c>
      <c r="AP337" t="str">
        <f>tbl_OriginalData[[#This Row],[Purchase_Category]]</f>
        <v>Packages)</v>
      </c>
      <c r="AQ337" s="4">
        <f>tbl_OriginalData[[#This Row],[Purchase_Amount]]</f>
        <v>419.13</v>
      </c>
      <c r="AR337">
        <f>tbl_OriginalData[[#This Row],[Frequency_of_Purchase]]</f>
        <v>4</v>
      </c>
      <c r="AS337" t="str">
        <f>tbl_OriginalData[[#This Row],[Purchase_Channel]]</f>
        <v>Mixed</v>
      </c>
      <c r="AT337">
        <f>tbl_OriginalData[[#This Row],[Brand_Loyalty]]</f>
        <v>3</v>
      </c>
      <c r="AU337">
        <f>tbl_OriginalData[[#This Row],[Product_Rating]]</f>
        <v>5</v>
      </c>
      <c r="AV337">
        <f>tbl_OriginalData[[#This Row],[Time_Spent_on_Product_Research(hours)]]*60</f>
        <v>60</v>
      </c>
      <c r="AW337" t="str">
        <f>tbl_OriginalData[[#This Row],[Social_Media_Influence]]</f>
        <v>None</v>
      </c>
      <c r="AX337" t="str">
        <f>tbl_OriginalData[[#This Row],[Discount_Sensitivity]]</f>
        <v>Not Sensitive</v>
      </c>
      <c r="AY337" s="3">
        <f>tbl_OriginalData[[#This Row],[Return_Rate]]/tbl_OriginalData[[#This Row],[Frequency_of_Purchase]]</f>
        <v>0</v>
      </c>
      <c r="AZ337">
        <f>tbl_OriginalData[[#This Row],[Customer_Satisfaction]]</f>
        <v>1</v>
      </c>
      <c r="BA337" t="str">
        <f>tbl_OriginalData[[#This Row],[Engagement_with_Ads]]</f>
        <v>None</v>
      </c>
      <c r="BB337" t="str">
        <f>tbl_OriginalData[[#This Row],[Device_Used_for_Shopping]]</f>
        <v>Smartphone</v>
      </c>
      <c r="BC337" t="str">
        <f>tbl_OriginalData[[#This Row],[Payment_Method]]</f>
        <v>Cash</v>
      </c>
      <c r="BD337" s="1">
        <f>tbl_OriginalData[[#This Row],[Time_of_Purchase]]</f>
        <v>45507</v>
      </c>
      <c r="BE337" t="str">
        <f>IF(tbl_OriginalData[[#This Row],[Discount_Used]]=TRUE,"Yes","No")</f>
        <v>No</v>
      </c>
      <c r="BF337" t="str">
        <f>IF(tbl_OriginalData[[#This Row],[Customer_Loyalty_Program_Member]]=TRUE,"Yes","No")</f>
        <v>Yes</v>
      </c>
      <c r="BG337" t="str">
        <f>tbl_OriginalData[[#This Row],[Purchase_Intent]]</f>
        <v>Wants-based</v>
      </c>
      <c r="BH337" t="str">
        <f>tbl_OriginalData[[#This Row],[Shipping_Preference]]</f>
        <v>Express</v>
      </c>
      <c r="BI337">
        <f>tbl_OriginalData[[#This Row],[Time_to_Decision]]</f>
        <v>6</v>
      </c>
      <c r="BJ337" t="s">
        <v>124</v>
      </c>
      <c r="BK337" t="s">
        <v>115</v>
      </c>
      <c r="BL337" t="s">
        <v>2528</v>
      </c>
    </row>
    <row r="338" spans="1:64">
      <c r="A338" t="s">
        <v>870</v>
      </c>
      <c r="B338">
        <v>37</v>
      </c>
      <c r="C338" t="s">
        <v>33</v>
      </c>
      <c r="D338" t="s">
        <v>51</v>
      </c>
      <c r="E338" t="s">
        <v>65</v>
      </c>
      <c r="F338" t="s">
        <v>36</v>
      </c>
      <c r="G338" t="s">
        <v>51</v>
      </c>
      <c r="H338" t="s">
        <v>871</v>
      </c>
      <c r="I338" t="s">
        <v>306</v>
      </c>
      <c r="J338">
        <v>183.86</v>
      </c>
      <c r="K338">
        <v>5</v>
      </c>
      <c r="L338" t="s">
        <v>39</v>
      </c>
      <c r="M338">
        <v>1</v>
      </c>
      <c r="N338">
        <v>1</v>
      </c>
      <c r="O338">
        <v>2</v>
      </c>
      <c r="P338" t="s">
        <v>56</v>
      </c>
      <c r="Q338" t="s">
        <v>57</v>
      </c>
      <c r="R338">
        <v>1</v>
      </c>
      <c r="S338">
        <v>4</v>
      </c>
      <c r="T338" t="s">
        <v>69</v>
      </c>
      <c r="U338" t="s">
        <v>70</v>
      </c>
      <c r="V338" t="s">
        <v>71</v>
      </c>
      <c r="W338" s="1">
        <v>45572</v>
      </c>
      <c r="X338" t="b">
        <v>0</v>
      </c>
      <c r="Y338" t="b">
        <v>1</v>
      </c>
      <c r="Z338" t="s">
        <v>59</v>
      </c>
      <c r="AA338" t="s">
        <v>60</v>
      </c>
      <c r="AB338">
        <v>3</v>
      </c>
      <c r="AF338" t="str">
        <f>tbl_OriginalData[[#This Row],[Customer_ID]]</f>
        <v>09-443-7536</v>
      </c>
      <c r="AG338">
        <f>tbl_OriginalData[[#This Row],[Age]]</f>
        <v>37</v>
      </c>
      <c r="AH338" t="str" cm="1">
        <f t="array" ref="AH33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38" t="str">
        <f>tbl_OriginalData[[#This Row],[Gender]]</f>
        <v>Female</v>
      </c>
      <c r="AJ338" t="str">
        <f>tbl_OriginalData[[#This Row],[Income_Level]]</f>
        <v>High</v>
      </c>
      <c r="AK338" t="str">
        <f>tbl_OriginalData[[#This Row],[Marital_Status]]</f>
        <v>Single</v>
      </c>
      <c r="AL338" t="str">
        <f>tbl_OriginalData[[#This Row],[Education_Level]]</f>
        <v>Bachelor's</v>
      </c>
      <c r="AM338" t="str">
        <f>tbl_OriginalData[[#This Row],[Occupation]]</f>
        <v>High</v>
      </c>
      <c r="AN338" t="s">
        <v>871</v>
      </c>
      <c r="AO338" t="s">
        <v>90</v>
      </c>
      <c r="AP338" t="str">
        <f>tbl_OriginalData[[#This Row],[Purchase_Category]]</f>
        <v>Jewelry &amp; Accessories</v>
      </c>
      <c r="AQ338" s="4">
        <f>tbl_OriginalData[[#This Row],[Purchase_Amount]]</f>
        <v>183.86</v>
      </c>
      <c r="AR338">
        <f>tbl_OriginalData[[#This Row],[Frequency_of_Purchase]]</f>
        <v>5</v>
      </c>
      <c r="AS338" t="str">
        <f>tbl_OriginalData[[#This Row],[Purchase_Channel]]</f>
        <v>Mixed</v>
      </c>
      <c r="AT338">
        <f>tbl_OriginalData[[#This Row],[Brand_Loyalty]]</f>
        <v>1</v>
      </c>
      <c r="AU338">
        <f>tbl_OriginalData[[#This Row],[Product_Rating]]</f>
        <v>1</v>
      </c>
      <c r="AV338">
        <f>tbl_OriginalData[[#This Row],[Time_Spent_on_Product_Research(hours)]]*60</f>
        <v>120</v>
      </c>
      <c r="AW338" t="str">
        <f>tbl_OriginalData[[#This Row],[Social_Media_Influence]]</f>
        <v>Medium</v>
      </c>
      <c r="AX338" t="str">
        <f>tbl_OriginalData[[#This Row],[Discount_Sensitivity]]</f>
        <v>Not Sensitive</v>
      </c>
      <c r="AY338" s="3">
        <f>tbl_OriginalData[[#This Row],[Return_Rate]]/tbl_OriginalData[[#This Row],[Frequency_of_Purchase]]</f>
        <v>0.2</v>
      </c>
      <c r="AZ338">
        <f>tbl_OriginalData[[#This Row],[Customer_Satisfaction]]</f>
        <v>4</v>
      </c>
      <c r="BA338" t="str">
        <f>tbl_OriginalData[[#This Row],[Engagement_with_Ads]]</f>
        <v>Low</v>
      </c>
      <c r="BB338" t="str">
        <f>tbl_OriginalData[[#This Row],[Device_Used_for_Shopping]]</f>
        <v>Smartphone</v>
      </c>
      <c r="BC338" t="str">
        <f>tbl_OriginalData[[#This Row],[Payment_Method]]</f>
        <v>Debit Card</v>
      </c>
      <c r="BD338" s="1">
        <f>tbl_OriginalData[[#This Row],[Time_of_Purchase]]</f>
        <v>45572</v>
      </c>
      <c r="BE338" t="str">
        <f>IF(tbl_OriginalData[[#This Row],[Discount_Used]]=TRUE,"Yes","No")</f>
        <v>No</v>
      </c>
      <c r="BF338" t="str">
        <f>IF(tbl_OriginalData[[#This Row],[Customer_Loyalty_Program_Member]]=TRUE,"Yes","No")</f>
        <v>Yes</v>
      </c>
      <c r="BG338" t="str">
        <f>tbl_OriginalData[[#This Row],[Purchase_Intent]]</f>
        <v>Wants-based</v>
      </c>
      <c r="BH338" t="str">
        <f>tbl_OriginalData[[#This Row],[Shipping_Preference]]</f>
        <v>Standard</v>
      </c>
      <c r="BI338">
        <f>tbl_OriginalData[[#This Row],[Time_to_Decision]]</f>
        <v>3</v>
      </c>
      <c r="BJ338" t="s">
        <v>79</v>
      </c>
      <c r="BK338" t="s">
        <v>80</v>
      </c>
      <c r="BL338" t="s">
        <v>2524</v>
      </c>
    </row>
    <row r="339" spans="1:64">
      <c r="A339" t="s">
        <v>872</v>
      </c>
      <c r="B339">
        <v>21</v>
      </c>
      <c r="C339" t="s">
        <v>188</v>
      </c>
      <c r="D339" t="s">
        <v>34</v>
      </c>
      <c r="E339" t="s">
        <v>82</v>
      </c>
      <c r="F339" t="s">
        <v>66</v>
      </c>
      <c r="G339" t="s">
        <v>34</v>
      </c>
      <c r="H339" t="s">
        <v>873</v>
      </c>
      <c r="I339" t="s">
        <v>143</v>
      </c>
      <c r="J339">
        <v>53.87</v>
      </c>
      <c r="K339">
        <v>10</v>
      </c>
      <c r="L339" t="s">
        <v>55</v>
      </c>
      <c r="M339">
        <v>4</v>
      </c>
      <c r="N339">
        <v>3</v>
      </c>
      <c r="O339">
        <v>0</v>
      </c>
      <c r="P339" t="s">
        <v>56</v>
      </c>
      <c r="Q339" t="s">
        <v>101</v>
      </c>
      <c r="R339">
        <v>0</v>
      </c>
      <c r="S339">
        <v>10</v>
      </c>
      <c r="T339" t="s">
        <v>51</v>
      </c>
      <c r="U339" t="s">
        <v>42</v>
      </c>
      <c r="V339" t="s">
        <v>102</v>
      </c>
      <c r="W339" s="1">
        <v>45468</v>
      </c>
      <c r="X339" t="b">
        <v>1</v>
      </c>
      <c r="Y339" t="b">
        <v>0</v>
      </c>
      <c r="Z339" t="s">
        <v>89</v>
      </c>
      <c r="AA339" t="s">
        <v>45</v>
      </c>
      <c r="AB339">
        <v>2</v>
      </c>
      <c r="AF339" t="str">
        <f>tbl_OriginalData[[#This Row],[Customer_ID]]</f>
        <v>27-463-5671</v>
      </c>
      <c r="AG339">
        <f>tbl_OriginalData[[#This Row],[Age]]</f>
        <v>21</v>
      </c>
      <c r="AH339" t="str" cm="1">
        <f t="array" ref="AH33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39" t="str">
        <f>tbl_OriginalData[[#This Row],[Gender]]</f>
        <v>Genderfluid</v>
      </c>
      <c r="AJ339" t="str">
        <f>tbl_OriginalData[[#This Row],[Income_Level]]</f>
        <v>Middle</v>
      </c>
      <c r="AK339" t="str">
        <f>tbl_OriginalData[[#This Row],[Marital_Status]]</f>
        <v>Widowed</v>
      </c>
      <c r="AL339" t="str">
        <f>tbl_OriginalData[[#This Row],[Education_Level]]</f>
        <v>Master's</v>
      </c>
      <c r="AM339" t="str">
        <f>tbl_OriginalData[[#This Row],[Occupation]]</f>
        <v>Middle</v>
      </c>
      <c r="AN339" t="s">
        <v>873</v>
      </c>
      <c r="AO339" t="s">
        <v>186</v>
      </c>
      <c r="AP339" t="str">
        <f>tbl_OriginalData[[#This Row],[Purchase_Category]]</f>
        <v>Packages)</v>
      </c>
      <c r="AQ339" s="4">
        <f>tbl_OriginalData[[#This Row],[Purchase_Amount]]</f>
        <v>53.87</v>
      </c>
      <c r="AR339">
        <f>tbl_OriginalData[[#This Row],[Frequency_of_Purchase]]</f>
        <v>10</v>
      </c>
      <c r="AS339" t="str">
        <f>tbl_OriginalData[[#This Row],[Purchase_Channel]]</f>
        <v>In-Store</v>
      </c>
      <c r="AT339">
        <f>tbl_OriginalData[[#This Row],[Brand_Loyalty]]</f>
        <v>4</v>
      </c>
      <c r="AU339">
        <f>tbl_OriginalData[[#This Row],[Product_Rating]]</f>
        <v>3</v>
      </c>
      <c r="AV339">
        <f>tbl_OriginalData[[#This Row],[Time_Spent_on_Product_Research(hours)]]*60</f>
        <v>0</v>
      </c>
      <c r="AW339" t="str">
        <f>tbl_OriginalData[[#This Row],[Social_Media_Influence]]</f>
        <v>Medium</v>
      </c>
      <c r="AX339" t="str">
        <f>tbl_OriginalData[[#This Row],[Discount_Sensitivity]]</f>
        <v>Very Sensitive</v>
      </c>
      <c r="AY339" s="3">
        <f>tbl_OriginalData[[#This Row],[Return_Rate]]/tbl_OriginalData[[#This Row],[Frequency_of_Purchase]]</f>
        <v>0</v>
      </c>
      <c r="AZ339">
        <f>tbl_OriginalData[[#This Row],[Customer_Satisfaction]]</f>
        <v>10</v>
      </c>
      <c r="BA339" t="str">
        <f>tbl_OriginalData[[#This Row],[Engagement_with_Ads]]</f>
        <v>High</v>
      </c>
      <c r="BB339" t="str">
        <f>tbl_OriginalData[[#This Row],[Device_Used_for_Shopping]]</f>
        <v>Tablet</v>
      </c>
      <c r="BC339" t="str">
        <f>tbl_OriginalData[[#This Row],[Payment_Method]]</f>
        <v>Cash</v>
      </c>
      <c r="BD339" s="1">
        <f>tbl_OriginalData[[#This Row],[Time_of_Purchase]]</f>
        <v>45468</v>
      </c>
      <c r="BE339" t="str">
        <f>IF(tbl_OriginalData[[#This Row],[Discount_Used]]=TRUE,"Yes","No")</f>
        <v>Yes</v>
      </c>
      <c r="BF339" t="str">
        <f>IF(tbl_OriginalData[[#This Row],[Customer_Loyalty_Program_Member]]=TRUE,"Yes","No")</f>
        <v>No</v>
      </c>
      <c r="BG339" t="str">
        <f>tbl_OriginalData[[#This Row],[Purchase_Intent]]</f>
        <v>Planned</v>
      </c>
      <c r="BH339" t="str">
        <f>tbl_OriginalData[[#This Row],[Shipping_Preference]]</f>
        <v>No Preference</v>
      </c>
      <c r="BI339">
        <f>tbl_OriginalData[[#This Row],[Time_to_Decision]]</f>
        <v>2</v>
      </c>
      <c r="BJ339" t="s">
        <v>104</v>
      </c>
      <c r="BK339" t="s">
        <v>63</v>
      </c>
      <c r="BL339" t="s">
        <v>2523</v>
      </c>
    </row>
    <row r="340" spans="1:64">
      <c r="A340" t="s">
        <v>874</v>
      </c>
      <c r="B340">
        <v>43</v>
      </c>
      <c r="C340" t="s">
        <v>33</v>
      </c>
      <c r="D340" t="s">
        <v>51</v>
      </c>
      <c r="E340" t="s">
        <v>82</v>
      </c>
      <c r="F340" t="s">
        <v>36</v>
      </c>
      <c r="G340" t="s">
        <v>51</v>
      </c>
      <c r="H340" t="s">
        <v>875</v>
      </c>
      <c r="I340" t="s">
        <v>54</v>
      </c>
      <c r="J340">
        <v>427.82</v>
      </c>
      <c r="K340">
        <v>9</v>
      </c>
      <c r="L340" t="s">
        <v>55</v>
      </c>
      <c r="M340">
        <v>5</v>
      </c>
      <c r="N340">
        <v>5</v>
      </c>
      <c r="O340">
        <v>0</v>
      </c>
      <c r="P340" t="s">
        <v>56</v>
      </c>
      <c r="Q340" t="s">
        <v>41</v>
      </c>
      <c r="R340">
        <v>1</v>
      </c>
      <c r="S340">
        <v>2</v>
      </c>
      <c r="T340" t="s">
        <v>56</v>
      </c>
      <c r="U340" t="s">
        <v>95</v>
      </c>
      <c r="V340" t="s">
        <v>58</v>
      </c>
      <c r="W340" s="1">
        <v>45386</v>
      </c>
      <c r="X340" t="b">
        <v>1</v>
      </c>
      <c r="Y340" t="b">
        <v>0</v>
      </c>
      <c r="Z340" t="s">
        <v>59</v>
      </c>
      <c r="AA340" t="s">
        <v>45</v>
      </c>
      <c r="AB340">
        <v>14</v>
      </c>
      <c r="AF340" t="str">
        <f>tbl_OriginalData[[#This Row],[Customer_ID]]</f>
        <v>53-380-3968</v>
      </c>
      <c r="AG340">
        <f>tbl_OriginalData[[#This Row],[Age]]</f>
        <v>43</v>
      </c>
      <c r="AH340" t="str" cm="1">
        <f t="array" ref="AH34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40" t="str">
        <f>tbl_OriginalData[[#This Row],[Gender]]</f>
        <v>Female</v>
      </c>
      <c r="AJ340" t="str">
        <f>tbl_OriginalData[[#This Row],[Income_Level]]</f>
        <v>High</v>
      </c>
      <c r="AK340" t="str">
        <f>tbl_OriginalData[[#This Row],[Marital_Status]]</f>
        <v>Widowed</v>
      </c>
      <c r="AL340" t="str">
        <f>tbl_OriginalData[[#This Row],[Education_Level]]</f>
        <v>Bachelor's</v>
      </c>
      <c r="AM340" t="str">
        <f>tbl_OriginalData[[#This Row],[Occupation]]</f>
        <v>High</v>
      </c>
      <c r="AN340" t="s">
        <v>875</v>
      </c>
      <c r="AO340" t="s">
        <v>61</v>
      </c>
      <c r="AP340" t="str">
        <f>tbl_OriginalData[[#This Row],[Purchase_Category]]</f>
        <v>Food &amp; Beverages</v>
      </c>
      <c r="AQ340" s="4">
        <f>tbl_OriginalData[[#This Row],[Purchase_Amount]]</f>
        <v>427.82</v>
      </c>
      <c r="AR340">
        <f>tbl_OriginalData[[#This Row],[Frequency_of_Purchase]]</f>
        <v>9</v>
      </c>
      <c r="AS340" t="str">
        <f>tbl_OriginalData[[#This Row],[Purchase_Channel]]</f>
        <v>In-Store</v>
      </c>
      <c r="AT340">
        <f>tbl_OriginalData[[#This Row],[Brand_Loyalty]]</f>
        <v>5</v>
      </c>
      <c r="AU340">
        <f>tbl_OriginalData[[#This Row],[Product_Rating]]</f>
        <v>5</v>
      </c>
      <c r="AV340">
        <f>tbl_OriginalData[[#This Row],[Time_Spent_on_Product_Research(hours)]]*60</f>
        <v>0</v>
      </c>
      <c r="AW340" t="str">
        <f>tbl_OriginalData[[#This Row],[Social_Media_Influence]]</f>
        <v>Medium</v>
      </c>
      <c r="AX340" t="str">
        <f>tbl_OriginalData[[#This Row],[Discount_Sensitivity]]</f>
        <v>Somewhat Sensitive</v>
      </c>
      <c r="AY340" s="3">
        <f>tbl_OriginalData[[#This Row],[Return_Rate]]/tbl_OriginalData[[#This Row],[Frequency_of_Purchase]]</f>
        <v>0.1111111111111111</v>
      </c>
      <c r="AZ340">
        <f>tbl_OriginalData[[#This Row],[Customer_Satisfaction]]</f>
        <v>2</v>
      </c>
      <c r="BA340" t="str">
        <f>tbl_OriginalData[[#This Row],[Engagement_with_Ads]]</f>
        <v>Medium</v>
      </c>
      <c r="BB340" t="str">
        <f>tbl_OriginalData[[#This Row],[Device_Used_for_Shopping]]</f>
        <v>Desktop</v>
      </c>
      <c r="BC340" t="str">
        <f>tbl_OriginalData[[#This Row],[Payment_Method]]</f>
        <v>PayPal</v>
      </c>
      <c r="BD340" s="1">
        <f>tbl_OriginalData[[#This Row],[Time_of_Purchase]]</f>
        <v>45386</v>
      </c>
      <c r="BE340" t="str">
        <f>IF(tbl_OriginalData[[#This Row],[Discount_Used]]=TRUE,"Yes","No")</f>
        <v>Yes</v>
      </c>
      <c r="BF340" t="str">
        <f>IF(tbl_OriginalData[[#This Row],[Customer_Loyalty_Program_Member]]=TRUE,"Yes","No")</f>
        <v>No</v>
      </c>
      <c r="BG340" t="str">
        <f>tbl_OriginalData[[#This Row],[Purchase_Intent]]</f>
        <v>Wants-based</v>
      </c>
      <c r="BH340" t="str">
        <f>tbl_OriginalData[[#This Row],[Shipping_Preference]]</f>
        <v>No Preference</v>
      </c>
      <c r="BI340">
        <f>tbl_OriginalData[[#This Row],[Time_to_Decision]]</f>
        <v>14</v>
      </c>
      <c r="BJ340" t="s">
        <v>62</v>
      </c>
      <c r="BK340" t="s">
        <v>63</v>
      </c>
      <c r="BL340" t="s">
        <v>2524</v>
      </c>
    </row>
    <row r="341" spans="1:64">
      <c r="A341" t="s">
        <v>876</v>
      </c>
      <c r="B341">
        <v>29</v>
      </c>
      <c r="C341" t="s">
        <v>33</v>
      </c>
      <c r="D341" t="s">
        <v>51</v>
      </c>
      <c r="E341" t="s">
        <v>92</v>
      </c>
      <c r="F341" t="s">
        <v>36</v>
      </c>
      <c r="G341" t="s">
        <v>34</v>
      </c>
      <c r="H341" t="s">
        <v>877</v>
      </c>
      <c r="I341" t="s">
        <v>143</v>
      </c>
      <c r="J341">
        <v>282.82</v>
      </c>
      <c r="K341">
        <v>6</v>
      </c>
      <c r="L341" t="s">
        <v>55</v>
      </c>
      <c r="M341">
        <v>5</v>
      </c>
      <c r="N341">
        <v>3</v>
      </c>
      <c r="O341">
        <v>2</v>
      </c>
      <c r="P341" t="s">
        <v>56</v>
      </c>
      <c r="Q341" t="s">
        <v>101</v>
      </c>
      <c r="R341">
        <v>2</v>
      </c>
      <c r="S341">
        <v>7</v>
      </c>
      <c r="T341" t="s">
        <v>40</v>
      </c>
      <c r="U341" t="s">
        <v>95</v>
      </c>
      <c r="V341" t="s">
        <v>76</v>
      </c>
      <c r="W341" s="1">
        <v>45351</v>
      </c>
      <c r="X341" t="b">
        <v>0</v>
      </c>
      <c r="Y341" t="b">
        <v>1</v>
      </c>
      <c r="Z341" t="s">
        <v>59</v>
      </c>
      <c r="AA341" t="s">
        <v>60</v>
      </c>
      <c r="AB341">
        <v>3</v>
      </c>
      <c r="AF341" t="str">
        <f>tbl_OriginalData[[#This Row],[Customer_ID]]</f>
        <v>42-969-0735</v>
      </c>
      <c r="AG341">
        <f>tbl_OriginalData[[#This Row],[Age]]</f>
        <v>29</v>
      </c>
      <c r="AH341" t="str" cm="1">
        <f t="array" ref="AH34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41" t="str">
        <f>tbl_OriginalData[[#This Row],[Gender]]</f>
        <v>Female</v>
      </c>
      <c r="AJ341" t="str">
        <f>tbl_OriginalData[[#This Row],[Income_Level]]</f>
        <v>High</v>
      </c>
      <c r="AK341" t="str">
        <f>tbl_OriginalData[[#This Row],[Marital_Status]]</f>
        <v>Divorced</v>
      </c>
      <c r="AL341" t="str">
        <f>tbl_OriginalData[[#This Row],[Education_Level]]</f>
        <v>Bachelor's</v>
      </c>
      <c r="AM341" t="str">
        <f>tbl_OriginalData[[#This Row],[Occupation]]</f>
        <v>Middle</v>
      </c>
      <c r="AN341" t="s">
        <v>877</v>
      </c>
      <c r="AO341" t="s">
        <v>61</v>
      </c>
      <c r="AP341" t="str">
        <f>tbl_OriginalData[[#This Row],[Purchase_Category]]</f>
        <v>Packages)</v>
      </c>
      <c r="AQ341" s="4">
        <f>tbl_OriginalData[[#This Row],[Purchase_Amount]]</f>
        <v>282.82</v>
      </c>
      <c r="AR341">
        <f>tbl_OriginalData[[#This Row],[Frequency_of_Purchase]]</f>
        <v>6</v>
      </c>
      <c r="AS341" t="str">
        <f>tbl_OriginalData[[#This Row],[Purchase_Channel]]</f>
        <v>In-Store</v>
      </c>
      <c r="AT341">
        <f>tbl_OriginalData[[#This Row],[Brand_Loyalty]]</f>
        <v>5</v>
      </c>
      <c r="AU341">
        <f>tbl_OriginalData[[#This Row],[Product_Rating]]</f>
        <v>3</v>
      </c>
      <c r="AV341">
        <f>tbl_OriginalData[[#This Row],[Time_Spent_on_Product_Research(hours)]]*60</f>
        <v>120</v>
      </c>
      <c r="AW341" t="str">
        <f>tbl_OriginalData[[#This Row],[Social_Media_Influence]]</f>
        <v>Medium</v>
      </c>
      <c r="AX341" t="str">
        <f>tbl_OriginalData[[#This Row],[Discount_Sensitivity]]</f>
        <v>Very Sensitive</v>
      </c>
      <c r="AY341" s="3">
        <f>tbl_OriginalData[[#This Row],[Return_Rate]]/tbl_OriginalData[[#This Row],[Frequency_of_Purchase]]</f>
        <v>0.33333333333333331</v>
      </c>
      <c r="AZ341">
        <f>tbl_OriginalData[[#This Row],[Customer_Satisfaction]]</f>
        <v>7</v>
      </c>
      <c r="BA341" t="str">
        <f>tbl_OriginalData[[#This Row],[Engagement_with_Ads]]</f>
        <v>None</v>
      </c>
      <c r="BB341" t="str">
        <f>tbl_OriginalData[[#This Row],[Device_Used_for_Shopping]]</f>
        <v>Desktop</v>
      </c>
      <c r="BC341" t="str">
        <f>tbl_OriginalData[[#This Row],[Payment_Method]]</f>
        <v>Other</v>
      </c>
      <c r="BD341" s="1">
        <f>tbl_OriginalData[[#This Row],[Time_of_Purchase]]</f>
        <v>45351</v>
      </c>
      <c r="BE341" t="str">
        <f>IF(tbl_OriginalData[[#This Row],[Discount_Used]]=TRUE,"Yes","No")</f>
        <v>No</v>
      </c>
      <c r="BF341" t="str">
        <f>IF(tbl_OriginalData[[#This Row],[Customer_Loyalty_Program_Member]]=TRUE,"Yes","No")</f>
        <v>Yes</v>
      </c>
      <c r="BG341" t="str">
        <f>tbl_OriginalData[[#This Row],[Purchase_Intent]]</f>
        <v>Wants-based</v>
      </c>
      <c r="BH341" t="str">
        <f>tbl_OriginalData[[#This Row],[Shipping_Preference]]</f>
        <v>Standard</v>
      </c>
      <c r="BI341">
        <f>tbl_OriginalData[[#This Row],[Time_to_Decision]]</f>
        <v>3</v>
      </c>
      <c r="BJ341" t="s">
        <v>158</v>
      </c>
      <c r="BK341" t="s">
        <v>48</v>
      </c>
      <c r="BL341" t="s">
        <v>2524</v>
      </c>
    </row>
    <row r="342" spans="1:64">
      <c r="A342" t="s">
        <v>878</v>
      </c>
      <c r="B342">
        <v>28</v>
      </c>
      <c r="C342" t="s">
        <v>50</v>
      </c>
      <c r="D342" t="s">
        <v>34</v>
      </c>
      <c r="E342" t="s">
        <v>92</v>
      </c>
      <c r="F342" t="s">
        <v>66</v>
      </c>
      <c r="G342" t="s">
        <v>34</v>
      </c>
      <c r="H342" t="s">
        <v>879</v>
      </c>
      <c r="I342" t="s">
        <v>147</v>
      </c>
      <c r="J342">
        <v>215.31</v>
      </c>
      <c r="K342">
        <v>7</v>
      </c>
      <c r="L342" t="s">
        <v>94</v>
      </c>
      <c r="M342">
        <v>5</v>
      </c>
      <c r="N342">
        <v>5</v>
      </c>
      <c r="O342">
        <v>2</v>
      </c>
      <c r="P342" t="s">
        <v>56</v>
      </c>
      <c r="Q342" t="s">
        <v>41</v>
      </c>
      <c r="R342">
        <v>1</v>
      </c>
      <c r="S342">
        <v>8</v>
      </c>
      <c r="T342" t="s">
        <v>56</v>
      </c>
      <c r="U342" t="s">
        <v>70</v>
      </c>
      <c r="V342" t="s">
        <v>76</v>
      </c>
      <c r="W342" s="1">
        <v>45391</v>
      </c>
      <c r="X342" t="b">
        <v>0</v>
      </c>
      <c r="Y342" t="b">
        <v>1</v>
      </c>
      <c r="Z342" t="s">
        <v>72</v>
      </c>
      <c r="AA342" t="s">
        <v>45</v>
      </c>
      <c r="AB342">
        <v>7</v>
      </c>
      <c r="AF342" t="str">
        <f>tbl_OriginalData[[#This Row],[Customer_ID]]</f>
        <v>12-440-5464</v>
      </c>
      <c r="AG342">
        <f>tbl_OriginalData[[#This Row],[Age]]</f>
        <v>28</v>
      </c>
      <c r="AH342" t="str" cm="1">
        <f t="array" ref="AH34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42" t="str">
        <f>tbl_OriginalData[[#This Row],[Gender]]</f>
        <v>Male</v>
      </c>
      <c r="AJ342" t="str">
        <f>tbl_OriginalData[[#This Row],[Income_Level]]</f>
        <v>Middle</v>
      </c>
      <c r="AK342" t="str">
        <f>tbl_OriginalData[[#This Row],[Marital_Status]]</f>
        <v>Divorced</v>
      </c>
      <c r="AL342" t="str">
        <f>tbl_OriginalData[[#This Row],[Education_Level]]</f>
        <v>Master's</v>
      </c>
      <c r="AM342" t="str">
        <f>tbl_OriginalData[[#This Row],[Occupation]]</f>
        <v>Middle</v>
      </c>
      <c r="AN342" t="s">
        <v>879</v>
      </c>
      <c r="AO342" t="s">
        <v>545</v>
      </c>
      <c r="AP342" t="str">
        <f>tbl_OriginalData[[#This Row],[Purchase_Category]]</f>
        <v>Electronics</v>
      </c>
      <c r="AQ342" s="4">
        <f>tbl_OriginalData[[#This Row],[Purchase_Amount]]</f>
        <v>215.31</v>
      </c>
      <c r="AR342">
        <f>tbl_OriginalData[[#This Row],[Frequency_of_Purchase]]</f>
        <v>7</v>
      </c>
      <c r="AS342" t="str">
        <f>tbl_OriginalData[[#This Row],[Purchase_Channel]]</f>
        <v>Online</v>
      </c>
      <c r="AT342">
        <f>tbl_OriginalData[[#This Row],[Brand_Loyalty]]</f>
        <v>5</v>
      </c>
      <c r="AU342">
        <f>tbl_OriginalData[[#This Row],[Product_Rating]]</f>
        <v>5</v>
      </c>
      <c r="AV342">
        <f>tbl_OriginalData[[#This Row],[Time_Spent_on_Product_Research(hours)]]*60</f>
        <v>120</v>
      </c>
      <c r="AW342" t="str">
        <f>tbl_OriginalData[[#This Row],[Social_Media_Influence]]</f>
        <v>Medium</v>
      </c>
      <c r="AX342" t="str">
        <f>tbl_OriginalData[[#This Row],[Discount_Sensitivity]]</f>
        <v>Somewhat Sensitive</v>
      </c>
      <c r="AY342" s="3">
        <f>tbl_OriginalData[[#This Row],[Return_Rate]]/tbl_OriginalData[[#This Row],[Frequency_of_Purchase]]</f>
        <v>0.14285714285714285</v>
      </c>
      <c r="AZ342">
        <f>tbl_OriginalData[[#This Row],[Customer_Satisfaction]]</f>
        <v>8</v>
      </c>
      <c r="BA342" t="str">
        <f>tbl_OriginalData[[#This Row],[Engagement_with_Ads]]</f>
        <v>Medium</v>
      </c>
      <c r="BB342" t="str">
        <f>tbl_OriginalData[[#This Row],[Device_Used_for_Shopping]]</f>
        <v>Smartphone</v>
      </c>
      <c r="BC342" t="str">
        <f>tbl_OriginalData[[#This Row],[Payment_Method]]</f>
        <v>Other</v>
      </c>
      <c r="BD342" s="1">
        <f>tbl_OriginalData[[#This Row],[Time_of_Purchase]]</f>
        <v>45391</v>
      </c>
      <c r="BE342" t="str">
        <f>IF(tbl_OriginalData[[#This Row],[Discount_Used]]=TRUE,"Yes","No")</f>
        <v>No</v>
      </c>
      <c r="BF342" t="str">
        <f>IF(tbl_OriginalData[[#This Row],[Customer_Loyalty_Program_Member]]=TRUE,"Yes","No")</f>
        <v>Yes</v>
      </c>
      <c r="BG342" t="str">
        <f>tbl_OriginalData[[#This Row],[Purchase_Intent]]</f>
        <v>Impulsive</v>
      </c>
      <c r="BH342" t="str">
        <f>tbl_OriginalData[[#This Row],[Shipping_Preference]]</f>
        <v>No Preference</v>
      </c>
      <c r="BI342">
        <f>tbl_OriginalData[[#This Row],[Time_to_Decision]]</f>
        <v>7</v>
      </c>
      <c r="BJ342" t="s">
        <v>62</v>
      </c>
      <c r="BK342" t="s">
        <v>63</v>
      </c>
      <c r="BL342" t="s">
        <v>2528</v>
      </c>
    </row>
    <row r="343" spans="1:64">
      <c r="A343" t="s">
        <v>880</v>
      </c>
      <c r="B343">
        <v>43</v>
      </c>
      <c r="C343" t="s">
        <v>50</v>
      </c>
      <c r="D343" t="s">
        <v>34</v>
      </c>
      <c r="E343" t="s">
        <v>82</v>
      </c>
      <c r="F343" t="s">
        <v>66</v>
      </c>
      <c r="G343" t="s">
        <v>51</v>
      </c>
      <c r="H343" t="s">
        <v>881</v>
      </c>
      <c r="I343" t="s">
        <v>84</v>
      </c>
      <c r="J343">
        <v>183.66</v>
      </c>
      <c r="K343">
        <v>11</v>
      </c>
      <c r="L343" t="s">
        <v>94</v>
      </c>
      <c r="M343">
        <v>3</v>
      </c>
      <c r="N343">
        <v>1</v>
      </c>
      <c r="O343">
        <v>1</v>
      </c>
      <c r="P343" t="s">
        <v>69</v>
      </c>
      <c r="Q343" t="s">
        <v>101</v>
      </c>
      <c r="R343">
        <v>0</v>
      </c>
      <c r="S343">
        <v>10</v>
      </c>
      <c r="T343" t="s">
        <v>56</v>
      </c>
      <c r="U343" t="s">
        <v>42</v>
      </c>
      <c r="V343" t="s">
        <v>43</v>
      </c>
      <c r="W343" s="1">
        <v>45400</v>
      </c>
      <c r="X343" t="b">
        <v>1</v>
      </c>
      <c r="Y343" t="b">
        <v>1</v>
      </c>
      <c r="Z343" t="s">
        <v>89</v>
      </c>
      <c r="AA343" t="s">
        <v>45</v>
      </c>
      <c r="AB343">
        <v>6</v>
      </c>
      <c r="AF343" t="str">
        <f>tbl_OriginalData[[#This Row],[Customer_ID]]</f>
        <v>33-467-2534</v>
      </c>
      <c r="AG343">
        <f>tbl_OriginalData[[#This Row],[Age]]</f>
        <v>43</v>
      </c>
      <c r="AH343" t="str" cm="1">
        <f t="array" ref="AH34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43" t="str">
        <f>tbl_OriginalData[[#This Row],[Gender]]</f>
        <v>Male</v>
      </c>
      <c r="AJ343" t="str">
        <f>tbl_OriginalData[[#This Row],[Income_Level]]</f>
        <v>Middle</v>
      </c>
      <c r="AK343" t="str">
        <f>tbl_OriginalData[[#This Row],[Marital_Status]]</f>
        <v>Widowed</v>
      </c>
      <c r="AL343" t="str">
        <f>tbl_OriginalData[[#This Row],[Education_Level]]</f>
        <v>Master's</v>
      </c>
      <c r="AM343" t="str">
        <f>tbl_OriginalData[[#This Row],[Occupation]]</f>
        <v>High</v>
      </c>
      <c r="AN343" t="s">
        <v>881</v>
      </c>
      <c r="AO343" t="s">
        <v>336</v>
      </c>
      <c r="AP343" t="str">
        <f>tbl_OriginalData[[#This Row],[Purchase_Category]]</f>
        <v>Furniture</v>
      </c>
      <c r="AQ343" s="4">
        <f>tbl_OriginalData[[#This Row],[Purchase_Amount]]</f>
        <v>183.66</v>
      </c>
      <c r="AR343">
        <f>tbl_OriginalData[[#This Row],[Frequency_of_Purchase]]</f>
        <v>11</v>
      </c>
      <c r="AS343" t="str">
        <f>tbl_OriginalData[[#This Row],[Purchase_Channel]]</f>
        <v>Online</v>
      </c>
      <c r="AT343">
        <f>tbl_OriginalData[[#This Row],[Brand_Loyalty]]</f>
        <v>3</v>
      </c>
      <c r="AU343">
        <f>tbl_OriginalData[[#This Row],[Product_Rating]]</f>
        <v>1</v>
      </c>
      <c r="AV343">
        <f>tbl_OriginalData[[#This Row],[Time_Spent_on_Product_Research(hours)]]*60</f>
        <v>60</v>
      </c>
      <c r="AW343" t="str">
        <f>tbl_OriginalData[[#This Row],[Social_Media_Influence]]</f>
        <v>Low</v>
      </c>
      <c r="AX343" t="str">
        <f>tbl_OriginalData[[#This Row],[Discount_Sensitivity]]</f>
        <v>Very Sensitive</v>
      </c>
      <c r="AY343" s="3">
        <f>tbl_OriginalData[[#This Row],[Return_Rate]]/tbl_OriginalData[[#This Row],[Frequency_of_Purchase]]</f>
        <v>0</v>
      </c>
      <c r="AZ343">
        <f>tbl_OriginalData[[#This Row],[Customer_Satisfaction]]</f>
        <v>10</v>
      </c>
      <c r="BA343" t="str">
        <f>tbl_OriginalData[[#This Row],[Engagement_with_Ads]]</f>
        <v>Medium</v>
      </c>
      <c r="BB343" t="str">
        <f>tbl_OriginalData[[#This Row],[Device_Used_for_Shopping]]</f>
        <v>Tablet</v>
      </c>
      <c r="BC343" t="str">
        <f>tbl_OriginalData[[#This Row],[Payment_Method]]</f>
        <v>Credit Card</v>
      </c>
      <c r="BD343" s="1">
        <f>tbl_OriginalData[[#This Row],[Time_of_Purchase]]</f>
        <v>45400</v>
      </c>
      <c r="BE343" t="str">
        <f>IF(tbl_OriginalData[[#This Row],[Discount_Used]]=TRUE,"Yes","No")</f>
        <v>Yes</v>
      </c>
      <c r="BF343" t="str">
        <f>IF(tbl_OriginalData[[#This Row],[Customer_Loyalty_Program_Member]]=TRUE,"Yes","No")</f>
        <v>Yes</v>
      </c>
      <c r="BG343" t="str">
        <f>tbl_OriginalData[[#This Row],[Purchase_Intent]]</f>
        <v>Planned</v>
      </c>
      <c r="BH343" t="str">
        <f>tbl_OriginalData[[#This Row],[Shipping_Preference]]</f>
        <v>No Preference</v>
      </c>
      <c r="BI343">
        <f>tbl_OriginalData[[#This Row],[Time_to_Decision]]</f>
        <v>6</v>
      </c>
      <c r="BJ343" t="s">
        <v>62</v>
      </c>
      <c r="BK343" t="s">
        <v>63</v>
      </c>
      <c r="BL343" t="s">
        <v>2525</v>
      </c>
    </row>
    <row r="344" spans="1:64">
      <c r="A344" t="s">
        <v>882</v>
      </c>
      <c r="B344">
        <v>48</v>
      </c>
      <c r="C344" t="s">
        <v>33</v>
      </c>
      <c r="D344" t="s">
        <v>51</v>
      </c>
      <c r="E344" t="s">
        <v>92</v>
      </c>
      <c r="F344" t="s">
        <v>52</v>
      </c>
      <c r="G344" t="s">
        <v>34</v>
      </c>
      <c r="H344" t="s">
        <v>883</v>
      </c>
      <c r="I344" t="s">
        <v>153</v>
      </c>
      <c r="J344">
        <v>198.73</v>
      </c>
      <c r="K344">
        <v>10</v>
      </c>
      <c r="L344" t="s">
        <v>55</v>
      </c>
      <c r="M344">
        <v>1</v>
      </c>
      <c r="N344">
        <v>5</v>
      </c>
      <c r="O344">
        <v>2</v>
      </c>
      <c r="P344" t="s">
        <v>51</v>
      </c>
      <c r="Q344" t="s">
        <v>101</v>
      </c>
      <c r="R344">
        <v>1</v>
      </c>
      <c r="S344">
        <v>5</v>
      </c>
      <c r="T344" t="s">
        <v>40</v>
      </c>
      <c r="U344" t="s">
        <v>95</v>
      </c>
      <c r="V344" t="s">
        <v>76</v>
      </c>
      <c r="W344" s="1">
        <v>45324</v>
      </c>
      <c r="X344" t="b">
        <v>1</v>
      </c>
      <c r="Y344" t="b">
        <v>0</v>
      </c>
      <c r="Z344" t="s">
        <v>72</v>
      </c>
      <c r="AA344" t="s">
        <v>60</v>
      </c>
      <c r="AB344">
        <v>4</v>
      </c>
      <c r="AF344" t="str">
        <f>tbl_OriginalData[[#This Row],[Customer_ID]]</f>
        <v>35-418-0288</v>
      </c>
      <c r="AG344">
        <f>tbl_OriginalData[[#This Row],[Age]]</f>
        <v>48</v>
      </c>
      <c r="AH344" t="str" cm="1">
        <f t="array" ref="AH34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44" t="str">
        <f>tbl_OriginalData[[#This Row],[Gender]]</f>
        <v>Female</v>
      </c>
      <c r="AJ344" t="str">
        <f>tbl_OriginalData[[#This Row],[Income_Level]]</f>
        <v>High</v>
      </c>
      <c r="AK344" t="str">
        <f>tbl_OriginalData[[#This Row],[Marital_Status]]</f>
        <v>Divorced</v>
      </c>
      <c r="AL344" t="str">
        <f>tbl_OriginalData[[#This Row],[Education_Level]]</f>
        <v>High School</v>
      </c>
      <c r="AM344" t="str">
        <f>tbl_OriginalData[[#This Row],[Occupation]]</f>
        <v>Middle</v>
      </c>
      <c r="AN344" t="s">
        <v>883</v>
      </c>
      <c r="AO344" t="s">
        <v>109</v>
      </c>
      <c r="AP344" t="str">
        <f>tbl_OriginalData[[#This Row],[Purchase_Category]]</f>
        <v>Baby Products</v>
      </c>
      <c r="AQ344" s="4">
        <f>tbl_OriginalData[[#This Row],[Purchase_Amount]]</f>
        <v>198.73</v>
      </c>
      <c r="AR344">
        <f>tbl_OriginalData[[#This Row],[Frequency_of_Purchase]]</f>
        <v>10</v>
      </c>
      <c r="AS344" t="str">
        <f>tbl_OriginalData[[#This Row],[Purchase_Channel]]</f>
        <v>In-Store</v>
      </c>
      <c r="AT344">
        <f>tbl_OriginalData[[#This Row],[Brand_Loyalty]]</f>
        <v>1</v>
      </c>
      <c r="AU344">
        <f>tbl_OriginalData[[#This Row],[Product_Rating]]</f>
        <v>5</v>
      </c>
      <c r="AV344">
        <f>tbl_OriginalData[[#This Row],[Time_Spent_on_Product_Research(hours)]]*60</f>
        <v>120</v>
      </c>
      <c r="AW344" t="str">
        <f>tbl_OriginalData[[#This Row],[Social_Media_Influence]]</f>
        <v>High</v>
      </c>
      <c r="AX344" t="str">
        <f>tbl_OriginalData[[#This Row],[Discount_Sensitivity]]</f>
        <v>Very Sensitive</v>
      </c>
      <c r="AY344" s="3">
        <f>tbl_OriginalData[[#This Row],[Return_Rate]]/tbl_OriginalData[[#This Row],[Frequency_of_Purchase]]</f>
        <v>0.1</v>
      </c>
      <c r="AZ344">
        <f>tbl_OriginalData[[#This Row],[Customer_Satisfaction]]</f>
        <v>5</v>
      </c>
      <c r="BA344" t="str">
        <f>tbl_OriginalData[[#This Row],[Engagement_with_Ads]]</f>
        <v>None</v>
      </c>
      <c r="BB344" t="str">
        <f>tbl_OriginalData[[#This Row],[Device_Used_for_Shopping]]</f>
        <v>Desktop</v>
      </c>
      <c r="BC344" t="str">
        <f>tbl_OriginalData[[#This Row],[Payment_Method]]</f>
        <v>Other</v>
      </c>
      <c r="BD344" s="1">
        <f>tbl_OriginalData[[#This Row],[Time_of_Purchase]]</f>
        <v>45324</v>
      </c>
      <c r="BE344" t="str">
        <f>IF(tbl_OriginalData[[#This Row],[Discount_Used]]=TRUE,"Yes","No")</f>
        <v>Yes</v>
      </c>
      <c r="BF344" t="str">
        <f>IF(tbl_OriginalData[[#This Row],[Customer_Loyalty_Program_Member]]=TRUE,"Yes","No")</f>
        <v>No</v>
      </c>
      <c r="BG344" t="str">
        <f>tbl_OriginalData[[#This Row],[Purchase_Intent]]</f>
        <v>Impulsive</v>
      </c>
      <c r="BH344" t="str">
        <f>tbl_OriginalData[[#This Row],[Shipping_Preference]]</f>
        <v>Standard</v>
      </c>
      <c r="BI344">
        <f>tbl_OriginalData[[#This Row],[Time_to_Decision]]</f>
        <v>4</v>
      </c>
      <c r="BJ344" t="s">
        <v>158</v>
      </c>
      <c r="BK344" t="s">
        <v>48</v>
      </c>
      <c r="BL344" t="s">
        <v>2526</v>
      </c>
    </row>
    <row r="345" spans="1:64">
      <c r="A345" t="s">
        <v>884</v>
      </c>
      <c r="B345">
        <v>26</v>
      </c>
      <c r="C345" t="s">
        <v>33</v>
      </c>
      <c r="D345" t="s">
        <v>34</v>
      </c>
      <c r="E345" t="s">
        <v>35</v>
      </c>
      <c r="F345" t="s">
        <v>52</v>
      </c>
      <c r="G345" t="s">
        <v>51</v>
      </c>
      <c r="H345" t="s">
        <v>885</v>
      </c>
      <c r="I345" t="s">
        <v>242</v>
      </c>
      <c r="J345">
        <v>265.72000000000003</v>
      </c>
      <c r="K345">
        <v>5</v>
      </c>
      <c r="L345" t="s">
        <v>39</v>
      </c>
      <c r="M345">
        <v>5</v>
      </c>
      <c r="N345">
        <v>4</v>
      </c>
      <c r="O345">
        <v>0</v>
      </c>
      <c r="P345" t="s">
        <v>40</v>
      </c>
      <c r="Q345" t="s">
        <v>101</v>
      </c>
      <c r="R345">
        <v>0</v>
      </c>
      <c r="S345">
        <v>9</v>
      </c>
      <c r="T345" t="s">
        <v>40</v>
      </c>
      <c r="U345" t="s">
        <v>42</v>
      </c>
      <c r="V345" t="s">
        <v>71</v>
      </c>
      <c r="W345" s="1">
        <v>45404</v>
      </c>
      <c r="X345" t="b">
        <v>1</v>
      </c>
      <c r="Y345" t="b">
        <v>1</v>
      </c>
      <c r="Z345" t="s">
        <v>89</v>
      </c>
      <c r="AA345" t="s">
        <v>77</v>
      </c>
      <c r="AB345">
        <v>13</v>
      </c>
      <c r="AF345" t="str">
        <f>tbl_OriginalData[[#This Row],[Customer_ID]]</f>
        <v>33-787-2143</v>
      </c>
      <c r="AG345">
        <f>tbl_OriginalData[[#This Row],[Age]]</f>
        <v>26</v>
      </c>
      <c r="AH345" t="str" cm="1">
        <f t="array" ref="AH34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45" t="str">
        <f>tbl_OriginalData[[#This Row],[Gender]]</f>
        <v>Female</v>
      </c>
      <c r="AJ345" t="str">
        <f>tbl_OriginalData[[#This Row],[Income_Level]]</f>
        <v>Middle</v>
      </c>
      <c r="AK345" t="str">
        <f>tbl_OriginalData[[#This Row],[Marital_Status]]</f>
        <v>Married</v>
      </c>
      <c r="AL345" t="str">
        <f>tbl_OriginalData[[#This Row],[Education_Level]]</f>
        <v>High School</v>
      </c>
      <c r="AM345" t="str">
        <f>tbl_OriginalData[[#This Row],[Occupation]]</f>
        <v>High</v>
      </c>
      <c r="AN345" t="s">
        <v>886</v>
      </c>
      <c r="AO345" t="s">
        <v>186</v>
      </c>
      <c r="AP345" t="str">
        <f>tbl_OriginalData[[#This Row],[Purchase_Category]]</f>
        <v>Travel &amp; Leisure (Flights</v>
      </c>
      <c r="AQ345" s="4">
        <f>tbl_OriginalData[[#This Row],[Purchase_Amount]]</f>
        <v>265.72000000000003</v>
      </c>
      <c r="AR345">
        <f>tbl_OriginalData[[#This Row],[Frequency_of_Purchase]]</f>
        <v>5</v>
      </c>
      <c r="AS345" t="str">
        <f>tbl_OriginalData[[#This Row],[Purchase_Channel]]</f>
        <v>Mixed</v>
      </c>
      <c r="AT345">
        <f>tbl_OriginalData[[#This Row],[Brand_Loyalty]]</f>
        <v>5</v>
      </c>
      <c r="AU345">
        <f>tbl_OriginalData[[#This Row],[Product_Rating]]</f>
        <v>4</v>
      </c>
      <c r="AV345">
        <f>tbl_OriginalData[[#This Row],[Time_Spent_on_Product_Research(hours)]]*60</f>
        <v>0</v>
      </c>
      <c r="AW345" t="str">
        <f>tbl_OriginalData[[#This Row],[Social_Media_Influence]]</f>
        <v>None</v>
      </c>
      <c r="AX345" t="str">
        <f>tbl_OriginalData[[#This Row],[Discount_Sensitivity]]</f>
        <v>Very Sensitive</v>
      </c>
      <c r="AY345" s="3">
        <f>tbl_OriginalData[[#This Row],[Return_Rate]]/tbl_OriginalData[[#This Row],[Frequency_of_Purchase]]</f>
        <v>0</v>
      </c>
      <c r="AZ345">
        <f>tbl_OriginalData[[#This Row],[Customer_Satisfaction]]</f>
        <v>9</v>
      </c>
      <c r="BA345" t="str">
        <f>tbl_OriginalData[[#This Row],[Engagement_with_Ads]]</f>
        <v>None</v>
      </c>
      <c r="BB345" t="str">
        <f>tbl_OriginalData[[#This Row],[Device_Used_for_Shopping]]</f>
        <v>Tablet</v>
      </c>
      <c r="BC345" t="str">
        <f>tbl_OriginalData[[#This Row],[Payment_Method]]</f>
        <v>Debit Card</v>
      </c>
      <c r="BD345" s="1">
        <f>tbl_OriginalData[[#This Row],[Time_of_Purchase]]</f>
        <v>45404</v>
      </c>
      <c r="BE345" t="str">
        <f>IF(tbl_OriginalData[[#This Row],[Discount_Used]]=TRUE,"Yes","No")</f>
        <v>Yes</v>
      </c>
      <c r="BF345" t="str">
        <f>IF(tbl_OriginalData[[#This Row],[Customer_Loyalty_Program_Member]]=TRUE,"Yes","No")</f>
        <v>Yes</v>
      </c>
      <c r="BG345" t="str">
        <f>tbl_OriginalData[[#This Row],[Purchase_Intent]]</f>
        <v>Planned</v>
      </c>
      <c r="BH345" t="str">
        <f>tbl_OriginalData[[#This Row],[Shipping_Preference]]</f>
        <v>Express</v>
      </c>
      <c r="BI345">
        <f>tbl_OriginalData[[#This Row],[Time_to_Decision]]</f>
        <v>13</v>
      </c>
      <c r="BJ345" t="s">
        <v>62</v>
      </c>
      <c r="BK345" t="s">
        <v>63</v>
      </c>
      <c r="BL345" t="s">
        <v>2523</v>
      </c>
    </row>
    <row r="346" spans="1:64">
      <c r="A346" t="s">
        <v>887</v>
      </c>
      <c r="B346">
        <v>42</v>
      </c>
      <c r="C346" t="s">
        <v>50</v>
      </c>
      <c r="D346" t="s">
        <v>34</v>
      </c>
      <c r="E346" t="s">
        <v>35</v>
      </c>
      <c r="F346" t="s">
        <v>66</v>
      </c>
      <c r="G346" t="s">
        <v>51</v>
      </c>
      <c r="H346" t="s">
        <v>888</v>
      </c>
      <c r="I346" t="s">
        <v>150</v>
      </c>
      <c r="J346">
        <v>138.35</v>
      </c>
      <c r="K346">
        <v>2</v>
      </c>
      <c r="L346" t="s">
        <v>94</v>
      </c>
      <c r="M346">
        <v>4</v>
      </c>
      <c r="N346">
        <v>5</v>
      </c>
      <c r="O346">
        <v>2</v>
      </c>
      <c r="P346" t="s">
        <v>69</v>
      </c>
      <c r="Q346" t="s">
        <v>57</v>
      </c>
      <c r="R346">
        <v>0</v>
      </c>
      <c r="S346">
        <v>2</v>
      </c>
      <c r="T346" t="s">
        <v>69</v>
      </c>
      <c r="U346" t="s">
        <v>70</v>
      </c>
      <c r="V346" t="s">
        <v>76</v>
      </c>
      <c r="W346" s="1">
        <v>45487</v>
      </c>
      <c r="X346" t="b">
        <v>1</v>
      </c>
      <c r="Y346" t="b">
        <v>1</v>
      </c>
      <c r="Z346" t="s">
        <v>59</v>
      </c>
      <c r="AA346" t="s">
        <v>45</v>
      </c>
      <c r="AB346">
        <v>8</v>
      </c>
      <c r="AF346" t="str">
        <f>tbl_OriginalData[[#This Row],[Customer_ID]]</f>
        <v>58-528-6262</v>
      </c>
      <c r="AG346">
        <f>tbl_OriginalData[[#This Row],[Age]]</f>
        <v>42</v>
      </c>
      <c r="AH346" t="str" cm="1">
        <f t="array" ref="AH34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46" t="str">
        <f>tbl_OriginalData[[#This Row],[Gender]]</f>
        <v>Male</v>
      </c>
      <c r="AJ346" t="str">
        <f>tbl_OriginalData[[#This Row],[Income_Level]]</f>
        <v>Middle</v>
      </c>
      <c r="AK346" t="str">
        <f>tbl_OriginalData[[#This Row],[Marital_Status]]</f>
        <v>Married</v>
      </c>
      <c r="AL346" t="str">
        <f>tbl_OriginalData[[#This Row],[Education_Level]]</f>
        <v>Master's</v>
      </c>
      <c r="AM346" t="str">
        <f>tbl_OriginalData[[#This Row],[Occupation]]</f>
        <v>High</v>
      </c>
      <c r="AN346" t="s">
        <v>888</v>
      </c>
      <c r="AO346" t="s">
        <v>85</v>
      </c>
      <c r="AP346" t="str">
        <f>tbl_OriginalData[[#This Row],[Purchase_Category]]</f>
        <v>Software &amp; Apps</v>
      </c>
      <c r="AQ346" s="4">
        <f>tbl_OriginalData[[#This Row],[Purchase_Amount]]</f>
        <v>138.35</v>
      </c>
      <c r="AR346">
        <f>tbl_OriginalData[[#This Row],[Frequency_of_Purchase]]</f>
        <v>2</v>
      </c>
      <c r="AS346" t="str">
        <f>tbl_OriginalData[[#This Row],[Purchase_Channel]]</f>
        <v>Online</v>
      </c>
      <c r="AT346">
        <f>tbl_OriginalData[[#This Row],[Brand_Loyalty]]</f>
        <v>4</v>
      </c>
      <c r="AU346">
        <f>tbl_OriginalData[[#This Row],[Product_Rating]]</f>
        <v>5</v>
      </c>
      <c r="AV346">
        <f>tbl_OriginalData[[#This Row],[Time_Spent_on_Product_Research(hours)]]*60</f>
        <v>120</v>
      </c>
      <c r="AW346" t="str">
        <f>tbl_OriginalData[[#This Row],[Social_Media_Influence]]</f>
        <v>Low</v>
      </c>
      <c r="AX346" t="str">
        <f>tbl_OriginalData[[#This Row],[Discount_Sensitivity]]</f>
        <v>Not Sensitive</v>
      </c>
      <c r="AY346" s="3">
        <f>tbl_OriginalData[[#This Row],[Return_Rate]]/tbl_OriginalData[[#This Row],[Frequency_of_Purchase]]</f>
        <v>0</v>
      </c>
      <c r="AZ346">
        <f>tbl_OriginalData[[#This Row],[Customer_Satisfaction]]</f>
        <v>2</v>
      </c>
      <c r="BA346" t="str">
        <f>tbl_OriginalData[[#This Row],[Engagement_with_Ads]]</f>
        <v>Low</v>
      </c>
      <c r="BB346" t="str">
        <f>tbl_OriginalData[[#This Row],[Device_Used_for_Shopping]]</f>
        <v>Smartphone</v>
      </c>
      <c r="BC346" t="str">
        <f>tbl_OriginalData[[#This Row],[Payment_Method]]</f>
        <v>Other</v>
      </c>
      <c r="BD346" s="1">
        <f>tbl_OriginalData[[#This Row],[Time_of_Purchase]]</f>
        <v>45487</v>
      </c>
      <c r="BE346" t="str">
        <f>IF(tbl_OriginalData[[#This Row],[Discount_Used]]=TRUE,"Yes","No")</f>
        <v>Yes</v>
      </c>
      <c r="BF346" t="str">
        <f>IF(tbl_OriginalData[[#This Row],[Customer_Loyalty_Program_Member]]=TRUE,"Yes","No")</f>
        <v>Yes</v>
      </c>
      <c r="BG346" t="str">
        <f>tbl_OriginalData[[#This Row],[Purchase_Intent]]</f>
        <v>Wants-based</v>
      </c>
      <c r="BH346" t="str">
        <f>tbl_OriginalData[[#This Row],[Shipping_Preference]]</f>
        <v>No Preference</v>
      </c>
      <c r="BI346">
        <f>tbl_OriginalData[[#This Row],[Time_to_Decision]]</f>
        <v>8</v>
      </c>
      <c r="BJ346" t="s">
        <v>114</v>
      </c>
      <c r="BK346" t="s">
        <v>115</v>
      </c>
      <c r="BL346" t="s">
        <v>2524</v>
      </c>
    </row>
    <row r="347" spans="1:64">
      <c r="A347" t="s">
        <v>889</v>
      </c>
      <c r="B347">
        <v>27</v>
      </c>
      <c r="C347" t="s">
        <v>50</v>
      </c>
      <c r="D347" t="s">
        <v>34</v>
      </c>
      <c r="E347" t="s">
        <v>92</v>
      </c>
      <c r="F347" t="s">
        <v>36</v>
      </c>
      <c r="G347" t="s">
        <v>34</v>
      </c>
      <c r="H347" t="s">
        <v>890</v>
      </c>
      <c r="I347" t="s">
        <v>199</v>
      </c>
      <c r="J347">
        <v>441.87</v>
      </c>
      <c r="K347">
        <v>3</v>
      </c>
      <c r="L347" t="s">
        <v>39</v>
      </c>
      <c r="M347">
        <v>1</v>
      </c>
      <c r="N347">
        <v>2</v>
      </c>
      <c r="O347">
        <v>1</v>
      </c>
      <c r="P347" t="s">
        <v>51</v>
      </c>
      <c r="Q347" t="s">
        <v>41</v>
      </c>
      <c r="R347">
        <v>0</v>
      </c>
      <c r="S347">
        <v>10</v>
      </c>
      <c r="T347" t="s">
        <v>56</v>
      </c>
      <c r="U347" t="s">
        <v>70</v>
      </c>
      <c r="V347" t="s">
        <v>58</v>
      </c>
      <c r="W347" s="1">
        <v>45545</v>
      </c>
      <c r="X347" t="b">
        <v>1</v>
      </c>
      <c r="Y347" t="b">
        <v>0</v>
      </c>
      <c r="Z347" t="s">
        <v>59</v>
      </c>
      <c r="AA347" t="s">
        <v>45</v>
      </c>
      <c r="AB347">
        <v>13</v>
      </c>
      <c r="AF347" t="str">
        <f>tbl_OriginalData[[#This Row],[Customer_ID]]</f>
        <v>31-060-2716</v>
      </c>
      <c r="AG347">
        <f>tbl_OriginalData[[#This Row],[Age]]</f>
        <v>27</v>
      </c>
      <c r="AH347" t="str" cm="1">
        <f t="array" ref="AH34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47" t="str">
        <f>tbl_OriginalData[[#This Row],[Gender]]</f>
        <v>Male</v>
      </c>
      <c r="AJ347" t="str">
        <f>tbl_OriginalData[[#This Row],[Income_Level]]</f>
        <v>Middle</v>
      </c>
      <c r="AK347" t="str">
        <f>tbl_OriginalData[[#This Row],[Marital_Status]]</f>
        <v>Divorced</v>
      </c>
      <c r="AL347" t="str">
        <f>tbl_OriginalData[[#This Row],[Education_Level]]</f>
        <v>Bachelor's</v>
      </c>
      <c r="AM347" t="str">
        <f>tbl_OriginalData[[#This Row],[Occupation]]</f>
        <v>Middle</v>
      </c>
      <c r="AN347" t="s">
        <v>890</v>
      </c>
      <c r="AO347" t="s">
        <v>132</v>
      </c>
      <c r="AP347" t="str">
        <f>tbl_OriginalData[[#This Row],[Purchase_Category]]</f>
        <v>Groceries</v>
      </c>
      <c r="AQ347" s="4">
        <f>tbl_OriginalData[[#This Row],[Purchase_Amount]]</f>
        <v>441.87</v>
      </c>
      <c r="AR347">
        <f>tbl_OriginalData[[#This Row],[Frequency_of_Purchase]]</f>
        <v>3</v>
      </c>
      <c r="AS347" t="str">
        <f>tbl_OriginalData[[#This Row],[Purchase_Channel]]</f>
        <v>Mixed</v>
      </c>
      <c r="AT347">
        <f>tbl_OriginalData[[#This Row],[Brand_Loyalty]]</f>
        <v>1</v>
      </c>
      <c r="AU347">
        <f>tbl_OriginalData[[#This Row],[Product_Rating]]</f>
        <v>2</v>
      </c>
      <c r="AV347">
        <f>tbl_OriginalData[[#This Row],[Time_Spent_on_Product_Research(hours)]]*60</f>
        <v>60</v>
      </c>
      <c r="AW347" t="str">
        <f>tbl_OriginalData[[#This Row],[Social_Media_Influence]]</f>
        <v>High</v>
      </c>
      <c r="AX347" t="str">
        <f>tbl_OriginalData[[#This Row],[Discount_Sensitivity]]</f>
        <v>Somewhat Sensitive</v>
      </c>
      <c r="AY347" s="3">
        <f>tbl_OriginalData[[#This Row],[Return_Rate]]/tbl_OriginalData[[#This Row],[Frequency_of_Purchase]]</f>
        <v>0</v>
      </c>
      <c r="AZ347">
        <f>tbl_OriginalData[[#This Row],[Customer_Satisfaction]]</f>
        <v>10</v>
      </c>
      <c r="BA347" t="str">
        <f>tbl_OriginalData[[#This Row],[Engagement_with_Ads]]</f>
        <v>Medium</v>
      </c>
      <c r="BB347" t="str">
        <f>tbl_OriginalData[[#This Row],[Device_Used_for_Shopping]]</f>
        <v>Smartphone</v>
      </c>
      <c r="BC347" t="str">
        <f>tbl_OriginalData[[#This Row],[Payment_Method]]</f>
        <v>PayPal</v>
      </c>
      <c r="BD347" s="1">
        <f>tbl_OriginalData[[#This Row],[Time_of_Purchase]]</f>
        <v>45545</v>
      </c>
      <c r="BE347" t="str">
        <f>IF(tbl_OriginalData[[#This Row],[Discount_Used]]=TRUE,"Yes","No")</f>
        <v>Yes</v>
      </c>
      <c r="BF347" t="str">
        <f>IF(tbl_OriginalData[[#This Row],[Customer_Loyalty_Program_Member]]=TRUE,"Yes","No")</f>
        <v>No</v>
      </c>
      <c r="BG347" t="str">
        <f>tbl_OriginalData[[#This Row],[Purchase_Intent]]</f>
        <v>Wants-based</v>
      </c>
      <c r="BH347" t="str">
        <f>tbl_OriginalData[[#This Row],[Shipping_Preference]]</f>
        <v>No Preference</v>
      </c>
      <c r="BI347">
        <f>tbl_OriginalData[[#This Row],[Time_to_Decision]]</f>
        <v>13</v>
      </c>
      <c r="BJ347" t="s">
        <v>172</v>
      </c>
      <c r="BK347" t="s">
        <v>115</v>
      </c>
      <c r="BL347" t="s">
        <v>2525</v>
      </c>
    </row>
    <row r="348" spans="1:64">
      <c r="A348" t="s">
        <v>891</v>
      </c>
      <c r="B348">
        <v>40</v>
      </c>
      <c r="C348" t="s">
        <v>33</v>
      </c>
      <c r="D348" t="s">
        <v>34</v>
      </c>
      <c r="E348" t="s">
        <v>35</v>
      </c>
      <c r="F348" t="s">
        <v>66</v>
      </c>
      <c r="G348" t="s">
        <v>34</v>
      </c>
      <c r="H348" t="s">
        <v>892</v>
      </c>
      <c r="I348" t="s">
        <v>229</v>
      </c>
      <c r="J348">
        <v>178.29</v>
      </c>
      <c r="K348">
        <v>4</v>
      </c>
      <c r="L348" t="s">
        <v>39</v>
      </c>
      <c r="M348">
        <v>4</v>
      </c>
      <c r="N348">
        <v>3</v>
      </c>
      <c r="O348">
        <v>2</v>
      </c>
      <c r="P348" t="s">
        <v>69</v>
      </c>
      <c r="Q348" t="s">
        <v>101</v>
      </c>
      <c r="R348">
        <v>2</v>
      </c>
      <c r="S348">
        <v>10</v>
      </c>
      <c r="T348" t="s">
        <v>51</v>
      </c>
      <c r="U348" t="s">
        <v>95</v>
      </c>
      <c r="V348" t="s">
        <v>102</v>
      </c>
      <c r="W348" s="1">
        <v>45502</v>
      </c>
      <c r="X348" t="b">
        <v>0</v>
      </c>
      <c r="Y348" t="b">
        <v>1</v>
      </c>
      <c r="Z348" t="s">
        <v>89</v>
      </c>
      <c r="AA348" t="s">
        <v>45</v>
      </c>
      <c r="AB348">
        <v>8</v>
      </c>
      <c r="AF348" t="str">
        <f>tbl_OriginalData[[#This Row],[Customer_ID]]</f>
        <v>81-515-5823</v>
      </c>
      <c r="AG348">
        <f>tbl_OriginalData[[#This Row],[Age]]</f>
        <v>40</v>
      </c>
      <c r="AH348" t="str" cm="1">
        <f t="array" ref="AH34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48" t="str">
        <f>tbl_OriginalData[[#This Row],[Gender]]</f>
        <v>Female</v>
      </c>
      <c r="AJ348" t="str">
        <f>tbl_OriginalData[[#This Row],[Income_Level]]</f>
        <v>Middle</v>
      </c>
      <c r="AK348" t="str">
        <f>tbl_OriginalData[[#This Row],[Marital_Status]]</f>
        <v>Married</v>
      </c>
      <c r="AL348" t="str">
        <f>tbl_OriginalData[[#This Row],[Education_Level]]</f>
        <v>Master's</v>
      </c>
      <c r="AM348" t="str">
        <f>tbl_OriginalData[[#This Row],[Occupation]]</f>
        <v>Middle</v>
      </c>
      <c r="AN348" t="s">
        <v>892</v>
      </c>
      <c r="AO348" t="s">
        <v>61</v>
      </c>
      <c r="AP348" t="str">
        <f>tbl_OriginalData[[#This Row],[Purchase_Category]]</f>
        <v>Clothing</v>
      </c>
      <c r="AQ348" s="4">
        <f>tbl_OriginalData[[#This Row],[Purchase_Amount]]</f>
        <v>178.29</v>
      </c>
      <c r="AR348">
        <f>tbl_OriginalData[[#This Row],[Frequency_of_Purchase]]</f>
        <v>4</v>
      </c>
      <c r="AS348" t="str">
        <f>tbl_OriginalData[[#This Row],[Purchase_Channel]]</f>
        <v>Mixed</v>
      </c>
      <c r="AT348">
        <f>tbl_OriginalData[[#This Row],[Brand_Loyalty]]</f>
        <v>4</v>
      </c>
      <c r="AU348">
        <f>tbl_OriginalData[[#This Row],[Product_Rating]]</f>
        <v>3</v>
      </c>
      <c r="AV348">
        <f>tbl_OriginalData[[#This Row],[Time_Spent_on_Product_Research(hours)]]*60</f>
        <v>120</v>
      </c>
      <c r="AW348" t="str">
        <f>tbl_OriginalData[[#This Row],[Social_Media_Influence]]</f>
        <v>Low</v>
      </c>
      <c r="AX348" t="str">
        <f>tbl_OriginalData[[#This Row],[Discount_Sensitivity]]</f>
        <v>Very Sensitive</v>
      </c>
      <c r="AY348" s="3">
        <f>tbl_OriginalData[[#This Row],[Return_Rate]]/tbl_OriginalData[[#This Row],[Frequency_of_Purchase]]</f>
        <v>0.5</v>
      </c>
      <c r="AZ348">
        <f>tbl_OriginalData[[#This Row],[Customer_Satisfaction]]</f>
        <v>10</v>
      </c>
      <c r="BA348" t="str">
        <f>tbl_OriginalData[[#This Row],[Engagement_with_Ads]]</f>
        <v>High</v>
      </c>
      <c r="BB348" t="str">
        <f>tbl_OriginalData[[#This Row],[Device_Used_for_Shopping]]</f>
        <v>Desktop</v>
      </c>
      <c r="BC348" t="str">
        <f>tbl_OriginalData[[#This Row],[Payment_Method]]</f>
        <v>Cash</v>
      </c>
      <c r="BD348" s="1">
        <f>tbl_OriginalData[[#This Row],[Time_of_Purchase]]</f>
        <v>45502</v>
      </c>
      <c r="BE348" t="str">
        <f>IF(tbl_OriginalData[[#This Row],[Discount_Used]]=TRUE,"Yes","No")</f>
        <v>No</v>
      </c>
      <c r="BF348" t="str">
        <f>IF(tbl_OriginalData[[#This Row],[Customer_Loyalty_Program_Member]]=TRUE,"Yes","No")</f>
        <v>Yes</v>
      </c>
      <c r="BG348" t="str">
        <f>tbl_OriginalData[[#This Row],[Purchase_Intent]]</f>
        <v>Planned</v>
      </c>
      <c r="BH348" t="str">
        <f>tbl_OriginalData[[#This Row],[Shipping_Preference]]</f>
        <v>No Preference</v>
      </c>
      <c r="BI348">
        <f>tbl_OriginalData[[#This Row],[Time_to_Decision]]</f>
        <v>8</v>
      </c>
      <c r="BJ348" t="s">
        <v>114</v>
      </c>
      <c r="BK348" t="s">
        <v>115</v>
      </c>
      <c r="BL348" t="s">
        <v>2524</v>
      </c>
    </row>
    <row r="349" spans="1:64">
      <c r="A349" t="s">
        <v>893</v>
      </c>
      <c r="B349">
        <v>23</v>
      </c>
      <c r="C349" t="s">
        <v>50</v>
      </c>
      <c r="D349" t="s">
        <v>34</v>
      </c>
      <c r="E349" t="s">
        <v>82</v>
      </c>
      <c r="F349" t="s">
        <v>52</v>
      </c>
      <c r="G349" t="s">
        <v>51</v>
      </c>
      <c r="H349" t="s">
        <v>894</v>
      </c>
      <c r="I349" t="s">
        <v>108</v>
      </c>
      <c r="J349">
        <v>77.08</v>
      </c>
      <c r="K349">
        <v>10</v>
      </c>
      <c r="L349" t="s">
        <v>39</v>
      </c>
      <c r="M349">
        <v>2</v>
      </c>
      <c r="N349">
        <v>1</v>
      </c>
      <c r="O349">
        <v>0</v>
      </c>
      <c r="P349" t="s">
        <v>51</v>
      </c>
      <c r="Q349" t="s">
        <v>57</v>
      </c>
      <c r="R349">
        <v>0</v>
      </c>
      <c r="S349">
        <v>8</v>
      </c>
      <c r="T349" t="s">
        <v>40</v>
      </c>
      <c r="U349" t="s">
        <v>42</v>
      </c>
      <c r="V349" t="s">
        <v>58</v>
      </c>
      <c r="W349" s="1">
        <v>45580</v>
      </c>
      <c r="X349" t="b">
        <v>1</v>
      </c>
      <c r="Y349" t="b">
        <v>1</v>
      </c>
      <c r="Z349" t="s">
        <v>72</v>
      </c>
      <c r="AA349" t="s">
        <v>60</v>
      </c>
      <c r="AB349">
        <v>1</v>
      </c>
      <c r="AF349" t="str">
        <f>tbl_OriginalData[[#This Row],[Customer_ID]]</f>
        <v>90-858-0453</v>
      </c>
      <c r="AG349">
        <f>tbl_OriginalData[[#This Row],[Age]]</f>
        <v>23</v>
      </c>
      <c r="AH349" t="str" cm="1">
        <f t="array" ref="AH34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49" t="str">
        <f>tbl_OriginalData[[#This Row],[Gender]]</f>
        <v>Male</v>
      </c>
      <c r="AJ349" t="str">
        <f>tbl_OriginalData[[#This Row],[Income_Level]]</f>
        <v>Middle</v>
      </c>
      <c r="AK349" t="str">
        <f>tbl_OriginalData[[#This Row],[Marital_Status]]</f>
        <v>Widowed</v>
      </c>
      <c r="AL349" t="str">
        <f>tbl_OriginalData[[#This Row],[Education_Level]]</f>
        <v>High School</v>
      </c>
      <c r="AM349" t="str">
        <f>tbl_OriginalData[[#This Row],[Occupation]]</f>
        <v>High</v>
      </c>
      <c r="AN349" t="s">
        <v>894</v>
      </c>
      <c r="AO349" t="s">
        <v>90</v>
      </c>
      <c r="AP349" t="str">
        <f>tbl_OriginalData[[#This Row],[Purchase_Category]]</f>
        <v>Sports &amp; Outdoors</v>
      </c>
      <c r="AQ349" s="4">
        <f>tbl_OriginalData[[#This Row],[Purchase_Amount]]</f>
        <v>77.08</v>
      </c>
      <c r="AR349">
        <f>tbl_OriginalData[[#This Row],[Frequency_of_Purchase]]</f>
        <v>10</v>
      </c>
      <c r="AS349" t="str">
        <f>tbl_OriginalData[[#This Row],[Purchase_Channel]]</f>
        <v>Mixed</v>
      </c>
      <c r="AT349">
        <f>tbl_OriginalData[[#This Row],[Brand_Loyalty]]</f>
        <v>2</v>
      </c>
      <c r="AU349">
        <f>tbl_OriginalData[[#This Row],[Product_Rating]]</f>
        <v>1</v>
      </c>
      <c r="AV349">
        <f>tbl_OriginalData[[#This Row],[Time_Spent_on_Product_Research(hours)]]*60</f>
        <v>0</v>
      </c>
      <c r="AW349" t="str">
        <f>tbl_OriginalData[[#This Row],[Social_Media_Influence]]</f>
        <v>High</v>
      </c>
      <c r="AX349" t="str">
        <f>tbl_OriginalData[[#This Row],[Discount_Sensitivity]]</f>
        <v>Not Sensitive</v>
      </c>
      <c r="AY349" s="3">
        <f>tbl_OriginalData[[#This Row],[Return_Rate]]/tbl_OriginalData[[#This Row],[Frequency_of_Purchase]]</f>
        <v>0</v>
      </c>
      <c r="AZ349">
        <f>tbl_OriginalData[[#This Row],[Customer_Satisfaction]]</f>
        <v>8</v>
      </c>
      <c r="BA349" t="str">
        <f>tbl_OriginalData[[#This Row],[Engagement_with_Ads]]</f>
        <v>None</v>
      </c>
      <c r="BB349" t="str">
        <f>tbl_OriginalData[[#This Row],[Device_Used_for_Shopping]]</f>
        <v>Tablet</v>
      </c>
      <c r="BC349" t="str">
        <f>tbl_OriginalData[[#This Row],[Payment_Method]]</f>
        <v>PayPal</v>
      </c>
      <c r="BD349" s="1">
        <f>tbl_OriginalData[[#This Row],[Time_of_Purchase]]</f>
        <v>45580</v>
      </c>
      <c r="BE349" t="str">
        <f>IF(tbl_OriginalData[[#This Row],[Discount_Used]]=TRUE,"Yes","No")</f>
        <v>Yes</v>
      </c>
      <c r="BF349" t="str">
        <f>IF(tbl_OriginalData[[#This Row],[Customer_Loyalty_Program_Member]]=TRUE,"Yes","No")</f>
        <v>Yes</v>
      </c>
      <c r="BG349" t="str">
        <f>tbl_OriginalData[[#This Row],[Purchase_Intent]]</f>
        <v>Impulsive</v>
      </c>
      <c r="BH349" t="str">
        <f>tbl_OriginalData[[#This Row],[Shipping_Preference]]</f>
        <v>Standard</v>
      </c>
      <c r="BI349">
        <f>tbl_OriginalData[[#This Row],[Time_to_Decision]]</f>
        <v>1</v>
      </c>
      <c r="BJ349" t="s">
        <v>79</v>
      </c>
      <c r="BK349" t="s">
        <v>80</v>
      </c>
      <c r="BL349" t="s">
        <v>2524</v>
      </c>
    </row>
    <row r="350" spans="1:64">
      <c r="A350" t="s">
        <v>895</v>
      </c>
      <c r="B350">
        <v>46</v>
      </c>
      <c r="C350" t="s">
        <v>50</v>
      </c>
      <c r="D350" t="s">
        <v>51</v>
      </c>
      <c r="E350" t="s">
        <v>35</v>
      </c>
      <c r="F350" t="s">
        <v>52</v>
      </c>
      <c r="G350" t="s">
        <v>51</v>
      </c>
      <c r="H350" t="s">
        <v>896</v>
      </c>
      <c r="I350" t="s">
        <v>68</v>
      </c>
      <c r="J350">
        <v>266.89999999999998</v>
      </c>
      <c r="K350">
        <v>11</v>
      </c>
      <c r="L350" t="s">
        <v>39</v>
      </c>
      <c r="M350">
        <v>4</v>
      </c>
      <c r="N350">
        <v>2</v>
      </c>
      <c r="O350">
        <v>2</v>
      </c>
      <c r="P350" t="s">
        <v>69</v>
      </c>
      <c r="Q350" t="s">
        <v>57</v>
      </c>
      <c r="R350">
        <v>1</v>
      </c>
      <c r="S350">
        <v>8</v>
      </c>
      <c r="T350" t="s">
        <v>56</v>
      </c>
      <c r="U350" t="s">
        <v>95</v>
      </c>
      <c r="V350" t="s">
        <v>58</v>
      </c>
      <c r="W350" s="1">
        <v>45474</v>
      </c>
      <c r="X350" t="b">
        <v>0</v>
      </c>
      <c r="Y350" t="b">
        <v>1</v>
      </c>
      <c r="Z350" t="s">
        <v>59</v>
      </c>
      <c r="AA350" t="s">
        <v>77</v>
      </c>
      <c r="AB350">
        <v>13</v>
      </c>
      <c r="AF350" t="str">
        <f>tbl_OriginalData[[#This Row],[Customer_ID]]</f>
        <v>28-874-8938</v>
      </c>
      <c r="AG350">
        <f>tbl_OriginalData[[#This Row],[Age]]</f>
        <v>46</v>
      </c>
      <c r="AH350" t="str" cm="1">
        <f t="array" ref="AH35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50" t="str">
        <f>tbl_OriginalData[[#This Row],[Gender]]</f>
        <v>Male</v>
      </c>
      <c r="AJ350" t="str">
        <f>tbl_OriginalData[[#This Row],[Income_Level]]</f>
        <v>High</v>
      </c>
      <c r="AK350" t="str">
        <f>tbl_OriginalData[[#This Row],[Marital_Status]]</f>
        <v>Married</v>
      </c>
      <c r="AL350" t="str">
        <f>tbl_OriginalData[[#This Row],[Education_Level]]</f>
        <v>High School</v>
      </c>
      <c r="AM350" t="str">
        <f>tbl_OriginalData[[#This Row],[Occupation]]</f>
        <v>High</v>
      </c>
      <c r="AN350" t="s">
        <v>896</v>
      </c>
      <c r="AO350" t="s">
        <v>897</v>
      </c>
      <c r="AP350" t="str">
        <f>tbl_OriginalData[[#This Row],[Purchase_Category]]</f>
        <v>Office Supplies</v>
      </c>
      <c r="AQ350" s="4">
        <f>tbl_OriginalData[[#This Row],[Purchase_Amount]]</f>
        <v>266.89999999999998</v>
      </c>
      <c r="AR350">
        <f>tbl_OriginalData[[#This Row],[Frequency_of_Purchase]]</f>
        <v>11</v>
      </c>
      <c r="AS350" t="str">
        <f>tbl_OriginalData[[#This Row],[Purchase_Channel]]</f>
        <v>Mixed</v>
      </c>
      <c r="AT350">
        <f>tbl_OriginalData[[#This Row],[Brand_Loyalty]]</f>
        <v>4</v>
      </c>
      <c r="AU350">
        <f>tbl_OriginalData[[#This Row],[Product_Rating]]</f>
        <v>2</v>
      </c>
      <c r="AV350">
        <f>tbl_OriginalData[[#This Row],[Time_Spent_on_Product_Research(hours)]]*60</f>
        <v>120</v>
      </c>
      <c r="AW350" t="str">
        <f>tbl_OriginalData[[#This Row],[Social_Media_Influence]]</f>
        <v>Low</v>
      </c>
      <c r="AX350" t="str">
        <f>tbl_OriginalData[[#This Row],[Discount_Sensitivity]]</f>
        <v>Not Sensitive</v>
      </c>
      <c r="AY350" s="3">
        <f>tbl_OriginalData[[#This Row],[Return_Rate]]/tbl_OriginalData[[#This Row],[Frequency_of_Purchase]]</f>
        <v>9.0909090909090912E-2</v>
      </c>
      <c r="AZ350">
        <f>tbl_OriginalData[[#This Row],[Customer_Satisfaction]]</f>
        <v>8</v>
      </c>
      <c r="BA350" t="str">
        <f>tbl_OriginalData[[#This Row],[Engagement_with_Ads]]</f>
        <v>Medium</v>
      </c>
      <c r="BB350" t="str">
        <f>tbl_OriginalData[[#This Row],[Device_Used_for_Shopping]]</f>
        <v>Desktop</v>
      </c>
      <c r="BC350" t="str">
        <f>tbl_OriginalData[[#This Row],[Payment_Method]]</f>
        <v>PayPal</v>
      </c>
      <c r="BD350" s="1">
        <f>tbl_OriginalData[[#This Row],[Time_of_Purchase]]</f>
        <v>45474</v>
      </c>
      <c r="BE350" t="str">
        <f>IF(tbl_OriginalData[[#This Row],[Discount_Used]]=TRUE,"Yes","No")</f>
        <v>No</v>
      </c>
      <c r="BF350" t="str">
        <f>IF(tbl_OriginalData[[#This Row],[Customer_Loyalty_Program_Member]]=TRUE,"Yes","No")</f>
        <v>Yes</v>
      </c>
      <c r="BG350" t="str">
        <f>tbl_OriginalData[[#This Row],[Purchase_Intent]]</f>
        <v>Wants-based</v>
      </c>
      <c r="BH350" t="str">
        <f>tbl_OriginalData[[#This Row],[Shipping_Preference]]</f>
        <v>Express</v>
      </c>
      <c r="BI350">
        <f>tbl_OriginalData[[#This Row],[Time_to_Decision]]</f>
        <v>13</v>
      </c>
      <c r="BJ350" t="s">
        <v>114</v>
      </c>
      <c r="BK350" t="s">
        <v>115</v>
      </c>
      <c r="BL350" t="s">
        <v>2524</v>
      </c>
    </row>
    <row r="351" spans="1:64">
      <c r="A351" t="s">
        <v>898</v>
      </c>
      <c r="B351">
        <v>38</v>
      </c>
      <c r="C351" t="s">
        <v>33</v>
      </c>
      <c r="D351" t="s">
        <v>34</v>
      </c>
      <c r="E351" t="s">
        <v>92</v>
      </c>
      <c r="F351" t="s">
        <v>36</v>
      </c>
      <c r="G351" t="s">
        <v>51</v>
      </c>
      <c r="H351" t="s">
        <v>899</v>
      </c>
      <c r="I351" t="s">
        <v>147</v>
      </c>
      <c r="J351">
        <v>269.83999999999997</v>
      </c>
      <c r="K351">
        <v>4</v>
      </c>
      <c r="L351" t="s">
        <v>55</v>
      </c>
      <c r="M351">
        <v>5</v>
      </c>
      <c r="N351">
        <v>4</v>
      </c>
      <c r="O351">
        <v>0</v>
      </c>
      <c r="P351" t="s">
        <v>69</v>
      </c>
      <c r="Q351" t="s">
        <v>57</v>
      </c>
      <c r="R351">
        <v>2</v>
      </c>
      <c r="S351">
        <v>9</v>
      </c>
      <c r="T351" t="s">
        <v>69</v>
      </c>
      <c r="U351" t="s">
        <v>42</v>
      </c>
      <c r="V351" t="s">
        <v>43</v>
      </c>
      <c r="W351" s="1">
        <v>45416</v>
      </c>
      <c r="X351" t="b">
        <v>1</v>
      </c>
      <c r="Y351" t="b">
        <v>1</v>
      </c>
      <c r="Z351" t="s">
        <v>59</v>
      </c>
      <c r="AA351" t="s">
        <v>45</v>
      </c>
      <c r="AB351">
        <v>2</v>
      </c>
      <c r="AF351" t="str">
        <f>tbl_OriginalData[[#This Row],[Customer_ID]]</f>
        <v>89-625-5542</v>
      </c>
      <c r="AG351">
        <f>tbl_OriginalData[[#This Row],[Age]]</f>
        <v>38</v>
      </c>
      <c r="AH351" t="str" cm="1">
        <f t="array" ref="AH35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51" t="str">
        <f>tbl_OriginalData[[#This Row],[Gender]]</f>
        <v>Female</v>
      </c>
      <c r="AJ351" t="str">
        <f>tbl_OriginalData[[#This Row],[Income_Level]]</f>
        <v>Middle</v>
      </c>
      <c r="AK351" t="str">
        <f>tbl_OriginalData[[#This Row],[Marital_Status]]</f>
        <v>Divorced</v>
      </c>
      <c r="AL351" t="str">
        <f>tbl_OriginalData[[#This Row],[Education_Level]]</f>
        <v>Bachelor's</v>
      </c>
      <c r="AM351" t="str">
        <f>tbl_OriginalData[[#This Row],[Occupation]]</f>
        <v>High</v>
      </c>
      <c r="AN351" t="s">
        <v>899</v>
      </c>
      <c r="AO351" t="s">
        <v>186</v>
      </c>
      <c r="AP351" t="str">
        <f>tbl_OriginalData[[#This Row],[Purchase_Category]]</f>
        <v>Electronics</v>
      </c>
      <c r="AQ351" s="4">
        <f>tbl_OriginalData[[#This Row],[Purchase_Amount]]</f>
        <v>269.83999999999997</v>
      </c>
      <c r="AR351">
        <f>tbl_OriginalData[[#This Row],[Frequency_of_Purchase]]</f>
        <v>4</v>
      </c>
      <c r="AS351" t="str">
        <f>tbl_OriginalData[[#This Row],[Purchase_Channel]]</f>
        <v>In-Store</v>
      </c>
      <c r="AT351">
        <f>tbl_OriginalData[[#This Row],[Brand_Loyalty]]</f>
        <v>5</v>
      </c>
      <c r="AU351">
        <f>tbl_OriginalData[[#This Row],[Product_Rating]]</f>
        <v>4</v>
      </c>
      <c r="AV351">
        <f>tbl_OriginalData[[#This Row],[Time_Spent_on_Product_Research(hours)]]*60</f>
        <v>0</v>
      </c>
      <c r="AW351" t="str">
        <f>tbl_OriginalData[[#This Row],[Social_Media_Influence]]</f>
        <v>Low</v>
      </c>
      <c r="AX351" t="str">
        <f>tbl_OriginalData[[#This Row],[Discount_Sensitivity]]</f>
        <v>Not Sensitive</v>
      </c>
      <c r="AY351" s="3">
        <f>tbl_OriginalData[[#This Row],[Return_Rate]]/tbl_OriginalData[[#This Row],[Frequency_of_Purchase]]</f>
        <v>0.5</v>
      </c>
      <c r="AZ351">
        <f>tbl_OriginalData[[#This Row],[Customer_Satisfaction]]</f>
        <v>9</v>
      </c>
      <c r="BA351" t="str">
        <f>tbl_OriginalData[[#This Row],[Engagement_with_Ads]]</f>
        <v>Low</v>
      </c>
      <c r="BB351" t="str">
        <f>tbl_OriginalData[[#This Row],[Device_Used_for_Shopping]]</f>
        <v>Tablet</v>
      </c>
      <c r="BC351" t="str">
        <f>tbl_OriginalData[[#This Row],[Payment_Method]]</f>
        <v>Credit Card</v>
      </c>
      <c r="BD351" s="1">
        <f>tbl_OriginalData[[#This Row],[Time_of_Purchase]]</f>
        <v>45416</v>
      </c>
      <c r="BE351" t="str">
        <f>IF(tbl_OriginalData[[#This Row],[Discount_Used]]=TRUE,"Yes","No")</f>
        <v>Yes</v>
      </c>
      <c r="BF351" t="str">
        <f>IF(tbl_OriginalData[[#This Row],[Customer_Loyalty_Program_Member]]=TRUE,"Yes","No")</f>
        <v>Yes</v>
      </c>
      <c r="BG351" t="str">
        <f>tbl_OriginalData[[#This Row],[Purchase_Intent]]</f>
        <v>Wants-based</v>
      </c>
      <c r="BH351" t="str">
        <f>tbl_OriginalData[[#This Row],[Shipping_Preference]]</f>
        <v>No Preference</v>
      </c>
      <c r="BI351">
        <f>tbl_OriginalData[[#This Row],[Time_to_Decision]]</f>
        <v>2</v>
      </c>
      <c r="BJ351" t="s">
        <v>167</v>
      </c>
      <c r="BK351" t="s">
        <v>63</v>
      </c>
      <c r="BL351" t="s">
        <v>2523</v>
      </c>
    </row>
    <row r="352" spans="1:64">
      <c r="A352" t="s">
        <v>900</v>
      </c>
      <c r="B352">
        <v>23</v>
      </c>
      <c r="C352" t="s">
        <v>50</v>
      </c>
      <c r="D352" t="s">
        <v>34</v>
      </c>
      <c r="E352" t="s">
        <v>35</v>
      </c>
      <c r="F352" t="s">
        <v>66</v>
      </c>
      <c r="G352" t="s">
        <v>51</v>
      </c>
      <c r="H352" t="s">
        <v>901</v>
      </c>
      <c r="I352" t="s">
        <v>75</v>
      </c>
      <c r="J352">
        <v>334.22</v>
      </c>
      <c r="K352">
        <v>8</v>
      </c>
      <c r="L352" t="s">
        <v>94</v>
      </c>
      <c r="M352">
        <v>2</v>
      </c>
      <c r="N352">
        <v>2</v>
      </c>
      <c r="O352">
        <v>2</v>
      </c>
      <c r="P352" t="s">
        <v>40</v>
      </c>
      <c r="Q352" t="s">
        <v>101</v>
      </c>
      <c r="R352">
        <v>2</v>
      </c>
      <c r="S352">
        <v>8</v>
      </c>
      <c r="T352" t="s">
        <v>40</v>
      </c>
      <c r="U352" t="s">
        <v>42</v>
      </c>
      <c r="V352" t="s">
        <v>102</v>
      </c>
      <c r="W352" s="1">
        <v>45353</v>
      </c>
      <c r="X352" t="b">
        <v>0</v>
      </c>
      <c r="Y352" t="b">
        <v>0</v>
      </c>
      <c r="Z352" t="s">
        <v>44</v>
      </c>
      <c r="AA352" t="s">
        <v>60</v>
      </c>
      <c r="AB352">
        <v>1</v>
      </c>
      <c r="AF352" t="str">
        <f>tbl_OriginalData[[#This Row],[Customer_ID]]</f>
        <v>07-966-8728</v>
      </c>
      <c r="AG352">
        <f>tbl_OriginalData[[#This Row],[Age]]</f>
        <v>23</v>
      </c>
      <c r="AH352" t="str" cm="1">
        <f t="array" ref="AH35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52" t="str">
        <f>tbl_OriginalData[[#This Row],[Gender]]</f>
        <v>Male</v>
      </c>
      <c r="AJ352" t="str">
        <f>tbl_OriginalData[[#This Row],[Income_Level]]</f>
        <v>Middle</v>
      </c>
      <c r="AK352" t="str">
        <f>tbl_OriginalData[[#This Row],[Marital_Status]]</f>
        <v>Married</v>
      </c>
      <c r="AL352" t="str">
        <f>tbl_OriginalData[[#This Row],[Education_Level]]</f>
        <v>Master's</v>
      </c>
      <c r="AM352" t="str">
        <f>tbl_OriginalData[[#This Row],[Occupation]]</f>
        <v>High</v>
      </c>
      <c r="AN352" t="s">
        <v>901</v>
      </c>
      <c r="AO352" t="s">
        <v>902</v>
      </c>
      <c r="AP352" t="str">
        <f>tbl_OriginalData[[#This Row],[Purchase_Category]]</f>
        <v>Home Appliances</v>
      </c>
      <c r="AQ352" s="4">
        <f>tbl_OriginalData[[#This Row],[Purchase_Amount]]</f>
        <v>334.22</v>
      </c>
      <c r="AR352">
        <f>tbl_OriginalData[[#This Row],[Frequency_of_Purchase]]</f>
        <v>8</v>
      </c>
      <c r="AS352" t="str">
        <f>tbl_OriginalData[[#This Row],[Purchase_Channel]]</f>
        <v>Online</v>
      </c>
      <c r="AT352">
        <f>tbl_OriginalData[[#This Row],[Brand_Loyalty]]</f>
        <v>2</v>
      </c>
      <c r="AU352">
        <f>tbl_OriginalData[[#This Row],[Product_Rating]]</f>
        <v>2</v>
      </c>
      <c r="AV352">
        <f>tbl_OriginalData[[#This Row],[Time_Spent_on_Product_Research(hours)]]*60</f>
        <v>120</v>
      </c>
      <c r="AW352" t="str">
        <f>tbl_OriginalData[[#This Row],[Social_Media_Influence]]</f>
        <v>None</v>
      </c>
      <c r="AX352" t="str">
        <f>tbl_OriginalData[[#This Row],[Discount_Sensitivity]]</f>
        <v>Very Sensitive</v>
      </c>
      <c r="AY352" s="3">
        <f>tbl_OriginalData[[#This Row],[Return_Rate]]/tbl_OriginalData[[#This Row],[Frequency_of_Purchase]]</f>
        <v>0.25</v>
      </c>
      <c r="AZ352">
        <f>tbl_OriginalData[[#This Row],[Customer_Satisfaction]]</f>
        <v>8</v>
      </c>
      <c r="BA352" t="str">
        <f>tbl_OriginalData[[#This Row],[Engagement_with_Ads]]</f>
        <v>None</v>
      </c>
      <c r="BB352" t="str">
        <f>tbl_OriginalData[[#This Row],[Device_Used_for_Shopping]]</f>
        <v>Tablet</v>
      </c>
      <c r="BC352" t="str">
        <f>tbl_OriginalData[[#This Row],[Payment_Method]]</f>
        <v>Cash</v>
      </c>
      <c r="BD352" s="1">
        <f>tbl_OriginalData[[#This Row],[Time_of_Purchase]]</f>
        <v>45353</v>
      </c>
      <c r="BE352" t="str">
        <f>IF(tbl_OriginalData[[#This Row],[Discount_Used]]=TRUE,"Yes","No")</f>
        <v>No</v>
      </c>
      <c r="BF352" t="str">
        <f>IF(tbl_OriginalData[[#This Row],[Customer_Loyalty_Program_Member]]=TRUE,"Yes","No")</f>
        <v>No</v>
      </c>
      <c r="BG352" t="str">
        <f>tbl_OriginalData[[#This Row],[Purchase_Intent]]</f>
        <v>Need-based</v>
      </c>
      <c r="BH352" t="str">
        <f>tbl_OriginalData[[#This Row],[Shipping_Preference]]</f>
        <v>Standard</v>
      </c>
      <c r="BI352">
        <f>tbl_OriginalData[[#This Row],[Time_to_Decision]]</f>
        <v>1</v>
      </c>
      <c r="BJ352" t="s">
        <v>47</v>
      </c>
      <c r="BK352" t="s">
        <v>48</v>
      </c>
      <c r="BL352" t="s">
        <v>2528</v>
      </c>
    </row>
    <row r="353" spans="1:64">
      <c r="A353" t="s">
        <v>903</v>
      </c>
      <c r="B353">
        <v>40</v>
      </c>
      <c r="C353" t="s">
        <v>33</v>
      </c>
      <c r="D353" t="s">
        <v>34</v>
      </c>
      <c r="E353" t="s">
        <v>35</v>
      </c>
      <c r="F353" t="s">
        <v>52</v>
      </c>
      <c r="G353" t="s">
        <v>51</v>
      </c>
      <c r="H353" t="s">
        <v>904</v>
      </c>
      <c r="I353" t="s">
        <v>242</v>
      </c>
      <c r="J353">
        <v>474.56</v>
      </c>
      <c r="K353">
        <v>8</v>
      </c>
      <c r="L353" t="s">
        <v>55</v>
      </c>
      <c r="M353">
        <v>1</v>
      </c>
      <c r="N353">
        <v>5</v>
      </c>
      <c r="O353">
        <v>2</v>
      </c>
      <c r="P353" t="s">
        <v>69</v>
      </c>
      <c r="Q353" t="s">
        <v>57</v>
      </c>
      <c r="R353">
        <v>1</v>
      </c>
      <c r="S353">
        <v>6</v>
      </c>
      <c r="T353" t="s">
        <v>51</v>
      </c>
      <c r="U353" t="s">
        <v>70</v>
      </c>
      <c r="V353" t="s">
        <v>58</v>
      </c>
      <c r="W353" s="1">
        <v>45399</v>
      </c>
      <c r="X353" t="b">
        <v>1</v>
      </c>
      <c r="Y353" t="b">
        <v>0</v>
      </c>
      <c r="Z353" t="s">
        <v>89</v>
      </c>
      <c r="AA353" t="s">
        <v>60</v>
      </c>
      <c r="AB353">
        <v>12</v>
      </c>
      <c r="AF353" t="str">
        <f>tbl_OriginalData[[#This Row],[Customer_ID]]</f>
        <v>94-408-2581</v>
      </c>
      <c r="AG353">
        <f>tbl_OriginalData[[#This Row],[Age]]</f>
        <v>40</v>
      </c>
      <c r="AH353" t="str" cm="1">
        <f t="array" ref="AH35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53" t="str">
        <f>tbl_OriginalData[[#This Row],[Gender]]</f>
        <v>Female</v>
      </c>
      <c r="AJ353" t="str">
        <f>tbl_OriginalData[[#This Row],[Income_Level]]</f>
        <v>Middle</v>
      </c>
      <c r="AK353" t="str">
        <f>tbl_OriginalData[[#This Row],[Marital_Status]]</f>
        <v>Married</v>
      </c>
      <c r="AL353" t="str">
        <f>tbl_OriginalData[[#This Row],[Education_Level]]</f>
        <v>High School</v>
      </c>
      <c r="AM353" t="str">
        <f>tbl_OriginalData[[#This Row],[Occupation]]</f>
        <v>High</v>
      </c>
      <c r="AN353" t="s">
        <v>904</v>
      </c>
      <c r="AO353" t="s">
        <v>46</v>
      </c>
      <c r="AP353" t="str">
        <f>tbl_OriginalData[[#This Row],[Purchase_Category]]</f>
        <v>Travel &amp; Leisure (Flights</v>
      </c>
      <c r="AQ353" s="4">
        <f>tbl_OriginalData[[#This Row],[Purchase_Amount]]</f>
        <v>474.56</v>
      </c>
      <c r="AR353">
        <f>tbl_OriginalData[[#This Row],[Frequency_of_Purchase]]</f>
        <v>8</v>
      </c>
      <c r="AS353" t="str">
        <f>tbl_OriginalData[[#This Row],[Purchase_Channel]]</f>
        <v>In-Store</v>
      </c>
      <c r="AT353">
        <f>tbl_OriginalData[[#This Row],[Brand_Loyalty]]</f>
        <v>1</v>
      </c>
      <c r="AU353">
        <f>tbl_OriginalData[[#This Row],[Product_Rating]]</f>
        <v>5</v>
      </c>
      <c r="AV353">
        <f>tbl_OriginalData[[#This Row],[Time_Spent_on_Product_Research(hours)]]*60</f>
        <v>120</v>
      </c>
      <c r="AW353" t="str">
        <f>tbl_OriginalData[[#This Row],[Social_Media_Influence]]</f>
        <v>Low</v>
      </c>
      <c r="AX353" t="str">
        <f>tbl_OriginalData[[#This Row],[Discount_Sensitivity]]</f>
        <v>Not Sensitive</v>
      </c>
      <c r="AY353" s="3">
        <f>tbl_OriginalData[[#This Row],[Return_Rate]]/tbl_OriginalData[[#This Row],[Frequency_of_Purchase]]</f>
        <v>0.125</v>
      </c>
      <c r="AZ353">
        <f>tbl_OriginalData[[#This Row],[Customer_Satisfaction]]</f>
        <v>6</v>
      </c>
      <c r="BA353" t="str">
        <f>tbl_OriginalData[[#This Row],[Engagement_with_Ads]]</f>
        <v>High</v>
      </c>
      <c r="BB353" t="str">
        <f>tbl_OriginalData[[#This Row],[Device_Used_for_Shopping]]</f>
        <v>Smartphone</v>
      </c>
      <c r="BC353" t="str">
        <f>tbl_OriginalData[[#This Row],[Payment_Method]]</f>
        <v>PayPal</v>
      </c>
      <c r="BD353" s="1">
        <f>tbl_OriginalData[[#This Row],[Time_of_Purchase]]</f>
        <v>45399</v>
      </c>
      <c r="BE353" t="str">
        <f>IF(tbl_OriginalData[[#This Row],[Discount_Used]]=TRUE,"Yes","No")</f>
        <v>Yes</v>
      </c>
      <c r="BF353" t="str">
        <f>IF(tbl_OriginalData[[#This Row],[Customer_Loyalty_Program_Member]]=TRUE,"Yes","No")</f>
        <v>No</v>
      </c>
      <c r="BG353" t="str">
        <f>tbl_OriginalData[[#This Row],[Purchase_Intent]]</f>
        <v>Planned</v>
      </c>
      <c r="BH353" t="str">
        <f>tbl_OriginalData[[#This Row],[Shipping_Preference]]</f>
        <v>Standard</v>
      </c>
      <c r="BI353">
        <f>tbl_OriginalData[[#This Row],[Time_to_Decision]]</f>
        <v>12</v>
      </c>
      <c r="BJ353" t="s">
        <v>62</v>
      </c>
      <c r="BK353" t="s">
        <v>63</v>
      </c>
      <c r="BL353" t="s">
        <v>2523</v>
      </c>
    </row>
    <row r="354" spans="1:64">
      <c r="A354" t="s">
        <v>905</v>
      </c>
      <c r="B354">
        <v>34</v>
      </c>
      <c r="C354" t="s">
        <v>50</v>
      </c>
      <c r="D354" t="s">
        <v>51</v>
      </c>
      <c r="E354" t="s">
        <v>35</v>
      </c>
      <c r="F354" t="s">
        <v>66</v>
      </c>
      <c r="G354" t="s">
        <v>51</v>
      </c>
      <c r="H354" t="s">
        <v>906</v>
      </c>
      <c r="I354" t="s">
        <v>147</v>
      </c>
      <c r="J354">
        <v>360.91</v>
      </c>
      <c r="K354">
        <v>4</v>
      </c>
      <c r="L354" t="s">
        <v>39</v>
      </c>
      <c r="M354">
        <v>3</v>
      </c>
      <c r="N354">
        <v>5</v>
      </c>
      <c r="O354">
        <v>1</v>
      </c>
      <c r="P354" t="s">
        <v>51</v>
      </c>
      <c r="Q354" t="s">
        <v>41</v>
      </c>
      <c r="R354">
        <v>0</v>
      </c>
      <c r="S354">
        <v>8</v>
      </c>
      <c r="T354" t="s">
        <v>51</v>
      </c>
      <c r="U354" t="s">
        <v>95</v>
      </c>
      <c r="V354" t="s">
        <v>43</v>
      </c>
      <c r="W354" s="1">
        <v>45534</v>
      </c>
      <c r="X354" t="b">
        <v>1</v>
      </c>
      <c r="Y354" t="b">
        <v>1</v>
      </c>
      <c r="Z354" t="s">
        <v>89</v>
      </c>
      <c r="AA354" t="s">
        <v>45</v>
      </c>
      <c r="AB354">
        <v>4</v>
      </c>
      <c r="AF354" t="str">
        <f>tbl_OriginalData[[#This Row],[Customer_ID]]</f>
        <v>55-301-9368</v>
      </c>
      <c r="AG354">
        <f>tbl_OriginalData[[#This Row],[Age]]</f>
        <v>34</v>
      </c>
      <c r="AH354" t="str" cm="1">
        <f t="array" ref="AH35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54" t="str">
        <f>tbl_OriginalData[[#This Row],[Gender]]</f>
        <v>Male</v>
      </c>
      <c r="AJ354" t="str">
        <f>tbl_OriginalData[[#This Row],[Income_Level]]</f>
        <v>High</v>
      </c>
      <c r="AK354" t="str">
        <f>tbl_OriginalData[[#This Row],[Marital_Status]]</f>
        <v>Married</v>
      </c>
      <c r="AL354" t="str">
        <f>tbl_OriginalData[[#This Row],[Education_Level]]</f>
        <v>Master's</v>
      </c>
      <c r="AM354" t="str">
        <f>tbl_OriginalData[[#This Row],[Occupation]]</f>
        <v>High</v>
      </c>
      <c r="AN354" t="s">
        <v>906</v>
      </c>
      <c r="AO354" t="s">
        <v>157</v>
      </c>
      <c r="AP354" t="str">
        <f>tbl_OriginalData[[#This Row],[Purchase_Category]]</f>
        <v>Electronics</v>
      </c>
      <c r="AQ354" s="4">
        <f>tbl_OriginalData[[#This Row],[Purchase_Amount]]</f>
        <v>360.91</v>
      </c>
      <c r="AR354">
        <f>tbl_OriginalData[[#This Row],[Frequency_of_Purchase]]</f>
        <v>4</v>
      </c>
      <c r="AS354" t="str">
        <f>tbl_OriginalData[[#This Row],[Purchase_Channel]]</f>
        <v>Mixed</v>
      </c>
      <c r="AT354">
        <f>tbl_OriginalData[[#This Row],[Brand_Loyalty]]</f>
        <v>3</v>
      </c>
      <c r="AU354">
        <f>tbl_OriginalData[[#This Row],[Product_Rating]]</f>
        <v>5</v>
      </c>
      <c r="AV354">
        <f>tbl_OriginalData[[#This Row],[Time_Spent_on_Product_Research(hours)]]*60</f>
        <v>60</v>
      </c>
      <c r="AW354" t="str">
        <f>tbl_OriginalData[[#This Row],[Social_Media_Influence]]</f>
        <v>High</v>
      </c>
      <c r="AX354" t="str">
        <f>tbl_OriginalData[[#This Row],[Discount_Sensitivity]]</f>
        <v>Somewhat Sensitive</v>
      </c>
      <c r="AY354" s="3">
        <f>tbl_OriginalData[[#This Row],[Return_Rate]]/tbl_OriginalData[[#This Row],[Frequency_of_Purchase]]</f>
        <v>0</v>
      </c>
      <c r="AZ354">
        <f>tbl_OriginalData[[#This Row],[Customer_Satisfaction]]</f>
        <v>8</v>
      </c>
      <c r="BA354" t="str">
        <f>tbl_OriginalData[[#This Row],[Engagement_with_Ads]]</f>
        <v>High</v>
      </c>
      <c r="BB354" t="str">
        <f>tbl_OriginalData[[#This Row],[Device_Used_for_Shopping]]</f>
        <v>Desktop</v>
      </c>
      <c r="BC354" t="str">
        <f>tbl_OriginalData[[#This Row],[Payment_Method]]</f>
        <v>Credit Card</v>
      </c>
      <c r="BD354" s="1">
        <f>tbl_OriginalData[[#This Row],[Time_of_Purchase]]</f>
        <v>45534</v>
      </c>
      <c r="BE354" t="str">
        <f>IF(tbl_OriginalData[[#This Row],[Discount_Used]]=TRUE,"Yes","No")</f>
        <v>Yes</v>
      </c>
      <c r="BF354" t="str">
        <f>IF(tbl_OriginalData[[#This Row],[Customer_Loyalty_Program_Member]]=TRUE,"Yes","No")</f>
        <v>Yes</v>
      </c>
      <c r="BG354" t="str">
        <f>tbl_OriginalData[[#This Row],[Purchase_Intent]]</f>
        <v>Planned</v>
      </c>
      <c r="BH354" t="str">
        <f>tbl_OriginalData[[#This Row],[Shipping_Preference]]</f>
        <v>No Preference</v>
      </c>
      <c r="BI354">
        <f>tbl_OriginalData[[#This Row],[Time_to_Decision]]</f>
        <v>4</v>
      </c>
      <c r="BJ354" t="s">
        <v>124</v>
      </c>
      <c r="BK354" t="s">
        <v>115</v>
      </c>
      <c r="BL354" t="s">
        <v>2523</v>
      </c>
    </row>
    <row r="355" spans="1:64">
      <c r="A355" t="s">
        <v>907</v>
      </c>
      <c r="B355">
        <v>44</v>
      </c>
      <c r="C355" t="s">
        <v>33</v>
      </c>
      <c r="D355" t="s">
        <v>34</v>
      </c>
      <c r="E355" t="s">
        <v>82</v>
      </c>
      <c r="F355" t="s">
        <v>36</v>
      </c>
      <c r="G355" t="s">
        <v>51</v>
      </c>
      <c r="H355" t="s">
        <v>908</v>
      </c>
      <c r="I355" t="s">
        <v>199</v>
      </c>
      <c r="J355">
        <v>373.49</v>
      </c>
      <c r="K355">
        <v>6</v>
      </c>
      <c r="L355" t="s">
        <v>94</v>
      </c>
      <c r="M355">
        <v>4</v>
      </c>
      <c r="N355">
        <v>1</v>
      </c>
      <c r="O355">
        <v>0</v>
      </c>
      <c r="P355" t="s">
        <v>56</v>
      </c>
      <c r="Q355" t="s">
        <v>101</v>
      </c>
      <c r="R355">
        <v>0</v>
      </c>
      <c r="S355">
        <v>10</v>
      </c>
      <c r="T355" t="s">
        <v>69</v>
      </c>
      <c r="U355" t="s">
        <v>42</v>
      </c>
      <c r="V355" t="s">
        <v>102</v>
      </c>
      <c r="W355" s="1">
        <v>45405</v>
      </c>
      <c r="X355" t="b">
        <v>1</v>
      </c>
      <c r="Y355" t="b">
        <v>1</v>
      </c>
      <c r="Z355" t="s">
        <v>72</v>
      </c>
      <c r="AA355" t="s">
        <v>60</v>
      </c>
      <c r="AB355">
        <v>1</v>
      </c>
      <c r="AF355" t="str">
        <f>tbl_OriginalData[[#This Row],[Customer_ID]]</f>
        <v>72-336-1992</v>
      </c>
      <c r="AG355">
        <f>tbl_OriginalData[[#This Row],[Age]]</f>
        <v>44</v>
      </c>
      <c r="AH355" t="str" cm="1">
        <f t="array" ref="AH35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55" t="str">
        <f>tbl_OriginalData[[#This Row],[Gender]]</f>
        <v>Female</v>
      </c>
      <c r="AJ355" t="str">
        <f>tbl_OriginalData[[#This Row],[Income_Level]]</f>
        <v>Middle</v>
      </c>
      <c r="AK355" t="str">
        <f>tbl_OriginalData[[#This Row],[Marital_Status]]</f>
        <v>Widowed</v>
      </c>
      <c r="AL355" t="str">
        <f>tbl_OriginalData[[#This Row],[Education_Level]]</f>
        <v>Bachelor's</v>
      </c>
      <c r="AM355" t="str">
        <f>tbl_OriginalData[[#This Row],[Occupation]]</f>
        <v>High</v>
      </c>
      <c r="AN355" t="s">
        <v>908</v>
      </c>
      <c r="AO355" t="s">
        <v>61</v>
      </c>
      <c r="AP355" t="str">
        <f>tbl_OriginalData[[#This Row],[Purchase_Category]]</f>
        <v>Groceries</v>
      </c>
      <c r="AQ355" s="4">
        <f>tbl_OriginalData[[#This Row],[Purchase_Amount]]</f>
        <v>373.49</v>
      </c>
      <c r="AR355">
        <f>tbl_OriginalData[[#This Row],[Frequency_of_Purchase]]</f>
        <v>6</v>
      </c>
      <c r="AS355" t="str">
        <f>tbl_OriginalData[[#This Row],[Purchase_Channel]]</f>
        <v>Online</v>
      </c>
      <c r="AT355">
        <f>tbl_OriginalData[[#This Row],[Brand_Loyalty]]</f>
        <v>4</v>
      </c>
      <c r="AU355">
        <f>tbl_OriginalData[[#This Row],[Product_Rating]]</f>
        <v>1</v>
      </c>
      <c r="AV355">
        <f>tbl_OriginalData[[#This Row],[Time_Spent_on_Product_Research(hours)]]*60</f>
        <v>0</v>
      </c>
      <c r="AW355" t="str">
        <f>tbl_OriginalData[[#This Row],[Social_Media_Influence]]</f>
        <v>Medium</v>
      </c>
      <c r="AX355" t="str">
        <f>tbl_OriginalData[[#This Row],[Discount_Sensitivity]]</f>
        <v>Very Sensitive</v>
      </c>
      <c r="AY355" s="3">
        <f>tbl_OriginalData[[#This Row],[Return_Rate]]/tbl_OriginalData[[#This Row],[Frequency_of_Purchase]]</f>
        <v>0</v>
      </c>
      <c r="AZ355">
        <f>tbl_OriginalData[[#This Row],[Customer_Satisfaction]]</f>
        <v>10</v>
      </c>
      <c r="BA355" t="str">
        <f>tbl_OriginalData[[#This Row],[Engagement_with_Ads]]</f>
        <v>Low</v>
      </c>
      <c r="BB355" t="str">
        <f>tbl_OriginalData[[#This Row],[Device_Used_for_Shopping]]</f>
        <v>Tablet</v>
      </c>
      <c r="BC355" t="str">
        <f>tbl_OriginalData[[#This Row],[Payment_Method]]</f>
        <v>Cash</v>
      </c>
      <c r="BD355" s="1">
        <f>tbl_OriginalData[[#This Row],[Time_of_Purchase]]</f>
        <v>45405</v>
      </c>
      <c r="BE355" t="str">
        <f>IF(tbl_OriginalData[[#This Row],[Discount_Used]]=TRUE,"Yes","No")</f>
        <v>Yes</v>
      </c>
      <c r="BF355" t="str">
        <f>IF(tbl_OriginalData[[#This Row],[Customer_Loyalty_Program_Member]]=TRUE,"Yes","No")</f>
        <v>Yes</v>
      </c>
      <c r="BG355" t="str">
        <f>tbl_OriginalData[[#This Row],[Purchase_Intent]]</f>
        <v>Impulsive</v>
      </c>
      <c r="BH355" t="str">
        <f>tbl_OriginalData[[#This Row],[Shipping_Preference]]</f>
        <v>Standard</v>
      </c>
      <c r="BI355">
        <f>tbl_OriginalData[[#This Row],[Time_to_Decision]]</f>
        <v>1</v>
      </c>
      <c r="BJ355" t="s">
        <v>62</v>
      </c>
      <c r="BK355" t="s">
        <v>63</v>
      </c>
      <c r="BL355" t="s">
        <v>2524</v>
      </c>
    </row>
    <row r="356" spans="1:64">
      <c r="A356" t="s">
        <v>909</v>
      </c>
      <c r="B356">
        <v>32</v>
      </c>
      <c r="C356" t="s">
        <v>33</v>
      </c>
      <c r="D356" t="s">
        <v>51</v>
      </c>
      <c r="E356" t="s">
        <v>35</v>
      </c>
      <c r="F356" t="s">
        <v>66</v>
      </c>
      <c r="G356" t="s">
        <v>34</v>
      </c>
      <c r="H356" t="s">
        <v>910</v>
      </c>
      <c r="I356" t="s">
        <v>108</v>
      </c>
      <c r="J356">
        <v>462.3</v>
      </c>
      <c r="K356">
        <v>5</v>
      </c>
      <c r="L356" t="s">
        <v>39</v>
      </c>
      <c r="M356">
        <v>3</v>
      </c>
      <c r="N356">
        <v>3</v>
      </c>
      <c r="O356">
        <v>2</v>
      </c>
      <c r="P356" t="s">
        <v>40</v>
      </c>
      <c r="Q356" t="s">
        <v>57</v>
      </c>
      <c r="R356">
        <v>2</v>
      </c>
      <c r="S356">
        <v>4</v>
      </c>
      <c r="T356" t="s">
        <v>56</v>
      </c>
      <c r="U356" t="s">
        <v>42</v>
      </c>
      <c r="V356" t="s">
        <v>102</v>
      </c>
      <c r="W356" s="1">
        <v>45621</v>
      </c>
      <c r="X356" t="b">
        <v>1</v>
      </c>
      <c r="Y356" t="b">
        <v>1</v>
      </c>
      <c r="Z356" t="s">
        <v>72</v>
      </c>
      <c r="AA356" t="s">
        <v>60</v>
      </c>
      <c r="AB356">
        <v>4</v>
      </c>
      <c r="AF356" t="str">
        <f>tbl_OriginalData[[#This Row],[Customer_ID]]</f>
        <v>06-008-2805</v>
      </c>
      <c r="AG356">
        <f>tbl_OriginalData[[#This Row],[Age]]</f>
        <v>32</v>
      </c>
      <c r="AH356" t="str" cm="1">
        <f t="array" ref="AH35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56" t="str">
        <f>tbl_OriginalData[[#This Row],[Gender]]</f>
        <v>Female</v>
      </c>
      <c r="AJ356" t="str">
        <f>tbl_OriginalData[[#This Row],[Income_Level]]</f>
        <v>High</v>
      </c>
      <c r="AK356" t="str">
        <f>tbl_OriginalData[[#This Row],[Marital_Status]]</f>
        <v>Married</v>
      </c>
      <c r="AL356" t="str">
        <f>tbl_OriginalData[[#This Row],[Education_Level]]</f>
        <v>Master's</v>
      </c>
      <c r="AM356" t="str">
        <f>tbl_OriginalData[[#This Row],[Occupation]]</f>
        <v>Middle</v>
      </c>
      <c r="AN356" t="s">
        <v>911</v>
      </c>
      <c r="AO356" t="s">
        <v>61</v>
      </c>
      <c r="AP356" t="str">
        <f>tbl_OriginalData[[#This Row],[Purchase_Category]]</f>
        <v>Sports &amp; Outdoors</v>
      </c>
      <c r="AQ356" s="4">
        <f>tbl_OriginalData[[#This Row],[Purchase_Amount]]</f>
        <v>462.3</v>
      </c>
      <c r="AR356">
        <f>tbl_OriginalData[[#This Row],[Frequency_of_Purchase]]</f>
        <v>5</v>
      </c>
      <c r="AS356" t="str">
        <f>tbl_OriginalData[[#This Row],[Purchase_Channel]]</f>
        <v>Mixed</v>
      </c>
      <c r="AT356">
        <f>tbl_OriginalData[[#This Row],[Brand_Loyalty]]</f>
        <v>3</v>
      </c>
      <c r="AU356">
        <f>tbl_OriginalData[[#This Row],[Product_Rating]]</f>
        <v>3</v>
      </c>
      <c r="AV356">
        <f>tbl_OriginalData[[#This Row],[Time_Spent_on_Product_Research(hours)]]*60</f>
        <v>120</v>
      </c>
      <c r="AW356" t="str">
        <f>tbl_OriginalData[[#This Row],[Social_Media_Influence]]</f>
        <v>None</v>
      </c>
      <c r="AX356" t="str">
        <f>tbl_OriginalData[[#This Row],[Discount_Sensitivity]]</f>
        <v>Not Sensitive</v>
      </c>
      <c r="AY356" s="3">
        <f>tbl_OriginalData[[#This Row],[Return_Rate]]/tbl_OriginalData[[#This Row],[Frequency_of_Purchase]]</f>
        <v>0.4</v>
      </c>
      <c r="AZ356">
        <f>tbl_OriginalData[[#This Row],[Customer_Satisfaction]]</f>
        <v>4</v>
      </c>
      <c r="BA356" t="str">
        <f>tbl_OriginalData[[#This Row],[Engagement_with_Ads]]</f>
        <v>Medium</v>
      </c>
      <c r="BB356" t="str">
        <f>tbl_OriginalData[[#This Row],[Device_Used_for_Shopping]]</f>
        <v>Tablet</v>
      </c>
      <c r="BC356" t="str">
        <f>tbl_OriginalData[[#This Row],[Payment_Method]]</f>
        <v>Cash</v>
      </c>
      <c r="BD356" s="1">
        <f>tbl_OriginalData[[#This Row],[Time_of_Purchase]]</f>
        <v>45621</v>
      </c>
      <c r="BE356" t="str">
        <f>IF(tbl_OriginalData[[#This Row],[Discount_Used]]=TRUE,"Yes","No")</f>
        <v>Yes</v>
      </c>
      <c r="BF356" t="str">
        <f>IF(tbl_OriginalData[[#This Row],[Customer_Loyalty_Program_Member]]=TRUE,"Yes","No")</f>
        <v>Yes</v>
      </c>
      <c r="BG356" t="str">
        <f>tbl_OriginalData[[#This Row],[Purchase_Intent]]</f>
        <v>Impulsive</v>
      </c>
      <c r="BH356" t="str">
        <f>tbl_OriginalData[[#This Row],[Shipping_Preference]]</f>
        <v>Standard</v>
      </c>
      <c r="BI356">
        <f>tbl_OriginalData[[#This Row],[Time_to_Decision]]</f>
        <v>4</v>
      </c>
      <c r="BJ356" t="s">
        <v>177</v>
      </c>
      <c r="BK356" t="s">
        <v>80</v>
      </c>
      <c r="BL356" t="s">
        <v>2524</v>
      </c>
    </row>
    <row r="357" spans="1:64">
      <c r="A357" t="s">
        <v>912</v>
      </c>
      <c r="B357">
        <v>42</v>
      </c>
      <c r="C357" t="s">
        <v>33</v>
      </c>
      <c r="D357" t="s">
        <v>34</v>
      </c>
      <c r="E357" t="s">
        <v>65</v>
      </c>
      <c r="F357" t="s">
        <v>66</v>
      </c>
      <c r="G357" t="s">
        <v>34</v>
      </c>
      <c r="H357" t="s">
        <v>913</v>
      </c>
      <c r="I357" t="s">
        <v>156</v>
      </c>
      <c r="J357">
        <v>332.67</v>
      </c>
      <c r="K357">
        <v>8</v>
      </c>
      <c r="L357" t="s">
        <v>55</v>
      </c>
      <c r="M357">
        <v>1</v>
      </c>
      <c r="N357">
        <v>4</v>
      </c>
      <c r="O357">
        <v>2</v>
      </c>
      <c r="P357" t="s">
        <v>56</v>
      </c>
      <c r="Q357" t="s">
        <v>41</v>
      </c>
      <c r="R357">
        <v>1</v>
      </c>
      <c r="S357">
        <v>2</v>
      </c>
      <c r="T357" t="s">
        <v>51</v>
      </c>
      <c r="U357" t="s">
        <v>70</v>
      </c>
      <c r="V357" t="s">
        <v>76</v>
      </c>
      <c r="W357" s="1">
        <v>45637</v>
      </c>
      <c r="X357" t="b">
        <v>0</v>
      </c>
      <c r="Y357" t="b">
        <v>1</v>
      </c>
      <c r="Z357" t="s">
        <v>72</v>
      </c>
      <c r="AA357" t="s">
        <v>77</v>
      </c>
      <c r="AB357">
        <v>4</v>
      </c>
      <c r="AF357" t="str">
        <f>tbl_OriginalData[[#This Row],[Customer_ID]]</f>
        <v>77-178-6086</v>
      </c>
      <c r="AG357">
        <f>tbl_OriginalData[[#This Row],[Age]]</f>
        <v>42</v>
      </c>
      <c r="AH357" t="str" cm="1">
        <f t="array" ref="AH35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57" t="str">
        <f>tbl_OriginalData[[#This Row],[Gender]]</f>
        <v>Female</v>
      </c>
      <c r="AJ357" t="str">
        <f>tbl_OriginalData[[#This Row],[Income_Level]]</f>
        <v>Middle</v>
      </c>
      <c r="AK357" t="str">
        <f>tbl_OriginalData[[#This Row],[Marital_Status]]</f>
        <v>Single</v>
      </c>
      <c r="AL357" t="str">
        <f>tbl_OriginalData[[#This Row],[Education_Level]]</f>
        <v>Master's</v>
      </c>
      <c r="AM357" t="str">
        <f>tbl_OriginalData[[#This Row],[Occupation]]</f>
        <v>Middle</v>
      </c>
      <c r="AN357" t="s">
        <v>913</v>
      </c>
      <c r="AO357" t="s">
        <v>914</v>
      </c>
      <c r="AP357" t="str">
        <f>tbl_OriginalData[[#This Row],[Purchase_Category]]</f>
        <v>Toys &amp; Games</v>
      </c>
      <c r="AQ357" s="4">
        <f>tbl_OriginalData[[#This Row],[Purchase_Amount]]</f>
        <v>332.67</v>
      </c>
      <c r="AR357">
        <f>tbl_OriginalData[[#This Row],[Frequency_of_Purchase]]</f>
        <v>8</v>
      </c>
      <c r="AS357" t="str">
        <f>tbl_OriginalData[[#This Row],[Purchase_Channel]]</f>
        <v>In-Store</v>
      </c>
      <c r="AT357">
        <f>tbl_OriginalData[[#This Row],[Brand_Loyalty]]</f>
        <v>1</v>
      </c>
      <c r="AU357">
        <f>tbl_OriginalData[[#This Row],[Product_Rating]]</f>
        <v>4</v>
      </c>
      <c r="AV357">
        <f>tbl_OriginalData[[#This Row],[Time_Spent_on_Product_Research(hours)]]*60</f>
        <v>120</v>
      </c>
      <c r="AW357" t="str">
        <f>tbl_OriginalData[[#This Row],[Social_Media_Influence]]</f>
        <v>Medium</v>
      </c>
      <c r="AX357" t="str">
        <f>tbl_OriginalData[[#This Row],[Discount_Sensitivity]]</f>
        <v>Somewhat Sensitive</v>
      </c>
      <c r="AY357" s="3">
        <f>tbl_OriginalData[[#This Row],[Return_Rate]]/tbl_OriginalData[[#This Row],[Frequency_of_Purchase]]</f>
        <v>0.125</v>
      </c>
      <c r="AZ357">
        <f>tbl_OriginalData[[#This Row],[Customer_Satisfaction]]</f>
        <v>2</v>
      </c>
      <c r="BA357" t="str">
        <f>tbl_OriginalData[[#This Row],[Engagement_with_Ads]]</f>
        <v>High</v>
      </c>
      <c r="BB357" t="str">
        <f>tbl_OriginalData[[#This Row],[Device_Used_for_Shopping]]</f>
        <v>Smartphone</v>
      </c>
      <c r="BC357" t="str">
        <f>tbl_OriginalData[[#This Row],[Payment_Method]]</f>
        <v>Other</v>
      </c>
      <c r="BD357" s="1">
        <f>tbl_OriginalData[[#This Row],[Time_of_Purchase]]</f>
        <v>45637</v>
      </c>
      <c r="BE357" t="str">
        <f>IF(tbl_OriginalData[[#This Row],[Discount_Used]]=TRUE,"Yes","No")</f>
        <v>No</v>
      </c>
      <c r="BF357" t="str">
        <f>IF(tbl_OriginalData[[#This Row],[Customer_Loyalty_Program_Member]]=TRUE,"Yes","No")</f>
        <v>Yes</v>
      </c>
      <c r="BG357" t="str">
        <f>tbl_OriginalData[[#This Row],[Purchase_Intent]]</f>
        <v>Impulsive</v>
      </c>
      <c r="BH357" t="str">
        <f>tbl_OriginalData[[#This Row],[Shipping_Preference]]</f>
        <v>Express</v>
      </c>
      <c r="BI357">
        <f>tbl_OriginalData[[#This Row],[Time_to_Decision]]</f>
        <v>4</v>
      </c>
      <c r="BJ357" t="s">
        <v>120</v>
      </c>
      <c r="BK357" t="s">
        <v>80</v>
      </c>
      <c r="BL357" t="s">
        <v>2528</v>
      </c>
    </row>
    <row r="358" spans="1:64">
      <c r="A358" t="s">
        <v>915</v>
      </c>
      <c r="B358">
        <v>22</v>
      </c>
      <c r="C358" t="s">
        <v>33</v>
      </c>
      <c r="D358" t="s">
        <v>51</v>
      </c>
      <c r="E358" t="s">
        <v>92</v>
      </c>
      <c r="F358" t="s">
        <v>66</v>
      </c>
      <c r="G358" t="s">
        <v>34</v>
      </c>
      <c r="H358" t="s">
        <v>916</v>
      </c>
      <c r="I358" t="s">
        <v>75</v>
      </c>
      <c r="J358">
        <v>235.39</v>
      </c>
      <c r="K358">
        <v>9</v>
      </c>
      <c r="L358" t="s">
        <v>94</v>
      </c>
      <c r="M358">
        <v>5</v>
      </c>
      <c r="N358">
        <v>4</v>
      </c>
      <c r="O358">
        <v>1</v>
      </c>
      <c r="P358" t="s">
        <v>40</v>
      </c>
      <c r="Q358" t="s">
        <v>57</v>
      </c>
      <c r="R358">
        <v>0</v>
      </c>
      <c r="S358">
        <v>6</v>
      </c>
      <c r="T358" t="s">
        <v>40</v>
      </c>
      <c r="U358" t="s">
        <v>70</v>
      </c>
      <c r="V358" t="s">
        <v>43</v>
      </c>
      <c r="W358" s="1">
        <v>45437</v>
      </c>
      <c r="X358" t="b">
        <v>0</v>
      </c>
      <c r="Y358" t="b">
        <v>1</v>
      </c>
      <c r="Z358" t="s">
        <v>89</v>
      </c>
      <c r="AA358" t="s">
        <v>45</v>
      </c>
      <c r="AB358">
        <v>6</v>
      </c>
      <c r="AF358" t="str">
        <f>tbl_OriginalData[[#This Row],[Customer_ID]]</f>
        <v>28-832-2885</v>
      </c>
      <c r="AG358">
        <f>tbl_OriginalData[[#This Row],[Age]]</f>
        <v>22</v>
      </c>
      <c r="AH358" t="str" cm="1">
        <f t="array" ref="AH35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58" t="str">
        <f>tbl_OriginalData[[#This Row],[Gender]]</f>
        <v>Female</v>
      </c>
      <c r="AJ358" t="str">
        <f>tbl_OriginalData[[#This Row],[Income_Level]]</f>
        <v>High</v>
      </c>
      <c r="AK358" t="str">
        <f>tbl_OriginalData[[#This Row],[Marital_Status]]</f>
        <v>Divorced</v>
      </c>
      <c r="AL358" t="str">
        <f>tbl_OriginalData[[#This Row],[Education_Level]]</f>
        <v>Master's</v>
      </c>
      <c r="AM358" t="str">
        <f>tbl_OriginalData[[#This Row],[Occupation]]</f>
        <v>Middle</v>
      </c>
      <c r="AN358" t="s">
        <v>916</v>
      </c>
      <c r="AO358" t="s">
        <v>109</v>
      </c>
      <c r="AP358" t="str">
        <f>tbl_OriginalData[[#This Row],[Purchase_Category]]</f>
        <v>Home Appliances</v>
      </c>
      <c r="AQ358" s="4">
        <f>tbl_OriginalData[[#This Row],[Purchase_Amount]]</f>
        <v>235.39</v>
      </c>
      <c r="AR358">
        <f>tbl_OriginalData[[#This Row],[Frequency_of_Purchase]]</f>
        <v>9</v>
      </c>
      <c r="AS358" t="str">
        <f>tbl_OriginalData[[#This Row],[Purchase_Channel]]</f>
        <v>Online</v>
      </c>
      <c r="AT358">
        <f>tbl_OriginalData[[#This Row],[Brand_Loyalty]]</f>
        <v>5</v>
      </c>
      <c r="AU358">
        <f>tbl_OriginalData[[#This Row],[Product_Rating]]</f>
        <v>4</v>
      </c>
      <c r="AV358">
        <f>tbl_OriginalData[[#This Row],[Time_Spent_on_Product_Research(hours)]]*60</f>
        <v>60</v>
      </c>
      <c r="AW358" t="str">
        <f>tbl_OriginalData[[#This Row],[Social_Media_Influence]]</f>
        <v>None</v>
      </c>
      <c r="AX358" t="str">
        <f>tbl_OriginalData[[#This Row],[Discount_Sensitivity]]</f>
        <v>Not Sensitive</v>
      </c>
      <c r="AY358" s="3">
        <f>tbl_OriginalData[[#This Row],[Return_Rate]]/tbl_OriginalData[[#This Row],[Frequency_of_Purchase]]</f>
        <v>0</v>
      </c>
      <c r="AZ358">
        <f>tbl_OriginalData[[#This Row],[Customer_Satisfaction]]</f>
        <v>6</v>
      </c>
      <c r="BA358" t="str">
        <f>tbl_OriginalData[[#This Row],[Engagement_with_Ads]]</f>
        <v>None</v>
      </c>
      <c r="BB358" t="str">
        <f>tbl_OriginalData[[#This Row],[Device_Used_for_Shopping]]</f>
        <v>Smartphone</v>
      </c>
      <c r="BC358" t="str">
        <f>tbl_OriginalData[[#This Row],[Payment_Method]]</f>
        <v>Credit Card</v>
      </c>
      <c r="BD358" s="1">
        <f>tbl_OriginalData[[#This Row],[Time_of_Purchase]]</f>
        <v>45437</v>
      </c>
      <c r="BE358" t="str">
        <f>IF(tbl_OriginalData[[#This Row],[Discount_Used]]=TRUE,"Yes","No")</f>
        <v>No</v>
      </c>
      <c r="BF358" t="str">
        <f>IF(tbl_OriginalData[[#This Row],[Customer_Loyalty_Program_Member]]=TRUE,"Yes","No")</f>
        <v>Yes</v>
      </c>
      <c r="BG358" t="str">
        <f>tbl_OriginalData[[#This Row],[Purchase_Intent]]</f>
        <v>Planned</v>
      </c>
      <c r="BH358" t="str">
        <f>tbl_OriginalData[[#This Row],[Shipping_Preference]]</f>
        <v>No Preference</v>
      </c>
      <c r="BI358">
        <f>tbl_OriginalData[[#This Row],[Time_to_Decision]]</f>
        <v>6</v>
      </c>
      <c r="BJ358" t="s">
        <v>167</v>
      </c>
      <c r="BK358" t="s">
        <v>63</v>
      </c>
      <c r="BL358" t="s">
        <v>2526</v>
      </c>
    </row>
    <row r="359" spans="1:64">
      <c r="A359" t="s">
        <v>917</v>
      </c>
      <c r="B359">
        <v>44</v>
      </c>
      <c r="C359" t="s">
        <v>33</v>
      </c>
      <c r="D359" t="s">
        <v>34</v>
      </c>
      <c r="E359" t="s">
        <v>35</v>
      </c>
      <c r="F359" t="s">
        <v>52</v>
      </c>
      <c r="G359" t="s">
        <v>34</v>
      </c>
      <c r="H359" t="s">
        <v>918</v>
      </c>
      <c r="I359" t="s">
        <v>143</v>
      </c>
      <c r="J359">
        <v>269.77999999999997</v>
      </c>
      <c r="K359">
        <v>7</v>
      </c>
      <c r="L359" t="s">
        <v>55</v>
      </c>
      <c r="M359">
        <v>2</v>
      </c>
      <c r="N359">
        <v>3</v>
      </c>
      <c r="O359">
        <v>1</v>
      </c>
      <c r="P359" t="s">
        <v>56</v>
      </c>
      <c r="Q359" t="s">
        <v>41</v>
      </c>
      <c r="R359">
        <v>2</v>
      </c>
      <c r="S359">
        <v>7</v>
      </c>
      <c r="T359" t="s">
        <v>56</v>
      </c>
      <c r="U359" t="s">
        <v>95</v>
      </c>
      <c r="V359" t="s">
        <v>76</v>
      </c>
      <c r="W359" s="1">
        <v>45498</v>
      </c>
      <c r="X359" t="b">
        <v>1</v>
      </c>
      <c r="Y359" t="b">
        <v>1</v>
      </c>
      <c r="Z359" t="s">
        <v>44</v>
      </c>
      <c r="AA359" t="s">
        <v>45</v>
      </c>
      <c r="AB359">
        <v>5</v>
      </c>
      <c r="AF359" t="str">
        <f>tbl_OriginalData[[#This Row],[Customer_ID]]</f>
        <v>75-210-7391</v>
      </c>
      <c r="AG359">
        <f>tbl_OriginalData[[#This Row],[Age]]</f>
        <v>44</v>
      </c>
      <c r="AH359" t="str" cm="1">
        <f t="array" ref="AH35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59" t="str">
        <f>tbl_OriginalData[[#This Row],[Gender]]</f>
        <v>Female</v>
      </c>
      <c r="AJ359" t="str">
        <f>tbl_OriginalData[[#This Row],[Income_Level]]</f>
        <v>Middle</v>
      </c>
      <c r="AK359" t="str">
        <f>tbl_OriginalData[[#This Row],[Marital_Status]]</f>
        <v>Married</v>
      </c>
      <c r="AL359" t="str">
        <f>tbl_OriginalData[[#This Row],[Education_Level]]</f>
        <v>High School</v>
      </c>
      <c r="AM359" t="str">
        <f>tbl_OriginalData[[#This Row],[Occupation]]</f>
        <v>Middle</v>
      </c>
      <c r="AN359" t="s">
        <v>918</v>
      </c>
      <c r="AO359" t="s">
        <v>749</v>
      </c>
      <c r="AP359" t="str">
        <f>tbl_OriginalData[[#This Row],[Purchase_Category]]</f>
        <v>Packages)</v>
      </c>
      <c r="AQ359" s="4">
        <f>tbl_OriginalData[[#This Row],[Purchase_Amount]]</f>
        <v>269.77999999999997</v>
      </c>
      <c r="AR359">
        <f>tbl_OriginalData[[#This Row],[Frequency_of_Purchase]]</f>
        <v>7</v>
      </c>
      <c r="AS359" t="str">
        <f>tbl_OriginalData[[#This Row],[Purchase_Channel]]</f>
        <v>In-Store</v>
      </c>
      <c r="AT359">
        <f>tbl_OriginalData[[#This Row],[Brand_Loyalty]]</f>
        <v>2</v>
      </c>
      <c r="AU359">
        <f>tbl_OriginalData[[#This Row],[Product_Rating]]</f>
        <v>3</v>
      </c>
      <c r="AV359">
        <f>tbl_OriginalData[[#This Row],[Time_Spent_on_Product_Research(hours)]]*60</f>
        <v>60</v>
      </c>
      <c r="AW359" t="str">
        <f>tbl_OriginalData[[#This Row],[Social_Media_Influence]]</f>
        <v>Medium</v>
      </c>
      <c r="AX359" t="str">
        <f>tbl_OriginalData[[#This Row],[Discount_Sensitivity]]</f>
        <v>Somewhat Sensitive</v>
      </c>
      <c r="AY359" s="3">
        <f>tbl_OriginalData[[#This Row],[Return_Rate]]/tbl_OriginalData[[#This Row],[Frequency_of_Purchase]]</f>
        <v>0.2857142857142857</v>
      </c>
      <c r="AZ359">
        <f>tbl_OriginalData[[#This Row],[Customer_Satisfaction]]</f>
        <v>7</v>
      </c>
      <c r="BA359" t="str">
        <f>tbl_OriginalData[[#This Row],[Engagement_with_Ads]]</f>
        <v>Medium</v>
      </c>
      <c r="BB359" t="str">
        <f>tbl_OriginalData[[#This Row],[Device_Used_for_Shopping]]</f>
        <v>Desktop</v>
      </c>
      <c r="BC359" t="str">
        <f>tbl_OriginalData[[#This Row],[Payment_Method]]</f>
        <v>Other</v>
      </c>
      <c r="BD359" s="1">
        <f>tbl_OriginalData[[#This Row],[Time_of_Purchase]]</f>
        <v>45498</v>
      </c>
      <c r="BE359" t="str">
        <f>IF(tbl_OriginalData[[#This Row],[Discount_Used]]=TRUE,"Yes","No")</f>
        <v>Yes</v>
      </c>
      <c r="BF359" t="str">
        <f>IF(tbl_OriginalData[[#This Row],[Customer_Loyalty_Program_Member]]=TRUE,"Yes","No")</f>
        <v>Yes</v>
      </c>
      <c r="BG359" t="str">
        <f>tbl_OriginalData[[#This Row],[Purchase_Intent]]</f>
        <v>Need-based</v>
      </c>
      <c r="BH359" t="str">
        <f>tbl_OriginalData[[#This Row],[Shipping_Preference]]</f>
        <v>No Preference</v>
      </c>
      <c r="BI359">
        <f>tbl_OriginalData[[#This Row],[Time_to_Decision]]</f>
        <v>5</v>
      </c>
      <c r="BJ359" t="s">
        <v>114</v>
      </c>
      <c r="BK359" t="s">
        <v>115</v>
      </c>
      <c r="BL359" t="s">
        <v>2528</v>
      </c>
    </row>
    <row r="360" spans="1:64">
      <c r="A360" t="s">
        <v>919</v>
      </c>
      <c r="B360">
        <v>29</v>
      </c>
      <c r="C360" t="s">
        <v>50</v>
      </c>
      <c r="D360" t="s">
        <v>34</v>
      </c>
      <c r="E360" t="s">
        <v>35</v>
      </c>
      <c r="F360" t="s">
        <v>36</v>
      </c>
      <c r="G360" t="s">
        <v>34</v>
      </c>
      <c r="H360" t="s">
        <v>920</v>
      </c>
      <c r="I360" t="s">
        <v>38</v>
      </c>
      <c r="J360">
        <v>498.33</v>
      </c>
      <c r="K360">
        <v>2</v>
      </c>
      <c r="L360" t="s">
        <v>94</v>
      </c>
      <c r="M360">
        <v>3</v>
      </c>
      <c r="N360">
        <v>5</v>
      </c>
      <c r="O360">
        <v>2</v>
      </c>
      <c r="P360" t="s">
        <v>56</v>
      </c>
      <c r="Q360" t="s">
        <v>101</v>
      </c>
      <c r="R360">
        <v>1</v>
      </c>
      <c r="S360">
        <v>9</v>
      </c>
      <c r="T360" t="s">
        <v>56</v>
      </c>
      <c r="U360" t="s">
        <v>70</v>
      </c>
      <c r="V360" t="s">
        <v>58</v>
      </c>
      <c r="W360" s="1">
        <v>45420</v>
      </c>
      <c r="X360" t="b">
        <v>1</v>
      </c>
      <c r="Y360" t="b">
        <v>1</v>
      </c>
      <c r="Z360" t="s">
        <v>59</v>
      </c>
      <c r="AA360" t="s">
        <v>77</v>
      </c>
      <c r="AB360">
        <v>1</v>
      </c>
      <c r="AF360" t="str">
        <f>tbl_OriginalData[[#This Row],[Customer_ID]]</f>
        <v>60-470-3563</v>
      </c>
      <c r="AG360">
        <f>tbl_OriginalData[[#This Row],[Age]]</f>
        <v>29</v>
      </c>
      <c r="AH360" t="str" cm="1">
        <f t="array" ref="AH36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60" t="str">
        <f>tbl_OriginalData[[#This Row],[Gender]]</f>
        <v>Male</v>
      </c>
      <c r="AJ360" t="str">
        <f>tbl_OriginalData[[#This Row],[Income_Level]]</f>
        <v>Middle</v>
      </c>
      <c r="AK360" t="str">
        <f>tbl_OriginalData[[#This Row],[Marital_Status]]</f>
        <v>Married</v>
      </c>
      <c r="AL360" t="str">
        <f>tbl_OriginalData[[#This Row],[Education_Level]]</f>
        <v>Bachelor's</v>
      </c>
      <c r="AM360" t="str">
        <f>tbl_OriginalData[[#This Row],[Occupation]]</f>
        <v>Middle</v>
      </c>
      <c r="AN360" t="s">
        <v>920</v>
      </c>
      <c r="AO360" t="s">
        <v>194</v>
      </c>
      <c r="AP360" t="str">
        <f>tbl_OriginalData[[#This Row],[Purchase_Category]]</f>
        <v>Gardening &amp; Outdoors</v>
      </c>
      <c r="AQ360" s="4">
        <f>tbl_OriginalData[[#This Row],[Purchase_Amount]]</f>
        <v>498.33</v>
      </c>
      <c r="AR360">
        <f>tbl_OriginalData[[#This Row],[Frequency_of_Purchase]]</f>
        <v>2</v>
      </c>
      <c r="AS360" t="str">
        <f>tbl_OriginalData[[#This Row],[Purchase_Channel]]</f>
        <v>Online</v>
      </c>
      <c r="AT360">
        <f>tbl_OriginalData[[#This Row],[Brand_Loyalty]]</f>
        <v>3</v>
      </c>
      <c r="AU360">
        <f>tbl_OriginalData[[#This Row],[Product_Rating]]</f>
        <v>5</v>
      </c>
      <c r="AV360">
        <f>tbl_OriginalData[[#This Row],[Time_Spent_on_Product_Research(hours)]]*60</f>
        <v>120</v>
      </c>
      <c r="AW360" t="str">
        <f>tbl_OriginalData[[#This Row],[Social_Media_Influence]]</f>
        <v>Medium</v>
      </c>
      <c r="AX360" t="str">
        <f>tbl_OriginalData[[#This Row],[Discount_Sensitivity]]</f>
        <v>Very Sensitive</v>
      </c>
      <c r="AY360" s="3">
        <f>tbl_OriginalData[[#This Row],[Return_Rate]]/tbl_OriginalData[[#This Row],[Frequency_of_Purchase]]</f>
        <v>0.5</v>
      </c>
      <c r="AZ360">
        <f>tbl_OriginalData[[#This Row],[Customer_Satisfaction]]</f>
        <v>9</v>
      </c>
      <c r="BA360" t="str">
        <f>tbl_OriginalData[[#This Row],[Engagement_with_Ads]]</f>
        <v>Medium</v>
      </c>
      <c r="BB360" t="str">
        <f>tbl_OriginalData[[#This Row],[Device_Used_for_Shopping]]</f>
        <v>Smartphone</v>
      </c>
      <c r="BC360" t="str">
        <f>tbl_OriginalData[[#This Row],[Payment_Method]]</f>
        <v>PayPal</v>
      </c>
      <c r="BD360" s="1">
        <f>tbl_OriginalData[[#This Row],[Time_of_Purchase]]</f>
        <v>45420</v>
      </c>
      <c r="BE360" t="str">
        <f>IF(tbl_OriginalData[[#This Row],[Discount_Used]]=TRUE,"Yes","No")</f>
        <v>Yes</v>
      </c>
      <c r="BF360" t="str">
        <f>IF(tbl_OriginalData[[#This Row],[Customer_Loyalty_Program_Member]]=TRUE,"Yes","No")</f>
        <v>Yes</v>
      </c>
      <c r="BG360" t="str">
        <f>tbl_OriginalData[[#This Row],[Purchase_Intent]]</f>
        <v>Wants-based</v>
      </c>
      <c r="BH360" t="str">
        <f>tbl_OriginalData[[#This Row],[Shipping_Preference]]</f>
        <v>Express</v>
      </c>
      <c r="BI360">
        <f>tbl_OriginalData[[#This Row],[Time_to_Decision]]</f>
        <v>1</v>
      </c>
      <c r="BJ360" t="s">
        <v>167</v>
      </c>
      <c r="BK360" t="s">
        <v>63</v>
      </c>
      <c r="BL360" t="s">
        <v>2524</v>
      </c>
    </row>
    <row r="361" spans="1:64">
      <c r="A361" t="s">
        <v>921</v>
      </c>
      <c r="B361">
        <v>30</v>
      </c>
      <c r="C361" t="s">
        <v>33</v>
      </c>
      <c r="D361" t="s">
        <v>51</v>
      </c>
      <c r="E361" t="s">
        <v>65</v>
      </c>
      <c r="F361" t="s">
        <v>52</v>
      </c>
      <c r="G361" t="s">
        <v>51</v>
      </c>
      <c r="H361" t="s">
        <v>922</v>
      </c>
      <c r="I361" t="s">
        <v>180</v>
      </c>
      <c r="J361">
        <v>182.94</v>
      </c>
      <c r="K361">
        <v>7</v>
      </c>
      <c r="L361" t="s">
        <v>39</v>
      </c>
      <c r="M361">
        <v>1</v>
      </c>
      <c r="N361">
        <v>5</v>
      </c>
      <c r="O361">
        <v>2</v>
      </c>
      <c r="P361" t="s">
        <v>40</v>
      </c>
      <c r="Q361" t="s">
        <v>57</v>
      </c>
      <c r="R361">
        <v>2</v>
      </c>
      <c r="S361">
        <v>7</v>
      </c>
      <c r="T361" t="s">
        <v>69</v>
      </c>
      <c r="U361" t="s">
        <v>95</v>
      </c>
      <c r="V361" t="s">
        <v>76</v>
      </c>
      <c r="W361" s="1">
        <v>45440</v>
      </c>
      <c r="X361" t="b">
        <v>1</v>
      </c>
      <c r="Y361" t="b">
        <v>1</v>
      </c>
      <c r="Z361" t="s">
        <v>44</v>
      </c>
      <c r="AA361" t="s">
        <v>77</v>
      </c>
      <c r="AB361">
        <v>12</v>
      </c>
      <c r="AF361" t="str">
        <f>tbl_OriginalData[[#This Row],[Customer_ID]]</f>
        <v>24-241-7171</v>
      </c>
      <c r="AG361">
        <f>tbl_OriginalData[[#This Row],[Age]]</f>
        <v>30</v>
      </c>
      <c r="AH361" t="str" cm="1">
        <f t="array" ref="AH36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61" t="str">
        <f>tbl_OriginalData[[#This Row],[Gender]]</f>
        <v>Female</v>
      </c>
      <c r="AJ361" t="str">
        <f>tbl_OriginalData[[#This Row],[Income_Level]]</f>
        <v>High</v>
      </c>
      <c r="AK361" t="str">
        <f>tbl_OriginalData[[#This Row],[Marital_Status]]</f>
        <v>Single</v>
      </c>
      <c r="AL361" t="str">
        <f>tbl_OriginalData[[#This Row],[Education_Level]]</f>
        <v>High School</v>
      </c>
      <c r="AM361" t="str">
        <f>tbl_OriginalData[[#This Row],[Occupation]]</f>
        <v>High</v>
      </c>
      <c r="AN361" t="s">
        <v>922</v>
      </c>
      <c r="AO361" t="s">
        <v>61</v>
      </c>
      <c r="AP361" t="str">
        <f>tbl_OriginalData[[#This Row],[Purchase_Category]]</f>
        <v>Health Supplements</v>
      </c>
      <c r="AQ361" s="4">
        <f>tbl_OriginalData[[#This Row],[Purchase_Amount]]</f>
        <v>182.94</v>
      </c>
      <c r="AR361">
        <f>tbl_OriginalData[[#This Row],[Frequency_of_Purchase]]</f>
        <v>7</v>
      </c>
      <c r="AS361" t="str">
        <f>tbl_OriginalData[[#This Row],[Purchase_Channel]]</f>
        <v>Mixed</v>
      </c>
      <c r="AT361">
        <f>tbl_OriginalData[[#This Row],[Brand_Loyalty]]</f>
        <v>1</v>
      </c>
      <c r="AU361">
        <f>tbl_OriginalData[[#This Row],[Product_Rating]]</f>
        <v>5</v>
      </c>
      <c r="AV361">
        <f>tbl_OriginalData[[#This Row],[Time_Spent_on_Product_Research(hours)]]*60</f>
        <v>120</v>
      </c>
      <c r="AW361" t="str">
        <f>tbl_OriginalData[[#This Row],[Social_Media_Influence]]</f>
        <v>None</v>
      </c>
      <c r="AX361" t="str">
        <f>tbl_OriginalData[[#This Row],[Discount_Sensitivity]]</f>
        <v>Not Sensitive</v>
      </c>
      <c r="AY361" s="3">
        <f>tbl_OriginalData[[#This Row],[Return_Rate]]/tbl_OriginalData[[#This Row],[Frequency_of_Purchase]]</f>
        <v>0.2857142857142857</v>
      </c>
      <c r="AZ361">
        <f>tbl_OriginalData[[#This Row],[Customer_Satisfaction]]</f>
        <v>7</v>
      </c>
      <c r="BA361" t="str">
        <f>tbl_OriginalData[[#This Row],[Engagement_with_Ads]]</f>
        <v>Low</v>
      </c>
      <c r="BB361" t="str">
        <f>tbl_OriginalData[[#This Row],[Device_Used_for_Shopping]]</f>
        <v>Desktop</v>
      </c>
      <c r="BC361" t="str">
        <f>tbl_OriginalData[[#This Row],[Payment_Method]]</f>
        <v>Other</v>
      </c>
      <c r="BD361" s="1">
        <f>tbl_OriginalData[[#This Row],[Time_of_Purchase]]</f>
        <v>45440</v>
      </c>
      <c r="BE361" t="str">
        <f>IF(tbl_OriginalData[[#This Row],[Discount_Used]]=TRUE,"Yes","No")</f>
        <v>Yes</v>
      </c>
      <c r="BF361" t="str">
        <f>IF(tbl_OriginalData[[#This Row],[Customer_Loyalty_Program_Member]]=TRUE,"Yes","No")</f>
        <v>Yes</v>
      </c>
      <c r="BG361" t="str">
        <f>tbl_OriginalData[[#This Row],[Purchase_Intent]]</f>
        <v>Need-based</v>
      </c>
      <c r="BH361" t="str">
        <f>tbl_OriginalData[[#This Row],[Shipping_Preference]]</f>
        <v>Express</v>
      </c>
      <c r="BI361">
        <f>tbl_OriginalData[[#This Row],[Time_to_Decision]]</f>
        <v>12</v>
      </c>
      <c r="BJ361" t="s">
        <v>167</v>
      </c>
      <c r="BK361" t="s">
        <v>63</v>
      </c>
      <c r="BL361" t="s">
        <v>2524</v>
      </c>
    </row>
    <row r="362" spans="1:64">
      <c r="A362" t="s">
        <v>923</v>
      </c>
      <c r="B362">
        <v>19</v>
      </c>
      <c r="C362" t="s">
        <v>33</v>
      </c>
      <c r="D362" t="s">
        <v>34</v>
      </c>
      <c r="E362" t="s">
        <v>92</v>
      </c>
      <c r="F362" t="s">
        <v>66</v>
      </c>
      <c r="G362" t="s">
        <v>51</v>
      </c>
      <c r="H362" t="s">
        <v>924</v>
      </c>
      <c r="I362" t="s">
        <v>180</v>
      </c>
      <c r="J362">
        <v>121.7</v>
      </c>
      <c r="K362">
        <v>7</v>
      </c>
      <c r="L362" t="s">
        <v>39</v>
      </c>
      <c r="M362">
        <v>4</v>
      </c>
      <c r="N362">
        <v>3</v>
      </c>
      <c r="O362">
        <v>0</v>
      </c>
      <c r="P362" t="s">
        <v>51</v>
      </c>
      <c r="Q362" t="s">
        <v>101</v>
      </c>
      <c r="R362">
        <v>2</v>
      </c>
      <c r="S362">
        <v>5</v>
      </c>
      <c r="T362" t="s">
        <v>40</v>
      </c>
      <c r="U362" t="s">
        <v>70</v>
      </c>
      <c r="V362" t="s">
        <v>43</v>
      </c>
      <c r="W362" s="1">
        <v>45467</v>
      </c>
      <c r="X362" t="b">
        <v>1</v>
      </c>
      <c r="Y362" t="b">
        <v>1</v>
      </c>
      <c r="Z362" t="s">
        <v>89</v>
      </c>
      <c r="AA362" t="s">
        <v>60</v>
      </c>
      <c r="AB362">
        <v>8</v>
      </c>
      <c r="AF362" t="str">
        <f>tbl_OriginalData[[#This Row],[Customer_ID]]</f>
        <v>53-784-1855</v>
      </c>
      <c r="AG362">
        <f>tbl_OriginalData[[#This Row],[Age]]</f>
        <v>19</v>
      </c>
      <c r="AH362" t="str" cm="1">
        <f t="array" ref="AH36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362" t="str">
        <f>tbl_OriginalData[[#This Row],[Gender]]</f>
        <v>Female</v>
      </c>
      <c r="AJ362" t="str">
        <f>tbl_OriginalData[[#This Row],[Income_Level]]</f>
        <v>Middle</v>
      </c>
      <c r="AK362" t="str">
        <f>tbl_OriginalData[[#This Row],[Marital_Status]]</f>
        <v>Divorced</v>
      </c>
      <c r="AL362" t="str">
        <f>tbl_OriginalData[[#This Row],[Education_Level]]</f>
        <v>Master's</v>
      </c>
      <c r="AM362" t="str">
        <f>tbl_OriginalData[[#This Row],[Occupation]]</f>
        <v>High</v>
      </c>
      <c r="AN362" t="s">
        <v>924</v>
      </c>
      <c r="AO362" t="s">
        <v>408</v>
      </c>
      <c r="AP362" t="str">
        <f>tbl_OriginalData[[#This Row],[Purchase_Category]]</f>
        <v>Health Supplements</v>
      </c>
      <c r="AQ362" s="4">
        <f>tbl_OriginalData[[#This Row],[Purchase_Amount]]</f>
        <v>121.7</v>
      </c>
      <c r="AR362">
        <f>tbl_OriginalData[[#This Row],[Frequency_of_Purchase]]</f>
        <v>7</v>
      </c>
      <c r="AS362" t="str">
        <f>tbl_OriginalData[[#This Row],[Purchase_Channel]]</f>
        <v>Mixed</v>
      </c>
      <c r="AT362">
        <f>tbl_OriginalData[[#This Row],[Brand_Loyalty]]</f>
        <v>4</v>
      </c>
      <c r="AU362">
        <f>tbl_OriginalData[[#This Row],[Product_Rating]]</f>
        <v>3</v>
      </c>
      <c r="AV362">
        <f>tbl_OriginalData[[#This Row],[Time_Spent_on_Product_Research(hours)]]*60</f>
        <v>0</v>
      </c>
      <c r="AW362" t="str">
        <f>tbl_OriginalData[[#This Row],[Social_Media_Influence]]</f>
        <v>High</v>
      </c>
      <c r="AX362" t="str">
        <f>tbl_OriginalData[[#This Row],[Discount_Sensitivity]]</f>
        <v>Very Sensitive</v>
      </c>
      <c r="AY362" s="3">
        <f>tbl_OriginalData[[#This Row],[Return_Rate]]/tbl_OriginalData[[#This Row],[Frequency_of_Purchase]]</f>
        <v>0.2857142857142857</v>
      </c>
      <c r="AZ362">
        <f>tbl_OriginalData[[#This Row],[Customer_Satisfaction]]</f>
        <v>5</v>
      </c>
      <c r="BA362" t="str">
        <f>tbl_OriginalData[[#This Row],[Engagement_with_Ads]]</f>
        <v>None</v>
      </c>
      <c r="BB362" t="str">
        <f>tbl_OriginalData[[#This Row],[Device_Used_for_Shopping]]</f>
        <v>Smartphone</v>
      </c>
      <c r="BC362" t="str">
        <f>tbl_OriginalData[[#This Row],[Payment_Method]]</f>
        <v>Credit Card</v>
      </c>
      <c r="BD362" s="1">
        <f>tbl_OriginalData[[#This Row],[Time_of_Purchase]]</f>
        <v>45467</v>
      </c>
      <c r="BE362" t="str">
        <f>IF(tbl_OriginalData[[#This Row],[Discount_Used]]=TRUE,"Yes","No")</f>
        <v>Yes</v>
      </c>
      <c r="BF362" t="str">
        <f>IF(tbl_OriginalData[[#This Row],[Customer_Loyalty_Program_Member]]=TRUE,"Yes","No")</f>
        <v>Yes</v>
      </c>
      <c r="BG362" t="str">
        <f>tbl_OriginalData[[#This Row],[Purchase_Intent]]</f>
        <v>Planned</v>
      </c>
      <c r="BH362" t="str">
        <f>tbl_OriginalData[[#This Row],[Shipping_Preference]]</f>
        <v>Standard</v>
      </c>
      <c r="BI362">
        <f>tbl_OriginalData[[#This Row],[Time_to_Decision]]</f>
        <v>8</v>
      </c>
      <c r="BJ362" t="s">
        <v>104</v>
      </c>
      <c r="BK362" t="s">
        <v>63</v>
      </c>
      <c r="BL362" t="s">
        <v>2523</v>
      </c>
    </row>
    <row r="363" spans="1:64">
      <c r="A363" t="s">
        <v>925</v>
      </c>
      <c r="B363">
        <v>45</v>
      </c>
      <c r="C363" t="s">
        <v>33</v>
      </c>
      <c r="D363" t="s">
        <v>51</v>
      </c>
      <c r="E363" t="s">
        <v>82</v>
      </c>
      <c r="F363" t="s">
        <v>66</v>
      </c>
      <c r="G363" t="s">
        <v>34</v>
      </c>
      <c r="H363" t="s">
        <v>926</v>
      </c>
      <c r="I363" t="s">
        <v>150</v>
      </c>
      <c r="J363">
        <v>489.27</v>
      </c>
      <c r="K363">
        <v>4</v>
      </c>
      <c r="L363" t="s">
        <v>39</v>
      </c>
      <c r="M363">
        <v>1</v>
      </c>
      <c r="N363">
        <v>4</v>
      </c>
      <c r="O363">
        <v>1</v>
      </c>
      <c r="P363" t="s">
        <v>51</v>
      </c>
      <c r="Q363" t="s">
        <v>41</v>
      </c>
      <c r="R363">
        <v>1</v>
      </c>
      <c r="S363">
        <v>3</v>
      </c>
      <c r="T363" t="s">
        <v>40</v>
      </c>
      <c r="U363" t="s">
        <v>42</v>
      </c>
      <c r="V363" t="s">
        <v>71</v>
      </c>
      <c r="W363" s="1">
        <v>45304</v>
      </c>
      <c r="X363" t="b">
        <v>0</v>
      </c>
      <c r="Y363" t="b">
        <v>0</v>
      </c>
      <c r="Z363" t="s">
        <v>59</v>
      </c>
      <c r="AA363" t="s">
        <v>60</v>
      </c>
      <c r="AB363">
        <v>3</v>
      </c>
      <c r="AF363" t="str">
        <f>tbl_OriginalData[[#This Row],[Customer_ID]]</f>
        <v>83-561-3374</v>
      </c>
      <c r="AG363">
        <f>tbl_OriginalData[[#This Row],[Age]]</f>
        <v>45</v>
      </c>
      <c r="AH363" t="str" cm="1">
        <f t="array" ref="AH36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63" t="str">
        <f>tbl_OriginalData[[#This Row],[Gender]]</f>
        <v>Female</v>
      </c>
      <c r="AJ363" t="str">
        <f>tbl_OriginalData[[#This Row],[Income_Level]]</f>
        <v>High</v>
      </c>
      <c r="AK363" t="str">
        <f>tbl_OriginalData[[#This Row],[Marital_Status]]</f>
        <v>Widowed</v>
      </c>
      <c r="AL363" t="str">
        <f>tbl_OriginalData[[#This Row],[Education_Level]]</f>
        <v>Master's</v>
      </c>
      <c r="AM363" t="str">
        <f>tbl_OriginalData[[#This Row],[Occupation]]</f>
        <v>Middle</v>
      </c>
      <c r="AN363" t="s">
        <v>926</v>
      </c>
      <c r="AO363" t="s">
        <v>246</v>
      </c>
      <c r="AP363" t="str">
        <f>tbl_OriginalData[[#This Row],[Purchase_Category]]</f>
        <v>Software &amp; Apps</v>
      </c>
      <c r="AQ363" s="4">
        <f>tbl_OriginalData[[#This Row],[Purchase_Amount]]</f>
        <v>489.27</v>
      </c>
      <c r="AR363">
        <f>tbl_OriginalData[[#This Row],[Frequency_of_Purchase]]</f>
        <v>4</v>
      </c>
      <c r="AS363" t="str">
        <f>tbl_OriginalData[[#This Row],[Purchase_Channel]]</f>
        <v>Mixed</v>
      </c>
      <c r="AT363">
        <f>tbl_OriginalData[[#This Row],[Brand_Loyalty]]</f>
        <v>1</v>
      </c>
      <c r="AU363">
        <f>tbl_OriginalData[[#This Row],[Product_Rating]]</f>
        <v>4</v>
      </c>
      <c r="AV363">
        <f>tbl_OriginalData[[#This Row],[Time_Spent_on_Product_Research(hours)]]*60</f>
        <v>60</v>
      </c>
      <c r="AW363" t="str">
        <f>tbl_OriginalData[[#This Row],[Social_Media_Influence]]</f>
        <v>High</v>
      </c>
      <c r="AX363" t="str">
        <f>tbl_OriginalData[[#This Row],[Discount_Sensitivity]]</f>
        <v>Somewhat Sensitive</v>
      </c>
      <c r="AY363" s="3">
        <f>tbl_OriginalData[[#This Row],[Return_Rate]]/tbl_OriginalData[[#This Row],[Frequency_of_Purchase]]</f>
        <v>0.25</v>
      </c>
      <c r="AZ363">
        <f>tbl_OriginalData[[#This Row],[Customer_Satisfaction]]</f>
        <v>3</v>
      </c>
      <c r="BA363" t="str">
        <f>tbl_OriginalData[[#This Row],[Engagement_with_Ads]]</f>
        <v>None</v>
      </c>
      <c r="BB363" t="str">
        <f>tbl_OriginalData[[#This Row],[Device_Used_for_Shopping]]</f>
        <v>Tablet</v>
      </c>
      <c r="BC363" t="str">
        <f>tbl_OriginalData[[#This Row],[Payment_Method]]</f>
        <v>Debit Card</v>
      </c>
      <c r="BD363" s="1">
        <f>tbl_OriginalData[[#This Row],[Time_of_Purchase]]</f>
        <v>45304</v>
      </c>
      <c r="BE363" t="str">
        <f>IF(tbl_OriginalData[[#This Row],[Discount_Used]]=TRUE,"Yes","No")</f>
        <v>No</v>
      </c>
      <c r="BF363" t="str">
        <f>IF(tbl_OriginalData[[#This Row],[Customer_Loyalty_Program_Member]]=TRUE,"Yes","No")</f>
        <v>No</v>
      </c>
      <c r="BG363" t="str">
        <f>tbl_OriginalData[[#This Row],[Purchase_Intent]]</f>
        <v>Wants-based</v>
      </c>
      <c r="BH363" t="str">
        <f>tbl_OriginalData[[#This Row],[Shipping_Preference]]</f>
        <v>Standard</v>
      </c>
      <c r="BI363">
        <f>tbl_OriginalData[[#This Row],[Time_to_Decision]]</f>
        <v>3</v>
      </c>
      <c r="BJ363" t="s">
        <v>86</v>
      </c>
      <c r="BK363" t="s">
        <v>48</v>
      </c>
      <c r="BL363" t="s">
        <v>2523</v>
      </c>
    </row>
    <row r="364" spans="1:64">
      <c r="A364" t="s">
        <v>927</v>
      </c>
      <c r="B364">
        <v>38</v>
      </c>
      <c r="C364" t="s">
        <v>50</v>
      </c>
      <c r="D364" t="s">
        <v>34</v>
      </c>
      <c r="E364" t="s">
        <v>35</v>
      </c>
      <c r="F364" t="s">
        <v>36</v>
      </c>
      <c r="G364" t="s">
        <v>34</v>
      </c>
      <c r="H364" t="s">
        <v>928</v>
      </c>
      <c r="I364" t="s">
        <v>150</v>
      </c>
      <c r="J364">
        <v>303.93</v>
      </c>
      <c r="K364">
        <v>6</v>
      </c>
      <c r="L364" t="s">
        <v>39</v>
      </c>
      <c r="M364">
        <v>3</v>
      </c>
      <c r="N364">
        <v>2</v>
      </c>
      <c r="O364">
        <v>0</v>
      </c>
      <c r="P364" t="s">
        <v>51</v>
      </c>
      <c r="Q364" t="s">
        <v>57</v>
      </c>
      <c r="R364">
        <v>1</v>
      </c>
      <c r="S364">
        <v>10</v>
      </c>
      <c r="T364" t="s">
        <v>69</v>
      </c>
      <c r="U364" t="s">
        <v>70</v>
      </c>
      <c r="V364" t="s">
        <v>71</v>
      </c>
      <c r="W364" s="1">
        <v>45364</v>
      </c>
      <c r="X364" t="b">
        <v>1</v>
      </c>
      <c r="Y364" t="b">
        <v>0</v>
      </c>
      <c r="Z364" t="s">
        <v>44</v>
      </c>
      <c r="AA364" t="s">
        <v>45</v>
      </c>
      <c r="AB364">
        <v>2</v>
      </c>
      <c r="AF364" t="str">
        <f>tbl_OriginalData[[#This Row],[Customer_ID]]</f>
        <v>96-121-0629</v>
      </c>
      <c r="AG364">
        <f>tbl_OriginalData[[#This Row],[Age]]</f>
        <v>38</v>
      </c>
      <c r="AH364" t="str" cm="1">
        <f t="array" ref="AH36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64" t="str">
        <f>tbl_OriginalData[[#This Row],[Gender]]</f>
        <v>Male</v>
      </c>
      <c r="AJ364" t="str">
        <f>tbl_OriginalData[[#This Row],[Income_Level]]</f>
        <v>Middle</v>
      </c>
      <c r="AK364" t="str">
        <f>tbl_OriginalData[[#This Row],[Marital_Status]]</f>
        <v>Married</v>
      </c>
      <c r="AL364" t="str">
        <f>tbl_OriginalData[[#This Row],[Education_Level]]</f>
        <v>Bachelor's</v>
      </c>
      <c r="AM364" t="str">
        <f>tbl_OriginalData[[#This Row],[Occupation]]</f>
        <v>Middle</v>
      </c>
      <c r="AN364" t="s">
        <v>928</v>
      </c>
      <c r="AO364" t="s">
        <v>61</v>
      </c>
      <c r="AP364" t="str">
        <f>tbl_OriginalData[[#This Row],[Purchase_Category]]</f>
        <v>Software &amp; Apps</v>
      </c>
      <c r="AQ364" s="4">
        <f>tbl_OriginalData[[#This Row],[Purchase_Amount]]</f>
        <v>303.93</v>
      </c>
      <c r="AR364">
        <f>tbl_OriginalData[[#This Row],[Frequency_of_Purchase]]</f>
        <v>6</v>
      </c>
      <c r="AS364" t="str">
        <f>tbl_OriginalData[[#This Row],[Purchase_Channel]]</f>
        <v>Mixed</v>
      </c>
      <c r="AT364">
        <f>tbl_OriginalData[[#This Row],[Brand_Loyalty]]</f>
        <v>3</v>
      </c>
      <c r="AU364">
        <f>tbl_OriginalData[[#This Row],[Product_Rating]]</f>
        <v>2</v>
      </c>
      <c r="AV364">
        <f>tbl_OriginalData[[#This Row],[Time_Spent_on_Product_Research(hours)]]*60</f>
        <v>0</v>
      </c>
      <c r="AW364" t="str">
        <f>tbl_OriginalData[[#This Row],[Social_Media_Influence]]</f>
        <v>High</v>
      </c>
      <c r="AX364" t="str">
        <f>tbl_OriginalData[[#This Row],[Discount_Sensitivity]]</f>
        <v>Not Sensitive</v>
      </c>
      <c r="AY364" s="3">
        <f>tbl_OriginalData[[#This Row],[Return_Rate]]/tbl_OriginalData[[#This Row],[Frequency_of_Purchase]]</f>
        <v>0.16666666666666666</v>
      </c>
      <c r="AZ364">
        <f>tbl_OriginalData[[#This Row],[Customer_Satisfaction]]</f>
        <v>10</v>
      </c>
      <c r="BA364" t="str">
        <f>tbl_OriginalData[[#This Row],[Engagement_with_Ads]]</f>
        <v>Low</v>
      </c>
      <c r="BB364" t="str">
        <f>tbl_OriginalData[[#This Row],[Device_Used_for_Shopping]]</f>
        <v>Smartphone</v>
      </c>
      <c r="BC364" t="str">
        <f>tbl_OriginalData[[#This Row],[Payment_Method]]</f>
        <v>Debit Card</v>
      </c>
      <c r="BD364" s="1">
        <f>tbl_OriginalData[[#This Row],[Time_of_Purchase]]</f>
        <v>45364</v>
      </c>
      <c r="BE364" t="str">
        <f>IF(tbl_OriginalData[[#This Row],[Discount_Used]]=TRUE,"Yes","No")</f>
        <v>Yes</v>
      </c>
      <c r="BF364" t="str">
        <f>IF(tbl_OriginalData[[#This Row],[Customer_Loyalty_Program_Member]]=TRUE,"Yes","No")</f>
        <v>No</v>
      </c>
      <c r="BG364" t="str">
        <f>tbl_OriginalData[[#This Row],[Purchase_Intent]]</f>
        <v>Need-based</v>
      </c>
      <c r="BH364" t="str">
        <f>tbl_OriginalData[[#This Row],[Shipping_Preference]]</f>
        <v>No Preference</v>
      </c>
      <c r="BI364">
        <f>tbl_OriginalData[[#This Row],[Time_to_Decision]]</f>
        <v>2</v>
      </c>
      <c r="BJ364" t="s">
        <v>47</v>
      </c>
      <c r="BK364" t="s">
        <v>48</v>
      </c>
      <c r="BL364" t="s">
        <v>2524</v>
      </c>
    </row>
    <row r="365" spans="1:64">
      <c r="A365" t="s">
        <v>929</v>
      </c>
      <c r="B365">
        <v>24</v>
      </c>
      <c r="C365" t="s">
        <v>33</v>
      </c>
      <c r="D365" t="s">
        <v>34</v>
      </c>
      <c r="E365" t="s">
        <v>35</v>
      </c>
      <c r="F365" t="s">
        <v>36</v>
      </c>
      <c r="G365" t="s">
        <v>34</v>
      </c>
      <c r="H365" t="s">
        <v>930</v>
      </c>
      <c r="I365" t="s">
        <v>54</v>
      </c>
      <c r="J365">
        <v>302.74</v>
      </c>
      <c r="K365">
        <v>11</v>
      </c>
      <c r="L365" t="s">
        <v>39</v>
      </c>
      <c r="M365">
        <v>1</v>
      </c>
      <c r="N365">
        <v>5</v>
      </c>
      <c r="O365">
        <v>0</v>
      </c>
      <c r="P365" t="s">
        <v>51</v>
      </c>
      <c r="Q365" t="s">
        <v>101</v>
      </c>
      <c r="R365">
        <v>0</v>
      </c>
      <c r="S365">
        <v>6</v>
      </c>
      <c r="T365" t="s">
        <v>51</v>
      </c>
      <c r="U365" t="s">
        <v>70</v>
      </c>
      <c r="V365" t="s">
        <v>58</v>
      </c>
      <c r="W365" s="1">
        <v>45471</v>
      </c>
      <c r="X365" t="b">
        <v>1</v>
      </c>
      <c r="Y365" t="b">
        <v>1</v>
      </c>
      <c r="Z365" t="s">
        <v>59</v>
      </c>
      <c r="AA365" t="s">
        <v>77</v>
      </c>
      <c r="AB365">
        <v>5</v>
      </c>
      <c r="AF365" t="str">
        <f>tbl_OriginalData[[#This Row],[Customer_ID]]</f>
        <v>00-275-9990</v>
      </c>
      <c r="AG365">
        <f>tbl_OriginalData[[#This Row],[Age]]</f>
        <v>24</v>
      </c>
      <c r="AH365" t="str" cm="1">
        <f t="array" ref="AH36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65" t="str">
        <f>tbl_OriginalData[[#This Row],[Gender]]</f>
        <v>Female</v>
      </c>
      <c r="AJ365" t="str">
        <f>tbl_OriginalData[[#This Row],[Income_Level]]</f>
        <v>Middle</v>
      </c>
      <c r="AK365" t="str">
        <f>tbl_OriginalData[[#This Row],[Marital_Status]]</f>
        <v>Married</v>
      </c>
      <c r="AL365" t="str">
        <f>tbl_OriginalData[[#This Row],[Education_Level]]</f>
        <v>Bachelor's</v>
      </c>
      <c r="AM365" t="str">
        <f>tbl_OriginalData[[#This Row],[Occupation]]</f>
        <v>Middle</v>
      </c>
      <c r="AN365" t="s">
        <v>930</v>
      </c>
      <c r="AO365" t="s">
        <v>90</v>
      </c>
      <c r="AP365" t="str">
        <f>tbl_OriginalData[[#This Row],[Purchase_Category]]</f>
        <v>Food &amp; Beverages</v>
      </c>
      <c r="AQ365" s="4">
        <f>tbl_OriginalData[[#This Row],[Purchase_Amount]]</f>
        <v>302.74</v>
      </c>
      <c r="AR365">
        <f>tbl_OriginalData[[#This Row],[Frequency_of_Purchase]]</f>
        <v>11</v>
      </c>
      <c r="AS365" t="str">
        <f>tbl_OriginalData[[#This Row],[Purchase_Channel]]</f>
        <v>Mixed</v>
      </c>
      <c r="AT365">
        <f>tbl_OriginalData[[#This Row],[Brand_Loyalty]]</f>
        <v>1</v>
      </c>
      <c r="AU365">
        <f>tbl_OriginalData[[#This Row],[Product_Rating]]</f>
        <v>5</v>
      </c>
      <c r="AV365">
        <f>tbl_OriginalData[[#This Row],[Time_Spent_on_Product_Research(hours)]]*60</f>
        <v>0</v>
      </c>
      <c r="AW365" t="str">
        <f>tbl_OriginalData[[#This Row],[Social_Media_Influence]]</f>
        <v>High</v>
      </c>
      <c r="AX365" t="str">
        <f>tbl_OriginalData[[#This Row],[Discount_Sensitivity]]</f>
        <v>Very Sensitive</v>
      </c>
      <c r="AY365" s="3">
        <f>tbl_OriginalData[[#This Row],[Return_Rate]]/tbl_OriginalData[[#This Row],[Frequency_of_Purchase]]</f>
        <v>0</v>
      </c>
      <c r="AZ365">
        <f>tbl_OriginalData[[#This Row],[Customer_Satisfaction]]</f>
        <v>6</v>
      </c>
      <c r="BA365" t="str">
        <f>tbl_OriginalData[[#This Row],[Engagement_with_Ads]]</f>
        <v>High</v>
      </c>
      <c r="BB365" t="str">
        <f>tbl_OriginalData[[#This Row],[Device_Used_for_Shopping]]</f>
        <v>Smartphone</v>
      </c>
      <c r="BC365" t="str">
        <f>tbl_OriginalData[[#This Row],[Payment_Method]]</f>
        <v>PayPal</v>
      </c>
      <c r="BD365" s="1">
        <f>tbl_OriginalData[[#This Row],[Time_of_Purchase]]</f>
        <v>45471</v>
      </c>
      <c r="BE365" t="str">
        <f>IF(tbl_OriginalData[[#This Row],[Discount_Used]]=TRUE,"Yes","No")</f>
        <v>Yes</v>
      </c>
      <c r="BF365" t="str">
        <f>IF(tbl_OriginalData[[#This Row],[Customer_Loyalty_Program_Member]]=TRUE,"Yes","No")</f>
        <v>Yes</v>
      </c>
      <c r="BG365" t="str">
        <f>tbl_OriginalData[[#This Row],[Purchase_Intent]]</f>
        <v>Wants-based</v>
      </c>
      <c r="BH365" t="str">
        <f>tbl_OriginalData[[#This Row],[Shipping_Preference]]</f>
        <v>Express</v>
      </c>
      <c r="BI365">
        <f>tbl_OriginalData[[#This Row],[Time_to_Decision]]</f>
        <v>5</v>
      </c>
      <c r="BJ365" t="s">
        <v>104</v>
      </c>
      <c r="BK365" t="s">
        <v>63</v>
      </c>
      <c r="BL365" t="s">
        <v>2524</v>
      </c>
    </row>
    <row r="366" spans="1:64">
      <c r="A366" t="s">
        <v>931</v>
      </c>
      <c r="B366">
        <v>42</v>
      </c>
      <c r="C366" t="s">
        <v>431</v>
      </c>
      <c r="D366" t="s">
        <v>51</v>
      </c>
      <c r="E366" t="s">
        <v>65</v>
      </c>
      <c r="F366" t="s">
        <v>36</v>
      </c>
      <c r="G366" t="s">
        <v>51</v>
      </c>
      <c r="H366" t="s">
        <v>932</v>
      </c>
      <c r="I366" t="s">
        <v>235</v>
      </c>
      <c r="J366">
        <v>157.21</v>
      </c>
      <c r="K366">
        <v>11</v>
      </c>
      <c r="L366" t="s">
        <v>94</v>
      </c>
      <c r="M366">
        <v>3</v>
      </c>
      <c r="N366">
        <v>3</v>
      </c>
      <c r="O366">
        <v>0</v>
      </c>
      <c r="P366" t="s">
        <v>56</v>
      </c>
      <c r="Q366" t="s">
        <v>57</v>
      </c>
      <c r="R366">
        <v>0</v>
      </c>
      <c r="S366">
        <v>3</v>
      </c>
      <c r="T366" t="s">
        <v>51</v>
      </c>
      <c r="U366" t="s">
        <v>42</v>
      </c>
      <c r="V366" t="s">
        <v>71</v>
      </c>
      <c r="W366" s="1">
        <v>45412</v>
      </c>
      <c r="X366" t="b">
        <v>1</v>
      </c>
      <c r="Y366" t="b">
        <v>0</v>
      </c>
      <c r="Z366" t="s">
        <v>59</v>
      </c>
      <c r="AA366" t="s">
        <v>77</v>
      </c>
      <c r="AB366">
        <v>5</v>
      </c>
      <c r="AF366" t="str">
        <f>tbl_OriginalData[[#This Row],[Customer_ID]]</f>
        <v>36-593-2907</v>
      </c>
      <c r="AG366">
        <f>tbl_OriginalData[[#This Row],[Age]]</f>
        <v>42</v>
      </c>
      <c r="AH366" t="str" cm="1">
        <f t="array" ref="AH36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66" t="str">
        <f>tbl_OriginalData[[#This Row],[Gender]]</f>
        <v>Genderqueer</v>
      </c>
      <c r="AJ366" t="str">
        <f>tbl_OriginalData[[#This Row],[Income_Level]]</f>
        <v>High</v>
      </c>
      <c r="AK366" t="str">
        <f>tbl_OriginalData[[#This Row],[Marital_Status]]</f>
        <v>Single</v>
      </c>
      <c r="AL366" t="str">
        <f>tbl_OriginalData[[#This Row],[Education_Level]]</f>
        <v>Bachelor's</v>
      </c>
      <c r="AM366" t="str">
        <f>tbl_OriginalData[[#This Row],[Occupation]]</f>
        <v>High</v>
      </c>
      <c r="AN366" t="s">
        <v>932</v>
      </c>
      <c r="AO366" t="s">
        <v>194</v>
      </c>
      <c r="AP366" t="str">
        <f>tbl_OriginalData[[#This Row],[Purchase_Category]]</f>
        <v>Beauty &amp; Personal Care</v>
      </c>
      <c r="AQ366" s="4">
        <f>tbl_OriginalData[[#This Row],[Purchase_Amount]]</f>
        <v>157.21</v>
      </c>
      <c r="AR366">
        <f>tbl_OriginalData[[#This Row],[Frequency_of_Purchase]]</f>
        <v>11</v>
      </c>
      <c r="AS366" t="str">
        <f>tbl_OriginalData[[#This Row],[Purchase_Channel]]</f>
        <v>Online</v>
      </c>
      <c r="AT366">
        <f>tbl_OriginalData[[#This Row],[Brand_Loyalty]]</f>
        <v>3</v>
      </c>
      <c r="AU366">
        <f>tbl_OriginalData[[#This Row],[Product_Rating]]</f>
        <v>3</v>
      </c>
      <c r="AV366">
        <f>tbl_OriginalData[[#This Row],[Time_Spent_on_Product_Research(hours)]]*60</f>
        <v>0</v>
      </c>
      <c r="AW366" t="str">
        <f>tbl_OriginalData[[#This Row],[Social_Media_Influence]]</f>
        <v>Medium</v>
      </c>
      <c r="AX366" t="str">
        <f>tbl_OriginalData[[#This Row],[Discount_Sensitivity]]</f>
        <v>Not Sensitive</v>
      </c>
      <c r="AY366" s="3">
        <f>tbl_OriginalData[[#This Row],[Return_Rate]]/tbl_OriginalData[[#This Row],[Frequency_of_Purchase]]</f>
        <v>0</v>
      </c>
      <c r="AZ366">
        <f>tbl_OriginalData[[#This Row],[Customer_Satisfaction]]</f>
        <v>3</v>
      </c>
      <c r="BA366" t="str">
        <f>tbl_OriginalData[[#This Row],[Engagement_with_Ads]]</f>
        <v>High</v>
      </c>
      <c r="BB366" t="str">
        <f>tbl_OriginalData[[#This Row],[Device_Used_for_Shopping]]</f>
        <v>Tablet</v>
      </c>
      <c r="BC366" t="str">
        <f>tbl_OriginalData[[#This Row],[Payment_Method]]</f>
        <v>Debit Card</v>
      </c>
      <c r="BD366" s="1">
        <f>tbl_OriginalData[[#This Row],[Time_of_Purchase]]</f>
        <v>45412</v>
      </c>
      <c r="BE366" t="str">
        <f>IF(tbl_OriginalData[[#This Row],[Discount_Used]]=TRUE,"Yes","No")</f>
        <v>Yes</v>
      </c>
      <c r="BF366" t="str">
        <f>IF(tbl_OriginalData[[#This Row],[Customer_Loyalty_Program_Member]]=TRUE,"Yes","No")</f>
        <v>No</v>
      </c>
      <c r="BG366" t="str">
        <f>tbl_OriginalData[[#This Row],[Purchase_Intent]]</f>
        <v>Wants-based</v>
      </c>
      <c r="BH366" t="str">
        <f>tbl_OriginalData[[#This Row],[Shipping_Preference]]</f>
        <v>Express</v>
      </c>
      <c r="BI366">
        <f>tbl_OriginalData[[#This Row],[Time_to_Decision]]</f>
        <v>5</v>
      </c>
      <c r="BJ366" t="s">
        <v>62</v>
      </c>
      <c r="BK366" t="s">
        <v>63</v>
      </c>
      <c r="BL366" t="s">
        <v>2524</v>
      </c>
    </row>
    <row r="367" spans="1:64">
      <c r="A367" t="s">
        <v>933</v>
      </c>
      <c r="B367">
        <v>46</v>
      </c>
      <c r="C367" t="s">
        <v>33</v>
      </c>
      <c r="D367" t="s">
        <v>51</v>
      </c>
      <c r="E367" t="s">
        <v>82</v>
      </c>
      <c r="F367" t="s">
        <v>52</v>
      </c>
      <c r="G367" t="s">
        <v>51</v>
      </c>
      <c r="H367" t="s">
        <v>934</v>
      </c>
      <c r="I367" t="s">
        <v>108</v>
      </c>
      <c r="J367">
        <v>159.44999999999999</v>
      </c>
      <c r="K367">
        <v>2</v>
      </c>
      <c r="L367" t="s">
        <v>94</v>
      </c>
      <c r="M367">
        <v>3</v>
      </c>
      <c r="N367">
        <v>2</v>
      </c>
      <c r="O367">
        <v>2</v>
      </c>
      <c r="P367" t="s">
        <v>56</v>
      </c>
      <c r="Q367" t="s">
        <v>101</v>
      </c>
      <c r="R367">
        <v>0</v>
      </c>
      <c r="S367">
        <v>5</v>
      </c>
      <c r="T367" t="s">
        <v>40</v>
      </c>
      <c r="U367" t="s">
        <v>70</v>
      </c>
      <c r="V367" t="s">
        <v>71</v>
      </c>
      <c r="W367" s="1">
        <v>45457</v>
      </c>
      <c r="X367" t="b">
        <v>1</v>
      </c>
      <c r="Y367" t="b">
        <v>0</v>
      </c>
      <c r="Z367" t="s">
        <v>72</v>
      </c>
      <c r="AA367" t="s">
        <v>60</v>
      </c>
      <c r="AB367">
        <v>14</v>
      </c>
      <c r="AF367" t="str">
        <f>tbl_OriginalData[[#This Row],[Customer_ID]]</f>
        <v>22-692-3470</v>
      </c>
      <c r="AG367">
        <f>tbl_OriginalData[[#This Row],[Age]]</f>
        <v>46</v>
      </c>
      <c r="AH367" t="str" cm="1">
        <f t="array" ref="AH36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67" t="str">
        <f>tbl_OriginalData[[#This Row],[Gender]]</f>
        <v>Female</v>
      </c>
      <c r="AJ367" t="str">
        <f>tbl_OriginalData[[#This Row],[Income_Level]]</f>
        <v>High</v>
      </c>
      <c r="AK367" t="str">
        <f>tbl_OriginalData[[#This Row],[Marital_Status]]</f>
        <v>Widowed</v>
      </c>
      <c r="AL367" t="str">
        <f>tbl_OriginalData[[#This Row],[Education_Level]]</f>
        <v>High School</v>
      </c>
      <c r="AM367" t="str">
        <f>tbl_OriginalData[[#This Row],[Occupation]]</f>
        <v>High</v>
      </c>
      <c r="AN367" t="s">
        <v>934</v>
      </c>
      <c r="AO367" t="s">
        <v>161</v>
      </c>
      <c r="AP367" t="str">
        <f>tbl_OriginalData[[#This Row],[Purchase_Category]]</f>
        <v>Sports &amp; Outdoors</v>
      </c>
      <c r="AQ367" s="4">
        <f>tbl_OriginalData[[#This Row],[Purchase_Amount]]</f>
        <v>159.44999999999999</v>
      </c>
      <c r="AR367">
        <f>tbl_OriginalData[[#This Row],[Frequency_of_Purchase]]</f>
        <v>2</v>
      </c>
      <c r="AS367" t="str">
        <f>tbl_OriginalData[[#This Row],[Purchase_Channel]]</f>
        <v>Online</v>
      </c>
      <c r="AT367">
        <f>tbl_OriginalData[[#This Row],[Brand_Loyalty]]</f>
        <v>3</v>
      </c>
      <c r="AU367">
        <f>tbl_OriginalData[[#This Row],[Product_Rating]]</f>
        <v>2</v>
      </c>
      <c r="AV367">
        <f>tbl_OriginalData[[#This Row],[Time_Spent_on_Product_Research(hours)]]*60</f>
        <v>120</v>
      </c>
      <c r="AW367" t="str">
        <f>tbl_OriginalData[[#This Row],[Social_Media_Influence]]</f>
        <v>Medium</v>
      </c>
      <c r="AX367" t="str">
        <f>tbl_OriginalData[[#This Row],[Discount_Sensitivity]]</f>
        <v>Very Sensitive</v>
      </c>
      <c r="AY367" s="3">
        <f>tbl_OriginalData[[#This Row],[Return_Rate]]/tbl_OriginalData[[#This Row],[Frequency_of_Purchase]]</f>
        <v>0</v>
      </c>
      <c r="AZ367">
        <f>tbl_OriginalData[[#This Row],[Customer_Satisfaction]]</f>
        <v>5</v>
      </c>
      <c r="BA367" t="str">
        <f>tbl_OriginalData[[#This Row],[Engagement_with_Ads]]</f>
        <v>None</v>
      </c>
      <c r="BB367" t="str">
        <f>tbl_OriginalData[[#This Row],[Device_Used_for_Shopping]]</f>
        <v>Smartphone</v>
      </c>
      <c r="BC367" t="str">
        <f>tbl_OriginalData[[#This Row],[Payment_Method]]</f>
        <v>Debit Card</v>
      </c>
      <c r="BD367" s="1">
        <f>tbl_OriginalData[[#This Row],[Time_of_Purchase]]</f>
        <v>45457</v>
      </c>
      <c r="BE367" t="str">
        <f>IF(tbl_OriginalData[[#This Row],[Discount_Used]]=TRUE,"Yes","No")</f>
        <v>Yes</v>
      </c>
      <c r="BF367" t="str">
        <f>IF(tbl_OriginalData[[#This Row],[Customer_Loyalty_Program_Member]]=TRUE,"Yes","No")</f>
        <v>No</v>
      </c>
      <c r="BG367" t="str">
        <f>tbl_OriginalData[[#This Row],[Purchase_Intent]]</f>
        <v>Impulsive</v>
      </c>
      <c r="BH367" t="str">
        <f>tbl_OriginalData[[#This Row],[Shipping_Preference]]</f>
        <v>Standard</v>
      </c>
      <c r="BI367">
        <f>tbl_OriginalData[[#This Row],[Time_to_Decision]]</f>
        <v>14</v>
      </c>
      <c r="BJ367" t="s">
        <v>104</v>
      </c>
      <c r="BK367" t="s">
        <v>63</v>
      </c>
      <c r="BL367" t="s">
        <v>2527</v>
      </c>
    </row>
    <row r="368" spans="1:64">
      <c r="A368" t="s">
        <v>935</v>
      </c>
      <c r="B368">
        <v>44</v>
      </c>
      <c r="C368" t="s">
        <v>33</v>
      </c>
      <c r="D368" t="s">
        <v>51</v>
      </c>
      <c r="E368" t="s">
        <v>82</v>
      </c>
      <c r="F368" t="s">
        <v>52</v>
      </c>
      <c r="G368" t="s">
        <v>34</v>
      </c>
      <c r="H368" t="s">
        <v>936</v>
      </c>
      <c r="I368" t="s">
        <v>123</v>
      </c>
      <c r="J368">
        <v>312.93</v>
      </c>
      <c r="K368">
        <v>2</v>
      </c>
      <c r="L368" t="s">
        <v>55</v>
      </c>
      <c r="M368">
        <v>2</v>
      </c>
      <c r="N368">
        <v>2</v>
      </c>
      <c r="O368">
        <v>1</v>
      </c>
      <c r="P368" t="s">
        <v>51</v>
      </c>
      <c r="Q368" t="s">
        <v>101</v>
      </c>
      <c r="R368">
        <v>0</v>
      </c>
      <c r="S368">
        <v>7</v>
      </c>
      <c r="T368" t="s">
        <v>40</v>
      </c>
      <c r="U368" t="s">
        <v>70</v>
      </c>
      <c r="V368" t="s">
        <v>58</v>
      </c>
      <c r="W368" s="1">
        <v>45508</v>
      </c>
      <c r="X368" t="b">
        <v>1</v>
      </c>
      <c r="Y368" t="b">
        <v>1</v>
      </c>
      <c r="Z368" t="s">
        <v>59</v>
      </c>
      <c r="AA368" t="s">
        <v>45</v>
      </c>
      <c r="AB368">
        <v>3</v>
      </c>
      <c r="AF368" t="str">
        <f>tbl_OriginalData[[#This Row],[Customer_ID]]</f>
        <v>90-322-7329</v>
      </c>
      <c r="AG368">
        <f>tbl_OriginalData[[#This Row],[Age]]</f>
        <v>44</v>
      </c>
      <c r="AH368" t="str" cm="1">
        <f t="array" ref="AH36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68" t="str">
        <f>tbl_OriginalData[[#This Row],[Gender]]</f>
        <v>Female</v>
      </c>
      <c r="AJ368" t="str">
        <f>tbl_OriginalData[[#This Row],[Income_Level]]</f>
        <v>High</v>
      </c>
      <c r="AK368" t="str">
        <f>tbl_OriginalData[[#This Row],[Marital_Status]]</f>
        <v>Widowed</v>
      </c>
      <c r="AL368" t="str">
        <f>tbl_OriginalData[[#This Row],[Education_Level]]</f>
        <v>High School</v>
      </c>
      <c r="AM368" t="str">
        <f>tbl_OriginalData[[#This Row],[Occupation]]</f>
        <v>Middle</v>
      </c>
      <c r="AN368" t="s">
        <v>936</v>
      </c>
      <c r="AO368" t="s">
        <v>194</v>
      </c>
      <c r="AP368" t="str">
        <f>tbl_OriginalData[[#This Row],[Purchase_Category]]</f>
        <v>Luxury Goods</v>
      </c>
      <c r="AQ368" s="4">
        <f>tbl_OriginalData[[#This Row],[Purchase_Amount]]</f>
        <v>312.93</v>
      </c>
      <c r="AR368">
        <f>tbl_OriginalData[[#This Row],[Frequency_of_Purchase]]</f>
        <v>2</v>
      </c>
      <c r="AS368" t="str">
        <f>tbl_OriginalData[[#This Row],[Purchase_Channel]]</f>
        <v>In-Store</v>
      </c>
      <c r="AT368">
        <f>tbl_OriginalData[[#This Row],[Brand_Loyalty]]</f>
        <v>2</v>
      </c>
      <c r="AU368">
        <f>tbl_OriginalData[[#This Row],[Product_Rating]]</f>
        <v>2</v>
      </c>
      <c r="AV368">
        <f>tbl_OriginalData[[#This Row],[Time_Spent_on_Product_Research(hours)]]*60</f>
        <v>60</v>
      </c>
      <c r="AW368" t="str">
        <f>tbl_OriginalData[[#This Row],[Social_Media_Influence]]</f>
        <v>High</v>
      </c>
      <c r="AX368" t="str">
        <f>tbl_OriginalData[[#This Row],[Discount_Sensitivity]]</f>
        <v>Very Sensitive</v>
      </c>
      <c r="AY368" s="3">
        <f>tbl_OriginalData[[#This Row],[Return_Rate]]/tbl_OriginalData[[#This Row],[Frequency_of_Purchase]]</f>
        <v>0</v>
      </c>
      <c r="AZ368">
        <f>tbl_OriginalData[[#This Row],[Customer_Satisfaction]]</f>
        <v>7</v>
      </c>
      <c r="BA368" t="str">
        <f>tbl_OriginalData[[#This Row],[Engagement_with_Ads]]</f>
        <v>None</v>
      </c>
      <c r="BB368" t="str">
        <f>tbl_OriginalData[[#This Row],[Device_Used_for_Shopping]]</f>
        <v>Smartphone</v>
      </c>
      <c r="BC368" t="str">
        <f>tbl_OriginalData[[#This Row],[Payment_Method]]</f>
        <v>PayPal</v>
      </c>
      <c r="BD368" s="1">
        <f>tbl_OriginalData[[#This Row],[Time_of_Purchase]]</f>
        <v>45508</v>
      </c>
      <c r="BE368" t="str">
        <f>IF(tbl_OriginalData[[#This Row],[Discount_Used]]=TRUE,"Yes","No")</f>
        <v>Yes</v>
      </c>
      <c r="BF368" t="str">
        <f>IF(tbl_OriginalData[[#This Row],[Customer_Loyalty_Program_Member]]=TRUE,"Yes","No")</f>
        <v>Yes</v>
      </c>
      <c r="BG368" t="str">
        <f>tbl_OriginalData[[#This Row],[Purchase_Intent]]</f>
        <v>Wants-based</v>
      </c>
      <c r="BH368" t="str">
        <f>tbl_OriginalData[[#This Row],[Shipping_Preference]]</f>
        <v>No Preference</v>
      </c>
      <c r="BI368">
        <f>tbl_OriginalData[[#This Row],[Time_to_Decision]]</f>
        <v>3</v>
      </c>
      <c r="BJ368" t="s">
        <v>124</v>
      </c>
      <c r="BK368" t="s">
        <v>115</v>
      </c>
      <c r="BL368" t="s">
        <v>2524</v>
      </c>
    </row>
    <row r="369" spans="1:64">
      <c r="A369" t="s">
        <v>937</v>
      </c>
      <c r="B369">
        <v>38</v>
      </c>
      <c r="C369" t="s">
        <v>50</v>
      </c>
      <c r="D369" t="s">
        <v>51</v>
      </c>
      <c r="E369" t="s">
        <v>35</v>
      </c>
      <c r="F369" t="s">
        <v>66</v>
      </c>
      <c r="G369" t="s">
        <v>34</v>
      </c>
      <c r="H369" t="s">
        <v>938</v>
      </c>
      <c r="I369" t="s">
        <v>135</v>
      </c>
      <c r="J369">
        <v>65.680000000000007</v>
      </c>
      <c r="K369">
        <v>4</v>
      </c>
      <c r="L369" t="s">
        <v>55</v>
      </c>
      <c r="M369">
        <v>4</v>
      </c>
      <c r="N369">
        <v>4</v>
      </c>
      <c r="O369">
        <v>0</v>
      </c>
      <c r="P369" t="s">
        <v>56</v>
      </c>
      <c r="Q369" t="s">
        <v>57</v>
      </c>
      <c r="R369">
        <v>0</v>
      </c>
      <c r="S369">
        <v>8</v>
      </c>
      <c r="T369" t="s">
        <v>56</v>
      </c>
      <c r="U369" t="s">
        <v>70</v>
      </c>
      <c r="V369" t="s">
        <v>76</v>
      </c>
      <c r="W369" s="1">
        <v>45419</v>
      </c>
      <c r="X369" t="b">
        <v>0</v>
      </c>
      <c r="Y369" t="b">
        <v>0</v>
      </c>
      <c r="Z369" t="s">
        <v>72</v>
      </c>
      <c r="AA369" t="s">
        <v>60</v>
      </c>
      <c r="AB369">
        <v>12</v>
      </c>
      <c r="AF369" t="str">
        <f>tbl_OriginalData[[#This Row],[Customer_ID]]</f>
        <v>28-395-9872</v>
      </c>
      <c r="AG369">
        <f>tbl_OriginalData[[#This Row],[Age]]</f>
        <v>38</v>
      </c>
      <c r="AH369" t="str" cm="1">
        <f t="array" ref="AH36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69" t="str">
        <f>tbl_OriginalData[[#This Row],[Gender]]</f>
        <v>Male</v>
      </c>
      <c r="AJ369" t="str">
        <f>tbl_OriginalData[[#This Row],[Income_Level]]</f>
        <v>High</v>
      </c>
      <c r="AK369" t="str">
        <f>tbl_OriginalData[[#This Row],[Marital_Status]]</f>
        <v>Married</v>
      </c>
      <c r="AL369" t="str">
        <f>tbl_OriginalData[[#This Row],[Education_Level]]</f>
        <v>Master's</v>
      </c>
      <c r="AM369" t="str">
        <f>tbl_OriginalData[[#This Row],[Occupation]]</f>
        <v>Middle</v>
      </c>
      <c r="AN369" t="s">
        <v>938</v>
      </c>
      <c r="AO369" t="s">
        <v>939</v>
      </c>
      <c r="AP369" t="str">
        <f>tbl_OriginalData[[#This Row],[Purchase_Category]]</f>
        <v>Hotels</v>
      </c>
      <c r="AQ369" s="4">
        <f>tbl_OriginalData[[#This Row],[Purchase_Amount]]</f>
        <v>65.680000000000007</v>
      </c>
      <c r="AR369">
        <f>tbl_OriginalData[[#This Row],[Frequency_of_Purchase]]</f>
        <v>4</v>
      </c>
      <c r="AS369" t="str">
        <f>tbl_OriginalData[[#This Row],[Purchase_Channel]]</f>
        <v>In-Store</v>
      </c>
      <c r="AT369">
        <f>tbl_OriginalData[[#This Row],[Brand_Loyalty]]</f>
        <v>4</v>
      </c>
      <c r="AU369">
        <f>tbl_OriginalData[[#This Row],[Product_Rating]]</f>
        <v>4</v>
      </c>
      <c r="AV369">
        <f>tbl_OriginalData[[#This Row],[Time_Spent_on_Product_Research(hours)]]*60</f>
        <v>0</v>
      </c>
      <c r="AW369" t="str">
        <f>tbl_OriginalData[[#This Row],[Social_Media_Influence]]</f>
        <v>Medium</v>
      </c>
      <c r="AX369" t="str">
        <f>tbl_OriginalData[[#This Row],[Discount_Sensitivity]]</f>
        <v>Not Sensitive</v>
      </c>
      <c r="AY369" s="3">
        <f>tbl_OriginalData[[#This Row],[Return_Rate]]/tbl_OriginalData[[#This Row],[Frequency_of_Purchase]]</f>
        <v>0</v>
      </c>
      <c r="AZ369">
        <f>tbl_OriginalData[[#This Row],[Customer_Satisfaction]]</f>
        <v>8</v>
      </c>
      <c r="BA369" t="str">
        <f>tbl_OriginalData[[#This Row],[Engagement_with_Ads]]</f>
        <v>Medium</v>
      </c>
      <c r="BB369" t="str">
        <f>tbl_OriginalData[[#This Row],[Device_Used_for_Shopping]]</f>
        <v>Smartphone</v>
      </c>
      <c r="BC369" t="str">
        <f>tbl_OriginalData[[#This Row],[Payment_Method]]</f>
        <v>Other</v>
      </c>
      <c r="BD369" s="1">
        <f>tbl_OriginalData[[#This Row],[Time_of_Purchase]]</f>
        <v>45419</v>
      </c>
      <c r="BE369" t="str">
        <f>IF(tbl_OriginalData[[#This Row],[Discount_Used]]=TRUE,"Yes","No")</f>
        <v>No</v>
      </c>
      <c r="BF369" t="str">
        <f>IF(tbl_OriginalData[[#This Row],[Customer_Loyalty_Program_Member]]=TRUE,"Yes","No")</f>
        <v>No</v>
      </c>
      <c r="BG369" t="str">
        <f>tbl_OriginalData[[#This Row],[Purchase_Intent]]</f>
        <v>Impulsive</v>
      </c>
      <c r="BH369" t="str">
        <f>tbl_OriginalData[[#This Row],[Shipping_Preference]]</f>
        <v>Standard</v>
      </c>
      <c r="BI369">
        <f>tbl_OriginalData[[#This Row],[Time_to_Decision]]</f>
        <v>12</v>
      </c>
      <c r="BJ369" t="s">
        <v>167</v>
      </c>
      <c r="BK369" t="s">
        <v>63</v>
      </c>
      <c r="BL369" t="s">
        <v>2528</v>
      </c>
    </row>
    <row r="370" spans="1:64">
      <c r="A370" t="s">
        <v>940</v>
      </c>
      <c r="B370">
        <v>44</v>
      </c>
      <c r="C370" t="s">
        <v>50</v>
      </c>
      <c r="D370" t="s">
        <v>34</v>
      </c>
      <c r="E370" t="s">
        <v>65</v>
      </c>
      <c r="F370" t="s">
        <v>66</v>
      </c>
      <c r="G370" t="s">
        <v>34</v>
      </c>
      <c r="H370" t="s">
        <v>941</v>
      </c>
      <c r="I370" t="s">
        <v>150</v>
      </c>
      <c r="J370">
        <v>61.86</v>
      </c>
      <c r="K370">
        <v>5</v>
      </c>
      <c r="L370" t="s">
        <v>55</v>
      </c>
      <c r="M370">
        <v>4</v>
      </c>
      <c r="N370">
        <v>5</v>
      </c>
      <c r="O370">
        <v>2</v>
      </c>
      <c r="P370" t="s">
        <v>40</v>
      </c>
      <c r="Q370" t="s">
        <v>57</v>
      </c>
      <c r="R370">
        <v>2</v>
      </c>
      <c r="S370">
        <v>8</v>
      </c>
      <c r="T370" t="s">
        <v>40</v>
      </c>
      <c r="U370" t="s">
        <v>70</v>
      </c>
      <c r="V370" t="s">
        <v>102</v>
      </c>
      <c r="W370" s="1">
        <v>45611</v>
      </c>
      <c r="X370" t="b">
        <v>0</v>
      </c>
      <c r="Y370" t="b">
        <v>1</v>
      </c>
      <c r="Z370" t="s">
        <v>44</v>
      </c>
      <c r="AA370" t="s">
        <v>60</v>
      </c>
      <c r="AB370">
        <v>9</v>
      </c>
      <c r="AF370" t="str">
        <f>tbl_OriginalData[[#This Row],[Customer_ID]]</f>
        <v>79-297-1061</v>
      </c>
      <c r="AG370">
        <f>tbl_OriginalData[[#This Row],[Age]]</f>
        <v>44</v>
      </c>
      <c r="AH370" t="str" cm="1">
        <f t="array" ref="AH37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70" t="str">
        <f>tbl_OriginalData[[#This Row],[Gender]]</f>
        <v>Male</v>
      </c>
      <c r="AJ370" t="str">
        <f>tbl_OriginalData[[#This Row],[Income_Level]]</f>
        <v>Middle</v>
      </c>
      <c r="AK370" t="str">
        <f>tbl_OriginalData[[#This Row],[Marital_Status]]</f>
        <v>Single</v>
      </c>
      <c r="AL370" t="str">
        <f>tbl_OriginalData[[#This Row],[Education_Level]]</f>
        <v>Master's</v>
      </c>
      <c r="AM370" t="str">
        <f>tbl_OriginalData[[#This Row],[Occupation]]</f>
        <v>Middle</v>
      </c>
      <c r="AN370" t="s">
        <v>941</v>
      </c>
      <c r="AO370" t="s">
        <v>128</v>
      </c>
      <c r="AP370" t="str">
        <f>tbl_OriginalData[[#This Row],[Purchase_Category]]</f>
        <v>Software &amp; Apps</v>
      </c>
      <c r="AQ370" s="4">
        <f>tbl_OriginalData[[#This Row],[Purchase_Amount]]</f>
        <v>61.86</v>
      </c>
      <c r="AR370">
        <f>tbl_OriginalData[[#This Row],[Frequency_of_Purchase]]</f>
        <v>5</v>
      </c>
      <c r="AS370" t="str">
        <f>tbl_OriginalData[[#This Row],[Purchase_Channel]]</f>
        <v>In-Store</v>
      </c>
      <c r="AT370">
        <f>tbl_OriginalData[[#This Row],[Brand_Loyalty]]</f>
        <v>4</v>
      </c>
      <c r="AU370">
        <f>tbl_OriginalData[[#This Row],[Product_Rating]]</f>
        <v>5</v>
      </c>
      <c r="AV370">
        <f>tbl_OriginalData[[#This Row],[Time_Spent_on_Product_Research(hours)]]*60</f>
        <v>120</v>
      </c>
      <c r="AW370" t="str">
        <f>tbl_OriginalData[[#This Row],[Social_Media_Influence]]</f>
        <v>None</v>
      </c>
      <c r="AX370" t="str">
        <f>tbl_OriginalData[[#This Row],[Discount_Sensitivity]]</f>
        <v>Not Sensitive</v>
      </c>
      <c r="AY370" s="3">
        <f>tbl_OriginalData[[#This Row],[Return_Rate]]/tbl_OriginalData[[#This Row],[Frequency_of_Purchase]]</f>
        <v>0.4</v>
      </c>
      <c r="AZ370">
        <f>tbl_OriginalData[[#This Row],[Customer_Satisfaction]]</f>
        <v>8</v>
      </c>
      <c r="BA370" t="str">
        <f>tbl_OriginalData[[#This Row],[Engagement_with_Ads]]</f>
        <v>None</v>
      </c>
      <c r="BB370" t="str">
        <f>tbl_OriginalData[[#This Row],[Device_Used_for_Shopping]]</f>
        <v>Smartphone</v>
      </c>
      <c r="BC370" t="str">
        <f>tbl_OriginalData[[#This Row],[Payment_Method]]</f>
        <v>Cash</v>
      </c>
      <c r="BD370" s="1">
        <f>tbl_OriginalData[[#This Row],[Time_of_Purchase]]</f>
        <v>45611</v>
      </c>
      <c r="BE370" t="str">
        <f>IF(tbl_OriginalData[[#This Row],[Discount_Used]]=TRUE,"Yes","No")</f>
        <v>No</v>
      </c>
      <c r="BF370" t="str">
        <f>IF(tbl_OriginalData[[#This Row],[Customer_Loyalty_Program_Member]]=TRUE,"Yes","No")</f>
        <v>Yes</v>
      </c>
      <c r="BG370" t="str">
        <f>tbl_OriginalData[[#This Row],[Purchase_Intent]]</f>
        <v>Need-based</v>
      </c>
      <c r="BH370" t="str">
        <f>tbl_OriginalData[[#This Row],[Shipping_Preference]]</f>
        <v>Standard</v>
      </c>
      <c r="BI370">
        <f>tbl_OriginalData[[#This Row],[Time_to_Decision]]</f>
        <v>9</v>
      </c>
      <c r="BJ370" t="s">
        <v>177</v>
      </c>
      <c r="BK370" t="s">
        <v>80</v>
      </c>
      <c r="BL370" t="s">
        <v>2523</v>
      </c>
    </row>
    <row r="371" spans="1:64">
      <c r="A371" t="s">
        <v>942</v>
      </c>
      <c r="B371">
        <v>18</v>
      </c>
      <c r="C371" t="s">
        <v>33</v>
      </c>
      <c r="D371" t="s">
        <v>51</v>
      </c>
      <c r="E371" t="s">
        <v>65</v>
      </c>
      <c r="F371" t="s">
        <v>66</v>
      </c>
      <c r="G371" t="s">
        <v>34</v>
      </c>
      <c r="H371" t="s">
        <v>943</v>
      </c>
      <c r="I371" t="s">
        <v>147</v>
      </c>
      <c r="J371">
        <v>343.77</v>
      </c>
      <c r="K371">
        <v>6</v>
      </c>
      <c r="L371" t="s">
        <v>39</v>
      </c>
      <c r="M371">
        <v>5</v>
      </c>
      <c r="N371">
        <v>4</v>
      </c>
      <c r="O371">
        <v>2</v>
      </c>
      <c r="P371" t="s">
        <v>40</v>
      </c>
      <c r="Q371" t="s">
        <v>57</v>
      </c>
      <c r="R371">
        <v>2</v>
      </c>
      <c r="S371">
        <v>4</v>
      </c>
      <c r="T371" t="s">
        <v>56</v>
      </c>
      <c r="U371" t="s">
        <v>95</v>
      </c>
      <c r="V371" t="s">
        <v>43</v>
      </c>
      <c r="W371" s="1">
        <v>45338</v>
      </c>
      <c r="X371" t="b">
        <v>1</v>
      </c>
      <c r="Y371" t="b">
        <v>0</v>
      </c>
      <c r="Z371" t="s">
        <v>72</v>
      </c>
      <c r="AA371" t="s">
        <v>45</v>
      </c>
      <c r="AB371">
        <v>3</v>
      </c>
      <c r="AF371" t="str">
        <f>tbl_OriginalData[[#This Row],[Customer_ID]]</f>
        <v>93-649-9356</v>
      </c>
      <c r="AG371">
        <f>tbl_OriginalData[[#This Row],[Age]]</f>
        <v>18</v>
      </c>
      <c r="AH371" t="str" cm="1">
        <f t="array" ref="AH37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371" t="str">
        <f>tbl_OriginalData[[#This Row],[Gender]]</f>
        <v>Female</v>
      </c>
      <c r="AJ371" t="str">
        <f>tbl_OriginalData[[#This Row],[Income_Level]]</f>
        <v>High</v>
      </c>
      <c r="AK371" t="str">
        <f>tbl_OriginalData[[#This Row],[Marital_Status]]</f>
        <v>Single</v>
      </c>
      <c r="AL371" t="str">
        <f>tbl_OriginalData[[#This Row],[Education_Level]]</f>
        <v>Master's</v>
      </c>
      <c r="AM371" t="str">
        <f>tbl_OriginalData[[#This Row],[Occupation]]</f>
        <v>Middle</v>
      </c>
      <c r="AN371" t="s">
        <v>943</v>
      </c>
      <c r="AO371" t="s">
        <v>90</v>
      </c>
      <c r="AP371" t="str">
        <f>tbl_OriginalData[[#This Row],[Purchase_Category]]</f>
        <v>Electronics</v>
      </c>
      <c r="AQ371" s="4">
        <f>tbl_OriginalData[[#This Row],[Purchase_Amount]]</f>
        <v>343.77</v>
      </c>
      <c r="AR371">
        <f>tbl_OriginalData[[#This Row],[Frequency_of_Purchase]]</f>
        <v>6</v>
      </c>
      <c r="AS371" t="str">
        <f>tbl_OriginalData[[#This Row],[Purchase_Channel]]</f>
        <v>Mixed</v>
      </c>
      <c r="AT371">
        <f>tbl_OriginalData[[#This Row],[Brand_Loyalty]]</f>
        <v>5</v>
      </c>
      <c r="AU371">
        <f>tbl_OriginalData[[#This Row],[Product_Rating]]</f>
        <v>4</v>
      </c>
      <c r="AV371">
        <f>tbl_OriginalData[[#This Row],[Time_Spent_on_Product_Research(hours)]]*60</f>
        <v>120</v>
      </c>
      <c r="AW371" t="str">
        <f>tbl_OriginalData[[#This Row],[Social_Media_Influence]]</f>
        <v>None</v>
      </c>
      <c r="AX371" t="str">
        <f>tbl_OriginalData[[#This Row],[Discount_Sensitivity]]</f>
        <v>Not Sensitive</v>
      </c>
      <c r="AY371" s="3">
        <f>tbl_OriginalData[[#This Row],[Return_Rate]]/tbl_OriginalData[[#This Row],[Frequency_of_Purchase]]</f>
        <v>0.33333333333333331</v>
      </c>
      <c r="AZ371">
        <f>tbl_OriginalData[[#This Row],[Customer_Satisfaction]]</f>
        <v>4</v>
      </c>
      <c r="BA371" t="str">
        <f>tbl_OriginalData[[#This Row],[Engagement_with_Ads]]</f>
        <v>Medium</v>
      </c>
      <c r="BB371" t="str">
        <f>tbl_OriginalData[[#This Row],[Device_Used_for_Shopping]]</f>
        <v>Desktop</v>
      </c>
      <c r="BC371" t="str">
        <f>tbl_OriginalData[[#This Row],[Payment_Method]]</f>
        <v>Credit Card</v>
      </c>
      <c r="BD371" s="1">
        <f>tbl_OriginalData[[#This Row],[Time_of_Purchase]]</f>
        <v>45338</v>
      </c>
      <c r="BE371" t="str">
        <f>IF(tbl_OriginalData[[#This Row],[Discount_Used]]=TRUE,"Yes","No")</f>
        <v>Yes</v>
      </c>
      <c r="BF371" t="str">
        <f>IF(tbl_OriginalData[[#This Row],[Customer_Loyalty_Program_Member]]=TRUE,"Yes","No")</f>
        <v>No</v>
      </c>
      <c r="BG371" t="str">
        <f>tbl_OriginalData[[#This Row],[Purchase_Intent]]</f>
        <v>Impulsive</v>
      </c>
      <c r="BH371" t="str">
        <f>tbl_OriginalData[[#This Row],[Shipping_Preference]]</f>
        <v>No Preference</v>
      </c>
      <c r="BI371">
        <f>tbl_OriginalData[[#This Row],[Time_to_Decision]]</f>
        <v>3</v>
      </c>
      <c r="BJ371" t="s">
        <v>158</v>
      </c>
      <c r="BK371" t="s">
        <v>48</v>
      </c>
      <c r="BL371" t="s">
        <v>2524</v>
      </c>
    </row>
    <row r="372" spans="1:64">
      <c r="A372" t="s">
        <v>944</v>
      </c>
      <c r="B372">
        <v>37</v>
      </c>
      <c r="C372" t="s">
        <v>50</v>
      </c>
      <c r="D372" t="s">
        <v>34</v>
      </c>
      <c r="E372" t="s">
        <v>92</v>
      </c>
      <c r="F372" t="s">
        <v>66</v>
      </c>
      <c r="G372" t="s">
        <v>51</v>
      </c>
      <c r="H372" t="s">
        <v>945</v>
      </c>
      <c r="I372" t="s">
        <v>75</v>
      </c>
      <c r="J372">
        <v>107.21</v>
      </c>
      <c r="K372">
        <v>2</v>
      </c>
      <c r="L372" t="s">
        <v>94</v>
      </c>
      <c r="M372">
        <v>4</v>
      </c>
      <c r="N372">
        <v>2</v>
      </c>
      <c r="O372">
        <v>1</v>
      </c>
      <c r="P372" t="s">
        <v>40</v>
      </c>
      <c r="Q372" t="s">
        <v>57</v>
      </c>
      <c r="R372">
        <v>2</v>
      </c>
      <c r="S372">
        <v>9</v>
      </c>
      <c r="T372" t="s">
        <v>56</v>
      </c>
      <c r="U372" t="s">
        <v>95</v>
      </c>
      <c r="V372" t="s">
        <v>76</v>
      </c>
      <c r="W372" s="1">
        <v>45509</v>
      </c>
      <c r="X372" t="b">
        <v>1</v>
      </c>
      <c r="Y372" t="b">
        <v>1</v>
      </c>
      <c r="Z372" t="s">
        <v>89</v>
      </c>
      <c r="AA372" t="s">
        <v>60</v>
      </c>
      <c r="AB372">
        <v>6</v>
      </c>
      <c r="AF372" t="str">
        <f>tbl_OriginalData[[#This Row],[Customer_ID]]</f>
        <v>27-543-7069</v>
      </c>
      <c r="AG372">
        <f>tbl_OriginalData[[#This Row],[Age]]</f>
        <v>37</v>
      </c>
      <c r="AH372" t="str" cm="1">
        <f t="array" ref="AH37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72" t="str">
        <f>tbl_OriginalData[[#This Row],[Gender]]</f>
        <v>Male</v>
      </c>
      <c r="AJ372" t="str">
        <f>tbl_OriginalData[[#This Row],[Income_Level]]</f>
        <v>Middle</v>
      </c>
      <c r="AK372" t="str">
        <f>tbl_OriginalData[[#This Row],[Marital_Status]]</f>
        <v>Divorced</v>
      </c>
      <c r="AL372" t="str">
        <f>tbl_OriginalData[[#This Row],[Education_Level]]</f>
        <v>Master's</v>
      </c>
      <c r="AM372" t="str">
        <f>tbl_OriginalData[[#This Row],[Occupation]]</f>
        <v>High</v>
      </c>
      <c r="AN372" t="s">
        <v>945</v>
      </c>
      <c r="AO372" t="s">
        <v>946</v>
      </c>
      <c r="AP372" t="str">
        <f>tbl_OriginalData[[#This Row],[Purchase_Category]]</f>
        <v>Home Appliances</v>
      </c>
      <c r="AQ372" s="4">
        <f>tbl_OriginalData[[#This Row],[Purchase_Amount]]</f>
        <v>107.21</v>
      </c>
      <c r="AR372">
        <f>tbl_OriginalData[[#This Row],[Frequency_of_Purchase]]</f>
        <v>2</v>
      </c>
      <c r="AS372" t="str">
        <f>tbl_OriginalData[[#This Row],[Purchase_Channel]]</f>
        <v>Online</v>
      </c>
      <c r="AT372">
        <f>tbl_OriginalData[[#This Row],[Brand_Loyalty]]</f>
        <v>4</v>
      </c>
      <c r="AU372">
        <f>tbl_OriginalData[[#This Row],[Product_Rating]]</f>
        <v>2</v>
      </c>
      <c r="AV372">
        <f>tbl_OriginalData[[#This Row],[Time_Spent_on_Product_Research(hours)]]*60</f>
        <v>60</v>
      </c>
      <c r="AW372" t="str">
        <f>tbl_OriginalData[[#This Row],[Social_Media_Influence]]</f>
        <v>None</v>
      </c>
      <c r="AX372" t="str">
        <f>tbl_OriginalData[[#This Row],[Discount_Sensitivity]]</f>
        <v>Not Sensitive</v>
      </c>
      <c r="AY372" s="3">
        <f>tbl_OriginalData[[#This Row],[Return_Rate]]/tbl_OriginalData[[#This Row],[Frequency_of_Purchase]]</f>
        <v>1</v>
      </c>
      <c r="AZ372">
        <f>tbl_OriginalData[[#This Row],[Customer_Satisfaction]]</f>
        <v>9</v>
      </c>
      <c r="BA372" t="str">
        <f>tbl_OriginalData[[#This Row],[Engagement_with_Ads]]</f>
        <v>Medium</v>
      </c>
      <c r="BB372" t="str">
        <f>tbl_OriginalData[[#This Row],[Device_Used_for_Shopping]]</f>
        <v>Desktop</v>
      </c>
      <c r="BC372" t="str">
        <f>tbl_OriginalData[[#This Row],[Payment_Method]]</f>
        <v>Other</v>
      </c>
      <c r="BD372" s="1">
        <f>tbl_OriginalData[[#This Row],[Time_of_Purchase]]</f>
        <v>45509</v>
      </c>
      <c r="BE372" t="str">
        <f>IF(tbl_OriginalData[[#This Row],[Discount_Used]]=TRUE,"Yes","No")</f>
        <v>Yes</v>
      </c>
      <c r="BF372" t="str">
        <f>IF(tbl_OriginalData[[#This Row],[Customer_Loyalty_Program_Member]]=TRUE,"Yes","No")</f>
        <v>Yes</v>
      </c>
      <c r="BG372" t="str">
        <f>tbl_OriginalData[[#This Row],[Purchase_Intent]]</f>
        <v>Planned</v>
      </c>
      <c r="BH372" t="str">
        <f>tbl_OriginalData[[#This Row],[Shipping_Preference]]</f>
        <v>Standard</v>
      </c>
      <c r="BI372">
        <f>tbl_OriginalData[[#This Row],[Time_to_Decision]]</f>
        <v>6</v>
      </c>
      <c r="BJ372" t="s">
        <v>124</v>
      </c>
      <c r="BK372" t="s">
        <v>115</v>
      </c>
      <c r="BL372" t="s">
        <v>2525</v>
      </c>
    </row>
    <row r="373" spans="1:64">
      <c r="A373" t="s">
        <v>947</v>
      </c>
      <c r="B373">
        <v>31</v>
      </c>
      <c r="C373" t="s">
        <v>188</v>
      </c>
      <c r="D373" t="s">
        <v>51</v>
      </c>
      <c r="E373" t="s">
        <v>65</v>
      </c>
      <c r="F373" t="s">
        <v>66</v>
      </c>
      <c r="G373" t="s">
        <v>34</v>
      </c>
      <c r="H373" t="s">
        <v>948</v>
      </c>
      <c r="I373" t="s">
        <v>75</v>
      </c>
      <c r="J373">
        <v>148.97999999999999</v>
      </c>
      <c r="K373">
        <v>12</v>
      </c>
      <c r="L373" t="s">
        <v>94</v>
      </c>
      <c r="M373">
        <v>5</v>
      </c>
      <c r="N373">
        <v>1</v>
      </c>
      <c r="O373">
        <v>2</v>
      </c>
      <c r="P373" t="s">
        <v>40</v>
      </c>
      <c r="Q373" t="s">
        <v>101</v>
      </c>
      <c r="R373">
        <v>0</v>
      </c>
      <c r="S373">
        <v>8</v>
      </c>
      <c r="T373" t="s">
        <v>69</v>
      </c>
      <c r="U373" t="s">
        <v>42</v>
      </c>
      <c r="V373" t="s">
        <v>71</v>
      </c>
      <c r="W373" s="1">
        <v>45515</v>
      </c>
      <c r="X373" t="b">
        <v>1</v>
      </c>
      <c r="Y373" t="b">
        <v>1</v>
      </c>
      <c r="Z373" t="s">
        <v>59</v>
      </c>
      <c r="AA373" t="s">
        <v>60</v>
      </c>
      <c r="AB373">
        <v>13</v>
      </c>
      <c r="AF373" t="str">
        <f>tbl_OriginalData[[#This Row],[Customer_ID]]</f>
        <v>96-079-9597</v>
      </c>
      <c r="AG373">
        <f>tbl_OriginalData[[#This Row],[Age]]</f>
        <v>31</v>
      </c>
      <c r="AH373" t="str" cm="1">
        <f t="array" ref="AH37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73" t="str">
        <f>tbl_OriginalData[[#This Row],[Gender]]</f>
        <v>Genderfluid</v>
      </c>
      <c r="AJ373" t="str">
        <f>tbl_OriginalData[[#This Row],[Income_Level]]</f>
        <v>High</v>
      </c>
      <c r="AK373" t="str">
        <f>tbl_OriginalData[[#This Row],[Marital_Status]]</f>
        <v>Single</v>
      </c>
      <c r="AL373" t="str">
        <f>tbl_OriginalData[[#This Row],[Education_Level]]</f>
        <v>Master's</v>
      </c>
      <c r="AM373" t="str">
        <f>tbl_OriginalData[[#This Row],[Occupation]]</f>
        <v>Middle</v>
      </c>
      <c r="AN373" t="s">
        <v>948</v>
      </c>
      <c r="AO373" t="s">
        <v>194</v>
      </c>
      <c r="AP373" t="str">
        <f>tbl_OriginalData[[#This Row],[Purchase_Category]]</f>
        <v>Home Appliances</v>
      </c>
      <c r="AQ373" s="4">
        <f>tbl_OriginalData[[#This Row],[Purchase_Amount]]</f>
        <v>148.97999999999999</v>
      </c>
      <c r="AR373">
        <f>tbl_OriginalData[[#This Row],[Frequency_of_Purchase]]</f>
        <v>12</v>
      </c>
      <c r="AS373" t="str">
        <f>tbl_OriginalData[[#This Row],[Purchase_Channel]]</f>
        <v>Online</v>
      </c>
      <c r="AT373">
        <f>tbl_OriginalData[[#This Row],[Brand_Loyalty]]</f>
        <v>5</v>
      </c>
      <c r="AU373">
        <f>tbl_OriginalData[[#This Row],[Product_Rating]]</f>
        <v>1</v>
      </c>
      <c r="AV373">
        <f>tbl_OriginalData[[#This Row],[Time_Spent_on_Product_Research(hours)]]*60</f>
        <v>120</v>
      </c>
      <c r="AW373" t="str">
        <f>tbl_OriginalData[[#This Row],[Social_Media_Influence]]</f>
        <v>None</v>
      </c>
      <c r="AX373" t="str">
        <f>tbl_OriginalData[[#This Row],[Discount_Sensitivity]]</f>
        <v>Very Sensitive</v>
      </c>
      <c r="AY373" s="3">
        <f>tbl_OriginalData[[#This Row],[Return_Rate]]/tbl_OriginalData[[#This Row],[Frequency_of_Purchase]]</f>
        <v>0</v>
      </c>
      <c r="AZ373">
        <f>tbl_OriginalData[[#This Row],[Customer_Satisfaction]]</f>
        <v>8</v>
      </c>
      <c r="BA373" t="str">
        <f>tbl_OriginalData[[#This Row],[Engagement_with_Ads]]</f>
        <v>Low</v>
      </c>
      <c r="BB373" t="str">
        <f>tbl_OriginalData[[#This Row],[Device_Used_for_Shopping]]</f>
        <v>Tablet</v>
      </c>
      <c r="BC373" t="str">
        <f>tbl_OriginalData[[#This Row],[Payment_Method]]</f>
        <v>Debit Card</v>
      </c>
      <c r="BD373" s="1">
        <f>tbl_OriginalData[[#This Row],[Time_of_Purchase]]</f>
        <v>45515</v>
      </c>
      <c r="BE373" t="str">
        <f>IF(tbl_OriginalData[[#This Row],[Discount_Used]]=TRUE,"Yes","No")</f>
        <v>Yes</v>
      </c>
      <c r="BF373" t="str">
        <f>IF(tbl_OriginalData[[#This Row],[Customer_Loyalty_Program_Member]]=TRUE,"Yes","No")</f>
        <v>Yes</v>
      </c>
      <c r="BG373" t="str">
        <f>tbl_OriginalData[[#This Row],[Purchase_Intent]]</f>
        <v>Wants-based</v>
      </c>
      <c r="BH373" t="str">
        <f>tbl_OriginalData[[#This Row],[Shipping_Preference]]</f>
        <v>Standard</v>
      </c>
      <c r="BI373">
        <f>tbl_OriginalData[[#This Row],[Time_to_Decision]]</f>
        <v>13</v>
      </c>
      <c r="BJ373" t="s">
        <v>124</v>
      </c>
      <c r="BK373" t="s">
        <v>115</v>
      </c>
      <c r="BL373" t="s">
        <v>2524</v>
      </c>
    </row>
    <row r="374" spans="1:64">
      <c r="A374" t="s">
        <v>949</v>
      </c>
      <c r="B374">
        <v>22</v>
      </c>
      <c r="C374" t="s">
        <v>33</v>
      </c>
      <c r="D374" t="s">
        <v>51</v>
      </c>
      <c r="E374" t="s">
        <v>82</v>
      </c>
      <c r="F374" t="s">
        <v>66</v>
      </c>
      <c r="G374" t="s">
        <v>34</v>
      </c>
      <c r="H374" t="s">
        <v>950</v>
      </c>
      <c r="I374" t="s">
        <v>131</v>
      </c>
      <c r="J374">
        <v>490.41</v>
      </c>
      <c r="K374">
        <v>4</v>
      </c>
      <c r="L374" t="s">
        <v>39</v>
      </c>
      <c r="M374">
        <v>3</v>
      </c>
      <c r="N374">
        <v>4</v>
      </c>
      <c r="O374">
        <v>0</v>
      </c>
      <c r="P374" t="s">
        <v>69</v>
      </c>
      <c r="Q374" t="s">
        <v>41</v>
      </c>
      <c r="R374">
        <v>0</v>
      </c>
      <c r="S374">
        <v>2</v>
      </c>
      <c r="T374" t="s">
        <v>51</v>
      </c>
      <c r="U374" t="s">
        <v>42</v>
      </c>
      <c r="V374" t="s">
        <v>76</v>
      </c>
      <c r="W374" s="1">
        <v>45641</v>
      </c>
      <c r="X374" t="b">
        <v>0</v>
      </c>
      <c r="Y374" t="b">
        <v>1</v>
      </c>
      <c r="Z374" t="s">
        <v>89</v>
      </c>
      <c r="AA374" t="s">
        <v>77</v>
      </c>
      <c r="AB374">
        <v>3</v>
      </c>
      <c r="AF374" t="str">
        <f>tbl_OriginalData[[#This Row],[Customer_ID]]</f>
        <v>38-940-4942</v>
      </c>
      <c r="AG374">
        <f>tbl_OriginalData[[#This Row],[Age]]</f>
        <v>22</v>
      </c>
      <c r="AH374" t="str" cm="1">
        <f t="array" ref="AH37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74" t="str">
        <f>tbl_OriginalData[[#This Row],[Gender]]</f>
        <v>Female</v>
      </c>
      <c r="AJ374" t="str">
        <f>tbl_OriginalData[[#This Row],[Income_Level]]</f>
        <v>High</v>
      </c>
      <c r="AK374" t="str">
        <f>tbl_OriginalData[[#This Row],[Marital_Status]]</f>
        <v>Widowed</v>
      </c>
      <c r="AL374" t="str">
        <f>tbl_OriginalData[[#This Row],[Education_Level]]</f>
        <v>Master's</v>
      </c>
      <c r="AM374" t="str">
        <f>tbl_OriginalData[[#This Row],[Occupation]]</f>
        <v>Middle</v>
      </c>
      <c r="AN374" t="s">
        <v>950</v>
      </c>
      <c r="AO374" t="s">
        <v>215</v>
      </c>
      <c r="AP374" t="str">
        <f>tbl_OriginalData[[#This Row],[Purchase_Category]]</f>
        <v>Health Care</v>
      </c>
      <c r="AQ374" s="4">
        <f>tbl_OriginalData[[#This Row],[Purchase_Amount]]</f>
        <v>490.41</v>
      </c>
      <c r="AR374">
        <f>tbl_OriginalData[[#This Row],[Frequency_of_Purchase]]</f>
        <v>4</v>
      </c>
      <c r="AS374" t="str">
        <f>tbl_OriginalData[[#This Row],[Purchase_Channel]]</f>
        <v>Mixed</v>
      </c>
      <c r="AT374">
        <f>tbl_OriginalData[[#This Row],[Brand_Loyalty]]</f>
        <v>3</v>
      </c>
      <c r="AU374">
        <f>tbl_OriginalData[[#This Row],[Product_Rating]]</f>
        <v>4</v>
      </c>
      <c r="AV374">
        <f>tbl_OriginalData[[#This Row],[Time_Spent_on_Product_Research(hours)]]*60</f>
        <v>0</v>
      </c>
      <c r="AW374" t="str">
        <f>tbl_OriginalData[[#This Row],[Social_Media_Influence]]</f>
        <v>Low</v>
      </c>
      <c r="AX374" t="str">
        <f>tbl_OriginalData[[#This Row],[Discount_Sensitivity]]</f>
        <v>Somewhat Sensitive</v>
      </c>
      <c r="AY374" s="3">
        <f>tbl_OriginalData[[#This Row],[Return_Rate]]/tbl_OriginalData[[#This Row],[Frequency_of_Purchase]]</f>
        <v>0</v>
      </c>
      <c r="AZ374">
        <f>tbl_OriginalData[[#This Row],[Customer_Satisfaction]]</f>
        <v>2</v>
      </c>
      <c r="BA374" t="str">
        <f>tbl_OriginalData[[#This Row],[Engagement_with_Ads]]</f>
        <v>High</v>
      </c>
      <c r="BB374" t="str">
        <f>tbl_OriginalData[[#This Row],[Device_Used_for_Shopping]]</f>
        <v>Tablet</v>
      </c>
      <c r="BC374" t="str">
        <f>tbl_OriginalData[[#This Row],[Payment_Method]]</f>
        <v>Other</v>
      </c>
      <c r="BD374" s="1">
        <f>tbl_OriginalData[[#This Row],[Time_of_Purchase]]</f>
        <v>45641</v>
      </c>
      <c r="BE374" t="str">
        <f>IF(tbl_OriginalData[[#This Row],[Discount_Used]]=TRUE,"Yes","No")</f>
        <v>No</v>
      </c>
      <c r="BF374" t="str">
        <f>IF(tbl_OriginalData[[#This Row],[Customer_Loyalty_Program_Member]]=TRUE,"Yes","No")</f>
        <v>Yes</v>
      </c>
      <c r="BG374" t="str">
        <f>tbl_OriginalData[[#This Row],[Purchase_Intent]]</f>
        <v>Planned</v>
      </c>
      <c r="BH374" t="str">
        <f>tbl_OriginalData[[#This Row],[Shipping_Preference]]</f>
        <v>Express</v>
      </c>
      <c r="BI374">
        <f>tbl_OriginalData[[#This Row],[Time_to_Decision]]</f>
        <v>3</v>
      </c>
      <c r="BJ374" t="s">
        <v>120</v>
      </c>
      <c r="BK374" t="s">
        <v>80</v>
      </c>
      <c r="BL374" t="s">
        <v>2524</v>
      </c>
    </row>
    <row r="375" spans="1:64">
      <c r="A375" t="s">
        <v>951</v>
      </c>
      <c r="B375">
        <v>33</v>
      </c>
      <c r="C375" t="s">
        <v>50</v>
      </c>
      <c r="D375" t="s">
        <v>51</v>
      </c>
      <c r="E375" t="s">
        <v>35</v>
      </c>
      <c r="F375" t="s">
        <v>52</v>
      </c>
      <c r="G375" t="s">
        <v>34</v>
      </c>
      <c r="H375" t="s">
        <v>952</v>
      </c>
      <c r="I375" t="s">
        <v>199</v>
      </c>
      <c r="J375">
        <v>461.34</v>
      </c>
      <c r="K375">
        <v>4</v>
      </c>
      <c r="L375" t="s">
        <v>55</v>
      </c>
      <c r="M375">
        <v>3</v>
      </c>
      <c r="N375">
        <v>1</v>
      </c>
      <c r="O375">
        <v>0</v>
      </c>
      <c r="P375" t="s">
        <v>51</v>
      </c>
      <c r="Q375" t="s">
        <v>41</v>
      </c>
      <c r="R375">
        <v>1</v>
      </c>
      <c r="S375">
        <v>9</v>
      </c>
      <c r="T375" t="s">
        <v>69</v>
      </c>
      <c r="U375" t="s">
        <v>95</v>
      </c>
      <c r="V375" t="s">
        <v>102</v>
      </c>
      <c r="W375" s="1">
        <v>45357</v>
      </c>
      <c r="X375" t="b">
        <v>0</v>
      </c>
      <c r="Y375" t="b">
        <v>1</v>
      </c>
      <c r="Z375" t="s">
        <v>59</v>
      </c>
      <c r="AA375" t="s">
        <v>77</v>
      </c>
      <c r="AB375">
        <v>7</v>
      </c>
      <c r="AF375" t="str">
        <f>tbl_OriginalData[[#This Row],[Customer_ID]]</f>
        <v>82-014-2564</v>
      </c>
      <c r="AG375">
        <f>tbl_OriginalData[[#This Row],[Age]]</f>
        <v>33</v>
      </c>
      <c r="AH375" t="str" cm="1">
        <f t="array" ref="AH37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75" t="str">
        <f>tbl_OriginalData[[#This Row],[Gender]]</f>
        <v>Male</v>
      </c>
      <c r="AJ375" t="str">
        <f>tbl_OriginalData[[#This Row],[Income_Level]]</f>
        <v>High</v>
      </c>
      <c r="AK375" t="str">
        <f>tbl_OriginalData[[#This Row],[Marital_Status]]</f>
        <v>Married</v>
      </c>
      <c r="AL375" t="str">
        <f>tbl_OriginalData[[#This Row],[Education_Level]]</f>
        <v>High School</v>
      </c>
      <c r="AM375" t="str">
        <f>tbl_OriginalData[[#This Row],[Occupation]]</f>
        <v>Middle</v>
      </c>
      <c r="AN375" t="s">
        <v>952</v>
      </c>
      <c r="AO375" t="s">
        <v>128</v>
      </c>
      <c r="AP375" t="str">
        <f>tbl_OriginalData[[#This Row],[Purchase_Category]]</f>
        <v>Groceries</v>
      </c>
      <c r="AQ375" s="4">
        <f>tbl_OriginalData[[#This Row],[Purchase_Amount]]</f>
        <v>461.34</v>
      </c>
      <c r="AR375">
        <f>tbl_OriginalData[[#This Row],[Frequency_of_Purchase]]</f>
        <v>4</v>
      </c>
      <c r="AS375" t="str">
        <f>tbl_OriginalData[[#This Row],[Purchase_Channel]]</f>
        <v>In-Store</v>
      </c>
      <c r="AT375">
        <f>tbl_OriginalData[[#This Row],[Brand_Loyalty]]</f>
        <v>3</v>
      </c>
      <c r="AU375">
        <f>tbl_OriginalData[[#This Row],[Product_Rating]]</f>
        <v>1</v>
      </c>
      <c r="AV375">
        <f>tbl_OriginalData[[#This Row],[Time_Spent_on_Product_Research(hours)]]*60</f>
        <v>0</v>
      </c>
      <c r="AW375" t="str">
        <f>tbl_OriginalData[[#This Row],[Social_Media_Influence]]</f>
        <v>High</v>
      </c>
      <c r="AX375" t="str">
        <f>tbl_OriginalData[[#This Row],[Discount_Sensitivity]]</f>
        <v>Somewhat Sensitive</v>
      </c>
      <c r="AY375" s="3">
        <f>tbl_OriginalData[[#This Row],[Return_Rate]]/tbl_OriginalData[[#This Row],[Frequency_of_Purchase]]</f>
        <v>0.25</v>
      </c>
      <c r="AZ375">
        <f>tbl_OriginalData[[#This Row],[Customer_Satisfaction]]</f>
        <v>9</v>
      </c>
      <c r="BA375" t="str">
        <f>tbl_OriginalData[[#This Row],[Engagement_with_Ads]]</f>
        <v>Low</v>
      </c>
      <c r="BB375" t="str">
        <f>tbl_OriginalData[[#This Row],[Device_Used_for_Shopping]]</f>
        <v>Desktop</v>
      </c>
      <c r="BC375" t="str">
        <f>tbl_OriginalData[[#This Row],[Payment_Method]]</f>
        <v>Cash</v>
      </c>
      <c r="BD375" s="1">
        <f>tbl_OriginalData[[#This Row],[Time_of_Purchase]]</f>
        <v>45357</v>
      </c>
      <c r="BE375" t="str">
        <f>IF(tbl_OriginalData[[#This Row],[Discount_Used]]=TRUE,"Yes","No")</f>
        <v>No</v>
      </c>
      <c r="BF375" t="str">
        <f>IF(tbl_OriginalData[[#This Row],[Customer_Loyalty_Program_Member]]=TRUE,"Yes","No")</f>
        <v>Yes</v>
      </c>
      <c r="BG375" t="str">
        <f>tbl_OriginalData[[#This Row],[Purchase_Intent]]</f>
        <v>Wants-based</v>
      </c>
      <c r="BH375" t="str">
        <f>tbl_OriginalData[[#This Row],[Shipping_Preference]]</f>
        <v>Express</v>
      </c>
      <c r="BI375">
        <f>tbl_OriginalData[[#This Row],[Time_to_Decision]]</f>
        <v>7</v>
      </c>
      <c r="BJ375" t="s">
        <v>47</v>
      </c>
      <c r="BK375" t="s">
        <v>48</v>
      </c>
      <c r="BL375" t="s">
        <v>2523</v>
      </c>
    </row>
    <row r="376" spans="1:64">
      <c r="A376" t="s">
        <v>953</v>
      </c>
      <c r="B376">
        <v>20</v>
      </c>
      <c r="C376" t="s">
        <v>33</v>
      </c>
      <c r="D376" t="s">
        <v>51</v>
      </c>
      <c r="E376" t="s">
        <v>65</v>
      </c>
      <c r="F376" t="s">
        <v>66</v>
      </c>
      <c r="G376" t="s">
        <v>51</v>
      </c>
      <c r="H376" t="s">
        <v>954</v>
      </c>
      <c r="I376" t="s">
        <v>68</v>
      </c>
      <c r="J376">
        <v>338.89</v>
      </c>
      <c r="K376">
        <v>7</v>
      </c>
      <c r="L376" t="s">
        <v>55</v>
      </c>
      <c r="M376">
        <v>4</v>
      </c>
      <c r="N376">
        <v>2</v>
      </c>
      <c r="O376">
        <v>1</v>
      </c>
      <c r="P376" t="s">
        <v>69</v>
      </c>
      <c r="Q376" t="s">
        <v>41</v>
      </c>
      <c r="R376">
        <v>2</v>
      </c>
      <c r="S376">
        <v>6</v>
      </c>
      <c r="T376" t="s">
        <v>40</v>
      </c>
      <c r="U376" t="s">
        <v>95</v>
      </c>
      <c r="V376" t="s">
        <v>43</v>
      </c>
      <c r="W376" s="1">
        <v>45433</v>
      </c>
      <c r="X376" t="b">
        <v>1</v>
      </c>
      <c r="Y376" t="b">
        <v>1</v>
      </c>
      <c r="Z376" t="s">
        <v>59</v>
      </c>
      <c r="AA376" t="s">
        <v>77</v>
      </c>
      <c r="AB376">
        <v>3</v>
      </c>
      <c r="AF376" t="str">
        <f>tbl_OriginalData[[#This Row],[Customer_ID]]</f>
        <v>70-699-5799</v>
      </c>
      <c r="AG376">
        <f>tbl_OriginalData[[#This Row],[Age]]</f>
        <v>20</v>
      </c>
      <c r="AH376" t="str" cm="1">
        <f t="array" ref="AH37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76" t="str">
        <f>tbl_OriginalData[[#This Row],[Gender]]</f>
        <v>Female</v>
      </c>
      <c r="AJ376" t="str">
        <f>tbl_OriginalData[[#This Row],[Income_Level]]</f>
        <v>High</v>
      </c>
      <c r="AK376" t="str">
        <f>tbl_OriginalData[[#This Row],[Marital_Status]]</f>
        <v>Single</v>
      </c>
      <c r="AL376" t="str">
        <f>tbl_OriginalData[[#This Row],[Education_Level]]</f>
        <v>Master's</v>
      </c>
      <c r="AM376" t="str">
        <f>tbl_OriginalData[[#This Row],[Occupation]]</f>
        <v>High</v>
      </c>
      <c r="AN376" t="s">
        <v>954</v>
      </c>
      <c r="AO376" t="s">
        <v>132</v>
      </c>
      <c r="AP376" t="str">
        <f>tbl_OriginalData[[#This Row],[Purchase_Category]]</f>
        <v>Office Supplies</v>
      </c>
      <c r="AQ376" s="4">
        <f>tbl_OriginalData[[#This Row],[Purchase_Amount]]</f>
        <v>338.89</v>
      </c>
      <c r="AR376">
        <f>tbl_OriginalData[[#This Row],[Frequency_of_Purchase]]</f>
        <v>7</v>
      </c>
      <c r="AS376" t="str">
        <f>tbl_OriginalData[[#This Row],[Purchase_Channel]]</f>
        <v>In-Store</v>
      </c>
      <c r="AT376">
        <f>tbl_OriginalData[[#This Row],[Brand_Loyalty]]</f>
        <v>4</v>
      </c>
      <c r="AU376">
        <f>tbl_OriginalData[[#This Row],[Product_Rating]]</f>
        <v>2</v>
      </c>
      <c r="AV376">
        <f>tbl_OriginalData[[#This Row],[Time_Spent_on_Product_Research(hours)]]*60</f>
        <v>60</v>
      </c>
      <c r="AW376" t="str">
        <f>tbl_OriginalData[[#This Row],[Social_Media_Influence]]</f>
        <v>Low</v>
      </c>
      <c r="AX376" t="str">
        <f>tbl_OriginalData[[#This Row],[Discount_Sensitivity]]</f>
        <v>Somewhat Sensitive</v>
      </c>
      <c r="AY376" s="3">
        <f>tbl_OriginalData[[#This Row],[Return_Rate]]/tbl_OriginalData[[#This Row],[Frequency_of_Purchase]]</f>
        <v>0.2857142857142857</v>
      </c>
      <c r="AZ376">
        <f>tbl_OriginalData[[#This Row],[Customer_Satisfaction]]</f>
        <v>6</v>
      </c>
      <c r="BA376" t="str">
        <f>tbl_OriginalData[[#This Row],[Engagement_with_Ads]]</f>
        <v>None</v>
      </c>
      <c r="BB376" t="str">
        <f>tbl_OriginalData[[#This Row],[Device_Used_for_Shopping]]</f>
        <v>Desktop</v>
      </c>
      <c r="BC376" t="str">
        <f>tbl_OriginalData[[#This Row],[Payment_Method]]</f>
        <v>Credit Card</v>
      </c>
      <c r="BD376" s="1">
        <f>tbl_OriginalData[[#This Row],[Time_of_Purchase]]</f>
        <v>45433</v>
      </c>
      <c r="BE376" t="str">
        <f>IF(tbl_OriginalData[[#This Row],[Discount_Used]]=TRUE,"Yes","No")</f>
        <v>Yes</v>
      </c>
      <c r="BF376" t="str">
        <f>IF(tbl_OriginalData[[#This Row],[Customer_Loyalty_Program_Member]]=TRUE,"Yes","No")</f>
        <v>Yes</v>
      </c>
      <c r="BG376" t="str">
        <f>tbl_OriginalData[[#This Row],[Purchase_Intent]]</f>
        <v>Wants-based</v>
      </c>
      <c r="BH376" t="str">
        <f>tbl_OriginalData[[#This Row],[Shipping_Preference]]</f>
        <v>Express</v>
      </c>
      <c r="BI376">
        <f>tbl_OriginalData[[#This Row],[Time_to_Decision]]</f>
        <v>3</v>
      </c>
      <c r="BJ376" t="s">
        <v>167</v>
      </c>
      <c r="BK376" t="s">
        <v>63</v>
      </c>
      <c r="BL376" t="s">
        <v>2525</v>
      </c>
    </row>
    <row r="377" spans="1:64">
      <c r="A377" t="s">
        <v>955</v>
      </c>
      <c r="B377">
        <v>26</v>
      </c>
      <c r="C377" t="s">
        <v>50</v>
      </c>
      <c r="D377" t="s">
        <v>51</v>
      </c>
      <c r="E377" t="s">
        <v>35</v>
      </c>
      <c r="F377" t="s">
        <v>52</v>
      </c>
      <c r="G377" t="s">
        <v>51</v>
      </c>
      <c r="H377" t="s">
        <v>956</v>
      </c>
      <c r="I377" t="s">
        <v>38</v>
      </c>
      <c r="J377">
        <v>222.63</v>
      </c>
      <c r="K377">
        <v>3</v>
      </c>
      <c r="L377" t="s">
        <v>39</v>
      </c>
      <c r="M377">
        <v>1</v>
      </c>
      <c r="N377">
        <v>1</v>
      </c>
      <c r="O377">
        <v>0</v>
      </c>
      <c r="P377" t="s">
        <v>56</v>
      </c>
      <c r="Q377" t="s">
        <v>41</v>
      </c>
      <c r="R377">
        <v>2</v>
      </c>
      <c r="S377">
        <v>2</v>
      </c>
      <c r="T377" t="s">
        <v>40</v>
      </c>
      <c r="U377" t="s">
        <v>42</v>
      </c>
      <c r="V377" t="s">
        <v>102</v>
      </c>
      <c r="W377" s="1">
        <v>45374</v>
      </c>
      <c r="X377" t="b">
        <v>0</v>
      </c>
      <c r="Y377" t="b">
        <v>1</v>
      </c>
      <c r="Z377" t="s">
        <v>72</v>
      </c>
      <c r="AA377" t="s">
        <v>77</v>
      </c>
      <c r="AB377">
        <v>6</v>
      </c>
      <c r="AF377" t="str">
        <f>tbl_OriginalData[[#This Row],[Customer_ID]]</f>
        <v>53-240-2040</v>
      </c>
      <c r="AG377">
        <f>tbl_OriginalData[[#This Row],[Age]]</f>
        <v>26</v>
      </c>
      <c r="AH377" t="str" cm="1">
        <f t="array" ref="AH37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77" t="str">
        <f>tbl_OriginalData[[#This Row],[Gender]]</f>
        <v>Male</v>
      </c>
      <c r="AJ377" t="str">
        <f>tbl_OriginalData[[#This Row],[Income_Level]]</f>
        <v>High</v>
      </c>
      <c r="AK377" t="str">
        <f>tbl_OriginalData[[#This Row],[Marital_Status]]</f>
        <v>Married</v>
      </c>
      <c r="AL377" t="str">
        <f>tbl_OriginalData[[#This Row],[Education_Level]]</f>
        <v>High School</v>
      </c>
      <c r="AM377" t="str">
        <f>tbl_OriginalData[[#This Row],[Occupation]]</f>
        <v>High</v>
      </c>
      <c r="AN377" t="s">
        <v>956</v>
      </c>
      <c r="AO377" t="s">
        <v>161</v>
      </c>
      <c r="AP377" t="str">
        <f>tbl_OriginalData[[#This Row],[Purchase_Category]]</f>
        <v>Gardening &amp; Outdoors</v>
      </c>
      <c r="AQ377" s="4">
        <f>tbl_OriginalData[[#This Row],[Purchase_Amount]]</f>
        <v>222.63</v>
      </c>
      <c r="AR377">
        <f>tbl_OriginalData[[#This Row],[Frequency_of_Purchase]]</f>
        <v>3</v>
      </c>
      <c r="AS377" t="str">
        <f>tbl_OriginalData[[#This Row],[Purchase_Channel]]</f>
        <v>Mixed</v>
      </c>
      <c r="AT377">
        <f>tbl_OriginalData[[#This Row],[Brand_Loyalty]]</f>
        <v>1</v>
      </c>
      <c r="AU377">
        <f>tbl_OriginalData[[#This Row],[Product_Rating]]</f>
        <v>1</v>
      </c>
      <c r="AV377">
        <f>tbl_OriginalData[[#This Row],[Time_Spent_on_Product_Research(hours)]]*60</f>
        <v>0</v>
      </c>
      <c r="AW377" t="str">
        <f>tbl_OriginalData[[#This Row],[Social_Media_Influence]]</f>
        <v>Medium</v>
      </c>
      <c r="AX377" t="str">
        <f>tbl_OriginalData[[#This Row],[Discount_Sensitivity]]</f>
        <v>Somewhat Sensitive</v>
      </c>
      <c r="AY377" s="3">
        <f>tbl_OriginalData[[#This Row],[Return_Rate]]/tbl_OriginalData[[#This Row],[Frequency_of_Purchase]]</f>
        <v>0.66666666666666663</v>
      </c>
      <c r="AZ377">
        <f>tbl_OriginalData[[#This Row],[Customer_Satisfaction]]</f>
        <v>2</v>
      </c>
      <c r="BA377" t="str">
        <f>tbl_OriginalData[[#This Row],[Engagement_with_Ads]]</f>
        <v>None</v>
      </c>
      <c r="BB377" t="str">
        <f>tbl_OriginalData[[#This Row],[Device_Used_for_Shopping]]</f>
        <v>Tablet</v>
      </c>
      <c r="BC377" t="str">
        <f>tbl_OriginalData[[#This Row],[Payment_Method]]</f>
        <v>Cash</v>
      </c>
      <c r="BD377" s="1">
        <f>tbl_OriginalData[[#This Row],[Time_of_Purchase]]</f>
        <v>45374</v>
      </c>
      <c r="BE377" t="str">
        <f>IF(tbl_OriginalData[[#This Row],[Discount_Used]]=TRUE,"Yes","No")</f>
        <v>No</v>
      </c>
      <c r="BF377" t="str">
        <f>IF(tbl_OriginalData[[#This Row],[Customer_Loyalty_Program_Member]]=TRUE,"Yes","No")</f>
        <v>Yes</v>
      </c>
      <c r="BG377" t="str">
        <f>tbl_OriginalData[[#This Row],[Purchase_Intent]]</f>
        <v>Impulsive</v>
      </c>
      <c r="BH377" t="str">
        <f>tbl_OriginalData[[#This Row],[Shipping_Preference]]</f>
        <v>Express</v>
      </c>
      <c r="BI377">
        <f>tbl_OriginalData[[#This Row],[Time_to_Decision]]</f>
        <v>6</v>
      </c>
      <c r="BJ377" t="s">
        <v>47</v>
      </c>
      <c r="BK377" t="s">
        <v>48</v>
      </c>
      <c r="BL377" t="s">
        <v>2527</v>
      </c>
    </row>
    <row r="378" spans="1:64">
      <c r="A378" t="s">
        <v>957</v>
      </c>
      <c r="B378">
        <v>26</v>
      </c>
      <c r="C378" t="s">
        <v>50</v>
      </c>
      <c r="D378" t="s">
        <v>51</v>
      </c>
      <c r="E378" t="s">
        <v>35</v>
      </c>
      <c r="F378" t="s">
        <v>52</v>
      </c>
      <c r="G378" t="s">
        <v>51</v>
      </c>
      <c r="H378" t="s">
        <v>958</v>
      </c>
      <c r="I378" t="s">
        <v>156</v>
      </c>
      <c r="J378">
        <v>71.95</v>
      </c>
      <c r="K378">
        <v>2</v>
      </c>
      <c r="L378" t="s">
        <v>39</v>
      </c>
      <c r="M378">
        <v>3</v>
      </c>
      <c r="N378">
        <v>5</v>
      </c>
      <c r="O378">
        <v>2</v>
      </c>
      <c r="P378" t="s">
        <v>40</v>
      </c>
      <c r="Q378" t="s">
        <v>101</v>
      </c>
      <c r="R378">
        <v>2</v>
      </c>
      <c r="S378">
        <v>10</v>
      </c>
      <c r="T378" t="s">
        <v>40</v>
      </c>
      <c r="U378" t="s">
        <v>95</v>
      </c>
      <c r="V378" t="s">
        <v>71</v>
      </c>
      <c r="W378" s="1">
        <v>45557</v>
      </c>
      <c r="X378" t="b">
        <v>0</v>
      </c>
      <c r="Y378" t="b">
        <v>1</v>
      </c>
      <c r="Z378" t="s">
        <v>89</v>
      </c>
      <c r="AA378" t="s">
        <v>45</v>
      </c>
      <c r="AB378">
        <v>13</v>
      </c>
      <c r="AF378" t="str">
        <f>tbl_OriginalData[[#This Row],[Customer_ID]]</f>
        <v>27-742-2776</v>
      </c>
      <c r="AG378">
        <f>tbl_OriginalData[[#This Row],[Age]]</f>
        <v>26</v>
      </c>
      <c r="AH378" t="str" cm="1">
        <f t="array" ref="AH37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78" t="str">
        <f>tbl_OriginalData[[#This Row],[Gender]]</f>
        <v>Male</v>
      </c>
      <c r="AJ378" t="str">
        <f>tbl_OriginalData[[#This Row],[Income_Level]]</f>
        <v>High</v>
      </c>
      <c r="AK378" t="str">
        <f>tbl_OriginalData[[#This Row],[Marital_Status]]</f>
        <v>Married</v>
      </c>
      <c r="AL378" t="str">
        <f>tbl_OriginalData[[#This Row],[Education_Level]]</f>
        <v>High School</v>
      </c>
      <c r="AM378" t="str">
        <f>tbl_OriginalData[[#This Row],[Occupation]]</f>
        <v>High</v>
      </c>
      <c r="AN378" t="s">
        <v>958</v>
      </c>
      <c r="AO378" t="s">
        <v>232</v>
      </c>
      <c r="AP378" t="str">
        <f>tbl_OriginalData[[#This Row],[Purchase_Category]]</f>
        <v>Toys &amp; Games</v>
      </c>
      <c r="AQ378" s="4">
        <f>tbl_OriginalData[[#This Row],[Purchase_Amount]]</f>
        <v>71.95</v>
      </c>
      <c r="AR378">
        <f>tbl_OriginalData[[#This Row],[Frequency_of_Purchase]]</f>
        <v>2</v>
      </c>
      <c r="AS378" t="str">
        <f>tbl_OriginalData[[#This Row],[Purchase_Channel]]</f>
        <v>Mixed</v>
      </c>
      <c r="AT378">
        <f>tbl_OriginalData[[#This Row],[Brand_Loyalty]]</f>
        <v>3</v>
      </c>
      <c r="AU378">
        <f>tbl_OriginalData[[#This Row],[Product_Rating]]</f>
        <v>5</v>
      </c>
      <c r="AV378">
        <f>tbl_OriginalData[[#This Row],[Time_Spent_on_Product_Research(hours)]]*60</f>
        <v>120</v>
      </c>
      <c r="AW378" t="str">
        <f>tbl_OriginalData[[#This Row],[Social_Media_Influence]]</f>
        <v>None</v>
      </c>
      <c r="AX378" t="str">
        <f>tbl_OriginalData[[#This Row],[Discount_Sensitivity]]</f>
        <v>Very Sensitive</v>
      </c>
      <c r="AY378" s="3">
        <f>tbl_OriginalData[[#This Row],[Return_Rate]]/tbl_OriginalData[[#This Row],[Frequency_of_Purchase]]</f>
        <v>1</v>
      </c>
      <c r="AZ378">
        <f>tbl_OriginalData[[#This Row],[Customer_Satisfaction]]</f>
        <v>10</v>
      </c>
      <c r="BA378" t="str">
        <f>tbl_OriginalData[[#This Row],[Engagement_with_Ads]]</f>
        <v>None</v>
      </c>
      <c r="BB378" t="str">
        <f>tbl_OriginalData[[#This Row],[Device_Used_for_Shopping]]</f>
        <v>Desktop</v>
      </c>
      <c r="BC378" t="str">
        <f>tbl_OriginalData[[#This Row],[Payment_Method]]</f>
        <v>Debit Card</v>
      </c>
      <c r="BD378" s="1">
        <f>tbl_OriginalData[[#This Row],[Time_of_Purchase]]</f>
        <v>45557</v>
      </c>
      <c r="BE378" t="str">
        <f>IF(tbl_OriginalData[[#This Row],[Discount_Used]]=TRUE,"Yes","No")</f>
        <v>No</v>
      </c>
      <c r="BF378" t="str">
        <f>IF(tbl_OriginalData[[#This Row],[Customer_Loyalty_Program_Member]]=TRUE,"Yes","No")</f>
        <v>Yes</v>
      </c>
      <c r="BG378" t="str">
        <f>tbl_OriginalData[[#This Row],[Purchase_Intent]]</f>
        <v>Planned</v>
      </c>
      <c r="BH378" t="str">
        <f>tbl_OriginalData[[#This Row],[Shipping_Preference]]</f>
        <v>No Preference</v>
      </c>
      <c r="BI378">
        <f>tbl_OriginalData[[#This Row],[Time_to_Decision]]</f>
        <v>13</v>
      </c>
      <c r="BJ378" t="s">
        <v>172</v>
      </c>
      <c r="BK378" t="s">
        <v>115</v>
      </c>
      <c r="BL378" t="s">
        <v>2523</v>
      </c>
    </row>
    <row r="379" spans="1:64">
      <c r="A379" t="s">
        <v>959</v>
      </c>
      <c r="B379">
        <v>21</v>
      </c>
      <c r="C379" t="s">
        <v>50</v>
      </c>
      <c r="D379" t="s">
        <v>51</v>
      </c>
      <c r="E379" t="s">
        <v>92</v>
      </c>
      <c r="F379" t="s">
        <v>52</v>
      </c>
      <c r="G379" t="s">
        <v>34</v>
      </c>
      <c r="H379" t="s">
        <v>960</v>
      </c>
      <c r="I379" t="s">
        <v>150</v>
      </c>
      <c r="J379">
        <v>264.52</v>
      </c>
      <c r="K379">
        <v>9</v>
      </c>
      <c r="L379" t="s">
        <v>94</v>
      </c>
      <c r="M379">
        <v>3</v>
      </c>
      <c r="N379">
        <v>3</v>
      </c>
      <c r="O379">
        <v>1</v>
      </c>
      <c r="P379" t="s">
        <v>40</v>
      </c>
      <c r="Q379" t="s">
        <v>57</v>
      </c>
      <c r="R379">
        <v>0</v>
      </c>
      <c r="S379">
        <v>10</v>
      </c>
      <c r="T379" t="s">
        <v>40</v>
      </c>
      <c r="U379" t="s">
        <v>70</v>
      </c>
      <c r="V379" t="s">
        <v>71</v>
      </c>
      <c r="W379" s="1">
        <v>45384</v>
      </c>
      <c r="X379" t="b">
        <v>1</v>
      </c>
      <c r="Y379" t="b">
        <v>1</v>
      </c>
      <c r="Z379" t="s">
        <v>89</v>
      </c>
      <c r="AA379" t="s">
        <v>45</v>
      </c>
      <c r="AB379">
        <v>6</v>
      </c>
      <c r="AF379" t="str">
        <f>tbl_OriginalData[[#This Row],[Customer_ID]]</f>
        <v>55-620-7906</v>
      </c>
      <c r="AG379">
        <f>tbl_OriginalData[[#This Row],[Age]]</f>
        <v>21</v>
      </c>
      <c r="AH379" t="str" cm="1">
        <f t="array" ref="AH37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79" t="str">
        <f>tbl_OriginalData[[#This Row],[Gender]]</f>
        <v>Male</v>
      </c>
      <c r="AJ379" t="str">
        <f>tbl_OriginalData[[#This Row],[Income_Level]]</f>
        <v>High</v>
      </c>
      <c r="AK379" t="str">
        <f>tbl_OriginalData[[#This Row],[Marital_Status]]</f>
        <v>Divorced</v>
      </c>
      <c r="AL379" t="str">
        <f>tbl_OriginalData[[#This Row],[Education_Level]]</f>
        <v>High School</v>
      </c>
      <c r="AM379" t="str">
        <f>tbl_OriginalData[[#This Row],[Occupation]]</f>
        <v>Middle</v>
      </c>
      <c r="AN379" t="s">
        <v>960</v>
      </c>
      <c r="AO379" t="s">
        <v>545</v>
      </c>
      <c r="AP379" t="str">
        <f>tbl_OriginalData[[#This Row],[Purchase_Category]]</f>
        <v>Software &amp; Apps</v>
      </c>
      <c r="AQ379" s="4">
        <f>tbl_OriginalData[[#This Row],[Purchase_Amount]]</f>
        <v>264.52</v>
      </c>
      <c r="AR379">
        <f>tbl_OriginalData[[#This Row],[Frequency_of_Purchase]]</f>
        <v>9</v>
      </c>
      <c r="AS379" t="str">
        <f>tbl_OriginalData[[#This Row],[Purchase_Channel]]</f>
        <v>Online</v>
      </c>
      <c r="AT379">
        <f>tbl_OriginalData[[#This Row],[Brand_Loyalty]]</f>
        <v>3</v>
      </c>
      <c r="AU379">
        <f>tbl_OriginalData[[#This Row],[Product_Rating]]</f>
        <v>3</v>
      </c>
      <c r="AV379">
        <f>tbl_OriginalData[[#This Row],[Time_Spent_on_Product_Research(hours)]]*60</f>
        <v>60</v>
      </c>
      <c r="AW379" t="str">
        <f>tbl_OriginalData[[#This Row],[Social_Media_Influence]]</f>
        <v>None</v>
      </c>
      <c r="AX379" t="str">
        <f>tbl_OriginalData[[#This Row],[Discount_Sensitivity]]</f>
        <v>Not Sensitive</v>
      </c>
      <c r="AY379" s="3">
        <f>tbl_OriginalData[[#This Row],[Return_Rate]]/tbl_OriginalData[[#This Row],[Frequency_of_Purchase]]</f>
        <v>0</v>
      </c>
      <c r="AZ379">
        <f>tbl_OriginalData[[#This Row],[Customer_Satisfaction]]</f>
        <v>10</v>
      </c>
      <c r="BA379" t="str">
        <f>tbl_OriginalData[[#This Row],[Engagement_with_Ads]]</f>
        <v>None</v>
      </c>
      <c r="BB379" t="str">
        <f>tbl_OriginalData[[#This Row],[Device_Used_for_Shopping]]</f>
        <v>Smartphone</v>
      </c>
      <c r="BC379" t="str">
        <f>tbl_OriginalData[[#This Row],[Payment_Method]]</f>
        <v>Debit Card</v>
      </c>
      <c r="BD379" s="1">
        <f>tbl_OriginalData[[#This Row],[Time_of_Purchase]]</f>
        <v>45384</v>
      </c>
      <c r="BE379" t="str">
        <f>IF(tbl_OriginalData[[#This Row],[Discount_Used]]=TRUE,"Yes","No")</f>
        <v>Yes</v>
      </c>
      <c r="BF379" t="str">
        <f>IF(tbl_OriginalData[[#This Row],[Customer_Loyalty_Program_Member]]=TRUE,"Yes","No")</f>
        <v>Yes</v>
      </c>
      <c r="BG379" t="str">
        <f>tbl_OriginalData[[#This Row],[Purchase_Intent]]</f>
        <v>Planned</v>
      </c>
      <c r="BH379" t="str">
        <f>tbl_OriginalData[[#This Row],[Shipping_Preference]]</f>
        <v>No Preference</v>
      </c>
      <c r="BI379">
        <f>tbl_OriginalData[[#This Row],[Time_to_Decision]]</f>
        <v>6</v>
      </c>
      <c r="BJ379" t="s">
        <v>62</v>
      </c>
      <c r="BK379" t="s">
        <v>63</v>
      </c>
      <c r="BL379" t="s">
        <v>2528</v>
      </c>
    </row>
    <row r="380" spans="1:64">
      <c r="A380" t="s">
        <v>961</v>
      </c>
      <c r="B380">
        <v>43</v>
      </c>
      <c r="C380" t="s">
        <v>50</v>
      </c>
      <c r="D380" t="s">
        <v>51</v>
      </c>
      <c r="E380" t="s">
        <v>92</v>
      </c>
      <c r="F380" t="s">
        <v>52</v>
      </c>
      <c r="G380" t="s">
        <v>51</v>
      </c>
      <c r="H380" t="s">
        <v>962</v>
      </c>
      <c r="I380" t="s">
        <v>54</v>
      </c>
      <c r="J380">
        <v>414.8</v>
      </c>
      <c r="K380">
        <v>9</v>
      </c>
      <c r="L380" t="s">
        <v>39</v>
      </c>
      <c r="M380">
        <v>2</v>
      </c>
      <c r="N380">
        <v>3</v>
      </c>
      <c r="O380">
        <v>2</v>
      </c>
      <c r="P380" t="s">
        <v>69</v>
      </c>
      <c r="Q380" t="s">
        <v>101</v>
      </c>
      <c r="R380">
        <v>2</v>
      </c>
      <c r="S380">
        <v>9</v>
      </c>
      <c r="T380" t="s">
        <v>40</v>
      </c>
      <c r="U380" t="s">
        <v>95</v>
      </c>
      <c r="V380" t="s">
        <v>58</v>
      </c>
      <c r="W380" s="1">
        <v>45321</v>
      </c>
      <c r="X380" t="b">
        <v>0</v>
      </c>
      <c r="Y380" t="b">
        <v>1</v>
      </c>
      <c r="Z380" t="s">
        <v>89</v>
      </c>
      <c r="AA380" t="s">
        <v>45</v>
      </c>
      <c r="AB380">
        <v>7</v>
      </c>
      <c r="AF380" t="str">
        <f>tbl_OriginalData[[#This Row],[Customer_ID]]</f>
        <v>04-213-4617</v>
      </c>
      <c r="AG380">
        <f>tbl_OriginalData[[#This Row],[Age]]</f>
        <v>43</v>
      </c>
      <c r="AH380" t="str" cm="1">
        <f t="array" ref="AH38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80" t="str">
        <f>tbl_OriginalData[[#This Row],[Gender]]</f>
        <v>Male</v>
      </c>
      <c r="AJ380" t="str">
        <f>tbl_OriginalData[[#This Row],[Income_Level]]</f>
        <v>High</v>
      </c>
      <c r="AK380" t="str">
        <f>tbl_OriginalData[[#This Row],[Marital_Status]]</f>
        <v>Divorced</v>
      </c>
      <c r="AL380" t="str">
        <f>tbl_OriginalData[[#This Row],[Education_Level]]</f>
        <v>High School</v>
      </c>
      <c r="AM380" t="str">
        <f>tbl_OriginalData[[#This Row],[Occupation]]</f>
        <v>High</v>
      </c>
      <c r="AN380" t="s">
        <v>962</v>
      </c>
      <c r="AO380" t="s">
        <v>315</v>
      </c>
      <c r="AP380" t="str">
        <f>tbl_OriginalData[[#This Row],[Purchase_Category]]</f>
        <v>Food &amp; Beverages</v>
      </c>
      <c r="AQ380" s="4">
        <f>tbl_OriginalData[[#This Row],[Purchase_Amount]]</f>
        <v>414.8</v>
      </c>
      <c r="AR380">
        <f>tbl_OriginalData[[#This Row],[Frequency_of_Purchase]]</f>
        <v>9</v>
      </c>
      <c r="AS380" t="str">
        <f>tbl_OriginalData[[#This Row],[Purchase_Channel]]</f>
        <v>Mixed</v>
      </c>
      <c r="AT380">
        <f>tbl_OriginalData[[#This Row],[Brand_Loyalty]]</f>
        <v>2</v>
      </c>
      <c r="AU380">
        <f>tbl_OriginalData[[#This Row],[Product_Rating]]</f>
        <v>3</v>
      </c>
      <c r="AV380">
        <f>tbl_OriginalData[[#This Row],[Time_Spent_on_Product_Research(hours)]]*60</f>
        <v>120</v>
      </c>
      <c r="AW380" t="str">
        <f>tbl_OriginalData[[#This Row],[Social_Media_Influence]]</f>
        <v>Low</v>
      </c>
      <c r="AX380" t="str">
        <f>tbl_OriginalData[[#This Row],[Discount_Sensitivity]]</f>
        <v>Very Sensitive</v>
      </c>
      <c r="AY380" s="3">
        <f>tbl_OriginalData[[#This Row],[Return_Rate]]/tbl_OriginalData[[#This Row],[Frequency_of_Purchase]]</f>
        <v>0.22222222222222221</v>
      </c>
      <c r="AZ380">
        <f>tbl_OriginalData[[#This Row],[Customer_Satisfaction]]</f>
        <v>9</v>
      </c>
      <c r="BA380" t="str">
        <f>tbl_OriginalData[[#This Row],[Engagement_with_Ads]]</f>
        <v>None</v>
      </c>
      <c r="BB380" t="str">
        <f>tbl_OriginalData[[#This Row],[Device_Used_for_Shopping]]</f>
        <v>Desktop</v>
      </c>
      <c r="BC380" t="str">
        <f>tbl_OriginalData[[#This Row],[Payment_Method]]</f>
        <v>PayPal</v>
      </c>
      <c r="BD380" s="1">
        <f>tbl_OriginalData[[#This Row],[Time_of_Purchase]]</f>
        <v>45321</v>
      </c>
      <c r="BE380" t="str">
        <f>IF(tbl_OriginalData[[#This Row],[Discount_Used]]=TRUE,"Yes","No")</f>
        <v>No</v>
      </c>
      <c r="BF380" t="str">
        <f>IF(tbl_OriginalData[[#This Row],[Customer_Loyalty_Program_Member]]=TRUE,"Yes","No")</f>
        <v>Yes</v>
      </c>
      <c r="BG380" t="str">
        <f>tbl_OriginalData[[#This Row],[Purchase_Intent]]</f>
        <v>Planned</v>
      </c>
      <c r="BH380" t="str">
        <f>tbl_OriginalData[[#This Row],[Shipping_Preference]]</f>
        <v>No Preference</v>
      </c>
      <c r="BI380">
        <f>tbl_OriginalData[[#This Row],[Time_to_Decision]]</f>
        <v>7</v>
      </c>
      <c r="BJ380" t="s">
        <v>86</v>
      </c>
      <c r="BK380" t="s">
        <v>48</v>
      </c>
      <c r="BL380" t="s">
        <v>2523</v>
      </c>
    </row>
    <row r="381" spans="1:64">
      <c r="A381" t="s">
        <v>963</v>
      </c>
      <c r="B381">
        <v>50</v>
      </c>
      <c r="C381" t="s">
        <v>50</v>
      </c>
      <c r="D381" t="s">
        <v>34</v>
      </c>
      <c r="E381" t="s">
        <v>65</v>
      </c>
      <c r="F381" t="s">
        <v>36</v>
      </c>
      <c r="G381" t="s">
        <v>51</v>
      </c>
      <c r="H381" t="s">
        <v>964</v>
      </c>
      <c r="I381" t="s">
        <v>199</v>
      </c>
      <c r="J381">
        <v>50.79</v>
      </c>
      <c r="K381">
        <v>12</v>
      </c>
      <c r="L381" t="s">
        <v>39</v>
      </c>
      <c r="M381">
        <v>5</v>
      </c>
      <c r="N381">
        <v>1</v>
      </c>
      <c r="O381">
        <v>0</v>
      </c>
      <c r="P381" t="s">
        <v>56</v>
      </c>
      <c r="Q381" t="s">
        <v>41</v>
      </c>
      <c r="R381">
        <v>0</v>
      </c>
      <c r="S381">
        <v>2</v>
      </c>
      <c r="T381" t="s">
        <v>56</v>
      </c>
      <c r="U381" t="s">
        <v>95</v>
      </c>
      <c r="V381" t="s">
        <v>76</v>
      </c>
      <c r="W381" s="1">
        <v>45440</v>
      </c>
      <c r="X381" t="b">
        <v>1</v>
      </c>
      <c r="Y381" t="b">
        <v>0</v>
      </c>
      <c r="Z381" t="s">
        <v>89</v>
      </c>
      <c r="AA381" t="s">
        <v>60</v>
      </c>
      <c r="AB381">
        <v>3</v>
      </c>
      <c r="AF381" t="str">
        <f>tbl_OriginalData[[#This Row],[Customer_ID]]</f>
        <v>79-384-7469</v>
      </c>
      <c r="AG381">
        <f>tbl_OriginalData[[#This Row],[Age]]</f>
        <v>50</v>
      </c>
      <c r="AH381" t="str" cm="1">
        <f t="array" ref="AH38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81" t="str">
        <f>tbl_OriginalData[[#This Row],[Gender]]</f>
        <v>Male</v>
      </c>
      <c r="AJ381" t="str">
        <f>tbl_OriginalData[[#This Row],[Income_Level]]</f>
        <v>Middle</v>
      </c>
      <c r="AK381" t="str">
        <f>tbl_OriginalData[[#This Row],[Marital_Status]]</f>
        <v>Single</v>
      </c>
      <c r="AL381" t="str">
        <f>tbl_OriginalData[[#This Row],[Education_Level]]</f>
        <v>Bachelor's</v>
      </c>
      <c r="AM381" t="str">
        <f>tbl_OriginalData[[#This Row],[Occupation]]</f>
        <v>High</v>
      </c>
      <c r="AN381" t="s">
        <v>964</v>
      </c>
      <c r="AO381" t="s">
        <v>965</v>
      </c>
      <c r="AP381" t="str">
        <f>tbl_OriginalData[[#This Row],[Purchase_Category]]</f>
        <v>Groceries</v>
      </c>
      <c r="AQ381" s="4">
        <f>tbl_OriginalData[[#This Row],[Purchase_Amount]]</f>
        <v>50.79</v>
      </c>
      <c r="AR381">
        <f>tbl_OriginalData[[#This Row],[Frequency_of_Purchase]]</f>
        <v>12</v>
      </c>
      <c r="AS381" t="str">
        <f>tbl_OriginalData[[#This Row],[Purchase_Channel]]</f>
        <v>Mixed</v>
      </c>
      <c r="AT381">
        <f>tbl_OriginalData[[#This Row],[Brand_Loyalty]]</f>
        <v>5</v>
      </c>
      <c r="AU381">
        <f>tbl_OriginalData[[#This Row],[Product_Rating]]</f>
        <v>1</v>
      </c>
      <c r="AV381">
        <f>tbl_OriginalData[[#This Row],[Time_Spent_on_Product_Research(hours)]]*60</f>
        <v>0</v>
      </c>
      <c r="AW381" t="str">
        <f>tbl_OriginalData[[#This Row],[Social_Media_Influence]]</f>
        <v>Medium</v>
      </c>
      <c r="AX381" t="str">
        <f>tbl_OriginalData[[#This Row],[Discount_Sensitivity]]</f>
        <v>Somewhat Sensitive</v>
      </c>
      <c r="AY381" s="3">
        <f>tbl_OriginalData[[#This Row],[Return_Rate]]/tbl_OriginalData[[#This Row],[Frequency_of_Purchase]]</f>
        <v>0</v>
      </c>
      <c r="AZ381">
        <f>tbl_OriginalData[[#This Row],[Customer_Satisfaction]]</f>
        <v>2</v>
      </c>
      <c r="BA381" t="str">
        <f>tbl_OriginalData[[#This Row],[Engagement_with_Ads]]</f>
        <v>Medium</v>
      </c>
      <c r="BB381" t="str">
        <f>tbl_OriginalData[[#This Row],[Device_Used_for_Shopping]]</f>
        <v>Desktop</v>
      </c>
      <c r="BC381" t="str">
        <f>tbl_OriginalData[[#This Row],[Payment_Method]]</f>
        <v>Other</v>
      </c>
      <c r="BD381" s="1">
        <f>tbl_OriginalData[[#This Row],[Time_of_Purchase]]</f>
        <v>45440</v>
      </c>
      <c r="BE381" t="str">
        <f>IF(tbl_OriginalData[[#This Row],[Discount_Used]]=TRUE,"Yes","No")</f>
        <v>Yes</v>
      </c>
      <c r="BF381" t="str">
        <f>IF(tbl_OriginalData[[#This Row],[Customer_Loyalty_Program_Member]]=TRUE,"Yes","No")</f>
        <v>No</v>
      </c>
      <c r="BG381" t="str">
        <f>tbl_OriginalData[[#This Row],[Purchase_Intent]]</f>
        <v>Planned</v>
      </c>
      <c r="BH381" t="str">
        <f>tbl_OriginalData[[#This Row],[Shipping_Preference]]</f>
        <v>Standard</v>
      </c>
      <c r="BI381">
        <f>tbl_OriginalData[[#This Row],[Time_to_Decision]]</f>
        <v>3</v>
      </c>
      <c r="BJ381" t="s">
        <v>167</v>
      </c>
      <c r="BK381" t="s">
        <v>63</v>
      </c>
      <c r="BL381" t="s">
        <v>2524</v>
      </c>
    </row>
    <row r="382" spans="1:64">
      <c r="A382" t="s">
        <v>966</v>
      </c>
      <c r="B382">
        <v>42</v>
      </c>
      <c r="C382" t="s">
        <v>33</v>
      </c>
      <c r="D382" t="s">
        <v>34</v>
      </c>
      <c r="E382" t="s">
        <v>35</v>
      </c>
      <c r="F382" t="s">
        <v>52</v>
      </c>
      <c r="G382" t="s">
        <v>34</v>
      </c>
      <c r="H382" t="s">
        <v>967</v>
      </c>
      <c r="I382" t="s">
        <v>135</v>
      </c>
      <c r="J382">
        <v>264.3</v>
      </c>
      <c r="K382">
        <v>10</v>
      </c>
      <c r="L382" t="s">
        <v>55</v>
      </c>
      <c r="M382">
        <v>5</v>
      </c>
      <c r="N382">
        <v>4</v>
      </c>
      <c r="O382">
        <v>1</v>
      </c>
      <c r="P382" t="s">
        <v>69</v>
      </c>
      <c r="Q382" t="s">
        <v>57</v>
      </c>
      <c r="R382">
        <v>2</v>
      </c>
      <c r="S382">
        <v>2</v>
      </c>
      <c r="T382" t="s">
        <v>51</v>
      </c>
      <c r="U382" t="s">
        <v>70</v>
      </c>
      <c r="V382" t="s">
        <v>58</v>
      </c>
      <c r="W382" s="1">
        <v>45524</v>
      </c>
      <c r="X382" t="b">
        <v>1</v>
      </c>
      <c r="Y382" t="b">
        <v>1</v>
      </c>
      <c r="Z382" t="s">
        <v>89</v>
      </c>
      <c r="AA382" t="s">
        <v>45</v>
      </c>
      <c r="AB382">
        <v>5</v>
      </c>
      <c r="AF382" t="str">
        <f>tbl_OriginalData[[#This Row],[Customer_ID]]</f>
        <v>30-839-5589</v>
      </c>
      <c r="AG382">
        <f>tbl_OriginalData[[#This Row],[Age]]</f>
        <v>42</v>
      </c>
      <c r="AH382" t="str" cm="1">
        <f t="array" ref="AH38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82" t="str">
        <f>tbl_OriginalData[[#This Row],[Gender]]</f>
        <v>Female</v>
      </c>
      <c r="AJ382" t="str">
        <f>tbl_OriginalData[[#This Row],[Income_Level]]</f>
        <v>Middle</v>
      </c>
      <c r="AK382" t="str">
        <f>tbl_OriginalData[[#This Row],[Marital_Status]]</f>
        <v>Married</v>
      </c>
      <c r="AL382" t="str">
        <f>tbl_OriginalData[[#This Row],[Education_Level]]</f>
        <v>High School</v>
      </c>
      <c r="AM382" t="str">
        <f>tbl_OriginalData[[#This Row],[Occupation]]</f>
        <v>Middle</v>
      </c>
      <c r="AN382" t="s">
        <v>967</v>
      </c>
      <c r="AO382" t="s">
        <v>61</v>
      </c>
      <c r="AP382" t="str">
        <f>tbl_OriginalData[[#This Row],[Purchase_Category]]</f>
        <v>Hotels</v>
      </c>
      <c r="AQ382" s="4">
        <f>tbl_OriginalData[[#This Row],[Purchase_Amount]]</f>
        <v>264.3</v>
      </c>
      <c r="AR382">
        <f>tbl_OriginalData[[#This Row],[Frequency_of_Purchase]]</f>
        <v>10</v>
      </c>
      <c r="AS382" t="str">
        <f>tbl_OriginalData[[#This Row],[Purchase_Channel]]</f>
        <v>In-Store</v>
      </c>
      <c r="AT382">
        <f>tbl_OriginalData[[#This Row],[Brand_Loyalty]]</f>
        <v>5</v>
      </c>
      <c r="AU382">
        <f>tbl_OriginalData[[#This Row],[Product_Rating]]</f>
        <v>4</v>
      </c>
      <c r="AV382">
        <f>tbl_OriginalData[[#This Row],[Time_Spent_on_Product_Research(hours)]]*60</f>
        <v>60</v>
      </c>
      <c r="AW382" t="str">
        <f>tbl_OriginalData[[#This Row],[Social_Media_Influence]]</f>
        <v>Low</v>
      </c>
      <c r="AX382" t="str">
        <f>tbl_OriginalData[[#This Row],[Discount_Sensitivity]]</f>
        <v>Not Sensitive</v>
      </c>
      <c r="AY382" s="3">
        <f>tbl_OriginalData[[#This Row],[Return_Rate]]/tbl_OriginalData[[#This Row],[Frequency_of_Purchase]]</f>
        <v>0.2</v>
      </c>
      <c r="AZ382">
        <f>tbl_OriginalData[[#This Row],[Customer_Satisfaction]]</f>
        <v>2</v>
      </c>
      <c r="BA382" t="str">
        <f>tbl_OriginalData[[#This Row],[Engagement_with_Ads]]</f>
        <v>High</v>
      </c>
      <c r="BB382" t="str">
        <f>tbl_OriginalData[[#This Row],[Device_Used_for_Shopping]]</f>
        <v>Smartphone</v>
      </c>
      <c r="BC382" t="str">
        <f>tbl_OriginalData[[#This Row],[Payment_Method]]</f>
        <v>PayPal</v>
      </c>
      <c r="BD382" s="1">
        <f>tbl_OriginalData[[#This Row],[Time_of_Purchase]]</f>
        <v>45524</v>
      </c>
      <c r="BE382" t="str">
        <f>IF(tbl_OriginalData[[#This Row],[Discount_Used]]=TRUE,"Yes","No")</f>
        <v>Yes</v>
      </c>
      <c r="BF382" t="str">
        <f>IF(tbl_OriginalData[[#This Row],[Customer_Loyalty_Program_Member]]=TRUE,"Yes","No")</f>
        <v>Yes</v>
      </c>
      <c r="BG382" t="str">
        <f>tbl_OriginalData[[#This Row],[Purchase_Intent]]</f>
        <v>Planned</v>
      </c>
      <c r="BH382" t="str">
        <f>tbl_OriginalData[[#This Row],[Shipping_Preference]]</f>
        <v>No Preference</v>
      </c>
      <c r="BI382">
        <f>tbl_OriginalData[[#This Row],[Time_to_Decision]]</f>
        <v>5</v>
      </c>
      <c r="BJ382" t="s">
        <v>124</v>
      </c>
      <c r="BK382" t="s">
        <v>115</v>
      </c>
      <c r="BL382" t="s">
        <v>2524</v>
      </c>
    </row>
    <row r="383" spans="1:64">
      <c r="A383" t="s">
        <v>968</v>
      </c>
      <c r="B383">
        <v>29</v>
      </c>
      <c r="C383" t="s">
        <v>50</v>
      </c>
      <c r="D383" t="s">
        <v>51</v>
      </c>
      <c r="E383" t="s">
        <v>35</v>
      </c>
      <c r="F383" t="s">
        <v>36</v>
      </c>
      <c r="G383" t="s">
        <v>34</v>
      </c>
      <c r="H383" t="s">
        <v>969</v>
      </c>
      <c r="I383" t="s">
        <v>127</v>
      </c>
      <c r="J383">
        <v>122.46</v>
      </c>
      <c r="K383">
        <v>12</v>
      </c>
      <c r="L383" t="s">
        <v>39</v>
      </c>
      <c r="M383">
        <v>2</v>
      </c>
      <c r="N383">
        <v>3</v>
      </c>
      <c r="O383">
        <v>0</v>
      </c>
      <c r="P383" t="s">
        <v>51</v>
      </c>
      <c r="Q383" t="s">
        <v>57</v>
      </c>
      <c r="R383">
        <v>0</v>
      </c>
      <c r="S383">
        <v>3</v>
      </c>
      <c r="T383" t="s">
        <v>69</v>
      </c>
      <c r="U383" t="s">
        <v>42</v>
      </c>
      <c r="V383" t="s">
        <v>43</v>
      </c>
      <c r="W383" s="1">
        <v>45337</v>
      </c>
      <c r="X383" t="b">
        <v>0</v>
      </c>
      <c r="Y383" t="b">
        <v>1</v>
      </c>
      <c r="Z383" t="s">
        <v>59</v>
      </c>
      <c r="AA383" t="s">
        <v>60</v>
      </c>
      <c r="AB383">
        <v>6</v>
      </c>
      <c r="AF383" t="str">
        <f>tbl_OriginalData[[#This Row],[Customer_ID]]</f>
        <v>76-848-9229</v>
      </c>
      <c r="AG383">
        <f>tbl_OriginalData[[#This Row],[Age]]</f>
        <v>29</v>
      </c>
      <c r="AH383" t="str" cm="1">
        <f t="array" ref="AH38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83" t="str">
        <f>tbl_OriginalData[[#This Row],[Gender]]</f>
        <v>Male</v>
      </c>
      <c r="AJ383" t="str">
        <f>tbl_OriginalData[[#This Row],[Income_Level]]</f>
        <v>High</v>
      </c>
      <c r="AK383" t="str">
        <f>tbl_OriginalData[[#This Row],[Marital_Status]]</f>
        <v>Married</v>
      </c>
      <c r="AL383" t="str">
        <f>tbl_OriginalData[[#This Row],[Education_Level]]</f>
        <v>Bachelor's</v>
      </c>
      <c r="AM383" t="str">
        <f>tbl_OriginalData[[#This Row],[Occupation]]</f>
        <v>Middle</v>
      </c>
      <c r="AN383" t="s">
        <v>969</v>
      </c>
      <c r="AO383" t="s">
        <v>46</v>
      </c>
      <c r="AP383" t="str">
        <f>tbl_OriginalData[[#This Row],[Purchase_Category]]</f>
        <v>Animal Feed</v>
      </c>
      <c r="AQ383" s="4">
        <f>tbl_OriginalData[[#This Row],[Purchase_Amount]]</f>
        <v>122.46</v>
      </c>
      <c r="AR383">
        <f>tbl_OriginalData[[#This Row],[Frequency_of_Purchase]]</f>
        <v>12</v>
      </c>
      <c r="AS383" t="str">
        <f>tbl_OriginalData[[#This Row],[Purchase_Channel]]</f>
        <v>Mixed</v>
      </c>
      <c r="AT383">
        <f>tbl_OriginalData[[#This Row],[Brand_Loyalty]]</f>
        <v>2</v>
      </c>
      <c r="AU383">
        <f>tbl_OriginalData[[#This Row],[Product_Rating]]</f>
        <v>3</v>
      </c>
      <c r="AV383">
        <f>tbl_OriginalData[[#This Row],[Time_Spent_on_Product_Research(hours)]]*60</f>
        <v>0</v>
      </c>
      <c r="AW383" t="str">
        <f>tbl_OriginalData[[#This Row],[Social_Media_Influence]]</f>
        <v>High</v>
      </c>
      <c r="AX383" t="str">
        <f>tbl_OriginalData[[#This Row],[Discount_Sensitivity]]</f>
        <v>Not Sensitive</v>
      </c>
      <c r="AY383" s="3">
        <f>tbl_OriginalData[[#This Row],[Return_Rate]]/tbl_OriginalData[[#This Row],[Frequency_of_Purchase]]</f>
        <v>0</v>
      </c>
      <c r="AZ383">
        <f>tbl_OriginalData[[#This Row],[Customer_Satisfaction]]</f>
        <v>3</v>
      </c>
      <c r="BA383" t="str">
        <f>tbl_OriginalData[[#This Row],[Engagement_with_Ads]]</f>
        <v>Low</v>
      </c>
      <c r="BB383" t="str">
        <f>tbl_OriginalData[[#This Row],[Device_Used_for_Shopping]]</f>
        <v>Tablet</v>
      </c>
      <c r="BC383" t="str">
        <f>tbl_OriginalData[[#This Row],[Payment_Method]]</f>
        <v>Credit Card</v>
      </c>
      <c r="BD383" s="1">
        <f>tbl_OriginalData[[#This Row],[Time_of_Purchase]]</f>
        <v>45337</v>
      </c>
      <c r="BE383" t="str">
        <f>IF(tbl_OriginalData[[#This Row],[Discount_Used]]=TRUE,"Yes","No")</f>
        <v>No</v>
      </c>
      <c r="BF383" t="str">
        <f>IF(tbl_OriginalData[[#This Row],[Customer_Loyalty_Program_Member]]=TRUE,"Yes","No")</f>
        <v>Yes</v>
      </c>
      <c r="BG383" t="str">
        <f>tbl_OriginalData[[#This Row],[Purchase_Intent]]</f>
        <v>Wants-based</v>
      </c>
      <c r="BH383" t="str">
        <f>tbl_OriginalData[[#This Row],[Shipping_Preference]]</f>
        <v>Standard</v>
      </c>
      <c r="BI383">
        <f>tbl_OriginalData[[#This Row],[Time_to_Decision]]</f>
        <v>6</v>
      </c>
      <c r="BJ383" t="s">
        <v>158</v>
      </c>
      <c r="BK383" t="s">
        <v>48</v>
      </c>
      <c r="BL383" t="s">
        <v>2523</v>
      </c>
    </row>
    <row r="384" spans="1:64">
      <c r="A384" t="s">
        <v>970</v>
      </c>
      <c r="B384">
        <v>20</v>
      </c>
      <c r="C384" t="s">
        <v>50</v>
      </c>
      <c r="D384" t="s">
        <v>34</v>
      </c>
      <c r="E384" t="s">
        <v>82</v>
      </c>
      <c r="F384" t="s">
        <v>52</v>
      </c>
      <c r="G384" t="s">
        <v>34</v>
      </c>
      <c r="H384" t="s">
        <v>971</v>
      </c>
      <c r="I384" t="s">
        <v>150</v>
      </c>
      <c r="J384">
        <v>238.01</v>
      </c>
      <c r="K384">
        <v>8</v>
      </c>
      <c r="L384" t="s">
        <v>55</v>
      </c>
      <c r="M384">
        <v>2</v>
      </c>
      <c r="N384">
        <v>2</v>
      </c>
      <c r="O384">
        <v>0</v>
      </c>
      <c r="P384" t="s">
        <v>51</v>
      </c>
      <c r="Q384" t="s">
        <v>41</v>
      </c>
      <c r="R384">
        <v>0</v>
      </c>
      <c r="S384">
        <v>9</v>
      </c>
      <c r="T384" t="s">
        <v>69</v>
      </c>
      <c r="U384" t="s">
        <v>95</v>
      </c>
      <c r="V384" t="s">
        <v>102</v>
      </c>
      <c r="W384" s="1">
        <v>45486</v>
      </c>
      <c r="X384" t="b">
        <v>0</v>
      </c>
      <c r="Y384" t="b">
        <v>1</v>
      </c>
      <c r="Z384" t="s">
        <v>44</v>
      </c>
      <c r="AA384" t="s">
        <v>60</v>
      </c>
      <c r="AB384">
        <v>5</v>
      </c>
      <c r="AF384" t="str">
        <f>tbl_OriginalData[[#This Row],[Customer_ID]]</f>
        <v>98-559-6096</v>
      </c>
      <c r="AG384">
        <f>tbl_OriginalData[[#This Row],[Age]]</f>
        <v>20</v>
      </c>
      <c r="AH384" t="str" cm="1">
        <f t="array" ref="AH38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84" t="str">
        <f>tbl_OriginalData[[#This Row],[Gender]]</f>
        <v>Male</v>
      </c>
      <c r="AJ384" t="str">
        <f>tbl_OriginalData[[#This Row],[Income_Level]]</f>
        <v>Middle</v>
      </c>
      <c r="AK384" t="str">
        <f>tbl_OriginalData[[#This Row],[Marital_Status]]</f>
        <v>Widowed</v>
      </c>
      <c r="AL384" t="str">
        <f>tbl_OriginalData[[#This Row],[Education_Level]]</f>
        <v>High School</v>
      </c>
      <c r="AM384" t="str">
        <f>tbl_OriginalData[[#This Row],[Occupation]]</f>
        <v>Middle</v>
      </c>
      <c r="AN384" t="s">
        <v>971</v>
      </c>
      <c r="AO384" t="s">
        <v>284</v>
      </c>
      <c r="AP384" t="str">
        <f>tbl_OriginalData[[#This Row],[Purchase_Category]]</f>
        <v>Software &amp; Apps</v>
      </c>
      <c r="AQ384" s="4">
        <f>tbl_OriginalData[[#This Row],[Purchase_Amount]]</f>
        <v>238.01</v>
      </c>
      <c r="AR384">
        <f>tbl_OriginalData[[#This Row],[Frequency_of_Purchase]]</f>
        <v>8</v>
      </c>
      <c r="AS384" t="str">
        <f>tbl_OriginalData[[#This Row],[Purchase_Channel]]</f>
        <v>In-Store</v>
      </c>
      <c r="AT384">
        <f>tbl_OriginalData[[#This Row],[Brand_Loyalty]]</f>
        <v>2</v>
      </c>
      <c r="AU384">
        <f>tbl_OriginalData[[#This Row],[Product_Rating]]</f>
        <v>2</v>
      </c>
      <c r="AV384">
        <f>tbl_OriginalData[[#This Row],[Time_Spent_on_Product_Research(hours)]]*60</f>
        <v>0</v>
      </c>
      <c r="AW384" t="str">
        <f>tbl_OriginalData[[#This Row],[Social_Media_Influence]]</f>
        <v>High</v>
      </c>
      <c r="AX384" t="str">
        <f>tbl_OriginalData[[#This Row],[Discount_Sensitivity]]</f>
        <v>Somewhat Sensitive</v>
      </c>
      <c r="AY384" s="3">
        <f>tbl_OriginalData[[#This Row],[Return_Rate]]/tbl_OriginalData[[#This Row],[Frequency_of_Purchase]]</f>
        <v>0</v>
      </c>
      <c r="AZ384">
        <f>tbl_OriginalData[[#This Row],[Customer_Satisfaction]]</f>
        <v>9</v>
      </c>
      <c r="BA384" t="str">
        <f>tbl_OriginalData[[#This Row],[Engagement_with_Ads]]</f>
        <v>Low</v>
      </c>
      <c r="BB384" t="str">
        <f>tbl_OriginalData[[#This Row],[Device_Used_for_Shopping]]</f>
        <v>Desktop</v>
      </c>
      <c r="BC384" t="str">
        <f>tbl_OriginalData[[#This Row],[Payment_Method]]</f>
        <v>Cash</v>
      </c>
      <c r="BD384" s="1">
        <f>tbl_OriginalData[[#This Row],[Time_of_Purchase]]</f>
        <v>45486</v>
      </c>
      <c r="BE384" t="str">
        <f>IF(tbl_OriginalData[[#This Row],[Discount_Used]]=TRUE,"Yes","No")</f>
        <v>No</v>
      </c>
      <c r="BF384" t="str">
        <f>IF(tbl_OriginalData[[#This Row],[Customer_Loyalty_Program_Member]]=TRUE,"Yes","No")</f>
        <v>Yes</v>
      </c>
      <c r="BG384" t="str">
        <f>tbl_OriginalData[[#This Row],[Purchase_Intent]]</f>
        <v>Need-based</v>
      </c>
      <c r="BH384" t="str">
        <f>tbl_OriginalData[[#This Row],[Shipping_Preference]]</f>
        <v>Standard</v>
      </c>
      <c r="BI384">
        <f>tbl_OriginalData[[#This Row],[Time_to_Decision]]</f>
        <v>5</v>
      </c>
      <c r="BJ384" t="s">
        <v>114</v>
      </c>
      <c r="BK384" t="s">
        <v>115</v>
      </c>
      <c r="BL384" t="s">
        <v>2527</v>
      </c>
    </row>
    <row r="385" spans="1:64">
      <c r="A385" t="s">
        <v>972</v>
      </c>
      <c r="B385">
        <v>40</v>
      </c>
      <c r="C385" t="s">
        <v>238</v>
      </c>
      <c r="D385" t="s">
        <v>51</v>
      </c>
      <c r="E385" t="s">
        <v>35</v>
      </c>
      <c r="F385" t="s">
        <v>66</v>
      </c>
      <c r="G385" t="s">
        <v>34</v>
      </c>
      <c r="H385" t="s">
        <v>973</v>
      </c>
      <c r="I385" t="s">
        <v>75</v>
      </c>
      <c r="J385">
        <v>490.34</v>
      </c>
      <c r="K385">
        <v>4</v>
      </c>
      <c r="L385" t="s">
        <v>55</v>
      </c>
      <c r="M385">
        <v>5</v>
      </c>
      <c r="N385">
        <v>2</v>
      </c>
      <c r="O385">
        <v>2</v>
      </c>
      <c r="P385" t="s">
        <v>40</v>
      </c>
      <c r="Q385" t="s">
        <v>57</v>
      </c>
      <c r="R385">
        <v>2</v>
      </c>
      <c r="S385">
        <v>7</v>
      </c>
      <c r="T385" t="s">
        <v>51</v>
      </c>
      <c r="U385" t="s">
        <v>42</v>
      </c>
      <c r="V385" t="s">
        <v>76</v>
      </c>
      <c r="W385" s="1">
        <v>45399</v>
      </c>
      <c r="X385" t="b">
        <v>0</v>
      </c>
      <c r="Y385" t="b">
        <v>1</v>
      </c>
      <c r="Z385" t="s">
        <v>44</v>
      </c>
      <c r="AA385" t="s">
        <v>45</v>
      </c>
      <c r="AB385">
        <v>2</v>
      </c>
      <c r="AF385" t="str">
        <f>tbl_OriginalData[[#This Row],[Customer_ID]]</f>
        <v>56-810-2066</v>
      </c>
      <c r="AG385">
        <f>tbl_OriginalData[[#This Row],[Age]]</f>
        <v>40</v>
      </c>
      <c r="AH385" t="str" cm="1">
        <f t="array" ref="AH38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85" t="str">
        <f>tbl_OriginalData[[#This Row],[Gender]]</f>
        <v>Non-binary</v>
      </c>
      <c r="AJ385" t="str">
        <f>tbl_OriginalData[[#This Row],[Income_Level]]</f>
        <v>High</v>
      </c>
      <c r="AK385" t="str">
        <f>tbl_OriginalData[[#This Row],[Marital_Status]]</f>
        <v>Married</v>
      </c>
      <c r="AL385" t="str">
        <f>tbl_OriginalData[[#This Row],[Education_Level]]</f>
        <v>Master's</v>
      </c>
      <c r="AM385" t="str">
        <f>tbl_OriginalData[[#This Row],[Occupation]]</f>
        <v>Middle</v>
      </c>
      <c r="AN385" t="s">
        <v>973</v>
      </c>
      <c r="AO385" t="s">
        <v>103</v>
      </c>
      <c r="AP385" t="str">
        <f>tbl_OriginalData[[#This Row],[Purchase_Category]]</f>
        <v>Home Appliances</v>
      </c>
      <c r="AQ385" s="4">
        <f>tbl_OriginalData[[#This Row],[Purchase_Amount]]</f>
        <v>490.34</v>
      </c>
      <c r="AR385">
        <f>tbl_OriginalData[[#This Row],[Frequency_of_Purchase]]</f>
        <v>4</v>
      </c>
      <c r="AS385" t="str">
        <f>tbl_OriginalData[[#This Row],[Purchase_Channel]]</f>
        <v>In-Store</v>
      </c>
      <c r="AT385">
        <f>tbl_OriginalData[[#This Row],[Brand_Loyalty]]</f>
        <v>5</v>
      </c>
      <c r="AU385">
        <f>tbl_OriginalData[[#This Row],[Product_Rating]]</f>
        <v>2</v>
      </c>
      <c r="AV385">
        <f>tbl_OriginalData[[#This Row],[Time_Spent_on_Product_Research(hours)]]*60</f>
        <v>120</v>
      </c>
      <c r="AW385" t="str">
        <f>tbl_OriginalData[[#This Row],[Social_Media_Influence]]</f>
        <v>None</v>
      </c>
      <c r="AX385" t="str">
        <f>tbl_OriginalData[[#This Row],[Discount_Sensitivity]]</f>
        <v>Not Sensitive</v>
      </c>
      <c r="AY385" s="3">
        <f>tbl_OriginalData[[#This Row],[Return_Rate]]/tbl_OriginalData[[#This Row],[Frequency_of_Purchase]]</f>
        <v>0.5</v>
      </c>
      <c r="AZ385">
        <f>tbl_OriginalData[[#This Row],[Customer_Satisfaction]]</f>
        <v>7</v>
      </c>
      <c r="BA385" t="str">
        <f>tbl_OriginalData[[#This Row],[Engagement_with_Ads]]</f>
        <v>High</v>
      </c>
      <c r="BB385" t="str">
        <f>tbl_OriginalData[[#This Row],[Device_Used_for_Shopping]]</f>
        <v>Tablet</v>
      </c>
      <c r="BC385" t="str">
        <f>tbl_OriginalData[[#This Row],[Payment_Method]]</f>
        <v>Other</v>
      </c>
      <c r="BD385" s="1">
        <f>tbl_OriginalData[[#This Row],[Time_of_Purchase]]</f>
        <v>45399</v>
      </c>
      <c r="BE385" t="str">
        <f>IF(tbl_OriginalData[[#This Row],[Discount_Used]]=TRUE,"Yes","No")</f>
        <v>No</v>
      </c>
      <c r="BF385" t="str">
        <f>IF(tbl_OriginalData[[#This Row],[Customer_Loyalty_Program_Member]]=TRUE,"Yes","No")</f>
        <v>Yes</v>
      </c>
      <c r="BG385" t="str">
        <f>tbl_OriginalData[[#This Row],[Purchase_Intent]]</f>
        <v>Need-based</v>
      </c>
      <c r="BH385" t="str">
        <f>tbl_OriginalData[[#This Row],[Shipping_Preference]]</f>
        <v>No Preference</v>
      </c>
      <c r="BI385">
        <f>tbl_OriginalData[[#This Row],[Time_to_Decision]]</f>
        <v>2</v>
      </c>
      <c r="BJ385" t="s">
        <v>62</v>
      </c>
      <c r="BK385" t="s">
        <v>63</v>
      </c>
      <c r="BL385" t="s">
        <v>2523</v>
      </c>
    </row>
    <row r="386" spans="1:64">
      <c r="A386" t="s">
        <v>974</v>
      </c>
      <c r="B386">
        <v>38</v>
      </c>
      <c r="C386" t="s">
        <v>50</v>
      </c>
      <c r="D386" t="s">
        <v>51</v>
      </c>
      <c r="E386" t="s">
        <v>92</v>
      </c>
      <c r="F386" t="s">
        <v>36</v>
      </c>
      <c r="G386" t="s">
        <v>34</v>
      </c>
      <c r="H386" t="s">
        <v>975</v>
      </c>
      <c r="I386" t="s">
        <v>306</v>
      </c>
      <c r="J386">
        <v>245.98</v>
      </c>
      <c r="K386">
        <v>4</v>
      </c>
      <c r="L386" t="s">
        <v>39</v>
      </c>
      <c r="M386">
        <v>5</v>
      </c>
      <c r="N386">
        <v>1</v>
      </c>
      <c r="O386">
        <v>1</v>
      </c>
      <c r="P386" t="s">
        <v>51</v>
      </c>
      <c r="Q386" t="s">
        <v>57</v>
      </c>
      <c r="R386">
        <v>0</v>
      </c>
      <c r="S386">
        <v>1</v>
      </c>
      <c r="T386" t="s">
        <v>56</v>
      </c>
      <c r="U386" t="s">
        <v>95</v>
      </c>
      <c r="V386" t="s">
        <v>58</v>
      </c>
      <c r="W386" s="1">
        <v>45625</v>
      </c>
      <c r="X386" t="b">
        <v>0</v>
      </c>
      <c r="Y386" t="b">
        <v>0</v>
      </c>
      <c r="Z386" t="s">
        <v>89</v>
      </c>
      <c r="AA386" t="s">
        <v>60</v>
      </c>
      <c r="AB386">
        <v>10</v>
      </c>
      <c r="AF386" t="str">
        <f>tbl_OriginalData[[#This Row],[Customer_ID]]</f>
        <v>55-580-7707</v>
      </c>
      <c r="AG386">
        <f>tbl_OriginalData[[#This Row],[Age]]</f>
        <v>38</v>
      </c>
      <c r="AH386" t="str" cm="1">
        <f t="array" ref="AH38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86" t="str">
        <f>tbl_OriginalData[[#This Row],[Gender]]</f>
        <v>Male</v>
      </c>
      <c r="AJ386" t="str">
        <f>tbl_OriginalData[[#This Row],[Income_Level]]</f>
        <v>High</v>
      </c>
      <c r="AK386" t="str">
        <f>tbl_OriginalData[[#This Row],[Marital_Status]]</f>
        <v>Divorced</v>
      </c>
      <c r="AL386" t="str">
        <f>tbl_OriginalData[[#This Row],[Education_Level]]</f>
        <v>Bachelor's</v>
      </c>
      <c r="AM386" t="str">
        <f>tbl_OriginalData[[#This Row],[Occupation]]</f>
        <v>Middle</v>
      </c>
      <c r="AN386" t="s">
        <v>975</v>
      </c>
      <c r="AO386" t="s">
        <v>408</v>
      </c>
      <c r="AP386" t="str">
        <f>tbl_OriginalData[[#This Row],[Purchase_Category]]</f>
        <v>Jewelry &amp; Accessories</v>
      </c>
      <c r="AQ386" s="4">
        <f>tbl_OriginalData[[#This Row],[Purchase_Amount]]</f>
        <v>245.98</v>
      </c>
      <c r="AR386">
        <f>tbl_OriginalData[[#This Row],[Frequency_of_Purchase]]</f>
        <v>4</v>
      </c>
      <c r="AS386" t="str">
        <f>tbl_OriginalData[[#This Row],[Purchase_Channel]]</f>
        <v>Mixed</v>
      </c>
      <c r="AT386">
        <f>tbl_OriginalData[[#This Row],[Brand_Loyalty]]</f>
        <v>5</v>
      </c>
      <c r="AU386">
        <f>tbl_OriginalData[[#This Row],[Product_Rating]]</f>
        <v>1</v>
      </c>
      <c r="AV386">
        <f>tbl_OriginalData[[#This Row],[Time_Spent_on_Product_Research(hours)]]*60</f>
        <v>60</v>
      </c>
      <c r="AW386" t="str">
        <f>tbl_OriginalData[[#This Row],[Social_Media_Influence]]</f>
        <v>High</v>
      </c>
      <c r="AX386" t="str">
        <f>tbl_OriginalData[[#This Row],[Discount_Sensitivity]]</f>
        <v>Not Sensitive</v>
      </c>
      <c r="AY386" s="3">
        <f>tbl_OriginalData[[#This Row],[Return_Rate]]/tbl_OriginalData[[#This Row],[Frequency_of_Purchase]]</f>
        <v>0</v>
      </c>
      <c r="AZ386">
        <f>tbl_OriginalData[[#This Row],[Customer_Satisfaction]]</f>
        <v>1</v>
      </c>
      <c r="BA386" t="str">
        <f>tbl_OriginalData[[#This Row],[Engagement_with_Ads]]</f>
        <v>Medium</v>
      </c>
      <c r="BB386" t="str">
        <f>tbl_OriginalData[[#This Row],[Device_Used_for_Shopping]]</f>
        <v>Desktop</v>
      </c>
      <c r="BC386" t="str">
        <f>tbl_OriginalData[[#This Row],[Payment_Method]]</f>
        <v>PayPal</v>
      </c>
      <c r="BD386" s="1">
        <f>tbl_OriginalData[[#This Row],[Time_of_Purchase]]</f>
        <v>45625</v>
      </c>
      <c r="BE386" t="str">
        <f>IF(tbl_OriginalData[[#This Row],[Discount_Used]]=TRUE,"Yes","No")</f>
        <v>No</v>
      </c>
      <c r="BF386" t="str">
        <f>IF(tbl_OriginalData[[#This Row],[Customer_Loyalty_Program_Member]]=TRUE,"Yes","No")</f>
        <v>No</v>
      </c>
      <c r="BG386" t="str">
        <f>tbl_OriginalData[[#This Row],[Purchase_Intent]]</f>
        <v>Planned</v>
      </c>
      <c r="BH386" t="str">
        <f>tbl_OriginalData[[#This Row],[Shipping_Preference]]</f>
        <v>Standard</v>
      </c>
      <c r="BI386">
        <f>tbl_OriginalData[[#This Row],[Time_to_Decision]]</f>
        <v>10</v>
      </c>
      <c r="BJ386" t="s">
        <v>177</v>
      </c>
      <c r="BK386" t="s">
        <v>80</v>
      </c>
      <c r="BL386" t="s">
        <v>2523</v>
      </c>
    </row>
    <row r="387" spans="1:64">
      <c r="A387" t="s">
        <v>976</v>
      </c>
      <c r="B387">
        <v>45</v>
      </c>
      <c r="C387" t="s">
        <v>264</v>
      </c>
      <c r="D387" t="s">
        <v>34</v>
      </c>
      <c r="E387" t="s">
        <v>82</v>
      </c>
      <c r="F387" t="s">
        <v>52</v>
      </c>
      <c r="G387" t="s">
        <v>51</v>
      </c>
      <c r="H387" t="s">
        <v>977</v>
      </c>
      <c r="I387" t="s">
        <v>135</v>
      </c>
      <c r="J387">
        <v>390.83</v>
      </c>
      <c r="K387">
        <v>9</v>
      </c>
      <c r="L387" t="s">
        <v>94</v>
      </c>
      <c r="M387">
        <v>5</v>
      </c>
      <c r="N387">
        <v>5</v>
      </c>
      <c r="O387">
        <v>0</v>
      </c>
      <c r="P387" t="s">
        <v>56</v>
      </c>
      <c r="Q387" t="s">
        <v>41</v>
      </c>
      <c r="R387">
        <v>0</v>
      </c>
      <c r="S387">
        <v>5</v>
      </c>
      <c r="T387" t="s">
        <v>51</v>
      </c>
      <c r="U387" t="s">
        <v>95</v>
      </c>
      <c r="V387" t="s">
        <v>102</v>
      </c>
      <c r="W387" s="1">
        <v>45593</v>
      </c>
      <c r="X387" t="b">
        <v>0</v>
      </c>
      <c r="Y387" t="b">
        <v>1</v>
      </c>
      <c r="Z387" t="s">
        <v>72</v>
      </c>
      <c r="AA387" t="s">
        <v>45</v>
      </c>
      <c r="AB387">
        <v>8</v>
      </c>
      <c r="AF387" t="str">
        <f>tbl_OriginalData[[#This Row],[Customer_ID]]</f>
        <v>18-605-0795</v>
      </c>
      <c r="AG387">
        <f>tbl_OriginalData[[#This Row],[Age]]</f>
        <v>45</v>
      </c>
      <c r="AH387" t="str" cm="1">
        <f t="array" ref="AH38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87" t="str">
        <f>tbl_OriginalData[[#This Row],[Gender]]</f>
        <v>Polygender</v>
      </c>
      <c r="AJ387" t="str">
        <f>tbl_OriginalData[[#This Row],[Income_Level]]</f>
        <v>Middle</v>
      </c>
      <c r="AK387" t="str">
        <f>tbl_OriginalData[[#This Row],[Marital_Status]]</f>
        <v>Widowed</v>
      </c>
      <c r="AL387" t="str">
        <f>tbl_OriginalData[[#This Row],[Education_Level]]</f>
        <v>High School</v>
      </c>
      <c r="AM387" t="str">
        <f>tbl_OriginalData[[#This Row],[Occupation]]</f>
        <v>High</v>
      </c>
      <c r="AN387" t="s">
        <v>977</v>
      </c>
      <c r="AO387" t="s">
        <v>109</v>
      </c>
      <c r="AP387" t="str">
        <f>tbl_OriginalData[[#This Row],[Purchase_Category]]</f>
        <v>Hotels</v>
      </c>
      <c r="AQ387" s="4">
        <f>tbl_OriginalData[[#This Row],[Purchase_Amount]]</f>
        <v>390.83</v>
      </c>
      <c r="AR387">
        <f>tbl_OriginalData[[#This Row],[Frequency_of_Purchase]]</f>
        <v>9</v>
      </c>
      <c r="AS387" t="str">
        <f>tbl_OriginalData[[#This Row],[Purchase_Channel]]</f>
        <v>Online</v>
      </c>
      <c r="AT387">
        <f>tbl_OriginalData[[#This Row],[Brand_Loyalty]]</f>
        <v>5</v>
      </c>
      <c r="AU387">
        <f>tbl_OriginalData[[#This Row],[Product_Rating]]</f>
        <v>5</v>
      </c>
      <c r="AV387">
        <f>tbl_OriginalData[[#This Row],[Time_Spent_on_Product_Research(hours)]]*60</f>
        <v>0</v>
      </c>
      <c r="AW387" t="str">
        <f>tbl_OriginalData[[#This Row],[Social_Media_Influence]]</f>
        <v>Medium</v>
      </c>
      <c r="AX387" t="str">
        <f>tbl_OriginalData[[#This Row],[Discount_Sensitivity]]</f>
        <v>Somewhat Sensitive</v>
      </c>
      <c r="AY387" s="3">
        <f>tbl_OriginalData[[#This Row],[Return_Rate]]/tbl_OriginalData[[#This Row],[Frequency_of_Purchase]]</f>
        <v>0</v>
      </c>
      <c r="AZ387">
        <f>tbl_OriginalData[[#This Row],[Customer_Satisfaction]]</f>
        <v>5</v>
      </c>
      <c r="BA387" t="str">
        <f>tbl_OriginalData[[#This Row],[Engagement_with_Ads]]</f>
        <v>High</v>
      </c>
      <c r="BB387" t="str">
        <f>tbl_OriginalData[[#This Row],[Device_Used_for_Shopping]]</f>
        <v>Desktop</v>
      </c>
      <c r="BC387" t="str">
        <f>tbl_OriginalData[[#This Row],[Payment_Method]]</f>
        <v>Cash</v>
      </c>
      <c r="BD387" s="1">
        <f>tbl_OriginalData[[#This Row],[Time_of_Purchase]]</f>
        <v>45593</v>
      </c>
      <c r="BE387" t="str">
        <f>IF(tbl_OriginalData[[#This Row],[Discount_Used]]=TRUE,"Yes","No")</f>
        <v>No</v>
      </c>
      <c r="BF387" t="str">
        <f>IF(tbl_OriginalData[[#This Row],[Customer_Loyalty_Program_Member]]=TRUE,"Yes","No")</f>
        <v>Yes</v>
      </c>
      <c r="BG387" t="str">
        <f>tbl_OriginalData[[#This Row],[Purchase_Intent]]</f>
        <v>Impulsive</v>
      </c>
      <c r="BH387" t="str">
        <f>tbl_OriginalData[[#This Row],[Shipping_Preference]]</f>
        <v>No Preference</v>
      </c>
      <c r="BI387">
        <f>tbl_OriginalData[[#This Row],[Time_to_Decision]]</f>
        <v>8</v>
      </c>
      <c r="BJ387" t="s">
        <v>79</v>
      </c>
      <c r="BK387" t="s">
        <v>80</v>
      </c>
      <c r="BL387" t="s">
        <v>2526</v>
      </c>
    </row>
    <row r="388" spans="1:64">
      <c r="A388" t="s">
        <v>978</v>
      </c>
      <c r="B388">
        <v>49</v>
      </c>
      <c r="C388" t="s">
        <v>50</v>
      </c>
      <c r="D388" t="s">
        <v>51</v>
      </c>
      <c r="E388" t="s">
        <v>82</v>
      </c>
      <c r="F388" t="s">
        <v>52</v>
      </c>
      <c r="G388" t="s">
        <v>34</v>
      </c>
      <c r="H388" t="s">
        <v>979</v>
      </c>
      <c r="I388" t="s">
        <v>306</v>
      </c>
      <c r="J388">
        <v>158.84</v>
      </c>
      <c r="K388">
        <v>6</v>
      </c>
      <c r="L388" t="s">
        <v>94</v>
      </c>
      <c r="M388">
        <v>2</v>
      </c>
      <c r="N388">
        <v>1</v>
      </c>
      <c r="O388">
        <v>1</v>
      </c>
      <c r="P388" t="s">
        <v>40</v>
      </c>
      <c r="Q388" t="s">
        <v>57</v>
      </c>
      <c r="R388">
        <v>1</v>
      </c>
      <c r="S388">
        <v>8</v>
      </c>
      <c r="T388" t="s">
        <v>69</v>
      </c>
      <c r="U388" t="s">
        <v>95</v>
      </c>
      <c r="V388" t="s">
        <v>102</v>
      </c>
      <c r="W388" s="1">
        <v>45485</v>
      </c>
      <c r="X388" t="b">
        <v>1</v>
      </c>
      <c r="Y388" t="b">
        <v>1</v>
      </c>
      <c r="Z388" t="s">
        <v>44</v>
      </c>
      <c r="AA388" t="s">
        <v>77</v>
      </c>
      <c r="AB388">
        <v>5</v>
      </c>
      <c r="AF388" t="str">
        <f>tbl_OriginalData[[#This Row],[Customer_ID]]</f>
        <v>86-268-2904</v>
      </c>
      <c r="AG388">
        <f>tbl_OriginalData[[#This Row],[Age]]</f>
        <v>49</v>
      </c>
      <c r="AH388" t="str" cm="1">
        <f t="array" ref="AH38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88" t="str">
        <f>tbl_OriginalData[[#This Row],[Gender]]</f>
        <v>Male</v>
      </c>
      <c r="AJ388" t="str">
        <f>tbl_OriginalData[[#This Row],[Income_Level]]</f>
        <v>High</v>
      </c>
      <c r="AK388" t="str">
        <f>tbl_OriginalData[[#This Row],[Marital_Status]]</f>
        <v>Widowed</v>
      </c>
      <c r="AL388" t="str">
        <f>tbl_OriginalData[[#This Row],[Education_Level]]</f>
        <v>High School</v>
      </c>
      <c r="AM388" t="str">
        <f>tbl_OriginalData[[#This Row],[Occupation]]</f>
        <v>Middle</v>
      </c>
      <c r="AN388" t="s">
        <v>979</v>
      </c>
      <c r="AO388" t="s">
        <v>269</v>
      </c>
      <c r="AP388" t="str">
        <f>tbl_OriginalData[[#This Row],[Purchase_Category]]</f>
        <v>Jewelry &amp; Accessories</v>
      </c>
      <c r="AQ388" s="4">
        <f>tbl_OriginalData[[#This Row],[Purchase_Amount]]</f>
        <v>158.84</v>
      </c>
      <c r="AR388">
        <f>tbl_OriginalData[[#This Row],[Frequency_of_Purchase]]</f>
        <v>6</v>
      </c>
      <c r="AS388" t="str">
        <f>tbl_OriginalData[[#This Row],[Purchase_Channel]]</f>
        <v>Online</v>
      </c>
      <c r="AT388">
        <f>tbl_OriginalData[[#This Row],[Brand_Loyalty]]</f>
        <v>2</v>
      </c>
      <c r="AU388">
        <f>tbl_OriginalData[[#This Row],[Product_Rating]]</f>
        <v>1</v>
      </c>
      <c r="AV388">
        <f>tbl_OriginalData[[#This Row],[Time_Spent_on_Product_Research(hours)]]*60</f>
        <v>60</v>
      </c>
      <c r="AW388" t="str">
        <f>tbl_OriginalData[[#This Row],[Social_Media_Influence]]</f>
        <v>None</v>
      </c>
      <c r="AX388" t="str">
        <f>tbl_OriginalData[[#This Row],[Discount_Sensitivity]]</f>
        <v>Not Sensitive</v>
      </c>
      <c r="AY388" s="3">
        <f>tbl_OriginalData[[#This Row],[Return_Rate]]/tbl_OriginalData[[#This Row],[Frequency_of_Purchase]]</f>
        <v>0.16666666666666666</v>
      </c>
      <c r="AZ388">
        <f>tbl_OriginalData[[#This Row],[Customer_Satisfaction]]</f>
        <v>8</v>
      </c>
      <c r="BA388" t="str">
        <f>tbl_OriginalData[[#This Row],[Engagement_with_Ads]]</f>
        <v>Low</v>
      </c>
      <c r="BB388" t="str">
        <f>tbl_OriginalData[[#This Row],[Device_Used_for_Shopping]]</f>
        <v>Desktop</v>
      </c>
      <c r="BC388" t="str">
        <f>tbl_OriginalData[[#This Row],[Payment_Method]]</f>
        <v>Cash</v>
      </c>
      <c r="BD388" s="1">
        <f>tbl_OriginalData[[#This Row],[Time_of_Purchase]]</f>
        <v>45485</v>
      </c>
      <c r="BE388" t="str">
        <f>IF(tbl_OriginalData[[#This Row],[Discount_Used]]=TRUE,"Yes","No")</f>
        <v>Yes</v>
      </c>
      <c r="BF388" t="str">
        <f>IF(tbl_OriginalData[[#This Row],[Customer_Loyalty_Program_Member]]=TRUE,"Yes","No")</f>
        <v>Yes</v>
      </c>
      <c r="BG388" t="str">
        <f>tbl_OriginalData[[#This Row],[Purchase_Intent]]</f>
        <v>Need-based</v>
      </c>
      <c r="BH388" t="str">
        <f>tbl_OriginalData[[#This Row],[Shipping_Preference]]</f>
        <v>Express</v>
      </c>
      <c r="BI388">
        <f>tbl_OriginalData[[#This Row],[Time_to_Decision]]</f>
        <v>5</v>
      </c>
      <c r="BJ388" t="s">
        <v>114</v>
      </c>
      <c r="BK388" t="s">
        <v>115</v>
      </c>
      <c r="BL388" t="s">
        <v>2528</v>
      </c>
    </row>
    <row r="389" spans="1:64">
      <c r="A389" t="s">
        <v>980</v>
      </c>
      <c r="B389">
        <v>37</v>
      </c>
      <c r="C389" t="s">
        <v>50</v>
      </c>
      <c r="D389" t="s">
        <v>34</v>
      </c>
      <c r="E389" t="s">
        <v>65</v>
      </c>
      <c r="F389" t="s">
        <v>52</v>
      </c>
      <c r="G389" t="s">
        <v>34</v>
      </c>
      <c r="H389" t="s">
        <v>981</v>
      </c>
      <c r="I389" t="s">
        <v>153</v>
      </c>
      <c r="J389">
        <v>439.24</v>
      </c>
      <c r="K389">
        <v>8</v>
      </c>
      <c r="L389" t="s">
        <v>39</v>
      </c>
      <c r="M389">
        <v>3</v>
      </c>
      <c r="N389">
        <v>3</v>
      </c>
      <c r="O389">
        <v>1</v>
      </c>
      <c r="P389" t="s">
        <v>51</v>
      </c>
      <c r="Q389" t="s">
        <v>41</v>
      </c>
      <c r="R389">
        <v>2</v>
      </c>
      <c r="S389">
        <v>9</v>
      </c>
      <c r="T389" t="s">
        <v>56</v>
      </c>
      <c r="U389" t="s">
        <v>42</v>
      </c>
      <c r="V389" t="s">
        <v>76</v>
      </c>
      <c r="W389" s="1">
        <v>45499</v>
      </c>
      <c r="X389" t="b">
        <v>0</v>
      </c>
      <c r="Y389" t="b">
        <v>0</v>
      </c>
      <c r="Z389" t="s">
        <v>59</v>
      </c>
      <c r="AA389" t="s">
        <v>60</v>
      </c>
      <c r="AB389">
        <v>10</v>
      </c>
      <c r="AF389" t="str">
        <f>tbl_OriginalData[[#This Row],[Customer_ID]]</f>
        <v>75-847-7630</v>
      </c>
      <c r="AG389">
        <f>tbl_OriginalData[[#This Row],[Age]]</f>
        <v>37</v>
      </c>
      <c r="AH389" t="str" cm="1">
        <f t="array" ref="AH38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89" t="str">
        <f>tbl_OriginalData[[#This Row],[Gender]]</f>
        <v>Male</v>
      </c>
      <c r="AJ389" t="str">
        <f>tbl_OriginalData[[#This Row],[Income_Level]]</f>
        <v>Middle</v>
      </c>
      <c r="AK389" t="str">
        <f>tbl_OriginalData[[#This Row],[Marital_Status]]</f>
        <v>Single</v>
      </c>
      <c r="AL389" t="str">
        <f>tbl_OriginalData[[#This Row],[Education_Level]]</f>
        <v>High School</v>
      </c>
      <c r="AM389" t="str">
        <f>tbl_OriginalData[[#This Row],[Occupation]]</f>
        <v>Middle</v>
      </c>
      <c r="AN389" t="s">
        <v>981</v>
      </c>
      <c r="AO389" t="s">
        <v>194</v>
      </c>
      <c r="AP389" t="str">
        <f>tbl_OriginalData[[#This Row],[Purchase_Category]]</f>
        <v>Baby Products</v>
      </c>
      <c r="AQ389" s="4">
        <f>tbl_OriginalData[[#This Row],[Purchase_Amount]]</f>
        <v>439.24</v>
      </c>
      <c r="AR389">
        <f>tbl_OriginalData[[#This Row],[Frequency_of_Purchase]]</f>
        <v>8</v>
      </c>
      <c r="AS389" t="str">
        <f>tbl_OriginalData[[#This Row],[Purchase_Channel]]</f>
        <v>Mixed</v>
      </c>
      <c r="AT389">
        <f>tbl_OriginalData[[#This Row],[Brand_Loyalty]]</f>
        <v>3</v>
      </c>
      <c r="AU389">
        <f>tbl_OriginalData[[#This Row],[Product_Rating]]</f>
        <v>3</v>
      </c>
      <c r="AV389">
        <f>tbl_OriginalData[[#This Row],[Time_Spent_on_Product_Research(hours)]]*60</f>
        <v>60</v>
      </c>
      <c r="AW389" t="str">
        <f>tbl_OriginalData[[#This Row],[Social_Media_Influence]]</f>
        <v>High</v>
      </c>
      <c r="AX389" t="str">
        <f>tbl_OriginalData[[#This Row],[Discount_Sensitivity]]</f>
        <v>Somewhat Sensitive</v>
      </c>
      <c r="AY389" s="3">
        <f>tbl_OriginalData[[#This Row],[Return_Rate]]/tbl_OriginalData[[#This Row],[Frequency_of_Purchase]]</f>
        <v>0.25</v>
      </c>
      <c r="AZ389">
        <f>tbl_OriginalData[[#This Row],[Customer_Satisfaction]]</f>
        <v>9</v>
      </c>
      <c r="BA389" t="str">
        <f>tbl_OriginalData[[#This Row],[Engagement_with_Ads]]</f>
        <v>Medium</v>
      </c>
      <c r="BB389" t="str">
        <f>tbl_OriginalData[[#This Row],[Device_Used_for_Shopping]]</f>
        <v>Tablet</v>
      </c>
      <c r="BC389" t="str">
        <f>tbl_OriginalData[[#This Row],[Payment_Method]]</f>
        <v>Other</v>
      </c>
      <c r="BD389" s="1">
        <f>tbl_OriginalData[[#This Row],[Time_of_Purchase]]</f>
        <v>45499</v>
      </c>
      <c r="BE389" t="str">
        <f>IF(tbl_OriginalData[[#This Row],[Discount_Used]]=TRUE,"Yes","No")</f>
        <v>No</v>
      </c>
      <c r="BF389" t="str">
        <f>IF(tbl_OriginalData[[#This Row],[Customer_Loyalty_Program_Member]]=TRUE,"Yes","No")</f>
        <v>No</v>
      </c>
      <c r="BG389" t="str">
        <f>tbl_OriginalData[[#This Row],[Purchase_Intent]]</f>
        <v>Wants-based</v>
      </c>
      <c r="BH389" t="str">
        <f>tbl_OriginalData[[#This Row],[Shipping_Preference]]</f>
        <v>Standard</v>
      </c>
      <c r="BI389">
        <f>tbl_OriginalData[[#This Row],[Time_to_Decision]]</f>
        <v>10</v>
      </c>
      <c r="BJ389" t="s">
        <v>114</v>
      </c>
      <c r="BK389" t="s">
        <v>115</v>
      </c>
      <c r="BL389" t="s">
        <v>2524</v>
      </c>
    </row>
    <row r="390" spans="1:64">
      <c r="A390" t="s">
        <v>982</v>
      </c>
      <c r="B390">
        <v>23</v>
      </c>
      <c r="C390" t="s">
        <v>264</v>
      </c>
      <c r="D390" t="s">
        <v>34</v>
      </c>
      <c r="E390" t="s">
        <v>82</v>
      </c>
      <c r="F390" t="s">
        <v>66</v>
      </c>
      <c r="G390" t="s">
        <v>51</v>
      </c>
      <c r="H390" t="s">
        <v>983</v>
      </c>
      <c r="I390" t="s">
        <v>156</v>
      </c>
      <c r="J390">
        <v>92.43</v>
      </c>
      <c r="K390">
        <v>12</v>
      </c>
      <c r="L390" t="s">
        <v>39</v>
      </c>
      <c r="M390">
        <v>4</v>
      </c>
      <c r="N390">
        <v>1</v>
      </c>
      <c r="O390">
        <v>0</v>
      </c>
      <c r="P390" t="s">
        <v>56</v>
      </c>
      <c r="Q390" t="s">
        <v>41</v>
      </c>
      <c r="R390">
        <v>2</v>
      </c>
      <c r="S390">
        <v>9</v>
      </c>
      <c r="T390" t="s">
        <v>40</v>
      </c>
      <c r="U390" t="s">
        <v>70</v>
      </c>
      <c r="V390" t="s">
        <v>76</v>
      </c>
      <c r="W390" s="1">
        <v>45631</v>
      </c>
      <c r="X390" t="b">
        <v>0</v>
      </c>
      <c r="Y390" t="b">
        <v>1</v>
      </c>
      <c r="Z390" t="s">
        <v>44</v>
      </c>
      <c r="AA390" t="s">
        <v>60</v>
      </c>
      <c r="AB390">
        <v>6</v>
      </c>
      <c r="AF390" t="str">
        <f>tbl_OriginalData[[#This Row],[Customer_ID]]</f>
        <v>76-910-2337</v>
      </c>
      <c r="AG390">
        <f>tbl_OriginalData[[#This Row],[Age]]</f>
        <v>23</v>
      </c>
      <c r="AH390" t="str" cm="1">
        <f t="array" ref="AH39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90" t="str">
        <f>tbl_OriginalData[[#This Row],[Gender]]</f>
        <v>Polygender</v>
      </c>
      <c r="AJ390" t="str">
        <f>tbl_OriginalData[[#This Row],[Income_Level]]</f>
        <v>Middle</v>
      </c>
      <c r="AK390" t="str">
        <f>tbl_OriginalData[[#This Row],[Marital_Status]]</f>
        <v>Widowed</v>
      </c>
      <c r="AL390" t="str">
        <f>tbl_OriginalData[[#This Row],[Education_Level]]</f>
        <v>Master's</v>
      </c>
      <c r="AM390" t="str">
        <f>tbl_OriginalData[[#This Row],[Occupation]]</f>
        <v>High</v>
      </c>
      <c r="AN390" t="s">
        <v>983</v>
      </c>
      <c r="AO390" t="s">
        <v>90</v>
      </c>
      <c r="AP390" t="str">
        <f>tbl_OriginalData[[#This Row],[Purchase_Category]]</f>
        <v>Toys &amp; Games</v>
      </c>
      <c r="AQ390" s="4">
        <f>tbl_OriginalData[[#This Row],[Purchase_Amount]]</f>
        <v>92.43</v>
      </c>
      <c r="AR390">
        <f>tbl_OriginalData[[#This Row],[Frequency_of_Purchase]]</f>
        <v>12</v>
      </c>
      <c r="AS390" t="str">
        <f>tbl_OriginalData[[#This Row],[Purchase_Channel]]</f>
        <v>Mixed</v>
      </c>
      <c r="AT390">
        <f>tbl_OriginalData[[#This Row],[Brand_Loyalty]]</f>
        <v>4</v>
      </c>
      <c r="AU390">
        <f>tbl_OriginalData[[#This Row],[Product_Rating]]</f>
        <v>1</v>
      </c>
      <c r="AV390">
        <f>tbl_OriginalData[[#This Row],[Time_Spent_on_Product_Research(hours)]]*60</f>
        <v>0</v>
      </c>
      <c r="AW390" t="str">
        <f>tbl_OriginalData[[#This Row],[Social_Media_Influence]]</f>
        <v>Medium</v>
      </c>
      <c r="AX390" t="str">
        <f>tbl_OriginalData[[#This Row],[Discount_Sensitivity]]</f>
        <v>Somewhat Sensitive</v>
      </c>
      <c r="AY390" s="3">
        <f>tbl_OriginalData[[#This Row],[Return_Rate]]/tbl_OriginalData[[#This Row],[Frequency_of_Purchase]]</f>
        <v>0.16666666666666666</v>
      </c>
      <c r="AZ390">
        <f>tbl_OriginalData[[#This Row],[Customer_Satisfaction]]</f>
        <v>9</v>
      </c>
      <c r="BA390" t="str">
        <f>tbl_OriginalData[[#This Row],[Engagement_with_Ads]]</f>
        <v>None</v>
      </c>
      <c r="BB390" t="str">
        <f>tbl_OriginalData[[#This Row],[Device_Used_for_Shopping]]</f>
        <v>Smartphone</v>
      </c>
      <c r="BC390" t="str">
        <f>tbl_OriginalData[[#This Row],[Payment_Method]]</f>
        <v>Other</v>
      </c>
      <c r="BD390" s="1">
        <f>tbl_OriginalData[[#This Row],[Time_of_Purchase]]</f>
        <v>45631</v>
      </c>
      <c r="BE390" t="str">
        <f>IF(tbl_OriginalData[[#This Row],[Discount_Used]]=TRUE,"Yes","No")</f>
        <v>No</v>
      </c>
      <c r="BF390" t="str">
        <f>IF(tbl_OriginalData[[#This Row],[Customer_Loyalty_Program_Member]]=TRUE,"Yes","No")</f>
        <v>Yes</v>
      </c>
      <c r="BG390" t="str">
        <f>tbl_OriginalData[[#This Row],[Purchase_Intent]]</f>
        <v>Need-based</v>
      </c>
      <c r="BH390" t="str">
        <f>tbl_OriginalData[[#This Row],[Shipping_Preference]]</f>
        <v>Standard</v>
      </c>
      <c r="BI390">
        <f>tbl_OriginalData[[#This Row],[Time_to_Decision]]</f>
        <v>6</v>
      </c>
      <c r="BJ390" t="s">
        <v>120</v>
      </c>
      <c r="BK390" t="s">
        <v>80</v>
      </c>
      <c r="BL390" t="s">
        <v>2524</v>
      </c>
    </row>
    <row r="391" spans="1:64">
      <c r="A391" t="s">
        <v>984</v>
      </c>
      <c r="B391">
        <v>48</v>
      </c>
      <c r="C391" t="s">
        <v>33</v>
      </c>
      <c r="D391" t="s">
        <v>51</v>
      </c>
      <c r="E391" t="s">
        <v>35</v>
      </c>
      <c r="F391" t="s">
        <v>66</v>
      </c>
      <c r="G391" t="s">
        <v>34</v>
      </c>
      <c r="H391" t="s">
        <v>985</v>
      </c>
      <c r="I391" t="s">
        <v>229</v>
      </c>
      <c r="J391">
        <v>333.15</v>
      </c>
      <c r="K391">
        <v>9</v>
      </c>
      <c r="L391" t="s">
        <v>39</v>
      </c>
      <c r="M391">
        <v>1</v>
      </c>
      <c r="N391">
        <v>5</v>
      </c>
      <c r="O391">
        <v>1</v>
      </c>
      <c r="P391" t="s">
        <v>51</v>
      </c>
      <c r="Q391" t="s">
        <v>101</v>
      </c>
      <c r="R391">
        <v>1</v>
      </c>
      <c r="S391">
        <v>8</v>
      </c>
      <c r="T391" t="s">
        <v>51</v>
      </c>
      <c r="U391" t="s">
        <v>70</v>
      </c>
      <c r="V391" t="s">
        <v>76</v>
      </c>
      <c r="W391" s="1">
        <v>45516</v>
      </c>
      <c r="X391" t="b">
        <v>0</v>
      </c>
      <c r="Y391" t="b">
        <v>0</v>
      </c>
      <c r="Z391" t="s">
        <v>72</v>
      </c>
      <c r="AA391" t="s">
        <v>60</v>
      </c>
      <c r="AB391">
        <v>14</v>
      </c>
      <c r="AF391" t="str">
        <f>tbl_OriginalData[[#This Row],[Customer_ID]]</f>
        <v>56-719-7145</v>
      </c>
      <c r="AG391">
        <f>tbl_OriginalData[[#This Row],[Age]]</f>
        <v>48</v>
      </c>
      <c r="AH391" t="str" cm="1">
        <f t="array" ref="AH39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91" t="str">
        <f>tbl_OriginalData[[#This Row],[Gender]]</f>
        <v>Female</v>
      </c>
      <c r="AJ391" t="str">
        <f>tbl_OriginalData[[#This Row],[Income_Level]]</f>
        <v>High</v>
      </c>
      <c r="AK391" t="str">
        <f>tbl_OriginalData[[#This Row],[Marital_Status]]</f>
        <v>Married</v>
      </c>
      <c r="AL391" t="str">
        <f>tbl_OriginalData[[#This Row],[Education_Level]]</f>
        <v>Master's</v>
      </c>
      <c r="AM391" t="str">
        <f>tbl_OriginalData[[#This Row],[Occupation]]</f>
        <v>Middle</v>
      </c>
      <c r="AN391" t="s">
        <v>985</v>
      </c>
      <c r="AO391" t="s">
        <v>61</v>
      </c>
      <c r="AP391" t="str">
        <f>tbl_OriginalData[[#This Row],[Purchase_Category]]</f>
        <v>Clothing</v>
      </c>
      <c r="AQ391" s="4">
        <f>tbl_OriginalData[[#This Row],[Purchase_Amount]]</f>
        <v>333.15</v>
      </c>
      <c r="AR391">
        <f>tbl_OriginalData[[#This Row],[Frequency_of_Purchase]]</f>
        <v>9</v>
      </c>
      <c r="AS391" t="str">
        <f>tbl_OriginalData[[#This Row],[Purchase_Channel]]</f>
        <v>Mixed</v>
      </c>
      <c r="AT391">
        <f>tbl_OriginalData[[#This Row],[Brand_Loyalty]]</f>
        <v>1</v>
      </c>
      <c r="AU391">
        <f>tbl_OriginalData[[#This Row],[Product_Rating]]</f>
        <v>5</v>
      </c>
      <c r="AV391">
        <f>tbl_OriginalData[[#This Row],[Time_Spent_on_Product_Research(hours)]]*60</f>
        <v>60</v>
      </c>
      <c r="AW391" t="str">
        <f>tbl_OriginalData[[#This Row],[Social_Media_Influence]]</f>
        <v>High</v>
      </c>
      <c r="AX391" t="str">
        <f>tbl_OriginalData[[#This Row],[Discount_Sensitivity]]</f>
        <v>Very Sensitive</v>
      </c>
      <c r="AY391" s="3">
        <f>tbl_OriginalData[[#This Row],[Return_Rate]]/tbl_OriginalData[[#This Row],[Frequency_of_Purchase]]</f>
        <v>0.1111111111111111</v>
      </c>
      <c r="AZ391">
        <f>tbl_OriginalData[[#This Row],[Customer_Satisfaction]]</f>
        <v>8</v>
      </c>
      <c r="BA391" t="str">
        <f>tbl_OriginalData[[#This Row],[Engagement_with_Ads]]</f>
        <v>High</v>
      </c>
      <c r="BB391" t="str">
        <f>tbl_OriginalData[[#This Row],[Device_Used_for_Shopping]]</f>
        <v>Smartphone</v>
      </c>
      <c r="BC391" t="str">
        <f>tbl_OriginalData[[#This Row],[Payment_Method]]</f>
        <v>Other</v>
      </c>
      <c r="BD391" s="1">
        <f>tbl_OriginalData[[#This Row],[Time_of_Purchase]]</f>
        <v>45516</v>
      </c>
      <c r="BE391" t="str">
        <f>IF(tbl_OriginalData[[#This Row],[Discount_Used]]=TRUE,"Yes","No")</f>
        <v>No</v>
      </c>
      <c r="BF391" t="str">
        <f>IF(tbl_OriginalData[[#This Row],[Customer_Loyalty_Program_Member]]=TRUE,"Yes","No")</f>
        <v>No</v>
      </c>
      <c r="BG391" t="str">
        <f>tbl_OriginalData[[#This Row],[Purchase_Intent]]</f>
        <v>Impulsive</v>
      </c>
      <c r="BH391" t="str">
        <f>tbl_OriginalData[[#This Row],[Shipping_Preference]]</f>
        <v>Standard</v>
      </c>
      <c r="BI391">
        <f>tbl_OriginalData[[#This Row],[Time_to_Decision]]</f>
        <v>14</v>
      </c>
      <c r="BJ391" t="s">
        <v>124</v>
      </c>
      <c r="BK391" t="s">
        <v>115</v>
      </c>
      <c r="BL391" t="s">
        <v>2524</v>
      </c>
    </row>
    <row r="392" spans="1:64">
      <c r="A392" t="s">
        <v>986</v>
      </c>
      <c r="B392">
        <v>19</v>
      </c>
      <c r="C392" t="s">
        <v>50</v>
      </c>
      <c r="D392" t="s">
        <v>34</v>
      </c>
      <c r="E392" t="s">
        <v>92</v>
      </c>
      <c r="F392" t="s">
        <v>66</v>
      </c>
      <c r="G392" t="s">
        <v>34</v>
      </c>
      <c r="H392" t="s">
        <v>987</v>
      </c>
      <c r="I392" t="s">
        <v>123</v>
      </c>
      <c r="J392">
        <v>64.22</v>
      </c>
      <c r="K392">
        <v>9</v>
      </c>
      <c r="L392" t="s">
        <v>94</v>
      </c>
      <c r="M392">
        <v>1</v>
      </c>
      <c r="N392">
        <v>1</v>
      </c>
      <c r="O392">
        <v>2</v>
      </c>
      <c r="P392" t="s">
        <v>51</v>
      </c>
      <c r="Q392" t="s">
        <v>41</v>
      </c>
      <c r="R392">
        <v>1</v>
      </c>
      <c r="S392">
        <v>9</v>
      </c>
      <c r="T392" t="s">
        <v>56</v>
      </c>
      <c r="U392" t="s">
        <v>70</v>
      </c>
      <c r="V392" t="s">
        <v>58</v>
      </c>
      <c r="W392" s="1">
        <v>45293</v>
      </c>
      <c r="X392" t="b">
        <v>1</v>
      </c>
      <c r="Y392" t="b">
        <v>0</v>
      </c>
      <c r="Z392" t="s">
        <v>72</v>
      </c>
      <c r="AA392" t="s">
        <v>45</v>
      </c>
      <c r="AB392">
        <v>10</v>
      </c>
      <c r="AF392" t="str">
        <f>tbl_OriginalData[[#This Row],[Customer_ID]]</f>
        <v>14-025-2335</v>
      </c>
      <c r="AG392">
        <f>tbl_OriginalData[[#This Row],[Age]]</f>
        <v>19</v>
      </c>
      <c r="AH392" t="str" cm="1">
        <f t="array" ref="AH39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392" t="str">
        <f>tbl_OriginalData[[#This Row],[Gender]]</f>
        <v>Male</v>
      </c>
      <c r="AJ392" t="str">
        <f>tbl_OriginalData[[#This Row],[Income_Level]]</f>
        <v>Middle</v>
      </c>
      <c r="AK392" t="str">
        <f>tbl_OriginalData[[#This Row],[Marital_Status]]</f>
        <v>Divorced</v>
      </c>
      <c r="AL392" t="str">
        <f>tbl_OriginalData[[#This Row],[Education_Level]]</f>
        <v>Master's</v>
      </c>
      <c r="AM392" t="str">
        <f>tbl_OriginalData[[#This Row],[Occupation]]</f>
        <v>Middle</v>
      </c>
      <c r="AN392" t="s">
        <v>988</v>
      </c>
      <c r="AO392" t="s">
        <v>724</v>
      </c>
      <c r="AP392" t="str">
        <f>tbl_OriginalData[[#This Row],[Purchase_Category]]</f>
        <v>Luxury Goods</v>
      </c>
      <c r="AQ392" s="4">
        <f>tbl_OriginalData[[#This Row],[Purchase_Amount]]</f>
        <v>64.22</v>
      </c>
      <c r="AR392">
        <f>tbl_OriginalData[[#This Row],[Frequency_of_Purchase]]</f>
        <v>9</v>
      </c>
      <c r="AS392" t="str">
        <f>tbl_OriginalData[[#This Row],[Purchase_Channel]]</f>
        <v>Online</v>
      </c>
      <c r="AT392">
        <f>tbl_OriginalData[[#This Row],[Brand_Loyalty]]</f>
        <v>1</v>
      </c>
      <c r="AU392">
        <f>tbl_OriginalData[[#This Row],[Product_Rating]]</f>
        <v>1</v>
      </c>
      <c r="AV392">
        <f>tbl_OriginalData[[#This Row],[Time_Spent_on_Product_Research(hours)]]*60</f>
        <v>120</v>
      </c>
      <c r="AW392" t="str">
        <f>tbl_OriginalData[[#This Row],[Social_Media_Influence]]</f>
        <v>High</v>
      </c>
      <c r="AX392" t="str">
        <f>tbl_OriginalData[[#This Row],[Discount_Sensitivity]]</f>
        <v>Somewhat Sensitive</v>
      </c>
      <c r="AY392" s="3">
        <f>tbl_OriginalData[[#This Row],[Return_Rate]]/tbl_OriginalData[[#This Row],[Frequency_of_Purchase]]</f>
        <v>0.1111111111111111</v>
      </c>
      <c r="AZ392">
        <f>tbl_OriginalData[[#This Row],[Customer_Satisfaction]]</f>
        <v>9</v>
      </c>
      <c r="BA392" t="str">
        <f>tbl_OriginalData[[#This Row],[Engagement_with_Ads]]</f>
        <v>Medium</v>
      </c>
      <c r="BB392" t="str">
        <f>tbl_OriginalData[[#This Row],[Device_Used_for_Shopping]]</f>
        <v>Smartphone</v>
      </c>
      <c r="BC392" t="str">
        <f>tbl_OriginalData[[#This Row],[Payment_Method]]</f>
        <v>PayPal</v>
      </c>
      <c r="BD392" s="1">
        <f>tbl_OriginalData[[#This Row],[Time_of_Purchase]]</f>
        <v>45293</v>
      </c>
      <c r="BE392" t="str">
        <f>IF(tbl_OriginalData[[#This Row],[Discount_Used]]=TRUE,"Yes","No")</f>
        <v>Yes</v>
      </c>
      <c r="BF392" t="str">
        <f>IF(tbl_OriginalData[[#This Row],[Customer_Loyalty_Program_Member]]=TRUE,"Yes","No")</f>
        <v>No</v>
      </c>
      <c r="BG392" t="str">
        <f>tbl_OriginalData[[#This Row],[Purchase_Intent]]</f>
        <v>Impulsive</v>
      </c>
      <c r="BH392" t="str">
        <f>tbl_OriginalData[[#This Row],[Shipping_Preference]]</f>
        <v>No Preference</v>
      </c>
      <c r="BI392">
        <f>tbl_OriginalData[[#This Row],[Time_to_Decision]]</f>
        <v>10</v>
      </c>
      <c r="BJ392" t="s">
        <v>86</v>
      </c>
      <c r="BK392" t="s">
        <v>48</v>
      </c>
      <c r="BL392" t="s">
        <v>2524</v>
      </c>
    </row>
    <row r="393" spans="1:64">
      <c r="A393" t="s">
        <v>989</v>
      </c>
      <c r="B393">
        <v>46</v>
      </c>
      <c r="C393" t="s">
        <v>33</v>
      </c>
      <c r="D393" t="s">
        <v>51</v>
      </c>
      <c r="E393" t="s">
        <v>65</v>
      </c>
      <c r="F393" t="s">
        <v>52</v>
      </c>
      <c r="G393" t="s">
        <v>51</v>
      </c>
      <c r="H393" t="s">
        <v>990</v>
      </c>
      <c r="I393" t="s">
        <v>75</v>
      </c>
      <c r="J393">
        <v>290.52999999999997</v>
      </c>
      <c r="K393">
        <v>3</v>
      </c>
      <c r="L393" t="s">
        <v>94</v>
      </c>
      <c r="M393">
        <v>3</v>
      </c>
      <c r="N393">
        <v>2</v>
      </c>
      <c r="O393">
        <v>1</v>
      </c>
      <c r="P393" t="s">
        <v>69</v>
      </c>
      <c r="Q393" t="s">
        <v>101</v>
      </c>
      <c r="R393">
        <v>0</v>
      </c>
      <c r="S393">
        <v>6</v>
      </c>
      <c r="T393" t="s">
        <v>51</v>
      </c>
      <c r="U393" t="s">
        <v>95</v>
      </c>
      <c r="V393" t="s">
        <v>71</v>
      </c>
      <c r="W393" s="1">
        <v>45600</v>
      </c>
      <c r="X393" t="b">
        <v>1</v>
      </c>
      <c r="Y393" t="b">
        <v>0</v>
      </c>
      <c r="Z393" t="s">
        <v>89</v>
      </c>
      <c r="AA393" t="s">
        <v>45</v>
      </c>
      <c r="AB393">
        <v>10</v>
      </c>
      <c r="AF393" t="str">
        <f>tbl_OriginalData[[#This Row],[Customer_ID]]</f>
        <v>10-300-8072</v>
      </c>
      <c r="AG393">
        <f>tbl_OriginalData[[#This Row],[Age]]</f>
        <v>46</v>
      </c>
      <c r="AH393" t="str" cm="1">
        <f t="array" ref="AH39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93" t="str">
        <f>tbl_OriginalData[[#This Row],[Gender]]</f>
        <v>Female</v>
      </c>
      <c r="AJ393" t="str">
        <f>tbl_OriginalData[[#This Row],[Income_Level]]</f>
        <v>High</v>
      </c>
      <c r="AK393" t="str">
        <f>tbl_OriginalData[[#This Row],[Marital_Status]]</f>
        <v>Single</v>
      </c>
      <c r="AL393" t="str">
        <f>tbl_OriginalData[[#This Row],[Education_Level]]</f>
        <v>High School</v>
      </c>
      <c r="AM393" t="str">
        <f>tbl_OriginalData[[#This Row],[Occupation]]</f>
        <v>High</v>
      </c>
      <c r="AN393" t="s">
        <v>990</v>
      </c>
      <c r="AO393" t="s">
        <v>46</v>
      </c>
      <c r="AP393" t="str">
        <f>tbl_OriginalData[[#This Row],[Purchase_Category]]</f>
        <v>Home Appliances</v>
      </c>
      <c r="AQ393" s="4">
        <f>tbl_OriginalData[[#This Row],[Purchase_Amount]]</f>
        <v>290.52999999999997</v>
      </c>
      <c r="AR393">
        <f>tbl_OriginalData[[#This Row],[Frequency_of_Purchase]]</f>
        <v>3</v>
      </c>
      <c r="AS393" t="str">
        <f>tbl_OriginalData[[#This Row],[Purchase_Channel]]</f>
        <v>Online</v>
      </c>
      <c r="AT393">
        <f>tbl_OriginalData[[#This Row],[Brand_Loyalty]]</f>
        <v>3</v>
      </c>
      <c r="AU393">
        <f>tbl_OriginalData[[#This Row],[Product_Rating]]</f>
        <v>2</v>
      </c>
      <c r="AV393">
        <f>tbl_OriginalData[[#This Row],[Time_Spent_on_Product_Research(hours)]]*60</f>
        <v>60</v>
      </c>
      <c r="AW393" t="str">
        <f>tbl_OriginalData[[#This Row],[Social_Media_Influence]]</f>
        <v>Low</v>
      </c>
      <c r="AX393" t="str">
        <f>tbl_OriginalData[[#This Row],[Discount_Sensitivity]]</f>
        <v>Very Sensitive</v>
      </c>
      <c r="AY393" s="3">
        <f>tbl_OriginalData[[#This Row],[Return_Rate]]/tbl_OriginalData[[#This Row],[Frequency_of_Purchase]]</f>
        <v>0</v>
      </c>
      <c r="AZ393">
        <f>tbl_OriginalData[[#This Row],[Customer_Satisfaction]]</f>
        <v>6</v>
      </c>
      <c r="BA393" t="str">
        <f>tbl_OriginalData[[#This Row],[Engagement_with_Ads]]</f>
        <v>High</v>
      </c>
      <c r="BB393" t="str">
        <f>tbl_OriginalData[[#This Row],[Device_Used_for_Shopping]]</f>
        <v>Desktop</v>
      </c>
      <c r="BC393" t="str">
        <f>tbl_OriginalData[[#This Row],[Payment_Method]]</f>
        <v>Debit Card</v>
      </c>
      <c r="BD393" s="1">
        <f>tbl_OriginalData[[#This Row],[Time_of_Purchase]]</f>
        <v>45600</v>
      </c>
      <c r="BE393" t="str">
        <f>IF(tbl_OriginalData[[#This Row],[Discount_Used]]=TRUE,"Yes","No")</f>
        <v>Yes</v>
      </c>
      <c r="BF393" t="str">
        <f>IF(tbl_OriginalData[[#This Row],[Customer_Loyalty_Program_Member]]=TRUE,"Yes","No")</f>
        <v>No</v>
      </c>
      <c r="BG393" t="str">
        <f>tbl_OriginalData[[#This Row],[Purchase_Intent]]</f>
        <v>Planned</v>
      </c>
      <c r="BH393" t="str">
        <f>tbl_OriginalData[[#This Row],[Shipping_Preference]]</f>
        <v>No Preference</v>
      </c>
      <c r="BI393">
        <f>tbl_OriginalData[[#This Row],[Time_to_Decision]]</f>
        <v>10</v>
      </c>
      <c r="BJ393" t="s">
        <v>177</v>
      </c>
      <c r="BK393" t="s">
        <v>80</v>
      </c>
      <c r="BL393" t="s">
        <v>2523</v>
      </c>
    </row>
    <row r="394" spans="1:64">
      <c r="A394" t="s">
        <v>991</v>
      </c>
      <c r="B394">
        <v>39</v>
      </c>
      <c r="C394" t="s">
        <v>50</v>
      </c>
      <c r="D394" t="s">
        <v>34</v>
      </c>
      <c r="E394" t="s">
        <v>92</v>
      </c>
      <c r="F394" t="s">
        <v>36</v>
      </c>
      <c r="G394" t="s">
        <v>51</v>
      </c>
      <c r="H394" t="s">
        <v>992</v>
      </c>
      <c r="I394" t="s">
        <v>153</v>
      </c>
      <c r="J394">
        <v>251.8</v>
      </c>
      <c r="K394">
        <v>6</v>
      </c>
      <c r="L394" t="s">
        <v>39</v>
      </c>
      <c r="M394">
        <v>5</v>
      </c>
      <c r="N394">
        <v>1</v>
      </c>
      <c r="O394">
        <v>2</v>
      </c>
      <c r="P394" t="s">
        <v>51</v>
      </c>
      <c r="Q394" t="s">
        <v>101</v>
      </c>
      <c r="R394">
        <v>1</v>
      </c>
      <c r="S394">
        <v>8</v>
      </c>
      <c r="T394" t="s">
        <v>69</v>
      </c>
      <c r="U394" t="s">
        <v>70</v>
      </c>
      <c r="V394" t="s">
        <v>71</v>
      </c>
      <c r="W394" s="1">
        <v>45478</v>
      </c>
      <c r="X394" t="b">
        <v>1</v>
      </c>
      <c r="Y394" t="b">
        <v>1</v>
      </c>
      <c r="Z394" t="s">
        <v>72</v>
      </c>
      <c r="AA394" t="s">
        <v>45</v>
      </c>
      <c r="AB394">
        <v>11</v>
      </c>
      <c r="AF394" t="str">
        <f>tbl_OriginalData[[#This Row],[Customer_ID]]</f>
        <v>73-698-2326</v>
      </c>
      <c r="AG394">
        <f>tbl_OriginalData[[#This Row],[Age]]</f>
        <v>39</v>
      </c>
      <c r="AH394" t="str" cm="1">
        <f t="array" ref="AH39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394" t="str">
        <f>tbl_OriginalData[[#This Row],[Gender]]</f>
        <v>Male</v>
      </c>
      <c r="AJ394" t="str">
        <f>tbl_OriginalData[[#This Row],[Income_Level]]</f>
        <v>Middle</v>
      </c>
      <c r="AK394" t="str">
        <f>tbl_OriginalData[[#This Row],[Marital_Status]]</f>
        <v>Divorced</v>
      </c>
      <c r="AL394" t="str">
        <f>tbl_OriginalData[[#This Row],[Education_Level]]</f>
        <v>Bachelor's</v>
      </c>
      <c r="AM394" t="str">
        <f>tbl_OriginalData[[#This Row],[Occupation]]</f>
        <v>High</v>
      </c>
      <c r="AN394" t="s">
        <v>992</v>
      </c>
      <c r="AO394" t="s">
        <v>61</v>
      </c>
      <c r="AP394" t="str">
        <f>tbl_OriginalData[[#This Row],[Purchase_Category]]</f>
        <v>Baby Products</v>
      </c>
      <c r="AQ394" s="4">
        <f>tbl_OriginalData[[#This Row],[Purchase_Amount]]</f>
        <v>251.8</v>
      </c>
      <c r="AR394">
        <f>tbl_OriginalData[[#This Row],[Frequency_of_Purchase]]</f>
        <v>6</v>
      </c>
      <c r="AS394" t="str">
        <f>tbl_OriginalData[[#This Row],[Purchase_Channel]]</f>
        <v>Mixed</v>
      </c>
      <c r="AT394">
        <f>tbl_OriginalData[[#This Row],[Brand_Loyalty]]</f>
        <v>5</v>
      </c>
      <c r="AU394">
        <f>tbl_OriginalData[[#This Row],[Product_Rating]]</f>
        <v>1</v>
      </c>
      <c r="AV394">
        <f>tbl_OriginalData[[#This Row],[Time_Spent_on_Product_Research(hours)]]*60</f>
        <v>120</v>
      </c>
      <c r="AW394" t="str">
        <f>tbl_OriginalData[[#This Row],[Social_Media_Influence]]</f>
        <v>High</v>
      </c>
      <c r="AX394" t="str">
        <f>tbl_OriginalData[[#This Row],[Discount_Sensitivity]]</f>
        <v>Very Sensitive</v>
      </c>
      <c r="AY394" s="3">
        <f>tbl_OriginalData[[#This Row],[Return_Rate]]/tbl_OriginalData[[#This Row],[Frequency_of_Purchase]]</f>
        <v>0.16666666666666666</v>
      </c>
      <c r="AZ394">
        <f>tbl_OriginalData[[#This Row],[Customer_Satisfaction]]</f>
        <v>8</v>
      </c>
      <c r="BA394" t="str">
        <f>tbl_OriginalData[[#This Row],[Engagement_with_Ads]]</f>
        <v>Low</v>
      </c>
      <c r="BB394" t="str">
        <f>tbl_OriginalData[[#This Row],[Device_Used_for_Shopping]]</f>
        <v>Smartphone</v>
      </c>
      <c r="BC394" t="str">
        <f>tbl_OriginalData[[#This Row],[Payment_Method]]</f>
        <v>Debit Card</v>
      </c>
      <c r="BD394" s="1">
        <f>tbl_OriginalData[[#This Row],[Time_of_Purchase]]</f>
        <v>45478</v>
      </c>
      <c r="BE394" t="str">
        <f>IF(tbl_OriginalData[[#This Row],[Discount_Used]]=TRUE,"Yes","No")</f>
        <v>Yes</v>
      </c>
      <c r="BF394" t="str">
        <f>IF(tbl_OriginalData[[#This Row],[Customer_Loyalty_Program_Member]]=TRUE,"Yes","No")</f>
        <v>Yes</v>
      </c>
      <c r="BG394" t="str">
        <f>tbl_OriginalData[[#This Row],[Purchase_Intent]]</f>
        <v>Impulsive</v>
      </c>
      <c r="BH394" t="str">
        <f>tbl_OriginalData[[#This Row],[Shipping_Preference]]</f>
        <v>No Preference</v>
      </c>
      <c r="BI394">
        <f>tbl_OriginalData[[#This Row],[Time_to_Decision]]</f>
        <v>11</v>
      </c>
      <c r="BJ394" t="s">
        <v>114</v>
      </c>
      <c r="BK394" t="s">
        <v>115</v>
      </c>
      <c r="BL394" t="s">
        <v>2524</v>
      </c>
    </row>
    <row r="395" spans="1:64">
      <c r="A395" t="s">
        <v>993</v>
      </c>
      <c r="B395">
        <v>27</v>
      </c>
      <c r="C395" t="s">
        <v>264</v>
      </c>
      <c r="D395" t="s">
        <v>34</v>
      </c>
      <c r="E395" t="s">
        <v>92</v>
      </c>
      <c r="F395" t="s">
        <v>66</v>
      </c>
      <c r="G395" t="s">
        <v>34</v>
      </c>
      <c r="H395" t="s">
        <v>994</v>
      </c>
      <c r="I395" t="s">
        <v>108</v>
      </c>
      <c r="J395">
        <v>480.52</v>
      </c>
      <c r="K395">
        <v>3</v>
      </c>
      <c r="L395" t="s">
        <v>94</v>
      </c>
      <c r="M395">
        <v>5</v>
      </c>
      <c r="N395">
        <v>4</v>
      </c>
      <c r="O395">
        <v>2</v>
      </c>
      <c r="P395" t="s">
        <v>69</v>
      </c>
      <c r="Q395" t="s">
        <v>41</v>
      </c>
      <c r="R395">
        <v>1</v>
      </c>
      <c r="S395">
        <v>5</v>
      </c>
      <c r="T395" t="s">
        <v>40</v>
      </c>
      <c r="U395" t="s">
        <v>70</v>
      </c>
      <c r="V395" t="s">
        <v>102</v>
      </c>
      <c r="W395" s="1">
        <v>45412</v>
      </c>
      <c r="X395" t="b">
        <v>0</v>
      </c>
      <c r="Y395" t="b">
        <v>0</v>
      </c>
      <c r="Z395" t="s">
        <v>89</v>
      </c>
      <c r="AA395" t="s">
        <v>45</v>
      </c>
      <c r="AB395">
        <v>13</v>
      </c>
      <c r="AF395" t="str">
        <f>tbl_OriginalData[[#This Row],[Customer_ID]]</f>
        <v>01-023-2094</v>
      </c>
      <c r="AG395">
        <f>tbl_OriginalData[[#This Row],[Age]]</f>
        <v>27</v>
      </c>
      <c r="AH395" t="str" cm="1">
        <f t="array" ref="AH39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95" t="str">
        <f>tbl_OriginalData[[#This Row],[Gender]]</f>
        <v>Polygender</v>
      </c>
      <c r="AJ395" t="str">
        <f>tbl_OriginalData[[#This Row],[Income_Level]]</f>
        <v>Middle</v>
      </c>
      <c r="AK395" t="str">
        <f>tbl_OriginalData[[#This Row],[Marital_Status]]</f>
        <v>Divorced</v>
      </c>
      <c r="AL395" t="str">
        <f>tbl_OriginalData[[#This Row],[Education_Level]]</f>
        <v>Master's</v>
      </c>
      <c r="AM395" t="str">
        <f>tbl_OriginalData[[#This Row],[Occupation]]</f>
        <v>Middle</v>
      </c>
      <c r="AN395" t="s">
        <v>994</v>
      </c>
      <c r="AO395" t="s">
        <v>90</v>
      </c>
      <c r="AP395" t="str">
        <f>tbl_OriginalData[[#This Row],[Purchase_Category]]</f>
        <v>Sports &amp; Outdoors</v>
      </c>
      <c r="AQ395" s="4">
        <f>tbl_OriginalData[[#This Row],[Purchase_Amount]]</f>
        <v>480.52</v>
      </c>
      <c r="AR395">
        <f>tbl_OriginalData[[#This Row],[Frequency_of_Purchase]]</f>
        <v>3</v>
      </c>
      <c r="AS395" t="str">
        <f>tbl_OriginalData[[#This Row],[Purchase_Channel]]</f>
        <v>Online</v>
      </c>
      <c r="AT395">
        <f>tbl_OriginalData[[#This Row],[Brand_Loyalty]]</f>
        <v>5</v>
      </c>
      <c r="AU395">
        <f>tbl_OriginalData[[#This Row],[Product_Rating]]</f>
        <v>4</v>
      </c>
      <c r="AV395">
        <f>tbl_OriginalData[[#This Row],[Time_Spent_on_Product_Research(hours)]]*60</f>
        <v>120</v>
      </c>
      <c r="AW395" t="str">
        <f>tbl_OriginalData[[#This Row],[Social_Media_Influence]]</f>
        <v>Low</v>
      </c>
      <c r="AX395" t="str">
        <f>tbl_OriginalData[[#This Row],[Discount_Sensitivity]]</f>
        <v>Somewhat Sensitive</v>
      </c>
      <c r="AY395" s="3">
        <f>tbl_OriginalData[[#This Row],[Return_Rate]]/tbl_OriginalData[[#This Row],[Frequency_of_Purchase]]</f>
        <v>0.33333333333333331</v>
      </c>
      <c r="AZ395">
        <f>tbl_OriginalData[[#This Row],[Customer_Satisfaction]]</f>
        <v>5</v>
      </c>
      <c r="BA395" t="str">
        <f>tbl_OriginalData[[#This Row],[Engagement_with_Ads]]</f>
        <v>None</v>
      </c>
      <c r="BB395" t="str">
        <f>tbl_OriginalData[[#This Row],[Device_Used_for_Shopping]]</f>
        <v>Smartphone</v>
      </c>
      <c r="BC395" t="str">
        <f>tbl_OriginalData[[#This Row],[Payment_Method]]</f>
        <v>Cash</v>
      </c>
      <c r="BD395" s="1">
        <f>tbl_OriginalData[[#This Row],[Time_of_Purchase]]</f>
        <v>45412</v>
      </c>
      <c r="BE395" t="str">
        <f>IF(tbl_OriginalData[[#This Row],[Discount_Used]]=TRUE,"Yes","No")</f>
        <v>No</v>
      </c>
      <c r="BF395" t="str">
        <f>IF(tbl_OriginalData[[#This Row],[Customer_Loyalty_Program_Member]]=TRUE,"Yes","No")</f>
        <v>No</v>
      </c>
      <c r="BG395" t="str">
        <f>tbl_OriginalData[[#This Row],[Purchase_Intent]]</f>
        <v>Planned</v>
      </c>
      <c r="BH395" t="str">
        <f>tbl_OriginalData[[#This Row],[Shipping_Preference]]</f>
        <v>No Preference</v>
      </c>
      <c r="BI395">
        <f>tbl_OriginalData[[#This Row],[Time_to_Decision]]</f>
        <v>13</v>
      </c>
      <c r="BJ395" t="s">
        <v>62</v>
      </c>
      <c r="BK395" t="s">
        <v>63</v>
      </c>
      <c r="BL395" t="s">
        <v>2524</v>
      </c>
    </row>
    <row r="396" spans="1:64">
      <c r="A396" t="s">
        <v>995</v>
      </c>
      <c r="B396">
        <v>28</v>
      </c>
      <c r="C396" t="s">
        <v>33</v>
      </c>
      <c r="D396" t="s">
        <v>34</v>
      </c>
      <c r="E396" t="s">
        <v>35</v>
      </c>
      <c r="F396" t="s">
        <v>52</v>
      </c>
      <c r="G396" t="s">
        <v>51</v>
      </c>
      <c r="H396" t="s">
        <v>996</v>
      </c>
      <c r="I396" t="s">
        <v>143</v>
      </c>
      <c r="J396">
        <v>461.71</v>
      </c>
      <c r="K396">
        <v>10</v>
      </c>
      <c r="L396" t="s">
        <v>39</v>
      </c>
      <c r="M396">
        <v>3</v>
      </c>
      <c r="N396">
        <v>1</v>
      </c>
      <c r="O396">
        <v>0</v>
      </c>
      <c r="P396" t="s">
        <v>69</v>
      </c>
      <c r="Q396" t="s">
        <v>57</v>
      </c>
      <c r="R396">
        <v>0</v>
      </c>
      <c r="S396">
        <v>9</v>
      </c>
      <c r="T396" t="s">
        <v>51</v>
      </c>
      <c r="U396" t="s">
        <v>70</v>
      </c>
      <c r="V396" t="s">
        <v>102</v>
      </c>
      <c r="W396" s="1">
        <v>45338</v>
      </c>
      <c r="X396" t="b">
        <v>0</v>
      </c>
      <c r="Y396" t="b">
        <v>0</v>
      </c>
      <c r="Z396" t="s">
        <v>89</v>
      </c>
      <c r="AA396" t="s">
        <v>60</v>
      </c>
      <c r="AB396">
        <v>11</v>
      </c>
      <c r="AF396" t="str">
        <f>tbl_OriginalData[[#This Row],[Customer_ID]]</f>
        <v>65-359-4645</v>
      </c>
      <c r="AG396">
        <f>tbl_OriginalData[[#This Row],[Age]]</f>
        <v>28</v>
      </c>
      <c r="AH396" t="str" cm="1">
        <f t="array" ref="AH39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96" t="str">
        <f>tbl_OriginalData[[#This Row],[Gender]]</f>
        <v>Female</v>
      </c>
      <c r="AJ396" t="str">
        <f>tbl_OriginalData[[#This Row],[Income_Level]]</f>
        <v>Middle</v>
      </c>
      <c r="AK396" t="str">
        <f>tbl_OriginalData[[#This Row],[Marital_Status]]</f>
        <v>Married</v>
      </c>
      <c r="AL396" t="str">
        <f>tbl_OriginalData[[#This Row],[Education_Level]]</f>
        <v>High School</v>
      </c>
      <c r="AM396" t="str">
        <f>tbl_OriginalData[[#This Row],[Occupation]]</f>
        <v>High</v>
      </c>
      <c r="AN396" t="s">
        <v>996</v>
      </c>
      <c r="AO396" t="s">
        <v>61</v>
      </c>
      <c r="AP396" t="str">
        <f>tbl_OriginalData[[#This Row],[Purchase_Category]]</f>
        <v>Packages)</v>
      </c>
      <c r="AQ396" s="4">
        <f>tbl_OriginalData[[#This Row],[Purchase_Amount]]</f>
        <v>461.71</v>
      </c>
      <c r="AR396">
        <f>tbl_OriginalData[[#This Row],[Frequency_of_Purchase]]</f>
        <v>10</v>
      </c>
      <c r="AS396" t="str">
        <f>tbl_OriginalData[[#This Row],[Purchase_Channel]]</f>
        <v>Mixed</v>
      </c>
      <c r="AT396">
        <f>tbl_OriginalData[[#This Row],[Brand_Loyalty]]</f>
        <v>3</v>
      </c>
      <c r="AU396">
        <f>tbl_OriginalData[[#This Row],[Product_Rating]]</f>
        <v>1</v>
      </c>
      <c r="AV396">
        <f>tbl_OriginalData[[#This Row],[Time_Spent_on_Product_Research(hours)]]*60</f>
        <v>0</v>
      </c>
      <c r="AW396" t="str">
        <f>tbl_OriginalData[[#This Row],[Social_Media_Influence]]</f>
        <v>Low</v>
      </c>
      <c r="AX396" t="str">
        <f>tbl_OriginalData[[#This Row],[Discount_Sensitivity]]</f>
        <v>Not Sensitive</v>
      </c>
      <c r="AY396" s="3">
        <f>tbl_OriginalData[[#This Row],[Return_Rate]]/tbl_OriginalData[[#This Row],[Frequency_of_Purchase]]</f>
        <v>0</v>
      </c>
      <c r="AZ396">
        <f>tbl_OriginalData[[#This Row],[Customer_Satisfaction]]</f>
        <v>9</v>
      </c>
      <c r="BA396" t="str">
        <f>tbl_OriginalData[[#This Row],[Engagement_with_Ads]]</f>
        <v>High</v>
      </c>
      <c r="BB396" t="str">
        <f>tbl_OriginalData[[#This Row],[Device_Used_for_Shopping]]</f>
        <v>Smartphone</v>
      </c>
      <c r="BC396" t="str">
        <f>tbl_OriginalData[[#This Row],[Payment_Method]]</f>
        <v>Cash</v>
      </c>
      <c r="BD396" s="1">
        <f>tbl_OriginalData[[#This Row],[Time_of_Purchase]]</f>
        <v>45338</v>
      </c>
      <c r="BE396" t="str">
        <f>IF(tbl_OriginalData[[#This Row],[Discount_Used]]=TRUE,"Yes","No")</f>
        <v>No</v>
      </c>
      <c r="BF396" t="str">
        <f>IF(tbl_OriginalData[[#This Row],[Customer_Loyalty_Program_Member]]=TRUE,"Yes","No")</f>
        <v>No</v>
      </c>
      <c r="BG396" t="str">
        <f>tbl_OriginalData[[#This Row],[Purchase_Intent]]</f>
        <v>Planned</v>
      </c>
      <c r="BH396" t="str">
        <f>tbl_OriginalData[[#This Row],[Shipping_Preference]]</f>
        <v>Standard</v>
      </c>
      <c r="BI396">
        <f>tbl_OriginalData[[#This Row],[Time_to_Decision]]</f>
        <v>11</v>
      </c>
      <c r="BJ396" t="s">
        <v>158</v>
      </c>
      <c r="BK396" t="s">
        <v>48</v>
      </c>
      <c r="BL396" t="s">
        <v>2524</v>
      </c>
    </row>
    <row r="397" spans="1:64">
      <c r="A397" t="s">
        <v>997</v>
      </c>
      <c r="B397">
        <v>50</v>
      </c>
      <c r="C397" t="s">
        <v>33</v>
      </c>
      <c r="D397" t="s">
        <v>51</v>
      </c>
      <c r="E397" t="s">
        <v>35</v>
      </c>
      <c r="F397" t="s">
        <v>52</v>
      </c>
      <c r="G397" t="s">
        <v>34</v>
      </c>
      <c r="H397" t="s">
        <v>998</v>
      </c>
      <c r="I397" t="s">
        <v>150</v>
      </c>
      <c r="J397">
        <v>288.33999999999997</v>
      </c>
      <c r="K397">
        <v>12</v>
      </c>
      <c r="L397" t="s">
        <v>39</v>
      </c>
      <c r="M397">
        <v>5</v>
      </c>
      <c r="N397">
        <v>2</v>
      </c>
      <c r="O397">
        <v>2</v>
      </c>
      <c r="P397" t="s">
        <v>40</v>
      </c>
      <c r="Q397" t="s">
        <v>101</v>
      </c>
      <c r="R397">
        <v>0</v>
      </c>
      <c r="S397">
        <v>8</v>
      </c>
      <c r="T397" t="s">
        <v>69</v>
      </c>
      <c r="U397" t="s">
        <v>42</v>
      </c>
      <c r="V397" t="s">
        <v>102</v>
      </c>
      <c r="W397" s="1">
        <v>45371</v>
      </c>
      <c r="X397" t="b">
        <v>0</v>
      </c>
      <c r="Y397" t="b">
        <v>0</v>
      </c>
      <c r="Z397" t="s">
        <v>44</v>
      </c>
      <c r="AA397" t="s">
        <v>77</v>
      </c>
      <c r="AB397">
        <v>6</v>
      </c>
      <c r="AF397" t="str">
        <f>tbl_OriginalData[[#This Row],[Customer_ID]]</f>
        <v>33-405-7978</v>
      </c>
      <c r="AG397">
        <f>tbl_OriginalData[[#This Row],[Age]]</f>
        <v>50</v>
      </c>
      <c r="AH397" t="str" cm="1">
        <f t="array" ref="AH39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397" t="str">
        <f>tbl_OriginalData[[#This Row],[Gender]]</f>
        <v>Female</v>
      </c>
      <c r="AJ397" t="str">
        <f>tbl_OriginalData[[#This Row],[Income_Level]]</f>
        <v>High</v>
      </c>
      <c r="AK397" t="str">
        <f>tbl_OriginalData[[#This Row],[Marital_Status]]</f>
        <v>Married</v>
      </c>
      <c r="AL397" t="str">
        <f>tbl_OriginalData[[#This Row],[Education_Level]]</f>
        <v>High School</v>
      </c>
      <c r="AM397" t="str">
        <f>tbl_OriginalData[[#This Row],[Occupation]]</f>
        <v>Middle</v>
      </c>
      <c r="AN397" t="s">
        <v>998</v>
      </c>
      <c r="AO397" t="s">
        <v>90</v>
      </c>
      <c r="AP397" t="str">
        <f>tbl_OriginalData[[#This Row],[Purchase_Category]]</f>
        <v>Software &amp; Apps</v>
      </c>
      <c r="AQ397" s="4">
        <f>tbl_OriginalData[[#This Row],[Purchase_Amount]]</f>
        <v>288.33999999999997</v>
      </c>
      <c r="AR397">
        <f>tbl_OriginalData[[#This Row],[Frequency_of_Purchase]]</f>
        <v>12</v>
      </c>
      <c r="AS397" t="str">
        <f>tbl_OriginalData[[#This Row],[Purchase_Channel]]</f>
        <v>Mixed</v>
      </c>
      <c r="AT397">
        <f>tbl_OriginalData[[#This Row],[Brand_Loyalty]]</f>
        <v>5</v>
      </c>
      <c r="AU397">
        <f>tbl_OriginalData[[#This Row],[Product_Rating]]</f>
        <v>2</v>
      </c>
      <c r="AV397">
        <f>tbl_OriginalData[[#This Row],[Time_Spent_on_Product_Research(hours)]]*60</f>
        <v>120</v>
      </c>
      <c r="AW397" t="str">
        <f>tbl_OriginalData[[#This Row],[Social_Media_Influence]]</f>
        <v>None</v>
      </c>
      <c r="AX397" t="str">
        <f>tbl_OriginalData[[#This Row],[Discount_Sensitivity]]</f>
        <v>Very Sensitive</v>
      </c>
      <c r="AY397" s="3">
        <f>tbl_OriginalData[[#This Row],[Return_Rate]]/tbl_OriginalData[[#This Row],[Frequency_of_Purchase]]</f>
        <v>0</v>
      </c>
      <c r="AZ397">
        <f>tbl_OriginalData[[#This Row],[Customer_Satisfaction]]</f>
        <v>8</v>
      </c>
      <c r="BA397" t="str">
        <f>tbl_OriginalData[[#This Row],[Engagement_with_Ads]]</f>
        <v>Low</v>
      </c>
      <c r="BB397" t="str">
        <f>tbl_OriginalData[[#This Row],[Device_Used_for_Shopping]]</f>
        <v>Tablet</v>
      </c>
      <c r="BC397" t="str">
        <f>tbl_OriginalData[[#This Row],[Payment_Method]]</f>
        <v>Cash</v>
      </c>
      <c r="BD397" s="1">
        <f>tbl_OriginalData[[#This Row],[Time_of_Purchase]]</f>
        <v>45371</v>
      </c>
      <c r="BE397" t="str">
        <f>IF(tbl_OriginalData[[#This Row],[Discount_Used]]=TRUE,"Yes","No")</f>
        <v>No</v>
      </c>
      <c r="BF397" t="str">
        <f>IF(tbl_OriginalData[[#This Row],[Customer_Loyalty_Program_Member]]=TRUE,"Yes","No")</f>
        <v>No</v>
      </c>
      <c r="BG397" t="str">
        <f>tbl_OriginalData[[#This Row],[Purchase_Intent]]</f>
        <v>Need-based</v>
      </c>
      <c r="BH397" t="str">
        <f>tbl_OriginalData[[#This Row],[Shipping_Preference]]</f>
        <v>Express</v>
      </c>
      <c r="BI397">
        <f>tbl_OriginalData[[#This Row],[Time_to_Decision]]</f>
        <v>6</v>
      </c>
      <c r="BJ397" t="s">
        <v>47</v>
      </c>
      <c r="BK397" t="s">
        <v>48</v>
      </c>
      <c r="BL397" t="s">
        <v>2524</v>
      </c>
    </row>
    <row r="398" spans="1:64">
      <c r="A398" t="s">
        <v>999</v>
      </c>
      <c r="B398">
        <v>19</v>
      </c>
      <c r="C398" t="s">
        <v>33</v>
      </c>
      <c r="D398" t="s">
        <v>51</v>
      </c>
      <c r="E398" t="s">
        <v>92</v>
      </c>
      <c r="F398" t="s">
        <v>36</v>
      </c>
      <c r="G398" t="s">
        <v>51</v>
      </c>
      <c r="H398" t="s">
        <v>1000</v>
      </c>
      <c r="I398" t="s">
        <v>38</v>
      </c>
      <c r="J398">
        <v>194.08</v>
      </c>
      <c r="K398">
        <v>3</v>
      </c>
      <c r="L398" t="s">
        <v>55</v>
      </c>
      <c r="M398">
        <v>5</v>
      </c>
      <c r="N398">
        <v>5</v>
      </c>
      <c r="O398">
        <v>1</v>
      </c>
      <c r="P398" t="s">
        <v>69</v>
      </c>
      <c r="Q398" t="s">
        <v>57</v>
      </c>
      <c r="R398">
        <v>0</v>
      </c>
      <c r="S398">
        <v>2</v>
      </c>
      <c r="T398" t="s">
        <v>40</v>
      </c>
      <c r="U398" t="s">
        <v>70</v>
      </c>
      <c r="V398" t="s">
        <v>58</v>
      </c>
      <c r="W398" s="1">
        <v>45592</v>
      </c>
      <c r="X398" t="b">
        <v>1</v>
      </c>
      <c r="Y398" t="b">
        <v>1</v>
      </c>
      <c r="Z398" t="s">
        <v>59</v>
      </c>
      <c r="AA398" t="s">
        <v>60</v>
      </c>
      <c r="AB398">
        <v>13</v>
      </c>
      <c r="AF398" t="str">
        <f>tbl_OriginalData[[#This Row],[Customer_ID]]</f>
        <v>09-783-7921</v>
      </c>
      <c r="AG398">
        <f>tbl_OriginalData[[#This Row],[Age]]</f>
        <v>19</v>
      </c>
      <c r="AH398" t="str" cm="1">
        <f t="array" ref="AH39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398" t="str">
        <f>tbl_OriginalData[[#This Row],[Gender]]</f>
        <v>Female</v>
      </c>
      <c r="AJ398" t="str">
        <f>tbl_OriginalData[[#This Row],[Income_Level]]</f>
        <v>High</v>
      </c>
      <c r="AK398" t="str">
        <f>tbl_OriginalData[[#This Row],[Marital_Status]]</f>
        <v>Divorced</v>
      </c>
      <c r="AL398" t="str">
        <f>tbl_OriginalData[[#This Row],[Education_Level]]</f>
        <v>Bachelor's</v>
      </c>
      <c r="AM398" t="str">
        <f>tbl_OriginalData[[#This Row],[Occupation]]</f>
        <v>High</v>
      </c>
      <c r="AN398" t="s">
        <v>1000</v>
      </c>
      <c r="AO398" t="s">
        <v>469</v>
      </c>
      <c r="AP398" t="str">
        <f>tbl_OriginalData[[#This Row],[Purchase_Category]]</f>
        <v>Gardening &amp; Outdoors</v>
      </c>
      <c r="AQ398" s="4">
        <f>tbl_OriginalData[[#This Row],[Purchase_Amount]]</f>
        <v>194.08</v>
      </c>
      <c r="AR398">
        <f>tbl_OriginalData[[#This Row],[Frequency_of_Purchase]]</f>
        <v>3</v>
      </c>
      <c r="AS398" t="str">
        <f>tbl_OriginalData[[#This Row],[Purchase_Channel]]</f>
        <v>In-Store</v>
      </c>
      <c r="AT398">
        <f>tbl_OriginalData[[#This Row],[Brand_Loyalty]]</f>
        <v>5</v>
      </c>
      <c r="AU398">
        <f>tbl_OriginalData[[#This Row],[Product_Rating]]</f>
        <v>5</v>
      </c>
      <c r="AV398">
        <f>tbl_OriginalData[[#This Row],[Time_Spent_on_Product_Research(hours)]]*60</f>
        <v>60</v>
      </c>
      <c r="AW398" t="str">
        <f>tbl_OriginalData[[#This Row],[Social_Media_Influence]]</f>
        <v>Low</v>
      </c>
      <c r="AX398" t="str">
        <f>tbl_OriginalData[[#This Row],[Discount_Sensitivity]]</f>
        <v>Not Sensitive</v>
      </c>
      <c r="AY398" s="3">
        <f>tbl_OriginalData[[#This Row],[Return_Rate]]/tbl_OriginalData[[#This Row],[Frequency_of_Purchase]]</f>
        <v>0</v>
      </c>
      <c r="AZ398">
        <f>tbl_OriginalData[[#This Row],[Customer_Satisfaction]]</f>
        <v>2</v>
      </c>
      <c r="BA398" t="str">
        <f>tbl_OriginalData[[#This Row],[Engagement_with_Ads]]</f>
        <v>None</v>
      </c>
      <c r="BB398" t="str">
        <f>tbl_OriginalData[[#This Row],[Device_Used_for_Shopping]]</f>
        <v>Smartphone</v>
      </c>
      <c r="BC398" t="str">
        <f>tbl_OriginalData[[#This Row],[Payment_Method]]</f>
        <v>PayPal</v>
      </c>
      <c r="BD398" s="1">
        <f>tbl_OriginalData[[#This Row],[Time_of_Purchase]]</f>
        <v>45592</v>
      </c>
      <c r="BE398" t="str">
        <f>IF(tbl_OriginalData[[#This Row],[Discount_Used]]=TRUE,"Yes","No")</f>
        <v>Yes</v>
      </c>
      <c r="BF398" t="str">
        <f>IF(tbl_OriginalData[[#This Row],[Customer_Loyalty_Program_Member]]=TRUE,"Yes","No")</f>
        <v>Yes</v>
      </c>
      <c r="BG398" t="str">
        <f>tbl_OriginalData[[#This Row],[Purchase_Intent]]</f>
        <v>Wants-based</v>
      </c>
      <c r="BH398" t="str">
        <f>tbl_OriginalData[[#This Row],[Shipping_Preference]]</f>
        <v>Standard</v>
      </c>
      <c r="BI398">
        <f>tbl_OriginalData[[#This Row],[Time_to_Decision]]</f>
        <v>13</v>
      </c>
      <c r="BJ398" t="s">
        <v>79</v>
      </c>
      <c r="BK398" t="s">
        <v>80</v>
      </c>
      <c r="BL398" t="s">
        <v>2527</v>
      </c>
    </row>
    <row r="399" spans="1:64">
      <c r="A399" t="s">
        <v>1001</v>
      </c>
      <c r="B399">
        <v>27</v>
      </c>
      <c r="C399" t="s">
        <v>340</v>
      </c>
      <c r="D399" t="s">
        <v>34</v>
      </c>
      <c r="E399" t="s">
        <v>82</v>
      </c>
      <c r="F399" t="s">
        <v>52</v>
      </c>
      <c r="G399" t="s">
        <v>51</v>
      </c>
      <c r="H399" t="s">
        <v>1002</v>
      </c>
      <c r="I399" t="s">
        <v>242</v>
      </c>
      <c r="J399">
        <v>198.45</v>
      </c>
      <c r="K399">
        <v>11</v>
      </c>
      <c r="L399" t="s">
        <v>94</v>
      </c>
      <c r="M399">
        <v>3</v>
      </c>
      <c r="N399">
        <v>5</v>
      </c>
      <c r="O399">
        <v>1</v>
      </c>
      <c r="P399" t="s">
        <v>51</v>
      </c>
      <c r="Q399" t="s">
        <v>57</v>
      </c>
      <c r="R399">
        <v>2</v>
      </c>
      <c r="S399">
        <v>8</v>
      </c>
      <c r="T399" t="s">
        <v>51</v>
      </c>
      <c r="U399" t="s">
        <v>42</v>
      </c>
      <c r="V399" t="s">
        <v>58</v>
      </c>
      <c r="W399" s="1">
        <v>45416</v>
      </c>
      <c r="X399" t="b">
        <v>1</v>
      </c>
      <c r="Y399" t="b">
        <v>0</v>
      </c>
      <c r="Z399" t="s">
        <v>59</v>
      </c>
      <c r="AA399" t="s">
        <v>45</v>
      </c>
      <c r="AB399">
        <v>5</v>
      </c>
      <c r="AF399" t="str">
        <f>tbl_OriginalData[[#This Row],[Customer_ID]]</f>
        <v>76-561-2427</v>
      </c>
      <c r="AG399">
        <f>tbl_OriginalData[[#This Row],[Age]]</f>
        <v>27</v>
      </c>
      <c r="AH399" t="str" cm="1">
        <f t="array" ref="AH39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399" t="str">
        <f>tbl_OriginalData[[#This Row],[Gender]]</f>
        <v>Agender</v>
      </c>
      <c r="AJ399" t="str">
        <f>tbl_OriginalData[[#This Row],[Income_Level]]</f>
        <v>Middle</v>
      </c>
      <c r="AK399" t="str">
        <f>tbl_OriginalData[[#This Row],[Marital_Status]]</f>
        <v>Widowed</v>
      </c>
      <c r="AL399" t="str">
        <f>tbl_OriginalData[[#This Row],[Education_Level]]</f>
        <v>High School</v>
      </c>
      <c r="AM399" t="str">
        <f>tbl_OriginalData[[#This Row],[Occupation]]</f>
        <v>High</v>
      </c>
      <c r="AN399" t="s">
        <v>1002</v>
      </c>
      <c r="AO399" t="s">
        <v>299</v>
      </c>
      <c r="AP399" t="str">
        <f>tbl_OriginalData[[#This Row],[Purchase_Category]]</f>
        <v>Travel &amp; Leisure (Flights</v>
      </c>
      <c r="AQ399" s="4">
        <f>tbl_OriginalData[[#This Row],[Purchase_Amount]]</f>
        <v>198.45</v>
      </c>
      <c r="AR399">
        <f>tbl_OriginalData[[#This Row],[Frequency_of_Purchase]]</f>
        <v>11</v>
      </c>
      <c r="AS399" t="str">
        <f>tbl_OriginalData[[#This Row],[Purchase_Channel]]</f>
        <v>Online</v>
      </c>
      <c r="AT399">
        <f>tbl_OriginalData[[#This Row],[Brand_Loyalty]]</f>
        <v>3</v>
      </c>
      <c r="AU399">
        <f>tbl_OriginalData[[#This Row],[Product_Rating]]</f>
        <v>5</v>
      </c>
      <c r="AV399">
        <f>tbl_OriginalData[[#This Row],[Time_Spent_on_Product_Research(hours)]]*60</f>
        <v>60</v>
      </c>
      <c r="AW399" t="str">
        <f>tbl_OriginalData[[#This Row],[Social_Media_Influence]]</f>
        <v>High</v>
      </c>
      <c r="AX399" t="str">
        <f>tbl_OriginalData[[#This Row],[Discount_Sensitivity]]</f>
        <v>Not Sensitive</v>
      </c>
      <c r="AY399" s="3">
        <f>tbl_OriginalData[[#This Row],[Return_Rate]]/tbl_OriginalData[[#This Row],[Frequency_of_Purchase]]</f>
        <v>0.18181818181818182</v>
      </c>
      <c r="AZ399">
        <f>tbl_OriginalData[[#This Row],[Customer_Satisfaction]]</f>
        <v>8</v>
      </c>
      <c r="BA399" t="str">
        <f>tbl_OriginalData[[#This Row],[Engagement_with_Ads]]</f>
        <v>High</v>
      </c>
      <c r="BB399" t="str">
        <f>tbl_OriginalData[[#This Row],[Device_Used_for_Shopping]]</f>
        <v>Tablet</v>
      </c>
      <c r="BC399" t="str">
        <f>tbl_OriginalData[[#This Row],[Payment_Method]]</f>
        <v>PayPal</v>
      </c>
      <c r="BD399" s="1">
        <f>tbl_OriginalData[[#This Row],[Time_of_Purchase]]</f>
        <v>45416</v>
      </c>
      <c r="BE399" t="str">
        <f>IF(tbl_OriginalData[[#This Row],[Discount_Used]]=TRUE,"Yes","No")</f>
        <v>Yes</v>
      </c>
      <c r="BF399" t="str">
        <f>IF(tbl_OriginalData[[#This Row],[Customer_Loyalty_Program_Member]]=TRUE,"Yes","No")</f>
        <v>No</v>
      </c>
      <c r="BG399" t="str">
        <f>tbl_OriginalData[[#This Row],[Purchase_Intent]]</f>
        <v>Wants-based</v>
      </c>
      <c r="BH399" t="str">
        <f>tbl_OriginalData[[#This Row],[Shipping_Preference]]</f>
        <v>No Preference</v>
      </c>
      <c r="BI399">
        <f>tbl_OriginalData[[#This Row],[Time_to_Decision]]</f>
        <v>5</v>
      </c>
      <c r="BJ399" t="s">
        <v>167</v>
      </c>
      <c r="BK399" t="s">
        <v>63</v>
      </c>
      <c r="BL399" t="s">
        <v>2525</v>
      </c>
    </row>
    <row r="400" spans="1:64">
      <c r="A400" t="s">
        <v>1003</v>
      </c>
      <c r="B400">
        <v>23</v>
      </c>
      <c r="C400" t="s">
        <v>50</v>
      </c>
      <c r="D400" t="s">
        <v>51</v>
      </c>
      <c r="E400" t="s">
        <v>35</v>
      </c>
      <c r="F400" t="s">
        <v>66</v>
      </c>
      <c r="G400" t="s">
        <v>34</v>
      </c>
      <c r="H400" t="s">
        <v>1004</v>
      </c>
      <c r="I400" t="s">
        <v>153</v>
      </c>
      <c r="J400">
        <v>216.45</v>
      </c>
      <c r="K400">
        <v>5</v>
      </c>
      <c r="L400" t="s">
        <v>39</v>
      </c>
      <c r="M400">
        <v>5</v>
      </c>
      <c r="N400">
        <v>2</v>
      </c>
      <c r="O400">
        <v>0</v>
      </c>
      <c r="P400" t="s">
        <v>56</v>
      </c>
      <c r="Q400" t="s">
        <v>101</v>
      </c>
      <c r="R400">
        <v>2</v>
      </c>
      <c r="S400">
        <v>7</v>
      </c>
      <c r="T400" t="s">
        <v>69</v>
      </c>
      <c r="U400" t="s">
        <v>42</v>
      </c>
      <c r="V400" t="s">
        <v>43</v>
      </c>
      <c r="W400" s="1">
        <v>45596</v>
      </c>
      <c r="X400" t="b">
        <v>0</v>
      </c>
      <c r="Y400" t="b">
        <v>0</v>
      </c>
      <c r="Z400" t="s">
        <v>44</v>
      </c>
      <c r="AA400" t="s">
        <v>45</v>
      </c>
      <c r="AB400">
        <v>3</v>
      </c>
      <c r="AF400" t="str">
        <f>tbl_OriginalData[[#This Row],[Customer_ID]]</f>
        <v>82-467-3300</v>
      </c>
      <c r="AG400">
        <f>tbl_OriginalData[[#This Row],[Age]]</f>
        <v>23</v>
      </c>
      <c r="AH400" t="str" cm="1">
        <f t="array" ref="AH40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00" t="str">
        <f>tbl_OriginalData[[#This Row],[Gender]]</f>
        <v>Male</v>
      </c>
      <c r="AJ400" t="str">
        <f>tbl_OriginalData[[#This Row],[Income_Level]]</f>
        <v>High</v>
      </c>
      <c r="AK400" t="str">
        <f>tbl_OriginalData[[#This Row],[Marital_Status]]</f>
        <v>Married</v>
      </c>
      <c r="AL400" t="str">
        <f>tbl_OriginalData[[#This Row],[Education_Level]]</f>
        <v>Master's</v>
      </c>
      <c r="AM400" t="str">
        <f>tbl_OriginalData[[#This Row],[Occupation]]</f>
        <v>Middle</v>
      </c>
      <c r="AN400" t="s">
        <v>1004</v>
      </c>
      <c r="AO400" t="s">
        <v>1005</v>
      </c>
      <c r="AP400" t="str">
        <f>tbl_OriginalData[[#This Row],[Purchase_Category]]</f>
        <v>Baby Products</v>
      </c>
      <c r="AQ400" s="4">
        <f>tbl_OriginalData[[#This Row],[Purchase_Amount]]</f>
        <v>216.45</v>
      </c>
      <c r="AR400">
        <f>tbl_OriginalData[[#This Row],[Frequency_of_Purchase]]</f>
        <v>5</v>
      </c>
      <c r="AS400" t="str">
        <f>tbl_OriginalData[[#This Row],[Purchase_Channel]]</f>
        <v>Mixed</v>
      </c>
      <c r="AT400">
        <f>tbl_OriginalData[[#This Row],[Brand_Loyalty]]</f>
        <v>5</v>
      </c>
      <c r="AU400">
        <f>tbl_OriginalData[[#This Row],[Product_Rating]]</f>
        <v>2</v>
      </c>
      <c r="AV400">
        <f>tbl_OriginalData[[#This Row],[Time_Spent_on_Product_Research(hours)]]*60</f>
        <v>0</v>
      </c>
      <c r="AW400" t="str">
        <f>tbl_OriginalData[[#This Row],[Social_Media_Influence]]</f>
        <v>Medium</v>
      </c>
      <c r="AX400" t="str">
        <f>tbl_OriginalData[[#This Row],[Discount_Sensitivity]]</f>
        <v>Very Sensitive</v>
      </c>
      <c r="AY400" s="3">
        <f>tbl_OriginalData[[#This Row],[Return_Rate]]/tbl_OriginalData[[#This Row],[Frequency_of_Purchase]]</f>
        <v>0.4</v>
      </c>
      <c r="AZ400">
        <f>tbl_OriginalData[[#This Row],[Customer_Satisfaction]]</f>
        <v>7</v>
      </c>
      <c r="BA400" t="str">
        <f>tbl_OriginalData[[#This Row],[Engagement_with_Ads]]</f>
        <v>Low</v>
      </c>
      <c r="BB400" t="str">
        <f>tbl_OriginalData[[#This Row],[Device_Used_for_Shopping]]</f>
        <v>Tablet</v>
      </c>
      <c r="BC400" t="str">
        <f>tbl_OriginalData[[#This Row],[Payment_Method]]</f>
        <v>Credit Card</v>
      </c>
      <c r="BD400" s="1">
        <f>tbl_OriginalData[[#This Row],[Time_of_Purchase]]</f>
        <v>45596</v>
      </c>
      <c r="BE400" t="str">
        <f>IF(tbl_OriginalData[[#This Row],[Discount_Used]]=TRUE,"Yes","No")</f>
        <v>No</v>
      </c>
      <c r="BF400" t="str">
        <f>IF(tbl_OriginalData[[#This Row],[Customer_Loyalty_Program_Member]]=TRUE,"Yes","No")</f>
        <v>No</v>
      </c>
      <c r="BG400" t="str">
        <f>tbl_OriginalData[[#This Row],[Purchase_Intent]]</f>
        <v>Need-based</v>
      </c>
      <c r="BH400" t="str">
        <f>tbl_OriginalData[[#This Row],[Shipping_Preference]]</f>
        <v>No Preference</v>
      </c>
      <c r="BI400">
        <f>tbl_OriginalData[[#This Row],[Time_to_Decision]]</f>
        <v>3</v>
      </c>
      <c r="BJ400" t="s">
        <v>79</v>
      </c>
      <c r="BK400" t="s">
        <v>80</v>
      </c>
      <c r="BL400" t="s">
        <v>2523</v>
      </c>
    </row>
    <row r="401" spans="1:64">
      <c r="A401" t="s">
        <v>1006</v>
      </c>
      <c r="B401">
        <v>19</v>
      </c>
      <c r="C401" t="s">
        <v>33</v>
      </c>
      <c r="D401" t="s">
        <v>51</v>
      </c>
      <c r="E401" t="s">
        <v>82</v>
      </c>
      <c r="F401" t="s">
        <v>36</v>
      </c>
      <c r="G401" t="s">
        <v>51</v>
      </c>
      <c r="H401" t="s">
        <v>1007</v>
      </c>
      <c r="I401" t="s">
        <v>153</v>
      </c>
      <c r="J401">
        <v>358.72</v>
      </c>
      <c r="K401">
        <v>5</v>
      </c>
      <c r="L401" t="s">
        <v>55</v>
      </c>
      <c r="M401">
        <v>3</v>
      </c>
      <c r="N401">
        <v>5</v>
      </c>
      <c r="O401">
        <v>1</v>
      </c>
      <c r="P401" t="s">
        <v>69</v>
      </c>
      <c r="Q401" t="s">
        <v>101</v>
      </c>
      <c r="R401">
        <v>0</v>
      </c>
      <c r="S401">
        <v>8</v>
      </c>
      <c r="T401" t="s">
        <v>69</v>
      </c>
      <c r="U401" t="s">
        <v>42</v>
      </c>
      <c r="V401" t="s">
        <v>43</v>
      </c>
      <c r="W401" s="1">
        <v>45328</v>
      </c>
      <c r="X401" t="b">
        <v>1</v>
      </c>
      <c r="Y401" t="b">
        <v>1</v>
      </c>
      <c r="Z401" t="s">
        <v>72</v>
      </c>
      <c r="AA401" t="s">
        <v>60</v>
      </c>
      <c r="AB401">
        <v>12</v>
      </c>
      <c r="AF401" t="str">
        <f>tbl_OriginalData[[#This Row],[Customer_ID]]</f>
        <v>92-946-7398</v>
      </c>
      <c r="AG401">
        <f>tbl_OriginalData[[#This Row],[Age]]</f>
        <v>19</v>
      </c>
      <c r="AH401" t="str" cm="1">
        <f t="array" ref="AH40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401" t="str">
        <f>tbl_OriginalData[[#This Row],[Gender]]</f>
        <v>Female</v>
      </c>
      <c r="AJ401" t="str">
        <f>tbl_OriginalData[[#This Row],[Income_Level]]</f>
        <v>High</v>
      </c>
      <c r="AK401" t="str">
        <f>tbl_OriginalData[[#This Row],[Marital_Status]]</f>
        <v>Widowed</v>
      </c>
      <c r="AL401" t="str">
        <f>tbl_OriginalData[[#This Row],[Education_Level]]</f>
        <v>Bachelor's</v>
      </c>
      <c r="AM401" t="str">
        <f>tbl_OriginalData[[#This Row],[Occupation]]</f>
        <v>High</v>
      </c>
      <c r="AN401" t="s">
        <v>1007</v>
      </c>
      <c r="AO401" t="s">
        <v>246</v>
      </c>
      <c r="AP401" t="str">
        <f>tbl_OriginalData[[#This Row],[Purchase_Category]]</f>
        <v>Baby Products</v>
      </c>
      <c r="AQ401" s="4">
        <f>tbl_OriginalData[[#This Row],[Purchase_Amount]]</f>
        <v>358.72</v>
      </c>
      <c r="AR401">
        <f>tbl_OriginalData[[#This Row],[Frequency_of_Purchase]]</f>
        <v>5</v>
      </c>
      <c r="AS401" t="str">
        <f>tbl_OriginalData[[#This Row],[Purchase_Channel]]</f>
        <v>In-Store</v>
      </c>
      <c r="AT401">
        <f>tbl_OriginalData[[#This Row],[Brand_Loyalty]]</f>
        <v>3</v>
      </c>
      <c r="AU401">
        <f>tbl_OriginalData[[#This Row],[Product_Rating]]</f>
        <v>5</v>
      </c>
      <c r="AV401">
        <f>tbl_OriginalData[[#This Row],[Time_Spent_on_Product_Research(hours)]]*60</f>
        <v>60</v>
      </c>
      <c r="AW401" t="str">
        <f>tbl_OriginalData[[#This Row],[Social_Media_Influence]]</f>
        <v>Low</v>
      </c>
      <c r="AX401" t="str">
        <f>tbl_OriginalData[[#This Row],[Discount_Sensitivity]]</f>
        <v>Very Sensitive</v>
      </c>
      <c r="AY401" s="3">
        <f>tbl_OriginalData[[#This Row],[Return_Rate]]/tbl_OriginalData[[#This Row],[Frequency_of_Purchase]]</f>
        <v>0</v>
      </c>
      <c r="AZ401">
        <f>tbl_OriginalData[[#This Row],[Customer_Satisfaction]]</f>
        <v>8</v>
      </c>
      <c r="BA401" t="str">
        <f>tbl_OriginalData[[#This Row],[Engagement_with_Ads]]</f>
        <v>Low</v>
      </c>
      <c r="BB401" t="str">
        <f>tbl_OriginalData[[#This Row],[Device_Used_for_Shopping]]</f>
        <v>Tablet</v>
      </c>
      <c r="BC401" t="str">
        <f>tbl_OriginalData[[#This Row],[Payment_Method]]</f>
        <v>Credit Card</v>
      </c>
      <c r="BD401" s="1">
        <f>tbl_OriginalData[[#This Row],[Time_of_Purchase]]</f>
        <v>45328</v>
      </c>
      <c r="BE401" t="str">
        <f>IF(tbl_OriginalData[[#This Row],[Discount_Used]]=TRUE,"Yes","No")</f>
        <v>Yes</v>
      </c>
      <c r="BF401" t="str">
        <f>IF(tbl_OriginalData[[#This Row],[Customer_Loyalty_Program_Member]]=TRUE,"Yes","No")</f>
        <v>Yes</v>
      </c>
      <c r="BG401" t="str">
        <f>tbl_OriginalData[[#This Row],[Purchase_Intent]]</f>
        <v>Impulsive</v>
      </c>
      <c r="BH401" t="str">
        <f>tbl_OriginalData[[#This Row],[Shipping_Preference]]</f>
        <v>Standard</v>
      </c>
      <c r="BI401">
        <f>tbl_OriginalData[[#This Row],[Time_to_Decision]]</f>
        <v>12</v>
      </c>
      <c r="BJ401" t="s">
        <v>158</v>
      </c>
      <c r="BK401" t="s">
        <v>48</v>
      </c>
      <c r="BL401" t="s">
        <v>2523</v>
      </c>
    </row>
    <row r="402" spans="1:64">
      <c r="A402" t="s">
        <v>1008</v>
      </c>
      <c r="B402">
        <v>22</v>
      </c>
      <c r="C402" t="s">
        <v>33</v>
      </c>
      <c r="D402" t="s">
        <v>34</v>
      </c>
      <c r="E402" t="s">
        <v>82</v>
      </c>
      <c r="F402" t="s">
        <v>36</v>
      </c>
      <c r="G402" t="s">
        <v>51</v>
      </c>
      <c r="H402" t="s">
        <v>1009</v>
      </c>
      <c r="I402" t="s">
        <v>123</v>
      </c>
      <c r="J402">
        <v>367.56</v>
      </c>
      <c r="K402">
        <v>9</v>
      </c>
      <c r="L402" t="s">
        <v>94</v>
      </c>
      <c r="M402">
        <v>4</v>
      </c>
      <c r="N402">
        <v>5</v>
      </c>
      <c r="O402">
        <v>1</v>
      </c>
      <c r="P402" t="s">
        <v>40</v>
      </c>
      <c r="Q402" t="s">
        <v>57</v>
      </c>
      <c r="R402">
        <v>0</v>
      </c>
      <c r="S402">
        <v>8</v>
      </c>
      <c r="T402" t="s">
        <v>69</v>
      </c>
      <c r="U402" t="s">
        <v>70</v>
      </c>
      <c r="V402" t="s">
        <v>76</v>
      </c>
      <c r="W402" s="1">
        <v>45491</v>
      </c>
      <c r="X402" t="b">
        <v>0</v>
      </c>
      <c r="Y402" t="b">
        <v>0</v>
      </c>
      <c r="Z402" t="s">
        <v>44</v>
      </c>
      <c r="AA402" t="s">
        <v>60</v>
      </c>
      <c r="AB402">
        <v>14</v>
      </c>
      <c r="AF402" t="str">
        <f>tbl_OriginalData[[#This Row],[Customer_ID]]</f>
        <v>59-891-2990</v>
      </c>
      <c r="AG402">
        <f>tbl_OriginalData[[#This Row],[Age]]</f>
        <v>22</v>
      </c>
      <c r="AH402" t="str" cm="1">
        <f t="array" ref="AH40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02" t="str">
        <f>tbl_OriginalData[[#This Row],[Gender]]</f>
        <v>Female</v>
      </c>
      <c r="AJ402" t="str">
        <f>tbl_OriginalData[[#This Row],[Income_Level]]</f>
        <v>Middle</v>
      </c>
      <c r="AK402" t="str">
        <f>tbl_OriginalData[[#This Row],[Marital_Status]]</f>
        <v>Widowed</v>
      </c>
      <c r="AL402" t="str">
        <f>tbl_OriginalData[[#This Row],[Education_Level]]</f>
        <v>Bachelor's</v>
      </c>
      <c r="AM402" t="str">
        <f>tbl_OriginalData[[#This Row],[Occupation]]</f>
        <v>High</v>
      </c>
      <c r="AN402" t="s">
        <v>1009</v>
      </c>
      <c r="AO402" t="s">
        <v>246</v>
      </c>
      <c r="AP402" t="str">
        <f>tbl_OriginalData[[#This Row],[Purchase_Category]]</f>
        <v>Luxury Goods</v>
      </c>
      <c r="AQ402" s="4">
        <f>tbl_OriginalData[[#This Row],[Purchase_Amount]]</f>
        <v>367.56</v>
      </c>
      <c r="AR402">
        <f>tbl_OriginalData[[#This Row],[Frequency_of_Purchase]]</f>
        <v>9</v>
      </c>
      <c r="AS402" t="str">
        <f>tbl_OriginalData[[#This Row],[Purchase_Channel]]</f>
        <v>Online</v>
      </c>
      <c r="AT402">
        <f>tbl_OriginalData[[#This Row],[Brand_Loyalty]]</f>
        <v>4</v>
      </c>
      <c r="AU402">
        <f>tbl_OriginalData[[#This Row],[Product_Rating]]</f>
        <v>5</v>
      </c>
      <c r="AV402">
        <f>tbl_OriginalData[[#This Row],[Time_Spent_on_Product_Research(hours)]]*60</f>
        <v>60</v>
      </c>
      <c r="AW402" t="str">
        <f>tbl_OriginalData[[#This Row],[Social_Media_Influence]]</f>
        <v>None</v>
      </c>
      <c r="AX402" t="str">
        <f>tbl_OriginalData[[#This Row],[Discount_Sensitivity]]</f>
        <v>Not Sensitive</v>
      </c>
      <c r="AY402" s="3">
        <f>tbl_OriginalData[[#This Row],[Return_Rate]]/tbl_OriginalData[[#This Row],[Frequency_of_Purchase]]</f>
        <v>0</v>
      </c>
      <c r="AZ402">
        <f>tbl_OriginalData[[#This Row],[Customer_Satisfaction]]</f>
        <v>8</v>
      </c>
      <c r="BA402" t="str">
        <f>tbl_OriginalData[[#This Row],[Engagement_with_Ads]]</f>
        <v>Low</v>
      </c>
      <c r="BB402" t="str">
        <f>tbl_OriginalData[[#This Row],[Device_Used_for_Shopping]]</f>
        <v>Smartphone</v>
      </c>
      <c r="BC402" t="str">
        <f>tbl_OriginalData[[#This Row],[Payment_Method]]</f>
        <v>Other</v>
      </c>
      <c r="BD402" s="1">
        <f>tbl_OriginalData[[#This Row],[Time_of_Purchase]]</f>
        <v>45491</v>
      </c>
      <c r="BE402" t="str">
        <f>IF(tbl_OriginalData[[#This Row],[Discount_Used]]=TRUE,"Yes","No")</f>
        <v>No</v>
      </c>
      <c r="BF402" t="str">
        <f>IF(tbl_OriginalData[[#This Row],[Customer_Loyalty_Program_Member]]=TRUE,"Yes","No")</f>
        <v>No</v>
      </c>
      <c r="BG402" t="str">
        <f>tbl_OriginalData[[#This Row],[Purchase_Intent]]</f>
        <v>Need-based</v>
      </c>
      <c r="BH402" t="str">
        <f>tbl_OriginalData[[#This Row],[Shipping_Preference]]</f>
        <v>Standard</v>
      </c>
      <c r="BI402">
        <f>tbl_OriginalData[[#This Row],[Time_to_Decision]]</f>
        <v>14</v>
      </c>
      <c r="BJ402" t="s">
        <v>114</v>
      </c>
      <c r="BK402" t="s">
        <v>115</v>
      </c>
      <c r="BL402" t="s">
        <v>2523</v>
      </c>
    </row>
    <row r="403" spans="1:64">
      <c r="A403" t="s">
        <v>1010</v>
      </c>
      <c r="B403">
        <v>40</v>
      </c>
      <c r="C403" t="s">
        <v>50</v>
      </c>
      <c r="D403" t="s">
        <v>34</v>
      </c>
      <c r="E403" t="s">
        <v>92</v>
      </c>
      <c r="F403" t="s">
        <v>52</v>
      </c>
      <c r="G403" t="s">
        <v>51</v>
      </c>
      <c r="H403" t="s">
        <v>1011</v>
      </c>
      <c r="I403" t="s">
        <v>229</v>
      </c>
      <c r="J403">
        <v>88.78</v>
      </c>
      <c r="K403">
        <v>10</v>
      </c>
      <c r="L403" t="s">
        <v>94</v>
      </c>
      <c r="M403">
        <v>5</v>
      </c>
      <c r="N403">
        <v>3</v>
      </c>
      <c r="O403">
        <v>0</v>
      </c>
      <c r="P403" t="s">
        <v>51</v>
      </c>
      <c r="Q403" t="s">
        <v>101</v>
      </c>
      <c r="R403">
        <v>1</v>
      </c>
      <c r="S403">
        <v>7</v>
      </c>
      <c r="T403" t="s">
        <v>56</v>
      </c>
      <c r="U403" t="s">
        <v>95</v>
      </c>
      <c r="V403" t="s">
        <v>58</v>
      </c>
      <c r="W403" s="1">
        <v>45297</v>
      </c>
      <c r="X403" t="b">
        <v>0</v>
      </c>
      <c r="Y403" t="b">
        <v>0</v>
      </c>
      <c r="Z403" t="s">
        <v>89</v>
      </c>
      <c r="AA403" t="s">
        <v>60</v>
      </c>
      <c r="AB403">
        <v>13</v>
      </c>
      <c r="AF403" t="str">
        <f>tbl_OriginalData[[#This Row],[Customer_ID]]</f>
        <v>22-579-3978</v>
      </c>
      <c r="AG403">
        <f>tbl_OriginalData[[#This Row],[Age]]</f>
        <v>40</v>
      </c>
      <c r="AH403" t="str" cm="1">
        <f t="array" ref="AH40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03" t="str">
        <f>tbl_OriginalData[[#This Row],[Gender]]</f>
        <v>Male</v>
      </c>
      <c r="AJ403" t="str">
        <f>tbl_OriginalData[[#This Row],[Income_Level]]</f>
        <v>Middle</v>
      </c>
      <c r="AK403" t="str">
        <f>tbl_OriginalData[[#This Row],[Marital_Status]]</f>
        <v>Divorced</v>
      </c>
      <c r="AL403" t="str">
        <f>tbl_OriginalData[[#This Row],[Education_Level]]</f>
        <v>High School</v>
      </c>
      <c r="AM403" t="str">
        <f>tbl_OriginalData[[#This Row],[Occupation]]</f>
        <v>High</v>
      </c>
      <c r="AN403" t="s">
        <v>1011</v>
      </c>
      <c r="AO403" t="s">
        <v>383</v>
      </c>
      <c r="AP403" t="str">
        <f>tbl_OriginalData[[#This Row],[Purchase_Category]]</f>
        <v>Clothing</v>
      </c>
      <c r="AQ403" s="4">
        <f>tbl_OriginalData[[#This Row],[Purchase_Amount]]</f>
        <v>88.78</v>
      </c>
      <c r="AR403">
        <f>tbl_OriginalData[[#This Row],[Frequency_of_Purchase]]</f>
        <v>10</v>
      </c>
      <c r="AS403" t="str">
        <f>tbl_OriginalData[[#This Row],[Purchase_Channel]]</f>
        <v>Online</v>
      </c>
      <c r="AT403">
        <f>tbl_OriginalData[[#This Row],[Brand_Loyalty]]</f>
        <v>5</v>
      </c>
      <c r="AU403">
        <f>tbl_OriginalData[[#This Row],[Product_Rating]]</f>
        <v>3</v>
      </c>
      <c r="AV403">
        <f>tbl_OriginalData[[#This Row],[Time_Spent_on_Product_Research(hours)]]*60</f>
        <v>0</v>
      </c>
      <c r="AW403" t="str">
        <f>tbl_OriginalData[[#This Row],[Social_Media_Influence]]</f>
        <v>High</v>
      </c>
      <c r="AX403" t="str">
        <f>tbl_OriginalData[[#This Row],[Discount_Sensitivity]]</f>
        <v>Very Sensitive</v>
      </c>
      <c r="AY403" s="3">
        <f>tbl_OriginalData[[#This Row],[Return_Rate]]/tbl_OriginalData[[#This Row],[Frequency_of_Purchase]]</f>
        <v>0.1</v>
      </c>
      <c r="AZ403">
        <f>tbl_OriginalData[[#This Row],[Customer_Satisfaction]]</f>
        <v>7</v>
      </c>
      <c r="BA403" t="str">
        <f>tbl_OriginalData[[#This Row],[Engagement_with_Ads]]</f>
        <v>Medium</v>
      </c>
      <c r="BB403" t="str">
        <f>tbl_OriginalData[[#This Row],[Device_Used_for_Shopping]]</f>
        <v>Desktop</v>
      </c>
      <c r="BC403" t="str">
        <f>tbl_OriginalData[[#This Row],[Payment_Method]]</f>
        <v>PayPal</v>
      </c>
      <c r="BD403" s="1">
        <f>tbl_OriginalData[[#This Row],[Time_of_Purchase]]</f>
        <v>45297</v>
      </c>
      <c r="BE403" t="str">
        <f>IF(tbl_OriginalData[[#This Row],[Discount_Used]]=TRUE,"Yes","No")</f>
        <v>No</v>
      </c>
      <c r="BF403" t="str">
        <f>IF(tbl_OriginalData[[#This Row],[Customer_Loyalty_Program_Member]]=TRUE,"Yes","No")</f>
        <v>No</v>
      </c>
      <c r="BG403" t="str">
        <f>tbl_OriginalData[[#This Row],[Purchase_Intent]]</f>
        <v>Planned</v>
      </c>
      <c r="BH403" t="str">
        <f>tbl_OriginalData[[#This Row],[Shipping_Preference]]</f>
        <v>Standard</v>
      </c>
      <c r="BI403">
        <f>tbl_OriginalData[[#This Row],[Time_to_Decision]]</f>
        <v>13</v>
      </c>
      <c r="BJ403" t="s">
        <v>86</v>
      </c>
      <c r="BK403" t="s">
        <v>48</v>
      </c>
      <c r="BL403" t="s">
        <v>2523</v>
      </c>
    </row>
    <row r="404" spans="1:64">
      <c r="A404" t="s">
        <v>1012</v>
      </c>
      <c r="B404">
        <v>48</v>
      </c>
      <c r="C404" t="s">
        <v>50</v>
      </c>
      <c r="D404" t="s">
        <v>34</v>
      </c>
      <c r="E404" t="s">
        <v>35</v>
      </c>
      <c r="F404" t="s">
        <v>36</v>
      </c>
      <c r="G404" t="s">
        <v>34</v>
      </c>
      <c r="H404" t="s">
        <v>1013</v>
      </c>
      <c r="I404" t="s">
        <v>54</v>
      </c>
      <c r="J404">
        <v>465.85</v>
      </c>
      <c r="K404">
        <v>10</v>
      </c>
      <c r="L404" t="s">
        <v>94</v>
      </c>
      <c r="M404">
        <v>5</v>
      </c>
      <c r="N404">
        <v>3</v>
      </c>
      <c r="O404">
        <v>2</v>
      </c>
      <c r="P404" t="s">
        <v>40</v>
      </c>
      <c r="Q404" t="s">
        <v>41</v>
      </c>
      <c r="R404">
        <v>2</v>
      </c>
      <c r="S404">
        <v>10</v>
      </c>
      <c r="T404" t="s">
        <v>56</v>
      </c>
      <c r="U404" t="s">
        <v>95</v>
      </c>
      <c r="V404" t="s">
        <v>58</v>
      </c>
      <c r="W404" s="1">
        <v>45386</v>
      </c>
      <c r="X404" t="b">
        <v>1</v>
      </c>
      <c r="Y404" t="b">
        <v>0</v>
      </c>
      <c r="Z404" t="s">
        <v>59</v>
      </c>
      <c r="AA404" t="s">
        <v>60</v>
      </c>
      <c r="AB404">
        <v>7</v>
      </c>
      <c r="AF404" t="str">
        <f>tbl_OriginalData[[#This Row],[Customer_ID]]</f>
        <v>22-352-0576</v>
      </c>
      <c r="AG404">
        <f>tbl_OriginalData[[#This Row],[Age]]</f>
        <v>48</v>
      </c>
      <c r="AH404" t="str" cm="1">
        <f t="array" ref="AH40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04" t="str">
        <f>tbl_OriginalData[[#This Row],[Gender]]</f>
        <v>Male</v>
      </c>
      <c r="AJ404" t="str">
        <f>tbl_OriginalData[[#This Row],[Income_Level]]</f>
        <v>Middle</v>
      </c>
      <c r="AK404" t="str">
        <f>tbl_OriginalData[[#This Row],[Marital_Status]]</f>
        <v>Married</v>
      </c>
      <c r="AL404" t="str">
        <f>tbl_OriginalData[[#This Row],[Education_Level]]</f>
        <v>Bachelor's</v>
      </c>
      <c r="AM404" t="str">
        <f>tbl_OriginalData[[#This Row],[Occupation]]</f>
        <v>Middle</v>
      </c>
      <c r="AN404" t="s">
        <v>1013</v>
      </c>
      <c r="AO404" t="s">
        <v>310</v>
      </c>
      <c r="AP404" t="str">
        <f>tbl_OriginalData[[#This Row],[Purchase_Category]]</f>
        <v>Food &amp; Beverages</v>
      </c>
      <c r="AQ404" s="4">
        <f>tbl_OriginalData[[#This Row],[Purchase_Amount]]</f>
        <v>465.85</v>
      </c>
      <c r="AR404">
        <f>tbl_OriginalData[[#This Row],[Frequency_of_Purchase]]</f>
        <v>10</v>
      </c>
      <c r="AS404" t="str">
        <f>tbl_OriginalData[[#This Row],[Purchase_Channel]]</f>
        <v>Online</v>
      </c>
      <c r="AT404">
        <f>tbl_OriginalData[[#This Row],[Brand_Loyalty]]</f>
        <v>5</v>
      </c>
      <c r="AU404">
        <f>tbl_OriginalData[[#This Row],[Product_Rating]]</f>
        <v>3</v>
      </c>
      <c r="AV404">
        <f>tbl_OriginalData[[#This Row],[Time_Spent_on_Product_Research(hours)]]*60</f>
        <v>120</v>
      </c>
      <c r="AW404" t="str">
        <f>tbl_OriginalData[[#This Row],[Social_Media_Influence]]</f>
        <v>None</v>
      </c>
      <c r="AX404" t="str">
        <f>tbl_OriginalData[[#This Row],[Discount_Sensitivity]]</f>
        <v>Somewhat Sensitive</v>
      </c>
      <c r="AY404" s="3">
        <f>tbl_OriginalData[[#This Row],[Return_Rate]]/tbl_OriginalData[[#This Row],[Frequency_of_Purchase]]</f>
        <v>0.2</v>
      </c>
      <c r="AZ404">
        <f>tbl_OriginalData[[#This Row],[Customer_Satisfaction]]</f>
        <v>10</v>
      </c>
      <c r="BA404" t="str">
        <f>tbl_OriginalData[[#This Row],[Engagement_with_Ads]]</f>
        <v>Medium</v>
      </c>
      <c r="BB404" t="str">
        <f>tbl_OriginalData[[#This Row],[Device_Used_for_Shopping]]</f>
        <v>Desktop</v>
      </c>
      <c r="BC404" t="str">
        <f>tbl_OriginalData[[#This Row],[Payment_Method]]</f>
        <v>PayPal</v>
      </c>
      <c r="BD404" s="1">
        <f>tbl_OriginalData[[#This Row],[Time_of_Purchase]]</f>
        <v>45386</v>
      </c>
      <c r="BE404" t="str">
        <f>IF(tbl_OriginalData[[#This Row],[Discount_Used]]=TRUE,"Yes","No")</f>
        <v>Yes</v>
      </c>
      <c r="BF404" t="str">
        <f>IF(tbl_OriginalData[[#This Row],[Customer_Loyalty_Program_Member]]=TRUE,"Yes","No")</f>
        <v>No</v>
      </c>
      <c r="BG404" t="str">
        <f>tbl_OriginalData[[#This Row],[Purchase_Intent]]</f>
        <v>Wants-based</v>
      </c>
      <c r="BH404" t="str">
        <f>tbl_OriginalData[[#This Row],[Shipping_Preference]]</f>
        <v>Standard</v>
      </c>
      <c r="BI404">
        <f>tbl_OriginalData[[#This Row],[Time_to_Decision]]</f>
        <v>7</v>
      </c>
      <c r="BJ404" t="s">
        <v>62</v>
      </c>
      <c r="BK404" t="s">
        <v>63</v>
      </c>
      <c r="BL404" t="s">
        <v>2524</v>
      </c>
    </row>
    <row r="405" spans="1:64">
      <c r="A405" t="s">
        <v>1014</v>
      </c>
      <c r="B405">
        <v>49</v>
      </c>
      <c r="C405" t="s">
        <v>50</v>
      </c>
      <c r="D405" t="s">
        <v>34</v>
      </c>
      <c r="E405" t="s">
        <v>35</v>
      </c>
      <c r="F405" t="s">
        <v>52</v>
      </c>
      <c r="G405" t="s">
        <v>51</v>
      </c>
      <c r="H405" t="s">
        <v>1015</v>
      </c>
      <c r="I405" t="s">
        <v>229</v>
      </c>
      <c r="J405">
        <v>262.61</v>
      </c>
      <c r="K405">
        <v>3</v>
      </c>
      <c r="L405" t="s">
        <v>55</v>
      </c>
      <c r="M405">
        <v>2</v>
      </c>
      <c r="N405">
        <v>5</v>
      </c>
      <c r="O405">
        <v>1</v>
      </c>
      <c r="P405" t="s">
        <v>56</v>
      </c>
      <c r="Q405" t="s">
        <v>41</v>
      </c>
      <c r="R405">
        <v>0</v>
      </c>
      <c r="S405">
        <v>10</v>
      </c>
      <c r="T405" t="s">
        <v>56</v>
      </c>
      <c r="U405" t="s">
        <v>70</v>
      </c>
      <c r="V405" t="s">
        <v>76</v>
      </c>
      <c r="W405" s="1">
        <v>45350</v>
      </c>
      <c r="X405" t="b">
        <v>0</v>
      </c>
      <c r="Y405" t="b">
        <v>1</v>
      </c>
      <c r="Z405" t="s">
        <v>59</v>
      </c>
      <c r="AA405" t="s">
        <v>60</v>
      </c>
      <c r="AB405">
        <v>6</v>
      </c>
      <c r="AF405" t="str">
        <f>tbl_OriginalData[[#This Row],[Customer_ID]]</f>
        <v>28-676-0614</v>
      </c>
      <c r="AG405">
        <f>tbl_OriginalData[[#This Row],[Age]]</f>
        <v>49</v>
      </c>
      <c r="AH405" t="str" cm="1">
        <f t="array" ref="AH40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05" t="str">
        <f>tbl_OriginalData[[#This Row],[Gender]]</f>
        <v>Male</v>
      </c>
      <c r="AJ405" t="str">
        <f>tbl_OriginalData[[#This Row],[Income_Level]]</f>
        <v>Middle</v>
      </c>
      <c r="AK405" t="str">
        <f>tbl_OriginalData[[#This Row],[Marital_Status]]</f>
        <v>Married</v>
      </c>
      <c r="AL405" t="str">
        <f>tbl_OriginalData[[#This Row],[Education_Level]]</f>
        <v>High School</v>
      </c>
      <c r="AM405" t="str">
        <f>tbl_OriginalData[[#This Row],[Occupation]]</f>
        <v>High</v>
      </c>
      <c r="AN405" t="s">
        <v>1015</v>
      </c>
      <c r="AO405" t="s">
        <v>46</v>
      </c>
      <c r="AP405" t="str">
        <f>tbl_OriginalData[[#This Row],[Purchase_Category]]</f>
        <v>Clothing</v>
      </c>
      <c r="AQ405" s="4">
        <f>tbl_OriginalData[[#This Row],[Purchase_Amount]]</f>
        <v>262.61</v>
      </c>
      <c r="AR405">
        <f>tbl_OriginalData[[#This Row],[Frequency_of_Purchase]]</f>
        <v>3</v>
      </c>
      <c r="AS405" t="str">
        <f>tbl_OriginalData[[#This Row],[Purchase_Channel]]</f>
        <v>In-Store</v>
      </c>
      <c r="AT405">
        <f>tbl_OriginalData[[#This Row],[Brand_Loyalty]]</f>
        <v>2</v>
      </c>
      <c r="AU405">
        <f>tbl_OriginalData[[#This Row],[Product_Rating]]</f>
        <v>5</v>
      </c>
      <c r="AV405">
        <f>tbl_OriginalData[[#This Row],[Time_Spent_on_Product_Research(hours)]]*60</f>
        <v>60</v>
      </c>
      <c r="AW405" t="str">
        <f>tbl_OriginalData[[#This Row],[Social_Media_Influence]]</f>
        <v>Medium</v>
      </c>
      <c r="AX405" t="str">
        <f>tbl_OriginalData[[#This Row],[Discount_Sensitivity]]</f>
        <v>Somewhat Sensitive</v>
      </c>
      <c r="AY405" s="3">
        <f>tbl_OriginalData[[#This Row],[Return_Rate]]/tbl_OriginalData[[#This Row],[Frequency_of_Purchase]]</f>
        <v>0</v>
      </c>
      <c r="AZ405">
        <f>tbl_OriginalData[[#This Row],[Customer_Satisfaction]]</f>
        <v>10</v>
      </c>
      <c r="BA405" t="str">
        <f>tbl_OriginalData[[#This Row],[Engagement_with_Ads]]</f>
        <v>Medium</v>
      </c>
      <c r="BB405" t="str">
        <f>tbl_OriginalData[[#This Row],[Device_Used_for_Shopping]]</f>
        <v>Smartphone</v>
      </c>
      <c r="BC405" t="str">
        <f>tbl_OriginalData[[#This Row],[Payment_Method]]</f>
        <v>Other</v>
      </c>
      <c r="BD405" s="1">
        <f>tbl_OriginalData[[#This Row],[Time_of_Purchase]]</f>
        <v>45350</v>
      </c>
      <c r="BE405" t="str">
        <f>IF(tbl_OriginalData[[#This Row],[Discount_Used]]=TRUE,"Yes","No")</f>
        <v>No</v>
      </c>
      <c r="BF405" t="str">
        <f>IF(tbl_OriginalData[[#This Row],[Customer_Loyalty_Program_Member]]=TRUE,"Yes","No")</f>
        <v>Yes</v>
      </c>
      <c r="BG405" t="str">
        <f>tbl_OriginalData[[#This Row],[Purchase_Intent]]</f>
        <v>Wants-based</v>
      </c>
      <c r="BH405" t="str">
        <f>tbl_OriginalData[[#This Row],[Shipping_Preference]]</f>
        <v>Standard</v>
      </c>
      <c r="BI405">
        <f>tbl_OriginalData[[#This Row],[Time_to_Decision]]</f>
        <v>6</v>
      </c>
      <c r="BJ405" t="s">
        <v>158</v>
      </c>
      <c r="BK405" t="s">
        <v>48</v>
      </c>
      <c r="BL405" t="s">
        <v>2523</v>
      </c>
    </row>
    <row r="406" spans="1:64">
      <c r="A406" t="s">
        <v>1016</v>
      </c>
      <c r="B406">
        <v>45</v>
      </c>
      <c r="C406" t="s">
        <v>340</v>
      </c>
      <c r="D406" t="s">
        <v>34</v>
      </c>
      <c r="E406" t="s">
        <v>82</v>
      </c>
      <c r="F406" t="s">
        <v>66</v>
      </c>
      <c r="G406" t="s">
        <v>34</v>
      </c>
      <c r="H406" t="s">
        <v>1017</v>
      </c>
      <c r="I406" t="s">
        <v>75</v>
      </c>
      <c r="J406">
        <v>91.24</v>
      </c>
      <c r="K406">
        <v>8</v>
      </c>
      <c r="L406" t="s">
        <v>55</v>
      </c>
      <c r="M406">
        <v>4</v>
      </c>
      <c r="N406">
        <v>3</v>
      </c>
      <c r="O406">
        <v>0</v>
      </c>
      <c r="P406" t="s">
        <v>51</v>
      </c>
      <c r="Q406" t="s">
        <v>41</v>
      </c>
      <c r="R406">
        <v>0</v>
      </c>
      <c r="S406">
        <v>4</v>
      </c>
      <c r="T406" t="s">
        <v>69</v>
      </c>
      <c r="U406" t="s">
        <v>42</v>
      </c>
      <c r="V406" t="s">
        <v>102</v>
      </c>
      <c r="W406" s="1">
        <v>45593</v>
      </c>
      <c r="X406" t="b">
        <v>1</v>
      </c>
      <c r="Y406" t="b">
        <v>0</v>
      </c>
      <c r="Z406" t="s">
        <v>59</v>
      </c>
      <c r="AA406" t="s">
        <v>60</v>
      </c>
      <c r="AB406">
        <v>4</v>
      </c>
      <c r="AF406" t="str">
        <f>tbl_OriginalData[[#This Row],[Customer_ID]]</f>
        <v>07-211-9364</v>
      </c>
      <c r="AG406">
        <f>tbl_OriginalData[[#This Row],[Age]]</f>
        <v>45</v>
      </c>
      <c r="AH406" t="str" cm="1">
        <f t="array" ref="AH40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06" t="str">
        <f>tbl_OriginalData[[#This Row],[Gender]]</f>
        <v>Agender</v>
      </c>
      <c r="AJ406" t="str">
        <f>tbl_OriginalData[[#This Row],[Income_Level]]</f>
        <v>Middle</v>
      </c>
      <c r="AK406" t="str">
        <f>tbl_OriginalData[[#This Row],[Marital_Status]]</f>
        <v>Widowed</v>
      </c>
      <c r="AL406" t="str">
        <f>tbl_OriginalData[[#This Row],[Education_Level]]</f>
        <v>Master's</v>
      </c>
      <c r="AM406" t="str">
        <f>tbl_OriginalData[[#This Row],[Occupation]]</f>
        <v>Middle</v>
      </c>
      <c r="AN406" t="s">
        <v>1017</v>
      </c>
      <c r="AO406" t="s">
        <v>109</v>
      </c>
      <c r="AP406" t="str">
        <f>tbl_OriginalData[[#This Row],[Purchase_Category]]</f>
        <v>Home Appliances</v>
      </c>
      <c r="AQ406" s="4">
        <f>tbl_OriginalData[[#This Row],[Purchase_Amount]]</f>
        <v>91.24</v>
      </c>
      <c r="AR406">
        <f>tbl_OriginalData[[#This Row],[Frequency_of_Purchase]]</f>
        <v>8</v>
      </c>
      <c r="AS406" t="str">
        <f>tbl_OriginalData[[#This Row],[Purchase_Channel]]</f>
        <v>In-Store</v>
      </c>
      <c r="AT406">
        <f>tbl_OriginalData[[#This Row],[Brand_Loyalty]]</f>
        <v>4</v>
      </c>
      <c r="AU406">
        <f>tbl_OriginalData[[#This Row],[Product_Rating]]</f>
        <v>3</v>
      </c>
      <c r="AV406">
        <f>tbl_OriginalData[[#This Row],[Time_Spent_on_Product_Research(hours)]]*60</f>
        <v>0</v>
      </c>
      <c r="AW406" t="str">
        <f>tbl_OriginalData[[#This Row],[Social_Media_Influence]]</f>
        <v>High</v>
      </c>
      <c r="AX406" t="str">
        <f>tbl_OriginalData[[#This Row],[Discount_Sensitivity]]</f>
        <v>Somewhat Sensitive</v>
      </c>
      <c r="AY406" s="3">
        <f>tbl_OriginalData[[#This Row],[Return_Rate]]/tbl_OriginalData[[#This Row],[Frequency_of_Purchase]]</f>
        <v>0</v>
      </c>
      <c r="AZ406">
        <f>tbl_OriginalData[[#This Row],[Customer_Satisfaction]]</f>
        <v>4</v>
      </c>
      <c r="BA406" t="str">
        <f>tbl_OriginalData[[#This Row],[Engagement_with_Ads]]</f>
        <v>Low</v>
      </c>
      <c r="BB406" t="str">
        <f>tbl_OriginalData[[#This Row],[Device_Used_for_Shopping]]</f>
        <v>Tablet</v>
      </c>
      <c r="BC406" t="str">
        <f>tbl_OriginalData[[#This Row],[Payment_Method]]</f>
        <v>Cash</v>
      </c>
      <c r="BD406" s="1">
        <f>tbl_OriginalData[[#This Row],[Time_of_Purchase]]</f>
        <v>45593</v>
      </c>
      <c r="BE406" t="str">
        <f>IF(tbl_OriginalData[[#This Row],[Discount_Used]]=TRUE,"Yes","No")</f>
        <v>Yes</v>
      </c>
      <c r="BF406" t="str">
        <f>IF(tbl_OriginalData[[#This Row],[Customer_Loyalty_Program_Member]]=TRUE,"Yes","No")</f>
        <v>No</v>
      </c>
      <c r="BG406" t="str">
        <f>tbl_OriginalData[[#This Row],[Purchase_Intent]]</f>
        <v>Wants-based</v>
      </c>
      <c r="BH406" t="str">
        <f>tbl_OriginalData[[#This Row],[Shipping_Preference]]</f>
        <v>Standard</v>
      </c>
      <c r="BI406">
        <f>tbl_OriginalData[[#This Row],[Time_to_Decision]]</f>
        <v>4</v>
      </c>
      <c r="BJ406" t="s">
        <v>79</v>
      </c>
      <c r="BK406" t="s">
        <v>80</v>
      </c>
      <c r="BL406" t="s">
        <v>2526</v>
      </c>
    </row>
    <row r="407" spans="1:64">
      <c r="A407" t="s">
        <v>1018</v>
      </c>
      <c r="B407">
        <v>42</v>
      </c>
      <c r="C407" t="s">
        <v>33</v>
      </c>
      <c r="D407" t="s">
        <v>51</v>
      </c>
      <c r="E407" t="s">
        <v>35</v>
      </c>
      <c r="F407" t="s">
        <v>52</v>
      </c>
      <c r="G407" t="s">
        <v>51</v>
      </c>
      <c r="H407" t="s">
        <v>1019</v>
      </c>
      <c r="I407" t="s">
        <v>123</v>
      </c>
      <c r="J407">
        <v>425.69</v>
      </c>
      <c r="K407">
        <v>5</v>
      </c>
      <c r="L407" t="s">
        <v>55</v>
      </c>
      <c r="M407">
        <v>2</v>
      </c>
      <c r="N407">
        <v>5</v>
      </c>
      <c r="O407">
        <v>0</v>
      </c>
      <c r="P407" t="s">
        <v>51</v>
      </c>
      <c r="Q407" t="s">
        <v>101</v>
      </c>
      <c r="R407">
        <v>0</v>
      </c>
      <c r="S407">
        <v>4</v>
      </c>
      <c r="T407" t="s">
        <v>56</v>
      </c>
      <c r="U407" t="s">
        <v>42</v>
      </c>
      <c r="V407" t="s">
        <v>43</v>
      </c>
      <c r="W407" s="1">
        <v>45464</v>
      </c>
      <c r="X407" t="b">
        <v>0</v>
      </c>
      <c r="Y407" t="b">
        <v>1</v>
      </c>
      <c r="Z407" t="s">
        <v>72</v>
      </c>
      <c r="AA407" t="s">
        <v>45</v>
      </c>
      <c r="AB407">
        <v>4</v>
      </c>
      <c r="AF407" t="str">
        <f>tbl_OriginalData[[#This Row],[Customer_ID]]</f>
        <v>98-238-6733</v>
      </c>
      <c r="AG407">
        <f>tbl_OriginalData[[#This Row],[Age]]</f>
        <v>42</v>
      </c>
      <c r="AH407" t="str" cm="1">
        <f t="array" ref="AH40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07" t="str">
        <f>tbl_OriginalData[[#This Row],[Gender]]</f>
        <v>Female</v>
      </c>
      <c r="AJ407" t="str">
        <f>tbl_OriginalData[[#This Row],[Income_Level]]</f>
        <v>High</v>
      </c>
      <c r="AK407" t="str">
        <f>tbl_OriginalData[[#This Row],[Marital_Status]]</f>
        <v>Married</v>
      </c>
      <c r="AL407" t="str">
        <f>tbl_OriginalData[[#This Row],[Education_Level]]</f>
        <v>High School</v>
      </c>
      <c r="AM407" t="str">
        <f>tbl_OriginalData[[#This Row],[Occupation]]</f>
        <v>High</v>
      </c>
      <c r="AN407" t="s">
        <v>1019</v>
      </c>
      <c r="AO407" t="s">
        <v>61</v>
      </c>
      <c r="AP407" t="str">
        <f>tbl_OriginalData[[#This Row],[Purchase_Category]]</f>
        <v>Luxury Goods</v>
      </c>
      <c r="AQ407" s="4">
        <f>tbl_OriginalData[[#This Row],[Purchase_Amount]]</f>
        <v>425.69</v>
      </c>
      <c r="AR407">
        <f>tbl_OriginalData[[#This Row],[Frequency_of_Purchase]]</f>
        <v>5</v>
      </c>
      <c r="AS407" t="str">
        <f>tbl_OriginalData[[#This Row],[Purchase_Channel]]</f>
        <v>In-Store</v>
      </c>
      <c r="AT407">
        <f>tbl_OriginalData[[#This Row],[Brand_Loyalty]]</f>
        <v>2</v>
      </c>
      <c r="AU407">
        <f>tbl_OriginalData[[#This Row],[Product_Rating]]</f>
        <v>5</v>
      </c>
      <c r="AV407">
        <f>tbl_OriginalData[[#This Row],[Time_Spent_on_Product_Research(hours)]]*60</f>
        <v>0</v>
      </c>
      <c r="AW407" t="str">
        <f>tbl_OriginalData[[#This Row],[Social_Media_Influence]]</f>
        <v>High</v>
      </c>
      <c r="AX407" t="str">
        <f>tbl_OriginalData[[#This Row],[Discount_Sensitivity]]</f>
        <v>Very Sensitive</v>
      </c>
      <c r="AY407" s="3">
        <f>tbl_OriginalData[[#This Row],[Return_Rate]]/tbl_OriginalData[[#This Row],[Frequency_of_Purchase]]</f>
        <v>0</v>
      </c>
      <c r="AZ407">
        <f>tbl_OriginalData[[#This Row],[Customer_Satisfaction]]</f>
        <v>4</v>
      </c>
      <c r="BA407" t="str">
        <f>tbl_OriginalData[[#This Row],[Engagement_with_Ads]]</f>
        <v>Medium</v>
      </c>
      <c r="BB407" t="str">
        <f>tbl_OriginalData[[#This Row],[Device_Used_for_Shopping]]</f>
        <v>Tablet</v>
      </c>
      <c r="BC407" t="str">
        <f>tbl_OriginalData[[#This Row],[Payment_Method]]</f>
        <v>Credit Card</v>
      </c>
      <c r="BD407" s="1">
        <f>tbl_OriginalData[[#This Row],[Time_of_Purchase]]</f>
        <v>45464</v>
      </c>
      <c r="BE407" t="str">
        <f>IF(tbl_OriginalData[[#This Row],[Discount_Used]]=TRUE,"Yes","No")</f>
        <v>No</v>
      </c>
      <c r="BF407" t="str">
        <f>IF(tbl_OriginalData[[#This Row],[Customer_Loyalty_Program_Member]]=TRUE,"Yes","No")</f>
        <v>Yes</v>
      </c>
      <c r="BG407" t="str">
        <f>tbl_OriginalData[[#This Row],[Purchase_Intent]]</f>
        <v>Impulsive</v>
      </c>
      <c r="BH407" t="str">
        <f>tbl_OriginalData[[#This Row],[Shipping_Preference]]</f>
        <v>No Preference</v>
      </c>
      <c r="BI407">
        <f>tbl_OriginalData[[#This Row],[Time_to_Decision]]</f>
        <v>4</v>
      </c>
      <c r="BJ407" t="s">
        <v>104</v>
      </c>
      <c r="BK407" t="s">
        <v>63</v>
      </c>
      <c r="BL407" t="s">
        <v>2524</v>
      </c>
    </row>
    <row r="408" spans="1:64">
      <c r="A408" t="s">
        <v>1020</v>
      </c>
      <c r="B408">
        <v>41</v>
      </c>
      <c r="C408" t="s">
        <v>33</v>
      </c>
      <c r="D408" t="s">
        <v>51</v>
      </c>
      <c r="E408" t="s">
        <v>35</v>
      </c>
      <c r="F408" t="s">
        <v>36</v>
      </c>
      <c r="G408" t="s">
        <v>51</v>
      </c>
      <c r="H408" t="s">
        <v>1021</v>
      </c>
      <c r="I408" t="s">
        <v>143</v>
      </c>
      <c r="J408">
        <v>446.11</v>
      </c>
      <c r="K408">
        <v>9</v>
      </c>
      <c r="L408" t="s">
        <v>39</v>
      </c>
      <c r="M408">
        <v>3</v>
      </c>
      <c r="N408">
        <v>1</v>
      </c>
      <c r="O408">
        <v>1</v>
      </c>
      <c r="P408" t="s">
        <v>56</v>
      </c>
      <c r="Q408" t="s">
        <v>101</v>
      </c>
      <c r="R408">
        <v>0</v>
      </c>
      <c r="S408">
        <v>10</v>
      </c>
      <c r="T408" t="s">
        <v>56</v>
      </c>
      <c r="U408" t="s">
        <v>95</v>
      </c>
      <c r="V408" t="s">
        <v>58</v>
      </c>
      <c r="W408" s="1">
        <v>45449</v>
      </c>
      <c r="X408" t="b">
        <v>1</v>
      </c>
      <c r="Y408" t="b">
        <v>1</v>
      </c>
      <c r="Z408" t="s">
        <v>59</v>
      </c>
      <c r="AA408" t="s">
        <v>77</v>
      </c>
      <c r="AB408">
        <v>11</v>
      </c>
      <c r="AF408" t="str">
        <f>tbl_OriginalData[[#This Row],[Customer_ID]]</f>
        <v>72-006-3769</v>
      </c>
      <c r="AG408">
        <f>tbl_OriginalData[[#This Row],[Age]]</f>
        <v>41</v>
      </c>
      <c r="AH408" t="str" cm="1">
        <f t="array" ref="AH40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08" t="str">
        <f>tbl_OriginalData[[#This Row],[Gender]]</f>
        <v>Female</v>
      </c>
      <c r="AJ408" t="str">
        <f>tbl_OriginalData[[#This Row],[Income_Level]]</f>
        <v>High</v>
      </c>
      <c r="AK408" t="str">
        <f>tbl_OriginalData[[#This Row],[Marital_Status]]</f>
        <v>Married</v>
      </c>
      <c r="AL408" t="str">
        <f>tbl_OriginalData[[#This Row],[Education_Level]]</f>
        <v>Bachelor's</v>
      </c>
      <c r="AM408" t="str">
        <f>tbl_OriginalData[[#This Row],[Occupation]]</f>
        <v>High</v>
      </c>
      <c r="AN408" t="s">
        <v>1021</v>
      </c>
      <c r="AO408" t="s">
        <v>161</v>
      </c>
      <c r="AP408" t="str">
        <f>tbl_OriginalData[[#This Row],[Purchase_Category]]</f>
        <v>Packages)</v>
      </c>
      <c r="AQ408" s="4">
        <f>tbl_OriginalData[[#This Row],[Purchase_Amount]]</f>
        <v>446.11</v>
      </c>
      <c r="AR408">
        <f>tbl_OriginalData[[#This Row],[Frequency_of_Purchase]]</f>
        <v>9</v>
      </c>
      <c r="AS408" t="str">
        <f>tbl_OriginalData[[#This Row],[Purchase_Channel]]</f>
        <v>Mixed</v>
      </c>
      <c r="AT408">
        <f>tbl_OriginalData[[#This Row],[Brand_Loyalty]]</f>
        <v>3</v>
      </c>
      <c r="AU408">
        <f>tbl_OriginalData[[#This Row],[Product_Rating]]</f>
        <v>1</v>
      </c>
      <c r="AV408">
        <f>tbl_OriginalData[[#This Row],[Time_Spent_on_Product_Research(hours)]]*60</f>
        <v>60</v>
      </c>
      <c r="AW408" t="str">
        <f>tbl_OriginalData[[#This Row],[Social_Media_Influence]]</f>
        <v>Medium</v>
      </c>
      <c r="AX408" t="str">
        <f>tbl_OriginalData[[#This Row],[Discount_Sensitivity]]</f>
        <v>Very Sensitive</v>
      </c>
      <c r="AY408" s="3">
        <f>tbl_OriginalData[[#This Row],[Return_Rate]]/tbl_OriginalData[[#This Row],[Frequency_of_Purchase]]</f>
        <v>0</v>
      </c>
      <c r="AZ408">
        <f>tbl_OriginalData[[#This Row],[Customer_Satisfaction]]</f>
        <v>10</v>
      </c>
      <c r="BA408" t="str">
        <f>tbl_OriginalData[[#This Row],[Engagement_with_Ads]]</f>
        <v>Medium</v>
      </c>
      <c r="BB408" t="str">
        <f>tbl_OriginalData[[#This Row],[Device_Used_for_Shopping]]</f>
        <v>Desktop</v>
      </c>
      <c r="BC408" t="str">
        <f>tbl_OriginalData[[#This Row],[Payment_Method]]</f>
        <v>PayPal</v>
      </c>
      <c r="BD408" s="1">
        <f>tbl_OriginalData[[#This Row],[Time_of_Purchase]]</f>
        <v>45449</v>
      </c>
      <c r="BE408" t="str">
        <f>IF(tbl_OriginalData[[#This Row],[Discount_Used]]=TRUE,"Yes","No")</f>
        <v>Yes</v>
      </c>
      <c r="BF408" t="str">
        <f>IF(tbl_OriginalData[[#This Row],[Customer_Loyalty_Program_Member]]=TRUE,"Yes","No")</f>
        <v>Yes</v>
      </c>
      <c r="BG408" t="str">
        <f>tbl_OriginalData[[#This Row],[Purchase_Intent]]</f>
        <v>Wants-based</v>
      </c>
      <c r="BH408" t="str">
        <f>tbl_OriginalData[[#This Row],[Shipping_Preference]]</f>
        <v>Express</v>
      </c>
      <c r="BI408">
        <f>tbl_OriginalData[[#This Row],[Time_to_Decision]]</f>
        <v>11</v>
      </c>
      <c r="BJ408" t="s">
        <v>104</v>
      </c>
      <c r="BK408" t="s">
        <v>63</v>
      </c>
      <c r="BL408" t="s">
        <v>2527</v>
      </c>
    </row>
    <row r="409" spans="1:64">
      <c r="A409" t="s">
        <v>1022</v>
      </c>
      <c r="B409">
        <v>23</v>
      </c>
      <c r="C409" t="s">
        <v>106</v>
      </c>
      <c r="D409" t="s">
        <v>51</v>
      </c>
      <c r="E409" t="s">
        <v>65</v>
      </c>
      <c r="F409" t="s">
        <v>52</v>
      </c>
      <c r="G409" t="s">
        <v>51</v>
      </c>
      <c r="H409" t="s">
        <v>1023</v>
      </c>
      <c r="I409" t="s">
        <v>150</v>
      </c>
      <c r="J409">
        <v>490.11</v>
      </c>
      <c r="K409">
        <v>8</v>
      </c>
      <c r="L409" t="s">
        <v>94</v>
      </c>
      <c r="M409">
        <v>3</v>
      </c>
      <c r="N409">
        <v>4</v>
      </c>
      <c r="O409">
        <v>2</v>
      </c>
      <c r="P409" t="s">
        <v>69</v>
      </c>
      <c r="Q409" t="s">
        <v>57</v>
      </c>
      <c r="R409">
        <v>1</v>
      </c>
      <c r="S409">
        <v>1</v>
      </c>
      <c r="T409" t="s">
        <v>69</v>
      </c>
      <c r="U409" t="s">
        <v>70</v>
      </c>
      <c r="V409" t="s">
        <v>76</v>
      </c>
      <c r="W409" s="1">
        <v>45650</v>
      </c>
      <c r="X409" t="b">
        <v>0</v>
      </c>
      <c r="Y409" t="b">
        <v>0</v>
      </c>
      <c r="Z409" t="s">
        <v>89</v>
      </c>
      <c r="AA409" t="s">
        <v>60</v>
      </c>
      <c r="AB409">
        <v>14</v>
      </c>
      <c r="AF409" t="str">
        <f>tbl_OriginalData[[#This Row],[Customer_ID]]</f>
        <v>75-845-3143</v>
      </c>
      <c r="AG409">
        <f>tbl_OriginalData[[#This Row],[Age]]</f>
        <v>23</v>
      </c>
      <c r="AH409" t="str" cm="1">
        <f t="array" ref="AH40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09" t="str">
        <f>tbl_OriginalData[[#This Row],[Gender]]</f>
        <v>Bigender</v>
      </c>
      <c r="AJ409" t="str">
        <f>tbl_OriginalData[[#This Row],[Income_Level]]</f>
        <v>High</v>
      </c>
      <c r="AK409" t="str">
        <f>tbl_OriginalData[[#This Row],[Marital_Status]]</f>
        <v>Single</v>
      </c>
      <c r="AL409" t="str">
        <f>tbl_OriginalData[[#This Row],[Education_Level]]</f>
        <v>High School</v>
      </c>
      <c r="AM409" t="str">
        <f>tbl_OriginalData[[#This Row],[Occupation]]</f>
        <v>High</v>
      </c>
      <c r="AN409" t="s">
        <v>1023</v>
      </c>
      <c r="AO409" t="s">
        <v>1024</v>
      </c>
      <c r="AP409" t="str">
        <f>tbl_OriginalData[[#This Row],[Purchase_Category]]</f>
        <v>Software &amp; Apps</v>
      </c>
      <c r="AQ409" s="4">
        <f>tbl_OriginalData[[#This Row],[Purchase_Amount]]</f>
        <v>490.11</v>
      </c>
      <c r="AR409">
        <f>tbl_OriginalData[[#This Row],[Frequency_of_Purchase]]</f>
        <v>8</v>
      </c>
      <c r="AS409" t="str">
        <f>tbl_OriginalData[[#This Row],[Purchase_Channel]]</f>
        <v>Online</v>
      </c>
      <c r="AT409">
        <f>tbl_OriginalData[[#This Row],[Brand_Loyalty]]</f>
        <v>3</v>
      </c>
      <c r="AU409">
        <f>tbl_OriginalData[[#This Row],[Product_Rating]]</f>
        <v>4</v>
      </c>
      <c r="AV409">
        <f>tbl_OriginalData[[#This Row],[Time_Spent_on_Product_Research(hours)]]*60</f>
        <v>120</v>
      </c>
      <c r="AW409" t="str">
        <f>tbl_OriginalData[[#This Row],[Social_Media_Influence]]</f>
        <v>Low</v>
      </c>
      <c r="AX409" t="str">
        <f>tbl_OriginalData[[#This Row],[Discount_Sensitivity]]</f>
        <v>Not Sensitive</v>
      </c>
      <c r="AY409" s="3">
        <f>tbl_OriginalData[[#This Row],[Return_Rate]]/tbl_OriginalData[[#This Row],[Frequency_of_Purchase]]</f>
        <v>0.125</v>
      </c>
      <c r="AZ409">
        <f>tbl_OriginalData[[#This Row],[Customer_Satisfaction]]</f>
        <v>1</v>
      </c>
      <c r="BA409" t="str">
        <f>tbl_OriginalData[[#This Row],[Engagement_with_Ads]]</f>
        <v>Low</v>
      </c>
      <c r="BB409" t="str">
        <f>tbl_OriginalData[[#This Row],[Device_Used_for_Shopping]]</f>
        <v>Smartphone</v>
      </c>
      <c r="BC409" t="str">
        <f>tbl_OriginalData[[#This Row],[Payment_Method]]</f>
        <v>Other</v>
      </c>
      <c r="BD409" s="1">
        <f>tbl_OriginalData[[#This Row],[Time_of_Purchase]]</f>
        <v>45650</v>
      </c>
      <c r="BE409" t="str">
        <f>IF(tbl_OriginalData[[#This Row],[Discount_Used]]=TRUE,"Yes","No")</f>
        <v>No</v>
      </c>
      <c r="BF409" t="str">
        <f>IF(tbl_OriginalData[[#This Row],[Customer_Loyalty_Program_Member]]=TRUE,"Yes","No")</f>
        <v>No</v>
      </c>
      <c r="BG409" t="str">
        <f>tbl_OriginalData[[#This Row],[Purchase_Intent]]</f>
        <v>Planned</v>
      </c>
      <c r="BH409" t="str">
        <f>tbl_OriginalData[[#This Row],[Shipping_Preference]]</f>
        <v>Standard</v>
      </c>
      <c r="BI409">
        <f>tbl_OriginalData[[#This Row],[Time_to_Decision]]</f>
        <v>14</v>
      </c>
      <c r="BJ409" t="s">
        <v>120</v>
      </c>
      <c r="BK409" t="s">
        <v>80</v>
      </c>
      <c r="BL409" t="s">
        <v>2528</v>
      </c>
    </row>
    <row r="410" spans="1:64">
      <c r="A410" t="s">
        <v>1025</v>
      </c>
      <c r="B410">
        <v>44</v>
      </c>
      <c r="C410" t="s">
        <v>33</v>
      </c>
      <c r="D410" t="s">
        <v>51</v>
      </c>
      <c r="E410" t="s">
        <v>92</v>
      </c>
      <c r="F410" t="s">
        <v>52</v>
      </c>
      <c r="G410" t="s">
        <v>34</v>
      </c>
      <c r="H410" t="s">
        <v>1026</v>
      </c>
      <c r="I410" t="s">
        <v>108</v>
      </c>
      <c r="J410">
        <v>403.57</v>
      </c>
      <c r="K410">
        <v>6</v>
      </c>
      <c r="L410" t="s">
        <v>94</v>
      </c>
      <c r="M410">
        <v>2</v>
      </c>
      <c r="N410">
        <v>2</v>
      </c>
      <c r="O410">
        <v>2</v>
      </c>
      <c r="P410" t="s">
        <v>51</v>
      </c>
      <c r="Q410" t="s">
        <v>57</v>
      </c>
      <c r="R410">
        <v>2</v>
      </c>
      <c r="S410">
        <v>2</v>
      </c>
      <c r="T410" t="s">
        <v>40</v>
      </c>
      <c r="U410" t="s">
        <v>70</v>
      </c>
      <c r="V410" t="s">
        <v>76</v>
      </c>
      <c r="W410" s="1">
        <v>45610</v>
      </c>
      <c r="X410" t="b">
        <v>0</v>
      </c>
      <c r="Y410" t="b">
        <v>0</v>
      </c>
      <c r="Z410" t="s">
        <v>72</v>
      </c>
      <c r="AA410" t="s">
        <v>77</v>
      </c>
      <c r="AB410">
        <v>1</v>
      </c>
      <c r="AF410" t="str">
        <f>tbl_OriginalData[[#This Row],[Customer_ID]]</f>
        <v>26-028-2671</v>
      </c>
      <c r="AG410">
        <f>tbl_OriginalData[[#This Row],[Age]]</f>
        <v>44</v>
      </c>
      <c r="AH410" t="str" cm="1">
        <f t="array" ref="AH41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10" t="str">
        <f>tbl_OriginalData[[#This Row],[Gender]]</f>
        <v>Female</v>
      </c>
      <c r="AJ410" t="str">
        <f>tbl_OriginalData[[#This Row],[Income_Level]]</f>
        <v>High</v>
      </c>
      <c r="AK410" t="str">
        <f>tbl_OriginalData[[#This Row],[Marital_Status]]</f>
        <v>Divorced</v>
      </c>
      <c r="AL410" t="str">
        <f>tbl_OriginalData[[#This Row],[Education_Level]]</f>
        <v>High School</v>
      </c>
      <c r="AM410" t="str">
        <f>tbl_OriginalData[[#This Row],[Occupation]]</f>
        <v>Middle</v>
      </c>
      <c r="AN410" t="s">
        <v>1026</v>
      </c>
      <c r="AO410" t="s">
        <v>90</v>
      </c>
      <c r="AP410" t="str">
        <f>tbl_OriginalData[[#This Row],[Purchase_Category]]</f>
        <v>Sports &amp; Outdoors</v>
      </c>
      <c r="AQ410" s="4">
        <f>tbl_OriginalData[[#This Row],[Purchase_Amount]]</f>
        <v>403.57</v>
      </c>
      <c r="AR410">
        <f>tbl_OriginalData[[#This Row],[Frequency_of_Purchase]]</f>
        <v>6</v>
      </c>
      <c r="AS410" t="str">
        <f>tbl_OriginalData[[#This Row],[Purchase_Channel]]</f>
        <v>Online</v>
      </c>
      <c r="AT410">
        <f>tbl_OriginalData[[#This Row],[Brand_Loyalty]]</f>
        <v>2</v>
      </c>
      <c r="AU410">
        <f>tbl_OriginalData[[#This Row],[Product_Rating]]</f>
        <v>2</v>
      </c>
      <c r="AV410">
        <f>tbl_OriginalData[[#This Row],[Time_Spent_on_Product_Research(hours)]]*60</f>
        <v>120</v>
      </c>
      <c r="AW410" t="str">
        <f>tbl_OriginalData[[#This Row],[Social_Media_Influence]]</f>
        <v>High</v>
      </c>
      <c r="AX410" t="str">
        <f>tbl_OriginalData[[#This Row],[Discount_Sensitivity]]</f>
        <v>Not Sensitive</v>
      </c>
      <c r="AY410" s="3">
        <f>tbl_OriginalData[[#This Row],[Return_Rate]]/tbl_OriginalData[[#This Row],[Frequency_of_Purchase]]</f>
        <v>0.33333333333333331</v>
      </c>
      <c r="AZ410">
        <f>tbl_OriginalData[[#This Row],[Customer_Satisfaction]]</f>
        <v>2</v>
      </c>
      <c r="BA410" t="str">
        <f>tbl_OriginalData[[#This Row],[Engagement_with_Ads]]</f>
        <v>None</v>
      </c>
      <c r="BB410" t="str">
        <f>tbl_OriginalData[[#This Row],[Device_Used_for_Shopping]]</f>
        <v>Smartphone</v>
      </c>
      <c r="BC410" t="str">
        <f>tbl_OriginalData[[#This Row],[Payment_Method]]</f>
        <v>Other</v>
      </c>
      <c r="BD410" s="1">
        <f>tbl_OriginalData[[#This Row],[Time_of_Purchase]]</f>
        <v>45610</v>
      </c>
      <c r="BE410" t="str">
        <f>IF(tbl_OriginalData[[#This Row],[Discount_Used]]=TRUE,"Yes","No")</f>
        <v>No</v>
      </c>
      <c r="BF410" t="str">
        <f>IF(tbl_OriginalData[[#This Row],[Customer_Loyalty_Program_Member]]=TRUE,"Yes","No")</f>
        <v>No</v>
      </c>
      <c r="BG410" t="str">
        <f>tbl_OriginalData[[#This Row],[Purchase_Intent]]</f>
        <v>Impulsive</v>
      </c>
      <c r="BH410" t="str">
        <f>tbl_OriginalData[[#This Row],[Shipping_Preference]]</f>
        <v>Express</v>
      </c>
      <c r="BI410">
        <f>tbl_OriginalData[[#This Row],[Time_to_Decision]]</f>
        <v>1</v>
      </c>
      <c r="BJ410" t="s">
        <v>177</v>
      </c>
      <c r="BK410" t="s">
        <v>80</v>
      </c>
      <c r="BL410" t="s">
        <v>2524</v>
      </c>
    </row>
    <row r="411" spans="1:64">
      <c r="A411" t="s">
        <v>1027</v>
      </c>
      <c r="B411">
        <v>42</v>
      </c>
      <c r="C411" t="s">
        <v>33</v>
      </c>
      <c r="D411" t="s">
        <v>51</v>
      </c>
      <c r="E411" t="s">
        <v>35</v>
      </c>
      <c r="F411" t="s">
        <v>36</v>
      </c>
      <c r="G411" t="s">
        <v>34</v>
      </c>
      <c r="H411" t="s">
        <v>1028</v>
      </c>
      <c r="I411" t="s">
        <v>143</v>
      </c>
      <c r="J411">
        <v>442.15</v>
      </c>
      <c r="K411">
        <v>10</v>
      </c>
      <c r="L411" t="s">
        <v>39</v>
      </c>
      <c r="M411">
        <v>2</v>
      </c>
      <c r="N411">
        <v>3</v>
      </c>
      <c r="O411">
        <v>1</v>
      </c>
      <c r="P411" t="s">
        <v>51</v>
      </c>
      <c r="Q411" t="s">
        <v>57</v>
      </c>
      <c r="R411">
        <v>2</v>
      </c>
      <c r="S411">
        <v>1</v>
      </c>
      <c r="T411" t="s">
        <v>40</v>
      </c>
      <c r="U411" t="s">
        <v>70</v>
      </c>
      <c r="V411" t="s">
        <v>43</v>
      </c>
      <c r="W411" s="1">
        <v>45644</v>
      </c>
      <c r="X411" t="b">
        <v>0</v>
      </c>
      <c r="Y411" t="b">
        <v>1</v>
      </c>
      <c r="Z411" t="s">
        <v>44</v>
      </c>
      <c r="AA411" t="s">
        <v>45</v>
      </c>
      <c r="AB411">
        <v>9</v>
      </c>
      <c r="AF411" t="str">
        <f>tbl_OriginalData[[#This Row],[Customer_ID]]</f>
        <v>55-876-7407</v>
      </c>
      <c r="AG411">
        <f>tbl_OriginalData[[#This Row],[Age]]</f>
        <v>42</v>
      </c>
      <c r="AH411" t="str" cm="1">
        <f t="array" ref="AH41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11" t="str">
        <f>tbl_OriginalData[[#This Row],[Gender]]</f>
        <v>Female</v>
      </c>
      <c r="AJ411" t="str">
        <f>tbl_OriginalData[[#This Row],[Income_Level]]</f>
        <v>High</v>
      </c>
      <c r="AK411" t="str">
        <f>tbl_OriginalData[[#This Row],[Marital_Status]]</f>
        <v>Married</v>
      </c>
      <c r="AL411" t="str">
        <f>tbl_OriginalData[[#This Row],[Education_Level]]</f>
        <v>Bachelor's</v>
      </c>
      <c r="AM411" t="str">
        <f>tbl_OriginalData[[#This Row],[Occupation]]</f>
        <v>Middle</v>
      </c>
      <c r="AN411" t="s">
        <v>1028</v>
      </c>
      <c r="AO411" t="s">
        <v>90</v>
      </c>
      <c r="AP411" t="str">
        <f>tbl_OriginalData[[#This Row],[Purchase_Category]]</f>
        <v>Packages)</v>
      </c>
      <c r="AQ411" s="4">
        <f>tbl_OriginalData[[#This Row],[Purchase_Amount]]</f>
        <v>442.15</v>
      </c>
      <c r="AR411">
        <f>tbl_OriginalData[[#This Row],[Frequency_of_Purchase]]</f>
        <v>10</v>
      </c>
      <c r="AS411" t="str">
        <f>tbl_OriginalData[[#This Row],[Purchase_Channel]]</f>
        <v>Mixed</v>
      </c>
      <c r="AT411">
        <f>tbl_OriginalData[[#This Row],[Brand_Loyalty]]</f>
        <v>2</v>
      </c>
      <c r="AU411">
        <f>tbl_OriginalData[[#This Row],[Product_Rating]]</f>
        <v>3</v>
      </c>
      <c r="AV411">
        <f>tbl_OriginalData[[#This Row],[Time_Spent_on_Product_Research(hours)]]*60</f>
        <v>60</v>
      </c>
      <c r="AW411" t="str">
        <f>tbl_OriginalData[[#This Row],[Social_Media_Influence]]</f>
        <v>High</v>
      </c>
      <c r="AX411" t="str">
        <f>tbl_OriginalData[[#This Row],[Discount_Sensitivity]]</f>
        <v>Not Sensitive</v>
      </c>
      <c r="AY411" s="3">
        <f>tbl_OriginalData[[#This Row],[Return_Rate]]/tbl_OriginalData[[#This Row],[Frequency_of_Purchase]]</f>
        <v>0.2</v>
      </c>
      <c r="AZ411">
        <f>tbl_OriginalData[[#This Row],[Customer_Satisfaction]]</f>
        <v>1</v>
      </c>
      <c r="BA411" t="str">
        <f>tbl_OriginalData[[#This Row],[Engagement_with_Ads]]</f>
        <v>None</v>
      </c>
      <c r="BB411" t="str">
        <f>tbl_OriginalData[[#This Row],[Device_Used_for_Shopping]]</f>
        <v>Smartphone</v>
      </c>
      <c r="BC411" t="str">
        <f>tbl_OriginalData[[#This Row],[Payment_Method]]</f>
        <v>Credit Card</v>
      </c>
      <c r="BD411" s="1">
        <f>tbl_OriginalData[[#This Row],[Time_of_Purchase]]</f>
        <v>45644</v>
      </c>
      <c r="BE411" t="str">
        <f>IF(tbl_OriginalData[[#This Row],[Discount_Used]]=TRUE,"Yes","No")</f>
        <v>No</v>
      </c>
      <c r="BF411" t="str">
        <f>IF(tbl_OriginalData[[#This Row],[Customer_Loyalty_Program_Member]]=TRUE,"Yes","No")</f>
        <v>Yes</v>
      </c>
      <c r="BG411" t="str">
        <f>tbl_OriginalData[[#This Row],[Purchase_Intent]]</f>
        <v>Need-based</v>
      </c>
      <c r="BH411" t="str">
        <f>tbl_OriginalData[[#This Row],[Shipping_Preference]]</f>
        <v>No Preference</v>
      </c>
      <c r="BI411">
        <f>tbl_OriginalData[[#This Row],[Time_to_Decision]]</f>
        <v>9</v>
      </c>
      <c r="BJ411" t="s">
        <v>120</v>
      </c>
      <c r="BK411" t="s">
        <v>80</v>
      </c>
      <c r="BL411" t="s">
        <v>2524</v>
      </c>
    </row>
    <row r="412" spans="1:64">
      <c r="A412" t="s">
        <v>1029</v>
      </c>
      <c r="B412">
        <v>49</v>
      </c>
      <c r="C412" t="s">
        <v>33</v>
      </c>
      <c r="D412" t="s">
        <v>34</v>
      </c>
      <c r="E412" t="s">
        <v>82</v>
      </c>
      <c r="F412" t="s">
        <v>36</v>
      </c>
      <c r="G412" t="s">
        <v>51</v>
      </c>
      <c r="H412" t="s">
        <v>1030</v>
      </c>
      <c r="I412" t="s">
        <v>108</v>
      </c>
      <c r="J412">
        <v>78.709999999999994</v>
      </c>
      <c r="K412">
        <v>5</v>
      </c>
      <c r="L412" t="s">
        <v>94</v>
      </c>
      <c r="M412">
        <v>4</v>
      </c>
      <c r="N412">
        <v>3</v>
      </c>
      <c r="O412">
        <v>1</v>
      </c>
      <c r="P412" t="s">
        <v>40</v>
      </c>
      <c r="Q412" t="s">
        <v>41</v>
      </c>
      <c r="R412">
        <v>1</v>
      </c>
      <c r="S412">
        <v>10</v>
      </c>
      <c r="T412" t="s">
        <v>69</v>
      </c>
      <c r="U412" t="s">
        <v>70</v>
      </c>
      <c r="V412" t="s">
        <v>58</v>
      </c>
      <c r="W412" s="1">
        <v>45392</v>
      </c>
      <c r="X412" t="b">
        <v>1</v>
      </c>
      <c r="Y412" t="b">
        <v>1</v>
      </c>
      <c r="Z412" t="s">
        <v>89</v>
      </c>
      <c r="AA412" t="s">
        <v>45</v>
      </c>
      <c r="AB412">
        <v>4</v>
      </c>
      <c r="AF412" t="str">
        <f>tbl_OriginalData[[#This Row],[Customer_ID]]</f>
        <v>47-720-9520</v>
      </c>
      <c r="AG412">
        <f>tbl_OriginalData[[#This Row],[Age]]</f>
        <v>49</v>
      </c>
      <c r="AH412" t="str" cm="1">
        <f t="array" ref="AH41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12" t="str">
        <f>tbl_OriginalData[[#This Row],[Gender]]</f>
        <v>Female</v>
      </c>
      <c r="AJ412" t="str">
        <f>tbl_OriginalData[[#This Row],[Income_Level]]</f>
        <v>Middle</v>
      </c>
      <c r="AK412" t="str">
        <f>tbl_OriginalData[[#This Row],[Marital_Status]]</f>
        <v>Widowed</v>
      </c>
      <c r="AL412" t="str">
        <f>tbl_OriginalData[[#This Row],[Education_Level]]</f>
        <v>Bachelor's</v>
      </c>
      <c r="AM412" t="str">
        <f>tbl_OriginalData[[#This Row],[Occupation]]</f>
        <v>High</v>
      </c>
      <c r="AN412" t="s">
        <v>1030</v>
      </c>
      <c r="AO412" t="s">
        <v>186</v>
      </c>
      <c r="AP412" t="str">
        <f>tbl_OriginalData[[#This Row],[Purchase_Category]]</f>
        <v>Sports &amp; Outdoors</v>
      </c>
      <c r="AQ412" s="4">
        <f>tbl_OriginalData[[#This Row],[Purchase_Amount]]</f>
        <v>78.709999999999994</v>
      </c>
      <c r="AR412">
        <f>tbl_OriginalData[[#This Row],[Frequency_of_Purchase]]</f>
        <v>5</v>
      </c>
      <c r="AS412" t="str">
        <f>tbl_OriginalData[[#This Row],[Purchase_Channel]]</f>
        <v>Online</v>
      </c>
      <c r="AT412">
        <f>tbl_OriginalData[[#This Row],[Brand_Loyalty]]</f>
        <v>4</v>
      </c>
      <c r="AU412">
        <f>tbl_OriginalData[[#This Row],[Product_Rating]]</f>
        <v>3</v>
      </c>
      <c r="AV412">
        <f>tbl_OriginalData[[#This Row],[Time_Spent_on_Product_Research(hours)]]*60</f>
        <v>60</v>
      </c>
      <c r="AW412" t="str">
        <f>tbl_OriginalData[[#This Row],[Social_Media_Influence]]</f>
        <v>None</v>
      </c>
      <c r="AX412" t="str">
        <f>tbl_OriginalData[[#This Row],[Discount_Sensitivity]]</f>
        <v>Somewhat Sensitive</v>
      </c>
      <c r="AY412" s="3">
        <f>tbl_OriginalData[[#This Row],[Return_Rate]]/tbl_OriginalData[[#This Row],[Frequency_of_Purchase]]</f>
        <v>0.2</v>
      </c>
      <c r="AZ412">
        <f>tbl_OriginalData[[#This Row],[Customer_Satisfaction]]</f>
        <v>10</v>
      </c>
      <c r="BA412" t="str">
        <f>tbl_OriginalData[[#This Row],[Engagement_with_Ads]]</f>
        <v>Low</v>
      </c>
      <c r="BB412" t="str">
        <f>tbl_OriginalData[[#This Row],[Device_Used_for_Shopping]]</f>
        <v>Smartphone</v>
      </c>
      <c r="BC412" t="str">
        <f>tbl_OriginalData[[#This Row],[Payment_Method]]</f>
        <v>PayPal</v>
      </c>
      <c r="BD412" s="1">
        <f>tbl_OriginalData[[#This Row],[Time_of_Purchase]]</f>
        <v>45392</v>
      </c>
      <c r="BE412" t="str">
        <f>IF(tbl_OriginalData[[#This Row],[Discount_Used]]=TRUE,"Yes","No")</f>
        <v>Yes</v>
      </c>
      <c r="BF412" t="str">
        <f>IF(tbl_OriginalData[[#This Row],[Customer_Loyalty_Program_Member]]=TRUE,"Yes","No")</f>
        <v>Yes</v>
      </c>
      <c r="BG412" t="str">
        <f>tbl_OriginalData[[#This Row],[Purchase_Intent]]</f>
        <v>Planned</v>
      </c>
      <c r="BH412" t="str">
        <f>tbl_OriginalData[[#This Row],[Shipping_Preference]]</f>
        <v>No Preference</v>
      </c>
      <c r="BI412">
        <f>tbl_OriginalData[[#This Row],[Time_to_Decision]]</f>
        <v>4</v>
      </c>
      <c r="BJ412" t="s">
        <v>62</v>
      </c>
      <c r="BK412" t="s">
        <v>63</v>
      </c>
      <c r="BL412" t="s">
        <v>2523</v>
      </c>
    </row>
    <row r="413" spans="1:64">
      <c r="A413" t="s">
        <v>1031</v>
      </c>
      <c r="B413">
        <v>45</v>
      </c>
      <c r="C413" t="s">
        <v>33</v>
      </c>
      <c r="D413" t="s">
        <v>34</v>
      </c>
      <c r="E413" t="s">
        <v>82</v>
      </c>
      <c r="F413" t="s">
        <v>52</v>
      </c>
      <c r="G413" t="s">
        <v>51</v>
      </c>
      <c r="H413" t="s">
        <v>1032</v>
      </c>
      <c r="I413" t="s">
        <v>84</v>
      </c>
      <c r="J413">
        <v>491.51</v>
      </c>
      <c r="K413">
        <v>2</v>
      </c>
      <c r="L413" t="s">
        <v>39</v>
      </c>
      <c r="M413">
        <v>2</v>
      </c>
      <c r="N413">
        <v>5</v>
      </c>
      <c r="O413">
        <v>0</v>
      </c>
      <c r="P413" t="s">
        <v>56</v>
      </c>
      <c r="Q413" t="s">
        <v>101</v>
      </c>
      <c r="R413">
        <v>1</v>
      </c>
      <c r="S413">
        <v>1</v>
      </c>
      <c r="T413" t="s">
        <v>51</v>
      </c>
      <c r="U413" t="s">
        <v>70</v>
      </c>
      <c r="V413" t="s">
        <v>58</v>
      </c>
      <c r="W413" s="1">
        <v>45632</v>
      </c>
      <c r="X413" t="b">
        <v>1</v>
      </c>
      <c r="Y413" t="b">
        <v>0</v>
      </c>
      <c r="Z413" t="s">
        <v>44</v>
      </c>
      <c r="AA413" t="s">
        <v>45</v>
      </c>
      <c r="AB413">
        <v>7</v>
      </c>
      <c r="AF413" t="str">
        <f>tbl_OriginalData[[#This Row],[Customer_ID]]</f>
        <v>42-207-5005</v>
      </c>
      <c r="AG413">
        <f>tbl_OriginalData[[#This Row],[Age]]</f>
        <v>45</v>
      </c>
      <c r="AH413" t="str" cm="1">
        <f t="array" ref="AH41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13" t="str">
        <f>tbl_OriginalData[[#This Row],[Gender]]</f>
        <v>Female</v>
      </c>
      <c r="AJ413" t="str">
        <f>tbl_OriginalData[[#This Row],[Income_Level]]</f>
        <v>Middle</v>
      </c>
      <c r="AK413" t="str">
        <f>tbl_OriginalData[[#This Row],[Marital_Status]]</f>
        <v>Widowed</v>
      </c>
      <c r="AL413" t="str">
        <f>tbl_OriginalData[[#This Row],[Education_Level]]</f>
        <v>High School</v>
      </c>
      <c r="AM413" t="str">
        <f>tbl_OriginalData[[#This Row],[Occupation]]</f>
        <v>High</v>
      </c>
      <c r="AN413" t="s">
        <v>1032</v>
      </c>
      <c r="AO413" t="s">
        <v>328</v>
      </c>
      <c r="AP413" t="str">
        <f>tbl_OriginalData[[#This Row],[Purchase_Category]]</f>
        <v>Furniture</v>
      </c>
      <c r="AQ413" s="4">
        <f>tbl_OriginalData[[#This Row],[Purchase_Amount]]</f>
        <v>491.51</v>
      </c>
      <c r="AR413">
        <f>tbl_OriginalData[[#This Row],[Frequency_of_Purchase]]</f>
        <v>2</v>
      </c>
      <c r="AS413" t="str">
        <f>tbl_OriginalData[[#This Row],[Purchase_Channel]]</f>
        <v>Mixed</v>
      </c>
      <c r="AT413">
        <f>tbl_OriginalData[[#This Row],[Brand_Loyalty]]</f>
        <v>2</v>
      </c>
      <c r="AU413">
        <f>tbl_OriginalData[[#This Row],[Product_Rating]]</f>
        <v>5</v>
      </c>
      <c r="AV413">
        <f>tbl_OriginalData[[#This Row],[Time_Spent_on_Product_Research(hours)]]*60</f>
        <v>0</v>
      </c>
      <c r="AW413" t="str">
        <f>tbl_OriginalData[[#This Row],[Social_Media_Influence]]</f>
        <v>Medium</v>
      </c>
      <c r="AX413" t="str">
        <f>tbl_OriginalData[[#This Row],[Discount_Sensitivity]]</f>
        <v>Very Sensitive</v>
      </c>
      <c r="AY413" s="3">
        <f>tbl_OriginalData[[#This Row],[Return_Rate]]/tbl_OriginalData[[#This Row],[Frequency_of_Purchase]]</f>
        <v>0.5</v>
      </c>
      <c r="AZ413">
        <f>tbl_OriginalData[[#This Row],[Customer_Satisfaction]]</f>
        <v>1</v>
      </c>
      <c r="BA413" t="str">
        <f>tbl_OriginalData[[#This Row],[Engagement_with_Ads]]</f>
        <v>High</v>
      </c>
      <c r="BB413" t="str">
        <f>tbl_OriginalData[[#This Row],[Device_Used_for_Shopping]]</f>
        <v>Smartphone</v>
      </c>
      <c r="BC413" t="str">
        <f>tbl_OriginalData[[#This Row],[Payment_Method]]</f>
        <v>PayPal</v>
      </c>
      <c r="BD413" s="1">
        <f>tbl_OriginalData[[#This Row],[Time_of_Purchase]]</f>
        <v>45632</v>
      </c>
      <c r="BE413" t="str">
        <f>IF(tbl_OriginalData[[#This Row],[Discount_Used]]=TRUE,"Yes","No")</f>
        <v>Yes</v>
      </c>
      <c r="BF413" t="str">
        <f>IF(tbl_OriginalData[[#This Row],[Customer_Loyalty_Program_Member]]=TRUE,"Yes","No")</f>
        <v>No</v>
      </c>
      <c r="BG413" t="str">
        <f>tbl_OriginalData[[#This Row],[Purchase_Intent]]</f>
        <v>Need-based</v>
      </c>
      <c r="BH413" t="str">
        <f>tbl_OriginalData[[#This Row],[Shipping_Preference]]</f>
        <v>No Preference</v>
      </c>
      <c r="BI413">
        <f>tbl_OriginalData[[#This Row],[Time_to_Decision]]</f>
        <v>7</v>
      </c>
      <c r="BJ413" t="s">
        <v>120</v>
      </c>
      <c r="BK413" t="s">
        <v>80</v>
      </c>
      <c r="BL413" t="s">
        <v>2527</v>
      </c>
    </row>
    <row r="414" spans="1:64">
      <c r="A414" t="s">
        <v>1033</v>
      </c>
      <c r="B414">
        <v>36</v>
      </c>
      <c r="C414" t="s">
        <v>33</v>
      </c>
      <c r="D414" t="s">
        <v>34</v>
      </c>
      <c r="E414" t="s">
        <v>65</v>
      </c>
      <c r="F414" t="s">
        <v>36</v>
      </c>
      <c r="G414" t="s">
        <v>34</v>
      </c>
      <c r="H414" t="s">
        <v>1034</v>
      </c>
      <c r="I414" t="s">
        <v>84</v>
      </c>
      <c r="J414">
        <v>457.39</v>
      </c>
      <c r="K414">
        <v>12</v>
      </c>
      <c r="L414" t="s">
        <v>55</v>
      </c>
      <c r="M414">
        <v>1</v>
      </c>
      <c r="N414">
        <v>1</v>
      </c>
      <c r="O414">
        <v>1</v>
      </c>
      <c r="P414" t="s">
        <v>51</v>
      </c>
      <c r="Q414" t="s">
        <v>57</v>
      </c>
      <c r="R414">
        <v>1</v>
      </c>
      <c r="S414">
        <v>5</v>
      </c>
      <c r="T414" t="s">
        <v>51</v>
      </c>
      <c r="U414" t="s">
        <v>95</v>
      </c>
      <c r="V414" t="s">
        <v>43</v>
      </c>
      <c r="W414" s="1">
        <v>45594</v>
      </c>
      <c r="X414" t="b">
        <v>1</v>
      </c>
      <c r="Y414" t="b">
        <v>0</v>
      </c>
      <c r="Z414" t="s">
        <v>72</v>
      </c>
      <c r="AA414" t="s">
        <v>60</v>
      </c>
      <c r="AB414">
        <v>9</v>
      </c>
      <c r="AF414" t="str">
        <f>tbl_OriginalData[[#This Row],[Customer_ID]]</f>
        <v>47-266-2261</v>
      </c>
      <c r="AG414">
        <f>tbl_OriginalData[[#This Row],[Age]]</f>
        <v>36</v>
      </c>
      <c r="AH414" t="str" cm="1">
        <f t="array" ref="AH41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14" t="str">
        <f>tbl_OriginalData[[#This Row],[Gender]]</f>
        <v>Female</v>
      </c>
      <c r="AJ414" t="str">
        <f>tbl_OriginalData[[#This Row],[Income_Level]]</f>
        <v>Middle</v>
      </c>
      <c r="AK414" t="str">
        <f>tbl_OriginalData[[#This Row],[Marital_Status]]</f>
        <v>Single</v>
      </c>
      <c r="AL414" t="str">
        <f>tbl_OriginalData[[#This Row],[Education_Level]]</f>
        <v>Bachelor's</v>
      </c>
      <c r="AM414" t="str">
        <f>tbl_OriginalData[[#This Row],[Occupation]]</f>
        <v>Middle</v>
      </c>
      <c r="AN414" t="s">
        <v>1034</v>
      </c>
      <c r="AO414" t="s">
        <v>497</v>
      </c>
      <c r="AP414" t="str">
        <f>tbl_OriginalData[[#This Row],[Purchase_Category]]</f>
        <v>Furniture</v>
      </c>
      <c r="AQ414" s="4">
        <f>tbl_OriginalData[[#This Row],[Purchase_Amount]]</f>
        <v>457.39</v>
      </c>
      <c r="AR414">
        <f>tbl_OriginalData[[#This Row],[Frequency_of_Purchase]]</f>
        <v>12</v>
      </c>
      <c r="AS414" t="str">
        <f>tbl_OriginalData[[#This Row],[Purchase_Channel]]</f>
        <v>In-Store</v>
      </c>
      <c r="AT414">
        <f>tbl_OriginalData[[#This Row],[Brand_Loyalty]]</f>
        <v>1</v>
      </c>
      <c r="AU414">
        <f>tbl_OriginalData[[#This Row],[Product_Rating]]</f>
        <v>1</v>
      </c>
      <c r="AV414">
        <f>tbl_OriginalData[[#This Row],[Time_Spent_on_Product_Research(hours)]]*60</f>
        <v>60</v>
      </c>
      <c r="AW414" t="str">
        <f>tbl_OriginalData[[#This Row],[Social_Media_Influence]]</f>
        <v>High</v>
      </c>
      <c r="AX414" t="str">
        <f>tbl_OriginalData[[#This Row],[Discount_Sensitivity]]</f>
        <v>Not Sensitive</v>
      </c>
      <c r="AY414" s="3">
        <f>tbl_OriginalData[[#This Row],[Return_Rate]]/tbl_OriginalData[[#This Row],[Frequency_of_Purchase]]</f>
        <v>8.3333333333333329E-2</v>
      </c>
      <c r="AZ414">
        <f>tbl_OriginalData[[#This Row],[Customer_Satisfaction]]</f>
        <v>5</v>
      </c>
      <c r="BA414" t="str">
        <f>tbl_OriginalData[[#This Row],[Engagement_with_Ads]]</f>
        <v>High</v>
      </c>
      <c r="BB414" t="str">
        <f>tbl_OriginalData[[#This Row],[Device_Used_for_Shopping]]</f>
        <v>Desktop</v>
      </c>
      <c r="BC414" t="str">
        <f>tbl_OriginalData[[#This Row],[Payment_Method]]</f>
        <v>Credit Card</v>
      </c>
      <c r="BD414" s="1">
        <f>tbl_OriginalData[[#This Row],[Time_of_Purchase]]</f>
        <v>45594</v>
      </c>
      <c r="BE414" t="str">
        <f>IF(tbl_OriginalData[[#This Row],[Discount_Used]]=TRUE,"Yes","No")</f>
        <v>Yes</v>
      </c>
      <c r="BF414" t="str">
        <f>IF(tbl_OriginalData[[#This Row],[Customer_Loyalty_Program_Member]]=TRUE,"Yes","No")</f>
        <v>No</v>
      </c>
      <c r="BG414" t="str">
        <f>tbl_OriginalData[[#This Row],[Purchase_Intent]]</f>
        <v>Impulsive</v>
      </c>
      <c r="BH414" t="str">
        <f>tbl_OriginalData[[#This Row],[Shipping_Preference]]</f>
        <v>Standard</v>
      </c>
      <c r="BI414">
        <f>tbl_OriginalData[[#This Row],[Time_to_Decision]]</f>
        <v>9</v>
      </c>
      <c r="BJ414" t="s">
        <v>79</v>
      </c>
      <c r="BK414" t="s">
        <v>80</v>
      </c>
      <c r="BL414" t="s">
        <v>2523</v>
      </c>
    </row>
    <row r="415" spans="1:64">
      <c r="A415" t="s">
        <v>1035</v>
      </c>
      <c r="B415">
        <v>38</v>
      </c>
      <c r="C415" t="s">
        <v>33</v>
      </c>
      <c r="D415" t="s">
        <v>51</v>
      </c>
      <c r="E415" t="s">
        <v>92</v>
      </c>
      <c r="F415" t="s">
        <v>52</v>
      </c>
      <c r="G415" t="s">
        <v>51</v>
      </c>
      <c r="H415" t="s">
        <v>1036</v>
      </c>
      <c r="I415" t="s">
        <v>54</v>
      </c>
      <c r="J415">
        <v>178.61</v>
      </c>
      <c r="K415">
        <v>12</v>
      </c>
      <c r="L415" t="s">
        <v>94</v>
      </c>
      <c r="M415">
        <v>5</v>
      </c>
      <c r="N415">
        <v>1</v>
      </c>
      <c r="O415">
        <v>2</v>
      </c>
      <c r="P415" t="s">
        <v>51</v>
      </c>
      <c r="Q415" t="s">
        <v>57</v>
      </c>
      <c r="R415">
        <v>0</v>
      </c>
      <c r="S415">
        <v>3</v>
      </c>
      <c r="T415" t="s">
        <v>40</v>
      </c>
      <c r="U415" t="s">
        <v>70</v>
      </c>
      <c r="V415" t="s">
        <v>43</v>
      </c>
      <c r="W415" s="1">
        <v>45483</v>
      </c>
      <c r="X415" t="b">
        <v>1</v>
      </c>
      <c r="Y415" t="b">
        <v>0</v>
      </c>
      <c r="Z415" t="s">
        <v>72</v>
      </c>
      <c r="AA415" t="s">
        <v>45</v>
      </c>
      <c r="AB415">
        <v>8</v>
      </c>
      <c r="AF415" t="str">
        <f>tbl_OriginalData[[#This Row],[Customer_ID]]</f>
        <v>77-642-7686</v>
      </c>
      <c r="AG415">
        <f>tbl_OriginalData[[#This Row],[Age]]</f>
        <v>38</v>
      </c>
      <c r="AH415" t="str" cm="1">
        <f t="array" ref="AH41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15" t="str">
        <f>tbl_OriginalData[[#This Row],[Gender]]</f>
        <v>Female</v>
      </c>
      <c r="AJ415" t="str">
        <f>tbl_OriginalData[[#This Row],[Income_Level]]</f>
        <v>High</v>
      </c>
      <c r="AK415" t="str">
        <f>tbl_OriginalData[[#This Row],[Marital_Status]]</f>
        <v>Divorced</v>
      </c>
      <c r="AL415" t="str">
        <f>tbl_OriginalData[[#This Row],[Education_Level]]</f>
        <v>High School</v>
      </c>
      <c r="AM415" t="str">
        <f>tbl_OriginalData[[#This Row],[Occupation]]</f>
        <v>High</v>
      </c>
      <c r="AN415" t="s">
        <v>1036</v>
      </c>
      <c r="AO415" t="s">
        <v>61</v>
      </c>
      <c r="AP415" t="str">
        <f>tbl_OriginalData[[#This Row],[Purchase_Category]]</f>
        <v>Food &amp; Beverages</v>
      </c>
      <c r="AQ415" s="4">
        <f>tbl_OriginalData[[#This Row],[Purchase_Amount]]</f>
        <v>178.61</v>
      </c>
      <c r="AR415">
        <f>tbl_OriginalData[[#This Row],[Frequency_of_Purchase]]</f>
        <v>12</v>
      </c>
      <c r="AS415" t="str">
        <f>tbl_OriginalData[[#This Row],[Purchase_Channel]]</f>
        <v>Online</v>
      </c>
      <c r="AT415">
        <f>tbl_OriginalData[[#This Row],[Brand_Loyalty]]</f>
        <v>5</v>
      </c>
      <c r="AU415">
        <f>tbl_OriginalData[[#This Row],[Product_Rating]]</f>
        <v>1</v>
      </c>
      <c r="AV415">
        <f>tbl_OriginalData[[#This Row],[Time_Spent_on_Product_Research(hours)]]*60</f>
        <v>120</v>
      </c>
      <c r="AW415" t="str">
        <f>tbl_OriginalData[[#This Row],[Social_Media_Influence]]</f>
        <v>High</v>
      </c>
      <c r="AX415" t="str">
        <f>tbl_OriginalData[[#This Row],[Discount_Sensitivity]]</f>
        <v>Not Sensitive</v>
      </c>
      <c r="AY415" s="3">
        <f>tbl_OriginalData[[#This Row],[Return_Rate]]/tbl_OriginalData[[#This Row],[Frequency_of_Purchase]]</f>
        <v>0</v>
      </c>
      <c r="AZ415">
        <f>tbl_OriginalData[[#This Row],[Customer_Satisfaction]]</f>
        <v>3</v>
      </c>
      <c r="BA415" t="str">
        <f>tbl_OriginalData[[#This Row],[Engagement_with_Ads]]</f>
        <v>None</v>
      </c>
      <c r="BB415" t="str">
        <f>tbl_OriginalData[[#This Row],[Device_Used_for_Shopping]]</f>
        <v>Smartphone</v>
      </c>
      <c r="BC415" t="str">
        <f>tbl_OriginalData[[#This Row],[Payment_Method]]</f>
        <v>Credit Card</v>
      </c>
      <c r="BD415" s="1">
        <f>tbl_OriginalData[[#This Row],[Time_of_Purchase]]</f>
        <v>45483</v>
      </c>
      <c r="BE415" t="str">
        <f>IF(tbl_OriginalData[[#This Row],[Discount_Used]]=TRUE,"Yes","No")</f>
        <v>Yes</v>
      </c>
      <c r="BF415" t="str">
        <f>IF(tbl_OriginalData[[#This Row],[Customer_Loyalty_Program_Member]]=TRUE,"Yes","No")</f>
        <v>No</v>
      </c>
      <c r="BG415" t="str">
        <f>tbl_OriginalData[[#This Row],[Purchase_Intent]]</f>
        <v>Impulsive</v>
      </c>
      <c r="BH415" t="str">
        <f>tbl_OriginalData[[#This Row],[Shipping_Preference]]</f>
        <v>No Preference</v>
      </c>
      <c r="BI415">
        <f>tbl_OriginalData[[#This Row],[Time_to_Decision]]</f>
        <v>8</v>
      </c>
      <c r="BJ415" t="s">
        <v>114</v>
      </c>
      <c r="BK415" t="s">
        <v>115</v>
      </c>
      <c r="BL415" t="s">
        <v>2524</v>
      </c>
    </row>
    <row r="416" spans="1:64">
      <c r="A416" t="s">
        <v>1037</v>
      </c>
      <c r="B416">
        <v>44</v>
      </c>
      <c r="C416" t="s">
        <v>50</v>
      </c>
      <c r="D416" t="s">
        <v>34</v>
      </c>
      <c r="E416" t="s">
        <v>65</v>
      </c>
      <c r="F416" t="s">
        <v>52</v>
      </c>
      <c r="G416" t="s">
        <v>34</v>
      </c>
      <c r="H416" t="s">
        <v>1038</v>
      </c>
      <c r="I416" t="s">
        <v>131</v>
      </c>
      <c r="J416">
        <v>492.51</v>
      </c>
      <c r="K416">
        <v>7</v>
      </c>
      <c r="L416" t="s">
        <v>94</v>
      </c>
      <c r="M416">
        <v>1</v>
      </c>
      <c r="N416">
        <v>4</v>
      </c>
      <c r="O416">
        <v>1</v>
      </c>
      <c r="P416" t="s">
        <v>69</v>
      </c>
      <c r="Q416" t="s">
        <v>57</v>
      </c>
      <c r="R416">
        <v>0</v>
      </c>
      <c r="S416">
        <v>2</v>
      </c>
      <c r="T416" t="s">
        <v>56</v>
      </c>
      <c r="U416" t="s">
        <v>95</v>
      </c>
      <c r="V416" t="s">
        <v>58</v>
      </c>
      <c r="W416" s="1">
        <v>45321</v>
      </c>
      <c r="X416" t="b">
        <v>1</v>
      </c>
      <c r="Y416" t="b">
        <v>1</v>
      </c>
      <c r="Z416" t="s">
        <v>59</v>
      </c>
      <c r="AA416" t="s">
        <v>60</v>
      </c>
      <c r="AB416">
        <v>4</v>
      </c>
      <c r="AF416" t="str">
        <f>tbl_OriginalData[[#This Row],[Customer_ID]]</f>
        <v>37-468-8133</v>
      </c>
      <c r="AG416">
        <f>tbl_OriginalData[[#This Row],[Age]]</f>
        <v>44</v>
      </c>
      <c r="AH416" t="str" cm="1">
        <f t="array" ref="AH41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16" t="str">
        <f>tbl_OriginalData[[#This Row],[Gender]]</f>
        <v>Male</v>
      </c>
      <c r="AJ416" t="str">
        <f>tbl_OriginalData[[#This Row],[Income_Level]]</f>
        <v>Middle</v>
      </c>
      <c r="AK416" t="str">
        <f>tbl_OriginalData[[#This Row],[Marital_Status]]</f>
        <v>Single</v>
      </c>
      <c r="AL416" t="str">
        <f>tbl_OriginalData[[#This Row],[Education_Level]]</f>
        <v>High School</v>
      </c>
      <c r="AM416" t="str">
        <f>tbl_OriginalData[[#This Row],[Occupation]]</f>
        <v>Middle</v>
      </c>
      <c r="AN416" t="s">
        <v>1038</v>
      </c>
      <c r="AO416" t="s">
        <v>90</v>
      </c>
      <c r="AP416" t="str">
        <f>tbl_OriginalData[[#This Row],[Purchase_Category]]</f>
        <v>Health Care</v>
      </c>
      <c r="AQ416" s="4">
        <f>tbl_OriginalData[[#This Row],[Purchase_Amount]]</f>
        <v>492.51</v>
      </c>
      <c r="AR416">
        <f>tbl_OriginalData[[#This Row],[Frequency_of_Purchase]]</f>
        <v>7</v>
      </c>
      <c r="AS416" t="str">
        <f>tbl_OriginalData[[#This Row],[Purchase_Channel]]</f>
        <v>Online</v>
      </c>
      <c r="AT416">
        <f>tbl_OriginalData[[#This Row],[Brand_Loyalty]]</f>
        <v>1</v>
      </c>
      <c r="AU416">
        <f>tbl_OriginalData[[#This Row],[Product_Rating]]</f>
        <v>4</v>
      </c>
      <c r="AV416">
        <f>tbl_OriginalData[[#This Row],[Time_Spent_on_Product_Research(hours)]]*60</f>
        <v>60</v>
      </c>
      <c r="AW416" t="str">
        <f>tbl_OriginalData[[#This Row],[Social_Media_Influence]]</f>
        <v>Low</v>
      </c>
      <c r="AX416" t="str">
        <f>tbl_OriginalData[[#This Row],[Discount_Sensitivity]]</f>
        <v>Not Sensitive</v>
      </c>
      <c r="AY416" s="3">
        <f>tbl_OriginalData[[#This Row],[Return_Rate]]/tbl_OriginalData[[#This Row],[Frequency_of_Purchase]]</f>
        <v>0</v>
      </c>
      <c r="AZ416">
        <f>tbl_OriginalData[[#This Row],[Customer_Satisfaction]]</f>
        <v>2</v>
      </c>
      <c r="BA416" t="str">
        <f>tbl_OriginalData[[#This Row],[Engagement_with_Ads]]</f>
        <v>Medium</v>
      </c>
      <c r="BB416" t="str">
        <f>tbl_OriginalData[[#This Row],[Device_Used_for_Shopping]]</f>
        <v>Desktop</v>
      </c>
      <c r="BC416" t="str">
        <f>tbl_OriginalData[[#This Row],[Payment_Method]]</f>
        <v>PayPal</v>
      </c>
      <c r="BD416" s="1">
        <f>tbl_OriginalData[[#This Row],[Time_of_Purchase]]</f>
        <v>45321</v>
      </c>
      <c r="BE416" t="str">
        <f>IF(tbl_OriginalData[[#This Row],[Discount_Used]]=TRUE,"Yes","No")</f>
        <v>Yes</v>
      </c>
      <c r="BF416" t="str">
        <f>IF(tbl_OriginalData[[#This Row],[Customer_Loyalty_Program_Member]]=TRUE,"Yes","No")</f>
        <v>Yes</v>
      </c>
      <c r="BG416" t="str">
        <f>tbl_OriginalData[[#This Row],[Purchase_Intent]]</f>
        <v>Wants-based</v>
      </c>
      <c r="BH416" t="str">
        <f>tbl_OriginalData[[#This Row],[Shipping_Preference]]</f>
        <v>Standard</v>
      </c>
      <c r="BI416">
        <f>tbl_OriginalData[[#This Row],[Time_to_Decision]]</f>
        <v>4</v>
      </c>
      <c r="BJ416" t="s">
        <v>86</v>
      </c>
      <c r="BK416" t="s">
        <v>48</v>
      </c>
      <c r="BL416" t="s">
        <v>2524</v>
      </c>
    </row>
    <row r="417" spans="1:64">
      <c r="A417" t="s">
        <v>1039</v>
      </c>
      <c r="B417">
        <v>37</v>
      </c>
      <c r="C417" t="s">
        <v>340</v>
      </c>
      <c r="D417" t="s">
        <v>51</v>
      </c>
      <c r="E417" t="s">
        <v>35</v>
      </c>
      <c r="F417" t="s">
        <v>36</v>
      </c>
      <c r="G417" t="s">
        <v>51</v>
      </c>
      <c r="H417" t="s">
        <v>1040</v>
      </c>
      <c r="I417" t="s">
        <v>75</v>
      </c>
      <c r="J417">
        <v>411.4</v>
      </c>
      <c r="K417">
        <v>3</v>
      </c>
      <c r="L417" t="s">
        <v>55</v>
      </c>
      <c r="M417">
        <v>1</v>
      </c>
      <c r="N417">
        <v>3</v>
      </c>
      <c r="O417">
        <v>0</v>
      </c>
      <c r="P417" t="s">
        <v>51</v>
      </c>
      <c r="Q417" t="s">
        <v>41</v>
      </c>
      <c r="R417">
        <v>2</v>
      </c>
      <c r="S417">
        <v>9</v>
      </c>
      <c r="T417" t="s">
        <v>40</v>
      </c>
      <c r="U417" t="s">
        <v>70</v>
      </c>
      <c r="V417" t="s">
        <v>58</v>
      </c>
      <c r="W417" s="1">
        <v>45516</v>
      </c>
      <c r="X417" t="b">
        <v>1</v>
      </c>
      <c r="Y417" t="b">
        <v>0</v>
      </c>
      <c r="Z417" t="s">
        <v>72</v>
      </c>
      <c r="AA417" t="s">
        <v>60</v>
      </c>
      <c r="AB417">
        <v>6</v>
      </c>
      <c r="AF417" t="str">
        <f>tbl_OriginalData[[#This Row],[Customer_ID]]</f>
        <v>00-335-5034</v>
      </c>
      <c r="AG417">
        <f>tbl_OriginalData[[#This Row],[Age]]</f>
        <v>37</v>
      </c>
      <c r="AH417" t="str" cm="1">
        <f t="array" ref="AH41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17" t="str">
        <f>tbl_OriginalData[[#This Row],[Gender]]</f>
        <v>Agender</v>
      </c>
      <c r="AJ417" t="str">
        <f>tbl_OriginalData[[#This Row],[Income_Level]]</f>
        <v>High</v>
      </c>
      <c r="AK417" t="str">
        <f>tbl_OriginalData[[#This Row],[Marital_Status]]</f>
        <v>Married</v>
      </c>
      <c r="AL417" t="str">
        <f>tbl_OriginalData[[#This Row],[Education_Level]]</f>
        <v>Bachelor's</v>
      </c>
      <c r="AM417" t="str">
        <f>tbl_OriginalData[[#This Row],[Occupation]]</f>
        <v>High</v>
      </c>
      <c r="AN417" t="s">
        <v>1040</v>
      </c>
      <c r="AO417" t="s">
        <v>61</v>
      </c>
      <c r="AP417" t="str">
        <f>tbl_OriginalData[[#This Row],[Purchase_Category]]</f>
        <v>Home Appliances</v>
      </c>
      <c r="AQ417" s="4">
        <f>tbl_OriginalData[[#This Row],[Purchase_Amount]]</f>
        <v>411.4</v>
      </c>
      <c r="AR417">
        <f>tbl_OriginalData[[#This Row],[Frequency_of_Purchase]]</f>
        <v>3</v>
      </c>
      <c r="AS417" t="str">
        <f>tbl_OriginalData[[#This Row],[Purchase_Channel]]</f>
        <v>In-Store</v>
      </c>
      <c r="AT417">
        <f>tbl_OriginalData[[#This Row],[Brand_Loyalty]]</f>
        <v>1</v>
      </c>
      <c r="AU417">
        <f>tbl_OriginalData[[#This Row],[Product_Rating]]</f>
        <v>3</v>
      </c>
      <c r="AV417">
        <f>tbl_OriginalData[[#This Row],[Time_Spent_on_Product_Research(hours)]]*60</f>
        <v>0</v>
      </c>
      <c r="AW417" t="str">
        <f>tbl_OriginalData[[#This Row],[Social_Media_Influence]]</f>
        <v>High</v>
      </c>
      <c r="AX417" t="str">
        <f>tbl_OriginalData[[#This Row],[Discount_Sensitivity]]</f>
        <v>Somewhat Sensitive</v>
      </c>
      <c r="AY417" s="3">
        <f>tbl_OriginalData[[#This Row],[Return_Rate]]/tbl_OriginalData[[#This Row],[Frequency_of_Purchase]]</f>
        <v>0.66666666666666663</v>
      </c>
      <c r="AZ417">
        <f>tbl_OriginalData[[#This Row],[Customer_Satisfaction]]</f>
        <v>9</v>
      </c>
      <c r="BA417" t="str">
        <f>tbl_OriginalData[[#This Row],[Engagement_with_Ads]]</f>
        <v>None</v>
      </c>
      <c r="BB417" t="str">
        <f>tbl_OriginalData[[#This Row],[Device_Used_for_Shopping]]</f>
        <v>Smartphone</v>
      </c>
      <c r="BC417" t="str">
        <f>tbl_OriginalData[[#This Row],[Payment_Method]]</f>
        <v>PayPal</v>
      </c>
      <c r="BD417" s="1">
        <f>tbl_OriginalData[[#This Row],[Time_of_Purchase]]</f>
        <v>45516</v>
      </c>
      <c r="BE417" t="str">
        <f>IF(tbl_OriginalData[[#This Row],[Discount_Used]]=TRUE,"Yes","No")</f>
        <v>Yes</v>
      </c>
      <c r="BF417" t="str">
        <f>IF(tbl_OriginalData[[#This Row],[Customer_Loyalty_Program_Member]]=TRUE,"Yes","No")</f>
        <v>No</v>
      </c>
      <c r="BG417" t="str">
        <f>tbl_OriginalData[[#This Row],[Purchase_Intent]]</f>
        <v>Impulsive</v>
      </c>
      <c r="BH417" t="str">
        <f>tbl_OriginalData[[#This Row],[Shipping_Preference]]</f>
        <v>Standard</v>
      </c>
      <c r="BI417">
        <f>tbl_OriginalData[[#This Row],[Time_to_Decision]]</f>
        <v>6</v>
      </c>
      <c r="BJ417" t="s">
        <v>124</v>
      </c>
      <c r="BK417" t="s">
        <v>115</v>
      </c>
      <c r="BL417" t="s">
        <v>2524</v>
      </c>
    </row>
    <row r="418" spans="1:64">
      <c r="A418" t="s">
        <v>1041</v>
      </c>
      <c r="B418">
        <v>36</v>
      </c>
      <c r="C418" t="s">
        <v>50</v>
      </c>
      <c r="D418" t="s">
        <v>34</v>
      </c>
      <c r="E418" t="s">
        <v>92</v>
      </c>
      <c r="F418" t="s">
        <v>66</v>
      </c>
      <c r="G418" t="s">
        <v>51</v>
      </c>
      <c r="H418" t="s">
        <v>1042</v>
      </c>
      <c r="I418" t="s">
        <v>229</v>
      </c>
      <c r="J418">
        <v>96.52</v>
      </c>
      <c r="K418">
        <v>11</v>
      </c>
      <c r="L418" t="s">
        <v>55</v>
      </c>
      <c r="M418">
        <v>5</v>
      </c>
      <c r="N418">
        <v>3</v>
      </c>
      <c r="O418">
        <v>2</v>
      </c>
      <c r="P418" t="s">
        <v>69</v>
      </c>
      <c r="Q418" t="s">
        <v>57</v>
      </c>
      <c r="R418">
        <v>1</v>
      </c>
      <c r="S418">
        <v>3</v>
      </c>
      <c r="T418" t="s">
        <v>40</v>
      </c>
      <c r="U418" t="s">
        <v>42</v>
      </c>
      <c r="V418" t="s">
        <v>102</v>
      </c>
      <c r="W418" s="1">
        <v>45368</v>
      </c>
      <c r="X418" t="b">
        <v>0</v>
      </c>
      <c r="Y418" t="b">
        <v>0</v>
      </c>
      <c r="Z418" t="s">
        <v>89</v>
      </c>
      <c r="AA418" t="s">
        <v>60</v>
      </c>
      <c r="AB418">
        <v>11</v>
      </c>
      <c r="AF418" t="str">
        <f>tbl_OriginalData[[#This Row],[Customer_ID]]</f>
        <v>95-148-1769</v>
      </c>
      <c r="AG418">
        <f>tbl_OriginalData[[#This Row],[Age]]</f>
        <v>36</v>
      </c>
      <c r="AH418" t="str" cm="1">
        <f t="array" ref="AH41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18" t="str">
        <f>tbl_OriginalData[[#This Row],[Gender]]</f>
        <v>Male</v>
      </c>
      <c r="AJ418" t="str">
        <f>tbl_OriginalData[[#This Row],[Income_Level]]</f>
        <v>Middle</v>
      </c>
      <c r="AK418" t="str">
        <f>tbl_OriginalData[[#This Row],[Marital_Status]]</f>
        <v>Divorced</v>
      </c>
      <c r="AL418" t="str">
        <f>tbl_OriginalData[[#This Row],[Education_Level]]</f>
        <v>Master's</v>
      </c>
      <c r="AM418" t="str">
        <f>tbl_OriginalData[[#This Row],[Occupation]]</f>
        <v>High</v>
      </c>
      <c r="AN418" t="s">
        <v>1042</v>
      </c>
      <c r="AO418" t="s">
        <v>194</v>
      </c>
      <c r="AP418" t="str">
        <f>tbl_OriginalData[[#This Row],[Purchase_Category]]</f>
        <v>Clothing</v>
      </c>
      <c r="AQ418" s="4">
        <f>tbl_OriginalData[[#This Row],[Purchase_Amount]]</f>
        <v>96.52</v>
      </c>
      <c r="AR418">
        <f>tbl_OriginalData[[#This Row],[Frequency_of_Purchase]]</f>
        <v>11</v>
      </c>
      <c r="AS418" t="str">
        <f>tbl_OriginalData[[#This Row],[Purchase_Channel]]</f>
        <v>In-Store</v>
      </c>
      <c r="AT418">
        <f>tbl_OriginalData[[#This Row],[Brand_Loyalty]]</f>
        <v>5</v>
      </c>
      <c r="AU418">
        <f>tbl_OriginalData[[#This Row],[Product_Rating]]</f>
        <v>3</v>
      </c>
      <c r="AV418">
        <f>tbl_OriginalData[[#This Row],[Time_Spent_on_Product_Research(hours)]]*60</f>
        <v>120</v>
      </c>
      <c r="AW418" t="str">
        <f>tbl_OriginalData[[#This Row],[Social_Media_Influence]]</f>
        <v>Low</v>
      </c>
      <c r="AX418" t="str">
        <f>tbl_OriginalData[[#This Row],[Discount_Sensitivity]]</f>
        <v>Not Sensitive</v>
      </c>
      <c r="AY418" s="3">
        <f>tbl_OriginalData[[#This Row],[Return_Rate]]/tbl_OriginalData[[#This Row],[Frequency_of_Purchase]]</f>
        <v>9.0909090909090912E-2</v>
      </c>
      <c r="AZ418">
        <f>tbl_OriginalData[[#This Row],[Customer_Satisfaction]]</f>
        <v>3</v>
      </c>
      <c r="BA418" t="str">
        <f>tbl_OriginalData[[#This Row],[Engagement_with_Ads]]</f>
        <v>None</v>
      </c>
      <c r="BB418" t="str">
        <f>tbl_OriginalData[[#This Row],[Device_Used_for_Shopping]]</f>
        <v>Tablet</v>
      </c>
      <c r="BC418" t="str">
        <f>tbl_OriginalData[[#This Row],[Payment_Method]]</f>
        <v>Cash</v>
      </c>
      <c r="BD418" s="1">
        <f>tbl_OriginalData[[#This Row],[Time_of_Purchase]]</f>
        <v>45368</v>
      </c>
      <c r="BE418" t="str">
        <f>IF(tbl_OriginalData[[#This Row],[Discount_Used]]=TRUE,"Yes","No")</f>
        <v>No</v>
      </c>
      <c r="BF418" t="str">
        <f>IF(tbl_OriginalData[[#This Row],[Customer_Loyalty_Program_Member]]=TRUE,"Yes","No")</f>
        <v>No</v>
      </c>
      <c r="BG418" t="str">
        <f>tbl_OriginalData[[#This Row],[Purchase_Intent]]</f>
        <v>Planned</v>
      </c>
      <c r="BH418" t="str">
        <f>tbl_OriginalData[[#This Row],[Shipping_Preference]]</f>
        <v>Standard</v>
      </c>
      <c r="BI418">
        <f>tbl_OriginalData[[#This Row],[Time_to_Decision]]</f>
        <v>11</v>
      </c>
      <c r="BJ418" t="s">
        <v>47</v>
      </c>
      <c r="BK418" t="s">
        <v>48</v>
      </c>
      <c r="BL418" t="s">
        <v>2524</v>
      </c>
    </row>
    <row r="419" spans="1:64">
      <c r="A419" t="s">
        <v>1043</v>
      </c>
      <c r="B419">
        <v>34</v>
      </c>
      <c r="C419" t="s">
        <v>50</v>
      </c>
      <c r="D419" t="s">
        <v>51</v>
      </c>
      <c r="E419" t="s">
        <v>35</v>
      </c>
      <c r="F419" t="s">
        <v>52</v>
      </c>
      <c r="G419" t="s">
        <v>34</v>
      </c>
      <c r="H419" t="s">
        <v>1044</v>
      </c>
      <c r="I419" t="s">
        <v>112</v>
      </c>
      <c r="J419">
        <v>65.45</v>
      </c>
      <c r="K419">
        <v>6</v>
      </c>
      <c r="L419" t="s">
        <v>55</v>
      </c>
      <c r="M419">
        <v>2</v>
      </c>
      <c r="N419">
        <v>4</v>
      </c>
      <c r="O419">
        <v>1</v>
      </c>
      <c r="P419" t="s">
        <v>51</v>
      </c>
      <c r="Q419" t="s">
        <v>101</v>
      </c>
      <c r="R419">
        <v>0</v>
      </c>
      <c r="S419">
        <v>2</v>
      </c>
      <c r="T419" t="s">
        <v>56</v>
      </c>
      <c r="U419" t="s">
        <v>70</v>
      </c>
      <c r="V419" t="s">
        <v>43</v>
      </c>
      <c r="W419" s="1">
        <v>45556</v>
      </c>
      <c r="X419" t="b">
        <v>1</v>
      </c>
      <c r="Y419" t="b">
        <v>1</v>
      </c>
      <c r="Z419" t="s">
        <v>72</v>
      </c>
      <c r="AA419" t="s">
        <v>45</v>
      </c>
      <c r="AB419">
        <v>3</v>
      </c>
      <c r="AF419" t="str">
        <f>tbl_OriginalData[[#This Row],[Customer_ID]]</f>
        <v>72-324-1243</v>
      </c>
      <c r="AG419">
        <f>tbl_OriginalData[[#This Row],[Age]]</f>
        <v>34</v>
      </c>
      <c r="AH419" t="str" cm="1">
        <f t="array" ref="AH41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19" t="str">
        <f>tbl_OriginalData[[#This Row],[Gender]]</f>
        <v>Male</v>
      </c>
      <c r="AJ419" t="str">
        <f>tbl_OriginalData[[#This Row],[Income_Level]]</f>
        <v>High</v>
      </c>
      <c r="AK419" t="str">
        <f>tbl_OriginalData[[#This Row],[Marital_Status]]</f>
        <v>Married</v>
      </c>
      <c r="AL419" t="str">
        <f>tbl_OriginalData[[#This Row],[Education_Level]]</f>
        <v>High School</v>
      </c>
      <c r="AM419" t="str">
        <f>tbl_OriginalData[[#This Row],[Occupation]]</f>
        <v>Middle</v>
      </c>
      <c r="AN419" t="s">
        <v>1044</v>
      </c>
      <c r="AO419" t="s">
        <v>194</v>
      </c>
      <c r="AP419" t="str">
        <f>tbl_OriginalData[[#This Row],[Purchase_Category]]</f>
        <v>Mobile Accessories</v>
      </c>
      <c r="AQ419" s="4">
        <f>tbl_OriginalData[[#This Row],[Purchase_Amount]]</f>
        <v>65.45</v>
      </c>
      <c r="AR419">
        <f>tbl_OriginalData[[#This Row],[Frequency_of_Purchase]]</f>
        <v>6</v>
      </c>
      <c r="AS419" t="str">
        <f>tbl_OriginalData[[#This Row],[Purchase_Channel]]</f>
        <v>In-Store</v>
      </c>
      <c r="AT419">
        <f>tbl_OriginalData[[#This Row],[Brand_Loyalty]]</f>
        <v>2</v>
      </c>
      <c r="AU419">
        <f>tbl_OriginalData[[#This Row],[Product_Rating]]</f>
        <v>4</v>
      </c>
      <c r="AV419">
        <f>tbl_OriginalData[[#This Row],[Time_Spent_on_Product_Research(hours)]]*60</f>
        <v>60</v>
      </c>
      <c r="AW419" t="str">
        <f>tbl_OriginalData[[#This Row],[Social_Media_Influence]]</f>
        <v>High</v>
      </c>
      <c r="AX419" t="str">
        <f>tbl_OriginalData[[#This Row],[Discount_Sensitivity]]</f>
        <v>Very Sensitive</v>
      </c>
      <c r="AY419" s="3">
        <f>tbl_OriginalData[[#This Row],[Return_Rate]]/tbl_OriginalData[[#This Row],[Frequency_of_Purchase]]</f>
        <v>0</v>
      </c>
      <c r="AZ419">
        <f>tbl_OriginalData[[#This Row],[Customer_Satisfaction]]</f>
        <v>2</v>
      </c>
      <c r="BA419" t="str">
        <f>tbl_OriginalData[[#This Row],[Engagement_with_Ads]]</f>
        <v>Medium</v>
      </c>
      <c r="BB419" t="str">
        <f>tbl_OriginalData[[#This Row],[Device_Used_for_Shopping]]</f>
        <v>Smartphone</v>
      </c>
      <c r="BC419" t="str">
        <f>tbl_OriginalData[[#This Row],[Payment_Method]]</f>
        <v>Credit Card</v>
      </c>
      <c r="BD419" s="1">
        <f>tbl_OriginalData[[#This Row],[Time_of_Purchase]]</f>
        <v>45556</v>
      </c>
      <c r="BE419" t="str">
        <f>IF(tbl_OriginalData[[#This Row],[Discount_Used]]=TRUE,"Yes","No")</f>
        <v>Yes</v>
      </c>
      <c r="BF419" t="str">
        <f>IF(tbl_OriginalData[[#This Row],[Customer_Loyalty_Program_Member]]=TRUE,"Yes","No")</f>
        <v>Yes</v>
      </c>
      <c r="BG419" t="str">
        <f>tbl_OriginalData[[#This Row],[Purchase_Intent]]</f>
        <v>Impulsive</v>
      </c>
      <c r="BH419" t="str">
        <f>tbl_OriginalData[[#This Row],[Shipping_Preference]]</f>
        <v>No Preference</v>
      </c>
      <c r="BI419">
        <f>tbl_OriginalData[[#This Row],[Time_to_Decision]]</f>
        <v>3</v>
      </c>
      <c r="BJ419" t="s">
        <v>172</v>
      </c>
      <c r="BK419" t="s">
        <v>115</v>
      </c>
      <c r="BL419" t="s">
        <v>2524</v>
      </c>
    </row>
    <row r="420" spans="1:64">
      <c r="A420" t="s">
        <v>1045</v>
      </c>
      <c r="B420">
        <v>23</v>
      </c>
      <c r="C420" t="s">
        <v>50</v>
      </c>
      <c r="D420" t="s">
        <v>34</v>
      </c>
      <c r="E420" t="s">
        <v>65</v>
      </c>
      <c r="F420" t="s">
        <v>52</v>
      </c>
      <c r="G420" t="s">
        <v>34</v>
      </c>
      <c r="H420" t="s">
        <v>1046</v>
      </c>
      <c r="I420" t="s">
        <v>131</v>
      </c>
      <c r="J420">
        <v>255.86</v>
      </c>
      <c r="K420">
        <v>3</v>
      </c>
      <c r="L420" t="s">
        <v>94</v>
      </c>
      <c r="M420">
        <v>4</v>
      </c>
      <c r="N420">
        <v>5</v>
      </c>
      <c r="O420">
        <v>2</v>
      </c>
      <c r="P420" t="s">
        <v>51</v>
      </c>
      <c r="Q420" t="s">
        <v>101</v>
      </c>
      <c r="R420">
        <v>0</v>
      </c>
      <c r="S420">
        <v>1</v>
      </c>
      <c r="T420" t="s">
        <v>69</v>
      </c>
      <c r="U420" t="s">
        <v>42</v>
      </c>
      <c r="V420" t="s">
        <v>58</v>
      </c>
      <c r="W420" s="1">
        <v>45376</v>
      </c>
      <c r="X420" t="b">
        <v>1</v>
      </c>
      <c r="Y420" t="b">
        <v>0</v>
      </c>
      <c r="Z420" t="s">
        <v>89</v>
      </c>
      <c r="AA420" t="s">
        <v>45</v>
      </c>
      <c r="AB420">
        <v>4</v>
      </c>
      <c r="AF420" t="str">
        <f>tbl_OriginalData[[#This Row],[Customer_ID]]</f>
        <v>62-687-5354</v>
      </c>
      <c r="AG420">
        <f>tbl_OriginalData[[#This Row],[Age]]</f>
        <v>23</v>
      </c>
      <c r="AH420" t="str" cm="1">
        <f t="array" ref="AH42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20" t="str">
        <f>tbl_OriginalData[[#This Row],[Gender]]</f>
        <v>Male</v>
      </c>
      <c r="AJ420" t="str">
        <f>tbl_OriginalData[[#This Row],[Income_Level]]</f>
        <v>Middle</v>
      </c>
      <c r="AK420" t="str">
        <f>tbl_OriginalData[[#This Row],[Marital_Status]]</f>
        <v>Single</v>
      </c>
      <c r="AL420" t="str">
        <f>tbl_OriginalData[[#This Row],[Education_Level]]</f>
        <v>High School</v>
      </c>
      <c r="AM420" t="str">
        <f>tbl_OriginalData[[#This Row],[Occupation]]</f>
        <v>Middle</v>
      </c>
      <c r="AN420" t="s">
        <v>1046</v>
      </c>
      <c r="AO420" t="s">
        <v>161</v>
      </c>
      <c r="AP420" t="str">
        <f>tbl_OriginalData[[#This Row],[Purchase_Category]]</f>
        <v>Health Care</v>
      </c>
      <c r="AQ420" s="4">
        <f>tbl_OriginalData[[#This Row],[Purchase_Amount]]</f>
        <v>255.86</v>
      </c>
      <c r="AR420">
        <f>tbl_OriginalData[[#This Row],[Frequency_of_Purchase]]</f>
        <v>3</v>
      </c>
      <c r="AS420" t="str">
        <f>tbl_OriginalData[[#This Row],[Purchase_Channel]]</f>
        <v>Online</v>
      </c>
      <c r="AT420">
        <f>tbl_OriginalData[[#This Row],[Brand_Loyalty]]</f>
        <v>4</v>
      </c>
      <c r="AU420">
        <f>tbl_OriginalData[[#This Row],[Product_Rating]]</f>
        <v>5</v>
      </c>
      <c r="AV420">
        <f>tbl_OriginalData[[#This Row],[Time_Spent_on_Product_Research(hours)]]*60</f>
        <v>120</v>
      </c>
      <c r="AW420" t="str">
        <f>tbl_OriginalData[[#This Row],[Social_Media_Influence]]</f>
        <v>High</v>
      </c>
      <c r="AX420" t="str">
        <f>tbl_OriginalData[[#This Row],[Discount_Sensitivity]]</f>
        <v>Very Sensitive</v>
      </c>
      <c r="AY420" s="3">
        <f>tbl_OriginalData[[#This Row],[Return_Rate]]/tbl_OriginalData[[#This Row],[Frequency_of_Purchase]]</f>
        <v>0</v>
      </c>
      <c r="AZ420">
        <f>tbl_OriginalData[[#This Row],[Customer_Satisfaction]]</f>
        <v>1</v>
      </c>
      <c r="BA420" t="str">
        <f>tbl_OriginalData[[#This Row],[Engagement_with_Ads]]</f>
        <v>Low</v>
      </c>
      <c r="BB420" t="str">
        <f>tbl_OriginalData[[#This Row],[Device_Used_for_Shopping]]</f>
        <v>Tablet</v>
      </c>
      <c r="BC420" t="str">
        <f>tbl_OriginalData[[#This Row],[Payment_Method]]</f>
        <v>PayPal</v>
      </c>
      <c r="BD420" s="1">
        <f>tbl_OriginalData[[#This Row],[Time_of_Purchase]]</f>
        <v>45376</v>
      </c>
      <c r="BE420" t="str">
        <f>IF(tbl_OriginalData[[#This Row],[Discount_Used]]=TRUE,"Yes","No")</f>
        <v>Yes</v>
      </c>
      <c r="BF420" t="str">
        <f>IF(tbl_OriginalData[[#This Row],[Customer_Loyalty_Program_Member]]=TRUE,"Yes","No")</f>
        <v>No</v>
      </c>
      <c r="BG420" t="str">
        <f>tbl_OriginalData[[#This Row],[Purchase_Intent]]</f>
        <v>Planned</v>
      </c>
      <c r="BH420" t="str">
        <f>tbl_OriginalData[[#This Row],[Shipping_Preference]]</f>
        <v>No Preference</v>
      </c>
      <c r="BI420">
        <f>tbl_OriginalData[[#This Row],[Time_to_Decision]]</f>
        <v>4</v>
      </c>
      <c r="BJ420" t="s">
        <v>47</v>
      </c>
      <c r="BK420" t="s">
        <v>48</v>
      </c>
      <c r="BL420" t="s">
        <v>2527</v>
      </c>
    </row>
    <row r="421" spans="1:64">
      <c r="A421" t="s">
        <v>1047</v>
      </c>
      <c r="B421">
        <v>35</v>
      </c>
      <c r="C421" t="s">
        <v>50</v>
      </c>
      <c r="D421" t="s">
        <v>51</v>
      </c>
      <c r="E421" t="s">
        <v>92</v>
      </c>
      <c r="F421" t="s">
        <v>36</v>
      </c>
      <c r="G421" t="s">
        <v>51</v>
      </c>
      <c r="H421" t="s">
        <v>1048</v>
      </c>
      <c r="I421" t="s">
        <v>84</v>
      </c>
      <c r="J421">
        <v>74.69</v>
      </c>
      <c r="K421">
        <v>10</v>
      </c>
      <c r="L421" t="s">
        <v>55</v>
      </c>
      <c r="M421">
        <v>5</v>
      </c>
      <c r="N421">
        <v>3</v>
      </c>
      <c r="O421">
        <v>1</v>
      </c>
      <c r="P421" t="s">
        <v>69</v>
      </c>
      <c r="Q421" t="s">
        <v>41</v>
      </c>
      <c r="R421">
        <v>0</v>
      </c>
      <c r="S421">
        <v>6</v>
      </c>
      <c r="T421" t="s">
        <v>56</v>
      </c>
      <c r="U421" t="s">
        <v>95</v>
      </c>
      <c r="V421" t="s">
        <v>58</v>
      </c>
      <c r="W421" s="1">
        <v>45608</v>
      </c>
      <c r="X421" t="b">
        <v>0</v>
      </c>
      <c r="Y421" t="b">
        <v>1</v>
      </c>
      <c r="Z421" t="s">
        <v>44</v>
      </c>
      <c r="AA421" t="s">
        <v>45</v>
      </c>
      <c r="AB421">
        <v>3</v>
      </c>
      <c r="AF421" t="str">
        <f>tbl_OriginalData[[#This Row],[Customer_ID]]</f>
        <v>54-634-0814</v>
      </c>
      <c r="AG421">
        <f>tbl_OriginalData[[#This Row],[Age]]</f>
        <v>35</v>
      </c>
      <c r="AH421" t="str" cm="1">
        <f t="array" ref="AH42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21" t="str">
        <f>tbl_OriginalData[[#This Row],[Gender]]</f>
        <v>Male</v>
      </c>
      <c r="AJ421" t="str">
        <f>tbl_OriginalData[[#This Row],[Income_Level]]</f>
        <v>High</v>
      </c>
      <c r="AK421" t="str">
        <f>tbl_OriginalData[[#This Row],[Marital_Status]]</f>
        <v>Divorced</v>
      </c>
      <c r="AL421" t="str">
        <f>tbl_OriginalData[[#This Row],[Education_Level]]</f>
        <v>Bachelor's</v>
      </c>
      <c r="AM421" t="str">
        <f>tbl_OriginalData[[#This Row],[Occupation]]</f>
        <v>High</v>
      </c>
      <c r="AN421" t="s">
        <v>1048</v>
      </c>
      <c r="AO421" t="s">
        <v>90</v>
      </c>
      <c r="AP421" t="str">
        <f>tbl_OriginalData[[#This Row],[Purchase_Category]]</f>
        <v>Furniture</v>
      </c>
      <c r="AQ421" s="4">
        <f>tbl_OriginalData[[#This Row],[Purchase_Amount]]</f>
        <v>74.69</v>
      </c>
      <c r="AR421">
        <f>tbl_OriginalData[[#This Row],[Frequency_of_Purchase]]</f>
        <v>10</v>
      </c>
      <c r="AS421" t="str">
        <f>tbl_OriginalData[[#This Row],[Purchase_Channel]]</f>
        <v>In-Store</v>
      </c>
      <c r="AT421">
        <f>tbl_OriginalData[[#This Row],[Brand_Loyalty]]</f>
        <v>5</v>
      </c>
      <c r="AU421">
        <f>tbl_OriginalData[[#This Row],[Product_Rating]]</f>
        <v>3</v>
      </c>
      <c r="AV421">
        <f>tbl_OriginalData[[#This Row],[Time_Spent_on_Product_Research(hours)]]*60</f>
        <v>60</v>
      </c>
      <c r="AW421" t="str">
        <f>tbl_OriginalData[[#This Row],[Social_Media_Influence]]</f>
        <v>Low</v>
      </c>
      <c r="AX421" t="str">
        <f>tbl_OriginalData[[#This Row],[Discount_Sensitivity]]</f>
        <v>Somewhat Sensitive</v>
      </c>
      <c r="AY421" s="3">
        <f>tbl_OriginalData[[#This Row],[Return_Rate]]/tbl_OriginalData[[#This Row],[Frequency_of_Purchase]]</f>
        <v>0</v>
      </c>
      <c r="AZ421">
        <f>tbl_OriginalData[[#This Row],[Customer_Satisfaction]]</f>
        <v>6</v>
      </c>
      <c r="BA421" t="str">
        <f>tbl_OriginalData[[#This Row],[Engagement_with_Ads]]</f>
        <v>Medium</v>
      </c>
      <c r="BB421" t="str">
        <f>tbl_OriginalData[[#This Row],[Device_Used_for_Shopping]]</f>
        <v>Desktop</v>
      </c>
      <c r="BC421" t="str">
        <f>tbl_OriginalData[[#This Row],[Payment_Method]]</f>
        <v>PayPal</v>
      </c>
      <c r="BD421" s="1">
        <f>tbl_OriginalData[[#This Row],[Time_of_Purchase]]</f>
        <v>45608</v>
      </c>
      <c r="BE421" t="str">
        <f>IF(tbl_OriginalData[[#This Row],[Discount_Used]]=TRUE,"Yes","No")</f>
        <v>No</v>
      </c>
      <c r="BF421" t="str">
        <f>IF(tbl_OriginalData[[#This Row],[Customer_Loyalty_Program_Member]]=TRUE,"Yes","No")</f>
        <v>Yes</v>
      </c>
      <c r="BG421" t="str">
        <f>tbl_OriginalData[[#This Row],[Purchase_Intent]]</f>
        <v>Need-based</v>
      </c>
      <c r="BH421" t="str">
        <f>tbl_OriginalData[[#This Row],[Shipping_Preference]]</f>
        <v>No Preference</v>
      </c>
      <c r="BI421">
        <f>tbl_OriginalData[[#This Row],[Time_to_Decision]]</f>
        <v>3</v>
      </c>
      <c r="BJ421" t="s">
        <v>177</v>
      </c>
      <c r="BK421" t="s">
        <v>80</v>
      </c>
      <c r="BL421" t="s">
        <v>2524</v>
      </c>
    </row>
    <row r="422" spans="1:64">
      <c r="A422" t="s">
        <v>1049</v>
      </c>
      <c r="B422">
        <v>45</v>
      </c>
      <c r="C422" t="s">
        <v>50</v>
      </c>
      <c r="D422" t="s">
        <v>34</v>
      </c>
      <c r="E422" t="s">
        <v>82</v>
      </c>
      <c r="F422" t="s">
        <v>66</v>
      </c>
      <c r="G422" t="s">
        <v>34</v>
      </c>
      <c r="H422" t="s">
        <v>1050</v>
      </c>
      <c r="I422" t="s">
        <v>75</v>
      </c>
      <c r="J422">
        <v>430.75</v>
      </c>
      <c r="K422">
        <v>8</v>
      </c>
      <c r="L422" t="s">
        <v>39</v>
      </c>
      <c r="M422">
        <v>3</v>
      </c>
      <c r="N422">
        <v>4</v>
      </c>
      <c r="O422">
        <v>2</v>
      </c>
      <c r="P422" t="s">
        <v>69</v>
      </c>
      <c r="Q422" t="s">
        <v>101</v>
      </c>
      <c r="R422">
        <v>1</v>
      </c>
      <c r="S422">
        <v>5</v>
      </c>
      <c r="T422" t="s">
        <v>40</v>
      </c>
      <c r="U422" t="s">
        <v>42</v>
      </c>
      <c r="V422" t="s">
        <v>102</v>
      </c>
      <c r="W422" s="1">
        <v>45388</v>
      </c>
      <c r="X422" t="b">
        <v>0</v>
      </c>
      <c r="Y422" t="b">
        <v>0</v>
      </c>
      <c r="Z422" t="s">
        <v>44</v>
      </c>
      <c r="AA422" t="s">
        <v>45</v>
      </c>
      <c r="AB422">
        <v>6</v>
      </c>
      <c r="AF422" t="str">
        <f>tbl_OriginalData[[#This Row],[Customer_ID]]</f>
        <v>64-769-5737</v>
      </c>
      <c r="AG422">
        <f>tbl_OriginalData[[#This Row],[Age]]</f>
        <v>45</v>
      </c>
      <c r="AH422" t="str" cm="1">
        <f t="array" ref="AH42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22" t="str">
        <f>tbl_OriginalData[[#This Row],[Gender]]</f>
        <v>Male</v>
      </c>
      <c r="AJ422" t="str">
        <f>tbl_OriginalData[[#This Row],[Income_Level]]</f>
        <v>Middle</v>
      </c>
      <c r="AK422" t="str">
        <f>tbl_OriginalData[[#This Row],[Marital_Status]]</f>
        <v>Widowed</v>
      </c>
      <c r="AL422" t="str">
        <f>tbl_OriginalData[[#This Row],[Education_Level]]</f>
        <v>Master's</v>
      </c>
      <c r="AM422" t="str">
        <f>tbl_OriginalData[[#This Row],[Occupation]]</f>
        <v>Middle</v>
      </c>
      <c r="AN422" t="s">
        <v>1050</v>
      </c>
      <c r="AO422" t="s">
        <v>61</v>
      </c>
      <c r="AP422" t="str">
        <f>tbl_OriginalData[[#This Row],[Purchase_Category]]</f>
        <v>Home Appliances</v>
      </c>
      <c r="AQ422" s="4">
        <f>tbl_OriginalData[[#This Row],[Purchase_Amount]]</f>
        <v>430.75</v>
      </c>
      <c r="AR422">
        <f>tbl_OriginalData[[#This Row],[Frequency_of_Purchase]]</f>
        <v>8</v>
      </c>
      <c r="AS422" t="str">
        <f>tbl_OriginalData[[#This Row],[Purchase_Channel]]</f>
        <v>Mixed</v>
      </c>
      <c r="AT422">
        <f>tbl_OriginalData[[#This Row],[Brand_Loyalty]]</f>
        <v>3</v>
      </c>
      <c r="AU422">
        <f>tbl_OriginalData[[#This Row],[Product_Rating]]</f>
        <v>4</v>
      </c>
      <c r="AV422">
        <f>tbl_OriginalData[[#This Row],[Time_Spent_on_Product_Research(hours)]]*60</f>
        <v>120</v>
      </c>
      <c r="AW422" t="str">
        <f>tbl_OriginalData[[#This Row],[Social_Media_Influence]]</f>
        <v>Low</v>
      </c>
      <c r="AX422" t="str">
        <f>tbl_OriginalData[[#This Row],[Discount_Sensitivity]]</f>
        <v>Very Sensitive</v>
      </c>
      <c r="AY422" s="3">
        <f>tbl_OriginalData[[#This Row],[Return_Rate]]/tbl_OriginalData[[#This Row],[Frequency_of_Purchase]]</f>
        <v>0.125</v>
      </c>
      <c r="AZ422">
        <f>tbl_OriginalData[[#This Row],[Customer_Satisfaction]]</f>
        <v>5</v>
      </c>
      <c r="BA422" t="str">
        <f>tbl_OriginalData[[#This Row],[Engagement_with_Ads]]</f>
        <v>None</v>
      </c>
      <c r="BB422" t="str">
        <f>tbl_OriginalData[[#This Row],[Device_Used_for_Shopping]]</f>
        <v>Tablet</v>
      </c>
      <c r="BC422" t="str">
        <f>tbl_OriginalData[[#This Row],[Payment_Method]]</f>
        <v>Cash</v>
      </c>
      <c r="BD422" s="1">
        <f>tbl_OriginalData[[#This Row],[Time_of_Purchase]]</f>
        <v>45388</v>
      </c>
      <c r="BE422" t="str">
        <f>IF(tbl_OriginalData[[#This Row],[Discount_Used]]=TRUE,"Yes","No")</f>
        <v>No</v>
      </c>
      <c r="BF422" t="str">
        <f>IF(tbl_OriginalData[[#This Row],[Customer_Loyalty_Program_Member]]=TRUE,"Yes","No")</f>
        <v>No</v>
      </c>
      <c r="BG422" t="str">
        <f>tbl_OriginalData[[#This Row],[Purchase_Intent]]</f>
        <v>Need-based</v>
      </c>
      <c r="BH422" t="str">
        <f>tbl_OriginalData[[#This Row],[Shipping_Preference]]</f>
        <v>No Preference</v>
      </c>
      <c r="BI422">
        <f>tbl_OriginalData[[#This Row],[Time_to_Decision]]</f>
        <v>6</v>
      </c>
      <c r="BJ422" t="s">
        <v>62</v>
      </c>
      <c r="BK422" t="s">
        <v>63</v>
      </c>
      <c r="BL422" t="s">
        <v>2524</v>
      </c>
    </row>
    <row r="423" spans="1:64">
      <c r="A423" t="s">
        <v>1051</v>
      </c>
      <c r="B423">
        <v>38</v>
      </c>
      <c r="C423" t="s">
        <v>50</v>
      </c>
      <c r="D423" t="s">
        <v>51</v>
      </c>
      <c r="E423" t="s">
        <v>82</v>
      </c>
      <c r="F423" t="s">
        <v>66</v>
      </c>
      <c r="G423" t="s">
        <v>51</v>
      </c>
      <c r="H423" t="s">
        <v>1052</v>
      </c>
      <c r="I423" t="s">
        <v>150</v>
      </c>
      <c r="J423">
        <v>370.17</v>
      </c>
      <c r="K423">
        <v>2</v>
      </c>
      <c r="L423" t="s">
        <v>39</v>
      </c>
      <c r="M423">
        <v>5</v>
      </c>
      <c r="N423">
        <v>4</v>
      </c>
      <c r="O423">
        <v>2</v>
      </c>
      <c r="P423" t="s">
        <v>56</v>
      </c>
      <c r="Q423" t="s">
        <v>57</v>
      </c>
      <c r="R423">
        <v>1</v>
      </c>
      <c r="S423">
        <v>9</v>
      </c>
      <c r="T423" t="s">
        <v>69</v>
      </c>
      <c r="U423" t="s">
        <v>42</v>
      </c>
      <c r="V423" t="s">
        <v>102</v>
      </c>
      <c r="W423" s="1">
        <v>45619</v>
      </c>
      <c r="X423" t="b">
        <v>0</v>
      </c>
      <c r="Y423" t="b">
        <v>1</v>
      </c>
      <c r="Z423" t="s">
        <v>44</v>
      </c>
      <c r="AA423" t="s">
        <v>77</v>
      </c>
      <c r="AB423">
        <v>1</v>
      </c>
      <c r="AF423" t="str">
        <f>tbl_OriginalData[[#This Row],[Customer_ID]]</f>
        <v>62-892-2088</v>
      </c>
      <c r="AG423">
        <f>tbl_OriginalData[[#This Row],[Age]]</f>
        <v>38</v>
      </c>
      <c r="AH423" t="str" cm="1">
        <f t="array" ref="AH42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23" t="str">
        <f>tbl_OriginalData[[#This Row],[Gender]]</f>
        <v>Male</v>
      </c>
      <c r="AJ423" t="str">
        <f>tbl_OriginalData[[#This Row],[Income_Level]]</f>
        <v>High</v>
      </c>
      <c r="AK423" t="str">
        <f>tbl_OriginalData[[#This Row],[Marital_Status]]</f>
        <v>Widowed</v>
      </c>
      <c r="AL423" t="str">
        <f>tbl_OriginalData[[#This Row],[Education_Level]]</f>
        <v>Master's</v>
      </c>
      <c r="AM423" t="str">
        <f>tbl_OriginalData[[#This Row],[Occupation]]</f>
        <v>High</v>
      </c>
      <c r="AN423" t="s">
        <v>1052</v>
      </c>
      <c r="AO423" t="s">
        <v>61</v>
      </c>
      <c r="AP423" t="str">
        <f>tbl_OriginalData[[#This Row],[Purchase_Category]]</f>
        <v>Software &amp; Apps</v>
      </c>
      <c r="AQ423" s="4">
        <f>tbl_OriginalData[[#This Row],[Purchase_Amount]]</f>
        <v>370.17</v>
      </c>
      <c r="AR423">
        <f>tbl_OriginalData[[#This Row],[Frequency_of_Purchase]]</f>
        <v>2</v>
      </c>
      <c r="AS423" t="str">
        <f>tbl_OriginalData[[#This Row],[Purchase_Channel]]</f>
        <v>Mixed</v>
      </c>
      <c r="AT423">
        <f>tbl_OriginalData[[#This Row],[Brand_Loyalty]]</f>
        <v>5</v>
      </c>
      <c r="AU423">
        <f>tbl_OriginalData[[#This Row],[Product_Rating]]</f>
        <v>4</v>
      </c>
      <c r="AV423">
        <f>tbl_OriginalData[[#This Row],[Time_Spent_on_Product_Research(hours)]]*60</f>
        <v>120</v>
      </c>
      <c r="AW423" t="str">
        <f>tbl_OriginalData[[#This Row],[Social_Media_Influence]]</f>
        <v>Medium</v>
      </c>
      <c r="AX423" t="str">
        <f>tbl_OriginalData[[#This Row],[Discount_Sensitivity]]</f>
        <v>Not Sensitive</v>
      </c>
      <c r="AY423" s="3">
        <f>tbl_OriginalData[[#This Row],[Return_Rate]]/tbl_OriginalData[[#This Row],[Frequency_of_Purchase]]</f>
        <v>0.5</v>
      </c>
      <c r="AZ423">
        <f>tbl_OriginalData[[#This Row],[Customer_Satisfaction]]</f>
        <v>9</v>
      </c>
      <c r="BA423" t="str">
        <f>tbl_OriginalData[[#This Row],[Engagement_with_Ads]]</f>
        <v>Low</v>
      </c>
      <c r="BB423" t="str">
        <f>tbl_OriginalData[[#This Row],[Device_Used_for_Shopping]]</f>
        <v>Tablet</v>
      </c>
      <c r="BC423" t="str">
        <f>tbl_OriginalData[[#This Row],[Payment_Method]]</f>
        <v>Cash</v>
      </c>
      <c r="BD423" s="1">
        <f>tbl_OriginalData[[#This Row],[Time_of_Purchase]]</f>
        <v>45619</v>
      </c>
      <c r="BE423" t="str">
        <f>IF(tbl_OriginalData[[#This Row],[Discount_Used]]=TRUE,"Yes","No")</f>
        <v>No</v>
      </c>
      <c r="BF423" t="str">
        <f>IF(tbl_OriginalData[[#This Row],[Customer_Loyalty_Program_Member]]=TRUE,"Yes","No")</f>
        <v>Yes</v>
      </c>
      <c r="BG423" t="str">
        <f>tbl_OriginalData[[#This Row],[Purchase_Intent]]</f>
        <v>Need-based</v>
      </c>
      <c r="BH423" t="str">
        <f>tbl_OriginalData[[#This Row],[Shipping_Preference]]</f>
        <v>Express</v>
      </c>
      <c r="BI423">
        <f>tbl_OriginalData[[#This Row],[Time_to_Decision]]</f>
        <v>1</v>
      </c>
      <c r="BJ423" t="s">
        <v>177</v>
      </c>
      <c r="BK423" t="s">
        <v>80</v>
      </c>
      <c r="BL423" t="s">
        <v>2524</v>
      </c>
    </row>
    <row r="424" spans="1:64">
      <c r="A424" t="s">
        <v>1053</v>
      </c>
      <c r="B424">
        <v>25</v>
      </c>
      <c r="C424" t="s">
        <v>50</v>
      </c>
      <c r="D424" t="s">
        <v>34</v>
      </c>
      <c r="E424" t="s">
        <v>92</v>
      </c>
      <c r="F424" t="s">
        <v>66</v>
      </c>
      <c r="G424" t="s">
        <v>51</v>
      </c>
      <c r="H424" t="s">
        <v>1054</v>
      </c>
      <c r="I424" t="s">
        <v>147</v>
      </c>
      <c r="J424">
        <v>384.26</v>
      </c>
      <c r="K424">
        <v>6</v>
      </c>
      <c r="L424" t="s">
        <v>39</v>
      </c>
      <c r="M424">
        <v>4</v>
      </c>
      <c r="N424">
        <v>2</v>
      </c>
      <c r="O424">
        <v>1</v>
      </c>
      <c r="P424" t="s">
        <v>51</v>
      </c>
      <c r="Q424" t="s">
        <v>57</v>
      </c>
      <c r="R424">
        <v>0</v>
      </c>
      <c r="S424">
        <v>9</v>
      </c>
      <c r="T424" t="s">
        <v>56</v>
      </c>
      <c r="U424" t="s">
        <v>70</v>
      </c>
      <c r="V424" t="s">
        <v>58</v>
      </c>
      <c r="W424" s="1">
        <v>45484</v>
      </c>
      <c r="X424" t="b">
        <v>0</v>
      </c>
      <c r="Y424" t="b">
        <v>1</v>
      </c>
      <c r="Z424" t="s">
        <v>44</v>
      </c>
      <c r="AA424" t="s">
        <v>45</v>
      </c>
      <c r="AB424">
        <v>11</v>
      </c>
      <c r="AF424" t="str">
        <f>tbl_OriginalData[[#This Row],[Customer_ID]]</f>
        <v>53-951-2529</v>
      </c>
      <c r="AG424">
        <f>tbl_OriginalData[[#This Row],[Age]]</f>
        <v>25</v>
      </c>
      <c r="AH424" t="str" cm="1">
        <f t="array" ref="AH42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24" t="str">
        <f>tbl_OriginalData[[#This Row],[Gender]]</f>
        <v>Male</v>
      </c>
      <c r="AJ424" t="str">
        <f>tbl_OriginalData[[#This Row],[Income_Level]]</f>
        <v>Middle</v>
      </c>
      <c r="AK424" t="str">
        <f>tbl_OriginalData[[#This Row],[Marital_Status]]</f>
        <v>Divorced</v>
      </c>
      <c r="AL424" t="str">
        <f>tbl_OriginalData[[#This Row],[Education_Level]]</f>
        <v>Master's</v>
      </c>
      <c r="AM424" t="str">
        <f>tbl_OriginalData[[#This Row],[Occupation]]</f>
        <v>High</v>
      </c>
      <c r="AN424" t="s">
        <v>1054</v>
      </c>
      <c r="AO424" t="s">
        <v>290</v>
      </c>
      <c r="AP424" t="str">
        <f>tbl_OriginalData[[#This Row],[Purchase_Category]]</f>
        <v>Electronics</v>
      </c>
      <c r="AQ424" s="4">
        <f>tbl_OriginalData[[#This Row],[Purchase_Amount]]</f>
        <v>384.26</v>
      </c>
      <c r="AR424">
        <f>tbl_OriginalData[[#This Row],[Frequency_of_Purchase]]</f>
        <v>6</v>
      </c>
      <c r="AS424" t="str">
        <f>tbl_OriginalData[[#This Row],[Purchase_Channel]]</f>
        <v>Mixed</v>
      </c>
      <c r="AT424">
        <f>tbl_OriginalData[[#This Row],[Brand_Loyalty]]</f>
        <v>4</v>
      </c>
      <c r="AU424">
        <f>tbl_OriginalData[[#This Row],[Product_Rating]]</f>
        <v>2</v>
      </c>
      <c r="AV424">
        <f>tbl_OriginalData[[#This Row],[Time_Spent_on_Product_Research(hours)]]*60</f>
        <v>60</v>
      </c>
      <c r="AW424" t="str">
        <f>tbl_OriginalData[[#This Row],[Social_Media_Influence]]</f>
        <v>High</v>
      </c>
      <c r="AX424" t="str">
        <f>tbl_OriginalData[[#This Row],[Discount_Sensitivity]]</f>
        <v>Not Sensitive</v>
      </c>
      <c r="AY424" s="3">
        <f>tbl_OriginalData[[#This Row],[Return_Rate]]/tbl_OriginalData[[#This Row],[Frequency_of_Purchase]]</f>
        <v>0</v>
      </c>
      <c r="AZ424">
        <f>tbl_OriginalData[[#This Row],[Customer_Satisfaction]]</f>
        <v>9</v>
      </c>
      <c r="BA424" t="str">
        <f>tbl_OriginalData[[#This Row],[Engagement_with_Ads]]</f>
        <v>Medium</v>
      </c>
      <c r="BB424" t="str">
        <f>tbl_OriginalData[[#This Row],[Device_Used_for_Shopping]]</f>
        <v>Smartphone</v>
      </c>
      <c r="BC424" t="str">
        <f>tbl_OriginalData[[#This Row],[Payment_Method]]</f>
        <v>PayPal</v>
      </c>
      <c r="BD424" s="1">
        <f>tbl_OriginalData[[#This Row],[Time_of_Purchase]]</f>
        <v>45484</v>
      </c>
      <c r="BE424" t="str">
        <f>IF(tbl_OriginalData[[#This Row],[Discount_Used]]=TRUE,"Yes","No")</f>
        <v>No</v>
      </c>
      <c r="BF424" t="str">
        <f>IF(tbl_OriginalData[[#This Row],[Customer_Loyalty_Program_Member]]=TRUE,"Yes","No")</f>
        <v>Yes</v>
      </c>
      <c r="BG424" t="str">
        <f>tbl_OriginalData[[#This Row],[Purchase_Intent]]</f>
        <v>Need-based</v>
      </c>
      <c r="BH424" t="str">
        <f>tbl_OriginalData[[#This Row],[Shipping_Preference]]</f>
        <v>No Preference</v>
      </c>
      <c r="BI424">
        <f>tbl_OriginalData[[#This Row],[Time_to_Decision]]</f>
        <v>11</v>
      </c>
      <c r="BJ424" t="s">
        <v>114</v>
      </c>
      <c r="BK424" t="s">
        <v>115</v>
      </c>
      <c r="BL424" t="s">
        <v>2524</v>
      </c>
    </row>
    <row r="425" spans="1:64">
      <c r="A425" t="s">
        <v>1055</v>
      </c>
      <c r="B425">
        <v>26</v>
      </c>
      <c r="C425" t="s">
        <v>50</v>
      </c>
      <c r="D425" t="s">
        <v>34</v>
      </c>
      <c r="E425" t="s">
        <v>35</v>
      </c>
      <c r="F425" t="s">
        <v>66</v>
      </c>
      <c r="G425" t="s">
        <v>34</v>
      </c>
      <c r="H425" t="s">
        <v>1056</v>
      </c>
      <c r="I425" t="s">
        <v>75</v>
      </c>
      <c r="J425">
        <v>128.01</v>
      </c>
      <c r="K425">
        <v>2</v>
      </c>
      <c r="L425" t="s">
        <v>39</v>
      </c>
      <c r="M425">
        <v>4</v>
      </c>
      <c r="N425">
        <v>2</v>
      </c>
      <c r="O425">
        <v>1</v>
      </c>
      <c r="P425" t="s">
        <v>56</v>
      </c>
      <c r="Q425" t="s">
        <v>41</v>
      </c>
      <c r="R425">
        <v>0</v>
      </c>
      <c r="S425">
        <v>1</v>
      </c>
      <c r="T425" t="s">
        <v>51</v>
      </c>
      <c r="U425" t="s">
        <v>70</v>
      </c>
      <c r="V425" t="s">
        <v>71</v>
      </c>
      <c r="W425" s="1">
        <v>45399</v>
      </c>
      <c r="X425" t="b">
        <v>1</v>
      </c>
      <c r="Y425" t="b">
        <v>0</v>
      </c>
      <c r="Z425" t="s">
        <v>44</v>
      </c>
      <c r="AA425" t="s">
        <v>45</v>
      </c>
      <c r="AB425">
        <v>10</v>
      </c>
      <c r="AF425" t="str">
        <f>tbl_OriginalData[[#This Row],[Customer_ID]]</f>
        <v>00-264-3797</v>
      </c>
      <c r="AG425">
        <f>tbl_OriginalData[[#This Row],[Age]]</f>
        <v>26</v>
      </c>
      <c r="AH425" t="str" cm="1">
        <f t="array" ref="AH42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25" t="str">
        <f>tbl_OriginalData[[#This Row],[Gender]]</f>
        <v>Male</v>
      </c>
      <c r="AJ425" t="str">
        <f>tbl_OriginalData[[#This Row],[Income_Level]]</f>
        <v>Middle</v>
      </c>
      <c r="AK425" t="str">
        <f>tbl_OriginalData[[#This Row],[Marital_Status]]</f>
        <v>Married</v>
      </c>
      <c r="AL425" t="str">
        <f>tbl_OriginalData[[#This Row],[Education_Level]]</f>
        <v>Master's</v>
      </c>
      <c r="AM425" t="str">
        <f>tbl_OriginalData[[#This Row],[Occupation]]</f>
        <v>Middle</v>
      </c>
      <c r="AN425" t="s">
        <v>1056</v>
      </c>
      <c r="AO425" t="s">
        <v>469</v>
      </c>
      <c r="AP425" t="str">
        <f>tbl_OriginalData[[#This Row],[Purchase_Category]]</f>
        <v>Home Appliances</v>
      </c>
      <c r="AQ425" s="4">
        <f>tbl_OriginalData[[#This Row],[Purchase_Amount]]</f>
        <v>128.01</v>
      </c>
      <c r="AR425">
        <f>tbl_OriginalData[[#This Row],[Frequency_of_Purchase]]</f>
        <v>2</v>
      </c>
      <c r="AS425" t="str">
        <f>tbl_OriginalData[[#This Row],[Purchase_Channel]]</f>
        <v>Mixed</v>
      </c>
      <c r="AT425">
        <f>tbl_OriginalData[[#This Row],[Brand_Loyalty]]</f>
        <v>4</v>
      </c>
      <c r="AU425">
        <f>tbl_OriginalData[[#This Row],[Product_Rating]]</f>
        <v>2</v>
      </c>
      <c r="AV425">
        <f>tbl_OriginalData[[#This Row],[Time_Spent_on_Product_Research(hours)]]*60</f>
        <v>60</v>
      </c>
      <c r="AW425" t="str">
        <f>tbl_OriginalData[[#This Row],[Social_Media_Influence]]</f>
        <v>Medium</v>
      </c>
      <c r="AX425" t="str">
        <f>tbl_OriginalData[[#This Row],[Discount_Sensitivity]]</f>
        <v>Somewhat Sensitive</v>
      </c>
      <c r="AY425" s="3">
        <f>tbl_OriginalData[[#This Row],[Return_Rate]]/tbl_OriginalData[[#This Row],[Frequency_of_Purchase]]</f>
        <v>0</v>
      </c>
      <c r="AZ425">
        <f>tbl_OriginalData[[#This Row],[Customer_Satisfaction]]</f>
        <v>1</v>
      </c>
      <c r="BA425" t="str">
        <f>tbl_OriginalData[[#This Row],[Engagement_with_Ads]]</f>
        <v>High</v>
      </c>
      <c r="BB425" t="str">
        <f>tbl_OriginalData[[#This Row],[Device_Used_for_Shopping]]</f>
        <v>Smartphone</v>
      </c>
      <c r="BC425" t="str">
        <f>tbl_OriginalData[[#This Row],[Payment_Method]]</f>
        <v>Debit Card</v>
      </c>
      <c r="BD425" s="1">
        <f>tbl_OriginalData[[#This Row],[Time_of_Purchase]]</f>
        <v>45399</v>
      </c>
      <c r="BE425" t="str">
        <f>IF(tbl_OriginalData[[#This Row],[Discount_Used]]=TRUE,"Yes","No")</f>
        <v>Yes</v>
      </c>
      <c r="BF425" t="str">
        <f>IF(tbl_OriginalData[[#This Row],[Customer_Loyalty_Program_Member]]=TRUE,"Yes","No")</f>
        <v>No</v>
      </c>
      <c r="BG425" t="str">
        <f>tbl_OriginalData[[#This Row],[Purchase_Intent]]</f>
        <v>Need-based</v>
      </c>
      <c r="BH425" t="str">
        <f>tbl_OriginalData[[#This Row],[Shipping_Preference]]</f>
        <v>No Preference</v>
      </c>
      <c r="BI425">
        <f>tbl_OriginalData[[#This Row],[Time_to_Decision]]</f>
        <v>10</v>
      </c>
      <c r="BJ425" t="s">
        <v>62</v>
      </c>
      <c r="BK425" t="s">
        <v>63</v>
      </c>
      <c r="BL425" t="s">
        <v>2527</v>
      </c>
    </row>
    <row r="426" spans="1:64">
      <c r="A426" t="s">
        <v>1057</v>
      </c>
      <c r="B426">
        <v>46</v>
      </c>
      <c r="C426" t="s">
        <v>33</v>
      </c>
      <c r="D426" t="s">
        <v>51</v>
      </c>
      <c r="E426" t="s">
        <v>35</v>
      </c>
      <c r="F426" t="s">
        <v>52</v>
      </c>
      <c r="G426" t="s">
        <v>51</v>
      </c>
      <c r="H426" t="s">
        <v>1058</v>
      </c>
      <c r="I426" t="s">
        <v>123</v>
      </c>
      <c r="J426">
        <v>301.39999999999998</v>
      </c>
      <c r="K426">
        <v>4</v>
      </c>
      <c r="L426" t="s">
        <v>94</v>
      </c>
      <c r="M426">
        <v>5</v>
      </c>
      <c r="N426">
        <v>3</v>
      </c>
      <c r="O426">
        <v>0</v>
      </c>
      <c r="P426" t="s">
        <v>56</v>
      </c>
      <c r="Q426" t="s">
        <v>41</v>
      </c>
      <c r="R426">
        <v>0</v>
      </c>
      <c r="S426">
        <v>5</v>
      </c>
      <c r="T426" t="s">
        <v>40</v>
      </c>
      <c r="U426" t="s">
        <v>95</v>
      </c>
      <c r="V426" t="s">
        <v>71</v>
      </c>
      <c r="W426" s="1">
        <v>45549</v>
      </c>
      <c r="X426" t="b">
        <v>0</v>
      </c>
      <c r="Y426" t="b">
        <v>1</v>
      </c>
      <c r="Z426" t="s">
        <v>89</v>
      </c>
      <c r="AA426" t="s">
        <v>60</v>
      </c>
      <c r="AB426">
        <v>5</v>
      </c>
      <c r="AF426" t="str">
        <f>tbl_OriginalData[[#This Row],[Customer_ID]]</f>
        <v>88-445-9235</v>
      </c>
      <c r="AG426">
        <f>tbl_OriginalData[[#This Row],[Age]]</f>
        <v>46</v>
      </c>
      <c r="AH426" t="str" cm="1">
        <f t="array" ref="AH42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26" t="str">
        <f>tbl_OriginalData[[#This Row],[Gender]]</f>
        <v>Female</v>
      </c>
      <c r="AJ426" t="str">
        <f>tbl_OriginalData[[#This Row],[Income_Level]]</f>
        <v>High</v>
      </c>
      <c r="AK426" t="str">
        <f>tbl_OriginalData[[#This Row],[Marital_Status]]</f>
        <v>Married</v>
      </c>
      <c r="AL426" t="str">
        <f>tbl_OriginalData[[#This Row],[Education_Level]]</f>
        <v>High School</v>
      </c>
      <c r="AM426" t="str">
        <f>tbl_OriginalData[[#This Row],[Occupation]]</f>
        <v>High</v>
      </c>
      <c r="AN426" t="s">
        <v>1058</v>
      </c>
      <c r="AO426" t="s">
        <v>90</v>
      </c>
      <c r="AP426" t="str">
        <f>tbl_OriginalData[[#This Row],[Purchase_Category]]</f>
        <v>Luxury Goods</v>
      </c>
      <c r="AQ426" s="4">
        <f>tbl_OriginalData[[#This Row],[Purchase_Amount]]</f>
        <v>301.39999999999998</v>
      </c>
      <c r="AR426">
        <f>tbl_OriginalData[[#This Row],[Frequency_of_Purchase]]</f>
        <v>4</v>
      </c>
      <c r="AS426" t="str">
        <f>tbl_OriginalData[[#This Row],[Purchase_Channel]]</f>
        <v>Online</v>
      </c>
      <c r="AT426">
        <f>tbl_OriginalData[[#This Row],[Brand_Loyalty]]</f>
        <v>5</v>
      </c>
      <c r="AU426">
        <f>tbl_OriginalData[[#This Row],[Product_Rating]]</f>
        <v>3</v>
      </c>
      <c r="AV426">
        <f>tbl_OriginalData[[#This Row],[Time_Spent_on_Product_Research(hours)]]*60</f>
        <v>0</v>
      </c>
      <c r="AW426" t="str">
        <f>tbl_OriginalData[[#This Row],[Social_Media_Influence]]</f>
        <v>Medium</v>
      </c>
      <c r="AX426" t="str">
        <f>tbl_OriginalData[[#This Row],[Discount_Sensitivity]]</f>
        <v>Somewhat Sensitive</v>
      </c>
      <c r="AY426" s="3">
        <f>tbl_OriginalData[[#This Row],[Return_Rate]]/tbl_OriginalData[[#This Row],[Frequency_of_Purchase]]</f>
        <v>0</v>
      </c>
      <c r="AZ426">
        <f>tbl_OriginalData[[#This Row],[Customer_Satisfaction]]</f>
        <v>5</v>
      </c>
      <c r="BA426" t="str">
        <f>tbl_OriginalData[[#This Row],[Engagement_with_Ads]]</f>
        <v>None</v>
      </c>
      <c r="BB426" t="str">
        <f>tbl_OriginalData[[#This Row],[Device_Used_for_Shopping]]</f>
        <v>Desktop</v>
      </c>
      <c r="BC426" t="str">
        <f>tbl_OriginalData[[#This Row],[Payment_Method]]</f>
        <v>Debit Card</v>
      </c>
      <c r="BD426" s="1">
        <f>tbl_OriginalData[[#This Row],[Time_of_Purchase]]</f>
        <v>45549</v>
      </c>
      <c r="BE426" t="str">
        <f>IF(tbl_OriginalData[[#This Row],[Discount_Used]]=TRUE,"Yes","No")</f>
        <v>No</v>
      </c>
      <c r="BF426" t="str">
        <f>IF(tbl_OriginalData[[#This Row],[Customer_Loyalty_Program_Member]]=TRUE,"Yes","No")</f>
        <v>Yes</v>
      </c>
      <c r="BG426" t="str">
        <f>tbl_OriginalData[[#This Row],[Purchase_Intent]]</f>
        <v>Planned</v>
      </c>
      <c r="BH426" t="str">
        <f>tbl_OriginalData[[#This Row],[Shipping_Preference]]</f>
        <v>Standard</v>
      </c>
      <c r="BI426">
        <f>tbl_OriginalData[[#This Row],[Time_to_Decision]]</f>
        <v>5</v>
      </c>
      <c r="BJ426" t="s">
        <v>172</v>
      </c>
      <c r="BK426" t="s">
        <v>115</v>
      </c>
      <c r="BL426" t="s">
        <v>2524</v>
      </c>
    </row>
    <row r="427" spans="1:64">
      <c r="A427" t="s">
        <v>1059</v>
      </c>
      <c r="B427">
        <v>18</v>
      </c>
      <c r="C427" t="s">
        <v>33</v>
      </c>
      <c r="D427" t="s">
        <v>51</v>
      </c>
      <c r="E427" t="s">
        <v>65</v>
      </c>
      <c r="F427" t="s">
        <v>52</v>
      </c>
      <c r="G427" t="s">
        <v>51</v>
      </c>
      <c r="H427" t="s">
        <v>1060</v>
      </c>
      <c r="I427" t="s">
        <v>180</v>
      </c>
      <c r="J427">
        <v>397.25</v>
      </c>
      <c r="K427">
        <v>6</v>
      </c>
      <c r="L427" t="s">
        <v>39</v>
      </c>
      <c r="M427">
        <v>5</v>
      </c>
      <c r="N427">
        <v>2</v>
      </c>
      <c r="O427">
        <v>1</v>
      </c>
      <c r="P427" t="s">
        <v>69</v>
      </c>
      <c r="Q427" t="s">
        <v>57</v>
      </c>
      <c r="R427">
        <v>1</v>
      </c>
      <c r="S427">
        <v>10</v>
      </c>
      <c r="T427" t="s">
        <v>40</v>
      </c>
      <c r="U427" t="s">
        <v>95</v>
      </c>
      <c r="V427" t="s">
        <v>102</v>
      </c>
      <c r="W427" s="1">
        <v>45512</v>
      </c>
      <c r="X427" t="b">
        <v>0</v>
      </c>
      <c r="Y427" t="b">
        <v>1</v>
      </c>
      <c r="Z427" t="s">
        <v>59</v>
      </c>
      <c r="AA427" t="s">
        <v>45</v>
      </c>
      <c r="AB427">
        <v>2</v>
      </c>
      <c r="AF427" t="str">
        <f>tbl_OriginalData[[#This Row],[Customer_ID]]</f>
        <v>65-539-9955</v>
      </c>
      <c r="AG427">
        <f>tbl_OriginalData[[#This Row],[Age]]</f>
        <v>18</v>
      </c>
      <c r="AH427" t="str" cm="1">
        <f t="array" ref="AH42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427" t="str">
        <f>tbl_OriginalData[[#This Row],[Gender]]</f>
        <v>Female</v>
      </c>
      <c r="AJ427" t="str">
        <f>tbl_OriginalData[[#This Row],[Income_Level]]</f>
        <v>High</v>
      </c>
      <c r="AK427" t="str">
        <f>tbl_OriginalData[[#This Row],[Marital_Status]]</f>
        <v>Single</v>
      </c>
      <c r="AL427" t="str">
        <f>tbl_OriginalData[[#This Row],[Education_Level]]</f>
        <v>High School</v>
      </c>
      <c r="AM427" t="str">
        <f>tbl_OriginalData[[#This Row],[Occupation]]</f>
        <v>High</v>
      </c>
      <c r="AN427" t="s">
        <v>1060</v>
      </c>
      <c r="AO427" t="s">
        <v>109</v>
      </c>
      <c r="AP427" t="str">
        <f>tbl_OriginalData[[#This Row],[Purchase_Category]]</f>
        <v>Health Supplements</v>
      </c>
      <c r="AQ427" s="4">
        <f>tbl_OriginalData[[#This Row],[Purchase_Amount]]</f>
        <v>397.25</v>
      </c>
      <c r="AR427">
        <f>tbl_OriginalData[[#This Row],[Frequency_of_Purchase]]</f>
        <v>6</v>
      </c>
      <c r="AS427" t="str">
        <f>tbl_OriginalData[[#This Row],[Purchase_Channel]]</f>
        <v>Mixed</v>
      </c>
      <c r="AT427">
        <f>tbl_OriginalData[[#This Row],[Brand_Loyalty]]</f>
        <v>5</v>
      </c>
      <c r="AU427">
        <f>tbl_OriginalData[[#This Row],[Product_Rating]]</f>
        <v>2</v>
      </c>
      <c r="AV427">
        <f>tbl_OriginalData[[#This Row],[Time_Spent_on_Product_Research(hours)]]*60</f>
        <v>60</v>
      </c>
      <c r="AW427" t="str">
        <f>tbl_OriginalData[[#This Row],[Social_Media_Influence]]</f>
        <v>Low</v>
      </c>
      <c r="AX427" t="str">
        <f>tbl_OriginalData[[#This Row],[Discount_Sensitivity]]</f>
        <v>Not Sensitive</v>
      </c>
      <c r="AY427" s="3">
        <f>tbl_OriginalData[[#This Row],[Return_Rate]]/tbl_OriginalData[[#This Row],[Frequency_of_Purchase]]</f>
        <v>0.16666666666666666</v>
      </c>
      <c r="AZ427">
        <f>tbl_OriginalData[[#This Row],[Customer_Satisfaction]]</f>
        <v>10</v>
      </c>
      <c r="BA427" t="str">
        <f>tbl_OriginalData[[#This Row],[Engagement_with_Ads]]</f>
        <v>None</v>
      </c>
      <c r="BB427" t="str">
        <f>tbl_OriginalData[[#This Row],[Device_Used_for_Shopping]]</f>
        <v>Desktop</v>
      </c>
      <c r="BC427" t="str">
        <f>tbl_OriginalData[[#This Row],[Payment_Method]]</f>
        <v>Cash</v>
      </c>
      <c r="BD427" s="1">
        <f>tbl_OriginalData[[#This Row],[Time_of_Purchase]]</f>
        <v>45512</v>
      </c>
      <c r="BE427" t="str">
        <f>IF(tbl_OriginalData[[#This Row],[Discount_Used]]=TRUE,"Yes","No")</f>
        <v>No</v>
      </c>
      <c r="BF427" t="str">
        <f>IF(tbl_OriginalData[[#This Row],[Customer_Loyalty_Program_Member]]=TRUE,"Yes","No")</f>
        <v>Yes</v>
      </c>
      <c r="BG427" t="str">
        <f>tbl_OriginalData[[#This Row],[Purchase_Intent]]</f>
        <v>Wants-based</v>
      </c>
      <c r="BH427" t="str">
        <f>tbl_OriginalData[[#This Row],[Shipping_Preference]]</f>
        <v>No Preference</v>
      </c>
      <c r="BI427">
        <f>tbl_OriginalData[[#This Row],[Time_to_Decision]]</f>
        <v>2</v>
      </c>
      <c r="BJ427" t="s">
        <v>124</v>
      </c>
      <c r="BK427" t="s">
        <v>115</v>
      </c>
      <c r="BL427" t="s">
        <v>2526</v>
      </c>
    </row>
    <row r="428" spans="1:64">
      <c r="A428" t="s">
        <v>1061</v>
      </c>
      <c r="B428">
        <v>46</v>
      </c>
      <c r="C428" t="s">
        <v>50</v>
      </c>
      <c r="D428" t="s">
        <v>34</v>
      </c>
      <c r="E428" t="s">
        <v>92</v>
      </c>
      <c r="F428" t="s">
        <v>52</v>
      </c>
      <c r="G428" t="s">
        <v>34</v>
      </c>
      <c r="H428" t="s">
        <v>1062</v>
      </c>
      <c r="I428" t="s">
        <v>38</v>
      </c>
      <c r="J428">
        <v>96.18</v>
      </c>
      <c r="K428">
        <v>3</v>
      </c>
      <c r="L428" t="s">
        <v>39</v>
      </c>
      <c r="M428">
        <v>3</v>
      </c>
      <c r="N428">
        <v>4</v>
      </c>
      <c r="O428">
        <v>0</v>
      </c>
      <c r="P428" t="s">
        <v>40</v>
      </c>
      <c r="Q428" t="s">
        <v>41</v>
      </c>
      <c r="R428">
        <v>1</v>
      </c>
      <c r="S428">
        <v>9</v>
      </c>
      <c r="T428" t="s">
        <v>56</v>
      </c>
      <c r="U428" t="s">
        <v>70</v>
      </c>
      <c r="V428" t="s">
        <v>102</v>
      </c>
      <c r="W428" s="1">
        <v>45417</v>
      </c>
      <c r="X428" t="b">
        <v>0</v>
      </c>
      <c r="Y428" t="b">
        <v>0</v>
      </c>
      <c r="Z428" t="s">
        <v>89</v>
      </c>
      <c r="AA428" t="s">
        <v>77</v>
      </c>
      <c r="AB428">
        <v>10</v>
      </c>
      <c r="AF428" t="str">
        <f>tbl_OriginalData[[#This Row],[Customer_ID]]</f>
        <v>89-730-1134</v>
      </c>
      <c r="AG428">
        <f>tbl_OriginalData[[#This Row],[Age]]</f>
        <v>46</v>
      </c>
      <c r="AH428" t="str" cm="1">
        <f t="array" ref="AH42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28" t="str">
        <f>tbl_OriginalData[[#This Row],[Gender]]</f>
        <v>Male</v>
      </c>
      <c r="AJ428" t="str">
        <f>tbl_OriginalData[[#This Row],[Income_Level]]</f>
        <v>Middle</v>
      </c>
      <c r="AK428" t="str">
        <f>tbl_OriginalData[[#This Row],[Marital_Status]]</f>
        <v>Divorced</v>
      </c>
      <c r="AL428" t="str">
        <f>tbl_OriginalData[[#This Row],[Education_Level]]</f>
        <v>High School</v>
      </c>
      <c r="AM428" t="str">
        <f>tbl_OriginalData[[#This Row],[Occupation]]</f>
        <v>Middle</v>
      </c>
      <c r="AN428" t="s">
        <v>1062</v>
      </c>
      <c r="AO428" t="s">
        <v>61</v>
      </c>
      <c r="AP428" t="str">
        <f>tbl_OriginalData[[#This Row],[Purchase_Category]]</f>
        <v>Gardening &amp; Outdoors</v>
      </c>
      <c r="AQ428" s="4">
        <f>tbl_OriginalData[[#This Row],[Purchase_Amount]]</f>
        <v>96.18</v>
      </c>
      <c r="AR428">
        <f>tbl_OriginalData[[#This Row],[Frequency_of_Purchase]]</f>
        <v>3</v>
      </c>
      <c r="AS428" t="str">
        <f>tbl_OriginalData[[#This Row],[Purchase_Channel]]</f>
        <v>Mixed</v>
      </c>
      <c r="AT428">
        <f>tbl_OriginalData[[#This Row],[Brand_Loyalty]]</f>
        <v>3</v>
      </c>
      <c r="AU428">
        <f>tbl_OriginalData[[#This Row],[Product_Rating]]</f>
        <v>4</v>
      </c>
      <c r="AV428">
        <f>tbl_OriginalData[[#This Row],[Time_Spent_on_Product_Research(hours)]]*60</f>
        <v>0</v>
      </c>
      <c r="AW428" t="str">
        <f>tbl_OriginalData[[#This Row],[Social_Media_Influence]]</f>
        <v>None</v>
      </c>
      <c r="AX428" t="str">
        <f>tbl_OriginalData[[#This Row],[Discount_Sensitivity]]</f>
        <v>Somewhat Sensitive</v>
      </c>
      <c r="AY428" s="3">
        <f>tbl_OriginalData[[#This Row],[Return_Rate]]/tbl_OriginalData[[#This Row],[Frequency_of_Purchase]]</f>
        <v>0.33333333333333331</v>
      </c>
      <c r="AZ428">
        <f>tbl_OriginalData[[#This Row],[Customer_Satisfaction]]</f>
        <v>9</v>
      </c>
      <c r="BA428" t="str">
        <f>tbl_OriginalData[[#This Row],[Engagement_with_Ads]]</f>
        <v>Medium</v>
      </c>
      <c r="BB428" t="str">
        <f>tbl_OriginalData[[#This Row],[Device_Used_for_Shopping]]</f>
        <v>Smartphone</v>
      </c>
      <c r="BC428" t="str">
        <f>tbl_OriginalData[[#This Row],[Payment_Method]]</f>
        <v>Cash</v>
      </c>
      <c r="BD428" s="1">
        <f>tbl_OriginalData[[#This Row],[Time_of_Purchase]]</f>
        <v>45417</v>
      </c>
      <c r="BE428" t="str">
        <f>IF(tbl_OriginalData[[#This Row],[Discount_Used]]=TRUE,"Yes","No")</f>
        <v>No</v>
      </c>
      <c r="BF428" t="str">
        <f>IF(tbl_OriginalData[[#This Row],[Customer_Loyalty_Program_Member]]=TRUE,"Yes","No")</f>
        <v>No</v>
      </c>
      <c r="BG428" t="str">
        <f>tbl_OriginalData[[#This Row],[Purchase_Intent]]</f>
        <v>Planned</v>
      </c>
      <c r="BH428" t="str">
        <f>tbl_OriginalData[[#This Row],[Shipping_Preference]]</f>
        <v>Express</v>
      </c>
      <c r="BI428">
        <f>tbl_OriginalData[[#This Row],[Time_to_Decision]]</f>
        <v>10</v>
      </c>
      <c r="BJ428" t="s">
        <v>167</v>
      </c>
      <c r="BK428" t="s">
        <v>63</v>
      </c>
      <c r="BL428" t="s">
        <v>2524</v>
      </c>
    </row>
    <row r="429" spans="1:64">
      <c r="A429" t="s">
        <v>1063</v>
      </c>
      <c r="B429">
        <v>19</v>
      </c>
      <c r="C429" t="s">
        <v>33</v>
      </c>
      <c r="D429" t="s">
        <v>51</v>
      </c>
      <c r="E429" t="s">
        <v>92</v>
      </c>
      <c r="F429" t="s">
        <v>36</v>
      </c>
      <c r="G429" t="s">
        <v>51</v>
      </c>
      <c r="H429" t="s">
        <v>1064</v>
      </c>
      <c r="I429" t="s">
        <v>153</v>
      </c>
      <c r="J429">
        <v>390.44</v>
      </c>
      <c r="K429">
        <v>4</v>
      </c>
      <c r="L429" t="s">
        <v>39</v>
      </c>
      <c r="M429">
        <v>5</v>
      </c>
      <c r="N429">
        <v>1</v>
      </c>
      <c r="O429">
        <v>0</v>
      </c>
      <c r="P429" t="s">
        <v>56</v>
      </c>
      <c r="Q429" t="s">
        <v>101</v>
      </c>
      <c r="R429">
        <v>0</v>
      </c>
      <c r="S429">
        <v>4</v>
      </c>
      <c r="T429" t="s">
        <v>51</v>
      </c>
      <c r="U429" t="s">
        <v>95</v>
      </c>
      <c r="V429" t="s">
        <v>76</v>
      </c>
      <c r="W429" s="1">
        <v>45337</v>
      </c>
      <c r="X429" t="b">
        <v>1</v>
      </c>
      <c r="Y429" t="b">
        <v>0</v>
      </c>
      <c r="Z429" t="s">
        <v>44</v>
      </c>
      <c r="AA429" t="s">
        <v>60</v>
      </c>
      <c r="AB429">
        <v>4</v>
      </c>
      <c r="AF429" t="str">
        <f>tbl_OriginalData[[#This Row],[Customer_ID]]</f>
        <v>74-051-7865</v>
      </c>
      <c r="AG429">
        <f>tbl_OriginalData[[#This Row],[Age]]</f>
        <v>19</v>
      </c>
      <c r="AH429" t="str" cm="1">
        <f t="array" ref="AH42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429" t="str">
        <f>tbl_OriginalData[[#This Row],[Gender]]</f>
        <v>Female</v>
      </c>
      <c r="AJ429" t="str">
        <f>tbl_OriginalData[[#This Row],[Income_Level]]</f>
        <v>High</v>
      </c>
      <c r="AK429" t="str">
        <f>tbl_OriginalData[[#This Row],[Marital_Status]]</f>
        <v>Divorced</v>
      </c>
      <c r="AL429" t="str">
        <f>tbl_OriginalData[[#This Row],[Education_Level]]</f>
        <v>Bachelor's</v>
      </c>
      <c r="AM429" t="str">
        <f>tbl_OriginalData[[#This Row],[Occupation]]</f>
        <v>High</v>
      </c>
      <c r="AN429" t="s">
        <v>1064</v>
      </c>
      <c r="AO429" t="s">
        <v>61</v>
      </c>
      <c r="AP429" t="str">
        <f>tbl_OriginalData[[#This Row],[Purchase_Category]]</f>
        <v>Baby Products</v>
      </c>
      <c r="AQ429" s="4">
        <f>tbl_OriginalData[[#This Row],[Purchase_Amount]]</f>
        <v>390.44</v>
      </c>
      <c r="AR429">
        <f>tbl_OriginalData[[#This Row],[Frequency_of_Purchase]]</f>
        <v>4</v>
      </c>
      <c r="AS429" t="str">
        <f>tbl_OriginalData[[#This Row],[Purchase_Channel]]</f>
        <v>Mixed</v>
      </c>
      <c r="AT429">
        <f>tbl_OriginalData[[#This Row],[Brand_Loyalty]]</f>
        <v>5</v>
      </c>
      <c r="AU429">
        <f>tbl_OriginalData[[#This Row],[Product_Rating]]</f>
        <v>1</v>
      </c>
      <c r="AV429">
        <f>tbl_OriginalData[[#This Row],[Time_Spent_on_Product_Research(hours)]]*60</f>
        <v>0</v>
      </c>
      <c r="AW429" t="str">
        <f>tbl_OriginalData[[#This Row],[Social_Media_Influence]]</f>
        <v>Medium</v>
      </c>
      <c r="AX429" t="str">
        <f>tbl_OriginalData[[#This Row],[Discount_Sensitivity]]</f>
        <v>Very Sensitive</v>
      </c>
      <c r="AY429" s="3">
        <f>tbl_OriginalData[[#This Row],[Return_Rate]]/tbl_OriginalData[[#This Row],[Frequency_of_Purchase]]</f>
        <v>0</v>
      </c>
      <c r="AZ429">
        <f>tbl_OriginalData[[#This Row],[Customer_Satisfaction]]</f>
        <v>4</v>
      </c>
      <c r="BA429" t="str">
        <f>tbl_OriginalData[[#This Row],[Engagement_with_Ads]]</f>
        <v>High</v>
      </c>
      <c r="BB429" t="str">
        <f>tbl_OriginalData[[#This Row],[Device_Used_for_Shopping]]</f>
        <v>Desktop</v>
      </c>
      <c r="BC429" t="str">
        <f>tbl_OriginalData[[#This Row],[Payment_Method]]</f>
        <v>Other</v>
      </c>
      <c r="BD429" s="1">
        <f>tbl_OriginalData[[#This Row],[Time_of_Purchase]]</f>
        <v>45337</v>
      </c>
      <c r="BE429" t="str">
        <f>IF(tbl_OriginalData[[#This Row],[Discount_Used]]=TRUE,"Yes","No")</f>
        <v>Yes</v>
      </c>
      <c r="BF429" t="str">
        <f>IF(tbl_OriginalData[[#This Row],[Customer_Loyalty_Program_Member]]=TRUE,"Yes","No")</f>
        <v>No</v>
      </c>
      <c r="BG429" t="str">
        <f>tbl_OriginalData[[#This Row],[Purchase_Intent]]</f>
        <v>Need-based</v>
      </c>
      <c r="BH429" t="str">
        <f>tbl_OriginalData[[#This Row],[Shipping_Preference]]</f>
        <v>Standard</v>
      </c>
      <c r="BI429">
        <f>tbl_OriginalData[[#This Row],[Time_to_Decision]]</f>
        <v>4</v>
      </c>
      <c r="BJ429" t="s">
        <v>158</v>
      </c>
      <c r="BK429" t="s">
        <v>48</v>
      </c>
      <c r="BL429" t="s">
        <v>2524</v>
      </c>
    </row>
    <row r="430" spans="1:64">
      <c r="A430" t="s">
        <v>1065</v>
      </c>
      <c r="B430">
        <v>37</v>
      </c>
      <c r="C430" t="s">
        <v>33</v>
      </c>
      <c r="D430" t="s">
        <v>34</v>
      </c>
      <c r="E430" t="s">
        <v>65</v>
      </c>
      <c r="F430" t="s">
        <v>36</v>
      </c>
      <c r="G430" t="s">
        <v>34</v>
      </c>
      <c r="H430" t="s">
        <v>1066</v>
      </c>
      <c r="I430" t="s">
        <v>131</v>
      </c>
      <c r="J430">
        <v>61.5</v>
      </c>
      <c r="K430">
        <v>11</v>
      </c>
      <c r="L430" t="s">
        <v>39</v>
      </c>
      <c r="M430">
        <v>4</v>
      </c>
      <c r="N430">
        <v>2</v>
      </c>
      <c r="O430">
        <v>0</v>
      </c>
      <c r="P430" t="s">
        <v>56</v>
      </c>
      <c r="Q430" t="s">
        <v>101</v>
      </c>
      <c r="R430">
        <v>0</v>
      </c>
      <c r="S430">
        <v>1</v>
      </c>
      <c r="T430" t="s">
        <v>51</v>
      </c>
      <c r="U430" t="s">
        <v>70</v>
      </c>
      <c r="V430" t="s">
        <v>76</v>
      </c>
      <c r="W430" s="1">
        <v>45317</v>
      </c>
      <c r="X430" t="b">
        <v>1</v>
      </c>
      <c r="Y430" t="b">
        <v>1</v>
      </c>
      <c r="Z430" t="s">
        <v>89</v>
      </c>
      <c r="AA430" t="s">
        <v>77</v>
      </c>
      <c r="AB430">
        <v>8</v>
      </c>
      <c r="AF430" t="str">
        <f>tbl_OriginalData[[#This Row],[Customer_ID]]</f>
        <v>40-450-4266</v>
      </c>
      <c r="AG430">
        <f>tbl_OriginalData[[#This Row],[Age]]</f>
        <v>37</v>
      </c>
      <c r="AH430" t="str" cm="1">
        <f t="array" ref="AH43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30" t="str">
        <f>tbl_OriginalData[[#This Row],[Gender]]</f>
        <v>Female</v>
      </c>
      <c r="AJ430" t="str">
        <f>tbl_OriginalData[[#This Row],[Income_Level]]</f>
        <v>Middle</v>
      </c>
      <c r="AK430" t="str">
        <f>tbl_OriginalData[[#This Row],[Marital_Status]]</f>
        <v>Single</v>
      </c>
      <c r="AL430" t="str">
        <f>tbl_OriginalData[[#This Row],[Education_Level]]</f>
        <v>Bachelor's</v>
      </c>
      <c r="AM430" t="str">
        <f>tbl_OriginalData[[#This Row],[Occupation]]</f>
        <v>Middle</v>
      </c>
      <c r="AN430" t="s">
        <v>1066</v>
      </c>
      <c r="AO430" t="s">
        <v>103</v>
      </c>
      <c r="AP430" t="str">
        <f>tbl_OriginalData[[#This Row],[Purchase_Category]]</f>
        <v>Health Care</v>
      </c>
      <c r="AQ430" s="4">
        <f>tbl_OriginalData[[#This Row],[Purchase_Amount]]</f>
        <v>61.5</v>
      </c>
      <c r="AR430">
        <f>tbl_OriginalData[[#This Row],[Frequency_of_Purchase]]</f>
        <v>11</v>
      </c>
      <c r="AS430" t="str">
        <f>tbl_OriginalData[[#This Row],[Purchase_Channel]]</f>
        <v>Mixed</v>
      </c>
      <c r="AT430">
        <f>tbl_OriginalData[[#This Row],[Brand_Loyalty]]</f>
        <v>4</v>
      </c>
      <c r="AU430">
        <f>tbl_OriginalData[[#This Row],[Product_Rating]]</f>
        <v>2</v>
      </c>
      <c r="AV430">
        <f>tbl_OriginalData[[#This Row],[Time_Spent_on_Product_Research(hours)]]*60</f>
        <v>0</v>
      </c>
      <c r="AW430" t="str">
        <f>tbl_OriginalData[[#This Row],[Social_Media_Influence]]</f>
        <v>Medium</v>
      </c>
      <c r="AX430" t="str">
        <f>tbl_OriginalData[[#This Row],[Discount_Sensitivity]]</f>
        <v>Very Sensitive</v>
      </c>
      <c r="AY430" s="3">
        <f>tbl_OriginalData[[#This Row],[Return_Rate]]/tbl_OriginalData[[#This Row],[Frequency_of_Purchase]]</f>
        <v>0</v>
      </c>
      <c r="AZ430">
        <f>tbl_OriginalData[[#This Row],[Customer_Satisfaction]]</f>
        <v>1</v>
      </c>
      <c r="BA430" t="str">
        <f>tbl_OriginalData[[#This Row],[Engagement_with_Ads]]</f>
        <v>High</v>
      </c>
      <c r="BB430" t="str">
        <f>tbl_OriginalData[[#This Row],[Device_Used_for_Shopping]]</f>
        <v>Smartphone</v>
      </c>
      <c r="BC430" t="str">
        <f>tbl_OriginalData[[#This Row],[Payment_Method]]</f>
        <v>Other</v>
      </c>
      <c r="BD430" s="1">
        <f>tbl_OriginalData[[#This Row],[Time_of_Purchase]]</f>
        <v>45317</v>
      </c>
      <c r="BE430" t="str">
        <f>IF(tbl_OriginalData[[#This Row],[Discount_Used]]=TRUE,"Yes","No")</f>
        <v>Yes</v>
      </c>
      <c r="BF430" t="str">
        <f>IF(tbl_OriginalData[[#This Row],[Customer_Loyalty_Program_Member]]=TRUE,"Yes","No")</f>
        <v>Yes</v>
      </c>
      <c r="BG430" t="str">
        <f>tbl_OriginalData[[#This Row],[Purchase_Intent]]</f>
        <v>Planned</v>
      </c>
      <c r="BH430" t="str">
        <f>tbl_OriginalData[[#This Row],[Shipping_Preference]]</f>
        <v>Express</v>
      </c>
      <c r="BI430">
        <f>tbl_OriginalData[[#This Row],[Time_to_Decision]]</f>
        <v>8</v>
      </c>
      <c r="BJ430" t="s">
        <v>86</v>
      </c>
      <c r="BK430" t="s">
        <v>48</v>
      </c>
      <c r="BL430" t="s">
        <v>2523</v>
      </c>
    </row>
    <row r="431" spans="1:64">
      <c r="A431" t="s">
        <v>1067</v>
      </c>
      <c r="B431">
        <v>35</v>
      </c>
      <c r="C431" t="s">
        <v>33</v>
      </c>
      <c r="D431" t="s">
        <v>34</v>
      </c>
      <c r="E431" t="s">
        <v>92</v>
      </c>
      <c r="F431" t="s">
        <v>52</v>
      </c>
      <c r="G431" t="s">
        <v>51</v>
      </c>
      <c r="H431" t="s">
        <v>1068</v>
      </c>
      <c r="I431" t="s">
        <v>68</v>
      </c>
      <c r="J431">
        <v>234.44</v>
      </c>
      <c r="K431">
        <v>6</v>
      </c>
      <c r="L431" t="s">
        <v>55</v>
      </c>
      <c r="M431">
        <v>3</v>
      </c>
      <c r="N431">
        <v>5</v>
      </c>
      <c r="O431">
        <v>2</v>
      </c>
      <c r="P431" t="s">
        <v>56</v>
      </c>
      <c r="Q431" t="s">
        <v>101</v>
      </c>
      <c r="R431">
        <v>0</v>
      </c>
      <c r="S431">
        <v>1</v>
      </c>
      <c r="T431" t="s">
        <v>51</v>
      </c>
      <c r="U431" t="s">
        <v>95</v>
      </c>
      <c r="V431" t="s">
        <v>76</v>
      </c>
      <c r="W431" s="1">
        <v>45435</v>
      </c>
      <c r="X431" t="b">
        <v>0</v>
      </c>
      <c r="Y431" t="b">
        <v>1</v>
      </c>
      <c r="Z431" t="s">
        <v>72</v>
      </c>
      <c r="AA431" t="s">
        <v>77</v>
      </c>
      <c r="AB431">
        <v>5</v>
      </c>
      <c r="AF431" t="str">
        <f>tbl_OriginalData[[#This Row],[Customer_ID]]</f>
        <v>78-796-5651</v>
      </c>
      <c r="AG431">
        <f>tbl_OriginalData[[#This Row],[Age]]</f>
        <v>35</v>
      </c>
      <c r="AH431" t="str" cm="1">
        <f t="array" ref="AH43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31" t="str">
        <f>tbl_OriginalData[[#This Row],[Gender]]</f>
        <v>Female</v>
      </c>
      <c r="AJ431" t="str">
        <f>tbl_OriginalData[[#This Row],[Income_Level]]</f>
        <v>Middle</v>
      </c>
      <c r="AK431" t="str">
        <f>tbl_OriginalData[[#This Row],[Marital_Status]]</f>
        <v>Divorced</v>
      </c>
      <c r="AL431" t="str">
        <f>tbl_OriginalData[[#This Row],[Education_Level]]</f>
        <v>High School</v>
      </c>
      <c r="AM431" t="str">
        <f>tbl_OriginalData[[#This Row],[Occupation]]</f>
        <v>High</v>
      </c>
      <c r="AN431" t="s">
        <v>1068</v>
      </c>
      <c r="AO431" t="s">
        <v>186</v>
      </c>
      <c r="AP431" t="str">
        <f>tbl_OriginalData[[#This Row],[Purchase_Category]]</f>
        <v>Office Supplies</v>
      </c>
      <c r="AQ431" s="4">
        <f>tbl_OriginalData[[#This Row],[Purchase_Amount]]</f>
        <v>234.44</v>
      </c>
      <c r="AR431">
        <f>tbl_OriginalData[[#This Row],[Frequency_of_Purchase]]</f>
        <v>6</v>
      </c>
      <c r="AS431" t="str">
        <f>tbl_OriginalData[[#This Row],[Purchase_Channel]]</f>
        <v>In-Store</v>
      </c>
      <c r="AT431">
        <f>tbl_OriginalData[[#This Row],[Brand_Loyalty]]</f>
        <v>3</v>
      </c>
      <c r="AU431">
        <f>tbl_OriginalData[[#This Row],[Product_Rating]]</f>
        <v>5</v>
      </c>
      <c r="AV431">
        <f>tbl_OriginalData[[#This Row],[Time_Spent_on_Product_Research(hours)]]*60</f>
        <v>120</v>
      </c>
      <c r="AW431" t="str">
        <f>tbl_OriginalData[[#This Row],[Social_Media_Influence]]</f>
        <v>Medium</v>
      </c>
      <c r="AX431" t="str">
        <f>tbl_OriginalData[[#This Row],[Discount_Sensitivity]]</f>
        <v>Very Sensitive</v>
      </c>
      <c r="AY431" s="3">
        <f>tbl_OriginalData[[#This Row],[Return_Rate]]/tbl_OriginalData[[#This Row],[Frequency_of_Purchase]]</f>
        <v>0</v>
      </c>
      <c r="AZ431">
        <f>tbl_OriginalData[[#This Row],[Customer_Satisfaction]]</f>
        <v>1</v>
      </c>
      <c r="BA431" t="str">
        <f>tbl_OriginalData[[#This Row],[Engagement_with_Ads]]</f>
        <v>High</v>
      </c>
      <c r="BB431" t="str">
        <f>tbl_OriginalData[[#This Row],[Device_Used_for_Shopping]]</f>
        <v>Desktop</v>
      </c>
      <c r="BC431" t="str">
        <f>tbl_OriginalData[[#This Row],[Payment_Method]]</f>
        <v>Other</v>
      </c>
      <c r="BD431" s="1">
        <f>tbl_OriginalData[[#This Row],[Time_of_Purchase]]</f>
        <v>45435</v>
      </c>
      <c r="BE431" t="str">
        <f>IF(tbl_OriginalData[[#This Row],[Discount_Used]]=TRUE,"Yes","No")</f>
        <v>No</v>
      </c>
      <c r="BF431" t="str">
        <f>IF(tbl_OriginalData[[#This Row],[Customer_Loyalty_Program_Member]]=TRUE,"Yes","No")</f>
        <v>Yes</v>
      </c>
      <c r="BG431" t="str">
        <f>tbl_OriginalData[[#This Row],[Purchase_Intent]]</f>
        <v>Impulsive</v>
      </c>
      <c r="BH431" t="str">
        <f>tbl_OriginalData[[#This Row],[Shipping_Preference]]</f>
        <v>Express</v>
      </c>
      <c r="BI431">
        <f>tbl_OriginalData[[#This Row],[Time_to_Decision]]</f>
        <v>5</v>
      </c>
      <c r="BJ431" t="s">
        <v>167</v>
      </c>
      <c r="BK431" t="s">
        <v>63</v>
      </c>
      <c r="BL431" t="s">
        <v>2523</v>
      </c>
    </row>
    <row r="432" spans="1:64">
      <c r="A432" t="s">
        <v>1069</v>
      </c>
      <c r="B432">
        <v>43</v>
      </c>
      <c r="C432" t="s">
        <v>50</v>
      </c>
      <c r="D432" t="s">
        <v>34</v>
      </c>
      <c r="E432" t="s">
        <v>65</v>
      </c>
      <c r="F432" t="s">
        <v>66</v>
      </c>
      <c r="G432" t="s">
        <v>34</v>
      </c>
      <c r="H432" t="s">
        <v>1070</v>
      </c>
      <c r="I432" t="s">
        <v>156</v>
      </c>
      <c r="J432">
        <v>318.83999999999997</v>
      </c>
      <c r="K432">
        <v>6</v>
      </c>
      <c r="L432" t="s">
        <v>94</v>
      </c>
      <c r="M432">
        <v>1</v>
      </c>
      <c r="N432">
        <v>1</v>
      </c>
      <c r="O432">
        <v>2</v>
      </c>
      <c r="P432" t="s">
        <v>69</v>
      </c>
      <c r="Q432" t="s">
        <v>101</v>
      </c>
      <c r="R432">
        <v>0</v>
      </c>
      <c r="S432">
        <v>4</v>
      </c>
      <c r="T432" t="s">
        <v>51</v>
      </c>
      <c r="U432" t="s">
        <v>42</v>
      </c>
      <c r="V432" t="s">
        <v>76</v>
      </c>
      <c r="W432" s="1">
        <v>45402</v>
      </c>
      <c r="X432" t="b">
        <v>0</v>
      </c>
      <c r="Y432" t="b">
        <v>1</v>
      </c>
      <c r="Z432" t="s">
        <v>59</v>
      </c>
      <c r="AA432" t="s">
        <v>60</v>
      </c>
      <c r="AB432">
        <v>10</v>
      </c>
      <c r="AF432" t="str">
        <f>tbl_OriginalData[[#This Row],[Customer_ID]]</f>
        <v>78-163-4800</v>
      </c>
      <c r="AG432">
        <f>tbl_OriginalData[[#This Row],[Age]]</f>
        <v>43</v>
      </c>
      <c r="AH432" t="str" cm="1">
        <f t="array" ref="AH43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32" t="str">
        <f>tbl_OriginalData[[#This Row],[Gender]]</f>
        <v>Male</v>
      </c>
      <c r="AJ432" t="str">
        <f>tbl_OriginalData[[#This Row],[Income_Level]]</f>
        <v>Middle</v>
      </c>
      <c r="AK432" t="str">
        <f>tbl_OriginalData[[#This Row],[Marital_Status]]</f>
        <v>Single</v>
      </c>
      <c r="AL432" t="str">
        <f>tbl_OriginalData[[#This Row],[Education_Level]]</f>
        <v>Master's</v>
      </c>
      <c r="AM432" t="str">
        <f>tbl_OriginalData[[#This Row],[Occupation]]</f>
        <v>Middle</v>
      </c>
      <c r="AN432" t="s">
        <v>1070</v>
      </c>
      <c r="AO432" t="s">
        <v>186</v>
      </c>
      <c r="AP432" t="str">
        <f>tbl_OriginalData[[#This Row],[Purchase_Category]]</f>
        <v>Toys &amp; Games</v>
      </c>
      <c r="AQ432" s="4">
        <f>tbl_OriginalData[[#This Row],[Purchase_Amount]]</f>
        <v>318.83999999999997</v>
      </c>
      <c r="AR432">
        <f>tbl_OriginalData[[#This Row],[Frequency_of_Purchase]]</f>
        <v>6</v>
      </c>
      <c r="AS432" t="str">
        <f>tbl_OriginalData[[#This Row],[Purchase_Channel]]</f>
        <v>Online</v>
      </c>
      <c r="AT432">
        <f>tbl_OriginalData[[#This Row],[Brand_Loyalty]]</f>
        <v>1</v>
      </c>
      <c r="AU432">
        <f>tbl_OriginalData[[#This Row],[Product_Rating]]</f>
        <v>1</v>
      </c>
      <c r="AV432">
        <f>tbl_OriginalData[[#This Row],[Time_Spent_on_Product_Research(hours)]]*60</f>
        <v>120</v>
      </c>
      <c r="AW432" t="str">
        <f>tbl_OriginalData[[#This Row],[Social_Media_Influence]]</f>
        <v>Low</v>
      </c>
      <c r="AX432" t="str">
        <f>tbl_OriginalData[[#This Row],[Discount_Sensitivity]]</f>
        <v>Very Sensitive</v>
      </c>
      <c r="AY432" s="3">
        <f>tbl_OriginalData[[#This Row],[Return_Rate]]/tbl_OriginalData[[#This Row],[Frequency_of_Purchase]]</f>
        <v>0</v>
      </c>
      <c r="AZ432">
        <f>tbl_OriginalData[[#This Row],[Customer_Satisfaction]]</f>
        <v>4</v>
      </c>
      <c r="BA432" t="str">
        <f>tbl_OriginalData[[#This Row],[Engagement_with_Ads]]</f>
        <v>High</v>
      </c>
      <c r="BB432" t="str">
        <f>tbl_OriginalData[[#This Row],[Device_Used_for_Shopping]]</f>
        <v>Tablet</v>
      </c>
      <c r="BC432" t="str">
        <f>tbl_OriginalData[[#This Row],[Payment_Method]]</f>
        <v>Other</v>
      </c>
      <c r="BD432" s="1">
        <f>tbl_OriginalData[[#This Row],[Time_of_Purchase]]</f>
        <v>45402</v>
      </c>
      <c r="BE432" t="str">
        <f>IF(tbl_OriginalData[[#This Row],[Discount_Used]]=TRUE,"Yes","No")</f>
        <v>No</v>
      </c>
      <c r="BF432" t="str">
        <f>IF(tbl_OriginalData[[#This Row],[Customer_Loyalty_Program_Member]]=TRUE,"Yes","No")</f>
        <v>Yes</v>
      </c>
      <c r="BG432" t="str">
        <f>tbl_OriginalData[[#This Row],[Purchase_Intent]]</f>
        <v>Wants-based</v>
      </c>
      <c r="BH432" t="str">
        <f>tbl_OriginalData[[#This Row],[Shipping_Preference]]</f>
        <v>Standard</v>
      </c>
      <c r="BI432">
        <f>tbl_OriginalData[[#This Row],[Time_to_Decision]]</f>
        <v>10</v>
      </c>
      <c r="BJ432" t="s">
        <v>62</v>
      </c>
      <c r="BK432" t="s">
        <v>63</v>
      </c>
      <c r="BL432" t="s">
        <v>2523</v>
      </c>
    </row>
    <row r="433" spans="1:64">
      <c r="A433" t="s">
        <v>1071</v>
      </c>
      <c r="B433">
        <v>28</v>
      </c>
      <c r="C433" t="s">
        <v>50</v>
      </c>
      <c r="D433" t="s">
        <v>34</v>
      </c>
      <c r="E433" t="s">
        <v>65</v>
      </c>
      <c r="F433" t="s">
        <v>66</v>
      </c>
      <c r="G433" t="s">
        <v>51</v>
      </c>
      <c r="H433" t="s">
        <v>1072</v>
      </c>
      <c r="I433" t="s">
        <v>156</v>
      </c>
      <c r="J433">
        <v>327.32</v>
      </c>
      <c r="K433">
        <v>6</v>
      </c>
      <c r="L433" t="s">
        <v>39</v>
      </c>
      <c r="M433">
        <v>4</v>
      </c>
      <c r="N433">
        <v>5</v>
      </c>
      <c r="O433">
        <v>0</v>
      </c>
      <c r="P433" t="s">
        <v>40</v>
      </c>
      <c r="Q433" t="s">
        <v>41</v>
      </c>
      <c r="R433">
        <v>0</v>
      </c>
      <c r="S433">
        <v>4</v>
      </c>
      <c r="T433" t="s">
        <v>51</v>
      </c>
      <c r="U433" t="s">
        <v>42</v>
      </c>
      <c r="V433" t="s">
        <v>76</v>
      </c>
      <c r="W433" s="1">
        <v>45452</v>
      </c>
      <c r="X433" t="b">
        <v>1</v>
      </c>
      <c r="Y433" t="b">
        <v>1</v>
      </c>
      <c r="Z433" t="s">
        <v>72</v>
      </c>
      <c r="AA433" t="s">
        <v>77</v>
      </c>
      <c r="AB433">
        <v>13</v>
      </c>
      <c r="AF433" t="str">
        <f>tbl_OriginalData[[#This Row],[Customer_ID]]</f>
        <v>90-272-5701</v>
      </c>
      <c r="AG433">
        <f>tbl_OriginalData[[#This Row],[Age]]</f>
        <v>28</v>
      </c>
      <c r="AH433" t="str" cm="1">
        <f t="array" ref="AH43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33" t="str">
        <f>tbl_OriginalData[[#This Row],[Gender]]</f>
        <v>Male</v>
      </c>
      <c r="AJ433" t="str">
        <f>tbl_OriginalData[[#This Row],[Income_Level]]</f>
        <v>Middle</v>
      </c>
      <c r="AK433" t="str">
        <f>tbl_OriginalData[[#This Row],[Marital_Status]]</f>
        <v>Single</v>
      </c>
      <c r="AL433" t="str">
        <f>tbl_OriginalData[[#This Row],[Education_Level]]</f>
        <v>Master's</v>
      </c>
      <c r="AM433" t="str">
        <f>tbl_OriginalData[[#This Row],[Occupation]]</f>
        <v>High</v>
      </c>
      <c r="AN433" t="s">
        <v>1072</v>
      </c>
      <c r="AO433" t="s">
        <v>109</v>
      </c>
      <c r="AP433" t="str">
        <f>tbl_OriginalData[[#This Row],[Purchase_Category]]</f>
        <v>Toys &amp; Games</v>
      </c>
      <c r="AQ433" s="4">
        <f>tbl_OriginalData[[#This Row],[Purchase_Amount]]</f>
        <v>327.32</v>
      </c>
      <c r="AR433">
        <f>tbl_OriginalData[[#This Row],[Frequency_of_Purchase]]</f>
        <v>6</v>
      </c>
      <c r="AS433" t="str">
        <f>tbl_OriginalData[[#This Row],[Purchase_Channel]]</f>
        <v>Mixed</v>
      </c>
      <c r="AT433">
        <f>tbl_OriginalData[[#This Row],[Brand_Loyalty]]</f>
        <v>4</v>
      </c>
      <c r="AU433">
        <f>tbl_OriginalData[[#This Row],[Product_Rating]]</f>
        <v>5</v>
      </c>
      <c r="AV433">
        <f>tbl_OriginalData[[#This Row],[Time_Spent_on_Product_Research(hours)]]*60</f>
        <v>0</v>
      </c>
      <c r="AW433" t="str">
        <f>tbl_OriginalData[[#This Row],[Social_Media_Influence]]</f>
        <v>None</v>
      </c>
      <c r="AX433" t="str">
        <f>tbl_OriginalData[[#This Row],[Discount_Sensitivity]]</f>
        <v>Somewhat Sensitive</v>
      </c>
      <c r="AY433" s="3">
        <f>tbl_OriginalData[[#This Row],[Return_Rate]]/tbl_OriginalData[[#This Row],[Frequency_of_Purchase]]</f>
        <v>0</v>
      </c>
      <c r="AZ433">
        <f>tbl_OriginalData[[#This Row],[Customer_Satisfaction]]</f>
        <v>4</v>
      </c>
      <c r="BA433" t="str">
        <f>tbl_OriginalData[[#This Row],[Engagement_with_Ads]]</f>
        <v>High</v>
      </c>
      <c r="BB433" t="str">
        <f>tbl_OriginalData[[#This Row],[Device_Used_for_Shopping]]</f>
        <v>Tablet</v>
      </c>
      <c r="BC433" t="str">
        <f>tbl_OriginalData[[#This Row],[Payment_Method]]</f>
        <v>Other</v>
      </c>
      <c r="BD433" s="1">
        <f>tbl_OriginalData[[#This Row],[Time_of_Purchase]]</f>
        <v>45452</v>
      </c>
      <c r="BE433" t="str">
        <f>IF(tbl_OriginalData[[#This Row],[Discount_Used]]=TRUE,"Yes","No")</f>
        <v>Yes</v>
      </c>
      <c r="BF433" t="str">
        <f>IF(tbl_OriginalData[[#This Row],[Customer_Loyalty_Program_Member]]=TRUE,"Yes","No")</f>
        <v>Yes</v>
      </c>
      <c r="BG433" t="str">
        <f>tbl_OriginalData[[#This Row],[Purchase_Intent]]</f>
        <v>Impulsive</v>
      </c>
      <c r="BH433" t="str">
        <f>tbl_OriginalData[[#This Row],[Shipping_Preference]]</f>
        <v>Express</v>
      </c>
      <c r="BI433">
        <f>tbl_OriginalData[[#This Row],[Time_to_Decision]]</f>
        <v>13</v>
      </c>
      <c r="BJ433" t="s">
        <v>104</v>
      </c>
      <c r="BK433" t="s">
        <v>63</v>
      </c>
      <c r="BL433" t="s">
        <v>2526</v>
      </c>
    </row>
    <row r="434" spans="1:64">
      <c r="A434" t="s">
        <v>1073</v>
      </c>
      <c r="B434">
        <v>25</v>
      </c>
      <c r="C434" t="s">
        <v>50</v>
      </c>
      <c r="D434" t="s">
        <v>34</v>
      </c>
      <c r="E434" t="s">
        <v>92</v>
      </c>
      <c r="F434" t="s">
        <v>66</v>
      </c>
      <c r="G434" t="s">
        <v>51</v>
      </c>
      <c r="H434" t="s">
        <v>1074</v>
      </c>
      <c r="I434" t="s">
        <v>98</v>
      </c>
      <c r="J434">
        <v>475.64</v>
      </c>
      <c r="K434">
        <v>3</v>
      </c>
      <c r="L434" t="s">
        <v>94</v>
      </c>
      <c r="M434">
        <v>3</v>
      </c>
      <c r="N434">
        <v>4</v>
      </c>
      <c r="O434">
        <v>1</v>
      </c>
      <c r="P434" t="s">
        <v>69</v>
      </c>
      <c r="Q434" t="s">
        <v>101</v>
      </c>
      <c r="R434">
        <v>1</v>
      </c>
      <c r="S434">
        <v>2</v>
      </c>
      <c r="T434" t="s">
        <v>56</v>
      </c>
      <c r="U434" t="s">
        <v>70</v>
      </c>
      <c r="V434" t="s">
        <v>58</v>
      </c>
      <c r="W434" s="1">
        <v>45337</v>
      </c>
      <c r="X434" t="b">
        <v>1</v>
      </c>
      <c r="Y434" t="b">
        <v>1</v>
      </c>
      <c r="Z434" t="s">
        <v>89</v>
      </c>
      <c r="AA434" t="s">
        <v>60</v>
      </c>
      <c r="AB434">
        <v>9</v>
      </c>
      <c r="AF434" t="str">
        <f>tbl_OriginalData[[#This Row],[Customer_ID]]</f>
        <v>14-118-5229</v>
      </c>
      <c r="AG434">
        <f>tbl_OriginalData[[#This Row],[Age]]</f>
        <v>25</v>
      </c>
      <c r="AH434" t="str" cm="1">
        <f t="array" ref="AH43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34" t="str">
        <f>tbl_OriginalData[[#This Row],[Gender]]</f>
        <v>Male</v>
      </c>
      <c r="AJ434" t="str">
        <f>tbl_OriginalData[[#This Row],[Income_Level]]</f>
        <v>Middle</v>
      </c>
      <c r="AK434" t="str">
        <f>tbl_OriginalData[[#This Row],[Marital_Status]]</f>
        <v>Divorced</v>
      </c>
      <c r="AL434" t="str">
        <f>tbl_OriginalData[[#This Row],[Education_Level]]</f>
        <v>Master's</v>
      </c>
      <c r="AM434" t="str">
        <f>tbl_OriginalData[[#This Row],[Occupation]]</f>
        <v>High</v>
      </c>
      <c r="AN434" t="s">
        <v>1074</v>
      </c>
      <c r="AO434" t="s">
        <v>215</v>
      </c>
      <c r="AP434" t="str">
        <f>tbl_OriginalData[[#This Row],[Purchase_Category]]</f>
        <v>Books</v>
      </c>
      <c r="AQ434" s="4">
        <f>tbl_OriginalData[[#This Row],[Purchase_Amount]]</f>
        <v>475.64</v>
      </c>
      <c r="AR434">
        <f>tbl_OriginalData[[#This Row],[Frequency_of_Purchase]]</f>
        <v>3</v>
      </c>
      <c r="AS434" t="str">
        <f>tbl_OriginalData[[#This Row],[Purchase_Channel]]</f>
        <v>Online</v>
      </c>
      <c r="AT434">
        <f>tbl_OriginalData[[#This Row],[Brand_Loyalty]]</f>
        <v>3</v>
      </c>
      <c r="AU434">
        <f>tbl_OriginalData[[#This Row],[Product_Rating]]</f>
        <v>4</v>
      </c>
      <c r="AV434">
        <f>tbl_OriginalData[[#This Row],[Time_Spent_on_Product_Research(hours)]]*60</f>
        <v>60</v>
      </c>
      <c r="AW434" t="str">
        <f>tbl_OriginalData[[#This Row],[Social_Media_Influence]]</f>
        <v>Low</v>
      </c>
      <c r="AX434" t="str">
        <f>tbl_OriginalData[[#This Row],[Discount_Sensitivity]]</f>
        <v>Very Sensitive</v>
      </c>
      <c r="AY434" s="3">
        <f>tbl_OriginalData[[#This Row],[Return_Rate]]/tbl_OriginalData[[#This Row],[Frequency_of_Purchase]]</f>
        <v>0.33333333333333331</v>
      </c>
      <c r="AZ434">
        <f>tbl_OriginalData[[#This Row],[Customer_Satisfaction]]</f>
        <v>2</v>
      </c>
      <c r="BA434" t="str">
        <f>tbl_OriginalData[[#This Row],[Engagement_with_Ads]]</f>
        <v>Medium</v>
      </c>
      <c r="BB434" t="str">
        <f>tbl_OriginalData[[#This Row],[Device_Used_for_Shopping]]</f>
        <v>Smartphone</v>
      </c>
      <c r="BC434" t="str">
        <f>tbl_OriginalData[[#This Row],[Payment_Method]]</f>
        <v>PayPal</v>
      </c>
      <c r="BD434" s="1">
        <f>tbl_OriginalData[[#This Row],[Time_of_Purchase]]</f>
        <v>45337</v>
      </c>
      <c r="BE434" t="str">
        <f>IF(tbl_OriginalData[[#This Row],[Discount_Used]]=TRUE,"Yes","No")</f>
        <v>Yes</v>
      </c>
      <c r="BF434" t="str">
        <f>IF(tbl_OriginalData[[#This Row],[Customer_Loyalty_Program_Member]]=TRUE,"Yes","No")</f>
        <v>Yes</v>
      </c>
      <c r="BG434" t="str">
        <f>tbl_OriginalData[[#This Row],[Purchase_Intent]]</f>
        <v>Planned</v>
      </c>
      <c r="BH434" t="str">
        <f>tbl_OriginalData[[#This Row],[Shipping_Preference]]</f>
        <v>Standard</v>
      </c>
      <c r="BI434">
        <f>tbl_OriginalData[[#This Row],[Time_to_Decision]]</f>
        <v>9</v>
      </c>
      <c r="BJ434" t="s">
        <v>158</v>
      </c>
      <c r="BK434" t="s">
        <v>48</v>
      </c>
      <c r="BL434" t="s">
        <v>2524</v>
      </c>
    </row>
    <row r="435" spans="1:64">
      <c r="A435" t="s">
        <v>1075</v>
      </c>
      <c r="B435">
        <v>47</v>
      </c>
      <c r="C435" t="s">
        <v>50</v>
      </c>
      <c r="D435" t="s">
        <v>51</v>
      </c>
      <c r="E435" t="s">
        <v>82</v>
      </c>
      <c r="F435" t="s">
        <v>66</v>
      </c>
      <c r="G435" t="s">
        <v>34</v>
      </c>
      <c r="H435" t="s">
        <v>1076</v>
      </c>
      <c r="I435" t="s">
        <v>135</v>
      </c>
      <c r="J435">
        <v>68.59</v>
      </c>
      <c r="K435">
        <v>9</v>
      </c>
      <c r="L435" t="s">
        <v>39</v>
      </c>
      <c r="M435">
        <v>3</v>
      </c>
      <c r="N435">
        <v>4</v>
      </c>
      <c r="O435">
        <v>0</v>
      </c>
      <c r="P435" t="s">
        <v>56</v>
      </c>
      <c r="Q435" t="s">
        <v>41</v>
      </c>
      <c r="R435">
        <v>2</v>
      </c>
      <c r="S435">
        <v>5</v>
      </c>
      <c r="T435" t="s">
        <v>40</v>
      </c>
      <c r="U435" t="s">
        <v>70</v>
      </c>
      <c r="V435" t="s">
        <v>58</v>
      </c>
      <c r="W435" s="1">
        <v>45400</v>
      </c>
      <c r="X435" t="b">
        <v>0</v>
      </c>
      <c r="Y435" t="b">
        <v>1</v>
      </c>
      <c r="Z435" t="s">
        <v>59</v>
      </c>
      <c r="AA435" t="s">
        <v>60</v>
      </c>
      <c r="AB435">
        <v>5</v>
      </c>
      <c r="AF435" t="str">
        <f>tbl_OriginalData[[#This Row],[Customer_ID]]</f>
        <v>24-662-2119</v>
      </c>
      <c r="AG435">
        <f>tbl_OriginalData[[#This Row],[Age]]</f>
        <v>47</v>
      </c>
      <c r="AH435" t="str" cm="1">
        <f t="array" ref="AH43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35" t="str">
        <f>tbl_OriginalData[[#This Row],[Gender]]</f>
        <v>Male</v>
      </c>
      <c r="AJ435" t="str">
        <f>tbl_OriginalData[[#This Row],[Income_Level]]</f>
        <v>High</v>
      </c>
      <c r="AK435" t="str">
        <f>tbl_OriginalData[[#This Row],[Marital_Status]]</f>
        <v>Widowed</v>
      </c>
      <c r="AL435" t="str">
        <f>tbl_OriginalData[[#This Row],[Education_Level]]</f>
        <v>Master's</v>
      </c>
      <c r="AM435" t="str">
        <f>tbl_OriginalData[[#This Row],[Occupation]]</f>
        <v>Middle</v>
      </c>
      <c r="AN435" t="s">
        <v>1076</v>
      </c>
      <c r="AO435" t="s">
        <v>342</v>
      </c>
      <c r="AP435" t="str">
        <f>tbl_OriginalData[[#This Row],[Purchase_Category]]</f>
        <v>Hotels</v>
      </c>
      <c r="AQ435" s="4">
        <f>tbl_OriginalData[[#This Row],[Purchase_Amount]]</f>
        <v>68.59</v>
      </c>
      <c r="AR435">
        <f>tbl_OriginalData[[#This Row],[Frequency_of_Purchase]]</f>
        <v>9</v>
      </c>
      <c r="AS435" t="str">
        <f>tbl_OriginalData[[#This Row],[Purchase_Channel]]</f>
        <v>Mixed</v>
      </c>
      <c r="AT435">
        <f>tbl_OriginalData[[#This Row],[Brand_Loyalty]]</f>
        <v>3</v>
      </c>
      <c r="AU435">
        <f>tbl_OriginalData[[#This Row],[Product_Rating]]</f>
        <v>4</v>
      </c>
      <c r="AV435">
        <f>tbl_OriginalData[[#This Row],[Time_Spent_on_Product_Research(hours)]]*60</f>
        <v>0</v>
      </c>
      <c r="AW435" t="str">
        <f>tbl_OriginalData[[#This Row],[Social_Media_Influence]]</f>
        <v>Medium</v>
      </c>
      <c r="AX435" t="str">
        <f>tbl_OriginalData[[#This Row],[Discount_Sensitivity]]</f>
        <v>Somewhat Sensitive</v>
      </c>
      <c r="AY435" s="3">
        <f>tbl_OriginalData[[#This Row],[Return_Rate]]/tbl_OriginalData[[#This Row],[Frequency_of_Purchase]]</f>
        <v>0.22222222222222221</v>
      </c>
      <c r="AZ435">
        <f>tbl_OriginalData[[#This Row],[Customer_Satisfaction]]</f>
        <v>5</v>
      </c>
      <c r="BA435" t="str">
        <f>tbl_OriginalData[[#This Row],[Engagement_with_Ads]]</f>
        <v>None</v>
      </c>
      <c r="BB435" t="str">
        <f>tbl_OriginalData[[#This Row],[Device_Used_for_Shopping]]</f>
        <v>Smartphone</v>
      </c>
      <c r="BC435" t="str">
        <f>tbl_OriginalData[[#This Row],[Payment_Method]]</f>
        <v>PayPal</v>
      </c>
      <c r="BD435" s="1">
        <f>tbl_OriginalData[[#This Row],[Time_of_Purchase]]</f>
        <v>45400</v>
      </c>
      <c r="BE435" t="str">
        <f>IF(tbl_OriginalData[[#This Row],[Discount_Used]]=TRUE,"Yes","No")</f>
        <v>No</v>
      </c>
      <c r="BF435" t="str">
        <f>IF(tbl_OriginalData[[#This Row],[Customer_Loyalty_Program_Member]]=TRUE,"Yes","No")</f>
        <v>Yes</v>
      </c>
      <c r="BG435" t="str">
        <f>tbl_OriginalData[[#This Row],[Purchase_Intent]]</f>
        <v>Wants-based</v>
      </c>
      <c r="BH435" t="str">
        <f>tbl_OriginalData[[#This Row],[Shipping_Preference]]</f>
        <v>Standard</v>
      </c>
      <c r="BI435">
        <f>tbl_OriginalData[[#This Row],[Time_to_Decision]]</f>
        <v>5</v>
      </c>
      <c r="BJ435" t="s">
        <v>62</v>
      </c>
      <c r="BK435" t="s">
        <v>63</v>
      </c>
      <c r="BL435" t="s">
        <v>2524</v>
      </c>
    </row>
    <row r="436" spans="1:64">
      <c r="A436" t="s">
        <v>1077</v>
      </c>
      <c r="B436">
        <v>45</v>
      </c>
      <c r="C436" t="s">
        <v>264</v>
      </c>
      <c r="D436" t="s">
        <v>34</v>
      </c>
      <c r="E436" t="s">
        <v>92</v>
      </c>
      <c r="F436" t="s">
        <v>36</v>
      </c>
      <c r="G436" t="s">
        <v>34</v>
      </c>
      <c r="H436" t="s">
        <v>1078</v>
      </c>
      <c r="I436" t="s">
        <v>131</v>
      </c>
      <c r="J436">
        <v>133.04</v>
      </c>
      <c r="K436">
        <v>12</v>
      </c>
      <c r="L436" t="s">
        <v>94</v>
      </c>
      <c r="M436">
        <v>1</v>
      </c>
      <c r="N436">
        <v>3</v>
      </c>
      <c r="O436">
        <v>2</v>
      </c>
      <c r="P436" t="s">
        <v>51</v>
      </c>
      <c r="Q436" t="s">
        <v>57</v>
      </c>
      <c r="R436">
        <v>2</v>
      </c>
      <c r="S436">
        <v>6</v>
      </c>
      <c r="T436" t="s">
        <v>40</v>
      </c>
      <c r="U436" t="s">
        <v>95</v>
      </c>
      <c r="V436" t="s">
        <v>102</v>
      </c>
      <c r="W436" s="1">
        <v>45480</v>
      </c>
      <c r="X436" t="b">
        <v>1</v>
      </c>
      <c r="Y436" t="b">
        <v>1</v>
      </c>
      <c r="Z436" t="s">
        <v>72</v>
      </c>
      <c r="AA436" t="s">
        <v>60</v>
      </c>
      <c r="AB436">
        <v>11</v>
      </c>
      <c r="AF436" t="str">
        <f>tbl_OriginalData[[#This Row],[Customer_ID]]</f>
        <v>61-794-8438</v>
      </c>
      <c r="AG436">
        <f>tbl_OriginalData[[#This Row],[Age]]</f>
        <v>45</v>
      </c>
      <c r="AH436" t="str" cm="1">
        <f t="array" ref="AH43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36" t="str">
        <f>tbl_OriginalData[[#This Row],[Gender]]</f>
        <v>Polygender</v>
      </c>
      <c r="AJ436" t="str">
        <f>tbl_OriginalData[[#This Row],[Income_Level]]</f>
        <v>Middle</v>
      </c>
      <c r="AK436" t="str">
        <f>tbl_OriginalData[[#This Row],[Marital_Status]]</f>
        <v>Divorced</v>
      </c>
      <c r="AL436" t="str">
        <f>tbl_OriginalData[[#This Row],[Education_Level]]</f>
        <v>Bachelor's</v>
      </c>
      <c r="AM436" t="str">
        <f>tbl_OriginalData[[#This Row],[Occupation]]</f>
        <v>Middle</v>
      </c>
      <c r="AN436" t="s">
        <v>1078</v>
      </c>
      <c r="AO436" t="s">
        <v>128</v>
      </c>
      <c r="AP436" t="str">
        <f>tbl_OriginalData[[#This Row],[Purchase_Category]]</f>
        <v>Health Care</v>
      </c>
      <c r="AQ436" s="4">
        <f>tbl_OriginalData[[#This Row],[Purchase_Amount]]</f>
        <v>133.04</v>
      </c>
      <c r="AR436">
        <f>tbl_OriginalData[[#This Row],[Frequency_of_Purchase]]</f>
        <v>12</v>
      </c>
      <c r="AS436" t="str">
        <f>tbl_OriginalData[[#This Row],[Purchase_Channel]]</f>
        <v>Online</v>
      </c>
      <c r="AT436">
        <f>tbl_OriginalData[[#This Row],[Brand_Loyalty]]</f>
        <v>1</v>
      </c>
      <c r="AU436">
        <f>tbl_OriginalData[[#This Row],[Product_Rating]]</f>
        <v>3</v>
      </c>
      <c r="AV436">
        <f>tbl_OriginalData[[#This Row],[Time_Spent_on_Product_Research(hours)]]*60</f>
        <v>120</v>
      </c>
      <c r="AW436" t="str">
        <f>tbl_OriginalData[[#This Row],[Social_Media_Influence]]</f>
        <v>High</v>
      </c>
      <c r="AX436" t="str">
        <f>tbl_OriginalData[[#This Row],[Discount_Sensitivity]]</f>
        <v>Not Sensitive</v>
      </c>
      <c r="AY436" s="3">
        <f>tbl_OriginalData[[#This Row],[Return_Rate]]/tbl_OriginalData[[#This Row],[Frequency_of_Purchase]]</f>
        <v>0.16666666666666666</v>
      </c>
      <c r="AZ436">
        <f>tbl_OriginalData[[#This Row],[Customer_Satisfaction]]</f>
        <v>6</v>
      </c>
      <c r="BA436" t="str">
        <f>tbl_OriginalData[[#This Row],[Engagement_with_Ads]]</f>
        <v>None</v>
      </c>
      <c r="BB436" t="str">
        <f>tbl_OriginalData[[#This Row],[Device_Used_for_Shopping]]</f>
        <v>Desktop</v>
      </c>
      <c r="BC436" t="str">
        <f>tbl_OriginalData[[#This Row],[Payment_Method]]</f>
        <v>Cash</v>
      </c>
      <c r="BD436" s="1">
        <f>tbl_OriginalData[[#This Row],[Time_of_Purchase]]</f>
        <v>45480</v>
      </c>
      <c r="BE436" t="str">
        <f>IF(tbl_OriginalData[[#This Row],[Discount_Used]]=TRUE,"Yes","No")</f>
        <v>Yes</v>
      </c>
      <c r="BF436" t="str">
        <f>IF(tbl_OriginalData[[#This Row],[Customer_Loyalty_Program_Member]]=TRUE,"Yes","No")</f>
        <v>Yes</v>
      </c>
      <c r="BG436" t="str">
        <f>tbl_OriginalData[[#This Row],[Purchase_Intent]]</f>
        <v>Impulsive</v>
      </c>
      <c r="BH436" t="str">
        <f>tbl_OriginalData[[#This Row],[Shipping_Preference]]</f>
        <v>Standard</v>
      </c>
      <c r="BI436">
        <f>tbl_OriginalData[[#This Row],[Time_to_Decision]]</f>
        <v>11</v>
      </c>
      <c r="BJ436" t="s">
        <v>114</v>
      </c>
      <c r="BK436" t="s">
        <v>115</v>
      </c>
      <c r="BL436" t="s">
        <v>2523</v>
      </c>
    </row>
    <row r="437" spans="1:64">
      <c r="A437" t="s">
        <v>1079</v>
      </c>
      <c r="B437">
        <v>24</v>
      </c>
      <c r="C437" t="s">
        <v>238</v>
      </c>
      <c r="D437" t="s">
        <v>51</v>
      </c>
      <c r="E437" t="s">
        <v>35</v>
      </c>
      <c r="F437" t="s">
        <v>52</v>
      </c>
      <c r="G437" t="s">
        <v>34</v>
      </c>
      <c r="H437" t="s">
        <v>1080</v>
      </c>
      <c r="I437" t="s">
        <v>123</v>
      </c>
      <c r="J437">
        <v>196.63</v>
      </c>
      <c r="K437">
        <v>9</v>
      </c>
      <c r="L437" t="s">
        <v>94</v>
      </c>
      <c r="M437">
        <v>4</v>
      </c>
      <c r="N437">
        <v>2</v>
      </c>
      <c r="O437">
        <v>2</v>
      </c>
      <c r="P437" t="s">
        <v>56</v>
      </c>
      <c r="Q437" t="s">
        <v>41</v>
      </c>
      <c r="R437">
        <v>1</v>
      </c>
      <c r="S437">
        <v>6</v>
      </c>
      <c r="T437" t="s">
        <v>69</v>
      </c>
      <c r="U437" t="s">
        <v>42</v>
      </c>
      <c r="V437" t="s">
        <v>76</v>
      </c>
      <c r="W437" s="1">
        <v>45641</v>
      </c>
      <c r="X437" t="b">
        <v>1</v>
      </c>
      <c r="Y437" t="b">
        <v>0</v>
      </c>
      <c r="Z437" t="s">
        <v>44</v>
      </c>
      <c r="AA437" t="s">
        <v>45</v>
      </c>
      <c r="AB437">
        <v>7</v>
      </c>
      <c r="AF437" t="str">
        <f>tbl_OriginalData[[#This Row],[Customer_ID]]</f>
        <v>21-959-5766</v>
      </c>
      <c r="AG437">
        <f>tbl_OriginalData[[#This Row],[Age]]</f>
        <v>24</v>
      </c>
      <c r="AH437" t="str" cm="1">
        <f t="array" ref="AH43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37" t="str">
        <f>tbl_OriginalData[[#This Row],[Gender]]</f>
        <v>Non-binary</v>
      </c>
      <c r="AJ437" t="str">
        <f>tbl_OriginalData[[#This Row],[Income_Level]]</f>
        <v>High</v>
      </c>
      <c r="AK437" t="str">
        <f>tbl_OriginalData[[#This Row],[Marital_Status]]</f>
        <v>Married</v>
      </c>
      <c r="AL437" t="str">
        <f>tbl_OriginalData[[#This Row],[Education_Level]]</f>
        <v>High School</v>
      </c>
      <c r="AM437" t="str">
        <f>tbl_OriginalData[[#This Row],[Occupation]]</f>
        <v>Middle</v>
      </c>
      <c r="AN437" t="s">
        <v>1080</v>
      </c>
      <c r="AO437" t="s">
        <v>530</v>
      </c>
      <c r="AP437" t="str">
        <f>tbl_OriginalData[[#This Row],[Purchase_Category]]</f>
        <v>Luxury Goods</v>
      </c>
      <c r="AQ437" s="4">
        <f>tbl_OriginalData[[#This Row],[Purchase_Amount]]</f>
        <v>196.63</v>
      </c>
      <c r="AR437">
        <f>tbl_OriginalData[[#This Row],[Frequency_of_Purchase]]</f>
        <v>9</v>
      </c>
      <c r="AS437" t="str">
        <f>tbl_OriginalData[[#This Row],[Purchase_Channel]]</f>
        <v>Online</v>
      </c>
      <c r="AT437">
        <f>tbl_OriginalData[[#This Row],[Brand_Loyalty]]</f>
        <v>4</v>
      </c>
      <c r="AU437">
        <f>tbl_OriginalData[[#This Row],[Product_Rating]]</f>
        <v>2</v>
      </c>
      <c r="AV437">
        <f>tbl_OriginalData[[#This Row],[Time_Spent_on_Product_Research(hours)]]*60</f>
        <v>120</v>
      </c>
      <c r="AW437" t="str">
        <f>tbl_OriginalData[[#This Row],[Social_Media_Influence]]</f>
        <v>Medium</v>
      </c>
      <c r="AX437" t="str">
        <f>tbl_OriginalData[[#This Row],[Discount_Sensitivity]]</f>
        <v>Somewhat Sensitive</v>
      </c>
      <c r="AY437" s="3">
        <f>tbl_OriginalData[[#This Row],[Return_Rate]]/tbl_OriginalData[[#This Row],[Frequency_of_Purchase]]</f>
        <v>0.1111111111111111</v>
      </c>
      <c r="AZ437">
        <f>tbl_OriginalData[[#This Row],[Customer_Satisfaction]]</f>
        <v>6</v>
      </c>
      <c r="BA437" t="str">
        <f>tbl_OriginalData[[#This Row],[Engagement_with_Ads]]</f>
        <v>Low</v>
      </c>
      <c r="BB437" t="str">
        <f>tbl_OriginalData[[#This Row],[Device_Used_for_Shopping]]</f>
        <v>Tablet</v>
      </c>
      <c r="BC437" t="str">
        <f>tbl_OriginalData[[#This Row],[Payment_Method]]</f>
        <v>Other</v>
      </c>
      <c r="BD437" s="1">
        <f>tbl_OriginalData[[#This Row],[Time_of_Purchase]]</f>
        <v>45641</v>
      </c>
      <c r="BE437" t="str">
        <f>IF(tbl_OriginalData[[#This Row],[Discount_Used]]=TRUE,"Yes","No")</f>
        <v>Yes</v>
      </c>
      <c r="BF437" t="str">
        <f>IF(tbl_OriginalData[[#This Row],[Customer_Loyalty_Program_Member]]=TRUE,"Yes","No")</f>
        <v>No</v>
      </c>
      <c r="BG437" t="str">
        <f>tbl_OriginalData[[#This Row],[Purchase_Intent]]</f>
        <v>Need-based</v>
      </c>
      <c r="BH437" t="str">
        <f>tbl_OriginalData[[#This Row],[Shipping_Preference]]</f>
        <v>No Preference</v>
      </c>
      <c r="BI437">
        <f>tbl_OriginalData[[#This Row],[Time_to_Decision]]</f>
        <v>7</v>
      </c>
      <c r="BJ437" t="s">
        <v>120</v>
      </c>
      <c r="BK437" t="s">
        <v>80</v>
      </c>
      <c r="BL437" t="s">
        <v>2524</v>
      </c>
    </row>
    <row r="438" spans="1:64">
      <c r="A438" t="s">
        <v>1081</v>
      </c>
      <c r="B438">
        <v>30</v>
      </c>
      <c r="C438" t="s">
        <v>50</v>
      </c>
      <c r="D438" t="s">
        <v>34</v>
      </c>
      <c r="E438" t="s">
        <v>92</v>
      </c>
      <c r="F438" t="s">
        <v>36</v>
      </c>
      <c r="G438" t="s">
        <v>51</v>
      </c>
      <c r="H438" t="s">
        <v>1082</v>
      </c>
      <c r="I438" t="s">
        <v>75</v>
      </c>
      <c r="J438">
        <v>473.96</v>
      </c>
      <c r="K438">
        <v>12</v>
      </c>
      <c r="L438" t="s">
        <v>55</v>
      </c>
      <c r="M438">
        <v>2</v>
      </c>
      <c r="N438">
        <v>1</v>
      </c>
      <c r="O438">
        <v>1</v>
      </c>
      <c r="P438" t="s">
        <v>56</v>
      </c>
      <c r="Q438" t="s">
        <v>41</v>
      </c>
      <c r="R438">
        <v>2</v>
      </c>
      <c r="S438">
        <v>9</v>
      </c>
      <c r="T438" t="s">
        <v>40</v>
      </c>
      <c r="U438" t="s">
        <v>42</v>
      </c>
      <c r="V438" t="s">
        <v>58</v>
      </c>
      <c r="W438" s="1">
        <v>45501</v>
      </c>
      <c r="X438" t="b">
        <v>1</v>
      </c>
      <c r="Y438" t="b">
        <v>0</v>
      </c>
      <c r="Z438" t="s">
        <v>72</v>
      </c>
      <c r="AA438" t="s">
        <v>77</v>
      </c>
      <c r="AB438">
        <v>14</v>
      </c>
      <c r="AF438" t="str">
        <f>tbl_OriginalData[[#This Row],[Customer_ID]]</f>
        <v>42-518-2602</v>
      </c>
      <c r="AG438">
        <f>tbl_OriginalData[[#This Row],[Age]]</f>
        <v>30</v>
      </c>
      <c r="AH438" t="str" cm="1">
        <f t="array" ref="AH43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38" t="str">
        <f>tbl_OriginalData[[#This Row],[Gender]]</f>
        <v>Male</v>
      </c>
      <c r="AJ438" t="str">
        <f>tbl_OriginalData[[#This Row],[Income_Level]]</f>
        <v>Middle</v>
      </c>
      <c r="AK438" t="str">
        <f>tbl_OriginalData[[#This Row],[Marital_Status]]</f>
        <v>Divorced</v>
      </c>
      <c r="AL438" t="str">
        <f>tbl_OriginalData[[#This Row],[Education_Level]]</f>
        <v>Bachelor's</v>
      </c>
      <c r="AM438" t="str">
        <f>tbl_OriginalData[[#This Row],[Occupation]]</f>
        <v>High</v>
      </c>
      <c r="AN438" t="s">
        <v>1082</v>
      </c>
      <c r="AO438" t="s">
        <v>1083</v>
      </c>
      <c r="AP438" t="str">
        <f>tbl_OriginalData[[#This Row],[Purchase_Category]]</f>
        <v>Home Appliances</v>
      </c>
      <c r="AQ438" s="4">
        <f>tbl_OriginalData[[#This Row],[Purchase_Amount]]</f>
        <v>473.96</v>
      </c>
      <c r="AR438">
        <f>tbl_OriginalData[[#This Row],[Frequency_of_Purchase]]</f>
        <v>12</v>
      </c>
      <c r="AS438" t="str">
        <f>tbl_OriginalData[[#This Row],[Purchase_Channel]]</f>
        <v>In-Store</v>
      </c>
      <c r="AT438">
        <f>tbl_OriginalData[[#This Row],[Brand_Loyalty]]</f>
        <v>2</v>
      </c>
      <c r="AU438">
        <f>tbl_OriginalData[[#This Row],[Product_Rating]]</f>
        <v>1</v>
      </c>
      <c r="AV438">
        <f>tbl_OriginalData[[#This Row],[Time_Spent_on_Product_Research(hours)]]*60</f>
        <v>60</v>
      </c>
      <c r="AW438" t="str">
        <f>tbl_OriginalData[[#This Row],[Social_Media_Influence]]</f>
        <v>Medium</v>
      </c>
      <c r="AX438" t="str">
        <f>tbl_OriginalData[[#This Row],[Discount_Sensitivity]]</f>
        <v>Somewhat Sensitive</v>
      </c>
      <c r="AY438" s="3">
        <f>tbl_OriginalData[[#This Row],[Return_Rate]]/tbl_OriginalData[[#This Row],[Frequency_of_Purchase]]</f>
        <v>0.16666666666666666</v>
      </c>
      <c r="AZ438">
        <f>tbl_OriginalData[[#This Row],[Customer_Satisfaction]]</f>
        <v>9</v>
      </c>
      <c r="BA438" t="str">
        <f>tbl_OriginalData[[#This Row],[Engagement_with_Ads]]</f>
        <v>None</v>
      </c>
      <c r="BB438" t="str">
        <f>tbl_OriginalData[[#This Row],[Device_Used_for_Shopping]]</f>
        <v>Tablet</v>
      </c>
      <c r="BC438" t="str">
        <f>tbl_OriginalData[[#This Row],[Payment_Method]]</f>
        <v>PayPal</v>
      </c>
      <c r="BD438" s="1">
        <f>tbl_OriginalData[[#This Row],[Time_of_Purchase]]</f>
        <v>45501</v>
      </c>
      <c r="BE438" t="str">
        <f>IF(tbl_OriginalData[[#This Row],[Discount_Used]]=TRUE,"Yes","No")</f>
        <v>Yes</v>
      </c>
      <c r="BF438" t="str">
        <f>IF(tbl_OriginalData[[#This Row],[Customer_Loyalty_Program_Member]]=TRUE,"Yes","No")</f>
        <v>No</v>
      </c>
      <c r="BG438" t="str">
        <f>tbl_OriginalData[[#This Row],[Purchase_Intent]]</f>
        <v>Impulsive</v>
      </c>
      <c r="BH438" t="str">
        <f>tbl_OriginalData[[#This Row],[Shipping_Preference]]</f>
        <v>Express</v>
      </c>
      <c r="BI438">
        <f>tbl_OriginalData[[#This Row],[Time_to_Decision]]</f>
        <v>14</v>
      </c>
      <c r="BJ438" t="s">
        <v>114</v>
      </c>
      <c r="BK438" t="s">
        <v>115</v>
      </c>
      <c r="BL438" t="s">
        <v>2524</v>
      </c>
    </row>
    <row r="439" spans="1:64">
      <c r="A439" t="s">
        <v>1084</v>
      </c>
      <c r="B439">
        <v>24</v>
      </c>
      <c r="C439" t="s">
        <v>33</v>
      </c>
      <c r="D439" t="s">
        <v>51</v>
      </c>
      <c r="E439" t="s">
        <v>35</v>
      </c>
      <c r="F439" t="s">
        <v>52</v>
      </c>
      <c r="G439" t="s">
        <v>34</v>
      </c>
      <c r="H439" t="s">
        <v>1085</v>
      </c>
      <c r="I439" t="s">
        <v>123</v>
      </c>
      <c r="J439">
        <v>472.52</v>
      </c>
      <c r="K439">
        <v>8</v>
      </c>
      <c r="L439" t="s">
        <v>94</v>
      </c>
      <c r="M439">
        <v>2</v>
      </c>
      <c r="N439">
        <v>4</v>
      </c>
      <c r="O439">
        <v>0</v>
      </c>
      <c r="P439" t="s">
        <v>69</v>
      </c>
      <c r="Q439" t="s">
        <v>41</v>
      </c>
      <c r="R439">
        <v>2</v>
      </c>
      <c r="S439">
        <v>8</v>
      </c>
      <c r="T439" t="s">
        <v>56</v>
      </c>
      <c r="U439" t="s">
        <v>42</v>
      </c>
      <c r="V439" t="s">
        <v>102</v>
      </c>
      <c r="W439" s="1">
        <v>45315</v>
      </c>
      <c r="X439" t="b">
        <v>0</v>
      </c>
      <c r="Y439" t="b">
        <v>1</v>
      </c>
      <c r="Z439" t="s">
        <v>89</v>
      </c>
      <c r="AA439" t="s">
        <v>45</v>
      </c>
      <c r="AB439">
        <v>14</v>
      </c>
      <c r="AF439" t="str">
        <f>tbl_OriginalData[[#This Row],[Customer_ID]]</f>
        <v>35-850-8676</v>
      </c>
      <c r="AG439">
        <f>tbl_OriginalData[[#This Row],[Age]]</f>
        <v>24</v>
      </c>
      <c r="AH439" t="str" cm="1">
        <f t="array" ref="AH43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39" t="str">
        <f>tbl_OriginalData[[#This Row],[Gender]]</f>
        <v>Female</v>
      </c>
      <c r="AJ439" t="str">
        <f>tbl_OriginalData[[#This Row],[Income_Level]]</f>
        <v>High</v>
      </c>
      <c r="AK439" t="str">
        <f>tbl_OriginalData[[#This Row],[Marital_Status]]</f>
        <v>Married</v>
      </c>
      <c r="AL439" t="str">
        <f>tbl_OriginalData[[#This Row],[Education_Level]]</f>
        <v>High School</v>
      </c>
      <c r="AM439" t="str">
        <f>tbl_OriginalData[[#This Row],[Occupation]]</f>
        <v>Middle</v>
      </c>
      <c r="AN439" t="s">
        <v>1085</v>
      </c>
      <c r="AO439" t="s">
        <v>61</v>
      </c>
      <c r="AP439" t="str">
        <f>tbl_OriginalData[[#This Row],[Purchase_Category]]</f>
        <v>Luxury Goods</v>
      </c>
      <c r="AQ439" s="4">
        <f>tbl_OriginalData[[#This Row],[Purchase_Amount]]</f>
        <v>472.52</v>
      </c>
      <c r="AR439">
        <f>tbl_OriginalData[[#This Row],[Frequency_of_Purchase]]</f>
        <v>8</v>
      </c>
      <c r="AS439" t="str">
        <f>tbl_OriginalData[[#This Row],[Purchase_Channel]]</f>
        <v>Online</v>
      </c>
      <c r="AT439">
        <f>tbl_OriginalData[[#This Row],[Brand_Loyalty]]</f>
        <v>2</v>
      </c>
      <c r="AU439">
        <f>tbl_OriginalData[[#This Row],[Product_Rating]]</f>
        <v>4</v>
      </c>
      <c r="AV439">
        <f>tbl_OriginalData[[#This Row],[Time_Spent_on_Product_Research(hours)]]*60</f>
        <v>0</v>
      </c>
      <c r="AW439" t="str">
        <f>tbl_OriginalData[[#This Row],[Social_Media_Influence]]</f>
        <v>Low</v>
      </c>
      <c r="AX439" t="str">
        <f>tbl_OriginalData[[#This Row],[Discount_Sensitivity]]</f>
        <v>Somewhat Sensitive</v>
      </c>
      <c r="AY439" s="3">
        <f>tbl_OriginalData[[#This Row],[Return_Rate]]/tbl_OriginalData[[#This Row],[Frequency_of_Purchase]]</f>
        <v>0.25</v>
      </c>
      <c r="AZ439">
        <f>tbl_OriginalData[[#This Row],[Customer_Satisfaction]]</f>
        <v>8</v>
      </c>
      <c r="BA439" t="str">
        <f>tbl_OriginalData[[#This Row],[Engagement_with_Ads]]</f>
        <v>Medium</v>
      </c>
      <c r="BB439" t="str">
        <f>tbl_OriginalData[[#This Row],[Device_Used_for_Shopping]]</f>
        <v>Tablet</v>
      </c>
      <c r="BC439" t="str">
        <f>tbl_OriginalData[[#This Row],[Payment_Method]]</f>
        <v>Cash</v>
      </c>
      <c r="BD439" s="1">
        <f>tbl_OriginalData[[#This Row],[Time_of_Purchase]]</f>
        <v>45315</v>
      </c>
      <c r="BE439" t="str">
        <f>IF(tbl_OriginalData[[#This Row],[Discount_Used]]=TRUE,"Yes","No")</f>
        <v>No</v>
      </c>
      <c r="BF439" t="str">
        <f>IF(tbl_OriginalData[[#This Row],[Customer_Loyalty_Program_Member]]=TRUE,"Yes","No")</f>
        <v>Yes</v>
      </c>
      <c r="BG439" t="str">
        <f>tbl_OriginalData[[#This Row],[Purchase_Intent]]</f>
        <v>Planned</v>
      </c>
      <c r="BH439" t="str">
        <f>tbl_OriginalData[[#This Row],[Shipping_Preference]]</f>
        <v>No Preference</v>
      </c>
      <c r="BI439">
        <f>tbl_OriginalData[[#This Row],[Time_to_Decision]]</f>
        <v>14</v>
      </c>
      <c r="BJ439" t="s">
        <v>86</v>
      </c>
      <c r="BK439" t="s">
        <v>48</v>
      </c>
      <c r="BL439" t="s">
        <v>2524</v>
      </c>
    </row>
    <row r="440" spans="1:64">
      <c r="A440" t="s">
        <v>1086</v>
      </c>
      <c r="B440">
        <v>27</v>
      </c>
      <c r="C440" t="s">
        <v>33</v>
      </c>
      <c r="D440" t="s">
        <v>34</v>
      </c>
      <c r="E440" t="s">
        <v>35</v>
      </c>
      <c r="F440" t="s">
        <v>36</v>
      </c>
      <c r="G440" t="s">
        <v>34</v>
      </c>
      <c r="H440" t="s">
        <v>1087</v>
      </c>
      <c r="I440" t="s">
        <v>153</v>
      </c>
      <c r="J440">
        <v>335.8</v>
      </c>
      <c r="K440">
        <v>9</v>
      </c>
      <c r="L440" t="s">
        <v>39</v>
      </c>
      <c r="M440">
        <v>3</v>
      </c>
      <c r="N440">
        <v>5</v>
      </c>
      <c r="O440">
        <v>1</v>
      </c>
      <c r="P440" t="s">
        <v>40</v>
      </c>
      <c r="Q440" t="s">
        <v>41</v>
      </c>
      <c r="R440">
        <v>2</v>
      </c>
      <c r="S440">
        <v>7</v>
      </c>
      <c r="T440" t="s">
        <v>69</v>
      </c>
      <c r="U440" t="s">
        <v>70</v>
      </c>
      <c r="V440" t="s">
        <v>71</v>
      </c>
      <c r="W440" s="1">
        <v>45332</v>
      </c>
      <c r="X440" t="b">
        <v>1</v>
      </c>
      <c r="Y440" t="b">
        <v>0</v>
      </c>
      <c r="Z440" t="s">
        <v>59</v>
      </c>
      <c r="AA440" t="s">
        <v>60</v>
      </c>
      <c r="AB440">
        <v>5</v>
      </c>
      <c r="AF440" t="str">
        <f>tbl_OriginalData[[#This Row],[Customer_ID]]</f>
        <v>07-958-2231</v>
      </c>
      <c r="AG440">
        <f>tbl_OriginalData[[#This Row],[Age]]</f>
        <v>27</v>
      </c>
      <c r="AH440" t="str" cm="1">
        <f t="array" ref="AH44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40" t="str">
        <f>tbl_OriginalData[[#This Row],[Gender]]</f>
        <v>Female</v>
      </c>
      <c r="AJ440" t="str">
        <f>tbl_OriginalData[[#This Row],[Income_Level]]</f>
        <v>Middle</v>
      </c>
      <c r="AK440" t="str">
        <f>tbl_OriginalData[[#This Row],[Marital_Status]]</f>
        <v>Married</v>
      </c>
      <c r="AL440" t="str">
        <f>tbl_OriginalData[[#This Row],[Education_Level]]</f>
        <v>Bachelor's</v>
      </c>
      <c r="AM440" t="str">
        <f>tbl_OriginalData[[#This Row],[Occupation]]</f>
        <v>Middle</v>
      </c>
      <c r="AN440" t="s">
        <v>1087</v>
      </c>
      <c r="AO440" t="s">
        <v>90</v>
      </c>
      <c r="AP440" t="str">
        <f>tbl_OriginalData[[#This Row],[Purchase_Category]]</f>
        <v>Baby Products</v>
      </c>
      <c r="AQ440" s="4">
        <f>tbl_OriginalData[[#This Row],[Purchase_Amount]]</f>
        <v>335.8</v>
      </c>
      <c r="AR440">
        <f>tbl_OriginalData[[#This Row],[Frequency_of_Purchase]]</f>
        <v>9</v>
      </c>
      <c r="AS440" t="str">
        <f>tbl_OriginalData[[#This Row],[Purchase_Channel]]</f>
        <v>Mixed</v>
      </c>
      <c r="AT440">
        <f>tbl_OriginalData[[#This Row],[Brand_Loyalty]]</f>
        <v>3</v>
      </c>
      <c r="AU440">
        <f>tbl_OriginalData[[#This Row],[Product_Rating]]</f>
        <v>5</v>
      </c>
      <c r="AV440">
        <f>tbl_OriginalData[[#This Row],[Time_Spent_on_Product_Research(hours)]]*60</f>
        <v>60</v>
      </c>
      <c r="AW440" t="str">
        <f>tbl_OriginalData[[#This Row],[Social_Media_Influence]]</f>
        <v>None</v>
      </c>
      <c r="AX440" t="str">
        <f>tbl_OriginalData[[#This Row],[Discount_Sensitivity]]</f>
        <v>Somewhat Sensitive</v>
      </c>
      <c r="AY440" s="3">
        <f>tbl_OriginalData[[#This Row],[Return_Rate]]/tbl_OriginalData[[#This Row],[Frequency_of_Purchase]]</f>
        <v>0.22222222222222221</v>
      </c>
      <c r="AZ440">
        <f>tbl_OriginalData[[#This Row],[Customer_Satisfaction]]</f>
        <v>7</v>
      </c>
      <c r="BA440" t="str">
        <f>tbl_OriginalData[[#This Row],[Engagement_with_Ads]]</f>
        <v>Low</v>
      </c>
      <c r="BB440" t="str">
        <f>tbl_OriginalData[[#This Row],[Device_Used_for_Shopping]]</f>
        <v>Smartphone</v>
      </c>
      <c r="BC440" t="str">
        <f>tbl_OriginalData[[#This Row],[Payment_Method]]</f>
        <v>Debit Card</v>
      </c>
      <c r="BD440" s="1">
        <f>tbl_OriginalData[[#This Row],[Time_of_Purchase]]</f>
        <v>45332</v>
      </c>
      <c r="BE440" t="str">
        <f>IF(tbl_OriginalData[[#This Row],[Discount_Used]]=TRUE,"Yes","No")</f>
        <v>Yes</v>
      </c>
      <c r="BF440" t="str">
        <f>IF(tbl_OriginalData[[#This Row],[Customer_Loyalty_Program_Member]]=TRUE,"Yes","No")</f>
        <v>No</v>
      </c>
      <c r="BG440" t="str">
        <f>tbl_OriginalData[[#This Row],[Purchase_Intent]]</f>
        <v>Wants-based</v>
      </c>
      <c r="BH440" t="str">
        <f>tbl_OriginalData[[#This Row],[Shipping_Preference]]</f>
        <v>Standard</v>
      </c>
      <c r="BI440">
        <f>tbl_OriginalData[[#This Row],[Time_to_Decision]]</f>
        <v>5</v>
      </c>
      <c r="BJ440" t="s">
        <v>158</v>
      </c>
      <c r="BK440" t="s">
        <v>48</v>
      </c>
      <c r="BL440" t="s">
        <v>2524</v>
      </c>
    </row>
    <row r="441" spans="1:64">
      <c r="A441" t="s">
        <v>1088</v>
      </c>
      <c r="B441">
        <v>25</v>
      </c>
      <c r="C441" t="s">
        <v>50</v>
      </c>
      <c r="D441" t="s">
        <v>34</v>
      </c>
      <c r="E441" t="s">
        <v>65</v>
      </c>
      <c r="F441" t="s">
        <v>52</v>
      </c>
      <c r="G441" t="s">
        <v>51</v>
      </c>
      <c r="H441" t="s">
        <v>1089</v>
      </c>
      <c r="I441" t="s">
        <v>123</v>
      </c>
      <c r="J441">
        <v>85.57</v>
      </c>
      <c r="K441">
        <v>12</v>
      </c>
      <c r="L441" t="s">
        <v>55</v>
      </c>
      <c r="M441">
        <v>2</v>
      </c>
      <c r="N441">
        <v>1</v>
      </c>
      <c r="O441">
        <v>1</v>
      </c>
      <c r="P441" t="s">
        <v>69</v>
      </c>
      <c r="Q441" t="s">
        <v>101</v>
      </c>
      <c r="R441">
        <v>2</v>
      </c>
      <c r="S441">
        <v>4</v>
      </c>
      <c r="T441" t="s">
        <v>56</v>
      </c>
      <c r="U441" t="s">
        <v>42</v>
      </c>
      <c r="V441" t="s">
        <v>71</v>
      </c>
      <c r="W441" s="1">
        <v>45535</v>
      </c>
      <c r="X441" t="b">
        <v>1</v>
      </c>
      <c r="Y441" t="b">
        <v>1</v>
      </c>
      <c r="Z441" t="s">
        <v>89</v>
      </c>
      <c r="AA441" t="s">
        <v>45</v>
      </c>
      <c r="AB441">
        <v>9</v>
      </c>
      <c r="AF441" t="str">
        <f>tbl_OriginalData[[#This Row],[Customer_ID]]</f>
        <v>78-503-0416</v>
      </c>
      <c r="AG441">
        <f>tbl_OriginalData[[#This Row],[Age]]</f>
        <v>25</v>
      </c>
      <c r="AH441" t="str" cm="1">
        <f t="array" ref="AH44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41" t="str">
        <f>tbl_OriginalData[[#This Row],[Gender]]</f>
        <v>Male</v>
      </c>
      <c r="AJ441" t="str">
        <f>tbl_OriginalData[[#This Row],[Income_Level]]</f>
        <v>Middle</v>
      </c>
      <c r="AK441" t="str">
        <f>tbl_OriginalData[[#This Row],[Marital_Status]]</f>
        <v>Single</v>
      </c>
      <c r="AL441" t="str">
        <f>tbl_OriginalData[[#This Row],[Education_Level]]</f>
        <v>High School</v>
      </c>
      <c r="AM441" t="str">
        <f>tbl_OriginalData[[#This Row],[Occupation]]</f>
        <v>High</v>
      </c>
      <c r="AN441" t="s">
        <v>1089</v>
      </c>
      <c r="AO441" t="s">
        <v>469</v>
      </c>
      <c r="AP441" t="str">
        <f>tbl_OriginalData[[#This Row],[Purchase_Category]]</f>
        <v>Luxury Goods</v>
      </c>
      <c r="AQ441" s="4">
        <f>tbl_OriginalData[[#This Row],[Purchase_Amount]]</f>
        <v>85.57</v>
      </c>
      <c r="AR441">
        <f>tbl_OriginalData[[#This Row],[Frequency_of_Purchase]]</f>
        <v>12</v>
      </c>
      <c r="AS441" t="str">
        <f>tbl_OriginalData[[#This Row],[Purchase_Channel]]</f>
        <v>In-Store</v>
      </c>
      <c r="AT441">
        <f>tbl_OriginalData[[#This Row],[Brand_Loyalty]]</f>
        <v>2</v>
      </c>
      <c r="AU441">
        <f>tbl_OriginalData[[#This Row],[Product_Rating]]</f>
        <v>1</v>
      </c>
      <c r="AV441">
        <f>tbl_OriginalData[[#This Row],[Time_Spent_on_Product_Research(hours)]]*60</f>
        <v>60</v>
      </c>
      <c r="AW441" t="str">
        <f>tbl_OriginalData[[#This Row],[Social_Media_Influence]]</f>
        <v>Low</v>
      </c>
      <c r="AX441" t="str">
        <f>tbl_OriginalData[[#This Row],[Discount_Sensitivity]]</f>
        <v>Very Sensitive</v>
      </c>
      <c r="AY441" s="3">
        <f>tbl_OriginalData[[#This Row],[Return_Rate]]/tbl_OriginalData[[#This Row],[Frequency_of_Purchase]]</f>
        <v>0.16666666666666666</v>
      </c>
      <c r="AZ441">
        <f>tbl_OriginalData[[#This Row],[Customer_Satisfaction]]</f>
        <v>4</v>
      </c>
      <c r="BA441" t="str">
        <f>tbl_OriginalData[[#This Row],[Engagement_with_Ads]]</f>
        <v>Medium</v>
      </c>
      <c r="BB441" t="str">
        <f>tbl_OriginalData[[#This Row],[Device_Used_for_Shopping]]</f>
        <v>Tablet</v>
      </c>
      <c r="BC441" t="str">
        <f>tbl_OriginalData[[#This Row],[Payment_Method]]</f>
        <v>Debit Card</v>
      </c>
      <c r="BD441" s="1">
        <f>tbl_OriginalData[[#This Row],[Time_of_Purchase]]</f>
        <v>45535</v>
      </c>
      <c r="BE441" t="str">
        <f>IF(tbl_OriginalData[[#This Row],[Discount_Used]]=TRUE,"Yes","No")</f>
        <v>Yes</v>
      </c>
      <c r="BF441" t="str">
        <f>IF(tbl_OriginalData[[#This Row],[Customer_Loyalty_Program_Member]]=TRUE,"Yes","No")</f>
        <v>Yes</v>
      </c>
      <c r="BG441" t="str">
        <f>tbl_OriginalData[[#This Row],[Purchase_Intent]]</f>
        <v>Planned</v>
      </c>
      <c r="BH441" t="str">
        <f>tbl_OriginalData[[#This Row],[Shipping_Preference]]</f>
        <v>No Preference</v>
      </c>
      <c r="BI441">
        <f>tbl_OriginalData[[#This Row],[Time_to_Decision]]</f>
        <v>9</v>
      </c>
      <c r="BJ441" t="s">
        <v>124</v>
      </c>
      <c r="BK441" t="s">
        <v>115</v>
      </c>
      <c r="BL441" t="s">
        <v>2527</v>
      </c>
    </row>
    <row r="442" spans="1:64">
      <c r="A442" t="s">
        <v>1090</v>
      </c>
      <c r="B442">
        <v>44</v>
      </c>
      <c r="C442" t="s">
        <v>106</v>
      </c>
      <c r="D442" t="s">
        <v>34</v>
      </c>
      <c r="E442" t="s">
        <v>65</v>
      </c>
      <c r="F442" t="s">
        <v>66</v>
      </c>
      <c r="G442" t="s">
        <v>34</v>
      </c>
      <c r="H442" t="s">
        <v>1091</v>
      </c>
      <c r="I442" t="s">
        <v>235</v>
      </c>
      <c r="J442">
        <v>108.5</v>
      </c>
      <c r="K442">
        <v>11</v>
      </c>
      <c r="L442" t="s">
        <v>39</v>
      </c>
      <c r="M442">
        <v>5</v>
      </c>
      <c r="N442">
        <v>5</v>
      </c>
      <c r="O442">
        <v>0</v>
      </c>
      <c r="P442" t="s">
        <v>40</v>
      </c>
      <c r="Q442" t="s">
        <v>101</v>
      </c>
      <c r="R442">
        <v>1</v>
      </c>
      <c r="S442">
        <v>2</v>
      </c>
      <c r="T442" t="s">
        <v>56</v>
      </c>
      <c r="U442" t="s">
        <v>70</v>
      </c>
      <c r="V442" t="s">
        <v>58</v>
      </c>
      <c r="W442" s="1">
        <v>45489</v>
      </c>
      <c r="X442" t="b">
        <v>0</v>
      </c>
      <c r="Y442" t="b">
        <v>0</v>
      </c>
      <c r="Z442" t="s">
        <v>59</v>
      </c>
      <c r="AA442" t="s">
        <v>45</v>
      </c>
      <c r="AB442">
        <v>10</v>
      </c>
      <c r="AF442" t="str">
        <f>tbl_OriginalData[[#This Row],[Customer_ID]]</f>
        <v>46-167-7999</v>
      </c>
      <c r="AG442">
        <f>tbl_OriginalData[[#This Row],[Age]]</f>
        <v>44</v>
      </c>
      <c r="AH442" t="str" cm="1">
        <f t="array" ref="AH44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42" t="str">
        <f>tbl_OriginalData[[#This Row],[Gender]]</f>
        <v>Bigender</v>
      </c>
      <c r="AJ442" t="str">
        <f>tbl_OriginalData[[#This Row],[Income_Level]]</f>
        <v>Middle</v>
      </c>
      <c r="AK442" t="str">
        <f>tbl_OriginalData[[#This Row],[Marital_Status]]</f>
        <v>Single</v>
      </c>
      <c r="AL442" t="str">
        <f>tbl_OriginalData[[#This Row],[Education_Level]]</f>
        <v>Master's</v>
      </c>
      <c r="AM442" t="str">
        <f>tbl_OriginalData[[#This Row],[Occupation]]</f>
        <v>Middle</v>
      </c>
      <c r="AN442" t="s">
        <v>1091</v>
      </c>
      <c r="AO442" t="s">
        <v>161</v>
      </c>
      <c r="AP442" t="str">
        <f>tbl_OriginalData[[#This Row],[Purchase_Category]]</f>
        <v>Beauty &amp; Personal Care</v>
      </c>
      <c r="AQ442" s="4">
        <f>tbl_OriginalData[[#This Row],[Purchase_Amount]]</f>
        <v>108.5</v>
      </c>
      <c r="AR442">
        <f>tbl_OriginalData[[#This Row],[Frequency_of_Purchase]]</f>
        <v>11</v>
      </c>
      <c r="AS442" t="str">
        <f>tbl_OriginalData[[#This Row],[Purchase_Channel]]</f>
        <v>Mixed</v>
      </c>
      <c r="AT442">
        <f>tbl_OriginalData[[#This Row],[Brand_Loyalty]]</f>
        <v>5</v>
      </c>
      <c r="AU442">
        <f>tbl_OriginalData[[#This Row],[Product_Rating]]</f>
        <v>5</v>
      </c>
      <c r="AV442">
        <f>tbl_OriginalData[[#This Row],[Time_Spent_on_Product_Research(hours)]]*60</f>
        <v>0</v>
      </c>
      <c r="AW442" t="str">
        <f>tbl_OriginalData[[#This Row],[Social_Media_Influence]]</f>
        <v>None</v>
      </c>
      <c r="AX442" t="str">
        <f>tbl_OriginalData[[#This Row],[Discount_Sensitivity]]</f>
        <v>Very Sensitive</v>
      </c>
      <c r="AY442" s="3">
        <f>tbl_OriginalData[[#This Row],[Return_Rate]]/tbl_OriginalData[[#This Row],[Frequency_of_Purchase]]</f>
        <v>9.0909090909090912E-2</v>
      </c>
      <c r="AZ442">
        <f>tbl_OriginalData[[#This Row],[Customer_Satisfaction]]</f>
        <v>2</v>
      </c>
      <c r="BA442" t="str">
        <f>tbl_OriginalData[[#This Row],[Engagement_with_Ads]]</f>
        <v>Medium</v>
      </c>
      <c r="BB442" t="str">
        <f>tbl_OriginalData[[#This Row],[Device_Used_for_Shopping]]</f>
        <v>Smartphone</v>
      </c>
      <c r="BC442" t="str">
        <f>tbl_OriginalData[[#This Row],[Payment_Method]]</f>
        <v>PayPal</v>
      </c>
      <c r="BD442" s="1">
        <f>tbl_OriginalData[[#This Row],[Time_of_Purchase]]</f>
        <v>45489</v>
      </c>
      <c r="BE442" t="str">
        <f>IF(tbl_OriginalData[[#This Row],[Discount_Used]]=TRUE,"Yes","No")</f>
        <v>No</v>
      </c>
      <c r="BF442" t="str">
        <f>IF(tbl_OriginalData[[#This Row],[Customer_Loyalty_Program_Member]]=TRUE,"Yes","No")</f>
        <v>No</v>
      </c>
      <c r="BG442" t="str">
        <f>tbl_OriginalData[[#This Row],[Purchase_Intent]]</f>
        <v>Wants-based</v>
      </c>
      <c r="BH442" t="str">
        <f>tbl_OriginalData[[#This Row],[Shipping_Preference]]</f>
        <v>No Preference</v>
      </c>
      <c r="BI442">
        <f>tbl_OriginalData[[#This Row],[Time_to_Decision]]</f>
        <v>10</v>
      </c>
      <c r="BJ442" t="s">
        <v>114</v>
      </c>
      <c r="BK442" t="s">
        <v>115</v>
      </c>
      <c r="BL442" t="s">
        <v>2527</v>
      </c>
    </row>
    <row r="443" spans="1:64">
      <c r="A443" t="s">
        <v>1092</v>
      </c>
      <c r="B443">
        <v>26</v>
      </c>
      <c r="C443" t="s">
        <v>50</v>
      </c>
      <c r="D443" t="s">
        <v>34</v>
      </c>
      <c r="E443" t="s">
        <v>92</v>
      </c>
      <c r="F443" t="s">
        <v>36</v>
      </c>
      <c r="G443" t="s">
        <v>34</v>
      </c>
      <c r="H443" t="s">
        <v>1093</v>
      </c>
      <c r="I443" t="s">
        <v>54</v>
      </c>
      <c r="J443">
        <v>172.5</v>
      </c>
      <c r="K443">
        <v>8</v>
      </c>
      <c r="L443" t="s">
        <v>94</v>
      </c>
      <c r="M443">
        <v>1</v>
      </c>
      <c r="N443">
        <v>3</v>
      </c>
      <c r="O443">
        <v>0</v>
      </c>
      <c r="P443" t="s">
        <v>56</v>
      </c>
      <c r="Q443" t="s">
        <v>41</v>
      </c>
      <c r="R443">
        <v>0</v>
      </c>
      <c r="S443">
        <v>8</v>
      </c>
      <c r="T443" t="s">
        <v>69</v>
      </c>
      <c r="U443" t="s">
        <v>95</v>
      </c>
      <c r="V443" t="s">
        <v>43</v>
      </c>
      <c r="W443" s="1">
        <v>45492</v>
      </c>
      <c r="X443" t="b">
        <v>1</v>
      </c>
      <c r="Y443" t="b">
        <v>0</v>
      </c>
      <c r="Z443" t="s">
        <v>72</v>
      </c>
      <c r="AA443" t="s">
        <v>45</v>
      </c>
      <c r="AB443">
        <v>7</v>
      </c>
      <c r="AF443" t="str">
        <f>tbl_OriginalData[[#This Row],[Customer_ID]]</f>
        <v>93-989-8649</v>
      </c>
      <c r="AG443">
        <f>tbl_OriginalData[[#This Row],[Age]]</f>
        <v>26</v>
      </c>
      <c r="AH443" t="str" cm="1">
        <f t="array" ref="AH44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43" t="str">
        <f>tbl_OriginalData[[#This Row],[Gender]]</f>
        <v>Male</v>
      </c>
      <c r="AJ443" t="str">
        <f>tbl_OriginalData[[#This Row],[Income_Level]]</f>
        <v>Middle</v>
      </c>
      <c r="AK443" t="str">
        <f>tbl_OriginalData[[#This Row],[Marital_Status]]</f>
        <v>Divorced</v>
      </c>
      <c r="AL443" t="str">
        <f>tbl_OriginalData[[#This Row],[Education_Level]]</f>
        <v>Bachelor's</v>
      </c>
      <c r="AM443" t="str">
        <f>tbl_OriginalData[[#This Row],[Occupation]]</f>
        <v>Middle</v>
      </c>
      <c r="AN443" t="s">
        <v>1093</v>
      </c>
      <c r="AO443" t="s">
        <v>85</v>
      </c>
      <c r="AP443" t="str">
        <f>tbl_OriginalData[[#This Row],[Purchase_Category]]</f>
        <v>Food &amp; Beverages</v>
      </c>
      <c r="AQ443" s="4">
        <f>tbl_OriginalData[[#This Row],[Purchase_Amount]]</f>
        <v>172.5</v>
      </c>
      <c r="AR443">
        <f>tbl_OriginalData[[#This Row],[Frequency_of_Purchase]]</f>
        <v>8</v>
      </c>
      <c r="AS443" t="str">
        <f>tbl_OriginalData[[#This Row],[Purchase_Channel]]</f>
        <v>Online</v>
      </c>
      <c r="AT443">
        <f>tbl_OriginalData[[#This Row],[Brand_Loyalty]]</f>
        <v>1</v>
      </c>
      <c r="AU443">
        <f>tbl_OriginalData[[#This Row],[Product_Rating]]</f>
        <v>3</v>
      </c>
      <c r="AV443">
        <f>tbl_OriginalData[[#This Row],[Time_Spent_on_Product_Research(hours)]]*60</f>
        <v>0</v>
      </c>
      <c r="AW443" t="str">
        <f>tbl_OriginalData[[#This Row],[Social_Media_Influence]]</f>
        <v>Medium</v>
      </c>
      <c r="AX443" t="str">
        <f>tbl_OriginalData[[#This Row],[Discount_Sensitivity]]</f>
        <v>Somewhat Sensitive</v>
      </c>
      <c r="AY443" s="3">
        <f>tbl_OriginalData[[#This Row],[Return_Rate]]/tbl_OriginalData[[#This Row],[Frequency_of_Purchase]]</f>
        <v>0</v>
      </c>
      <c r="AZ443">
        <f>tbl_OriginalData[[#This Row],[Customer_Satisfaction]]</f>
        <v>8</v>
      </c>
      <c r="BA443" t="str">
        <f>tbl_OriginalData[[#This Row],[Engagement_with_Ads]]</f>
        <v>Low</v>
      </c>
      <c r="BB443" t="str">
        <f>tbl_OriginalData[[#This Row],[Device_Used_for_Shopping]]</f>
        <v>Desktop</v>
      </c>
      <c r="BC443" t="str">
        <f>tbl_OriginalData[[#This Row],[Payment_Method]]</f>
        <v>Credit Card</v>
      </c>
      <c r="BD443" s="1">
        <f>tbl_OriginalData[[#This Row],[Time_of_Purchase]]</f>
        <v>45492</v>
      </c>
      <c r="BE443" t="str">
        <f>IF(tbl_OriginalData[[#This Row],[Discount_Used]]=TRUE,"Yes","No")</f>
        <v>Yes</v>
      </c>
      <c r="BF443" t="str">
        <f>IF(tbl_OriginalData[[#This Row],[Customer_Loyalty_Program_Member]]=TRUE,"Yes","No")</f>
        <v>No</v>
      </c>
      <c r="BG443" t="str">
        <f>tbl_OriginalData[[#This Row],[Purchase_Intent]]</f>
        <v>Impulsive</v>
      </c>
      <c r="BH443" t="str">
        <f>tbl_OriginalData[[#This Row],[Shipping_Preference]]</f>
        <v>No Preference</v>
      </c>
      <c r="BI443">
        <f>tbl_OriginalData[[#This Row],[Time_to_Decision]]</f>
        <v>7</v>
      </c>
      <c r="BJ443" t="s">
        <v>114</v>
      </c>
      <c r="BK443" t="s">
        <v>115</v>
      </c>
      <c r="BL443" t="s">
        <v>2524</v>
      </c>
    </row>
    <row r="444" spans="1:64">
      <c r="A444" t="s">
        <v>1094</v>
      </c>
      <c r="B444">
        <v>18</v>
      </c>
      <c r="C444" t="s">
        <v>33</v>
      </c>
      <c r="D444" t="s">
        <v>51</v>
      </c>
      <c r="E444" t="s">
        <v>65</v>
      </c>
      <c r="F444" t="s">
        <v>52</v>
      </c>
      <c r="G444" t="s">
        <v>34</v>
      </c>
      <c r="H444" t="s">
        <v>1095</v>
      </c>
      <c r="I444" t="s">
        <v>147</v>
      </c>
      <c r="J444">
        <v>212.8</v>
      </c>
      <c r="K444">
        <v>6</v>
      </c>
      <c r="L444" t="s">
        <v>39</v>
      </c>
      <c r="M444">
        <v>3</v>
      </c>
      <c r="N444">
        <v>2</v>
      </c>
      <c r="O444">
        <v>2</v>
      </c>
      <c r="P444" t="s">
        <v>40</v>
      </c>
      <c r="Q444" t="s">
        <v>101</v>
      </c>
      <c r="R444">
        <v>1</v>
      </c>
      <c r="S444">
        <v>7</v>
      </c>
      <c r="T444" t="s">
        <v>51</v>
      </c>
      <c r="U444" t="s">
        <v>42</v>
      </c>
      <c r="V444" t="s">
        <v>43</v>
      </c>
      <c r="W444" s="1">
        <v>45429</v>
      </c>
      <c r="X444" t="b">
        <v>1</v>
      </c>
      <c r="Y444" t="b">
        <v>1</v>
      </c>
      <c r="Z444" t="s">
        <v>89</v>
      </c>
      <c r="AA444" t="s">
        <v>60</v>
      </c>
      <c r="AB444">
        <v>1</v>
      </c>
      <c r="AF444" t="str">
        <f>tbl_OriginalData[[#This Row],[Customer_ID]]</f>
        <v>98-130-8811</v>
      </c>
      <c r="AG444">
        <f>tbl_OriginalData[[#This Row],[Age]]</f>
        <v>18</v>
      </c>
      <c r="AH444" t="str" cm="1">
        <f t="array" ref="AH44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444" t="str">
        <f>tbl_OriginalData[[#This Row],[Gender]]</f>
        <v>Female</v>
      </c>
      <c r="AJ444" t="str">
        <f>tbl_OriginalData[[#This Row],[Income_Level]]</f>
        <v>High</v>
      </c>
      <c r="AK444" t="str">
        <f>tbl_OriginalData[[#This Row],[Marital_Status]]</f>
        <v>Single</v>
      </c>
      <c r="AL444" t="str">
        <f>tbl_OriginalData[[#This Row],[Education_Level]]</f>
        <v>High School</v>
      </c>
      <c r="AM444" t="str">
        <f>tbl_OriginalData[[#This Row],[Occupation]]</f>
        <v>Middle</v>
      </c>
      <c r="AN444" t="s">
        <v>1095</v>
      </c>
      <c r="AO444" t="s">
        <v>1096</v>
      </c>
      <c r="AP444" t="str">
        <f>tbl_OriginalData[[#This Row],[Purchase_Category]]</f>
        <v>Electronics</v>
      </c>
      <c r="AQ444" s="4">
        <f>tbl_OriginalData[[#This Row],[Purchase_Amount]]</f>
        <v>212.8</v>
      </c>
      <c r="AR444">
        <f>tbl_OriginalData[[#This Row],[Frequency_of_Purchase]]</f>
        <v>6</v>
      </c>
      <c r="AS444" t="str">
        <f>tbl_OriginalData[[#This Row],[Purchase_Channel]]</f>
        <v>Mixed</v>
      </c>
      <c r="AT444">
        <f>tbl_OriginalData[[#This Row],[Brand_Loyalty]]</f>
        <v>3</v>
      </c>
      <c r="AU444">
        <f>tbl_OriginalData[[#This Row],[Product_Rating]]</f>
        <v>2</v>
      </c>
      <c r="AV444">
        <f>tbl_OriginalData[[#This Row],[Time_Spent_on_Product_Research(hours)]]*60</f>
        <v>120</v>
      </c>
      <c r="AW444" t="str">
        <f>tbl_OriginalData[[#This Row],[Social_Media_Influence]]</f>
        <v>None</v>
      </c>
      <c r="AX444" t="str">
        <f>tbl_OriginalData[[#This Row],[Discount_Sensitivity]]</f>
        <v>Very Sensitive</v>
      </c>
      <c r="AY444" s="3">
        <f>tbl_OriginalData[[#This Row],[Return_Rate]]/tbl_OriginalData[[#This Row],[Frequency_of_Purchase]]</f>
        <v>0.16666666666666666</v>
      </c>
      <c r="AZ444">
        <f>tbl_OriginalData[[#This Row],[Customer_Satisfaction]]</f>
        <v>7</v>
      </c>
      <c r="BA444" t="str">
        <f>tbl_OriginalData[[#This Row],[Engagement_with_Ads]]</f>
        <v>High</v>
      </c>
      <c r="BB444" t="str">
        <f>tbl_OriginalData[[#This Row],[Device_Used_for_Shopping]]</f>
        <v>Tablet</v>
      </c>
      <c r="BC444" t="str">
        <f>tbl_OriginalData[[#This Row],[Payment_Method]]</f>
        <v>Credit Card</v>
      </c>
      <c r="BD444" s="1">
        <f>tbl_OriginalData[[#This Row],[Time_of_Purchase]]</f>
        <v>45429</v>
      </c>
      <c r="BE444" t="str">
        <f>IF(tbl_OriginalData[[#This Row],[Discount_Used]]=TRUE,"Yes","No")</f>
        <v>Yes</v>
      </c>
      <c r="BF444" t="str">
        <f>IF(tbl_OriginalData[[#This Row],[Customer_Loyalty_Program_Member]]=TRUE,"Yes","No")</f>
        <v>Yes</v>
      </c>
      <c r="BG444" t="str">
        <f>tbl_OriginalData[[#This Row],[Purchase_Intent]]</f>
        <v>Planned</v>
      </c>
      <c r="BH444" t="str">
        <f>tbl_OriginalData[[#This Row],[Shipping_Preference]]</f>
        <v>Standard</v>
      </c>
      <c r="BI444">
        <f>tbl_OriginalData[[#This Row],[Time_to_Decision]]</f>
        <v>1</v>
      </c>
      <c r="BJ444" t="s">
        <v>167</v>
      </c>
      <c r="BK444" t="s">
        <v>63</v>
      </c>
      <c r="BL444" t="s">
        <v>2523</v>
      </c>
    </row>
    <row r="445" spans="1:64">
      <c r="A445" t="s">
        <v>1097</v>
      </c>
      <c r="B445">
        <v>47</v>
      </c>
      <c r="C445" t="s">
        <v>33</v>
      </c>
      <c r="D445" t="s">
        <v>34</v>
      </c>
      <c r="E445" t="s">
        <v>35</v>
      </c>
      <c r="F445" t="s">
        <v>36</v>
      </c>
      <c r="G445" t="s">
        <v>51</v>
      </c>
      <c r="H445" t="s">
        <v>1098</v>
      </c>
      <c r="I445" t="s">
        <v>153</v>
      </c>
      <c r="J445">
        <v>324.41000000000003</v>
      </c>
      <c r="K445">
        <v>7</v>
      </c>
      <c r="L445" t="s">
        <v>39</v>
      </c>
      <c r="M445">
        <v>4</v>
      </c>
      <c r="N445">
        <v>4</v>
      </c>
      <c r="O445">
        <v>1</v>
      </c>
      <c r="P445" t="s">
        <v>40</v>
      </c>
      <c r="Q445" t="s">
        <v>57</v>
      </c>
      <c r="R445">
        <v>0</v>
      </c>
      <c r="S445">
        <v>5</v>
      </c>
      <c r="T445" t="s">
        <v>56</v>
      </c>
      <c r="U445" t="s">
        <v>42</v>
      </c>
      <c r="V445" t="s">
        <v>71</v>
      </c>
      <c r="W445" s="1">
        <v>45411</v>
      </c>
      <c r="X445" t="b">
        <v>1</v>
      </c>
      <c r="Y445" t="b">
        <v>1</v>
      </c>
      <c r="Z445" t="s">
        <v>44</v>
      </c>
      <c r="AA445" t="s">
        <v>45</v>
      </c>
      <c r="AB445">
        <v>4</v>
      </c>
      <c r="AF445" t="str">
        <f>tbl_OriginalData[[#This Row],[Customer_ID]]</f>
        <v>18-614-2070</v>
      </c>
      <c r="AG445">
        <f>tbl_OriginalData[[#This Row],[Age]]</f>
        <v>47</v>
      </c>
      <c r="AH445" t="str" cm="1">
        <f t="array" ref="AH44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45" t="str">
        <f>tbl_OriginalData[[#This Row],[Gender]]</f>
        <v>Female</v>
      </c>
      <c r="AJ445" t="str">
        <f>tbl_OriginalData[[#This Row],[Income_Level]]</f>
        <v>Middle</v>
      </c>
      <c r="AK445" t="str">
        <f>tbl_OriginalData[[#This Row],[Marital_Status]]</f>
        <v>Married</v>
      </c>
      <c r="AL445" t="str">
        <f>tbl_OriginalData[[#This Row],[Education_Level]]</f>
        <v>Bachelor's</v>
      </c>
      <c r="AM445" t="str">
        <f>tbl_OriginalData[[#This Row],[Occupation]]</f>
        <v>High</v>
      </c>
      <c r="AN445" t="s">
        <v>1098</v>
      </c>
      <c r="AO445" t="s">
        <v>109</v>
      </c>
      <c r="AP445" t="str">
        <f>tbl_OriginalData[[#This Row],[Purchase_Category]]</f>
        <v>Baby Products</v>
      </c>
      <c r="AQ445" s="4">
        <f>tbl_OriginalData[[#This Row],[Purchase_Amount]]</f>
        <v>324.41000000000003</v>
      </c>
      <c r="AR445">
        <f>tbl_OriginalData[[#This Row],[Frequency_of_Purchase]]</f>
        <v>7</v>
      </c>
      <c r="AS445" t="str">
        <f>tbl_OriginalData[[#This Row],[Purchase_Channel]]</f>
        <v>Mixed</v>
      </c>
      <c r="AT445">
        <f>tbl_OriginalData[[#This Row],[Brand_Loyalty]]</f>
        <v>4</v>
      </c>
      <c r="AU445">
        <f>tbl_OriginalData[[#This Row],[Product_Rating]]</f>
        <v>4</v>
      </c>
      <c r="AV445">
        <f>tbl_OriginalData[[#This Row],[Time_Spent_on_Product_Research(hours)]]*60</f>
        <v>60</v>
      </c>
      <c r="AW445" t="str">
        <f>tbl_OriginalData[[#This Row],[Social_Media_Influence]]</f>
        <v>None</v>
      </c>
      <c r="AX445" t="str">
        <f>tbl_OriginalData[[#This Row],[Discount_Sensitivity]]</f>
        <v>Not Sensitive</v>
      </c>
      <c r="AY445" s="3">
        <f>tbl_OriginalData[[#This Row],[Return_Rate]]/tbl_OriginalData[[#This Row],[Frequency_of_Purchase]]</f>
        <v>0</v>
      </c>
      <c r="AZ445">
        <f>tbl_OriginalData[[#This Row],[Customer_Satisfaction]]</f>
        <v>5</v>
      </c>
      <c r="BA445" t="str">
        <f>tbl_OriginalData[[#This Row],[Engagement_with_Ads]]</f>
        <v>Medium</v>
      </c>
      <c r="BB445" t="str">
        <f>tbl_OriginalData[[#This Row],[Device_Used_for_Shopping]]</f>
        <v>Tablet</v>
      </c>
      <c r="BC445" t="str">
        <f>tbl_OriginalData[[#This Row],[Payment_Method]]</f>
        <v>Debit Card</v>
      </c>
      <c r="BD445" s="1">
        <f>tbl_OriginalData[[#This Row],[Time_of_Purchase]]</f>
        <v>45411</v>
      </c>
      <c r="BE445" t="str">
        <f>IF(tbl_OriginalData[[#This Row],[Discount_Used]]=TRUE,"Yes","No")</f>
        <v>Yes</v>
      </c>
      <c r="BF445" t="str">
        <f>IF(tbl_OriginalData[[#This Row],[Customer_Loyalty_Program_Member]]=TRUE,"Yes","No")</f>
        <v>Yes</v>
      </c>
      <c r="BG445" t="str">
        <f>tbl_OriginalData[[#This Row],[Purchase_Intent]]</f>
        <v>Need-based</v>
      </c>
      <c r="BH445" t="str">
        <f>tbl_OriginalData[[#This Row],[Shipping_Preference]]</f>
        <v>No Preference</v>
      </c>
      <c r="BI445">
        <f>tbl_OriginalData[[#This Row],[Time_to_Decision]]</f>
        <v>4</v>
      </c>
      <c r="BJ445" t="s">
        <v>62</v>
      </c>
      <c r="BK445" t="s">
        <v>63</v>
      </c>
      <c r="BL445" t="s">
        <v>2526</v>
      </c>
    </row>
    <row r="446" spans="1:64">
      <c r="A446" t="s">
        <v>1099</v>
      </c>
      <c r="B446">
        <v>36</v>
      </c>
      <c r="C446" t="s">
        <v>50</v>
      </c>
      <c r="D446" t="s">
        <v>51</v>
      </c>
      <c r="E446" t="s">
        <v>82</v>
      </c>
      <c r="F446" t="s">
        <v>52</v>
      </c>
      <c r="G446" t="s">
        <v>34</v>
      </c>
      <c r="H446" t="s">
        <v>1100</v>
      </c>
      <c r="I446" t="s">
        <v>242</v>
      </c>
      <c r="J446">
        <v>342.39</v>
      </c>
      <c r="K446">
        <v>8</v>
      </c>
      <c r="L446" t="s">
        <v>55</v>
      </c>
      <c r="M446">
        <v>1</v>
      </c>
      <c r="N446">
        <v>5</v>
      </c>
      <c r="O446">
        <v>2</v>
      </c>
      <c r="P446" t="s">
        <v>69</v>
      </c>
      <c r="Q446" t="s">
        <v>101</v>
      </c>
      <c r="R446">
        <v>2</v>
      </c>
      <c r="S446">
        <v>3</v>
      </c>
      <c r="T446" t="s">
        <v>51</v>
      </c>
      <c r="U446" t="s">
        <v>95</v>
      </c>
      <c r="V446" t="s">
        <v>76</v>
      </c>
      <c r="W446" s="1">
        <v>45295</v>
      </c>
      <c r="X446" t="b">
        <v>0</v>
      </c>
      <c r="Y446" t="b">
        <v>0</v>
      </c>
      <c r="Z446" t="s">
        <v>44</v>
      </c>
      <c r="AA446" t="s">
        <v>60</v>
      </c>
      <c r="AB446">
        <v>9</v>
      </c>
      <c r="AF446" t="str">
        <f>tbl_OriginalData[[#This Row],[Customer_ID]]</f>
        <v>80-277-3242</v>
      </c>
      <c r="AG446">
        <f>tbl_OriginalData[[#This Row],[Age]]</f>
        <v>36</v>
      </c>
      <c r="AH446" t="str" cm="1">
        <f t="array" ref="AH44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46" t="str">
        <f>tbl_OriginalData[[#This Row],[Gender]]</f>
        <v>Male</v>
      </c>
      <c r="AJ446" t="str">
        <f>tbl_OriginalData[[#This Row],[Income_Level]]</f>
        <v>High</v>
      </c>
      <c r="AK446" t="str">
        <f>tbl_OriginalData[[#This Row],[Marital_Status]]</f>
        <v>Widowed</v>
      </c>
      <c r="AL446" t="str">
        <f>tbl_OriginalData[[#This Row],[Education_Level]]</f>
        <v>High School</v>
      </c>
      <c r="AM446" t="str">
        <f>tbl_OriginalData[[#This Row],[Occupation]]</f>
        <v>Middle</v>
      </c>
      <c r="AN446" t="s">
        <v>1100</v>
      </c>
      <c r="AO446" t="s">
        <v>46</v>
      </c>
      <c r="AP446" t="str">
        <f>tbl_OriginalData[[#This Row],[Purchase_Category]]</f>
        <v>Travel &amp; Leisure (Flights</v>
      </c>
      <c r="AQ446" s="4">
        <f>tbl_OriginalData[[#This Row],[Purchase_Amount]]</f>
        <v>342.39</v>
      </c>
      <c r="AR446">
        <f>tbl_OriginalData[[#This Row],[Frequency_of_Purchase]]</f>
        <v>8</v>
      </c>
      <c r="AS446" t="str">
        <f>tbl_OriginalData[[#This Row],[Purchase_Channel]]</f>
        <v>In-Store</v>
      </c>
      <c r="AT446">
        <f>tbl_OriginalData[[#This Row],[Brand_Loyalty]]</f>
        <v>1</v>
      </c>
      <c r="AU446">
        <f>tbl_OriginalData[[#This Row],[Product_Rating]]</f>
        <v>5</v>
      </c>
      <c r="AV446">
        <f>tbl_OriginalData[[#This Row],[Time_Spent_on_Product_Research(hours)]]*60</f>
        <v>120</v>
      </c>
      <c r="AW446" t="str">
        <f>tbl_OriginalData[[#This Row],[Social_Media_Influence]]</f>
        <v>Low</v>
      </c>
      <c r="AX446" t="str">
        <f>tbl_OriginalData[[#This Row],[Discount_Sensitivity]]</f>
        <v>Very Sensitive</v>
      </c>
      <c r="AY446" s="3">
        <f>tbl_OriginalData[[#This Row],[Return_Rate]]/tbl_OriginalData[[#This Row],[Frequency_of_Purchase]]</f>
        <v>0.25</v>
      </c>
      <c r="AZ446">
        <f>tbl_OriginalData[[#This Row],[Customer_Satisfaction]]</f>
        <v>3</v>
      </c>
      <c r="BA446" t="str">
        <f>tbl_OriginalData[[#This Row],[Engagement_with_Ads]]</f>
        <v>High</v>
      </c>
      <c r="BB446" t="str">
        <f>tbl_OriginalData[[#This Row],[Device_Used_for_Shopping]]</f>
        <v>Desktop</v>
      </c>
      <c r="BC446" t="str">
        <f>tbl_OriginalData[[#This Row],[Payment_Method]]</f>
        <v>Other</v>
      </c>
      <c r="BD446" s="1">
        <f>tbl_OriginalData[[#This Row],[Time_of_Purchase]]</f>
        <v>45295</v>
      </c>
      <c r="BE446" t="str">
        <f>IF(tbl_OriginalData[[#This Row],[Discount_Used]]=TRUE,"Yes","No")</f>
        <v>No</v>
      </c>
      <c r="BF446" t="str">
        <f>IF(tbl_OriginalData[[#This Row],[Customer_Loyalty_Program_Member]]=TRUE,"Yes","No")</f>
        <v>No</v>
      </c>
      <c r="BG446" t="str">
        <f>tbl_OriginalData[[#This Row],[Purchase_Intent]]</f>
        <v>Need-based</v>
      </c>
      <c r="BH446" t="str">
        <f>tbl_OriginalData[[#This Row],[Shipping_Preference]]</f>
        <v>Standard</v>
      </c>
      <c r="BI446">
        <f>tbl_OriginalData[[#This Row],[Time_to_Decision]]</f>
        <v>9</v>
      </c>
      <c r="BJ446" t="s">
        <v>86</v>
      </c>
      <c r="BK446" t="s">
        <v>48</v>
      </c>
      <c r="BL446" t="s">
        <v>2523</v>
      </c>
    </row>
    <row r="447" spans="1:64">
      <c r="A447" t="s">
        <v>1101</v>
      </c>
      <c r="B447">
        <v>23</v>
      </c>
      <c r="C447" t="s">
        <v>33</v>
      </c>
      <c r="D447" t="s">
        <v>51</v>
      </c>
      <c r="E447" t="s">
        <v>92</v>
      </c>
      <c r="F447" t="s">
        <v>36</v>
      </c>
      <c r="G447" t="s">
        <v>51</v>
      </c>
      <c r="H447" t="s">
        <v>1102</v>
      </c>
      <c r="I447" t="s">
        <v>131</v>
      </c>
      <c r="J447">
        <v>446.86</v>
      </c>
      <c r="K447">
        <v>9</v>
      </c>
      <c r="L447" t="s">
        <v>55</v>
      </c>
      <c r="M447">
        <v>2</v>
      </c>
      <c r="N447">
        <v>1</v>
      </c>
      <c r="O447">
        <v>2</v>
      </c>
      <c r="P447" t="s">
        <v>40</v>
      </c>
      <c r="Q447" t="s">
        <v>101</v>
      </c>
      <c r="R447">
        <v>0</v>
      </c>
      <c r="S447">
        <v>2</v>
      </c>
      <c r="T447" t="s">
        <v>56</v>
      </c>
      <c r="U447" t="s">
        <v>95</v>
      </c>
      <c r="V447" t="s">
        <v>58</v>
      </c>
      <c r="W447" s="1">
        <v>45603</v>
      </c>
      <c r="X447" t="b">
        <v>0</v>
      </c>
      <c r="Y447" t="b">
        <v>0</v>
      </c>
      <c r="Z447" t="s">
        <v>59</v>
      </c>
      <c r="AA447" t="s">
        <v>45</v>
      </c>
      <c r="AB447">
        <v>5</v>
      </c>
      <c r="AF447" t="str">
        <f>tbl_OriginalData[[#This Row],[Customer_ID]]</f>
        <v>44-949-9040</v>
      </c>
      <c r="AG447">
        <f>tbl_OriginalData[[#This Row],[Age]]</f>
        <v>23</v>
      </c>
      <c r="AH447" t="str" cm="1">
        <f t="array" ref="AH44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47" t="str">
        <f>tbl_OriginalData[[#This Row],[Gender]]</f>
        <v>Female</v>
      </c>
      <c r="AJ447" t="str">
        <f>tbl_OriginalData[[#This Row],[Income_Level]]</f>
        <v>High</v>
      </c>
      <c r="AK447" t="str">
        <f>tbl_OriginalData[[#This Row],[Marital_Status]]</f>
        <v>Divorced</v>
      </c>
      <c r="AL447" t="str">
        <f>tbl_OriginalData[[#This Row],[Education_Level]]</f>
        <v>Bachelor's</v>
      </c>
      <c r="AM447" t="str">
        <f>tbl_OriginalData[[#This Row],[Occupation]]</f>
        <v>High</v>
      </c>
      <c r="AN447" t="s">
        <v>1102</v>
      </c>
      <c r="AO447" t="s">
        <v>161</v>
      </c>
      <c r="AP447" t="str">
        <f>tbl_OriginalData[[#This Row],[Purchase_Category]]</f>
        <v>Health Care</v>
      </c>
      <c r="AQ447" s="4">
        <f>tbl_OriginalData[[#This Row],[Purchase_Amount]]</f>
        <v>446.86</v>
      </c>
      <c r="AR447">
        <f>tbl_OriginalData[[#This Row],[Frequency_of_Purchase]]</f>
        <v>9</v>
      </c>
      <c r="AS447" t="str">
        <f>tbl_OriginalData[[#This Row],[Purchase_Channel]]</f>
        <v>In-Store</v>
      </c>
      <c r="AT447">
        <f>tbl_OriginalData[[#This Row],[Brand_Loyalty]]</f>
        <v>2</v>
      </c>
      <c r="AU447">
        <f>tbl_OriginalData[[#This Row],[Product_Rating]]</f>
        <v>1</v>
      </c>
      <c r="AV447">
        <f>tbl_OriginalData[[#This Row],[Time_Spent_on_Product_Research(hours)]]*60</f>
        <v>120</v>
      </c>
      <c r="AW447" t="str">
        <f>tbl_OriginalData[[#This Row],[Social_Media_Influence]]</f>
        <v>None</v>
      </c>
      <c r="AX447" t="str">
        <f>tbl_OriginalData[[#This Row],[Discount_Sensitivity]]</f>
        <v>Very Sensitive</v>
      </c>
      <c r="AY447" s="3">
        <f>tbl_OriginalData[[#This Row],[Return_Rate]]/tbl_OriginalData[[#This Row],[Frequency_of_Purchase]]</f>
        <v>0</v>
      </c>
      <c r="AZ447">
        <f>tbl_OriginalData[[#This Row],[Customer_Satisfaction]]</f>
        <v>2</v>
      </c>
      <c r="BA447" t="str">
        <f>tbl_OriginalData[[#This Row],[Engagement_with_Ads]]</f>
        <v>Medium</v>
      </c>
      <c r="BB447" t="str">
        <f>tbl_OriginalData[[#This Row],[Device_Used_for_Shopping]]</f>
        <v>Desktop</v>
      </c>
      <c r="BC447" t="str">
        <f>tbl_OriginalData[[#This Row],[Payment_Method]]</f>
        <v>PayPal</v>
      </c>
      <c r="BD447" s="1">
        <f>tbl_OriginalData[[#This Row],[Time_of_Purchase]]</f>
        <v>45603</v>
      </c>
      <c r="BE447" t="str">
        <f>IF(tbl_OriginalData[[#This Row],[Discount_Used]]=TRUE,"Yes","No")</f>
        <v>No</v>
      </c>
      <c r="BF447" t="str">
        <f>IF(tbl_OriginalData[[#This Row],[Customer_Loyalty_Program_Member]]=TRUE,"Yes","No")</f>
        <v>No</v>
      </c>
      <c r="BG447" t="str">
        <f>tbl_OriginalData[[#This Row],[Purchase_Intent]]</f>
        <v>Wants-based</v>
      </c>
      <c r="BH447" t="str">
        <f>tbl_OriginalData[[#This Row],[Shipping_Preference]]</f>
        <v>No Preference</v>
      </c>
      <c r="BI447">
        <f>tbl_OriginalData[[#This Row],[Time_to_Decision]]</f>
        <v>5</v>
      </c>
      <c r="BJ447" t="s">
        <v>177</v>
      </c>
      <c r="BK447" t="s">
        <v>80</v>
      </c>
      <c r="BL447" t="s">
        <v>2527</v>
      </c>
    </row>
    <row r="448" spans="1:64">
      <c r="A448" t="s">
        <v>1103</v>
      </c>
      <c r="B448">
        <v>49</v>
      </c>
      <c r="C448" t="s">
        <v>50</v>
      </c>
      <c r="D448" t="s">
        <v>51</v>
      </c>
      <c r="E448" t="s">
        <v>92</v>
      </c>
      <c r="F448" t="s">
        <v>66</v>
      </c>
      <c r="G448" t="s">
        <v>51</v>
      </c>
      <c r="H448" t="s">
        <v>1104</v>
      </c>
      <c r="I448" t="s">
        <v>147</v>
      </c>
      <c r="J448">
        <v>463.15</v>
      </c>
      <c r="K448">
        <v>3</v>
      </c>
      <c r="L448" t="s">
        <v>39</v>
      </c>
      <c r="M448">
        <v>1</v>
      </c>
      <c r="N448">
        <v>1</v>
      </c>
      <c r="O448">
        <v>1</v>
      </c>
      <c r="P448" t="s">
        <v>40</v>
      </c>
      <c r="Q448" t="s">
        <v>41</v>
      </c>
      <c r="R448">
        <v>1</v>
      </c>
      <c r="S448">
        <v>9</v>
      </c>
      <c r="T448" t="s">
        <v>51</v>
      </c>
      <c r="U448" t="s">
        <v>70</v>
      </c>
      <c r="V448" t="s">
        <v>71</v>
      </c>
      <c r="W448" s="1">
        <v>45407</v>
      </c>
      <c r="X448" t="b">
        <v>1</v>
      </c>
      <c r="Y448" t="b">
        <v>1</v>
      </c>
      <c r="Z448" t="s">
        <v>44</v>
      </c>
      <c r="AA448" t="s">
        <v>60</v>
      </c>
      <c r="AB448">
        <v>9</v>
      </c>
      <c r="AF448" t="str">
        <f>tbl_OriginalData[[#This Row],[Customer_ID]]</f>
        <v>04-545-9162</v>
      </c>
      <c r="AG448">
        <f>tbl_OriginalData[[#This Row],[Age]]</f>
        <v>49</v>
      </c>
      <c r="AH448" t="str" cm="1">
        <f t="array" ref="AH44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48" t="str">
        <f>tbl_OriginalData[[#This Row],[Gender]]</f>
        <v>Male</v>
      </c>
      <c r="AJ448" t="str">
        <f>tbl_OriginalData[[#This Row],[Income_Level]]</f>
        <v>High</v>
      </c>
      <c r="AK448" t="str">
        <f>tbl_OriginalData[[#This Row],[Marital_Status]]</f>
        <v>Divorced</v>
      </c>
      <c r="AL448" t="str">
        <f>tbl_OriginalData[[#This Row],[Education_Level]]</f>
        <v>Master's</v>
      </c>
      <c r="AM448" t="str">
        <f>tbl_OriginalData[[#This Row],[Occupation]]</f>
        <v>High</v>
      </c>
      <c r="AN448" t="s">
        <v>1104</v>
      </c>
      <c r="AO448" t="s">
        <v>61</v>
      </c>
      <c r="AP448" t="str">
        <f>tbl_OriginalData[[#This Row],[Purchase_Category]]</f>
        <v>Electronics</v>
      </c>
      <c r="AQ448" s="4">
        <f>tbl_OriginalData[[#This Row],[Purchase_Amount]]</f>
        <v>463.15</v>
      </c>
      <c r="AR448">
        <f>tbl_OriginalData[[#This Row],[Frequency_of_Purchase]]</f>
        <v>3</v>
      </c>
      <c r="AS448" t="str">
        <f>tbl_OriginalData[[#This Row],[Purchase_Channel]]</f>
        <v>Mixed</v>
      </c>
      <c r="AT448">
        <f>tbl_OriginalData[[#This Row],[Brand_Loyalty]]</f>
        <v>1</v>
      </c>
      <c r="AU448">
        <f>tbl_OriginalData[[#This Row],[Product_Rating]]</f>
        <v>1</v>
      </c>
      <c r="AV448">
        <f>tbl_OriginalData[[#This Row],[Time_Spent_on_Product_Research(hours)]]*60</f>
        <v>60</v>
      </c>
      <c r="AW448" t="str">
        <f>tbl_OriginalData[[#This Row],[Social_Media_Influence]]</f>
        <v>None</v>
      </c>
      <c r="AX448" t="str">
        <f>tbl_OriginalData[[#This Row],[Discount_Sensitivity]]</f>
        <v>Somewhat Sensitive</v>
      </c>
      <c r="AY448" s="3">
        <f>tbl_OriginalData[[#This Row],[Return_Rate]]/tbl_OriginalData[[#This Row],[Frequency_of_Purchase]]</f>
        <v>0.33333333333333331</v>
      </c>
      <c r="AZ448">
        <f>tbl_OriginalData[[#This Row],[Customer_Satisfaction]]</f>
        <v>9</v>
      </c>
      <c r="BA448" t="str">
        <f>tbl_OriginalData[[#This Row],[Engagement_with_Ads]]</f>
        <v>High</v>
      </c>
      <c r="BB448" t="str">
        <f>tbl_OriginalData[[#This Row],[Device_Used_for_Shopping]]</f>
        <v>Smartphone</v>
      </c>
      <c r="BC448" t="str">
        <f>tbl_OriginalData[[#This Row],[Payment_Method]]</f>
        <v>Debit Card</v>
      </c>
      <c r="BD448" s="1">
        <f>tbl_OriginalData[[#This Row],[Time_of_Purchase]]</f>
        <v>45407</v>
      </c>
      <c r="BE448" t="str">
        <f>IF(tbl_OriginalData[[#This Row],[Discount_Used]]=TRUE,"Yes","No")</f>
        <v>Yes</v>
      </c>
      <c r="BF448" t="str">
        <f>IF(tbl_OriginalData[[#This Row],[Customer_Loyalty_Program_Member]]=TRUE,"Yes","No")</f>
        <v>Yes</v>
      </c>
      <c r="BG448" t="str">
        <f>tbl_OriginalData[[#This Row],[Purchase_Intent]]</f>
        <v>Need-based</v>
      </c>
      <c r="BH448" t="str">
        <f>tbl_OriginalData[[#This Row],[Shipping_Preference]]</f>
        <v>Standard</v>
      </c>
      <c r="BI448">
        <f>tbl_OriginalData[[#This Row],[Time_to_Decision]]</f>
        <v>9</v>
      </c>
      <c r="BJ448" t="s">
        <v>62</v>
      </c>
      <c r="BK448" t="s">
        <v>63</v>
      </c>
      <c r="BL448" t="s">
        <v>2524</v>
      </c>
    </row>
    <row r="449" spans="1:64">
      <c r="A449" t="s">
        <v>1105</v>
      </c>
      <c r="B449">
        <v>27</v>
      </c>
      <c r="C449" t="s">
        <v>33</v>
      </c>
      <c r="D449" t="s">
        <v>51</v>
      </c>
      <c r="E449" t="s">
        <v>92</v>
      </c>
      <c r="F449" t="s">
        <v>36</v>
      </c>
      <c r="G449" t="s">
        <v>51</v>
      </c>
      <c r="H449" t="s">
        <v>1106</v>
      </c>
      <c r="I449" t="s">
        <v>199</v>
      </c>
      <c r="J449">
        <v>122.99</v>
      </c>
      <c r="K449">
        <v>12</v>
      </c>
      <c r="L449" t="s">
        <v>55</v>
      </c>
      <c r="M449">
        <v>1</v>
      </c>
      <c r="N449">
        <v>5</v>
      </c>
      <c r="O449">
        <v>1</v>
      </c>
      <c r="P449" t="s">
        <v>51</v>
      </c>
      <c r="Q449" t="s">
        <v>101</v>
      </c>
      <c r="R449">
        <v>1</v>
      </c>
      <c r="S449">
        <v>8</v>
      </c>
      <c r="T449" t="s">
        <v>40</v>
      </c>
      <c r="U449" t="s">
        <v>95</v>
      </c>
      <c r="V449" t="s">
        <v>102</v>
      </c>
      <c r="W449" s="1">
        <v>45568</v>
      </c>
      <c r="X449" t="b">
        <v>1</v>
      </c>
      <c r="Y449" t="b">
        <v>0</v>
      </c>
      <c r="Z449" t="s">
        <v>89</v>
      </c>
      <c r="AA449" t="s">
        <v>45</v>
      </c>
      <c r="AB449">
        <v>1</v>
      </c>
      <c r="AF449" t="str">
        <f>tbl_OriginalData[[#This Row],[Customer_ID]]</f>
        <v>51-320-2801</v>
      </c>
      <c r="AG449">
        <f>tbl_OriginalData[[#This Row],[Age]]</f>
        <v>27</v>
      </c>
      <c r="AH449" t="str" cm="1">
        <f t="array" ref="AH44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49" t="str">
        <f>tbl_OriginalData[[#This Row],[Gender]]</f>
        <v>Female</v>
      </c>
      <c r="AJ449" t="str">
        <f>tbl_OriginalData[[#This Row],[Income_Level]]</f>
        <v>High</v>
      </c>
      <c r="AK449" t="str">
        <f>tbl_OriginalData[[#This Row],[Marital_Status]]</f>
        <v>Divorced</v>
      </c>
      <c r="AL449" t="str">
        <f>tbl_OriginalData[[#This Row],[Education_Level]]</f>
        <v>Bachelor's</v>
      </c>
      <c r="AM449" t="str">
        <f>tbl_OriginalData[[#This Row],[Occupation]]</f>
        <v>High</v>
      </c>
      <c r="AN449" t="s">
        <v>1106</v>
      </c>
      <c r="AO449" t="s">
        <v>246</v>
      </c>
      <c r="AP449" t="str">
        <f>tbl_OriginalData[[#This Row],[Purchase_Category]]</f>
        <v>Groceries</v>
      </c>
      <c r="AQ449" s="4">
        <f>tbl_OriginalData[[#This Row],[Purchase_Amount]]</f>
        <v>122.99</v>
      </c>
      <c r="AR449">
        <f>tbl_OriginalData[[#This Row],[Frequency_of_Purchase]]</f>
        <v>12</v>
      </c>
      <c r="AS449" t="str">
        <f>tbl_OriginalData[[#This Row],[Purchase_Channel]]</f>
        <v>In-Store</v>
      </c>
      <c r="AT449">
        <f>tbl_OriginalData[[#This Row],[Brand_Loyalty]]</f>
        <v>1</v>
      </c>
      <c r="AU449">
        <f>tbl_OriginalData[[#This Row],[Product_Rating]]</f>
        <v>5</v>
      </c>
      <c r="AV449">
        <f>tbl_OriginalData[[#This Row],[Time_Spent_on_Product_Research(hours)]]*60</f>
        <v>60</v>
      </c>
      <c r="AW449" t="str">
        <f>tbl_OriginalData[[#This Row],[Social_Media_Influence]]</f>
        <v>High</v>
      </c>
      <c r="AX449" t="str">
        <f>tbl_OriginalData[[#This Row],[Discount_Sensitivity]]</f>
        <v>Very Sensitive</v>
      </c>
      <c r="AY449" s="3">
        <f>tbl_OriginalData[[#This Row],[Return_Rate]]/tbl_OriginalData[[#This Row],[Frequency_of_Purchase]]</f>
        <v>8.3333333333333329E-2</v>
      </c>
      <c r="AZ449">
        <f>tbl_OriginalData[[#This Row],[Customer_Satisfaction]]</f>
        <v>8</v>
      </c>
      <c r="BA449" t="str">
        <f>tbl_OriginalData[[#This Row],[Engagement_with_Ads]]</f>
        <v>None</v>
      </c>
      <c r="BB449" t="str">
        <f>tbl_OriginalData[[#This Row],[Device_Used_for_Shopping]]</f>
        <v>Desktop</v>
      </c>
      <c r="BC449" t="str">
        <f>tbl_OriginalData[[#This Row],[Payment_Method]]</f>
        <v>Cash</v>
      </c>
      <c r="BD449" s="1">
        <f>tbl_OriginalData[[#This Row],[Time_of_Purchase]]</f>
        <v>45568</v>
      </c>
      <c r="BE449" t="str">
        <f>IF(tbl_OriginalData[[#This Row],[Discount_Used]]=TRUE,"Yes","No")</f>
        <v>Yes</v>
      </c>
      <c r="BF449" t="str">
        <f>IF(tbl_OriginalData[[#This Row],[Customer_Loyalty_Program_Member]]=TRUE,"Yes","No")</f>
        <v>No</v>
      </c>
      <c r="BG449" t="str">
        <f>tbl_OriginalData[[#This Row],[Purchase_Intent]]</f>
        <v>Planned</v>
      </c>
      <c r="BH449" t="str">
        <f>tbl_OriginalData[[#This Row],[Shipping_Preference]]</f>
        <v>No Preference</v>
      </c>
      <c r="BI449">
        <f>tbl_OriginalData[[#This Row],[Time_to_Decision]]</f>
        <v>1</v>
      </c>
      <c r="BJ449" t="s">
        <v>79</v>
      </c>
      <c r="BK449" t="s">
        <v>80</v>
      </c>
      <c r="BL449" t="s">
        <v>2523</v>
      </c>
    </row>
    <row r="450" spans="1:64">
      <c r="A450" t="s">
        <v>1107</v>
      </c>
      <c r="B450">
        <v>43</v>
      </c>
      <c r="C450" t="s">
        <v>50</v>
      </c>
      <c r="D450" t="s">
        <v>51</v>
      </c>
      <c r="E450" t="s">
        <v>82</v>
      </c>
      <c r="F450" t="s">
        <v>66</v>
      </c>
      <c r="G450" t="s">
        <v>51</v>
      </c>
      <c r="H450" t="s">
        <v>1108</v>
      </c>
      <c r="I450" t="s">
        <v>235</v>
      </c>
      <c r="J450">
        <v>322.39999999999998</v>
      </c>
      <c r="K450">
        <v>7</v>
      </c>
      <c r="L450" t="s">
        <v>39</v>
      </c>
      <c r="M450">
        <v>4</v>
      </c>
      <c r="N450">
        <v>2</v>
      </c>
      <c r="O450">
        <v>1</v>
      </c>
      <c r="P450" t="s">
        <v>56</v>
      </c>
      <c r="Q450" t="s">
        <v>101</v>
      </c>
      <c r="R450">
        <v>2</v>
      </c>
      <c r="S450">
        <v>3</v>
      </c>
      <c r="T450" t="s">
        <v>56</v>
      </c>
      <c r="U450" t="s">
        <v>42</v>
      </c>
      <c r="V450" t="s">
        <v>102</v>
      </c>
      <c r="W450" s="1">
        <v>45511</v>
      </c>
      <c r="X450" t="b">
        <v>1</v>
      </c>
      <c r="Y450" t="b">
        <v>1</v>
      </c>
      <c r="Z450" t="s">
        <v>44</v>
      </c>
      <c r="AA450" t="s">
        <v>77</v>
      </c>
      <c r="AB450">
        <v>2</v>
      </c>
      <c r="AF450" t="str">
        <f>tbl_OriginalData[[#This Row],[Customer_ID]]</f>
        <v>50-510-5119</v>
      </c>
      <c r="AG450">
        <f>tbl_OriginalData[[#This Row],[Age]]</f>
        <v>43</v>
      </c>
      <c r="AH450" t="str" cm="1">
        <f t="array" ref="AH45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50" t="str">
        <f>tbl_OriginalData[[#This Row],[Gender]]</f>
        <v>Male</v>
      </c>
      <c r="AJ450" t="str">
        <f>tbl_OriginalData[[#This Row],[Income_Level]]</f>
        <v>High</v>
      </c>
      <c r="AK450" t="str">
        <f>tbl_OriginalData[[#This Row],[Marital_Status]]</f>
        <v>Widowed</v>
      </c>
      <c r="AL450" t="str">
        <f>tbl_OriginalData[[#This Row],[Education_Level]]</f>
        <v>Master's</v>
      </c>
      <c r="AM450" t="str">
        <f>tbl_OriginalData[[#This Row],[Occupation]]</f>
        <v>High</v>
      </c>
      <c r="AN450" t="s">
        <v>1108</v>
      </c>
      <c r="AO450" t="s">
        <v>1109</v>
      </c>
      <c r="AP450" t="str">
        <f>tbl_OriginalData[[#This Row],[Purchase_Category]]</f>
        <v>Beauty &amp; Personal Care</v>
      </c>
      <c r="AQ450" s="4">
        <f>tbl_OriginalData[[#This Row],[Purchase_Amount]]</f>
        <v>322.39999999999998</v>
      </c>
      <c r="AR450">
        <f>tbl_OriginalData[[#This Row],[Frequency_of_Purchase]]</f>
        <v>7</v>
      </c>
      <c r="AS450" t="str">
        <f>tbl_OriginalData[[#This Row],[Purchase_Channel]]</f>
        <v>Mixed</v>
      </c>
      <c r="AT450">
        <f>tbl_OriginalData[[#This Row],[Brand_Loyalty]]</f>
        <v>4</v>
      </c>
      <c r="AU450">
        <f>tbl_OriginalData[[#This Row],[Product_Rating]]</f>
        <v>2</v>
      </c>
      <c r="AV450">
        <f>tbl_OriginalData[[#This Row],[Time_Spent_on_Product_Research(hours)]]*60</f>
        <v>60</v>
      </c>
      <c r="AW450" t="str">
        <f>tbl_OriginalData[[#This Row],[Social_Media_Influence]]</f>
        <v>Medium</v>
      </c>
      <c r="AX450" t="str">
        <f>tbl_OriginalData[[#This Row],[Discount_Sensitivity]]</f>
        <v>Very Sensitive</v>
      </c>
      <c r="AY450" s="3">
        <f>tbl_OriginalData[[#This Row],[Return_Rate]]/tbl_OriginalData[[#This Row],[Frequency_of_Purchase]]</f>
        <v>0.2857142857142857</v>
      </c>
      <c r="AZ450">
        <f>tbl_OriginalData[[#This Row],[Customer_Satisfaction]]</f>
        <v>3</v>
      </c>
      <c r="BA450" t="str">
        <f>tbl_OriginalData[[#This Row],[Engagement_with_Ads]]</f>
        <v>Medium</v>
      </c>
      <c r="BB450" t="str">
        <f>tbl_OriginalData[[#This Row],[Device_Used_for_Shopping]]</f>
        <v>Tablet</v>
      </c>
      <c r="BC450" t="str">
        <f>tbl_OriginalData[[#This Row],[Payment_Method]]</f>
        <v>Cash</v>
      </c>
      <c r="BD450" s="1">
        <f>tbl_OriginalData[[#This Row],[Time_of_Purchase]]</f>
        <v>45511</v>
      </c>
      <c r="BE450" t="str">
        <f>IF(tbl_OriginalData[[#This Row],[Discount_Used]]=TRUE,"Yes","No")</f>
        <v>Yes</v>
      </c>
      <c r="BF450" t="str">
        <f>IF(tbl_OriginalData[[#This Row],[Customer_Loyalty_Program_Member]]=TRUE,"Yes","No")</f>
        <v>Yes</v>
      </c>
      <c r="BG450" t="str">
        <f>tbl_OriginalData[[#This Row],[Purchase_Intent]]</f>
        <v>Need-based</v>
      </c>
      <c r="BH450" t="str">
        <f>tbl_OriginalData[[#This Row],[Shipping_Preference]]</f>
        <v>Express</v>
      </c>
      <c r="BI450">
        <f>tbl_OriginalData[[#This Row],[Time_to_Decision]]</f>
        <v>2</v>
      </c>
      <c r="BJ450" t="s">
        <v>124</v>
      </c>
      <c r="BK450" t="s">
        <v>115</v>
      </c>
      <c r="BL450" t="s">
        <v>2525</v>
      </c>
    </row>
    <row r="451" spans="1:64">
      <c r="A451" t="s">
        <v>1110</v>
      </c>
      <c r="B451">
        <v>19</v>
      </c>
      <c r="C451" t="s">
        <v>33</v>
      </c>
      <c r="D451" t="s">
        <v>51</v>
      </c>
      <c r="E451" t="s">
        <v>35</v>
      </c>
      <c r="F451" t="s">
        <v>52</v>
      </c>
      <c r="G451" t="s">
        <v>34</v>
      </c>
      <c r="H451" t="s">
        <v>1111</v>
      </c>
      <c r="I451" t="s">
        <v>131</v>
      </c>
      <c r="J451">
        <v>73.19</v>
      </c>
      <c r="K451">
        <v>5</v>
      </c>
      <c r="L451" t="s">
        <v>39</v>
      </c>
      <c r="M451">
        <v>2</v>
      </c>
      <c r="N451">
        <v>5</v>
      </c>
      <c r="O451">
        <v>1</v>
      </c>
      <c r="P451" t="s">
        <v>69</v>
      </c>
      <c r="Q451" t="s">
        <v>57</v>
      </c>
      <c r="R451">
        <v>2</v>
      </c>
      <c r="S451">
        <v>8</v>
      </c>
      <c r="T451" t="s">
        <v>51</v>
      </c>
      <c r="U451" t="s">
        <v>70</v>
      </c>
      <c r="V451" t="s">
        <v>58</v>
      </c>
      <c r="W451" s="1">
        <v>45393</v>
      </c>
      <c r="X451" t="b">
        <v>0</v>
      </c>
      <c r="Y451" t="b">
        <v>1</v>
      </c>
      <c r="Z451" t="s">
        <v>44</v>
      </c>
      <c r="AA451" t="s">
        <v>45</v>
      </c>
      <c r="AB451">
        <v>3</v>
      </c>
      <c r="AF451" t="str">
        <f>tbl_OriginalData[[#This Row],[Customer_ID]]</f>
        <v>63-964-6954</v>
      </c>
      <c r="AG451">
        <f>tbl_OriginalData[[#This Row],[Age]]</f>
        <v>19</v>
      </c>
      <c r="AH451" t="str" cm="1">
        <f t="array" ref="AH45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451" t="str">
        <f>tbl_OriginalData[[#This Row],[Gender]]</f>
        <v>Female</v>
      </c>
      <c r="AJ451" t="str">
        <f>tbl_OriginalData[[#This Row],[Income_Level]]</f>
        <v>High</v>
      </c>
      <c r="AK451" t="str">
        <f>tbl_OriginalData[[#This Row],[Marital_Status]]</f>
        <v>Married</v>
      </c>
      <c r="AL451" t="str">
        <f>tbl_OriginalData[[#This Row],[Education_Level]]</f>
        <v>High School</v>
      </c>
      <c r="AM451" t="str">
        <f>tbl_OriginalData[[#This Row],[Occupation]]</f>
        <v>Middle</v>
      </c>
      <c r="AN451" t="s">
        <v>1111</v>
      </c>
      <c r="AO451" t="s">
        <v>144</v>
      </c>
      <c r="AP451" t="str">
        <f>tbl_OriginalData[[#This Row],[Purchase_Category]]</f>
        <v>Health Care</v>
      </c>
      <c r="AQ451" s="4">
        <f>tbl_OriginalData[[#This Row],[Purchase_Amount]]</f>
        <v>73.19</v>
      </c>
      <c r="AR451">
        <f>tbl_OriginalData[[#This Row],[Frequency_of_Purchase]]</f>
        <v>5</v>
      </c>
      <c r="AS451" t="str">
        <f>tbl_OriginalData[[#This Row],[Purchase_Channel]]</f>
        <v>Mixed</v>
      </c>
      <c r="AT451">
        <f>tbl_OriginalData[[#This Row],[Brand_Loyalty]]</f>
        <v>2</v>
      </c>
      <c r="AU451">
        <f>tbl_OriginalData[[#This Row],[Product_Rating]]</f>
        <v>5</v>
      </c>
      <c r="AV451">
        <f>tbl_OriginalData[[#This Row],[Time_Spent_on_Product_Research(hours)]]*60</f>
        <v>60</v>
      </c>
      <c r="AW451" t="str">
        <f>tbl_OriginalData[[#This Row],[Social_Media_Influence]]</f>
        <v>Low</v>
      </c>
      <c r="AX451" t="str">
        <f>tbl_OriginalData[[#This Row],[Discount_Sensitivity]]</f>
        <v>Not Sensitive</v>
      </c>
      <c r="AY451" s="3">
        <f>tbl_OriginalData[[#This Row],[Return_Rate]]/tbl_OriginalData[[#This Row],[Frequency_of_Purchase]]</f>
        <v>0.4</v>
      </c>
      <c r="AZ451">
        <f>tbl_OriginalData[[#This Row],[Customer_Satisfaction]]</f>
        <v>8</v>
      </c>
      <c r="BA451" t="str">
        <f>tbl_OriginalData[[#This Row],[Engagement_with_Ads]]</f>
        <v>High</v>
      </c>
      <c r="BB451" t="str">
        <f>tbl_OriginalData[[#This Row],[Device_Used_for_Shopping]]</f>
        <v>Smartphone</v>
      </c>
      <c r="BC451" t="str">
        <f>tbl_OriginalData[[#This Row],[Payment_Method]]</f>
        <v>PayPal</v>
      </c>
      <c r="BD451" s="1">
        <f>tbl_OriginalData[[#This Row],[Time_of_Purchase]]</f>
        <v>45393</v>
      </c>
      <c r="BE451" t="str">
        <f>IF(tbl_OriginalData[[#This Row],[Discount_Used]]=TRUE,"Yes","No")</f>
        <v>No</v>
      </c>
      <c r="BF451" t="str">
        <f>IF(tbl_OriginalData[[#This Row],[Customer_Loyalty_Program_Member]]=TRUE,"Yes","No")</f>
        <v>Yes</v>
      </c>
      <c r="BG451" t="str">
        <f>tbl_OriginalData[[#This Row],[Purchase_Intent]]</f>
        <v>Need-based</v>
      </c>
      <c r="BH451" t="str">
        <f>tbl_OriginalData[[#This Row],[Shipping_Preference]]</f>
        <v>No Preference</v>
      </c>
      <c r="BI451">
        <f>tbl_OriginalData[[#This Row],[Time_to_Decision]]</f>
        <v>3</v>
      </c>
      <c r="BJ451" t="s">
        <v>62</v>
      </c>
      <c r="BK451" t="s">
        <v>63</v>
      </c>
      <c r="BL451" t="s">
        <v>2525</v>
      </c>
    </row>
    <row r="452" spans="1:64">
      <c r="A452" t="s">
        <v>1112</v>
      </c>
      <c r="B452">
        <v>41</v>
      </c>
      <c r="C452" t="s">
        <v>33</v>
      </c>
      <c r="D452" t="s">
        <v>34</v>
      </c>
      <c r="E452" t="s">
        <v>35</v>
      </c>
      <c r="F452" t="s">
        <v>66</v>
      </c>
      <c r="G452" t="s">
        <v>51</v>
      </c>
      <c r="H452" t="s">
        <v>973</v>
      </c>
      <c r="I452" t="s">
        <v>156</v>
      </c>
      <c r="J452">
        <v>279.08</v>
      </c>
      <c r="K452">
        <v>10</v>
      </c>
      <c r="L452" t="s">
        <v>94</v>
      </c>
      <c r="M452">
        <v>4</v>
      </c>
      <c r="N452">
        <v>2</v>
      </c>
      <c r="O452">
        <v>1</v>
      </c>
      <c r="P452" t="s">
        <v>51</v>
      </c>
      <c r="Q452" t="s">
        <v>57</v>
      </c>
      <c r="R452">
        <v>2</v>
      </c>
      <c r="S452">
        <v>7</v>
      </c>
      <c r="T452" t="s">
        <v>56</v>
      </c>
      <c r="U452" t="s">
        <v>70</v>
      </c>
      <c r="V452" t="s">
        <v>43</v>
      </c>
      <c r="W452" s="1">
        <v>45407</v>
      </c>
      <c r="X452" t="b">
        <v>0</v>
      </c>
      <c r="Y452" t="b">
        <v>1</v>
      </c>
      <c r="Z452" t="s">
        <v>59</v>
      </c>
      <c r="AA452" t="s">
        <v>45</v>
      </c>
      <c r="AB452">
        <v>3</v>
      </c>
      <c r="AF452" t="str">
        <f>tbl_OriginalData[[#This Row],[Customer_ID]]</f>
        <v>55-569-9247</v>
      </c>
      <c r="AG452">
        <f>tbl_OriginalData[[#This Row],[Age]]</f>
        <v>41</v>
      </c>
      <c r="AH452" t="str" cm="1">
        <f t="array" ref="AH45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52" t="str">
        <f>tbl_OriginalData[[#This Row],[Gender]]</f>
        <v>Female</v>
      </c>
      <c r="AJ452" t="str">
        <f>tbl_OriginalData[[#This Row],[Income_Level]]</f>
        <v>Middle</v>
      </c>
      <c r="AK452" t="str">
        <f>tbl_OriginalData[[#This Row],[Marital_Status]]</f>
        <v>Married</v>
      </c>
      <c r="AL452" t="str">
        <f>tbl_OriginalData[[#This Row],[Education_Level]]</f>
        <v>Master's</v>
      </c>
      <c r="AM452" t="str">
        <f>tbl_OriginalData[[#This Row],[Occupation]]</f>
        <v>High</v>
      </c>
      <c r="AN452" t="s">
        <v>973</v>
      </c>
      <c r="AO452" t="s">
        <v>103</v>
      </c>
      <c r="AP452" t="str">
        <f>tbl_OriginalData[[#This Row],[Purchase_Category]]</f>
        <v>Toys &amp; Games</v>
      </c>
      <c r="AQ452" s="4">
        <f>tbl_OriginalData[[#This Row],[Purchase_Amount]]</f>
        <v>279.08</v>
      </c>
      <c r="AR452">
        <f>tbl_OriginalData[[#This Row],[Frequency_of_Purchase]]</f>
        <v>10</v>
      </c>
      <c r="AS452" t="str">
        <f>tbl_OriginalData[[#This Row],[Purchase_Channel]]</f>
        <v>Online</v>
      </c>
      <c r="AT452">
        <f>tbl_OriginalData[[#This Row],[Brand_Loyalty]]</f>
        <v>4</v>
      </c>
      <c r="AU452">
        <f>tbl_OriginalData[[#This Row],[Product_Rating]]</f>
        <v>2</v>
      </c>
      <c r="AV452">
        <f>tbl_OriginalData[[#This Row],[Time_Spent_on_Product_Research(hours)]]*60</f>
        <v>60</v>
      </c>
      <c r="AW452" t="str">
        <f>tbl_OriginalData[[#This Row],[Social_Media_Influence]]</f>
        <v>High</v>
      </c>
      <c r="AX452" t="str">
        <f>tbl_OriginalData[[#This Row],[Discount_Sensitivity]]</f>
        <v>Not Sensitive</v>
      </c>
      <c r="AY452" s="3">
        <f>tbl_OriginalData[[#This Row],[Return_Rate]]/tbl_OriginalData[[#This Row],[Frequency_of_Purchase]]</f>
        <v>0.2</v>
      </c>
      <c r="AZ452">
        <f>tbl_OriginalData[[#This Row],[Customer_Satisfaction]]</f>
        <v>7</v>
      </c>
      <c r="BA452" t="str">
        <f>tbl_OriginalData[[#This Row],[Engagement_with_Ads]]</f>
        <v>Medium</v>
      </c>
      <c r="BB452" t="str">
        <f>tbl_OriginalData[[#This Row],[Device_Used_for_Shopping]]</f>
        <v>Smartphone</v>
      </c>
      <c r="BC452" t="str">
        <f>tbl_OriginalData[[#This Row],[Payment_Method]]</f>
        <v>Credit Card</v>
      </c>
      <c r="BD452" s="1">
        <f>tbl_OriginalData[[#This Row],[Time_of_Purchase]]</f>
        <v>45407</v>
      </c>
      <c r="BE452" t="str">
        <f>IF(tbl_OriginalData[[#This Row],[Discount_Used]]=TRUE,"Yes","No")</f>
        <v>No</v>
      </c>
      <c r="BF452" t="str">
        <f>IF(tbl_OriginalData[[#This Row],[Customer_Loyalty_Program_Member]]=TRUE,"Yes","No")</f>
        <v>Yes</v>
      </c>
      <c r="BG452" t="str">
        <f>tbl_OriginalData[[#This Row],[Purchase_Intent]]</f>
        <v>Wants-based</v>
      </c>
      <c r="BH452" t="str">
        <f>tbl_OriginalData[[#This Row],[Shipping_Preference]]</f>
        <v>No Preference</v>
      </c>
      <c r="BI452">
        <f>tbl_OriginalData[[#This Row],[Time_to_Decision]]</f>
        <v>3</v>
      </c>
      <c r="BJ452" t="s">
        <v>62</v>
      </c>
      <c r="BK452" t="s">
        <v>63</v>
      </c>
      <c r="BL452" t="s">
        <v>2523</v>
      </c>
    </row>
    <row r="453" spans="1:64">
      <c r="A453" t="s">
        <v>1113</v>
      </c>
      <c r="B453">
        <v>29</v>
      </c>
      <c r="C453" t="s">
        <v>33</v>
      </c>
      <c r="D453" t="s">
        <v>34</v>
      </c>
      <c r="E453" t="s">
        <v>65</v>
      </c>
      <c r="F453" t="s">
        <v>52</v>
      </c>
      <c r="G453" t="s">
        <v>34</v>
      </c>
      <c r="H453" t="s">
        <v>1114</v>
      </c>
      <c r="I453" t="s">
        <v>242</v>
      </c>
      <c r="J453">
        <v>478.85</v>
      </c>
      <c r="K453">
        <v>10</v>
      </c>
      <c r="L453" t="s">
        <v>55</v>
      </c>
      <c r="M453">
        <v>4</v>
      </c>
      <c r="N453">
        <v>2</v>
      </c>
      <c r="O453">
        <v>2</v>
      </c>
      <c r="P453" t="s">
        <v>40</v>
      </c>
      <c r="Q453" t="s">
        <v>57</v>
      </c>
      <c r="R453">
        <v>2</v>
      </c>
      <c r="S453">
        <v>2</v>
      </c>
      <c r="T453" t="s">
        <v>40</v>
      </c>
      <c r="U453" t="s">
        <v>95</v>
      </c>
      <c r="V453" t="s">
        <v>102</v>
      </c>
      <c r="W453" s="1">
        <v>45410</v>
      </c>
      <c r="X453" t="b">
        <v>0</v>
      </c>
      <c r="Y453" t="b">
        <v>0</v>
      </c>
      <c r="Z453" t="s">
        <v>89</v>
      </c>
      <c r="AA453" t="s">
        <v>45</v>
      </c>
      <c r="AB453">
        <v>4</v>
      </c>
      <c r="AF453" t="str">
        <f>tbl_OriginalData[[#This Row],[Customer_ID]]</f>
        <v>02-911-0447</v>
      </c>
      <c r="AG453">
        <f>tbl_OriginalData[[#This Row],[Age]]</f>
        <v>29</v>
      </c>
      <c r="AH453" t="str" cm="1">
        <f t="array" ref="AH45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53" t="str">
        <f>tbl_OriginalData[[#This Row],[Gender]]</f>
        <v>Female</v>
      </c>
      <c r="AJ453" t="str">
        <f>tbl_OriginalData[[#This Row],[Income_Level]]</f>
        <v>Middle</v>
      </c>
      <c r="AK453" t="str">
        <f>tbl_OriginalData[[#This Row],[Marital_Status]]</f>
        <v>Single</v>
      </c>
      <c r="AL453" t="str">
        <f>tbl_OriginalData[[#This Row],[Education_Level]]</f>
        <v>High School</v>
      </c>
      <c r="AM453" t="str">
        <f>tbl_OriginalData[[#This Row],[Occupation]]</f>
        <v>Middle</v>
      </c>
      <c r="AN453" t="s">
        <v>1114</v>
      </c>
      <c r="AO453" t="s">
        <v>171</v>
      </c>
      <c r="AP453" t="str">
        <f>tbl_OriginalData[[#This Row],[Purchase_Category]]</f>
        <v>Travel &amp; Leisure (Flights</v>
      </c>
      <c r="AQ453" s="4">
        <f>tbl_OriginalData[[#This Row],[Purchase_Amount]]</f>
        <v>478.85</v>
      </c>
      <c r="AR453">
        <f>tbl_OriginalData[[#This Row],[Frequency_of_Purchase]]</f>
        <v>10</v>
      </c>
      <c r="AS453" t="str">
        <f>tbl_OriginalData[[#This Row],[Purchase_Channel]]</f>
        <v>In-Store</v>
      </c>
      <c r="AT453">
        <f>tbl_OriginalData[[#This Row],[Brand_Loyalty]]</f>
        <v>4</v>
      </c>
      <c r="AU453">
        <f>tbl_OriginalData[[#This Row],[Product_Rating]]</f>
        <v>2</v>
      </c>
      <c r="AV453">
        <f>tbl_OriginalData[[#This Row],[Time_Spent_on_Product_Research(hours)]]*60</f>
        <v>120</v>
      </c>
      <c r="AW453" t="str">
        <f>tbl_OriginalData[[#This Row],[Social_Media_Influence]]</f>
        <v>None</v>
      </c>
      <c r="AX453" t="str">
        <f>tbl_OriginalData[[#This Row],[Discount_Sensitivity]]</f>
        <v>Not Sensitive</v>
      </c>
      <c r="AY453" s="3">
        <f>tbl_OriginalData[[#This Row],[Return_Rate]]/tbl_OriginalData[[#This Row],[Frequency_of_Purchase]]</f>
        <v>0.2</v>
      </c>
      <c r="AZ453">
        <f>tbl_OriginalData[[#This Row],[Customer_Satisfaction]]</f>
        <v>2</v>
      </c>
      <c r="BA453" t="str">
        <f>tbl_OriginalData[[#This Row],[Engagement_with_Ads]]</f>
        <v>None</v>
      </c>
      <c r="BB453" t="str">
        <f>tbl_OriginalData[[#This Row],[Device_Used_for_Shopping]]</f>
        <v>Desktop</v>
      </c>
      <c r="BC453" t="str">
        <f>tbl_OriginalData[[#This Row],[Payment_Method]]</f>
        <v>Cash</v>
      </c>
      <c r="BD453" s="1">
        <f>tbl_OriginalData[[#This Row],[Time_of_Purchase]]</f>
        <v>45410</v>
      </c>
      <c r="BE453" t="str">
        <f>IF(tbl_OriginalData[[#This Row],[Discount_Used]]=TRUE,"Yes","No")</f>
        <v>No</v>
      </c>
      <c r="BF453" t="str">
        <f>IF(tbl_OriginalData[[#This Row],[Customer_Loyalty_Program_Member]]=TRUE,"Yes","No")</f>
        <v>No</v>
      </c>
      <c r="BG453" t="str">
        <f>tbl_OriginalData[[#This Row],[Purchase_Intent]]</f>
        <v>Planned</v>
      </c>
      <c r="BH453" t="str">
        <f>tbl_OriginalData[[#This Row],[Shipping_Preference]]</f>
        <v>No Preference</v>
      </c>
      <c r="BI453">
        <f>tbl_OriginalData[[#This Row],[Time_to_Decision]]</f>
        <v>4</v>
      </c>
      <c r="BJ453" t="s">
        <v>62</v>
      </c>
      <c r="BK453" t="s">
        <v>63</v>
      </c>
      <c r="BL453" t="s">
        <v>2523</v>
      </c>
    </row>
    <row r="454" spans="1:64">
      <c r="A454" t="s">
        <v>1115</v>
      </c>
      <c r="B454">
        <v>25</v>
      </c>
      <c r="C454" t="s">
        <v>50</v>
      </c>
      <c r="D454" t="s">
        <v>51</v>
      </c>
      <c r="E454" t="s">
        <v>82</v>
      </c>
      <c r="F454" t="s">
        <v>66</v>
      </c>
      <c r="G454" t="s">
        <v>51</v>
      </c>
      <c r="H454" t="s">
        <v>1116</v>
      </c>
      <c r="I454" t="s">
        <v>54</v>
      </c>
      <c r="J454">
        <v>86.39</v>
      </c>
      <c r="K454">
        <v>5</v>
      </c>
      <c r="L454" t="s">
        <v>39</v>
      </c>
      <c r="M454">
        <v>4</v>
      </c>
      <c r="N454">
        <v>5</v>
      </c>
      <c r="O454">
        <v>1</v>
      </c>
      <c r="P454" t="s">
        <v>51</v>
      </c>
      <c r="Q454" t="s">
        <v>41</v>
      </c>
      <c r="R454">
        <v>1</v>
      </c>
      <c r="S454">
        <v>1</v>
      </c>
      <c r="T454" t="s">
        <v>56</v>
      </c>
      <c r="U454" t="s">
        <v>95</v>
      </c>
      <c r="V454" t="s">
        <v>71</v>
      </c>
      <c r="W454" s="1">
        <v>45544</v>
      </c>
      <c r="X454" t="b">
        <v>0</v>
      </c>
      <c r="Y454" t="b">
        <v>0</v>
      </c>
      <c r="Z454" t="s">
        <v>44</v>
      </c>
      <c r="AA454" t="s">
        <v>60</v>
      </c>
      <c r="AB454">
        <v>7</v>
      </c>
      <c r="AF454" t="str">
        <f>tbl_OriginalData[[#This Row],[Customer_ID]]</f>
        <v>77-626-7240</v>
      </c>
      <c r="AG454">
        <f>tbl_OriginalData[[#This Row],[Age]]</f>
        <v>25</v>
      </c>
      <c r="AH454" t="str" cm="1">
        <f t="array" ref="AH45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54" t="str">
        <f>tbl_OriginalData[[#This Row],[Gender]]</f>
        <v>Male</v>
      </c>
      <c r="AJ454" t="str">
        <f>tbl_OriginalData[[#This Row],[Income_Level]]</f>
        <v>High</v>
      </c>
      <c r="AK454" t="str">
        <f>tbl_OriginalData[[#This Row],[Marital_Status]]</f>
        <v>Widowed</v>
      </c>
      <c r="AL454" t="str">
        <f>tbl_OriginalData[[#This Row],[Education_Level]]</f>
        <v>Master's</v>
      </c>
      <c r="AM454" t="str">
        <f>tbl_OriginalData[[#This Row],[Occupation]]</f>
        <v>High</v>
      </c>
      <c r="AN454" t="s">
        <v>1116</v>
      </c>
      <c r="AO454" t="s">
        <v>61</v>
      </c>
      <c r="AP454" t="str">
        <f>tbl_OriginalData[[#This Row],[Purchase_Category]]</f>
        <v>Food &amp; Beverages</v>
      </c>
      <c r="AQ454" s="4">
        <f>tbl_OriginalData[[#This Row],[Purchase_Amount]]</f>
        <v>86.39</v>
      </c>
      <c r="AR454">
        <f>tbl_OriginalData[[#This Row],[Frequency_of_Purchase]]</f>
        <v>5</v>
      </c>
      <c r="AS454" t="str">
        <f>tbl_OriginalData[[#This Row],[Purchase_Channel]]</f>
        <v>Mixed</v>
      </c>
      <c r="AT454">
        <f>tbl_OriginalData[[#This Row],[Brand_Loyalty]]</f>
        <v>4</v>
      </c>
      <c r="AU454">
        <f>tbl_OriginalData[[#This Row],[Product_Rating]]</f>
        <v>5</v>
      </c>
      <c r="AV454">
        <f>tbl_OriginalData[[#This Row],[Time_Spent_on_Product_Research(hours)]]*60</f>
        <v>60</v>
      </c>
      <c r="AW454" t="str">
        <f>tbl_OriginalData[[#This Row],[Social_Media_Influence]]</f>
        <v>High</v>
      </c>
      <c r="AX454" t="str">
        <f>tbl_OriginalData[[#This Row],[Discount_Sensitivity]]</f>
        <v>Somewhat Sensitive</v>
      </c>
      <c r="AY454" s="3">
        <f>tbl_OriginalData[[#This Row],[Return_Rate]]/tbl_OriginalData[[#This Row],[Frequency_of_Purchase]]</f>
        <v>0.2</v>
      </c>
      <c r="AZ454">
        <f>tbl_OriginalData[[#This Row],[Customer_Satisfaction]]</f>
        <v>1</v>
      </c>
      <c r="BA454" t="str">
        <f>tbl_OriginalData[[#This Row],[Engagement_with_Ads]]</f>
        <v>Medium</v>
      </c>
      <c r="BB454" t="str">
        <f>tbl_OriginalData[[#This Row],[Device_Used_for_Shopping]]</f>
        <v>Desktop</v>
      </c>
      <c r="BC454" t="str">
        <f>tbl_OriginalData[[#This Row],[Payment_Method]]</f>
        <v>Debit Card</v>
      </c>
      <c r="BD454" s="1">
        <f>tbl_OriginalData[[#This Row],[Time_of_Purchase]]</f>
        <v>45544</v>
      </c>
      <c r="BE454" t="str">
        <f>IF(tbl_OriginalData[[#This Row],[Discount_Used]]=TRUE,"Yes","No")</f>
        <v>No</v>
      </c>
      <c r="BF454" t="str">
        <f>IF(tbl_OriginalData[[#This Row],[Customer_Loyalty_Program_Member]]=TRUE,"Yes","No")</f>
        <v>No</v>
      </c>
      <c r="BG454" t="str">
        <f>tbl_OriginalData[[#This Row],[Purchase_Intent]]</f>
        <v>Need-based</v>
      </c>
      <c r="BH454" t="str">
        <f>tbl_OriginalData[[#This Row],[Shipping_Preference]]</f>
        <v>Standard</v>
      </c>
      <c r="BI454">
        <f>tbl_OriginalData[[#This Row],[Time_to_Decision]]</f>
        <v>7</v>
      </c>
      <c r="BJ454" t="s">
        <v>172</v>
      </c>
      <c r="BK454" t="s">
        <v>115</v>
      </c>
      <c r="BL454" t="s">
        <v>2524</v>
      </c>
    </row>
    <row r="455" spans="1:64">
      <c r="A455" t="s">
        <v>1117</v>
      </c>
      <c r="B455">
        <v>45</v>
      </c>
      <c r="C455" t="s">
        <v>50</v>
      </c>
      <c r="D455" t="s">
        <v>51</v>
      </c>
      <c r="E455" t="s">
        <v>82</v>
      </c>
      <c r="F455" t="s">
        <v>36</v>
      </c>
      <c r="G455" t="s">
        <v>34</v>
      </c>
      <c r="H455" t="s">
        <v>1118</v>
      </c>
      <c r="I455" t="s">
        <v>153</v>
      </c>
      <c r="J455">
        <v>192.35</v>
      </c>
      <c r="K455">
        <v>11</v>
      </c>
      <c r="L455" t="s">
        <v>39</v>
      </c>
      <c r="M455">
        <v>3</v>
      </c>
      <c r="N455">
        <v>5</v>
      </c>
      <c r="O455">
        <v>2</v>
      </c>
      <c r="P455" t="s">
        <v>51</v>
      </c>
      <c r="Q455" t="s">
        <v>57</v>
      </c>
      <c r="R455">
        <v>2</v>
      </c>
      <c r="S455">
        <v>1</v>
      </c>
      <c r="T455" t="s">
        <v>51</v>
      </c>
      <c r="U455" t="s">
        <v>70</v>
      </c>
      <c r="V455" t="s">
        <v>43</v>
      </c>
      <c r="W455" s="1">
        <v>45420</v>
      </c>
      <c r="X455" t="b">
        <v>1</v>
      </c>
      <c r="Y455" t="b">
        <v>0</v>
      </c>
      <c r="Z455" t="s">
        <v>72</v>
      </c>
      <c r="AA455" t="s">
        <v>77</v>
      </c>
      <c r="AB455">
        <v>11</v>
      </c>
      <c r="AF455" t="str">
        <f>tbl_OriginalData[[#This Row],[Customer_ID]]</f>
        <v>75-915-9803</v>
      </c>
      <c r="AG455">
        <f>tbl_OriginalData[[#This Row],[Age]]</f>
        <v>45</v>
      </c>
      <c r="AH455" t="str" cm="1">
        <f t="array" ref="AH45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55" t="str">
        <f>tbl_OriginalData[[#This Row],[Gender]]</f>
        <v>Male</v>
      </c>
      <c r="AJ455" t="str">
        <f>tbl_OriginalData[[#This Row],[Income_Level]]</f>
        <v>High</v>
      </c>
      <c r="AK455" t="str">
        <f>tbl_OriginalData[[#This Row],[Marital_Status]]</f>
        <v>Widowed</v>
      </c>
      <c r="AL455" t="str">
        <f>tbl_OriginalData[[#This Row],[Education_Level]]</f>
        <v>Bachelor's</v>
      </c>
      <c r="AM455" t="str">
        <f>tbl_OriginalData[[#This Row],[Occupation]]</f>
        <v>Middle</v>
      </c>
      <c r="AN455" t="s">
        <v>1118</v>
      </c>
      <c r="AO455" t="s">
        <v>61</v>
      </c>
      <c r="AP455" t="str">
        <f>tbl_OriginalData[[#This Row],[Purchase_Category]]</f>
        <v>Baby Products</v>
      </c>
      <c r="AQ455" s="4">
        <f>tbl_OriginalData[[#This Row],[Purchase_Amount]]</f>
        <v>192.35</v>
      </c>
      <c r="AR455">
        <f>tbl_OriginalData[[#This Row],[Frequency_of_Purchase]]</f>
        <v>11</v>
      </c>
      <c r="AS455" t="str">
        <f>tbl_OriginalData[[#This Row],[Purchase_Channel]]</f>
        <v>Mixed</v>
      </c>
      <c r="AT455">
        <f>tbl_OriginalData[[#This Row],[Brand_Loyalty]]</f>
        <v>3</v>
      </c>
      <c r="AU455">
        <f>tbl_OriginalData[[#This Row],[Product_Rating]]</f>
        <v>5</v>
      </c>
      <c r="AV455">
        <f>tbl_OriginalData[[#This Row],[Time_Spent_on_Product_Research(hours)]]*60</f>
        <v>120</v>
      </c>
      <c r="AW455" t="str">
        <f>tbl_OriginalData[[#This Row],[Social_Media_Influence]]</f>
        <v>High</v>
      </c>
      <c r="AX455" t="str">
        <f>tbl_OriginalData[[#This Row],[Discount_Sensitivity]]</f>
        <v>Not Sensitive</v>
      </c>
      <c r="AY455" s="3">
        <f>tbl_OriginalData[[#This Row],[Return_Rate]]/tbl_OriginalData[[#This Row],[Frequency_of_Purchase]]</f>
        <v>0.18181818181818182</v>
      </c>
      <c r="AZ455">
        <f>tbl_OriginalData[[#This Row],[Customer_Satisfaction]]</f>
        <v>1</v>
      </c>
      <c r="BA455" t="str">
        <f>tbl_OriginalData[[#This Row],[Engagement_with_Ads]]</f>
        <v>High</v>
      </c>
      <c r="BB455" t="str">
        <f>tbl_OriginalData[[#This Row],[Device_Used_for_Shopping]]</f>
        <v>Smartphone</v>
      </c>
      <c r="BC455" t="str">
        <f>tbl_OriginalData[[#This Row],[Payment_Method]]</f>
        <v>Credit Card</v>
      </c>
      <c r="BD455" s="1">
        <f>tbl_OriginalData[[#This Row],[Time_of_Purchase]]</f>
        <v>45420</v>
      </c>
      <c r="BE455" t="str">
        <f>IF(tbl_OriginalData[[#This Row],[Discount_Used]]=TRUE,"Yes","No")</f>
        <v>Yes</v>
      </c>
      <c r="BF455" t="str">
        <f>IF(tbl_OriginalData[[#This Row],[Customer_Loyalty_Program_Member]]=TRUE,"Yes","No")</f>
        <v>No</v>
      </c>
      <c r="BG455" t="str">
        <f>tbl_OriginalData[[#This Row],[Purchase_Intent]]</f>
        <v>Impulsive</v>
      </c>
      <c r="BH455" t="str">
        <f>tbl_OriginalData[[#This Row],[Shipping_Preference]]</f>
        <v>Express</v>
      </c>
      <c r="BI455">
        <f>tbl_OriginalData[[#This Row],[Time_to_Decision]]</f>
        <v>11</v>
      </c>
      <c r="BJ455" t="s">
        <v>167</v>
      </c>
      <c r="BK455" t="s">
        <v>63</v>
      </c>
      <c r="BL455" t="s">
        <v>2524</v>
      </c>
    </row>
    <row r="456" spans="1:64">
      <c r="A456" t="s">
        <v>1119</v>
      </c>
      <c r="B456">
        <v>36</v>
      </c>
      <c r="C456" t="s">
        <v>33</v>
      </c>
      <c r="D456" t="s">
        <v>34</v>
      </c>
      <c r="E456" t="s">
        <v>92</v>
      </c>
      <c r="F456" t="s">
        <v>36</v>
      </c>
      <c r="G456" t="s">
        <v>51</v>
      </c>
      <c r="H456" t="s">
        <v>1120</v>
      </c>
      <c r="I456" t="s">
        <v>235</v>
      </c>
      <c r="J456">
        <v>235.32</v>
      </c>
      <c r="K456">
        <v>7</v>
      </c>
      <c r="L456" t="s">
        <v>94</v>
      </c>
      <c r="M456">
        <v>2</v>
      </c>
      <c r="N456">
        <v>1</v>
      </c>
      <c r="O456">
        <v>1</v>
      </c>
      <c r="P456" t="s">
        <v>56</v>
      </c>
      <c r="Q456" t="s">
        <v>101</v>
      </c>
      <c r="R456">
        <v>1</v>
      </c>
      <c r="S456">
        <v>10</v>
      </c>
      <c r="T456" t="s">
        <v>51</v>
      </c>
      <c r="U456" t="s">
        <v>95</v>
      </c>
      <c r="V456" t="s">
        <v>58</v>
      </c>
      <c r="W456" s="1">
        <v>45452</v>
      </c>
      <c r="X456" t="b">
        <v>0</v>
      </c>
      <c r="Y456" t="b">
        <v>1</v>
      </c>
      <c r="Z456" t="s">
        <v>72</v>
      </c>
      <c r="AA456" t="s">
        <v>77</v>
      </c>
      <c r="AB456">
        <v>11</v>
      </c>
      <c r="AF456" t="str">
        <f>tbl_OriginalData[[#This Row],[Customer_ID]]</f>
        <v>78-905-2660</v>
      </c>
      <c r="AG456">
        <f>tbl_OriginalData[[#This Row],[Age]]</f>
        <v>36</v>
      </c>
      <c r="AH456" t="str" cm="1">
        <f t="array" ref="AH45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56" t="str">
        <f>tbl_OriginalData[[#This Row],[Gender]]</f>
        <v>Female</v>
      </c>
      <c r="AJ456" t="str">
        <f>tbl_OriginalData[[#This Row],[Income_Level]]</f>
        <v>Middle</v>
      </c>
      <c r="AK456" t="str">
        <f>tbl_OriginalData[[#This Row],[Marital_Status]]</f>
        <v>Divorced</v>
      </c>
      <c r="AL456" t="str">
        <f>tbl_OriginalData[[#This Row],[Education_Level]]</f>
        <v>Bachelor's</v>
      </c>
      <c r="AM456" t="str">
        <f>tbl_OriginalData[[#This Row],[Occupation]]</f>
        <v>High</v>
      </c>
      <c r="AN456" t="s">
        <v>1120</v>
      </c>
      <c r="AO456" t="s">
        <v>502</v>
      </c>
      <c r="AP456" t="str">
        <f>tbl_OriginalData[[#This Row],[Purchase_Category]]</f>
        <v>Beauty &amp; Personal Care</v>
      </c>
      <c r="AQ456" s="4">
        <f>tbl_OriginalData[[#This Row],[Purchase_Amount]]</f>
        <v>235.32</v>
      </c>
      <c r="AR456">
        <f>tbl_OriginalData[[#This Row],[Frequency_of_Purchase]]</f>
        <v>7</v>
      </c>
      <c r="AS456" t="str">
        <f>tbl_OriginalData[[#This Row],[Purchase_Channel]]</f>
        <v>Online</v>
      </c>
      <c r="AT456">
        <f>tbl_OriginalData[[#This Row],[Brand_Loyalty]]</f>
        <v>2</v>
      </c>
      <c r="AU456">
        <f>tbl_OriginalData[[#This Row],[Product_Rating]]</f>
        <v>1</v>
      </c>
      <c r="AV456">
        <f>tbl_OriginalData[[#This Row],[Time_Spent_on_Product_Research(hours)]]*60</f>
        <v>60</v>
      </c>
      <c r="AW456" t="str">
        <f>tbl_OriginalData[[#This Row],[Social_Media_Influence]]</f>
        <v>Medium</v>
      </c>
      <c r="AX456" t="str">
        <f>tbl_OriginalData[[#This Row],[Discount_Sensitivity]]</f>
        <v>Very Sensitive</v>
      </c>
      <c r="AY456" s="3">
        <f>tbl_OriginalData[[#This Row],[Return_Rate]]/tbl_OriginalData[[#This Row],[Frequency_of_Purchase]]</f>
        <v>0.14285714285714285</v>
      </c>
      <c r="AZ456">
        <f>tbl_OriginalData[[#This Row],[Customer_Satisfaction]]</f>
        <v>10</v>
      </c>
      <c r="BA456" t="str">
        <f>tbl_OriginalData[[#This Row],[Engagement_with_Ads]]</f>
        <v>High</v>
      </c>
      <c r="BB456" t="str">
        <f>tbl_OriginalData[[#This Row],[Device_Used_for_Shopping]]</f>
        <v>Desktop</v>
      </c>
      <c r="BC456" t="str">
        <f>tbl_OriginalData[[#This Row],[Payment_Method]]</f>
        <v>PayPal</v>
      </c>
      <c r="BD456" s="1">
        <f>tbl_OriginalData[[#This Row],[Time_of_Purchase]]</f>
        <v>45452</v>
      </c>
      <c r="BE456" t="str">
        <f>IF(tbl_OriginalData[[#This Row],[Discount_Used]]=TRUE,"Yes","No")</f>
        <v>No</v>
      </c>
      <c r="BF456" t="str">
        <f>IF(tbl_OriginalData[[#This Row],[Customer_Loyalty_Program_Member]]=TRUE,"Yes","No")</f>
        <v>Yes</v>
      </c>
      <c r="BG456" t="str">
        <f>tbl_OriginalData[[#This Row],[Purchase_Intent]]</f>
        <v>Impulsive</v>
      </c>
      <c r="BH456" t="str">
        <f>tbl_OriginalData[[#This Row],[Shipping_Preference]]</f>
        <v>Express</v>
      </c>
      <c r="BI456">
        <f>tbl_OriginalData[[#This Row],[Time_to_Decision]]</f>
        <v>11</v>
      </c>
      <c r="BJ456" t="s">
        <v>104</v>
      </c>
      <c r="BK456" t="s">
        <v>63</v>
      </c>
      <c r="BL456" t="s">
        <v>2524</v>
      </c>
    </row>
    <row r="457" spans="1:64">
      <c r="A457" t="s">
        <v>1121</v>
      </c>
      <c r="B457">
        <v>21</v>
      </c>
      <c r="C457" t="s">
        <v>33</v>
      </c>
      <c r="D457" t="s">
        <v>51</v>
      </c>
      <c r="E457" t="s">
        <v>82</v>
      </c>
      <c r="F457" t="s">
        <v>52</v>
      </c>
      <c r="G457" t="s">
        <v>51</v>
      </c>
      <c r="H457" t="s">
        <v>1122</v>
      </c>
      <c r="I457" t="s">
        <v>147</v>
      </c>
      <c r="J457">
        <v>212.63</v>
      </c>
      <c r="K457">
        <v>8</v>
      </c>
      <c r="L457" t="s">
        <v>94</v>
      </c>
      <c r="M457">
        <v>4</v>
      </c>
      <c r="N457">
        <v>2</v>
      </c>
      <c r="O457">
        <v>1</v>
      </c>
      <c r="P457" t="s">
        <v>69</v>
      </c>
      <c r="Q457" t="s">
        <v>101</v>
      </c>
      <c r="R457">
        <v>0</v>
      </c>
      <c r="S457">
        <v>4</v>
      </c>
      <c r="T457" t="s">
        <v>51</v>
      </c>
      <c r="U457" t="s">
        <v>95</v>
      </c>
      <c r="V457" t="s">
        <v>71</v>
      </c>
      <c r="W457" s="1">
        <v>45531</v>
      </c>
      <c r="X457" t="b">
        <v>0</v>
      </c>
      <c r="Y457" t="b">
        <v>1</v>
      </c>
      <c r="Z457" t="s">
        <v>44</v>
      </c>
      <c r="AA457" t="s">
        <v>45</v>
      </c>
      <c r="AB457">
        <v>6</v>
      </c>
      <c r="AF457" t="str">
        <f>tbl_OriginalData[[#This Row],[Customer_ID]]</f>
        <v>02-677-6735</v>
      </c>
      <c r="AG457">
        <f>tbl_OriginalData[[#This Row],[Age]]</f>
        <v>21</v>
      </c>
      <c r="AH457" t="str" cm="1">
        <f t="array" ref="AH45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57" t="str">
        <f>tbl_OriginalData[[#This Row],[Gender]]</f>
        <v>Female</v>
      </c>
      <c r="AJ457" t="str">
        <f>tbl_OriginalData[[#This Row],[Income_Level]]</f>
        <v>High</v>
      </c>
      <c r="AK457" t="str">
        <f>tbl_OriginalData[[#This Row],[Marital_Status]]</f>
        <v>Widowed</v>
      </c>
      <c r="AL457" t="str">
        <f>tbl_OriginalData[[#This Row],[Education_Level]]</f>
        <v>High School</v>
      </c>
      <c r="AM457" t="str">
        <f>tbl_OriginalData[[#This Row],[Occupation]]</f>
        <v>High</v>
      </c>
      <c r="AN457" t="s">
        <v>1122</v>
      </c>
      <c r="AO457" t="s">
        <v>161</v>
      </c>
      <c r="AP457" t="str">
        <f>tbl_OriginalData[[#This Row],[Purchase_Category]]</f>
        <v>Electronics</v>
      </c>
      <c r="AQ457" s="4">
        <f>tbl_OriginalData[[#This Row],[Purchase_Amount]]</f>
        <v>212.63</v>
      </c>
      <c r="AR457">
        <f>tbl_OriginalData[[#This Row],[Frequency_of_Purchase]]</f>
        <v>8</v>
      </c>
      <c r="AS457" t="str">
        <f>tbl_OriginalData[[#This Row],[Purchase_Channel]]</f>
        <v>Online</v>
      </c>
      <c r="AT457">
        <f>tbl_OriginalData[[#This Row],[Brand_Loyalty]]</f>
        <v>4</v>
      </c>
      <c r="AU457">
        <f>tbl_OriginalData[[#This Row],[Product_Rating]]</f>
        <v>2</v>
      </c>
      <c r="AV457">
        <f>tbl_OriginalData[[#This Row],[Time_Spent_on_Product_Research(hours)]]*60</f>
        <v>60</v>
      </c>
      <c r="AW457" t="str">
        <f>tbl_OriginalData[[#This Row],[Social_Media_Influence]]</f>
        <v>Low</v>
      </c>
      <c r="AX457" t="str">
        <f>tbl_OriginalData[[#This Row],[Discount_Sensitivity]]</f>
        <v>Very Sensitive</v>
      </c>
      <c r="AY457" s="3">
        <f>tbl_OriginalData[[#This Row],[Return_Rate]]/tbl_OriginalData[[#This Row],[Frequency_of_Purchase]]</f>
        <v>0</v>
      </c>
      <c r="AZ457">
        <f>tbl_OriginalData[[#This Row],[Customer_Satisfaction]]</f>
        <v>4</v>
      </c>
      <c r="BA457" t="str">
        <f>tbl_OriginalData[[#This Row],[Engagement_with_Ads]]</f>
        <v>High</v>
      </c>
      <c r="BB457" t="str">
        <f>tbl_OriginalData[[#This Row],[Device_Used_for_Shopping]]</f>
        <v>Desktop</v>
      </c>
      <c r="BC457" t="str">
        <f>tbl_OriginalData[[#This Row],[Payment_Method]]</f>
        <v>Debit Card</v>
      </c>
      <c r="BD457" s="1">
        <f>tbl_OriginalData[[#This Row],[Time_of_Purchase]]</f>
        <v>45531</v>
      </c>
      <c r="BE457" t="str">
        <f>IF(tbl_OriginalData[[#This Row],[Discount_Used]]=TRUE,"Yes","No")</f>
        <v>No</v>
      </c>
      <c r="BF457" t="str">
        <f>IF(tbl_OriginalData[[#This Row],[Customer_Loyalty_Program_Member]]=TRUE,"Yes","No")</f>
        <v>Yes</v>
      </c>
      <c r="BG457" t="str">
        <f>tbl_OriginalData[[#This Row],[Purchase_Intent]]</f>
        <v>Need-based</v>
      </c>
      <c r="BH457" t="str">
        <f>tbl_OriginalData[[#This Row],[Shipping_Preference]]</f>
        <v>No Preference</v>
      </c>
      <c r="BI457">
        <f>tbl_OriginalData[[#This Row],[Time_to_Decision]]</f>
        <v>6</v>
      </c>
      <c r="BJ457" t="s">
        <v>124</v>
      </c>
      <c r="BK457" t="s">
        <v>115</v>
      </c>
      <c r="BL457" t="s">
        <v>2527</v>
      </c>
    </row>
    <row r="458" spans="1:64">
      <c r="A458" t="s">
        <v>1123</v>
      </c>
      <c r="B458">
        <v>47</v>
      </c>
      <c r="C458" t="s">
        <v>33</v>
      </c>
      <c r="D458" t="s">
        <v>34</v>
      </c>
      <c r="E458" t="s">
        <v>82</v>
      </c>
      <c r="F458" t="s">
        <v>66</v>
      </c>
      <c r="G458" t="s">
        <v>51</v>
      </c>
      <c r="H458" t="s">
        <v>1124</v>
      </c>
      <c r="I458" t="s">
        <v>54</v>
      </c>
      <c r="J458">
        <v>246.63</v>
      </c>
      <c r="K458">
        <v>8</v>
      </c>
      <c r="L458" t="s">
        <v>55</v>
      </c>
      <c r="M458">
        <v>2</v>
      </c>
      <c r="N458">
        <v>3</v>
      </c>
      <c r="O458">
        <v>1</v>
      </c>
      <c r="P458" t="s">
        <v>40</v>
      </c>
      <c r="Q458" t="s">
        <v>41</v>
      </c>
      <c r="R458">
        <v>2</v>
      </c>
      <c r="S458">
        <v>3</v>
      </c>
      <c r="T458" t="s">
        <v>40</v>
      </c>
      <c r="U458" t="s">
        <v>42</v>
      </c>
      <c r="V458" t="s">
        <v>43</v>
      </c>
      <c r="W458" s="1">
        <v>45383</v>
      </c>
      <c r="X458" t="b">
        <v>1</v>
      </c>
      <c r="Y458" t="b">
        <v>0</v>
      </c>
      <c r="Z458" t="s">
        <v>72</v>
      </c>
      <c r="AA458" t="s">
        <v>77</v>
      </c>
      <c r="AB458">
        <v>10</v>
      </c>
      <c r="AF458" t="str">
        <f>tbl_OriginalData[[#This Row],[Customer_ID]]</f>
        <v>20-460-9796</v>
      </c>
      <c r="AG458">
        <f>tbl_OriginalData[[#This Row],[Age]]</f>
        <v>47</v>
      </c>
      <c r="AH458" t="str" cm="1">
        <f t="array" ref="AH45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58" t="str">
        <f>tbl_OriginalData[[#This Row],[Gender]]</f>
        <v>Female</v>
      </c>
      <c r="AJ458" t="str">
        <f>tbl_OriginalData[[#This Row],[Income_Level]]</f>
        <v>Middle</v>
      </c>
      <c r="AK458" t="str">
        <f>tbl_OriginalData[[#This Row],[Marital_Status]]</f>
        <v>Widowed</v>
      </c>
      <c r="AL458" t="str">
        <f>tbl_OriginalData[[#This Row],[Education_Level]]</f>
        <v>Master's</v>
      </c>
      <c r="AM458" t="str">
        <f>tbl_OriginalData[[#This Row],[Occupation]]</f>
        <v>High</v>
      </c>
      <c r="AN458" t="s">
        <v>1124</v>
      </c>
      <c r="AO458" t="s">
        <v>61</v>
      </c>
      <c r="AP458" t="str">
        <f>tbl_OriginalData[[#This Row],[Purchase_Category]]</f>
        <v>Food &amp; Beverages</v>
      </c>
      <c r="AQ458" s="4">
        <f>tbl_OriginalData[[#This Row],[Purchase_Amount]]</f>
        <v>246.63</v>
      </c>
      <c r="AR458">
        <f>tbl_OriginalData[[#This Row],[Frequency_of_Purchase]]</f>
        <v>8</v>
      </c>
      <c r="AS458" t="str">
        <f>tbl_OriginalData[[#This Row],[Purchase_Channel]]</f>
        <v>In-Store</v>
      </c>
      <c r="AT458">
        <f>tbl_OriginalData[[#This Row],[Brand_Loyalty]]</f>
        <v>2</v>
      </c>
      <c r="AU458">
        <f>tbl_OriginalData[[#This Row],[Product_Rating]]</f>
        <v>3</v>
      </c>
      <c r="AV458">
        <f>tbl_OriginalData[[#This Row],[Time_Spent_on_Product_Research(hours)]]*60</f>
        <v>60</v>
      </c>
      <c r="AW458" t="str">
        <f>tbl_OriginalData[[#This Row],[Social_Media_Influence]]</f>
        <v>None</v>
      </c>
      <c r="AX458" t="str">
        <f>tbl_OriginalData[[#This Row],[Discount_Sensitivity]]</f>
        <v>Somewhat Sensitive</v>
      </c>
      <c r="AY458" s="3">
        <f>tbl_OriginalData[[#This Row],[Return_Rate]]/tbl_OriginalData[[#This Row],[Frequency_of_Purchase]]</f>
        <v>0.25</v>
      </c>
      <c r="AZ458">
        <f>tbl_OriginalData[[#This Row],[Customer_Satisfaction]]</f>
        <v>3</v>
      </c>
      <c r="BA458" t="str">
        <f>tbl_OriginalData[[#This Row],[Engagement_with_Ads]]</f>
        <v>None</v>
      </c>
      <c r="BB458" t="str">
        <f>tbl_OriginalData[[#This Row],[Device_Used_for_Shopping]]</f>
        <v>Tablet</v>
      </c>
      <c r="BC458" t="str">
        <f>tbl_OriginalData[[#This Row],[Payment_Method]]</f>
        <v>Credit Card</v>
      </c>
      <c r="BD458" s="1">
        <f>tbl_OriginalData[[#This Row],[Time_of_Purchase]]</f>
        <v>45383</v>
      </c>
      <c r="BE458" t="str">
        <f>IF(tbl_OriginalData[[#This Row],[Discount_Used]]=TRUE,"Yes","No")</f>
        <v>Yes</v>
      </c>
      <c r="BF458" t="str">
        <f>IF(tbl_OriginalData[[#This Row],[Customer_Loyalty_Program_Member]]=TRUE,"Yes","No")</f>
        <v>No</v>
      </c>
      <c r="BG458" t="str">
        <f>tbl_OriginalData[[#This Row],[Purchase_Intent]]</f>
        <v>Impulsive</v>
      </c>
      <c r="BH458" t="str">
        <f>tbl_OriginalData[[#This Row],[Shipping_Preference]]</f>
        <v>Express</v>
      </c>
      <c r="BI458">
        <f>tbl_OriginalData[[#This Row],[Time_to_Decision]]</f>
        <v>10</v>
      </c>
      <c r="BJ458" t="s">
        <v>62</v>
      </c>
      <c r="BK458" t="s">
        <v>63</v>
      </c>
      <c r="BL458" t="s">
        <v>2524</v>
      </c>
    </row>
    <row r="459" spans="1:64">
      <c r="A459" t="s">
        <v>1125</v>
      </c>
      <c r="B459">
        <v>26</v>
      </c>
      <c r="C459" t="s">
        <v>33</v>
      </c>
      <c r="D459" t="s">
        <v>34</v>
      </c>
      <c r="E459" t="s">
        <v>82</v>
      </c>
      <c r="F459" t="s">
        <v>36</v>
      </c>
      <c r="G459" t="s">
        <v>51</v>
      </c>
      <c r="H459" t="s">
        <v>319</v>
      </c>
      <c r="I459" t="s">
        <v>156</v>
      </c>
      <c r="J459">
        <v>228.47</v>
      </c>
      <c r="K459">
        <v>9</v>
      </c>
      <c r="L459" t="s">
        <v>94</v>
      </c>
      <c r="M459">
        <v>3</v>
      </c>
      <c r="N459">
        <v>3</v>
      </c>
      <c r="O459">
        <v>1</v>
      </c>
      <c r="P459" t="s">
        <v>40</v>
      </c>
      <c r="Q459" t="s">
        <v>101</v>
      </c>
      <c r="R459">
        <v>1</v>
      </c>
      <c r="S459">
        <v>7</v>
      </c>
      <c r="T459" t="s">
        <v>40</v>
      </c>
      <c r="U459" t="s">
        <v>95</v>
      </c>
      <c r="V459" t="s">
        <v>43</v>
      </c>
      <c r="W459" s="1">
        <v>45533</v>
      </c>
      <c r="X459" t="b">
        <v>0</v>
      </c>
      <c r="Y459" t="b">
        <v>1</v>
      </c>
      <c r="Z459" t="s">
        <v>72</v>
      </c>
      <c r="AA459" t="s">
        <v>77</v>
      </c>
      <c r="AB459">
        <v>12</v>
      </c>
      <c r="AF459" t="str">
        <f>tbl_OriginalData[[#This Row],[Customer_ID]]</f>
        <v>57-587-4005</v>
      </c>
      <c r="AG459">
        <f>tbl_OriginalData[[#This Row],[Age]]</f>
        <v>26</v>
      </c>
      <c r="AH459" t="str" cm="1">
        <f t="array" ref="AH45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59" t="str">
        <f>tbl_OriginalData[[#This Row],[Gender]]</f>
        <v>Female</v>
      </c>
      <c r="AJ459" t="str">
        <f>tbl_OriginalData[[#This Row],[Income_Level]]</f>
        <v>Middle</v>
      </c>
      <c r="AK459" t="str">
        <f>tbl_OriginalData[[#This Row],[Marital_Status]]</f>
        <v>Widowed</v>
      </c>
      <c r="AL459" t="str">
        <f>tbl_OriginalData[[#This Row],[Education_Level]]</f>
        <v>Bachelor's</v>
      </c>
      <c r="AM459" t="str">
        <f>tbl_OriginalData[[#This Row],[Occupation]]</f>
        <v>High</v>
      </c>
      <c r="AN459" t="s">
        <v>319</v>
      </c>
      <c r="AO459" t="s">
        <v>90</v>
      </c>
      <c r="AP459" t="str">
        <f>tbl_OriginalData[[#This Row],[Purchase_Category]]</f>
        <v>Toys &amp; Games</v>
      </c>
      <c r="AQ459" s="4">
        <f>tbl_OriginalData[[#This Row],[Purchase_Amount]]</f>
        <v>228.47</v>
      </c>
      <c r="AR459">
        <f>tbl_OriginalData[[#This Row],[Frequency_of_Purchase]]</f>
        <v>9</v>
      </c>
      <c r="AS459" t="str">
        <f>tbl_OriginalData[[#This Row],[Purchase_Channel]]</f>
        <v>Online</v>
      </c>
      <c r="AT459">
        <f>tbl_OriginalData[[#This Row],[Brand_Loyalty]]</f>
        <v>3</v>
      </c>
      <c r="AU459">
        <f>tbl_OriginalData[[#This Row],[Product_Rating]]</f>
        <v>3</v>
      </c>
      <c r="AV459">
        <f>tbl_OriginalData[[#This Row],[Time_Spent_on_Product_Research(hours)]]*60</f>
        <v>60</v>
      </c>
      <c r="AW459" t="str">
        <f>tbl_OriginalData[[#This Row],[Social_Media_Influence]]</f>
        <v>None</v>
      </c>
      <c r="AX459" t="str">
        <f>tbl_OriginalData[[#This Row],[Discount_Sensitivity]]</f>
        <v>Very Sensitive</v>
      </c>
      <c r="AY459" s="3">
        <f>tbl_OriginalData[[#This Row],[Return_Rate]]/tbl_OriginalData[[#This Row],[Frequency_of_Purchase]]</f>
        <v>0.1111111111111111</v>
      </c>
      <c r="AZ459">
        <f>tbl_OriginalData[[#This Row],[Customer_Satisfaction]]</f>
        <v>7</v>
      </c>
      <c r="BA459" t="str">
        <f>tbl_OriginalData[[#This Row],[Engagement_with_Ads]]</f>
        <v>None</v>
      </c>
      <c r="BB459" t="str">
        <f>tbl_OriginalData[[#This Row],[Device_Used_for_Shopping]]</f>
        <v>Desktop</v>
      </c>
      <c r="BC459" t="str">
        <f>tbl_OriginalData[[#This Row],[Payment_Method]]</f>
        <v>Credit Card</v>
      </c>
      <c r="BD459" s="1">
        <f>tbl_OriginalData[[#This Row],[Time_of_Purchase]]</f>
        <v>45533</v>
      </c>
      <c r="BE459" t="str">
        <f>IF(tbl_OriginalData[[#This Row],[Discount_Used]]=TRUE,"Yes","No")</f>
        <v>No</v>
      </c>
      <c r="BF459" t="str">
        <f>IF(tbl_OriginalData[[#This Row],[Customer_Loyalty_Program_Member]]=TRUE,"Yes","No")</f>
        <v>Yes</v>
      </c>
      <c r="BG459" t="str">
        <f>tbl_OriginalData[[#This Row],[Purchase_Intent]]</f>
        <v>Impulsive</v>
      </c>
      <c r="BH459" t="str">
        <f>tbl_OriginalData[[#This Row],[Shipping_Preference]]</f>
        <v>Express</v>
      </c>
      <c r="BI459">
        <f>tbl_OriginalData[[#This Row],[Time_to_Decision]]</f>
        <v>12</v>
      </c>
      <c r="BJ459" t="s">
        <v>124</v>
      </c>
      <c r="BK459" t="s">
        <v>115</v>
      </c>
      <c r="BL459" t="s">
        <v>2524</v>
      </c>
    </row>
    <row r="460" spans="1:64">
      <c r="A460" t="s">
        <v>1126</v>
      </c>
      <c r="B460">
        <v>25</v>
      </c>
      <c r="C460" t="s">
        <v>33</v>
      </c>
      <c r="D460" t="s">
        <v>34</v>
      </c>
      <c r="E460" t="s">
        <v>65</v>
      </c>
      <c r="F460" t="s">
        <v>66</v>
      </c>
      <c r="G460" t="s">
        <v>51</v>
      </c>
      <c r="H460" t="s">
        <v>1127</v>
      </c>
      <c r="I460" t="s">
        <v>38</v>
      </c>
      <c r="J460">
        <v>343.77</v>
      </c>
      <c r="K460">
        <v>6</v>
      </c>
      <c r="L460" t="s">
        <v>94</v>
      </c>
      <c r="M460">
        <v>4</v>
      </c>
      <c r="N460">
        <v>3</v>
      </c>
      <c r="O460">
        <v>2</v>
      </c>
      <c r="P460" t="s">
        <v>69</v>
      </c>
      <c r="Q460" t="s">
        <v>41</v>
      </c>
      <c r="R460">
        <v>2</v>
      </c>
      <c r="S460">
        <v>9</v>
      </c>
      <c r="T460" t="s">
        <v>51</v>
      </c>
      <c r="U460" t="s">
        <v>95</v>
      </c>
      <c r="V460" t="s">
        <v>102</v>
      </c>
      <c r="W460" s="1">
        <v>45553</v>
      </c>
      <c r="X460" t="b">
        <v>1</v>
      </c>
      <c r="Y460" t="b">
        <v>1</v>
      </c>
      <c r="Z460" t="s">
        <v>59</v>
      </c>
      <c r="AA460" t="s">
        <v>77</v>
      </c>
      <c r="AB460">
        <v>6</v>
      </c>
      <c r="AF460" t="str">
        <f>tbl_OriginalData[[#This Row],[Customer_ID]]</f>
        <v>99-477-8256</v>
      </c>
      <c r="AG460">
        <f>tbl_OriginalData[[#This Row],[Age]]</f>
        <v>25</v>
      </c>
      <c r="AH460" t="str" cm="1">
        <f t="array" ref="AH46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60" t="str">
        <f>tbl_OriginalData[[#This Row],[Gender]]</f>
        <v>Female</v>
      </c>
      <c r="AJ460" t="str">
        <f>tbl_OriginalData[[#This Row],[Income_Level]]</f>
        <v>Middle</v>
      </c>
      <c r="AK460" t="str">
        <f>tbl_OriginalData[[#This Row],[Marital_Status]]</f>
        <v>Single</v>
      </c>
      <c r="AL460" t="str">
        <f>tbl_OriginalData[[#This Row],[Education_Level]]</f>
        <v>Master's</v>
      </c>
      <c r="AM460" t="str">
        <f>tbl_OriginalData[[#This Row],[Occupation]]</f>
        <v>High</v>
      </c>
      <c r="AN460" t="s">
        <v>1128</v>
      </c>
      <c r="AO460" t="s">
        <v>766</v>
      </c>
      <c r="AP460" t="str">
        <f>tbl_OriginalData[[#This Row],[Purchase_Category]]</f>
        <v>Gardening &amp; Outdoors</v>
      </c>
      <c r="AQ460" s="4">
        <f>tbl_OriginalData[[#This Row],[Purchase_Amount]]</f>
        <v>343.77</v>
      </c>
      <c r="AR460">
        <f>tbl_OriginalData[[#This Row],[Frequency_of_Purchase]]</f>
        <v>6</v>
      </c>
      <c r="AS460" t="str">
        <f>tbl_OriginalData[[#This Row],[Purchase_Channel]]</f>
        <v>Online</v>
      </c>
      <c r="AT460">
        <f>tbl_OriginalData[[#This Row],[Brand_Loyalty]]</f>
        <v>4</v>
      </c>
      <c r="AU460">
        <f>tbl_OriginalData[[#This Row],[Product_Rating]]</f>
        <v>3</v>
      </c>
      <c r="AV460">
        <f>tbl_OriginalData[[#This Row],[Time_Spent_on_Product_Research(hours)]]*60</f>
        <v>120</v>
      </c>
      <c r="AW460" t="str">
        <f>tbl_OriginalData[[#This Row],[Social_Media_Influence]]</f>
        <v>Low</v>
      </c>
      <c r="AX460" t="str">
        <f>tbl_OriginalData[[#This Row],[Discount_Sensitivity]]</f>
        <v>Somewhat Sensitive</v>
      </c>
      <c r="AY460" s="3">
        <f>tbl_OriginalData[[#This Row],[Return_Rate]]/tbl_OriginalData[[#This Row],[Frequency_of_Purchase]]</f>
        <v>0.33333333333333331</v>
      </c>
      <c r="AZ460">
        <f>tbl_OriginalData[[#This Row],[Customer_Satisfaction]]</f>
        <v>9</v>
      </c>
      <c r="BA460" t="str">
        <f>tbl_OriginalData[[#This Row],[Engagement_with_Ads]]</f>
        <v>High</v>
      </c>
      <c r="BB460" t="str">
        <f>tbl_OriginalData[[#This Row],[Device_Used_for_Shopping]]</f>
        <v>Desktop</v>
      </c>
      <c r="BC460" t="str">
        <f>tbl_OriginalData[[#This Row],[Payment_Method]]</f>
        <v>Cash</v>
      </c>
      <c r="BD460" s="1">
        <f>tbl_OriginalData[[#This Row],[Time_of_Purchase]]</f>
        <v>45553</v>
      </c>
      <c r="BE460" t="str">
        <f>IF(tbl_OriginalData[[#This Row],[Discount_Used]]=TRUE,"Yes","No")</f>
        <v>Yes</v>
      </c>
      <c r="BF460" t="str">
        <f>IF(tbl_OriginalData[[#This Row],[Customer_Loyalty_Program_Member]]=TRUE,"Yes","No")</f>
        <v>Yes</v>
      </c>
      <c r="BG460" t="str">
        <f>tbl_OriginalData[[#This Row],[Purchase_Intent]]</f>
        <v>Wants-based</v>
      </c>
      <c r="BH460" t="str">
        <f>tbl_OriginalData[[#This Row],[Shipping_Preference]]</f>
        <v>Express</v>
      </c>
      <c r="BI460">
        <f>tbl_OriginalData[[#This Row],[Time_to_Decision]]</f>
        <v>6</v>
      </c>
      <c r="BJ460" t="s">
        <v>172</v>
      </c>
      <c r="BK460" t="s">
        <v>115</v>
      </c>
      <c r="BL460" t="s">
        <v>2524</v>
      </c>
    </row>
    <row r="461" spans="1:64">
      <c r="A461" t="s">
        <v>1129</v>
      </c>
      <c r="B461">
        <v>26</v>
      </c>
      <c r="C461" t="s">
        <v>106</v>
      </c>
      <c r="D461" t="s">
        <v>34</v>
      </c>
      <c r="E461" t="s">
        <v>35</v>
      </c>
      <c r="F461" t="s">
        <v>36</v>
      </c>
      <c r="G461" t="s">
        <v>51</v>
      </c>
      <c r="H461" t="s">
        <v>1130</v>
      </c>
      <c r="I461" t="s">
        <v>199</v>
      </c>
      <c r="J461">
        <v>339.32</v>
      </c>
      <c r="K461">
        <v>9</v>
      </c>
      <c r="L461" t="s">
        <v>55</v>
      </c>
      <c r="M461">
        <v>2</v>
      </c>
      <c r="N461">
        <v>4</v>
      </c>
      <c r="O461">
        <v>0</v>
      </c>
      <c r="P461" t="s">
        <v>56</v>
      </c>
      <c r="Q461" t="s">
        <v>101</v>
      </c>
      <c r="R461">
        <v>1</v>
      </c>
      <c r="S461">
        <v>4</v>
      </c>
      <c r="T461" t="s">
        <v>51</v>
      </c>
      <c r="U461" t="s">
        <v>42</v>
      </c>
      <c r="V461" t="s">
        <v>76</v>
      </c>
      <c r="W461" s="1">
        <v>45540</v>
      </c>
      <c r="X461" t="b">
        <v>0</v>
      </c>
      <c r="Y461" t="b">
        <v>0</v>
      </c>
      <c r="Z461" t="s">
        <v>44</v>
      </c>
      <c r="AA461" t="s">
        <v>45</v>
      </c>
      <c r="AB461">
        <v>7</v>
      </c>
      <c r="AF461" t="str">
        <f>tbl_OriginalData[[#This Row],[Customer_ID]]</f>
        <v>03-992-3728</v>
      </c>
      <c r="AG461">
        <f>tbl_OriginalData[[#This Row],[Age]]</f>
        <v>26</v>
      </c>
      <c r="AH461" t="str" cm="1">
        <f t="array" ref="AH46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61" t="str">
        <f>tbl_OriginalData[[#This Row],[Gender]]</f>
        <v>Bigender</v>
      </c>
      <c r="AJ461" t="str">
        <f>tbl_OriginalData[[#This Row],[Income_Level]]</f>
        <v>Middle</v>
      </c>
      <c r="AK461" t="str">
        <f>tbl_OriginalData[[#This Row],[Marital_Status]]</f>
        <v>Married</v>
      </c>
      <c r="AL461" t="str">
        <f>tbl_OriginalData[[#This Row],[Education_Level]]</f>
        <v>Bachelor's</v>
      </c>
      <c r="AM461" t="str">
        <f>tbl_OriginalData[[#This Row],[Occupation]]</f>
        <v>High</v>
      </c>
      <c r="AN461" t="s">
        <v>1130</v>
      </c>
      <c r="AO461" t="s">
        <v>734</v>
      </c>
      <c r="AP461" t="str">
        <f>tbl_OriginalData[[#This Row],[Purchase_Category]]</f>
        <v>Groceries</v>
      </c>
      <c r="AQ461" s="4">
        <f>tbl_OriginalData[[#This Row],[Purchase_Amount]]</f>
        <v>339.32</v>
      </c>
      <c r="AR461">
        <f>tbl_OriginalData[[#This Row],[Frequency_of_Purchase]]</f>
        <v>9</v>
      </c>
      <c r="AS461" t="str">
        <f>tbl_OriginalData[[#This Row],[Purchase_Channel]]</f>
        <v>In-Store</v>
      </c>
      <c r="AT461">
        <f>tbl_OriginalData[[#This Row],[Brand_Loyalty]]</f>
        <v>2</v>
      </c>
      <c r="AU461">
        <f>tbl_OriginalData[[#This Row],[Product_Rating]]</f>
        <v>4</v>
      </c>
      <c r="AV461">
        <f>tbl_OriginalData[[#This Row],[Time_Spent_on_Product_Research(hours)]]*60</f>
        <v>0</v>
      </c>
      <c r="AW461" t="str">
        <f>tbl_OriginalData[[#This Row],[Social_Media_Influence]]</f>
        <v>Medium</v>
      </c>
      <c r="AX461" t="str">
        <f>tbl_OriginalData[[#This Row],[Discount_Sensitivity]]</f>
        <v>Very Sensitive</v>
      </c>
      <c r="AY461" s="3">
        <f>tbl_OriginalData[[#This Row],[Return_Rate]]/tbl_OriginalData[[#This Row],[Frequency_of_Purchase]]</f>
        <v>0.1111111111111111</v>
      </c>
      <c r="AZ461">
        <f>tbl_OriginalData[[#This Row],[Customer_Satisfaction]]</f>
        <v>4</v>
      </c>
      <c r="BA461" t="str">
        <f>tbl_OriginalData[[#This Row],[Engagement_with_Ads]]</f>
        <v>High</v>
      </c>
      <c r="BB461" t="str">
        <f>tbl_OriginalData[[#This Row],[Device_Used_for_Shopping]]</f>
        <v>Tablet</v>
      </c>
      <c r="BC461" t="str">
        <f>tbl_OriginalData[[#This Row],[Payment_Method]]</f>
        <v>Other</v>
      </c>
      <c r="BD461" s="1">
        <f>tbl_OriginalData[[#This Row],[Time_of_Purchase]]</f>
        <v>45540</v>
      </c>
      <c r="BE461" t="str">
        <f>IF(tbl_OriginalData[[#This Row],[Discount_Used]]=TRUE,"Yes","No")</f>
        <v>No</v>
      </c>
      <c r="BF461" t="str">
        <f>IF(tbl_OriginalData[[#This Row],[Customer_Loyalty_Program_Member]]=TRUE,"Yes","No")</f>
        <v>No</v>
      </c>
      <c r="BG461" t="str">
        <f>tbl_OriginalData[[#This Row],[Purchase_Intent]]</f>
        <v>Need-based</v>
      </c>
      <c r="BH461" t="str">
        <f>tbl_OriginalData[[#This Row],[Shipping_Preference]]</f>
        <v>No Preference</v>
      </c>
      <c r="BI461">
        <f>tbl_OriginalData[[#This Row],[Time_to_Decision]]</f>
        <v>7</v>
      </c>
      <c r="BJ461" t="s">
        <v>172</v>
      </c>
      <c r="BK461" t="s">
        <v>115</v>
      </c>
      <c r="BL461" t="s">
        <v>2524</v>
      </c>
    </row>
    <row r="462" spans="1:64">
      <c r="A462" t="s">
        <v>1131</v>
      </c>
      <c r="B462">
        <v>34</v>
      </c>
      <c r="C462" t="s">
        <v>50</v>
      </c>
      <c r="D462" t="s">
        <v>51</v>
      </c>
      <c r="E462" t="s">
        <v>92</v>
      </c>
      <c r="F462" t="s">
        <v>36</v>
      </c>
      <c r="G462" t="s">
        <v>34</v>
      </c>
      <c r="H462" t="s">
        <v>1132</v>
      </c>
      <c r="I462" t="s">
        <v>229</v>
      </c>
      <c r="J462">
        <v>327.05</v>
      </c>
      <c r="K462">
        <v>9</v>
      </c>
      <c r="L462" t="s">
        <v>39</v>
      </c>
      <c r="M462">
        <v>5</v>
      </c>
      <c r="N462">
        <v>4</v>
      </c>
      <c r="O462">
        <v>0</v>
      </c>
      <c r="P462" t="s">
        <v>69</v>
      </c>
      <c r="Q462" t="s">
        <v>41</v>
      </c>
      <c r="R462">
        <v>2</v>
      </c>
      <c r="S462">
        <v>3</v>
      </c>
      <c r="T462" t="s">
        <v>51</v>
      </c>
      <c r="U462" t="s">
        <v>95</v>
      </c>
      <c r="V462" t="s">
        <v>102</v>
      </c>
      <c r="W462" s="1">
        <v>45510</v>
      </c>
      <c r="X462" t="b">
        <v>0</v>
      </c>
      <c r="Y462" t="b">
        <v>1</v>
      </c>
      <c r="Z462" t="s">
        <v>44</v>
      </c>
      <c r="AA462" t="s">
        <v>45</v>
      </c>
      <c r="AB462">
        <v>7</v>
      </c>
      <c r="AF462" t="str">
        <f>tbl_OriginalData[[#This Row],[Customer_ID]]</f>
        <v>24-878-4507</v>
      </c>
      <c r="AG462">
        <f>tbl_OriginalData[[#This Row],[Age]]</f>
        <v>34</v>
      </c>
      <c r="AH462" t="str" cm="1">
        <f t="array" ref="AH46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62" t="str">
        <f>tbl_OriginalData[[#This Row],[Gender]]</f>
        <v>Male</v>
      </c>
      <c r="AJ462" t="str">
        <f>tbl_OriginalData[[#This Row],[Income_Level]]</f>
        <v>High</v>
      </c>
      <c r="AK462" t="str">
        <f>tbl_OriginalData[[#This Row],[Marital_Status]]</f>
        <v>Divorced</v>
      </c>
      <c r="AL462" t="str">
        <f>tbl_OriginalData[[#This Row],[Education_Level]]</f>
        <v>Bachelor's</v>
      </c>
      <c r="AM462" t="str">
        <f>tbl_OriginalData[[#This Row],[Occupation]]</f>
        <v>Middle</v>
      </c>
      <c r="AN462" t="s">
        <v>1132</v>
      </c>
      <c r="AO462" t="s">
        <v>466</v>
      </c>
      <c r="AP462" t="str">
        <f>tbl_OriginalData[[#This Row],[Purchase_Category]]</f>
        <v>Clothing</v>
      </c>
      <c r="AQ462" s="4">
        <f>tbl_OriginalData[[#This Row],[Purchase_Amount]]</f>
        <v>327.05</v>
      </c>
      <c r="AR462">
        <f>tbl_OriginalData[[#This Row],[Frequency_of_Purchase]]</f>
        <v>9</v>
      </c>
      <c r="AS462" t="str">
        <f>tbl_OriginalData[[#This Row],[Purchase_Channel]]</f>
        <v>Mixed</v>
      </c>
      <c r="AT462">
        <f>tbl_OriginalData[[#This Row],[Brand_Loyalty]]</f>
        <v>5</v>
      </c>
      <c r="AU462">
        <f>tbl_OriginalData[[#This Row],[Product_Rating]]</f>
        <v>4</v>
      </c>
      <c r="AV462">
        <f>tbl_OriginalData[[#This Row],[Time_Spent_on_Product_Research(hours)]]*60</f>
        <v>0</v>
      </c>
      <c r="AW462" t="str">
        <f>tbl_OriginalData[[#This Row],[Social_Media_Influence]]</f>
        <v>Low</v>
      </c>
      <c r="AX462" t="str">
        <f>tbl_OriginalData[[#This Row],[Discount_Sensitivity]]</f>
        <v>Somewhat Sensitive</v>
      </c>
      <c r="AY462" s="3">
        <f>tbl_OriginalData[[#This Row],[Return_Rate]]/tbl_OriginalData[[#This Row],[Frequency_of_Purchase]]</f>
        <v>0.22222222222222221</v>
      </c>
      <c r="AZ462">
        <f>tbl_OriginalData[[#This Row],[Customer_Satisfaction]]</f>
        <v>3</v>
      </c>
      <c r="BA462" t="str">
        <f>tbl_OriginalData[[#This Row],[Engagement_with_Ads]]</f>
        <v>High</v>
      </c>
      <c r="BB462" t="str">
        <f>tbl_OriginalData[[#This Row],[Device_Used_for_Shopping]]</f>
        <v>Desktop</v>
      </c>
      <c r="BC462" t="str">
        <f>tbl_OriginalData[[#This Row],[Payment_Method]]</f>
        <v>Cash</v>
      </c>
      <c r="BD462" s="1">
        <f>tbl_OriginalData[[#This Row],[Time_of_Purchase]]</f>
        <v>45510</v>
      </c>
      <c r="BE462" t="str">
        <f>IF(tbl_OriginalData[[#This Row],[Discount_Used]]=TRUE,"Yes","No")</f>
        <v>No</v>
      </c>
      <c r="BF462" t="str">
        <f>IF(tbl_OriginalData[[#This Row],[Customer_Loyalty_Program_Member]]=TRUE,"Yes","No")</f>
        <v>Yes</v>
      </c>
      <c r="BG462" t="str">
        <f>tbl_OriginalData[[#This Row],[Purchase_Intent]]</f>
        <v>Need-based</v>
      </c>
      <c r="BH462" t="str">
        <f>tbl_OriginalData[[#This Row],[Shipping_Preference]]</f>
        <v>No Preference</v>
      </c>
      <c r="BI462">
        <f>tbl_OriginalData[[#This Row],[Time_to_Decision]]</f>
        <v>7</v>
      </c>
      <c r="BJ462" t="s">
        <v>124</v>
      </c>
      <c r="BK462" t="s">
        <v>115</v>
      </c>
      <c r="BL462" t="s">
        <v>2523</v>
      </c>
    </row>
    <row r="463" spans="1:64">
      <c r="A463" t="s">
        <v>1133</v>
      </c>
      <c r="B463">
        <v>48</v>
      </c>
      <c r="C463" t="s">
        <v>50</v>
      </c>
      <c r="D463" t="s">
        <v>51</v>
      </c>
      <c r="E463" t="s">
        <v>92</v>
      </c>
      <c r="F463" t="s">
        <v>66</v>
      </c>
      <c r="G463" t="s">
        <v>34</v>
      </c>
      <c r="H463" t="s">
        <v>1134</v>
      </c>
      <c r="I463" t="s">
        <v>156</v>
      </c>
      <c r="J463">
        <v>334.45</v>
      </c>
      <c r="K463">
        <v>2</v>
      </c>
      <c r="L463" t="s">
        <v>55</v>
      </c>
      <c r="M463">
        <v>2</v>
      </c>
      <c r="N463">
        <v>5</v>
      </c>
      <c r="O463">
        <v>0</v>
      </c>
      <c r="P463" t="s">
        <v>56</v>
      </c>
      <c r="Q463" t="s">
        <v>57</v>
      </c>
      <c r="R463">
        <v>2</v>
      </c>
      <c r="S463">
        <v>9</v>
      </c>
      <c r="T463" t="s">
        <v>51</v>
      </c>
      <c r="U463" t="s">
        <v>42</v>
      </c>
      <c r="V463" t="s">
        <v>43</v>
      </c>
      <c r="W463" s="1">
        <v>45461</v>
      </c>
      <c r="X463" t="b">
        <v>1</v>
      </c>
      <c r="Y463" t="b">
        <v>0</v>
      </c>
      <c r="Z463" t="s">
        <v>72</v>
      </c>
      <c r="AA463" t="s">
        <v>45</v>
      </c>
      <c r="AB463">
        <v>6</v>
      </c>
      <c r="AF463" t="str">
        <f>tbl_OriginalData[[#This Row],[Customer_ID]]</f>
        <v>22-106-8347</v>
      </c>
      <c r="AG463">
        <f>tbl_OriginalData[[#This Row],[Age]]</f>
        <v>48</v>
      </c>
      <c r="AH463" t="str" cm="1">
        <f t="array" ref="AH46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63" t="str">
        <f>tbl_OriginalData[[#This Row],[Gender]]</f>
        <v>Male</v>
      </c>
      <c r="AJ463" t="str">
        <f>tbl_OriginalData[[#This Row],[Income_Level]]</f>
        <v>High</v>
      </c>
      <c r="AK463" t="str">
        <f>tbl_OriginalData[[#This Row],[Marital_Status]]</f>
        <v>Divorced</v>
      </c>
      <c r="AL463" t="str">
        <f>tbl_OriginalData[[#This Row],[Education_Level]]</f>
        <v>Master's</v>
      </c>
      <c r="AM463" t="str">
        <f>tbl_OriginalData[[#This Row],[Occupation]]</f>
        <v>Middle</v>
      </c>
      <c r="AN463" t="s">
        <v>1134</v>
      </c>
      <c r="AO463" t="s">
        <v>194</v>
      </c>
      <c r="AP463" t="str">
        <f>tbl_OriginalData[[#This Row],[Purchase_Category]]</f>
        <v>Toys &amp; Games</v>
      </c>
      <c r="AQ463" s="4">
        <f>tbl_OriginalData[[#This Row],[Purchase_Amount]]</f>
        <v>334.45</v>
      </c>
      <c r="AR463">
        <f>tbl_OriginalData[[#This Row],[Frequency_of_Purchase]]</f>
        <v>2</v>
      </c>
      <c r="AS463" t="str">
        <f>tbl_OriginalData[[#This Row],[Purchase_Channel]]</f>
        <v>In-Store</v>
      </c>
      <c r="AT463">
        <f>tbl_OriginalData[[#This Row],[Brand_Loyalty]]</f>
        <v>2</v>
      </c>
      <c r="AU463">
        <f>tbl_OriginalData[[#This Row],[Product_Rating]]</f>
        <v>5</v>
      </c>
      <c r="AV463">
        <f>tbl_OriginalData[[#This Row],[Time_Spent_on_Product_Research(hours)]]*60</f>
        <v>0</v>
      </c>
      <c r="AW463" t="str">
        <f>tbl_OriginalData[[#This Row],[Social_Media_Influence]]</f>
        <v>Medium</v>
      </c>
      <c r="AX463" t="str">
        <f>tbl_OriginalData[[#This Row],[Discount_Sensitivity]]</f>
        <v>Not Sensitive</v>
      </c>
      <c r="AY463" s="3">
        <f>tbl_OriginalData[[#This Row],[Return_Rate]]/tbl_OriginalData[[#This Row],[Frequency_of_Purchase]]</f>
        <v>1</v>
      </c>
      <c r="AZ463">
        <f>tbl_OriginalData[[#This Row],[Customer_Satisfaction]]</f>
        <v>9</v>
      </c>
      <c r="BA463" t="str">
        <f>tbl_OriginalData[[#This Row],[Engagement_with_Ads]]</f>
        <v>High</v>
      </c>
      <c r="BB463" t="str">
        <f>tbl_OriginalData[[#This Row],[Device_Used_for_Shopping]]</f>
        <v>Tablet</v>
      </c>
      <c r="BC463" t="str">
        <f>tbl_OriginalData[[#This Row],[Payment_Method]]</f>
        <v>Credit Card</v>
      </c>
      <c r="BD463" s="1">
        <f>tbl_OriginalData[[#This Row],[Time_of_Purchase]]</f>
        <v>45461</v>
      </c>
      <c r="BE463" t="str">
        <f>IF(tbl_OriginalData[[#This Row],[Discount_Used]]=TRUE,"Yes","No")</f>
        <v>Yes</v>
      </c>
      <c r="BF463" t="str">
        <f>IF(tbl_OriginalData[[#This Row],[Customer_Loyalty_Program_Member]]=TRUE,"Yes","No")</f>
        <v>No</v>
      </c>
      <c r="BG463" t="str">
        <f>tbl_OriginalData[[#This Row],[Purchase_Intent]]</f>
        <v>Impulsive</v>
      </c>
      <c r="BH463" t="str">
        <f>tbl_OriginalData[[#This Row],[Shipping_Preference]]</f>
        <v>No Preference</v>
      </c>
      <c r="BI463">
        <f>tbl_OriginalData[[#This Row],[Time_to_Decision]]</f>
        <v>6</v>
      </c>
      <c r="BJ463" t="s">
        <v>104</v>
      </c>
      <c r="BK463" t="s">
        <v>63</v>
      </c>
      <c r="BL463" t="s">
        <v>2524</v>
      </c>
    </row>
    <row r="464" spans="1:64">
      <c r="A464" t="s">
        <v>1135</v>
      </c>
      <c r="B464">
        <v>19</v>
      </c>
      <c r="C464" t="s">
        <v>50</v>
      </c>
      <c r="D464" t="s">
        <v>51</v>
      </c>
      <c r="E464" t="s">
        <v>65</v>
      </c>
      <c r="F464" t="s">
        <v>36</v>
      </c>
      <c r="G464" t="s">
        <v>34</v>
      </c>
      <c r="H464" t="s">
        <v>1136</v>
      </c>
      <c r="I464" t="s">
        <v>54</v>
      </c>
      <c r="J464">
        <v>366.16</v>
      </c>
      <c r="K464">
        <v>12</v>
      </c>
      <c r="L464" t="s">
        <v>39</v>
      </c>
      <c r="M464">
        <v>4</v>
      </c>
      <c r="N464">
        <v>4</v>
      </c>
      <c r="O464">
        <v>2</v>
      </c>
      <c r="P464" t="s">
        <v>56</v>
      </c>
      <c r="Q464" t="s">
        <v>41</v>
      </c>
      <c r="R464">
        <v>1</v>
      </c>
      <c r="S464">
        <v>5</v>
      </c>
      <c r="T464" t="s">
        <v>69</v>
      </c>
      <c r="U464" t="s">
        <v>95</v>
      </c>
      <c r="V464" t="s">
        <v>43</v>
      </c>
      <c r="W464" s="1">
        <v>45530</v>
      </c>
      <c r="X464" t="b">
        <v>0</v>
      </c>
      <c r="Y464" t="b">
        <v>0</v>
      </c>
      <c r="Z464" t="s">
        <v>44</v>
      </c>
      <c r="AA464" t="s">
        <v>45</v>
      </c>
      <c r="AB464">
        <v>4</v>
      </c>
      <c r="AF464" t="str">
        <f>tbl_OriginalData[[#This Row],[Customer_ID]]</f>
        <v>81-479-0790</v>
      </c>
      <c r="AG464">
        <f>tbl_OriginalData[[#This Row],[Age]]</f>
        <v>19</v>
      </c>
      <c r="AH464" t="str" cm="1">
        <f t="array" ref="AH46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464" t="str">
        <f>tbl_OriginalData[[#This Row],[Gender]]</f>
        <v>Male</v>
      </c>
      <c r="AJ464" t="str">
        <f>tbl_OriginalData[[#This Row],[Income_Level]]</f>
        <v>High</v>
      </c>
      <c r="AK464" t="str">
        <f>tbl_OriginalData[[#This Row],[Marital_Status]]</f>
        <v>Single</v>
      </c>
      <c r="AL464" t="str">
        <f>tbl_OriginalData[[#This Row],[Education_Level]]</f>
        <v>Bachelor's</v>
      </c>
      <c r="AM464" t="str">
        <f>tbl_OriginalData[[#This Row],[Occupation]]</f>
        <v>Middle</v>
      </c>
      <c r="AN464" t="s">
        <v>1136</v>
      </c>
      <c r="AO464" t="s">
        <v>336</v>
      </c>
      <c r="AP464" t="str">
        <f>tbl_OriginalData[[#This Row],[Purchase_Category]]</f>
        <v>Food &amp; Beverages</v>
      </c>
      <c r="AQ464" s="4">
        <f>tbl_OriginalData[[#This Row],[Purchase_Amount]]</f>
        <v>366.16</v>
      </c>
      <c r="AR464">
        <f>tbl_OriginalData[[#This Row],[Frequency_of_Purchase]]</f>
        <v>12</v>
      </c>
      <c r="AS464" t="str">
        <f>tbl_OriginalData[[#This Row],[Purchase_Channel]]</f>
        <v>Mixed</v>
      </c>
      <c r="AT464">
        <f>tbl_OriginalData[[#This Row],[Brand_Loyalty]]</f>
        <v>4</v>
      </c>
      <c r="AU464">
        <f>tbl_OriginalData[[#This Row],[Product_Rating]]</f>
        <v>4</v>
      </c>
      <c r="AV464">
        <f>tbl_OriginalData[[#This Row],[Time_Spent_on_Product_Research(hours)]]*60</f>
        <v>120</v>
      </c>
      <c r="AW464" t="str">
        <f>tbl_OriginalData[[#This Row],[Social_Media_Influence]]</f>
        <v>Medium</v>
      </c>
      <c r="AX464" t="str">
        <f>tbl_OriginalData[[#This Row],[Discount_Sensitivity]]</f>
        <v>Somewhat Sensitive</v>
      </c>
      <c r="AY464" s="3">
        <f>tbl_OriginalData[[#This Row],[Return_Rate]]/tbl_OriginalData[[#This Row],[Frequency_of_Purchase]]</f>
        <v>8.3333333333333329E-2</v>
      </c>
      <c r="AZ464">
        <f>tbl_OriginalData[[#This Row],[Customer_Satisfaction]]</f>
        <v>5</v>
      </c>
      <c r="BA464" t="str">
        <f>tbl_OriginalData[[#This Row],[Engagement_with_Ads]]</f>
        <v>Low</v>
      </c>
      <c r="BB464" t="str">
        <f>tbl_OriginalData[[#This Row],[Device_Used_for_Shopping]]</f>
        <v>Desktop</v>
      </c>
      <c r="BC464" t="str">
        <f>tbl_OriginalData[[#This Row],[Payment_Method]]</f>
        <v>Credit Card</v>
      </c>
      <c r="BD464" s="1">
        <f>tbl_OriginalData[[#This Row],[Time_of_Purchase]]</f>
        <v>45530</v>
      </c>
      <c r="BE464" t="str">
        <f>IF(tbl_OriginalData[[#This Row],[Discount_Used]]=TRUE,"Yes","No")</f>
        <v>No</v>
      </c>
      <c r="BF464" t="str">
        <f>IF(tbl_OriginalData[[#This Row],[Customer_Loyalty_Program_Member]]=TRUE,"Yes","No")</f>
        <v>No</v>
      </c>
      <c r="BG464" t="str">
        <f>tbl_OriginalData[[#This Row],[Purchase_Intent]]</f>
        <v>Need-based</v>
      </c>
      <c r="BH464" t="str">
        <f>tbl_OriginalData[[#This Row],[Shipping_Preference]]</f>
        <v>No Preference</v>
      </c>
      <c r="BI464">
        <f>tbl_OriginalData[[#This Row],[Time_to_Decision]]</f>
        <v>4</v>
      </c>
      <c r="BJ464" t="s">
        <v>124</v>
      </c>
      <c r="BK464" t="s">
        <v>115</v>
      </c>
      <c r="BL464" t="s">
        <v>2525</v>
      </c>
    </row>
    <row r="465" spans="1:64">
      <c r="A465" t="s">
        <v>1137</v>
      </c>
      <c r="B465">
        <v>37</v>
      </c>
      <c r="C465" t="s">
        <v>33</v>
      </c>
      <c r="D465" t="s">
        <v>51</v>
      </c>
      <c r="E465" t="s">
        <v>82</v>
      </c>
      <c r="F465" t="s">
        <v>36</v>
      </c>
      <c r="G465" t="s">
        <v>34</v>
      </c>
      <c r="H465" t="s">
        <v>1138</v>
      </c>
      <c r="I465" t="s">
        <v>199</v>
      </c>
      <c r="J465">
        <v>481.78</v>
      </c>
      <c r="K465">
        <v>8</v>
      </c>
      <c r="L465" t="s">
        <v>55</v>
      </c>
      <c r="M465">
        <v>5</v>
      </c>
      <c r="N465">
        <v>2</v>
      </c>
      <c r="O465">
        <v>0</v>
      </c>
      <c r="P465" t="s">
        <v>56</v>
      </c>
      <c r="Q465" t="s">
        <v>101</v>
      </c>
      <c r="R465">
        <v>2</v>
      </c>
      <c r="S465">
        <v>4</v>
      </c>
      <c r="T465" t="s">
        <v>69</v>
      </c>
      <c r="U465" t="s">
        <v>42</v>
      </c>
      <c r="V465" t="s">
        <v>71</v>
      </c>
      <c r="W465" s="1">
        <v>45406</v>
      </c>
      <c r="X465" t="b">
        <v>1</v>
      </c>
      <c r="Y465" t="b">
        <v>1</v>
      </c>
      <c r="Z465" t="s">
        <v>59</v>
      </c>
      <c r="AA465" t="s">
        <v>77</v>
      </c>
      <c r="AB465">
        <v>1</v>
      </c>
      <c r="AF465" t="str">
        <f>tbl_OriginalData[[#This Row],[Customer_ID]]</f>
        <v>03-023-9932</v>
      </c>
      <c r="AG465">
        <f>tbl_OriginalData[[#This Row],[Age]]</f>
        <v>37</v>
      </c>
      <c r="AH465" t="str" cm="1">
        <f t="array" ref="AH46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65" t="str">
        <f>tbl_OriginalData[[#This Row],[Gender]]</f>
        <v>Female</v>
      </c>
      <c r="AJ465" t="str">
        <f>tbl_OriginalData[[#This Row],[Income_Level]]</f>
        <v>High</v>
      </c>
      <c r="AK465" t="str">
        <f>tbl_OriginalData[[#This Row],[Marital_Status]]</f>
        <v>Widowed</v>
      </c>
      <c r="AL465" t="str">
        <f>tbl_OriginalData[[#This Row],[Education_Level]]</f>
        <v>Bachelor's</v>
      </c>
      <c r="AM465" t="str">
        <f>tbl_OriginalData[[#This Row],[Occupation]]</f>
        <v>Middle</v>
      </c>
      <c r="AN465" t="s">
        <v>1138</v>
      </c>
      <c r="AO465" t="s">
        <v>61</v>
      </c>
      <c r="AP465" t="str">
        <f>tbl_OriginalData[[#This Row],[Purchase_Category]]</f>
        <v>Groceries</v>
      </c>
      <c r="AQ465" s="4">
        <f>tbl_OriginalData[[#This Row],[Purchase_Amount]]</f>
        <v>481.78</v>
      </c>
      <c r="AR465">
        <f>tbl_OriginalData[[#This Row],[Frequency_of_Purchase]]</f>
        <v>8</v>
      </c>
      <c r="AS465" t="str">
        <f>tbl_OriginalData[[#This Row],[Purchase_Channel]]</f>
        <v>In-Store</v>
      </c>
      <c r="AT465">
        <f>tbl_OriginalData[[#This Row],[Brand_Loyalty]]</f>
        <v>5</v>
      </c>
      <c r="AU465">
        <f>tbl_OriginalData[[#This Row],[Product_Rating]]</f>
        <v>2</v>
      </c>
      <c r="AV465">
        <f>tbl_OriginalData[[#This Row],[Time_Spent_on_Product_Research(hours)]]*60</f>
        <v>0</v>
      </c>
      <c r="AW465" t="str">
        <f>tbl_OriginalData[[#This Row],[Social_Media_Influence]]</f>
        <v>Medium</v>
      </c>
      <c r="AX465" t="str">
        <f>tbl_OriginalData[[#This Row],[Discount_Sensitivity]]</f>
        <v>Very Sensitive</v>
      </c>
      <c r="AY465" s="3">
        <f>tbl_OriginalData[[#This Row],[Return_Rate]]/tbl_OriginalData[[#This Row],[Frequency_of_Purchase]]</f>
        <v>0.25</v>
      </c>
      <c r="AZ465">
        <f>tbl_OriginalData[[#This Row],[Customer_Satisfaction]]</f>
        <v>4</v>
      </c>
      <c r="BA465" t="str">
        <f>tbl_OriginalData[[#This Row],[Engagement_with_Ads]]</f>
        <v>Low</v>
      </c>
      <c r="BB465" t="str">
        <f>tbl_OriginalData[[#This Row],[Device_Used_for_Shopping]]</f>
        <v>Tablet</v>
      </c>
      <c r="BC465" t="str">
        <f>tbl_OriginalData[[#This Row],[Payment_Method]]</f>
        <v>Debit Card</v>
      </c>
      <c r="BD465" s="1">
        <f>tbl_OriginalData[[#This Row],[Time_of_Purchase]]</f>
        <v>45406</v>
      </c>
      <c r="BE465" t="str">
        <f>IF(tbl_OriginalData[[#This Row],[Discount_Used]]=TRUE,"Yes","No")</f>
        <v>Yes</v>
      </c>
      <c r="BF465" t="str">
        <f>IF(tbl_OriginalData[[#This Row],[Customer_Loyalty_Program_Member]]=TRUE,"Yes","No")</f>
        <v>Yes</v>
      </c>
      <c r="BG465" t="str">
        <f>tbl_OriginalData[[#This Row],[Purchase_Intent]]</f>
        <v>Wants-based</v>
      </c>
      <c r="BH465" t="str">
        <f>tbl_OriginalData[[#This Row],[Shipping_Preference]]</f>
        <v>Express</v>
      </c>
      <c r="BI465">
        <f>tbl_OriginalData[[#This Row],[Time_to_Decision]]</f>
        <v>1</v>
      </c>
      <c r="BJ465" t="s">
        <v>62</v>
      </c>
      <c r="BK465" t="s">
        <v>63</v>
      </c>
      <c r="BL465" t="s">
        <v>2524</v>
      </c>
    </row>
    <row r="466" spans="1:64">
      <c r="A466" t="s">
        <v>1139</v>
      </c>
      <c r="B466">
        <v>23</v>
      </c>
      <c r="C466" t="s">
        <v>33</v>
      </c>
      <c r="D466" t="s">
        <v>51</v>
      </c>
      <c r="E466" t="s">
        <v>82</v>
      </c>
      <c r="F466" t="s">
        <v>36</v>
      </c>
      <c r="G466" t="s">
        <v>34</v>
      </c>
      <c r="H466" t="s">
        <v>1140</v>
      </c>
      <c r="I466" t="s">
        <v>38</v>
      </c>
      <c r="J466">
        <v>131.47999999999999</v>
      </c>
      <c r="K466">
        <v>8</v>
      </c>
      <c r="L466" t="s">
        <v>39</v>
      </c>
      <c r="M466">
        <v>3</v>
      </c>
      <c r="N466">
        <v>5</v>
      </c>
      <c r="O466">
        <v>0</v>
      </c>
      <c r="P466" t="s">
        <v>40</v>
      </c>
      <c r="Q466" t="s">
        <v>41</v>
      </c>
      <c r="R466">
        <v>2</v>
      </c>
      <c r="S466">
        <v>1</v>
      </c>
      <c r="T466" t="s">
        <v>69</v>
      </c>
      <c r="U466" t="s">
        <v>42</v>
      </c>
      <c r="V466" t="s">
        <v>43</v>
      </c>
      <c r="W466" s="1">
        <v>45512</v>
      </c>
      <c r="X466" t="b">
        <v>1</v>
      </c>
      <c r="Y466" t="b">
        <v>1</v>
      </c>
      <c r="Z466" t="s">
        <v>59</v>
      </c>
      <c r="AA466" t="s">
        <v>45</v>
      </c>
      <c r="AB466">
        <v>12</v>
      </c>
      <c r="AF466" t="str">
        <f>tbl_OriginalData[[#This Row],[Customer_ID]]</f>
        <v>36-632-2460</v>
      </c>
      <c r="AG466">
        <f>tbl_OriginalData[[#This Row],[Age]]</f>
        <v>23</v>
      </c>
      <c r="AH466" t="str" cm="1">
        <f t="array" ref="AH46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66" t="str">
        <f>tbl_OriginalData[[#This Row],[Gender]]</f>
        <v>Female</v>
      </c>
      <c r="AJ466" t="str">
        <f>tbl_OriginalData[[#This Row],[Income_Level]]</f>
        <v>High</v>
      </c>
      <c r="AK466" t="str">
        <f>tbl_OriginalData[[#This Row],[Marital_Status]]</f>
        <v>Widowed</v>
      </c>
      <c r="AL466" t="str">
        <f>tbl_OriginalData[[#This Row],[Education_Level]]</f>
        <v>Bachelor's</v>
      </c>
      <c r="AM466" t="str">
        <f>tbl_OriginalData[[#This Row],[Occupation]]</f>
        <v>Middle</v>
      </c>
      <c r="AN466" t="s">
        <v>1140</v>
      </c>
      <c r="AO466" t="s">
        <v>181</v>
      </c>
      <c r="AP466" t="str">
        <f>tbl_OriginalData[[#This Row],[Purchase_Category]]</f>
        <v>Gardening &amp; Outdoors</v>
      </c>
      <c r="AQ466" s="4">
        <f>tbl_OriginalData[[#This Row],[Purchase_Amount]]</f>
        <v>131.47999999999999</v>
      </c>
      <c r="AR466">
        <f>tbl_OriginalData[[#This Row],[Frequency_of_Purchase]]</f>
        <v>8</v>
      </c>
      <c r="AS466" t="str">
        <f>tbl_OriginalData[[#This Row],[Purchase_Channel]]</f>
        <v>Mixed</v>
      </c>
      <c r="AT466">
        <f>tbl_OriginalData[[#This Row],[Brand_Loyalty]]</f>
        <v>3</v>
      </c>
      <c r="AU466">
        <f>tbl_OriginalData[[#This Row],[Product_Rating]]</f>
        <v>5</v>
      </c>
      <c r="AV466">
        <f>tbl_OriginalData[[#This Row],[Time_Spent_on_Product_Research(hours)]]*60</f>
        <v>0</v>
      </c>
      <c r="AW466" t="str">
        <f>tbl_OriginalData[[#This Row],[Social_Media_Influence]]</f>
        <v>None</v>
      </c>
      <c r="AX466" t="str">
        <f>tbl_OriginalData[[#This Row],[Discount_Sensitivity]]</f>
        <v>Somewhat Sensitive</v>
      </c>
      <c r="AY466" s="3">
        <f>tbl_OriginalData[[#This Row],[Return_Rate]]/tbl_OriginalData[[#This Row],[Frequency_of_Purchase]]</f>
        <v>0.25</v>
      </c>
      <c r="AZ466">
        <f>tbl_OriginalData[[#This Row],[Customer_Satisfaction]]</f>
        <v>1</v>
      </c>
      <c r="BA466" t="str">
        <f>tbl_OriginalData[[#This Row],[Engagement_with_Ads]]</f>
        <v>Low</v>
      </c>
      <c r="BB466" t="str">
        <f>tbl_OriginalData[[#This Row],[Device_Used_for_Shopping]]</f>
        <v>Tablet</v>
      </c>
      <c r="BC466" t="str">
        <f>tbl_OriginalData[[#This Row],[Payment_Method]]</f>
        <v>Credit Card</v>
      </c>
      <c r="BD466" s="1">
        <f>tbl_OriginalData[[#This Row],[Time_of_Purchase]]</f>
        <v>45512</v>
      </c>
      <c r="BE466" t="str">
        <f>IF(tbl_OriginalData[[#This Row],[Discount_Used]]=TRUE,"Yes","No")</f>
        <v>Yes</v>
      </c>
      <c r="BF466" t="str">
        <f>IF(tbl_OriginalData[[#This Row],[Customer_Loyalty_Program_Member]]=TRUE,"Yes","No")</f>
        <v>Yes</v>
      </c>
      <c r="BG466" t="str">
        <f>tbl_OriginalData[[#This Row],[Purchase_Intent]]</f>
        <v>Wants-based</v>
      </c>
      <c r="BH466" t="str">
        <f>tbl_OriginalData[[#This Row],[Shipping_Preference]]</f>
        <v>No Preference</v>
      </c>
      <c r="BI466">
        <f>tbl_OriginalData[[#This Row],[Time_to_Decision]]</f>
        <v>12</v>
      </c>
      <c r="BJ466" t="s">
        <v>124</v>
      </c>
      <c r="BK466" t="s">
        <v>115</v>
      </c>
      <c r="BL466" t="s">
        <v>2523</v>
      </c>
    </row>
    <row r="467" spans="1:64">
      <c r="A467" t="s">
        <v>1141</v>
      </c>
      <c r="B467">
        <v>34</v>
      </c>
      <c r="C467" t="s">
        <v>33</v>
      </c>
      <c r="D467" t="s">
        <v>51</v>
      </c>
      <c r="E467" t="s">
        <v>82</v>
      </c>
      <c r="F467" t="s">
        <v>66</v>
      </c>
      <c r="G467" t="s">
        <v>51</v>
      </c>
      <c r="H467" t="s">
        <v>1142</v>
      </c>
      <c r="I467" t="s">
        <v>131</v>
      </c>
      <c r="J467">
        <v>402.86</v>
      </c>
      <c r="K467">
        <v>11</v>
      </c>
      <c r="L467" t="s">
        <v>55</v>
      </c>
      <c r="M467">
        <v>3</v>
      </c>
      <c r="N467">
        <v>5</v>
      </c>
      <c r="O467">
        <v>1</v>
      </c>
      <c r="P467" t="s">
        <v>51</v>
      </c>
      <c r="Q467" t="s">
        <v>57</v>
      </c>
      <c r="R467">
        <v>0</v>
      </c>
      <c r="S467">
        <v>2</v>
      </c>
      <c r="T467" t="s">
        <v>40</v>
      </c>
      <c r="U467" t="s">
        <v>95</v>
      </c>
      <c r="V467" t="s">
        <v>102</v>
      </c>
      <c r="W467" s="1">
        <v>45540</v>
      </c>
      <c r="X467" t="b">
        <v>0</v>
      </c>
      <c r="Y467" t="b">
        <v>0</v>
      </c>
      <c r="Z467" t="s">
        <v>72</v>
      </c>
      <c r="AA467" t="s">
        <v>60</v>
      </c>
      <c r="AB467">
        <v>8</v>
      </c>
      <c r="AF467" t="str">
        <f>tbl_OriginalData[[#This Row],[Customer_ID]]</f>
        <v>32-799-7704</v>
      </c>
      <c r="AG467">
        <f>tbl_OriginalData[[#This Row],[Age]]</f>
        <v>34</v>
      </c>
      <c r="AH467" t="str" cm="1">
        <f t="array" ref="AH46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67" t="str">
        <f>tbl_OriginalData[[#This Row],[Gender]]</f>
        <v>Female</v>
      </c>
      <c r="AJ467" t="str">
        <f>tbl_OriginalData[[#This Row],[Income_Level]]</f>
        <v>High</v>
      </c>
      <c r="AK467" t="str">
        <f>tbl_OriginalData[[#This Row],[Marital_Status]]</f>
        <v>Widowed</v>
      </c>
      <c r="AL467" t="str">
        <f>tbl_OriginalData[[#This Row],[Education_Level]]</f>
        <v>Master's</v>
      </c>
      <c r="AM467" t="str">
        <f>tbl_OriginalData[[#This Row],[Occupation]]</f>
        <v>High</v>
      </c>
      <c r="AN467" t="s">
        <v>1142</v>
      </c>
      <c r="AO467" t="s">
        <v>186</v>
      </c>
      <c r="AP467" t="str">
        <f>tbl_OriginalData[[#This Row],[Purchase_Category]]</f>
        <v>Health Care</v>
      </c>
      <c r="AQ467" s="4">
        <f>tbl_OriginalData[[#This Row],[Purchase_Amount]]</f>
        <v>402.86</v>
      </c>
      <c r="AR467">
        <f>tbl_OriginalData[[#This Row],[Frequency_of_Purchase]]</f>
        <v>11</v>
      </c>
      <c r="AS467" t="str">
        <f>tbl_OriginalData[[#This Row],[Purchase_Channel]]</f>
        <v>In-Store</v>
      </c>
      <c r="AT467">
        <f>tbl_OriginalData[[#This Row],[Brand_Loyalty]]</f>
        <v>3</v>
      </c>
      <c r="AU467">
        <f>tbl_OriginalData[[#This Row],[Product_Rating]]</f>
        <v>5</v>
      </c>
      <c r="AV467">
        <f>tbl_OriginalData[[#This Row],[Time_Spent_on_Product_Research(hours)]]*60</f>
        <v>60</v>
      </c>
      <c r="AW467" t="str">
        <f>tbl_OriginalData[[#This Row],[Social_Media_Influence]]</f>
        <v>High</v>
      </c>
      <c r="AX467" t="str">
        <f>tbl_OriginalData[[#This Row],[Discount_Sensitivity]]</f>
        <v>Not Sensitive</v>
      </c>
      <c r="AY467" s="3">
        <f>tbl_OriginalData[[#This Row],[Return_Rate]]/tbl_OriginalData[[#This Row],[Frequency_of_Purchase]]</f>
        <v>0</v>
      </c>
      <c r="AZ467">
        <f>tbl_OriginalData[[#This Row],[Customer_Satisfaction]]</f>
        <v>2</v>
      </c>
      <c r="BA467" t="str">
        <f>tbl_OriginalData[[#This Row],[Engagement_with_Ads]]</f>
        <v>None</v>
      </c>
      <c r="BB467" t="str">
        <f>tbl_OriginalData[[#This Row],[Device_Used_for_Shopping]]</f>
        <v>Desktop</v>
      </c>
      <c r="BC467" t="str">
        <f>tbl_OriginalData[[#This Row],[Payment_Method]]</f>
        <v>Cash</v>
      </c>
      <c r="BD467" s="1">
        <f>tbl_OriginalData[[#This Row],[Time_of_Purchase]]</f>
        <v>45540</v>
      </c>
      <c r="BE467" t="str">
        <f>IF(tbl_OriginalData[[#This Row],[Discount_Used]]=TRUE,"Yes","No")</f>
        <v>No</v>
      </c>
      <c r="BF467" t="str">
        <f>IF(tbl_OriginalData[[#This Row],[Customer_Loyalty_Program_Member]]=TRUE,"Yes","No")</f>
        <v>No</v>
      </c>
      <c r="BG467" t="str">
        <f>tbl_OriginalData[[#This Row],[Purchase_Intent]]</f>
        <v>Impulsive</v>
      </c>
      <c r="BH467" t="str">
        <f>tbl_OriginalData[[#This Row],[Shipping_Preference]]</f>
        <v>Standard</v>
      </c>
      <c r="BI467">
        <f>tbl_OriginalData[[#This Row],[Time_to_Decision]]</f>
        <v>8</v>
      </c>
      <c r="BJ467" t="s">
        <v>172</v>
      </c>
      <c r="BK467" t="s">
        <v>115</v>
      </c>
      <c r="BL467" t="s">
        <v>2523</v>
      </c>
    </row>
    <row r="468" spans="1:64">
      <c r="A468" t="s">
        <v>1143</v>
      </c>
      <c r="B468">
        <v>42</v>
      </c>
      <c r="C468" t="s">
        <v>50</v>
      </c>
      <c r="D468" t="s">
        <v>51</v>
      </c>
      <c r="E468" t="s">
        <v>65</v>
      </c>
      <c r="F468" t="s">
        <v>36</v>
      </c>
      <c r="G468" t="s">
        <v>34</v>
      </c>
      <c r="H468" t="s">
        <v>1144</v>
      </c>
      <c r="I468" t="s">
        <v>38</v>
      </c>
      <c r="J468">
        <v>333.18</v>
      </c>
      <c r="K468">
        <v>6</v>
      </c>
      <c r="L468" t="s">
        <v>55</v>
      </c>
      <c r="M468">
        <v>1</v>
      </c>
      <c r="N468">
        <v>1</v>
      </c>
      <c r="O468">
        <v>0</v>
      </c>
      <c r="P468" t="s">
        <v>56</v>
      </c>
      <c r="Q468" t="s">
        <v>101</v>
      </c>
      <c r="R468">
        <v>2</v>
      </c>
      <c r="S468">
        <v>5</v>
      </c>
      <c r="T468" t="s">
        <v>69</v>
      </c>
      <c r="U468" t="s">
        <v>70</v>
      </c>
      <c r="V468" t="s">
        <v>76</v>
      </c>
      <c r="W468" s="1">
        <v>45398</v>
      </c>
      <c r="X468" t="b">
        <v>1</v>
      </c>
      <c r="Y468" t="b">
        <v>0</v>
      </c>
      <c r="Z468" t="s">
        <v>89</v>
      </c>
      <c r="AA468" t="s">
        <v>77</v>
      </c>
      <c r="AB468">
        <v>8</v>
      </c>
      <c r="AF468" t="str">
        <f>tbl_OriginalData[[#This Row],[Customer_ID]]</f>
        <v>09-369-0588</v>
      </c>
      <c r="AG468">
        <f>tbl_OriginalData[[#This Row],[Age]]</f>
        <v>42</v>
      </c>
      <c r="AH468" t="str" cm="1">
        <f t="array" ref="AH46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68" t="str">
        <f>tbl_OriginalData[[#This Row],[Gender]]</f>
        <v>Male</v>
      </c>
      <c r="AJ468" t="str">
        <f>tbl_OriginalData[[#This Row],[Income_Level]]</f>
        <v>High</v>
      </c>
      <c r="AK468" t="str">
        <f>tbl_OriginalData[[#This Row],[Marital_Status]]</f>
        <v>Single</v>
      </c>
      <c r="AL468" t="str">
        <f>tbl_OriginalData[[#This Row],[Education_Level]]</f>
        <v>Bachelor's</v>
      </c>
      <c r="AM468" t="str">
        <f>tbl_OriginalData[[#This Row],[Occupation]]</f>
        <v>Middle</v>
      </c>
      <c r="AN468" t="s">
        <v>1144</v>
      </c>
      <c r="AO468" t="s">
        <v>194</v>
      </c>
      <c r="AP468" t="str">
        <f>tbl_OriginalData[[#This Row],[Purchase_Category]]</f>
        <v>Gardening &amp; Outdoors</v>
      </c>
      <c r="AQ468" s="4">
        <f>tbl_OriginalData[[#This Row],[Purchase_Amount]]</f>
        <v>333.18</v>
      </c>
      <c r="AR468">
        <f>tbl_OriginalData[[#This Row],[Frequency_of_Purchase]]</f>
        <v>6</v>
      </c>
      <c r="AS468" t="str">
        <f>tbl_OriginalData[[#This Row],[Purchase_Channel]]</f>
        <v>In-Store</v>
      </c>
      <c r="AT468">
        <f>tbl_OriginalData[[#This Row],[Brand_Loyalty]]</f>
        <v>1</v>
      </c>
      <c r="AU468">
        <f>tbl_OriginalData[[#This Row],[Product_Rating]]</f>
        <v>1</v>
      </c>
      <c r="AV468">
        <f>tbl_OriginalData[[#This Row],[Time_Spent_on_Product_Research(hours)]]*60</f>
        <v>0</v>
      </c>
      <c r="AW468" t="str">
        <f>tbl_OriginalData[[#This Row],[Social_Media_Influence]]</f>
        <v>Medium</v>
      </c>
      <c r="AX468" t="str">
        <f>tbl_OriginalData[[#This Row],[Discount_Sensitivity]]</f>
        <v>Very Sensitive</v>
      </c>
      <c r="AY468" s="3">
        <f>tbl_OriginalData[[#This Row],[Return_Rate]]/tbl_OriginalData[[#This Row],[Frequency_of_Purchase]]</f>
        <v>0.33333333333333331</v>
      </c>
      <c r="AZ468">
        <f>tbl_OriginalData[[#This Row],[Customer_Satisfaction]]</f>
        <v>5</v>
      </c>
      <c r="BA468" t="str">
        <f>tbl_OriginalData[[#This Row],[Engagement_with_Ads]]</f>
        <v>Low</v>
      </c>
      <c r="BB468" t="str">
        <f>tbl_OriginalData[[#This Row],[Device_Used_for_Shopping]]</f>
        <v>Smartphone</v>
      </c>
      <c r="BC468" t="str">
        <f>tbl_OriginalData[[#This Row],[Payment_Method]]</f>
        <v>Other</v>
      </c>
      <c r="BD468" s="1">
        <f>tbl_OriginalData[[#This Row],[Time_of_Purchase]]</f>
        <v>45398</v>
      </c>
      <c r="BE468" t="str">
        <f>IF(tbl_OriginalData[[#This Row],[Discount_Used]]=TRUE,"Yes","No")</f>
        <v>Yes</v>
      </c>
      <c r="BF468" t="str">
        <f>IF(tbl_OriginalData[[#This Row],[Customer_Loyalty_Program_Member]]=TRUE,"Yes","No")</f>
        <v>No</v>
      </c>
      <c r="BG468" t="str">
        <f>tbl_OriginalData[[#This Row],[Purchase_Intent]]</f>
        <v>Planned</v>
      </c>
      <c r="BH468" t="str">
        <f>tbl_OriginalData[[#This Row],[Shipping_Preference]]</f>
        <v>Express</v>
      </c>
      <c r="BI468">
        <f>tbl_OriginalData[[#This Row],[Time_to_Decision]]</f>
        <v>8</v>
      </c>
      <c r="BJ468" t="s">
        <v>62</v>
      </c>
      <c r="BK468" t="s">
        <v>63</v>
      </c>
      <c r="BL468" t="s">
        <v>2524</v>
      </c>
    </row>
    <row r="469" spans="1:64">
      <c r="A469" t="s">
        <v>1145</v>
      </c>
      <c r="B469">
        <v>28</v>
      </c>
      <c r="C469" t="s">
        <v>33</v>
      </c>
      <c r="D469" t="s">
        <v>51</v>
      </c>
      <c r="E469" t="s">
        <v>82</v>
      </c>
      <c r="F469" t="s">
        <v>66</v>
      </c>
      <c r="G469" t="s">
        <v>34</v>
      </c>
      <c r="H469" t="s">
        <v>1146</v>
      </c>
      <c r="I469" t="s">
        <v>170</v>
      </c>
      <c r="J469">
        <v>73.23</v>
      </c>
      <c r="K469">
        <v>8</v>
      </c>
      <c r="L469" t="s">
        <v>94</v>
      </c>
      <c r="M469">
        <v>2</v>
      </c>
      <c r="N469">
        <v>2</v>
      </c>
      <c r="O469">
        <v>2</v>
      </c>
      <c r="P469" t="s">
        <v>69</v>
      </c>
      <c r="Q469" t="s">
        <v>101</v>
      </c>
      <c r="R469">
        <v>1</v>
      </c>
      <c r="S469">
        <v>2</v>
      </c>
      <c r="T469" t="s">
        <v>69</v>
      </c>
      <c r="U469" t="s">
        <v>70</v>
      </c>
      <c r="V469" t="s">
        <v>43</v>
      </c>
      <c r="W469" s="1">
        <v>45490</v>
      </c>
      <c r="X469" t="b">
        <v>1</v>
      </c>
      <c r="Y469" t="b">
        <v>1</v>
      </c>
      <c r="Z469" t="s">
        <v>44</v>
      </c>
      <c r="AA469" t="s">
        <v>45</v>
      </c>
      <c r="AB469">
        <v>6</v>
      </c>
      <c r="AF469" t="str">
        <f>tbl_OriginalData[[#This Row],[Customer_ID]]</f>
        <v>87-727-6434</v>
      </c>
      <c r="AG469">
        <f>tbl_OriginalData[[#This Row],[Age]]</f>
        <v>28</v>
      </c>
      <c r="AH469" t="str" cm="1">
        <f t="array" ref="AH46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69" t="str">
        <f>tbl_OriginalData[[#This Row],[Gender]]</f>
        <v>Female</v>
      </c>
      <c r="AJ469" t="str">
        <f>tbl_OriginalData[[#This Row],[Income_Level]]</f>
        <v>High</v>
      </c>
      <c r="AK469" t="str">
        <f>tbl_OriginalData[[#This Row],[Marital_Status]]</f>
        <v>Widowed</v>
      </c>
      <c r="AL469" t="str">
        <f>tbl_OriginalData[[#This Row],[Education_Level]]</f>
        <v>Master's</v>
      </c>
      <c r="AM469" t="str">
        <f>tbl_OriginalData[[#This Row],[Occupation]]</f>
        <v>Middle</v>
      </c>
      <c r="AN469" t="s">
        <v>1146</v>
      </c>
      <c r="AO469" t="s">
        <v>328</v>
      </c>
      <c r="AP469" t="str">
        <f>tbl_OriginalData[[#This Row],[Purchase_Category]]</f>
        <v>Arts &amp; Crafts</v>
      </c>
      <c r="AQ469" s="4">
        <f>tbl_OriginalData[[#This Row],[Purchase_Amount]]</f>
        <v>73.23</v>
      </c>
      <c r="AR469">
        <f>tbl_OriginalData[[#This Row],[Frequency_of_Purchase]]</f>
        <v>8</v>
      </c>
      <c r="AS469" t="str">
        <f>tbl_OriginalData[[#This Row],[Purchase_Channel]]</f>
        <v>Online</v>
      </c>
      <c r="AT469">
        <f>tbl_OriginalData[[#This Row],[Brand_Loyalty]]</f>
        <v>2</v>
      </c>
      <c r="AU469">
        <f>tbl_OriginalData[[#This Row],[Product_Rating]]</f>
        <v>2</v>
      </c>
      <c r="AV469">
        <f>tbl_OriginalData[[#This Row],[Time_Spent_on_Product_Research(hours)]]*60</f>
        <v>120</v>
      </c>
      <c r="AW469" t="str">
        <f>tbl_OriginalData[[#This Row],[Social_Media_Influence]]</f>
        <v>Low</v>
      </c>
      <c r="AX469" t="str">
        <f>tbl_OriginalData[[#This Row],[Discount_Sensitivity]]</f>
        <v>Very Sensitive</v>
      </c>
      <c r="AY469" s="3">
        <f>tbl_OriginalData[[#This Row],[Return_Rate]]/tbl_OriginalData[[#This Row],[Frequency_of_Purchase]]</f>
        <v>0.125</v>
      </c>
      <c r="AZ469">
        <f>tbl_OriginalData[[#This Row],[Customer_Satisfaction]]</f>
        <v>2</v>
      </c>
      <c r="BA469" t="str">
        <f>tbl_OriginalData[[#This Row],[Engagement_with_Ads]]</f>
        <v>Low</v>
      </c>
      <c r="BB469" t="str">
        <f>tbl_OriginalData[[#This Row],[Device_Used_for_Shopping]]</f>
        <v>Smartphone</v>
      </c>
      <c r="BC469" t="str">
        <f>tbl_OriginalData[[#This Row],[Payment_Method]]</f>
        <v>Credit Card</v>
      </c>
      <c r="BD469" s="1">
        <f>tbl_OriginalData[[#This Row],[Time_of_Purchase]]</f>
        <v>45490</v>
      </c>
      <c r="BE469" t="str">
        <f>IF(tbl_OriginalData[[#This Row],[Discount_Used]]=TRUE,"Yes","No")</f>
        <v>Yes</v>
      </c>
      <c r="BF469" t="str">
        <f>IF(tbl_OriginalData[[#This Row],[Customer_Loyalty_Program_Member]]=TRUE,"Yes","No")</f>
        <v>Yes</v>
      </c>
      <c r="BG469" t="str">
        <f>tbl_OriginalData[[#This Row],[Purchase_Intent]]</f>
        <v>Need-based</v>
      </c>
      <c r="BH469" t="str">
        <f>tbl_OriginalData[[#This Row],[Shipping_Preference]]</f>
        <v>No Preference</v>
      </c>
      <c r="BI469">
        <f>tbl_OriginalData[[#This Row],[Time_to_Decision]]</f>
        <v>6</v>
      </c>
      <c r="BJ469" t="s">
        <v>114</v>
      </c>
      <c r="BK469" t="s">
        <v>115</v>
      </c>
      <c r="BL469" t="s">
        <v>2527</v>
      </c>
    </row>
    <row r="470" spans="1:64">
      <c r="A470" t="s">
        <v>1147</v>
      </c>
      <c r="B470">
        <v>28</v>
      </c>
      <c r="C470" t="s">
        <v>50</v>
      </c>
      <c r="D470" t="s">
        <v>51</v>
      </c>
      <c r="E470" t="s">
        <v>92</v>
      </c>
      <c r="F470" t="s">
        <v>66</v>
      </c>
      <c r="G470" t="s">
        <v>34</v>
      </c>
      <c r="H470" t="s">
        <v>1148</v>
      </c>
      <c r="I470" t="s">
        <v>84</v>
      </c>
      <c r="J470">
        <v>450.47</v>
      </c>
      <c r="K470">
        <v>11</v>
      </c>
      <c r="L470" t="s">
        <v>94</v>
      </c>
      <c r="M470">
        <v>5</v>
      </c>
      <c r="N470">
        <v>2</v>
      </c>
      <c r="O470">
        <v>2</v>
      </c>
      <c r="P470" t="s">
        <v>40</v>
      </c>
      <c r="Q470" t="s">
        <v>57</v>
      </c>
      <c r="R470">
        <v>2</v>
      </c>
      <c r="S470">
        <v>3</v>
      </c>
      <c r="T470" t="s">
        <v>40</v>
      </c>
      <c r="U470" t="s">
        <v>70</v>
      </c>
      <c r="V470" t="s">
        <v>43</v>
      </c>
      <c r="W470" s="1">
        <v>45369</v>
      </c>
      <c r="X470" t="b">
        <v>1</v>
      </c>
      <c r="Y470" t="b">
        <v>1</v>
      </c>
      <c r="Z470" t="s">
        <v>59</v>
      </c>
      <c r="AA470" t="s">
        <v>77</v>
      </c>
      <c r="AB470">
        <v>10</v>
      </c>
      <c r="AF470" t="str">
        <f>tbl_OriginalData[[#This Row],[Customer_ID]]</f>
        <v>18-793-9543</v>
      </c>
      <c r="AG470">
        <f>tbl_OriginalData[[#This Row],[Age]]</f>
        <v>28</v>
      </c>
      <c r="AH470" t="str" cm="1">
        <f t="array" ref="AH47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70" t="str">
        <f>tbl_OriginalData[[#This Row],[Gender]]</f>
        <v>Male</v>
      </c>
      <c r="AJ470" t="str">
        <f>tbl_OriginalData[[#This Row],[Income_Level]]</f>
        <v>High</v>
      </c>
      <c r="AK470" t="str">
        <f>tbl_OriginalData[[#This Row],[Marital_Status]]</f>
        <v>Divorced</v>
      </c>
      <c r="AL470" t="str">
        <f>tbl_OriginalData[[#This Row],[Education_Level]]</f>
        <v>Master's</v>
      </c>
      <c r="AM470" t="str">
        <f>tbl_OriginalData[[#This Row],[Occupation]]</f>
        <v>Middle</v>
      </c>
      <c r="AN470" t="s">
        <v>1148</v>
      </c>
      <c r="AO470" t="s">
        <v>328</v>
      </c>
      <c r="AP470" t="str">
        <f>tbl_OriginalData[[#This Row],[Purchase_Category]]</f>
        <v>Furniture</v>
      </c>
      <c r="AQ470" s="4">
        <f>tbl_OriginalData[[#This Row],[Purchase_Amount]]</f>
        <v>450.47</v>
      </c>
      <c r="AR470">
        <f>tbl_OriginalData[[#This Row],[Frequency_of_Purchase]]</f>
        <v>11</v>
      </c>
      <c r="AS470" t="str">
        <f>tbl_OriginalData[[#This Row],[Purchase_Channel]]</f>
        <v>Online</v>
      </c>
      <c r="AT470">
        <f>tbl_OriginalData[[#This Row],[Brand_Loyalty]]</f>
        <v>5</v>
      </c>
      <c r="AU470">
        <f>tbl_OriginalData[[#This Row],[Product_Rating]]</f>
        <v>2</v>
      </c>
      <c r="AV470">
        <f>tbl_OriginalData[[#This Row],[Time_Spent_on_Product_Research(hours)]]*60</f>
        <v>120</v>
      </c>
      <c r="AW470" t="str">
        <f>tbl_OriginalData[[#This Row],[Social_Media_Influence]]</f>
        <v>None</v>
      </c>
      <c r="AX470" t="str">
        <f>tbl_OriginalData[[#This Row],[Discount_Sensitivity]]</f>
        <v>Not Sensitive</v>
      </c>
      <c r="AY470" s="3">
        <f>tbl_OriginalData[[#This Row],[Return_Rate]]/tbl_OriginalData[[#This Row],[Frequency_of_Purchase]]</f>
        <v>0.18181818181818182</v>
      </c>
      <c r="AZ470">
        <f>tbl_OriginalData[[#This Row],[Customer_Satisfaction]]</f>
        <v>3</v>
      </c>
      <c r="BA470" t="str">
        <f>tbl_OriginalData[[#This Row],[Engagement_with_Ads]]</f>
        <v>None</v>
      </c>
      <c r="BB470" t="str">
        <f>tbl_OriginalData[[#This Row],[Device_Used_for_Shopping]]</f>
        <v>Smartphone</v>
      </c>
      <c r="BC470" t="str">
        <f>tbl_OriginalData[[#This Row],[Payment_Method]]</f>
        <v>Credit Card</v>
      </c>
      <c r="BD470" s="1">
        <f>tbl_OriginalData[[#This Row],[Time_of_Purchase]]</f>
        <v>45369</v>
      </c>
      <c r="BE470" t="str">
        <f>IF(tbl_OriginalData[[#This Row],[Discount_Used]]=TRUE,"Yes","No")</f>
        <v>Yes</v>
      </c>
      <c r="BF470" t="str">
        <f>IF(tbl_OriginalData[[#This Row],[Customer_Loyalty_Program_Member]]=TRUE,"Yes","No")</f>
        <v>Yes</v>
      </c>
      <c r="BG470" t="str">
        <f>tbl_OriginalData[[#This Row],[Purchase_Intent]]</f>
        <v>Wants-based</v>
      </c>
      <c r="BH470" t="str">
        <f>tbl_OriginalData[[#This Row],[Shipping_Preference]]</f>
        <v>Express</v>
      </c>
      <c r="BI470">
        <f>tbl_OriginalData[[#This Row],[Time_to_Decision]]</f>
        <v>10</v>
      </c>
      <c r="BJ470" t="s">
        <v>47</v>
      </c>
      <c r="BK470" t="s">
        <v>48</v>
      </c>
      <c r="BL470" t="s">
        <v>2527</v>
      </c>
    </row>
    <row r="471" spans="1:64">
      <c r="A471" t="s">
        <v>1149</v>
      </c>
      <c r="B471">
        <v>33</v>
      </c>
      <c r="C471" t="s">
        <v>50</v>
      </c>
      <c r="D471" t="s">
        <v>34</v>
      </c>
      <c r="E471" t="s">
        <v>65</v>
      </c>
      <c r="F471" t="s">
        <v>52</v>
      </c>
      <c r="G471" t="s">
        <v>51</v>
      </c>
      <c r="H471" t="s">
        <v>1150</v>
      </c>
      <c r="I471" t="s">
        <v>54</v>
      </c>
      <c r="J471">
        <v>175.74</v>
      </c>
      <c r="K471">
        <v>5</v>
      </c>
      <c r="L471" t="s">
        <v>94</v>
      </c>
      <c r="M471">
        <v>5</v>
      </c>
      <c r="N471">
        <v>4</v>
      </c>
      <c r="O471">
        <v>1</v>
      </c>
      <c r="P471" t="s">
        <v>56</v>
      </c>
      <c r="Q471" t="s">
        <v>57</v>
      </c>
      <c r="R471">
        <v>0</v>
      </c>
      <c r="S471">
        <v>6</v>
      </c>
      <c r="T471" t="s">
        <v>40</v>
      </c>
      <c r="U471" t="s">
        <v>42</v>
      </c>
      <c r="V471" t="s">
        <v>102</v>
      </c>
      <c r="W471" s="1">
        <v>45491</v>
      </c>
      <c r="X471" t="b">
        <v>0</v>
      </c>
      <c r="Y471" t="b">
        <v>1</v>
      </c>
      <c r="Z471" t="s">
        <v>72</v>
      </c>
      <c r="AA471" t="s">
        <v>45</v>
      </c>
      <c r="AB471">
        <v>6</v>
      </c>
      <c r="AF471" t="str">
        <f>tbl_OriginalData[[#This Row],[Customer_ID]]</f>
        <v>63-625-5757</v>
      </c>
      <c r="AG471">
        <f>tbl_OriginalData[[#This Row],[Age]]</f>
        <v>33</v>
      </c>
      <c r="AH471" t="str" cm="1">
        <f t="array" ref="AH47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71" t="str">
        <f>tbl_OriginalData[[#This Row],[Gender]]</f>
        <v>Male</v>
      </c>
      <c r="AJ471" t="str">
        <f>tbl_OriginalData[[#This Row],[Income_Level]]</f>
        <v>Middle</v>
      </c>
      <c r="AK471" t="str">
        <f>tbl_OriginalData[[#This Row],[Marital_Status]]</f>
        <v>Single</v>
      </c>
      <c r="AL471" t="str">
        <f>tbl_OriginalData[[#This Row],[Education_Level]]</f>
        <v>High School</v>
      </c>
      <c r="AM471" t="str">
        <f>tbl_OriginalData[[#This Row],[Occupation]]</f>
        <v>High</v>
      </c>
      <c r="AN471" t="s">
        <v>1150</v>
      </c>
      <c r="AO471" t="s">
        <v>109</v>
      </c>
      <c r="AP471" t="str">
        <f>tbl_OriginalData[[#This Row],[Purchase_Category]]</f>
        <v>Food &amp; Beverages</v>
      </c>
      <c r="AQ471" s="4">
        <f>tbl_OriginalData[[#This Row],[Purchase_Amount]]</f>
        <v>175.74</v>
      </c>
      <c r="AR471">
        <f>tbl_OriginalData[[#This Row],[Frequency_of_Purchase]]</f>
        <v>5</v>
      </c>
      <c r="AS471" t="str">
        <f>tbl_OriginalData[[#This Row],[Purchase_Channel]]</f>
        <v>Online</v>
      </c>
      <c r="AT471">
        <f>tbl_OriginalData[[#This Row],[Brand_Loyalty]]</f>
        <v>5</v>
      </c>
      <c r="AU471">
        <f>tbl_OriginalData[[#This Row],[Product_Rating]]</f>
        <v>4</v>
      </c>
      <c r="AV471">
        <f>tbl_OriginalData[[#This Row],[Time_Spent_on_Product_Research(hours)]]*60</f>
        <v>60</v>
      </c>
      <c r="AW471" t="str">
        <f>tbl_OriginalData[[#This Row],[Social_Media_Influence]]</f>
        <v>Medium</v>
      </c>
      <c r="AX471" t="str">
        <f>tbl_OriginalData[[#This Row],[Discount_Sensitivity]]</f>
        <v>Not Sensitive</v>
      </c>
      <c r="AY471" s="3">
        <f>tbl_OriginalData[[#This Row],[Return_Rate]]/tbl_OriginalData[[#This Row],[Frequency_of_Purchase]]</f>
        <v>0</v>
      </c>
      <c r="AZ471">
        <f>tbl_OriginalData[[#This Row],[Customer_Satisfaction]]</f>
        <v>6</v>
      </c>
      <c r="BA471" t="str">
        <f>tbl_OriginalData[[#This Row],[Engagement_with_Ads]]</f>
        <v>None</v>
      </c>
      <c r="BB471" t="str">
        <f>tbl_OriginalData[[#This Row],[Device_Used_for_Shopping]]</f>
        <v>Tablet</v>
      </c>
      <c r="BC471" t="str">
        <f>tbl_OriginalData[[#This Row],[Payment_Method]]</f>
        <v>Cash</v>
      </c>
      <c r="BD471" s="1">
        <f>tbl_OriginalData[[#This Row],[Time_of_Purchase]]</f>
        <v>45491</v>
      </c>
      <c r="BE471" t="str">
        <f>IF(tbl_OriginalData[[#This Row],[Discount_Used]]=TRUE,"Yes","No")</f>
        <v>No</v>
      </c>
      <c r="BF471" t="str">
        <f>IF(tbl_OriginalData[[#This Row],[Customer_Loyalty_Program_Member]]=TRUE,"Yes","No")</f>
        <v>Yes</v>
      </c>
      <c r="BG471" t="str">
        <f>tbl_OriginalData[[#This Row],[Purchase_Intent]]</f>
        <v>Impulsive</v>
      </c>
      <c r="BH471" t="str">
        <f>tbl_OriginalData[[#This Row],[Shipping_Preference]]</f>
        <v>No Preference</v>
      </c>
      <c r="BI471">
        <f>tbl_OriginalData[[#This Row],[Time_to_Decision]]</f>
        <v>6</v>
      </c>
      <c r="BJ471" t="s">
        <v>114</v>
      </c>
      <c r="BK471" t="s">
        <v>115</v>
      </c>
      <c r="BL471" t="s">
        <v>2526</v>
      </c>
    </row>
    <row r="472" spans="1:64">
      <c r="A472" t="s">
        <v>1151</v>
      </c>
      <c r="B472">
        <v>31</v>
      </c>
      <c r="C472" t="s">
        <v>33</v>
      </c>
      <c r="D472" t="s">
        <v>34</v>
      </c>
      <c r="E472" t="s">
        <v>65</v>
      </c>
      <c r="F472" t="s">
        <v>66</v>
      </c>
      <c r="G472" t="s">
        <v>51</v>
      </c>
      <c r="H472" t="s">
        <v>1152</v>
      </c>
      <c r="I472" t="s">
        <v>135</v>
      </c>
      <c r="J472">
        <v>182.6</v>
      </c>
      <c r="K472">
        <v>4</v>
      </c>
      <c r="L472" t="s">
        <v>94</v>
      </c>
      <c r="M472">
        <v>5</v>
      </c>
      <c r="N472">
        <v>2</v>
      </c>
      <c r="O472">
        <v>0.3</v>
      </c>
      <c r="P472" t="s">
        <v>69</v>
      </c>
      <c r="Q472" t="s">
        <v>57</v>
      </c>
      <c r="R472">
        <v>2</v>
      </c>
      <c r="S472">
        <v>9</v>
      </c>
      <c r="T472" t="s">
        <v>51</v>
      </c>
      <c r="U472" t="s">
        <v>42</v>
      </c>
      <c r="V472" t="s">
        <v>58</v>
      </c>
      <c r="W472" s="1">
        <v>45443</v>
      </c>
      <c r="X472" t="b">
        <v>0</v>
      </c>
      <c r="Y472" t="b">
        <v>1</v>
      </c>
      <c r="Z472" t="s">
        <v>59</v>
      </c>
      <c r="AA472" t="s">
        <v>77</v>
      </c>
      <c r="AB472">
        <v>5</v>
      </c>
      <c r="AF472" t="str">
        <f>tbl_OriginalData[[#This Row],[Customer_ID]]</f>
        <v>93-413-4758</v>
      </c>
      <c r="AG472">
        <f>tbl_OriginalData[[#This Row],[Age]]</f>
        <v>31</v>
      </c>
      <c r="AH472" t="str" cm="1">
        <f t="array" ref="AH47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72" t="str">
        <f>tbl_OriginalData[[#This Row],[Gender]]</f>
        <v>Female</v>
      </c>
      <c r="AJ472" t="str">
        <f>tbl_OriginalData[[#This Row],[Income_Level]]</f>
        <v>Middle</v>
      </c>
      <c r="AK472" t="str">
        <f>tbl_OriginalData[[#This Row],[Marital_Status]]</f>
        <v>Single</v>
      </c>
      <c r="AL472" t="str">
        <f>tbl_OriginalData[[#This Row],[Education_Level]]</f>
        <v>Master's</v>
      </c>
      <c r="AM472" t="str">
        <f>tbl_OriginalData[[#This Row],[Occupation]]</f>
        <v>High</v>
      </c>
      <c r="AN472" t="s">
        <v>1152</v>
      </c>
      <c r="AO472" t="s">
        <v>85</v>
      </c>
      <c r="AP472" t="str">
        <f>tbl_OriginalData[[#This Row],[Purchase_Category]]</f>
        <v>Hotels</v>
      </c>
      <c r="AQ472" s="4">
        <f>tbl_OriginalData[[#This Row],[Purchase_Amount]]</f>
        <v>182.6</v>
      </c>
      <c r="AR472">
        <f>tbl_OriginalData[[#This Row],[Frequency_of_Purchase]]</f>
        <v>4</v>
      </c>
      <c r="AS472" t="str">
        <f>tbl_OriginalData[[#This Row],[Purchase_Channel]]</f>
        <v>Online</v>
      </c>
      <c r="AT472">
        <f>tbl_OriginalData[[#This Row],[Brand_Loyalty]]</f>
        <v>5</v>
      </c>
      <c r="AU472">
        <f>tbl_OriginalData[[#This Row],[Product_Rating]]</f>
        <v>2</v>
      </c>
      <c r="AV472">
        <f>tbl_OriginalData[[#This Row],[Time_Spent_on_Product_Research(hours)]]*60</f>
        <v>18</v>
      </c>
      <c r="AW472" t="str">
        <f>tbl_OriginalData[[#This Row],[Social_Media_Influence]]</f>
        <v>Low</v>
      </c>
      <c r="AX472" t="str">
        <f>tbl_OriginalData[[#This Row],[Discount_Sensitivity]]</f>
        <v>Not Sensitive</v>
      </c>
      <c r="AY472" s="3">
        <f>tbl_OriginalData[[#This Row],[Return_Rate]]/tbl_OriginalData[[#This Row],[Frequency_of_Purchase]]</f>
        <v>0.5</v>
      </c>
      <c r="AZ472">
        <f>tbl_OriginalData[[#This Row],[Customer_Satisfaction]]</f>
        <v>9</v>
      </c>
      <c r="BA472" t="str">
        <f>tbl_OriginalData[[#This Row],[Engagement_with_Ads]]</f>
        <v>High</v>
      </c>
      <c r="BB472" t="str">
        <f>tbl_OriginalData[[#This Row],[Device_Used_for_Shopping]]</f>
        <v>Tablet</v>
      </c>
      <c r="BC472" t="str">
        <f>tbl_OriginalData[[#This Row],[Payment_Method]]</f>
        <v>PayPal</v>
      </c>
      <c r="BD472" s="1">
        <f>tbl_OriginalData[[#This Row],[Time_of_Purchase]]</f>
        <v>45443</v>
      </c>
      <c r="BE472" t="str">
        <f>IF(tbl_OriginalData[[#This Row],[Discount_Used]]=TRUE,"Yes","No")</f>
        <v>No</v>
      </c>
      <c r="BF472" t="str">
        <f>IF(tbl_OriginalData[[#This Row],[Customer_Loyalty_Program_Member]]=TRUE,"Yes","No")</f>
        <v>Yes</v>
      </c>
      <c r="BG472" t="str">
        <f>tbl_OriginalData[[#This Row],[Purchase_Intent]]</f>
        <v>Wants-based</v>
      </c>
      <c r="BH472" t="str">
        <f>tbl_OriginalData[[#This Row],[Shipping_Preference]]</f>
        <v>Express</v>
      </c>
      <c r="BI472">
        <f>tbl_OriginalData[[#This Row],[Time_to_Decision]]</f>
        <v>5</v>
      </c>
      <c r="BJ472" t="s">
        <v>167</v>
      </c>
      <c r="BK472" t="s">
        <v>63</v>
      </c>
      <c r="BL472" t="s">
        <v>2524</v>
      </c>
    </row>
    <row r="473" spans="1:64">
      <c r="A473" t="s">
        <v>1153</v>
      </c>
      <c r="B473">
        <v>20</v>
      </c>
      <c r="C473" t="s">
        <v>33</v>
      </c>
      <c r="D473" t="s">
        <v>34</v>
      </c>
      <c r="E473" t="s">
        <v>82</v>
      </c>
      <c r="F473" t="s">
        <v>36</v>
      </c>
      <c r="G473" t="s">
        <v>51</v>
      </c>
      <c r="H473" t="s">
        <v>1154</v>
      </c>
      <c r="I473" t="s">
        <v>306</v>
      </c>
      <c r="J473">
        <v>497.8</v>
      </c>
      <c r="K473">
        <v>2</v>
      </c>
      <c r="L473" t="s">
        <v>94</v>
      </c>
      <c r="M473">
        <v>3</v>
      </c>
      <c r="N473">
        <v>5</v>
      </c>
      <c r="O473">
        <v>0.2</v>
      </c>
      <c r="P473" t="s">
        <v>51</v>
      </c>
      <c r="Q473" t="s">
        <v>41</v>
      </c>
      <c r="R473">
        <v>1</v>
      </c>
      <c r="S473">
        <v>2</v>
      </c>
      <c r="T473" t="s">
        <v>56</v>
      </c>
      <c r="U473" t="s">
        <v>70</v>
      </c>
      <c r="V473" t="s">
        <v>76</v>
      </c>
      <c r="W473" s="1">
        <v>45312</v>
      </c>
      <c r="X473" t="b">
        <v>1</v>
      </c>
      <c r="Y473" t="b">
        <v>0</v>
      </c>
      <c r="Z473" t="s">
        <v>59</v>
      </c>
      <c r="AA473" t="s">
        <v>45</v>
      </c>
      <c r="AB473">
        <v>9</v>
      </c>
      <c r="AF473" t="str">
        <f>tbl_OriginalData[[#This Row],[Customer_ID]]</f>
        <v>15-663-7994</v>
      </c>
      <c r="AG473">
        <f>tbl_OriginalData[[#This Row],[Age]]</f>
        <v>20</v>
      </c>
      <c r="AH473" t="str" cm="1">
        <f t="array" ref="AH47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73" t="str">
        <f>tbl_OriginalData[[#This Row],[Gender]]</f>
        <v>Female</v>
      </c>
      <c r="AJ473" t="str">
        <f>tbl_OriginalData[[#This Row],[Income_Level]]</f>
        <v>Middle</v>
      </c>
      <c r="AK473" t="str">
        <f>tbl_OriginalData[[#This Row],[Marital_Status]]</f>
        <v>Widowed</v>
      </c>
      <c r="AL473" t="str">
        <f>tbl_OriginalData[[#This Row],[Education_Level]]</f>
        <v>Bachelor's</v>
      </c>
      <c r="AM473" t="str">
        <f>tbl_OriginalData[[#This Row],[Occupation]]</f>
        <v>High</v>
      </c>
      <c r="AN473" t="s">
        <v>1154</v>
      </c>
      <c r="AO473" t="s">
        <v>90</v>
      </c>
      <c r="AP473" t="str">
        <f>tbl_OriginalData[[#This Row],[Purchase_Category]]</f>
        <v>Jewelry &amp; Accessories</v>
      </c>
      <c r="AQ473" s="4">
        <f>tbl_OriginalData[[#This Row],[Purchase_Amount]]</f>
        <v>497.8</v>
      </c>
      <c r="AR473">
        <f>tbl_OriginalData[[#This Row],[Frequency_of_Purchase]]</f>
        <v>2</v>
      </c>
      <c r="AS473" t="str">
        <f>tbl_OriginalData[[#This Row],[Purchase_Channel]]</f>
        <v>Online</v>
      </c>
      <c r="AT473">
        <f>tbl_OriginalData[[#This Row],[Brand_Loyalty]]</f>
        <v>3</v>
      </c>
      <c r="AU473">
        <f>tbl_OriginalData[[#This Row],[Product_Rating]]</f>
        <v>5</v>
      </c>
      <c r="AV473">
        <f>tbl_OriginalData[[#This Row],[Time_Spent_on_Product_Research(hours)]]*60</f>
        <v>12</v>
      </c>
      <c r="AW473" t="str">
        <f>tbl_OriginalData[[#This Row],[Social_Media_Influence]]</f>
        <v>High</v>
      </c>
      <c r="AX473" t="str">
        <f>tbl_OriginalData[[#This Row],[Discount_Sensitivity]]</f>
        <v>Somewhat Sensitive</v>
      </c>
      <c r="AY473" s="3">
        <f>tbl_OriginalData[[#This Row],[Return_Rate]]/tbl_OriginalData[[#This Row],[Frequency_of_Purchase]]</f>
        <v>0.5</v>
      </c>
      <c r="AZ473">
        <f>tbl_OriginalData[[#This Row],[Customer_Satisfaction]]</f>
        <v>2</v>
      </c>
      <c r="BA473" t="str">
        <f>tbl_OriginalData[[#This Row],[Engagement_with_Ads]]</f>
        <v>Medium</v>
      </c>
      <c r="BB473" t="str">
        <f>tbl_OriginalData[[#This Row],[Device_Used_for_Shopping]]</f>
        <v>Smartphone</v>
      </c>
      <c r="BC473" t="str">
        <f>tbl_OriginalData[[#This Row],[Payment_Method]]</f>
        <v>Other</v>
      </c>
      <c r="BD473" s="1">
        <f>tbl_OriginalData[[#This Row],[Time_of_Purchase]]</f>
        <v>45312</v>
      </c>
      <c r="BE473" t="str">
        <f>IF(tbl_OriginalData[[#This Row],[Discount_Used]]=TRUE,"Yes","No")</f>
        <v>Yes</v>
      </c>
      <c r="BF473" t="str">
        <f>IF(tbl_OriginalData[[#This Row],[Customer_Loyalty_Program_Member]]=TRUE,"Yes","No")</f>
        <v>No</v>
      </c>
      <c r="BG473" t="str">
        <f>tbl_OriginalData[[#This Row],[Purchase_Intent]]</f>
        <v>Wants-based</v>
      </c>
      <c r="BH473" t="str">
        <f>tbl_OriginalData[[#This Row],[Shipping_Preference]]</f>
        <v>No Preference</v>
      </c>
      <c r="BI473">
        <f>tbl_OriginalData[[#This Row],[Time_to_Decision]]</f>
        <v>9</v>
      </c>
      <c r="BJ473" t="s">
        <v>86</v>
      </c>
      <c r="BK473" t="s">
        <v>48</v>
      </c>
      <c r="BL473" t="s">
        <v>2524</v>
      </c>
    </row>
    <row r="474" spans="1:64">
      <c r="A474" t="s">
        <v>1155</v>
      </c>
      <c r="B474">
        <v>32</v>
      </c>
      <c r="C474" t="s">
        <v>50</v>
      </c>
      <c r="D474" t="s">
        <v>51</v>
      </c>
      <c r="E474" t="s">
        <v>92</v>
      </c>
      <c r="F474" t="s">
        <v>52</v>
      </c>
      <c r="G474" t="s">
        <v>51</v>
      </c>
      <c r="H474" t="s">
        <v>1156</v>
      </c>
      <c r="I474" t="s">
        <v>54</v>
      </c>
      <c r="J474">
        <v>171.17</v>
      </c>
      <c r="K474">
        <v>4</v>
      </c>
      <c r="L474" t="s">
        <v>55</v>
      </c>
      <c r="M474">
        <v>1</v>
      </c>
      <c r="N474">
        <v>3</v>
      </c>
      <c r="O474">
        <v>0</v>
      </c>
      <c r="P474" t="s">
        <v>51</v>
      </c>
      <c r="Q474" t="s">
        <v>41</v>
      </c>
      <c r="R474">
        <v>0</v>
      </c>
      <c r="S474">
        <v>4</v>
      </c>
      <c r="T474" t="s">
        <v>56</v>
      </c>
      <c r="U474" t="s">
        <v>95</v>
      </c>
      <c r="V474" t="s">
        <v>71</v>
      </c>
      <c r="W474" s="1">
        <v>45458</v>
      </c>
      <c r="X474" t="b">
        <v>0</v>
      </c>
      <c r="Y474" t="b">
        <v>1</v>
      </c>
      <c r="Z474" t="s">
        <v>59</v>
      </c>
      <c r="AA474" t="s">
        <v>60</v>
      </c>
      <c r="AB474">
        <v>12</v>
      </c>
      <c r="AF474" t="str">
        <f>tbl_OriginalData[[#This Row],[Customer_ID]]</f>
        <v>29-319-4519</v>
      </c>
      <c r="AG474">
        <f>tbl_OriginalData[[#This Row],[Age]]</f>
        <v>32</v>
      </c>
      <c r="AH474" t="str" cm="1">
        <f t="array" ref="AH47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74" t="str">
        <f>tbl_OriginalData[[#This Row],[Gender]]</f>
        <v>Male</v>
      </c>
      <c r="AJ474" t="str">
        <f>tbl_OriginalData[[#This Row],[Income_Level]]</f>
        <v>High</v>
      </c>
      <c r="AK474" t="str">
        <f>tbl_OriginalData[[#This Row],[Marital_Status]]</f>
        <v>Divorced</v>
      </c>
      <c r="AL474" t="str">
        <f>tbl_OriginalData[[#This Row],[Education_Level]]</f>
        <v>High School</v>
      </c>
      <c r="AM474" t="str">
        <f>tbl_OriginalData[[#This Row],[Occupation]]</f>
        <v>High</v>
      </c>
      <c r="AN474" t="s">
        <v>1156</v>
      </c>
      <c r="AO474" t="s">
        <v>103</v>
      </c>
      <c r="AP474" t="str">
        <f>tbl_OriginalData[[#This Row],[Purchase_Category]]</f>
        <v>Food &amp; Beverages</v>
      </c>
      <c r="AQ474" s="4">
        <f>tbl_OriginalData[[#This Row],[Purchase_Amount]]</f>
        <v>171.17</v>
      </c>
      <c r="AR474">
        <f>tbl_OriginalData[[#This Row],[Frequency_of_Purchase]]</f>
        <v>4</v>
      </c>
      <c r="AS474" t="str">
        <f>tbl_OriginalData[[#This Row],[Purchase_Channel]]</f>
        <v>In-Store</v>
      </c>
      <c r="AT474">
        <f>tbl_OriginalData[[#This Row],[Brand_Loyalty]]</f>
        <v>1</v>
      </c>
      <c r="AU474">
        <f>tbl_OriginalData[[#This Row],[Product_Rating]]</f>
        <v>3</v>
      </c>
      <c r="AV474">
        <f>tbl_OriginalData[[#This Row],[Time_Spent_on_Product_Research(hours)]]*60</f>
        <v>0</v>
      </c>
      <c r="AW474" t="str">
        <f>tbl_OriginalData[[#This Row],[Social_Media_Influence]]</f>
        <v>High</v>
      </c>
      <c r="AX474" t="str">
        <f>tbl_OriginalData[[#This Row],[Discount_Sensitivity]]</f>
        <v>Somewhat Sensitive</v>
      </c>
      <c r="AY474" s="3">
        <f>tbl_OriginalData[[#This Row],[Return_Rate]]/tbl_OriginalData[[#This Row],[Frequency_of_Purchase]]</f>
        <v>0</v>
      </c>
      <c r="AZ474">
        <f>tbl_OriginalData[[#This Row],[Customer_Satisfaction]]</f>
        <v>4</v>
      </c>
      <c r="BA474" t="str">
        <f>tbl_OriginalData[[#This Row],[Engagement_with_Ads]]</f>
        <v>Medium</v>
      </c>
      <c r="BB474" t="str">
        <f>tbl_OriginalData[[#This Row],[Device_Used_for_Shopping]]</f>
        <v>Desktop</v>
      </c>
      <c r="BC474" t="str">
        <f>tbl_OriginalData[[#This Row],[Payment_Method]]</f>
        <v>Debit Card</v>
      </c>
      <c r="BD474" s="1">
        <f>tbl_OriginalData[[#This Row],[Time_of_Purchase]]</f>
        <v>45458</v>
      </c>
      <c r="BE474" t="str">
        <f>IF(tbl_OriginalData[[#This Row],[Discount_Used]]=TRUE,"Yes","No")</f>
        <v>No</v>
      </c>
      <c r="BF474" t="str">
        <f>IF(tbl_OriginalData[[#This Row],[Customer_Loyalty_Program_Member]]=TRUE,"Yes","No")</f>
        <v>Yes</v>
      </c>
      <c r="BG474" t="str">
        <f>tbl_OriginalData[[#This Row],[Purchase_Intent]]</f>
        <v>Wants-based</v>
      </c>
      <c r="BH474" t="str">
        <f>tbl_OriginalData[[#This Row],[Shipping_Preference]]</f>
        <v>Standard</v>
      </c>
      <c r="BI474">
        <f>tbl_OriginalData[[#This Row],[Time_to_Decision]]</f>
        <v>12</v>
      </c>
      <c r="BJ474" t="s">
        <v>104</v>
      </c>
      <c r="BK474" t="s">
        <v>63</v>
      </c>
      <c r="BL474" t="s">
        <v>2523</v>
      </c>
    </row>
    <row r="475" spans="1:64">
      <c r="A475" t="s">
        <v>1157</v>
      </c>
      <c r="B475">
        <v>27</v>
      </c>
      <c r="C475" t="s">
        <v>33</v>
      </c>
      <c r="D475" t="s">
        <v>34</v>
      </c>
      <c r="E475" t="s">
        <v>65</v>
      </c>
      <c r="F475" t="s">
        <v>36</v>
      </c>
      <c r="G475" t="s">
        <v>51</v>
      </c>
      <c r="H475" t="s">
        <v>1158</v>
      </c>
      <c r="I475" t="s">
        <v>306</v>
      </c>
      <c r="J475">
        <v>425.82</v>
      </c>
      <c r="K475">
        <v>3</v>
      </c>
      <c r="L475" t="s">
        <v>55</v>
      </c>
      <c r="M475">
        <v>4</v>
      </c>
      <c r="N475">
        <v>5</v>
      </c>
      <c r="O475">
        <v>1</v>
      </c>
      <c r="P475" t="s">
        <v>69</v>
      </c>
      <c r="Q475" t="s">
        <v>57</v>
      </c>
      <c r="R475">
        <v>1</v>
      </c>
      <c r="S475">
        <v>6</v>
      </c>
      <c r="T475" t="s">
        <v>51</v>
      </c>
      <c r="U475" t="s">
        <v>70</v>
      </c>
      <c r="V475" t="s">
        <v>102</v>
      </c>
      <c r="W475" s="1">
        <v>45401</v>
      </c>
      <c r="X475" t="b">
        <v>1</v>
      </c>
      <c r="Y475" t="b">
        <v>1</v>
      </c>
      <c r="Z475" t="s">
        <v>59</v>
      </c>
      <c r="AA475" t="s">
        <v>60</v>
      </c>
      <c r="AB475">
        <v>11</v>
      </c>
      <c r="AF475" t="str">
        <f>tbl_OriginalData[[#This Row],[Customer_ID]]</f>
        <v>40-347-2903</v>
      </c>
      <c r="AG475">
        <f>tbl_OriginalData[[#This Row],[Age]]</f>
        <v>27</v>
      </c>
      <c r="AH475" t="str" cm="1">
        <f t="array" ref="AH47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75" t="str">
        <f>tbl_OriginalData[[#This Row],[Gender]]</f>
        <v>Female</v>
      </c>
      <c r="AJ475" t="str">
        <f>tbl_OriginalData[[#This Row],[Income_Level]]</f>
        <v>Middle</v>
      </c>
      <c r="AK475" t="str">
        <f>tbl_OriginalData[[#This Row],[Marital_Status]]</f>
        <v>Single</v>
      </c>
      <c r="AL475" t="str">
        <f>tbl_OriginalData[[#This Row],[Education_Level]]</f>
        <v>Bachelor's</v>
      </c>
      <c r="AM475" t="str">
        <f>tbl_OriginalData[[#This Row],[Occupation]]</f>
        <v>High</v>
      </c>
      <c r="AN475" t="s">
        <v>1158</v>
      </c>
      <c r="AO475" t="s">
        <v>734</v>
      </c>
      <c r="AP475" t="str">
        <f>tbl_OriginalData[[#This Row],[Purchase_Category]]</f>
        <v>Jewelry &amp; Accessories</v>
      </c>
      <c r="AQ475" s="4">
        <f>tbl_OriginalData[[#This Row],[Purchase_Amount]]</f>
        <v>425.82</v>
      </c>
      <c r="AR475">
        <f>tbl_OriginalData[[#This Row],[Frequency_of_Purchase]]</f>
        <v>3</v>
      </c>
      <c r="AS475" t="str">
        <f>tbl_OriginalData[[#This Row],[Purchase_Channel]]</f>
        <v>In-Store</v>
      </c>
      <c r="AT475">
        <f>tbl_OriginalData[[#This Row],[Brand_Loyalty]]</f>
        <v>4</v>
      </c>
      <c r="AU475">
        <f>tbl_OriginalData[[#This Row],[Product_Rating]]</f>
        <v>5</v>
      </c>
      <c r="AV475">
        <f>tbl_OriginalData[[#This Row],[Time_Spent_on_Product_Research(hours)]]*60</f>
        <v>60</v>
      </c>
      <c r="AW475" t="str">
        <f>tbl_OriginalData[[#This Row],[Social_Media_Influence]]</f>
        <v>Low</v>
      </c>
      <c r="AX475" t="str">
        <f>tbl_OriginalData[[#This Row],[Discount_Sensitivity]]</f>
        <v>Not Sensitive</v>
      </c>
      <c r="AY475" s="3">
        <f>tbl_OriginalData[[#This Row],[Return_Rate]]/tbl_OriginalData[[#This Row],[Frequency_of_Purchase]]</f>
        <v>0.33333333333333331</v>
      </c>
      <c r="AZ475">
        <f>tbl_OriginalData[[#This Row],[Customer_Satisfaction]]</f>
        <v>6</v>
      </c>
      <c r="BA475" t="str">
        <f>tbl_OriginalData[[#This Row],[Engagement_with_Ads]]</f>
        <v>High</v>
      </c>
      <c r="BB475" t="str">
        <f>tbl_OriginalData[[#This Row],[Device_Used_for_Shopping]]</f>
        <v>Smartphone</v>
      </c>
      <c r="BC475" t="str">
        <f>tbl_OriginalData[[#This Row],[Payment_Method]]</f>
        <v>Cash</v>
      </c>
      <c r="BD475" s="1">
        <f>tbl_OriginalData[[#This Row],[Time_of_Purchase]]</f>
        <v>45401</v>
      </c>
      <c r="BE475" t="str">
        <f>IF(tbl_OriginalData[[#This Row],[Discount_Used]]=TRUE,"Yes","No")</f>
        <v>Yes</v>
      </c>
      <c r="BF475" t="str">
        <f>IF(tbl_OriginalData[[#This Row],[Customer_Loyalty_Program_Member]]=TRUE,"Yes","No")</f>
        <v>Yes</v>
      </c>
      <c r="BG475" t="str">
        <f>tbl_OriginalData[[#This Row],[Purchase_Intent]]</f>
        <v>Wants-based</v>
      </c>
      <c r="BH475" t="str">
        <f>tbl_OriginalData[[#This Row],[Shipping_Preference]]</f>
        <v>Standard</v>
      </c>
      <c r="BI475">
        <f>tbl_OriginalData[[#This Row],[Time_to_Decision]]</f>
        <v>11</v>
      </c>
      <c r="BJ475" t="s">
        <v>62</v>
      </c>
      <c r="BK475" t="s">
        <v>63</v>
      </c>
      <c r="BL475" t="s">
        <v>2524</v>
      </c>
    </row>
    <row r="476" spans="1:64">
      <c r="A476" t="s">
        <v>1159</v>
      </c>
      <c r="B476">
        <v>19</v>
      </c>
      <c r="C476" t="s">
        <v>33</v>
      </c>
      <c r="D476" t="s">
        <v>34</v>
      </c>
      <c r="E476" t="s">
        <v>82</v>
      </c>
      <c r="F476" t="s">
        <v>36</v>
      </c>
      <c r="G476" t="s">
        <v>34</v>
      </c>
      <c r="H476" t="s">
        <v>1160</v>
      </c>
      <c r="I476" t="s">
        <v>108</v>
      </c>
      <c r="J476">
        <v>210.58</v>
      </c>
      <c r="K476">
        <v>10</v>
      </c>
      <c r="L476" t="s">
        <v>55</v>
      </c>
      <c r="M476">
        <v>5</v>
      </c>
      <c r="N476">
        <v>1</v>
      </c>
      <c r="O476">
        <v>2</v>
      </c>
      <c r="P476" t="s">
        <v>69</v>
      </c>
      <c r="Q476" t="s">
        <v>41</v>
      </c>
      <c r="R476">
        <v>1</v>
      </c>
      <c r="S476">
        <v>3</v>
      </c>
      <c r="T476" t="s">
        <v>69</v>
      </c>
      <c r="U476" t="s">
        <v>42</v>
      </c>
      <c r="V476" t="s">
        <v>71</v>
      </c>
      <c r="W476" s="1">
        <v>45547</v>
      </c>
      <c r="X476" t="b">
        <v>1</v>
      </c>
      <c r="Y476" t="b">
        <v>1</v>
      </c>
      <c r="Z476" t="s">
        <v>89</v>
      </c>
      <c r="AA476" t="s">
        <v>45</v>
      </c>
      <c r="AB476">
        <v>8</v>
      </c>
      <c r="AF476" t="str">
        <f>tbl_OriginalData[[#This Row],[Customer_ID]]</f>
        <v>18-452-1635</v>
      </c>
      <c r="AG476">
        <f>tbl_OriginalData[[#This Row],[Age]]</f>
        <v>19</v>
      </c>
      <c r="AH476" t="str" cm="1">
        <f t="array" ref="AH47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476" t="str">
        <f>tbl_OriginalData[[#This Row],[Gender]]</f>
        <v>Female</v>
      </c>
      <c r="AJ476" t="str">
        <f>tbl_OriginalData[[#This Row],[Income_Level]]</f>
        <v>Middle</v>
      </c>
      <c r="AK476" t="str">
        <f>tbl_OriginalData[[#This Row],[Marital_Status]]</f>
        <v>Widowed</v>
      </c>
      <c r="AL476" t="str">
        <f>tbl_OriginalData[[#This Row],[Education_Level]]</f>
        <v>Bachelor's</v>
      </c>
      <c r="AM476" t="str">
        <f>tbl_OriginalData[[#This Row],[Occupation]]</f>
        <v>Middle</v>
      </c>
      <c r="AN476" t="s">
        <v>1160</v>
      </c>
      <c r="AO476" t="s">
        <v>328</v>
      </c>
      <c r="AP476" t="str">
        <f>tbl_OriginalData[[#This Row],[Purchase_Category]]</f>
        <v>Sports &amp; Outdoors</v>
      </c>
      <c r="AQ476" s="4">
        <f>tbl_OriginalData[[#This Row],[Purchase_Amount]]</f>
        <v>210.58</v>
      </c>
      <c r="AR476">
        <f>tbl_OriginalData[[#This Row],[Frequency_of_Purchase]]</f>
        <v>10</v>
      </c>
      <c r="AS476" t="str">
        <f>tbl_OriginalData[[#This Row],[Purchase_Channel]]</f>
        <v>In-Store</v>
      </c>
      <c r="AT476">
        <f>tbl_OriginalData[[#This Row],[Brand_Loyalty]]</f>
        <v>5</v>
      </c>
      <c r="AU476">
        <f>tbl_OriginalData[[#This Row],[Product_Rating]]</f>
        <v>1</v>
      </c>
      <c r="AV476">
        <f>tbl_OriginalData[[#This Row],[Time_Spent_on_Product_Research(hours)]]*60</f>
        <v>120</v>
      </c>
      <c r="AW476" t="str">
        <f>tbl_OriginalData[[#This Row],[Social_Media_Influence]]</f>
        <v>Low</v>
      </c>
      <c r="AX476" t="str">
        <f>tbl_OriginalData[[#This Row],[Discount_Sensitivity]]</f>
        <v>Somewhat Sensitive</v>
      </c>
      <c r="AY476" s="3">
        <f>tbl_OriginalData[[#This Row],[Return_Rate]]/tbl_OriginalData[[#This Row],[Frequency_of_Purchase]]</f>
        <v>0.1</v>
      </c>
      <c r="AZ476">
        <f>tbl_OriginalData[[#This Row],[Customer_Satisfaction]]</f>
        <v>3</v>
      </c>
      <c r="BA476" t="str">
        <f>tbl_OriginalData[[#This Row],[Engagement_with_Ads]]</f>
        <v>Low</v>
      </c>
      <c r="BB476" t="str">
        <f>tbl_OriginalData[[#This Row],[Device_Used_for_Shopping]]</f>
        <v>Tablet</v>
      </c>
      <c r="BC476" t="str">
        <f>tbl_OriginalData[[#This Row],[Payment_Method]]</f>
        <v>Debit Card</v>
      </c>
      <c r="BD476" s="1">
        <f>tbl_OriginalData[[#This Row],[Time_of_Purchase]]</f>
        <v>45547</v>
      </c>
      <c r="BE476" t="str">
        <f>IF(tbl_OriginalData[[#This Row],[Discount_Used]]=TRUE,"Yes","No")</f>
        <v>Yes</v>
      </c>
      <c r="BF476" t="str">
        <f>IF(tbl_OriginalData[[#This Row],[Customer_Loyalty_Program_Member]]=TRUE,"Yes","No")</f>
        <v>Yes</v>
      </c>
      <c r="BG476" t="str">
        <f>tbl_OriginalData[[#This Row],[Purchase_Intent]]</f>
        <v>Planned</v>
      </c>
      <c r="BH476" t="str">
        <f>tbl_OriginalData[[#This Row],[Shipping_Preference]]</f>
        <v>No Preference</v>
      </c>
      <c r="BI476">
        <f>tbl_OriginalData[[#This Row],[Time_to_Decision]]</f>
        <v>8</v>
      </c>
      <c r="BJ476" t="s">
        <v>172</v>
      </c>
      <c r="BK476" t="s">
        <v>115</v>
      </c>
      <c r="BL476" t="s">
        <v>2527</v>
      </c>
    </row>
    <row r="477" spans="1:64">
      <c r="A477" t="s">
        <v>1161</v>
      </c>
      <c r="B477">
        <v>50</v>
      </c>
      <c r="C477" t="s">
        <v>50</v>
      </c>
      <c r="D477" t="s">
        <v>34</v>
      </c>
      <c r="E477" t="s">
        <v>65</v>
      </c>
      <c r="F477" t="s">
        <v>52</v>
      </c>
      <c r="G477" t="s">
        <v>34</v>
      </c>
      <c r="H477" t="s">
        <v>1162</v>
      </c>
      <c r="I477" t="s">
        <v>235</v>
      </c>
      <c r="J477">
        <v>199.64</v>
      </c>
      <c r="K477">
        <v>11</v>
      </c>
      <c r="L477" t="s">
        <v>94</v>
      </c>
      <c r="M477">
        <v>5</v>
      </c>
      <c r="N477">
        <v>4</v>
      </c>
      <c r="O477">
        <v>1</v>
      </c>
      <c r="P477" t="s">
        <v>51</v>
      </c>
      <c r="Q477" t="s">
        <v>41</v>
      </c>
      <c r="R477">
        <v>1</v>
      </c>
      <c r="S477">
        <v>5</v>
      </c>
      <c r="T477" t="s">
        <v>51</v>
      </c>
      <c r="U477" t="s">
        <v>95</v>
      </c>
      <c r="V477" t="s">
        <v>58</v>
      </c>
      <c r="W477" s="1">
        <v>45539</v>
      </c>
      <c r="X477" t="b">
        <v>0</v>
      </c>
      <c r="Y477" t="b">
        <v>1</v>
      </c>
      <c r="Z477" t="s">
        <v>89</v>
      </c>
      <c r="AA477" t="s">
        <v>77</v>
      </c>
      <c r="AB477">
        <v>8</v>
      </c>
      <c r="AF477" t="str">
        <f>tbl_OriginalData[[#This Row],[Customer_ID]]</f>
        <v>47-710-5471</v>
      </c>
      <c r="AG477">
        <f>tbl_OriginalData[[#This Row],[Age]]</f>
        <v>50</v>
      </c>
      <c r="AH477" t="str" cm="1">
        <f t="array" ref="AH47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77" t="str">
        <f>tbl_OriginalData[[#This Row],[Gender]]</f>
        <v>Male</v>
      </c>
      <c r="AJ477" t="str">
        <f>tbl_OriginalData[[#This Row],[Income_Level]]</f>
        <v>Middle</v>
      </c>
      <c r="AK477" t="str">
        <f>tbl_OriginalData[[#This Row],[Marital_Status]]</f>
        <v>Single</v>
      </c>
      <c r="AL477" t="str">
        <f>tbl_OriginalData[[#This Row],[Education_Level]]</f>
        <v>High School</v>
      </c>
      <c r="AM477" t="str">
        <f>tbl_OriginalData[[#This Row],[Occupation]]</f>
        <v>Middle</v>
      </c>
      <c r="AN477" t="s">
        <v>1162</v>
      </c>
      <c r="AO477" t="s">
        <v>61</v>
      </c>
      <c r="AP477" t="str">
        <f>tbl_OriginalData[[#This Row],[Purchase_Category]]</f>
        <v>Beauty &amp; Personal Care</v>
      </c>
      <c r="AQ477" s="4">
        <f>tbl_OriginalData[[#This Row],[Purchase_Amount]]</f>
        <v>199.64</v>
      </c>
      <c r="AR477">
        <f>tbl_OriginalData[[#This Row],[Frequency_of_Purchase]]</f>
        <v>11</v>
      </c>
      <c r="AS477" t="str">
        <f>tbl_OriginalData[[#This Row],[Purchase_Channel]]</f>
        <v>Online</v>
      </c>
      <c r="AT477">
        <f>tbl_OriginalData[[#This Row],[Brand_Loyalty]]</f>
        <v>5</v>
      </c>
      <c r="AU477">
        <f>tbl_OriginalData[[#This Row],[Product_Rating]]</f>
        <v>4</v>
      </c>
      <c r="AV477">
        <f>tbl_OriginalData[[#This Row],[Time_Spent_on_Product_Research(hours)]]*60</f>
        <v>60</v>
      </c>
      <c r="AW477" t="str">
        <f>tbl_OriginalData[[#This Row],[Social_Media_Influence]]</f>
        <v>High</v>
      </c>
      <c r="AX477" t="str">
        <f>tbl_OriginalData[[#This Row],[Discount_Sensitivity]]</f>
        <v>Somewhat Sensitive</v>
      </c>
      <c r="AY477" s="3">
        <f>tbl_OriginalData[[#This Row],[Return_Rate]]/tbl_OriginalData[[#This Row],[Frequency_of_Purchase]]</f>
        <v>9.0909090909090912E-2</v>
      </c>
      <c r="AZ477">
        <f>tbl_OriginalData[[#This Row],[Customer_Satisfaction]]</f>
        <v>5</v>
      </c>
      <c r="BA477" t="str">
        <f>tbl_OriginalData[[#This Row],[Engagement_with_Ads]]</f>
        <v>High</v>
      </c>
      <c r="BB477" t="str">
        <f>tbl_OriginalData[[#This Row],[Device_Used_for_Shopping]]</f>
        <v>Desktop</v>
      </c>
      <c r="BC477" t="str">
        <f>tbl_OriginalData[[#This Row],[Payment_Method]]</f>
        <v>PayPal</v>
      </c>
      <c r="BD477" s="1">
        <f>tbl_OriginalData[[#This Row],[Time_of_Purchase]]</f>
        <v>45539</v>
      </c>
      <c r="BE477" t="str">
        <f>IF(tbl_OriginalData[[#This Row],[Discount_Used]]=TRUE,"Yes","No")</f>
        <v>No</v>
      </c>
      <c r="BF477" t="str">
        <f>IF(tbl_OriginalData[[#This Row],[Customer_Loyalty_Program_Member]]=TRUE,"Yes","No")</f>
        <v>Yes</v>
      </c>
      <c r="BG477" t="str">
        <f>tbl_OriginalData[[#This Row],[Purchase_Intent]]</f>
        <v>Planned</v>
      </c>
      <c r="BH477" t="str">
        <f>tbl_OriginalData[[#This Row],[Shipping_Preference]]</f>
        <v>Express</v>
      </c>
      <c r="BI477">
        <f>tbl_OriginalData[[#This Row],[Time_to_Decision]]</f>
        <v>8</v>
      </c>
      <c r="BJ477" t="s">
        <v>172</v>
      </c>
      <c r="BK477" t="s">
        <v>115</v>
      </c>
      <c r="BL477" t="s">
        <v>2524</v>
      </c>
    </row>
    <row r="478" spans="1:64">
      <c r="A478" t="s">
        <v>1163</v>
      </c>
      <c r="B478">
        <v>40</v>
      </c>
      <c r="C478" t="s">
        <v>264</v>
      </c>
      <c r="D478" t="s">
        <v>51</v>
      </c>
      <c r="E478" t="s">
        <v>35</v>
      </c>
      <c r="F478" t="s">
        <v>36</v>
      </c>
      <c r="G478" t="s">
        <v>34</v>
      </c>
      <c r="H478" t="s">
        <v>1164</v>
      </c>
      <c r="I478" t="s">
        <v>143</v>
      </c>
      <c r="J478">
        <v>162.22</v>
      </c>
      <c r="K478">
        <v>10</v>
      </c>
      <c r="L478" t="s">
        <v>55</v>
      </c>
      <c r="M478">
        <v>5</v>
      </c>
      <c r="N478">
        <v>5</v>
      </c>
      <c r="O478">
        <v>0.2</v>
      </c>
      <c r="P478" t="s">
        <v>51</v>
      </c>
      <c r="Q478" t="s">
        <v>41</v>
      </c>
      <c r="R478">
        <v>1</v>
      </c>
      <c r="S478">
        <v>1</v>
      </c>
      <c r="T478" t="s">
        <v>56</v>
      </c>
      <c r="U478" t="s">
        <v>95</v>
      </c>
      <c r="V478" t="s">
        <v>76</v>
      </c>
      <c r="W478" s="1">
        <v>45410</v>
      </c>
      <c r="X478" t="b">
        <v>1</v>
      </c>
      <c r="Y478" t="b">
        <v>1</v>
      </c>
      <c r="Z478" t="s">
        <v>59</v>
      </c>
      <c r="AA478" t="s">
        <v>45</v>
      </c>
      <c r="AB478">
        <v>8</v>
      </c>
      <c r="AF478" t="str">
        <f>tbl_OriginalData[[#This Row],[Customer_ID]]</f>
        <v>88-167-7129</v>
      </c>
      <c r="AG478">
        <f>tbl_OriginalData[[#This Row],[Age]]</f>
        <v>40</v>
      </c>
      <c r="AH478" t="str" cm="1">
        <f t="array" ref="AH47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78" t="str">
        <f>tbl_OriginalData[[#This Row],[Gender]]</f>
        <v>Polygender</v>
      </c>
      <c r="AJ478" t="str">
        <f>tbl_OriginalData[[#This Row],[Income_Level]]</f>
        <v>High</v>
      </c>
      <c r="AK478" t="str">
        <f>tbl_OriginalData[[#This Row],[Marital_Status]]</f>
        <v>Married</v>
      </c>
      <c r="AL478" t="str">
        <f>tbl_OriginalData[[#This Row],[Education_Level]]</f>
        <v>Bachelor's</v>
      </c>
      <c r="AM478" t="str">
        <f>tbl_OriginalData[[#This Row],[Occupation]]</f>
        <v>Middle</v>
      </c>
      <c r="AN478" t="s">
        <v>1164</v>
      </c>
      <c r="AO478" t="s">
        <v>109</v>
      </c>
      <c r="AP478" t="str">
        <f>tbl_OriginalData[[#This Row],[Purchase_Category]]</f>
        <v>Packages)</v>
      </c>
      <c r="AQ478" s="4">
        <f>tbl_OriginalData[[#This Row],[Purchase_Amount]]</f>
        <v>162.22</v>
      </c>
      <c r="AR478">
        <f>tbl_OriginalData[[#This Row],[Frequency_of_Purchase]]</f>
        <v>10</v>
      </c>
      <c r="AS478" t="str">
        <f>tbl_OriginalData[[#This Row],[Purchase_Channel]]</f>
        <v>In-Store</v>
      </c>
      <c r="AT478">
        <f>tbl_OriginalData[[#This Row],[Brand_Loyalty]]</f>
        <v>5</v>
      </c>
      <c r="AU478">
        <f>tbl_OriginalData[[#This Row],[Product_Rating]]</f>
        <v>5</v>
      </c>
      <c r="AV478">
        <f>tbl_OriginalData[[#This Row],[Time_Spent_on_Product_Research(hours)]]*60</f>
        <v>12</v>
      </c>
      <c r="AW478" t="str">
        <f>tbl_OriginalData[[#This Row],[Social_Media_Influence]]</f>
        <v>High</v>
      </c>
      <c r="AX478" t="str">
        <f>tbl_OriginalData[[#This Row],[Discount_Sensitivity]]</f>
        <v>Somewhat Sensitive</v>
      </c>
      <c r="AY478" s="3">
        <f>tbl_OriginalData[[#This Row],[Return_Rate]]/tbl_OriginalData[[#This Row],[Frequency_of_Purchase]]</f>
        <v>0.1</v>
      </c>
      <c r="AZ478">
        <f>tbl_OriginalData[[#This Row],[Customer_Satisfaction]]</f>
        <v>1</v>
      </c>
      <c r="BA478" t="str">
        <f>tbl_OriginalData[[#This Row],[Engagement_with_Ads]]</f>
        <v>Medium</v>
      </c>
      <c r="BB478" t="str">
        <f>tbl_OriginalData[[#This Row],[Device_Used_for_Shopping]]</f>
        <v>Desktop</v>
      </c>
      <c r="BC478" t="str">
        <f>tbl_OriginalData[[#This Row],[Payment_Method]]</f>
        <v>Other</v>
      </c>
      <c r="BD478" s="1">
        <f>tbl_OriginalData[[#This Row],[Time_of_Purchase]]</f>
        <v>45410</v>
      </c>
      <c r="BE478" t="str">
        <f>IF(tbl_OriginalData[[#This Row],[Discount_Used]]=TRUE,"Yes","No")</f>
        <v>Yes</v>
      </c>
      <c r="BF478" t="str">
        <f>IF(tbl_OriginalData[[#This Row],[Customer_Loyalty_Program_Member]]=TRUE,"Yes","No")</f>
        <v>Yes</v>
      </c>
      <c r="BG478" t="str">
        <f>tbl_OriginalData[[#This Row],[Purchase_Intent]]</f>
        <v>Wants-based</v>
      </c>
      <c r="BH478" t="str">
        <f>tbl_OriginalData[[#This Row],[Shipping_Preference]]</f>
        <v>No Preference</v>
      </c>
      <c r="BI478">
        <f>tbl_OriginalData[[#This Row],[Time_to_Decision]]</f>
        <v>8</v>
      </c>
      <c r="BJ478" t="s">
        <v>62</v>
      </c>
      <c r="BK478" t="s">
        <v>63</v>
      </c>
      <c r="BL478" t="s">
        <v>2526</v>
      </c>
    </row>
    <row r="479" spans="1:64">
      <c r="A479" t="s">
        <v>1165</v>
      </c>
      <c r="B479">
        <v>20</v>
      </c>
      <c r="C479" t="s">
        <v>50</v>
      </c>
      <c r="D479" t="s">
        <v>51</v>
      </c>
      <c r="E479" t="s">
        <v>35</v>
      </c>
      <c r="F479" t="s">
        <v>36</v>
      </c>
      <c r="G479" t="s">
        <v>51</v>
      </c>
      <c r="H479" t="s">
        <v>1166</v>
      </c>
      <c r="I479" t="s">
        <v>108</v>
      </c>
      <c r="J479">
        <v>401.75</v>
      </c>
      <c r="K479">
        <v>8</v>
      </c>
      <c r="L479" t="s">
        <v>94</v>
      </c>
      <c r="M479">
        <v>3</v>
      </c>
      <c r="N479">
        <v>4</v>
      </c>
      <c r="O479">
        <v>0.3</v>
      </c>
      <c r="P479" t="s">
        <v>40</v>
      </c>
      <c r="Q479" t="s">
        <v>41</v>
      </c>
      <c r="R479">
        <v>1</v>
      </c>
      <c r="S479">
        <v>8</v>
      </c>
      <c r="T479" t="s">
        <v>51</v>
      </c>
      <c r="U479" t="s">
        <v>70</v>
      </c>
      <c r="V479" t="s">
        <v>58</v>
      </c>
      <c r="W479" s="1">
        <v>45634</v>
      </c>
      <c r="X479" t="b">
        <v>0</v>
      </c>
      <c r="Y479" t="b">
        <v>1</v>
      </c>
      <c r="Z479" t="s">
        <v>59</v>
      </c>
      <c r="AA479" t="s">
        <v>60</v>
      </c>
      <c r="AB479">
        <v>6</v>
      </c>
      <c r="AF479" t="str">
        <f>tbl_OriginalData[[#This Row],[Customer_ID]]</f>
        <v>86-771-9082</v>
      </c>
      <c r="AG479">
        <f>tbl_OriginalData[[#This Row],[Age]]</f>
        <v>20</v>
      </c>
      <c r="AH479" t="str" cm="1">
        <f t="array" ref="AH47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79" t="str">
        <f>tbl_OriginalData[[#This Row],[Gender]]</f>
        <v>Male</v>
      </c>
      <c r="AJ479" t="str">
        <f>tbl_OriginalData[[#This Row],[Income_Level]]</f>
        <v>High</v>
      </c>
      <c r="AK479" t="str">
        <f>tbl_OriginalData[[#This Row],[Marital_Status]]</f>
        <v>Married</v>
      </c>
      <c r="AL479" t="str">
        <f>tbl_OriginalData[[#This Row],[Education_Level]]</f>
        <v>Bachelor's</v>
      </c>
      <c r="AM479" t="str">
        <f>tbl_OriginalData[[#This Row],[Occupation]]</f>
        <v>High</v>
      </c>
      <c r="AN479" t="s">
        <v>1166</v>
      </c>
      <c r="AO479" t="s">
        <v>1005</v>
      </c>
      <c r="AP479" t="str">
        <f>tbl_OriginalData[[#This Row],[Purchase_Category]]</f>
        <v>Sports &amp; Outdoors</v>
      </c>
      <c r="AQ479" s="4">
        <f>tbl_OriginalData[[#This Row],[Purchase_Amount]]</f>
        <v>401.75</v>
      </c>
      <c r="AR479">
        <f>tbl_OriginalData[[#This Row],[Frequency_of_Purchase]]</f>
        <v>8</v>
      </c>
      <c r="AS479" t="str">
        <f>tbl_OriginalData[[#This Row],[Purchase_Channel]]</f>
        <v>Online</v>
      </c>
      <c r="AT479">
        <f>tbl_OriginalData[[#This Row],[Brand_Loyalty]]</f>
        <v>3</v>
      </c>
      <c r="AU479">
        <f>tbl_OriginalData[[#This Row],[Product_Rating]]</f>
        <v>4</v>
      </c>
      <c r="AV479">
        <f>tbl_OriginalData[[#This Row],[Time_Spent_on_Product_Research(hours)]]*60</f>
        <v>18</v>
      </c>
      <c r="AW479" t="str">
        <f>tbl_OriginalData[[#This Row],[Social_Media_Influence]]</f>
        <v>None</v>
      </c>
      <c r="AX479" t="str">
        <f>tbl_OriginalData[[#This Row],[Discount_Sensitivity]]</f>
        <v>Somewhat Sensitive</v>
      </c>
      <c r="AY479" s="3">
        <f>tbl_OriginalData[[#This Row],[Return_Rate]]/tbl_OriginalData[[#This Row],[Frequency_of_Purchase]]</f>
        <v>0.125</v>
      </c>
      <c r="AZ479">
        <f>tbl_OriginalData[[#This Row],[Customer_Satisfaction]]</f>
        <v>8</v>
      </c>
      <c r="BA479" t="str">
        <f>tbl_OriginalData[[#This Row],[Engagement_with_Ads]]</f>
        <v>High</v>
      </c>
      <c r="BB479" t="str">
        <f>tbl_OriginalData[[#This Row],[Device_Used_for_Shopping]]</f>
        <v>Smartphone</v>
      </c>
      <c r="BC479" t="str">
        <f>tbl_OriginalData[[#This Row],[Payment_Method]]</f>
        <v>PayPal</v>
      </c>
      <c r="BD479" s="1">
        <f>tbl_OriginalData[[#This Row],[Time_of_Purchase]]</f>
        <v>45634</v>
      </c>
      <c r="BE479" t="str">
        <f>IF(tbl_OriginalData[[#This Row],[Discount_Used]]=TRUE,"Yes","No")</f>
        <v>No</v>
      </c>
      <c r="BF479" t="str">
        <f>IF(tbl_OriginalData[[#This Row],[Customer_Loyalty_Program_Member]]=TRUE,"Yes","No")</f>
        <v>Yes</v>
      </c>
      <c r="BG479" t="str">
        <f>tbl_OriginalData[[#This Row],[Purchase_Intent]]</f>
        <v>Wants-based</v>
      </c>
      <c r="BH479" t="str">
        <f>tbl_OriginalData[[#This Row],[Shipping_Preference]]</f>
        <v>Standard</v>
      </c>
      <c r="BI479">
        <f>tbl_OriginalData[[#This Row],[Time_to_Decision]]</f>
        <v>6</v>
      </c>
      <c r="BJ479" t="s">
        <v>120</v>
      </c>
      <c r="BK479" t="s">
        <v>80</v>
      </c>
      <c r="BL479" t="s">
        <v>2523</v>
      </c>
    </row>
    <row r="480" spans="1:64">
      <c r="A480" t="s">
        <v>1167</v>
      </c>
      <c r="B480">
        <v>24</v>
      </c>
      <c r="C480" t="s">
        <v>33</v>
      </c>
      <c r="D480" t="s">
        <v>34</v>
      </c>
      <c r="E480" t="s">
        <v>35</v>
      </c>
      <c r="F480" t="s">
        <v>66</v>
      </c>
      <c r="G480" t="s">
        <v>34</v>
      </c>
      <c r="H480" t="s">
        <v>1168</v>
      </c>
      <c r="I480" t="s">
        <v>123</v>
      </c>
      <c r="J480">
        <v>365.88</v>
      </c>
      <c r="K480">
        <v>12</v>
      </c>
      <c r="L480" t="s">
        <v>94</v>
      </c>
      <c r="M480">
        <v>3</v>
      </c>
      <c r="N480">
        <v>3</v>
      </c>
      <c r="O480">
        <v>2</v>
      </c>
      <c r="P480" t="s">
        <v>56</v>
      </c>
      <c r="Q480" t="s">
        <v>101</v>
      </c>
      <c r="R480">
        <v>0</v>
      </c>
      <c r="S480">
        <v>9</v>
      </c>
      <c r="T480" t="s">
        <v>51</v>
      </c>
      <c r="U480" t="s">
        <v>70</v>
      </c>
      <c r="V480" t="s">
        <v>76</v>
      </c>
      <c r="W480" s="1">
        <v>45601</v>
      </c>
      <c r="X480" t="b">
        <v>1</v>
      </c>
      <c r="Y480" t="b">
        <v>0</v>
      </c>
      <c r="Z480" t="s">
        <v>44</v>
      </c>
      <c r="AA480" t="s">
        <v>77</v>
      </c>
      <c r="AB480">
        <v>7</v>
      </c>
      <c r="AF480" t="str">
        <f>tbl_OriginalData[[#This Row],[Customer_ID]]</f>
        <v>46-678-4172</v>
      </c>
      <c r="AG480">
        <f>tbl_OriginalData[[#This Row],[Age]]</f>
        <v>24</v>
      </c>
      <c r="AH480" t="str" cm="1">
        <f t="array" ref="AH48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80" t="str">
        <f>tbl_OriginalData[[#This Row],[Gender]]</f>
        <v>Female</v>
      </c>
      <c r="AJ480" t="str">
        <f>tbl_OriginalData[[#This Row],[Income_Level]]</f>
        <v>Middle</v>
      </c>
      <c r="AK480" t="str">
        <f>tbl_OriginalData[[#This Row],[Marital_Status]]</f>
        <v>Married</v>
      </c>
      <c r="AL480" t="str">
        <f>tbl_OriginalData[[#This Row],[Education_Level]]</f>
        <v>Master's</v>
      </c>
      <c r="AM480" t="str">
        <f>tbl_OriginalData[[#This Row],[Occupation]]</f>
        <v>Middle</v>
      </c>
      <c r="AN480" t="s">
        <v>1168</v>
      </c>
      <c r="AO480" t="s">
        <v>502</v>
      </c>
      <c r="AP480" t="str">
        <f>tbl_OriginalData[[#This Row],[Purchase_Category]]</f>
        <v>Luxury Goods</v>
      </c>
      <c r="AQ480" s="4">
        <f>tbl_OriginalData[[#This Row],[Purchase_Amount]]</f>
        <v>365.88</v>
      </c>
      <c r="AR480">
        <f>tbl_OriginalData[[#This Row],[Frequency_of_Purchase]]</f>
        <v>12</v>
      </c>
      <c r="AS480" t="str">
        <f>tbl_OriginalData[[#This Row],[Purchase_Channel]]</f>
        <v>Online</v>
      </c>
      <c r="AT480">
        <f>tbl_OriginalData[[#This Row],[Brand_Loyalty]]</f>
        <v>3</v>
      </c>
      <c r="AU480">
        <f>tbl_OriginalData[[#This Row],[Product_Rating]]</f>
        <v>3</v>
      </c>
      <c r="AV480">
        <f>tbl_OriginalData[[#This Row],[Time_Spent_on_Product_Research(hours)]]*60</f>
        <v>120</v>
      </c>
      <c r="AW480" t="str">
        <f>tbl_OriginalData[[#This Row],[Social_Media_Influence]]</f>
        <v>Medium</v>
      </c>
      <c r="AX480" t="str">
        <f>tbl_OriginalData[[#This Row],[Discount_Sensitivity]]</f>
        <v>Very Sensitive</v>
      </c>
      <c r="AY480" s="3">
        <f>tbl_OriginalData[[#This Row],[Return_Rate]]/tbl_OriginalData[[#This Row],[Frequency_of_Purchase]]</f>
        <v>0</v>
      </c>
      <c r="AZ480">
        <f>tbl_OriginalData[[#This Row],[Customer_Satisfaction]]</f>
        <v>9</v>
      </c>
      <c r="BA480" t="str">
        <f>tbl_OriginalData[[#This Row],[Engagement_with_Ads]]</f>
        <v>High</v>
      </c>
      <c r="BB480" t="str">
        <f>tbl_OriginalData[[#This Row],[Device_Used_for_Shopping]]</f>
        <v>Smartphone</v>
      </c>
      <c r="BC480" t="str">
        <f>tbl_OriginalData[[#This Row],[Payment_Method]]</f>
        <v>Other</v>
      </c>
      <c r="BD480" s="1">
        <f>tbl_OriginalData[[#This Row],[Time_of_Purchase]]</f>
        <v>45601</v>
      </c>
      <c r="BE480" t="str">
        <f>IF(tbl_OriginalData[[#This Row],[Discount_Used]]=TRUE,"Yes","No")</f>
        <v>Yes</v>
      </c>
      <c r="BF480" t="str">
        <f>IF(tbl_OriginalData[[#This Row],[Customer_Loyalty_Program_Member]]=TRUE,"Yes","No")</f>
        <v>No</v>
      </c>
      <c r="BG480" t="str">
        <f>tbl_OriginalData[[#This Row],[Purchase_Intent]]</f>
        <v>Need-based</v>
      </c>
      <c r="BH480" t="str">
        <f>tbl_OriginalData[[#This Row],[Shipping_Preference]]</f>
        <v>Express</v>
      </c>
      <c r="BI480">
        <f>tbl_OriginalData[[#This Row],[Time_to_Decision]]</f>
        <v>7</v>
      </c>
      <c r="BJ480" t="s">
        <v>177</v>
      </c>
      <c r="BK480" t="s">
        <v>80</v>
      </c>
      <c r="BL480" t="s">
        <v>2524</v>
      </c>
    </row>
    <row r="481" spans="1:64">
      <c r="A481" t="s">
        <v>1169</v>
      </c>
      <c r="B481">
        <v>46</v>
      </c>
      <c r="C481" t="s">
        <v>50</v>
      </c>
      <c r="D481" t="s">
        <v>34</v>
      </c>
      <c r="E481" t="s">
        <v>65</v>
      </c>
      <c r="F481" t="s">
        <v>52</v>
      </c>
      <c r="G481" t="s">
        <v>34</v>
      </c>
      <c r="H481" t="s">
        <v>1170</v>
      </c>
      <c r="I481" t="s">
        <v>235</v>
      </c>
      <c r="J481">
        <v>58.29</v>
      </c>
      <c r="K481">
        <v>6</v>
      </c>
      <c r="L481" t="s">
        <v>39</v>
      </c>
      <c r="M481">
        <v>2</v>
      </c>
      <c r="N481">
        <v>3</v>
      </c>
      <c r="O481">
        <v>2</v>
      </c>
      <c r="P481" t="s">
        <v>56</v>
      </c>
      <c r="Q481" t="s">
        <v>41</v>
      </c>
      <c r="R481">
        <v>1</v>
      </c>
      <c r="S481">
        <v>7</v>
      </c>
      <c r="T481" t="s">
        <v>69</v>
      </c>
      <c r="U481" t="s">
        <v>42</v>
      </c>
      <c r="V481" t="s">
        <v>76</v>
      </c>
      <c r="W481" s="1">
        <v>45335</v>
      </c>
      <c r="X481" t="b">
        <v>0</v>
      </c>
      <c r="Y481" t="b">
        <v>1</v>
      </c>
      <c r="Z481" t="s">
        <v>72</v>
      </c>
      <c r="AA481" t="s">
        <v>60</v>
      </c>
      <c r="AB481">
        <v>14</v>
      </c>
      <c r="AF481" t="str">
        <f>tbl_OriginalData[[#This Row],[Customer_ID]]</f>
        <v>14-249-1256</v>
      </c>
      <c r="AG481">
        <f>tbl_OriginalData[[#This Row],[Age]]</f>
        <v>46</v>
      </c>
      <c r="AH481" t="str" cm="1">
        <f t="array" ref="AH48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81" t="str">
        <f>tbl_OriginalData[[#This Row],[Gender]]</f>
        <v>Male</v>
      </c>
      <c r="AJ481" t="str">
        <f>tbl_OriginalData[[#This Row],[Income_Level]]</f>
        <v>Middle</v>
      </c>
      <c r="AK481" t="str">
        <f>tbl_OriginalData[[#This Row],[Marital_Status]]</f>
        <v>Single</v>
      </c>
      <c r="AL481" t="str">
        <f>tbl_OriginalData[[#This Row],[Education_Level]]</f>
        <v>High School</v>
      </c>
      <c r="AM481" t="str">
        <f>tbl_OriginalData[[#This Row],[Occupation]]</f>
        <v>Middle</v>
      </c>
      <c r="AN481" t="s">
        <v>1170</v>
      </c>
      <c r="AO481" t="s">
        <v>812</v>
      </c>
      <c r="AP481" t="str">
        <f>tbl_OriginalData[[#This Row],[Purchase_Category]]</f>
        <v>Beauty &amp; Personal Care</v>
      </c>
      <c r="AQ481" s="4">
        <f>tbl_OriginalData[[#This Row],[Purchase_Amount]]</f>
        <v>58.29</v>
      </c>
      <c r="AR481">
        <f>tbl_OriginalData[[#This Row],[Frequency_of_Purchase]]</f>
        <v>6</v>
      </c>
      <c r="AS481" t="str">
        <f>tbl_OriginalData[[#This Row],[Purchase_Channel]]</f>
        <v>Mixed</v>
      </c>
      <c r="AT481">
        <f>tbl_OriginalData[[#This Row],[Brand_Loyalty]]</f>
        <v>2</v>
      </c>
      <c r="AU481">
        <f>tbl_OriginalData[[#This Row],[Product_Rating]]</f>
        <v>3</v>
      </c>
      <c r="AV481">
        <f>tbl_OriginalData[[#This Row],[Time_Spent_on_Product_Research(hours)]]*60</f>
        <v>120</v>
      </c>
      <c r="AW481" t="str">
        <f>tbl_OriginalData[[#This Row],[Social_Media_Influence]]</f>
        <v>Medium</v>
      </c>
      <c r="AX481" t="str">
        <f>tbl_OriginalData[[#This Row],[Discount_Sensitivity]]</f>
        <v>Somewhat Sensitive</v>
      </c>
      <c r="AY481" s="3">
        <f>tbl_OriginalData[[#This Row],[Return_Rate]]/tbl_OriginalData[[#This Row],[Frequency_of_Purchase]]</f>
        <v>0.16666666666666666</v>
      </c>
      <c r="AZ481">
        <f>tbl_OriginalData[[#This Row],[Customer_Satisfaction]]</f>
        <v>7</v>
      </c>
      <c r="BA481" t="str">
        <f>tbl_OriginalData[[#This Row],[Engagement_with_Ads]]</f>
        <v>Low</v>
      </c>
      <c r="BB481" t="str">
        <f>tbl_OriginalData[[#This Row],[Device_Used_for_Shopping]]</f>
        <v>Tablet</v>
      </c>
      <c r="BC481" t="str">
        <f>tbl_OriginalData[[#This Row],[Payment_Method]]</f>
        <v>Other</v>
      </c>
      <c r="BD481" s="1">
        <f>tbl_OriginalData[[#This Row],[Time_of_Purchase]]</f>
        <v>45335</v>
      </c>
      <c r="BE481" t="str">
        <f>IF(tbl_OriginalData[[#This Row],[Discount_Used]]=TRUE,"Yes","No")</f>
        <v>No</v>
      </c>
      <c r="BF481" t="str">
        <f>IF(tbl_OriginalData[[#This Row],[Customer_Loyalty_Program_Member]]=TRUE,"Yes","No")</f>
        <v>Yes</v>
      </c>
      <c r="BG481" t="str">
        <f>tbl_OriginalData[[#This Row],[Purchase_Intent]]</f>
        <v>Impulsive</v>
      </c>
      <c r="BH481" t="str">
        <f>tbl_OriginalData[[#This Row],[Shipping_Preference]]</f>
        <v>Standard</v>
      </c>
      <c r="BI481">
        <f>tbl_OriginalData[[#This Row],[Time_to_Decision]]</f>
        <v>14</v>
      </c>
      <c r="BJ481" t="s">
        <v>158</v>
      </c>
      <c r="BK481" t="s">
        <v>48</v>
      </c>
      <c r="BL481" t="s">
        <v>2528</v>
      </c>
    </row>
    <row r="482" spans="1:64">
      <c r="A482" t="s">
        <v>1171</v>
      </c>
      <c r="B482">
        <v>50</v>
      </c>
      <c r="C482" t="s">
        <v>50</v>
      </c>
      <c r="D482" t="s">
        <v>51</v>
      </c>
      <c r="E482" t="s">
        <v>35</v>
      </c>
      <c r="F482" t="s">
        <v>66</v>
      </c>
      <c r="G482" t="s">
        <v>51</v>
      </c>
      <c r="H482" t="s">
        <v>74</v>
      </c>
      <c r="I482" t="s">
        <v>180</v>
      </c>
      <c r="J482">
        <v>66.86</v>
      </c>
      <c r="K482">
        <v>3</v>
      </c>
      <c r="L482" t="s">
        <v>39</v>
      </c>
      <c r="M482">
        <v>1</v>
      </c>
      <c r="N482">
        <v>1</v>
      </c>
      <c r="O482">
        <v>1</v>
      </c>
      <c r="P482" t="s">
        <v>56</v>
      </c>
      <c r="Q482" t="s">
        <v>101</v>
      </c>
      <c r="R482">
        <v>0</v>
      </c>
      <c r="S482">
        <v>10</v>
      </c>
      <c r="T482" t="s">
        <v>56</v>
      </c>
      <c r="U482" t="s">
        <v>95</v>
      </c>
      <c r="V482" t="s">
        <v>76</v>
      </c>
      <c r="W482" s="1">
        <v>45316</v>
      </c>
      <c r="X482" t="b">
        <v>1</v>
      </c>
      <c r="Y482" t="b">
        <v>1</v>
      </c>
      <c r="Z482" t="s">
        <v>59</v>
      </c>
      <c r="AA482" t="s">
        <v>77</v>
      </c>
      <c r="AB482">
        <v>9</v>
      </c>
      <c r="AF482" t="str">
        <f>tbl_OriginalData[[#This Row],[Customer_ID]]</f>
        <v>75-617-1460</v>
      </c>
      <c r="AG482">
        <f>tbl_OriginalData[[#This Row],[Age]]</f>
        <v>50</v>
      </c>
      <c r="AH482" t="str" cm="1">
        <f t="array" ref="AH48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82" t="str">
        <f>tbl_OriginalData[[#This Row],[Gender]]</f>
        <v>Male</v>
      </c>
      <c r="AJ482" t="str">
        <f>tbl_OriginalData[[#This Row],[Income_Level]]</f>
        <v>High</v>
      </c>
      <c r="AK482" t="str">
        <f>tbl_OriginalData[[#This Row],[Marital_Status]]</f>
        <v>Married</v>
      </c>
      <c r="AL482" t="str">
        <f>tbl_OriginalData[[#This Row],[Education_Level]]</f>
        <v>Master's</v>
      </c>
      <c r="AM482" t="str">
        <f>tbl_OriginalData[[#This Row],[Occupation]]</f>
        <v>High</v>
      </c>
      <c r="AN482" t="s">
        <v>74</v>
      </c>
      <c r="AO482" t="s">
        <v>78</v>
      </c>
      <c r="AP482" t="str">
        <f>tbl_OriginalData[[#This Row],[Purchase_Category]]</f>
        <v>Health Supplements</v>
      </c>
      <c r="AQ482" s="4">
        <f>tbl_OriginalData[[#This Row],[Purchase_Amount]]</f>
        <v>66.86</v>
      </c>
      <c r="AR482">
        <f>tbl_OriginalData[[#This Row],[Frequency_of_Purchase]]</f>
        <v>3</v>
      </c>
      <c r="AS482" t="str">
        <f>tbl_OriginalData[[#This Row],[Purchase_Channel]]</f>
        <v>Mixed</v>
      </c>
      <c r="AT482">
        <f>tbl_OriginalData[[#This Row],[Brand_Loyalty]]</f>
        <v>1</v>
      </c>
      <c r="AU482">
        <f>tbl_OriginalData[[#This Row],[Product_Rating]]</f>
        <v>1</v>
      </c>
      <c r="AV482">
        <f>tbl_OriginalData[[#This Row],[Time_Spent_on_Product_Research(hours)]]*60</f>
        <v>60</v>
      </c>
      <c r="AW482" t="str">
        <f>tbl_OriginalData[[#This Row],[Social_Media_Influence]]</f>
        <v>Medium</v>
      </c>
      <c r="AX482" t="str">
        <f>tbl_OriginalData[[#This Row],[Discount_Sensitivity]]</f>
        <v>Very Sensitive</v>
      </c>
      <c r="AY482" s="3">
        <f>tbl_OriginalData[[#This Row],[Return_Rate]]/tbl_OriginalData[[#This Row],[Frequency_of_Purchase]]</f>
        <v>0</v>
      </c>
      <c r="AZ482">
        <f>tbl_OriginalData[[#This Row],[Customer_Satisfaction]]</f>
        <v>10</v>
      </c>
      <c r="BA482" t="str">
        <f>tbl_OriginalData[[#This Row],[Engagement_with_Ads]]</f>
        <v>Medium</v>
      </c>
      <c r="BB482" t="str">
        <f>tbl_OriginalData[[#This Row],[Device_Used_for_Shopping]]</f>
        <v>Desktop</v>
      </c>
      <c r="BC482" t="str">
        <f>tbl_OriginalData[[#This Row],[Payment_Method]]</f>
        <v>Other</v>
      </c>
      <c r="BD482" s="1">
        <f>tbl_OriginalData[[#This Row],[Time_of_Purchase]]</f>
        <v>45316</v>
      </c>
      <c r="BE482" t="str">
        <f>IF(tbl_OriginalData[[#This Row],[Discount_Used]]=TRUE,"Yes","No")</f>
        <v>Yes</v>
      </c>
      <c r="BF482" t="str">
        <f>IF(tbl_OriginalData[[#This Row],[Customer_Loyalty_Program_Member]]=TRUE,"Yes","No")</f>
        <v>Yes</v>
      </c>
      <c r="BG482" t="str">
        <f>tbl_OriginalData[[#This Row],[Purchase_Intent]]</f>
        <v>Wants-based</v>
      </c>
      <c r="BH482" t="str">
        <f>tbl_OriginalData[[#This Row],[Shipping_Preference]]</f>
        <v>Express</v>
      </c>
      <c r="BI482">
        <f>tbl_OriginalData[[#This Row],[Time_to_Decision]]</f>
        <v>9</v>
      </c>
      <c r="BJ482" t="s">
        <v>86</v>
      </c>
      <c r="BK482" t="s">
        <v>48</v>
      </c>
      <c r="BL482" t="s">
        <v>2525</v>
      </c>
    </row>
    <row r="483" spans="1:64">
      <c r="A483" t="s">
        <v>1172</v>
      </c>
      <c r="B483">
        <v>29</v>
      </c>
      <c r="C483" t="s">
        <v>33</v>
      </c>
      <c r="D483" t="s">
        <v>51</v>
      </c>
      <c r="E483" t="s">
        <v>65</v>
      </c>
      <c r="F483" t="s">
        <v>36</v>
      </c>
      <c r="G483" t="s">
        <v>34</v>
      </c>
      <c r="H483" t="s">
        <v>1173</v>
      </c>
      <c r="I483" t="s">
        <v>199</v>
      </c>
      <c r="J483">
        <v>279.33999999999997</v>
      </c>
      <c r="K483">
        <v>5</v>
      </c>
      <c r="L483" t="s">
        <v>39</v>
      </c>
      <c r="M483">
        <v>3</v>
      </c>
      <c r="N483">
        <v>1</v>
      </c>
      <c r="O483">
        <v>0</v>
      </c>
      <c r="P483" t="s">
        <v>56</v>
      </c>
      <c r="Q483" t="s">
        <v>101</v>
      </c>
      <c r="R483">
        <v>2</v>
      </c>
      <c r="S483">
        <v>6</v>
      </c>
      <c r="T483" t="s">
        <v>69</v>
      </c>
      <c r="U483" t="s">
        <v>42</v>
      </c>
      <c r="V483" t="s">
        <v>58</v>
      </c>
      <c r="W483" s="1">
        <v>45526</v>
      </c>
      <c r="X483" t="b">
        <v>0</v>
      </c>
      <c r="Y483" t="b">
        <v>1</v>
      </c>
      <c r="Z483" t="s">
        <v>59</v>
      </c>
      <c r="AA483" t="s">
        <v>45</v>
      </c>
      <c r="AB483">
        <v>11</v>
      </c>
      <c r="AF483" t="str">
        <f>tbl_OriginalData[[#This Row],[Customer_ID]]</f>
        <v>10-247-0192</v>
      </c>
      <c r="AG483">
        <f>tbl_OriginalData[[#This Row],[Age]]</f>
        <v>29</v>
      </c>
      <c r="AH483" t="str" cm="1">
        <f t="array" ref="AH48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83" t="str">
        <f>tbl_OriginalData[[#This Row],[Gender]]</f>
        <v>Female</v>
      </c>
      <c r="AJ483" t="str">
        <f>tbl_OriginalData[[#This Row],[Income_Level]]</f>
        <v>High</v>
      </c>
      <c r="AK483" t="str">
        <f>tbl_OriginalData[[#This Row],[Marital_Status]]</f>
        <v>Single</v>
      </c>
      <c r="AL483" t="str">
        <f>tbl_OriginalData[[#This Row],[Education_Level]]</f>
        <v>Bachelor's</v>
      </c>
      <c r="AM483" t="str">
        <f>tbl_OriginalData[[#This Row],[Occupation]]</f>
        <v>Middle</v>
      </c>
      <c r="AN483" t="s">
        <v>1173</v>
      </c>
      <c r="AO483" t="s">
        <v>328</v>
      </c>
      <c r="AP483" t="str">
        <f>tbl_OriginalData[[#This Row],[Purchase_Category]]</f>
        <v>Groceries</v>
      </c>
      <c r="AQ483" s="4">
        <f>tbl_OriginalData[[#This Row],[Purchase_Amount]]</f>
        <v>279.33999999999997</v>
      </c>
      <c r="AR483">
        <f>tbl_OriginalData[[#This Row],[Frequency_of_Purchase]]</f>
        <v>5</v>
      </c>
      <c r="AS483" t="str">
        <f>tbl_OriginalData[[#This Row],[Purchase_Channel]]</f>
        <v>Mixed</v>
      </c>
      <c r="AT483">
        <f>tbl_OriginalData[[#This Row],[Brand_Loyalty]]</f>
        <v>3</v>
      </c>
      <c r="AU483">
        <f>tbl_OriginalData[[#This Row],[Product_Rating]]</f>
        <v>1</v>
      </c>
      <c r="AV483">
        <f>tbl_OriginalData[[#This Row],[Time_Spent_on_Product_Research(hours)]]*60</f>
        <v>0</v>
      </c>
      <c r="AW483" t="str">
        <f>tbl_OriginalData[[#This Row],[Social_Media_Influence]]</f>
        <v>Medium</v>
      </c>
      <c r="AX483" t="str">
        <f>tbl_OriginalData[[#This Row],[Discount_Sensitivity]]</f>
        <v>Very Sensitive</v>
      </c>
      <c r="AY483" s="3">
        <f>tbl_OriginalData[[#This Row],[Return_Rate]]/tbl_OriginalData[[#This Row],[Frequency_of_Purchase]]</f>
        <v>0.4</v>
      </c>
      <c r="AZ483">
        <f>tbl_OriginalData[[#This Row],[Customer_Satisfaction]]</f>
        <v>6</v>
      </c>
      <c r="BA483" t="str">
        <f>tbl_OriginalData[[#This Row],[Engagement_with_Ads]]</f>
        <v>Low</v>
      </c>
      <c r="BB483" t="str">
        <f>tbl_OriginalData[[#This Row],[Device_Used_for_Shopping]]</f>
        <v>Tablet</v>
      </c>
      <c r="BC483" t="str">
        <f>tbl_OriginalData[[#This Row],[Payment_Method]]</f>
        <v>PayPal</v>
      </c>
      <c r="BD483" s="1">
        <f>tbl_OriginalData[[#This Row],[Time_of_Purchase]]</f>
        <v>45526</v>
      </c>
      <c r="BE483" t="str">
        <f>IF(tbl_OriginalData[[#This Row],[Discount_Used]]=TRUE,"Yes","No")</f>
        <v>No</v>
      </c>
      <c r="BF483" t="str">
        <f>IF(tbl_OriginalData[[#This Row],[Customer_Loyalty_Program_Member]]=TRUE,"Yes","No")</f>
        <v>Yes</v>
      </c>
      <c r="BG483" t="str">
        <f>tbl_OriginalData[[#This Row],[Purchase_Intent]]</f>
        <v>Wants-based</v>
      </c>
      <c r="BH483" t="str">
        <f>tbl_OriginalData[[#This Row],[Shipping_Preference]]</f>
        <v>No Preference</v>
      </c>
      <c r="BI483">
        <f>tbl_OriginalData[[#This Row],[Time_to_Decision]]</f>
        <v>11</v>
      </c>
      <c r="BJ483" t="s">
        <v>124</v>
      </c>
      <c r="BK483" t="s">
        <v>115</v>
      </c>
      <c r="BL483" t="s">
        <v>2527</v>
      </c>
    </row>
    <row r="484" spans="1:64">
      <c r="A484" t="s">
        <v>1174</v>
      </c>
      <c r="B484">
        <v>34</v>
      </c>
      <c r="C484" t="s">
        <v>188</v>
      </c>
      <c r="D484" t="s">
        <v>51</v>
      </c>
      <c r="E484" t="s">
        <v>92</v>
      </c>
      <c r="F484" t="s">
        <v>36</v>
      </c>
      <c r="G484" t="s">
        <v>51</v>
      </c>
      <c r="H484" t="s">
        <v>1175</v>
      </c>
      <c r="I484" t="s">
        <v>147</v>
      </c>
      <c r="J484">
        <v>358.5</v>
      </c>
      <c r="K484">
        <v>3</v>
      </c>
      <c r="L484" t="s">
        <v>94</v>
      </c>
      <c r="M484">
        <v>3</v>
      </c>
      <c r="N484">
        <v>4</v>
      </c>
      <c r="O484">
        <v>2</v>
      </c>
      <c r="P484" t="s">
        <v>56</v>
      </c>
      <c r="Q484" t="s">
        <v>101</v>
      </c>
      <c r="R484">
        <v>2</v>
      </c>
      <c r="S484">
        <v>3</v>
      </c>
      <c r="T484" t="s">
        <v>40</v>
      </c>
      <c r="U484" t="s">
        <v>42</v>
      </c>
      <c r="V484" t="s">
        <v>102</v>
      </c>
      <c r="W484" s="1">
        <v>45610</v>
      </c>
      <c r="X484" t="b">
        <v>0</v>
      </c>
      <c r="Y484" t="b">
        <v>1</v>
      </c>
      <c r="Z484" t="s">
        <v>72</v>
      </c>
      <c r="AA484" t="s">
        <v>60</v>
      </c>
      <c r="AB484">
        <v>8</v>
      </c>
      <c r="AF484" t="str">
        <f>tbl_OriginalData[[#This Row],[Customer_ID]]</f>
        <v>94-120-9525</v>
      </c>
      <c r="AG484">
        <f>tbl_OriginalData[[#This Row],[Age]]</f>
        <v>34</v>
      </c>
      <c r="AH484" t="str" cm="1">
        <f t="array" ref="AH48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84" t="str">
        <f>tbl_OriginalData[[#This Row],[Gender]]</f>
        <v>Genderfluid</v>
      </c>
      <c r="AJ484" t="str">
        <f>tbl_OriginalData[[#This Row],[Income_Level]]</f>
        <v>High</v>
      </c>
      <c r="AK484" t="str">
        <f>tbl_OriginalData[[#This Row],[Marital_Status]]</f>
        <v>Divorced</v>
      </c>
      <c r="AL484" t="str">
        <f>tbl_OriginalData[[#This Row],[Education_Level]]</f>
        <v>Bachelor's</v>
      </c>
      <c r="AM484" t="str">
        <f>tbl_OriginalData[[#This Row],[Occupation]]</f>
        <v>High</v>
      </c>
      <c r="AN484" t="s">
        <v>1175</v>
      </c>
      <c r="AO484" t="s">
        <v>1176</v>
      </c>
      <c r="AP484" t="str">
        <f>tbl_OriginalData[[#This Row],[Purchase_Category]]</f>
        <v>Electronics</v>
      </c>
      <c r="AQ484" s="4">
        <f>tbl_OriginalData[[#This Row],[Purchase_Amount]]</f>
        <v>358.5</v>
      </c>
      <c r="AR484">
        <f>tbl_OriginalData[[#This Row],[Frequency_of_Purchase]]</f>
        <v>3</v>
      </c>
      <c r="AS484" t="str">
        <f>tbl_OriginalData[[#This Row],[Purchase_Channel]]</f>
        <v>Online</v>
      </c>
      <c r="AT484">
        <f>tbl_OriginalData[[#This Row],[Brand_Loyalty]]</f>
        <v>3</v>
      </c>
      <c r="AU484">
        <f>tbl_OriginalData[[#This Row],[Product_Rating]]</f>
        <v>4</v>
      </c>
      <c r="AV484">
        <f>tbl_OriginalData[[#This Row],[Time_Spent_on_Product_Research(hours)]]*60</f>
        <v>120</v>
      </c>
      <c r="AW484" t="str">
        <f>tbl_OriginalData[[#This Row],[Social_Media_Influence]]</f>
        <v>Medium</v>
      </c>
      <c r="AX484" t="str">
        <f>tbl_OriginalData[[#This Row],[Discount_Sensitivity]]</f>
        <v>Very Sensitive</v>
      </c>
      <c r="AY484" s="3">
        <f>tbl_OriginalData[[#This Row],[Return_Rate]]/tbl_OriginalData[[#This Row],[Frequency_of_Purchase]]</f>
        <v>0.66666666666666663</v>
      </c>
      <c r="AZ484">
        <f>tbl_OriginalData[[#This Row],[Customer_Satisfaction]]</f>
        <v>3</v>
      </c>
      <c r="BA484" t="str">
        <f>tbl_OriginalData[[#This Row],[Engagement_with_Ads]]</f>
        <v>None</v>
      </c>
      <c r="BB484" t="str">
        <f>tbl_OriginalData[[#This Row],[Device_Used_for_Shopping]]</f>
        <v>Tablet</v>
      </c>
      <c r="BC484" t="str">
        <f>tbl_OriginalData[[#This Row],[Payment_Method]]</f>
        <v>Cash</v>
      </c>
      <c r="BD484" s="1">
        <f>tbl_OriginalData[[#This Row],[Time_of_Purchase]]</f>
        <v>45610</v>
      </c>
      <c r="BE484" t="str">
        <f>IF(tbl_OriginalData[[#This Row],[Discount_Used]]=TRUE,"Yes","No")</f>
        <v>No</v>
      </c>
      <c r="BF484" t="str">
        <f>IF(tbl_OriginalData[[#This Row],[Customer_Loyalty_Program_Member]]=TRUE,"Yes","No")</f>
        <v>Yes</v>
      </c>
      <c r="BG484" t="str">
        <f>tbl_OriginalData[[#This Row],[Purchase_Intent]]</f>
        <v>Impulsive</v>
      </c>
      <c r="BH484" t="str">
        <f>tbl_OriginalData[[#This Row],[Shipping_Preference]]</f>
        <v>Standard</v>
      </c>
      <c r="BI484">
        <f>tbl_OriginalData[[#This Row],[Time_to_Decision]]</f>
        <v>8</v>
      </c>
      <c r="BJ484" t="s">
        <v>177</v>
      </c>
      <c r="BK484" t="s">
        <v>80</v>
      </c>
      <c r="BL484" t="s">
        <v>2525</v>
      </c>
    </row>
    <row r="485" spans="1:64">
      <c r="A485" t="s">
        <v>1177</v>
      </c>
      <c r="B485">
        <v>44</v>
      </c>
      <c r="C485" t="s">
        <v>33</v>
      </c>
      <c r="D485" t="s">
        <v>51</v>
      </c>
      <c r="E485" t="s">
        <v>82</v>
      </c>
      <c r="F485" t="s">
        <v>36</v>
      </c>
      <c r="G485" t="s">
        <v>51</v>
      </c>
      <c r="H485" t="s">
        <v>1178</v>
      </c>
      <c r="I485" t="s">
        <v>306</v>
      </c>
      <c r="J485">
        <v>360.92</v>
      </c>
      <c r="K485">
        <v>7</v>
      </c>
      <c r="L485" t="s">
        <v>94</v>
      </c>
      <c r="M485">
        <v>2</v>
      </c>
      <c r="N485">
        <v>1</v>
      </c>
      <c r="O485">
        <v>2</v>
      </c>
      <c r="P485" t="s">
        <v>40</v>
      </c>
      <c r="Q485" t="s">
        <v>101</v>
      </c>
      <c r="R485">
        <v>0</v>
      </c>
      <c r="S485">
        <v>9</v>
      </c>
      <c r="T485" t="s">
        <v>69</v>
      </c>
      <c r="U485" t="s">
        <v>70</v>
      </c>
      <c r="V485" t="s">
        <v>58</v>
      </c>
      <c r="W485" s="1">
        <v>45606</v>
      </c>
      <c r="X485" t="b">
        <v>0</v>
      </c>
      <c r="Y485" t="b">
        <v>1</v>
      </c>
      <c r="Z485" t="s">
        <v>72</v>
      </c>
      <c r="AA485" t="s">
        <v>60</v>
      </c>
      <c r="AB485">
        <v>8</v>
      </c>
      <c r="AF485" t="str">
        <f>tbl_OriginalData[[#This Row],[Customer_ID]]</f>
        <v>22-234-9315</v>
      </c>
      <c r="AG485">
        <f>tbl_OriginalData[[#This Row],[Age]]</f>
        <v>44</v>
      </c>
      <c r="AH485" t="str" cm="1">
        <f t="array" ref="AH48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85" t="str">
        <f>tbl_OriginalData[[#This Row],[Gender]]</f>
        <v>Female</v>
      </c>
      <c r="AJ485" t="str">
        <f>tbl_OriginalData[[#This Row],[Income_Level]]</f>
        <v>High</v>
      </c>
      <c r="AK485" t="str">
        <f>tbl_OriginalData[[#This Row],[Marital_Status]]</f>
        <v>Widowed</v>
      </c>
      <c r="AL485" t="str">
        <f>tbl_OriginalData[[#This Row],[Education_Level]]</f>
        <v>Bachelor's</v>
      </c>
      <c r="AM485" t="str">
        <f>tbl_OriginalData[[#This Row],[Occupation]]</f>
        <v>High</v>
      </c>
      <c r="AN485" t="s">
        <v>1178</v>
      </c>
      <c r="AO485" t="s">
        <v>85</v>
      </c>
      <c r="AP485" t="str">
        <f>tbl_OriginalData[[#This Row],[Purchase_Category]]</f>
        <v>Jewelry &amp; Accessories</v>
      </c>
      <c r="AQ485" s="4">
        <f>tbl_OriginalData[[#This Row],[Purchase_Amount]]</f>
        <v>360.92</v>
      </c>
      <c r="AR485">
        <f>tbl_OriginalData[[#This Row],[Frequency_of_Purchase]]</f>
        <v>7</v>
      </c>
      <c r="AS485" t="str">
        <f>tbl_OriginalData[[#This Row],[Purchase_Channel]]</f>
        <v>Online</v>
      </c>
      <c r="AT485">
        <f>tbl_OriginalData[[#This Row],[Brand_Loyalty]]</f>
        <v>2</v>
      </c>
      <c r="AU485">
        <f>tbl_OriginalData[[#This Row],[Product_Rating]]</f>
        <v>1</v>
      </c>
      <c r="AV485">
        <f>tbl_OriginalData[[#This Row],[Time_Spent_on_Product_Research(hours)]]*60</f>
        <v>120</v>
      </c>
      <c r="AW485" t="str">
        <f>tbl_OriginalData[[#This Row],[Social_Media_Influence]]</f>
        <v>None</v>
      </c>
      <c r="AX485" t="str">
        <f>tbl_OriginalData[[#This Row],[Discount_Sensitivity]]</f>
        <v>Very Sensitive</v>
      </c>
      <c r="AY485" s="3">
        <f>tbl_OriginalData[[#This Row],[Return_Rate]]/tbl_OriginalData[[#This Row],[Frequency_of_Purchase]]</f>
        <v>0</v>
      </c>
      <c r="AZ485">
        <f>tbl_OriginalData[[#This Row],[Customer_Satisfaction]]</f>
        <v>9</v>
      </c>
      <c r="BA485" t="str">
        <f>tbl_OriginalData[[#This Row],[Engagement_with_Ads]]</f>
        <v>Low</v>
      </c>
      <c r="BB485" t="str">
        <f>tbl_OriginalData[[#This Row],[Device_Used_for_Shopping]]</f>
        <v>Smartphone</v>
      </c>
      <c r="BC485" t="str">
        <f>tbl_OriginalData[[#This Row],[Payment_Method]]</f>
        <v>PayPal</v>
      </c>
      <c r="BD485" s="1">
        <f>tbl_OriginalData[[#This Row],[Time_of_Purchase]]</f>
        <v>45606</v>
      </c>
      <c r="BE485" t="str">
        <f>IF(tbl_OriginalData[[#This Row],[Discount_Used]]=TRUE,"Yes","No")</f>
        <v>No</v>
      </c>
      <c r="BF485" t="str">
        <f>IF(tbl_OriginalData[[#This Row],[Customer_Loyalty_Program_Member]]=TRUE,"Yes","No")</f>
        <v>Yes</v>
      </c>
      <c r="BG485" t="str">
        <f>tbl_OriginalData[[#This Row],[Purchase_Intent]]</f>
        <v>Impulsive</v>
      </c>
      <c r="BH485" t="str">
        <f>tbl_OriginalData[[#This Row],[Shipping_Preference]]</f>
        <v>Standard</v>
      </c>
      <c r="BI485">
        <f>tbl_OriginalData[[#This Row],[Time_to_Decision]]</f>
        <v>8</v>
      </c>
      <c r="BJ485" t="s">
        <v>177</v>
      </c>
      <c r="BK485" t="s">
        <v>80</v>
      </c>
      <c r="BL485" t="s">
        <v>2524</v>
      </c>
    </row>
    <row r="486" spans="1:64">
      <c r="A486" t="s">
        <v>1179</v>
      </c>
      <c r="B486">
        <v>38</v>
      </c>
      <c r="C486" t="s">
        <v>431</v>
      </c>
      <c r="D486" t="s">
        <v>34</v>
      </c>
      <c r="E486" t="s">
        <v>35</v>
      </c>
      <c r="F486" t="s">
        <v>66</v>
      </c>
      <c r="G486" t="s">
        <v>51</v>
      </c>
      <c r="H486" t="s">
        <v>1180</v>
      </c>
      <c r="I486" t="s">
        <v>199</v>
      </c>
      <c r="J486">
        <v>374.36</v>
      </c>
      <c r="K486">
        <v>4</v>
      </c>
      <c r="L486" t="s">
        <v>94</v>
      </c>
      <c r="M486">
        <v>2</v>
      </c>
      <c r="N486">
        <v>2</v>
      </c>
      <c r="O486">
        <v>0</v>
      </c>
      <c r="P486" t="s">
        <v>40</v>
      </c>
      <c r="Q486" t="s">
        <v>41</v>
      </c>
      <c r="R486">
        <v>1</v>
      </c>
      <c r="S486">
        <v>9</v>
      </c>
      <c r="T486" t="s">
        <v>40</v>
      </c>
      <c r="U486" t="s">
        <v>70</v>
      </c>
      <c r="V486" t="s">
        <v>76</v>
      </c>
      <c r="W486" s="1">
        <v>45568</v>
      </c>
      <c r="X486" t="b">
        <v>0</v>
      </c>
      <c r="Y486" t="b">
        <v>0</v>
      </c>
      <c r="Z486" t="s">
        <v>59</v>
      </c>
      <c r="AA486" t="s">
        <v>60</v>
      </c>
      <c r="AB486">
        <v>1</v>
      </c>
      <c r="AF486" t="str">
        <f>tbl_OriginalData[[#This Row],[Customer_ID]]</f>
        <v>37-560-7247</v>
      </c>
      <c r="AG486">
        <f>tbl_OriginalData[[#This Row],[Age]]</f>
        <v>38</v>
      </c>
      <c r="AH486" t="str" cm="1">
        <f t="array" ref="AH48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86" t="str">
        <f>tbl_OriginalData[[#This Row],[Gender]]</f>
        <v>Genderqueer</v>
      </c>
      <c r="AJ486" t="str">
        <f>tbl_OriginalData[[#This Row],[Income_Level]]</f>
        <v>Middle</v>
      </c>
      <c r="AK486" t="str">
        <f>tbl_OriginalData[[#This Row],[Marital_Status]]</f>
        <v>Married</v>
      </c>
      <c r="AL486" t="str">
        <f>tbl_OriginalData[[#This Row],[Education_Level]]</f>
        <v>Master's</v>
      </c>
      <c r="AM486" t="str">
        <f>tbl_OriginalData[[#This Row],[Occupation]]</f>
        <v>High</v>
      </c>
      <c r="AN486" t="s">
        <v>1180</v>
      </c>
      <c r="AO486" t="s">
        <v>186</v>
      </c>
      <c r="AP486" t="str">
        <f>tbl_OriginalData[[#This Row],[Purchase_Category]]</f>
        <v>Groceries</v>
      </c>
      <c r="AQ486" s="4">
        <f>tbl_OriginalData[[#This Row],[Purchase_Amount]]</f>
        <v>374.36</v>
      </c>
      <c r="AR486">
        <f>tbl_OriginalData[[#This Row],[Frequency_of_Purchase]]</f>
        <v>4</v>
      </c>
      <c r="AS486" t="str">
        <f>tbl_OriginalData[[#This Row],[Purchase_Channel]]</f>
        <v>Online</v>
      </c>
      <c r="AT486">
        <f>tbl_OriginalData[[#This Row],[Brand_Loyalty]]</f>
        <v>2</v>
      </c>
      <c r="AU486">
        <f>tbl_OriginalData[[#This Row],[Product_Rating]]</f>
        <v>2</v>
      </c>
      <c r="AV486">
        <f>tbl_OriginalData[[#This Row],[Time_Spent_on_Product_Research(hours)]]*60</f>
        <v>0</v>
      </c>
      <c r="AW486" t="str">
        <f>tbl_OriginalData[[#This Row],[Social_Media_Influence]]</f>
        <v>None</v>
      </c>
      <c r="AX486" t="str">
        <f>tbl_OriginalData[[#This Row],[Discount_Sensitivity]]</f>
        <v>Somewhat Sensitive</v>
      </c>
      <c r="AY486" s="3">
        <f>tbl_OriginalData[[#This Row],[Return_Rate]]/tbl_OriginalData[[#This Row],[Frequency_of_Purchase]]</f>
        <v>0.25</v>
      </c>
      <c r="AZ486">
        <f>tbl_OriginalData[[#This Row],[Customer_Satisfaction]]</f>
        <v>9</v>
      </c>
      <c r="BA486" t="str">
        <f>tbl_OriginalData[[#This Row],[Engagement_with_Ads]]</f>
        <v>None</v>
      </c>
      <c r="BB486" t="str">
        <f>tbl_OriginalData[[#This Row],[Device_Used_for_Shopping]]</f>
        <v>Smartphone</v>
      </c>
      <c r="BC486" t="str">
        <f>tbl_OriginalData[[#This Row],[Payment_Method]]</f>
        <v>Other</v>
      </c>
      <c r="BD486" s="1">
        <f>tbl_OriginalData[[#This Row],[Time_of_Purchase]]</f>
        <v>45568</v>
      </c>
      <c r="BE486" t="str">
        <f>IF(tbl_OriginalData[[#This Row],[Discount_Used]]=TRUE,"Yes","No")</f>
        <v>No</v>
      </c>
      <c r="BF486" t="str">
        <f>IF(tbl_OriginalData[[#This Row],[Customer_Loyalty_Program_Member]]=TRUE,"Yes","No")</f>
        <v>No</v>
      </c>
      <c r="BG486" t="str">
        <f>tbl_OriginalData[[#This Row],[Purchase_Intent]]</f>
        <v>Wants-based</v>
      </c>
      <c r="BH486" t="str">
        <f>tbl_OriginalData[[#This Row],[Shipping_Preference]]</f>
        <v>Standard</v>
      </c>
      <c r="BI486">
        <f>tbl_OriginalData[[#This Row],[Time_to_Decision]]</f>
        <v>1</v>
      </c>
      <c r="BJ486" t="s">
        <v>79</v>
      </c>
      <c r="BK486" t="s">
        <v>80</v>
      </c>
      <c r="BL486" t="s">
        <v>2523</v>
      </c>
    </row>
    <row r="487" spans="1:64">
      <c r="A487" t="s">
        <v>1181</v>
      </c>
      <c r="B487">
        <v>22</v>
      </c>
      <c r="C487" t="s">
        <v>188</v>
      </c>
      <c r="D487" t="s">
        <v>51</v>
      </c>
      <c r="E487" t="s">
        <v>82</v>
      </c>
      <c r="F487" t="s">
        <v>52</v>
      </c>
      <c r="G487" t="s">
        <v>34</v>
      </c>
      <c r="H487" t="s">
        <v>1182</v>
      </c>
      <c r="I487" t="s">
        <v>153</v>
      </c>
      <c r="J487">
        <v>435.37</v>
      </c>
      <c r="K487">
        <v>11</v>
      </c>
      <c r="L487" t="s">
        <v>94</v>
      </c>
      <c r="M487">
        <v>4</v>
      </c>
      <c r="N487">
        <v>2</v>
      </c>
      <c r="O487">
        <v>1</v>
      </c>
      <c r="P487" t="s">
        <v>69</v>
      </c>
      <c r="Q487" t="s">
        <v>101</v>
      </c>
      <c r="R487">
        <v>0</v>
      </c>
      <c r="S487">
        <v>3</v>
      </c>
      <c r="T487" t="s">
        <v>51</v>
      </c>
      <c r="U487" t="s">
        <v>42</v>
      </c>
      <c r="V487" t="s">
        <v>43</v>
      </c>
      <c r="W487" s="1">
        <v>45534</v>
      </c>
      <c r="X487" t="b">
        <v>1</v>
      </c>
      <c r="Y487" t="b">
        <v>1</v>
      </c>
      <c r="Z487" t="s">
        <v>89</v>
      </c>
      <c r="AA487" t="s">
        <v>60</v>
      </c>
      <c r="AB487">
        <v>4</v>
      </c>
      <c r="AF487" t="str">
        <f>tbl_OriginalData[[#This Row],[Customer_ID]]</f>
        <v>91-857-0797</v>
      </c>
      <c r="AG487">
        <f>tbl_OriginalData[[#This Row],[Age]]</f>
        <v>22</v>
      </c>
      <c r="AH487" t="str" cm="1">
        <f t="array" ref="AH48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87" t="str">
        <f>tbl_OriginalData[[#This Row],[Gender]]</f>
        <v>Genderfluid</v>
      </c>
      <c r="AJ487" t="str">
        <f>tbl_OriginalData[[#This Row],[Income_Level]]</f>
        <v>High</v>
      </c>
      <c r="AK487" t="str">
        <f>tbl_OriginalData[[#This Row],[Marital_Status]]</f>
        <v>Widowed</v>
      </c>
      <c r="AL487" t="str">
        <f>tbl_OriginalData[[#This Row],[Education_Level]]</f>
        <v>High School</v>
      </c>
      <c r="AM487" t="str">
        <f>tbl_OriginalData[[#This Row],[Occupation]]</f>
        <v>Middle</v>
      </c>
      <c r="AN487" t="s">
        <v>1182</v>
      </c>
      <c r="AO487" t="s">
        <v>194</v>
      </c>
      <c r="AP487" t="str">
        <f>tbl_OriginalData[[#This Row],[Purchase_Category]]</f>
        <v>Baby Products</v>
      </c>
      <c r="AQ487" s="4">
        <f>tbl_OriginalData[[#This Row],[Purchase_Amount]]</f>
        <v>435.37</v>
      </c>
      <c r="AR487">
        <f>tbl_OriginalData[[#This Row],[Frequency_of_Purchase]]</f>
        <v>11</v>
      </c>
      <c r="AS487" t="str">
        <f>tbl_OriginalData[[#This Row],[Purchase_Channel]]</f>
        <v>Online</v>
      </c>
      <c r="AT487">
        <f>tbl_OriginalData[[#This Row],[Brand_Loyalty]]</f>
        <v>4</v>
      </c>
      <c r="AU487">
        <f>tbl_OriginalData[[#This Row],[Product_Rating]]</f>
        <v>2</v>
      </c>
      <c r="AV487">
        <f>tbl_OriginalData[[#This Row],[Time_Spent_on_Product_Research(hours)]]*60</f>
        <v>60</v>
      </c>
      <c r="AW487" t="str">
        <f>tbl_OriginalData[[#This Row],[Social_Media_Influence]]</f>
        <v>Low</v>
      </c>
      <c r="AX487" t="str">
        <f>tbl_OriginalData[[#This Row],[Discount_Sensitivity]]</f>
        <v>Very Sensitive</v>
      </c>
      <c r="AY487" s="3">
        <f>tbl_OriginalData[[#This Row],[Return_Rate]]/tbl_OriginalData[[#This Row],[Frequency_of_Purchase]]</f>
        <v>0</v>
      </c>
      <c r="AZ487">
        <f>tbl_OriginalData[[#This Row],[Customer_Satisfaction]]</f>
        <v>3</v>
      </c>
      <c r="BA487" t="str">
        <f>tbl_OriginalData[[#This Row],[Engagement_with_Ads]]</f>
        <v>High</v>
      </c>
      <c r="BB487" t="str">
        <f>tbl_OriginalData[[#This Row],[Device_Used_for_Shopping]]</f>
        <v>Tablet</v>
      </c>
      <c r="BC487" t="str">
        <f>tbl_OriginalData[[#This Row],[Payment_Method]]</f>
        <v>Credit Card</v>
      </c>
      <c r="BD487" s="1">
        <f>tbl_OriginalData[[#This Row],[Time_of_Purchase]]</f>
        <v>45534</v>
      </c>
      <c r="BE487" t="str">
        <f>IF(tbl_OriginalData[[#This Row],[Discount_Used]]=TRUE,"Yes","No")</f>
        <v>Yes</v>
      </c>
      <c r="BF487" t="str">
        <f>IF(tbl_OriginalData[[#This Row],[Customer_Loyalty_Program_Member]]=TRUE,"Yes","No")</f>
        <v>Yes</v>
      </c>
      <c r="BG487" t="str">
        <f>tbl_OriginalData[[#This Row],[Purchase_Intent]]</f>
        <v>Planned</v>
      </c>
      <c r="BH487" t="str">
        <f>tbl_OriginalData[[#This Row],[Shipping_Preference]]</f>
        <v>Standard</v>
      </c>
      <c r="BI487">
        <f>tbl_OriginalData[[#This Row],[Time_to_Decision]]</f>
        <v>4</v>
      </c>
      <c r="BJ487" t="s">
        <v>124</v>
      </c>
      <c r="BK487" t="s">
        <v>115</v>
      </c>
      <c r="BL487" t="s">
        <v>2524</v>
      </c>
    </row>
    <row r="488" spans="1:64">
      <c r="A488" t="s">
        <v>1183</v>
      </c>
      <c r="B488">
        <v>44</v>
      </c>
      <c r="C488" t="s">
        <v>50</v>
      </c>
      <c r="D488" t="s">
        <v>51</v>
      </c>
      <c r="E488" t="s">
        <v>65</v>
      </c>
      <c r="F488" t="s">
        <v>66</v>
      </c>
      <c r="G488" t="s">
        <v>51</v>
      </c>
      <c r="H488" t="s">
        <v>1184</v>
      </c>
      <c r="I488" t="s">
        <v>75</v>
      </c>
      <c r="J488">
        <v>459.3</v>
      </c>
      <c r="K488">
        <v>9</v>
      </c>
      <c r="L488" t="s">
        <v>94</v>
      </c>
      <c r="M488">
        <v>4</v>
      </c>
      <c r="N488">
        <v>4</v>
      </c>
      <c r="O488">
        <v>1</v>
      </c>
      <c r="P488" t="s">
        <v>40</v>
      </c>
      <c r="Q488" t="s">
        <v>41</v>
      </c>
      <c r="R488">
        <v>2</v>
      </c>
      <c r="S488">
        <v>5</v>
      </c>
      <c r="T488" t="s">
        <v>56</v>
      </c>
      <c r="U488" t="s">
        <v>95</v>
      </c>
      <c r="V488" t="s">
        <v>76</v>
      </c>
      <c r="W488" s="1">
        <v>45574</v>
      </c>
      <c r="X488" t="b">
        <v>0</v>
      </c>
      <c r="Y488" t="b">
        <v>1</v>
      </c>
      <c r="Z488" t="s">
        <v>89</v>
      </c>
      <c r="AA488" t="s">
        <v>45</v>
      </c>
      <c r="AB488">
        <v>1</v>
      </c>
      <c r="AF488" t="str">
        <f>tbl_OriginalData[[#This Row],[Customer_ID]]</f>
        <v>19-344-0102</v>
      </c>
      <c r="AG488">
        <f>tbl_OriginalData[[#This Row],[Age]]</f>
        <v>44</v>
      </c>
      <c r="AH488" t="str" cm="1">
        <f t="array" ref="AH48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88" t="str">
        <f>tbl_OriginalData[[#This Row],[Gender]]</f>
        <v>Male</v>
      </c>
      <c r="AJ488" t="str">
        <f>tbl_OriginalData[[#This Row],[Income_Level]]</f>
        <v>High</v>
      </c>
      <c r="AK488" t="str">
        <f>tbl_OriginalData[[#This Row],[Marital_Status]]</f>
        <v>Single</v>
      </c>
      <c r="AL488" t="str">
        <f>tbl_OriginalData[[#This Row],[Education_Level]]</f>
        <v>Master's</v>
      </c>
      <c r="AM488" t="str">
        <f>tbl_OriginalData[[#This Row],[Occupation]]</f>
        <v>High</v>
      </c>
      <c r="AN488" t="s">
        <v>1184</v>
      </c>
      <c r="AO488" t="s">
        <v>328</v>
      </c>
      <c r="AP488" t="str">
        <f>tbl_OriginalData[[#This Row],[Purchase_Category]]</f>
        <v>Home Appliances</v>
      </c>
      <c r="AQ488" s="4">
        <f>tbl_OriginalData[[#This Row],[Purchase_Amount]]</f>
        <v>459.3</v>
      </c>
      <c r="AR488">
        <f>tbl_OriginalData[[#This Row],[Frequency_of_Purchase]]</f>
        <v>9</v>
      </c>
      <c r="AS488" t="str">
        <f>tbl_OriginalData[[#This Row],[Purchase_Channel]]</f>
        <v>Online</v>
      </c>
      <c r="AT488">
        <f>tbl_OriginalData[[#This Row],[Brand_Loyalty]]</f>
        <v>4</v>
      </c>
      <c r="AU488">
        <f>tbl_OriginalData[[#This Row],[Product_Rating]]</f>
        <v>4</v>
      </c>
      <c r="AV488">
        <f>tbl_OriginalData[[#This Row],[Time_Spent_on_Product_Research(hours)]]*60</f>
        <v>60</v>
      </c>
      <c r="AW488" t="str">
        <f>tbl_OriginalData[[#This Row],[Social_Media_Influence]]</f>
        <v>None</v>
      </c>
      <c r="AX488" t="str">
        <f>tbl_OriginalData[[#This Row],[Discount_Sensitivity]]</f>
        <v>Somewhat Sensitive</v>
      </c>
      <c r="AY488" s="3">
        <f>tbl_OriginalData[[#This Row],[Return_Rate]]/tbl_OriginalData[[#This Row],[Frequency_of_Purchase]]</f>
        <v>0.22222222222222221</v>
      </c>
      <c r="AZ488">
        <f>tbl_OriginalData[[#This Row],[Customer_Satisfaction]]</f>
        <v>5</v>
      </c>
      <c r="BA488" t="str">
        <f>tbl_OriginalData[[#This Row],[Engagement_with_Ads]]</f>
        <v>Medium</v>
      </c>
      <c r="BB488" t="str">
        <f>tbl_OriginalData[[#This Row],[Device_Used_for_Shopping]]</f>
        <v>Desktop</v>
      </c>
      <c r="BC488" t="str">
        <f>tbl_OriginalData[[#This Row],[Payment_Method]]</f>
        <v>Other</v>
      </c>
      <c r="BD488" s="1">
        <f>tbl_OriginalData[[#This Row],[Time_of_Purchase]]</f>
        <v>45574</v>
      </c>
      <c r="BE488" t="str">
        <f>IF(tbl_OriginalData[[#This Row],[Discount_Used]]=TRUE,"Yes","No")</f>
        <v>No</v>
      </c>
      <c r="BF488" t="str">
        <f>IF(tbl_OriginalData[[#This Row],[Customer_Loyalty_Program_Member]]=TRUE,"Yes","No")</f>
        <v>Yes</v>
      </c>
      <c r="BG488" t="str">
        <f>tbl_OriginalData[[#This Row],[Purchase_Intent]]</f>
        <v>Planned</v>
      </c>
      <c r="BH488" t="str">
        <f>tbl_OriginalData[[#This Row],[Shipping_Preference]]</f>
        <v>No Preference</v>
      </c>
      <c r="BI488">
        <f>tbl_OriginalData[[#This Row],[Time_to_Decision]]</f>
        <v>1</v>
      </c>
      <c r="BJ488" t="s">
        <v>79</v>
      </c>
      <c r="BK488" t="s">
        <v>80</v>
      </c>
      <c r="BL488" t="s">
        <v>2527</v>
      </c>
    </row>
    <row r="489" spans="1:64">
      <c r="A489" t="s">
        <v>1185</v>
      </c>
      <c r="B489">
        <v>43</v>
      </c>
      <c r="C489" t="s">
        <v>33</v>
      </c>
      <c r="D489" t="s">
        <v>51</v>
      </c>
      <c r="E489" t="s">
        <v>92</v>
      </c>
      <c r="F489" t="s">
        <v>66</v>
      </c>
      <c r="G489" t="s">
        <v>34</v>
      </c>
      <c r="H489" t="s">
        <v>1186</v>
      </c>
      <c r="I489" t="s">
        <v>306</v>
      </c>
      <c r="J489">
        <v>426.89</v>
      </c>
      <c r="K489">
        <v>2</v>
      </c>
      <c r="L489" t="s">
        <v>39</v>
      </c>
      <c r="M489">
        <v>5</v>
      </c>
      <c r="N489">
        <v>1</v>
      </c>
      <c r="O489">
        <v>1</v>
      </c>
      <c r="P489" t="s">
        <v>51</v>
      </c>
      <c r="Q489" t="s">
        <v>57</v>
      </c>
      <c r="R489">
        <v>1</v>
      </c>
      <c r="S489">
        <v>3</v>
      </c>
      <c r="T489" t="s">
        <v>69</v>
      </c>
      <c r="U489" t="s">
        <v>70</v>
      </c>
      <c r="V489" t="s">
        <v>58</v>
      </c>
      <c r="W489" s="1">
        <v>45598</v>
      </c>
      <c r="X489" t="b">
        <v>1</v>
      </c>
      <c r="Y489" t="b">
        <v>0</v>
      </c>
      <c r="Z489" t="s">
        <v>59</v>
      </c>
      <c r="AA489" t="s">
        <v>77</v>
      </c>
      <c r="AB489">
        <v>10</v>
      </c>
      <c r="AF489" t="str">
        <f>tbl_OriginalData[[#This Row],[Customer_ID]]</f>
        <v>48-609-7715</v>
      </c>
      <c r="AG489">
        <f>tbl_OriginalData[[#This Row],[Age]]</f>
        <v>43</v>
      </c>
      <c r="AH489" t="str" cm="1">
        <f t="array" ref="AH48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89" t="str">
        <f>tbl_OriginalData[[#This Row],[Gender]]</f>
        <v>Female</v>
      </c>
      <c r="AJ489" t="str">
        <f>tbl_OriginalData[[#This Row],[Income_Level]]</f>
        <v>High</v>
      </c>
      <c r="AK489" t="str">
        <f>tbl_OriginalData[[#This Row],[Marital_Status]]</f>
        <v>Divorced</v>
      </c>
      <c r="AL489" t="str">
        <f>tbl_OriginalData[[#This Row],[Education_Level]]</f>
        <v>Master's</v>
      </c>
      <c r="AM489" t="str">
        <f>tbl_OriginalData[[#This Row],[Occupation]]</f>
        <v>Middle</v>
      </c>
      <c r="AN489" t="s">
        <v>1186</v>
      </c>
      <c r="AO489" t="s">
        <v>469</v>
      </c>
      <c r="AP489" t="str">
        <f>tbl_OriginalData[[#This Row],[Purchase_Category]]</f>
        <v>Jewelry &amp; Accessories</v>
      </c>
      <c r="AQ489" s="4">
        <f>tbl_OriginalData[[#This Row],[Purchase_Amount]]</f>
        <v>426.89</v>
      </c>
      <c r="AR489">
        <f>tbl_OriginalData[[#This Row],[Frequency_of_Purchase]]</f>
        <v>2</v>
      </c>
      <c r="AS489" t="str">
        <f>tbl_OriginalData[[#This Row],[Purchase_Channel]]</f>
        <v>Mixed</v>
      </c>
      <c r="AT489">
        <f>tbl_OriginalData[[#This Row],[Brand_Loyalty]]</f>
        <v>5</v>
      </c>
      <c r="AU489">
        <f>tbl_OriginalData[[#This Row],[Product_Rating]]</f>
        <v>1</v>
      </c>
      <c r="AV489">
        <f>tbl_OriginalData[[#This Row],[Time_Spent_on_Product_Research(hours)]]*60</f>
        <v>60</v>
      </c>
      <c r="AW489" t="str">
        <f>tbl_OriginalData[[#This Row],[Social_Media_Influence]]</f>
        <v>High</v>
      </c>
      <c r="AX489" t="str">
        <f>tbl_OriginalData[[#This Row],[Discount_Sensitivity]]</f>
        <v>Not Sensitive</v>
      </c>
      <c r="AY489" s="3">
        <f>tbl_OriginalData[[#This Row],[Return_Rate]]/tbl_OriginalData[[#This Row],[Frequency_of_Purchase]]</f>
        <v>0.5</v>
      </c>
      <c r="AZ489">
        <f>tbl_OriginalData[[#This Row],[Customer_Satisfaction]]</f>
        <v>3</v>
      </c>
      <c r="BA489" t="str">
        <f>tbl_OriginalData[[#This Row],[Engagement_with_Ads]]</f>
        <v>Low</v>
      </c>
      <c r="BB489" t="str">
        <f>tbl_OriginalData[[#This Row],[Device_Used_for_Shopping]]</f>
        <v>Smartphone</v>
      </c>
      <c r="BC489" t="str">
        <f>tbl_OriginalData[[#This Row],[Payment_Method]]</f>
        <v>PayPal</v>
      </c>
      <c r="BD489" s="1">
        <f>tbl_OriginalData[[#This Row],[Time_of_Purchase]]</f>
        <v>45598</v>
      </c>
      <c r="BE489" t="str">
        <f>IF(tbl_OriginalData[[#This Row],[Discount_Used]]=TRUE,"Yes","No")</f>
        <v>Yes</v>
      </c>
      <c r="BF489" t="str">
        <f>IF(tbl_OriginalData[[#This Row],[Customer_Loyalty_Program_Member]]=TRUE,"Yes","No")</f>
        <v>No</v>
      </c>
      <c r="BG489" t="str">
        <f>tbl_OriginalData[[#This Row],[Purchase_Intent]]</f>
        <v>Wants-based</v>
      </c>
      <c r="BH489" t="str">
        <f>tbl_OriginalData[[#This Row],[Shipping_Preference]]</f>
        <v>Express</v>
      </c>
      <c r="BI489">
        <f>tbl_OriginalData[[#This Row],[Time_to_Decision]]</f>
        <v>10</v>
      </c>
      <c r="BJ489" t="s">
        <v>177</v>
      </c>
      <c r="BK489" t="s">
        <v>80</v>
      </c>
      <c r="BL489" t="s">
        <v>2527</v>
      </c>
    </row>
    <row r="490" spans="1:64">
      <c r="A490" t="s">
        <v>1187</v>
      </c>
      <c r="B490">
        <v>25</v>
      </c>
      <c r="C490" t="s">
        <v>50</v>
      </c>
      <c r="D490" t="s">
        <v>34</v>
      </c>
      <c r="E490" t="s">
        <v>92</v>
      </c>
      <c r="F490" t="s">
        <v>66</v>
      </c>
      <c r="G490" t="s">
        <v>51</v>
      </c>
      <c r="H490" t="s">
        <v>1188</v>
      </c>
      <c r="I490" t="s">
        <v>127</v>
      </c>
      <c r="J490">
        <v>365.37</v>
      </c>
      <c r="K490">
        <v>6</v>
      </c>
      <c r="L490" t="s">
        <v>39</v>
      </c>
      <c r="M490">
        <v>1</v>
      </c>
      <c r="N490">
        <v>2</v>
      </c>
      <c r="O490">
        <v>1</v>
      </c>
      <c r="P490" t="s">
        <v>69</v>
      </c>
      <c r="Q490" t="s">
        <v>101</v>
      </c>
      <c r="R490">
        <v>1</v>
      </c>
      <c r="S490">
        <v>5</v>
      </c>
      <c r="T490" t="s">
        <v>69</v>
      </c>
      <c r="U490" t="s">
        <v>70</v>
      </c>
      <c r="V490" t="s">
        <v>58</v>
      </c>
      <c r="W490" s="1">
        <v>45475</v>
      </c>
      <c r="X490" t="b">
        <v>1</v>
      </c>
      <c r="Y490" t="b">
        <v>1</v>
      </c>
      <c r="Z490" t="s">
        <v>59</v>
      </c>
      <c r="AA490" t="s">
        <v>77</v>
      </c>
      <c r="AB490">
        <v>7</v>
      </c>
      <c r="AF490" t="str">
        <f>tbl_OriginalData[[#This Row],[Customer_ID]]</f>
        <v>13-571-6506</v>
      </c>
      <c r="AG490">
        <f>tbl_OriginalData[[#This Row],[Age]]</f>
        <v>25</v>
      </c>
      <c r="AH490" t="str" cm="1">
        <f t="array" ref="AH49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90" t="str">
        <f>tbl_OriginalData[[#This Row],[Gender]]</f>
        <v>Male</v>
      </c>
      <c r="AJ490" t="str">
        <f>tbl_OriginalData[[#This Row],[Income_Level]]</f>
        <v>Middle</v>
      </c>
      <c r="AK490" t="str">
        <f>tbl_OriginalData[[#This Row],[Marital_Status]]</f>
        <v>Divorced</v>
      </c>
      <c r="AL490" t="str">
        <f>tbl_OriginalData[[#This Row],[Education_Level]]</f>
        <v>Master's</v>
      </c>
      <c r="AM490" t="str">
        <f>tbl_OriginalData[[#This Row],[Occupation]]</f>
        <v>High</v>
      </c>
      <c r="AN490" t="s">
        <v>1188</v>
      </c>
      <c r="AO490" t="s">
        <v>109</v>
      </c>
      <c r="AP490" t="str">
        <f>tbl_OriginalData[[#This Row],[Purchase_Category]]</f>
        <v>Animal Feed</v>
      </c>
      <c r="AQ490" s="4">
        <f>tbl_OriginalData[[#This Row],[Purchase_Amount]]</f>
        <v>365.37</v>
      </c>
      <c r="AR490">
        <f>tbl_OriginalData[[#This Row],[Frequency_of_Purchase]]</f>
        <v>6</v>
      </c>
      <c r="AS490" t="str">
        <f>tbl_OriginalData[[#This Row],[Purchase_Channel]]</f>
        <v>Mixed</v>
      </c>
      <c r="AT490">
        <f>tbl_OriginalData[[#This Row],[Brand_Loyalty]]</f>
        <v>1</v>
      </c>
      <c r="AU490">
        <f>tbl_OriginalData[[#This Row],[Product_Rating]]</f>
        <v>2</v>
      </c>
      <c r="AV490">
        <f>tbl_OriginalData[[#This Row],[Time_Spent_on_Product_Research(hours)]]*60</f>
        <v>60</v>
      </c>
      <c r="AW490" t="str">
        <f>tbl_OriginalData[[#This Row],[Social_Media_Influence]]</f>
        <v>Low</v>
      </c>
      <c r="AX490" t="str">
        <f>tbl_OriginalData[[#This Row],[Discount_Sensitivity]]</f>
        <v>Very Sensitive</v>
      </c>
      <c r="AY490" s="3">
        <f>tbl_OriginalData[[#This Row],[Return_Rate]]/tbl_OriginalData[[#This Row],[Frequency_of_Purchase]]</f>
        <v>0.16666666666666666</v>
      </c>
      <c r="AZ490">
        <f>tbl_OriginalData[[#This Row],[Customer_Satisfaction]]</f>
        <v>5</v>
      </c>
      <c r="BA490" t="str">
        <f>tbl_OriginalData[[#This Row],[Engagement_with_Ads]]</f>
        <v>Low</v>
      </c>
      <c r="BB490" t="str">
        <f>tbl_OriginalData[[#This Row],[Device_Used_for_Shopping]]</f>
        <v>Smartphone</v>
      </c>
      <c r="BC490" t="str">
        <f>tbl_OriginalData[[#This Row],[Payment_Method]]</f>
        <v>PayPal</v>
      </c>
      <c r="BD490" s="1">
        <f>tbl_OriginalData[[#This Row],[Time_of_Purchase]]</f>
        <v>45475</v>
      </c>
      <c r="BE490" t="str">
        <f>IF(tbl_OriginalData[[#This Row],[Discount_Used]]=TRUE,"Yes","No")</f>
        <v>Yes</v>
      </c>
      <c r="BF490" t="str">
        <f>IF(tbl_OriginalData[[#This Row],[Customer_Loyalty_Program_Member]]=TRUE,"Yes","No")</f>
        <v>Yes</v>
      </c>
      <c r="BG490" t="str">
        <f>tbl_OriginalData[[#This Row],[Purchase_Intent]]</f>
        <v>Wants-based</v>
      </c>
      <c r="BH490" t="str">
        <f>tbl_OriginalData[[#This Row],[Shipping_Preference]]</f>
        <v>Express</v>
      </c>
      <c r="BI490">
        <f>tbl_OriginalData[[#This Row],[Time_to_Decision]]</f>
        <v>7</v>
      </c>
      <c r="BJ490" t="s">
        <v>114</v>
      </c>
      <c r="BK490" t="s">
        <v>115</v>
      </c>
      <c r="BL490" t="s">
        <v>2526</v>
      </c>
    </row>
    <row r="491" spans="1:64">
      <c r="A491" t="s">
        <v>1189</v>
      </c>
      <c r="B491">
        <v>21</v>
      </c>
      <c r="C491" t="s">
        <v>33</v>
      </c>
      <c r="D491" t="s">
        <v>34</v>
      </c>
      <c r="E491" t="s">
        <v>92</v>
      </c>
      <c r="F491" t="s">
        <v>66</v>
      </c>
      <c r="G491" t="s">
        <v>51</v>
      </c>
      <c r="H491" t="s">
        <v>1190</v>
      </c>
      <c r="I491" t="s">
        <v>112</v>
      </c>
      <c r="J491">
        <v>487.25</v>
      </c>
      <c r="K491">
        <v>4</v>
      </c>
      <c r="L491" t="s">
        <v>94</v>
      </c>
      <c r="M491">
        <v>3</v>
      </c>
      <c r="N491">
        <v>2</v>
      </c>
      <c r="O491">
        <v>1</v>
      </c>
      <c r="P491" t="s">
        <v>51</v>
      </c>
      <c r="Q491" t="s">
        <v>101</v>
      </c>
      <c r="R491">
        <v>0</v>
      </c>
      <c r="S491">
        <v>4</v>
      </c>
      <c r="T491" t="s">
        <v>51</v>
      </c>
      <c r="U491" t="s">
        <v>95</v>
      </c>
      <c r="V491" t="s">
        <v>102</v>
      </c>
      <c r="W491" s="1">
        <v>45573</v>
      </c>
      <c r="X491" t="b">
        <v>0</v>
      </c>
      <c r="Y491" t="b">
        <v>0</v>
      </c>
      <c r="Z491" t="s">
        <v>59</v>
      </c>
      <c r="AA491" t="s">
        <v>60</v>
      </c>
      <c r="AB491">
        <v>1</v>
      </c>
      <c r="AF491" t="str">
        <f>tbl_OriginalData[[#This Row],[Customer_ID]]</f>
        <v>47-073-6440</v>
      </c>
      <c r="AG491">
        <f>tbl_OriginalData[[#This Row],[Age]]</f>
        <v>21</v>
      </c>
      <c r="AH491" t="str" cm="1">
        <f t="array" ref="AH49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91" t="str">
        <f>tbl_OriginalData[[#This Row],[Gender]]</f>
        <v>Female</v>
      </c>
      <c r="AJ491" t="str">
        <f>tbl_OriginalData[[#This Row],[Income_Level]]</f>
        <v>Middle</v>
      </c>
      <c r="AK491" t="str">
        <f>tbl_OriginalData[[#This Row],[Marital_Status]]</f>
        <v>Divorced</v>
      </c>
      <c r="AL491" t="str">
        <f>tbl_OriginalData[[#This Row],[Education_Level]]</f>
        <v>Master's</v>
      </c>
      <c r="AM491" t="str">
        <f>tbl_OriginalData[[#This Row],[Occupation]]</f>
        <v>High</v>
      </c>
      <c r="AN491" t="s">
        <v>1190</v>
      </c>
      <c r="AO491" t="s">
        <v>61</v>
      </c>
      <c r="AP491" t="str">
        <f>tbl_OriginalData[[#This Row],[Purchase_Category]]</f>
        <v>Mobile Accessories</v>
      </c>
      <c r="AQ491" s="4">
        <f>tbl_OriginalData[[#This Row],[Purchase_Amount]]</f>
        <v>487.25</v>
      </c>
      <c r="AR491">
        <f>tbl_OriginalData[[#This Row],[Frequency_of_Purchase]]</f>
        <v>4</v>
      </c>
      <c r="AS491" t="str">
        <f>tbl_OriginalData[[#This Row],[Purchase_Channel]]</f>
        <v>Online</v>
      </c>
      <c r="AT491">
        <f>tbl_OriginalData[[#This Row],[Brand_Loyalty]]</f>
        <v>3</v>
      </c>
      <c r="AU491">
        <f>tbl_OriginalData[[#This Row],[Product_Rating]]</f>
        <v>2</v>
      </c>
      <c r="AV491">
        <f>tbl_OriginalData[[#This Row],[Time_Spent_on_Product_Research(hours)]]*60</f>
        <v>60</v>
      </c>
      <c r="AW491" t="str">
        <f>tbl_OriginalData[[#This Row],[Social_Media_Influence]]</f>
        <v>High</v>
      </c>
      <c r="AX491" t="str">
        <f>tbl_OriginalData[[#This Row],[Discount_Sensitivity]]</f>
        <v>Very Sensitive</v>
      </c>
      <c r="AY491" s="3">
        <f>tbl_OriginalData[[#This Row],[Return_Rate]]/tbl_OriginalData[[#This Row],[Frequency_of_Purchase]]</f>
        <v>0</v>
      </c>
      <c r="AZ491">
        <f>tbl_OriginalData[[#This Row],[Customer_Satisfaction]]</f>
        <v>4</v>
      </c>
      <c r="BA491" t="str">
        <f>tbl_OriginalData[[#This Row],[Engagement_with_Ads]]</f>
        <v>High</v>
      </c>
      <c r="BB491" t="str">
        <f>tbl_OriginalData[[#This Row],[Device_Used_for_Shopping]]</f>
        <v>Desktop</v>
      </c>
      <c r="BC491" t="str">
        <f>tbl_OriginalData[[#This Row],[Payment_Method]]</f>
        <v>Cash</v>
      </c>
      <c r="BD491" s="1">
        <f>tbl_OriginalData[[#This Row],[Time_of_Purchase]]</f>
        <v>45573</v>
      </c>
      <c r="BE491" t="str">
        <f>IF(tbl_OriginalData[[#This Row],[Discount_Used]]=TRUE,"Yes","No")</f>
        <v>No</v>
      </c>
      <c r="BF491" t="str">
        <f>IF(tbl_OriginalData[[#This Row],[Customer_Loyalty_Program_Member]]=TRUE,"Yes","No")</f>
        <v>No</v>
      </c>
      <c r="BG491" t="str">
        <f>tbl_OriginalData[[#This Row],[Purchase_Intent]]</f>
        <v>Wants-based</v>
      </c>
      <c r="BH491" t="str">
        <f>tbl_OriginalData[[#This Row],[Shipping_Preference]]</f>
        <v>Standard</v>
      </c>
      <c r="BI491">
        <f>tbl_OriginalData[[#This Row],[Time_to_Decision]]</f>
        <v>1</v>
      </c>
      <c r="BJ491" t="s">
        <v>79</v>
      </c>
      <c r="BK491" t="s">
        <v>80</v>
      </c>
      <c r="BL491" t="s">
        <v>2524</v>
      </c>
    </row>
    <row r="492" spans="1:64">
      <c r="A492" t="s">
        <v>1191</v>
      </c>
      <c r="B492">
        <v>29</v>
      </c>
      <c r="C492" t="s">
        <v>33</v>
      </c>
      <c r="D492" t="s">
        <v>34</v>
      </c>
      <c r="E492" t="s">
        <v>35</v>
      </c>
      <c r="F492" t="s">
        <v>52</v>
      </c>
      <c r="G492" t="s">
        <v>51</v>
      </c>
      <c r="H492" t="s">
        <v>1192</v>
      </c>
      <c r="I492" t="s">
        <v>153</v>
      </c>
      <c r="J492">
        <v>187.22</v>
      </c>
      <c r="K492">
        <v>10</v>
      </c>
      <c r="L492" t="s">
        <v>94</v>
      </c>
      <c r="M492">
        <v>5</v>
      </c>
      <c r="N492">
        <v>3</v>
      </c>
      <c r="O492">
        <v>0</v>
      </c>
      <c r="P492" t="s">
        <v>56</v>
      </c>
      <c r="Q492" t="s">
        <v>101</v>
      </c>
      <c r="R492">
        <v>1</v>
      </c>
      <c r="S492">
        <v>4</v>
      </c>
      <c r="T492" t="s">
        <v>69</v>
      </c>
      <c r="U492" t="s">
        <v>95</v>
      </c>
      <c r="V492" t="s">
        <v>43</v>
      </c>
      <c r="W492" s="1">
        <v>45447</v>
      </c>
      <c r="X492" t="b">
        <v>0</v>
      </c>
      <c r="Y492" t="b">
        <v>0</v>
      </c>
      <c r="Z492" t="s">
        <v>59</v>
      </c>
      <c r="AA492" t="s">
        <v>60</v>
      </c>
      <c r="AB492">
        <v>4</v>
      </c>
      <c r="AF492" t="str">
        <f>tbl_OriginalData[[#This Row],[Customer_ID]]</f>
        <v>50-303-1693</v>
      </c>
      <c r="AG492">
        <f>tbl_OriginalData[[#This Row],[Age]]</f>
        <v>29</v>
      </c>
      <c r="AH492" t="str" cm="1">
        <f t="array" ref="AH49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92" t="str">
        <f>tbl_OriginalData[[#This Row],[Gender]]</f>
        <v>Female</v>
      </c>
      <c r="AJ492" t="str">
        <f>tbl_OriginalData[[#This Row],[Income_Level]]</f>
        <v>Middle</v>
      </c>
      <c r="AK492" t="str">
        <f>tbl_OriginalData[[#This Row],[Marital_Status]]</f>
        <v>Married</v>
      </c>
      <c r="AL492" t="str">
        <f>tbl_OriginalData[[#This Row],[Education_Level]]</f>
        <v>High School</v>
      </c>
      <c r="AM492" t="str">
        <f>tbl_OriginalData[[#This Row],[Occupation]]</f>
        <v>High</v>
      </c>
      <c r="AN492" t="s">
        <v>1192</v>
      </c>
      <c r="AO492" t="s">
        <v>502</v>
      </c>
      <c r="AP492" t="str">
        <f>tbl_OriginalData[[#This Row],[Purchase_Category]]</f>
        <v>Baby Products</v>
      </c>
      <c r="AQ492" s="4">
        <f>tbl_OriginalData[[#This Row],[Purchase_Amount]]</f>
        <v>187.22</v>
      </c>
      <c r="AR492">
        <f>tbl_OriginalData[[#This Row],[Frequency_of_Purchase]]</f>
        <v>10</v>
      </c>
      <c r="AS492" t="str">
        <f>tbl_OriginalData[[#This Row],[Purchase_Channel]]</f>
        <v>Online</v>
      </c>
      <c r="AT492">
        <f>tbl_OriginalData[[#This Row],[Brand_Loyalty]]</f>
        <v>5</v>
      </c>
      <c r="AU492">
        <f>tbl_OriginalData[[#This Row],[Product_Rating]]</f>
        <v>3</v>
      </c>
      <c r="AV492">
        <f>tbl_OriginalData[[#This Row],[Time_Spent_on_Product_Research(hours)]]*60</f>
        <v>0</v>
      </c>
      <c r="AW492" t="str">
        <f>tbl_OriginalData[[#This Row],[Social_Media_Influence]]</f>
        <v>Medium</v>
      </c>
      <c r="AX492" t="str">
        <f>tbl_OriginalData[[#This Row],[Discount_Sensitivity]]</f>
        <v>Very Sensitive</v>
      </c>
      <c r="AY492" s="3">
        <f>tbl_OriginalData[[#This Row],[Return_Rate]]/tbl_OriginalData[[#This Row],[Frequency_of_Purchase]]</f>
        <v>0.1</v>
      </c>
      <c r="AZ492">
        <f>tbl_OriginalData[[#This Row],[Customer_Satisfaction]]</f>
        <v>4</v>
      </c>
      <c r="BA492" t="str">
        <f>tbl_OriginalData[[#This Row],[Engagement_with_Ads]]</f>
        <v>Low</v>
      </c>
      <c r="BB492" t="str">
        <f>tbl_OriginalData[[#This Row],[Device_Used_for_Shopping]]</f>
        <v>Desktop</v>
      </c>
      <c r="BC492" t="str">
        <f>tbl_OriginalData[[#This Row],[Payment_Method]]</f>
        <v>Credit Card</v>
      </c>
      <c r="BD492" s="1">
        <f>tbl_OriginalData[[#This Row],[Time_of_Purchase]]</f>
        <v>45447</v>
      </c>
      <c r="BE492" t="str">
        <f>IF(tbl_OriginalData[[#This Row],[Discount_Used]]=TRUE,"Yes","No")</f>
        <v>No</v>
      </c>
      <c r="BF492" t="str">
        <f>IF(tbl_OriginalData[[#This Row],[Customer_Loyalty_Program_Member]]=TRUE,"Yes","No")</f>
        <v>No</v>
      </c>
      <c r="BG492" t="str">
        <f>tbl_OriginalData[[#This Row],[Purchase_Intent]]</f>
        <v>Wants-based</v>
      </c>
      <c r="BH492" t="str">
        <f>tbl_OriginalData[[#This Row],[Shipping_Preference]]</f>
        <v>Standard</v>
      </c>
      <c r="BI492">
        <f>tbl_OriginalData[[#This Row],[Time_to_Decision]]</f>
        <v>4</v>
      </c>
      <c r="BJ492" t="s">
        <v>104</v>
      </c>
      <c r="BK492" t="s">
        <v>63</v>
      </c>
      <c r="BL492" t="s">
        <v>2524</v>
      </c>
    </row>
    <row r="493" spans="1:64">
      <c r="A493" t="s">
        <v>1193</v>
      </c>
      <c r="B493">
        <v>41</v>
      </c>
      <c r="C493" t="s">
        <v>50</v>
      </c>
      <c r="D493" t="s">
        <v>51</v>
      </c>
      <c r="E493" t="s">
        <v>92</v>
      </c>
      <c r="F493" t="s">
        <v>66</v>
      </c>
      <c r="G493" t="s">
        <v>51</v>
      </c>
      <c r="H493" t="s">
        <v>1194</v>
      </c>
      <c r="I493" t="s">
        <v>156</v>
      </c>
      <c r="J493">
        <v>396.82</v>
      </c>
      <c r="K493">
        <v>7</v>
      </c>
      <c r="L493" t="s">
        <v>39</v>
      </c>
      <c r="M493">
        <v>3</v>
      </c>
      <c r="N493">
        <v>4</v>
      </c>
      <c r="O493">
        <v>1</v>
      </c>
      <c r="P493" t="s">
        <v>40</v>
      </c>
      <c r="Q493" t="s">
        <v>41</v>
      </c>
      <c r="R493">
        <v>1</v>
      </c>
      <c r="S493">
        <v>9</v>
      </c>
      <c r="T493" t="s">
        <v>51</v>
      </c>
      <c r="U493" t="s">
        <v>95</v>
      </c>
      <c r="V493" t="s">
        <v>43</v>
      </c>
      <c r="W493" s="1">
        <v>45517</v>
      </c>
      <c r="X493" t="b">
        <v>1</v>
      </c>
      <c r="Y493" t="b">
        <v>1</v>
      </c>
      <c r="Z493" t="s">
        <v>44</v>
      </c>
      <c r="AA493" t="s">
        <v>45</v>
      </c>
      <c r="AB493">
        <v>9</v>
      </c>
      <c r="AF493" t="str">
        <f>tbl_OriginalData[[#This Row],[Customer_ID]]</f>
        <v>69-157-9577</v>
      </c>
      <c r="AG493">
        <f>tbl_OriginalData[[#This Row],[Age]]</f>
        <v>41</v>
      </c>
      <c r="AH493" t="str" cm="1">
        <f t="array" ref="AH49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93" t="str">
        <f>tbl_OriginalData[[#This Row],[Gender]]</f>
        <v>Male</v>
      </c>
      <c r="AJ493" t="str">
        <f>tbl_OriginalData[[#This Row],[Income_Level]]</f>
        <v>High</v>
      </c>
      <c r="AK493" t="str">
        <f>tbl_OriginalData[[#This Row],[Marital_Status]]</f>
        <v>Divorced</v>
      </c>
      <c r="AL493" t="str">
        <f>tbl_OriginalData[[#This Row],[Education_Level]]</f>
        <v>Master's</v>
      </c>
      <c r="AM493" t="str">
        <f>tbl_OriginalData[[#This Row],[Occupation]]</f>
        <v>High</v>
      </c>
      <c r="AN493" t="s">
        <v>1194</v>
      </c>
      <c r="AO493" t="s">
        <v>61</v>
      </c>
      <c r="AP493" t="str">
        <f>tbl_OriginalData[[#This Row],[Purchase_Category]]</f>
        <v>Toys &amp; Games</v>
      </c>
      <c r="AQ493" s="4">
        <f>tbl_OriginalData[[#This Row],[Purchase_Amount]]</f>
        <v>396.82</v>
      </c>
      <c r="AR493">
        <f>tbl_OriginalData[[#This Row],[Frequency_of_Purchase]]</f>
        <v>7</v>
      </c>
      <c r="AS493" t="str">
        <f>tbl_OriginalData[[#This Row],[Purchase_Channel]]</f>
        <v>Mixed</v>
      </c>
      <c r="AT493">
        <f>tbl_OriginalData[[#This Row],[Brand_Loyalty]]</f>
        <v>3</v>
      </c>
      <c r="AU493">
        <f>tbl_OriginalData[[#This Row],[Product_Rating]]</f>
        <v>4</v>
      </c>
      <c r="AV493">
        <f>tbl_OriginalData[[#This Row],[Time_Spent_on_Product_Research(hours)]]*60</f>
        <v>60</v>
      </c>
      <c r="AW493" t="str">
        <f>tbl_OriginalData[[#This Row],[Social_Media_Influence]]</f>
        <v>None</v>
      </c>
      <c r="AX493" t="str">
        <f>tbl_OriginalData[[#This Row],[Discount_Sensitivity]]</f>
        <v>Somewhat Sensitive</v>
      </c>
      <c r="AY493" s="3">
        <f>tbl_OriginalData[[#This Row],[Return_Rate]]/tbl_OriginalData[[#This Row],[Frequency_of_Purchase]]</f>
        <v>0.14285714285714285</v>
      </c>
      <c r="AZ493">
        <f>tbl_OriginalData[[#This Row],[Customer_Satisfaction]]</f>
        <v>9</v>
      </c>
      <c r="BA493" t="str">
        <f>tbl_OriginalData[[#This Row],[Engagement_with_Ads]]</f>
        <v>High</v>
      </c>
      <c r="BB493" t="str">
        <f>tbl_OriginalData[[#This Row],[Device_Used_for_Shopping]]</f>
        <v>Desktop</v>
      </c>
      <c r="BC493" t="str">
        <f>tbl_OriginalData[[#This Row],[Payment_Method]]</f>
        <v>Credit Card</v>
      </c>
      <c r="BD493" s="1">
        <f>tbl_OriginalData[[#This Row],[Time_of_Purchase]]</f>
        <v>45517</v>
      </c>
      <c r="BE493" t="str">
        <f>IF(tbl_OriginalData[[#This Row],[Discount_Used]]=TRUE,"Yes","No")</f>
        <v>Yes</v>
      </c>
      <c r="BF493" t="str">
        <f>IF(tbl_OriginalData[[#This Row],[Customer_Loyalty_Program_Member]]=TRUE,"Yes","No")</f>
        <v>Yes</v>
      </c>
      <c r="BG493" t="str">
        <f>tbl_OriginalData[[#This Row],[Purchase_Intent]]</f>
        <v>Need-based</v>
      </c>
      <c r="BH493" t="str">
        <f>tbl_OriginalData[[#This Row],[Shipping_Preference]]</f>
        <v>No Preference</v>
      </c>
      <c r="BI493">
        <f>tbl_OriginalData[[#This Row],[Time_to_Decision]]</f>
        <v>9</v>
      </c>
      <c r="BJ493" t="s">
        <v>124</v>
      </c>
      <c r="BK493" t="s">
        <v>115</v>
      </c>
      <c r="BL493" t="s">
        <v>2524</v>
      </c>
    </row>
    <row r="494" spans="1:64">
      <c r="A494" t="s">
        <v>1195</v>
      </c>
      <c r="B494">
        <v>38</v>
      </c>
      <c r="C494" t="s">
        <v>188</v>
      </c>
      <c r="D494" t="s">
        <v>51</v>
      </c>
      <c r="E494" t="s">
        <v>92</v>
      </c>
      <c r="F494" t="s">
        <v>66</v>
      </c>
      <c r="G494" t="s">
        <v>51</v>
      </c>
      <c r="H494" t="s">
        <v>1196</v>
      </c>
      <c r="I494" t="s">
        <v>242</v>
      </c>
      <c r="J494">
        <v>246.74</v>
      </c>
      <c r="K494">
        <v>10</v>
      </c>
      <c r="L494" t="s">
        <v>94</v>
      </c>
      <c r="M494">
        <v>2</v>
      </c>
      <c r="N494">
        <v>3</v>
      </c>
      <c r="O494">
        <v>0</v>
      </c>
      <c r="P494" t="s">
        <v>56</v>
      </c>
      <c r="Q494" t="s">
        <v>57</v>
      </c>
      <c r="R494">
        <v>1</v>
      </c>
      <c r="S494">
        <v>6</v>
      </c>
      <c r="T494" t="s">
        <v>51</v>
      </c>
      <c r="U494" t="s">
        <v>95</v>
      </c>
      <c r="V494" t="s">
        <v>58</v>
      </c>
      <c r="W494" s="1">
        <v>45378</v>
      </c>
      <c r="X494" t="b">
        <v>0</v>
      </c>
      <c r="Y494" t="b">
        <v>0</v>
      </c>
      <c r="Z494" t="s">
        <v>44</v>
      </c>
      <c r="AA494" t="s">
        <v>77</v>
      </c>
      <c r="AB494">
        <v>8</v>
      </c>
      <c r="AF494" t="str">
        <f>tbl_OriginalData[[#This Row],[Customer_ID]]</f>
        <v>09-513-4923</v>
      </c>
      <c r="AG494">
        <f>tbl_OriginalData[[#This Row],[Age]]</f>
        <v>38</v>
      </c>
      <c r="AH494" t="str" cm="1">
        <f t="array" ref="AH49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94" t="str">
        <f>tbl_OriginalData[[#This Row],[Gender]]</f>
        <v>Genderfluid</v>
      </c>
      <c r="AJ494" t="str">
        <f>tbl_OriginalData[[#This Row],[Income_Level]]</f>
        <v>High</v>
      </c>
      <c r="AK494" t="str">
        <f>tbl_OriginalData[[#This Row],[Marital_Status]]</f>
        <v>Divorced</v>
      </c>
      <c r="AL494" t="str">
        <f>tbl_OriginalData[[#This Row],[Education_Level]]</f>
        <v>Master's</v>
      </c>
      <c r="AM494" t="str">
        <f>tbl_OriginalData[[#This Row],[Occupation]]</f>
        <v>High</v>
      </c>
      <c r="AN494" t="s">
        <v>1196</v>
      </c>
      <c r="AO494" t="s">
        <v>90</v>
      </c>
      <c r="AP494" t="str">
        <f>tbl_OriginalData[[#This Row],[Purchase_Category]]</f>
        <v>Travel &amp; Leisure (Flights</v>
      </c>
      <c r="AQ494" s="4">
        <f>tbl_OriginalData[[#This Row],[Purchase_Amount]]</f>
        <v>246.74</v>
      </c>
      <c r="AR494">
        <f>tbl_OriginalData[[#This Row],[Frequency_of_Purchase]]</f>
        <v>10</v>
      </c>
      <c r="AS494" t="str">
        <f>tbl_OriginalData[[#This Row],[Purchase_Channel]]</f>
        <v>Online</v>
      </c>
      <c r="AT494">
        <f>tbl_OriginalData[[#This Row],[Brand_Loyalty]]</f>
        <v>2</v>
      </c>
      <c r="AU494">
        <f>tbl_OriginalData[[#This Row],[Product_Rating]]</f>
        <v>3</v>
      </c>
      <c r="AV494">
        <f>tbl_OriginalData[[#This Row],[Time_Spent_on_Product_Research(hours)]]*60</f>
        <v>0</v>
      </c>
      <c r="AW494" t="str">
        <f>tbl_OriginalData[[#This Row],[Social_Media_Influence]]</f>
        <v>Medium</v>
      </c>
      <c r="AX494" t="str">
        <f>tbl_OriginalData[[#This Row],[Discount_Sensitivity]]</f>
        <v>Not Sensitive</v>
      </c>
      <c r="AY494" s="3">
        <f>tbl_OriginalData[[#This Row],[Return_Rate]]/tbl_OriginalData[[#This Row],[Frequency_of_Purchase]]</f>
        <v>0.1</v>
      </c>
      <c r="AZ494">
        <f>tbl_OriginalData[[#This Row],[Customer_Satisfaction]]</f>
        <v>6</v>
      </c>
      <c r="BA494" t="str">
        <f>tbl_OriginalData[[#This Row],[Engagement_with_Ads]]</f>
        <v>High</v>
      </c>
      <c r="BB494" t="str">
        <f>tbl_OriginalData[[#This Row],[Device_Used_for_Shopping]]</f>
        <v>Desktop</v>
      </c>
      <c r="BC494" t="str">
        <f>tbl_OriginalData[[#This Row],[Payment_Method]]</f>
        <v>PayPal</v>
      </c>
      <c r="BD494" s="1">
        <f>tbl_OriginalData[[#This Row],[Time_of_Purchase]]</f>
        <v>45378</v>
      </c>
      <c r="BE494" t="str">
        <f>IF(tbl_OriginalData[[#This Row],[Discount_Used]]=TRUE,"Yes","No")</f>
        <v>No</v>
      </c>
      <c r="BF494" t="str">
        <f>IF(tbl_OriginalData[[#This Row],[Customer_Loyalty_Program_Member]]=TRUE,"Yes","No")</f>
        <v>No</v>
      </c>
      <c r="BG494" t="str">
        <f>tbl_OriginalData[[#This Row],[Purchase_Intent]]</f>
        <v>Need-based</v>
      </c>
      <c r="BH494" t="str">
        <f>tbl_OriginalData[[#This Row],[Shipping_Preference]]</f>
        <v>Express</v>
      </c>
      <c r="BI494">
        <f>tbl_OriginalData[[#This Row],[Time_to_Decision]]</f>
        <v>8</v>
      </c>
      <c r="BJ494" t="s">
        <v>47</v>
      </c>
      <c r="BK494" t="s">
        <v>48</v>
      </c>
      <c r="BL494" t="s">
        <v>2524</v>
      </c>
    </row>
    <row r="495" spans="1:64">
      <c r="A495" t="s">
        <v>1197</v>
      </c>
      <c r="B495">
        <v>26</v>
      </c>
      <c r="C495" t="s">
        <v>50</v>
      </c>
      <c r="D495" t="s">
        <v>51</v>
      </c>
      <c r="E495" t="s">
        <v>82</v>
      </c>
      <c r="F495" t="s">
        <v>36</v>
      </c>
      <c r="G495" t="s">
        <v>51</v>
      </c>
      <c r="H495" t="s">
        <v>1198</v>
      </c>
      <c r="I495" t="s">
        <v>123</v>
      </c>
      <c r="J495">
        <v>128.74</v>
      </c>
      <c r="K495">
        <v>12</v>
      </c>
      <c r="L495" t="s">
        <v>39</v>
      </c>
      <c r="M495">
        <v>5</v>
      </c>
      <c r="N495">
        <v>1</v>
      </c>
      <c r="O495">
        <v>1</v>
      </c>
      <c r="P495" t="s">
        <v>56</v>
      </c>
      <c r="Q495" t="s">
        <v>41</v>
      </c>
      <c r="R495">
        <v>1</v>
      </c>
      <c r="S495">
        <v>8</v>
      </c>
      <c r="T495" t="s">
        <v>51</v>
      </c>
      <c r="U495" t="s">
        <v>95</v>
      </c>
      <c r="V495" t="s">
        <v>58</v>
      </c>
      <c r="W495" s="1">
        <v>45297</v>
      </c>
      <c r="X495" t="b">
        <v>0</v>
      </c>
      <c r="Y495" t="b">
        <v>1</v>
      </c>
      <c r="Z495" t="s">
        <v>89</v>
      </c>
      <c r="AA495" t="s">
        <v>60</v>
      </c>
      <c r="AB495">
        <v>1</v>
      </c>
      <c r="AF495" t="str">
        <f>tbl_OriginalData[[#This Row],[Customer_ID]]</f>
        <v>82-975-8569</v>
      </c>
      <c r="AG495">
        <f>tbl_OriginalData[[#This Row],[Age]]</f>
        <v>26</v>
      </c>
      <c r="AH495" t="str" cm="1">
        <f t="array" ref="AH49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495" t="str">
        <f>tbl_OriginalData[[#This Row],[Gender]]</f>
        <v>Male</v>
      </c>
      <c r="AJ495" t="str">
        <f>tbl_OriginalData[[#This Row],[Income_Level]]</f>
        <v>High</v>
      </c>
      <c r="AK495" t="str">
        <f>tbl_OriginalData[[#This Row],[Marital_Status]]</f>
        <v>Widowed</v>
      </c>
      <c r="AL495" t="str">
        <f>tbl_OriginalData[[#This Row],[Education_Level]]</f>
        <v>Bachelor's</v>
      </c>
      <c r="AM495" t="str">
        <f>tbl_OriginalData[[#This Row],[Occupation]]</f>
        <v>High</v>
      </c>
      <c r="AN495" t="s">
        <v>1198</v>
      </c>
      <c r="AO495" t="s">
        <v>46</v>
      </c>
      <c r="AP495" t="str">
        <f>tbl_OriginalData[[#This Row],[Purchase_Category]]</f>
        <v>Luxury Goods</v>
      </c>
      <c r="AQ495" s="4">
        <f>tbl_OriginalData[[#This Row],[Purchase_Amount]]</f>
        <v>128.74</v>
      </c>
      <c r="AR495">
        <f>tbl_OriginalData[[#This Row],[Frequency_of_Purchase]]</f>
        <v>12</v>
      </c>
      <c r="AS495" t="str">
        <f>tbl_OriginalData[[#This Row],[Purchase_Channel]]</f>
        <v>Mixed</v>
      </c>
      <c r="AT495">
        <f>tbl_OriginalData[[#This Row],[Brand_Loyalty]]</f>
        <v>5</v>
      </c>
      <c r="AU495">
        <f>tbl_OriginalData[[#This Row],[Product_Rating]]</f>
        <v>1</v>
      </c>
      <c r="AV495">
        <f>tbl_OriginalData[[#This Row],[Time_Spent_on_Product_Research(hours)]]*60</f>
        <v>60</v>
      </c>
      <c r="AW495" t="str">
        <f>tbl_OriginalData[[#This Row],[Social_Media_Influence]]</f>
        <v>Medium</v>
      </c>
      <c r="AX495" t="str">
        <f>tbl_OriginalData[[#This Row],[Discount_Sensitivity]]</f>
        <v>Somewhat Sensitive</v>
      </c>
      <c r="AY495" s="3">
        <f>tbl_OriginalData[[#This Row],[Return_Rate]]/tbl_OriginalData[[#This Row],[Frequency_of_Purchase]]</f>
        <v>8.3333333333333329E-2</v>
      </c>
      <c r="AZ495">
        <f>tbl_OriginalData[[#This Row],[Customer_Satisfaction]]</f>
        <v>8</v>
      </c>
      <c r="BA495" t="str">
        <f>tbl_OriginalData[[#This Row],[Engagement_with_Ads]]</f>
        <v>High</v>
      </c>
      <c r="BB495" t="str">
        <f>tbl_OriginalData[[#This Row],[Device_Used_for_Shopping]]</f>
        <v>Desktop</v>
      </c>
      <c r="BC495" t="str">
        <f>tbl_OriginalData[[#This Row],[Payment_Method]]</f>
        <v>PayPal</v>
      </c>
      <c r="BD495" s="1">
        <f>tbl_OriginalData[[#This Row],[Time_of_Purchase]]</f>
        <v>45297</v>
      </c>
      <c r="BE495" t="str">
        <f>IF(tbl_OriginalData[[#This Row],[Discount_Used]]=TRUE,"Yes","No")</f>
        <v>No</v>
      </c>
      <c r="BF495" t="str">
        <f>IF(tbl_OriginalData[[#This Row],[Customer_Loyalty_Program_Member]]=TRUE,"Yes","No")</f>
        <v>Yes</v>
      </c>
      <c r="BG495" t="str">
        <f>tbl_OriginalData[[#This Row],[Purchase_Intent]]</f>
        <v>Planned</v>
      </c>
      <c r="BH495" t="str">
        <f>tbl_OriginalData[[#This Row],[Shipping_Preference]]</f>
        <v>Standard</v>
      </c>
      <c r="BI495">
        <f>tbl_OriginalData[[#This Row],[Time_to_Decision]]</f>
        <v>1</v>
      </c>
      <c r="BJ495" t="s">
        <v>86</v>
      </c>
      <c r="BK495" t="s">
        <v>48</v>
      </c>
      <c r="BL495" t="s">
        <v>2523</v>
      </c>
    </row>
    <row r="496" spans="1:64">
      <c r="A496" t="s">
        <v>1199</v>
      </c>
      <c r="B496">
        <v>41</v>
      </c>
      <c r="C496" t="s">
        <v>33</v>
      </c>
      <c r="D496" t="s">
        <v>34</v>
      </c>
      <c r="E496" t="s">
        <v>82</v>
      </c>
      <c r="F496" t="s">
        <v>66</v>
      </c>
      <c r="G496" t="s">
        <v>34</v>
      </c>
      <c r="H496" t="s">
        <v>1200</v>
      </c>
      <c r="I496" t="s">
        <v>156</v>
      </c>
      <c r="J496">
        <v>339.63</v>
      </c>
      <c r="K496">
        <v>2</v>
      </c>
      <c r="L496" t="s">
        <v>55</v>
      </c>
      <c r="M496">
        <v>3</v>
      </c>
      <c r="N496">
        <v>3</v>
      </c>
      <c r="O496">
        <v>2</v>
      </c>
      <c r="P496" t="s">
        <v>56</v>
      </c>
      <c r="Q496" t="s">
        <v>101</v>
      </c>
      <c r="R496">
        <v>2</v>
      </c>
      <c r="S496">
        <v>1</v>
      </c>
      <c r="T496" t="s">
        <v>69</v>
      </c>
      <c r="U496" t="s">
        <v>42</v>
      </c>
      <c r="V496" t="s">
        <v>58</v>
      </c>
      <c r="W496" s="1">
        <v>45530</v>
      </c>
      <c r="X496" t="b">
        <v>1</v>
      </c>
      <c r="Y496" t="b">
        <v>0</v>
      </c>
      <c r="Z496" t="s">
        <v>72</v>
      </c>
      <c r="AA496" t="s">
        <v>45</v>
      </c>
      <c r="AB496">
        <v>6</v>
      </c>
      <c r="AF496" t="str">
        <f>tbl_OriginalData[[#This Row],[Customer_ID]]</f>
        <v>70-774-7728</v>
      </c>
      <c r="AG496">
        <f>tbl_OriginalData[[#This Row],[Age]]</f>
        <v>41</v>
      </c>
      <c r="AH496" t="str" cm="1">
        <f t="array" ref="AH49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96" t="str">
        <f>tbl_OriginalData[[#This Row],[Gender]]</f>
        <v>Female</v>
      </c>
      <c r="AJ496" t="str">
        <f>tbl_OriginalData[[#This Row],[Income_Level]]</f>
        <v>Middle</v>
      </c>
      <c r="AK496" t="str">
        <f>tbl_OriginalData[[#This Row],[Marital_Status]]</f>
        <v>Widowed</v>
      </c>
      <c r="AL496" t="str">
        <f>tbl_OriginalData[[#This Row],[Education_Level]]</f>
        <v>Master's</v>
      </c>
      <c r="AM496" t="str">
        <f>tbl_OriginalData[[#This Row],[Occupation]]</f>
        <v>Middle</v>
      </c>
      <c r="AN496" t="s">
        <v>1200</v>
      </c>
      <c r="AO496" t="s">
        <v>194</v>
      </c>
      <c r="AP496" t="str">
        <f>tbl_OriginalData[[#This Row],[Purchase_Category]]</f>
        <v>Toys &amp; Games</v>
      </c>
      <c r="AQ496" s="4">
        <f>tbl_OriginalData[[#This Row],[Purchase_Amount]]</f>
        <v>339.63</v>
      </c>
      <c r="AR496">
        <f>tbl_OriginalData[[#This Row],[Frequency_of_Purchase]]</f>
        <v>2</v>
      </c>
      <c r="AS496" t="str">
        <f>tbl_OriginalData[[#This Row],[Purchase_Channel]]</f>
        <v>In-Store</v>
      </c>
      <c r="AT496">
        <f>tbl_OriginalData[[#This Row],[Brand_Loyalty]]</f>
        <v>3</v>
      </c>
      <c r="AU496">
        <f>tbl_OriginalData[[#This Row],[Product_Rating]]</f>
        <v>3</v>
      </c>
      <c r="AV496">
        <f>tbl_OriginalData[[#This Row],[Time_Spent_on_Product_Research(hours)]]*60</f>
        <v>120</v>
      </c>
      <c r="AW496" t="str">
        <f>tbl_OriginalData[[#This Row],[Social_Media_Influence]]</f>
        <v>Medium</v>
      </c>
      <c r="AX496" t="str">
        <f>tbl_OriginalData[[#This Row],[Discount_Sensitivity]]</f>
        <v>Very Sensitive</v>
      </c>
      <c r="AY496" s="3">
        <f>tbl_OriginalData[[#This Row],[Return_Rate]]/tbl_OriginalData[[#This Row],[Frequency_of_Purchase]]</f>
        <v>1</v>
      </c>
      <c r="AZ496">
        <f>tbl_OriginalData[[#This Row],[Customer_Satisfaction]]</f>
        <v>1</v>
      </c>
      <c r="BA496" t="str">
        <f>tbl_OriginalData[[#This Row],[Engagement_with_Ads]]</f>
        <v>Low</v>
      </c>
      <c r="BB496" t="str">
        <f>tbl_OriginalData[[#This Row],[Device_Used_for_Shopping]]</f>
        <v>Tablet</v>
      </c>
      <c r="BC496" t="str">
        <f>tbl_OriginalData[[#This Row],[Payment_Method]]</f>
        <v>PayPal</v>
      </c>
      <c r="BD496" s="1">
        <f>tbl_OriginalData[[#This Row],[Time_of_Purchase]]</f>
        <v>45530</v>
      </c>
      <c r="BE496" t="str">
        <f>IF(tbl_OriginalData[[#This Row],[Discount_Used]]=TRUE,"Yes","No")</f>
        <v>Yes</v>
      </c>
      <c r="BF496" t="str">
        <f>IF(tbl_OriginalData[[#This Row],[Customer_Loyalty_Program_Member]]=TRUE,"Yes","No")</f>
        <v>No</v>
      </c>
      <c r="BG496" t="str">
        <f>tbl_OriginalData[[#This Row],[Purchase_Intent]]</f>
        <v>Impulsive</v>
      </c>
      <c r="BH496" t="str">
        <f>tbl_OriginalData[[#This Row],[Shipping_Preference]]</f>
        <v>No Preference</v>
      </c>
      <c r="BI496">
        <f>tbl_OriginalData[[#This Row],[Time_to_Decision]]</f>
        <v>6</v>
      </c>
      <c r="BJ496" t="s">
        <v>124</v>
      </c>
      <c r="BK496" t="s">
        <v>115</v>
      </c>
      <c r="BL496" t="s">
        <v>2524</v>
      </c>
    </row>
    <row r="497" spans="1:64">
      <c r="A497" t="s">
        <v>1201</v>
      </c>
      <c r="B497">
        <v>46</v>
      </c>
      <c r="C497" t="s">
        <v>33</v>
      </c>
      <c r="D497" t="s">
        <v>51</v>
      </c>
      <c r="E497" t="s">
        <v>65</v>
      </c>
      <c r="F497" t="s">
        <v>36</v>
      </c>
      <c r="G497" t="s">
        <v>51</v>
      </c>
      <c r="H497" t="s">
        <v>1202</v>
      </c>
      <c r="I497" t="s">
        <v>108</v>
      </c>
      <c r="J497">
        <v>223.58</v>
      </c>
      <c r="K497">
        <v>11</v>
      </c>
      <c r="L497" t="s">
        <v>39</v>
      </c>
      <c r="M497">
        <v>4</v>
      </c>
      <c r="N497">
        <v>3</v>
      </c>
      <c r="O497">
        <v>0</v>
      </c>
      <c r="P497" t="s">
        <v>51</v>
      </c>
      <c r="Q497" t="s">
        <v>101</v>
      </c>
      <c r="R497">
        <v>0</v>
      </c>
      <c r="S497">
        <v>6</v>
      </c>
      <c r="T497" t="s">
        <v>40</v>
      </c>
      <c r="U497" t="s">
        <v>42</v>
      </c>
      <c r="V497" t="s">
        <v>58</v>
      </c>
      <c r="W497" s="1">
        <v>45432</v>
      </c>
      <c r="X497" t="b">
        <v>0</v>
      </c>
      <c r="Y497" t="b">
        <v>0</v>
      </c>
      <c r="Z497" t="s">
        <v>72</v>
      </c>
      <c r="AA497" t="s">
        <v>45</v>
      </c>
      <c r="AB497">
        <v>11</v>
      </c>
      <c r="AF497" t="str">
        <f>tbl_OriginalData[[#This Row],[Customer_ID]]</f>
        <v>13-015-8097</v>
      </c>
      <c r="AG497">
        <f>tbl_OriginalData[[#This Row],[Age]]</f>
        <v>46</v>
      </c>
      <c r="AH497" t="str" cm="1">
        <f t="array" ref="AH49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97" t="str">
        <f>tbl_OriginalData[[#This Row],[Gender]]</f>
        <v>Female</v>
      </c>
      <c r="AJ497" t="str">
        <f>tbl_OriginalData[[#This Row],[Income_Level]]</f>
        <v>High</v>
      </c>
      <c r="AK497" t="str">
        <f>tbl_OriginalData[[#This Row],[Marital_Status]]</f>
        <v>Single</v>
      </c>
      <c r="AL497" t="str">
        <f>tbl_OriginalData[[#This Row],[Education_Level]]</f>
        <v>Bachelor's</v>
      </c>
      <c r="AM497" t="str">
        <f>tbl_OriginalData[[#This Row],[Occupation]]</f>
        <v>High</v>
      </c>
      <c r="AN497" t="s">
        <v>1202</v>
      </c>
      <c r="AO497" t="s">
        <v>1203</v>
      </c>
      <c r="AP497" t="str">
        <f>tbl_OriginalData[[#This Row],[Purchase_Category]]</f>
        <v>Sports &amp; Outdoors</v>
      </c>
      <c r="AQ497" s="4">
        <f>tbl_OriginalData[[#This Row],[Purchase_Amount]]</f>
        <v>223.58</v>
      </c>
      <c r="AR497">
        <f>tbl_OriginalData[[#This Row],[Frequency_of_Purchase]]</f>
        <v>11</v>
      </c>
      <c r="AS497" t="str">
        <f>tbl_OriginalData[[#This Row],[Purchase_Channel]]</f>
        <v>Mixed</v>
      </c>
      <c r="AT497">
        <f>tbl_OriginalData[[#This Row],[Brand_Loyalty]]</f>
        <v>4</v>
      </c>
      <c r="AU497">
        <f>tbl_OriginalData[[#This Row],[Product_Rating]]</f>
        <v>3</v>
      </c>
      <c r="AV497">
        <f>tbl_OriginalData[[#This Row],[Time_Spent_on_Product_Research(hours)]]*60</f>
        <v>0</v>
      </c>
      <c r="AW497" t="str">
        <f>tbl_OriginalData[[#This Row],[Social_Media_Influence]]</f>
        <v>High</v>
      </c>
      <c r="AX497" t="str">
        <f>tbl_OriginalData[[#This Row],[Discount_Sensitivity]]</f>
        <v>Very Sensitive</v>
      </c>
      <c r="AY497" s="3">
        <f>tbl_OriginalData[[#This Row],[Return_Rate]]/tbl_OriginalData[[#This Row],[Frequency_of_Purchase]]</f>
        <v>0</v>
      </c>
      <c r="AZ497">
        <f>tbl_OriginalData[[#This Row],[Customer_Satisfaction]]</f>
        <v>6</v>
      </c>
      <c r="BA497" t="str">
        <f>tbl_OriginalData[[#This Row],[Engagement_with_Ads]]</f>
        <v>None</v>
      </c>
      <c r="BB497" t="str">
        <f>tbl_OriginalData[[#This Row],[Device_Used_for_Shopping]]</f>
        <v>Tablet</v>
      </c>
      <c r="BC497" t="str">
        <f>tbl_OriginalData[[#This Row],[Payment_Method]]</f>
        <v>PayPal</v>
      </c>
      <c r="BD497" s="1">
        <f>tbl_OriginalData[[#This Row],[Time_of_Purchase]]</f>
        <v>45432</v>
      </c>
      <c r="BE497" t="str">
        <f>IF(tbl_OriginalData[[#This Row],[Discount_Used]]=TRUE,"Yes","No")</f>
        <v>No</v>
      </c>
      <c r="BF497" t="str">
        <f>IF(tbl_OriginalData[[#This Row],[Customer_Loyalty_Program_Member]]=TRUE,"Yes","No")</f>
        <v>No</v>
      </c>
      <c r="BG497" t="str">
        <f>tbl_OriginalData[[#This Row],[Purchase_Intent]]</f>
        <v>Impulsive</v>
      </c>
      <c r="BH497" t="str">
        <f>tbl_OriginalData[[#This Row],[Shipping_Preference]]</f>
        <v>No Preference</v>
      </c>
      <c r="BI497">
        <f>tbl_OriginalData[[#This Row],[Time_to_Decision]]</f>
        <v>11</v>
      </c>
      <c r="BJ497" t="s">
        <v>167</v>
      </c>
      <c r="BK497" t="s">
        <v>63</v>
      </c>
      <c r="BL497" t="s">
        <v>2529</v>
      </c>
    </row>
    <row r="498" spans="1:64">
      <c r="A498" t="s">
        <v>1204</v>
      </c>
      <c r="B498">
        <v>39</v>
      </c>
      <c r="C498" t="s">
        <v>431</v>
      </c>
      <c r="D498" t="s">
        <v>51</v>
      </c>
      <c r="E498" t="s">
        <v>82</v>
      </c>
      <c r="F498" t="s">
        <v>36</v>
      </c>
      <c r="G498" t="s">
        <v>34</v>
      </c>
      <c r="H498" t="s">
        <v>1205</v>
      </c>
      <c r="I498" t="s">
        <v>38</v>
      </c>
      <c r="J498">
        <v>446.92</v>
      </c>
      <c r="K498">
        <v>5</v>
      </c>
      <c r="L498" t="s">
        <v>39</v>
      </c>
      <c r="M498">
        <v>1</v>
      </c>
      <c r="N498">
        <v>1</v>
      </c>
      <c r="O498">
        <v>1</v>
      </c>
      <c r="P498" t="s">
        <v>56</v>
      </c>
      <c r="Q498" t="s">
        <v>101</v>
      </c>
      <c r="R498">
        <v>2</v>
      </c>
      <c r="S498">
        <v>6</v>
      </c>
      <c r="T498" t="s">
        <v>40</v>
      </c>
      <c r="U498" t="s">
        <v>70</v>
      </c>
      <c r="V498" t="s">
        <v>58</v>
      </c>
      <c r="W498" s="1">
        <v>45492</v>
      </c>
      <c r="X498" t="b">
        <v>1</v>
      </c>
      <c r="Y498" t="b">
        <v>0</v>
      </c>
      <c r="Z498" t="s">
        <v>89</v>
      </c>
      <c r="AA498" t="s">
        <v>77</v>
      </c>
      <c r="AB498">
        <v>10</v>
      </c>
      <c r="AF498" t="str">
        <f>tbl_OriginalData[[#This Row],[Customer_ID]]</f>
        <v>68-391-7279</v>
      </c>
      <c r="AG498">
        <f>tbl_OriginalData[[#This Row],[Age]]</f>
        <v>39</v>
      </c>
      <c r="AH498" t="str" cm="1">
        <f t="array" ref="AH49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498" t="str">
        <f>tbl_OriginalData[[#This Row],[Gender]]</f>
        <v>Genderqueer</v>
      </c>
      <c r="AJ498" t="str">
        <f>tbl_OriginalData[[#This Row],[Income_Level]]</f>
        <v>High</v>
      </c>
      <c r="AK498" t="str">
        <f>tbl_OriginalData[[#This Row],[Marital_Status]]</f>
        <v>Widowed</v>
      </c>
      <c r="AL498" t="str">
        <f>tbl_OriginalData[[#This Row],[Education_Level]]</f>
        <v>Bachelor's</v>
      </c>
      <c r="AM498" t="str">
        <f>tbl_OriginalData[[#This Row],[Occupation]]</f>
        <v>Middle</v>
      </c>
      <c r="AN498" t="s">
        <v>1205</v>
      </c>
      <c r="AO498" t="s">
        <v>61</v>
      </c>
      <c r="AP498" t="str">
        <f>tbl_OriginalData[[#This Row],[Purchase_Category]]</f>
        <v>Gardening &amp; Outdoors</v>
      </c>
      <c r="AQ498" s="4">
        <f>tbl_OriginalData[[#This Row],[Purchase_Amount]]</f>
        <v>446.92</v>
      </c>
      <c r="AR498">
        <f>tbl_OriginalData[[#This Row],[Frequency_of_Purchase]]</f>
        <v>5</v>
      </c>
      <c r="AS498" t="str">
        <f>tbl_OriginalData[[#This Row],[Purchase_Channel]]</f>
        <v>Mixed</v>
      </c>
      <c r="AT498">
        <f>tbl_OriginalData[[#This Row],[Brand_Loyalty]]</f>
        <v>1</v>
      </c>
      <c r="AU498">
        <f>tbl_OriginalData[[#This Row],[Product_Rating]]</f>
        <v>1</v>
      </c>
      <c r="AV498">
        <f>tbl_OriginalData[[#This Row],[Time_Spent_on_Product_Research(hours)]]*60</f>
        <v>60</v>
      </c>
      <c r="AW498" t="str">
        <f>tbl_OriginalData[[#This Row],[Social_Media_Influence]]</f>
        <v>Medium</v>
      </c>
      <c r="AX498" t="str">
        <f>tbl_OriginalData[[#This Row],[Discount_Sensitivity]]</f>
        <v>Very Sensitive</v>
      </c>
      <c r="AY498" s="3">
        <f>tbl_OriginalData[[#This Row],[Return_Rate]]/tbl_OriginalData[[#This Row],[Frequency_of_Purchase]]</f>
        <v>0.4</v>
      </c>
      <c r="AZ498">
        <f>tbl_OriginalData[[#This Row],[Customer_Satisfaction]]</f>
        <v>6</v>
      </c>
      <c r="BA498" t="str">
        <f>tbl_OriginalData[[#This Row],[Engagement_with_Ads]]</f>
        <v>None</v>
      </c>
      <c r="BB498" t="str">
        <f>tbl_OriginalData[[#This Row],[Device_Used_for_Shopping]]</f>
        <v>Smartphone</v>
      </c>
      <c r="BC498" t="str">
        <f>tbl_OriginalData[[#This Row],[Payment_Method]]</f>
        <v>PayPal</v>
      </c>
      <c r="BD498" s="1">
        <f>tbl_OriginalData[[#This Row],[Time_of_Purchase]]</f>
        <v>45492</v>
      </c>
      <c r="BE498" t="str">
        <f>IF(tbl_OriginalData[[#This Row],[Discount_Used]]=TRUE,"Yes","No")</f>
        <v>Yes</v>
      </c>
      <c r="BF498" t="str">
        <f>IF(tbl_OriginalData[[#This Row],[Customer_Loyalty_Program_Member]]=TRUE,"Yes","No")</f>
        <v>No</v>
      </c>
      <c r="BG498" t="str">
        <f>tbl_OriginalData[[#This Row],[Purchase_Intent]]</f>
        <v>Planned</v>
      </c>
      <c r="BH498" t="str">
        <f>tbl_OriginalData[[#This Row],[Shipping_Preference]]</f>
        <v>Express</v>
      </c>
      <c r="BI498">
        <f>tbl_OriginalData[[#This Row],[Time_to_Decision]]</f>
        <v>10</v>
      </c>
      <c r="BJ498" t="s">
        <v>114</v>
      </c>
      <c r="BK498" t="s">
        <v>115</v>
      </c>
      <c r="BL498" t="s">
        <v>2524</v>
      </c>
    </row>
    <row r="499" spans="1:64">
      <c r="A499" t="s">
        <v>1206</v>
      </c>
      <c r="B499">
        <v>43</v>
      </c>
      <c r="C499" t="s">
        <v>50</v>
      </c>
      <c r="D499" t="s">
        <v>34</v>
      </c>
      <c r="E499" t="s">
        <v>92</v>
      </c>
      <c r="F499" t="s">
        <v>36</v>
      </c>
      <c r="G499" t="s">
        <v>34</v>
      </c>
      <c r="H499" t="s">
        <v>1207</v>
      </c>
      <c r="I499" t="s">
        <v>147</v>
      </c>
      <c r="J499">
        <v>175.65</v>
      </c>
      <c r="K499">
        <v>11</v>
      </c>
      <c r="L499" t="s">
        <v>39</v>
      </c>
      <c r="M499">
        <v>4</v>
      </c>
      <c r="N499">
        <v>3</v>
      </c>
      <c r="O499">
        <v>2</v>
      </c>
      <c r="P499" t="s">
        <v>69</v>
      </c>
      <c r="Q499" t="s">
        <v>57</v>
      </c>
      <c r="R499">
        <v>1</v>
      </c>
      <c r="S499">
        <v>7</v>
      </c>
      <c r="T499" t="s">
        <v>40</v>
      </c>
      <c r="U499" t="s">
        <v>42</v>
      </c>
      <c r="V499" t="s">
        <v>76</v>
      </c>
      <c r="W499" s="1">
        <v>45634</v>
      </c>
      <c r="X499" t="b">
        <v>0</v>
      </c>
      <c r="Y499" t="b">
        <v>1</v>
      </c>
      <c r="Z499" t="s">
        <v>59</v>
      </c>
      <c r="AA499" t="s">
        <v>77</v>
      </c>
      <c r="AB499">
        <v>8</v>
      </c>
      <c r="AF499" t="str">
        <f>tbl_OriginalData[[#This Row],[Customer_ID]]</f>
        <v>28-764-3337</v>
      </c>
      <c r="AG499">
        <f>tbl_OriginalData[[#This Row],[Age]]</f>
        <v>43</v>
      </c>
      <c r="AH499" t="str" cm="1">
        <f t="array" ref="AH49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499" t="str">
        <f>tbl_OriginalData[[#This Row],[Gender]]</f>
        <v>Male</v>
      </c>
      <c r="AJ499" t="str">
        <f>tbl_OriginalData[[#This Row],[Income_Level]]</f>
        <v>Middle</v>
      </c>
      <c r="AK499" t="str">
        <f>tbl_OriginalData[[#This Row],[Marital_Status]]</f>
        <v>Divorced</v>
      </c>
      <c r="AL499" t="str">
        <f>tbl_OriginalData[[#This Row],[Education_Level]]</f>
        <v>Bachelor's</v>
      </c>
      <c r="AM499" t="str">
        <f>tbl_OriginalData[[#This Row],[Occupation]]</f>
        <v>Middle</v>
      </c>
      <c r="AN499" t="s">
        <v>1207</v>
      </c>
      <c r="AO499" t="s">
        <v>61</v>
      </c>
      <c r="AP499" t="str">
        <f>tbl_OriginalData[[#This Row],[Purchase_Category]]</f>
        <v>Electronics</v>
      </c>
      <c r="AQ499" s="4">
        <f>tbl_OriginalData[[#This Row],[Purchase_Amount]]</f>
        <v>175.65</v>
      </c>
      <c r="AR499">
        <f>tbl_OriginalData[[#This Row],[Frequency_of_Purchase]]</f>
        <v>11</v>
      </c>
      <c r="AS499" t="str">
        <f>tbl_OriginalData[[#This Row],[Purchase_Channel]]</f>
        <v>Mixed</v>
      </c>
      <c r="AT499">
        <f>tbl_OriginalData[[#This Row],[Brand_Loyalty]]</f>
        <v>4</v>
      </c>
      <c r="AU499">
        <f>tbl_OriginalData[[#This Row],[Product_Rating]]</f>
        <v>3</v>
      </c>
      <c r="AV499">
        <f>tbl_OriginalData[[#This Row],[Time_Spent_on_Product_Research(hours)]]*60</f>
        <v>120</v>
      </c>
      <c r="AW499" t="str">
        <f>tbl_OriginalData[[#This Row],[Social_Media_Influence]]</f>
        <v>Low</v>
      </c>
      <c r="AX499" t="str">
        <f>tbl_OriginalData[[#This Row],[Discount_Sensitivity]]</f>
        <v>Not Sensitive</v>
      </c>
      <c r="AY499" s="3">
        <f>tbl_OriginalData[[#This Row],[Return_Rate]]/tbl_OriginalData[[#This Row],[Frequency_of_Purchase]]</f>
        <v>9.0909090909090912E-2</v>
      </c>
      <c r="AZ499">
        <f>tbl_OriginalData[[#This Row],[Customer_Satisfaction]]</f>
        <v>7</v>
      </c>
      <c r="BA499" t="str">
        <f>tbl_OriginalData[[#This Row],[Engagement_with_Ads]]</f>
        <v>None</v>
      </c>
      <c r="BB499" t="str">
        <f>tbl_OriginalData[[#This Row],[Device_Used_for_Shopping]]</f>
        <v>Tablet</v>
      </c>
      <c r="BC499" t="str">
        <f>tbl_OriginalData[[#This Row],[Payment_Method]]</f>
        <v>Other</v>
      </c>
      <c r="BD499" s="1">
        <f>tbl_OriginalData[[#This Row],[Time_of_Purchase]]</f>
        <v>45634</v>
      </c>
      <c r="BE499" t="str">
        <f>IF(tbl_OriginalData[[#This Row],[Discount_Used]]=TRUE,"Yes","No")</f>
        <v>No</v>
      </c>
      <c r="BF499" t="str">
        <f>IF(tbl_OriginalData[[#This Row],[Customer_Loyalty_Program_Member]]=TRUE,"Yes","No")</f>
        <v>Yes</v>
      </c>
      <c r="BG499" t="str">
        <f>tbl_OriginalData[[#This Row],[Purchase_Intent]]</f>
        <v>Wants-based</v>
      </c>
      <c r="BH499" t="str">
        <f>tbl_OriginalData[[#This Row],[Shipping_Preference]]</f>
        <v>Express</v>
      </c>
      <c r="BI499">
        <f>tbl_OriginalData[[#This Row],[Time_to_Decision]]</f>
        <v>8</v>
      </c>
      <c r="BJ499" t="s">
        <v>120</v>
      </c>
      <c r="BK499" t="s">
        <v>80</v>
      </c>
      <c r="BL499" t="s">
        <v>2524</v>
      </c>
    </row>
    <row r="500" spans="1:64">
      <c r="A500" t="s">
        <v>1208</v>
      </c>
      <c r="B500">
        <v>44</v>
      </c>
      <c r="C500" t="s">
        <v>188</v>
      </c>
      <c r="D500" t="s">
        <v>34</v>
      </c>
      <c r="E500" t="s">
        <v>35</v>
      </c>
      <c r="F500" t="s">
        <v>36</v>
      </c>
      <c r="G500" t="s">
        <v>34</v>
      </c>
      <c r="H500" t="s">
        <v>1209</v>
      </c>
      <c r="I500" t="s">
        <v>229</v>
      </c>
      <c r="J500">
        <v>491.49</v>
      </c>
      <c r="K500">
        <v>10</v>
      </c>
      <c r="L500" t="s">
        <v>39</v>
      </c>
      <c r="M500">
        <v>1</v>
      </c>
      <c r="N500">
        <v>1</v>
      </c>
      <c r="O500">
        <v>0</v>
      </c>
      <c r="P500" t="s">
        <v>69</v>
      </c>
      <c r="Q500" t="s">
        <v>41</v>
      </c>
      <c r="R500">
        <v>2</v>
      </c>
      <c r="S500">
        <v>7</v>
      </c>
      <c r="T500" t="s">
        <v>40</v>
      </c>
      <c r="U500" t="s">
        <v>95</v>
      </c>
      <c r="V500" t="s">
        <v>58</v>
      </c>
      <c r="W500" s="1">
        <v>45440</v>
      </c>
      <c r="X500" t="b">
        <v>0</v>
      </c>
      <c r="Y500" t="b">
        <v>0</v>
      </c>
      <c r="Z500" t="s">
        <v>89</v>
      </c>
      <c r="AA500" t="s">
        <v>60</v>
      </c>
      <c r="AB500">
        <v>1</v>
      </c>
      <c r="AF500" t="str">
        <f>tbl_OriginalData[[#This Row],[Customer_ID]]</f>
        <v>00-285-9607</v>
      </c>
      <c r="AG500">
        <f>tbl_OriginalData[[#This Row],[Age]]</f>
        <v>44</v>
      </c>
      <c r="AH500" t="str" cm="1">
        <f t="array" ref="AH50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00" t="str">
        <f>tbl_OriginalData[[#This Row],[Gender]]</f>
        <v>Genderfluid</v>
      </c>
      <c r="AJ500" t="str">
        <f>tbl_OriginalData[[#This Row],[Income_Level]]</f>
        <v>Middle</v>
      </c>
      <c r="AK500" t="str">
        <f>tbl_OriginalData[[#This Row],[Marital_Status]]</f>
        <v>Married</v>
      </c>
      <c r="AL500" t="str">
        <f>tbl_OriginalData[[#This Row],[Education_Level]]</f>
        <v>Bachelor's</v>
      </c>
      <c r="AM500" t="str">
        <f>tbl_OriginalData[[#This Row],[Occupation]]</f>
        <v>Middle</v>
      </c>
      <c r="AN500" t="s">
        <v>1209</v>
      </c>
      <c r="AO500" t="s">
        <v>109</v>
      </c>
      <c r="AP500" t="str">
        <f>tbl_OriginalData[[#This Row],[Purchase_Category]]</f>
        <v>Clothing</v>
      </c>
      <c r="AQ500" s="4">
        <f>tbl_OriginalData[[#This Row],[Purchase_Amount]]</f>
        <v>491.49</v>
      </c>
      <c r="AR500">
        <f>tbl_OriginalData[[#This Row],[Frequency_of_Purchase]]</f>
        <v>10</v>
      </c>
      <c r="AS500" t="str">
        <f>tbl_OriginalData[[#This Row],[Purchase_Channel]]</f>
        <v>Mixed</v>
      </c>
      <c r="AT500">
        <f>tbl_OriginalData[[#This Row],[Brand_Loyalty]]</f>
        <v>1</v>
      </c>
      <c r="AU500">
        <f>tbl_OriginalData[[#This Row],[Product_Rating]]</f>
        <v>1</v>
      </c>
      <c r="AV500">
        <f>tbl_OriginalData[[#This Row],[Time_Spent_on_Product_Research(hours)]]*60</f>
        <v>0</v>
      </c>
      <c r="AW500" t="str">
        <f>tbl_OriginalData[[#This Row],[Social_Media_Influence]]</f>
        <v>Low</v>
      </c>
      <c r="AX500" t="str">
        <f>tbl_OriginalData[[#This Row],[Discount_Sensitivity]]</f>
        <v>Somewhat Sensitive</v>
      </c>
      <c r="AY500" s="3">
        <f>tbl_OriginalData[[#This Row],[Return_Rate]]/tbl_OriginalData[[#This Row],[Frequency_of_Purchase]]</f>
        <v>0.2</v>
      </c>
      <c r="AZ500">
        <f>tbl_OriginalData[[#This Row],[Customer_Satisfaction]]</f>
        <v>7</v>
      </c>
      <c r="BA500" t="str">
        <f>tbl_OriginalData[[#This Row],[Engagement_with_Ads]]</f>
        <v>None</v>
      </c>
      <c r="BB500" t="str">
        <f>tbl_OriginalData[[#This Row],[Device_Used_for_Shopping]]</f>
        <v>Desktop</v>
      </c>
      <c r="BC500" t="str">
        <f>tbl_OriginalData[[#This Row],[Payment_Method]]</f>
        <v>PayPal</v>
      </c>
      <c r="BD500" s="1">
        <f>tbl_OriginalData[[#This Row],[Time_of_Purchase]]</f>
        <v>45440</v>
      </c>
      <c r="BE500" t="str">
        <f>IF(tbl_OriginalData[[#This Row],[Discount_Used]]=TRUE,"Yes","No")</f>
        <v>No</v>
      </c>
      <c r="BF500" t="str">
        <f>IF(tbl_OriginalData[[#This Row],[Customer_Loyalty_Program_Member]]=TRUE,"Yes","No")</f>
        <v>No</v>
      </c>
      <c r="BG500" t="str">
        <f>tbl_OriginalData[[#This Row],[Purchase_Intent]]</f>
        <v>Planned</v>
      </c>
      <c r="BH500" t="str">
        <f>tbl_OriginalData[[#This Row],[Shipping_Preference]]</f>
        <v>Standard</v>
      </c>
      <c r="BI500">
        <f>tbl_OriginalData[[#This Row],[Time_to_Decision]]</f>
        <v>1</v>
      </c>
      <c r="BJ500" t="s">
        <v>167</v>
      </c>
      <c r="BK500" t="s">
        <v>63</v>
      </c>
      <c r="BL500" t="s">
        <v>2526</v>
      </c>
    </row>
    <row r="501" spans="1:64">
      <c r="A501" t="s">
        <v>1210</v>
      </c>
      <c r="B501">
        <v>26</v>
      </c>
      <c r="C501" t="s">
        <v>50</v>
      </c>
      <c r="D501" t="s">
        <v>34</v>
      </c>
      <c r="E501" t="s">
        <v>82</v>
      </c>
      <c r="F501" t="s">
        <v>36</v>
      </c>
      <c r="G501" t="s">
        <v>34</v>
      </c>
      <c r="H501" t="s">
        <v>1211</v>
      </c>
      <c r="I501" t="s">
        <v>235</v>
      </c>
      <c r="J501">
        <v>88.4</v>
      </c>
      <c r="K501">
        <v>5</v>
      </c>
      <c r="L501" t="s">
        <v>55</v>
      </c>
      <c r="M501">
        <v>5</v>
      </c>
      <c r="N501">
        <v>2</v>
      </c>
      <c r="O501">
        <v>0</v>
      </c>
      <c r="P501" t="s">
        <v>56</v>
      </c>
      <c r="Q501" t="s">
        <v>57</v>
      </c>
      <c r="R501">
        <v>0</v>
      </c>
      <c r="S501">
        <v>4</v>
      </c>
      <c r="T501" t="s">
        <v>56</v>
      </c>
      <c r="U501" t="s">
        <v>95</v>
      </c>
      <c r="V501" t="s">
        <v>102</v>
      </c>
      <c r="W501" s="1">
        <v>45438</v>
      </c>
      <c r="X501" t="b">
        <v>1</v>
      </c>
      <c r="Y501" t="b">
        <v>0</v>
      </c>
      <c r="Z501" t="s">
        <v>44</v>
      </c>
      <c r="AA501" t="s">
        <v>45</v>
      </c>
      <c r="AB501">
        <v>4</v>
      </c>
      <c r="AF501" t="str">
        <f>tbl_OriginalData[[#This Row],[Customer_ID]]</f>
        <v>04-832-3559</v>
      </c>
      <c r="AG501">
        <f>tbl_OriginalData[[#This Row],[Age]]</f>
        <v>26</v>
      </c>
      <c r="AH501" t="str" cm="1">
        <f t="array" ref="AH50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01" t="str">
        <f>tbl_OriginalData[[#This Row],[Gender]]</f>
        <v>Male</v>
      </c>
      <c r="AJ501" t="str">
        <f>tbl_OriginalData[[#This Row],[Income_Level]]</f>
        <v>Middle</v>
      </c>
      <c r="AK501" t="str">
        <f>tbl_OriginalData[[#This Row],[Marital_Status]]</f>
        <v>Widowed</v>
      </c>
      <c r="AL501" t="str">
        <f>tbl_OriginalData[[#This Row],[Education_Level]]</f>
        <v>Bachelor's</v>
      </c>
      <c r="AM501" t="str">
        <f>tbl_OriginalData[[#This Row],[Occupation]]</f>
        <v>Middle</v>
      </c>
      <c r="AN501" t="s">
        <v>1211</v>
      </c>
      <c r="AO501" t="s">
        <v>186</v>
      </c>
      <c r="AP501" t="str">
        <f>tbl_OriginalData[[#This Row],[Purchase_Category]]</f>
        <v>Beauty &amp; Personal Care</v>
      </c>
      <c r="AQ501" s="4">
        <f>tbl_OriginalData[[#This Row],[Purchase_Amount]]</f>
        <v>88.4</v>
      </c>
      <c r="AR501">
        <f>tbl_OriginalData[[#This Row],[Frequency_of_Purchase]]</f>
        <v>5</v>
      </c>
      <c r="AS501" t="str">
        <f>tbl_OriginalData[[#This Row],[Purchase_Channel]]</f>
        <v>In-Store</v>
      </c>
      <c r="AT501">
        <f>tbl_OriginalData[[#This Row],[Brand_Loyalty]]</f>
        <v>5</v>
      </c>
      <c r="AU501">
        <f>tbl_OriginalData[[#This Row],[Product_Rating]]</f>
        <v>2</v>
      </c>
      <c r="AV501">
        <f>tbl_OriginalData[[#This Row],[Time_Spent_on_Product_Research(hours)]]*60</f>
        <v>0</v>
      </c>
      <c r="AW501" t="str">
        <f>tbl_OriginalData[[#This Row],[Social_Media_Influence]]</f>
        <v>Medium</v>
      </c>
      <c r="AX501" t="str">
        <f>tbl_OriginalData[[#This Row],[Discount_Sensitivity]]</f>
        <v>Not Sensitive</v>
      </c>
      <c r="AY501" s="3">
        <f>tbl_OriginalData[[#This Row],[Return_Rate]]/tbl_OriginalData[[#This Row],[Frequency_of_Purchase]]</f>
        <v>0</v>
      </c>
      <c r="AZ501">
        <f>tbl_OriginalData[[#This Row],[Customer_Satisfaction]]</f>
        <v>4</v>
      </c>
      <c r="BA501" t="str">
        <f>tbl_OriginalData[[#This Row],[Engagement_with_Ads]]</f>
        <v>Medium</v>
      </c>
      <c r="BB501" t="str">
        <f>tbl_OriginalData[[#This Row],[Device_Used_for_Shopping]]</f>
        <v>Desktop</v>
      </c>
      <c r="BC501" t="str">
        <f>tbl_OriginalData[[#This Row],[Payment_Method]]</f>
        <v>Cash</v>
      </c>
      <c r="BD501" s="1">
        <f>tbl_OriginalData[[#This Row],[Time_of_Purchase]]</f>
        <v>45438</v>
      </c>
      <c r="BE501" t="str">
        <f>IF(tbl_OriginalData[[#This Row],[Discount_Used]]=TRUE,"Yes","No")</f>
        <v>Yes</v>
      </c>
      <c r="BF501" t="str">
        <f>IF(tbl_OriginalData[[#This Row],[Customer_Loyalty_Program_Member]]=TRUE,"Yes","No")</f>
        <v>No</v>
      </c>
      <c r="BG501" t="str">
        <f>tbl_OriginalData[[#This Row],[Purchase_Intent]]</f>
        <v>Need-based</v>
      </c>
      <c r="BH501" t="str">
        <f>tbl_OriginalData[[#This Row],[Shipping_Preference]]</f>
        <v>No Preference</v>
      </c>
      <c r="BI501">
        <f>tbl_OriginalData[[#This Row],[Time_to_Decision]]</f>
        <v>4</v>
      </c>
      <c r="BJ501" t="s">
        <v>167</v>
      </c>
      <c r="BK501" t="s">
        <v>63</v>
      </c>
      <c r="BL501" t="s">
        <v>2523</v>
      </c>
    </row>
    <row r="502" spans="1:64">
      <c r="A502" t="s">
        <v>1212</v>
      </c>
      <c r="B502">
        <v>29</v>
      </c>
      <c r="C502" t="s">
        <v>50</v>
      </c>
      <c r="D502" t="s">
        <v>34</v>
      </c>
      <c r="E502" t="s">
        <v>82</v>
      </c>
      <c r="F502" t="s">
        <v>66</v>
      </c>
      <c r="G502" t="s">
        <v>51</v>
      </c>
      <c r="H502" t="s">
        <v>1213</v>
      </c>
      <c r="I502" t="s">
        <v>68</v>
      </c>
      <c r="J502">
        <v>430.9</v>
      </c>
      <c r="K502">
        <v>8</v>
      </c>
      <c r="L502" t="s">
        <v>94</v>
      </c>
      <c r="M502">
        <v>4</v>
      </c>
      <c r="N502">
        <v>5</v>
      </c>
      <c r="O502">
        <v>1</v>
      </c>
      <c r="P502" t="s">
        <v>51</v>
      </c>
      <c r="Q502" t="s">
        <v>57</v>
      </c>
      <c r="R502">
        <v>0</v>
      </c>
      <c r="S502">
        <v>6</v>
      </c>
      <c r="T502" t="s">
        <v>40</v>
      </c>
      <c r="U502" t="s">
        <v>42</v>
      </c>
      <c r="V502" t="s">
        <v>43</v>
      </c>
      <c r="W502" s="1">
        <v>45449</v>
      </c>
      <c r="X502" t="b">
        <v>0</v>
      </c>
      <c r="Y502" t="b">
        <v>0</v>
      </c>
      <c r="Z502" t="s">
        <v>59</v>
      </c>
      <c r="AA502" t="s">
        <v>60</v>
      </c>
      <c r="AB502">
        <v>11</v>
      </c>
      <c r="AF502" t="str">
        <f>tbl_OriginalData[[#This Row],[Customer_ID]]</f>
        <v>27-613-5005</v>
      </c>
      <c r="AG502">
        <f>tbl_OriginalData[[#This Row],[Age]]</f>
        <v>29</v>
      </c>
      <c r="AH502" t="str" cm="1">
        <f t="array" ref="AH50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02" t="str">
        <f>tbl_OriginalData[[#This Row],[Gender]]</f>
        <v>Male</v>
      </c>
      <c r="AJ502" t="str">
        <f>tbl_OriginalData[[#This Row],[Income_Level]]</f>
        <v>Middle</v>
      </c>
      <c r="AK502" t="str">
        <f>tbl_OriginalData[[#This Row],[Marital_Status]]</f>
        <v>Widowed</v>
      </c>
      <c r="AL502" t="str">
        <f>tbl_OriginalData[[#This Row],[Education_Level]]</f>
        <v>Master's</v>
      </c>
      <c r="AM502" t="str">
        <f>tbl_OriginalData[[#This Row],[Occupation]]</f>
        <v>High</v>
      </c>
      <c r="AN502" t="s">
        <v>1213</v>
      </c>
      <c r="AO502" t="s">
        <v>132</v>
      </c>
      <c r="AP502" t="str">
        <f>tbl_OriginalData[[#This Row],[Purchase_Category]]</f>
        <v>Office Supplies</v>
      </c>
      <c r="AQ502" s="4">
        <f>tbl_OriginalData[[#This Row],[Purchase_Amount]]</f>
        <v>430.9</v>
      </c>
      <c r="AR502">
        <f>tbl_OriginalData[[#This Row],[Frequency_of_Purchase]]</f>
        <v>8</v>
      </c>
      <c r="AS502" t="str">
        <f>tbl_OriginalData[[#This Row],[Purchase_Channel]]</f>
        <v>Online</v>
      </c>
      <c r="AT502">
        <f>tbl_OriginalData[[#This Row],[Brand_Loyalty]]</f>
        <v>4</v>
      </c>
      <c r="AU502">
        <f>tbl_OriginalData[[#This Row],[Product_Rating]]</f>
        <v>5</v>
      </c>
      <c r="AV502">
        <f>tbl_OriginalData[[#This Row],[Time_Spent_on_Product_Research(hours)]]*60</f>
        <v>60</v>
      </c>
      <c r="AW502" t="str">
        <f>tbl_OriginalData[[#This Row],[Social_Media_Influence]]</f>
        <v>High</v>
      </c>
      <c r="AX502" t="str">
        <f>tbl_OriginalData[[#This Row],[Discount_Sensitivity]]</f>
        <v>Not Sensitive</v>
      </c>
      <c r="AY502" s="3">
        <f>tbl_OriginalData[[#This Row],[Return_Rate]]/tbl_OriginalData[[#This Row],[Frequency_of_Purchase]]</f>
        <v>0</v>
      </c>
      <c r="AZ502">
        <f>tbl_OriginalData[[#This Row],[Customer_Satisfaction]]</f>
        <v>6</v>
      </c>
      <c r="BA502" t="str">
        <f>tbl_OriginalData[[#This Row],[Engagement_with_Ads]]</f>
        <v>None</v>
      </c>
      <c r="BB502" t="str">
        <f>tbl_OriginalData[[#This Row],[Device_Used_for_Shopping]]</f>
        <v>Tablet</v>
      </c>
      <c r="BC502" t="str">
        <f>tbl_OriginalData[[#This Row],[Payment_Method]]</f>
        <v>Credit Card</v>
      </c>
      <c r="BD502" s="1">
        <f>tbl_OriginalData[[#This Row],[Time_of_Purchase]]</f>
        <v>45449</v>
      </c>
      <c r="BE502" t="str">
        <f>IF(tbl_OriginalData[[#This Row],[Discount_Used]]=TRUE,"Yes","No")</f>
        <v>No</v>
      </c>
      <c r="BF502" t="str">
        <f>IF(tbl_OriginalData[[#This Row],[Customer_Loyalty_Program_Member]]=TRUE,"Yes","No")</f>
        <v>No</v>
      </c>
      <c r="BG502" t="str">
        <f>tbl_OriginalData[[#This Row],[Purchase_Intent]]</f>
        <v>Wants-based</v>
      </c>
      <c r="BH502" t="str">
        <f>tbl_OriginalData[[#This Row],[Shipping_Preference]]</f>
        <v>Standard</v>
      </c>
      <c r="BI502">
        <f>tbl_OriginalData[[#This Row],[Time_to_Decision]]</f>
        <v>11</v>
      </c>
      <c r="BJ502" t="s">
        <v>104</v>
      </c>
      <c r="BK502" t="s">
        <v>63</v>
      </c>
      <c r="BL502" t="s">
        <v>2525</v>
      </c>
    </row>
    <row r="503" spans="1:64">
      <c r="A503" t="s">
        <v>1214</v>
      </c>
      <c r="B503">
        <v>50</v>
      </c>
      <c r="C503" t="s">
        <v>50</v>
      </c>
      <c r="D503" t="s">
        <v>51</v>
      </c>
      <c r="E503" t="s">
        <v>82</v>
      </c>
      <c r="F503" t="s">
        <v>52</v>
      </c>
      <c r="G503" t="s">
        <v>51</v>
      </c>
      <c r="H503" t="s">
        <v>1215</v>
      </c>
      <c r="I503" t="s">
        <v>112</v>
      </c>
      <c r="J503">
        <v>435.23</v>
      </c>
      <c r="K503">
        <v>2</v>
      </c>
      <c r="L503" t="s">
        <v>55</v>
      </c>
      <c r="M503">
        <v>2</v>
      </c>
      <c r="N503">
        <v>4</v>
      </c>
      <c r="O503">
        <v>0</v>
      </c>
      <c r="P503" t="s">
        <v>40</v>
      </c>
      <c r="Q503" t="s">
        <v>41</v>
      </c>
      <c r="R503">
        <v>2</v>
      </c>
      <c r="S503">
        <v>2</v>
      </c>
      <c r="T503" t="s">
        <v>56</v>
      </c>
      <c r="U503" t="s">
        <v>70</v>
      </c>
      <c r="V503" t="s">
        <v>102</v>
      </c>
      <c r="W503" s="1">
        <v>45349</v>
      </c>
      <c r="X503" t="b">
        <v>0</v>
      </c>
      <c r="Y503" t="b">
        <v>1</v>
      </c>
      <c r="Z503" t="s">
        <v>72</v>
      </c>
      <c r="AA503" t="s">
        <v>77</v>
      </c>
      <c r="AB503">
        <v>13</v>
      </c>
      <c r="AF503" t="str">
        <f>tbl_OriginalData[[#This Row],[Customer_ID]]</f>
        <v>49-825-3438</v>
      </c>
      <c r="AG503">
        <f>tbl_OriginalData[[#This Row],[Age]]</f>
        <v>50</v>
      </c>
      <c r="AH503" t="str" cm="1">
        <f t="array" ref="AH50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03" t="str">
        <f>tbl_OriginalData[[#This Row],[Gender]]</f>
        <v>Male</v>
      </c>
      <c r="AJ503" t="str">
        <f>tbl_OriginalData[[#This Row],[Income_Level]]</f>
        <v>High</v>
      </c>
      <c r="AK503" t="str">
        <f>tbl_OriginalData[[#This Row],[Marital_Status]]</f>
        <v>Widowed</v>
      </c>
      <c r="AL503" t="str">
        <f>tbl_OriginalData[[#This Row],[Education_Level]]</f>
        <v>High School</v>
      </c>
      <c r="AM503" t="str">
        <f>tbl_OriginalData[[#This Row],[Occupation]]</f>
        <v>High</v>
      </c>
      <c r="AN503" t="s">
        <v>1215</v>
      </c>
      <c r="AO503" t="s">
        <v>550</v>
      </c>
      <c r="AP503" t="str">
        <f>tbl_OriginalData[[#This Row],[Purchase_Category]]</f>
        <v>Mobile Accessories</v>
      </c>
      <c r="AQ503" s="4">
        <f>tbl_OriginalData[[#This Row],[Purchase_Amount]]</f>
        <v>435.23</v>
      </c>
      <c r="AR503">
        <f>tbl_OriginalData[[#This Row],[Frequency_of_Purchase]]</f>
        <v>2</v>
      </c>
      <c r="AS503" t="str">
        <f>tbl_OriginalData[[#This Row],[Purchase_Channel]]</f>
        <v>In-Store</v>
      </c>
      <c r="AT503">
        <f>tbl_OriginalData[[#This Row],[Brand_Loyalty]]</f>
        <v>2</v>
      </c>
      <c r="AU503">
        <f>tbl_OriginalData[[#This Row],[Product_Rating]]</f>
        <v>4</v>
      </c>
      <c r="AV503">
        <f>tbl_OriginalData[[#This Row],[Time_Spent_on_Product_Research(hours)]]*60</f>
        <v>0</v>
      </c>
      <c r="AW503" t="str">
        <f>tbl_OriginalData[[#This Row],[Social_Media_Influence]]</f>
        <v>None</v>
      </c>
      <c r="AX503" t="str">
        <f>tbl_OriginalData[[#This Row],[Discount_Sensitivity]]</f>
        <v>Somewhat Sensitive</v>
      </c>
      <c r="AY503" s="3">
        <f>tbl_OriginalData[[#This Row],[Return_Rate]]/tbl_OriginalData[[#This Row],[Frequency_of_Purchase]]</f>
        <v>1</v>
      </c>
      <c r="AZ503">
        <f>tbl_OriginalData[[#This Row],[Customer_Satisfaction]]</f>
        <v>2</v>
      </c>
      <c r="BA503" t="str">
        <f>tbl_OriginalData[[#This Row],[Engagement_with_Ads]]</f>
        <v>Medium</v>
      </c>
      <c r="BB503" t="str">
        <f>tbl_OriginalData[[#This Row],[Device_Used_for_Shopping]]</f>
        <v>Smartphone</v>
      </c>
      <c r="BC503" t="str">
        <f>tbl_OriginalData[[#This Row],[Payment_Method]]</f>
        <v>Cash</v>
      </c>
      <c r="BD503" s="1">
        <f>tbl_OriginalData[[#This Row],[Time_of_Purchase]]</f>
        <v>45349</v>
      </c>
      <c r="BE503" t="str">
        <f>IF(tbl_OriginalData[[#This Row],[Discount_Used]]=TRUE,"Yes","No")</f>
        <v>No</v>
      </c>
      <c r="BF503" t="str">
        <f>IF(tbl_OriginalData[[#This Row],[Customer_Loyalty_Program_Member]]=TRUE,"Yes","No")</f>
        <v>Yes</v>
      </c>
      <c r="BG503" t="str">
        <f>tbl_OriginalData[[#This Row],[Purchase_Intent]]</f>
        <v>Impulsive</v>
      </c>
      <c r="BH503" t="str">
        <f>tbl_OriginalData[[#This Row],[Shipping_Preference]]</f>
        <v>Express</v>
      </c>
      <c r="BI503">
        <f>tbl_OriginalData[[#This Row],[Time_to_Decision]]</f>
        <v>13</v>
      </c>
      <c r="BJ503" t="s">
        <v>158</v>
      </c>
      <c r="BK503" t="s">
        <v>48</v>
      </c>
      <c r="BL503" t="s">
        <v>2523</v>
      </c>
    </row>
    <row r="504" spans="1:64">
      <c r="A504" t="s">
        <v>1216</v>
      </c>
      <c r="B504">
        <v>19</v>
      </c>
      <c r="C504" t="s">
        <v>33</v>
      </c>
      <c r="D504" t="s">
        <v>51</v>
      </c>
      <c r="E504" t="s">
        <v>92</v>
      </c>
      <c r="F504" t="s">
        <v>66</v>
      </c>
      <c r="G504" t="s">
        <v>34</v>
      </c>
      <c r="H504" t="s">
        <v>1217</v>
      </c>
      <c r="I504" t="s">
        <v>156</v>
      </c>
      <c r="J504">
        <v>218.65</v>
      </c>
      <c r="K504">
        <v>3</v>
      </c>
      <c r="L504" t="s">
        <v>94</v>
      </c>
      <c r="M504">
        <v>4</v>
      </c>
      <c r="N504">
        <v>2</v>
      </c>
      <c r="O504">
        <v>2</v>
      </c>
      <c r="P504" t="s">
        <v>69</v>
      </c>
      <c r="Q504" t="s">
        <v>101</v>
      </c>
      <c r="R504">
        <v>0</v>
      </c>
      <c r="S504">
        <v>9</v>
      </c>
      <c r="T504" t="s">
        <v>56</v>
      </c>
      <c r="U504" t="s">
        <v>70</v>
      </c>
      <c r="V504" t="s">
        <v>43</v>
      </c>
      <c r="W504" s="1">
        <v>45490</v>
      </c>
      <c r="X504" t="b">
        <v>1</v>
      </c>
      <c r="Y504" t="b">
        <v>1</v>
      </c>
      <c r="Z504" t="s">
        <v>72</v>
      </c>
      <c r="AA504" t="s">
        <v>60</v>
      </c>
      <c r="AB504">
        <v>4</v>
      </c>
      <c r="AF504" t="str">
        <f>tbl_OriginalData[[#This Row],[Customer_ID]]</f>
        <v>31-783-9785</v>
      </c>
      <c r="AG504">
        <f>tbl_OriginalData[[#This Row],[Age]]</f>
        <v>19</v>
      </c>
      <c r="AH504" t="str" cm="1">
        <f t="array" ref="AH50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504" t="str">
        <f>tbl_OriginalData[[#This Row],[Gender]]</f>
        <v>Female</v>
      </c>
      <c r="AJ504" t="str">
        <f>tbl_OriginalData[[#This Row],[Income_Level]]</f>
        <v>High</v>
      </c>
      <c r="AK504" t="str">
        <f>tbl_OriginalData[[#This Row],[Marital_Status]]</f>
        <v>Divorced</v>
      </c>
      <c r="AL504" t="str">
        <f>tbl_OriginalData[[#This Row],[Education_Level]]</f>
        <v>Master's</v>
      </c>
      <c r="AM504" t="str">
        <f>tbl_OriginalData[[#This Row],[Occupation]]</f>
        <v>Middle</v>
      </c>
      <c r="AN504" t="s">
        <v>1217</v>
      </c>
      <c r="AO504" t="s">
        <v>90</v>
      </c>
      <c r="AP504" t="str">
        <f>tbl_OriginalData[[#This Row],[Purchase_Category]]</f>
        <v>Toys &amp; Games</v>
      </c>
      <c r="AQ504" s="4">
        <f>tbl_OriginalData[[#This Row],[Purchase_Amount]]</f>
        <v>218.65</v>
      </c>
      <c r="AR504">
        <f>tbl_OriginalData[[#This Row],[Frequency_of_Purchase]]</f>
        <v>3</v>
      </c>
      <c r="AS504" t="str">
        <f>tbl_OriginalData[[#This Row],[Purchase_Channel]]</f>
        <v>Online</v>
      </c>
      <c r="AT504">
        <f>tbl_OriginalData[[#This Row],[Brand_Loyalty]]</f>
        <v>4</v>
      </c>
      <c r="AU504">
        <f>tbl_OriginalData[[#This Row],[Product_Rating]]</f>
        <v>2</v>
      </c>
      <c r="AV504">
        <f>tbl_OriginalData[[#This Row],[Time_Spent_on_Product_Research(hours)]]*60</f>
        <v>120</v>
      </c>
      <c r="AW504" t="str">
        <f>tbl_OriginalData[[#This Row],[Social_Media_Influence]]</f>
        <v>Low</v>
      </c>
      <c r="AX504" t="str">
        <f>tbl_OriginalData[[#This Row],[Discount_Sensitivity]]</f>
        <v>Very Sensitive</v>
      </c>
      <c r="AY504" s="3">
        <f>tbl_OriginalData[[#This Row],[Return_Rate]]/tbl_OriginalData[[#This Row],[Frequency_of_Purchase]]</f>
        <v>0</v>
      </c>
      <c r="AZ504">
        <f>tbl_OriginalData[[#This Row],[Customer_Satisfaction]]</f>
        <v>9</v>
      </c>
      <c r="BA504" t="str">
        <f>tbl_OriginalData[[#This Row],[Engagement_with_Ads]]</f>
        <v>Medium</v>
      </c>
      <c r="BB504" t="str">
        <f>tbl_OriginalData[[#This Row],[Device_Used_for_Shopping]]</f>
        <v>Smartphone</v>
      </c>
      <c r="BC504" t="str">
        <f>tbl_OriginalData[[#This Row],[Payment_Method]]</f>
        <v>Credit Card</v>
      </c>
      <c r="BD504" s="1">
        <f>tbl_OriginalData[[#This Row],[Time_of_Purchase]]</f>
        <v>45490</v>
      </c>
      <c r="BE504" t="str">
        <f>IF(tbl_OriginalData[[#This Row],[Discount_Used]]=TRUE,"Yes","No")</f>
        <v>Yes</v>
      </c>
      <c r="BF504" t="str">
        <f>IF(tbl_OriginalData[[#This Row],[Customer_Loyalty_Program_Member]]=TRUE,"Yes","No")</f>
        <v>Yes</v>
      </c>
      <c r="BG504" t="str">
        <f>tbl_OriginalData[[#This Row],[Purchase_Intent]]</f>
        <v>Impulsive</v>
      </c>
      <c r="BH504" t="str">
        <f>tbl_OriginalData[[#This Row],[Shipping_Preference]]</f>
        <v>Standard</v>
      </c>
      <c r="BI504">
        <f>tbl_OriginalData[[#This Row],[Time_to_Decision]]</f>
        <v>4</v>
      </c>
      <c r="BJ504" t="s">
        <v>114</v>
      </c>
      <c r="BK504" t="s">
        <v>115</v>
      </c>
      <c r="BL504" t="s">
        <v>2524</v>
      </c>
    </row>
    <row r="505" spans="1:64">
      <c r="A505" t="s">
        <v>1218</v>
      </c>
      <c r="B505">
        <v>27</v>
      </c>
      <c r="C505" t="s">
        <v>50</v>
      </c>
      <c r="D505" t="s">
        <v>51</v>
      </c>
      <c r="E505" t="s">
        <v>82</v>
      </c>
      <c r="F505" t="s">
        <v>52</v>
      </c>
      <c r="G505" t="s">
        <v>34</v>
      </c>
      <c r="H505" t="s">
        <v>1219</v>
      </c>
      <c r="I505" t="s">
        <v>180</v>
      </c>
      <c r="J505">
        <v>207.66</v>
      </c>
      <c r="K505">
        <v>10</v>
      </c>
      <c r="L505" t="s">
        <v>55</v>
      </c>
      <c r="M505">
        <v>2</v>
      </c>
      <c r="N505">
        <v>3</v>
      </c>
      <c r="O505">
        <v>1</v>
      </c>
      <c r="P505" t="s">
        <v>51</v>
      </c>
      <c r="Q505" t="s">
        <v>101</v>
      </c>
      <c r="R505">
        <v>2</v>
      </c>
      <c r="S505">
        <v>2</v>
      </c>
      <c r="T505" t="s">
        <v>56</v>
      </c>
      <c r="U505" t="s">
        <v>95</v>
      </c>
      <c r="V505" t="s">
        <v>76</v>
      </c>
      <c r="W505" s="1">
        <v>45481</v>
      </c>
      <c r="X505" t="b">
        <v>0</v>
      </c>
      <c r="Y505" t="b">
        <v>1</v>
      </c>
      <c r="Z505" t="s">
        <v>59</v>
      </c>
      <c r="AA505" t="s">
        <v>60</v>
      </c>
      <c r="AB505">
        <v>8</v>
      </c>
      <c r="AF505" t="str">
        <f>tbl_OriginalData[[#This Row],[Customer_ID]]</f>
        <v>58-059-8187</v>
      </c>
      <c r="AG505">
        <f>tbl_OriginalData[[#This Row],[Age]]</f>
        <v>27</v>
      </c>
      <c r="AH505" t="str" cm="1">
        <f t="array" ref="AH50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05" t="str">
        <f>tbl_OriginalData[[#This Row],[Gender]]</f>
        <v>Male</v>
      </c>
      <c r="AJ505" t="str">
        <f>tbl_OriginalData[[#This Row],[Income_Level]]</f>
        <v>High</v>
      </c>
      <c r="AK505" t="str">
        <f>tbl_OriginalData[[#This Row],[Marital_Status]]</f>
        <v>Widowed</v>
      </c>
      <c r="AL505" t="str">
        <f>tbl_OriginalData[[#This Row],[Education_Level]]</f>
        <v>High School</v>
      </c>
      <c r="AM505" t="str">
        <f>tbl_OriginalData[[#This Row],[Occupation]]</f>
        <v>Middle</v>
      </c>
      <c r="AN505" t="s">
        <v>1219</v>
      </c>
      <c r="AO505" t="s">
        <v>269</v>
      </c>
      <c r="AP505" t="str">
        <f>tbl_OriginalData[[#This Row],[Purchase_Category]]</f>
        <v>Health Supplements</v>
      </c>
      <c r="AQ505" s="4">
        <f>tbl_OriginalData[[#This Row],[Purchase_Amount]]</f>
        <v>207.66</v>
      </c>
      <c r="AR505">
        <f>tbl_OriginalData[[#This Row],[Frequency_of_Purchase]]</f>
        <v>10</v>
      </c>
      <c r="AS505" t="str">
        <f>tbl_OriginalData[[#This Row],[Purchase_Channel]]</f>
        <v>In-Store</v>
      </c>
      <c r="AT505">
        <f>tbl_OriginalData[[#This Row],[Brand_Loyalty]]</f>
        <v>2</v>
      </c>
      <c r="AU505">
        <f>tbl_OriginalData[[#This Row],[Product_Rating]]</f>
        <v>3</v>
      </c>
      <c r="AV505">
        <f>tbl_OriginalData[[#This Row],[Time_Spent_on_Product_Research(hours)]]*60</f>
        <v>60</v>
      </c>
      <c r="AW505" t="str">
        <f>tbl_OriginalData[[#This Row],[Social_Media_Influence]]</f>
        <v>High</v>
      </c>
      <c r="AX505" t="str">
        <f>tbl_OriginalData[[#This Row],[Discount_Sensitivity]]</f>
        <v>Very Sensitive</v>
      </c>
      <c r="AY505" s="3">
        <f>tbl_OriginalData[[#This Row],[Return_Rate]]/tbl_OriginalData[[#This Row],[Frequency_of_Purchase]]</f>
        <v>0.2</v>
      </c>
      <c r="AZ505">
        <f>tbl_OriginalData[[#This Row],[Customer_Satisfaction]]</f>
        <v>2</v>
      </c>
      <c r="BA505" t="str">
        <f>tbl_OriginalData[[#This Row],[Engagement_with_Ads]]</f>
        <v>Medium</v>
      </c>
      <c r="BB505" t="str">
        <f>tbl_OriginalData[[#This Row],[Device_Used_for_Shopping]]</f>
        <v>Desktop</v>
      </c>
      <c r="BC505" t="str">
        <f>tbl_OriginalData[[#This Row],[Payment_Method]]</f>
        <v>Other</v>
      </c>
      <c r="BD505" s="1">
        <f>tbl_OriginalData[[#This Row],[Time_of_Purchase]]</f>
        <v>45481</v>
      </c>
      <c r="BE505" t="str">
        <f>IF(tbl_OriginalData[[#This Row],[Discount_Used]]=TRUE,"Yes","No")</f>
        <v>No</v>
      </c>
      <c r="BF505" t="str">
        <f>IF(tbl_OriginalData[[#This Row],[Customer_Loyalty_Program_Member]]=TRUE,"Yes","No")</f>
        <v>Yes</v>
      </c>
      <c r="BG505" t="str">
        <f>tbl_OriginalData[[#This Row],[Purchase_Intent]]</f>
        <v>Wants-based</v>
      </c>
      <c r="BH505" t="str">
        <f>tbl_OriginalData[[#This Row],[Shipping_Preference]]</f>
        <v>Standard</v>
      </c>
      <c r="BI505">
        <f>tbl_OriginalData[[#This Row],[Time_to_Decision]]</f>
        <v>8</v>
      </c>
      <c r="BJ505" t="s">
        <v>114</v>
      </c>
      <c r="BK505" t="s">
        <v>115</v>
      </c>
      <c r="BL505" t="s">
        <v>2528</v>
      </c>
    </row>
    <row r="506" spans="1:64">
      <c r="A506" t="s">
        <v>1220</v>
      </c>
      <c r="B506">
        <v>34</v>
      </c>
      <c r="C506" t="s">
        <v>33</v>
      </c>
      <c r="D506" t="s">
        <v>51</v>
      </c>
      <c r="E506" t="s">
        <v>35</v>
      </c>
      <c r="F506" t="s">
        <v>52</v>
      </c>
      <c r="G506" t="s">
        <v>51</v>
      </c>
      <c r="H506" t="s">
        <v>1221</v>
      </c>
      <c r="I506" t="s">
        <v>170</v>
      </c>
      <c r="J506">
        <v>141.09</v>
      </c>
      <c r="K506">
        <v>7</v>
      </c>
      <c r="L506" t="s">
        <v>55</v>
      </c>
      <c r="M506">
        <v>3</v>
      </c>
      <c r="N506">
        <v>4</v>
      </c>
      <c r="O506">
        <v>0</v>
      </c>
      <c r="P506" t="s">
        <v>51</v>
      </c>
      <c r="Q506" t="s">
        <v>101</v>
      </c>
      <c r="R506">
        <v>2</v>
      </c>
      <c r="S506">
        <v>3</v>
      </c>
      <c r="T506" t="s">
        <v>51</v>
      </c>
      <c r="U506" t="s">
        <v>95</v>
      </c>
      <c r="V506" t="s">
        <v>71</v>
      </c>
      <c r="W506" s="1">
        <v>45462</v>
      </c>
      <c r="X506" t="b">
        <v>0</v>
      </c>
      <c r="Y506" t="b">
        <v>1</v>
      </c>
      <c r="Z506" t="s">
        <v>59</v>
      </c>
      <c r="AA506" t="s">
        <v>77</v>
      </c>
      <c r="AB506">
        <v>1</v>
      </c>
      <c r="AF506" t="str">
        <f>tbl_OriginalData[[#This Row],[Customer_ID]]</f>
        <v>74-882-6648</v>
      </c>
      <c r="AG506">
        <f>tbl_OriginalData[[#This Row],[Age]]</f>
        <v>34</v>
      </c>
      <c r="AH506" t="str" cm="1">
        <f t="array" ref="AH50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06" t="str">
        <f>tbl_OriginalData[[#This Row],[Gender]]</f>
        <v>Female</v>
      </c>
      <c r="AJ506" t="str">
        <f>tbl_OriginalData[[#This Row],[Income_Level]]</f>
        <v>High</v>
      </c>
      <c r="AK506" t="str">
        <f>tbl_OriginalData[[#This Row],[Marital_Status]]</f>
        <v>Married</v>
      </c>
      <c r="AL506" t="str">
        <f>tbl_OriginalData[[#This Row],[Education_Level]]</f>
        <v>High School</v>
      </c>
      <c r="AM506" t="str">
        <f>tbl_OriginalData[[#This Row],[Occupation]]</f>
        <v>High</v>
      </c>
      <c r="AN506" t="s">
        <v>1221</v>
      </c>
      <c r="AO506" t="s">
        <v>965</v>
      </c>
      <c r="AP506" t="str">
        <f>tbl_OriginalData[[#This Row],[Purchase_Category]]</f>
        <v>Arts &amp; Crafts</v>
      </c>
      <c r="AQ506" s="4">
        <f>tbl_OriginalData[[#This Row],[Purchase_Amount]]</f>
        <v>141.09</v>
      </c>
      <c r="AR506">
        <f>tbl_OriginalData[[#This Row],[Frequency_of_Purchase]]</f>
        <v>7</v>
      </c>
      <c r="AS506" t="str">
        <f>tbl_OriginalData[[#This Row],[Purchase_Channel]]</f>
        <v>In-Store</v>
      </c>
      <c r="AT506">
        <f>tbl_OriginalData[[#This Row],[Brand_Loyalty]]</f>
        <v>3</v>
      </c>
      <c r="AU506">
        <f>tbl_OriginalData[[#This Row],[Product_Rating]]</f>
        <v>4</v>
      </c>
      <c r="AV506">
        <f>tbl_OriginalData[[#This Row],[Time_Spent_on_Product_Research(hours)]]*60</f>
        <v>0</v>
      </c>
      <c r="AW506" t="str">
        <f>tbl_OriginalData[[#This Row],[Social_Media_Influence]]</f>
        <v>High</v>
      </c>
      <c r="AX506" t="str">
        <f>tbl_OriginalData[[#This Row],[Discount_Sensitivity]]</f>
        <v>Very Sensitive</v>
      </c>
      <c r="AY506" s="3">
        <f>tbl_OriginalData[[#This Row],[Return_Rate]]/tbl_OriginalData[[#This Row],[Frequency_of_Purchase]]</f>
        <v>0.2857142857142857</v>
      </c>
      <c r="AZ506">
        <f>tbl_OriginalData[[#This Row],[Customer_Satisfaction]]</f>
        <v>3</v>
      </c>
      <c r="BA506" t="str">
        <f>tbl_OriginalData[[#This Row],[Engagement_with_Ads]]</f>
        <v>High</v>
      </c>
      <c r="BB506" t="str">
        <f>tbl_OriginalData[[#This Row],[Device_Used_for_Shopping]]</f>
        <v>Desktop</v>
      </c>
      <c r="BC506" t="str">
        <f>tbl_OriginalData[[#This Row],[Payment_Method]]</f>
        <v>Debit Card</v>
      </c>
      <c r="BD506" s="1">
        <f>tbl_OriginalData[[#This Row],[Time_of_Purchase]]</f>
        <v>45462</v>
      </c>
      <c r="BE506" t="str">
        <f>IF(tbl_OriginalData[[#This Row],[Discount_Used]]=TRUE,"Yes","No")</f>
        <v>No</v>
      </c>
      <c r="BF506" t="str">
        <f>IF(tbl_OriginalData[[#This Row],[Customer_Loyalty_Program_Member]]=TRUE,"Yes","No")</f>
        <v>Yes</v>
      </c>
      <c r="BG506" t="str">
        <f>tbl_OriginalData[[#This Row],[Purchase_Intent]]</f>
        <v>Wants-based</v>
      </c>
      <c r="BH506" t="str">
        <f>tbl_OriginalData[[#This Row],[Shipping_Preference]]</f>
        <v>Express</v>
      </c>
      <c r="BI506">
        <f>tbl_OriginalData[[#This Row],[Time_to_Decision]]</f>
        <v>1</v>
      </c>
      <c r="BJ506" t="s">
        <v>104</v>
      </c>
      <c r="BK506" t="s">
        <v>63</v>
      </c>
      <c r="BL506" t="s">
        <v>2524</v>
      </c>
    </row>
    <row r="507" spans="1:64">
      <c r="A507" t="s">
        <v>1222</v>
      </c>
      <c r="B507">
        <v>39</v>
      </c>
      <c r="C507" t="s">
        <v>50</v>
      </c>
      <c r="D507" t="s">
        <v>51</v>
      </c>
      <c r="E507" t="s">
        <v>92</v>
      </c>
      <c r="F507" t="s">
        <v>36</v>
      </c>
      <c r="G507" t="s">
        <v>34</v>
      </c>
      <c r="H507" t="s">
        <v>1223</v>
      </c>
      <c r="I507" t="s">
        <v>143</v>
      </c>
      <c r="J507">
        <v>142.69999999999999</v>
      </c>
      <c r="K507">
        <v>6</v>
      </c>
      <c r="L507" t="s">
        <v>55</v>
      </c>
      <c r="M507">
        <v>3</v>
      </c>
      <c r="N507">
        <v>2</v>
      </c>
      <c r="O507">
        <v>1</v>
      </c>
      <c r="P507" t="s">
        <v>40</v>
      </c>
      <c r="Q507" t="s">
        <v>101</v>
      </c>
      <c r="R507">
        <v>0</v>
      </c>
      <c r="S507">
        <v>4</v>
      </c>
      <c r="T507" t="s">
        <v>40</v>
      </c>
      <c r="U507" t="s">
        <v>95</v>
      </c>
      <c r="V507" t="s">
        <v>43</v>
      </c>
      <c r="W507" s="1">
        <v>45429</v>
      </c>
      <c r="X507" t="b">
        <v>0</v>
      </c>
      <c r="Y507" t="b">
        <v>1</v>
      </c>
      <c r="Z507" t="s">
        <v>72</v>
      </c>
      <c r="AA507" t="s">
        <v>45</v>
      </c>
      <c r="AB507">
        <v>11</v>
      </c>
      <c r="AF507" t="str">
        <f>tbl_OriginalData[[#This Row],[Customer_ID]]</f>
        <v>03-180-9200</v>
      </c>
      <c r="AG507">
        <f>tbl_OriginalData[[#This Row],[Age]]</f>
        <v>39</v>
      </c>
      <c r="AH507" t="str" cm="1">
        <f t="array" ref="AH50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07" t="str">
        <f>tbl_OriginalData[[#This Row],[Gender]]</f>
        <v>Male</v>
      </c>
      <c r="AJ507" t="str">
        <f>tbl_OriginalData[[#This Row],[Income_Level]]</f>
        <v>High</v>
      </c>
      <c r="AK507" t="str">
        <f>tbl_OriginalData[[#This Row],[Marital_Status]]</f>
        <v>Divorced</v>
      </c>
      <c r="AL507" t="str">
        <f>tbl_OriginalData[[#This Row],[Education_Level]]</f>
        <v>Bachelor's</v>
      </c>
      <c r="AM507" t="str">
        <f>tbl_OriginalData[[#This Row],[Occupation]]</f>
        <v>Middle</v>
      </c>
      <c r="AN507" t="s">
        <v>1223</v>
      </c>
      <c r="AO507" t="s">
        <v>328</v>
      </c>
      <c r="AP507" t="str">
        <f>tbl_OriginalData[[#This Row],[Purchase_Category]]</f>
        <v>Packages)</v>
      </c>
      <c r="AQ507" s="4">
        <f>tbl_OriginalData[[#This Row],[Purchase_Amount]]</f>
        <v>142.69999999999999</v>
      </c>
      <c r="AR507">
        <f>tbl_OriginalData[[#This Row],[Frequency_of_Purchase]]</f>
        <v>6</v>
      </c>
      <c r="AS507" t="str">
        <f>tbl_OriginalData[[#This Row],[Purchase_Channel]]</f>
        <v>In-Store</v>
      </c>
      <c r="AT507">
        <f>tbl_OriginalData[[#This Row],[Brand_Loyalty]]</f>
        <v>3</v>
      </c>
      <c r="AU507">
        <f>tbl_OriginalData[[#This Row],[Product_Rating]]</f>
        <v>2</v>
      </c>
      <c r="AV507">
        <f>tbl_OriginalData[[#This Row],[Time_Spent_on_Product_Research(hours)]]*60</f>
        <v>60</v>
      </c>
      <c r="AW507" t="str">
        <f>tbl_OriginalData[[#This Row],[Social_Media_Influence]]</f>
        <v>None</v>
      </c>
      <c r="AX507" t="str">
        <f>tbl_OriginalData[[#This Row],[Discount_Sensitivity]]</f>
        <v>Very Sensitive</v>
      </c>
      <c r="AY507" s="3">
        <f>tbl_OriginalData[[#This Row],[Return_Rate]]/tbl_OriginalData[[#This Row],[Frequency_of_Purchase]]</f>
        <v>0</v>
      </c>
      <c r="AZ507">
        <f>tbl_OriginalData[[#This Row],[Customer_Satisfaction]]</f>
        <v>4</v>
      </c>
      <c r="BA507" t="str">
        <f>tbl_OriginalData[[#This Row],[Engagement_with_Ads]]</f>
        <v>None</v>
      </c>
      <c r="BB507" t="str">
        <f>tbl_OriginalData[[#This Row],[Device_Used_for_Shopping]]</f>
        <v>Desktop</v>
      </c>
      <c r="BC507" t="str">
        <f>tbl_OriginalData[[#This Row],[Payment_Method]]</f>
        <v>Credit Card</v>
      </c>
      <c r="BD507" s="1">
        <f>tbl_OriginalData[[#This Row],[Time_of_Purchase]]</f>
        <v>45429</v>
      </c>
      <c r="BE507" t="str">
        <f>IF(tbl_OriginalData[[#This Row],[Discount_Used]]=TRUE,"Yes","No")</f>
        <v>No</v>
      </c>
      <c r="BF507" t="str">
        <f>IF(tbl_OriginalData[[#This Row],[Customer_Loyalty_Program_Member]]=TRUE,"Yes","No")</f>
        <v>Yes</v>
      </c>
      <c r="BG507" t="str">
        <f>tbl_OriginalData[[#This Row],[Purchase_Intent]]</f>
        <v>Impulsive</v>
      </c>
      <c r="BH507" t="str">
        <f>tbl_OriginalData[[#This Row],[Shipping_Preference]]</f>
        <v>No Preference</v>
      </c>
      <c r="BI507">
        <f>tbl_OriginalData[[#This Row],[Time_to_Decision]]</f>
        <v>11</v>
      </c>
      <c r="BJ507" t="s">
        <v>167</v>
      </c>
      <c r="BK507" t="s">
        <v>63</v>
      </c>
      <c r="BL507" t="s">
        <v>2527</v>
      </c>
    </row>
    <row r="508" spans="1:64">
      <c r="A508" t="s">
        <v>1224</v>
      </c>
      <c r="B508">
        <v>44</v>
      </c>
      <c r="C508" t="s">
        <v>50</v>
      </c>
      <c r="D508" t="s">
        <v>51</v>
      </c>
      <c r="E508" t="s">
        <v>92</v>
      </c>
      <c r="F508" t="s">
        <v>66</v>
      </c>
      <c r="G508" t="s">
        <v>51</v>
      </c>
      <c r="H508" t="s">
        <v>1225</v>
      </c>
      <c r="I508" t="s">
        <v>127</v>
      </c>
      <c r="J508">
        <v>64.09</v>
      </c>
      <c r="K508">
        <v>10</v>
      </c>
      <c r="L508" t="s">
        <v>94</v>
      </c>
      <c r="M508">
        <v>5</v>
      </c>
      <c r="N508">
        <v>5</v>
      </c>
      <c r="O508">
        <v>0</v>
      </c>
      <c r="P508" t="s">
        <v>40</v>
      </c>
      <c r="Q508" t="s">
        <v>41</v>
      </c>
      <c r="R508">
        <v>0</v>
      </c>
      <c r="S508">
        <v>6</v>
      </c>
      <c r="T508" t="s">
        <v>69</v>
      </c>
      <c r="U508" t="s">
        <v>95</v>
      </c>
      <c r="V508" t="s">
        <v>43</v>
      </c>
      <c r="W508" s="1">
        <v>45585</v>
      </c>
      <c r="X508" t="b">
        <v>1</v>
      </c>
      <c r="Y508" t="b">
        <v>0</v>
      </c>
      <c r="Z508" t="s">
        <v>44</v>
      </c>
      <c r="AA508" t="s">
        <v>77</v>
      </c>
      <c r="AB508">
        <v>7</v>
      </c>
      <c r="AF508" t="str">
        <f>tbl_OriginalData[[#This Row],[Customer_ID]]</f>
        <v>46-578-1425</v>
      </c>
      <c r="AG508">
        <f>tbl_OriginalData[[#This Row],[Age]]</f>
        <v>44</v>
      </c>
      <c r="AH508" t="str" cm="1">
        <f t="array" ref="AH50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08" t="str">
        <f>tbl_OriginalData[[#This Row],[Gender]]</f>
        <v>Male</v>
      </c>
      <c r="AJ508" t="str">
        <f>tbl_OriginalData[[#This Row],[Income_Level]]</f>
        <v>High</v>
      </c>
      <c r="AK508" t="str">
        <f>tbl_OriginalData[[#This Row],[Marital_Status]]</f>
        <v>Divorced</v>
      </c>
      <c r="AL508" t="str">
        <f>tbl_OriginalData[[#This Row],[Education_Level]]</f>
        <v>Master's</v>
      </c>
      <c r="AM508" t="str">
        <f>tbl_OriginalData[[#This Row],[Occupation]]</f>
        <v>High</v>
      </c>
      <c r="AN508" t="s">
        <v>1225</v>
      </c>
      <c r="AO508" t="s">
        <v>1226</v>
      </c>
      <c r="AP508" t="str">
        <f>tbl_OriginalData[[#This Row],[Purchase_Category]]</f>
        <v>Animal Feed</v>
      </c>
      <c r="AQ508" s="4">
        <f>tbl_OriginalData[[#This Row],[Purchase_Amount]]</f>
        <v>64.09</v>
      </c>
      <c r="AR508">
        <f>tbl_OriginalData[[#This Row],[Frequency_of_Purchase]]</f>
        <v>10</v>
      </c>
      <c r="AS508" t="str">
        <f>tbl_OriginalData[[#This Row],[Purchase_Channel]]</f>
        <v>Online</v>
      </c>
      <c r="AT508">
        <f>tbl_OriginalData[[#This Row],[Brand_Loyalty]]</f>
        <v>5</v>
      </c>
      <c r="AU508">
        <f>tbl_OriginalData[[#This Row],[Product_Rating]]</f>
        <v>5</v>
      </c>
      <c r="AV508">
        <f>tbl_OriginalData[[#This Row],[Time_Spent_on_Product_Research(hours)]]*60</f>
        <v>0</v>
      </c>
      <c r="AW508" t="str">
        <f>tbl_OriginalData[[#This Row],[Social_Media_Influence]]</f>
        <v>None</v>
      </c>
      <c r="AX508" t="str">
        <f>tbl_OriginalData[[#This Row],[Discount_Sensitivity]]</f>
        <v>Somewhat Sensitive</v>
      </c>
      <c r="AY508" s="3">
        <f>tbl_OriginalData[[#This Row],[Return_Rate]]/tbl_OriginalData[[#This Row],[Frequency_of_Purchase]]</f>
        <v>0</v>
      </c>
      <c r="AZ508">
        <f>tbl_OriginalData[[#This Row],[Customer_Satisfaction]]</f>
        <v>6</v>
      </c>
      <c r="BA508" t="str">
        <f>tbl_OriginalData[[#This Row],[Engagement_with_Ads]]</f>
        <v>Low</v>
      </c>
      <c r="BB508" t="str">
        <f>tbl_OriginalData[[#This Row],[Device_Used_for_Shopping]]</f>
        <v>Desktop</v>
      </c>
      <c r="BC508" t="str">
        <f>tbl_OriginalData[[#This Row],[Payment_Method]]</f>
        <v>Credit Card</v>
      </c>
      <c r="BD508" s="1">
        <f>tbl_OriginalData[[#This Row],[Time_of_Purchase]]</f>
        <v>45585</v>
      </c>
      <c r="BE508" t="str">
        <f>IF(tbl_OriginalData[[#This Row],[Discount_Used]]=TRUE,"Yes","No")</f>
        <v>Yes</v>
      </c>
      <c r="BF508" t="str">
        <f>IF(tbl_OriginalData[[#This Row],[Customer_Loyalty_Program_Member]]=TRUE,"Yes","No")</f>
        <v>No</v>
      </c>
      <c r="BG508" t="str">
        <f>tbl_OriginalData[[#This Row],[Purchase_Intent]]</f>
        <v>Need-based</v>
      </c>
      <c r="BH508" t="str">
        <f>tbl_OriginalData[[#This Row],[Shipping_Preference]]</f>
        <v>Express</v>
      </c>
      <c r="BI508">
        <f>tbl_OriginalData[[#This Row],[Time_to_Decision]]</f>
        <v>7</v>
      </c>
      <c r="BJ508" t="s">
        <v>79</v>
      </c>
      <c r="BK508" t="s">
        <v>80</v>
      </c>
      <c r="BL508" t="s">
        <v>2528</v>
      </c>
    </row>
    <row r="509" spans="1:64">
      <c r="A509" t="s">
        <v>1227</v>
      </c>
      <c r="B509">
        <v>20</v>
      </c>
      <c r="C509" t="s">
        <v>33</v>
      </c>
      <c r="D509" t="s">
        <v>34</v>
      </c>
      <c r="E509" t="s">
        <v>35</v>
      </c>
      <c r="F509" t="s">
        <v>52</v>
      </c>
      <c r="G509" t="s">
        <v>34</v>
      </c>
      <c r="H509" t="s">
        <v>934</v>
      </c>
      <c r="I509" t="s">
        <v>156</v>
      </c>
      <c r="J509">
        <v>126.26</v>
      </c>
      <c r="K509">
        <v>2</v>
      </c>
      <c r="L509" t="s">
        <v>94</v>
      </c>
      <c r="M509">
        <v>4</v>
      </c>
      <c r="N509">
        <v>5</v>
      </c>
      <c r="O509">
        <v>1</v>
      </c>
      <c r="P509" t="s">
        <v>40</v>
      </c>
      <c r="Q509" t="s">
        <v>41</v>
      </c>
      <c r="R509">
        <v>1</v>
      </c>
      <c r="S509">
        <v>6</v>
      </c>
      <c r="T509" t="s">
        <v>40</v>
      </c>
      <c r="U509" t="s">
        <v>70</v>
      </c>
      <c r="V509" t="s">
        <v>71</v>
      </c>
      <c r="W509" s="1">
        <v>45554</v>
      </c>
      <c r="X509" t="b">
        <v>1</v>
      </c>
      <c r="Y509" t="b">
        <v>0</v>
      </c>
      <c r="Z509" t="s">
        <v>89</v>
      </c>
      <c r="AA509" t="s">
        <v>60</v>
      </c>
      <c r="AB509">
        <v>13</v>
      </c>
      <c r="AF509" t="str">
        <f>tbl_OriginalData[[#This Row],[Customer_ID]]</f>
        <v>13-588-5783</v>
      </c>
      <c r="AG509">
        <f>tbl_OriginalData[[#This Row],[Age]]</f>
        <v>20</v>
      </c>
      <c r="AH509" t="str" cm="1">
        <f t="array" ref="AH50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09" t="str">
        <f>tbl_OriginalData[[#This Row],[Gender]]</f>
        <v>Female</v>
      </c>
      <c r="AJ509" t="str">
        <f>tbl_OriginalData[[#This Row],[Income_Level]]</f>
        <v>Middle</v>
      </c>
      <c r="AK509" t="str">
        <f>tbl_OriginalData[[#This Row],[Marital_Status]]</f>
        <v>Married</v>
      </c>
      <c r="AL509" t="str">
        <f>tbl_OriginalData[[#This Row],[Education_Level]]</f>
        <v>High School</v>
      </c>
      <c r="AM509" t="str">
        <f>tbl_OriginalData[[#This Row],[Occupation]]</f>
        <v>Middle</v>
      </c>
      <c r="AN509" t="s">
        <v>934</v>
      </c>
      <c r="AO509" t="s">
        <v>161</v>
      </c>
      <c r="AP509" t="str">
        <f>tbl_OriginalData[[#This Row],[Purchase_Category]]</f>
        <v>Toys &amp; Games</v>
      </c>
      <c r="AQ509" s="4">
        <f>tbl_OriginalData[[#This Row],[Purchase_Amount]]</f>
        <v>126.26</v>
      </c>
      <c r="AR509">
        <f>tbl_OriginalData[[#This Row],[Frequency_of_Purchase]]</f>
        <v>2</v>
      </c>
      <c r="AS509" t="str">
        <f>tbl_OriginalData[[#This Row],[Purchase_Channel]]</f>
        <v>Online</v>
      </c>
      <c r="AT509">
        <f>tbl_OriginalData[[#This Row],[Brand_Loyalty]]</f>
        <v>4</v>
      </c>
      <c r="AU509">
        <f>tbl_OriginalData[[#This Row],[Product_Rating]]</f>
        <v>5</v>
      </c>
      <c r="AV509">
        <f>tbl_OriginalData[[#This Row],[Time_Spent_on_Product_Research(hours)]]*60</f>
        <v>60</v>
      </c>
      <c r="AW509" t="str">
        <f>tbl_OriginalData[[#This Row],[Social_Media_Influence]]</f>
        <v>None</v>
      </c>
      <c r="AX509" t="str">
        <f>tbl_OriginalData[[#This Row],[Discount_Sensitivity]]</f>
        <v>Somewhat Sensitive</v>
      </c>
      <c r="AY509" s="3">
        <f>tbl_OriginalData[[#This Row],[Return_Rate]]/tbl_OriginalData[[#This Row],[Frequency_of_Purchase]]</f>
        <v>0.5</v>
      </c>
      <c r="AZ509">
        <f>tbl_OriginalData[[#This Row],[Customer_Satisfaction]]</f>
        <v>6</v>
      </c>
      <c r="BA509" t="str">
        <f>tbl_OriginalData[[#This Row],[Engagement_with_Ads]]</f>
        <v>None</v>
      </c>
      <c r="BB509" t="str">
        <f>tbl_OriginalData[[#This Row],[Device_Used_for_Shopping]]</f>
        <v>Smartphone</v>
      </c>
      <c r="BC509" t="str">
        <f>tbl_OriginalData[[#This Row],[Payment_Method]]</f>
        <v>Debit Card</v>
      </c>
      <c r="BD509" s="1">
        <f>tbl_OriginalData[[#This Row],[Time_of_Purchase]]</f>
        <v>45554</v>
      </c>
      <c r="BE509" t="str">
        <f>IF(tbl_OriginalData[[#This Row],[Discount_Used]]=TRUE,"Yes","No")</f>
        <v>Yes</v>
      </c>
      <c r="BF509" t="str">
        <f>IF(tbl_OriginalData[[#This Row],[Customer_Loyalty_Program_Member]]=TRUE,"Yes","No")</f>
        <v>No</v>
      </c>
      <c r="BG509" t="str">
        <f>tbl_OriginalData[[#This Row],[Purchase_Intent]]</f>
        <v>Planned</v>
      </c>
      <c r="BH509" t="str">
        <f>tbl_OriginalData[[#This Row],[Shipping_Preference]]</f>
        <v>Standard</v>
      </c>
      <c r="BI509">
        <f>tbl_OriginalData[[#This Row],[Time_to_Decision]]</f>
        <v>13</v>
      </c>
      <c r="BJ509" t="s">
        <v>172</v>
      </c>
      <c r="BK509" t="s">
        <v>115</v>
      </c>
      <c r="BL509" t="s">
        <v>2527</v>
      </c>
    </row>
    <row r="510" spans="1:64">
      <c r="A510" t="s">
        <v>1228</v>
      </c>
      <c r="B510">
        <v>42</v>
      </c>
      <c r="C510" t="s">
        <v>33</v>
      </c>
      <c r="D510" t="s">
        <v>34</v>
      </c>
      <c r="E510" t="s">
        <v>65</v>
      </c>
      <c r="F510" t="s">
        <v>52</v>
      </c>
      <c r="G510" t="s">
        <v>51</v>
      </c>
      <c r="H510" t="s">
        <v>1229</v>
      </c>
      <c r="I510" t="s">
        <v>135</v>
      </c>
      <c r="J510">
        <v>195.05</v>
      </c>
      <c r="K510">
        <v>5</v>
      </c>
      <c r="L510" t="s">
        <v>55</v>
      </c>
      <c r="M510">
        <v>2</v>
      </c>
      <c r="N510">
        <v>1</v>
      </c>
      <c r="O510">
        <v>2</v>
      </c>
      <c r="P510" t="s">
        <v>56</v>
      </c>
      <c r="Q510" t="s">
        <v>57</v>
      </c>
      <c r="R510">
        <v>0</v>
      </c>
      <c r="S510">
        <v>10</v>
      </c>
      <c r="T510" t="s">
        <v>51</v>
      </c>
      <c r="U510" t="s">
        <v>70</v>
      </c>
      <c r="V510" t="s">
        <v>76</v>
      </c>
      <c r="W510" s="1">
        <v>45433</v>
      </c>
      <c r="X510" t="b">
        <v>1</v>
      </c>
      <c r="Y510" t="b">
        <v>0</v>
      </c>
      <c r="Z510" t="s">
        <v>72</v>
      </c>
      <c r="AA510" t="s">
        <v>45</v>
      </c>
      <c r="AB510">
        <v>11</v>
      </c>
      <c r="AF510" t="str">
        <f>tbl_OriginalData[[#This Row],[Customer_ID]]</f>
        <v>25-085-7917</v>
      </c>
      <c r="AG510">
        <f>tbl_OriginalData[[#This Row],[Age]]</f>
        <v>42</v>
      </c>
      <c r="AH510" t="str" cm="1">
        <f t="array" ref="AH51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10" t="str">
        <f>tbl_OriginalData[[#This Row],[Gender]]</f>
        <v>Female</v>
      </c>
      <c r="AJ510" t="str">
        <f>tbl_OriginalData[[#This Row],[Income_Level]]</f>
        <v>Middle</v>
      </c>
      <c r="AK510" t="str">
        <f>tbl_OriginalData[[#This Row],[Marital_Status]]</f>
        <v>Single</v>
      </c>
      <c r="AL510" t="str">
        <f>tbl_OriginalData[[#This Row],[Education_Level]]</f>
        <v>High School</v>
      </c>
      <c r="AM510" t="str">
        <f>tbl_OriginalData[[#This Row],[Occupation]]</f>
        <v>High</v>
      </c>
      <c r="AN510" t="s">
        <v>1229</v>
      </c>
      <c r="AO510" t="s">
        <v>823</v>
      </c>
      <c r="AP510" t="str">
        <f>tbl_OriginalData[[#This Row],[Purchase_Category]]</f>
        <v>Hotels</v>
      </c>
      <c r="AQ510" s="4">
        <f>tbl_OriginalData[[#This Row],[Purchase_Amount]]</f>
        <v>195.05</v>
      </c>
      <c r="AR510">
        <f>tbl_OriginalData[[#This Row],[Frequency_of_Purchase]]</f>
        <v>5</v>
      </c>
      <c r="AS510" t="str">
        <f>tbl_OriginalData[[#This Row],[Purchase_Channel]]</f>
        <v>In-Store</v>
      </c>
      <c r="AT510">
        <f>tbl_OriginalData[[#This Row],[Brand_Loyalty]]</f>
        <v>2</v>
      </c>
      <c r="AU510">
        <f>tbl_OriginalData[[#This Row],[Product_Rating]]</f>
        <v>1</v>
      </c>
      <c r="AV510">
        <f>tbl_OriginalData[[#This Row],[Time_Spent_on_Product_Research(hours)]]*60</f>
        <v>120</v>
      </c>
      <c r="AW510" t="str">
        <f>tbl_OriginalData[[#This Row],[Social_Media_Influence]]</f>
        <v>Medium</v>
      </c>
      <c r="AX510" t="str">
        <f>tbl_OriginalData[[#This Row],[Discount_Sensitivity]]</f>
        <v>Not Sensitive</v>
      </c>
      <c r="AY510" s="3">
        <f>tbl_OriginalData[[#This Row],[Return_Rate]]/tbl_OriginalData[[#This Row],[Frequency_of_Purchase]]</f>
        <v>0</v>
      </c>
      <c r="AZ510">
        <f>tbl_OriginalData[[#This Row],[Customer_Satisfaction]]</f>
        <v>10</v>
      </c>
      <c r="BA510" t="str">
        <f>tbl_OriginalData[[#This Row],[Engagement_with_Ads]]</f>
        <v>High</v>
      </c>
      <c r="BB510" t="str">
        <f>tbl_OriginalData[[#This Row],[Device_Used_for_Shopping]]</f>
        <v>Smartphone</v>
      </c>
      <c r="BC510" t="str">
        <f>tbl_OriginalData[[#This Row],[Payment_Method]]</f>
        <v>Other</v>
      </c>
      <c r="BD510" s="1">
        <f>tbl_OriginalData[[#This Row],[Time_of_Purchase]]</f>
        <v>45433</v>
      </c>
      <c r="BE510" t="str">
        <f>IF(tbl_OriginalData[[#This Row],[Discount_Used]]=TRUE,"Yes","No")</f>
        <v>Yes</v>
      </c>
      <c r="BF510" t="str">
        <f>IF(tbl_OriginalData[[#This Row],[Customer_Loyalty_Program_Member]]=TRUE,"Yes","No")</f>
        <v>No</v>
      </c>
      <c r="BG510" t="str">
        <f>tbl_OriginalData[[#This Row],[Purchase_Intent]]</f>
        <v>Impulsive</v>
      </c>
      <c r="BH510" t="str">
        <f>tbl_OriginalData[[#This Row],[Shipping_Preference]]</f>
        <v>No Preference</v>
      </c>
      <c r="BI510">
        <f>tbl_OriginalData[[#This Row],[Time_to_Decision]]</f>
        <v>11</v>
      </c>
      <c r="BJ510" t="s">
        <v>167</v>
      </c>
      <c r="BK510" t="s">
        <v>63</v>
      </c>
      <c r="BL510" t="s">
        <v>2528</v>
      </c>
    </row>
    <row r="511" spans="1:64">
      <c r="A511" t="s">
        <v>1230</v>
      </c>
      <c r="B511">
        <v>22</v>
      </c>
      <c r="C511" t="s">
        <v>33</v>
      </c>
      <c r="D511" t="s">
        <v>34</v>
      </c>
      <c r="E511" t="s">
        <v>35</v>
      </c>
      <c r="F511" t="s">
        <v>66</v>
      </c>
      <c r="G511" t="s">
        <v>51</v>
      </c>
      <c r="H511" t="s">
        <v>1231</v>
      </c>
      <c r="I511" t="s">
        <v>199</v>
      </c>
      <c r="J511">
        <v>432.84</v>
      </c>
      <c r="K511">
        <v>7</v>
      </c>
      <c r="L511" t="s">
        <v>39</v>
      </c>
      <c r="M511">
        <v>4</v>
      </c>
      <c r="N511">
        <v>5</v>
      </c>
      <c r="O511">
        <v>2</v>
      </c>
      <c r="P511" t="s">
        <v>51</v>
      </c>
      <c r="Q511" t="s">
        <v>101</v>
      </c>
      <c r="R511">
        <v>0</v>
      </c>
      <c r="S511">
        <v>1</v>
      </c>
      <c r="T511" t="s">
        <v>51</v>
      </c>
      <c r="U511" t="s">
        <v>42</v>
      </c>
      <c r="V511" t="s">
        <v>71</v>
      </c>
      <c r="W511" s="1">
        <v>45327</v>
      </c>
      <c r="X511" t="b">
        <v>0</v>
      </c>
      <c r="Y511" t="b">
        <v>0</v>
      </c>
      <c r="Z511" t="s">
        <v>59</v>
      </c>
      <c r="AA511" t="s">
        <v>45</v>
      </c>
      <c r="AB511">
        <v>4</v>
      </c>
      <c r="AF511" t="str">
        <f>tbl_OriginalData[[#This Row],[Customer_ID]]</f>
        <v>66-085-1226</v>
      </c>
      <c r="AG511">
        <f>tbl_OriginalData[[#This Row],[Age]]</f>
        <v>22</v>
      </c>
      <c r="AH511" t="str" cm="1">
        <f t="array" ref="AH51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11" t="str">
        <f>tbl_OriginalData[[#This Row],[Gender]]</f>
        <v>Female</v>
      </c>
      <c r="AJ511" t="str">
        <f>tbl_OriginalData[[#This Row],[Income_Level]]</f>
        <v>Middle</v>
      </c>
      <c r="AK511" t="str">
        <f>tbl_OriginalData[[#This Row],[Marital_Status]]</f>
        <v>Married</v>
      </c>
      <c r="AL511" t="str">
        <f>tbl_OriginalData[[#This Row],[Education_Level]]</f>
        <v>Master's</v>
      </c>
      <c r="AM511" t="str">
        <f>tbl_OriginalData[[#This Row],[Occupation]]</f>
        <v>High</v>
      </c>
      <c r="AN511" t="s">
        <v>1231</v>
      </c>
      <c r="AO511" t="s">
        <v>194</v>
      </c>
      <c r="AP511" t="str">
        <f>tbl_OriginalData[[#This Row],[Purchase_Category]]</f>
        <v>Groceries</v>
      </c>
      <c r="AQ511" s="4">
        <f>tbl_OriginalData[[#This Row],[Purchase_Amount]]</f>
        <v>432.84</v>
      </c>
      <c r="AR511">
        <f>tbl_OriginalData[[#This Row],[Frequency_of_Purchase]]</f>
        <v>7</v>
      </c>
      <c r="AS511" t="str">
        <f>tbl_OriginalData[[#This Row],[Purchase_Channel]]</f>
        <v>Mixed</v>
      </c>
      <c r="AT511">
        <f>tbl_OriginalData[[#This Row],[Brand_Loyalty]]</f>
        <v>4</v>
      </c>
      <c r="AU511">
        <f>tbl_OriginalData[[#This Row],[Product_Rating]]</f>
        <v>5</v>
      </c>
      <c r="AV511">
        <f>tbl_OriginalData[[#This Row],[Time_Spent_on_Product_Research(hours)]]*60</f>
        <v>120</v>
      </c>
      <c r="AW511" t="str">
        <f>tbl_OriginalData[[#This Row],[Social_Media_Influence]]</f>
        <v>High</v>
      </c>
      <c r="AX511" t="str">
        <f>tbl_OriginalData[[#This Row],[Discount_Sensitivity]]</f>
        <v>Very Sensitive</v>
      </c>
      <c r="AY511" s="3">
        <f>tbl_OriginalData[[#This Row],[Return_Rate]]/tbl_OriginalData[[#This Row],[Frequency_of_Purchase]]</f>
        <v>0</v>
      </c>
      <c r="AZ511">
        <f>tbl_OriginalData[[#This Row],[Customer_Satisfaction]]</f>
        <v>1</v>
      </c>
      <c r="BA511" t="str">
        <f>tbl_OriginalData[[#This Row],[Engagement_with_Ads]]</f>
        <v>High</v>
      </c>
      <c r="BB511" t="str">
        <f>tbl_OriginalData[[#This Row],[Device_Used_for_Shopping]]</f>
        <v>Tablet</v>
      </c>
      <c r="BC511" t="str">
        <f>tbl_OriginalData[[#This Row],[Payment_Method]]</f>
        <v>Debit Card</v>
      </c>
      <c r="BD511" s="1">
        <f>tbl_OriginalData[[#This Row],[Time_of_Purchase]]</f>
        <v>45327</v>
      </c>
      <c r="BE511" t="str">
        <f>IF(tbl_OriginalData[[#This Row],[Discount_Used]]=TRUE,"Yes","No")</f>
        <v>No</v>
      </c>
      <c r="BF511" t="str">
        <f>IF(tbl_OriginalData[[#This Row],[Customer_Loyalty_Program_Member]]=TRUE,"Yes","No")</f>
        <v>No</v>
      </c>
      <c r="BG511" t="str">
        <f>tbl_OriginalData[[#This Row],[Purchase_Intent]]</f>
        <v>Wants-based</v>
      </c>
      <c r="BH511" t="str">
        <f>tbl_OriginalData[[#This Row],[Shipping_Preference]]</f>
        <v>No Preference</v>
      </c>
      <c r="BI511">
        <f>tbl_OriginalData[[#This Row],[Time_to_Decision]]</f>
        <v>4</v>
      </c>
      <c r="BJ511" t="s">
        <v>158</v>
      </c>
      <c r="BK511" t="s">
        <v>48</v>
      </c>
      <c r="BL511" t="s">
        <v>2524</v>
      </c>
    </row>
    <row r="512" spans="1:64">
      <c r="A512" t="s">
        <v>1232</v>
      </c>
      <c r="B512">
        <v>30</v>
      </c>
      <c r="C512" t="s">
        <v>50</v>
      </c>
      <c r="D512" t="s">
        <v>51</v>
      </c>
      <c r="E512" t="s">
        <v>35</v>
      </c>
      <c r="F512" t="s">
        <v>36</v>
      </c>
      <c r="G512" t="s">
        <v>34</v>
      </c>
      <c r="H512" t="s">
        <v>1233</v>
      </c>
      <c r="I512" t="s">
        <v>306</v>
      </c>
      <c r="J512">
        <v>404.12</v>
      </c>
      <c r="K512">
        <v>6</v>
      </c>
      <c r="L512" t="s">
        <v>55</v>
      </c>
      <c r="M512">
        <v>1</v>
      </c>
      <c r="N512">
        <v>3</v>
      </c>
      <c r="O512">
        <v>1</v>
      </c>
      <c r="P512" t="s">
        <v>51</v>
      </c>
      <c r="Q512" t="s">
        <v>101</v>
      </c>
      <c r="R512">
        <v>0</v>
      </c>
      <c r="S512">
        <v>4</v>
      </c>
      <c r="T512" t="s">
        <v>69</v>
      </c>
      <c r="U512" t="s">
        <v>70</v>
      </c>
      <c r="V512" t="s">
        <v>71</v>
      </c>
      <c r="W512" s="1">
        <v>45351</v>
      </c>
      <c r="X512" t="b">
        <v>0</v>
      </c>
      <c r="Y512" t="b">
        <v>0</v>
      </c>
      <c r="Z512" t="s">
        <v>72</v>
      </c>
      <c r="AA512" t="s">
        <v>77</v>
      </c>
      <c r="AB512">
        <v>11</v>
      </c>
      <c r="AF512" t="str">
        <f>tbl_OriginalData[[#This Row],[Customer_ID]]</f>
        <v>37-037-1765</v>
      </c>
      <c r="AG512">
        <f>tbl_OriginalData[[#This Row],[Age]]</f>
        <v>30</v>
      </c>
      <c r="AH512" t="str" cm="1">
        <f t="array" ref="AH51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12" t="str">
        <f>tbl_OriginalData[[#This Row],[Gender]]</f>
        <v>Male</v>
      </c>
      <c r="AJ512" t="str">
        <f>tbl_OriginalData[[#This Row],[Income_Level]]</f>
        <v>High</v>
      </c>
      <c r="AK512" t="str">
        <f>tbl_OriginalData[[#This Row],[Marital_Status]]</f>
        <v>Married</v>
      </c>
      <c r="AL512" t="str">
        <f>tbl_OriginalData[[#This Row],[Education_Level]]</f>
        <v>Bachelor's</v>
      </c>
      <c r="AM512" t="str">
        <f>tbl_OriginalData[[#This Row],[Occupation]]</f>
        <v>Middle</v>
      </c>
      <c r="AN512" t="s">
        <v>1234</v>
      </c>
      <c r="AO512" t="s">
        <v>215</v>
      </c>
      <c r="AP512" t="str">
        <f>tbl_OriginalData[[#This Row],[Purchase_Category]]</f>
        <v>Jewelry &amp; Accessories</v>
      </c>
      <c r="AQ512" s="4">
        <f>tbl_OriginalData[[#This Row],[Purchase_Amount]]</f>
        <v>404.12</v>
      </c>
      <c r="AR512">
        <f>tbl_OriginalData[[#This Row],[Frequency_of_Purchase]]</f>
        <v>6</v>
      </c>
      <c r="AS512" t="str">
        <f>tbl_OriginalData[[#This Row],[Purchase_Channel]]</f>
        <v>In-Store</v>
      </c>
      <c r="AT512">
        <f>tbl_OriginalData[[#This Row],[Brand_Loyalty]]</f>
        <v>1</v>
      </c>
      <c r="AU512">
        <f>tbl_OriginalData[[#This Row],[Product_Rating]]</f>
        <v>3</v>
      </c>
      <c r="AV512">
        <f>tbl_OriginalData[[#This Row],[Time_Spent_on_Product_Research(hours)]]*60</f>
        <v>60</v>
      </c>
      <c r="AW512" t="str">
        <f>tbl_OriginalData[[#This Row],[Social_Media_Influence]]</f>
        <v>High</v>
      </c>
      <c r="AX512" t="str">
        <f>tbl_OriginalData[[#This Row],[Discount_Sensitivity]]</f>
        <v>Very Sensitive</v>
      </c>
      <c r="AY512" s="3">
        <f>tbl_OriginalData[[#This Row],[Return_Rate]]/tbl_OriginalData[[#This Row],[Frequency_of_Purchase]]</f>
        <v>0</v>
      </c>
      <c r="AZ512">
        <f>tbl_OriginalData[[#This Row],[Customer_Satisfaction]]</f>
        <v>4</v>
      </c>
      <c r="BA512" t="str">
        <f>tbl_OriginalData[[#This Row],[Engagement_with_Ads]]</f>
        <v>Low</v>
      </c>
      <c r="BB512" t="str">
        <f>tbl_OriginalData[[#This Row],[Device_Used_for_Shopping]]</f>
        <v>Smartphone</v>
      </c>
      <c r="BC512" t="str">
        <f>tbl_OriginalData[[#This Row],[Payment_Method]]</f>
        <v>Debit Card</v>
      </c>
      <c r="BD512" s="1">
        <f>tbl_OriginalData[[#This Row],[Time_of_Purchase]]</f>
        <v>45351</v>
      </c>
      <c r="BE512" t="str">
        <f>IF(tbl_OriginalData[[#This Row],[Discount_Used]]=TRUE,"Yes","No")</f>
        <v>No</v>
      </c>
      <c r="BF512" t="str">
        <f>IF(tbl_OriginalData[[#This Row],[Customer_Loyalty_Program_Member]]=TRUE,"Yes","No")</f>
        <v>No</v>
      </c>
      <c r="BG512" t="str">
        <f>tbl_OriginalData[[#This Row],[Purchase_Intent]]</f>
        <v>Impulsive</v>
      </c>
      <c r="BH512" t="str">
        <f>tbl_OriginalData[[#This Row],[Shipping_Preference]]</f>
        <v>Express</v>
      </c>
      <c r="BI512">
        <f>tbl_OriginalData[[#This Row],[Time_to_Decision]]</f>
        <v>11</v>
      </c>
      <c r="BJ512" t="s">
        <v>158</v>
      </c>
      <c r="BK512" t="s">
        <v>48</v>
      </c>
      <c r="BL512" t="s">
        <v>2524</v>
      </c>
    </row>
    <row r="513" spans="1:64">
      <c r="A513" t="s">
        <v>1235</v>
      </c>
      <c r="B513">
        <v>39</v>
      </c>
      <c r="C513" t="s">
        <v>50</v>
      </c>
      <c r="D513" t="s">
        <v>51</v>
      </c>
      <c r="E513" t="s">
        <v>92</v>
      </c>
      <c r="F513" t="s">
        <v>66</v>
      </c>
      <c r="G513" t="s">
        <v>51</v>
      </c>
      <c r="H513" t="s">
        <v>1236</v>
      </c>
      <c r="I513" t="s">
        <v>199</v>
      </c>
      <c r="J513">
        <v>438.26</v>
      </c>
      <c r="K513">
        <v>10</v>
      </c>
      <c r="L513" t="s">
        <v>55</v>
      </c>
      <c r="M513">
        <v>3</v>
      </c>
      <c r="N513">
        <v>4</v>
      </c>
      <c r="O513">
        <v>1</v>
      </c>
      <c r="P513" t="s">
        <v>40</v>
      </c>
      <c r="Q513" t="s">
        <v>41</v>
      </c>
      <c r="R513">
        <v>1</v>
      </c>
      <c r="S513">
        <v>3</v>
      </c>
      <c r="T513" t="s">
        <v>56</v>
      </c>
      <c r="U513" t="s">
        <v>70</v>
      </c>
      <c r="V513" t="s">
        <v>71</v>
      </c>
      <c r="W513" s="1">
        <v>45477</v>
      </c>
      <c r="X513" t="b">
        <v>1</v>
      </c>
      <c r="Y513" t="b">
        <v>0</v>
      </c>
      <c r="Z513" t="s">
        <v>89</v>
      </c>
      <c r="AA513" t="s">
        <v>77</v>
      </c>
      <c r="AB513">
        <v>10</v>
      </c>
      <c r="AF513" t="str">
        <f>tbl_OriginalData[[#This Row],[Customer_ID]]</f>
        <v>48-630-6410</v>
      </c>
      <c r="AG513">
        <f>tbl_OriginalData[[#This Row],[Age]]</f>
        <v>39</v>
      </c>
      <c r="AH513" t="str" cm="1">
        <f t="array" ref="AH51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13" t="str">
        <f>tbl_OriginalData[[#This Row],[Gender]]</f>
        <v>Male</v>
      </c>
      <c r="AJ513" t="str">
        <f>tbl_OriginalData[[#This Row],[Income_Level]]</f>
        <v>High</v>
      </c>
      <c r="AK513" t="str">
        <f>tbl_OriginalData[[#This Row],[Marital_Status]]</f>
        <v>Divorced</v>
      </c>
      <c r="AL513" t="str">
        <f>tbl_OriginalData[[#This Row],[Education_Level]]</f>
        <v>Master's</v>
      </c>
      <c r="AM513" t="str">
        <f>tbl_OriginalData[[#This Row],[Occupation]]</f>
        <v>High</v>
      </c>
      <c r="AN513" t="s">
        <v>1236</v>
      </c>
      <c r="AO513" t="s">
        <v>161</v>
      </c>
      <c r="AP513" t="str">
        <f>tbl_OriginalData[[#This Row],[Purchase_Category]]</f>
        <v>Groceries</v>
      </c>
      <c r="AQ513" s="4">
        <f>tbl_OriginalData[[#This Row],[Purchase_Amount]]</f>
        <v>438.26</v>
      </c>
      <c r="AR513">
        <f>tbl_OriginalData[[#This Row],[Frequency_of_Purchase]]</f>
        <v>10</v>
      </c>
      <c r="AS513" t="str">
        <f>tbl_OriginalData[[#This Row],[Purchase_Channel]]</f>
        <v>In-Store</v>
      </c>
      <c r="AT513">
        <f>tbl_OriginalData[[#This Row],[Brand_Loyalty]]</f>
        <v>3</v>
      </c>
      <c r="AU513">
        <f>tbl_OriginalData[[#This Row],[Product_Rating]]</f>
        <v>4</v>
      </c>
      <c r="AV513">
        <f>tbl_OriginalData[[#This Row],[Time_Spent_on_Product_Research(hours)]]*60</f>
        <v>60</v>
      </c>
      <c r="AW513" t="str">
        <f>tbl_OriginalData[[#This Row],[Social_Media_Influence]]</f>
        <v>None</v>
      </c>
      <c r="AX513" t="str">
        <f>tbl_OriginalData[[#This Row],[Discount_Sensitivity]]</f>
        <v>Somewhat Sensitive</v>
      </c>
      <c r="AY513" s="3">
        <f>tbl_OriginalData[[#This Row],[Return_Rate]]/tbl_OriginalData[[#This Row],[Frequency_of_Purchase]]</f>
        <v>0.1</v>
      </c>
      <c r="AZ513">
        <f>tbl_OriginalData[[#This Row],[Customer_Satisfaction]]</f>
        <v>3</v>
      </c>
      <c r="BA513" t="str">
        <f>tbl_OriginalData[[#This Row],[Engagement_with_Ads]]</f>
        <v>Medium</v>
      </c>
      <c r="BB513" t="str">
        <f>tbl_OriginalData[[#This Row],[Device_Used_for_Shopping]]</f>
        <v>Smartphone</v>
      </c>
      <c r="BC513" t="str">
        <f>tbl_OriginalData[[#This Row],[Payment_Method]]</f>
        <v>Debit Card</v>
      </c>
      <c r="BD513" s="1">
        <f>tbl_OriginalData[[#This Row],[Time_of_Purchase]]</f>
        <v>45477</v>
      </c>
      <c r="BE513" t="str">
        <f>IF(tbl_OriginalData[[#This Row],[Discount_Used]]=TRUE,"Yes","No")</f>
        <v>Yes</v>
      </c>
      <c r="BF513" t="str">
        <f>IF(tbl_OriginalData[[#This Row],[Customer_Loyalty_Program_Member]]=TRUE,"Yes","No")</f>
        <v>No</v>
      </c>
      <c r="BG513" t="str">
        <f>tbl_OriginalData[[#This Row],[Purchase_Intent]]</f>
        <v>Planned</v>
      </c>
      <c r="BH513" t="str">
        <f>tbl_OriginalData[[#This Row],[Shipping_Preference]]</f>
        <v>Express</v>
      </c>
      <c r="BI513">
        <f>tbl_OriginalData[[#This Row],[Time_to_Decision]]</f>
        <v>10</v>
      </c>
      <c r="BJ513" t="s">
        <v>114</v>
      </c>
      <c r="BK513" t="s">
        <v>115</v>
      </c>
      <c r="BL513" t="s">
        <v>2527</v>
      </c>
    </row>
    <row r="514" spans="1:64">
      <c r="A514" t="s">
        <v>1237</v>
      </c>
      <c r="B514">
        <v>19</v>
      </c>
      <c r="C514" t="s">
        <v>33</v>
      </c>
      <c r="D514" t="s">
        <v>51</v>
      </c>
      <c r="E514" t="s">
        <v>65</v>
      </c>
      <c r="F514" t="s">
        <v>36</v>
      </c>
      <c r="G514" t="s">
        <v>51</v>
      </c>
      <c r="H514" t="s">
        <v>1238</v>
      </c>
      <c r="I514" t="s">
        <v>306</v>
      </c>
      <c r="J514">
        <v>233.02</v>
      </c>
      <c r="K514">
        <v>4</v>
      </c>
      <c r="L514" t="s">
        <v>39</v>
      </c>
      <c r="M514">
        <v>3</v>
      </c>
      <c r="N514">
        <v>3</v>
      </c>
      <c r="O514">
        <v>1</v>
      </c>
      <c r="P514" t="s">
        <v>56</v>
      </c>
      <c r="Q514" t="s">
        <v>57</v>
      </c>
      <c r="R514">
        <v>0</v>
      </c>
      <c r="S514">
        <v>3</v>
      </c>
      <c r="T514" t="s">
        <v>56</v>
      </c>
      <c r="U514" t="s">
        <v>70</v>
      </c>
      <c r="V514" t="s">
        <v>102</v>
      </c>
      <c r="W514" s="1">
        <v>45594</v>
      </c>
      <c r="X514" t="b">
        <v>0</v>
      </c>
      <c r="Y514" t="b">
        <v>0</v>
      </c>
      <c r="Z514" t="s">
        <v>72</v>
      </c>
      <c r="AA514" t="s">
        <v>60</v>
      </c>
      <c r="AB514">
        <v>8</v>
      </c>
      <c r="AF514" t="str">
        <f>tbl_OriginalData[[#This Row],[Customer_ID]]</f>
        <v>50-471-0212</v>
      </c>
      <c r="AG514">
        <f>tbl_OriginalData[[#This Row],[Age]]</f>
        <v>19</v>
      </c>
      <c r="AH514" t="str" cm="1">
        <f t="array" ref="AH51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514" t="str">
        <f>tbl_OriginalData[[#This Row],[Gender]]</f>
        <v>Female</v>
      </c>
      <c r="AJ514" t="str">
        <f>tbl_OriginalData[[#This Row],[Income_Level]]</f>
        <v>High</v>
      </c>
      <c r="AK514" t="str">
        <f>tbl_OriginalData[[#This Row],[Marital_Status]]</f>
        <v>Single</v>
      </c>
      <c r="AL514" t="str">
        <f>tbl_OriginalData[[#This Row],[Education_Level]]</f>
        <v>Bachelor's</v>
      </c>
      <c r="AM514" t="str">
        <f>tbl_OriginalData[[#This Row],[Occupation]]</f>
        <v>High</v>
      </c>
      <c r="AN514" t="s">
        <v>1238</v>
      </c>
      <c r="AO514" t="s">
        <v>78</v>
      </c>
      <c r="AP514" t="str">
        <f>tbl_OriginalData[[#This Row],[Purchase_Category]]</f>
        <v>Jewelry &amp; Accessories</v>
      </c>
      <c r="AQ514" s="4">
        <f>tbl_OriginalData[[#This Row],[Purchase_Amount]]</f>
        <v>233.02</v>
      </c>
      <c r="AR514">
        <f>tbl_OriginalData[[#This Row],[Frequency_of_Purchase]]</f>
        <v>4</v>
      </c>
      <c r="AS514" t="str">
        <f>tbl_OriginalData[[#This Row],[Purchase_Channel]]</f>
        <v>Mixed</v>
      </c>
      <c r="AT514">
        <f>tbl_OriginalData[[#This Row],[Brand_Loyalty]]</f>
        <v>3</v>
      </c>
      <c r="AU514">
        <f>tbl_OriginalData[[#This Row],[Product_Rating]]</f>
        <v>3</v>
      </c>
      <c r="AV514">
        <f>tbl_OriginalData[[#This Row],[Time_Spent_on_Product_Research(hours)]]*60</f>
        <v>60</v>
      </c>
      <c r="AW514" t="str">
        <f>tbl_OriginalData[[#This Row],[Social_Media_Influence]]</f>
        <v>Medium</v>
      </c>
      <c r="AX514" t="str">
        <f>tbl_OriginalData[[#This Row],[Discount_Sensitivity]]</f>
        <v>Not Sensitive</v>
      </c>
      <c r="AY514" s="3">
        <f>tbl_OriginalData[[#This Row],[Return_Rate]]/tbl_OriginalData[[#This Row],[Frequency_of_Purchase]]</f>
        <v>0</v>
      </c>
      <c r="AZ514">
        <f>tbl_OriginalData[[#This Row],[Customer_Satisfaction]]</f>
        <v>3</v>
      </c>
      <c r="BA514" t="str">
        <f>tbl_OriginalData[[#This Row],[Engagement_with_Ads]]</f>
        <v>Medium</v>
      </c>
      <c r="BB514" t="str">
        <f>tbl_OriginalData[[#This Row],[Device_Used_for_Shopping]]</f>
        <v>Smartphone</v>
      </c>
      <c r="BC514" t="str">
        <f>tbl_OriginalData[[#This Row],[Payment_Method]]</f>
        <v>Cash</v>
      </c>
      <c r="BD514" s="1">
        <f>tbl_OriginalData[[#This Row],[Time_of_Purchase]]</f>
        <v>45594</v>
      </c>
      <c r="BE514" t="str">
        <f>IF(tbl_OriginalData[[#This Row],[Discount_Used]]=TRUE,"Yes","No")</f>
        <v>No</v>
      </c>
      <c r="BF514" t="str">
        <f>IF(tbl_OriginalData[[#This Row],[Customer_Loyalty_Program_Member]]=TRUE,"Yes","No")</f>
        <v>No</v>
      </c>
      <c r="BG514" t="str">
        <f>tbl_OriginalData[[#This Row],[Purchase_Intent]]</f>
        <v>Impulsive</v>
      </c>
      <c r="BH514" t="str">
        <f>tbl_OriginalData[[#This Row],[Shipping_Preference]]</f>
        <v>Standard</v>
      </c>
      <c r="BI514">
        <f>tbl_OriginalData[[#This Row],[Time_to_Decision]]</f>
        <v>8</v>
      </c>
      <c r="BJ514" t="s">
        <v>79</v>
      </c>
      <c r="BK514" t="s">
        <v>80</v>
      </c>
      <c r="BL514" t="s">
        <v>2525</v>
      </c>
    </row>
    <row r="515" spans="1:64">
      <c r="A515" t="s">
        <v>1239</v>
      </c>
      <c r="B515">
        <v>26</v>
      </c>
      <c r="C515" t="s">
        <v>33</v>
      </c>
      <c r="D515" t="s">
        <v>34</v>
      </c>
      <c r="E515" t="s">
        <v>82</v>
      </c>
      <c r="F515" t="s">
        <v>36</v>
      </c>
      <c r="G515" t="s">
        <v>34</v>
      </c>
      <c r="H515" t="s">
        <v>1240</v>
      </c>
      <c r="I515" t="s">
        <v>143</v>
      </c>
      <c r="J515">
        <v>273.41000000000003</v>
      </c>
      <c r="K515">
        <v>7</v>
      </c>
      <c r="L515" t="s">
        <v>94</v>
      </c>
      <c r="M515">
        <v>3</v>
      </c>
      <c r="N515">
        <v>5</v>
      </c>
      <c r="O515">
        <v>2</v>
      </c>
      <c r="P515" t="s">
        <v>69</v>
      </c>
      <c r="Q515" t="s">
        <v>101</v>
      </c>
      <c r="R515">
        <v>0</v>
      </c>
      <c r="S515">
        <v>9</v>
      </c>
      <c r="T515" t="s">
        <v>56</v>
      </c>
      <c r="U515" t="s">
        <v>42</v>
      </c>
      <c r="V515" t="s">
        <v>76</v>
      </c>
      <c r="W515" s="1">
        <v>45582</v>
      </c>
      <c r="X515" t="b">
        <v>1</v>
      </c>
      <c r="Y515" t="b">
        <v>0</v>
      </c>
      <c r="Z515" t="s">
        <v>89</v>
      </c>
      <c r="AA515" t="s">
        <v>60</v>
      </c>
      <c r="AB515">
        <v>2</v>
      </c>
      <c r="AF515" t="str">
        <f>tbl_OriginalData[[#This Row],[Customer_ID]]</f>
        <v>48-642-5768</v>
      </c>
      <c r="AG515">
        <f>tbl_OriginalData[[#This Row],[Age]]</f>
        <v>26</v>
      </c>
      <c r="AH515" t="str" cm="1">
        <f t="array" ref="AH51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15" t="str">
        <f>tbl_OriginalData[[#This Row],[Gender]]</f>
        <v>Female</v>
      </c>
      <c r="AJ515" t="str">
        <f>tbl_OriginalData[[#This Row],[Income_Level]]</f>
        <v>Middle</v>
      </c>
      <c r="AK515" t="str">
        <f>tbl_OriginalData[[#This Row],[Marital_Status]]</f>
        <v>Widowed</v>
      </c>
      <c r="AL515" t="str">
        <f>tbl_OriginalData[[#This Row],[Education_Level]]</f>
        <v>Bachelor's</v>
      </c>
      <c r="AM515" t="str">
        <f>tbl_OriginalData[[#This Row],[Occupation]]</f>
        <v>Middle</v>
      </c>
      <c r="AN515" t="s">
        <v>1240</v>
      </c>
      <c r="AO515" t="s">
        <v>109</v>
      </c>
      <c r="AP515" t="str">
        <f>tbl_OriginalData[[#This Row],[Purchase_Category]]</f>
        <v>Packages)</v>
      </c>
      <c r="AQ515" s="4">
        <f>tbl_OriginalData[[#This Row],[Purchase_Amount]]</f>
        <v>273.41000000000003</v>
      </c>
      <c r="AR515">
        <f>tbl_OriginalData[[#This Row],[Frequency_of_Purchase]]</f>
        <v>7</v>
      </c>
      <c r="AS515" t="str">
        <f>tbl_OriginalData[[#This Row],[Purchase_Channel]]</f>
        <v>Online</v>
      </c>
      <c r="AT515">
        <f>tbl_OriginalData[[#This Row],[Brand_Loyalty]]</f>
        <v>3</v>
      </c>
      <c r="AU515">
        <f>tbl_OriginalData[[#This Row],[Product_Rating]]</f>
        <v>5</v>
      </c>
      <c r="AV515">
        <f>tbl_OriginalData[[#This Row],[Time_Spent_on_Product_Research(hours)]]*60</f>
        <v>120</v>
      </c>
      <c r="AW515" t="str">
        <f>tbl_OriginalData[[#This Row],[Social_Media_Influence]]</f>
        <v>Low</v>
      </c>
      <c r="AX515" t="str">
        <f>tbl_OriginalData[[#This Row],[Discount_Sensitivity]]</f>
        <v>Very Sensitive</v>
      </c>
      <c r="AY515" s="3">
        <f>tbl_OriginalData[[#This Row],[Return_Rate]]/tbl_OriginalData[[#This Row],[Frequency_of_Purchase]]</f>
        <v>0</v>
      </c>
      <c r="AZ515">
        <f>tbl_OriginalData[[#This Row],[Customer_Satisfaction]]</f>
        <v>9</v>
      </c>
      <c r="BA515" t="str">
        <f>tbl_OriginalData[[#This Row],[Engagement_with_Ads]]</f>
        <v>Medium</v>
      </c>
      <c r="BB515" t="str">
        <f>tbl_OriginalData[[#This Row],[Device_Used_for_Shopping]]</f>
        <v>Tablet</v>
      </c>
      <c r="BC515" t="str">
        <f>tbl_OriginalData[[#This Row],[Payment_Method]]</f>
        <v>Other</v>
      </c>
      <c r="BD515" s="1">
        <f>tbl_OriginalData[[#This Row],[Time_of_Purchase]]</f>
        <v>45582</v>
      </c>
      <c r="BE515" t="str">
        <f>IF(tbl_OriginalData[[#This Row],[Discount_Used]]=TRUE,"Yes","No")</f>
        <v>Yes</v>
      </c>
      <c r="BF515" t="str">
        <f>IF(tbl_OriginalData[[#This Row],[Customer_Loyalty_Program_Member]]=TRUE,"Yes","No")</f>
        <v>No</v>
      </c>
      <c r="BG515" t="str">
        <f>tbl_OriginalData[[#This Row],[Purchase_Intent]]</f>
        <v>Planned</v>
      </c>
      <c r="BH515" t="str">
        <f>tbl_OriginalData[[#This Row],[Shipping_Preference]]</f>
        <v>Standard</v>
      </c>
      <c r="BI515">
        <f>tbl_OriginalData[[#This Row],[Time_to_Decision]]</f>
        <v>2</v>
      </c>
      <c r="BJ515" t="s">
        <v>79</v>
      </c>
      <c r="BK515" t="s">
        <v>80</v>
      </c>
      <c r="BL515" t="s">
        <v>2526</v>
      </c>
    </row>
    <row r="516" spans="1:64">
      <c r="A516" t="s">
        <v>1241</v>
      </c>
      <c r="B516">
        <v>21</v>
      </c>
      <c r="C516" t="s">
        <v>33</v>
      </c>
      <c r="D516" t="s">
        <v>51</v>
      </c>
      <c r="E516" t="s">
        <v>35</v>
      </c>
      <c r="F516" t="s">
        <v>52</v>
      </c>
      <c r="G516" t="s">
        <v>34</v>
      </c>
      <c r="H516" t="s">
        <v>1242</v>
      </c>
      <c r="I516" t="s">
        <v>84</v>
      </c>
      <c r="J516">
        <v>338.96</v>
      </c>
      <c r="K516">
        <v>10</v>
      </c>
      <c r="L516" t="s">
        <v>94</v>
      </c>
      <c r="M516">
        <v>1</v>
      </c>
      <c r="N516">
        <v>4</v>
      </c>
      <c r="O516">
        <v>2</v>
      </c>
      <c r="P516" t="s">
        <v>51</v>
      </c>
      <c r="Q516" t="s">
        <v>41</v>
      </c>
      <c r="R516">
        <v>1</v>
      </c>
      <c r="S516">
        <v>9</v>
      </c>
      <c r="T516" t="s">
        <v>51</v>
      </c>
      <c r="U516" t="s">
        <v>95</v>
      </c>
      <c r="V516" t="s">
        <v>71</v>
      </c>
      <c r="W516" s="1">
        <v>45600</v>
      </c>
      <c r="X516" t="b">
        <v>1</v>
      </c>
      <c r="Y516" t="b">
        <v>1</v>
      </c>
      <c r="Z516" t="s">
        <v>59</v>
      </c>
      <c r="AA516" t="s">
        <v>60</v>
      </c>
      <c r="AB516">
        <v>4</v>
      </c>
      <c r="AF516" t="str">
        <f>tbl_OriginalData[[#This Row],[Customer_ID]]</f>
        <v>15-152-9751</v>
      </c>
      <c r="AG516">
        <f>tbl_OriginalData[[#This Row],[Age]]</f>
        <v>21</v>
      </c>
      <c r="AH516" t="str" cm="1">
        <f t="array" ref="AH51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16" t="str">
        <f>tbl_OriginalData[[#This Row],[Gender]]</f>
        <v>Female</v>
      </c>
      <c r="AJ516" t="str">
        <f>tbl_OriginalData[[#This Row],[Income_Level]]</f>
        <v>High</v>
      </c>
      <c r="AK516" t="str">
        <f>tbl_OriginalData[[#This Row],[Marital_Status]]</f>
        <v>Married</v>
      </c>
      <c r="AL516" t="str">
        <f>tbl_OriginalData[[#This Row],[Education_Level]]</f>
        <v>High School</v>
      </c>
      <c r="AM516" t="str">
        <f>tbl_OriginalData[[#This Row],[Occupation]]</f>
        <v>Middle</v>
      </c>
      <c r="AN516" t="s">
        <v>1242</v>
      </c>
      <c r="AO516" t="s">
        <v>519</v>
      </c>
      <c r="AP516" t="str">
        <f>tbl_OriginalData[[#This Row],[Purchase_Category]]</f>
        <v>Furniture</v>
      </c>
      <c r="AQ516" s="4">
        <f>tbl_OriginalData[[#This Row],[Purchase_Amount]]</f>
        <v>338.96</v>
      </c>
      <c r="AR516">
        <f>tbl_OriginalData[[#This Row],[Frequency_of_Purchase]]</f>
        <v>10</v>
      </c>
      <c r="AS516" t="str">
        <f>tbl_OriginalData[[#This Row],[Purchase_Channel]]</f>
        <v>Online</v>
      </c>
      <c r="AT516">
        <f>tbl_OriginalData[[#This Row],[Brand_Loyalty]]</f>
        <v>1</v>
      </c>
      <c r="AU516">
        <f>tbl_OriginalData[[#This Row],[Product_Rating]]</f>
        <v>4</v>
      </c>
      <c r="AV516">
        <f>tbl_OriginalData[[#This Row],[Time_Spent_on_Product_Research(hours)]]*60</f>
        <v>120</v>
      </c>
      <c r="AW516" t="str">
        <f>tbl_OriginalData[[#This Row],[Social_Media_Influence]]</f>
        <v>High</v>
      </c>
      <c r="AX516" t="str">
        <f>tbl_OriginalData[[#This Row],[Discount_Sensitivity]]</f>
        <v>Somewhat Sensitive</v>
      </c>
      <c r="AY516" s="3">
        <f>tbl_OriginalData[[#This Row],[Return_Rate]]/tbl_OriginalData[[#This Row],[Frequency_of_Purchase]]</f>
        <v>0.1</v>
      </c>
      <c r="AZ516">
        <f>tbl_OriginalData[[#This Row],[Customer_Satisfaction]]</f>
        <v>9</v>
      </c>
      <c r="BA516" t="str">
        <f>tbl_OriginalData[[#This Row],[Engagement_with_Ads]]</f>
        <v>High</v>
      </c>
      <c r="BB516" t="str">
        <f>tbl_OriginalData[[#This Row],[Device_Used_for_Shopping]]</f>
        <v>Desktop</v>
      </c>
      <c r="BC516" t="str">
        <f>tbl_OriginalData[[#This Row],[Payment_Method]]</f>
        <v>Debit Card</v>
      </c>
      <c r="BD516" s="1">
        <f>tbl_OriginalData[[#This Row],[Time_of_Purchase]]</f>
        <v>45600</v>
      </c>
      <c r="BE516" t="str">
        <f>IF(tbl_OriginalData[[#This Row],[Discount_Used]]=TRUE,"Yes","No")</f>
        <v>Yes</v>
      </c>
      <c r="BF516" t="str">
        <f>IF(tbl_OriginalData[[#This Row],[Customer_Loyalty_Program_Member]]=TRUE,"Yes","No")</f>
        <v>Yes</v>
      </c>
      <c r="BG516" t="str">
        <f>tbl_OriginalData[[#This Row],[Purchase_Intent]]</f>
        <v>Wants-based</v>
      </c>
      <c r="BH516" t="str">
        <f>tbl_OriginalData[[#This Row],[Shipping_Preference]]</f>
        <v>Standard</v>
      </c>
      <c r="BI516">
        <f>tbl_OriginalData[[#This Row],[Time_to_Decision]]</f>
        <v>4</v>
      </c>
      <c r="BJ516" t="s">
        <v>177</v>
      </c>
      <c r="BK516" t="s">
        <v>80</v>
      </c>
      <c r="BL516" t="s">
        <v>2524</v>
      </c>
    </row>
    <row r="517" spans="1:64">
      <c r="A517" t="s">
        <v>1243</v>
      </c>
      <c r="B517">
        <v>37</v>
      </c>
      <c r="C517" t="s">
        <v>50</v>
      </c>
      <c r="D517" t="s">
        <v>34</v>
      </c>
      <c r="E517" t="s">
        <v>92</v>
      </c>
      <c r="F517" t="s">
        <v>66</v>
      </c>
      <c r="G517" t="s">
        <v>51</v>
      </c>
      <c r="H517" t="s">
        <v>1244</v>
      </c>
      <c r="I517" t="s">
        <v>123</v>
      </c>
      <c r="J517">
        <v>75.91</v>
      </c>
      <c r="K517">
        <v>12</v>
      </c>
      <c r="L517" t="s">
        <v>39</v>
      </c>
      <c r="M517">
        <v>3</v>
      </c>
      <c r="N517">
        <v>5</v>
      </c>
      <c r="O517">
        <v>2</v>
      </c>
      <c r="P517" t="s">
        <v>69</v>
      </c>
      <c r="Q517" t="s">
        <v>101</v>
      </c>
      <c r="R517">
        <v>0</v>
      </c>
      <c r="S517">
        <v>6</v>
      </c>
      <c r="T517" t="s">
        <v>40</v>
      </c>
      <c r="U517" t="s">
        <v>95</v>
      </c>
      <c r="V517" t="s">
        <v>58</v>
      </c>
      <c r="W517" s="1">
        <v>45617</v>
      </c>
      <c r="X517" t="b">
        <v>1</v>
      </c>
      <c r="Y517" t="b">
        <v>1</v>
      </c>
      <c r="Z517" t="s">
        <v>89</v>
      </c>
      <c r="AA517" t="s">
        <v>45</v>
      </c>
      <c r="AB517">
        <v>1</v>
      </c>
      <c r="AF517" t="str">
        <f>tbl_OriginalData[[#This Row],[Customer_ID]]</f>
        <v>23-451-9920</v>
      </c>
      <c r="AG517">
        <f>tbl_OriginalData[[#This Row],[Age]]</f>
        <v>37</v>
      </c>
      <c r="AH517" t="str" cm="1">
        <f t="array" ref="AH51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17" t="str">
        <f>tbl_OriginalData[[#This Row],[Gender]]</f>
        <v>Male</v>
      </c>
      <c r="AJ517" t="str">
        <f>tbl_OriginalData[[#This Row],[Income_Level]]</f>
        <v>Middle</v>
      </c>
      <c r="AK517" t="str">
        <f>tbl_OriginalData[[#This Row],[Marital_Status]]</f>
        <v>Divorced</v>
      </c>
      <c r="AL517" t="str">
        <f>tbl_OriginalData[[#This Row],[Education_Level]]</f>
        <v>Master's</v>
      </c>
      <c r="AM517" t="str">
        <f>tbl_OriginalData[[#This Row],[Occupation]]</f>
        <v>High</v>
      </c>
      <c r="AN517" t="s">
        <v>1244</v>
      </c>
      <c r="AO517" t="s">
        <v>186</v>
      </c>
      <c r="AP517" t="str">
        <f>tbl_OriginalData[[#This Row],[Purchase_Category]]</f>
        <v>Luxury Goods</v>
      </c>
      <c r="AQ517" s="4">
        <f>tbl_OriginalData[[#This Row],[Purchase_Amount]]</f>
        <v>75.91</v>
      </c>
      <c r="AR517">
        <f>tbl_OriginalData[[#This Row],[Frequency_of_Purchase]]</f>
        <v>12</v>
      </c>
      <c r="AS517" t="str">
        <f>tbl_OriginalData[[#This Row],[Purchase_Channel]]</f>
        <v>Mixed</v>
      </c>
      <c r="AT517">
        <f>tbl_OriginalData[[#This Row],[Brand_Loyalty]]</f>
        <v>3</v>
      </c>
      <c r="AU517">
        <f>tbl_OriginalData[[#This Row],[Product_Rating]]</f>
        <v>5</v>
      </c>
      <c r="AV517">
        <f>tbl_OriginalData[[#This Row],[Time_Spent_on_Product_Research(hours)]]*60</f>
        <v>120</v>
      </c>
      <c r="AW517" t="str">
        <f>tbl_OriginalData[[#This Row],[Social_Media_Influence]]</f>
        <v>Low</v>
      </c>
      <c r="AX517" t="str">
        <f>tbl_OriginalData[[#This Row],[Discount_Sensitivity]]</f>
        <v>Very Sensitive</v>
      </c>
      <c r="AY517" s="3">
        <f>tbl_OriginalData[[#This Row],[Return_Rate]]/tbl_OriginalData[[#This Row],[Frequency_of_Purchase]]</f>
        <v>0</v>
      </c>
      <c r="AZ517">
        <f>tbl_OriginalData[[#This Row],[Customer_Satisfaction]]</f>
        <v>6</v>
      </c>
      <c r="BA517" t="str">
        <f>tbl_OriginalData[[#This Row],[Engagement_with_Ads]]</f>
        <v>None</v>
      </c>
      <c r="BB517" t="str">
        <f>tbl_OriginalData[[#This Row],[Device_Used_for_Shopping]]</f>
        <v>Desktop</v>
      </c>
      <c r="BC517" t="str">
        <f>tbl_OriginalData[[#This Row],[Payment_Method]]</f>
        <v>PayPal</v>
      </c>
      <c r="BD517" s="1">
        <f>tbl_OriginalData[[#This Row],[Time_of_Purchase]]</f>
        <v>45617</v>
      </c>
      <c r="BE517" t="str">
        <f>IF(tbl_OriginalData[[#This Row],[Discount_Used]]=TRUE,"Yes","No")</f>
        <v>Yes</v>
      </c>
      <c r="BF517" t="str">
        <f>IF(tbl_OriginalData[[#This Row],[Customer_Loyalty_Program_Member]]=TRUE,"Yes","No")</f>
        <v>Yes</v>
      </c>
      <c r="BG517" t="str">
        <f>tbl_OriginalData[[#This Row],[Purchase_Intent]]</f>
        <v>Planned</v>
      </c>
      <c r="BH517" t="str">
        <f>tbl_OriginalData[[#This Row],[Shipping_Preference]]</f>
        <v>No Preference</v>
      </c>
      <c r="BI517">
        <f>tbl_OriginalData[[#This Row],[Time_to_Decision]]</f>
        <v>1</v>
      </c>
      <c r="BJ517" t="s">
        <v>177</v>
      </c>
      <c r="BK517" t="s">
        <v>80</v>
      </c>
      <c r="BL517" t="s">
        <v>2523</v>
      </c>
    </row>
    <row r="518" spans="1:64">
      <c r="A518" t="s">
        <v>1245</v>
      </c>
      <c r="B518">
        <v>23</v>
      </c>
      <c r="C518" t="s">
        <v>50</v>
      </c>
      <c r="D518" t="s">
        <v>51</v>
      </c>
      <c r="E518" t="s">
        <v>35</v>
      </c>
      <c r="F518" t="s">
        <v>52</v>
      </c>
      <c r="G518" t="s">
        <v>51</v>
      </c>
      <c r="H518" t="s">
        <v>1246</v>
      </c>
      <c r="I518" t="s">
        <v>112</v>
      </c>
      <c r="J518">
        <v>425.21</v>
      </c>
      <c r="K518">
        <v>12</v>
      </c>
      <c r="L518" t="s">
        <v>94</v>
      </c>
      <c r="M518">
        <v>2</v>
      </c>
      <c r="N518">
        <v>4</v>
      </c>
      <c r="O518">
        <v>2</v>
      </c>
      <c r="P518" t="s">
        <v>69</v>
      </c>
      <c r="Q518" t="s">
        <v>41</v>
      </c>
      <c r="R518">
        <v>0</v>
      </c>
      <c r="S518">
        <v>4</v>
      </c>
      <c r="T518" t="s">
        <v>51</v>
      </c>
      <c r="U518" t="s">
        <v>95</v>
      </c>
      <c r="V518" t="s">
        <v>76</v>
      </c>
      <c r="W518" s="1">
        <v>45376</v>
      </c>
      <c r="X518" t="b">
        <v>1</v>
      </c>
      <c r="Y518" t="b">
        <v>1</v>
      </c>
      <c r="Z518" t="s">
        <v>89</v>
      </c>
      <c r="AA518" t="s">
        <v>77</v>
      </c>
      <c r="AB518">
        <v>12</v>
      </c>
      <c r="AF518" t="str">
        <f>tbl_OriginalData[[#This Row],[Customer_ID]]</f>
        <v>09-775-4058</v>
      </c>
      <c r="AG518">
        <f>tbl_OriginalData[[#This Row],[Age]]</f>
        <v>23</v>
      </c>
      <c r="AH518" t="str" cm="1">
        <f t="array" ref="AH51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18" t="str">
        <f>tbl_OriginalData[[#This Row],[Gender]]</f>
        <v>Male</v>
      </c>
      <c r="AJ518" t="str">
        <f>tbl_OriginalData[[#This Row],[Income_Level]]</f>
        <v>High</v>
      </c>
      <c r="AK518" t="str">
        <f>tbl_OriginalData[[#This Row],[Marital_Status]]</f>
        <v>Married</v>
      </c>
      <c r="AL518" t="str">
        <f>tbl_OriginalData[[#This Row],[Education_Level]]</f>
        <v>High School</v>
      </c>
      <c r="AM518" t="str">
        <f>tbl_OriginalData[[#This Row],[Occupation]]</f>
        <v>High</v>
      </c>
      <c r="AN518" t="s">
        <v>1246</v>
      </c>
      <c r="AO518" t="s">
        <v>186</v>
      </c>
      <c r="AP518" t="str">
        <f>tbl_OriginalData[[#This Row],[Purchase_Category]]</f>
        <v>Mobile Accessories</v>
      </c>
      <c r="AQ518" s="4">
        <f>tbl_OriginalData[[#This Row],[Purchase_Amount]]</f>
        <v>425.21</v>
      </c>
      <c r="AR518">
        <f>tbl_OriginalData[[#This Row],[Frequency_of_Purchase]]</f>
        <v>12</v>
      </c>
      <c r="AS518" t="str">
        <f>tbl_OriginalData[[#This Row],[Purchase_Channel]]</f>
        <v>Online</v>
      </c>
      <c r="AT518">
        <f>tbl_OriginalData[[#This Row],[Brand_Loyalty]]</f>
        <v>2</v>
      </c>
      <c r="AU518">
        <f>tbl_OriginalData[[#This Row],[Product_Rating]]</f>
        <v>4</v>
      </c>
      <c r="AV518">
        <f>tbl_OriginalData[[#This Row],[Time_Spent_on_Product_Research(hours)]]*60</f>
        <v>120</v>
      </c>
      <c r="AW518" t="str">
        <f>tbl_OriginalData[[#This Row],[Social_Media_Influence]]</f>
        <v>Low</v>
      </c>
      <c r="AX518" t="str">
        <f>tbl_OriginalData[[#This Row],[Discount_Sensitivity]]</f>
        <v>Somewhat Sensitive</v>
      </c>
      <c r="AY518" s="3">
        <f>tbl_OriginalData[[#This Row],[Return_Rate]]/tbl_OriginalData[[#This Row],[Frequency_of_Purchase]]</f>
        <v>0</v>
      </c>
      <c r="AZ518">
        <f>tbl_OriginalData[[#This Row],[Customer_Satisfaction]]</f>
        <v>4</v>
      </c>
      <c r="BA518" t="str">
        <f>tbl_OriginalData[[#This Row],[Engagement_with_Ads]]</f>
        <v>High</v>
      </c>
      <c r="BB518" t="str">
        <f>tbl_OriginalData[[#This Row],[Device_Used_for_Shopping]]</f>
        <v>Desktop</v>
      </c>
      <c r="BC518" t="str">
        <f>tbl_OriginalData[[#This Row],[Payment_Method]]</f>
        <v>Other</v>
      </c>
      <c r="BD518" s="1">
        <f>tbl_OriginalData[[#This Row],[Time_of_Purchase]]</f>
        <v>45376</v>
      </c>
      <c r="BE518" t="str">
        <f>IF(tbl_OriginalData[[#This Row],[Discount_Used]]=TRUE,"Yes","No")</f>
        <v>Yes</v>
      </c>
      <c r="BF518" t="str">
        <f>IF(tbl_OriginalData[[#This Row],[Customer_Loyalty_Program_Member]]=TRUE,"Yes","No")</f>
        <v>Yes</v>
      </c>
      <c r="BG518" t="str">
        <f>tbl_OriginalData[[#This Row],[Purchase_Intent]]</f>
        <v>Planned</v>
      </c>
      <c r="BH518" t="str">
        <f>tbl_OriginalData[[#This Row],[Shipping_Preference]]</f>
        <v>Express</v>
      </c>
      <c r="BI518">
        <f>tbl_OriginalData[[#This Row],[Time_to_Decision]]</f>
        <v>12</v>
      </c>
      <c r="BJ518" t="s">
        <v>47</v>
      </c>
      <c r="BK518" t="s">
        <v>48</v>
      </c>
      <c r="BL518" t="s">
        <v>2523</v>
      </c>
    </row>
    <row r="519" spans="1:64">
      <c r="A519" t="s">
        <v>1247</v>
      </c>
      <c r="B519">
        <v>46</v>
      </c>
      <c r="C519" t="s">
        <v>50</v>
      </c>
      <c r="D519" t="s">
        <v>34</v>
      </c>
      <c r="E519" t="s">
        <v>35</v>
      </c>
      <c r="F519" t="s">
        <v>66</v>
      </c>
      <c r="G519" t="s">
        <v>34</v>
      </c>
      <c r="H519" t="s">
        <v>1248</v>
      </c>
      <c r="I519" t="s">
        <v>150</v>
      </c>
      <c r="J519">
        <v>268.8</v>
      </c>
      <c r="K519">
        <v>2</v>
      </c>
      <c r="L519" t="s">
        <v>55</v>
      </c>
      <c r="M519">
        <v>1</v>
      </c>
      <c r="N519">
        <v>3</v>
      </c>
      <c r="O519">
        <v>0</v>
      </c>
      <c r="P519" t="s">
        <v>51</v>
      </c>
      <c r="Q519" t="s">
        <v>101</v>
      </c>
      <c r="R519">
        <v>1</v>
      </c>
      <c r="S519">
        <v>7</v>
      </c>
      <c r="T519" t="s">
        <v>40</v>
      </c>
      <c r="U519" t="s">
        <v>95</v>
      </c>
      <c r="V519" t="s">
        <v>71</v>
      </c>
      <c r="W519" s="1">
        <v>45402</v>
      </c>
      <c r="X519" t="b">
        <v>0</v>
      </c>
      <c r="Y519" t="b">
        <v>0</v>
      </c>
      <c r="Z519" t="s">
        <v>44</v>
      </c>
      <c r="AA519" t="s">
        <v>60</v>
      </c>
      <c r="AB519">
        <v>12</v>
      </c>
      <c r="AF519" t="str">
        <f>tbl_OriginalData[[#This Row],[Customer_ID]]</f>
        <v>43-595-0966</v>
      </c>
      <c r="AG519">
        <f>tbl_OriginalData[[#This Row],[Age]]</f>
        <v>46</v>
      </c>
      <c r="AH519" t="str" cm="1">
        <f t="array" ref="AH51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19" t="str">
        <f>tbl_OriginalData[[#This Row],[Gender]]</f>
        <v>Male</v>
      </c>
      <c r="AJ519" t="str">
        <f>tbl_OriginalData[[#This Row],[Income_Level]]</f>
        <v>Middle</v>
      </c>
      <c r="AK519" t="str">
        <f>tbl_OriginalData[[#This Row],[Marital_Status]]</f>
        <v>Married</v>
      </c>
      <c r="AL519" t="str">
        <f>tbl_OriginalData[[#This Row],[Education_Level]]</f>
        <v>Master's</v>
      </c>
      <c r="AM519" t="str">
        <f>tbl_OriginalData[[#This Row],[Occupation]]</f>
        <v>Middle</v>
      </c>
      <c r="AN519" t="s">
        <v>1248</v>
      </c>
      <c r="AO519" t="s">
        <v>269</v>
      </c>
      <c r="AP519" t="str">
        <f>tbl_OriginalData[[#This Row],[Purchase_Category]]</f>
        <v>Software &amp; Apps</v>
      </c>
      <c r="AQ519" s="4">
        <f>tbl_OriginalData[[#This Row],[Purchase_Amount]]</f>
        <v>268.8</v>
      </c>
      <c r="AR519">
        <f>tbl_OriginalData[[#This Row],[Frequency_of_Purchase]]</f>
        <v>2</v>
      </c>
      <c r="AS519" t="str">
        <f>tbl_OriginalData[[#This Row],[Purchase_Channel]]</f>
        <v>In-Store</v>
      </c>
      <c r="AT519">
        <f>tbl_OriginalData[[#This Row],[Brand_Loyalty]]</f>
        <v>1</v>
      </c>
      <c r="AU519">
        <f>tbl_OriginalData[[#This Row],[Product_Rating]]</f>
        <v>3</v>
      </c>
      <c r="AV519">
        <f>tbl_OriginalData[[#This Row],[Time_Spent_on_Product_Research(hours)]]*60</f>
        <v>0</v>
      </c>
      <c r="AW519" t="str">
        <f>tbl_OriginalData[[#This Row],[Social_Media_Influence]]</f>
        <v>High</v>
      </c>
      <c r="AX519" t="str">
        <f>tbl_OriginalData[[#This Row],[Discount_Sensitivity]]</f>
        <v>Very Sensitive</v>
      </c>
      <c r="AY519" s="3">
        <f>tbl_OriginalData[[#This Row],[Return_Rate]]/tbl_OriginalData[[#This Row],[Frequency_of_Purchase]]</f>
        <v>0.5</v>
      </c>
      <c r="AZ519">
        <f>tbl_OriginalData[[#This Row],[Customer_Satisfaction]]</f>
        <v>7</v>
      </c>
      <c r="BA519" t="str">
        <f>tbl_OriginalData[[#This Row],[Engagement_with_Ads]]</f>
        <v>None</v>
      </c>
      <c r="BB519" t="str">
        <f>tbl_OriginalData[[#This Row],[Device_Used_for_Shopping]]</f>
        <v>Desktop</v>
      </c>
      <c r="BC519" t="str">
        <f>tbl_OriginalData[[#This Row],[Payment_Method]]</f>
        <v>Debit Card</v>
      </c>
      <c r="BD519" s="1">
        <f>tbl_OriginalData[[#This Row],[Time_of_Purchase]]</f>
        <v>45402</v>
      </c>
      <c r="BE519" t="str">
        <f>IF(tbl_OriginalData[[#This Row],[Discount_Used]]=TRUE,"Yes","No")</f>
        <v>No</v>
      </c>
      <c r="BF519" t="str">
        <f>IF(tbl_OriginalData[[#This Row],[Customer_Loyalty_Program_Member]]=TRUE,"Yes","No")</f>
        <v>No</v>
      </c>
      <c r="BG519" t="str">
        <f>tbl_OriginalData[[#This Row],[Purchase_Intent]]</f>
        <v>Need-based</v>
      </c>
      <c r="BH519" t="str">
        <f>tbl_OriginalData[[#This Row],[Shipping_Preference]]</f>
        <v>Standard</v>
      </c>
      <c r="BI519">
        <f>tbl_OriginalData[[#This Row],[Time_to_Decision]]</f>
        <v>12</v>
      </c>
      <c r="BJ519" t="s">
        <v>62</v>
      </c>
      <c r="BK519" t="s">
        <v>63</v>
      </c>
      <c r="BL519" t="s">
        <v>2528</v>
      </c>
    </row>
    <row r="520" spans="1:64">
      <c r="A520" t="s">
        <v>1249</v>
      </c>
      <c r="B520">
        <v>35</v>
      </c>
      <c r="C520" t="s">
        <v>33</v>
      </c>
      <c r="D520" t="s">
        <v>34</v>
      </c>
      <c r="E520" t="s">
        <v>92</v>
      </c>
      <c r="F520" t="s">
        <v>66</v>
      </c>
      <c r="G520" t="s">
        <v>51</v>
      </c>
      <c r="H520" t="s">
        <v>1250</v>
      </c>
      <c r="I520" t="s">
        <v>131</v>
      </c>
      <c r="J520">
        <v>170.71</v>
      </c>
      <c r="K520">
        <v>10</v>
      </c>
      <c r="L520" t="s">
        <v>39</v>
      </c>
      <c r="M520">
        <v>5</v>
      </c>
      <c r="N520">
        <v>3</v>
      </c>
      <c r="O520">
        <v>0</v>
      </c>
      <c r="P520" t="s">
        <v>69</v>
      </c>
      <c r="Q520" t="s">
        <v>41</v>
      </c>
      <c r="R520">
        <v>1</v>
      </c>
      <c r="S520">
        <v>9</v>
      </c>
      <c r="T520" t="s">
        <v>69</v>
      </c>
      <c r="U520" t="s">
        <v>95</v>
      </c>
      <c r="V520" t="s">
        <v>43</v>
      </c>
      <c r="W520" s="1">
        <v>45396</v>
      </c>
      <c r="X520" t="b">
        <v>1</v>
      </c>
      <c r="Y520" t="b">
        <v>1</v>
      </c>
      <c r="Z520" t="s">
        <v>89</v>
      </c>
      <c r="AA520" t="s">
        <v>45</v>
      </c>
      <c r="AB520">
        <v>7</v>
      </c>
      <c r="AF520" t="str">
        <f>tbl_OriginalData[[#This Row],[Customer_ID]]</f>
        <v>56-592-0089</v>
      </c>
      <c r="AG520">
        <f>tbl_OriginalData[[#This Row],[Age]]</f>
        <v>35</v>
      </c>
      <c r="AH520" t="str" cm="1">
        <f t="array" ref="AH52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20" t="str">
        <f>tbl_OriginalData[[#This Row],[Gender]]</f>
        <v>Female</v>
      </c>
      <c r="AJ520" t="str">
        <f>tbl_OriginalData[[#This Row],[Income_Level]]</f>
        <v>Middle</v>
      </c>
      <c r="AK520" t="str">
        <f>tbl_OriginalData[[#This Row],[Marital_Status]]</f>
        <v>Divorced</v>
      </c>
      <c r="AL520" t="str">
        <f>tbl_OriginalData[[#This Row],[Education_Level]]</f>
        <v>Master's</v>
      </c>
      <c r="AM520" t="str">
        <f>tbl_OriginalData[[#This Row],[Occupation]]</f>
        <v>High</v>
      </c>
      <c r="AN520" t="s">
        <v>1250</v>
      </c>
      <c r="AO520" t="s">
        <v>61</v>
      </c>
      <c r="AP520" t="str">
        <f>tbl_OriginalData[[#This Row],[Purchase_Category]]</f>
        <v>Health Care</v>
      </c>
      <c r="AQ520" s="4">
        <f>tbl_OriginalData[[#This Row],[Purchase_Amount]]</f>
        <v>170.71</v>
      </c>
      <c r="AR520">
        <f>tbl_OriginalData[[#This Row],[Frequency_of_Purchase]]</f>
        <v>10</v>
      </c>
      <c r="AS520" t="str">
        <f>tbl_OriginalData[[#This Row],[Purchase_Channel]]</f>
        <v>Mixed</v>
      </c>
      <c r="AT520">
        <f>tbl_OriginalData[[#This Row],[Brand_Loyalty]]</f>
        <v>5</v>
      </c>
      <c r="AU520">
        <f>tbl_OriginalData[[#This Row],[Product_Rating]]</f>
        <v>3</v>
      </c>
      <c r="AV520">
        <f>tbl_OriginalData[[#This Row],[Time_Spent_on_Product_Research(hours)]]*60</f>
        <v>0</v>
      </c>
      <c r="AW520" t="str">
        <f>tbl_OriginalData[[#This Row],[Social_Media_Influence]]</f>
        <v>Low</v>
      </c>
      <c r="AX520" t="str">
        <f>tbl_OriginalData[[#This Row],[Discount_Sensitivity]]</f>
        <v>Somewhat Sensitive</v>
      </c>
      <c r="AY520" s="3">
        <f>tbl_OriginalData[[#This Row],[Return_Rate]]/tbl_OriginalData[[#This Row],[Frequency_of_Purchase]]</f>
        <v>0.1</v>
      </c>
      <c r="AZ520">
        <f>tbl_OriginalData[[#This Row],[Customer_Satisfaction]]</f>
        <v>9</v>
      </c>
      <c r="BA520" t="str">
        <f>tbl_OriginalData[[#This Row],[Engagement_with_Ads]]</f>
        <v>Low</v>
      </c>
      <c r="BB520" t="str">
        <f>tbl_OriginalData[[#This Row],[Device_Used_for_Shopping]]</f>
        <v>Desktop</v>
      </c>
      <c r="BC520" t="str">
        <f>tbl_OriginalData[[#This Row],[Payment_Method]]</f>
        <v>Credit Card</v>
      </c>
      <c r="BD520" s="1">
        <f>tbl_OriginalData[[#This Row],[Time_of_Purchase]]</f>
        <v>45396</v>
      </c>
      <c r="BE520" t="str">
        <f>IF(tbl_OriginalData[[#This Row],[Discount_Used]]=TRUE,"Yes","No")</f>
        <v>Yes</v>
      </c>
      <c r="BF520" t="str">
        <f>IF(tbl_OriginalData[[#This Row],[Customer_Loyalty_Program_Member]]=TRUE,"Yes","No")</f>
        <v>Yes</v>
      </c>
      <c r="BG520" t="str">
        <f>tbl_OriginalData[[#This Row],[Purchase_Intent]]</f>
        <v>Planned</v>
      </c>
      <c r="BH520" t="str">
        <f>tbl_OriginalData[[#This Row],[Shipping_Preference]]</f>
        <v>No Preference</v>
      </c>
      <c r="BI520">
        <f>tbl_OriginalData[[#This Row],[Time_to_Decision]]</f>
        <v>7</v>
      </c>
      <c r="BJ520" t="s">
        <v>62</v>
      </c>
      <c r="BK520" t="s">
        <v>63</v>
      </c>
      <c r="BL520" t="s">
        <v>2524</v>
      </c>
    </row>
    <row r="521" spans="1:64">
      <c r="A521" t="s">
        <v>1251</v>
      </c>
      <c r="B521">
        <v>33</v>
      </c>
      <c r="C521" t="s">
        <v>238</v>
      </c>
      <c r="D521" t="s">
        <v>34</v>
      </c>
      <c r="E521" t="s">
        <v>82</v>
      </c>
      <c r="F521" t="s">
        <v>52</v>
      </c>
      <c r="G521" t="s">
        <v>34</v>
      </c>
      <c r="H521" t="s">
        <v>1252</v>
      </c>
      <c r="I521" t="s">
        <v>127</v>
      </c>
      <c r="J521">
        <v>444.05</v>
      </c>
      <c r="K521">
        <v>10</v>
      </c>
      <c r="L521" t="s">
        <v>94</v>
      </c>
      <c r="M521">
        <v>5</v>
      </c>
      <c r="N521">
        <v>4</v>
      </c>
      <c r="O521">
        <v>0</v>
      </c>
      <c r="P521" t="s">
        <v>69</v>
      </c>
      <c r="Q521" t="s">
        <v>57</v>
      </c>
      <c r="R521">
        <v>1</v>
      </c>
      <c r="S521">
        <v>8</v>
      </c>
      <c r="T521" t="s">
        <v>56</v>
      </c>
      <c r="U521" t="s">
        <v>95</v>
      </c>
      <c r="V521" t="s">
        <v>58</v>
      </c>
      <c r="W521" s="1">
        <v>45447</v>
      </c>
      <c r="X521" t="b">
        <v>1</v>
      </c>
      <c r="Y521" t="b">
        <v>1</v>
      </c>
      <c r="Z521" t="s">
        <v>59</v>
      </c>
      <c r="AA521" t="s">
        <v>60</v>
      </c>
      <c r="AB521">
        <v>8</v>
      </c>
      <c r="AF521" t="str">
        <f>tbl_OriginalData[[#This Row],[Customer_ID]]</f>
        <v>29-374-1297</v>
      </c>
      <c r="AG521">
        <f>tbl_OriginalData[[#This Row],[Age]]</f>
        <v>33</v>
      </c>
      <c r="AH521" t="str" cm="1">
        <f t="array" ref="AH52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21" t="str">
        <f>tbl_OriginalData[[#This Row],[Gender]]</f>
        <v>Non-binary</v>
      </c>
      <c r="AJ521" t="str">
        <f>tbl_OriginalData[[#This Row],[Income_Level]]</f>
        <v>Middle</v>
      </c>
      <c r="AK521" t="str">
        <f>tbl_OriginalData[[#This Row],[Marital_Status]]</f>
        <v>Widowed</v>
      </c>
      <c r="AL521" t="str">
        <f>tbl_OriginalData[[#This Row],[Education_Level]]</f>
        <v>High School</v>
      </c>
      <c r="AM521" t="str">
        <f>tbl_OriginalData[[#This Row],[Occupation]]</f>
        <v>Middle</v>
      </c>
      <c r="AN521" t="s">
        <v>1252</v>
      </c>
      <c r="AO521" t="s">
        <v>46</v>
      </c>
      <c r="AP521" t="str">
        <f>tbl_OriginalData[[#This Row],[Purchase_Category]]</f>
        <v>Animal Feed</v>
      </c>
      <c r="AQ521" s="4">
        <f>tbl_OriginalData[[#This Row],[Purchase_Amount]]</f>
        <v>444.05</v>
      </c>
      <c r="AR521">
        <f>tbl_OriginalData[[#This Row],[Frequency_of_Purchase]]</f>
        <v>10</v>
      </c>
      <c r="AS521" t="str">
        <f>tbl_OriginalData[[#This Row],[Purchase_Channel]]</f>
        <v>Online</v>
      </c>
      <c r="AT521">
        <f>tbl_OriginalData[[#This Row],[Brand_Loyalty]]</f>
        <v>5</v>
      </c>
      <c r="AU521">
        <f>tbl_OriginalData[[#This Row],[Product_Rating]]</f>
        <v>4</v>
      </c>
      <c r="AV521">
        <f>tbl_OriginalData[[#This Row],[Time_Spent_on_Product_Research(hours)]]*60</f>
        <v>0</v>
      </c>
      <c r="AW521" t="str">
        <f>tbl_OriginalData[[#This Row],[Social_Media_Influence]]</f>
        <v>Low</v>
      </c>
      <c r="AX521" t="str">
        <f>tbl_OriginalData[[#This Row],[Discount_Sensitivity]]</f>
        <v>Not Sensitive</v>
      </c>
      <c r="AY521" s="3">
        <f>tbl_OriginalData[[#This Row],[Return_Rate]]/tbl_OriginalData[[#This Row],[Frequency_of_Purchase]]</f>
        <v>0.1</v>
      </c>
      <c r="AZ521">
        <f>tbl_OriginalData[[#This Row],[Customer_Satisfaction]]</f>
        <v>8</v>
      </c>
      <c r="BA521" t="str">
        <f>tbl_OriginalData[[#This Row],[Engagement_with_Ads]]</f>
        <v>Medium</v>
      </c>
      <c r="BB521" t="str">
        <f>tbl_OriginalData[[#This Row],[Device_Used_for_Shopping]]</f>
        <v>Desktop</v>
      </c>
      <c r="BC521" t="str">
        <f>tbl_OriginalData[[#This Row],[Payment_Method]]</f>
        <v>PayPal</v>
      </c>
      <c r="BD521" s="1">
        <f>tbl_OriginalData[[#This Row],[Time_of_Purchase]]</f>
        <v>45447</v>
      </c>
      <c r="BE521" t="str">
        <f>IF(tbl_OriginalData[[#This Row],[Discount_Used]]=TRUE,"Yes","No")</f>
        <v>Yes</v>
      </c>
      <c r="BF521" t="str">
        <f>IF(tbl_OriginalData[[#This Row],[Customer_Loyalty_Program_Member]]=TRUE,"Yes","No")</f>
        <v>Yes</v>
      </c>
      <c r="BG521" t="str">
        <f>tbl_OriginalData[[#This Row],[Purchase_Intent]]</f>
        <v>Wants-based</v>
      </c>
      <c r="BH521" t="str">
        <f>tbl_OriginalData[[#This Row],[Shipping_Preference]]</f>
        <v>Standard</v>
      </c>
      <c r="BI521">
        <f>tbl_OriginalData[[#This Row],[Time_to_Decision]]</f>
        <v>8</v>
      </c>
      <c r="BJ521" t="s">
        <v>104</v>
      </c>
      <c r="BK521" t="s">
        <v>63</v>
      </c>
      <c r="BL521" t="s">
        <v>2523</v>
      </c>
    </row>
    <row r="522" spans="1:64">
      <c r="A522" t="s">
        <v>1253</v>
      </c>
      <c r="B522">
        <v>47</v>
      </c>
      <c r="C522" t="s">
        <v>50</v>
      </c>
      <c r="D522" t="s">
        <v>34</v>
      </c>
      <c r="E522" t="s">
        <v>92</v>
      </c>
      <c r="F522" t="s">
        <v>52</v>
      </c>
      <c r="G522" t="s">
        <v>34</v>
      </c>
      <c r="H522" t="s">
        <v>1254</v>
      </c>
      <c r="I522" t="s">
        <v>38</v>
      </c>
      <c r="J522">
        <v>255.1</v>
      </c>
      <c r="K522">
        <v>5</v>
      </c>
      <c r="L522" t="s">
        <v>39</v>
      </c>
      <c r="M522">
        <v>5</v>
      </c>
      <c r="N522">
        <v>1</v>
      </c>
      <c r="O522">
        <v>2</v>
      </c>
      <c r="P522" t="s">
        <v>51</v>
      </c>
      <c r="Q522" t="s">
        <v>101</v>
      </c>
      <c r="R522">
        <v>1</v>
      </c>
      <c r="S522">
        <v>1</v>
      </c>
      <c r="T522" t="s">
        <v>69</v>
      </c>
      <c r="U522" t="s">
        <v>95</v>
      </c>
      <c r="V522" t="s">
        <v>58</v>
      </c>
      <c r="W522" s="1">
        <v>45319</v>
      </c>
      <c r="X522" t="b">
        <v>1</v>
      </c>
      <c r="Y522" t="b">
        <v>0</v>
      </c>
      <c r="Z522" t="s">
        <v>89</v>
      </c>
      <c r="AA522" t="s">
        <v>45</v>
      </c>
      <c r="AB522">
        <v>14</v>
      </c>
      <c r="AF522" t="str">
        <f>tbl_OriginalData[[#This Row],[Customer_ID]]</f>
        <v>80-728-6133</v>
      </c>
      <c r="AG522">
        <f>tbl_OriginalData[[#This Row],[Age]]</f>
        <v>47</v>
      </c>
      <c r="AH522" t="str" cm="1">
        <f t="array" ref="AH52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22" t="str">
        <f>tbl_OriginalData[[#This Row],[Gender]]</f>
        <v>Male</v>
      </c>
      <c r="AJ522" t="str">
        <f>tbl_OriginalData[[#This Row],[Income_Level]]</f>
        <v>Middle</v>
      </c>
      <c r="AK522" t="str">
        <f>tbl_OriginalData[[#This Row],[Marital_Status]]</f>
        <v>Divorced</v>
      </c>
      <c r="AL522" t="str">
        <f>tbl_OriginalData[[#This Row],[Education_Level]]</f>
        <v>High School</v>
      </c>
      <c r="AM522" t="str">
        <f>tbl_OriginalData[[#This Row],[Occupation]]</f>
        <v>Middle</v>
      </c>
      <c r="AN522" t="s">
        <v>1254</v>
      </c>
      <c r="AO522" t="s">
        <v>775</v>
      </c>
      <c r="AP522" t="str">
        <f>tbl_OriginalData[[#This Row],[Purchase_Category]]</f>
        <v>Gardening &amp; Outdoors</v>
      </c>
      <c r="AQ522" s="4">
        <f>tbl_OriginalData[[#This Row],[Purchase_Amount]]</f>
        <v>255.1</v>
      </c>
      <c r="AR522">
        <f>tbl_OriginalData[[#This Row],[Frequency_of_Purchase]]</f>
        <v>5</v>
      </c>
      <c r="AS522" t="str">
        <f>tbl_OriginalData[[#This Row],[Purchase_Channel]]</f>
        <v>Mixed</v>
      </c>
      <c r="AT522">
        <f>tbl_OriginalData[[#This Row],[Brand_Loyalty]]</f>
        <v>5</v>
      </c>
      <c r="AU522">
        <f>tbl_OriginalData[[#This Row],[Product_Rating]]</f>
        <v>1</v>
      </c>
      <c r="AV522">
        <f>tbl_OriginalData[[#This Row],[Time_Spent_on_Product_Research(hours)]]*60</f>
        <v>120</v>
      </c>
      <c r="AW522" t="str">
        <f>tbl_OriginalData[[#This Row],[Social_Media_Influence]]</f>
        <v>High</v>
      </c>
      <c r="AX522" t="str">
        <f>tbl_OriginalData[[#This Row],[Discount_Sensitivity]]</f>
        <v>Very Sensitive</v>
      </c>
      <c r="AY522" s="3">
        <f>tbl_OriginalData[[#This Row],[Return_Rate]]/tbl_OriginalData[[#This Row],[Frequency_of_Purchase]]</f>
        <v>0.2</v>
      </c>
      <c r="AZ522">
        <f>tbl_OriginalData[[#This Row],[Customer_Satisfaction]]</f>
        <v>1</v>
      </c>
      <c r="BA522" t="str">
        <f>tbl_OriginalData[[#This Row],[Engagement_with_Ads]]</f>
        <v>Low</v>
      </c>
      <c r="BB522" t="str">
        <f>tbl_OriginalData[[#This Row],[Device_Used_for_Shopping]]</f>
        <v>Desktop</v>
      </c>
      <c r="BC522" t="str">
        <f>tbl_OriginalData[[#This Row],[Payment_Method]]</f>
        <v>PayPal</v>
      </c>
      <c r="BD522" s="1">
        <f>tbl_OriginalData[[#This Row],[Time_of_Purchase]]</f>
        <v>45319</v>
      </c>
      <c r="BE522" t="str">
        <f>IF(tbl_OriginalData[[#This Row],[Discount_Used]]=TRUE,"Yes","No")</f>
        <v>Yes</v>
      </c>
      <c r="BF522" t="str">
        <f>IF(tbl_OriginalData[[#This Row],[Customer_Loyalty_Program_Member]]=TRUE,"Yes","No")</f>
        <v>No</v>
      </c>
      <c r="BG522" t="str">
        <f>tbl_OriginalData[[#This Row],[Purchase_Intent]]</f>
        <v>Planned</v>
      </c>
      <c r="BH522" t="str">
        <f>tbl_OriginalData[[#This Row],[Shipping_Preference]]</f>
        <v>No Preference</v>
      </c>
      <c r="BI522">
        <f>tbl_OriginalData[[#This Row],[Time_to_Decision]]</f>
        <v>14</v>
      </c>
      <c r="BJ522" t="s">
        <v>86</v>
      </c>
      <c r="BK522" t="s">
        <v>48</v>
      </c>
      <c r="BL522" t="s">
        <v>2528</v>
      </c>
    </row>
    <row r="523" spans="1:64">
      <c r="A523" t="s">
        <v>1255</v>
      </c>
      <c r="B523">
        <v>32</v>
      </c>
      <c r="C523" t="s">
        <v>50</v>
      </c>
      <c r="D523" t="s">
        <v>51</v>
      </c>
      <c r="E523" t="s">
        <v>82</v>
      </c>
      <c r="F523" t="s">
        <v>36</v>
      </c>
      <c r="G523" t="s">
        <v>51</v>
      </c>
      <c r="H523" t="s">
        <v>1256</v>
      </c>
      <c r="I523" t="s">
        <v>180</v>
      </c>
      <c r="J523">
        <v>236.44</v>
      </c>
      <c r="K523">
        <v>6</v>
      </c>
      <c r="L523" t="s">
        <v>39</v>
      </c>
      <c r="M523">
        <v>4</v>
      </c>
      <c r="N523">
        <v>4</v>
      </c>
      <c r="O523">
        <v>0</v>
      </c>
      <c r="P523" t="s">
        <v>56</v>
      </c>
      <c r="Q523" t="s">
        <v>101</v>
      </c>
      <c r="R523">
        <v>2</v>
      </c>
      <c r="S523">
        <v>2</v>
      </c>
      <c r="T523" t="s">
        <v>40</v>
      </c>
      <c r="U523" t="s">
        <v>70</v>
      </c>
      <c r="V523" t="s">
        <v>58</v>
      </c>
      <c r="W523" s="1">
        <v>45427</v>
      </c>
      <c r="X523" t="b">
        <v>0</v>
      </c>
      <c r="Y523" t="b">
        <v>0</v>
      </c>
      <c r="Z523" t="s">
        <v>72</v>
      </c>
      <c r="AA523" t="s">
        <v>60</v>
      </c>
      <c r="AB523">
        <v>6</v>
      </c>
      <c r="AF523" t="str">
        <f>tbl_OriginalData[[#This Row],[Customer_ID]]</f>
        <v>58-502-7490</v>
      </c>
      <c r="AG523">
        <f>tbl_OriginalData[[#This Row],[Age]]</f>
        <v>32</v>
      </c>
      <c r="AH523" t="str" cm="1">
        <f t="array" ref="AH52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23" t="str">
        <f>tbl_OriginalData[[#This Row],[Gender]]</f>
        <v>Male</v>
      </c>
      <c r="AJ523" t="str">
        <f>tbl_OriginalData[[#This Row],[Income_Level]]</f>
        <v>High</v>
      </c>
      <c r="AK523" t="str">
        <f>tbl_OriginalData[[#This Row],[Marital_Status]]</f>
        <v>Widowed</v>
      </c>
      <c r="AL523" t="str">
        <f>tbl_OriginalData[[#This Row],[Education_Level]]</f>
        <v>Bachelor's</v>
      </c>
      <c r="AM523" t="str">
        <f>tbl_OriginalData[[#This Row],[Occupation]]</f>
        <v>High</v>
      </c>
      <c r="AN523" t="s">
        <v>1256</v>
      </c>
      <c r="AO523" t="s">
        <v>363</v>
      </c>
      <c r="AP523" t="str">
        <f>tbl_OriginalData[[#This Row],[Purchase_Category]]</f>
        <v>Health Supplements</v>
      </c>
      <c r="AQ523" s="4">
        <f>tbl_OriginalData[[#This Row],[Purchase_Amount]]</f>
        <v>236.44</v>
      </c>
      <c r="AR523">
        <f>tbl_OriginalData[[#This Row],[Frequency_of_Purchase]]</f>
        <v>6</v>
      </c>
      <c r="AS523" t="str">
        <f>tbl_OriginalData[[#This Row],[Purchase_Channel]]</f>
        <v>Mixed</v>
      </c>
      <c r="AT523">
        <f>tbl_OriginalData[[#This Row],[Brand_Loyalty]]</f>
        <v>4</v>
      </c>
      <c r="AU523">
        <f>tbl_OriginalData[[#This Row],[Product_Rating]]</f>
        <v>4</v>
      </c>
      <c r="AV523">
        <f>tbl_OriginalData[[#This Row],[Time_Spent_on_Product_Research(hours)]]*60</f>
        <v>0</v>
      </c>
      <c r="AW523" t="str">
        <f>tbl_OriginalData[[#This Row],[Social_Media_Influence]]</f>
        <v>Medium</v>
      </c>
      <c r="AX523" t="str">
        <f>tbl_OriginalData[[#This Row],[Discount_Sensitivity]]</f>
        <v>Very Sensitive</v>
      </c>
      <c r="AY523" s="3">
        <f>tbl_OriginalData[[#This Row],[Return_Rate]]/tbl_OriginalData[[#This Row],[Frequency_of_Purchase]]</f>
        <v>0.33333333333333331</v>
      </c>
      <c r="AZ523">
        <f>tbl_OriginalData[[#This Row],[Customer_Satisfaction]]</f>
        <v>2</v>
      </c>
      <c r="BA523" t="str">
        <f>tbl_OriginalData[[#This Row],[Engagement_with_Ads]]</f>
        <v>None</v>
      </c>
      <c r="BB523" t="str">
        <f>tbl_OriginalData[[#This Row],[Device_Used_for_Shopping]]</f>
        <v>Smartphone</v>
      </c>
      <c r="BC523" t="str">
        <f>tbl_OriginalData[[#This Row],[Payment_Method]]</f>
        <v>PayPal</v>
      </c>
      <c r="BD523" s="1">
        <f>tbl_OriginalData[[#This Row],[Time_of_Purchase]]</f>
        <v>45427</v>
      </c>
      <c r="BE523" t="str">
        <f>IF(tbl_OriginalData[[#This Row],[Discount_Used]]=TRUE,"Yes","No")</f>
        <v>No</v>
      </c>
      <c r="BF523" t="str">
        <f>IF(tbl_OriginalData[[#This Row],[Customer_Loyalty_Program_Member]]=TRUE,"Yes","No")</f>
        <v>No</v>
      </c>
      <c r="BG523" t="str">
        <f>tbl_OriginalData[[#This Row],[Purchase_Intent]]</f>
        <v>Impulsive</v>
      </c>
      <c r="BH523" t="str">
        <f>tbl_OriginalData[[#This Row],[Shipping_Preference]]</f>
        <v>Standard</v>
      </c>
      <c r="BI523">
        <f>tbl_OriginalData[[#This Row],[Time_to_Decision]]</f>
        <v>6</v>
      </c>
      <c r="BJ523" t="s">
        <v>167</v>
      </c>
      <c r="BK523" t="s">
        <v>63</v>
      </c>
      <c r="BL523" t="s">
        <v>2527</v>
      </c>
    </row>
    <row r="524" spans="1:64">
      <c r="A524" t="s">
        <v>1257</v>
      </c>
      <c r="B524">
        <v>20</v>
      </c>
      <c r="C524" t="s">
        <v>50</v>
      </c>
      <c r="D524" t="s">
        <v>34</v>
      </c>
      <c r="E524" t="s">
        <v>82</v>
      </c>
      <c r="F524" t="s">
        <v>36</v>
      </c>
      <c r="G524" t="s">
        <v>51</v>
      </c>
      <c r="H524" t="s">
        <v>1258</v>
      </c>
      <c r="I524" t="s">
        <v>84</v>
      </c>
      <c r="J524">
        <v>201.69</v>
      </c>
      <c r="K524">
        <v>11</v>
      </c>
      <c r="L524" t="s">
        <v>39</v>
      </c>
      <c r="M524">
        <v>4</v>
      </c>
      <c r="N524">
        <v>5</v>
      </c>
      <c r="O524">
        <v>0</v>
      </c>
      <c r="P524" t="s">
        <v>51</v>
      </c>
      <c r="Q524" t="s">
        <v>101</v>
      </c>
      <c r="R524">
        <v>2</v>
      </c>
      <c r="S524">
        <v>8</v>
      </c>
      <c r="T524" t="s">
        <v>69</v>
      </c>
      <c r="U524" t="s">
        <v>42</v>
      </c>
      <c r="V524" t="s">
        <v>76</v>
      </c>
      <c r="W524" s="1">
        <v>45492</v>
      </c>
      <c r="X524" t="b">
        <v>1</v>
      </c>
      <c r="Y524" t="b">
        <v>0</v>
      </c>
      <c r="Z524" t="s">
        <v>89</v>
      </c>
      <c r="AA524" t="s">
        <v>45</v>
      </c>
      <c r="AB524">
        <v>3</v>
      </c>
      <c r="AF524" t="str">
        <f>tbl_OriginalData[[#This Row],[Customer_ID]]</f>
        <v>23-537-0742</v>
      </c>
      <c r="AG524">
        <f>tbl_OriginalData[[#This Row],[Age]]</f>
        <v>20</v>
      </c>
      <c r="AH524" t="str" cm="1">
        <f t="array" ref="AH52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24" t="str">
        <f>tbl_OriginalData[[#This Row],[Gender]]</f>
        <v>Male</v>
      </c>
      <c r="AJ524" t="str">
        <f>tbl_OriginalData[[#This Row],[Income_Level]]</f>
        <v>Middle</v>
      </c>
      <c r="AK524" t="str">
        <f>tbl_OriginalData[[#This Row],[Marital_Status]]</f>
        <v>Widowed</v>
      </c>
      <c r="AL524" t="str">
        <f>tbl_OriginalData[[#This Row],[Education_Level]]</f>
        <v>Bachelor's</v>
      </c>
      <c r="AM524" t="str">
        <f>tbl_OriginalData[[#This Row],[Occupation]]</f>
        <v>High</v>
      </c>
      <c r="AN524" t="s">
        <v>1258</v>
      </c>
      <c r="AO524" t="s">
        <v>61</v>
      </c>
      <c r="AP524" t="str">
        <f>tbl_OriginalData[[#This Row],[Purchase_Category]]</f>
        <v>Furniture</v>
      </c>
      <c r="AQ524" s="4">
        <f>tbl_OriginalData[[#This Row],[Purchase_Amount]]</f>
        <v>201.69</v>
      </c>
      <c r="AR524">
        <f>tbl_OriginalData[[#This Row],[Frequency_of_Purchase]]</f>
        <v>11</v>
      </c>
      <c r="AS524" t="str">
        <f>tbl_OriginalData[[#This Row],[Purchase_Channel]]</f>
        <v>Mixed</v>
      </c>
      <c r="AT524">
        <f>tbl_OriginalData[[#This Row],[Brand_Loyalty]]</f>
        <v>4</v>
      </c>
      <c r="AU524">
        <f>tbl_OriginalData[[#This Row],[Product_Rating]]</f>
        <v>5</v>
      </c>
      <c r="AV524">
        <f>tbl_OriginalData[[#This Row],[Time_Spent_on_Product_Research(hours)]]*60</f>
        <v>0</v>
      </c>
      <c r="AW524" t="str">
        <f>tbl_OriginalData[[#This Row],[Social_Media_Influence]]</f>
        <v>High</v>
      </c>
      <c r="AX524" t="str">
        <f>tbl_OriginalData[[#This Row],[Discount_Sensitivity]]</f>
        <v>Very Sensitive</v>
      </c>
      <c r="AY524" s="3">
        <f>tbl_OriginalData[[#This Row],[Return_Rate]]/tbl_OriginalData[[#This Row],[Frequency_of_Purchase]]</f>
        <v>0.18181818181818182</v>
      </c>
      <c r="AZ524">
        <f>tbl_OriginalData[[#This Row],[Customer_Satisfaction]]</f>
        <v>8</v>
      </c>
      <c r="BA524" t="str">
        <f>tbl_OriginalData[[#This Row],[Engagement_with_Ads]]</f>
        <v>Low</v>
      </c>
      <c r="BB524" t="str">
        <f>tbl_OriginalData[[#This Row],[Device_Used_for_Shopping]]</f>
        <v>Tablet</v>
      </c>
      <c r="BC524" t="str">
        <f>tbl_OriginalData[[#This Row],[Payment_Method]]</f>
        <v>Other</v>
      </c>
      <c r="BD524" s="1">
        <f>tbl_OriginalData[[#This Row],[Time_of_Purchase]]</f>
        <v>45492</v>
      </c>
      <c r="BE524" t="str">
        <f>IF(tbl_OriginalData[[#This Row],[Discount_Used]]=TRUE,"Yes","No")</f>
        <v>Yes</v>
      </c>
      <c r="BF524" t="str">
        <f>IF(tbl_OriginalData[[#This Row],[Customer_Loyalty_Program_Member]]=TRUE,"Yes","No")</f>
        <v>No</v>
      </c>
      <c r="BG524" t="str">
        <f>tbl_OriginalData[[#This Row],[Purchase_Intent]]</f>
        <v>Planned</v>
      </c>
      <c r="BH524" t="str">
        <f>tbl_OriginalData[[#This Row],[Shipping_Preference]]</f>
        <v>No Preference</v>
      </c>
      <c r="BI524">
        <f>tbl_OriginalData[[#This Row],[Time_to_Decision]]</f>
        <v>3</v>
      </c>
      <c r="BJ524" t="s">
        <v>114</v>
      </c>
      <c r="BK524" t="s">
        <v>115</v>
      </c>
      <c r="BL524" t="s">
        <v>2524</v>
      </c>
    </row>
    <row r="525" spans="1:64">
      <c r="A525" t="s">
        <v>1259</v>
      </c>
      <c r="B525">
        <v>37</v>
      </c>
      <c r="C525" t="s">
        <v>33</v>
      </c>
      <c r="D525" t="s">
        <v>51</v>
      </c>
      <c r="E525" t="s">
        <v>65</v>
      </c>
      <c r="F525" t="s">
        <v>36</v>
      </c>
      <c r="G525" t="s">
        <v>34</v>
      </c>
      <c r="H525" t="s">
        <v>1260</v>
      </c>
      <c r="I525" t="s">
        <v>170</v>
      </c>
      <c r="J525">
        <v>390.51</v>
      </c>
      <c r="K525">
        <v>6</v>
      </c>
      <c r="L525" t="s">
        <v>94</v>
      </c>
      <c r="M525">
        <v>3</v>
      </c>
      <c r="N525">
        <v>2</v>
      </c>
      <c r="O525">
        <v>0</v>
      </c>
      <c r="P525" t="s">
        <v>56</v>
      </c>
      <c r="Q525" t="s">
        <v>101</v>
      </c>
      <c r="R525">
        <v>0</v>
      </c>
      <c r="S525">
        <v>2</v>
      </c>
      <c r="T525" t="s">
        <v>51</v>
      </c>
      <c r="U525" t="s">
        <v>95</v>
      </c>
      <c r="V525" t="s">
        <v>102</v>
      </c>
      <c r="W525" s="1">
        <v>45397</v>
      </c>
      <c r="X525" t="b">
        <v>0</v>
      </c>
      <c r="Y525" t="b">
        <v>0</v>
      </c>
      <c r="Z525" t="s">
        <v>59</v>
      </c>
      <c r="AA525" t="s">
        <v>77</v>
      </c>
      <c r="AB525">
        <v>6</v>
      </c>
      <c r="AF525" t="str">
        <f>tbl_OriginalData[[#This Row],[Customer_ID]]</f>
        <v>22-483-3115</v>
      </c>
      <c r="AG525">
        <f>tbl_OriginalData[[#This Row],[Age]]</f>
        <v>37</v>
      </c>
      <c r="AH525" t="str" cm="1">
        <f t="array" ref="AH52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25" t="str">
        <f>tbl_OriginalData[[#This Row],[Gender]]</f>
        <v>Female</v>
      </c>
      <c r="AJ525" t="str">
        <f>tbl_OriginalData[[#This Row],[Income_Level]]</f>
        <v>High</v>
      </c>
      <c r="AK525" t="str">
        <f>tbl_OriginalData[[#This Row],[Marital_Status]]</f>
        <v>Single</v>
      </c>
      <c r="AL525" t="str">
        <f>tbl_OriginalData[[#This Row],[Education_Level]]</f>
        <v>Bachelor's</v>
      </c>
      <c r="AM525" t="str">
        <f>tbl_OriginalData[[#This Row],[Occupation]]</f>
        <v>Middle</v>
      </c>
      <c r="AN525" t="s">
        <v>1260</v>
      </c>
      <c r="AO525" t="s">
        <v>90</v>
      </c>
      <c r="AP525" t="str">
        <f>tbl_OriginalData[[#This Row],[Purchase_Category]]</f>
        <v>Arts &amp; Crafts</v>
      </c>
      <c r="AQ525" s="4">
        <f>tbl_OriginalData[[#This Row],[Purchase_Amount]]</f>
        <v>390.51</v>
      </c>
      <c r="AR525">
        <f>tbl_OriginalData[[#This Row],[Frequency_of_Purchase]]</f>
        <v>6</v>
      </c>
      <c r="AS525" t="str">
        <f>tbl_OriginalData[[#This Row],[Purchase_Channel]]</f>
        <v>Online</v>
      </c>
      <c r="AT525">
        <f>tbl_OriginalData[[#This Row],[Brand_Loyalty]]</f>
        <v>3</v>
      </c>
      <c r="AU525">
        <f>tbl_OriginalData[[#This Row],[Product_Rating]]</f>
        <v>2</v>
      </c>
      <c r="AV525">
        <f>tbl_OriginalData[[#This Row],[Time_Spent_on_Product_Research(hours)]]*60</f>
        <v>0</v>
      </c>
      <c r="AW525" t="str">
        <f>tbl_OriginalData[[#This Row],[Social_Media_Influence]]</f>
        <v>Medium</v>
      </c>
      <c r="AX525" t="str">
        <f>tbl_OriginalData[[#This Row],[Discount_Sensitivity]]</f>
        <v>Very Sensitive</v>
      </c>
      <c r="AY525" s="3">
        <f>tbl_OriginalData[[#This Row],[Return_Rate]]/tbl_OriginalData[[#This Row],[Frequency_of_Purchase]]</f>
        <v>0</v>
      </c>
      <c r="AZ525">
        <f>tbl_OriginalData[[#This Row],[Customer_Satisfaction]]</f>
        <v>2</v>
      </c>
      <c r="BA525" t="str">
        <f>tbl_OriginalData[[#This Row],[Engagement_with_Ads]]</f>
        <v>High</v>
      </c>
      <c r="BB525" t="str">
        <f>tbl_OriginalData[[#This Row],[Device_Used_for_Shopping]]</f>
        <v>Desktop</v>
      </c>
      <c r="BC525" t="str">
        <f>tbl_OriginalData[[#This Row],[Payment_Method]]</f>
        <v>Cash</v>
      </c>
      <c r="BD525" s="1">
        <f>tbl_OriginalData[[#This Row],[Time_of_Purchase]]</f>
        <v>45397</v>
      </c>
      <c r="BE525" t="str">
        <f>IF(tbl_OriginalData[[#This Row],[Discount_Used]]=TRUE,"Yes","No")</f>
        <v>No</v>
      </c>
      <c r="BF525" t="str">
        <f>IF(tbl_OriginalData[[#This Row],[Customer_Loyalty_Program_Member]]=TRUE,"Yes","No")</f>
        <v>No</v>
      </c>
      <c r="BG525" t="str">
        <f>tbl_OriginalData[[#This Row],[Purchase_Intent]]</f>
        <v>Wants-based</v>
      </c>
      <c r="BH525" t="str">
        <f>tbl_OriginalData[[#This Row],[Shipping_Preference]]</f>
        <v>Express</v>
      </c>
      <c r="BI525">
        <f>tbl_OriginalData[[#This Row],[Time_to_Decision]]</f>
        <v>6</v>
      </c>
      <c r="BJ525" t="s">
        <v>62</v>
      </c>
      <c r="BK525" t="s">
        <v>63</v>
      </c>
      <c r="BL525" t="s">
        <v>2524</v>
      </c>
    </row>
    <row r="526" spans="1:64">
      <c r="A526" t="s">
        <v>1261</v>
      </c>
      <c r="B526">
        <v>35</v>
      </c>
      <c r="C526" t="s">
        <v>238</v>
      </c>
      <c r="D526" t="s">
        <v>51</v>
      </c>
      <c r="E526" t="s">
        <v>92</v>
      </c>
      <c r="F526" t="s">
        <v>66</v>
      </c>
      <c r="G526" t="s">
        <v>51</v>
      </c>
      <c r="H526" t="s">
        <v>1262</v>
      </c>
      <c r="I526" t="s">
        <v>229</v>
      </c>
      <c r="J526">
        <v>442.29</v>
      </c>
      <c r="K526">
        <v>9</v>
      </c>
      <c r="L526" t="s">
        <v>39</v>
      </c>
      <c r="M526">
        <v>1</v>
      </c>
      <c r="N526">
        <v>2</v>
      </c>
      <c r="O526">
        <v>0</v>
      </c>
      <c r="P526" t="s">
        <v>56</v>
      </c>
      <c r="Q526" t="s">
        <v>41</v>
      </c>
      <c r="R526">
        <v>1</v>
      </c>
      <c r="S526">
        <v>2</v>
      </c>
      <c r="T526" t="s">
        <v>69</v>
      </c>
      <c r="U526" t="s">
        <v>42</v>
      </c>
      <c r="V526" t="s">
        <v>58</v>
      </c>
      <c r="W526" s="1">
        <v>45546</v>
      </c>
      <c r="X526" t="b">
        <v>0</v>
      </c>
      <c r="Y526" t="b">
        <v>0</v>
      </c>
      <c r="Z526" t="s">
        <v>89</v>
      </c>
      <c r="AA526" t="s">
        <v>77</v>
      </c>
      <c r="AB526">
        <v>13</v>
      </c>
      <c r="AF526" t="str">
        <f>tbl_OriginalData[[#This Row],[Customer_ID]]</f>
        <v>57-372-5969</v>
      </c>
      <c r="AG526">
        <f>tbl_OriginalData[[#This Row],[Age]]</f>
        <v>35</v>
      </c>
      <c r="AH526" t="str" cm="1">
        <f t="array" ref="AH52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26" t="str">
        <f>tbl_OriginalData[[#This Row],[Gender]]</f>
        <v>Non-binary</v>
      </c>
      <c r="AJ526" t="str">
        <f>tbl_OriginalData[[#This Row],[Income_Level]]</f>
        <v>High</v>
      </c>
      <c r="AK526" t="str">
        <f>tbl_OriginalData[[#This Row],[Marital_Status]]</f>
        <v>Divorced</v>
      </c>
      <c r="AL526" t="str">
        <f>tbl_OriginalData[[#This Row],[Education_Level]]</f>
        <v>Master's</v>
      </c>
      <c r="AM526" t="str">
        <f>tbl_OriginalData[[#This Row],[Occupation]]</f>
        <v>High</v>
      </c>
      <c r="AN526" t="s">
        <v>1262</v>
      </c>
      <c r="AO526" t="s">
        <v>109</v>
      </c>
      <c r="AP526" t="str">
        <f>tbl_OriginalData[[#This Row],[Purchase_Category]]</f>
        <v>Clothing</v>
      </c>
      <c r="AQ526" s="4">
        <f>tbl_OriginalData[[#This Row],[Purchase_Amount]]</f>
        <v>442.29</v>
      </c>
      <c r="AR526">
        <f>tbl_OriginalData[[#This Row],[Frequency_of_Purchase]]</f>
        <v>9</v>
      </c>
      <c r="AS526" t="str">
        <f>tbl_OriginalData[[#This Row],[Purchase_Channel]]</f>
        <v>Mixed</v>
      </c>
      <c r="AT526">
        <f>tbl_OriginalData[[#This Row],[Brand_Loyalty]]</f>
        <v>1</v>
      </c>
      <c r="AU526">
        <f>tbl_OriginalData[[#This Row],[Product_Rating]]</f>
        <v>2</v>
      </c>
      <c r="AV526">
        <f>tbl_OriginalData[[#This Row],[Time_Spent_on_Product_Research(hours)]]*60</f>
        <v>0</v>
      </c>
      <c r="AW526" t="str">
        <f>tbl_OriginalData[[#This Row],[Social_Media_Influence]]</f>
        <v>Medium</v>
      </c>
      <c r="AX526" t="str">
        <f>tbl_OriginalData[[#This Row],[Discount_Sensitivity]]</f>
        <v>Somewhat Sensitive</v>
      </c>
      <c r="AY526" s="3">
        <f>tbl_OriginalData[[#This Row],[Return_Rate]]/tbl_OriginalData[[#This Row],[Frequency_of_Purchase]]</f>
        <v>0.1111111111111111</v>
      </c>
      <c r="AZ526">
        <f>tbl_OriginalData[[#This Row],[Customer_Satisfaction]]</f>
        <v>2</v>
      </c>
      <c r="BA526" t="str">
        <f>tbl_OriginalData[[#This Row],[Engagement_with_Ads]]</f>
        <v>Low</v>
      </c>
      <c r="BB526" t="str">
        <f>tbl_OriginalData[[#This Row],[Device_Used_for_Shopping]]</f>
        <v>Tablet</v>
      </c>
      <c r="BC526" t="str">
        <f>tbl_OriginalData[[#This Row],[Payment_Method]]</f>
        <v>PayPal</v>
      </c>
      <c r="BD526" s="1">
        <f>tbl_OriginalData[[#This Row],[Time_of_Purchase]]</f>
        <v>45546</v>
      </c>
      <c r="BE526" t="str">
        <f>IF(tbl_OriginalData[[#This Row],[Discount_Used]]=TRUE,"Yes","No")</f>
        <v>No</v>
      </c>
      <c r="BF526" t="str">
        <f>IF(tbl_OriginalData[[#This Row],[Customer_Loyalty_Program_Member]]=TRUE,"Yes","No")</f>
        <v>No</v>
      </c>
      <c r="BG526" t="str">
        <f>tbl_OriginalData[[#This Row],[Purchase_Intent]]</f>
        <v>Planned</v>
      </c>
      <c r="BH526" t="str">
        <f>tbl_OriginalData[[#This Row],[Shipping_Preference]]</f>
        <v>Express</v>
      </c>
      <c r="BI526">
        <f>tbl_OriginalData[[#This Row],[Time_to_Decision]]</f>
        <v>13</v>
      </c>
      <c r="BJ526" t="s">
        <v>172</v>
      </c>
      <c r="BK526" t="s">
        <v>115</v>
      </c>
      <c r="BL526" t="s">
        <v>2526</v>
      </c>
    </row>
    <row r="527" spans="1:64">
      <c r="A527" t="s">
        <v>1263</v>
      </c>
      <c r="B527">
        <v>18</v>
      </c>
      <c r="C527" t="s">
        <v>33</v>
      </c>
      <c r="D527" t="s">
        <v>34</v>
      </c>
      <c r="E527" t="s">
        <v>65</v>
      </c>
      <c r="F527" t="s">
        <v>52</v>
      </c>
      <c r="G527" t="s">
        <v>51</v>
      </c>
      <c r="H527" t="s">
        <v>1264</v>
      </c>
      <c r="I527" t="s">
        <v>84</v>
      </c>
      <c r="J527">
        <v>89.6</v>
      </c>
      <c r="K527">
        <v>7</v>
      </c>
      <c r="L527" t="s">
        <v>55</v>
      </c>
      <c r="M527">
        <v>5</v>
      </c>
      <c r="N527">
        <v>3</v>
      </c>
      <c r="O527">
        <v>2</v>
      </c>
      <c r="P527" t="s">
        <v>40</v>
      </c>
      <c r="Q527" t="s">
        <v>57</v>
      </c>
      <c r="R527">
        <v>1</v>
      </c>
      <c r="S527">
        <v>5</v>
      </c>
      <c r="T527" t="s">
        <v>69</v>
      </c>
      <c r="U527" t="s">
        <v>95</v>
      </c>
      <c r="V527" t="s">
        <v>102</v>
      </c>
      <c r="W527" s="1">
        <v>45361</v>
      </c>
      <c r="X527" t="b">
        <v>0</v>
      </c>
      <c r="Y527" t="b">
        <v>0</v>
      </c>
      <c r="Z527" t="s">
        <v>89</v>
      </c>
      <c r="AA527" t="s">
        <v>60</v>
      </c>
      <c r="AB527">
        <v>8</v>
      </c>
      <c r="AF527" t="str">
        <f>tbl_OriginalData[[#This Row],[Customer_ID]]</f>
        <v>37-283-9076</v>
      </c>
      <c r="AG527">
        <f>tbl_OriginalData[[#This Row],[Age]]</f>
        <v>18</v>
      </c>
      <c r="AH527" t="str" cm="1">
        <f t="array" ref="AH52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527" t="str">
        <f>tbl_OriginalData[[#This Row],[Gender]]</f>
        <v>Female</v>
      </c>
      <c r="AJ527" t="str">
        <f>tbl_OriginalData[[#This Row],[Income_Level]]</f>
        <v>Middle</v>
      </c>
      <c r="AK527" t="str">
        <f>tbl_OriginalData[[#This Row],[Marital_Status]]</f>
        <v>Single</v>
      </c>
      <c r="AL527" t="str">
        <f>tbl_OriginalData[[#This Row],[Education_Level]]</f>
        <v>High School</v>
      </c>
      <c r="AM527" t="str">
        <f>tbl_OriginalData[[#This Row],[Occupation]]</f>
        <v>High</v>
      </c>
      <c r="AN527" t="s">
        <v>1264</v>
      </c>
      <c r="AO527" t="s">
        <v>103</v>
      </c>
      <c r="AP527" t="str">
        <f>tbl_OriginalData[[#This Row],[Purchase_Category]]</f>
        <v>Furniture</v>
      </c>
      <c r="AQ527" s="4">
        <f>tbl_OriginalData[[#This Row],[Purchase_Amount]]</f>
        <v>89.6</v>
      </c>
      <c r="AR527">
        <f>tbl_OriginalData[[#This Row],[Frequency_of_Purchase]]</f>
        <v>7</v>
      </c>
      <c r="AS527" t="str">
        <f>tbl_OriginalData[[#This Row],[Purchase_Channel]]</f>
        <v>In-Store</v>
      </c>
      <c r="AT527">
        <f>tbl_OriginalData[[#This Row],[Brand_Loyalty]]</f>
        <v>5</v>
      </c>
      <c r="AU527">
        <f>tbl_OriginalData[[#This Row],[Product_Rating]]</f>
        <v>3</v>
      </c>
      <c r="AV527">
        <f>tbl_OriginalData[[#This Row],[Time_Spent_on_Product_Research(hours)]]*60</f>
        <v>120</v>
      </c>
      <c r="AW527" t="str">
        <f>tbl_OriginalData[[#This Row],[Social_Media_Influence]]</f>
        <v>None</v>
      </c>
      <c r="AX527" t="str">
        <f>tbl_OriginalData[[#This Row],[Discount_Sensitivity]]</f>
        <v>Not Sensitive</v>
      </c>
      <c r="AY527" s="3">
        <f>tbl_OriginalData[[#This Row],[Return_Rate]]/tbl_OriginalData[[#This Row],[Frequency_of_Purchase]]</f>
        <v>0.14285714285714285</v>
      </c>
      <c r="AZ527">
        <f>tbl_OriginalData[[#This Row],[Customer_Satisfaction]]</f>
        <v>5</v>
      </c>
      <c r="BA527" t="str">
        <f>tbl_OriginalData[[#This Row],[Engagement_with_Ads]]</f>
        <v>Low</v>
      </c>
      <c r="BB527" t="str">
        <f>tbl_OriginalData[[#This Row],[Device_Used_for_Shopping]]</f>
        <v>Desktop</v>
      </c>
      <c r="BC527" t="str">
        <f>tbl_OriginalData[[#This Row],[Payment_Method]]</f>
        <v>Cash</v>
      </c>
      <c r="BD527" s="1">
        <f>tbl_OriginalData[[#This Row],[Time_of_Purchase]]</f>
        <v>45361</v>
      </c>
      <c r="BE527" t="str">
        <f>IF(tbl_OriginalData[[#This Row],[Discount_Used]]=TRUE,"Yes","No")</f>
        <v>No</v>
      </c>
      <c r="BF527" t="str">
        <f>IF(tbl_OriginalData[[#This Row],[Customer_Loyalty_Program_Member]]=TRUE,"Yes","No")</f>
        <v>No</v>
      </c>
      <c r="BG527" t="str">
        <f>tbl_OriginalData[[#This Row],[Purchase_Intent]]</f>
        <v>Planned</v>
      </c>
      <c r="BH527" t="str">
        <f>tbl_OriginalData[[#This Row],[Shipping_Preference]]</f>
        <v>Standard</v>
      </c>
      <c r="BI527">
        <f>tbl_OriginalData[[#This Row],[Time_to_Decision]]</f>
        <v>8</v>
      </c>
      <c r="BJ527" t="s">
        <v>47</v>
      </c>
      <c r="BK527" t="s">
        <v>48</v>
      </c>
      <c r="BL527" t="s">
        <v>2523</v>
      </c>
    </row>
    <row r="528" spans="1:64">
      <c r="A528" t="s">
        <v>1265</v>
      </c>
      <c r="B528">
        <v>27</v>
      </c>
      <c r="C528" t="s">
        <v>50</v>
      </c>
      <c r="D528" t="s">
        <v>34</v>
      </c>
      <c r="E528" t="s">
        <v>82</v>
      </c>
      <c r="F528" t="s">
        <v>52</v>
      </c>
      <c r="G528" t="s">
        <v>51</v>
      </c>
      <c r="H528" t="s">
        <v>1266</v>
      </c>
      <c r="I528" t="s">
        <v>108</v>
      </c>
      <c r="J528">
        <v>166.74</v>
      </c>
      <c r="K528">
        <v>6</v>
      </c>
      <c r="L528" t="s">
        <v>39</v>
      </c>
      <c r="M528">
        <v>2</v>
      </c>
      <c r="N528">
        <v>5</v>
      </c>
      <c r="O528">
        <v>0</v>
      </c>
      <c r="P528" t="s">
        <v>51</v>
      </c>
      <c r="Q528" t="s">
        <v>57</v>
      </c>
      <c r="R528">
        <v>0</v>
      </c>
      <c r="S528">
        <v>6</v>
      </c>
      <c r="T528" t="s">
        <v>69</v>
      </c>
      <c r="U528" t="s">
        <v>95</v>
      </c>
      <c r="V528" t="s">
        <v>76</v>
      </c>
      <c r="W528" s="1">
        <v>45305</v>
      </c>
      <c r="X528" t="b">
        <v>0</v>
      </c>
      <c r="Y528" t="b">
        <v>0</v>
      </c>
      <c r="Z528" t="s">
        <v>72</v>
      </c>
      <c r="AA528" t="s">
        <v>45</v>
      </c>
      <c r="AB528">
        <v>1</v>
      </c>
      <c r="AF528" t="str">
        <f>tbl_OriginalData[[#This Row],[Customer_ID]]</f>
        <v>39-075-3518</v>
      </c>
      <c r="AG528">
        <f>tbl_OriginalData[[#This Row],[Age]]</f>
        <v>27</v>
      </c>
      <c r="AH528" t="str" cm="1">
        <f t="array" ref="AH52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28" t="str">
        <f>tbl_OriginalData[[#This Row],[Gender]]</f>
        <v>Male</v>
      </c>
      <c r="AJ528" t="str">
        <f>tbl_OriginalData[[#This Row],[Income_Level]]</f>
        <v>Middle</v>
      </c>
      <c r="AK528" t="str">
        <f>tbl_OriginalData[[#This Row],[Marital_Status]]</f>
        <v>Widowed</v>
      </c>
      <c r="AL528" t="str">
        <f>tbl_OriginalData[[#This Row],[Education_Level]]</f>
        <v>High School</v>
      </c>
      <c r="AM528" t="str">
        <f>tbl_OriginalData[[#This Row],[Occupation]]</f>
        <v>High</v>
      </c>
      <c r="AN528" t="s">
        <v>1266</v>
      </c>
      <c r="AO528" t="s">
        <v>161</v>
      </c>
      <c r="AP528" t="str">
        <f>tbl_OriginalData[[#This Row],[Purchase_Category]]</f>
        <v>Sports &amp; Outdoors</v>
      </c>
      <c r="AQ528" s="4">
        <f>tbl_OriginalData[[#This Row],[Purchase_Amount]]</f>
        <v>166.74</v>
      </c>
      <c r="AR528">
        <f>tbl_OriginalData[[#This Row],[Frequency_of_Purchase]]</f>
        <v>6</v>
      </c>
      <c r="AS528" t="str">
        <f>tbl_OriginalData[[#This Row],[Purchase_Channel]]</f>
        <v>Mixed</v>
      </c>
      <c r="AT528">
        <f>tbl_OriginalData[[#This Row],[Brand_Loyalty]]</f>
        <v>2</v>
      </c>
      <c r="AU528">
        <f>tbl_OriginalData[[#This Row],[Product_Rating]]</f>
        <v>5</v>
      </c>
      <c r="AV528">
        <f>tbl_OriginalData[[#This Row],[Time_Spent_on_Product_Research(hours)]]*60</f>
        <v>0</v>
      </c>
      <c r="AW528" t="str">
        <f>tbl_OriginalData[[#This Row],[Social_Media_Influence]]</f>
        <v>High</v>
      </c>
      <c r="AX528" t="str">
        <f>tbl_OriginalData[[#This Row],[Discount_Sensitivity]]</f>
        <v>Not Sensitive</v>
      </c>
      <c r="AY528" s="3">
        <f>tbl_OriginalData[[#This Row],[Return_Rate]]/tbl_OriginalData[[#This Row],[Frequency_of_Purchase]]</f>
        <v>0</v>
      </c>
      <c r="AZ528">
        <f>tbl_OriginalData[[#This Row],[Customer_Satisfaction]]</f>
        <v>6</v>
      </c>
      <c r="BA528" t="str">
        <f>tbl_OriginalData[[#This Row],[Engagement_with_Ads]]</f>
        <v>Low</v>
      </c>
      <c r="BB528" t="str">
        <f>tbl_OriginalData[[#This Row],[Device_Used_for_Shopping]]</f>
        <v>Desktop</v>
      </c>
      <c r="BC528" t="str">
        <f>tbl_OriginalData[[#This Row],[Payment_Method]]</f>
        <v>Other</v>
      </c>
      <c r="BD528" s="1">
        <f>tbl_OriginalData[[#This Row],[Time_of_Purchase]]</f>
        <v>45305</v>
      </c>
      <c r="BE528" t="str">
        <f>IF(tbl_OriginalData[[#This Row],[Discount_Used]]=TRUE,"Yes","No")</f>
        <v>No</v>
      </c>
      <c r="BF528" t="str">
        <f>IF(tbl_OriginalData[[#This Row],[Customer_Loyalty_Program_Member]]=TRUE,"Yes","No")</f>
        <v>No</v>
      </c>
      <c r="BG528" t="str">
        <f>tbl_OriginalData[[#This Row],[Purchase_Intent]]</f>
        <v>Impulsive</v>
      </c>
      <c r="BH528" t="str">
        <f>tbl_OriginalData[[#This Row],[Shipping_Preference]]</f>
        <v>No Preference</v>
      </c>
      <c r="BI528">
        <f>tbl_OriginalData[[#This Row],[Time_to_Decision]]</f>
        <v>1</v>
      </c>
      <c r="BJ528" t="s">
        <v>86</v>
      </c>
      <c r="BK528" t="s">
        <v>48</v>
      </c>
      <c r="BL528" t="s">
        <v>2527</v>
      </c>
    </row>
    <row r="529" spans="1:64">
      <c r="A529" t="s">
        <v>1267</v>
      </c>
      <c r="B529">
        <v>29</v>
      </c>
      <c r="C529" t="s">
        <v>33</v>
      </c>
      <c r="D529" t="s">
        <v>51</v>
      </c>
      <c r="E529" t="s">
        <v>35</v>
      </c>
      <c r="F529" t="s">
        <v>36</v>
      </c>
      <c r="G529" t="s">
        <v>34</v>
      </c>
      <c r="H529" t="s">
        <v>1268</v>
      </c>
      <c r="I529" t="s">
        <v>112</v>
      </c>
      <c r="J529">
        <v>299.27999999999997</v>
      </c>
      <c r="K529">
        <v>12</v>
      </c>
      <c r="L529" t="s">
        <v>39</v>
      </c>
      <c r="M529">
        <v>4</v>
      </c>
      <c r="N529">
        <v>5</v>
      </c>
      <c r="O529">
        <v>1</v>
      </c>
      <c r="P529" t="s">
        <v>51</v>
      </c>
      <c r="Q529" t="s">
        <v>41</v>
      </c>
      <c r="R529">
        <v>0</v>
      </c>
      <c r="S529">
        <v>9</v>
      </c>
      <c r="T529" t="s">
        <v>51</v>
      </c>
      <c r="U529" t="s">
        <v>70</v>
      </c>
      <c r="V529" t="s">
        <v>71</v>
      </c>
      <c r="W529" s="1">
        <v>45441</v>
      </c>
      <c r="X529" t="b">
        <v>0</v>
      </c>
      <c r="Y529" t="b">
        <v>0</v>
      </c>
      <c r="Z529" t="s">
        <v>59</v>
      </c>
      <c r="AA529" t="s">
        <v>60</v>
      </c>
      <c r="AB529">
        <v>3</v>
      </c>
      <c r="AF529" t="str">
        <f>tbl_OriginalData[[#This Row],[Customer_ID]]</f>
        <v>84-315-7189</v>
      </c>
      <c r="AG529">
        <f>tbl_OriginalData[[#This Row],[Age]]</f>
        <v>29</v>
      </c>
      <c r="AH529" t="str" cm="1">
        <f t="array" ref="AH52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29" t="str">
        <f>tbl_OriginalData[[#This Row],[Gender]]</f>
        <v>Female</v>
      </c>
      <c r="AJ529" t="str">
        <f>tbl_OriginalData[[#This Row],[Income_Level]]</f>
        <v>High</v>
      </c>
      <c r="AK529" t="str">
        <f>tbl_OriginalData[[#This Row],[Marital_Status]]</f>
        <v>Married</v>
      </c>
      <c r="AL529" t="str">
        <f>tbl_OriginalData[[#This Row],[Education_Level]]</f>
        <v>Bachelor's</v>
      </c>
      <c r="AM529" t="str">
        <f>tbl_OriginalData[[#This Row],[Occupation]]</f>
        <v>Middle</v>
      </c>
      <c r="AN529" t="s">
        <v>1269</v>
      </c>
      <c r="AO529" t="s">
        <v>724</v>
      </c>
      <c r="AP529" t="str">
        <f>tbl_OriginalData[[#This Row],[Purchase_Category]]</f>
        <v>Mobile Accessories</v>
      </c>
      <c r="AQ529" s="4">
        <f>tbl_OriginalData[[#This Row],[Purchase_Amount]]</f>
        <v>299.27999999999997</v>
      </c>
      <c r="AR529">
        <f>tbl_OriginalData[[#This Row],[Frequency_of_Purchase]]</f>
        <v>12</v>
      </c>
      <c r="AS529" t="str">
        <f>tbl_OriginalData[[#This Row],[Purchase_Channel]]</f>
        <v>Mixed</v>
      </c>
      <c r="AT529">
        <f>tbl_OriginalData[[#This Row],[Brand_Loyalty]]</f>
        <v>4</v>
      </c>
      <c r="AU529">
        <f>tbl_OriginalData[[#This Row],[Product_Rating]]</f>
        <v>5</v>
      </c>
      <c r="AV529">
        <f>tbl_OriginalData[[#This Row],[Time_Spent_on_Product_Research(hours)]]*60</f>
        <v>60</v>
      </c>
      <c r="AW529" t="str">
        <f>tbl_OriginalData[[#This Row],[Social_Media_Influence]]</f>
        <v>High</v>
      </c>
      <c r="AX529" t="str">
        <f>tbl_OriginalData[[#This Row],[Discount_Sensitivity]]</f>
        <v>Somewhat Sensitive</v>
      </c>
      <c r="AY529" s="3">
        <f>tbl_OriginalData[[#This Row],[Return_Rate]]/tbl_OriginalData[[#This Row],[Frequency_of_Purchase]]</f>
        <v>0</v>
      </c>
      <c r="AZ529">
        <f>tbl_OriginalData[[#This Row],[Customer_Satisfaction]]</f>
        <v>9</v>
      </c>
      <c r="BA529" t="str">
        <f>tbl_OriginalData[[#This Row],[Engagement_with_Ads]]</f>
        <v>High</v>
      </c>
      <c r="BB529" t="str">
        <f>tbl_OriginalData[[#This Row],[Device_Used_for_Shopping]]</f>
        <v>Smartphone</v>
      </c>
      <c r="BC529" t="str">
        <f>tbl_OriginalData[[#This Row],[Payment_Method]]</f>
        <v>Debit Card</v>
      </c>
      <c r="BD529" s="1">
        <f>tbl_OriginalData[[#This Row],[Time_of_Purchase]]</f>
        <v>45441</v>
      </c>
      <c r="BE529" t="str">
        <f>IF(tbl_OriginalData[[#This Row],[Discount_Used]]=TRUE,"Yes","No")</f>
        <v>No</v>
      </c>
      <c r="BF529" t="str">
        <f>IF(tbl_OriginalData[[#This Row],[Customer_Loyalty_Program_Member]]=TRUE,"Yes","No")</f>
        <v>No</v>
      </c>
      <c r="BG529" t="str">
        <f>tbl_OriginalData[[#This Row],[Purchase_Intent]]</f>
        <v>Wants-based</v>
      </c>
      <c r="BH529" t="str">
        <f>tbl_OriginalData[[#This Row],[Shipping_Preference]]</f>
        <v>Standard</v>
      </c>
      <c r="BI529">
        <f>tbl_OriginalData[[#This Row],[Time_to_Decision]]</f>
        <v>3</v>
      </c>
      <c r="BJ529" t="s">
        <v>167</v>
      </c>
      <c r="BK529" t="s">
        <v>63</v>
      </c>
      <c r="BL529" t="s">
        <v>2524</v>
      </c>
    </row>
    <row r="530" spans="1:64">
      <c r="A530" t="s">
        <v>1270</v>
      </c>
      <c r="B530">
        <v>24</v>
      </c>
      <c r="C530" t="s">
        <v>50</v>
      </c>
      <c r="D530" t="s">
        <v>51</v>
      </c>
      <c r="E530" t="s">
        <v>82</v>
      </c>
      <c r="F530" t="s">
        <v>66</v>
      </c>
      <c r="G530" t="s">
        <v>51</v>
      </c>
      <c r="H530" t="s">
        <v>1271</v>
      </c>
      <c r="I530" t="s">
        <v>108</v>
      </c>
      <c r="J530">
        <v>404.57</v>
      </c>
      <c r="K530">
        <v>5</v>
      </c>
      <c r="L530" t="s">
        <v>39</v>
      </c>
      <c r="M530">
        <v>4</v>
      </c>
      <c r="N530">
        <v>3</v>
      </c>
      <c r="O530">
        <v>0</v>
      </c>
      <c r="P530" t="s">
        <v>56</v>
      </c>
      <c r="Q530" t="s">
        <v>57</v>
      </c>
      <c r="R530">
        <v>2</v>
      </c>
      <c r="S530">
        <v>7</v>
      </c>
      <c r="T530" t="s">
        <v>40</v>
      </c>
      <c r="U530" t="s">
        <v>70</v>
      </c>
      <c r="V530" t="s">
        <v>71</v>
      </c>
      <c r="W530" s="1">
        <v>45535</v>
      </c>
      <c r="X530" t="b">
        <v>0</v>
      </c>
      <c r="Y530" t="b">
        <v>1</v>
      </c>
      <c r="Z530" t="s">
        <v>44</v>
      </c>
      <c r="AA530" t="s">
        <v>77</v>
      </c>
      <c r="AB530">
        <v>14</v>
      </c>
      <c r="AF530" t="str">
        <f>tbl_OriginalData[[#This Row],[Customer_ID]]</f>
        <v>75-964-5589</v>
      </c>
      <c r="AG530">
        <f>tbl_OriginalData[[#This Row],[Age]]</f>
        <v>24</v>
      </c>
      <c r="AH530" t="str" cm="1">
        <f t="array" ref="AH53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30" t="str">
        <f>tbl_OriginalData[[#This Row],[Gender]]</f>
        <v>Male</v>
      </c>
      <c r="AJ530" t="str">
        <f>tbl_OriginalData[[#This Row],[Income_Level]]</f>
        <v>High</v>
      </c>
      <c r="AK530" t="str">
        <f>tbl_OriginalData[[#This Row],[Marital_Status]]</f>
        <v>Widowed</v>
      </c>
      <c r="AL530" t="str">
        <f>tbl_OriginalData[[#This Row],[Education_Level]]</f>
        <v>Master's</v>
      </c>
      <c r="AM530" t="str">
        <f>tbl_OriginalData[[#This Row],[Occupation]]</f>
        <v>High</v>
      </c>
      <c r="AN530" t="s">
        <v>1271</v>
      </c>
      <c r="AO530" t="s">
        <v>466</v>
      </c>
      <c r="AP530" t="str">
        <f>tbl_OriginalData[[#This Row],[Purchase_Category]]</f>
        <v>Sports &amp; Outdoors</v>
      </c>
      <c r="AQ530" s="4">
        <f>tbl_OriginalData[[#This Row],[Purchase_Amount]]</f>
        <v>404.57</v>
      </c>
      <c r="AR530">
        <f>tbl_OriginalData[[#This Row],[Frequency_of_Purchase]]</f>
        <v>5</v>
      </c>
      <c r="AS530" t="str">
        <f>tbl_OriginalData[[#This Row],[Purchase_Channel]]</f>
        <v>Mixed</v>
      </c>
      <c r="AT530">
        <f>tbl_OriginalData[[#This Row],[Brand_Loyalty]]</f>
        <v>4</v>
      </c>
      <c r="AU530">
        <f>tbl_OriginalData[[#This Row],[Product_Rating]]</f>
        <v>3</v>
      </c>
      <c r="AV530">
        <f>tbl_OriginalData[[#This Row],[Time_Spent_on_Product_Research(hours)]]*60</f>
        <v>0</v>
      </c>
      <c r="AW530" t="str">
        <f>tbl_OriginalData[[#This Row],[Social_Media_Influence]]</f>
        <v>Medium</v>
      </c>
      <c r="AX530" t="str">
        <f>tbl_OriginalData[[#This Row],[Discount_Sensitivity]]</f>
        <v>Not Sensitive</v>
      </c>
      <c r="AY530" s="3">
        <f>tbl_OriginalData[[#This Row],[Return_Rate]]/tbl_OriginalData[[#This Row],[Frequency_of_Purchase]]</f>
        <v>0.4</v>
      </c>
      <c r="AZ530">
        <f>tbl_OriginalData[[#This Row],[Customer_Satisfaction]]</f>
        <v>7</v>
      </c>
      <c r="BA530" t="str">
        <f>tbl_OriginalData[[#This Row],[Engagement_with_Ads]]</f>
        <v>None</v>
      </c>
      <c r="BB530" t="str">
        <f>tbl_OriginalData[[#This Row],[Device_Used_for_Shopping]]</f>
        <v>Smartphone</v>
      </c>
      <c r="BC530" t="str">
        <f>tbl_OriginalData[[#This Row],[Payment_Method]]</f>
        <v>Debit Card</v>
      </c>
      <c r="BD530" s="1">
        <f>tbl_OriginalData[[#This Row],[Time_of_Purchase]]</f>
        <v>45535</v>
      </c>
      <c r="BE530" t="str">
        <f>IF(tbl_OriginalData[[#This Row],[Discount_Used]]=TRUE,"Yes","No")</f>
        <v>No</v>
      </c>
      <c r="BF530" t="str">
        <f>IF(tbl_OriginalData[[#This Row],[Customer_Loyalty_Program_Member]]=TRUE,"Yes","No")</f>
        <v>Yes</v>
      </c>
      <c r="BG530" t="str">
        <f>tbl_OriginalData[[#This Row],[Purchase_Intent]]</f>
        <v>Need-based</v>
      </c>
      <c r="BH530" t="str">
        <f>tbl_OriginalData[[#This Row],[Shipping_Preference]]</f>
        <v>Express</v>
      </c>
      <c r="BI530">
        <f>tbl_OriginalData[[#This Row],[Time_to_Decision]]</f>
        <v>14</v>
      </c>
      <c r="BJ530" t="s">
        <v>124</v>
      </c>
      <c r="BK530" t="s">
        <v>115</v>
      </c>
      <c r="BL530" t="s">
        <v>2523</v>
      </c>
    </row>
    <row r="531" spans="1:64">
      <c r="A531" t="s">
        <v>1272</v>
      </c>
      <c r="B531">
        <v>27</v>
      </c>
      <c r="C531" t="s">
        <v>50</v>
      </c>
      <c r="D531" t="s">
        <v>51</v>
      </c>
      <c r="E531" t="s">
        <v>65</v>
      </c>
      <c r="F531" t="s">
        <v>36</v>
      </c>
      <c r="G531" t="s">
        <v>51</v>
      </c>
      <c r="H531" t="s">
        <v>1273</v>
      </c>
      <c r="I531" t="s">
        <v>150</v>
      </c>
      <c r="J531">
        <v>344.81</v>
      </c>
      <c r="K531">
        <v>10</v>
      </c>
      <c r="L531" t="s">
        <v>55</v>
      </c>
      <c r="M531">
        <v>3</v>
      </c>
      <c r="N531">
        <v>1</v>
      </c>
      <c r="O531">
        <v>2</v>
      </c>
      <c r="P531" t="s">
        <v>69</v>
      </c>
      <c r="Q531" t="s">
        <v>41</v>
      </c>
      <c r="R531">
        <v>1</v>
      </c>
      <c r="S531">
        <v>9</v>
      </c>
      <c r="T531" t="s">
        <v>51</v>
      </c>
      <c r="U531" t="s">
        <v>95</v>
      </c>
      <c r="V531" t="s">
        <v>76</v>
      </c>
      <c r="W531" s="1">
        <v>45649</v>
      </c>
      <c r="X531" t="b">
        <v>1</v>
      </c>
      <c r="Y531" t="b">
        <v>1</v>
      </c>
      <c r="Z531" t="s">
        <v>59</v>
      </c>
      <c r="AA531" t="s">
        <v>77</v>
      </c>
      <c r="AB531">
        <v>14</v>
      </c>
      <c r="AF531" t="str">
        <f>tbl_OriginalData[[#This Row],[Customer_ID]]</f>
        <v>06-594-3417</v>
      </c>
      <c r="AG531">
        <f>tbl_OriginalData[[#This Row],[Age]]</f>
        <v>27</v>
      </c>
      <c r="AH531" t="str" cm="1">
        <f t="array" ref="AH53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31" t="str">
        <f>tbl_OriginalData[[#This Row],[Gender]]</f>
        <v>Male</v>
      </c>
      <c r="AJ531" t="str">
        <f>tbl_OriginalData[[#This Row],[Income_Level]]</f>
        <v>High</v>
      </c>
      <c r="AK531" t="str">
        <f>tbl_OriginalData[[#This Row],[Marital_Status]]</f>
        <v>Single</v>
      </c>
      <c r="AL531" t="str">
        <f>tbl_OriginalData[[#This Row],[Education_Level]]</f>
        <v>Bachelor's</v>
      </c>
      <c r="AM531" t="str">
        <f>tbl_OriginalData[[#This Row],[Occupation]]</f>
        <v>High</v>
      </c>
      <c r="AN531" t="s">
        <v>1273</v>
      </c>
      <c r="AO531" t="s">
        <v>1274</v>
      </c>
      <c r="AP531" t="str">
        <f>tbl_OriginalData[[#This Row],[Purchase_Category]]</f>
        <v>Software &amp; Apps</v>
      </c>
      <c r="AQ531" s="4">
        <f>tbl_OriginalData[[#This Row],[Purchase_Amount]]</f>
        <v>344.81</v>
      </c>
      <c r="AR531">
        <f>tbl_OriginalData[[#This Row],[Frequency_of_Purchase]]</f>
        <v>10</v>
      </c>
      <c r="AS531" t="str">
        <f>tbl_OriginalData[[#This Row],[Purchase_Channel]]</f>
        <v>In-Store</v>
      </c>
      <c r="AT531">
        <f>tbl_OriginalData[[#This Row],[Brand_Loyalty]]</f>
        <v>3</v>
      </c>
      <c r="AU531">
        <f>tbl_OriginalData[[#This Row],[Product_Rating]]</f>
        <v>1</v>
      </c>
      <c r="AV531">
        <f>tbl_OriginalData[[#This Row],[Time_Spent_on_Product_Research(hours)]]*60</f>
        <v>120</v>
      </c>
      <c r="AW531" t="str">
        <f>tbl_OriginalData[[#This Row],[Social_Media_Influence]]</f>
        <v>Low</v>
      </c>
      <c r="AX531" t="str">
        <f>tbl_OriginalData[[#This Row],[Discount_Sensitivity]]</f>
        <v>Somewhat Sensitive</v>
      </c>
      <c r="AY531" s="3">
        <f>tbl_OriginalData[[#This Row],[Return_Rate]]/tbl_OriginalData[[#This Row],[Frequency_of_Purchase]]</f>
        <v>0.1</v>
      </c>
      <c r="AZ531">
        <f>tbl_OriginalData[[#This Row],[Customer_Satisfaction]]</f>
        <v>9</v>
      </c>
      <c r="BA531" t="str">
        <f>tbl_OriginalData[[#This Row],[Engagement_with_Ads]]</f>
        <v>High</v>
      </c>
      <c r="BB531" t="str">
        <f>tbl_OriginalData[[#This Row],[Device_Used_for_Shopping]]</f>
        <v>Desktop</v>
      </c>
      <c r="BC531" t="str">
        <f>tbl_OriginalData[[#This Row],[Payment_Method]]</f>
        <v>Other</v>
      </c>
      <c r="BD531" s="1">
        <f>tbl_OriginalData[[#This Row],[Time_of_Purchase]]</f>
        <v>45649</v>
      </c>
      <c r="BE531" t="str">
        <f>IF(tbl_OriginalData[[#This Row],[Discount_Used]]=TRUE,"Yes","No")</f>
        <v>Yes</v>
      </c>
      <c r="BF531" t="str">
        <f>IF(tbl_OriginalData[[#This Row],[Customer_Loyalty_Program_Member]]=TRUE,"Yes","No")</f>
        <v>Yes</v>
      </c>
      <c r="BG531" t="str">
        <f>tbl_OriginalData[[#This Row],[Purchase_Intent]]</f>
        <v>Wants-based</v>
      </c>
      <c r="BH531" t="str">
        <f>tbl_OriginalData[[#This Row],[Shipping_Preference]]</f>
        <v>Express</v>
      </c>
      <c r="BI531">
        <f>tbl_OriginalData[[#This Row],[Time_to_Decision]]</f>
        <v>14</v>
      </c>
      <c r="BJ531" t="s">
        <v>120</v>
      </c>
      <c r="BK531" t="s">
        <v>80</v>
      </c>
      <c r="BL531" t="s">
        <v>2523</v>
      </c>
    </row>
    <row r="532" spans="1:64">
      <c r="A532" t="s">
        <v>1275</v>
      </c>
      <c r="B532">
        <v>34</v>
      </c>
      <c r="C532" t="s">
        <v>50</v>
      </c>
      <c r="D532" t="s">
        <v>51</v>
      </c>
      <c r="E532" t="s">
        <v>65</v>
      </c>
      <c r="F532" t="s">
        <v>66</v>
      </c>
      <c r="G532" t="s">
        <v>51</v>
      </c>
      <c r="H532" t="s">
        <v>1276</v>
      </c>
      <c r="I532" t="s">
        <v>131</v>
      </c>
      <c r="J532">
        <v>217.84</v>
      </c>
      <c r="K532">
        <v>10</v>
      </c>
      <c r="L532" t="s">
        <v>94</v>
      </c>
      <c r="M532">
        <v>2</v>
      </c>
      <c r="N532">
        <v>2</v>
      </c>
      <c r="O532">
        <v>2</v>
      </c>
      <c r="P532" t="s">
        <v>40</v>
      </c>
      <c r="Q532" t="s">
        <v>101</v>
      </c>
      <c r="R532">
        <v>0</v>
      </c>
      <c r="S532">
        <v>8</v>
      </c>
      <c r="T532" t="s">
        <v>51</v>
      </c>
      <c r="U532" t="s">
        <v>42</v>
      </c>
      <c r="V532" t="s">
        <v>102</v>
      </c>
      <c r="W532" s="1">
        <v>45307</v>
      </c>
      <c r="X532" t="b">
        <v>1</v>
      </c>
      <c r="Y532" t="b">
        <v>1</v>
      </c>
      <c r="Z532" t="s">
        <v>59</v>
      </c>
      <c r="AA532" t="s">
        <v>60</v>
      </c>
      <c r="AB532">
        <v>11</v>
      </c>
      <c r="AF532" t="str">
        <f>tbl_OriginalData[[#This Row],[Customer_ID]]</f>
        <v>08-297-3351</v>
      </c>
      <c r="AG532">
        <f>tbl_OriginalData[[#This Row],[Age]]</f>
        <v>34</v>
      </c>
      <c r="AH532" t="str" cm="1">
        <f t="array" ref="AH53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32" t="str">
        <f>tbl_OriginalData[[#This Row],[Gender]]</f>
        <v>Male</v>
      </c>
      <c r="AJ532" t="str">
        <f>tbl_OriginalData[[#This Row],[Income_Level]]</f>
        <v>High</v>
      </c>
      <c r="AK532" t="str">
        <f>tbl_OriginalData[[#This Row],[Marital_Status]]</f>
        <v>Single</v>
      </c>
      <c r="AL532" t="str">
        <f>tbl_OriginalData[[#This Row],[Education_Level]]</f>
        <v>Master's</v>
      </c>
      <c r="AM532" t="str">
        <f>tbl_OriginalData[[#This Row],[Occupation]]</f>
        <v>High</v>
      </c>
      <c r="AN532" t="s">
        <v>1276</v>
      </c>
      <c r="AO532" t="s">
        <v>897</v>
      </c>
      <c r="AP532" t="str">
        <f>tbl_OriginalData[[#This Row],[Purchase_Category]]</f>
        <v>Health Care</v>
      </c>
      <c r="AQ532" s="4">
        <f>tbl_OriginalData[[#This Row],[Purchase_Amount]]</f>
        <v>217.84</v>
      </c>
      <c r="AR532">
        <f>tbl_OriginalData[[#This Row],[Frequency_of_Purchase]]</f>
        <v>10</v>
      </c>
      <c r="AS532" t="str">
        <f>tbl_OriginalData[[#This Row],[Purchase_Channel]]</f>
        <v>Online</v>
      </c>
      <c r="AT532">
        <f>tbl_OriginalData[[#This Row],[Brand_Loyalty]]</f>
        <v>2</v>
      </c>
      <c r="AU532">
        <f>tbl_OriginalData[[#This Row],[Product_Rating]]</f>
        <v>2</v>
      </c>
      <c r="AV532">
        <f>tbl_OriginalData[[#This Row],[Time_Spent_on_Product_Research(hours)]]*60</f>
        <v>120</v>
      </c>
      <c r="AW532" t="str">
        <f>tbl_OriginalData[[#This Row],[Social_Media_Influence]]</f>
        <v>None</v>
      </c>
      <c r="AX532" t="str">
        <f>tbl_OriginalData[[#This Row],[Discount_Sensitivity]]</f>
        <v>Very Sensitive</v>
      </c>
      <c r="AY532" s="3">
        <f>tbl_OriginalData[[#This Row],[Return_Rate]]/tbl_OriginalData[[#This Row],[Frequency_of_Purchase]]</f>
        <v>0</v>
      </c>
      <c r="AZ532">
        <f>tbl_OriginalData[[#This Row],[Customer_Satisfaction]]</f>
        <v>8</v>
      </c>
      <c r="BA532" t="str">
        <f>tbl_OriginalData[[#This Row],[Engagement_with_Ads]]</f>
        <v>High</v>
      </c>
      <c r="BB532" t="str">
        <f>tbl_OriginalData[[#This Row],[Device_Used_for_Shopping]]</f>
        <v>Tablet</v>
      </c>
      <c r="BC532" t="str">
        <f>tbl_OriginalData[[#This Row],[Payment_Method]]</f>
        <v>Cash</v>
      </c>
      <c r="BD532" s="1">
        <f>tbl_OriginalData[[#This Row],[Time_of_Purchase]]</f>
        <v>45307</v>
      </c>
      <c r="BE532" t="str">
        <f>IF(tbl_OriginalData[[#This Row],[Discount_Used]]=TRUE,"Yes","No")</f>
        <v>Yes</v>
      </c>
      <c r="BF532" t="str">
        <f>IF(tbl_OriginalData[[#This Row],[Customer_Loyalty_Program_Member]]=TRUE,"Yes","No")</f>
        <v>Yes</v>
      </c>
      <c r="BG532" t="str">
        <f>tbl_OriginalData[[#This Row],[Purchase_Intent]]</f>
        <v>Wants-based</v>
      </c>
      <c r="BH532" t="str">
        <f>tbl_OriginalData[[#This Row],[Shipping_Preference]]</f>
        <v>Standard</v>
      </c>
      <c r="BI532">
        <f>tbl_OriginalData[[#This Row],[Time_to_Decision]]</f>
        <v>11</v>
      </c>
      <c r="BJ532" t="s">
        <v>86</v>
      </c>
      <c r="BK532" t="s">
        <v>48</v>
      </c>
      <c r="BL532" t="s">
        <v>2524</v>
      </c>
    </row>
    <row r="533" spans="1:64">
      <c r="A533" t="s">
        <v>1277</v>
      </c>
      <c r="B533">
        <v>21</v>
      </c>
      <c r="C533" t="s">
        <v>50</v>
      </c>
      <c r="D533" t="s">
        <v>34</v>
      </c>
      <c r="E533" t="s">
        <v>92</v>
      </c>
      <c r="F533" t="s">
        <v>36</v>
      </c>
      <c r="G533" t="s">
        <v>34</v>
      </c>
      <c r="H533" t="s">
        <v>1278</v>
      </c>
      <c r="I533" t="s">
        <v>108</v>
      </c>
      <c r="J533">
        <v>445.34</v>
      </c>
      <c r="K533">
        <v>9</v>
      </c>
      <c r="L533" t="s">
        <v>55</v>
      </c>
      <c r="M533">
        <v>5</v>
      </c>
      <c r="N533">
        <v>2</v>
      </c>
      <c r="O533">
        <v>1</v>
      </c>
      <c r="P533" t="s">
        <v>69</v>
      </c>
      <c r="Q533" t="s">
        <v>41</v>
      </c>
      <c r="R533">
        <v>1</v>
      </c>
      <c r="S533">
        <v>3</v>
      </c>
      <c r="T533" t="s">
        <v>51</v>
      </c>
      <c r="U533" t="s">
        <v>42</v>
      </c>
      <c r="V533" t="s">
        <v>102</v>
      </c>
      <c r="W533" s="1">
        <v>45355</v>
      </c>
      <c r="X533" t="b">
        <v>1</v>
      </c>
      <c r="Y533" t="b">
        <v>1</v>
      </c>
      <c r="Z533" t="s">
        <v>72</v>
      </c>
      <c r="AA533" t="s">
        <v>45</v>
      </c>
      <c r="AB533">
        <v>3</v>
      </c>
      <c r="AF533" t="str">
        <f>tbl_OriginalData[[#This Row],[Customer_ID]]</f>
        <v>05-546-5128</v>
      </c>
      <c r="AG533">
        <f>tbl_OriginalData[[#This Row],[Age]]</f>
        <v>21</v>
      </c>
      <c r="AH533" t="str" cm="1">
        <f t="array" ref="AH53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33" t="str">
        <f>tbl_OriginalData[[#This Row],[Gender]]</f>
        <v>Male</v>
      </c>
      <c r="AJ533" t="str">
        <f>tbl_OriginalData[[#This Row],[Income_Level]]</f>
        <v>Middle</v>
      </c>
      <c r="AK533" t="str">
        <f>tbl_OriginalData[[#This Row],[Marital_Status]]</f>
        <v>Divorced</v>
      </c>
      <c r="AL533" t="str">
        <f>tbl_OriginalData[[#This Row],[Education_Level]]</f>
        <v>Bachelor's</v>
      </c>
      <c r="AM533" t="str">
        <f>tbl_OriginalData[[#This Row],[Occupation]]</f>
        <v>Middle</v>
      </c>
      <c r="AN533" t="s">
        <v>1278</v>
      </c>
      <c r="AO533" t="s">
        <v>46</v>
      </c>
      <c r="AP533" t="str">
        <f>tbl_OriginalData[[#This Row],[Purchase_Category]]</f>
        <v>Sports &amp; Outdoors</v>
      </c>
      <c r="AQ533" s="4">
        <f>tbl_OriginalData[[#This Row],[Purchase_Amount]]</f>
        <v>445.34</v>
      </c>
      <c r="AR533">
        <f>tbl_OriginalData[[#This Row],[Frequency_of_Purchase]]</f>
        <v>9</v>
      </c>
      <c r="AS533" t="str">
        <f>tbl_OriginalData[[#This Row],[Purchase_Channel]]</f>
        <v>In-Store</v>
      </c>
      <c r="AT533">
        <f>tbl_OriginalData[[#This Row],[Brand_Loyalty]]</f>
        <v>5</v>
      </c>
      <c r="AU533">
        <f>tbl_OriginalData[[#This Row],[Product_Rating]]</f>
        <v>2</v>
      </c>
      <c r="AV533">
        <f>tbl_OriginalData[[#This Row],[Time_Spent_on_Product_Research(hours)]]*60</f>
        <v>60</v>
      </c>
      <c r="AW533" t="str">
        <f>tbl_OriginalData[[#This Row],[Social_Media_Influence]]</f>
        <v>Low</v>
      </c>
      <c r="AX533" t="str">
        <f>tbl_OriginalData[[#This Row],[Discount_Sensitivity]]</f>
        <v>Somewhat Sensitive</v>
      </c>
      <c r="AY533" s="3">
        <f>tbl_OriginalData[[#This Row],[Return_Rate]]/tbl_OriginalData[[#This Row],[Frequency_of_Purchase]]</f>
        <v>0.1111111111111111</v>
      </c>
      <c r="AZ533">
        <f>tbl_OriginalData[[#This Row],[Customer_Satisfaction]]</f>
        <v>3</v>
      </c>
      <c r="BA533" t="str">
        <f>tbl_OriginalData[[#This Row],[Engagement_with_Ads]]</f>
        <v>High</v>
      </c>
      <c r="BB533" t="str">
        <f>tbl_OriginalData[[#This Row],[Device_Used_for_Shopping]]</f>
        <v>Tablet</v>
      </c>
      <c r="BC533" t="str">
        <f>tbl_OriginalData[[#This Row],[Payment_Method]]</f>
        <v>Cash</v>
      </c>
      <c r="BD533" s="1">
        <f>tbl_OriginalData[[#This Row],[Time_of_Purchase]]</f>
        <v>45355</v>
      </c>
      <c r="BE533" t="str">
        <f>IF(tbl_OriginalData[[#This Row],[Discount_Used]]=TRUE,"Yes","No")</f>
        <v>Yes</v>
      </c>
      <c r="BF533" t="str">
        <f>IF(tbl_OriginalData[[#This Row],[Customer_Loyalty_Program_Member]]=TRUE,"Yes","No")</f>
        <v>Yes</v>
      </c>
      <c r="BG533" t="str">
        <f>tbl_OriginalData[[#This Row],[Purchase_Intent]]</f>
        <v>Impulsive</v>
      </c>
      <c r="BH533" t="str">
        <f>tbl_OriginalData[[#This Row],[Shipping_Preference]]</f>
        <v>No Preference</v>
      </c>
      <c r="BI533">
        <f>tbl_OriginalData[[#This Row],[Time_to_Decision]]</f>
        <v>3</v>
      </c>
      <c r="BJ533" t="s">
        <v>47</v>
      </c>
      <c r="BK533" t="s">
        <v>48</v>
      </c>
      <c r="BL533" t="s">
        <v>2523</v>
      </c>
    </row>
    <row r="534" spans="1:64">
      <c r="A534" t="s">
        <v>1279</v>
      </c>
      <c r="B534">
        <v>18</v>
      </c>
      <c r="C534" t="s">
        <v>50</v>
      </c>
      <c r="D534" t="s">
        <v>51</v>
      </c>
      <c r="E534" t="s">
        <v>82</v>
      </c>
      <c r="F534" t="s">
        <v>52</v>
      </c>
      <c r="G534" t="s">
        <v>51</v>
      </c>
      <c r="H534" t="s">
        <v>1280</v>
      </c>
      <c r="I534" t="s">
        <v>75</v>
      </c>
      <c r="J534">
        <v>151.72999999999999</v>
      </c>
      <c r="K534">
        <v>3</v>
      </c>
      <c r="L534" t="s">
        <v>55</v>
      </c>
      <c r="M534">
        <v>2</v>
      </c>
      <c r="N534">
        <v>4</v>
      </c>
      <c r="O534">
        <v>1</v>
      </c>
      <c r="P534" t="s">
        <v>56</v>
      </c>
      <c r="Q534" t="s">
        <v>101</v>
      </c>
      <c r="R534">
        <v>1</v>
      </c>
      <c r="S534">
        <v>3</v>
      </c>
      <c r="T534" t="s">
        <v>40</v>
      </c>
      <c r="U534" t="s">
        <v>70</v>
      </c>
      <c r="V534" t="s">
        <v>76</v>
      </c>
      <c r="W534" s="1">
        <v>45559</v>
      </c>
      <c r="X534" t="b">
        <v>0</v>
      </c>
      <c r="Y534" t="b">
        <v>1</v>
      </c>
      <c r="Z534" t="s">
        <v>59</v>
      </c>
      <c r="AA534" t="s">
        <v>77</v>
      </c>
      <c r="AB534">
        <v>11</v>
      </c>
      <c r="AF534" t="str">
        <f>tbl_OriginalData[[#This Row],[Customer_ID]]</f>
        <v>79-759-6726</v>
      </c>
      <c r="AG534">
        <f>tbl_OriginalData[[#This Row],[Age]]</f>
        <v>18</v>
      </c>
      <c r="AH534" t="str" cm="1">
        <f t="array" ref="AH53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534" t="str">
        <f>tbl_OriginalData[[#This Row],[Gender]]</f>
        <v>Male</v>
      </c>
      <c r="AJ534" t="str">
        <f>tbl_OriginalData[[#This Row],[Income_Level]]</f>
        <v>High</v>
      </c>
      <c r="AK534" t="str">
        <f>tbl_OriginalData[[#This Row],[Marital_Status]]</f>
        <v>Widowed</v>
      </c>
      <c r="AL534" t="str">
        <f>tbl_OriginalData[[#This Row],[Education_Level]]</f>
        <v>High School</v>
      </c>
      <c r="AM534" t="str">
        <f>tbl_OriginalData[[#This Row],[Occupation]]</f>
        <v>High</v>
      </c>
      <c r="AN534" t="s">
        <v>1280</v>
      </c>
      <c r="AO534" t="s">
        <v>186</v>
      </c>
      <c r="AP534" t="str">
        <f>tbl_OriginalData[[#This Row],[Purchase_Category]]</f>
        <v>Home Appliances</v>
      </c>
      <c r="AQ534" s="4">
        <f>tbl_OriginalData[[#This Row],[Purchase_Amount]]</f>
        <v>151.72999999999999</v>
      </c>
      <c r="AR534">
        <f>tbl_OriginalData[[#This Row],[Frequency_of_Purchase]]</f>
        <v>3</v>
      </c>
      <c r="AS534" t="str">
        <f>tbl_OriginalData[[#This Row],[Purchase_Channel]]</f>
        <v>In-Store</v>
      </c>
      <c r="AT534">
        <f>tbl_OriginalData[[#This Row],[Brand_Loyalty]]</f>
        <v>2</v>
      </c>
      <c r="AU534">
        <f>tbl_OriginalData[[#This Row],[Product_Rating]]</f>
        <v>4</v>
      </c>
      <c r="AV534">
        <f>tbl_OriginalData[[#This Row],[Time_Spent_on_Product_Research(hours)]]*60</f>
        <v>60</v>
      </c>
      <c r="AW534" t="str">
        <f>tbl_OriginalData[[#This Row],[Social_Media_Influence]]</f>
        <v>Medium</v>
      </c>
      <c r="AX534" t="str">
        <f>tbl_OriginalData[[#This Row],[Discount_Sensitivity]]</f>
        <v>Very Sensitive</v>
      </c>
      <c r="AY534" s="3">
        <f>tbl_OriginalData[[#This Row],[Return_Rate]]/tbl_OriginalData[[#This Row],[Frequency_of_Purchase]]</f>
        <v>0.33333333333333331</v>
      </c>
      <c r="AZ534">
        <f>tbl_OriginalData[[#This Row],[Customer_Satisfaction]]</f>
        <v>3</v>
      </c>
      <c r="BA534" t="str">
        <f>tbl_OriginalData[[#This Row],[Engagement_with_Ads]]</f>
        <v>None</v>
      </c>
      <c r="BB534" t="str">
        <f>tbl_OriginalData[[#This Row],[Device_Used_for_Shopping]]</f>
        <v>Smartphone</v>
      </c>
      <c r="BC534" t="str">
        <f>tbl_OriginalData[[#This Row],[Payment_Method]]</f>
        <v>Other</v>
      </c>
      <c r="BD534" s="1">
        <f>tbl_OriginalData[[#This Row],[Time_of_Purchase]]</f>
        <v>45559</v>
      </c>
      <c r="BE534" t="str">
        <f>IF(tbl_OriginalData[[#This Row],[Discount_Used]]=TRUE,"Yes","No")</f>
        <v>No</v>
      </c>
      <c r="BF534" t="str">
        <f>IF(tbl_OriginalData[[#This Row],[Customer_Loyalty_Program_Member]]=TRUE,"Yes","No")</f>
        <v>Yes</v>
      </c>
      <c r="BG534" t="str">
        <f>tbl_OriginalData[[#This Row],[Purchase_Intent]]</f>
        <v>Wants-based</v>
      </c>
      <c r="BH534" t="str">
        <f>tbl_OriginalData[[#This Row],[Shipping_Preference]]</f>
        <v>Express</v>
      </c>
      <c r="BI534">
        <f>tbl_OriginalData[[#This Row],[Time_to_Decision]]</f>
        <v>11</v>
      </c>
      <c r="BJ534" t="s">
        <v>172</v>
      </c>
      <c r="BK534" t="s">
        <v>115</v>
      </c>
      <c r="BL534" t="s">
        <v>2523</v>
      </c>
    </row>
    <row r="535" spans="1:64">
      <c r="A535" t="s">
        <v>1281</v>
      </c>
      <c r="B535">
        <v>50</v>
      </c>
      <c r="C535" t="s">
        <v>106</v>
      </c>
      <c r="D535" t="s">
        <v>51</v>
      </c>
      <c r="E535" t="s">
        <v>35</v>
      </c>
      <c r="F535" t="s">
        <v>52</v>
      </c>
      <c r="G535" t="s">
        <v>51</v>
      </c>
      <c r="H535" t="s">
        <v>1282</v>
      </c>
      <c r="I535" t="s">
        <v>147</v>
      </c>
      <c r="J535">
        <v>123.73</v>
      </c>
      <c r="K535">
        <v>9</v>
      </c>
      <c r="L535" t="s">
        <v>94</v>
      </c>
      <c r="M535">
        <v>1</v>
      </c>
      <c r="N535">
        <v>4</v>
      </c>
      <c r="O535">
        <v>0</v>
      </c>
      <c r="P535" t="s">
        <v>51</v>
      </c>
      <c r="Q535" t="s">
        <v>57</v>
      </c>
      <c r="R535">
        <v>2</v>
      </c>
      <c r="S535">
        <v>5</v>
      </c>
      <c r="T535" t="s">
        <v>51</v>
      </c>
      <c r="U535" t="s">
        <v>70</v>
      </c>
      <c r="V535" t="s">
        <v>43</v>
      </c>
      <c r="W535" s="1">
        <v>45572</v>
      </c>
      <c r="X535" t="b">
        <v>0</v>
      </c>
      <c r="Y535" t="b">
        <v>1</v>
      </c>
      <c r="Z535" t="s">
        <v>44</v>
      </c>
      <c r="AA535" t="s">
        <v>45</v>
      </c>
      <c r="AB535">
        <v>10</v>
      </c>
      <c r="AF535" t="str">
        <f>tbl_OriginalData[[#This Row],[Customer_ID]]</f>
        <v>12-851-1771</v>
      </c>
      <c r="AG535">
        <f>tbl_OriginalData[[#This Row],[Age]]</f>
        <v>50</v>
      </c>
      <c r="AH535" t="str" cm="1">
        <f t="array" ref="AH53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35" t="str">
        <f>tbl_OriginalData[[#This Row],[Gender]]</f>
        <v>Bigender</v>
      </c>
      <c r="AJ535" t="str">
        <f>tbl_OriginalData[[#This Row],[Income_Level]]</f>
        <v>High</v>
      </c>
      <c r="AK535" t="str">
        <f>tbl_OriginalData[[#This Row],[Marital_Status]]</f>
        <v>Married</v>
      </c>
      <c r="AL535" t="str">
        <f>tbl_OriginalData[[#This Row],[Education_Level]]</f>
        <v>High School</v>
      </c>
      <c r="AM535" t="str">
        <f>tbl_OriginalData[[#This Row],[Occupation]]</f>
        <v>High</v>
      </c>
      <c r="AN535" t="s">
        <v>1282</v>
      </c>
      <c r="AO535" t="s">
        <v>109</v>
      </c>
      <c r="AP535" t="str">
        <f>tbl_OriginalData[[#This Row],[Purchase_Category]]</f>
        <v>Electronics</v>
      </c>
      <c r="AQ535" s="4">
        <f>tbl_OriginalData[[#This Row],[Purchase_Amount]]</f>
        <v>123.73</v>
      </c>
      <c r="AR535">
        <f>tbl_OriginalData[[#This Row],[Frequency_of_Purchase]]</f>
        <v>9</v>
      </c>
      <c r="AS535" t="str">
        <f>tbl_OriginalData[[#This Row],[Purchase_Channel]]</f>
        <v>Online</v>
      </c>
      <c r="AT535">
        <f>tbl_OriginalData[[#This Row],[Brand_Loyalty]]</f>
        <v>1</v>
      </c>
      <c r="AU535">
        <f>tbl_OriginalData[[#This Row],[Product_Rating]]</f>
        <v>4</v>
      </c>
      <c r="AV535">
        <f>tbl_OriginalData[[#This Row],[Time_Spent_on_Product_Research(hours)]]*60</f>
        <v>0</v>
      </c>
      <c r="AW535" t="str">
        <f>tbl_OriginalData[[#This Row],[Social_Media_Influence]]</f>
        <v>High</v>
      </c>
      <c r="AX535" t="str">
        <f>tbl_OriginalData[[#This Row],[Discount_Sensitivity]]</f>
        <v>Not Sensitive</v>
      </c>
      <c r="AY535" s="3">
        <f>tbl_OriginalData[[#This Row],[Return_Rate]]/tbl_OriginalData[[#This Row],[Frequency_of_Purchase]]</f>
        <v>0.22222222222222221</v>
      </c>
      <c r="AZ535">
        <f>tbl_OriginalData[[#This Row],[Customer_Satisfaction]]</f>
        <v>5</v>
      </c>
      <c r="BA535" t="str">
        <f>tbl_OriginalData[[#This Row],[Engagement_with_Ads]]</f>
        <v>High</v>
      </c>
      <c r="BB535" t="str">
        <f>tbl_OriginalData[[#This Row],[Device_Used_for_Shopping]]</f>
        <v>Smartphone</v>
      </c>
      <c r="BC535" t="str">
        <f>tbl_OriginalData[[#This Row],[Payment_Method]]</f>
        <v>Credit Card</v>
      </c>
      <c r="BD535" s="1">
        <f>tbl_OriginalData[[#This Row],[Time_of_Purchase]]</f>
        <v>45572</v>
      </c>
      <c r="BE535" t="str">
        <f>IF(tbl_OriginalData[[#This Row],[Discount_Used]]=TRUE,"Yes","No")</f>
        <v>No</v>
      </c>
      <c r="BF535" t="str">
        <f>IF(tbl_OriginalData[[#This Row],[Customer_Loyalty_Program_Member]]=TRUE,"Yes","No")</f>
        <v>Yes</v>
      </c>
      <c r="BG535" t="str">
        <f>tbl_OriginalData[[#This Row],[Purchase_Intent]]</f>
        <v>Need-based</v>
      </c>
      <c r="BH535" t="str">
        <f>tbl_OriginalData[[#This Row],[Shipping_Preference]]</f>
        <v>No Preference</v>
      </c>
      <c r="BI535">
        <f>tbl_OriginalData[[#This Row],[Time_to_Decision]]</f>
        <v>10</v>
      </c>
      <c r="BJ535" t="s">
        <v>79</v>
      </c>
      <c r="BK535" t="s">
        <v>80</v>
      </c>
      <c r="BL535" t="s">
        <v>2526</v>
      </c>
    </row>
    <row r="536" spans="1:64">
      <c r="A536" t="s">
        <v>1283</v>
      </c>
      <c r="B536">
        <v>31</v>
      </c>
      <c r="C536" t="s">
        <v>50</v>
      </c>
      <c r="D536" t="s">
        <v>34</v>
      </c>
      <c r="E536" t="s">
        <v>65</v>
      </c>
      <c r="F536" t="s">
        <v>66</v>
      </c>
      <c r="G536" t="s">
        <v>51</v>
      </c>
      <c r="H536" t="s">
        <v>1284</v>
      </c>
      <c r="I536" t="s">
        <v>242</v>
      </c>
      <c r="J536">
        <v>370.54</v>
      </c>
      <c r="K536">
        <v>2</v>
      </c>
      <c r="L536" t="s">
        <v>55</v>
      </c>
      <c r="M536">
        <v>3</v>
      </c>
      <c r="N536">
        <v>3</v>
      </c>
      <c r="O536">
        <v>0</v>
      </c>
      <c r="P536" t="s">
        <v>69</v>
      </c>
      <c r="Q536" t="s">
        <v>101</v>
      </c>
      <c r="R536">
        <v>1</v>
      </c>
      <c r="S536">
        <v>9</v>
      </c>
      <c r="T536" t="s">
        <v>69</v>
      </c>
      <c r="U536" t="s">
        <v>70</v>
      </c>
      <c r="V536" t="s">
        <v>43</v>
      </c>
      <c r="W536" s="1">
        <v>45376</v>
      </c>
      <c r="X536" t="b">
        <v>1</v>
      </c>
      <c r="Y536" t="b">
        <v>0</v>
      </c>
      <c r="Z536" t="s">
        <v>72</v>
      </c>
      <c r="AA536" t="s">
        <v>45</v>
      </c>
      <c r="AB536">
        <v>7</v>
      </c>
      <c r="AF536" t="str">
        <f>tbl_OriginalData[[#This Row],[Customer_ID]]</f>
        <v>79-960-1714</v>
      </c>
      <c r="AG536">
        <f>tbl_OriginalData[[#This Row],[Age]]</f>
        <v>31</v>
      </c>
      <c r="AH536" t="str" cm="1">
        <f t="array" ref="AH53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36" t="str">
        <f>tbl_OriginalData[[#This Row],[Gender]]</f>
        <v>Male</v>
      </c>
      <c r="AJ536" t="str">
        <f>tbl_OriginalData[[#This Row],[Income_Level]]</f>
        <v>Middle</v>
      </c>
      <c r="AK536" t="str">
        <f>tbl_OriginalData[[#This Row],[Marital_Status]]</f>
        <v>Single</v>
      </c>
      <c r="AL536" t="str">
        <f>tbl_OriginalData[[#This Row],[Education_Level]]</f>
        <v>Master's</v>
      </c>
      <c r="AM536" t="str">
        <f>tbl_OriginalData[[#This Row],[Occupation]]</f>
        <v>High</v>
      </c>
      <c r="AN536" t="s">
        <v>1284</v>
      </c>
      <c r="AO536" t="s">
        <v>103</v>
      </c>
      <c r="AP536" t="str">
        <f>tbl_OriginalData[[#This Row],[Purchase_Category]]</f>
        <v>Travel &amp; Leisure (Flights</v>
      </c>
      <c r="AQ536" s="4">
        <f>tbl_OriginalData[[#This Row],[Purchase_Amount]]</f>
        <v>370.54</v>
      </c>
      <c r="AR536">
        <f>tbl_OriginalData[[#This Row],[Frequency_of_Purchase]]</f>
        <v>2</v>
      </c>
      <c r="AS536" t="str">
        <f>tbl_OriginalData[[#This Row],[Purchase_Channel]]</f>
        <v>In-Store</v>
      </c>
      <c r="AT536">
        <f>tbl_OriginalData[[#This Row],[Brand_Loyalty]]</f>
        <v>3</v>
      </c>
      <c r="AU536">
        <f>tbl_OriginalData[[#This Row],[Product_Rating]]</f>
        <v>3</v>
      </c>
      <c r="AV536">
        <f>tbl_OriginalData[[#This Row],[Time_Spent_on_Product_Research(hours)]]*60</f>
        <v>0</v>
      </c>
      <c r="AW536" t="str">
        <f>tbl_OriginalData[[#This Row],[Social_Media_Influence]]</f>
        <v>Low</v>
      </c>
      <c r="AX536" t="str">
        <f>tbl_OriginalData[[#This Row],[Discount_Sensitivity]]</f>
        <v>Very Sensitive</v>
      </c>
      <c r="AY536" s="3">
        <f>tbl_OriginalData[[#This Row],[Return_Rate]]/tbl_OriginalData[[#This Row],[Frequency_of_Purchase]]</f>
        <v>0.5</v>
      </c>
      <c r="AZ536">
        <f>tbl_OriginalData[[#This Row],[Customer_Satisfaction]]</f>
        <v>9</v>
      </c>
      <c r="BA536" t="str">
        <f>tbl_OriginalData[[#This Row],[Engagement_with_Ads]]</f>
        <v>Low</v>
      </c>
      <c r="BB536" t="str">
        <f>tbl_OriginalData[[#This Row],[Device_Used_for_Shopping]]</f>
        <v>Smartphone</v>
      </c>
      <c r="BC536" t="str">
        <f>tbl_OriginalData[[#This Row],[Payment_Method]]</f>
        <v>Credit Card</v>
      </c>
      <c r="BD536" s="1">
        <f>tbl_OriginalData[[#This Row],[Time_of_Purchase]]</f>
        <v>45376</v>
      </c>
      <c r="BE536" t="str">
        <f>IF(tbl_OriginalData[[#This Row],[Discount_Used]]=TRUE,"Yes","No")</f>
        <v>Yes</v>
      </c>
      <c r="BF536" t="str">
        <f>IF(tbl_OriginalData[[#This Row],[Customer_Loyalty_Program_Member]]=TRUE,"Yes","No")</f>
        <v>No</v>
      </c>
      <c r="BG536" t="str">
        <f>tbl_OriginalData[[#This Row],[Purchase_Intent]]</f>
        <v>Impulsive</v>
      </c>
      <c r="BH536" t="str">
        <f>tbl_OriginalData[[#This Row],[Shipping_Preference]]</f>
        <v>No Preference</v>
      </c>
      <c r="BI536">
        <f>tbl_OriginalData[[#This Row],[Time_to_Decision]]</f>
        <v>7</v>
      </c>
      <c r="BJ536" t="s">
        <v>47</v>
      </c>
      <c r="BK536" t="s">
        <v>48</v>
      </c>
      <c r="BL536" t="s">
        <v>2523</v>
      </c>
    </row>
    <row r="537" spans="1:64">
      <c r="A537" t="s">
        <v>1285</v>
      </c>
      <c r="B537">
        <v>45</v>
      </c>
      <c r="C537" t="s">
        <v>50</v>
      </c>
      <c r="D537" t="s">
        <v>51</v>
      </c>
      <c r="E537" t="s">
        <v>35</v>
      </c>
      <c r="F537" t="s">
        <v>66</v>
      </c>
      <c r="G537" t="s">
        <v>51</v>
      </c>
      <c r="H537" t="s">
        <v>1286</v>
      </c>
      <c r="I537" t="s">
        <v>153</v>
      </c>
      <c r="J537">
        <v>152.87</v>
      </c>
      <c r="K537">
        <v>3</v>
      </c>
      <c r="L537" t="s">
        <v>55</v>
      </c>
      <c r="M537">
        <v>1</v>
      </c>
      <c r="N537">
        <v>5</v>
      </c>
      <c r="O537">
        <v>2</v>
      </c>
      <c r="P537" t="s">
        <v>51</v>
      </c>
      <c r="Q537" t="s">
        <v>101</v>
      </c>
      <c r="R537">
        <v>1</v>
      </c>
      <c r="S537">
        <v>8</v>
      </c>
      <c r="T537" t="s">
        <v>40</v>
      </c>
      <c r="U537" t="s">
        <v>42</v>
      </c>
      <c r="V537" t="s">
        <v>71</v>
      </c>
      <c r="W537" s="1">
        <v>45524</v>
      </c>
      <c r="X537" t="b">
        <v>0</v>
      </c>
      <c r="Y537" t="b">
        <v>0</v>
      </c>
      <c r="Z537" t="s">
        <v>72</v>
      </c>
      <c r="AA537" t="s">
        <v>77</v>
      </c>
      <c r="AB537">
        <v>11</v>
      </c>
      <c r="AF537" t="str">
        <f>tbl_OriginalData[[#This Row],[Customer_ID]]</f>
        <v>30-417-6981</v>
      </c>
      <c r="AG537">
        <f>tbl_OriginalData[[#This Row],[Age]]</f>
        <v>45</v>
      </c>
      <c r="AH537" t="str" cm="1">
        <f t="array" ref="AH53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37" t="str">
        <f>tbl_OriginalData[[#This Row],[Gender]]</f>
        <v>Male</v>
      </c>
      <c r="AJ537" t="str">
        <f>tbl_OriginalData[[#This Row],[Income_Level]]</f>
        <v>High</v>
      </c>
      <c r="AK537" t="str">
        <f>tbl_OriginalData[[#This Row],[Marital_Status]]</f>
        <v>Married</v>
      </c>
      <c r="AL537" t="str">
        <f>tbl_OriginalData[[#This Row],[Education_Level]]</f>
        <v>Master's</v>
      </c>
      <c r="AM537" t="str">
        <f>tbl_OriginalData[[#This Row],[Occupation]]</f>
        <v>High</v>
      </c>
      <c r="AN537" t="s">
        <v>1286</v>
      </c>
      <c r="AO537" t="s">
        <v>61</v>
      </c>
      <c r="AP537" t="str">
        <f>tbl_OriginalData[[#This Row],[Purchase_Category]]</f>
        <v>Baby Products</v>
      </c>
      <c r="AQ537" s="4">
        <f>tbl_OriginalData[[#This Row],[Purchase_Amount]]</f>
        <v>152.87</v>
      </c>
      <c r="AR537">
        <f>tbl_OriginalData[[#This Row],[Frequency_of_Purchase]]</f>
        <v>3</v>
      </c>
      <c r="AS537" t="str">
        <f>tbl_OriginalData[[#This Row],[Purchase_Channel]]</f>
        <v>In-Store</v>
      </c>
      <c r="AT537">
        <f>tbl_OriginalData[[#This Row],[Brand_Loyalty]]</f>
        <v>1</v>
      </c>
      <c r="AU537">
        <f>tbl_OriginalData[[#This Row],[Product_Rating]]</f>
        <v>5</v>
      </c>
      <c r="AV537">
        <f>tbl_OriginalData[[#This Row],[Time_Spent_on_Product_Research(hours)]]*60</f>
        <v>120</v>
      </c>
      <c r="AW537" t="str">
        <f>tbl_OriginalData[[#This Row],[Social_Media_Influence]]</f>
        <v>High</v>
      </c>
      <c r="AX537" t="str">
        <f>tbl_OriginalData[[#This Row],[Discount_Sensitivity]]</f>
        <v>Very Sensitive</v>
      </c>
      <c r="AY537" s="3">
        <f>tbl_OriginalData[[#This Row],[Return_Rate]]/tbl_OriginalData[[#This Row],[Frequency_of_Purchase]]</f>
        <v>0.33333333333333331</v>
      </c>
      <c r="AZ537">
        <f>tbl_OriginalData[[#This Row],[Customer_Satisfaction]]</f>
        <v>8</v>
      </c>
      <c r="BA537" t="str">
        <f>tbl_OriginalData[[#This Row],[Engagement_with_Ads]]</f>
        <v>None</v>
      </c>
      <c r="BB537" t="str">
        <f>tbl_OriginalData[[#This Row],[Device_Used_for_Shopping]]</f>
        <v>Tablet</v>
      </c>
      <c r="BC537" t="str">
        <f>tbl_OriginalData[[#This Row],[Payment_Method]]</f>
        <v>Debit Card</v>
      </c>
      <c r="BD537" s="1">
        <f>tbl_OriginalData[[#This Row],[Time_of_Purchase]]</f>
        <v>45524</v>
      </c>
      <c r="BE537" t="str">
        <f>IF(tbl_OriginalData[[#This Row],[Discount_Used]]=TRUE,"Yes","No")</f>
        <v>No</v>
      </c>
      <c r="BF537" t="str">
        <f>IF(tbl_OriginalData[[#This Row],[Customer_Loyalty_Program_Member]]=TRUE,"Yes","No")</f>
        <v>No</v>
      </c>
      <c r="BG537" t="str">
        <f>tbl_OriginalData[[#This Row],[Purchase_Intent]]</f>
        <v>Impulsive</v>
      </c>
      <c r="BH537" t="str">
        <f>tbl_OriginalData[[#This Row],[Shipping_Preference]]</f>
        <v>Express</v>
      </c>
      <c r="BI537">
        <f>tbl_OriginalData[[#This Row],[Time_to_Decision]]</f>
        <v>11</v>
      </c>
      <c r="BJ537" t="s">
        <v>124</v>
      </c>
      <c r="BK537" t="s">
        <v>115</v>
      </c>
      <c r="BL537" t="s">
        <v>2524</v>
      </c>
    </row>
    <row r="538" spans="1:64">
      <c r="A538" t="s">
        <v>1287</v>
      </c>
      <c r="B538">
        <v>29</v>
      </c>
      <c r="C538" t="s">
        <v>50</v>
      </c>
      <c r="D538" t="s">
        <v>34</v>
      </c>
      <c r="E538" t="s">
        <v>65</v>
      </c>
      <c r="F538" t="s">
        <v>66</v>
      </c>
      <c r="G538" t="s">
        <v>34</v>
      </c>
      <c r="H538" t="s">
        <v>1288</v>
      </c>
      <c r="I538" t="s">
        <v>180</v>
      </c>
      <c r="J538">
        <v>295.75</v>
      </c>
      <c r="K538">
        <v>4</v>
      </c>
      <c r="L538" t="s">
        <v>39</v>
      </c>
      <c r="M538">
        <v>1</v>
      </c>
      <c r="N538">
        <v>1</v>
      </c>
      <c r="O538">
        <v>0</v>
      </c>
      <c r="P538" t="s">
        <v>51</v>
      </c>
      <c r="Q538" t="s">
        <v>41</v>
      </c>
      <c r="R538">
        <v>1</v>
      </c>
      <c r="S538">
        <v>10</v>
      </c>
      <c r="T538" t="s">
        <v>69</v>
      </c>
      <c r="U538" t="s">
        <v>42</v>
      </c>
      <c r="V538" t="s">
        <v>43</v>
      </c>
      <c r="W538" s="1">
        <v>45633</v>
      </c>
      <c r="X538" t="b">
        <v>1</v>
      </c>
      <c r="Y538" t="b">
        <v>1</v>
      </c>
      <c r="Z538" t="s">
        <v>44</v>
      </c>
      <c r="AA538" t="s">
        <v>60</v>
      </c>
      <c r="AB538">
        <v>8</v>
      </c>
      <c r="AF538" t="str">
        <f>tbl_OriginalData[[#This Row],[Customer_ID]]</f>
        <v>91-532-5399</v>
      </c>
      <c r="AG538">
        <f>tbl_OriginalData[[#This Row],[Age]]</f>
        <v>29</v>
      </c>
      <c r="AH538" t="str" cm="1">
        <f t="array" ref="AH53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38" t="str">
        <f>tbl_OriginalData[[#This Row],[Gender]]</f>
        <v>Male</v>
      </c>
      <c r="AJ538" t="str">
        <f>tbl_OriginalData[[#This Row],[Income_Level]]</f>
        <v>Middle</v>
      </c>
      <c r="AK538" t="str">
        <f>tbl_OriginalData[[#This Row],[Marital_Status]]</f>
        <v>Single</v>
      </c>
      <c r="AL538" t="str">
        <f>tbl_OriginalData[[#This Row],[Education_Level]]</f>
        <v>Master's</v>
      </c>
      <c r="AM538" t="str">
        <f>tbl_OriginalData[[#This Row],[Occupation]]</f>
        <v>Middle</v>
      </c>
      <c r="AN538" t="s">
        <v>1288</v>
      </c>
      <c r="AO538" t="s">
        <v>328</v>
      </c>
      <c r="AP538" t="str">
        <f>tbl_OriginalData[[#This Row],[Purchase_Category]]</f>
        <v>Health Supplements</v>
      </c>
      <c r="AQ538" s="4">
        <f>tbl_OriginalData[[#This Row],[Purchase_Amount]]</f>
        <v>295.75</v>
      </c>
      <c r="AR538">
        <f>tbl_OriginalData[[#This Row],[Frequency_of_Purchase]]</f>
        <v>4</v>
      </c>
      <c r="AS538" t="str">
        <f>tbl_OriginalData[[#This Row],[Purchase_Channel]]</f>
        <v>Mixed</v>
      </c>
      <c r="AT538">
        <f>tbl_OriginalData[[#This Row],[Brand_Loyalty]]</f>
        <v>1</v>
      </c>
      <c r="AU538">
        <f>tbl_OriginalData[[#This Row],[Product_Rating]]</f>
        <v>1</v>
      </c>
      <c r="AV538">
        <f>tbl_OriginalData[[#This Row],[Time_Spent_on_Product_Research(hours)]]*60</f>
        <v>0</v>
      </c>
      <c r="AW538" t="str">
        <f>tbl_OriginalData[[#This Row],[Social_Media_Influence]]</f>
        <v>High</v>
      </c>
      <c r="AX538" t="str">
        <f>tbl_OriginalData[[#This Row],[Discount_Sensitivity]]</f>
        <v>Somewhat Sensitive</v>
      </c>
      <c r="AY538" s="3">
        <f>tbl_OriginalData[[#This Row],[Return_Rate]]/tbl_OriginalData[[#This Row],[Frequency_of_Purchase]]</f>
        <v>0.25</v>
      </c>
      <c r="AZ538">
        <f>tbl_OriginalData[[#This Row],[Customer_Satisfaction]]</f>
        <v>10</v>
      </c>
      <c r="BA538" t="str">
        <f>tbl_OriginalData[[#This Row],[Engagement_with_Ads]]</f>
        <v>Low</v>
      </c>
      <c r="BB538" t="str">
        <f>tbl_OriginalData[[#This Row],[Device_Used_for_Shopping]]</f>
        <v>Tablet</v>
      </c>
      <c r="BC538" t="str">
        <f>tbl_OriginalData[[#This Row],[Payment_Method]]</f>
        <v>Credit Card</v>
      </c>
      <c r="BD538" s="1">
        <f>tbl_OriginalData[[#This Row],[Time_of_Purchase]]</f>
        <v>45633</v>
      </c>
      <c r="BE538" t="str">
        <f>IF(tbl_OriginalData[[#This Row],[Discount_Used]]=TRUE,"Yes","No")</f>
        <v>Yes</v>
      </c>
      <c r="BF538" t="str">
        <f>IF(tbl_OriginalData[[#This Row],[Customer_Loyalty_Program_Member]]=TRUE,"Yes","No")</f>
        <v>Yes</v>
      </c>
      <c r="BG538" t="str">
        <f>tbl_OriginalData[[#This Row],[Purchase_Intent]]</f>
        <v>Need-based</v>
      </c>
      <c r="BH538" t="str">
        <f>tbl_OriginalData[[#This Row],[Shipping_Preference]]</f>
        <v>Standard</v>
      </c>
      <c r="BI538">
        <f>tbl_OriginalData[[#This Row],[Time_to_Decision]]</f>
        <v>8</v>
      </c>
      <c r="BJ538" t="s">
        <v>120</v>
      </c>
      <c r="BK538" t="s">
        <v>80</v>
      </c>
      <c r="BL538" t="s">
        <v>2527</v>
      </c>
    </row>
    <row r="539" spans="1:64">
      <c r="A539" t="s">
        <v>1289</v>
      </c>
      <c r="B539">
        <v>36</v>
      </c>
      <c r="C539" t="s">
        <v>50</v>
      </c>
      <c r="D539" t="s">
        <v>51</v>
      </c>
      <c r="E539" t="s">
        <v>82</v>
      </c>
      <c r="F539" t="s">
        <v>52</v>
      </c>
      <c r="G539" t="s">
        <v>34</v>
      </c>
      <c r="H539" t="s">
        <v>1290</v>
      </c>
      <c r="I539" t="s">
        <v>68</v>
      </c>
      <c r="J539">
        <v>358.11</v>
      </c>
      <c r="K539">
        <v>11</v>
      </c>
      <c r="L539" t="s">
        <v>39</v>
      </c>
      <c r="M539">
        <v>5</v>
      </c>
      <c r="N539">
        <v>1</v>
      </c>
      <c r="O539">
        <v>0</v>
      </c>
      <c r="P539" t="s">
        <v>51</v>
      </c>
      <c r="Q539" t="s">
        <v>101</v>
      </c>
      <c r="R539">
        <v>0</v>
      </c>
      <c r="S539">
        <v>3</v>
      </c>
      <c r="T539" t="s">
        <v>51</v>
      </c>
      <c r="U539" t="s">
        <v>95</v>
      </c>
      <c r="V539" t="s">
        <v>43</v>
      </c>
      <c r="W539" s="1">
        <v>45538</v>
      </c>
      <c r="X539" t="b">
        <v>0</v>
      </c>
      <c r="Y539" t="b">
        <v>0</v>
      </c>
      <c r="Z539" t="s">
        <v>44</v>
      </c>
      <c r="AA539" t="s">
        <v>60</v>
      </c>
      <c r="AB539">
        <v>11</v>
      </c>
      <c r="AF539" t="str">
        <f>tbl_OriginalData[[#This Row],[Customer_ID]]</f>
        <v>89-997-9041</v>
      </c>
      <c r="AG539">
        <f>tbl_OriginalData[[#This Row],[Age]]</f>
        <v>36</v>
      </c>
      <c r="AH539" t="str" cm="1">
        <f t="array" ref="AH53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39" t="str">
        <f>tbl_OriginalData[[#This Row],[Gender]]</f>
        <v>Male</v>
      </c>
      <c r="AJ539" t="str">
        <f>tbl_OriginalData[[#This Row],[Income_Level]]</f>
        <v>High</v>
      </c>
      <c r="AK539" t="str">
        <f>tbl_OriginalData[[#This Row],[Marital_Status]]</f>
        <v>Widowed</v>
      </c>
      <c r="AL539" t="str">
        <f>tbl_OriginalData[[#This Row],[Education_Level]]</f>
        <v>High School</v>
      </c>
      <c r="AM539" t="str">
        <f>tbl_OriginalData[[#This Row],[Occupation]]</f>
        <v>Middle</v>
      </c>
      <c r="AN539" t="s">
        <v>1290</v>
      </c>
      <c r="AO539" t="s">
        <v>194</v>
      </c>
      <c r="AP539" t="str">
        <f>tbl_OriginalData[[#This Row],[Purchase_Category]]</f>
        <v>Office Supplies</v>
      </c>
      <c r="AQ539" s="4">
        <f>tbl_OriginalData[[#This Row],[Purchase_Amount]]</f>
        <v>358.11</v>
      </c>
      <c r="AR539">
        <f>tbl_OriginalData[[#This Row],[Frequency_of_Purchase]]</f>
        <v>11</v>
      </c>
      <c r="AS539" t="str">
        <f>tbl_OriginalData[[#This Row],[Purchase_Channel]]</f>
        <v>Mixed</v>
      </c>
      <c r="AT539">
        <f>tbl_OriginalData[[#This Row],[Brand_Loyalty]]</f>
        <v>5</v>
      </c>
      <c r="AU539">
        <f>tbl_OriginalData[[#This Row],[Product_Rating]]</f>
        <v>1</v>
      </c>
      <c r="AV539">
        <f>tbl_OriginalData[[#This Row],[Time_Spent_on_Product_Research(hours)]]*60</f>
        <v>0</v>
      </c>
      <c r="AW539" t="str">
        <f>tbl_OriginalData[[#This Row],[Social_Media_Influence]]</f>
        <v>High</v>
      </c>
      <c r="AX539" t="str">
        <f>tbl_OriginalData[[#This Row],[Discount_Sensitivity]]</f>
        <v>Very Sensitive</v>
      </c>
      <c r="AY539" s="3">
        <f>tbl_OriginalData[[#This Row],[Return_Rate]]/tbl_OriginalData[[#This Row],[Frequency_of_Purchase]]</f>
        <v>0</v>
      </c>
      <c r="AZ539">
        <f>tbl_OriginalData[[#This Row],[Customer_Satisfaction]]</f>
        <v>3</v>
      </c>
      <c r="BA539" t="str">
        <f>tbl_OriginalData[[#This Row],[Engagement_with_Ads]]</f>
        <v>High</v>
      </c>
      <c r="BB539" t="str">
        <f>tbl_OriginalData[[#This Row],[Device_Used_for_Shopping]]</f>
        <v>Desktop</v>
      </c>
      <c r="BC539" t="str">
        <f>tbl_OriginalData[[#This Row],[Payment_Method]]</f>
        <v>Credit Card</v>
      </c>
      <c r="BD539" s="1">
        <f>tbl_OriginalData[[#This Row],[Time_of_Purchase]]</f>
        <v>45538</v>
      </c>
      <c r="BE539" t="str">
        <f>IF(tbl_OriginalData[[#This Row],[Discount_Used]]=TRUE,"Yes","No")</f>
        <v>No</v>
      </c>
      <c r="BF539" t="str">
        <f>IF(tbl_OriginalData[[#This Row],[Customer_Loyalty_Program_Member]]=TRUE,"Yes","No")</f>
        <v>No</v>
      </c>
      <c r="BG539" t="str">
        <f>tbl_OriginalData[[#This Row],[Purchase_Intent]]</f>
        <v>Need-based</v>
      </c>
      <c r="BH539" t="str">
        <f>tbl_OriginalData[[#This Row],[Shipping_Preference]]</f>
        <v>Standard</v>
      </c>
      <c r="BI539">
        <f>tbl_OriginalData[[#This Row],[Time_to_Decision]]</f>
        <v>11</v>
      </c>
      <c r="BJ539" t="s">
        <v>172</v>
      </c>
      <c r="BK539" t="s">
        <v>115</v>
      </c>
      <c r="BL539" t="s">
        <v>2524</v>
      </c>
    </row>
    <row r="540" spans="1:64">
      <c r="A540" t="s">
        <v>1291</v>
      </c>
      <c r="B540">
        <v>27</v>
      </c>
      <c r="C540" t="s">
        <v>33</v>
      </c>
      <c r="D540" t="s">
        <v>51</v>
      </c>
      <c r="E540" t="s">
        <v>82</v>
      </c>
      <c r="F540" t="s">
        <v>66</v>
      </c>
      <c r="G540" t="s">
        <v>51</v>
      </c>
      <c r="H540" t="s">
        <v>1292</v>
      </c>
      <c r="I540" t="s">
        <v>306</v>
      </c>
      <c r="J540">
        <v>63.6</v>
      </c>
      <c r="K540">
        <v>12</v>
      </c>
      <c r="L540" t="s">
        <v>39</v>
      </c>
      <c r="M540">
        <v>5</v>
      </c>
      <c r="N540">
        <v>1</v>
      </c>
      <c r="O540">
        <v>0</v>
      </c>
      <c r="P540" t="s">
        <v>51</v>
      </c>
      <c r="Q540" t="s">
        <v>57</v>
      </c>
      <c r="R540">
        <v>2</v>
      </c>
      <c r="S540">
        <v>1</v>
      </c>
      <c r="T540" t="s">
        <v>40</v>
      </c>
      <c r="U540" t="s">
        <v>95</v>
      </c>
      <c r="V540" t="s">
        <v>58</v>
      </c>
      <c r="W540" s="1">
        <v>45331</v>
      </c>
      <c r="X540" t="b">
        <v>0</v>
      </c>
      <c r="Y540" t="b">
        <v>1</v>
      </c>
      <c r="Z540" t="s">
        <v>59</v>
      </c>
      <c r="AA540" t="s">
        <v>45</v>
      </c>
      <c r="AB540">
        <v>6</v>
      </c>
      <c r="AF540" t="str">
        <f>tbl_OriginalData[[#This Row],[Customer_ID]]</f>
        <v>26-235-6745</v>
      </c>
      <c r="AG540">
        <f>tbl_OriginalData[[#This Row],[Age]]</f>
        <v>27</v>
      </c>
      <c r="AH540" t="str" cm="1">
        <f t="array" ref="AH54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40" t="str">
        <f>tbl_OriginalData[[#This Row],[Gender]]</f>
        <v>Female</v>
      </c>
      <c r="AJ540" t="str">
        <f>tbl_OriginalData[[#This Row],[Income_Level]]</f>
        <v>High</v>
      </c>
      <c r="AK540" t="str">
        <f>tbl_OriginalData[[#This Row],[Marital_Status]]</f>
        <v>Widowed</v>
      </c>
      <c r="AL540" t="str">
        <f>tbl_OriginalData[[#This Row],[Education_Level]]</f>
        <v>Master's</v>
      </c>
      <c r="AM540" t="str">
        <f>tbl_OriginalData[[#This Row],[Occupation]]</f>
        <v>High</v>
      </c>
      <c r="AN540" t="s">
        <v>1292</v>
      </c>
      <c r="AO540" t="s">
        <v>85</v>
      </c>
      <c r="AP540" t="str">
        <f>tbl_OriginalData[[#This Row],[Purchase_Category]]</f>
        <v>Jewelry &amp; Accessories</v>
      </c>
      <c r="AQ540" s="4">
        <f>tbl_OriginalData[[#This Row],[Purchase_Amount]]</f>
        <v>63.6</v>
      </c>
      <c r="AR540">
        <f>tbl_OriginalData[[#This Row],[Frequency_of_Purchase]]</f>
        <v>12</v>
      </c>
      <c r="AS540" t="str">
        <f>tbl_OriginalData[[#This Row],[Purchase_Channel]]</f>
        <v>Mixed</v>
      </c>
      <c r="AT540">
        <f>tbl_OriginalData[[#This Row],[Brand_Loyalty]]</f>
        <v>5</v>
      </c>
      <c r="AU540">
        <f>tbl_OriginalData[[#This Row],[Product_Rating]]</f>
        <v>1</v>
      </c>
      <c r="AV540">
        <f>tbl_OriginalData[[#This Row],[Time_Spent_on_Product_Research(hours)]]*60</f>
        <v>0</v>
      </c>
      <c r="AW540" t="str">
        <f>tbl_OriginalData[[#This Row],[Social_Media_Influence]]</f>
        <v>High</v>
      </c>
      <c r="AX540" t="str">
        <f>tbl_OriginalData[[#This Row],[Discount_Sensitivity]]</f>
        <v>Not Sensitive</v>
      </c>
      <c r="AY540" s="3">
        <f>tbl_OriginalData[[#This Row],[Return_Rate]]/tbl_OriginalData[[#This Row],[Frequency_of_Purchase]]</f>
        <v>0.16666666666666666</v>
      </c>
      <c r="AZ540">
        <f>tbl_OriginalData[[#This Row],[Customer_Satisfaction]]</f>
        <v>1</v>
      </c>
      <c r="BA540" t="str">
        <f>tbl_OriginalData[[#This Row],[Engagement_with_Ads]]</f>
        <v>None</v>
      </c>
      <c r="BB540" t="str">
        <f>tbl_OriginalData[[#This Row],[Device_Used_for_Shopping]]</f>
        <v>Desktop</v>
      </c>
      <c r="BC540" t="str">
        <f>tbl_OriginalData[[#This Row],[Payment_Method]]</f>
        <v>PayPal</v>
      </c>
      <c r="BD540" s="1">
        <f>tbl_OriginalData[[#This Row],[Time_of_Purchase]]</f>
        <v>45331</v>
      </c>
      <c r="BE540" t="str">
        <f>IF(tbl_OriginalData[[#This Row],[Discount_Used]]=TRUE,"Yes","No")</f>
        <v>No</v>
      </c>
      <c r="BF540" t="str">
        <f>IF(tbl_OriginalData[[#This Row],[Customer_Loyalty_Program_Member]]=TRUE,"Yes","No")</f>
        <v>Yes</v>
      </c>
      <c r="BG540" t="str">
        <f>tbl_OriginalData[[#This Row],[Purchase_Intent]]</f>
        <v>Wants-based</v>
      </c>
      <c r="BH540" t="str">
        <f>tbl_OriginalData[[#This Row],[Shipping_Preference]]</f>
        <v>No Preference</v>
      </c>
      <c r="BI540">
        <f>tbl_OriginalData[[#This Row],[Time_to_Decision]]</f>
        <v>6</v>
      </c>
      <c r="BJ540" t="s">
        <v>158</v>
      </c>
      <c r="BK540" t="s">
        <v>48</v>
      </c>
      <c r="BL540" t="s">
        <v>2524</v>
      </c>
    </row>
    <row r="541" spans="1:64">
      <c r="A541" t="s">
        <v>1293</v>
      </c>
      <c r="B541">
        <v>24</v>
      </c>
      <c r="C541" t="s">
        <v>50</v>
      </c>
      <c r="D541" t="s">
        <v>51</v>
      </c>
      <c r="E541" t="s">
        <v>65</v>
      </c>
      <c r="F541" t="s">
        <v>52</v>
      </c>
      <c r="G541" t="s">
        <v>34</v>
      </c>
      <c r="H541" t="s">
        <v>1294</v>
      </c>
      <c r="I541" t="s">
        <v>98</v>
      </c>
      <c r="J541">
        <v>419.53</v>
      </c>
      <c r="K541">
        <v>3</v>
      </c>
      <c r="L541" t="s">
        <v>39</v>
      </c>
      <c r="M541">
        <v>1</v>
      </c>
      <c r="N541">
        <v>5</v>
      </c>
      <c r="O541">
        <v>2</v>
      </c>
      <c r="P541" t="s">
        <v>51</v>
      </c>
      <c r="Q541" t="s">
        <v>57</v>
      </c>
      <c r="R541">
        <v>2</v>
      </c>
      <c r="S541">
        <v>10</v>
      </c>
      <c r="T541" t="s">
        <v>56</v>
      </c>
      <c r="U541" t="s">
        <v>42</v>
      </c>
      <c r="V541" t="s">
        <v>76</v>
      </c>
      <c r="W541" s="1">
        <v>45378</v>
      </c>
      <c r="X541" t="b">
        <v>0</v>
      </c>
      <c r="Y541" t="b">
        <v>0</v>
      </c>
      <c r="Z541" t="s">
        <v>59</v>
      </c>
      <c r="AA541" t="s">
        <v>77</v>
      </c>
      <c r="AB541">
        <v>6</v>
      </c>
      <c r="AF541" t="str">
        <f>tbl_OriginalData[[#This Row],[Customer_ID]]</f>
        <v>99-080-9462</v>
      </c>
      <c r="AG541">
        <f>tbl_OriginalData[[#This Row],[Age]]</f>
        <v>24</v>
      </c>
      <c r="AH541" t="str" cm="1">
        <f t="array" ref="AH54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41" t="str">
        <f>tbl_OriginalData[[#This Row],[Gender]]</f>
        <v>Male</v>
      </c>
      <c r="AJ541" t="str">
        <f>tbl_OriginalData[[#This Row],[Income_Level]]</f>
        <v>High</v>
      </c>
      <c r="AK541" t="str">
        <f>tbl_OriginalData[[#This Row],[Marital_Status]]</f>
        <v>Single</v>
      </c>
      <c r="AL541" t="str">
        <f>tbl_OriginalData[[#This Row],[Education_Level]]</f>
        <v>High School</v>
      </c>
      <c r="AM541" t="str">
        <f>tbl_OriginalData[[#This Row],[Occupation]]</f>
        <v>Middle</v>
      </c>
      <c r="AN541" t="s">
        <v>1294</v>
      </c>
      <c r="AO541" t="s">
        <v>502</v>
      </c>
      <c r="AP541" t="str">
        <f>tbl_OriginalData[[#This Row],[Purchase_Category]]</f>
        <v>Books</v>
      </c>
      <c r="AQ541" s="4">
        <f>tbl_OriginalData[[#This Row],[Purchase_Amount]]</f>
        <v>419.53</v>
      </c>
      <c r="AR541">
        <f>tbl_OriginalData[[#This Row],[Frequency_of_Purchase]]</f>
        <v>3</v>
      </c>
      <c r="AS541" t="str">
        <f>tbl_OriginalData[[#This Row],[Purchase_Channel]]</f>
        <v>Mixed</v>
      </c>
      <c r="AT541">
        <f>tbl_OriginalData[[#This Row],[Brand_Loyalty]]</f>
        <v>1</v>
      </c>
      <c r="AU541">
        <f>tbl_OriginalData[[#This Row],[Product_Rating]]</f>
        <v>5</v>
      </c>
      <c r="AV541">
        <f>tbl_OriginalData[[#This Row],[Time_Spent_on_Product_Research(hours)]]*60</f>
        <v>120</v>
      </c>
      <c r="AW541" t="str">
        <f>tbl_OriginalData[[#This Row],[Social_Media_Influence]]</f>
        <v>High</v>
      </c>
      <c r="AX541" t="str">
        <f>tbl_OriginalData[[#This Row],[Discount_Sensitivity]]</f>
        <v>Not Sensitive</v>
      </c>
      <c r="AY541" s="3">
        <f>tbl_OriginalData[[#This Row],[Return_Rate]]/tbl_OriginalData[[#This Row],[Frequency_of_Purchase]]</f>
        <v>0.66666666666666663</v>
      </c>
      <c r="AZ541">
        <f>tbl_OriginalData[[#This Row],[Customer_Satisfaction]]</f>
        <v>10</v>
      </c>
      <c r="BA541" t="str">
        <f>tbl_OriginalData[[#This Row],[Engagement_with_Ads]]</f>
        <v>Medium</v>
      </c>
      <c r="BB541" t="str">
        <f>tbl_OriginalData[[#This Row],[Device_Used_for_Shopping]]</f>
        <v>Tablet</v>
      </c>
      <c r="BC541" t="str">
        <f>tbl_OriginalData[[#This Row],[Payment_Method]]</f>
        <v>Other</v>
      </c>
      <c r="BD541" s="1">
        <f>tbl_OriginalData[[#This Row],[Time_of_Purchase]]</f>
        <v>45378</v>
      </c>
      <c r="BE541" t="str">
        <f>IF(tbl_OriginalData[[#This Row],[Discount_Used]]=TRUE,"Yes","No")</f>
        <v>No</v>
      </c>
      <c r="BF541" t="str">
        <f>IF(tbl_OriginalData[[#This Row],[Customer_Loyalty_Program_Member]]=TRUE,"Yes","No")</f>
        <v>No</v>
      </c>
      <c r="BG541" t="str">
        <f>tbl_OriginalData[[#This Row],[Purchase_Intent]]</f>
        <v>Wants-based</v>
      </c>
      <c r="BH541" t="str">
        <f>tbl_OriginalData[[#This Row],[Shipping_Preference]]</f>
        <v>Express</v>
      </c>
      <c r="BI541">
        <f>tbl_OriginalData[[#This Row],[Time_to_Decision]]</f>
        <v>6</v>
      </c>
      <c r="BJ541" t="s">
        <v>47</v>
      </c>
      <c r="BK541" t="s">
        <v>48</v>
      </c>
      <c r="BL541" t="s">
        <v>2524</v>
      </c>
    </row>
    <row r="542" spans="1:64">
      <c r="A542" t="s">
        <v>1295</v>
      </c>
      <c r="B542">
        <v>49</v>
      </c>
      <c r="C542" t="s">
        <v>340</v>
      </c>
      <c r="D542" t="s">
        <v>51</v>
      </c>
      <c r="E542" t="s">
        <v>82</v>
      </c>
      <c r="F542" t="s">
        <v>52</v>
      </c>
      <c r="G542" t="s">
        <v>34</v>
      </c>
      <c r="H542" t="s">
        <v>1296</v>
      </c>
      <c r="I542" t="s">
        <v>199</v>
      </c>
      <c r="J542">
        <v>491.92</v>
      </c>
      <c r="K542">
        <v>10</v>
      </c>
      <c r="L542" t="s">
        <v>55</v>
      </c>
      <c r="M542">
        <v>5</v>
      </c>
      <c r="N542">
        <v>3</v>
      </c>
      <c r="O542">
        <v>0</v>
      </c>
      <c r="P542" t="s">
        <v>56</v>
      </c>
      <c r="Q542" t="s">
        <v>101</v>
      </c>
      <c r="R542">
        <v>1</v>
      </c>
      <c r="S542">
        <v>1</v>
      </c>
      <c r="T542" t="s">
        <v>69</v>
      </c>
      <c r="U542" t="s">
        <v>95</v>
      </c>
      <c r="V542" t="s">
        <v>43</v>
      </c>
      <c r="W542" s="1">
        <v>45655</v>
      </c>
      <c r="X542" t="b">
        <v>0</v>
      </c>
      <c r="Y542" t="b">
        <v>0</v>
      </c>
      <c r="Z542" t="s">
        <v>59</v>
      </c>
      <c r="AA542" t="s">
        <v>60</v>
      </c>
      <c r="AB542">
        <v>2</v>
      </c>
      <c r="AF542" t="str">
        <f>tbl_OriginalData[[#This Row],[Customer_ID]]</f>
        <v>87-056-8987</v>
      </c>
      <c r="AG542">
        <f>tbl_OriginalData[[#This Row],[Age]]</f>
        <v>49</v>
      </c>
      <c r="AH542" t="str" cm="1">
        <f t="array" ref="AH54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42" t="str">
        <f>tbl_OriginalData[[#This Row],[Gender]]</f>
        <v>Agender</v>
      </c>
      <c r="AJ542" t="str">
        <f>tbl_OriginalData[[#This Row],[Income_Level]]</f>
        <v>High</v>
      </c>
      <c r="AK542" t="str">
        <f>tbl_OriginalData[[#This Row],[Marital_Status]]</f>
        <v>Widowed</v>
      </c>
      <c r="AL542" t="str">
        <f>tbl_OriginalData[[#This Row],[Education_Level]]</f>
        <v>High School</v>
      </c>
      <c r="AM542" t="str">
        <f>tbl_OriginalData[[#This Row],[Occupation]]</f>
        <v>Middle</v>
      </c>
      <c r="AN542" t="s">
        <v>1296</v>
      </c>
      <c r="AO542" t="s">
        <v>90</v>
      </c>
      <c r="AP542" t="str">
        <f>tbl_OriginalData[[#This Row],[Purchase_Category]]</f>
        <v>Groceries</v>
      </c>
      <c r="AQ542" s="4">
        <f>tbl_OriginalData[[#This Row],[Purchase_Amount]]</f>
        <v>491.92</v>
      </c>
      <c r="AR542">
        <f>tbl_OriginalData[[#This Row],[Frequency_of_Purchase]]</f>
        <v>10</v>
      </c>
      <c r="AS542" t="str">
        <f>tbl_OriginalData[[#This Row],[Purchase_Channel]]</f>
        <v>In-Store</v>
      </c>
      <c r="AT542">
        <f>tbl_OriginalData[[#This Row],[Brand_Loyalty]]</f>
        <v>5</v>
      </c>
      <c r="AU542">
        <f>tbl_OriginalData[[#This Row],[Product_Rating]]</f>
        <v>3</v>
      </c>
      <c r="AV542">
        <f>tbl_OriginalData[[#This Row],[Time_Spent_on_Product_Research(hours)]]*60</f>
        <v>0</v>
      </c>
      <c r="AW542" t="str">
        <f>tbl_OriginalData[[#This Row],[Social_Media_Influence]]</f>
        <v>Medium</v>
      </c>
      <c r="AX542" t="str">
        <f>tbl_OriginalData[[#This Row],[Discount_Sensitivity]]</f>
        <v>Very Sensitive</v>
      </c>
      <c r="AY542" s="3">
        <f>tbl_OriginalData[[#This Row],[Return_Rate]]/tbl_OriginalData[[#This Row],[Frequency_of_Purchase]]</f>
        <v>0.1</v>
      </c>
      <c r="AZ542">
        <f>tbl_OriginalData[[#This Row],[Customer_Satisfaction]]</f>
        <v>1</v>
      </c>
      <c r="BA542" t="str">
        <f>tbl_OriginalData[[#This Row],[Engagement_with_Ads]]</f>
        <v>Low</v>
      </c>
      <c r="BB542" t="str">
        <f>tbl_OriginalData[[#This Row],[Device_Used_for_Shopping]]</f>
        <v>Desktop</v>
      </c>
      <c r="BC542" t="str">
        <f>tbl_OriginalData[[#This Row],[Payment_Method]]</f>
        <v>Credit Card</v>
      </c>
      <c r="BD542" s="1">
        <f>tbl_OriginalData[[#This Row],[Time_of_Purchase]]</f>
        <v>45655</v>
      </c>
      <c r="BE542" t="str">
        <f>IF(tbl_OriginalData[[#This Row],[Discount_Used]]=TRUE,"Yes","No")</f>
        <v>No</v>
      </c>
      <c r="BF542" t="str">
        <f>IF(tbl_OriginalData[[#This Row],[Customer_Loyalty_Program_Member]]=TRUE,"Yes","No")</f>
        <v>No</v>
      </c>
      <c r="BG542" t="str">
        <f>tbl_OriginalData[[#This Row],[Purchase_Intent]]</f>
        <v>Wants-based</v>
      </c>
      <c r="BH542" t="str">
        <f>tbl_OriginalData[[#This Row],[Shipping_Preference]]</f>
        <v>Standard</v>
      </c>
      <c r="BI542">
        <f>tbl_OriginalData[[#This Row],[Time_to_Decision]]</f>
        <v>2</v>
      </c>
      <c r="BJ542" t="s">
        <v>120</v>
      </c>
      <c r="BK542" t="s">
        <v>80</v>
      </c>
      <c r="BL542" t="s">
        <v>2524</v>
      </c>
    </row>
    <row r="543" spans="1:64">
      <c r="A543" t="s">
        <v>1297</v>
      </c>
      <c r="B543">
        <v>21</v>
      </c>
      <c r="C543" t="s">
        <v>106</v>
      </c>
      <c r="D543" t="s">
        <v>34</v>
      </c>
      <c r="E543" t="s">
        <v>92</v>
      </c>
      <c r="F543" t="s">
        <v>52</v>
      </c>
      <c r="G543" t="s">
        <v>51</v>
      </c>
      <c r="H543" t="s">
        <v>1298</v>
      </c>
      <c r="I543" t="s">
        <v>108</v>
      </c>
      <c r="J543">
        <v>114.44</v>
      </c>
      <c r="K543">
        <v>4</v>
      </c>
      <c r="L543" t="s">
        <v>94</v>
      </c>
      <c r="M543">
        <v>5</v>
      </c>
      <c r="N543">
        <v>3</v>
      </c>
      <c r="O543">
        <v>2</v>
      </c>
      <c r="P543" t="s">
        <v>69</v>
      </c>
      <c r="Q543" t="s">
        <v>57</v>
      </c>
      <c r="R543">
        <v>1</v>
      </c>
      <c r="S543">
        <v>9</v>
      </c>
      <c r="T543" t="s">
        <v>40</v>
      </c>
      <c r="U543" t="s">
        <v>95</v>
      </c>
      <c r="V543" t="s">
        <v>43</v>
      </c>
      <c r="W543" s="1">
        <v>45585</v>
      </c>
      <c r="X543" t="b">
        <v>0</v>
      </c>
      <c r="Y543" t="b">
        <v>0</v>
      </c>
      <c r="Z543" t="s">
        <v>89</v>
      </c>
      <c r="AA543" t="s">
        <v>77</v>
      </c>
      <c r="AB543">
        <v>1</v>
      </c>
      <c r="AF543" t="str">
        <f>tbl_OriginalData[[#This Row],[Customer_ID]]</f>
        <v>06-160-8063</v>
      </c>
      <c r="AG543">
        <f>tbl_OriginalData[[#This Row],[Age]]</f>
        <v>21</v>
      </c>
      <c r="AH543" t="str" cm="1">
        <f t="array" ref="AH54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43" t="str">
        <f>tbl_OriginalData[[#This Row],[Gender]]</f>
        <v>Bigender</v>
      </c>
      <c r="AJ543" t="str">
        <f>tbl_OriginalData[[#This Row],[Income_Level]]</f>
        <v>Middle</v>
      </c>
      <c r="AK543" t="str">
        <f>tbl_OriginalData[[#This Row],[Marital_Status]]</f>
        <v>Divorced</v>
      </c>
      <c r="AL543" t="str">
        <f>tbl_OriginalData[[#This Row],[Education_Level]]</f>
        <v>High School</v>
      </c>
      <c r="AM543" t="str">
        <f>tbl_OriginalData[[#This Row],[Occupation]]</f>
        <v>High</v>
      </c>
      <c r="AN543" t="s">
        <v>1298</v>
      </c>
      <c r="AO543" t="s">
        <v>713</v>
      </c>
      <c r="AP543" t="str">
        <f>tbl_OriginalData[[#This Row],[Purchase_Category]]</f>
        <v>Sports &amp; Outdoors</v>
      </c>
      <c r="AQ543" s="4">
        <f>tbl_OriginalData[[#This Row],[Purchase_Amount]]</f>
        <v>114.44</v>
      </c>
      <c r="AR543">
        <f>tbl_OriginalData[[#This Row],[Frequency_of_Purchase]]</f>
        <v>4</v>
      </c>
      <c r="AS543" t="str">
        <f>tbl_OriginalData[[#This Row],[Purchase_Channel]]</f>
        <v>Online</v>
      </c>
      <c r="AT543">
        <f>tbl_OriginalData[[#This Row],[Brand_Loyalty]]</f>
        <v>5</v>
      </c>
      <c r="AU543">
        <f>tbl_OriginalData[[#This Row],[Product_Rating]]</f>
        <v>3</v>
      </c>
      <c r="AV543">
        <f>tbl_OriginalData[[#This Row],[Time_Spent_on_Product_Research(hours)]]*60</f>
        <v>120</v>
      </c>
      <c r="AW543" t="str">
        <f>tbl_OriginalData[[#This Row],[Social_Media_Influence]]</f>
        <v>Low</v>
      </c>
      <c r="AX543" t="str">
        <f>tbl_OriginalData[[#This Row],[Discount_Sensitivity]]</f>
        <v>Not Sensitive</v>
      </c>
      <c r="AY543" s="3">
        <f>tbl_OriginalData[[#This Row],[Return_Rate]]/tbl_OriginalData[[#This Row],[Frequency_of_Purchase]]</f>
        <v>0.25</v>
      </c>
      <c r="AZ543">
        <f>tbl_OriginalData[[#This Row],[Customer_Satisfaction]]</f>
        <v>9</v>
      </c>
      <c r="BA543" t="str">
        <f>tbl_OriginalData[[#This Row],[Engagement_with_Ads]]</f>
        <v>None</v>
      </c>
      <c r="BB543" t="str">
        <f>tbl_OriginalData[[#This Row],[Device_Used_for_Shopping]]</f>
        <v>Desktop</v>
      </c>
      <c r="BC543" t="str">
        <f>tbl_OriginalData[[#This Row],[Payment_Method]]</f>
        <v>Credit Card</v>
      </c>
      <c r="BD543" s="1">
        <f>tbl_OriginalData[[#This Row],[Time_of_Purchase]]</f>
        <v>45585</v>
      </c>
      <c r="BE543" t="str">
        <f>IF(tbl_OriginalData[[#This Row],[Discount_Used]]=TRUE,"Yes","No")</f>
        <v>No</v>
      </c>
      <c r="BF543" t="str">
        <f>IF(tbl_OriginalData[[#This Row],[Customer_Loyalty_Program_Member]]=TRUE,"Yes","No")</f>
        <v>No</v>
      </c>
      <c r="BG543" t="str">
        <f>tbl_OriginalData[[#This Row],[Purchase_Intent]]</f>
        <v>Planned</v>
      </c>
      <c r="BH543" t="str">
        <f>tbl_OriginalData[[#This Row],[Shipping_Preference]]</f>
        <v>Express</v>
      </c>
      <c r="BI543">
        <f>tbl_OriginalData[[#This Row],[Time_to_Decision]]</f>
        <v>1</v>
      </c>
      <c r="BJ543" t="s">
        <v>79</v>
      </c>
      <c r="BK543" t="s">
        <v>80</v>
      </c>
      <c r="BL543" t="s">
        <v>2527</v>
      </c>
    </row>
    <row r="544" spans="1:64">
      <c r="A544" t="s">
        <v>1299</v>
      </c>
      <c r="B544">
        <v>19</v>
      </c>
      <c r="C544" t="s">
        <v>33</v>
      </c>
      <c r="D544" t="s">
        <v>34</v>
      </c>
      <c r="E544" t="s">
        <v>35</v>
      </c>
      <c r="F544" t="s">
        <v>66</v>
      </c>
      <c r="G544" t="s">
        <v>51</v>
      </c>
      <c r="H544" t="s">
        <v>1300</v>
      </c>
      <c r="I544" t="s">
        <v>112</v>
      </c>
      <c r="J544">
        <v>388.82</v>
      </c>
      <c r="K544">
        <v>10</v>
      </c>
      <c r="L544" t="s">
        <v>39</v>
      </c>
      <c r="M544">
        <v>2</v>
      </c>
      <c r="N544">
        <v>3</v>
      </c>
      <c r="O544">
        <v>0</v>
      </c>
      <c r="P544" t="s">
        <v>69</v>
      </c>
      <c r="Q544" t="s">
        <v>101</v>
      </c>
      <c r="R544">
        <v>0</v>
      </c>
      <c r="S544">
        <v>8</v>
      </c>
      <c r="T544" t="s">
        <v>69</v>
      </c>
      <c r="U544" t="s">
        <v>95</v>
      </c>
      <c r="V544" t="s">
        <v>76</v>
      </c>
      <c r="W544" s="1">
        <v>45538</v>
      </c>
      <c r="X544" t="b">
        <v>0</v>
      </c>
      <c r="Y544" t="b">
        <v>0</v>
      </c>
      <c r="Z544" t="s">
        <v>44</v>
      </c>
      <c r="AA544" t="s">
        <v>45</v>
      </c>
      <c r="AB544">
        <v>6</v>
      </c>
      <c r="AF544" t="str">
        <f>tbl_OriginalData[[#This Row],[Customer_ID]]</f>
        <v>73-434-2308</v>
      </c>
      <c r="AG544">
        <f>tbl_OriginalData[[#This Row],[Age]]</f>
        <v>19</v>
      </c>
      <c r="AH544" t="str" cm="1">
        <f t="array" ref="AH54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544" t="str">
        <f>tbl_OriginalData[[#This Row],[Gender]]</f>
        <v>Female</v>
      </c>
      <c r="AJ544" t="str">
        <f>tbl_OriginalData[[#This Row],[Income_Level]]</f>
        <v>Middle</v>
      </c>
      <c r="AK544" t="str">
        <f>tbl_OriginalData[[#This Row],[Marital_Status]]</f>
        <v>Married</v>
      </c>
      <c r="AL544" t="str">
        <f>tbl_OriginalData[[#This Row],[Education_Level]]</f>
        <v>Master's</v>
      </c>
      <c r="AM544" t="str">
        <f>tbl_OriginalData[[#This Row],[Occupation]]</f>
        <v>High</v>
      </c>
      <c r="AN544" t="s">
        <v>1300</v>
      </c>
      <c r="AO544" t="s">
        <v>61</v>
      </c>
      <c r="AP544" t="str">
        <f>tbl_OriginalData[[#This Row],[Purchase_Category]]</f>
        <v>Mobile Accessories</v>
      </c>
      <c r="AQ544" s="4">
        <f>tbl_OriginalData[[#This Row],[Purchase_Amount]]</f>
        <v>388.82</v>
      </c>
      <c r="AR544">
        <f>tbl_OriginalData[[#This Row],[Frequency_of_Purchase]]</f>
        <v>10</v>
      </c>
      <c r="AS544" t="str">
        <f>tbl_OriginalData[[#This Row],[Purchase_Channel]]</f>
        <v>Mixed</v>
      </c>
      <c r="AT544">
        <f>tbl_OriginalData[[#This Row],[Brand_Loyalty]]</f>
        <v>2</v>
      </c>
      <c r="AU544">
        <f>tbl_OriginalData[[#This Row],[Product_Rating]]</f>
        <v>3</v>
      </c>
      <c r="AV544">
        <f>tbl_OriginalData[[#This Row],[Time_Spent_on_Product_Research(hours)]]*60</f>
        <v>0</v>
      </c>
      <c r="AW544" t="str">
        <f>tbl_OriginalData[[#This Row],[Social_Media_Influence]]</f>
        <v>Low</v>
      </c>
      <c r="AX544" t="str">
        <f>tbl_OriginalData[[#This Row],[Discount_Sensitivity]]</f>
        <v>Very Sensitive</v>
      </c>
      <c r="AY544" s="3">
        <f>tbl_OriginalData[[#This Row],[Return_Rate]]/tbl_OriginalData[[#This Row],[Frequency_of_Purchase]]</f>
        <v>0</v>
      </c>
      <c r="AZ544">
        <f>tbl_OriginalData[[#This Row],[Customer_Satisfaction]]</f>
        <v>8</v>
      </c>
      <c r="BA544" t="str">
        <f>tbl_OriginalData[[#This Row],[Engagement_with_Ads]]</f>
        <v>Low</v>
      </c>
      <c r="BB544" t="str">
        <f>tbl_OriginalData[[#This Row],[Device_Used_for_Shopping]]</f>
        <v>Desktop</v>
      </c>
      <c r="BC544" t="str">
        <f>tbl_OriginalData[[#This Row],[Payment_Method]]</f>
        <v>Other</v>
      </c>
      <c r="BD544" s="1">
        <f>tbl_OriginalData[[#This Row],[Time_of_Purchase]]</f>
        <v>45538</v>
      </c>
      <c r="BE544" t="str">
        <f>IF(tbl_OriginalData[[#This Row],[Discount_Used]]=TRUE,"Yes","No")</f>
        <v>No</v>
      </c>
      <c r="BF544" t="str">
        <f>IF(tbl_OriginalData[[#This Row],[Customer_Loyalty_Program_Member]]=TRUE,"Yes","No")</f>
        <v>No</v>
      </c>
      <c r="BG544" t="str">
        <f>tbl_OriginalData[[#This Row],[Purchase_Intent]]</f>
        <v>Need-based</v>
      </c>
      <c r="BH544" t="str">
        <f>tbl_OriginalData[[#This Row],[Shipping_Preference]]</f>
        <v>No Preference</v>
      </c>
      <c r="BI544">
        <f>tbl_OriginalData[[#This Row],[Time_to_Decision]]</f>
        <v>6</v>
      </c>
      <c r="BJ544" t="s">
        <v>172</v>
      </c>
      <c r="BK544" t="s">
        <v>115</v>
      </c>
      <c r="BL544" t="s">
        <v>2524</v>
      </c>
    </row>
    <row r="545" spans="1:64">
      <c r="A545" t="s">
        <v>1301</v>
      </c>
      <c r="B545">
        <v>23</v>
      </c>
      <c r="C545" t="s">
        <v>33</v>
      </c>
      <c r="D545" t="s">
        <v>34</v>
      </c>
      <c r="E545" t="s">
        <v>35</v>
      </c>
      <c r="F545" t="s">
        <v>36</v>
      </c>
      <c r="G545" t="s">
        <v>51</v>
      </c>
      <c r="H545" t="s">
        <v>1302</v>
      </c>
      <c r="I545" t="s">
        <v>112</v>
      </c>
      <c r="J545">
        <v>58.32</v>
      </c>
      <c r="K545">
        <v>7</v>
      </c>
      <c r="L545" t="s">
        <v>55</v>
      </c>
      <c r="M545">
        <v>1</v>
      </c>
      <c r="N545">
        <v>5</v>
      </c>
      <c r="O545">
        <v>0</v>
      </c>
      <c r="P545" t="s">
        <v>69</v>
      </c>
      <c r="Q545" t="s">
        <v>57</v>
      </c>
      <c r="R545">
        <v>1</v>
      </c>
      <c r="S545">
        <v>6</v>
      </c>
      <c r="T545" t="s">
        <v>69</v>
      </c>
      <c r="U545" t="s">
        <v>70</v>
      </c>
      <c r="V545" t="s">
        <v>58</v>
      </c>
      <c r="W545" s="1">
        <v>45364</v>
      </c>
      <c r="X545" t="b">
        <v>1</v>
      </c>
      <c r="Y545" t="b">
        <v>1</v>
      </c>
      <c r="Z545" t="s">
        <v>44</v>
      </c>
      <c r="AA545" t="s">
        <v>60</v>
      </c>
      <c r="AB545">
        <v>8</v>
      </c>
      <c r="AF545" t="str">
        <f>tbl_OriginalData[[#This Row],[Customer_ID]]</f>
        <v>84-260-6464</v>
      </c>
      <c r="AG545">
        <f>tbl_OriginalData[[#This Row],[Age]]</f>
        <v>23</v>
      </c>
      <c r="AH545" t="str" cm="1">
        <f t="array" ref="AH54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45" t="str">
        <f>tbl_OriginalData[[#This Row],[Gender]]</f>
        <v>Female</v>
      </c>
      <c r="AJ545" t="str">
        <f>tbl_OriginalData[[#This Row],[Income_Level]]</f>
        <v>Middle</v>
      </c>
      <c r="AK545" t="str">
        <f>tbl_OriginalData[[#This Row],[Marital_Status]]</f>
        <v>Married</v>
      </c>
      <c r="AL545" t="str">
        <f>tbl_OriginalData[[#This Row],[Education_Level]]</f>
        <v>Bachelor's</v>
      </c>
      <c r="AM545" t="str">
        <f>tbl_OriginalData[[#This Row],[Occupation]]</f>
        <v>High</v>
      </c>
      <c r="AN545" t="s">
        <v>1302</v>
      </c>
      <c r="AO545" t="s">
        <v>194</v>
      </c>
      <c r="AP545" t="str">
        <f>tbl_OriginalData[[#This Row],[Purchase_Category]]</f>
        <v>Mobile Accessories</v>
      </c>
      <c r="AQ545" s="4">
        <f>tbl_OriginalData[[#This Row],[Purchase_Amount]]</f>
        <v>58.32</v>
      </c>
      <c r="AR545">
        <f>tbl_OriginalData[[#This Row],[Frequency_of_Purchase]]</f>
        <v>7</v>
      </c>
      <c r="AS545" t="str">
        <f>tbl_OriginalData[[#This Row],[Purchase_Channel]]</f>
        <v>In-Store</v>
      </c>
      <c r="AT545">
        <f>tbl_OriginalData[[#This Row],[Brand_Loyalty]]</f>
        <v>1</v>
      </c>
      <c r="AU545">
        <f>tbl_OriginalData[[#This Row],[Product_Rating]]</f>
        <v>5</v>
      </c>
      <c r="AV545">
        <f>tbl_OriginalData[[#This Row],[Time_Spent_on_Product_Research(hours)]]*60</f>
        <v>0</v>
      </c>
      <c r="AW545" t="str">
        <f>tbl_OriginalData[[#This Row],[Social_Media_Influence]]</f>
        <v>Low</v>
      </c>
      <c r="AX545" t="str">
        <f>tbl_OriginalData[[#This Row],[Discount_Sensitivity]]</f>
        <v>Not Sensitive</v>
      </c>
      <c r="AY545" s="3">
        <f>tbl_OriginalData[[#This Row],[Return_Rate]]/tbl_OriginalData[[#This Row],[Frequency_of_Purchase]]</f>
        <v>0.14285714285714285</v>
      </c>
      <c r="AZ545">
        <f>tbl_OriginalData[[#This Row],[Customer_Satisfaction]]</f>
        <v>6</v>
      </c>
      <c r="BA545" t="str">
        <f>tbl_OriginalData[[#This Row],[Engagement_with_Ads]]</f>
        <v>Low</v>
      </c>
      <c r="BB545" t="str">
        <f>tbl_OriginalData[[#This Row],[Device_Used_for_Shopping]]</f>
        <v>Smartphone</v>
      </c>
      <c r="BC545" t="str">
        <f>tbl_OriginalData[[#This Row],[Payment_Method]]</f>
        <v>PayPal</v>
      </c>
      <c r="BD545" s="1">
        <f>tbl_OriginalData[[#This Row],[Time_of_Purchase]]</f>
        <v>45364</v>
      </c>
      <c r="BE545" t="str">
        <f>IF(tbl_OriginalData[[#This Row],[Discount_Used]]=TRUE,"Yes","No")</f>
        <v>Yes</v>
      </c>
      <c r="BF545" t="str">
        <f>IF(tbl_OriginalData[[#This Row],[Customer_Loyalty_Program_Member]]=TRUE,"Yes","No")</f>
        <v>Yes</v>
      </c>
      <c r="BG545" t="str">
        <f>tbl_OriginalData[[#This Row],[Purchase_Intent]]</f>
        <v>Need-based</v>
      </c>
      <c r="BH545" t="str">
        <f>tbl_OriginalData[[#This Row],[Shipping_Preference]]</f>
        <v>Standard</v>
      </c>
      <c r="BI545">
        <f>tbl_OriginalData[[#This Row],[Time_to_Decision]]</f>
        <v>8</v>
      </c>
      <c r="BJ545" t="s">
        <v>47</v>
      </c>
      <c r="BK545" t="s">
        <v>48</v>
      </c>
      <c r="BL545" t="s">
        <v>2524</v>
      </c>
    </row>
    <row r="546" spans="1:64">
      <c r="A546" t="s">
        <v>1303</v>
      </c>
      <c r="B546">
        <v>28</v>
      </c>
      <c r="C546" t="s">
        <v>33</v>
      </c>
      <c r="D546" t="s">
        <v>51</v>
      </c>
      <c r="E546" t="s">
        <v>92</v>
      </c>
      <c r="F546" t="s">
        <v>66</v>
      </c>
      <c r="G546" t="s">
        <v>51</v>
      </c>
      <c r="H546" t="s">
        <v>1304</v>
      </c>
      <c r="I546" t="s">
        <v>199</v>
      </c>
      <c r="J546">
        <v>464.76</v>
      </c>
      <c r="K546">
        <v>2</v>
      </c>
      <c r="L546" t="s">
        <v>39</v>
      </c>
      <c r="M546">
        <v>5</v>
      </c>
      <c r="N546">
        <v>1</v>
      </c>
      <c r="O546">
        <v>0</v>
      </c>
      <c r="P546" t="s">
        <v>69</v>
      </c>
      <c r="Q546" t="s">
        <v>101</v>
      </c>
      <c r="R546">
        <v>0</v>
      </c>
      <c r="S546">
        <v>3</v>
      </c>
      <c r="T546" t="s">
        <v>69</v>
      </c>
      <c r="U546" t="s">
        <v>95</v>
      </c>
      <c r="V546" t="s">
        <v>71</v>
      </c>
      <c r="W546" s="1">
        <v>45326</v>
      </c>
      <c r="X546" t="b">
        <v>0</v>
      </c>
      <c r="Y546" t="b">
        <v>1</v>
      </c>
      <c r="Z546" t="s">
        <v>44</v>
      </c>
      <c r="AA546" t="s">
        <v>45</v>
      </c>
      <c r="AB546">
        <v>3</v>
      </c>
      <c r="AF546" t="str">
        <f>tbl_OriginalData[[#This Row],[Customer_ID]]</f>
        <v>00-149-4481</v>
      </c>
      <c r="AG546">
        <f>tbl_OriginalData[[#This Row],[Age]]</f>
        <v>28</v>
      </c>
      <c r="AH546" t="str" cm="1">
        <f t="array" ref="AH54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46" t="str">
        <f>tbl_OriginalData[[#This Row],[Gender]]</f>
        <v>Female</v>
      </c>
      <c r="AJ546" t="str">
        <f>tbl_OriginalData[[#This Row],[Income_Level]]</f>
        <v>High</v>
      </c>
      <c r="AK546" t="str">
        <f>tbl_OriginalData[[#This Row],[Marital_Status]]</f>
        <v>Divorced</v>
      </c>
      <c r="AL546" t="str">
        <f>tbl_OriginalData[[#This Row],[Education_Level]]</f>
        <v>Master's</v>
      </c>
      <c r="AM546" t="str">
        <f>tbl_OriginalData[[#This Row],[Occupation]]</f>
        <v>High</v>
      </c>
      <c r="AN546" t="s">
        <v>1304</v>
      </c>
      <c r="AO546" t="s">
        <v>823</v>
      </c>
      <c r="AP546" t="str">
        <f>tbl_OriginalData[[#This Row],[Purchase_Category]]</f>
        <v>Groceries</v>
      </c>
      <c r="AQ546" s="4">
        <f>tbl_OriginalData[[#This Row],[Purchase_Amount]]</f>
        <v>464.76</v>
      </c>
      <c r="AR546">
        <f>tbl_OriginalData[[#This Row],[Frequency_of_Purchase]]</f>
        <v>2</v>
      </c>
      <c r="AS546" t="str">
        <f>tbl_OriginalData[[#This Row],[Purchase_Channel]]</f>
        <v>Mixed</v>
      </c>
      <c r="AT546">
        <f>tbl_OriginalData[[#This Row],[Brand_Loyalty]]</f>
        <v>5</v>
      </c>
      <c r="AU546">
        <f>tbl_OriginalData[[#This Row],[Product_Rating]]</f>
        <v>1</v>
      </c>
      <c r="AV546">
        <f>tbl_OriginalData[[#This Row],[Time_Spent_on_Product_Research(hours)]]*60</f>
        <v>0</v>
      </c>
      <c r="AW546" t="str">
        <f>tbl_OriginalData[[#This Row],[Social_Media_Influence]]</f>
        <v>Low</v>
      </c>
      <c r="AX546" t="str">
        <f>tbl_OriginalData[[#This Row],[Discount_Sensitivity]]</f>
        <v>Very Sensitive</v>
      </c>
      <c r="AY546" s="3">
        <f>tbl_OriginalData[[#This Row],[Return_Rate]]/tbl_OriginalData[[#This Row],[Frequency_of_Purchase]]</f>
        <v>0</v>
      </c>
      <c r="AZ546">
        <f>tbl_OriginalData[[#This Row],[Customer_Satisfaction]]</f>
        <v>3</v>
      </c>
      <c r="BA546" t="str">
        <f>tbl_OriginalData[[#This Row],[Engagement_with_Ads]]</f>
        <v>Low</v>
      </c>
      <c r="BB546" t="str">
        <f>tbl_OriginalData[[#This Row],[Device_Used_for_Shopping]]</f>
        <v>Desktop</v>
      </c>
      <c r="BC546" t="str">
        <f>tbl_OriginalData[[#This Row],[Payment_Method]]</f>
        <v>Debit Card</v>
      </c>
      <c r="BD546" s="1">
        <f>tbl_OriginalData[[#This Row],[Time_of_Purchase]]</f>
        <v>45326</v>
      </c>
      <c r="BE546" t="str">
        <f>IF(tbl_OriginalData[[#This Row],[Discount_Used]]=TRUE,"Yes","No")</f>
        <v>No</v>
      </c>
      <c r="BF546" t="str">
        <f>IF(tbl_OriginalData[[#This Row],[Customer_Loyalty_Program_Member]]=TRUE,"Yes","No")</f>
        <v>Yes</v>
      </c>
      <c r="BG546" t="str">
        <f>tbl_OriginalData[[#This Row],[Purchase_Intent]]</f>
        <v>Need-based</v>
      </c>
      <c r="BH546" t="str">
        <f>tbl_OriginalData[[#This Row],[Shipping_Preference]]</f>
        <v>No Preference</v>
      </c>
      <c r="BI546">
        <f>tbl_OriginalData[[#This Row],[Time_to_Decision]]</f>
        <v>3</v>
      </c>
      <c r="BJ546" t="s">
        <v>158</v>
      </c>
      <c r="BK546" t="s">
        <v>48</v>
      </c>
      <c r="BL546" t="s">
        <v>2528</v>
      </c>
    </row>
    <row r="547" spans="1:64">
      <c r="A547" t="s">
        <v>1305</v>
      </c>
      <c r="B547">
        <v>27</v>
      </c>
      <c r="C547" t="s">
        <v>33</v>
      </c>
      <c r="D547" t="s">
        <v>51</v>
      </c>
      <c r="E547" t="s">
        <v>92</v>
      </c>
      <c r="F547" t="s">
        <v>66</v>
      </c>
      <c r="G547" t="s">
        <v>51</v>
      </c>
      <c r="H547" t="s">
        <v>1306</v>
      </c>
      <c r="I547" t="s">
        <v>75</v>
      </c>
      <c r="J547">
        <v>116.92</v>
      </c>
      <c r="K547">
        <v>7</v>
      </c>
      <c r="L547" t="s">
        <v>39</v>
      </c>
      <c r="M547">
        <v>2</v>
      </c>
      <c r="N547">
        <v>3</v>
      </c>
      <c r="O547">
        <v>2</v>
      </c>
      <c r="P547" t="s">
        <v>40</v>
      </c>
      <c r="Q547" t="s">
        <v>101</v>
      </c>
      <c r="R547">
        <v>2</v>
      </c>
      <c r="S547">
        <v>3</v>
      </c>
      <c r="T547" t="s">
        <v>69</v>
      </c>
      <c r="U547" t="s">
        <v>95</v>
      </c>
      <c r="V547" t="s">
        <v>71</v>
      </c>
      <c r="W547" s="1">
        <v>45382</v>
      </c>
      <c r="X547" t="b">
        <v>1</v>
      </c>
      <c r="Y547" t="b">
        <v>0</v>
      </c>
      <c r="Z547" t="s">
        <v>72</v>
      </c>
      <c r="AA547" t="s">
        <v>45</v>
      </c>
      <c r="AB547">
        <v>14</v>
      </c>
      <c r="AF547" t="str">
        <f>tbl_OriginalData[[#This Row],[Customer_ID]]</f>
        <v>05-710-6109</v>
      </c>
      <c r="AG547">
        <f>tbl_OriginalData[[#This Row],[Age]]</f>
        <v>27</v>
      </c>
      <c r="AH547" t="str" cm="1">
        <f t="array" ref="AH54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47" t="str">
        <f>tbl_OriginalData[[#This Row],[Gender]]</f>
        <v>Female</v>
      </c>
      <c r="AJ547" t="str">
        <f>tbl_OriginalData[[#This Row],[Income_Level]]</f>
        <v>High</v>
      </c>
      <c r="AK547" t="str">
        <f>tbl_OriginalData[[#This Row],[Marital_Status]]</f>
        <v>Divorced</v>
      </c>
      <c r="AL547" t="str">
        <f>tbl_OriginalData[[#This Row],[Education_Level]]</f>
        <v>Master's</v>
      </c>
      <c r="AM547" t="str">
        <f>tbl_OriginalData[[#This Row],[Occupation]]</f>
        <v>High</v>
      </c>
      <c r="AN547" t="s">
        <v>1306</v>
      </c>
      <c r="AO547" t="s">
        <v>246</v>
      </c>
      <c r="AP547" t="str">
        <f>tbl_OriginalData[[#This Row],[Purchase_Category]]</f>
        <v>Home Appliances</v>
      </c>
      <c r="AQ547" s="4">
        <f>tbl_OriginalData[[#This Row],[Purchase_Amount]]</f>
        <v>116.92</v>
      </c>
      <c r="AR547">
        <f>tbl_OriginalData[[#This Row],[Frequency_of_Purchase]]</f>
        <v>7</v>
      </c>
      <c r="AS547" t="str">
        <f>tbl_OriginalData[[#This Row],[Purchase_Channel]]</f>
        <v>Mixed</v>
      </c>
      <c r="AT547">
        <f>tbl_OriginalData[[#This Row],[Brand_Loyalty]]</f>
        <v>2</v>
      </c>
      <c r="AU547">
        <f>tbl_OriginalData[[#This Row],[Product_Rating]]</f>
        <v>3</v>
      </c>
      <c r="AV547">
        <f>tbl_OriginalData[[#This Row],[Time_Spent_on_Product_Research(hours)]]*60</f>
        <v>120</v>
      </c>
      <c r="AW547" t="str">
        <f>tbl_OriginalData[[#This Row],[Social_Media_Influence]]</f>
        <v>None</v>
      </c>
      <c r="AX547" t="str">
        <f>tbl_OriginalData[[#This Row],[Discount_Sensitivity]]</f>
        <v>Very Sensitive</v>
      </c>
      <c r="AY547" s="3">
        <f>tbl_OriginalData[[#This Row],[Return_Rate]]/tbl_OriginalData[[#This Row],[Frequency_of_Purchase]]</f>
        <v>0.2857142857142857</v>
      </c>
      <c r="AZ547">
        <f>tbl_OriginalData[[#This Row],[Customer_Satisfaction]]</f>
        <v>3</v>
      </c>
      <c r="BA547" t="str">
        <f>tbl_OriginalData[[#This Row],[Engagement_with_Ads]]</f>
        <v>Low</v>
      </c>
      <c r="BB547" t="str">
        <f>tbl_OriginalData[[#This Row],[Device_Used_for_Shopping]]</f>
        <v>Desktop</v>
      </c>
      <c r="BC547" t="str">
        <f>tbl_OriginalData[[#This Row],[Payment_Method]]</f>
        <v>Debit Card</v>
      </c>
      <c r="BD547" s="1">
        <f>tbl_OriginalData[[#This Row],[Time_of_Purchase]]</f>
        <v>45382</v>
      </c>
      <c r="BE547" t="str">
        <f>IF(tbl_OriginalData[[#This Row],[Discount_Used]]=TRUE,"Yes","No")</f>
        <v>Yes</v>
      </c>
      <c r="BF547" t="str">
        <f>IF(tbl_OriginalData[[#This Row],[Customer_Loyalty_Program_Member]]=TRUE,"Yes","No")</f>
        <v>No</v>
      </c>
      <c r="BG547" t="str">
        <f>tbl_OriginalData[[#This Row],[Purchase_Intent]]</f>
        <v>Impulsive</v>
      </c>
      <c r="BH547" t="str">
        <f>tbl_OriginalData[[#This Row],[Shipping_Preference]]</f>
        <v>No Preference</v>
      </c>
      <c r="BI547">
        <f>tbl_OriginalData[[#This Row],[Time_to_Decision]]</f>
        <v>14</v>
      </c>
      <c r="BJ547" t="s">
        <v>47</v>
      </c>
      <c r="BK547" t="s">
        <v>48</v>
      </c>
      <c r="BL547" t="s">
        <v>2523</v>
      </c>
    </row>
    <row r="548" spans="1:64">
      <c r="A548" t="s">
        <v>1307</v>
      </c>
      <c r="B548">
        <v>47</v>
      </c>
      <c r="C548" t="s">
        <v>33</v>
      </c>
      <c r="D548" t="s">
        <v>51</v>
      </c>
      <c r="E548" t="s">
        <v>92</v>
      </c>
      <c r="F548" t="s">
        <v>36</v>
      </c>
      <c r="G548" t="s">
        <v>34</v>
      </c>
      <c r="H548" t="s">
        <v>1308</v>
      </c>
      <c r="I548" t="s">
        <v>306</v>
      </c>
      <c r="J548">
        <v>396.76</v>
      </c>
      <c r="K548">
        <v>8</v>
      </c>
      <c r="L548" t="s">
        <v>94</v>
      </c>
      <c r="M548">
        <v>3</v>
      </c>
      <c r="N548">
        <v>3</v>
      </c>
      <c r="O548">
        <v>1</v>
      </c>
      <c r="P548" t="s">
        <v>40</v>
      </c>
      <c r="Q548" t="s">
        <v>101</v>
      </c>
      <c r="R548">
        <v>2</v>
      </c>
      <c r="S548">
        <v>4</v>
      </c>
      <c r="T548" t="s">
        <v>51</v>
      </c>
      <c r="U548" t="s">
        <v>42</v>
      </c>
      <c r="V548" t="s">
        <v>102</v>
      </c>
      <c r="W548" s="1">
        <v>45490</v>
      </c>
      <c r="X548" t="b">
        <v>1</v>
      </c>
      <c r="Y548" t="b">
        <v>1</v>
      </c>
      <c r="Z548" t="s">
        <v>89</v>
      </c>
      <c r="AA548" t="s">
        <v>77</v>
      </c>
      <c r="AB548">
        <v>8</v>
      </c>
      <c r="AF548" t="str">
        <f>tbl_OriginalData[[#This Row],[Customer_ID]]</f>
        <v>84-724-8407</v>
      </c>
      <c r="AG548">
        <f>tbl_OriginalData[[#This Row],[Age]]</f>
        <v>47</v>
      </c>
      <c r="AH548" t="str" cm="1">
        <f t="array" ref="AH54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48" t="str">
        <f>tbl_OriginalData[[#This Row],[Gender]]</f>
        <v>Female</v>
      </c>
      <c r="AJ548" t="str">
        <f>tbl_OriginalData[[#This Row],[Income_Level]]</f>
        <v>High</v>
      </c>
      <c r="AK548" t="str">
        <f>tbl_OriginalData[[#This Row],[Marital_Status]]</f>
        <v>Divorced</v>
      </c>
      <c r="AL548" t="str">
        <f>tbl_OriginalData[[#This Row],[Education_Level]]</f>
        <v>Bachelor's</v>
      </c>
      <c r="AM548" t="str">
        <f>tbl_OriginalData[[#This Row],[Occupation]]</f>
        <v>Middle</v>
      </c>
      <c r="AN548" t="s">
        <v>1308</v>
      </c>
      <c r="AO548" t="s">
        <v>246</v>
      </c>
      <c r="AP548" t="str">
        <f>tbl_OriginalData[[#This Row],[Purchase_Category]]</f>
        <v>Jewelry &amp; Accessories</v>
      </c>
      <c r="AQ548" s="4">
        <f>tbl_OriginalData[[#This Row],[Purchase_Amount]]</f>
        <v>396.76</v>
      </c>
      <c r="AR548">
        <f>tbl_OriginalData[[#This Row],[Frequency_of_Purchase]]</f>
        <v>8</v>
      </c>
      <c r="AS548" t="str">
        <f>tbl_OriginalData[[#This Row],[Purchase_Channel]]</f>
        <v>Online</v>
      </c>
      <c r="AT548">
        <f>tbl_OriginalData[[#This Row],[Brand_Loyalty]]</f>
        <v>3</v>
      </c>
      <c r="AU548">
        <f>tbl_OriginalData[[#This Row],[Product_Rating]]</f>
        <v>3</v>
      </c>
      <c r="AV548">
        <f>tbl_OriginalData[[#This Row],[Time_Spent_on_Product_Research(hours)]]*60</f>
        <v>60</v>
      </c>
      <c r="AW548" t="str">
        <f>tbl_OriginalData[[#This Row],[Social_Media_Influence]]</f>
        <v>None</v>
      </c>
      <c r="AX548" t="str">
        <f>tbl_OriginalData[[#This Row],[Discount_Sensitivity]]</f>
        <v>Very Sensitive</v>
      </c>
      <c r="AY548" s="3">
        <f>tbl_OriginalData[[#This Row],[Return_Rate]]/tbl_OriginalData[[#This Row],[Frequency_of_Purchase]]</f>
        <v>0.25</v>
      </c>
      <c r="AZ548">
        <f>tbl_OriginalData[[#This Row],[Customer_Satisfaction]]</f>
        <v>4</v>
      </c>
      <c r="BA548" t="str">
        <f>tbl_OriginalData[[#This Row],[Engagement_with_Ads]]</f>
        <v>High</v>
      </c>
      <c r="BB548" t="str">
        <f>tbl_OriginalData[[#This Row],[Device_Used_for_Shopping]]</f>
        <v>Tablet</v>
      </c>
      <c r="BC548" t="str">
        <f>tbl_OriginalData[[#This Row],[Payment_Method]]</f>
        <v>Cash</v>
      </c>
      <c r="BD548" s="1">
        <f>tbl_OriginalData[[#This Row],[Time_of_Purchase]]</f>
        <v>45490</v>
      </c>
      <c r="BE548" t="str">
        <f>IF(tbl_OriginalData[[#This Row],[Discount_Used]]=TRUE,"Yes","No")</f>
        <v>Yes</v>
      </c>
      <c r="BF548" t="str">
        <f>IF(tbl_OriginalData[[#This Row],[Customer_Loyalty_Program_Member]]=TRUE,"Yes","No")</f>
        <v>Yes</v>
      </c>
      <c r="BG548" t="str">
        <f>tbl_OriginalData[[#This Row],[Purchase_Intent]]</f>
        <v>Planned</v>
      </c>
      <c r="BH548" t="str">
        <f>tbl_OriginalData[[#This Row],[Shipping_Preference]]</f>
        <v>Express</v>
      </c>
      <c r="BI548">
        <f>tbl_OriginalData[[#This Row],[Time_to_Decision]]</f>
        <v>8</v>
      </c>
      <c r="BJ548" t="s">
        <v>114</v>
      </c>
      <c r="BK548" t="s">
        <v>115</v>
      </c>
      <c r="BL548" t="s">
        <v>2523</v>
      </c>
    </row>
    <row r="549" spans="1:64">
      <c r="A549" t="s">
        <v>1309</v>
      </c>
      <c r="B549">
        <v>20</v>
      </c>
      <c r="C549" t="s">
        <v>340</v>
      </c>
      <c r="D549" t="s">
        <v>51</v>
      </c>
      <c r="E549" t="s">
        <v>82</v>
      </c>
      <c r="F549" t="s">
        <v>66</v>
      </c>
      <c r="G549" t="s">
        <v>34</v>
      </c>
      <c r="H549" t="s">
        <v>1310</v>
      </c>
      <c r="I549" t="s">
        <v>143</v>
      </c>
      <c r="J549">
        <v>393.35</v>
      </c>
      <c r="K549">
        <v>7</v>
      </c>
      <c r="L549" t="s">
        <v>39</v>
      </c>
      <c r="M549">
        <v>3</v>
      </c>
      <c r="N549">
        <v>4</v>
      </c>
      <c r="O549">
        <v>2</v>
      </c>
      <c r="P549" t="s">
        <v>51</v>
      </c>
      <c r="Q549" t="s">
        <v>57</v>
      </c>
      <c r="R549">
        <v>0</v>
      </c>
      <c r="S549">
        <v>4</v>
      </c>
      <c r="T549" t="s">
        <v>51</v>
      </c>
      <c r="U549" t="s">
        <v>42</v>
      </c>
      <c r="V549" t="s">
        <v>43</v>
      </c>
      <c r="W549" s="1">
        <v>45459</v>
      </c>
      <c r="X549" t="b">
        <v>1</v>
      </c>
      <c r="Y549" t="b">
        <v>1</v>
      </c>
      <c r="Z549" t="s">
        <v>44</v>
      </c>
      <c r="AA549" t="s">
        <v>45</v>
      </c>
      <c r="AB549">
        <v>12</v>
      </c>
      <c r="AF549" t="str">
        <f>tbl_OriginalData[[#This Row],[Customer_ID]]</f>
        <v>45-795-1873</v>
      </c>
      <c r="AG549">
        <f>tbl_OriginalData[[#This Row],[Age]]</f>
        <v>20</v>
      </c>
      <c r="AH549" t="str" cm="1">
        <f t="array" ref="AH54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49" t="str">
        <f>tbl_OriginalData[[#This Row],[Gender]]</f>
        <v>Agender</v>
      </c>
      <c r="AJ549" t="str">
        <f>tbl_OriginalData[[#This Row],[Income_Level]]</f>
        <v>High</v>
      </c>
      <c r="AK549" t="str">
        <f>tbl_OriginalData[[#This Row],[Marital_Status]]</f>
        <v>Widowed</v>
      </c>
      <c r="AL549" t="str">
        <f>tbl_OriginalData[[#This Row],[Education_Level]]</f>
        <v>Master's</v>
      </c>
      <c r="AM549" t="str">
        <f>tbl_OriginalData[[#This Row],[Occupation]]</f>
        <v>Middle</v>
      </c>
      <c r="AN549" t="s">
        <v>1310</v>
      </c>
      <c r="AO549" t="s">
        <v>109</v>
      </c>
      <c r="AP549" t="str">
        <f>tbl_OriginalData[[#This Row],[Purchase_Category]]</f>
        <v>Packages)</v>
      </c>
      <c r="AQ549" s="4">
        <f>tbl_OriginalData[[#This Row],[Purchase_Amount]]</f>
        <v>393.35</v>
      </c>
      <c r="AR549">
        <f>tbl_OriginalData[[#This Row],[Frequency_of_Purchase]]</f>
        <v>7</v>
      </c>
      <c r="AS549" t="str">
        <f>tbl_OriginalData[[#This Row],[Purchase_Channel]]</f>
        <v>Mixed</v>
      </c>
      <c r="AT549">
        <f>tbl_OriginalData[[#This Row],[Brand_Loyalty]]</f>
        <v>3</v>
      </c>
      <c r="AU549">
        <f>tbl_OriginalData[[#This Row],[Product_Rating]]</f>
        <v>4</v>
      </c>
      <c r="AV549">
        <f>tbl_OriginalData[[#This Row],[Time_Spent_on_Product_Research(hours)]]*60</f>
        <v>120</v>
      </c>
      <c r="AW549" t="str">
        <f>tbl_OriginalData[[#This Row],[Social_Media_Influence]]</f>
        <v>High</v>
      </c>
      <c r="AX549" t="str">
        <f>tbl_OriginalData[[#This Row],[Discount_Sensitivity]]</f>
        <v>Not Sensitive</v>
      </c>
      <c r="AY549" s="3">
        <f>tbl_OriginalData[[#This Row],[Return_Rate]]/tbl_OriginalData[[#This Row],[Frequency_of_Purchase]]</f>
        <v>0</v>
      </c>
      <c r="AZ549">
        <f>tbl_OriginalData[[#This Row],[Customer_Satisfaction]]</f>
        <v>4</v>
      </c>
      <c r="BA549" t="str">
        <f>tbl_OriginalData[[#This Row],[Engagement_with_Ads]]</f>
        <v>High</v>
      </c>
      <c r="BB549" t="str">
        <f>tbl_OriginalData[[#This Row],[Device_Used_for_Shopping]]</f>
        <v>Tablet</v>
      </c>
      <c r="BC549" t="str">
        <f>tbl_OriginalData[[#This Row],[Payment_Method]]</f>
        <v>Credit Card</v>
      </c>
      <c r="BD549" s="1">
        <f>tbl_OriginalData[[#This Row],[Time_of_Purchase]]</f>
        <v>45459</v>
      </c>
      <c r="BE549" t="str">
        <f>IF(tbl_OriginalData[[#This Row],[Discount_Used]]=TRUE,"Yes","No")</f>
        <v>Yes</v>
      </c>
      <c r="BF549" t="str">
        <f>IF(tbl_OriginalData[[#This Row],[Customer_Loyalty_Program_Member]]=TRUE,"Yes","No")</f>
        <v>Yes</v>
      </c>
      <c r="BG549" t="str">
        <f>tbl_OriginalData[[#This Row],[Purchase_Intent]]</f>
        <v>Need-based</v>
      </c>
      <c r="BH549" t="str">
        <f>tbl_OriginalData[[#This Row],[Shipping_Preference]]</f>
        <v>No Preference</v>
      </c>
      <c r="BI549">
        <f>tbl_OriginalData[[#This Row],[Time_to_Decision]]</f>
        <v>12</v>
      </c>
      <c r="BJ549" t="s">
        <v>104</v>
      </c>
      <c r="BK549" t="s">
        <v>63</v>
      </c>
      <c r="BL549" t="s">
        <v>2526</v>
      </c>
    </row>
    <row r="550" spans="1:64">
      <c r="A550" t="s">
        <v>1311</v>
      </c>
      <c r="B550">
        <v>26</v>
      </c>
      <c r="C550" t="s">
        <v>33</v>
      </c>
      <c r="D550" t="s">
        <v>51</v>
      </c>
      <c r="E550" t="s">
        <v>65</v>
      </c>
      <c r="F550" t="s">
        <v>66</v>
      </c>
      <c r="G550" t="s">
        <v>51</v>
      </c>
      <c r="H550" t="s">
        <v>1312</v>
      </c>
      <c r="I550" t="s">
        <v>147</v>
      </c>
      <c r="J550">
        <v>114.03</v>
      </c>
      <c r="K550">
        <v>7</v>
      </c>
      <c r="L550" t="s">
        <v>39</v>
      </c>
      <c r="M550">
        <v>4</v>
      </c>
      <c r="N550">
        <v>3</v>
      </c>
      <c r="O550">
        <v>0</v>
      </c>
      <c r="P550" t="s">
        <v>56</v>
      </c>
      <c r="Q550" t="s">
        <v>57</v>
      </c>
      <c r="R550">
        <v>1</v>
      </c>
      <c r="S550">
        <v>10</v>
      </c>
      <c r="T550" t="s">
        <v>51</v>
      </c>
      <c r="U550" t="s">
        <v>42</v>
      </c>
      <c r="V550" t="s">
        <v>43</v>
      </c>
      <c r="W550" s="1">
        <v>45395</v>
      </c>
      <c r="X550" t="b">
        <v>1</v>
      </c>
      <c r="Y550" t="b">
        <v>1</v>
      </c>
      <c r="Z550" t="s">
        <v>89</v>
      </c>
      <c r="AA550" t="s">
        <v>45</v>
      </c>
      <c r="AB550">
        <v>6</v>
      </c>
      <c r="AF550" t="str">
        <f>tbl_OriginalData[[#This Row],[Customer_ID]]</f>
        <v>06-647-3248</v>
      </c>
      <c r="AG550">
        <f>tbl_OriginalData[[#This Row],[Age]]</f>
        <v>26</v>
      </c>
      <c r="AH550" t="str" cm="1">
        <f t="array" ref="AH55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50" t="str">
        <f>tbl_OriginalData[[#This Row],[Gender]]</f>
        <v>Female</v>
      </c>
      <c r="AJ550" t="str">
        <f>tbl_OriginalData[[#This Row],[Income_Level]]</f>
        <v>High</v>
      </c>
      <c r="AK550" t="str">
        <f>tbl_OriginalData[[#This Row],[Marital_Status]]</f>
        <v>Single</v>
      </c>
      <c r="AL550" t="str">
        <f>tbl_OriginalData[[#This Row],[Education_Level]]</f>
        <v>Master's</v>
      </c>
      <c r="AM550" t="str">
        <f>tbl_OriginalData[[#This Row],[Occupation]]</f>
        <v>High</v>
      </c>
      <c r="AN550" t="s">
        <v>1312</v>
      </c>
      <c r="AO550" t="s">
        <v>61</v>
      </c>
      <c r="AP550" t="str">
        <f>tbl_OriginalData[[#This Row],[Purchase_Category]]</f>
        <v>Electronics</v>
      </c>
      <c r="AQ550" s="4">
        <f>tbl_OriginalData[[#This Row],[Purchase_Amount]]</f>
        <v>114.03</v>
      </c>
      <c r="AR550">
        <f>tbl_OriginalData[[#This Row],[Frequency_of_Purchase]]</f>
        <v>7</v>
      </c>
      <c r="AS550" t="str">
        <f>tbl_OriginalData[[#This Row],[Purchase_Channel]]</f>
        <v>Mixed</v>
      </c>
      <c r="AT550">
        <f>tbl_OriginalData[[#This Row],[Brand_Loyalty]]</f>
        <v>4</v>
      </c>
      <c r="AU550">
        <f>tbl_OriginalData[[#This Row],[Product_Rating]]</f>
        <v>3</v>
      </c>
      <c r="AV550">
        <f>tbl_OriginalData[[#This Row],[Time_Spent_on_Product_Research(hours)]]*60</f>
        <v>0</v>
      </c>
      <c r="AW550" t="str">
        <f>tbl_OriginalData[[#This Row],[Social_Media_Influence]]</f>
        <v>Medium</v>
      </c>
      <c r="AX550" t="str">
        <f>tbl_OriginalData[[#This Row],[Discount_Sensitivity]]</f>
        <v>Not Sensitive</v>
      </c>
      <c r="AY550" s="3">
        <f>tbl_OriginalData[[#This Row],[Return_Rate]]/tbl_OriginalData[[#This Row],[Frequency_of_Purchase]]</f>
        <v>0.14285714285714285</v>
      </c>
      <c r="AZ550">
        <f>tbl_OriginalData[[#This Row],[Customer_Satisfaction]]</f>
        <v>10</v>
      </c>
      <c r="BA550" t="str">
        <f>tbl_OriginalData[[#This Row],[Engagement_with_Ads]]</f>
        <v>High</v>
      </c>
      <c r="BB550" t="str">
        <f>tbl_OriginalData[[#This Row],[Device_Used_for_Shopping]]</f>
        <v>Tablet</v>
      </c>
      <c r="BC550" t="str">
        <f>tbl_OriginalData[[#This Row],[Payment_Method]]</f>
        <v>Credit Card</v>
      </c>
      <c r="BD550" s="1">
        <f>tbl_OriginalData[[#This Row],[Time_of_Purchase]]</f>
        <v>45395</v>
      </c>
      <c r="BE550" t="str">
        <f>IF(tbl_OriginalData[[#This Row],[Discount_Used]]=TRUE,"Yes","No")</f>
        <v>Yes</v>
      </c>
      <c r="BF550" t="str">
        <f>IF(tbl_OriginalData[[#This Row],[Customer_Loyalty_Program_Member]]=TRUE,"Yes","No")</f>
        <v>Yes</v>
      </c>
      <c r="BG550" t="str">
        <f>tbl_OriginalData[[#This Row],[Purchase_Intent]]</f>
        <v>Planned</v>
      </c>
      <c r="BH550" t="str">
        <f>tbl_OriginalData[[#This Row],[Shipping_Preference]]</f>
        <v>No Preference</v>
      </c>
      <c r="BI550">
        <f>tbl_OriginalData[[#This Row],[Time_to_Decision]]</f>
        <v>6</v>
      </c>
      <c r="BJ550" t="s">
        <v>62</v>
      </c>
      <c r="BK550" t="s">
        <v>63</v>
      </c>
      <c r="BL550" t="s">
        <v>2524</v>
      </c>
    </row>
    <row r="551" spans="1:64">
      <c r="A551" t="s">
        <v>1313</v>
      </c>
      <c r="B551">
        <v>49</v>
      </c>
      <c r="C551" t="s">
        <v>50</v>
      </c>
      <c r="D551" t="s">
        <v>51</v>
      </c>
      <c r="E551" t="s">
        <v>65</v>
      </c>
      <c r="F551" t="s">
        <v>36</v>
      </c>
      <c r="G551" t="s">
        <v>34</v>
      </c>
      <c r="H551" t="s">
        <v>1314</v>
      </c>
      <c r="I551" t="s">
        <v>180</v>
      </c>
      <c r="J551">
        <v>109.97</v>
      </c>
      <c r="K551">
        <v>4</v>
      </c>
      <c r="L551" t="s">
        <v>55</v>
      </c>
      <c r="M551">
        <v>4</v>
      </c>
      <c r="N551">
        <v>4</v>
      </c>
      <c r="O551">
        <v>1</v>
      </c>
      <c r="P551" t="s">
        <v>40</v>
      </c>
      <c r="Q551" t="s">
        <v>101</v>
      </c>
      <c r="R551">
        <v>1</v>
      </c>
      <c r="S551">
        <v>5</v>
      </c>
      <c r="T551" t="s">
        <v>40</v>
      </c>
      <c r="U551" t="s">
        <v>42</v>
      </c>
      <c r="V551" t="s">
        <v>43</v>
      </c>
      <c r="W551" s="1">
        <v>45516</v>
      </c>
      <c r="X551" t="b">
        <v>1</v>
      </c>
      <c r="Y551" t="b">
        <v>0</v>
      </c>
      <c r="Z551" t="s">
        <v>59</v>
      </c>
      <c r="AA551" t="s">
        <v>45</v>
      </c>
      <c r="AB551">
        <v>1</v>
      </c>
      <c r="AF551" t="str">
        <f>tbl_OriginalData[[#This Row],[Customer_ID]]</f>
        <v>06-767-5206</v>
      </c>
      <c r="AG551">
        <f>tbl_OriginalData[[#This Row],[Age]]</f>
        <v>49</v>
      </c>
      <c r="AH551" t="str" cm="1">
        <f t="array" ref="AH55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51" t="str">
        <f>tbl_OriginalData[[#This Row],[Gender]]</f>
        <v>Male</v>
      </c>
      <c r="AJ551" t="str">
        <f>tbl_OriginalData[[#This Row],[Income_Level]]</f>
        <v>High</v>
      </c>
      <c r="AK551" t="str">
        <f>tbl_OriginalData[[#This Row],[Marital_Status]]</f>
        <v>Single</v>
      </c>
      <c r="AL551" t="str">
        <f>tbl_OriginalData[[#This Row],[Education_Level]]</f>
        <v>Bachelor's</v>
      </c>
      <c r="AM551" t="str">
        <f>tbl_OriginalData[[#This Row],[Occupation]]</f>
        <v>Middle</v>
      </c>
      <c r="AN551" t="s">
        <v>1314</v>
      </c>
      <c r="AO551" t="s">
        <v>1315</v>
      </c>
      <c r="AP551" t="str">
        <f>tbl_OriginalData[[#This Row],[Purchase_Category]]</f>
        <v>Health Supplements</v>
      </c>
      <c r="AQ551" s="4">
        <f>tbl_OriginalData[[#This Row],[Purchase_Amount]]</f>
        <v>109.97</v>
      </c>
      <c r="AR551">
        <f>tbl_OriginalData[[#This Row],[Frequency_of_Purchase]]</f>
        <v>4</v>
      </c>
      <c r="AS551" t="str">
        <f>tbl_OriginalData[[#This Row],[Purchase_Channel]]</f>
        <v>In-Store</v>
      </c>
      <c r="AT551">
        <f>tbl_OriginalData[[#This Row],[Brand_Loyalty]]</f>
        <v>4</v>
      </c>
      <c r="AU551">
        <f>tbl_OriginalData[[#This Row],[Product_Rating]]</f>
        <v>4</v>
      </c>
      <c r="AV551">
        <f>tbl_OriginalData[[#This Row],[Time_Spent_on_Product_Research(hours)]]*60</f>
        <v>60</v>
      </c>
      <c r="AW551" t="str">
        <f>tbl_OriginalData[[#This Row],[Social_Media_Influence]]</f>
        <v>None</v>
      </c>
      <c r="AX551" t="str">
        <f>tbl_OriginalData[[#This Row],[Discount_Sensitivity]]</f>
        <v>Very Sensitive</v>
      </c>
      <c r="AY551" s="3">
        <f>tbl_OriginalData[[#This Row],[Return_Rate]]/tbl_OriginalData[[#This Row],[Frequency_of_Purchase]]</f>
        <v>0.25</v>
      </c>
      <c r="AZ551">
        <f>tbl_OriginalData[[#This Row],[Customer_Satisfaction]]</f>
        <v>5</v>
      </c>
      <c r="BA551" t="str">
        <f>tbl_OriginalData[[#This Row],[Engagement_with_Ads]]</f>
        <v>None</v>
      </c>
      <c r="BB551" t="str">
        <f>tbl_OriginalData[[#This Row],[Device_Used_for_Shopping]]</f>
        <v>Tablet</v>
      </c>
      <c r="BC551" t="str">
        <f>tbl_OriginalData[[#This Row],[Payment_Method]]</f>
        <v>Credit Card</v>
      </c>
      <c r="BD551" s="1">
        <f>tbl_OriginalData[[#This Row],[Time_of_Purchase]]</f>
        <v>45516</v>
      </c>
      <c r="BE551" t="str">
        <f>IF(tbl_OriginalData[[#This Row],[Discount_Used]]=TRUE,"Yes","No")</f>
        <v>Yes</v>
      </c>
      <c r="BF551" t="str">
        <f>IF(tbl_OriginalData[[#This Row],[Customer_Loyalty_Program_Member]]=TRUE,"Yes","No")</f>
        <v>No</v>
      </c>
      <c r="BG551" t="str">
        <f>tbl_OriginalData[[#This Row],[Purchase_Intent]]</f>
        <v>Wants-based</v>
      </c>
      <c r="BH551" t="str">
        <f>tbl_OriginalData[[#This Row],[Shipping_Preference]]</f>
        <v>No Preference</v>
      </c>
      <c r="BI551">
        <f>tbl_OriginalData[[#This Row],[Time_to_Decision]]</f>
        <v>1</v>
      </c>
      <c r="BJ551" t="s">
        <v>124</v>
      </c>
      <c r="BK551" t="s">
        <v>115</v>
      </c>
      <c r="BL551" t="s">
        <v>2528</v>
      </c>
    </row>
    <row r="552" spans="1:64">
      <c r="A552" t="s">
        <v>1316</v>
      </c>
      <c r="B552">
        <v>39</v>
      </c>
      <c r="C552" t="s">
        <v>33</v>
      </c>
      <c r="D552" t="s">
        <v>51</v>
      </c>
      <c r="E552" t="s">
        <v>82</v>
      </c>
      <c r="F552" t="s">
        <v>66</v>
      </c>
      <c r="G552" t="s">
        <v>51</v>
      </c>
      <c r="H552" t="s">
        <v>1317</v>
      </c>
      <c r="I552" t="s">
        <v>235</v>
      </c>
      <c r="J552">
        <v>310.23</v>
      </c>
      <c r="K552">
        <v>12</v>
      </c>
      <c r="L552" t="s">
        <v>55</v>
      </c>
      <c r="M552">
        <v>1</v>
      </c>
      <c r="N552">
        <v>4</v>
      </c>
      <c r="O552">
        <v>0</v>
      </c>
      <c r="P552" t="s">
        <v>40</v>
      </c>
      <c r="Q552" t="s">
        <v>41</v>
      </c>
      <c r="R552">
        <v>0</v>
      </c>
      <c r="S552">
        <v>6</v>
      </c>
      <c r="T552" t="s">
        <v>40</v>
      </c>
      <c r="U552" t="s">
        <v>95</v>
      </c>
      <c r="V552" t="s">
        <v>58</v>
      </c>
      <c r="W552" s="1">
        <v>45643</v>
      </c>
      <c r="X552" t="b">
        <v>1</v>
      </c>
      <c r="Y552" t="b">
        <v>0</v>
      </c>
      <c r="Z552" t="s">
        <v>72</v>
      </c>
      <c r="AA552" t="s">
        <v>77</v>
      </c>
      <c r="AB552">
        <v>3</v>
      </c>
      <c r="AF552" t="str">
        <f>tbl_OriginalData[[#This Row],[Customer_ID]]</f>
        <v>94-288-4423</v>
      </c>
      <c r="AG552">
        <f>tbl_OriginalData[[#This Row],[Age]]</f>
        <v>39</v>
      </c>
      <c r="AH552" t="str" cm="1">
        <f t="array" ref="AH55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52" t="str">
        <f>tbl_OriginalData[[#This Row],[Gender]]</f>
        <v>Female</v>
      </c>
      <c r="AJ552" t="str">
        <f>tbl_OriginalData[[#This Row],[Income_Level]]</f>
        <v>High</v>
      </c>
      <c r="AK552" t="str">
        <f>tbl_OriginalData[[#This Row],[Marital_Status]]</f>
        <v>Widowed</v>
      </c>
      <c r="AL552" t="str">
        <f>tbl_OriginalData[[#This Row],[Education_Level]]</f>
        <v>Master's</v>
      </c>
      <c r="AM552" t="str">
        <f>tbl_OriginalData[[#This Row],[Occupation]]</f>
        <v>High</v>
      </c>
      <c r="AN552" t="s">
        <v>1317</v>
      </c>
      <c r="AO552" t="s">
        <v>766</v>
      </c>
      <c r="AP552" t="str">
        <f>tbl_OriginalData[[#This Row],[Purchase_Category]]</f>
        <v>Beauty &amp; Personal Care</v>
      </c>
      <c r="AQ552" s="4">
        <f>tbl_OriginalData[[#This Row],[Purchase_Amount]]</f>
        <v>310.23</v>
      </c>
      <c r="AR552">
        <f>tbl_OriginalData[[#This Row],[Frequency_of_Purchase]]</f>
        <v>12</v>
      </c>
      <c r="AS552" t="str">
        <f>tbl_OriginalData[[#This Row],[Purchase_Channel]]</f>
        <v>In-Store</v>
      </c>
      <c r="AT552">
        <f>tbl_OriginalData[[#This Row],[Brand_Loyalty]]</f>
        <v>1</v>
      </c>
      <c r="AU552">
        <f>tbl_OriginalData[[#This Row],[Product_Rating]]</f>
        <v>4</v>
      </c>
      <c r="AV552">
        <f>tbl_OriginalData[[#This Row],[Time_Spent_on_Product_Research(hours)]]*60</f>
        <v>0</v>
      </c>
      <c r="AW552" t="str">
        <f>tbl_OriginalData[[#This Row],[Social_Media_Influence]]</f>
        <v>None</v>
      </c>
      <c r="AX552" t="str">
        <f>tbl_OriginalData[[#This Row],[Discount_Sensitivity]]</f>
        <v>Somewhat Sensitive</v>
      </c>
      <c r="AY552" s="3">
        <f>tbl_OriginalData[[#This Row],[Return_Rate]]/tbl_OriginalData[[#This Row],[Frequency_of_Purchase]]</f>
        <v>0</v>
      </c>
      <c r="AZ552">
        <f>tbl_OriginalData[[#This Row],[Customer_Satisfaction]]</f>
        <v>6</v>
      </c>
      <c r="BA552" t="str">
        <f>tbl_OriginalData[[#This Row],[Engagement_with_Ads]]</f>
        <v>None</v>
      </c>
      <c r="BB552" t="str">
        <f>tbl_OriginalData[[#This Row],[Device_Used_for_Shopping]]</f>
        <v>Desktop</v>
      </c>
      <c r="BC552" t="str">
        <f>tbl_OriginalData[[#This Row],[Payment_Method]]</f>
        <v>PayPal</v>
      </c>
      <c r="BD552" s="1">
        <f>tbl_OriginalData[[#This Row],[Time_of_Purchase]]</f>
        <v>45643</v>
      </c>
      <c r="BE552" t="str">
        <f>IF(tbl_OriginalData[[#This Row],[Discount_Used]]=TRUE,"Yes","No")</f>
        <v>Yes</v>
      </c>
      <c r="BF552" t="str">
        <f>IF(tbl_OriginalData[[#This Row],[Customer_Loyalty_Program_Member]]=TRUE,"Yes","No")</f>
        <v>No</v>
      </c>
      <c r="BG552" t="str">
        <f>tbl_OriginalData[[#This Row],[Purchase_Intent]]</f>
        <v>Impulsive</v>
      </c>
      <c r="BH552" t="str">
        <f>tbl_OriginalData[[#This Row],[Shipping_Preference]]</f>
        <v>Express</v>
      </c>
      <c r="BI552">
        <f>tbl_OriginalData[[#This Row],[Time_to_Decision]]</f>
        <v>3</v>
      </c>
      <c r="BJ552" t="s">
        <v>120</v>
      </c>
      <c r="BK552" t="s">
        <v>80</v>
      </c>
      <c r="BL552" t="s">
        <v>2524</v>
      </c>
    </row>
    <row r="553" spans="1:64">
      <c r="A553" t="s">
        <v>1318</v>
      </c>
      <c r="B553">
        <v>22</v>
      </c>
      <c r="C553" t="s">
        <v>50</v>
      </c>
      <c r="D553" t="s">
        <v>34</v>
      </c>
      <c r="E553" t="s">
        <v>92</v>
      </c>
      <c r="F553" t="s">
        <v>66</v>
      </c>
      <c r="G553" t="s">
        <v>34</v>
      </c>
      <c r="H553" t="s">
        <v>1308</v>
      </c>
      <c r="I553" t="s">
        <v>242</v>
      </c>
      <c r="J553">
        <v>383.13</v>
      </c>
      <c r="K553">
        <v>3</v>
      </c>
      <c r="L553" t="s">
        <v>39</v>
      </c>
      <c r="M553">
        <v>4</v>
      </c>
      <c r="N553">
        <v>5</v>
      </c>
      <c r="O553">
        <v>0</v>
      </c>
      <c r="P553" t="s">
        <v>56</v>
      </c>
      <c r="Q553" t="s">
        <v>57</v>
      </c>
      <c r="R553">
        <v>2</v>
      </c>
      <c r="S553">
        <v>6</v>
      </c>
      <c r="T553" t="s">
        <v>40</v>
      </c>
      <c r="U553" t="s">
        <v>95</v>
      </c>
      <c r="V553" t="s">
        <v>102</v>
      </c>
      <c r="W553" s="1">
        <v>45560</v>
      </c>
      <c r="X553" t="b">
        <v>0</v>
      </c>
      <c r="Y553" t="b">
        <v>0</v>
      </c>
      <c r="Z553" t="s">
        <v>44</v>
      </c>
      <c r="AA553" t="s">
        <v>45</v>
      </c>
      <c r="AB553">
        <v>7</v>
      </c>
      <c r="AF553" t="str">
        <f>tbl_OriginalData[[#This Row],[Customer_ID]]</f>
        <v>49-891-9711</v>
      </c>
      <c r="AG553">
        <f>tbl_OriginalData[[#This Row],[Age]]</f>
        <v>22</v>
      </c>
      <c r="AH553" t="str" cm="1">
        <f t="array" ref="AH55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53" t="str">
        <f>tbl_OriginalData[[#This Row],[Gender]]</f>
        <v>Male</v>
      </c>
      <c r="AJ553" t="str">
        <f>tbl_OriginalData[[#This Row],[Income_Level]]</f>
        <v>Middle</v>
      </c>
      <c r="AK553" t="str">
        <f>tbl_OriginalData[[#This Row],[Marital_Status]]</f>
        <v>Divorced</v>
      </c>
      <c r="AL553" t="str">
        <f>tbl_OriginalData[[#This Row],[Education_Level]]</f>
        <v>Master's</v>
      </c>
      <c r="AM553" t="str">
        <f>tbl_OriginalData[[#This Row],[Occupation]]</f>
        <v>Middle</v>
      </c>
      <c r="AN553" t="s">
        <v>1308</v>
      </c>
      <c r="AO553" t="s">
        <v>157</v>
      </c>
      <c r="AP553" t="str">
        <f>tbl_OriginalData[[#This Row],[Purchase_Category]]</f>
        <v>Travel &amp; Leisure (Flights</v>
      </c>
      <c r="AQ553" s="4">
        <f>tbl_OriginalData[[#This Row],[Purchase_Amount]]</f>
        <v>383.13</v>
      </c>
      <c r="AR553">
        <f>tbl_OriginalData[[#This Row],[Frequency_of_Purchase]]</f>
        <v>3</v>
      </c>
      <c r="AS553" t="str">
        <f>tbl_OriginalData[[#This Row],[Purchase_Channel]]</f>
        <v>Mixed</v>
      </c>
      <c r="AT553">
        <f>tbl_OriginalData[[#This Row],[Brand_Loyalty]]</f>
        <v>4</v>
      </c>
      <c r="AU553">
        <f>tbl_OriginalData[[#This Row],[Product_Rating]]</f>
        <v>5</v>
      </c>
      <c r="AV553">
        <f>tbl_OriginalData[[#This Row],[Time_Spent_on_Product_Research(hours)]]*60</f>
        <v>0</v>
      </c>
      <c r="AW553" t="str">
        <f>tbl_OriginalData[[#This Row],[Social_Media_Influence]]</f>
        <v>Medium</v>
      </c>
      <c r="AX553" t="str">
        <f>tbl_OriginalData[[#This Row],[Discount_Sensitivity]]</f>
        <v>Not Sensitive</v>
      </c>
      <c r="AY553" s="3">
        <f>tbl_OriginalData[[#This Row],[Return_Rate]]/tbl_OriginalData[[#This Row],[Frequency_of_Purchase]]</f>
        <v>0.66666666666666663</v>
      </c>
      <c r="AZ553">
        <f>tbl_OriginalData[[#This Row],[Customer_Satisfaction]]</f>
        <v>6</v>
      </c>
      <c r="BA553" t="str">
        <f>tbl_OriginalData[[#This Row],[Engagement_with_Ads]]</f>
        <v>None</v>
      </c>
      <c r="BB553" t="str">
        <f>tbl_OriginalData[[#This Row],[Device_Used_for_Shopping]]</f>
        <v>Desktop</v>
      </c>
      <c r="BC553" t="str">
        <f>tbl_OriginalData[[#This Row],[Payment_Method]]</f>
        <v>Cash</v>
      </c>
      <c r="BD553" s="1">
        <f>tbl_OriginalData[[#This Row],[Time_of_Purchase]]</f>
        <v>45560</v>
      </c>
      <c r="BE553" t="str">
        <f>IF(tbl_OriginalData[[#This Row],[Discount_Used]]=TRUE,"Yes","No")</f>
        <v>No</v>
      </c>
      <c r="BF553" t="str">
        <f>IF(tbl_OriginalData[[#This Row],[Customer_Loyalty_Program_Member]]=TRUE,"Yes","No")</f>
        <v>No</v>
      </c>
      <c r="BG553" t="str">
        <f>tbl_OriginalData[[#This Row],[Purchase_Intent]]</f>
        <v>Need-based</v>
      </c>
      <c r="BH553" t="str">
        <f>tbl_OriginalData[[#This Row],[Shipping_Preference]]</f>
        <v>No Preference</v>
      </c>
      <c r="BI553">
        <f>tbl_OriginalData[[#This Row],[Time_to_Decision]]</f>
        <v>7</v>
      </c>
      <c r="BJ553" t="s">
        <v>172</v>
      </c>
      <c r="BK553" t="s">
        <v>115</v>
      </c>
      <c r="BL553" t="s">
        <v>2523</v>
      </c>
    </row>
    <row r="554" spans="1:64">
      <c r="A554" t="s">
        <v>1319</v>
      </c>
      <c r="B554">
        <v>25</v>
      </c>
      <c r="C554" t="s">
        <v>50</v>
      </c>
      <c r="D554" t="s">
        <v>51</v>
      </c>
      <c r="E554" t="s">
        <v>65</v>
      </c>
      <c r="F554" t="s">
        <v>52</v>
      </c>
      <c r="G554" t="s">
        <v>34</v>
      </c>
      <c r="H554" t="s">
        <v>1320</v>
      </c>
      <c r="I554" t="s">
        <v>180</v>
      </c>
      <c r="J554">
        <v>434.86</v>
      </c>
      <c r="K554">
        <v>11</v>
      </c>
      <c r="L554" t="s">
        <v>55</v>
      </c>
      <c r="M554">
        <v>2</v>
      </c>
      <c r="N554">
        <v>5</v>
      </c>
      <c r="O554">
        <v>2</v>
      </c>
      <c r="P554" t="s">
        <v>51</v>
      </c>
      <c r="Q554" t="s">
        <v>41</v>
      </c>
      <c r="R554">
        <v>0</v>
      </c>
      <c r="S554">
        <v>4</v>
      </c>
      <c r="T554" t="s">
        <v>56</v>
      </c>
      <c r="U554" t="s">
        <v>70</v>
      </c>
      <c r="V554" t="s">
        <v>76</v>
      </c>
      <c r="W554" s="1">
        <v>45467</v>
      </c>
      <c r="X554" t="b">
        <v>1</v>
      </c>
      <c r="Y554" t="b">
        <v>0</v>
      </c>
      <c r="Z554" t="s">
        <v>72</v>
      </c>
      <c r="AA554" t="s">
        <v>77</v>
      </c>
      <c r="AB554">
        <v>11</v>
      </c>
      <c r="AF554" t="str">
        <f>tbl_OriginalData[[#This Row],[Customer_ID]]</f>
        <v>08-806-0588</v>
      </c>
      <c r="AG554">
        <f>tbl_OriginalData[[#This Row],[Age]]</f>
        <v>25</v>
      </c>
      <c r="AH554" t="str" cm="1">
        <f t="array" ref="AH55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54" t="str">
        <f>tbl_OriginalData[[#This Row],[Gender]]</f>
        <v>Male</v>
      </c>
      <c r="AJ554" t="str">
        <f>tbl_OriginalData[[#This Row],[Income_Level]]</f>
        <v>High</v>
      </c>
      <c r="AK554" t="str">
        <f>tbl_OriginalData[[#This Row],[Marital_Status]]</f>
        <v>Single</v>
      </c>
      <c r="AL554" t="str">
        <f>tbl_OriginalData[[#This Row],[Education_Level]]</f>
        <v>High School</v>
      </c>
      <c r="AM554" t="str">
        <f>tbl_OriginalData[[#This Row],[Occupation]]</f>
        <v>Middle</v>
      </c>
      <c r="AN554" t="s">
        <v>1320</v>
      </c>
      <c r="AO554" t="s">
        <v>215</v>
      </c>
      <c r="AP554" t="str">
        <f>tbl_OriginalData[[#This Row],[Purchase_Category]]</f>
        <v>Health Supplements</v>
      </c>
      <c r="AQ554" s="4">
        <f>tbl_OriginalData[[#This Row],[Purchase_Amount]]</f>
        <v>434.86</v>
      </c>
      <c r="AR554">
        <f>tbl_OriginalData[[#This Row],[Frequency_of_Purchase]]</f>
        <v>11</v>
      </c>
      <c r="AS554" t="str">
        <f>tbl_OriginalData[[#This Row],[Purchase_Channel]]</f>
        <v>In-Store</v>
      </c>
      <c r="AT554">
        <f>tbl_OriginalData[[#This Row],[Brand_Loyalty]]</f>
        <v>2</v>
      </c>
      <c r="AU554">
        <f>tbl_OriginalData[[#This Row],[Product_Rating]]</f>
        <v>5</v>
      </c>
      <c r="AV554">
        <f>tbl_OriginalData[[#This Row],[Time_Spent_on_Product_Research(hours)]]*60</f>
        <v>120</v>
      </c>
      <c r="AW554" t="str">
        <f>tbl_OriginalData[[#This Row],[Social_Media_Influence]]</f>
        <v>High</v>
      </c>
      <c r="AX554" t="str">
        <f>tbl_OriginalData[[#This Row],[Discount_Sensitivity]]</f>
        <v>Somewhat Sensitive</v>
      </c>
      <c r="AY554" s="3">
        <f>tbl_OriginalData[[#This Row],[Return_Rate]]/tbl_OriginalData[[#This Row],[Frequency_of_Purchase]]</f>
        <v>0</v>
      </c>
      <c r="AZ554">
        <f>tbl_OriginalData[[#This Row],[Customer_Satisfaction]]</f>
        <v>4</v>
      </c>
      <c r="BA554" t="str">
        <f>tbl_OriginalData[[#This Row],[Engagement_with_Ads]]</f>
        <v>Medium</v>
      </c>
      <c r="BB554" t="str">
        <f>tbl_OriginalData[[#This Row],[Device_Used_for_Shopping]]</f>
        <v>Smartphone</v>
      </c>
      <c r="BC554" t="str">
        <f>tbl_OriginalData[[#This Row],[Payment_Method]]</f>
        <v>Other</v>
      </c>
      <c r="BD554" s="1">
        <f>tbl_OriginalData[[#This Row],[Time_of_Purchase]]</f>
        <v>45467</v>
      </c>
      <c r="BE554" t="str">
        <f>IF(tbl_OriginalData[[#This Row],[Discount_Used]]=TRUE,"Yes","No")</f>
        <v>Yes</v>
      </c>
      <c r="BF554" t="str">
        <f>IF(tbl_OriginalData[[#This Row],[Customer_Loyalty_Program_Member]]=TRUE,"Yes","No")</f>
        <v>No</v>
      </c>
      <c r="BG554" t="str">
        <f>tbl_OriginalData[[#This Row],[Purchase_Intent]]</f>
        <v>Impulsive</v>
      </c>
      <c r="BH554" t="str">
        <f>tbl_OriginalData[[#This Row],[Shipping_Preference]]</f>
        <v>Express</v>
      </c>
      <c r="BI554">
        <f>tbl_OriginalData[[#This Row],[Time_to_Decision]]</f>
        <v>11</v>
      </c>
      <c r="BJ554" t="s">
        <v>104</v>
      </c>
      <c r="BK554" t="s">
        <v>63</v>
      </c>
      <c r="BL554" t="s">
        <v>2524</v>
      </c>
    </row>
    <row r="555" spans="1:64">
      <c r="A555" t="s">
        <v>1321</v>
      </c>
      <c r="B555">
        <v>30</v>
      </c>
      <c r="C555" t="s">
        <v>33</v>
      </c>
      <c r="D555" t="s">
        <v>34</v>
      </c>
      <c r="E555" t="s">
        <v>35</v>
      </c>
      <c r="F555" t="s">
        <v>36</v>
      </c>
      <c r="G555" t="s">
        <v>34</v>
      </c>
      <c r="H555" t="s">
        <v>1322</v>
      </c>
      <c r="I555" t="s">
        <v>68</v>
      </c>
      <c r="J555">
        <v>489.1</v>
      </c>
      <c r="K555">
        <v>9</v>
      </c>
      <c r="L555" t="s">
        <v>39</v>
      </c>
      <c r="M555">
        <v>3</v>
      </c>
      <c r="N555">
        <v>4</v>
      </c>
      <c r="O555">
        <v>1</v>
      </c>
      <c r="P555" t="s">
        <v>69</v>
      </c>
      <c r="Q555" t="s">
        <v>41</v>
      </c>
      <c r="R555">
        <v>2</v>
      </c>
      <c r="S555">
        <v>4</v>
      </c>
      <c r="T555" t="s">
        <v>56</v>
      </c>
      <c r="U555" t="s">
        <v>70</v>
      </c>
      <c r="V555" t="s">
        <v>43</v>
      </c>
      <c r="W555" s="1">
        <v>45614</v>
      </c>
      <c r="X555" t="b">
        <v>1</v>
      </c>
      <c r="Y555" t="b">
        <v>0</v>
      </c>
      <c r="Z555" t="s">
        <v>44</v>
      </c>
      <c r="AA555" t="s">
        <v>60</v>
      </c>
      <c r="AB555">
        <v>13</v>
      </c>
      <c r="AF555" t="str">
        <f>tbl_OriginalData[[#This Row],[Customer_ID]]</f>
        <v>94-746-2001</v>
      </c>
      <c r="AG555">
        <f>tbl_OriginalData[[#This Row],[Age]]</f>
        <v>30</v>
      </c>
      <c r="AH555" t="str" cm="1">
        <f t="array" ref="AH55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55" t="str">
        <f>tbl_OriginalData[[#This Row],[Gender]]</f>
        <v>Female</v>
      </c>
      <c r="AJ555" t="str">
        <f>tbl_OriginalData[[#This Row],[Income_Level]]</f>
        <v>Middle</v>
      </c>
      <c r="AK555" t="str">
        <f>tbl_OriginalData[[#This Row],[Marital_Status]]</f>
        <v>Married</v>
      </c>
      <c r="AL555" t="str">
        <f>tbl_OriginalData[[#This Row],[Education_Level]]</f>
        <v>Bachelor's</v>
      </c>
      <c r="AM555" t="str">
        <f>tbl_OriginalData[[#This Row],[Occupation]]</f>
        <v>Middle</v>
      </c>
      <c r="AN555" t="s">
        <v>1322</v>
      </c>
      <c r="AO555" t="s">
        <v>812</v>
      </c>
      <c r="AP555" t="str">
        <f>tbl_OriginalData[[#This Row],[Purchase_Category]]</f>
        <v>Office Supplies</v>
      </c>
      <c r="AQ555" s="4">
        <f>tbl_OriginalData[[#This Row],[Purchase_Amount]]</f>
        <v>489.1</v>
      </c>
      <c r="AR555">
        <f>tbl_OriginalData[[#This Row],[Frequency_of_Purchase]]</f>
        <v>9</v>
      </c>
      <c r="AS555" t="str">
        <f>tbl_OriginalData[[#This Row],[Purchase_Channel]]</f>
        <v>Mixed</v>
      </c>
      <c r="AT555">
        <f>tbl_OriginalData[[#This Row],[Brand_Loyalty]]</f>
        <v>3</v>
      </c>
      <c r="AU555">
        <f>tbl_OriginalData[[#This Row],[Product_Rating]]</f>
        <v>4</v>
      </c>
      <c r="AV555">
        <f>tbl_OriginalData[[#This Row],[Time_Spent_on_Product_Research(hours)]]*60</f>
        <v>60</v>
      </c>
      <c r="AW555" t="str">
        <f>tbl_OriginalData[[#This Row],[Social_Media_Influence]]</f>
        <v>Low</v>
      </c>
      <c r="AX555" t="str">
        <f>tbl_OriginalData[[#This Row],[Discount_Sensitivity]]</f>
        <v>Somewhat Sensitive</v>
      </c>
      <c r="AY555" s="3">
        <f>tbl_OriginalData[[#This Row],[Return_Rate]]/tbl_OriginalData[[#This Row],[Frequency_of_Purchase]]</f>
        <v>0.22222222222222221</v>
      </c>
      <c r="AZ555">
        <f>tbl_OriginalData[[#This Row],[Customer_Satisfaction]]</f>
        <v>4</v>
      </c>
      <c r="BA555" t="str">
        <f>tbl_OriginalData[[#This Row],[Engagement_with_Ads]]</f>
        <v>Medium</v>
      </c>
      <c r="BB555" t="str">
        <f>tbl_OriginalData[[#This Row],[Device_Used_for_Shopping]]</f>
        <v>Smartphone</v>
      </c>
      <c r="BC555" t="str">
        <f>tbl_OriginalData[[#This Row],[Payment_Method]]</f>
        <v>Credit Card</v>
      </c>
      <c r="BD555" s="1">
        <f>tbl_OriginalData[[#This Row],[Time_of_Purchase]]</f>
        <v>45614</v>
      </c>
      <c r="BE555" t="str">
        <f>IF(tbl_OriginalData[[#This Row],[Discount_Used]]=TRUE,"Yes","No")</f>
        <v>Yes</v>
      </c>
      <c r="BF555" t="str">
        <f>IF(tbl_OriginalData[[#This Row],[Customer_Loyalty_Program_Member]]=TRUE,"Yes","No")</f>
        <v>No</v>
      </c>
      <c r="BG555" t="str">
        <f>tbl_OriginalData[[#This Row],[Purchase_Intent]]</f>
        <v>Need-based</v>
      </c>
      <c r="BH555" t="str">
        <f>tbl_OriginalData[[#This Row],[Shipping_Preference]]</f>
        <v>Standard</v>
      </c>
      <c r="BI555">
        <f>tbl_OriginalData[[#This Row],[Time_to_Decision]]</f>
        <v>13</v>
      </c>
      <c r="BJ555" t="s">
        <v>177</v>
      </c>
      <c r="BK555" t="s">
        <v>80</v>
      </c>
      <c r="BL555" t="s">
        <v>2528</v>
      </c>
    </row>
    <row r="556" spans="1:64">
      <c r="A556" t="s">
        <v>1323</v>
      </c>
      <c r="B556">
        <v>19</v>
      </c>
      <c r="C556" t="s">
        <v>264</v>
      </c>
      <c r="D556" t="s">
        <v>51</v>
      </c>
      <c r="E556" t="s">
        <v>35</v>
      </c>
      <c r="F556" t="s">
        <v>36</v>
      </c>
      <c r="G556" t="s">
        <v>51</v>
      </c>
      <c r="H556" t="s">
        <v>1324</v>
      </c>
      <c r="I556" t="s">
        <v>306</v>
      </c>
      <c r="J556">
        <v>288.14999999999998</v>
      </c>
      <c r="K556">
        <v>3</v>
      </c>
      <c r="L556" t="s">
        <v>94</v>
      </c>
      <c r="M556">
        <v>1</v>
      </c>
      <c r="N556">
        <v>4</v>
      </c>
      <c r="O556">
        <v>1</v>
      </c>
      <c r="P556" t="s">
        <v>51</v>
      </c>
      <c r="Q556" t="s">
        <v>41</v>
      </c>
      <c r="R556">
        <v>1</v>
      </c>
      <c r="S556">
        <v>4</v>
      </c>
      <c r="T556" t="s">
        <v>56</v>
      </c>
      <c r="U556" t="s">
        <v>42</v>
      </c>
      <c r="V556" t="s">
        <v>102</v>
      </c>
      <c r="W556" s="1">
        <v>45510</v>
      </c>
      <c r="X556" t="b">
        <v>1</v>
      </c>
      <c r="Y556" t="b">
        <v>0</v>
      </c>
      <c r="Z556" t="s">
        <v>72</v>
      </c>
      <c r="AA556" t="s">
        <v>60</v>
      </c>
      <c r="AB556">
        <v>13</v>
      </c>
      <c r="AF556" t="str">
        <f>tbl_OriginalData[[#This Row],[Customer_ID]]</f>
        <v>38-943-5744</v>
      </c>
      <c r="AG556">
        <f>tbl_OriginalData[[#This Row],[Age]]</f>
        <v>19</v>
      </c>
      <c r="AH556" t="str" cm="1">
        <f t="array" ref="AH55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556" t="str">
        <f>tbl_OriginalData[[#This Row],[Gender]]</f>
        <v>Polygender</v>
      </c>
      <c r="AJ556" t="str">
        <f>tbl_OriginalData[[#This Row],[Income_Level]]</f>
        <v>High</v>
      </c>
      <c r="AK556" t="str">
        <f>tbl_OriginalData[[#This Row],[Marital_Status]]</f>
        <v>Married</v>
      </c>
      <c r="AL556" t="str">
        <f>tbl_OriginalData[[#This Row],[Education_Level]]</f>
        <v>Bachelor's</v>
      </c>
      <c r="AM556" t="str">
        <f>tbl_OriginalData[[#This Row],[Occupation]]</f>
        <v>High</v>
      </c>
      <c r="AN556" t="s">
        <v>1324</v>
      </c>
      <c r="AO556" t="s">
        <v>246</v>
      </c>
      <c r="AP556" t="str">
        <f>tbl_OriginalData[[#This Row],[Purchase_Category]]</f>
        <v>Jewelry &amp; Accessories</v>
      </c>
      <c r="AQ556" s="4">
        <f>tbl_OriginalData[[#This Row],[Purchase_Amount]]</f>
        <v>288.14999999999998</v>
      </c>
      <c r="AR556">
        <f>tbl_OriginalData[[#This Row],[Frequency_of_Purchase]]</f>
        <v>3</v>
      </c>
      <c r="AS556" t="str">
        <f>tbl_OriginalData[[#This Row],[Purchase_Channel]]</f>
        <v>Online</v>
      </c>
      <c r="AT556">
        <f>tbl_OriginalData[[#This Row],[Brand_Loyalty]]</f>
        <v>1</v>
      </c>
      <c r="AU556">
        <f>tbl_OriginalData[[#This Row],[Product_Rating]]</f>
        <v>4</v>
      </c>
      <c r="AV556">
        <f>tbl_OriginalData[[#This Row],[Time_Spent_on_Product_Research(hours)]]*60</f>
        <v>60</v>
      </c>
      <c r="AW556" t="str">
        <f>tbl_OriginalData[[#This Row],[Social_Media_Influence]]</f>
        <v>High</v>
      </c>
      <c r="AX556" t="str">
        <f>tbl_OriginalData[[#This Row],[Discount_Sensitivity]]</f>
        <v>Somewhat Sensitive</v>
      </c>
      <c r="AY556" s="3">
        <f>tbl_OriginalData[[#This Row],[Return_Rate]]/tbl_OriginalData[[#This Row],[Frequency_of_Purchase]]</f>
        <v>0.33333333333333331</v>
      </c>
      <c r="AZ556">
        <f>tbl_OriginalData[[#This Row],[Customer_Satisfaction]]</f>
        <v>4</v>
      </c>
      <c r="BA556" t="str">
        <f>tbl_OriginalData[[#This Row],[Engagement_with_Ads]]</f>
        <v>Medium</v>
      </c>
      <c r="BB556" t="str">
        <f>tbl_OriginalData[[#This Row],[Device_Used_for_Shopping]]</f>
        <v>Tablet</v>
      </c>
      <c r="BC556" t="str">
        <f>tbl_OriginalData[[#This Row],[Payment_Method]]</f>
        <v>Cash</v>
      </c>
      <c r="BD556" s="1">
        <f>tbl_OriginalData[[#This Row],[Time_of_Purchase]]</f>
        <v>45510</v>
      </c>
      <c r="BE556" t="str">
        <f>IF(tbl_OriginalData[[#This Row],[Discount_Used]]=TRUE,"Yes","No")</f>
        <v>Yes</v>
      </c>
      <c r="BF556" t="str">
        <f>IF(tbl_OriginalData[[#This Row],[Customer_Loyalty_Program_Member]]=TRUE,"Yes","No")</f>
        <v>No</v>
      </c>
      <c r="BG556" t="str">
        <f>tbl_OriginalData[[#This Row],[Purchase_Intent]]</f>
        <v>Impulsive</v>
      </c>
      <c r="BH556" t="str">
        <f>tbl_OriginalData[[#This Row],[Shipping_Preference]]</f>
        <v>Standard</v>
      </c>
      <c r="BI556">
        <f>tbl_OriginalData[[#This Row],[Time_to_Decision]]</f>
        <v>13</v>
      </c>
      <c r="BJ556" t="s">
        <v>124</v>
      </c>
      <c r="BK556" t="s">
        <v>115</v>
      </c>
      <c r="BL556" t="s">
        <v>2523</v>
      </c>
    </row>
    <row r="557" spans="1:64">
      <c r="A557" t="s">
        <v>1325</v>
      </c>
      <c r="B557">
        <v>35</v>
      </c>
      <c r="C557" t="s">
        <v>50</v>
      </c>
      <c r="D557" t="s">
        <v>51</v>
      </c>
      <c r="E557" t="s">
        <v>92</v>
      </c>
      <c r="F557" t="s">
        <v>66</v>
      </c>
      <c r="G557" t="s">
        <v>34</v>
      </c>
      <c r="H557" t="s">
        <v>1326</v>
      </c>
      <c r="I557" t="s">
        <v>229</v>
      </c>
      <c r="J557">
        <v>105.87</v>
      </c>
      <c r="K557">
        <v>12</v>
      </c>
      <c r="L557" t="s">
        <v>39</v>
      </c>
      <c r="M557">
        <v>3</v>
      </c>
      <c r="N557">
        <v>2</v>
      </c>
      <c r="O557">
        <v>1</v>
      </c>
      <c r="P557" t="s">
        <v>69</v>
      </c>
      <c r="Q557" t="s">
        <v>57</v>
      </c>
      <c r="R557">
        <v>1</v>
      </c>
      <c r="S557">
        <v>1</v>
      </c>
      <c r="T557" t="s">
        <v>56</v>
      </c>
      <c r="U557" t="s">
        <v>42</v>
      </c>
      <c r="V557" t="s">
        <v>102</v>
      </c>
      <c r="W557" s="1">
        <v>45550</v>
      </c>
      <c r="X557" t="b">
        <v>0</v>
      </c>
      <c r="Y557" t="b">
        <v>0</v>
      </c>
      <c r="Z557" t="s">
        <v>89</v>
      </c>
      <c r="AA557" t="s">
        <v>77</v>
      </c>
      <c r="AB557">
        <v>4</v>
      </c>
      <c r="AF557" t="str">
        <f>tbl_OriginalData[[#This Row],[Customer_ID]]</f>
        <v>98-535-8497</v>
      </c>
      <c r="AG557">
        <f>tbl_OriginalData[[#This Row],[Age]]</f>
        <v>35</v>
      </c>
      <c r="AH557" t="str" cm="1">
        <f t="array" ref="AH55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57" t="str">
        <f>tbl_OriginalData[[#This Row],[Gender]]</f>
        <v>Male</v>
      </c>
      <c r="AJ557" t="str">
        <f>tbl_OriginalData[[#This Row],[Income_Level]]</f>
        <v>High</v>
      </c>
      <c r="AK557" t="str">
        <f>tbl_OriginalData[[#This Row],[Marital_Status]]</f>
        <v>Divorced</v>
      </c>
      <c r="AL557" t="str">
        <f>tbl_OriginalData[[#This Row],[Education_Level]]</f>
        <v>Master's</v>
      </c>
      <c r="AM557" t="str">
        <f>tbl_OriginalData[[#This Row],[Occupation]]</f>
        <v>Middle</v>
      </c>
      <c r="AN557" t="s">
        <v>1326</v>
      </c>
      <c r="AO557" t="s">
        <v>61</v>
      </c>
      <c r="AP557" t="str">
        <f>tbl_OriginalData[[#This Row],[Purchase_Category]]</f>
        <v>Clothing</v>
      </c>
      <c r="AQ557" s="4">
        <f>tbl_OriginalData[[#This Row],[Purchase_Amount]]</f>
        <v>105.87</v>
      </c>
      <c r="AR557">
        <f>tbl_OriginalData[[#This Row],[Frequency_of_Purchase]]</f>
        <v>12</v>
      </c>
      <c r="AS557" t="str">
        <f>tbl_OriginalData[[#This Row],[Purchase_Channel]]</f>
        <v>Mixed</v>
      </c>
      <c r="AT557">
        <f>tbl_OriginalData[[#This Row],[Brand_Loyalty]]</f>
        <v>3</v>
      </c>
      <c r="AU557">
        <f>tbl_OriginalData[[#This Row],[Product_Rating]]</f>
        <v>2</v>
      </c>
      <c r="AV557">
        <f>tbl_OriginalData[[#This Row],[Time_Spent_on_Product_Research(hours)]]*60</f>
        <v>60</v>
      </c>
      <c r="AW557" t="str">
        <f>tbl_OriginalData[[#This Row],[Social_Media_Influence]]</f>
        <v>Low</v>
      </c>
      <c r="AX557" t="str">
        <f>tbl_OriginalData[[#This Row],[Discount_Sensitivity]]</f>
        <v>Not Sensitive</v>
      </c>
      <c r="AY557" s="3">
        <f>tbl_OriginalData[[#This Row],[Return_Rate]]/tbl_OriginalData[[#This Row],[Frequency_of_Purchase]]</f>
        <v>8.3333333333333329E-2</v>
      </c>
      <c r="AZ557">
        <f>tbl_OriginalData[[#This Row],[Customer_Satisfaction]]</f>
        <v>1</v>
      </c>
      <c r="BA557" t="str">
        <f>tbl_OriginalData[[#This Row],[Engagement_with_Ads]]</f>
        <v>Medium</v>
      </c>
      <c r="BB557" t="str">
        <f>tbl_OriginalData[[#This Row],[Device_Used_for_Shopping]]</f>
        <v>Tablet</v>
      </c>
      <c r="BC557" t="str">
        <f>tbl_OriginalData[[#This Row],[Payment_Method]]</f>
        <v>Cash</v>
      </c>
      <c r="BD557" s="1">
        <f>tbl_OriginalData[[#This Row],[Time_of_Purchase]]</f>
        <v>45550</v>
      </c>
      <c r="BE557" t="str">
        <f>IF(tbl_OriginalData[[#This Row],[Discount_Used]]=TRUE,"Yes","No")</f>
        <v>No</v>
      </c>
      <c r="BF557" t="str">
        <f>IF(tbl_OriginalData[[#This Row],[Customer_Loyalty_Program_Member]]=TRUE,"Yes","No")</f>
        <v>No</v>
      </c>
      <c r="BG557" t="str">
        <f>tbl_OriginalData[[#This Row],[Purchase_Intent]]</f>
        <v>Planned</v>
      </c>
      <c r="BH557" t="str">
        <f>tbl_OriginalData[[#This Row],[Shipping_Preference]]</f>
        <v>Express</v>
      </c>
      <c r="BI557">
        <f>tbl_OriginalData[[#This Row],[Time_to_Decision]]</f>
        <v>4</v>
      </c>
      <c r="BJ557" t="s">
        <v>172</v>
      </c>
      <c r="BK557" t="s">
        <v>115</v>
      </c>
      <c r="BL557" t="s">
        <v>2524</v>
      </c>
    </row>
    <row r="558" spans="1:64">
      <c r="A558" t="s">
        <v>1327</v>
      </c>
      <c r="B558">
        <v>45</v>
      </c>
      <c r="C558" t="s">
        <v>50</v>
      </c>
      <c r="D558" t="s">
        <v>34</v>
      </c>
      <c r="E558" t="s">
        <v>82</v>
      </c>
      <c r="F558" t="s">
        <v>52</v>
      </c>
      <c r="G558" t="s">
        <v>51</v>
      </c>
      <c r="H558" t="s">
        <v>1328</v>
      </c>
      <c r="I558" t="s">
        <v>123</v>
      </c>
      <c r="J558">
        <v>163.4</v>
      </c>
      <c r="K558">
        <v>3</v>
      </c>
      <c r="L558" t="s">
        <v>55</v>
      </c>
      <c r="M558">
        <v>3</v>
      </c>
      <c r="N558">
        <v>5</v>
      </c>
      <c r="O558">
        <v>1</v>
      </c>
      <c r="P558" t="s">
        <v>51</v>
      </c>
      <c r="Q558" t="s">
        <v>41</v>
      </c>
      <c r="R558">
        <v>2</v>
      </c>
      <c r="S558">
        <v>10</v>
      </c>
      <c r="T558" t="s">
        <v>51</v>
      </c>
      <c r="U558" t="s">
        <v>95</v>
      </c>
      <c r="V558" t="s">
        <v>102</v>
      </c>
      <c r="W558" s="1">
        <v>45481</v>
      </c>
      <c r="X558" t="b">
        <v>1</v>
      </c>
      <c r="Y558" t="b">
        <v>0</v>
      </c>
      <c r="Z558" t="s">
        <v>89</v>
      </c>
      <c r="AA558" t="s">
        <v>60</v>
      </c>
      <c r="AB558">
        <v>7</v>
      </c>
      <c r="AF558" t="str">
        <f>tbl_OriginalData[[#This Row],[Customer_ID]]</f>
        <v>33-243-8793</v>
      </c>
      <c r="AG558">
        <f>tbl_OriginalData[[#This Row],[Age]]</f>
        <v>45</v>
      </c>
      <c r="AH558" t="str" cm="1">
        <f t="array" ref="AH55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58" t="str">
        <f>tbl_OriginalData[[#This Row],[Gender]]</f>
        <v>Male</v>
      </c>
      <c r="AJ558" t="str">
        <f>tbl_OriginalData[[#This Row],[Income_Level]]</f>
        <v>Middle</v>
      </c>
      <c r="AK558" t="str">
        <f>tbl_OriginalData[[#This Row],[Marital_Status]]</f>
        <v>Widowed</v>
      </c>
      <c r="AL558" t="str">
        <f>tbl_OriginalData[[#This Row],[Education_Level]]</f>
        <v>High School</v>
      </c>
      <c r="AM558" t="str">
        <f>tbl_OriginalData[[#This Row],[Occupation]]</f>
        <v>High</v>
      </c>
      <c r="AN558" t="s">
        <v>1328</v>
      </c>
      <c r="AO558" t="s">
        <v>128</v>
      </c>
      <c r="AP558" t="str">
        <f>tbl_OriginalData[[#This Row],[Purchase_Category]]</f>
        <v>Luxury Goods</v>
      </c>
      <c r="AQ558" s="4">
        <f>tbl_OriginalData[[#This Row],[Purchase_Amount]]</f>
        <v>163.4</v>
      </c>
      <c r="AR558">
        <f>tbl_OriginalData[[#This Row],[Frequency_of_Purchase]]</f>
        <v>3</v>
      </c>
      <c r="AS558" t="str">
        <f>tbl_OriginalData[[#This Row],[Purchase_Channel]]</f>
        <v>In-Store</v>
      </c>
      <c r="AT558">
        <f>tbl_OriginalData[[#This Row],[Brand_Loyalty]]</f>
        <v>3</v>
      </c>
      <c r="AU558">
        <f>tbl_OriginalData[[#This Row],[Product_Rating]]</f>
        <v>5</v>
      </c>
      <c r="AV558">
        <f>tbl_OriginalData[[#This Row],[Time_Spent_on_Product_Research(hours)]]*60</f>
        <v>60</v>
      </c>
      <c r="AW558" t="str">
        <f>tbl_OriginalData[[#This Row],[Social_Media_Influence]]</f>
        <v>High</v>
      </c>
      <c r="AX558" t="str">
        <f>tbl_OriginalData[[#This Row],[Discount_Sensitivity]]</f>
        <v>Somewhat Sensitive</v>
      </c>
      <c r="AY558" s="3">
        <f>tbl_OriginalData[[#This Row],[Return_Rate]]/tbl_OriginalData[[#This Row],[Frequency_of_Purchase]]</f>
        <v>0.66666666666666663</v>
      </c>
      <c r="AZ558">
        <f>tbl_OriginalData[[#This Row],[Customer_Satisfaction]]</f>
        <v>10</v>
      </c>
      <c r="BA558" t="str">
        <f>tbl_OriginalData[[#This Row],[Engagement_with_Ads]]</f>
        <v>High</v>
      </c>
      <c r="BB558" t="str">
        <f>tbl_OriginalData[[#This Row],[Device_Used_for_Shopping]]</f>
        <v>Desktop</v>
      </c>
      <c r="BC558" t="str">
        <f>tbl_OriginalData[[#This Row],[Payment_Method]]</f>
        <v>Cash</v>
      </c>
      <c r="BD558" s="1">
        <f>tbl_OriginalData[[#This Row],[Time_of_Purchase]]</f>
        <v>45481</v>
      </c>
      <c r="BE558" t="str">
        <f>IF(tbl_OriginalData[[#This Row],[Discount_Used]]=TRUE,"Yes","No")</f>
        <v>Yes</v>
      </c>
      <c r="BF558" t="str">
        <f>IF(tbl_OriginalData[[#This Row],[Customer_Loyalty_Program_Member]]=TRUE,"Yes","No")</f>
        <v>No</v>
      </c>
      <c r="BG558" t="str">
        <f>tbl_OriginalData[[#This Row],[Purchase_Intent]]</f>
        <v>Planned</v>
      </c>
      <c r="BH558" t="str">
        <f>tbl_OriginalData[[#This Row],[Shipping_Preference]]</f>
        <v>Standard</v>
      </c>
      <c r="BI558">
        <f>tbl_OriginalData[[#This Row],[Time_to_Decision]]</f>
        <v>7</v>
      </c>
      <c r="BJ558" t="s">
        <v>114</v>
      </c>
      <c r="BK558" t="s">
        <v>115</v>
      </c>
      <c r="BL558" t="s">
        <v>2523</v>
      </c>
    </row>
    <row r="559" spans="1:64">
      <c r="A559" t="s">
        <v>1329</v>
      </c>
      <c r="B559">
        <v>20</v>
      </c>
      <c r="C559" t="s">
        <v>50</v>
      </c>
      <c r="D559" t="s">
        <v>51</v>
      </c>
      <c r="E559" t="s">
        <v>65</v>
      </c>
      <c r="F559" t="s">
        <v>52</v>
      </c>
      <c r="G559" t="s">
        <v>51</v>
      </c>
      <c r="H559" t="s">
        <v>1330</v>
      </c>
      <c r="I559" t="s">
        <v>38</v>
      </c>
      <c r="J559">
        <v>422.92</v>
      </c>
      <c r="K559">
        <v>6</v>
      </c>
      <c r="L559" t="s">
        <v>39</v>
      </c>
      <c r="M559">
        <v>4</v>
      </c>
      <c r="N559">
        <v>1</v>
      </c>
      <c r="O559">
        <v>2</v>
      </c>
      <c r="P559" t="s">
        <v>40</v>
      </c>
      <c r="Q559" t="s">
        <v>41</v>
      </c>
      <c r="R559">
        <v>0</v>
      </c>
      <c r="S559">
        <v>6</v>
      </c>
      <c r="T559" t="s">
        <v>69</v>
      </c>
      <c r="U559" t="s">
        <v>95</v>
      </c>
      <c r="V559" t="s">
        <v>71</v>
      </c>
      <c r="W559" s="1">
        <v>45582</v>
      </c>
      <c r="X559" t="b">
        <v>0</v>
      </c>
      <c r="Y559" t="b">
        <v>1</v>
      </c>
      <c r="Z559" t="s">
        <v>89</v>
      </c>
      <c r="AA559" t="s">
        <v>45</v>
      </c>
      <c r="AB559">
        <v>6</v>
      </c>
      <c r="AF559" t="str">
        <f>tbl_OriginalData[[#This Row],[Customer_ID]]</f>
        <v>99-581-5577</v>
      </c>
      <c r="AG559">
        <f>tbl_OriginalData[[#This Row],[Age]]</f>
        <v>20</v>
      </c>
      <c r="AH559" t="str" cm="1">
        <f t="array" ref="AH55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59" t="str">
        <f>tbl_OriginalData[[#This Row],[Gender]]</f>
        <v>Male</v>
      </c>
      <c r="AJ559" t="str">
        <f>tbl_OriginalData[[#This Row],[Income_Level]]</f>
        <v>High</v>
      </c>
      <c r="AK559" t="str">
        <f>tbl_OriginalData[[#This Row],[Marital_Status]]</f>
        <v>Single</v>
      </c>
      <c r="AL559" t="str">
        <f>tbl_OriginalData[[#This Row],[Education_Level]]</f>
        <v>High School</v>
      </c>
      <c r="AM559" t="str">
        <f>tbl_OriginalData[[#This Row],[Occupation]]</f>
        <v>High</v>
      </c>
      <c r="AN559" t="s">
        <v>1330</v>
      </c>
      <c r="AO559" t="s">
        <v>497</v>
      </c>
      <c r="AP559" t="str">
        <f>tbl_OriginalData[[#This Row],[Purchase_Category]]</f>
        <v>Gardening &amp; Outdoors</v>
      </c>
      <c r="AQ559" s="4">
        <f>tbl_OriginalData[[#This Row],[Purchase_Amount]]</f>
        <v>422.92</v>
      </c>
      <c r="AR559">
        <f>tbl_OriginalData[[#This Row],[Frequency_of_Purchase]]</f>
        <v>6</v>
      </c>
      <c r="AS559" t="str">
        <f>tbl_OriginalData[[#This Row],[Purchase_Channel]]</f>
        <v>Mixed</v>
      </c>
      <c r="AT559">
        <f>tbl_OriginalData[[#This Row],[Brand_Loyalty]]</f>
        <v>4</v>
      </c>
      <c r="AU559">
        <f>tbl_OriginalData[[#This Row],[Product_Rating]]</f>
        <v>1</v>
      </c>
      <c r="AV559">
        <f>tbl_OriginalData[[#This Row],[Time_Spent_on_Product_Research(hours)]]*60</f>
        <v>120</v>
      </c>
      <c r="AW559" t="str">
        <f>tbl_OriginalData[[#This Row],[Social_Media_Influence]]</f>
        <v>None</v>
      </c>
      <c r="AX559" t="str">
        <f>tbl_OriginalData[[#This Row],[Discount_Sensitivity]]</f>
        <v>Somewhat Sensitive</v>
      </c>
      <c r="AY559" s="3">
        <f>tbl_OriginalData[[#This Row],[Return_Rate]]/tbl_OriginalData[[#This Row],[Frequency_of_Purchase]]</f>
        <v>0</v>
      </c>
      <c r="AZ559">
        <f>tbl_OriginalData[[#This Row],[Customer_Satisfaction]]</f>
        <v>6</v>
      </c>
      <c r="BA559" t="str">
        <f>tbl_OriginalData[[#This Row],[Engagement_with_Ads]]</f>
        <v>Low</v>
      </c>
      <c r="BB559" t="str">
        <f>tbl_OriginalData[[#This Row],[Device_Used_for_Shopping]]</f>
        <v>Desktop</v>
      </c>
      <c r="BC559" t="str">
        <f>tbl_OriginalData[[#This Row],[Payment_Method]]</f>
        <v>Debit Card</v>
      </c>
      <c r="BD559" s="1">
        <f>tbl_OriginalData[[#This Row],[Time_of_Purchase]]</f>
        <v>45582</v>
      </c>
      <c r="BE559" t="str">
        <f>IF(tbl_OriginalData[[#This Row],[Discount_Used]]=TRUE,"Yes","No")</f>
        <v>No</v>
      </c>
      <c r="BF559" t="str">
        <f>IF(tbl_OriginalData[[#This Row],[Customer_Loyalty_Program_Member]]=TRUE,"Yes","No")</f>
        <v>Yes</v>
      </c>
      <c r="BG559" t="str">
        <f>tbl_OriginalData[[#This Row],[Purchase_Intent]]</f>
        <v>Planned</v>
      </c>
      <c r="BH559" t="str">
        <f>tbl_OriginalData[[#This Row],[Shipping_Preference]]</f>
        <v>No Preference</v>
      </c>
      <c r="BI559">
        <f>tbl_OriginalData[[#This Row],[Time_to_Decision]]</f>
        <v>6</v>
      </c>
      <c r="BJ559" t="s">
        <v>79</v>
      </c>
      <c r="BK559" t="s">
        <v>80</v>
      </c>
      <c r="BL559" t="s">
        <v>2523</v>
      </c>
    </row>
    <row r="560" spans="1:64">
      <c r="A560" t="s">
        <v>1331</v>
      </c>
      <c r="B560">
        <v>48</v>
      </c>
      <c r="C560" t="s">
        <v>50</v>
      </c>
      <c r="D560" t="s">
        <v>34</v>
      </c>
      <c r="E560" t="s">
        <v>92</v>
      </c>
      <c r="F560" t="s">
        <v>52</v>
      </c>
      <c r="G560" t="s">
        <v>51</v>
      </c>
      <c r="H560" t="s">
        <v>1332</v>
      </c>
      <c r="I560" t="s">
        <v>38</v>
      </c>
      <c r="J560">
        <v>361.48</v>
      </c>
      <c r="K560">
        <v>10</v>
      </c>
      <c r="L560" t="s">
        <v>94</v>
      </c>
      <c r="M560">
        <v>1</v>
      </c>
      <c r="N560">
        <v>4</v>
      </c>
      <c r="O560">
        <v>1</v>
      </c>
      <c r="P560" t="s">
        <v>56</v>
      </c>
      <c r="Q560" t="s">
        <v>41</v>
      </c>
      <c r="R560">
        <v>2</v>
      </c>
      <c r="S560">
        <v>9</v>
      </c>
      <c r="T560" t="s">
        <v>51</v>
      </c>
      <c r="U560" t="s">
        <v>42</v>
      </c>
      <c r="V560" t="s">
        <v>102</v>
      </c>
      <c r="W560" s="1">
        <v>45459</v>
      </c>
      <c r="X560" t="b">
        <v>1</v>
      </c>
      <c r="Y560" t="b">
        <v>1</v>
      </c>
      <c r="Z560" t="s">
        <v>59</v>
      </c>
      <c r="AA560" t="s">
        <v>77</v>
      </c>
      <c r="AB560">
        <v>13</v>
      </c>
      <c r="AF560" t="str">
        <f>tbl_OriginalData[[#This Row],[Customer_ID]]</f>
        <v>64-180-2404</v>
      </c>
      <c r="AG560">
        <f>tbl_OriginalData[[#This Row],[Age]]</f>
        <v>48</v>
      </c>
      <c r="AH560" t="str" cm="1">
        <f t="array" ref="AH56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60" t="str">
        <f>tbl_OriginalData[[#This Row],[Gender]]</f>
        <v>Male</v>
      </c>
      <c r="AJ560" t="str">
        <f>tbl_OriginalData[[#This Row],[Income_Level]]</f>
        <v>Middle</v>
      </c>
      <c r="AK560" t="str">
        <f>tbl_OriginalData[[#This Row],[Marital_Status]]</f>
        <v>Divorced</v>
      </c>
      <c r="AL560" t="str">
        <f>tbl_OriginalData[[#This Row],[Education_Level]]</f>
        <v>High School</v>
      </c>
      <c r="AM560" t="str">
        <f>tbl_OriginalData[[#This Row],[Occupation]]</f>
        <v>High</v>
      </c>
      <c r="AN560" t="s">
        <v>1332</v>
      </c>
      <c r="AO560" t="s">
        <v>90</v>
      </c>
      <c r="AP560" t="str">
        <f>tbl_OriginalData[[#This Row],[Purchase_Category]]</f>
        <v>Gardening &amp; Outdoors</v>
      </c>
      <c r="AQ560" s="4">
        <f>tbl_OriginalData[[#This Row],[Purchase_Amount]]</f>
        <v>361.48</v>
      </c>
      <c r="AR560">
        <f>tbl_OriginalData[[#This Row],[Frequency_of_Purchase]]</f>
        <v>10</v>
      </c>
      <c r="AS560" t="str">
        <f>tbl_OriginalData[[#This Row],[Purchase_Channel]]</f>
        <v>Online</v>
      </c>
      <c r="AT560">
        <f>tbl_OriginalData[[#This Row],[Brand_Loyalty]]</f>
        <v>1</v>
      </c>
      <c r="AU560">
        <f>tbl_OriginalData[[#This Row],[Product_Rating]]</f>
        <v>4</v>
      </c>
      <c r="AV560">
        <f>tbl_OriginalData[[#This Row],[Time_Spent_on_Product_Research(hours)]]*60</f>
        <v>60</v>
      </c>
      <c r="AW560" t="str">
        <f>tbl_OriginalData[[#This Row],[Social_Media_Influence]]</f>
        <v>Medium</v>
      </c>
      <c r="AX560" t="str">
        <f>tbl_OriginalData[[#This Row],[Discount_Sensitivity]]</f>
        <v>Somewhat Sensitive</v>
      </c>
      <c r="AY560" s="3">
        <f>tbl_OriginalData[[#This Row],[Return_Rate]]/tbl_OriginalData[[#This Row],[Frequency_of_Purchase]]</f>
        <v>0.2</v>
      </c>
      <c r="AZ560">
        <f>tbl_OriginalData[[#This Row],[Customer_Satisfaction]]</f>
        <v>9</v>
      </c>
      <c r="BA560" t="str">
        <f>tbl_OriginalData[[#This Row],[Engagement_with_Ads]]</f>
        <v>High</v>
      </c>
      <c r="BB560" t="str">
        <f>tbl_OriginalData[[#This Row],[Device_Used_for_Shopping]]</f>
        <v>Tablet</v>
      </c>
      <c r="BC560" t="str">
        <f>tbl_OriginalData[[#This Row],[Payment_Method]]</f>
        <v>Cash</v>
      </c>
      <c r="BD560" s="1">
        <f>tbl_OriginalData[[#This Row],[Time_of_Purchase]]</f>
        <v>45459</v>
      </c>
      <c r="BE560" t="str">
        <f>IF(tbl_OriginalData[[#This Row],[Discount_Used]]=TRUE,"Yes","No")</f>
        <v>Yes</v>
      </c>
      <c r="BF560" t="str">
        <f>IF(tbl_OriginalData[[#This Row],[Customer_Loyalty_Program_Member]]=TRUE,"Yes","No")</f>
        <v>Yes</v>
      </c>
      <c r="BG560" t="str">
        <f>tbl_OriginalData[[#This Row],[Purchase_Intent]]</f>
        <v>Wants-based</v>
      </c>
      <c r="BH560" t="str">
        <f>tbl_OriginalData[[#This Row],[Shipping_Preference]]</f>
        <v>Express</v>
      </c>
      <c r="BI560">
        <f>tbl_OriginalData[[#This Row],[Time_to_Decision]]</f>
        <v>13</v>
      </c>
      <c r="BJ560" t="s">
        <v>104</v>
      </c>
      <c r="BK560" t="s">
        <v>63</v>
      </c>
      <c r="BL560" t="s">
        <v>2524</v>
      </c>
    </row>
    <row r="561" spans="1:64">
      <c r="A561" t="s">
        <v>1333</v>
      </c>
      <c r="B561">
        <v>23</v>
      </c>
      <c r="C561" t="s">
        <v>50</v>
      </c>
      <c r="D561" t="s">
        <v>34</v>
      </c>
      <c r="E561" t="s">
        <v>65</v>
      </c>
      <c r="F561" t="s">
        <v>66</v>
      </c>
      <c r="G561" t="s">
        <v>51</v>
      </c>
      <c r="H561" t="s">
        <v>1334</v>
      </c>
      <c r="I561" t="s">
        <v>135</v>
      </c>
      <c r="J561">
        <v>270.82</v>
      </c>
      <c r="K561">
        <v>2</v>
      </c>
      <c r="L561" t="s">
        <v>55</v>
      </c>
      <c r="M561">
        <v>4</v>
      </c>
      <c r="N561">
        <v>2</v>
      </c>
      <c r="O561">
        <v>0</v>
      </c>
      <c r="P561" t="s">
        <v>40</v>
      </c>
      <c r="Q561" t="s">
        <v>41</v>
      </c>
      <c r="R561">
        <v>1</v>
      </c>
      <c r="S561">
        <v>8</v>
      </c>
      <c r="T561" t="s">
        <v>69</v>
      </c>
      <c r="U561" t="s">
        <v>42</v>
      </c>
      <c r="V561" t="s">
        <v>76</v>
      </c>
      <c r="W561" s="1">
        <v>45595</v>
      </c>
      <c r="X561" t="b">
        <v>1</v>
      </c>
      <c r="Y561" t="b">
        <v>0</v>
      </c>
      <c r="Z561" t="s">
        <v>59</v>
      </c>
      <c r="AA561" t="s">
        <v>60</v>
      </c>
      <c r="AB561">
        <v>13</v>
      </c>
      <c r="AF561" t="str">
        <f>tbl_OriginalData[[#This Row],[Customer_ID]]</f>
        <v>73-097-0986</v>
      </c>
      <c r="AG561">
        <f>tbl_OriginalData[[#This Row],[Age]]</f>
        <v>23</v>
      </c>
      <c r="AH561" t="str" cm="1">
        <f t="array" ref="AH56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61" t="str">
        <f>tbl_OriginalData[[#This Row],[Gender]]</f>
        <v>Male</v>
      </c>
      <c r="AJ561" t="str">
        <f>tbl_OriginalData[[#This Row],[Income_Level]]</f>
        <v>Middle</v>
      </c>
      <c r="AK561" t="str">
        <f>tbl_OriginalData[[#This Row],[Marital_Status]]</f>
        <v>Single</v>
      </c>
      <c r="AL561" t="str">
        <f>tbl_OriginalData[[#This Row],[Education_Level]]</f>
        <v>Master's</v>
      </c>
      <c r="AM561" t="str">
        <f>tbl_OriginalData[[#This Row],[Occupation]]</f>
        <v>High</v>
      </c>
      <c r="AN561" t="s">
        <v>1334</v>
      </c>
      <c r="AO561" t="s">
        <v>766</v>
      </c>
      <c r="AP561" t="str">
        <f>tbl_OriginalData[[#This Row],[Purchase_Category]]</f>
        <v>Hotels</v>
      </c>
      <c r="AQ561" s="4">
        <f>tbl_OriginalData[[#This Row],[Purchase_Amount]]</f>
        <v>270.82</v>
      </c>
      <c r="AR561">
        <f>tbl_OriginalData[[#This Row],[Frequency_of_Purchase]]</f>
        <v>2</v>
      </c>
      <c r="AS561" t="str">
        <f>tbl_OriginalData[[#This Row],[Purchase_Channel]]</f>
        <v>In-Store</v>
      </c>
      <c r="AT561">
        <f>tbl_OriginalData[[#This Row],[Brand_Loyalty]]</f>
        <v>4</v>
      </c>
      <c r="AU561">
        <f>tbl_OriginalData[[#This Row],[Product_Rating]]</f>
        <v>2</v>
      </c>
      <c r="AV561">
        <f>tbl_OriginalData[[#This Row],[Time_Spent_on_Product_Research(hours)]]*60</f>
        <v>0</v>
      </c>
      <c r="AW561" t="str">
        <f>tbl_OriginalData[[#This Row],[Social_Media_Influence]]</f>
        <v>None</v>
      </c>
      <c r="AX561" t="str">
        <f>tbl_OriginalData[[#This Row],[Discount_Sensitivity]]</f>
        <v>Somewhat Sensitive</v>
      </c>
      <c r="AY561" s="3">
        <f>tbl_OriginalData[[#This Row],[Return_Rate]]/tbl_OriginalData[[#This Row],[Frequency_of_Purchase]]</f>
        <v>0.5</v>
      </c>
      <c r="AZ561">
        <f>tbl_OriginalData[[#This Row],[Customer_Satisfaction]]</f>
        <v>8</v>
      </c>
      <c r="BA561" t="str">
        <f>tbl_OriginalData[[#This Row],[Engagement_with_Ads]]</f>
        <v>Low</v>
      </c>
      <c r="BB561" t="str">
        <f>tbl_OriginalData[[#This Row],[Device_Used_for_Shopping]]</f>
        <v>Tablet</v>
      </c>
      <c r="BC561" t="str">
        <f>tbl_OriginalData[[#This Row],[Payment_Method]]</f>
        <v>Other</v>
      </c>
      <c r="BD561" s="1">
        <f>tbl_OriginalData[[#This Row],[Time_of_Purchase]]</f>
        <v>45595</v>
      </c>
      <c r="BE561" t="str">
        <f>IF(tbl_OriginalData[[#This Row],[Discount_Used]]=TRUE,"Yes","No")</f>
        <v>Yes</v>
      </c>
      <c r="BF561" t="str">
        <f>IF(tbl_OriginalData[[#This Row],[Customer_Loyalty_Program_Member]]=TRUE,"Yes","No")</f>
        <v>No</v>
      </c>
      <c r="BG561" t="str">
        <f>tbl_OriginalData[[#This Row],[Purchase_Intent]]</f>
        <v>Wants-based</v>
      </c>
      <c r="BH561" t="str">
        <f>tbl_OriginalData[[#This Row],[Shipping_Preference]]</f>
        <v>Standard</v>
      </c>
      <c r="BI561">
        <f>tbl_OriginalData[[#This Row],[Time_to_Decision]]</f>
        <v>13</v>
      </c>
      <c r="BJ561" t="s">
        <v>79</v>
      </c>
      <c r="BK561" t="s">
        <v>80</v>
      </c>
      <c r="BL561" t="s">
        <v>2524</v>
      </c>
    </row>
    <row r="562" spans="1:64">
      <c r="A562" t="s">
        <v>1335</v>
      </c>
      <c r="B562">
        <v>49</v>
      </c>
      <c r="C562" t="s">
        <v>33</v>
      </c>
      <c r="D562" t="s">
        <v>51</v>
      </c>
      <c r="E562" t="s">
        <v>82</v>
      </c>
      <c r="F562" t="s">
        <v>52</v>
      </c>
      <c r="G562" t="s">
        <v>51</v>
      </c>
      <c r="H562" t="s">
        <v>1336</v>
      </c>
      <c r="I562" t="s">
        <v>156</v>
      </c>
      <c r="J562">
        <v>372.26</v>
      </c>
      <c r="K562">
        <v>11</v>
      </c>
      <c r="L562" t="s">
        <v>55</v>
      </c>
      <c r="M562">
        <v>1</v>
      </c>
      <c r="N562">
        <v>5</v>
      </c>
      <c r="O562">
        <v>2</v>
      </c>
      <c r="P562" t="s">
        <v>40</v>
      </c>
      <c r="Q562" t="s">
        <v>101</v>
      </c>
      <c r="R562">
        <v>1</v>
      </c>
      <c r="S562">
        <v>8</v>
      </c>
      <c r="T562" t="s">
        <v>51</v>
      </c>
      <c r="U562" t="s">
        <v>70</v>
      </c>
      <c r="V562" t="s">
        <v>58</v>
      </c>
      <c r="W562" s="1">
        <v>45517</v>
      </c>
      <c r="X562" t="b">
        <v>0</v>
      </c>
      <c r="Y562" t="b">
        <v>1</v>
      </c>
      <c r="Z562" t="s">
        <v>59</v>
      </c>
      <c r="AA562" t="s">
        <v>77</v>
      </c>
      <c r="AB562">
        <v>6</v>
      </c>
      <c r="AF562" t="str">
        <f>tbl_OriginalData[[#This Row],[Customer_ID]]</f>
        <v>88-051-0567</v>
      </c>
      <c r="AG562">
        <f>tbl_OriginalData[[#This Row],[Age]]</f>
        <v>49</v>
      </c>
      <c r="AH562" t="str" cm="1">
        <f t="array" ref="AH56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62" t="str">
        <f>tbl_OriginalData[[#This Row],[Gender]]</f>
        <v>Female</v>
      </c>
      <c r="AJ562" t="str">
        <f>tbl_OriginalData[[#This Row],[Income_Level]]</f>
        <v>High</v>
      </c>
      <c r="AK562" t="str">
        <f>tbl_OriginalData[[#This Row],[Marital_Status]]</f>
        <v>Widowed</v>
      </c>
      <c r="AL562" t="str">
        <f>tbl_OriginalData[[#This Row],[Education_Level]]</f>
        <v>High School</v>
      </c>
      <c r="AM562" t="str">
        <f>tbl_OriginalData[[#This Row],[Occupation]]</f>
        <v>High</v>
      </c>
      <c r="AN562" t="s">
        <v>1336</v>
      </c>
      <c r="AO562" t="s">
        <v>383</v>
      </c>
      <c r="AP562" t="str">
        <f>tbl_OriginalData[[#This Row],[Purchase_Category]]</f>
        <v>Toys &amp; Games</v>
      </c>
      <c r="AQ562" s="4">
        <f>tbl_OriginalData[[#This Row],[Purchase_Amount]]</f>
        <v>372.26</v>
      </c>
      <c r="AR562">
        <f>tbl_OriginalData[[#This Row],[Frequency_of_Purchase]]</f>
        <v>11</v>
      </c>
      <c r="AS562" t="str">
        <f>tbl_OriginalData[[#This Row],[Purchase_Channel]]</f>
        <v>In-Store</v>
      </c>
      <c r="AT562">
        <f>tbl_OriginalData[[#This Row],[Brand_Loyalty]]</f>
        <v>1</v>
      </c>
      <c r="AU562">
        <f>tbl_OriginalData[[#This Row],[Product_Rating]]</f>
        <v>5</v>
      </c>
      <c r="AV562">
        <f>tbl_OriginalData[[#This Row],[Time_Spent_on_Product_Research(hours)]]*60</f>
        <v>120</v>
      </c>
      <c r="AW562" t="str">
        <f>tbl_OriginalData[[#This Row],[Social_Media_Influence]]</f>
        <v>None</v>
      </c>
      <c r="AX562" t="str">
        <f>tbl_OriginalData[[#This Row],[Discount_Sensitivity]]</f>
        <v>Very Sensitive</v>
      </c>
      <c r="AY562" s="3">
        <f>tbl_OriginalData[[#This Row],[Return_Rate]]/tbl_OriginalData[[#This Row],[Frequency_of_Purchase]]</f>
        <v>9.0909090909090912E-2</v>
      </c>
      <c r="AZ562">
        <f>tbl_OriginalData[[#This Row],[Customer_Satisfaction]]</f>
        <v>8</v>
      </c>
      <c r="BA562" t="str">
        <f>tbl_OriginalData[[#This Row],[Engagement_with_Ads]]</f>
        <v>High</v>
      </c>
      <c r="BB562" t="str">
        <f>tbl_OriginalData[[#This Row],[Device_Used_for_Shopping]]</f>
        <v>Smartphone</v>
      </c>
      <c r="BC562" t="str">
        <f>tbl_OriginalData[[#This Row],[Payment_Method]]</f>
        <v>PayPal</v>
      </c>
      <c r="BD562" s="1">
        <f>tbl_OriginalData[[#This Row],[Time_of_Purchase]]</f>
        <v>45517</v>
      </c>
      <c r="BE562" t="str">
        <f>IF(tbl_OriginalData[[#This Row],[Discount_Used]]=TRUE,"Yes","No")</f>
        <v>No</v>
      </c>
      <c r="BF562" t="str">
        <f>IF(tbl_OriginalData[[#This Row],[Customer_Loyalty_Program_Member]]=TRUE,"Yes","No")</f>
        <v>Yes</v>
      </c>
      <c r="BG562" t="str">
        <f>tbl_OriginalData[[#This Row],[Purchase_Intent]]</f>
        <v>Wants-based</v>
      </c>
      <c r="BH562" t="str">
        <f>tbl_OriginalData[[#This Row],[Shipping_Preference]]</f>
        <v>Express</v>
      </c>
      <c r="BI562">
        <f>tbl_OriginalData[[#This Row],[Time_to_Decision]]</f>
        <v>6</v>
      </c>
      <c r="BJ562" t="s">
        <v>124</v>
      </c>
      <c r="BK562" t="s">
        <v>115</v>
      </c>
      <c r="BL562" t="s">
        <v>2523</v>
      </c>
    </row>
    <row r="563" spans="1:64">
      <c r="A563" t="s">
        <v>1337</v>
      </c>
      <c r="B563">
        <v>23</v>
      </c>
      <c r="C563" t="s">
        <v>33</v>
      </c>
      <c r="D563" t="s">
        <v>34</v>
      </c>
      <c r="E563" t="s">
        <v>82</v>
      </c>
      <c r="F563" t="s">
        <v>36</v>
      </c>
      <c r="G563" t="s">
        <v>51</v>
      </c>
      <c r="H563" t="s">
        <v>1338</v>
      </c>
      <c r="I563" t="s">
        <v>147</v>
      </c>
      <c r="J563">
        <v>208.59</v>
      </c>
      <c r="K563">
        <v>3</v>
      </c>
      <c r="L563" t="s">
        <v>39</v>
      </c>
      <c r="M563">
        <v>1</v>
      </c>
      <c r="N563">
        <v>1</v>
      </c>
      <c r="O563">
        <v>2</v>
      </c>
      <c r="P563" t="s">
        <v>56</v>
      </c>
      <c r="Q563" t="s">
        <v>41</v>
      </c>
      <c r="R563">
        <v>0</v>
      </c>
      <c r="S563">
        <v>4</v>
      </c>
      <c r="T563" t="s">
        <v>40</v>
      </c>
      <c r="U563" t="s">
        <v>95</v>
      </c>
      <c r="V563" t="s">
        <v>58</v>
      </c>
      <c r="W563" s="1">
        <v>45538</v>
      </c>
      <c r="X563" t="b">
        <v>1</v>
      </c>
      <c r="Y563" t="b">
        <v>0</v>
      </c>
      <c r="Z563" t="s">
        <v>72</v>
      </c>
      <c r="AA563" t="s">
        <v>77</v>
      </c>
      <c r="AB563">
        <v>1</v>
      </c>
      <c r="AF563" t="str">
        <f>tbl_OriginalData[[#This Row],[Customer_ID]]</f>
        <v>44-715-9594</v>
      </c>
      <c r="AG563">
        <f>tbl_OriginalData[[#This Row],[Age]]</f>
        <v>23</v>
      </c>
      <c r="AH563" t="str" cm="1">
        <f t="array" ref="AH56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63" t="str">
        <f>tbl_OriginalData[[#This Row],[Gender]]</f>
        <v>Female</v>
      </c>
      <c r="AJ563" t="str">
        <f>tbl_OriginalData[[#This Row],[Income_Level]]</f>
        <v>Middle</v>
      </c>
      <c r="AK563" t="str">
        <f>tbl_OriginalData[[#This Row],[Marital_Status]]</f>
        <v>Widowed</v>
      </c>
      <c r="AL563" t="str">
        <f>tbl_OriginalData[[#This Row],[Education_Level]]</f>
        <v>Bachelor's</v>
      </c>
      <c r="AM563" t="str">
        <f>tbl_OriginalData[[#This Row],[Occupation]]</f>
        <v>High</v>
      </c>
      <c r="AN563" t="s">
        <v>1338</v>
      </c>
      <c r="AO563" t="s">
        <v>109</v>
      </c>
      <c r="AP563" t="str">
        <f>tbl_OriginalData[[#This Row],[Purchase_Category]]</f>
        <v>Electronics</v>
      </c>
      <c r="AQ563" s="4">
        <f>tbl_OriginalData[[#This Row],[Purchase_Amount]]</f>
        <v>208.59</v>
      </c>
      <c r="AR563">
        <f>tbl_OriginalData[[#This Row],[Frequency_of_Purchase]]</f>
        <v>3</v>
      </c>
      <c r="AS563" t="str">
        <f>tbl_OriginalData[[#This Row],[Purchase_Channel]]</f>
        <v>Mixed</v>
      </c>
      <c r="AT563">
        <f>tbl_OriginalData[[#This Row],[Brand_Loyalty]]</f>
        <v>1</v>
      </c>
      <c r="AU563">
        <f>tbl_OriginalData[[#This Row],[Product_Rating]]</f>
        <v>1</v>
      </c>
      <c r="AV563">
        <f>tbl_OriginalData[[#This Row],[Time_Spent_on_Product_Research(hours)]]*60</f>
        <v>120</v>
      </c>
      <c r="AW563" t="str">
        <f>tbl_OriginalData[[#This Row],[Social_Media_Influence]]</f>
        <v>Medium</v>
      </c>
      <c r="AX563" t="str">
        <f>tbl_OriginalData[[#This Row],[Discount_Sensitivity]]</f>
        <v>Somewhat Sensitive</v>
      </c>
      <c r="AY563" s="3">
        <f>tbl_OriginalData[[#This Row],[Return_Rate]]/tbl_OriginalData[[#This Row],[Frequency_of_Purchase]]</f>
        <v>0</v>
      </c>
      <c r="AZ563">
        <f>tbl_OriginalData[[#This Row],[Customer_Satisfaction]]</f>
        <v>4</v>
      </c>
      <c r="BA563" t="str">
        <f>tbl_OriginalData[[#This Row],[Engagement_with_Ads]]</f>
        <v>None</v>
      </c>
      <c r="BB563" t="str">
        <f>tbl_OriginalData[[#This Row],[Device_Used_for_Shopping]]</f>
        <v>Desktop</v>
      </c>
      <c r="BC563" t="str">
        <f>tbl_OriginalData[[#This Row],[Payment_Method]]</f>
        <v>PayPal</v>
      </c>
      <c r="BD563" s="1">
        <f>tbl_OriginalData[[#This Row],[Time_of_Purchase]]</f>
        <v>45538</v>
      </c>
      <c r="BE563" t="str">
        <f>IF(tbl_OriginalData[[#This Row],[Discount_Used]]=TRUE,"Yes","No")</f>
        <v>Yes</v>
      </c>
      <c r="BF563" t="str">
        <f>IF(tbl_OriginalData[[#This Row],[Customer_Loyalty_Program_Member]]=TRUE,"Yes","No")</f>
        <v>No</v>
      </c>
      <c r="BG563" t="str">
        <f>tbl_OriginalData[[#This Row],[Purchase_Intent]]</f>
        <v>Impulsive</v>
      </c>
      <c r="BH563" t="str">
        <f>tbl_OriginalData[[#This Row],[Shipping_Preference]]</f>
        <v>Express</v>
      </c>
      <c r="BI563">
        <f>tbl_OriginalData[[#This Row],[Time_to_Decision]]</f>
        <v>1</v>
      </c>
      <c r="BJ563" t="s">
        <v>172</v>
      </c>
      <c r="BK563" t="s">
        <v>115</v>
      </c>
      <c r="BL563" t="s">
        <v>2526</v>
      </c>
    </row>
    <row r="564" spans="1:64">
      <c r="A564" t="s">
        <v>1339</v>
      </c>
      <c r="B564">
        <v>39</v>
      </c>
      <c r="C564" t="s">
        <v>50</v>
      </c>
      <c r="D564" t="s">
        <v>34</v>
      </c>
      <c r="E564" t="s">
        <v>82</v>
      </c>
      <c r="F564" t="s">
        <v>52</v>
      </c>
      <c r="G564" t="s">
        <v>51</v>
      </c>
      <c r="H564" t="s">
        <v>1340</v>
      </c>
      <c r="I564" t="s">
        <v>38</v>
      </c>
      <c r="J564">
        <v>163.22</v>
      </c>
      <c r="K564">
        <v>8</v>
      </c>
      <c r="L564" t="s">
        <v>94</v>
      </c>
      <c r="M564">
        <v>5</v>
      </c>
      <c r="N564">
        <v>3</v>
      </c>
      <c r="O564">
        <v>0</v>
      </c>
      <c r="P564" t="s">
        <v>51</v>
      </c>
      <c r="Q564" t="s">
        <v>41</v>
      </c>
      <c r="R564">
        <v>1</v>
      </c>
      <c r="S564">
        <v>3</v>
      </c>
      <c r="T564" t="s">
        <v>40</v>
      </c>
      <c r="U564" t="s">
        <v>70</v>
      </c>
      <c r="V564" t="s">
        <v>58</v>
      </c>
      <c r="W564" s="1">
        <v>45474</v>
      </c>
      <c r="X564" t="b">
        <v>0</v>
      </c>
      <c r="Y564" t="b">
        <v>1</v>
      </c>
      <c r="Z564" t="s">
        <v>59</v>
      </c>
      <c r="AA564" t="s">
        <v>45</v>
      </c>
      <c r="AB564">
        <v>8</v>
      </c>
      <c r="AF564" t="str">
        <f>tbl_OriginalData[[#This Row],[Customer_ID]]</f>
        <v>84-188-6577</v>
      </c>
      <c r="AG564">
        <f>tbl_OriginalData[[#This Row],[Age]]</f>
        <v>39</v>
      </c>
      <c r="AH564" t="str" cm="1">
        <f t="array" ref="AH56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64" t="str">
        <f>tbl_OriginalData[[#This Row],[Gender]]</f>
        <v>Male</v>
      </c>
      <c r="AJ564" t="str">
        <f>tbl_OriginalData[[#This Row],[Income_Level]]</f>
        <v>Middle</v>
      </c>
      <c r="AK564" t="str">
        <f>tbl_OriginalData[[#This Row],[Marital_Status]]</f>
        <v>Widowed</v>
      </c>
      <c r="AL564" t="str">
        <f>tbl_OriginalData[[#This Row],[Education_Level]]</f>
        <v>High School</v>
      </c>
      <c r="AM564" t="str">
        <f>tbl_OriginalData[[#This Row],[Occupation]]</f>
        <v>High</v>
      </c>
      <c r="AN564" t="s">
        <v>1340</v>
      </c>
      <c r="AO564" t="s">
        <v>109</v>
      </c>
      <c r="AP564" t="str">
        <f>tbl_OriginalData[[#This Row],[Purchase_Category]]</f>
        <v>Gardening &amp; Outdoors</v>
      </c>
      <c r="AQ564" s="4">
        <f>tbl_OriginalData[[#This Row],[Purchase_Amount]]</f>
        <v>163.22</v>
      </c>
      <c r="AR564">
        <f>tbl_OriginalData[[#This Row],[Frequency_of_Purchase]]</f>
        <v>8</v>
      </c>
      <c r="AS564" t="str">
        <f>tbl_OriginalData[[#This Row],[Purchase_Channel]]</f>
        <v>Online</v>
      </c>
      <c r="AT564">
        <f>tbl_OriginalData[[#This Row],[Brand_Loyalty]]</f>
        <v>5</v>
      </c>
      <c r="AU564">
        <f>tbl_OriginalData[[#This Row],[Product_Rating]]</f>
        <v>3</v>
      </c>
      <c r="AV564">
        <f>tbl_OriginalData[[#This Row],[Time_Spent_on_Product_Research(hours)]]*60</f>
        <v>0</v>
      </c>
      <c r="AW564" t="str">
        <f>tbl_OriginalData[[#This Row],[Social_Media_Influence]]</f>
        <v>High</v>
      </c>
      <c r="AX564" t="str">
        <f>tbl_OriginalData[[#This Row],[Discount_Sensitivity]]</f>
        <v>Somewhat Sensitive</v>
      </c>
      <c r="AY564" s="3">
        <f>tbl_OriginalData[[#This Row],[Return_Rate]]/tbl_OriginalData[[#This Row],[Frequency_of_Purchase]]</f>
        <v>0.125</v>
      </c>
      <c r="AZ564">
        <f>tbl_OriginalData[[#This Row],[Customer_Satisfaction]]</f>
        <v>3</v>
      </c>
      <c r="BA564" t="str">
        <f>tbl_OriginalData[[#This Row],[Engagement_with_Ads]]</f>
        <v>None</v>
      </c>
      <c r="BB564" t="str">
        <f>tbl_OriginalData[[#This Row],[Device_Used_for_Shopping]]</f>
        <v>Smartphone</v>
      </c>
      <c r="BC564" t="str">
        <f>tbl_OriginalData[[#This Row],[Payment_Method]]</f>
        <v>PayPal</v>
      </c>
      <c r="BD564" s="1">
        <f>tbl_OriginalData[[#This Row],[Time_of_Purchase]]</f>
        <v>45474</v>
      </c>
      <c r="BE564" t="str">
        <f>IF(tbl_OriginalData[[#This Row],[Discount_Used]]=TRUE,"Yes","No")</f>
        <v>No</v>
      </c>
      <c r="BF564" t="str">
        <f>IF(tbl_OriginalData[[#This Row],[Customer_Loyalty_Program_Member]]=TRUE,"Yes","No")</f>
        <v>Yes</v>
      </c>
      <c r="BG564" t="str">
        <f>tbl_OriginalData[[#This Row],[Purchase_Intent]]</f>
        <v>Wants-based</v>
      </c>
      <c r="BH564" t="str">
        <f>tbl_OriginalData[[#This Row],[Shipping_Preference]]</f>
        <v>No Preference</v>
      </c>
      <c r="BI564">
        <f>tbl_OriginalData[[#This Row],[Time_to_Decision]]</f>
        <v>8</v>
      </c>
      <c r="BJ564" t="s">
        <v>114</v>
      </c>
      <c r="BK564" t="s">
        <v>115</v>
      </c>
      <c r="BL564" t="s">
        <v>2526</v>
      </c>
    </row>
    <row r="565" spans="1:64">
      <c r="A565" t="s">
        <v>1341</v>
      </c>
      <c r="B565">
        <v>45</v>
      </c>
      <c r="C565" t="s">
        <v>50</v>
      </c>
      <c r="D565" t="s">
        <v>51</v>
      </c>
      <c r="E565" t="s">
        <v>35</v>
      </c>
      <c r="F565" t="s">
        <v>52</v>
      </c>
      <c r="G565" t="s">
        <v>51</v>
      </c>
      <c r="H565" t="s">
        <v>1342</v>
      </c>
      <c r="I565" t="s">
        <v>127</v>
      </c>
      <c r="J565">
        <v>364.98</v>
      </c>
      <c r="K565">
        <v>7</v>
      </c>
      <c r="L565" t="s">
        <v>55</v>
      </c>
      <c r="M565">
        <v>4</v>
      </c>
      <c r="N565">
        <v>1</v>
      </c>
      <c r="O565">
        <v>0</v>
      </c>
      <c r="P565" t="s">
        <v>69</v>
      </c>
      <c r="Q565" t="s">
        <v>101</v>
      </c>
      <c r="R565">
        <v>0</v>
      </c>
      <c r="S565">
        <v>1</v>
      </c>
      <c r="T565" t="s">
        <v>40</v>
      </c>
      <c r="U565" t="s">
        <v>95</v>
      </c>
      <c r="V565" t="s">
        <v>102</v>
      </c>
      <c r="W565" s="1">
        <v>45423</v>
      </c>
      <c r="X565" t="b">
        <v>1</v>
      </c>
      <c r="Y565" t="b">
        <v>0</v>
      </c>
      <c r="Z565" t="s">
        <v>59</v>
      </c>
      <c r="AA565" t="s">
        <v>60</v>
      </c>
      <c r="AB565">
        <v>8</v>
      </c>
      <c r="AF565" t="str">
        <f>tbl_OriginalData[[#This Row],[Customer_ID]]</f>
        <v>19-116-4723</v>
      </c>
      <c r="AG565">
        <f>tbl_OriginalData[[#This Row],[Age]]</f>
        <v>45</v>
      </c>
      <c r="AH565" t="str" cm="1">
        <f t="array" ref="AH56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65" t="str">
        <f>tbl_OriginalData[[#This Row],[Gender]]</f>
        <v>Male</v>
      </c>
      <c r="AJ565" t="str">
        <f>tbl_OriginalData[[#This Row],[Income_Level]]</f>
        <v>High</v>
      </c>
      <c r="AK565" t="str">
        <f>tbl_OriginalData[[#This Row],[Marital_Status]]</f>
        <v>Married</v>
      </c>
      <c r="AL565" t="str">
        <f>tbl_OriginalData[[#This Row],[Education_Level]]</f>
        <v>High School</v>
      </c>
      <c r="AM565" t="str">
        <f>tbl_OriginalData[[#This Row],[Occupation]]</f>
        <v>High</v>
      </c>
      <c r="AN565" t="s">
        <v>1342</v>
      </c>
      <c r="AO565" t="s">
        <v>109</v>
      </c>
      <c r="AP565" t="str">
        <f>tbl_OriginalData[[#This Row],[Purchase_Category]]</f>
        <v>Animal Feed</v>
      </c>
      <c r="AQ565" s="4">
        <f>tbl_OriginalData[[#This Row],[Purchase_Amount]]</f>
        <v>364.98</v>
      </c>
      <c r="AR565">
        <f>tbl_OriginalData[[#This Row],[Frequency_of_Purchase]]</f>
        <v>7</v>
      </c>
      <c r="AS565" t="str">
        <f>tbl_OriginalData[[#This Row],[Purchase_Channel]]</f>
        <v>In-Store</v>
      </c>
      <c r="AT565">
        <f>tbl_OriginalData[[#This Row],[Brand_Loyalty]]</f>
        <v>4</v>
      </c>
      <c r="AU565">
        <f>tbl_OriginalData[[#This Row],[Product_Rating]]</f>
        <v>1</v>
      </c>
      <c r="AV565">
        <f>tbl_OriginalData[[#This Row],[Time_Spent_on_Product_Research(hours)]]*60</f>
        <v>0</v>
      </c>
      <c r="AW565" t="str">
        <f>tbl_OriginalData[[#This Row],[Social_Media_Influence]]</f>
        <v>Low</v>
      </c>
      <c r="AX565" t="str">
        <f>tbl_OriginalData[[#This Row],[Discount_Sensitivity]]</f>
        <v>Very Sensitive</v>
      </c>
      <c r="AY565" s="3">
        <f>tbl_OriginalData[[#This Row],[Return_Rate]]/tbl_OriginalData[[#This Row],[Frequency_of_Purchase]]</f>
        <v>0</v>
      </c>
      <c r="AZ565">
        <f>tbl_OriginalData[[#This Row],[Customer_Satisfaction]]</f>
        <v>1</v>
      </c>
      <c r="BA565" t="str">
        <f>tbl_OriginalData[[#This Row],[Engagement_with_Ads]]</f>
        <v>None</v>
      </c>
      <c r="BB565" t="str">
        <f>tbl_OriginalData[[#This Row],[Device_Used_for_Shopping]]</f>
        <v>Desktop</v>
      </c>
      <c r="BC565" t="str">
        <f>tbl_OriginalData[[#This Row],[Payment_Method]]</f>
        <v>Cash</v>
      </c>
      <c r="BD565" s="1">
        <f>tbl_OriginalData[[#This Row],[Time_of_Purchase]]</f>
        <v>45423</v>
      </c>
      <c r="BE565" t="str">
        <f>IF(tbl_OriginalData[[#This Row],[Discount_Used]]=TRUE,"Yes","No")</f>
        <v>Yes</v>
      </c>
      <c r="BF565" t="str">
        <f>IF(tbl_OriginalData[[#This Row],[Customer_Loyalty_Program_Member]]=TRUE,"Yes","No")</f>
        <v>No</v>
      </c>
      <c r="BG565" t="str">
        <f>tbl_OriginalData[[#This Row],[Purchase_Intent]]</f>
        <v>Wants-based</v>
      </c>
      <c r="BH565" t="str">
        <f>tbl_OriginalData[[#This Row],[Shipping_Preference]]</f>
        <v>Standard</v>
      </c>
      <c r="BI565">
        <f>tbl_OriginalData[[#This Row],[Time_to_Decision]]</f>
        <v>8</v>
      </c>
      <c r="BJ565" t="s">
        <v>167</v>
      </c>
      <c r="BK565" t="s">
        <v>63</v>
      </c>
      <c r="BL565" t="s">
        <v>2526</v>
      </c>
    </row>
    <row r="566" spans="1:64">
      <c r="A566" t="s">
        <v>1343</v>
      </c>
      <c r="B566">
        <v>31</v>
      </c>
      <c r="C566" t="s">
        <v>431</v>
      </c>
      <c r="D566" t="s">
        <v>51</v>
      </c>
      <c r="E566" t="s">
        <v>92</v>
      </c>
      <c r="F566" t="s">
        <v>66</v>
      </c>
      <c r="G566" t="s">
        <v>51</v>
      </c>
      <c r="H566" t="s">
        <v>1344</v>
      </c>
      <c r="I566" t="s">
        <v>199</v>
      </c>
      <c r="J566">
        <v>142.43</v>
      </c>
      <c r="K566">
        <v>3</v>
      </c>
      <c r="L566" t="s">
        <v>55</v>
      </c>
      <c r="M566">
        <v>2</v>
      </c>
      <c r="N566">
        <v>5</v>
      </c>
      <c r="O566">
        <v>2</v>
      </c>
      <c r="P566" t="s">
        <v>51</v>
      </c>
      <c r="Q566" t="s">
        <v>101</v>
      </c>
      <c r="R566">
        <v>1</v>
      </c>
      <c r="S566">
        <v>9</v>
      </c>
      <c r="T566" t="s">
        <v>40</v>
      </c>
      <c r="U566" t="s">
        <v>95</v>
      </c>
      <c r="V566" t="s">
        <v>58</v>
      </c>
      <c r="W566" s="1">
        <v>45563</v>
      </c>
      <c r="X566" t="b">
        <v>1</v>
      </c>
      <c r="Y566" t="b">
        <v>0</v>
      </c>
      <c r="Z566" t="s">
        <v>89</v>
      </c>
      <c r="AA566" t="s">
        <v>77</v>
      </c>
      <c r="AB566">
        <v>8</v>
      </c>
      <c r="AF566" t="str">
        <f>tbl_OriginalData[[#This Row],[Customer_ID]]</f>
        <v>21-783-9242</v>
      </c>
      <c r="AG566">
        <f>tbl_OriginalData[[#This Row],[Age]]</f>
        <v>31</v>
      </c>
      <c r="AH566" t="str" cm="1">
        <f t="array" ref="AH56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66" t="str">
        <f>tbl_OriginalData[[#This Row],[Gender]]</f>
        <v>Genderqueer</v>
      </c>
      <c r="AJ566" t="str">
        <f>tbl_OriginalData[[#This Row],[Income_Level]]</f>
        <v>High</v>
      </c>
      <c r="AK566" t="str">
        <f>tbl_OriginalData[[#This Row],[Marital_Status]]</f>
        <v>Divorced</v>
      </c>
      <c r="AL566" t="str">
        <f>tbl_OriginalData[[#This Row],[Education_Level]]</f>
        <v>Master's</v>
      </c>
      <c r="AM566" t="str">
        <f>tbl_OriginalData[[#This Row],[Occupation]]</f>
        <v>High</v>
      </c>
      <c r="AN566" t="s">
        <v>1344</v>
      </c>
      <c r="AO566" t="s">
        <v>109</v>
      </c>
      <c r="AP566" t="str">
        <f>tbl_OriginalData[[#This Row],[Purchase_Category]]</f>
        <v>Groceries</v>
      </c>
      <c r="AQ566" s="4">
        <f>tbl_OriginalData[[#This Row],[Purchase_Amount]]</f>
        <v>142.43</v>
      </c>
      <c r="AR566">
        <f>tbl_OriginalData[[#This Row],[Frequency_of_Purchase]]</f>
        <v>3</v>
      </c>
      <c r="AS566" t="str">
        <f>tbl_OriginalData[[#This Row],[Purchase_Channel]]</f>
        <v>In-Store</v>
      </c>
      <c r="AT566">
        <f>tbl_OriginalData[[#This Row],[Brand_Loyalty]]</f>
        <v>2</v>
      </c>
      <c r="AU566">
        <f>tbl_OriginalData[[#This Row],[Product_Rating]]</f>
        <v>5</v>
      </c>
      <c r="AV566">
        <f>tbl_OriginalData[[#This Row],[Time_Spent_on_Product_Research(hours)]]*60</f>
        <v>120</v>
      </c>
      <c r="AW566" t="str">
        <f>tbl_OriginalData[[#This Row],[Social_Media_Influence]]</f>
        <v>High</v>
      </c>
      <c r="AX566" t="str">
        <f>tbl_OriginalData[[#This Row],[Discount_Sensitivity]]</f>
        <v>Very Sensitive</v>
      </c>
      <c r="AY566" s="3">
        <f>tbl_OriginalData[[#This Row],[Return_Rate]]/tbl_OriginalData[[#This Row],[Frequency_of_Purchase]]</f>
        <v>0.33333333333333331</v>
      </c>
      <c r="AZ566">
        <f>tbl_OriginalData[[#This Row],[Customer_Satisfaction]]</f>
        <v>9</v>
      </c>
      <c r="BA566" t="str">
        <f>tbl_OriginalData[[#This Row],[Engagement_with_Ads]]</f>
        <v>None</v>
      </c>
      <c r="BB566" t="str">
        <f>tbl_OriginalData[[#This Row],[Device_Used_for_Shopping]]</f>
        <v>Desktop</v>
      </c>
      <c r="BC566" t="str">
        <f>tbl_OriginalData[[#This Row],[Payment_Method]]</f>
        <v>PayPal</v>
      </c>
      <c r="BD566" s="1">
        <f>tbl_OriginalData[[#This Row],[Time_of_Purchase]]</f>
        <v>45563</v>
      </c>
      <c r="BE566" t="str">
        <f>IF(tbl_OriginalData[[#This Row],[Discount_Used]]=TRUE,"Yes","No")</f>
        <v>Yes</v>
      </c>
      <c r="BF566" t="str">
        <f>IF(tbl_OriginalData[[#This Row],[Customer_Loyalty_Program_Member]]=TRUE,"Yes","No")</f>
        <v>No</v>
      </c>
      <c r="BG566" t="str">
        <f>tbl_OriginalData[[#This Row],[Purchase_Intent]]</f>
        <v>Planned</v>
      </c>
      <c r="BH566" t="str">
        <f>tbl_OriginalData[[#This Row],[Shipping_Preference]]</f>
        <v>Express</v>
      </c>
      <c r="BI566">
        <f>tbl_OriginalData[[#This Row],[Time_to_Decision]]</f>
        <v>8</v>
      </c>
      <c r="BJ566" t="s">
        <v>172</v>
      </c>
      <c r="BK566" t="s">
        <v>115</v>
      </c>
      <c r="BL566" t="s">
        <v>2526</v>
      </c>
    </row>
    <row r="567" spans="1:64">
      <c r="A567" t="s">
        <v>1345</v>
      </c>
      <c r="B567">
        <v>19</v>
      </c>
      <c r="C567" t="s">
        <v>33</v>
      </c>
      <c r="D567" t="s">
        <v>34</v>
      </c>
      <c r="E567" t="s">
        <v>35</v>
      </c>
      <c r="F567" t="s">
        <v>36</v>
      </c>
      <c r="G567" t="s">
        <v>51</v>
      </c>
      <c r="H567" t="s">
        <v>1346</v>
      </c>
      <c r="I567" t="s">
        <v>147</v>
      </c>
      <c r="J567">
        <v>449.72</v>
      </c>
      <c r="K567">
        <v>3</v>
      </c>
      <c r="L567" t="s">
        <v>39</v>
      </c>
      <c r="M567">
        <v>3</v>
      </c>
      <c r="N567">
        <v>3</v>
      </c>
      <c r="O567">
        <v>0</v>
      </c>
      <c r="P567" t="s">
        <v>51</v>
      </c>
      <c r="Q567" t="s">
        <v>41</v>
      </c>
      <c r="R567">
        <v>1</v>
      </c>
      <c r="S567">
        <v>9</v>
      </c>
      <c r="T567" t="s">
        <v>40</v>
      </c>
      <c r="U567" t="s">
        <v>70</v>
      </c>
      <c r="V567" t="s">
        <v>76</v>
      </c>
      <c r="W567" s="1">
        <v>45340</v>
      </c>
      <c r="X567" t="b">
        <v>1</v>
      </c>
      <c r="Y567" t="b">
        <v>1</v>
      </c>
      <c r="Z567" t="s">
        <v>59</v>
      </c>
      <c r="AA567" t="s">
        <v>77</v>
      </c>
      <c r="AB567">
        <v>3</v>
      </c>
      <c r="AF567" t="str">
        <f>tbl_OriginalData[[#This Row],[Customer_ID]]</f>
        <v>95-528-2313</v>
      </c>
      <c r="AG567">
        <f>tbl_OriginalData[[#This Row],[Age]]</f>
        <v>19</v>
      </c>
      <c r="AH567" t="str" cm="1">
        <f t="array" ref="AH56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567" t="str">
        <f>tbl_OriginalData[[#This Row],[Gender]]</f>
        <v>Female</v>
      </c>
      <c r="AJ567" t="str">
        <f>tbl_OriginalData[[#This Row],[Income_Level]]</f>
        <v>Middle</v>
      </c>
      <c r="AK567" t="str">
        <f>tbl_OriginalData[[#This Row],[Marital_Status]]</f>
        <v>Married</v>
      </c>
      <c r="AL567" t="str">
        <f>tbl_OriginalData[[#This Row],[Education_Level]]</f>
        <v>Bachelor's</v>
      </c>
      <c r="AM567" t="str">
        <f>tbl_OriginalData[[#This Row],[Occupation]]</f>
        <v>High</v>
      </c>
      <c r="AN567" t="s">
        <v>1346</v>
      </c>
      <c r="AO567" t="s">
        <v>1347</v>
      </c>
      <c r="AP567" t="str">
        <f>tbl_OriginalData[[#This Row],[Purchase_Category]]</f>
        <v>Electronics</v>
      </c>
      <c r="AQ567" s="4">
        <f>tbl_OriginalData[[#This Row],[Purchase_Amount]]</f>
        <v>449.72</v>
      </c>
      <c r="AR567">
        <f>tbl_OriginalData[[#This Row],[Frequency_of_Purchase]]</f>
        <v>3</v>
      </c>
      <c r="AS567" t="str">
        <f>tbl_OriginalData[[#This Row],[Purchase_Channel]]</f>
        <v>Mixed</v>
      </c>
      <c r="AT567">
        <f>tbl_OriginalData[[#This Row],[Brand_Loyalty]]</f>
        <v>3</v>
      </c>
      <c r="AU567">
        <f>tbl_OriginalData[[#This Row],[Product_Rating]]</f>
        <v>3</v>
      </c>
      <c r="AV567">
        <f>tbl_OriginalData[[#This Row],[Time_Spent_on_Product_Research(hours)]]*60</f>
        <v>0</v>
      </c>
      <c r="AW567" t="str">
        <f>tbl_OriginalData[[#This Row],[Social_Media_Influence]]</f>
        <v>High</v>
      </c>
      <c r="AX567" t="str">
        <f>tbl_OriginalData[[#This Row],[Discount_Sensitivity]]</f>
        <v>Somewhat Sensitive</v>
      </c>
      <c r="AY567" s="3">
        <f>tbl_OriginalData[[#This Row],[Return_Rate]]/tbl_OriginalData[[#This Row],[Frequency_of_Purchase]]</f>
        <v>0.33333333333333331</v>
      </c>
      <c r="AZ567">
        <f>tbl_OriginalData[[#This Row],[Customer_Satisfaction]]</f>
        <v>9</v>
      </c>
      <c r="BA567" t="str">
        <f>tbl_OriginalData[[#This Row],[Engagement_with_Ads]]</f>
        <v>None</v>
      </c>
      <c r="BB567" t="str">
        <f>tbl_OriginalData[[#This Row],[Device_Used_for_Shopping]]</f>
        <v>Smartphone</v>
      </c>
      <c r="BC567" t="str">
        <f>tbl_OriginalData[[#This Row],[Payment_Method]]</f>
        <v>Other</v>
      </c>
      <c r="BD567" s="1">
        <f>tbl_OriginalData[[#This Row],[Time_of_Purchase]]</f>
        <v>45340</v>
      </c>
      <c r="BE567" t="str">
        <f>IF(tbl_OriginalData[[#This Row],[Discount_Used]]=TRUE,"Yes","No")</f>
        <v>Yes</v>
      </c>
      <c r="BF567" t="str">
        <f>IF(tbl_OriginalData[[#This Row],[Customer_Loyalty_Program_Member]]=TRUE,"Yes","No")</f>
        <v>Yes</v>
      </c>
      <c r="BG567" t="str">
        <f>tbl_OriginalData[[#This Row],[Purchase_Intent]]</f>
        <v>Wants-based</v>
      </c>
      <c r="BH567" t="str">
        <f>tbl_OriginalData[[#This Row],[Shipping_Preference]]</f>
        <v>Express</v>
      </c>
      <c r="BI567">
        <f>tbl_OriginalData[[#This Row],[Time_to_Decision]]</f>
        <v>3</v>
      </c>
      <c r="BJ567" t="s">
        <v>158</v>
      </c>
      <c r="BK567" t="s">
        <v>48</v>
      </c>
      <c r="BL567" t="s">
        <v>2523</v>
      </c>
    </row>
    <row r="568" spans="1:64">
      <c r="A568" t="s">
        <v>1348</v>
      </c>
      <c r="B568">
        <v>27</v>
      </c>
      <c r="C568" t="s">
        <v>50</v>
      </c>
      <c r="D568" t="s">
        <v>34</v>
      </c>
      <c r="E568" t="s">
        <v>65</v>
      </c>
      <c r="F568" t="s">
        <v>36</v>
      </c>
      <c r="G568" t="s">
        <v>51</v>
      </c>
      <c r="H568" t="s">
        <v>1349</v>
      </c>
      <c r="I568" t="s">
        <v>38</v>
      </c>
      <c r="J568">
        <v>241.56</v>
      </c>
      <c r="K568">
        <v>12</v>
      </c>
      <c r="L568" t="s">
        <v>39</v>
      </c>
      <c r="M568">
        <v>3</v>
      </c>
      <c r="N568">
        <v>2</v>
      </c>
      <c r="O568">
        <v>0</v>
      </c>
      <c r="P568" t="s">
        <v>51</v>
      </c>
      <c r="Q568" t="s">
        <v>57</v>
      </c>
      <c r="R568">
        <v>0</v>
      </c>
      <c r="S568">
        <v>5</v>
      </c>
      <c r="T568" t="s">
        <v>51</v>
      </c>
      <c r="U568" t="s">
        <v>42</v>
      </c>
      <c r="V568" t="s">
        <v>58</v>
      </c>
      <c r="W568" s="1">
        <v>45624</v>
      </c>
      <c r="X568" t="b">
        <v>1</v>
      </c>
      <c r="Y568" t="b">
        <v>0</v>
      </c>
      <c r="Z568" t="s">
        <v>44</v>
      </c>
      <c r="AA568" t="s">
        <v>77</v>
      </c>
      <c r="AB568">
        <v>2</v>
      </c>
      <c r="AF568" t="str">
        <f>tbl_OriginalData[[#This Row],[Customer_ID]]</f>
        <v>94-682-4886</v>
      </c>
      <c r="AG568">
        <f>tbl_OriginalData[[#This Row],[Age]]</f>
        <v>27</v>
      </c>
      <c r="AH568" t="str" cm="1">
        <f t="array" ref="AH56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68" t="str">
        <f>tbl_OriginalData[[#This Row],[Gender]]</f>
        <v>Male</v>
      </c>
      <c r="AJ568" t="str">
        <f>tbl_OriginalData[[#This Row],[Income_Level]]</f>
        <v>Middle</v>
      </c>
      <c r="AK568" t="str">
        <f>tbl_OriginalData[[#This Row],[Marital_Status]]</f>
        <v>Single</v>
      </c>
      <c r="AL568" t="str">
        <f>tbl_OriginalData[[#This Row],[Education_Level]]</f>
        <v>Bachelor's</v>
      </c>
      <c r="AM568" t="str">
        <f>tbl_OriginalData[[#This Row],[Occupation]]</f>
        <v>High</v>
      </c>
      <c r="AN568" t="s">
        <v>1349</v>
      </c>
      <c r="AO568" t="s">
        <v>269</v>
      </c>
      <c r="AP568" t="str">
        <f>tbl_OriginalData[[#This Row],[Purchase_Category]]</f>
        <v>Gardening &amp; Outdoors</v>
      </c>
      <c r="AQ568" s="4">
        <f>tbl_OriginalData[[#This Row],[Purchase_Amount]]</f>
        <v>241.56</v>
      </c>
      <c r="AR568">
        <f>tbl_OriginalData[[#This Row],[Frequency_of_Purchase]]</f>
        <v>12</v>
      </c>
      <c r="AS568" t="str">
        <f>tbl_OriginalData[[#This Row],[Purchase_Channel]]</f>
        <v>Mixed</v>
      </c>
      <c r="AT568">
        <f>tbl_OriginalData[[#This Row],[Brand_Loyalty]]</f>
        <v>3</v>
      </c>
      <c r="AU568">
        <f>tbl_OriginalData[[#This Row],[Product_Rating]]</f>
        <v>2</v>
      </c>
      <c r="AV568">
        <f>tbl_OriginalData[[#This Row],[Time_Spent_on_Product_Research(hours)]]*60</f>
        <v>0</v>
      </c>
      <c r="AW568" t="str">
        <f>tbl_OriginalData[[#This Row],[Social_Media_Influence]]</f>
        <v>High</v>
      </c>
      <c r="AX568" t="str">
        <f>tbl_OriginalData[[#This Row],[Discount_Sensitivity]]</f>
        <v>Not Sensitive</v>
      </c>
      <c r="AY568" s="3">
        <f>tbl_OriginalData[[#This Row],[Return_Rate]]/tbl_OriginalData[[#This Row],[Frequency_of_Purchase]]</f>
        <v>0</v>
      </c>
      <c r="AZ568">
        <f>tbl_OriginalData[[#This Row],[Customer_Satisfaction]]</f>
        <v>5</v>
      </c>
      <c r="BA568" t="str">
        <f>tbl_OriginalData[[#This Row],[Engagement_with_Ads]]</f>
        <v>High</v>
      </c>
      <c r="BB568" t="str">
        <f>tbl_OriginalData[[#This Row],[Device_Used_for_Shopping]]</f>
        <v>Tablet</v>
      </c>
      <c r="BC568" t="str">
        <f>tbl_OriginalData[[#This Row],[Payment_Method]]</f>
        <v>PayPal</v>
      </c>
      <c r="BD568" s="1">
        <f>tbl_OriginalData[[#This Row],[Time_of_Purchase]]</f>
        <v>45624</v>
      </c>
      <c r="BE568" t="str">
        <f>IF(tbl_OriginalData[[#This Row],[Discount_Used]]=TRUE,"Yes","No")</f>
        <v>Yes</v>
      </c>
      <c r="BF568" t="str">
        <f>IF(tbl_OriginalData[[#This Row],[Customer_Loyalty_Program_Member]]=TRUE,"Yes","No")</f>
        <v>No</v>
      </c>
      <c r="BG568" t="str">
        <f>tbl_OriginalData[[#This Row],[Purchase_Intent]]</f>
        <v>Need-based</v>
      </c>
      <c r="BH568" t="str">
        <f>tbl_OriginalData[[#This Row],[Shipping_Preference]]</f>
        <v>Express</v>
      </c>
      <c r="BI568">
        <f>tbl_OriginalData[[#This Row],[Time_to_Decision]]</f>
        <v>2</v>
      </c>
      <c r="BJ568" t="s">
        <v>177</v>
      </c>
      <c r="BK568" t="s">
        <v>80</v>
      </c>
      <c r="BL568" t="s">
        <v>2528</v>
      </c>
    </row>
    <row r="569" spans="1:64">
      <c r="A569" t="s">
        <v>1350</v>
      </c>
      <c r="B569">
        <v>32</v>
      </c>
      <c r="C569" t="s">
        <v>106</v>
      </c>
      <c r="D569" t="s">
        <v>34</v>
      </c>
      <c r="E569" t="s">
        <v>92</v>
      </c>
      <c r="F569" t="s">
        <v>66</v>
      </c>
      <c r="G569" t="s">
        <v>51</v>
      </c>
      <c r="H569" t="s">
        <v>1351</v>
      </c>
      <c r="I569" t="s">
        <v>229</v>
      </c>
      <c r="J569">
        <v>249.73</v>
      </c>
      <c r="K569">
        <v>5</v>
      </c>
      <c r="L569" t="s">
        <v>39</v>
      </c>
      <c r="M569">
        <v>1</v>
      </c>
      <c r="N569">
        <v>4</v>
      </c>
      <c r="O569">
        <v>2</v>
      </c>
      <c r="P569" t="s">
        <v>69</v>
      </c>
      <c r="Q569" t="s">
        <v>101</v>
      </c>
      <c r="R569">
        <v>1</v>
      </c>
      <c r="S569">
        <v>4</v>
      </c>
      <c r="T569" t="s">
        <v>69</v>
      </c>
      <c r="U569" t="s">
        <v>95</v>
      </c>
      <c r="V569" t="s">
        <v>102</v>
      </c>
      <c r="W569" s="1">
        <v>45611</v>
      </c>
      <c r="X569" t="b">
        <v>1</v>
      </c>
      <c r="Y569" t="b">
        <v>0</v>
      </c>
      <c r="Z569" t="s">
        <v>59</v>
      </c>
      <c r="AA569" t="s">
        <v>45</v>
      </c>
      <c r="AB569">
        <v>1</v>
      </c>
      <c r="AF569" t="str">
        <f>tbl_OriginalData[[#This Row],[Customer_ID]]</f>
        <v>55-944-9669</v>
      </c>
      <c r="AG569">
        <f>tbl_OriginalData[[#This Row],[Age]]</f>
        <v>32</v>
      </c>
      <c r="AH569" t="str" cm="1">
        <f t="array" ref="AH56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69" t="str">
        <f>tbl_OriginalData[[#This Row],[Gender]]</f>
        <v>Bigender</v>
      </c>
      <c r="AJ569" t="str">
        <f>tbl_OriginalData[[#This Row],[Income_Level]]</f>
        <v>Middle</v>
      </c>
      <c r="AK569" t="str">
        <f>tbl_OriginalData[[#This Row],[Marital_Status]]</f>
        <v>Divorced</v>
      </c>
      <c r="AL569" t="str">
        <f>tbl_OriginalData[[#This Row],[Education_Level]]</f>
        <v>Master's</v>
      </c>
      <c r="AM569" t="str">
        <f>tbl_OriginalData[[#This Row],[Occupation]]</f>
        <v>High</v>
      </c>
      <c r="AN569" t="s">
        <v>1351</v>
      </c>
      <c r="AO569" t="s">
        <v>90</v>
      </c>
      <c r="AP569" t="str">
        <f>tbl_OriginalData[[#This Row],[Purchase_Category]]</f>
        <v>Clothing</v>
      </c>
      <c r="AQ569" s="4">
        <f>tbl_OriginalData[[#This Row],[Purchase_Amount]]</f>
        <v>249.73</v>
      </c>
      <c r="AR569">
        <f>tbl_OriginalData[[#This Row],[Frequency_of_Purchase]]</f>
        <v>5</v>
      </c>
      <c r="AS569" t="str">
        <f>tbl_OriginalData[[#This Row],[Purchase_Channel]]</f>
        <v>Mixed</v>
      </c>
      <c r="AT569">
        <f>tbl_OriginalData[[#This Row],[Brand_Loyalty]]</f>
        <v>1</v>
      </c>
      <c r="AU569">
        <f>tbl_OriginalData[[#This Row],[Product_Rating]]</f>
        <v>4</v>
      </c>
      <c r="AV569">
        <f>tbl_OriginalData[[#This Row],[Time_Spent_on_Product_Research(hours)]]*60</f>
        <v>120</v>
      </c>
      <c r="AW569" t="str">
        <f>tbl_OriginalData[[#This Row],[Social_Media_Influence]]</f>
        <v>Low</v>
      </c>
      <c r="AX569" t="str">
        <f>tbl_OriginalData[[#This Row],[Discount_Sensitivity]]</f>
        <v>Very Sensitive</v>
      </c>
      <c r="AY569" s="3">
        <f>tbl_OriginalData[[#This Row],[Return_Rate]]/tbl_OriginalData[[#This Row],[Frequency_of_Purchase]]</f>
        <v>0.2</v>
      </c>
      <c r="AZ569">
        <f>tbl_OriginalData[[#This Row],[Customer_Satisfaction]]</f>
        <v>4</v>
      </c>
      <c r="BA569" t="str">
        <f>tbl_OriginalData[[#This Row],[Engagement_with_Ads]]</f>
        <v>Low</v>
      </c>
      <c r="BB569" t="str">
        <f>tbl_OriginalData[[#This Row],[Device_Used_for_Shopping]]</f>
        <v>Desktop</v>
      </c>
      <c r="BC569" t="str">
        <f>tbl_OriginalData[[#This Row],[Payment_Method]]</f>
        <v>Cash</v>
      </c>
      <c r="BD569" s="1">
        <f>tbl_OriginalData[[#This Row],[Time_of_Purchase]]</f>
        <v>45611</v>
      </c>
      <c r="BE569" t="str">
        <f>IF(tbl_OriginalData[[#This Row],[Discount_Used]]=TRUE,"Yes","No")</f>
        <v>Yes</v>
      </c>
      <c r="BF569" t="str">
        <f>IF(tbl_OriginalData[[#This Row],[Customer_Loyalty_Program_Member]]=TRUE,"Yes","No")</f>
        <v>No</v>
      </c>
      <c r="BG569" t="str">
        <f>tbl_OriginalData[[#This Row],[Purchase_Intent]]</f>
        <v>Wants-based</v>
      </c>
      <c r="BH569" t="str">
        <f>tbl_OriginalData[[#This Row],[Shipping_Preference]]</f>
        <v>No Preference</v>
      </c>
      <c r="BI569">
        <f>tbl_OriginalData[[#This Row],[Time_to_Decision]]</f>
        <v>1</v>
      </c>
      <c r="BJ569" t="s">
        <v>177</v>
      </c>
      <c r="BK569" t="s">
        <v>80</v>
      </c>
      <c r="BL569" t="s">
        <v>2524</v>
      </c>
    </row>
    <row r="570" spans="1:64">
      <c r="A570" t="s">
        <v>1352</v>
      </c>
      <c r="B570">
        <v>24</v>
      </c>
      <c r="C570" t="s">
        <v>50</v>
      </c>
      <c r="D570" t="s">
        <v>34</v>
      </c>
      <c r="E570" t="s">
        <v>35</v>
      </c>
      <c r="F570" t="s">
        <v>66</v>
      </c>
      <c r="G570" t="s">
        <v>51</v>
      </c>
      <c r="H570" t="s">
        <v>1353</v>
      </c>
      <c r="I570" t="s">
        <v>75</v>
      </c>
      <c r="J570">
        <v>437.3</v>
      </c>
      <c r="K570">
        <v>7</v>
      </c>
      <c r="L570" t="s">
        <v>39</v>
      </c>
      <c r="M570">
        <v>2</v>
      </c>
      <c r="N570">
        <v>4</v>
      </c>
      <c r="O570">
        <v>0</v>
      </c>
      <c r="P570" t="s">
        <v>51</v>
      </c>
      <c r="Q570" t="s">
        <v>41</v>
      </c>
      <c r="R570">
        <v>0</v>
      </c>
      <c r="S570">
        <v>7</v>
      </c>
      <c r="T570" t="s">
        <v>40</v>
      </c>
      <c r="U570" t="s">
        <v>42</v>
      </c>
      <c r="V570" t="s">
        <v>102</v>
      </c>
      <c r="W570" s="1">
        <v>45497</v>
      </c>
      <c r="X570" t="b">
        <v>1</v>
      </c>
      <c r="Y570" t="b">
        <v>1</v>
      </c>
      <c r="Z570" t="s">
        <v>72</v>
      </c>
      <c r="AA570" t="s">
        <v>45</v>
      </c>
      <c r="AB570">
        <v>1</v>
      </c>
      <c r="AF570" t="str">
        <f>tbl_OriginalData[[#This Row],[Customer_ID]]</f>
        <v>32-314-2958</v>
      </c>
      <c r="AG570">
        <f>tbl_OriginalData[[#This Row],[Age]]</f>
        <v>24</v>
      </c>
      <c r="AH570" t="str" cm="1">
        <f t="array" ref="AH57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70" t="str">
        <f>tbl_OriginalData[[#This Row],[Gender]]</f>
        <v>Male</v>
      </c>
      <c r="AJ570" t="str">
        <f>tbl_OriginalData[[#This Row],[Income_Level]]</f>
        <v>Middle</v>
      </c>
      <c r="AK570" t="str">
        <f>tbl_OriginalData[[#This Row],[Marital_Status]]</f>
        <v>Married</v>
      </c>
      <c r="AL570" t="str">
        <f>tbl_OriginalData[[#This Row],[Education_Level]]</f>
        <v>Master's</v>
      </c>
      <c r="AM570" t="str">
        <f>tbl_OriginalData[[#This Row],[Occupation]]</f>
        <v>High</v>
      </c>
      <c r="AN570" t="s">
        <v>1353</v>
      </c>
      <c r="AO570" t="s">
        <v>61</v>
      </c>
      <c r="AP570" t="str">
        <f>tbl_OriginalData[[#This Row],[Purchase_Category]]</f>
        <v>Home Appliances</v>
      </c>
      <c r="AQ570" s="4">
        <f>tbl_OriginalData[[#This Row],[Purchase_Amount]]</f>
        <v>437.3</v>
      </c>
      <c r="AR570">
        <f>tbl_OriginalData[[#This Row],[Frequency_of_Purchase]]</f>
        <v>7</v>
      </c>
      <c r="AS570" t="str">
        <f>tbl_OriginalData[[#This Row],[Purchase_Channel]]</f>
        <v>Mixed</v>
      </c>
      <c r="AT570">
        <f>tbl_OriginalData[[#This Row],[Brand_Loyalty]]</f>
        <v>2</v>
      </c>
      <c r="AU570">
        <f>tbl_OriginalData[[#This Row],[Product_Rating]]</f>
        <v>4</v>
      </c>
      <c r="AV570">
        <f>tbl_OriginalData[[#This Row],[Time_Spent_on_Product_Research(hours)]]*60</f>
        <v>0</v>
      </c>
      <c r="AW570" t="str">
        <f>tbl_OriginalData[[#This Row],[Social_Media_Influence]]</f>
        <v>High</v>
      </c>
      <c r="AX570" t="str">
        <f>tbl_OriginalData[[#This Row],[Discount_Sensitivity]]</f>
        <v>Somewhat Sensitive</v>
      </c>
      <c r="AY570" s="3">
        <f>tbl_OriginalData[[#This Row],[Return_Rate]]/tbl_OriginalData[[#This Row],[Frequency_of_Purchase]]</f>
        <v>0</v>
      </c>
      <c r="AZ570">
        <f>tbl_OriginalData[[#This Row],[Customer_Satisfaction]]</f>
        <v>7</v>
      </c>
      <c r="BA570" t="str">
        <f>tbl_OriginalData[[#This Row],[Engagement_with_Ads]]</f>
        <v>None</v>
      </c>
      <c r="BB570" t="str">
        <f>tbl_OriginalData[[#This Row],[Device_Used_for_Shopping]]</f>
        <v>Tablet</v>
      </c>
      <c r="BC570" t="str">
        <f>tbl_OriginalData[[#This Row],[Payment_Method]]</f>
        <v>Cash</v>
      </c>
      <c r="BD570" s="1">
        <f>tbl_OriginalData[[#This Row],[Time_of_Purchase]]</f>
        <v>45497</v>
      </c>
      <c r="BE570" t="str">
        <f>IF(tbl_OriginalData[[#This Row],[Discount_Used]]=TRUE,"Yes","No")</f>
        <v>Yes</v>
      </c>
      <c r="BF570" t="str">
        <f>IF(tbl_OriginalData[[#This Row],[Customer_Loyalty_Program_Member]]=TRUE,"Yes","No")</f>
        <v>Yes</v>
      </c>
      <c r="BG570" t="str">
        <f>tbl_OriginalData[[#This Row],[Purchase_Intent]]</f>
        <v>Impulsive</v>
      </c>
      <c r="BH570" t="str">
        <f>tbl_OriginalData[[#This Row],[Shipping_Preference]]</f>
        <v>No Preference</v>
      </c>
      <c r="BI570">
        <f>tbl_OriginalData[[#This Row],[Time_to_Decision]]</f>
        <v>1</v>
      </c>
      <c r="BJ570" t="s">
        <v>114</v>
      </c>
      <c r="BK570" t="s">
        <v>115</v>
      </c>
      <c r="BL570" t="s">
        <v>2524</v>
      </c>
    </row>
    <row r="571" spans="1:64">
      <c r="A571" t="s">
        <v>1354</v>
      </c>
      <c r="B571">
        <v>22</v>
      </c>
      <c r="C571" t="s">
        <v>50</v>
      </c>
      <c r="D571" t="s">
        <v>34</v>
      </c>
      <c r="E571" t="s">
        <v>35</v>
      </c>
      <c r="F571" t="s">
        <v>66</v>
      </c>
      <c r="G571" t="s">
        <v>51</v>
      </c>
      <c r="H571" t="s">
        <v>1355</v>
      </c>
      <c r="I571" t="s">
        <v>199</v>
      </c>
      <c r="J571">
        <v>277.29000000000002</v>
      </c>
      <c r="K571">
        <v>4</v>
      </c>
      <c r="L571" t="s">
        <v>39</v>
      </c>
      <c r="M571">
        <v>1</v>
      </c>
      <c r="N571">
        <v>4</v>
      </c>
      <c r="O571">
        <v>1</v>
      </c>
      <c r="P571" t="s">
        <v>40</v>
      </c>
      <c r="Q571" t="s">
        <v>41</v>
      </c>
      <c r="R571">
        <v>2</v>
      </c>
      <c r="S571">
        <v>8</v>
      </c>
      <c r="T571" t="s">
        <v>69</v>
      </c>
      <c r="U571" t="s">
        <v>70</v>
      </c>
      <c r="V571" t="s">
        <v>43</v>
      </c>
      <c r="W571" s="1">
        <v>45318</v>
      </c>
      <c r="X571" t="b">
        <v>1</v>
      </c>
      <c r="Y571" t="b">
        <v>1</v>
      </c>
      <c r="Z571" t="s">
        <v>59</v>
      </c>
      <c r="AA571" t="s">
        <v>45</v>
      </c>
      <c r="AB571">
        <v>4</v>
      </c>
      <c r="AF571" t="str">
        <f>tbl_OriginalData[[#This Row],[Customer_ID]]</f>
        <v>67-697-2331</v>
      </c>
      <c r="AG571">
        <f>tbl_OriginalData[[#This Row],[Age]]</f>
        <v>22</v>
      </c>
      <c r="AH571" t="str" cm="1">
        <f t="array" ref="AH57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71" t="str">
        <f>tbl_OriginalData[[#This Row],[Gender]]</f>
        <v>Male</v>
      </c>
      <c r="AJ571" t="str">
        <f>tbl_OriginalData[[#This Row],[Income_Level]]</f>
        <v>Middle</v>
      </c>
      <c r="AK571" t="str">
        <f>tbl_OriginalData[[#This Row],[Marital_Status]]</f>
        <v>Married</v>
      </c>
      <c r="AL571" t="str">
        <f>tbl_OriginalData[[#This Row],[Education_Level]]</f>
        <v>Master's</v>
      </c>
      <c r="AM571" t="str">
        <f>tbl_OriginalData[[#This Row],[Occupation]]</f>
        <v>High</v>
      </c>
      <c r="AN571" t="s">
        <v>1355</v>
      </c>
      <c r="AO571" t="s">
        <v>194</v>
      </c>
      <c r="AP571" t="str">
        <f>tbl_OriginalData[[#This Row],[Purchase_Category]]</f>
        <v>Groceries</v>
      </c>
      <c r="AQ571" s="4">
        <f>tbl_OriginalData[[#This Row],[Purchase_Amount]]</f>
        <v>277.29000000000002</v>
      </c>
      <c r="AR571">
        <f>tbl_OriginalData[[#This Row],[Frequency_of_Purchase]]</f>
        <v>4</v>
      </c>
      <c r="AS571" t="str">
        <f>tbl_OriginalData[[#This Row],[Purchase_Channel]]</f>
        <v>Mixed</v>
      </c>
      <c r="AT571">
        <f>tbl_OriginalData[[#This Row],[Brand_Loyalty]]</f>
        <v>1</v>
      </c>
      <c r="AU571">
        <f>tbl_OriginalData[[#This Row],[Product_Rating]]</f>
        <v>4</v>
      </c>
      <c r="AV571">
        <f>tbl_OriginalData[[#This Row],[Time_Spent_on_Product_Research(hours)]]*60</f>
        <v>60</v>
      </c>
      <c r="AW571" t="str">
        <f>tbl_OriginalData[[#This Row],[Social_Media_Influence]]</f>
        <v>None</v>
      </c>
      <c r="AX571" t="str">
        <f>tbl_OriginalData[[#This Row],[Discount_Sensitivity]]</f>
        <v>Somewhat Sensitive</v>
      </c>
      <c r="AY571" s="3">
        <f>tbl_OriginalData[[#This Row],[Return_Rate]]/tbl_OriginalData[[#This Row],[Frequency_of_Purchase]]</f>
        <v>0.5</v>
      </c>
      <c r="AZ571">
        <f>tbl_OriginalData[[#This Row],[Customer_Satisfaction]]</f>
        <v>8</v>
      </c>
      <c r="BA571" t="str">
        <f>tbl_OriginalData[[#This Row],[Engagement_with_Ads]]</f>
        <v>Low</v>
      </c>
      <c r="BB571" t="str">
        <f>tbl_OriginalData[[#This Row],[Device_Used_for_Shopping]]</f>
        <v>Smartphone</v>
      </c>
      <c r="BC571" t="str">
        <f>tbl_OriginalData[[#This Row],[Payment_Method]]</f>
        <v>Credit Card</v>
      </c>
      <c r="BD571" s="1">
        <f>tbl_OriginalData[[#This Row],[Time_of_Purchase]]</f>
        <v>45318</v>
      </c>
      <c r="BE571" t="str">
        <f>IF(tbl_OriginalData[[#This Row],[Discount_Used]]=TRUE,"Yes","No")</f>
        <v>Yes</v>
      </c>
      <c r="BF571" t="str">
        <f>IF(tbl_OriginalData[[#This Row],[Customer_Loyalty_Program_Member]]=TRUE,"Yes","No")</f>
        <v>Yes</v>
      </c>
      <c r="BG571" t="str">
        <f>tbl_OriginalData[[#This Row],[Purchase_Intent]]</f>
        <v>Wants-based</v>
      </c>
      <c r="BH571" t="str">
        <f>tbl_OriginalData[[#This Row],[Shipping_Preference]]</f>
        <v>No Preference</v>
      </c>
      <c r="BI571">
        <f>tbl_OriginalData[[#This Row],[Time_to_Decision]]</f>
        <v>4</v>
      </c>
      <c r="BJ571" t="s">
        <v>86</v>
      </c>
      <c r="BK571" t="s">
        <v>48</v>
      </c>
      <c r="BL571" t="s">
        <v>2524</v>
      </c>
    </row>
    <row r="572" spans="1:64">
      <c r="A572" t="s">
        <v>1356</v>
      </c>
      <c r="B572">
        <v>46</v>
      </c>
      <c r="C572" t="s">
        <v>50</v>
      </c>
      <c r="D572" t="s">
        <v>51</v>
      </c>
      <c r="E572" t="s">
        <v>65</v>
      </c>
      <c r="F572" t="s">
        <v>52</v>
      </c>
      <c r="G572" t="s">
        <v>34</v>
      </c>
      <c r="H572" t="s">
        <v>1357</v>
      </c>
      <c r="I572" t="s">
        <v>147</v>
      </c>
      <c r="J572">
        <v>445.93</v>
      </c>
      <c r="K572">
        <v>6</v>
      </c>
      <c r="L572" t="s">
        <v>94</v>
      </c>
      <c r="M572">
        <v>5</v>
      </c>
      <c r="N572">
        <v>5</v>
      </c>
      <c r="O572">
        <v>2</v>
      </c>
      <c r="P572" t="s">
        <v>51</v>
      </c>
      <c r="Q572" t="s">
        <v>41</v>
      </c>
      <c r="R572">
        <v>2</v>
      </c>
      <c r="S572">
        <v>4</v>
      </c>
      <c r="T572" t="s">
        <v>51</v>
      </c>
      <c r="U572" t="s">
        <v>70</v>
      </c>
      <c r="V572" t="s">
        <v>71</v>
      </c>
      <c r="W572" s="1">
        <v>45427</v>
      </c>
      <c r="X572" t="b">
        <v>0</v>
      </c>
      <c r="Y572" t="b">
        <v>1</v>
      </c>
      <c r="Z572" t="s">
        <v>44</v>
      </c>
      <c r="AA572" t="s">
        <v>45</v>
      </c>
      <c r="AB572">
        <v>13</v>
      </c>
      <c r="AF572" t="str">
        <f>tbl_OriginalData[[#This Row],[Customer_ID]]</f>
        <v>28-855-1639</v>
      </c>
      <c r="AG572">
        <f>tbl_OriginalData[[#This Row],[Age]]</f>
        <v>46</v>
      </c>
      <c r="AH572" t="str" cm="1">
        <f t="array" ref="AH57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72" t="str">
        <f>tbl_OriginalData[[#This Row],[Gender]]</f>
        <v>Male</v>
      </c>
      <c r="AJ572" t="str">
        <f>tbl_OriginalData[[#This Row],[Income_Level]]</f>
        <v>High</v>
      </c>
      <c r="AK572" t="str">
        <f>tbl_OriginalData[[#This Row],[Marital_Status]]</f>
        <v>Single</v>
      </c>
      <c r="AL572" t="str">
        <f>tbl_OriginalData[[#This Row],[Education_Level]]</f>
        <v>High School</v>
      </c>
      <c r="AM572" t="str">
        <f>tbl_OriginalData[[#This Row],[Occupation]]</f>
        <v>Middle</v>
      </c>
      <c r="AN572" t="s">
        <v>1357</v>
      </c>
      <c r="AO572" t="s">
        <v>61</v>
      </c>
      <c r="AP572" t="str">
        <f>tbl_OriginalData[[#This Row],[Purchase_Category]]</f>
        <v>Electronics</v>
      </c>
      <c r="AQ572" s="4">
        <f>tbl_OriginalData[[#This Row],[Purchase_Amount]]</f>
        <v>445.93</v>
      </c>
      <c r="AR572">
        <f>tbl_OriginalData[[#This Row],[Frequency_of_Purchase]]</f>
        <v>6</v>
      </c>
      <c r="AS572" t="str">
        <f>tbl_OriginalData[[#This Row],[Purchase_Channel]]</f>
        <v>Online</v>
      </c>
      <c r="AT572">
        <f>tbl_OriginalData[[#This Row],[Brand_Loyalty]]</f>
        <v>5</v>
      </c>
      <c r="AU572">
        <f>tbl_OriginalData[[#This Row],[Product_Rating]]</f>
        <v>5</v>
      </c>
      <c r="AV572">
        <f>tbl_OriginalData[[#This Row],[Time_Spent_on_Product_Research(hours)]]*60</f>
        <v>120</v>
      </c>
      <c r="AW572" t="str">
        <f>tbl_OriginalData[[#This Row],[Social_Media_Influence]]</f>
        <v>High</v>
      </c>
      <c r="AX572" t="str">
        <f>tbl_OriginalData[[#This Row],[Discount_Sensitivity]]</f>
        <v>Somewhat Sensitive</v>
      </c>
      <c r="AY572" s="3">
        <f>tbl_OriginalData[[#This Row],[Return_Rate]]/tbl_OriginalData[[#This Row],[Frequency_of_Purchase]]</f>
        <v>0.33333333333333331</v>
      </c>
      <c r="AZ572">
        <f>tbl_OriginalData[[#This Row],[Customer_Satisfaction]]</f>
        <v>4</v>
      </c>
      <c r="BA572" t="str">
        <f>tbl_OriginalData[[#This Row],[Engagement_with_Ads]]</f>
        <v>High</v>
      </c>
      <c r="BB572" t="str">
        <f>tbl_OriginalData[[#This Row],[Device_Used_for_Shopping]]</f>
        <v>Smartphone</v>
      </c>
      <c r="BC572" t="str">
        <f>tbl_OriginalData[[#This Row],[Payment_Method]]</f>
        <v>Debit Card</v>
      </c>
      <c r="BD572" s="1">
        <f>tbl_OriginalData[[#This Row],[Time_of_Purchase]]</f>
        <v>45427</v>
      </c>
      <c r="BE572" t="str">
        <f>IF(tbl_OriginalData[[#This Row],[Discount_Used]]=TRUE,"Yes","No")</f>
        <v>No</v>
      </c>
      <c r="BF572" t="str">
        <f>IF(tbl_OriginalData[[#This Row],[Customer_Loyalty_Program_Member]]=TRUE,"Yes","No")</f>
        <v>Yes</v>
      </c>
      <c r="BG572" t="str">
        <f>tbl_OriginalData[[#This Row],[Purchase_Intent]]</f>
        <v>Need-based</v>
      </c>
      <c r="BH572" t="str">
        <f>tbl_OriginalData[[#This Row],[Shipping_Preference]]</f>
        <v>No Preference</v>
      </c>
      <c r="BI572">
        <f>tbl_OriginalData[[#This Row],[Time_to_Decision]]</f>
        <v>13</v>
      </c>
      <c r="BJ572" t="s">
        <v>167</v>
      </c>
      <c r="BK572" t="s">
        <v>63</v>
      </c>
      <c r="BL572" t="s">
        <v>2524</v>
      </c>
    </row>
    <row r="573" spans="1:64">
      <c r="A573" t="s">
        <v>1358</v>
      </c>
      <c r="B573">
        <v>37</v>
      </c>
      <c r="C573" t="s">
        <v>33</v>
      </c>
      <c r="D573" t="s">
        <v>34</v>
      </c>
      <c r="E573" t="s">
        <v>35</v>
      </c>
      <c r="F573" t="s">
        <v>36</v>
      </c>
      <c r="G573" t="s">
        <v>34</v>
      </c>
      <c r="H573" t="s">
        <v>1359</v>
      </c>
      <c r="I573" t="s">
        <v>150</v>
      </c>
      <c r="J573">
        <v>242.79</v>
      </c>
      <c r="K573">
        <v>6</v>
      </c>
      <c r="L573" t="s">
        <v>39</v>
      </c>
      <c r="M573">
        <v>2</v>
      </c>
      <c r="N573">
        <v>4</v>
      </c>
      <c r="O573">
        <v>0</v>
      </c>
      <c r="P573" t="s">
        <v>51</v>
      </c>
      <c r="Q573" t="s">
        <v>41</v>
      </c>
      <c r="R573">
        <v>1</v>
      </c>
      <c r="S573">
        <v>7</v>
      </c>
      <c r="T573" t="s">
        <v>40</v>
      </c>
      <c r="U573" t="s">
        <v>70</v>
      </c>
      <c r="V573" t="s">
        <v>76</v>
      </c>
      <c r="W573" s="1">
        <v>45311</v>
      </c>
      <c r="X573" t="b">
        <v>1</v>
      </c>
      <c r="Y573" t="b">
        <v>0</v>
      </c>
      <c r="Z573" t="s">
        <v>72</v>
      </c>
      <c r="AA573" t="s">
        <v>77</v>
      </c>
      <c r="AB573">
        <v>7</v>
      </c>
      <c r="AF573" t="str">
        <f>tbl_OriginalData[[#This Row],[Customer_ID]]</f>
        <v>38-069-8615</v>
      </c>
      <c r="AG573">
        <f>tbl_OriginalData[[#This Row],[Age]]</f>
        <v>37</v>
      </c>
      <c r="AH573" t="str" cm="1">
        <f t="array" ref="AH57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73" t="str">
        <f>tbl_OriginalData[[#This Row],[Gender]]</f>
        <v>Female</v>
      </c>
      <c r="AJ573" t="str">
        <f>tbl_OriginalData[[#This Row],[Income_Level]]</f>
        <v>Middle</v>
      </c>
      <c r="AK573" t="str">
        <f>tbl_OriginalData[[#This Row],[Marital_Status]]</f>
        <v>Married</v>
      </c>
      <c r="AL573" t="str">
        <f>tbl_OriginalData[[#This Row],[Education_Level]]</f>
        <v>Bachelor's</v>
      </c>
      <c r="AM573" t="str">
        <f>tbl_OriginalData[[#This Row],[Occupation]]</f>
        <v>Middle</v>
      </c>
      <c r="AN573" t="s">
        <v>1359</v>
      </c>
      <c r="AO573" t="s">
        <v>194</v>
      </c>
      <c r="AP573" t="str">
        <f>tbl_OriginalData[[#This Row],[Purchase_Category]]</f>
        <v>Software &amp; Apps</v>
      </c>
      <c r="AQ573" s="4">
        <f>tbl_OriginalData[[#This Row],[Purchase_Amount]]</f>
        <v>242.79</v>
      </c>
      <c r="AR573">
        <f>tbl_OriginalData[[#This Row],[Frequency_of_Purchase]]</f>
        <v>6</v>
      </c>
      <c r="AS573" t="str">
        <f>tbl_OriginalData[[#This Row],[Purchase_Channel]]</f>
        <v>Mixed</v>
      </c>
      <c r="AT573">
        <f>tbl_OriginalData[[#This Row],[Brand_Loyalty]]</f>
        <v>2</v>
      </c>
      <c r="AU573">
        <f>tbl_OriginalData[[#This Row],[Product_Rating]]</f>
        <v>4</v>
      </c>
      <c r="AV573">
        <f>tbl_OriginalData[[#This Row],[Time_Spent_on_Product_Research(hours)]]*60</f>
        <v>0</v>
      </c>
      <c r="AW573" t="str">
        <f>tbl_OriginalData[[#This Row],[Social_Media_Influence]]</f>
        <v>High</v>
      </c>
      <c r="AX573" t="str">
        <f>tbl_OriginalData[[#This Row],[Discount_Sensitivity]]</f>
        <v>Somewhat Sensitive</v>
      </c>
      <c r="AY573" s="3">
        <f>tbl_OriginalData[[#This Row],[Return_Rate]]/tbl_OriginalData[[#This Row],[Frequency_of_Purchase]]</f>
        <v>0.16666666666666666</v>
      </c>
      <c r="AZ573">
        <f>tbl_OriginalData[[#This Row],[Customer_Satisfaction]]</f>
        <v>7</v>
      </c>
      <c r="BA573" t="str">
        <f>tbl_OriginalData[[#This Row],[Engagement_with_Ads]]</f>
        <v>None</v>
      </c>
      <c r="BB573" t="str">
        <f>tbl_OriginalData[[#This Row],[Device_Used_for_Shopping]]</f>
        <v>Smartphone</v>
      </c>
      <c r="BC573" t="str">
        <f>tbl_OriginalData[[#This Row],[Payment_Method]]</f>
        <v>Other</v>
      </c>
      <c r="BD573" s="1">
        <f>tbl_OriginalData[[#This Row],[Time_of_Purchase]]</f>
        <v>45311</v>
      </c>
      <c r="BE573" t="str">
        <f>IF(tbl_OriginalData[[#This Row],[Discount_Used]]=TRUE,"Yes","No")</f>
        <v>Yes</v>
      </c>
      <c r="BF573" t="str">
        <f>IF(tbl_OriginalData[[#This Row],[Customer_Loyalty_Program_Member]]=TRUE,"Yes","No")</f>
        <v>No</v>
      </c>
      <c r="BG573" t="str">
        <f>tbl_OriginalData[[#This Row],[Purchase_Intent]]</f>
        <v>Impulsive</v>
      </c>
      <c r="BH573" t="str">
        <f>tbl_OriginalData[[#This Row],[Shipping_Preference]]</f>
        <v>Express</v>
      </c>
      <c r="BI573">
        <f>tbl_OriginalData[[#This Row],[Time_to_Decision]]</f>
        <v>7</v>
      </c>
      <c r="BJ573" t="s">
        <v>86</v>
      </c>
      <c r="BK573" t="s">
        <v>48</v>
      </c>
      <c r="BL573" t="s">
        <v>2524</v>
      </c>
    </row>
    <row r="574" spans="1:64">
      <c r="A574" t="s">
        <v>1360</v>
      </c>
      <c r="B574">
        <v>34</v>
      </c>
      <c r="C574" t="s">
        <v>50</v>
      </c>
      <c r="D574" t="s">
        <v>51</v>
      </c>
      <c r="E574" t="s">
        <v>65</v>
      </c>
      <c r="F574" t="s">
        <v>36</v>
      </c>
      <c r="G574" t="s">
        <v>51</v>
      </c>
      <c r="H574" t="s">
        <v>1361</v>
      </c>
      <c r="I574" t="s">
        <v>242</v>
      </c>
      <c r="J574">
        <v>393.09</v>
      </c>
      <c r="K574">
        <v>8</v>
      </c>
      <c r="L574" t="s">
        <v>94</v>
      </c>
      <c r="M574">
        <v>5</v>
      </c>
      <c r="N574">
        <v>3</v>
      </c>
      <c r="O574">
        <v>2</v>
      </c>
      <c r="P574" t="s">
        <v>56</v>
      </c>
      <c r="Q574" t="s">
        <v>41</v>
      </c>
      <c r="R574">
        <v>0</v>
      </c>
      <c r="S574">
        <v>3</v>
      </c>
      <c r="T574" t="s">
        <v>56</v>
      </c>
      <c r="U574" t="s">
        <v>42</v>
      </c>
      <c r="V574" t="s">
        <v>102</v>
      </c>
      <c r="W574" s="1">
        <v>45393</v>
      </c>
      <c r="X574" t="b">
        <v>0</v>
      </c>
      <c r="Y574" t="b">
        <v>1</v>
      </c>
      <c r="Z574" t="s">
        <v>89</v>
      </c>
      <c r="AA574" t="s">
        <v>60</v>
      </c>
      <c r="AB574">
        <v>1</v>
      </c>
      <c r="AF574" t="str">
        <f>tbl_OriginalData[[#This Row],[Customer_ID]]</f>
        <v>58-233-5963</v>
      </c>
      <c r="AG574">
        <f>tbl_OriginalData[[#This Row],[Age]]</f>
        <v>34</v>
      </c>
      <c r="AH574" t="str" cm="1">
        <f t="array" ref="AH57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74" t="str">
        <f>tbl_OriginalData[[#This Row],[Gender]]</f>
        <v>Male</v>
      </c>
      <c r="AJ574" t="str">
        <f>tbl_OriginalData[[#This Row],[Income_Level]]</f>
        <v>High</v>
      </c>
      <c r="AK574" t="str">
        <f>tbl_OriginalData[[#This Row],[Marital_Status]]</f>
        <v>Single</v>
      </c>
      <c r="AL574" t="str">
        <f>tbl_OriginalData[[#This Row],[Education_Level]]</f>
        <v>Bachelor's</v>
      </c>
      <c r="AM574" t="str">
        <f>tbl_OriginalData[[#This Row],[Occupation]]</f>
        <v>High</v>
      </c>
      <c r="AN574" t="s">
        <v>1361</v>
      </c>
      <c r="AO574" t="s">
        <v>469</v>
      </c>
      <c r="AP574" t="str">
        <f>tbl_OriginalData[[#This Row],[Purchase_Category]]</f>
        <v>Travel &amp; Leisure (Flights</v>
      </c>
      <c r="AQ574" s="4">
        <f>tbl_OriginalData[[#This Row],[Purchase_Amount]]</f>
        <v>393.09</v>
      </c>
      <c r="AR574">
        <f>tbl_OriginalData[[#This Row],[Frequency_of_Purchase]]</f>
        <v>8</v>
      </c>
      <c r="AS574" t="str">
        <f>tbl_OriginalData[[#This Row],[Purchase_Channel]]</f>
        <v>Online</v>
      </c>
      <c r="AT574">
        <f>tbl_OriginalData[[#This Row],[Brand_Loyalty]]</f>
        <v>5</v>
      </c>
      <c r="AU574">
        <f>tbl_OriginalData[[#This Row],[Product_Rating]]</f>
        <v>3</v>
      </c>
      <c r="AV574">
        <f>tbl_OriginalData[[#This Row],[Time_Spent_on_Product_Research(hours)]]*60</f>
        <v>120</v>
      </c>
      <c r="AW574" t="str">
        <f>tbl_OriginalData[[#This Row],[Social_Media_Influence]]</f>
        <v>Medium</v>
      </c>
      <c r="AX574" t="str">
        <f>tbl_OriginalData[[#This Row],[Discount_Sensitivity]]</f>
        <v>Somewhat Sensitive</v>
      </c>
      <c r="AY574" s="3">
        <f>tbl_OriginalData[[#This Row],[Return_Rate]]/tbl_OriginalData[[#This Row],[Frequency_of_Purchase]]</f>
        <v>0</v>
      </c>
      <c r="AZ574">
        <f>tbl_OriginalData[[#This Row],[Customer_Satisfaction]]</f>
        <v>3</v>
      </c>
      <c r="BA574" t="str">
        <f>tbl_OriginalData[[#This Row],[Engagement_with_Ads]]</f>
        <v>Medium</v>
      </c>
      <c r="BB574" t="str">
        <f>tbl_OriginalData[[#This Row],[Device_Used_for_Shopping]]</f>
        <v>Tablet</v>
      </c>
      <c r="BC574" t="str">
        <f>tbl_OriginalData[[#This Row],[Payment_Method]]</f>
        <v>Cash</v>
      </c>
      <c r="BD574" s="1">
        <f>tbl_OriginalData[[#This Row],[Time_of_Purchase]]</f>
        <v>45393</v>
      </c>
      <c r="BE574" t="str">
        <f>IF(tbl_OriginalData[[#This Row],[Discount_Used]]=TRUE,"Yes","No")</f>
        <v>No</v>
      </c>
      <c r="BF574" t="str">
        <f>IF(tbl_OriginalData[[#This Row],[Customer_Loyalty_Program_Member]]=TRUE,"Yes","No")</f>
        <v>Yes</v>
      </c>
      <c r="BG574" t="str">
        <f>tbl_OriginalData[[#This Row],[Purchase_Intent]]</f>
        <v>Planned</v>
      </c>
      <c r="BH574" t="str">
        <f>tbl_OriginalData[[#This Row],[Shipping_Preference]]</f>
        <v>Standard</v>
      </c>
      <c r="BI574">
        <f>tbl_OriginalData[[#This Row],[Time_to_Decision]]</f>
        <v>1</v>
      </c>
      <c r="BJ574" t="s">
        <v>62</v>
      </c>
      <c r="BK574" t="s">
        <v>63</v>
      </c>
      <c r="BL574" t="s">
        <v>2527</v>
      </c>
    </row>
    <row r="575" spans="1:64">
      <c r="A575" t="s">
        <v>1362</v>
      </c>
      <c r="B575">
        <v>32</v>
      </c>
      <c r="C575" t="s">
        <v>50</v>
      </c>
      <c r="D575" t="s">
        <v>34</v>
      </c>
      <c r="E575" t="s">
        <v>65</v>
      </c>
      <c r="F575" t="s">
        <v>66</v>
      </c>
      <c r="G575" t="s">
        <v>51</v>
      </c>
      <c r="H575" t="s">
        <v>1363</v>
      </c>
      <c r="I575" t="s">
        <v>199</v>
      </c>
      <c r="J575">
        <v>167.61</v>
      </c>
      <c r="K575">
        <v>2</v>
      </c>
      <c r="L575" t="s">
        <v>94</v>
      </c>
      <c r="M575">
        <v>3</v>
      </c>
      <c r="N575">
        <v>5</v>
      </c>
      <c r="O575">
        <v>1</v>
      </c>
      <c r="P575" t="s">
        <v>40</v>
      </c>
      <c r="Q575" t="s">
        <v>57</v>
      </c>
      <c r="R575">
        <v>2</v>
      </c>
      <c r="S575">
        <v>2</v>
      </c>
      <c r="T575" t="s">
        <v>69</v>
      </c>
      <c r="U575" t="s">
        <v>95</v>
      </c>
      <c r="V575" t="s">
        <v>76</v>
      </c>
      <c r="W575" s="1">
        <v>45606</v>
      </c>
      <c r="X575" t="b">
        <v>1</v>
      </c>
      <c r="Y575" t="b">
        <v>0</v>
      </c>
      <c r="Z575" t="s">
        <v>44</v>
      </c>
      <c r="AA575" t="s">
        <v>45</v>
      </c>
      <c r="AB575">
        <v>13</v>
      </c>
      <c r="AF575" t="str">
        <f>tbl_OriginalData[[#This Row],[Customer_ID]]</f>
        <v>02-004-0620</v>
      </c>
      <c r="AG575">
        <f>tbl_OriginalData[[#This Row],[Age]]</f>
        <v>32</v>
      </c>
      <c r="AH575" t="str" cm="1">
        <f t="array" ref="AH57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75" t="str">
        <f>tbl_OriginalData[[#This Row],[Gender]]</f>
        <v>Male</v>
      </c>
      <c r="AJ575" t="str">
        <f>tbl_OriginalData[[#This Row],[Income_Level]]</f>
        <v>Middle</v>
      </c>
      <c r="AK575" t="str">
        <f>tbl_OriginalData[[#This Row],[Marital_Status]]</f>
        <v>Single</v>
      </c>
      <c r="AL575" t="str">
        <f>tbl_OriginalData[[#This Row],[Education_Level]]</f>
        <v>Master's</v>
      </c>
      <c r="AM575" t="str">
        <f>tbl_OriginalData[[#This Row],[Occupation]]</f>
        <v>High</v>
      </c>
      <c r="AN575" t="s">
        <v>1363</v>
      </c>
      <c r="AO575" t="s">
        <v>161</v>
      </c>
      <c r="AP575" t="str">
        <f>tbl_OriginalData[[#This Row],[Purchase_Category]]</f>
        <v>Groceries</v>
      </c>
      <c r="AQ575" s="4">
        <f>tbl_OriginalData[[#This Row],[Purchase_Amount]]</f>
        <v>167.61</v>
      </c>
      <c r="AR575">
        <f>tbl_OriginalData[[#This Row],[Frequency_of_Purchase]]</f>
        <v>2</v>
      </c>
      <c r="AS575" t="str">
        <f>tbl_OriginalData[[#This Row],[Purchase_Channel]]</f>
        <v>Online</v>
      </c>
      <c r="AT575">
        <f>tbl_OriginalData[[#This Row],[Brand_Loyalty]]</f>
        <v>3</v>
      </c>
      <c r="AU575">
        <f>tbl_OriginalData[[#This Row],[Product_Rating]]</f>
        <v>5</v>
      </c>
      <c r="AV575">
        <f>tbl_OriginalData[[#This Row],[Time_Spent_on_Product_Research(hours)]]*60</f>
        <v>60</v>
      </c>
      <c r="AW575" t="str">
        <f>tbl_OriginalData[[#This Row],[Social_Media_Influence]]</f>
        <v>None</v>
      </c>
      <c r="AX575" t="str">
        <f>tbl_OriginalData[[#This Row],[Discount_Sensitivity]]</f>
        <v>Not Sensitive</v>
      </c>
      <c r="AY575" s="3">
        <f>tbl_OriginalData[[#This Row],[Return_Rate]]/tbl_OriginalData[[#This Row],[Frequency_of_Purchase]]</f>
        <v>1</v>
      </c>
      <c r="AZ575">
        <f>tbl_OriginalData[[#This Row],[Customer_Satisfaction]]</f>
        <v>2</v>
      </c>
      <c r="BA575" t="str">
        <f>tbl_OriginalData[[#This Row],[Engagement_with_Ads]]</f>
        <v>Low</v>
      </c>
      <c r="BB575" t="str">
        <f>tbl_OriginalData[[#This Row],[Device_Used_for_Shopping]]</f>
        <v>Desktop</v>
      </c>
      <c r="BC575" t="str">
        <f>tbl_OriginalData[[#This Row],[Payment_Method]]</f>
        <v>Other</v>
      </c>
      <c r="BD575" s="1">
        <f>tbl_OriginalData[[#This Row],[Time_of_Purchase]]</f>
        <v>45606</v>
      </c>
      <c r="BE575" t="str">
        <f>IF(tbl_OriginalData[[#This Row],[Discount_Used]]=TRUE,"Yes","No")</f>
        <v>Yes</v>
      </c>
      <c r="BF575" t="str">
        <f>IF(tbl_OriginalData[[#This Row],[Customer_Loyalty_Program_Member]]=TRUE,"Yes","No")</f>
        <v>No</v>
      </c>
      <c r="BG575" t="str">
        <f>tbl_OriginalData[[#This Row],[Purchase_Intent]]</f>
        <v>Need-based</v>
      </c>
      <c r="BH575" t="str">
        <f>tbl_OriginalData[[#This Row],[Shipping_Preference]]</f>
        <v>No Preference</v>
      </c>
      <c r="BI575">
        <f>tbl_OriginalData[[#This Row],[Time_to_Decision]]</f>
        <v>13</v>
      </c>
      <c r="BJ575" t="s">
        <v>177</v>
      </c>
      <c r="BK575" t="s">
        <v>80</v>
      </c>
      <c r="BL575" t="s">
        <v>2527</v>
      </c>
    </row>
    <row r="576" spans="1:64">
      <c r="A576" t="s">
        <v>1364</v>
      </c>
      <c r="B576">
        <v>44</v>
      </c>
      <c r="C576" t="s">
        <v>50</v>
      </c>
      <c r="D576" t="s">
        <v>51</v>
      </c>
      <c r="E576" t="s">
        <v>92</v>
      </c>
      <c r="F576" t="s">
        <v>52</v>
      </c>
      <c r="G576" t="s">
        <v>34</v>
      </c>
      <c r="H576" t="s">
        <v>1365</v>
      </c>
      <c r="I576" t="s">
        <v>38</v>
      </c>
      <c r="J576">
        <v>324.22000000000003</v>
      </c>
      <c r="K576">
        <v>2</v>
      </c>
      <c r="L576" t="s">
        <v>55</v>
      </c>
      <c r="M576">
        <v>4</v>
      </c>
      <c r="N576">
        <v>2</v>
      </c>
      <c r="O576">
        <v>0</v>
      </c>
      <c r="P576" t="s">
        <v>40</v>
      </c>
      <c r="Q576" t="s">
        <v>41</v>
      </c>
      <c r="R576">
        <v>1</v>
      </c>
      <c r="S576">
        <v>6</v>
      </c>
      <c r="T576" t="s">
        <v>56</v>
      </c>
      <c r="U576" t="s">
        <v>95</v>
      </c>
      <c r="V576" t="s">
        <v>58</v>
      </c>
      <c r="W576" s="1">
        <v>45400</v>
      </c>
      <c r="X576" t="b">
        <v>0</v>
      </c>
      <c r="Y576" t="b">
        <v>0</v>
      </c>
      <c r="Z576" t="s">
        <v>59</v>
      </c>
      <c r="AA576" t="s">
        <v>77</v>
      </c>
      <c r="AB576">
        <v>14</v>
      </c>
      <c r="AF576" t="str">
        <f>tbl_OriginalData[[#This Row],[Customer_ID]]</f>
        <v>78-822-9328</v>
      </c>
      <c r="AG576">
        <f>tbl_OriginalData[[#This Row],[Age]]</f>
        <v>44</v>
      </c>
      <c r="AH576" t="str" cm="1">
        <f t="array" ref="AH57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76" t="str">
        <f>tbl_OriginalData[[#This Row],[Gender]]</f>
        <v>Male</v>
      </c>
      <c r="AJ576" t="str">
        <f>tbl_OriginalData[[#This Row],[Income_Level]]</f>
        <v>High</v>
      </c>
      <c r="AK576" t="str">
        <f>tbl_OriginalData[[#This Row],[Marital_Status]]</f>
        <v>Divorced</v>
      </c>
      <c r="AL576" t="str">
        <f>tbl_OriginalData[[#This Row],[Education_Level]]</f>
        <v>High School</v>
      </c>
      <c r="AM576" t="str">
        <f>tbl_OriginalData[[#This Row],[Occupation]]</f>
        <v>Middle</v>
      </c>
      <c r="AN576" t="s">
        <v>1365</v>
      </c>
      <c r="AO576" t="s">
        <v>1366</v>
      </c>
      <c r="AP576" t="str">
        <f>tbl_OriginalData[[#This Row],[Purchase_Category]]</f>
        <v>Gardening &amp; Outdoors</v>
      </c>
      <c r="AQ576" s="4">
        <f>tbl_OriginalData[[#This Row],[Purchase_Amount]]</f>
        <v>324.22000000000003</v>
      </c>
      <c r="AR576">
        <f>tbl_OriginalData[[#This Row],[Frequency_of_Purchase]]</f>
        <v>2</v>
      </c>
      <c r="AS576" t="str">
        <f>tbl_OriginalData[[#This Row],[Purchase_Channel]]</f>
        <v>In-Store</v>
      </c>
      <c r="AT576">
        <f>tbl_OriginalData[[#This Row],[Brand_Loyalty]]</f>
        <v>4</v>
      </c>
      <c r="AU576">
        <f>tbl_OriginalData[[#This Row],[Product_Rating]]</f>
        <v>2</v>
      </c>
      <c r="AV576">
        <f>tbl_OriginalData[[#This Row],[Time_Spent_on_Product_Research(hours)]]*60</f>
        <v>0</v>
      </c>
      <c r="AW576" t="str">
        <f>tbl_OriginalData[[#This Row],[Social_Media_Influence]]</f>
        <v>None</v>
      </c>
      <c r="AX576" t="str">
        <f>tbl_OriginalData[[#This Row],[Discount_Sensitivity]]</f>
        <v>Somewhat Sensitive</v>
      </c>
      <c r="AY576" s="3">
        <f>tbl_OriginalData[[#This Row],[Return_Rate]]/tbl_OriginalData[[#This Row],[Frequency_of_Purchase]]</f>
        <v>0.5</v>
      </c>
      <c r="AZ576">
        <f>tbl_OriginalData[[#This Row],[Customer_Satisfaction]]</f>
        <v>6</v>
      </c>
      <c r="BA576" t="str">
        <f>tbl_OriginalData[[#This Row],[Engagement_with_Ads]]</f>
        <v>Medium</v>
      </c>
      <c r="BB576" t="str">
        <f>tbl_OriginalData[[#This Row],[Device_Used_for_Shopping]]</f>
        <v>Desktop</v>
      </c>
      <c r="BC576" t="str">
        <f>tbl_OriginalData[[#This Row],[Payment_Method]]</f>
        <v>PayPal</v>
      </c>
      <c r="BD576" s="1">
        <f>tbl_OriginalData[[#This Row],[Time_of_Purchase]]</f>
        <v>45400</v>
      </c>
      <c r="BE576" t="str">
        <f>IF(tbl_OriginalData[[#This Row],[Discount_Used]]=TRUE,"Yes","No")</f>
        <v>No</v>
      </c>
      <c r="BF576" t="str">
        <f>IF(tbl_OriginalData[[#This Row],[Customer_Loyalty_Program_Member]]=TRUE,"Yes","No")</f>
        <v>No</v>
      </c>
      <c r="BG576" t="str">
        <f>tbl_OriginalData[[#This Row],[Purchase_Intent]]</f>
        <v>Wants-based</v>
      </c>
      <c r="BH576" t="str">
        <f>tbl_OriginalData[[#This Row],[Shipping_Preference]]</f>
        <v>Express</v>
      </c>
      <c r="BI576">
        <f>tbl_OriginalData[[#This Row],[Time_to_Decision]]</f>
        <v>14</v>
      </c>
      <c r="BJ576" t="s">
        <v>62</v>
      </c>
      <c r="BK576" t="s">
        <v>63</v>
      </c>
      <c r="BL576" t="s">
        <v>2528</v>
      </c>
    </row>
    <row r="577" spans="1:64">
      <c r="A577" t="s">
        <v>1367</v>
      </c>
      <c r="B577">
        <v>24</v>
      </c>
      <c r="C577" t="s">
        <v>33</v>
      </c>
      <c r="D577" t="s">
        <v>34</v>
      </c>
      <c r="E577" t="s">
        <v>92</v>
      </c>
      <c r="F577" t="s">
        <v>36</v>
      </c>
      <c r="G577" t="s">
        <v>34</v>
      </c>
      <c r="H577" t="s">
        <v>1368</v>
      </c>
      <c r="I577" t="s">
        <v>112</v>
      </c>
      <c r="J577">
        <v>159.30000000000001</v>
      </c>
      <c r="K577">
        <v>11</v>
      </c>
      <c r="L577" t="s">
        <v>39</v>
      </c>
      <c r="M577">
        <v>5</v>
      </c>
      <c r="N577">
        <v>4</v>
      </c>
      <c r="O577">
        <v>0</v>
      </c>
      <c r="P577" t="s">
        <v>56</v>
      </c>
      <c r="Q577" t="s">
        <v>41</v>
      </c>
      <c r="R577">
        <v>0</v>
      </c>
      <c r="S577">
        <v>6</v>
      </c>
      <c r="T577" t="s">
        <v>51</v>
      </c>
      <c r="U577" t="s">
        <v>42</v>
      </c>
      <c r="V577" t="s">
        <v>58</v>
      </c>
      <c r="W577" s="1">
        <v>45406</v>
      </c>
      <c r="X577" t="b">
        <v>0</v>
      </c>
      <c r="Y577" t="b">
        <v>1</v>
      </c>
      <c r="Z577" t="s">
        <v>72</v>
      </c>
      <c r="AA577" t="s">
        <v>77</v>
      </c>
      <c r="AB577">
        <v>2</v>
      </c>
      <c r="AF577" t="str">
        <f>tbl_OriginalData[[#This Row],[Customer_ID]]</f>
        <v>73-359-1998</v>
      </c>
      <c r="AG577">
        <f>tbl_OriginalData[[#This Row],[Age]]</f>
        <v>24</v>
      </c>
      <c r="AH577" t="str" cm="1">
        <f t="array" ref="AH57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77" t="str">
        <f>tbl_OriginalData[[#This Row],[Gender]]</f>
        <v>Female</v>
      </c>
      <c r="AJ577" t="str">
        <f>tbl_OriginalData[[#This Row],[Income_Level]]</f>
        <v>Middle</v>
      </c>
      <c r="AK577" t="str">
        <f>tbl_OriginalData[[#This Row],[Marital_Status]]</f>
        <v>Divorced</v>
      </c>
      <c r="AL577" t="str">
        <f>tbl_OriginalData[[#This Row],[Education_Level]]</f>
        <v>Bachelor's</v>
      </c>
      <c r="AM577" t="str">
        <f>tbl_OriginalData[[#This Row],[Occupation]]</f>
        <v>Middle</v>
      </c>
      <c r="AN577" t="s">
        <v>1368</v>
      </c>
      <c r="AO577" t="s">
        <v>194</v>
      </c>
      <c r="AP577" t="str">
        <f>tbl_OriginalData[[#This Row],[Purchase_Category]]</f>
        <v>Mobile Accessories</v>
      </c>
      <c r="AQ577" s="4">
        <f>tbl_OriginalData[[#This Row],[Purchase_Amount]]</f>
        <v>159.30000000000001</v>
      </c>
      <c r="AR577">
        <f>tbl_OriginalData[[#This Row],[Frequency_of_Purchase]]</f>
        <v>11</v>
      </c>
      <c r="AS577" t="str">
        <f>tbl_OriginalData[[#This Row],[Purchase_Channel]]</f>
        <v>Mixed</v>
      </c>
      <c r="AT577">
        <f>tbl_OriginalData[[#This Row],[Brand_Loyalty]]</f>
        <v>5</v>
      </c>
      <c r="AU577">
        <f>tbl_OriginalData[[#This Row],[Product_Rating]]</f>
        <v>4</v>
      </c>
      <c r="AV577">
        <f>tbl_OriginalData[[#This Row],[Time_Spent_on_Product_Research(hours)]]*60</f>
        <v>0</v>
      </c>
      <c r="AW577" t="str">
        <f>tbl_OriginalData[[#This Row],[Social_Media_Influence]]</f>
        <v>Medium</v>
      </c>
      <c r="AX577" t="str">
        <f>tbl_OriginalData[[#This Row],[Discount_Sensitivity]]</f>
        <v>Somewhat Sensitive</v>
      </c>
      <c r="AY577" s="3">
        <f>tbl_OriginalData[[#This Row],[Return_Rate]]/tbl_OriginalData[[#This Row],[Frequency_of_Purchase]]</f>
        <v>0</v>
      </c>
      <c r="AZ577">
        <f>tbl_OriginalData[[#This Row],[Customer_Satisfaction]]</f>
        <v>6</v>
      </c>
      <c r="BA577" t="str">
        <f>tbl_OriginalData[[#This Row],[Engagement_with_Ads]]</f>
        <v>High</v>
      </c>
      <c r="BB577" t="str">
        <f>tbl_OriginalData[[#This Row],[Device_Used_for_Shopping]]</f>
        <v>Tablet</v>
      </c>
      <c r="BC577" t="str">
        <f>tbl_OriginalData[[#This Row],[Payment_Method]]</f>
        <v>PayPal</v>
      </c>
      <c r="BD577" s="1">
        <f>tbl_OriginalData[[#This Row],[Time_of_Purchase]]</f>
        <v>45406</v>
      </c>
      <c r="BE577" t="str">
        <f>IF(tbl_OriginalData[[#This Row],[Discount_Used]]=TRUE,"Yes","No")</f>
        <v>No</v>
      </c>
      <c r="BF577" t="str">
        <f>IF(tbl_OriginalData[[#This Row],[Customer_Loyalty_Program_Member]]=TRUE,"Yes","No")</f>
        <v>Yes</v>
      </c>
      <c r="BG577" t="str">
        <f>tbl_OriginalData[[#This Row],[Purchase_Intent]]</f>
        <v>Impulsive</v>
      </c>
      <c r="BH577" t="str">
        <f>tbl_OriginalData[[#This Row],[Shipping_Preference]]</f>
        <v>Express</v>
      </c>
      <c r="BI577">
        <f>tbl_OriginalData[[#This Row],[Time_to_Decision]]</f>
        <v>2</v>
      </c>
      <c r="BJ577" t="s">
        <v>62</v>
      </c>
      <c r="BK577" t="s">
        <v>63</v>
      </c>
      <c r="BL577" t="s">
        <v>2524</v>
      </c>
    </row>
    <row r="578" spans="1:64">
      <c r="A578" t="s">
        <v>1369</v>
      </c>
      <c r="B578">
        <v>22</v>
      </c>
      <c r="C578" t="s">
        <v>431</v>
      </c>
      <c r="D578" t="s">
        <v>34</v>
      </c>
      <c r="E578" t="s">
        <v>82</v>
      </c>
      <c r="F578" t="s">
        <v>66</v>
      </c>
      <c r="G578" t="s">
        <v>34</v>
      </c>
      <c r="H578" t="s">
        <v>1370</v>
      </c>
      <c r="I578" t="s">
        <v>123</v>
      </c>
      <c r="J578">
        <v>324.39</v>
      </c>
      <c r="K578">
        <v>5</v>
      </c>
      <c r="L578" t="s">
        <v>94</v>
      </c>
      <c r="M578">
        <v>2</v>
      </c>
      <c r="N578">
        <v>2</v>
      </c>
      <c r="O578">
        <v>0</v>
      </c>
      <c r="P578" t="s">
        <v>51</v>
      </c>
      <c r="Q578" t="s">
        <v>101</v>
      </c>
      <c r="R578">
        <v>1</v>
      </c>
      <c r="S578">
        <v>6</v>
      </c>
      <c r="T578" t="s">
        <v>56</v>
      </c>
      <c r="U578" t="s">
        <v>95</v>
      </c>
      <c r="V578" t="s">
        <v>58</v>
      </c>
      <c r="W578" s="1">
        <v>45615</v>
      </c>
      <c r="X578" t="b">
        <v>1</v>
      </c>
      <c r="Y578" t="b">
        <v>0</v>
      </c>
      <c r="Z578" t="s">
        <v>44</v>
      </c>
      <c r="AA578" t="s">
        <v>77</v>
      </c>
      <c r="AB578">
        <v>1</v>
      </c>
      <c r="AF578" t="str">
        <f>tbl_OriginalData[[#This Row],[Customer_ID]]</f>
        <v>84-459-7736</v>
      </c>
      <c r="AG578">
        <f>tbl_OriginalData[[#This Row],[Age]]</f>
        <v>22</v>
      </c>
      <c r="AH578" t="str" cm="1">
        <f t="array" ref="AH57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78" t="str">
        <f>tbl_OriginalData[[#This Row],[Gender]]</f>
        <v>Genderqueer</v>
      </c>
      <c r="AJ578" t="str">
        <f>tbl_OriginalData[[#This Row],[Income_Level]]</f>
        <v>Middle</v>
      </c>
      <c r="AK578" t="str">
        <f>tbl_OriginalData[[#This Row],[Marital_Status]]</f>
        <v>Widowed</v>
      </c>
      <c r="AL578" t="str">
        <f>tbl_OriginalData[[#This Row],[Education_Level]]</f>
        <v>Master's</v>
      </c>
      <c r="AM578" t="str">
        <f>tbl_OriginalData[[#This Row],[Occupation]]</f>
        <v>Middle</v>
      </c>
      <c r="AN578" t="s">
        <v>1370</v>
      </c>
      <c r="AO578" t="s">
        <v>61</v>
      </c>
      <c r="AP578" t="str">
        <f>tbl_OriginalData[[#This Row],[Purchase_Category]]</f>
        <v>Luxury Goods</v>
      </c>
      <c r="AQ578" s="4">
        <f>tbl_OriginalData[[#This Row],[Purchase_Amount]]</f>
        <v>324.39</v>
      </c>
      <c r="AR578">
        <f>tbl_OriginalData[[#This Row],[Frequency_of_Purchase]]</f>
        <v>5</v>
      </c>
      <c r="AS578" t="str">
        <f>tbl_OriginalData[[#This Row],[Purchase_Channel]]</f>
        <v>Online</v>
      </c>
      <c r="AT578">
        <f>tbl_OriginalData[[#This Row],[Brand_Loyalty]]</f>
        <v>2</v>
      </c>
      <c r="AU578">
        <f>tbl_OriginalData[[#This Row],[Product_Rating]]</f>
        <v>2</v>
      </c>
      <c r="AV578">
        <f>tbl_OriginalData[[#This Row],[Time_Spent_on_Product_Research(hours)]]*60</f>
        <v>0</v>
      </c>
      <c r="AW578" t="str">
        <f>tbl_OriginalData[[#This Row],[Social_Media_Influence]]</f>
        <v>High</v>
      </c>
      <c r="AX578" t="str">
        <f>tbl_OriginalData[[#This Row],[Discount_Sensitivity]]</f>
        <v>Very Sensitive</v>
      </c>
      <c r="AY578" s="3">
        <f>tbl_OriginalData[[#This Row],[Return_Rate]]/tbl_OriginalData[[#This Row],[Frequency_of_Purchase]]</f>
        <v>0.2</v>
      </c>
      <c r="AZ578">
        <f>tbl_OriginalData[[#This Row],[Customer_Satisfaction]]</f>
        <v>6</v>
      </c>
      <c r="BA578" t="str">
        <f>tbl_OriginalData[[#This Row],[Engagement_with_Ads]]</f>
        <v>Medium</v>
      </c>
      <c r="BB578" t="str">
        <f>tbl_OriginalData[[#This Row],[Device_Used_for_Shopping]]</f>
        <v>Desktop</v>
      </c>
      <c r="BC578" t="str">
        <f>tbl_OriginalData[[#This Row],[Payment_Method]]</f>
        <v>PayPal</v>
      </c>
      <c r="BD578" s="1">
        <f>tbl_OriginalData[[#This Row],[Time_of_Purchase]]</f>
        <v>45615</v>
      </c>
      <c r="BE578" t="str">
        <f>IF(tbl_OriginalData[[#This Row],[Discount_Used]]=TRUE,"Yes","No")</f>
        <v>Yes</v>
      </c>
      <c r="BF578" t="str">
        <f>IF(tbl_OriginalData[[#This Row],[Customer_Loyalty_Program_Member]]=TRUE,"Yes","No")</f>
        <v>No</v>
      </c>
      <c r="BG578" t="str">
        <f>tbl_OriginalData[[#This Row],[Purchase_Intent]]</f>
        <v>Need-based</v>
      </c>
      <c r="BH578" t="str">
        <f>tbl_OriginalData[[#This Row],[Shipping_Preference]]</f>
        <v>Express</v>
      </c>
      <c r="BI578">
        <f>tbl_OriginalData[[#This Row],[Time_to_Decision]]</f>
        <v>1</v>
      </c>
      <c r="BJ578" t="s">
        <v>177</v>
      </c>
      <c r="BK578" t="s">
        <v>80</v>
      </c>
      <c r="BL578" t="s">
        <v>2524</v>
      </c>
    </row>
    <row r="579" spans="1:64">
      <c r="A579" t="s">
        <v>1371</v>
      </c>
      <c r="B579">
        <v>37</v>
      </c>
      <c r="C579" t="s">
        <v>340</v>
      </c>
      <c r="D579" t="s">
        <v>51</v>
      </c>
      <c r="E579" t="s">
        <v>65</v>
      </c>
      <c r="F579" t="s">
        <v>52</v>
      </c>
      <c r="G579" t="s">
        <v>51</v>
      </c>
      <c r="H579" t="s">
        <v>1372</v>
      </c>
      <c r="I579" t="s">
        <v>229</v>
      </c>
      <c r="J579">
        <v>198.89</v>
      </c>
      <c r="K579">
        <v>2</v>
      </c>
      <c r="L579" t="s">
        <v>55</v>
      </c>
      <c r="M579">
        <v>2</v>
      </c>
      <c r="N579">
        <v>2</v>
      </c>
      <c r="O579">
        <v>0</v>
      </c>
      <c r="P579" t="s">
        <v>51</v>
      </c>
      <c r="Q579" t="s">
        <v>57</v>
      </c>
      <c r="R579">
        <v>0</v>
      </c>
      <c r="S579">
        <v>4</v>
      </c>
      <c r="T579" t="s">
        <v>69</v>
      </c>
      <c r="U579" t="s">
        <v>42</v>
      </c>
      <c r="V579" t="s">
        <v>43</v>
      </c>
      <c r="W579" s="1">
        <v>45303</v>
      </c>
      <c r="X579" t="b">
        <v>0</v>
      </c>
      <c r="Y579" t="b">
        <v>0</v>
      </c>
      <c r="Z579" t="s">
        <v>72</v>
      </c>
      <c r="AA579" t="s">
        <v>60</v>
      </c>
      <c r="AB579">
        <v>1</v>
      </c>
      <c r="AF579" t="str">
        <f>tbl_OriginalData[[#This Row],[Customer_ID]]</f>
        <v>07-395-5818</v>
      </c>
      <c r="AG579">
        <f>tbl_OriginalData[[#This Row],[Age]]</f>
        <v>37</v>
      </c>
      <c r="AH579" t="str" cm="1">
        <f t="array" ref="AH57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79" t="str">
        <f>tbl_OriginalData[[#This Row],[Gender]]</f>
        <v>Agender</v>
      </c>
      <c r="AJ579" t="str">
        <f>tbl_OriginalData[[#This Row],[Income_Level]]</f>
        <v>High</v>
      </c>
      <c r="AK579" t="str">
        <f>tbl_OriginalData[[#This Row],[Marital_Status]]</f>
        <v>Single</v>
      </c>
      <c r="AL579" t="str">
        <f>tbl_OriginalData[[#This Row],[Education_Level]]</f>
        <v>High School</v>
      </c>
      <c r="AM579" t="str">
        <f>tbl_OriginalData[[#This Row],[Occupation]]</f>
        <v>High</v>
      </c>
      <c r="AN579" t="s">
        <v>1372</v>
      </c>
      <c r="AO579" t="s">
        <v>342</v>
      </c>
      <c r="AP579" t="str">
        <f>tbl_OriginalData[[#This Row],[Purchase_Category]]</f>
        <v>Clothing</v>
      </c>
      <c r="AQ579" s="4">
        <f>tbl_OriginalData[[#This Row],[Purchase_Amount]]</f>
        <v>198.89</v>
      </c>
      <c r="AR579">
        <f>tbl_OriginalData[[#This Row],[Frequency_of_Purchase]]</f>
        <v>2</v>
      </c>
      <c r="AS579" t="str">
        <f>tbl_OriginalData[[#This Row],[Purchase_Channel]]</f>
        <v>In-Store</v>
      </c>
      <c r="AT579">
        <f>tbl_OriginalData[[#This Row],[Brand_Loyalty]]</f>
        <v>2</v>
      </c>
      <c r="AU579">
        <f>tbl_OriginalData[[#This Row],[Product_Rating]]</f>
        <v>2</v>
      </c>
      <c r="AV579">
        <f>tbl_OriginalData[[#This Row],[Time_Spent_on_Product_Research(hours)]]*60</f>
        <v>0</v>
      </c>
      <c r="AW579" t="str">
        <f>tbl_OriginalData[[#This Row],[Social_Media_Influence]]</f>
        <v>High</v>
      </c>
      <c r="AX579" t="str">
        <f>tbl_OriginalData[[#This Row],[Discount_Sensitivity]]</f>
        <v>Not Sensitive</v>
      </c>
      <c r="AY579" s="3">
        <f>tbl_OriginalData[[#This Row],[Return_Rate]]/tbl_OriginalData[[#This Row],[Frequency_of_Purchase]]</f>
        <v>0</v>
      </c>
      <c r="AZ579">
        <f>tbl_OriginalData[[#This Row],[Customer_Satisfaction]]</f>
        <v>4</v>
      </c>
      <c r="BA579" t="str">
        <f>tbl_OriginalData[[#This Row],[Engagement_with_Ads]]</f>
        <v>Low</v>
      </c>
      <c r="BB579" t="str">
        <f>tbl_OriginalData[[#This Row],[Device_Used_for_Shopping]]</f>
        <v>Tablet</v>
      </c>
      <c r="BC579" t="str">
        <f>tbl_OriginalData[[#This Row],[Payment_Method]]</f>
        <v>Credit Card</v>
      </c>
      <c r="BD579" s="1">
        <f>tbl_OriginalData[[#This Row],[Time_of_Purchase]]</f>
        <v>45303</v>
      </c>
      <c r="BE579" t="str">
        <f>IF(tbl_OriginalData[[#This Row],[Discount_Used]]=TRUE,"Yes","No")</f>
        <v>No</v>
      </c>
      <c r="BF579" t="str">
        <f>IF(tbl_OriginalData[[#This Row],[Customer_Loyalty_Program_Member]]=TRUE,"Yes","No")</f>
        <v>No</v>
      </c>
      <c r="BG579" t="str">
        <f>tbl_OriginalData[[#This Row],[Purchase_Intent]]</f>
        <v>Impulsive</v>
      </c>
      <c r="BH579" t="str">
        <f>tbl_OriginalData[[#This Row],[Shipping_Preference]]</f>
        <v>Standard</v>
      </c>
      <c r="BI579">
        <f>tbl_OriginalData[[#This Row],[Time_to_Decision]]</f>
        <v>1</v>
      </c>
      <c r="BJ579" t="s">
        <v>86</v>
      </c>
      <c r="BK579" t="s">
        <v>48</v>
      </c>
      <c r="BL579" t="s">
        <v>2524</v>
      </c>
    </row>
    <row r="580" spans="1:64">
      <c r="A580" t="s">
        <v>1373</v>
      </c>
      <c r="B580">
        <v>41</v>
      </c>
      <c r="C580" t="s">
        <v>33</v>
      </c>
      <c r="D580" t="s">
        <v>34</v>
      </c>
      <c r="E580" t="s">
        <v>92</v>
      </c>
      <c r="F580" t="s">
        <v>66</v>
      </c>
      <c r="G580" t="s">
        <v>51</v>
      </c>
      <c r="H580" t="s">
        <v>1374</v>
      </c>
      <c r="I580" t="s">
        <v>229</v>
      </c>
      <c r="J580">
        <v>287.18</v>
      </c>
      <c r="K580">
        <v>7</v>
      </c>
      <c r="L580" t="s">
        <v>55</v>
      </c>
      <c r="M580">
        <v>4</v>
      </c>
      <c r="N580">
        <v>5</v>
      </c>
      <c r="O580">
        <v>0</v>
      </c>
      <c r="P580" t="s">
        <v>40</v>
      </c>
      <c r="Q580" t="s">
        <v>57</v>
      </c>
      <c r="R580">
        <v>0</v>
      </c>
      <c r="S580">
        <v>1</v>
      </c>
      <c r="T580" t="s">
        <v>40</v>
      </c>
      <c r="U580" t="s">
        <v>42</v>
      </c>
      <c r="V580" t="s">
        <v>71</v>
      </c>
      <c r="W580" s="1">
        <v>45362</v>
      </c>
      <c r="X580" t="b">
        <v>1</v>
      </c>
      <c r="Y580" t="b">
        <v>0</v>
      </c>
      <c r="Z580" t="s">
        <v>89</v>
      </c>
      <c r="AA580" t="s">
        <v>45</v>
      </c>
      <c r="AB580">
        <v>8</v>
      </c>
      <c r="AF580" t="str">
        <f>tbl_OriginalData[[#This Row],[Customer_ID]]</f>
        <v>07-560-6637</v>
      </c>
      <c r="AG580">
        <f>tbl_OriginalData[[#This Row],[Age]]</f>
        <v>41</v>
      </c>
      <c r="AH580" t="str" cm="1">
        <f t="array" ref="AH58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80" t="str">
        <f>tbl_OriginalData[[#This Row],[Gender]]</f>
        <v>Female</v>
      </c>
      <c r="AJ580" t="str">
        <f>tbl_OriginalData[[#This Row],[Income_Level]]</f>
        <v>Middle</v>
      </c>
      <c r="AK580" t="str">
        <f>tbl_OriginalData[[#This Row],[Marital_Status]]</f>
        <v>Divorced</v>
      </c>
      <c r="AL580" t="str">
        <f>tbl_OriginalData[[#This Row],[Education_Level]]</f>
        <v>Master's</v>
      </c>
      <c r="AM580" t="str">
        <f>tbl_OriginalData[[#This Row],[Occupation]]</f>
        <v>High</v>
      </c>
      <c r="AN580" t="s">
        <v>1374</v>
      </c>
      <c r="AO580" t="s">
        <v>90</v>
      </c>
      <c r="AP580" t="str">
        <f>tbl_OriginalData[[#This Row],[Purchase_Category]]</f>
        <v>Clothing</v>
      </c>
      <c r="AQ580" s="4">
        <f>tbl_OriginalData[[#This Row],[Purchase_Amount]]</f>
        <v>287.18</v>
      </c>
      <c r="AR580">
        <f>tbl_OriginalData[[#This Row],[Frequency_of_Purchase]]</f>
        <v>7</v>
      </c>
      <c r="AS580" t="str">
        <f>tbl_OriginalData[[#This Row],[Purchase_Channel]]</f>
        <v>In-Store</v>
      </c>
      <c r="AT580">
        <f>tbl_OriginalData[[#This Row],[Brand_Loyalty]]</f>
        <v>4</v>
      </c>
      <c r="AU580">
        <f>tbl_OriginalData[[#This Row],[Product_Rating]]</f>
        <v>5</v>
      </c>
      <c r="AV580">
        <f>tbl_OriginalData[[#This Row],[Time_Spent_on_Product_Research(hours)]]*60</f>
        <v>0</v>
      </c>
      <c r="AW580" t="str">
        <f>tbl_OriginalData[[#This Row],[Social_Media_Influence]]</f>
        <v>None</v>
      </c>
      <c r="AX580" t="str">
        <f>tbl_OriginalData[[#This Row],[Discount_Sensitivity]]</f>
        <v>Not Sensitive</v>
      </c>
      <c r="AY580" s="3">
        <f>tbl_OriginalData[[#This Row],[Return_Rate]]/tbl_OriginalData[[#This Row],[Frequency_of_Purchase]]</f>
        <v>0</v>
      </c>
      <c r="AZ580">
        <f>tbl_OriginalData[[#This Row],[Customer_Satisfaction]]</f>
        <v>1</v>
      </c>
      <c r="BA580" t="str">
        <f>tbl_OriginalData[[#This Row],[Engagement_with_Ads]]</f>
        <v>None</v>
      </c>
      <c r="BB580" t="str">
        <f>tbl_OriginalData[[#This Row],[Device_Used_for_Shopping]]</f>
        <v>Tablet</v>
      </c>
      <c r="BC580" t="str">
        <f>tbl_OriginalData[[#This Row],[Payment_Method]]</f>
        <v>Debit Card</v>
      </c>
      <c r="BD580" s="1">
        <f>tbl_OriginalData[[#This Row],[Time_of_Purchase]]</f>
        <v>45362</v>
      </c>
      <c r="BE580" t="str">
        <f>IF(tbl_OriginalData[[#This Row],[Discount_Used]]=TRUE,"Yes","No")</f>
        <v>Yes</v>
      </c>
      <c r="BF580" t="str">
        <f>IF(tbl_OriginalData[[#This Row],[Customer_Loyalty_Program_Member]]=TRUE,"Yes","No")</f>
        <v>No</v>
      </c>
      <c r="BG580" t="str">
        <f>tbl_OriginalData[[#This Row],[Purchase_Intent]]</f>
        <v>Planned</v>
      </c>
      <c r="BH580" t="str">
        <f>tbl_OriginalData[[#This Row],[Shipping_Preference]]</f>
        <v>No Preference</v>
      </c>
      <c r="BI580">
        <f>tbl_OriginalData[[#This Row],[Time_to_Decision]]</f>
        <v>8</v>
      </c>
      <c r="BJ580" t="s">
        <v>47</v>
      </c>
      <c r="BK580" t="s">
        <v>48</v>
      </c>
      <c r="BL580" t="s">
        <v>2524</v>
      </c>
    </row>
    <row r="581" spans="1:64">
      <c r="A581" t="s">
        <v>1375</v>
      </c>
      <c r="B581">
        <v>32</v>
      </c>
      <c r="C581" t="s">
        <v>50</v>
      </c>
      <c r="D581" t="s">
        <v>51</v>
      </c>
      <c r="E581" t="s">
        <v>92</v>
      </c>
      <c r="F581" t="s">
        <v>52</v>
      </c>
      <c r="G581" t="s">
        <v>34</v>
      </c>
      <c r="H581" t="s">
        <v>1376</v>
      </c>
      <c r="I581" t="s">
        <v>68</v>
      </c>
      <c r="J581">
        <v>162.24</v>
      </c>
      <c r="K581">
        <v>7</v>
      </c>
      <c r="L581" t="s">
        <v>55</v>
      </c>
      <c r="M581">
        <v>5</v>
      </c>
      <c r="N581">
        <v>3</v>
      </c>
      <c r="O581">
        <v>1</v>
      </c>
      <c r="P581" t="s">
        <v>40</v>
      </c>
      <c r="Q581" t="s">
        <v>101</v>
      </c>
      <c r="R581">
        <v>2</v>
      </c>
      <c r="S581">
        <v>6</v>
      </c>
      <c r="T581" t="s">
        <v>69</v>
      </c>
      <c r="U581" t="s">
        <v>70</v>
      </c>
      <c r="V581" t="s">
        <v>58</v>
      </c>
      <c r="W581" s="1">
        <v>45576</v>
      </c>
      <c r="X581" t="b">
        <v>0</v>
      </c>
      <c r="Y581" t="b">
        <v>0</v>
      </c>
      <c r="Z581" t="s">
        <v>59</v>
      </c>
      <c r="AA581" t="s">
        <v>77</v>
      </c>
      <c r="AB581">
        <v>7</v>
      </c>
      <c r="AF581" t="str">
        <f>tbl_OriginalData[[#This Row],[Customer_ID]]</f>
        <v>61-926-1691</v>
      </c>
      <c r="AG581">
        <f>tbl_OriginalData[[#This Row],[Age]]</f>
        <v>32</v>
      </c>
      <c r="AH581" t="str" cm="1">
        <f t="array" ref="AH58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81" t="str">
        <f>tbl_OriginalData[[#This Row],[Gender]]</f>
        <v>Male</v>
      </c>
      <c r="AJ581" t="str">
        <f>tbl_OriginalData[[#This Row],[Income_Level]]</f>
        <v>High</v>
      </c>
      <c r="AK581" t="str">
        <f>tbl_OriginalData[[#This Row],[Marital_Status]]</f>
        <v>Divorced</v>
      </c>
      <c r="AL581" t="str">
        <f>tbl_OriginalData[[#This Row],[Education_Level]]</f>
        <v>High School</v>
      </c>
      <c r="AM581" t="str">
        <f>tbl_OriginalData[[#This Row],[Occupation]]</f>
        <v>Middle</v>
      </c>
      <c r="AN581" t="s">
        <v>1376</v>
      </c>
      <c r="AO581" t="s">
        <v>90</v>
      </c>
      <c r="AP581" t="str">
        <f>tbl_OriginalData[[#This Row],[Purchase_Category]]</f>
        <v>Office Supplies</v>
      </c>
      <c r="AQ581" s="4">
        <f>tbl_OriginalData[[#This Row],[Purchase_Amount]]</f>
        <v>162.24</v>
      </c>
      <c r="AR581">
        <f>tbl_OriginalData[[#This Row],[Frequency_of_Purchase]]</f>
        <v>7</v>
      </c>
      <c r="AS581" t="str">
        <f>tbl_OriginalData[[#This Row],[Purchase_Channel]]</f>
        <v>In-Store</v>
      </c>
      <c r="AT581">
        <f>tbl_OriginalData[[#This Row],[Brand_Loyalty]]</f>
        <v>5</v>
      </c>
      <c r="AU581">
        <f>tbl_OriginalData[[#This Row],[Product_Rating]]</f>
        <v>3</v>
      </c>
      <c r="AV581">
        <f>tbl_OriginalData[[#This Row],[Time_Spent_on_Product_Research(hours)]]*60</f>
        <v>60</v>
      </c>
      <c r="AW581" t="str">
        <f>tbl_OriginalData[[#This Row],[Social_Media_Influence]]</f>
        <v>None</v>
      </c>
      <c r="AX581" t="str">
        <f>tbl_OriginalData[[#This Row],[Discount_Sensitivity]]</f>
        <v>Very Sensitive</v>
      </c>
      <c r="AY581" s="3">
        <f>tbl_OriginalData[[#This Row],[Return_Rate]]/tbl_OriginalData[[#This Row],[Frequency_of_Purchase]]</f>
        <v>0.2857142857142857</v>
      </c>
      <c r="AZ581">
        <f>tbl_OriginalData[[#This Row],[Customer_Satisfaction]]</f>
        <v>6</v>
      </c>
      <c r="BA581" t="str">
        <f>tbl_OriginalData[[#This Row],[Engagement_with_Ads]]</f>
        <v>Low</v>
      </c>
      <c r="BB581" t="str">
        <f>tbl_OriginalData[[#This Row],[Device_Used_for_Shopping]]</f>
        <v>Smartphone</v>
      </c>
      <c r="BC581" t="str">
        <f>tbl_OriginalData[[#This Row],[Payment_Method]]</f>
        <v>PayPal</v>
      </c>
      <c r="BD581" s="1">
        <f>tbl_OriginalData[[#This Row],[Time_of_Purchase]]</f>
        <v>45576</v>
      </c>
      <c r="BE581" t="str">
        <f>IF(tbl_OriginalData[[#This Row],[Discount_Used]]=TRUE,"Yes","No")</f>
        <v>No</v>
      </c>
      <c r="BF581" t="str">
        <f>IF(tbl_OriginalData[[#This Row],[Customer_Loyalty_Program_Member]]=TRUE,"Yes","No")</f>
        <v>No</v>
      </c>
      <c r="BG581" t="str">
        <f>tbl_OriginalData[[#This Row],[Purchase_Intent]]</f>
        <v>Wants-based</v>
      </c>
      <c r="BH581" t="str">
        <f>tbl_OriginalData[[#This Row],[Shipping_Preference]]</f>
        <v>Express</v>
      </c>
      <c r="BI581">
        <f>tbl_OriginalData[[#This Row],[Time_to_Decision]]</f>
        <v>7</v>
      </c>
      <c r="BJ581" t="s">
        <v>79</v>
      </c>
      <c r="BK581" t="s">
        <v>80</v>
      </c>
      <c r="BL581" t="s">
        <v>2524</v>
      </c>
    </row>
    <row r="582" spans="1:64">
      <c r="A582" t="s">
        <v>1377</v>
      </c>
      <c r="B582">
        <v>37</v>
      </c>
      <c r="C582" t="s">
        <v>33</v>
      </c>
      <c r="D582" t="s">
        <v>51</v>
      </c>
      <c r="E582" t="s">
        <v>92</v>
      </c>
      <c r="F582" t="s">
        <v>36</v>
      </c>
      <c r="G582" t="s">
        <v>51</v>
      </c>
      <c r="H582" t="s">
        <v>1378</v>
      </c>
      <c r="I582" t="s">
        <v>170</v>
      </c>
      <c r="J582">
        <v>92.97</v>
      </c>
      <c r="K582">
        <v>6</v>
      </c>
      <c r="L582" t="s">
        <v>55</v>
      </c>
      <c r="M582">
        <v>5</v>
      </c>
      <c r="N582">
        <v>5</v>
      </c>
      <c r="O582">
        <v>0</v>
      </c>
      <c r="P582" t="s">
        <v>56</v>
      </c>
      <c r="Q582" t="s">
        <v>101</v>
      </c>
      <c r="R582">
        <v>0</v>
      </c>
      <c r="S582">
        <v>7</v>
      </c>
      <c r="T582" t="s">
        <v>69</v>
      </c>
      <c r="U582" t="s">
        <v>95</v>
      </c>
      <c r="V582" t="s">
        <v>76</v>
      </c>
      <c r="W582" s="1">
        <v>45641</v>
      </c>
      <c r="X582" t="b">
        <v>0</v>
      </c>
      <c r="Y582" t="b">
        <v>1</v>
      </c>
      <c r="Z582" t="s">
        <v>72</v>
      </c>
      <c r="AA582" t="s">
        <v>60</v>
      </c>
      <c r="AB582">
        <v>7</v>
      </c>
      <c r="AF582" t="str">
        <f>tbl_OriginalData[[#This Row],[Customer_ID]]</f>
        <v>68-129-1060</v>
      </c>
      <c r="AG582">
        <f>tbl_OriginalData[[#This Row],[Age]]</f>
        <v>37</v>
      </c>
      <c r="AH582" t="str" cm="1">
        <f t="array" ref="AH58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82" t="str">
        <f>tbl_OriginalData[[#This Row],[Gender]]</f>
        <v>Female</v>
      </c>
      <c r="AJ582" t="str">
        <f>tbl_OriginalData[[#This Row],[Income_Level]]</f>
        <v>High</v>
      </c>
      <c r="AK582" t="str">
        <f>tbl_OriginalData[[#This Row],[Marital_Status]]</f>
        <v>Divorced</v>
      </c>
      <c r="AL582" t="str">
        <f>tbl_OriginalData[[#This Row],[Education_Level]]</f>
        <v>Bachelor's</v>
      </c>
      <c r="AM582" t="str">
        <f>tbl_OriginalData[[#This Row],[Occupation]]</f>
        <v>High</v>
      </c>
      <c r="AN582" t="s">
        <v>1378</v>
      </c>
      <c r="AO582" t="s">
        <v>161</v>
      </c>
      <c r="AP582" t="str">
        <f>tbl_OriginalData[[#This Row],[Purchase_Category]]</f>
        <v>Arts &amp; Crafts</v>
      </c>
      <c r="AQ582" s="4">
        <f>tbl_OriginalData[[#This Row],[Purchase_Amount]]</f>
        <v>92.97</v>
      </c>
      <c r="AR582">
        <f>tbl_OriginalData[[#This Row],[Frequency_of_Purchase]]</f>
        <v>6</v>
      </c>
      <c r="AS582" t="str">
        <f>tbl_OriginalData[[#This Row],[Purchase_Channel]]</f>
        <v>In-Store</v>
      </c>
      <c r="AT582">
        <f>tbl_OriginalData[[#This Row],[Brand_Loyalty]]</f>
        <v>5</v>
      </c>
      <c r="AU582">
        <f>tbl_OriginalData[[#This Row],[Product_Rating]]</f>
        <v>5</v>
      </c>
      <c r="AV582">
        <f>tbl_OriginalData[[#This Row],[Time_Spent_on_Product_Research(hours)]]*60</f>
        <v>0</v>
      </c>
      <c r="AW582" t="str">
        <f>tbl_OriginalData[[#This Row],[Social_Media_Influence]]</f>
        <v>Medium</v>
      </c>
      <c r="AX582" t="str">
        <f>tbl_OriginalData[[#This Row],[Discount_Sensitivity]]</f>
        <v>Very Sensitive</v>
      </c>
      <c r="AY582" s="3">
        <f>tbl_OriginalData[[#This Row],[Return_Rate]]/tbl_OriginalData[[#This Row],[Frequency_of_Purchase]]</f>
        <v>0</v>
      </c>
      <c r="AZ582">
        <f>tbl_OriginalData[[#This Row],[Customer_Satisfaction]]</f>
        <v>7</v>
      </c>
      <c r="BA582" t="str">
        <f>tbl_OriginalData[[#This Row],[Engagement_with_Ads]]</f>
        <v>Low</v>
      </c>
      <c r="BB582" t="str">
        <f>tbl_OriginalData[[#This Row],[Device_Used_for_Shopping]]</f>
        <v>Desktop</v>
      </c>
      <c r="BC582" t="str">
        <f>tbl_OriginalData[[#This Row],[Payment_Method]]</f>
        <v>Other</v>
      </c>
      <c r="BD582" s="1">
        <f>tbl_OriginalData[[#This Row],[Time_of_Purchase]]</f>
        <v>45641</v>
      </c>
      <c r="BE582" t="str">
        <f>IF(tbl_OriginalData[[#This Row],[Discount_Used]]=TRUE,"Yes","No")</f>
        <v>No</v>
      </c>
      <c r="BF582" t="str">
        <f>IF(tbl_OriginalData[[#This Row],[Customer_Loyalty_Program_Member]]=TRUE,"Yes","No")</f>
        <v>Yes</v>
      </c>
      <c r="BG582" t="str">
        <f>tbl_OriginalData[[#This Row],[Purchase_Intent]]</f>
        <v>Impulsive</v>
      </c>
      <c r="BH582" t="str">
        <f>tbl_OriginalData[[#This Row],[Shipping_Preference]]</f>
        <v>Standard</v>
      </c>
      <c r="BI582">
        <f>tbl_OriginalData[[#This Row],[Time_to_Decision]]</f>
        <v>7</v>
      </c>
      <c r="BJ582" t="s">
        <v>120</v>
      </c>
      <c r="BK582" t="s">
        <v>80</v>
      </c>
      <c r="BL582" t="s">
        <v>2527</v>
      </c>
    </row>
    <row r="583" spans="1:64">
      <c r="A583" t="s">
        <v>1379</v>
      </c>
      <c r="B583">
        <v>41</v>
      </c>
      <c r="C583" t="s">
        <v>50</v>
      </c>
      <c r="D583" t="s">
        <v>34</v>
      </c>
      <c r="E583" t="s">
        <v>82</v>
      </c>
      <c r="F583" t="s">
        <v>52</v>
      </c>
      <c r="G583" t="s">
        <v>34</v>
      </c>
      <c r="H583" t="s">
        <v>1380</v>
      </c>
      <c r="I583" t="s">
        <v>54</v>
      </c>
      <c r="J583">
        <v>144.38999999999999</v>
      </c>
      <c r="K583">
        <v>12</v>
      </c>
      <c r="L583" t="s">
        <v>55</v>
      </c>
      <c r="M583">
        <v>5</v>
      </c>
      <c r="N583">
        <v>3</v>
      </c>
      <c r="O583">
        <v>2</v>
      </c>
      <c r="P583" t="s">
        <v>51</v>
      </c>
      <c r="Q583" t="s">
        <v>101</v>
      </c>
      <c r="R583">
        <v>0</v>
      </c>
      <c r="S583">
        <v>4</v>
      </c>
      <c r="T583" t="s">
        <v>69</v>
      </c>
      <c r="U583" t="s">
        <v>95</v>
      </c>
      <c r="V583" t="s">
        <v>102</v>
      </c>
      <c r="W583" s="1">
        <v>45454</v>
      </c>
      <c r="X583" t="b">
        <v>1</v>
      </c>
      <c r="Y583" t="b">
        <v>1</v>
      </c>
      <c r="Z583" t="s">
        <v>72</v>
      </c>
      <c r="AA583" t="s">
        <v>60</v>
      </c>
      <c r="AB583">
        <v>12</v>
      </c>
      <c r="AF583" t="str">
        <f>tbl_OriginalData[[#This Row],[Customer_ID]]</f>
        <v>04-052-5592</v>
      </c>
      <c r="AG583">
        <f>tbl_OriginalData[[#This Row],[Age]]</f>
        <v>41</v>
      </c>
      <c r="AH583" t="str" cm="1">
        <f t="array" ref="AH58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83" t="str">
        <f>tbl_OriginalData[[#This Row],[Gender]]</f>
        <v>Male</v>
      </c>
      <c r="AJ583" t="str">
        <f>tbl_OriginalData[[#This Row],[Income_Level]]</f>
        <v>Middle</v>
      </c>
      <c r="AK583" t="str">
        <f>tbl_OriginalData[[#This Row],[Marital_Status]]</f>
        <v>Widowed</v>
      </c>
      <c r="AL583" t="str">
        <f>tbl_OriginalData[[#This Row],[Education_Level]]</f>
        <v>High School</v>
      </c>
      <c r="AM583" t="str">
        <f>tbl_OriginalData[[#This Row],[Occupation]]</f>
        <v>Middle</v>
      </c>
      <c r="AN583" t="s">
        <v>1380</v>
      </c>
      <c r="AO583" t="s">
        <v>61</v>
      </c>
      <c r="AP583" t="str">
        <f>tbl_OriginalData[[#This Row],[Purchase_Category]]</f>
        <v>Food &amp; Beverages</v>
      </c>
      <c r="AQ583" s="4">
        <f>tbl_OriginalData[[#This Row],[Purchase_Amount]]</f>
        <v>144.38999999999999</v>
      </c>
      <c r="AR583">
        <f>tbl_OriginalData[[#This Row],[Frequency_of_Purchase]]</f>
        <v>12</v>
      </c>
      <c r="AS583" t="str">
        <f>tbl_OriginalData[[#This Row],[Purchase_Channel]]</f>
        <v>In-Store</v>
      </c>
      <c r="AT583">
        <f>tbl_OriginalData[[#This Row],[Brand_Loyalty]]</f>
        <v>5</v>
      </c>
      <c r="AU583">
        <f>tbl_OriginalData[[#This Row],[Product_Rating]]</f>
        <v>3</v>
      </c>
      <c r="AV583">
        <f>tbl_OriginalData[[#This Row],[Time_Spent_on_Product_Research(hours)]]*60</f>
        <v>120</v>
      </c>
      <c r="AW583" t="str">
        <f>tbl_OriginalData[[#This Row],[Social_Media_Influence]]</f>
        <v>High</v>
      </c>
      <c r="AX583" t="str">
        <f>tbl_OriginalData[[#This Row],[Discount_Sensitivity]]</f>
        <v>Very Sensitive</v>
      </c>
      <c r="AY583" s="3">
        <f>tbl_OriginalData[[#This Row],[Return_Rate]]/tbl_OriginalData[[#This Row],[Frequency_of_Purchase]]</f>
        <v>0</v>
      </c>
      <c r="AZ583">
        <f>tbl_OriginalData[[#This Row],[Customer_Satisfaction]]</f>
        <v>4</v>
      </c>
      <c r="BA583" t="str">
        <f>tbl_OriginalData[[#This Row],[Engagement_with_Ads]]</f>
        <v>Low</v>
      </c>
      <c r="BB583" t="str">
        <f>tbl_OriginalData[[#This Row],[Device_Used_for_Shopping]]</f>
        <v>Desktop</v>
      </c>
      <c r="BC583" t="str">
        <f>tbl_OriginalData[[#This Row],[Payment_Method]]</f>
        <v>Cash</v>
      </c>
      <c r="BD583" s="1">
        <f>tbl_OriginalData[[#This Row],[Time_of_Purchase]]</f>
        <v>45454</v>
      </c>
      <c r="BE583" t="str">
        <f>IF(tbl_OriginalData[[#This Row],[Discount_Used]]=TRUE,"Yes","No")</f>
        <v>Yes</v>
      </c>
      <c r="BF583" t="str">
        <f>IF(tbl_OriginalData[[#This Row],[Customer_Loyalty_Program_Member]]=TRUE,"Yes","No")</f>
        <v>Yes</v>
      </c>
      <c r="BG583" t="str">
        <f>tbl_OriginalData[[#This Row],[Purchase_Intent]]</f>
        <v>Impulsive</v>
      </c>
      <c r="BH583" t="str">
        <f>tbl_OriginalData[[#This Row],[Shipping_Preference]]</f>
        <v>Standard</v>
      </c>
      <c r="BI583">
        <f>tbl_OriginalData[[#This Row],[Time_to_Decision]]</f>
        <v>12</v>
      </c>
      <c r="BJ583" t="s">
        <v>104</v>
      </c>
      <c r="BK583" t="s">
        <v>63</v>
      </c>
      <c r="BL583" t="s">
        <v>2524</v>
      </c>
    </row>
    <row r="584" spans="1:64">
      <c r="A584" t="s">
        <v>1381</v>
      </c>
      <c r="B584">
        <v>37</v>
      </c>
      <c r="C584" t="s">
        <v>33</v>
      </c>
      <c r="D584" t="s">
        <v>51</v>
      </c>
      <c r="E584" t="s">
        <v>65</v>
      </c>
      <c r="F584" t="s">
        <v>52</v>
      </c>
      <c r="G584" t="s">
        <v>51</v>
      </c>
      <c r="H584" t="s">
        <v>1382</v>
      </c>
      <c r="I584" t="s">
        <v>98</v>
      </c>
      <c r="J584">
        <v>253.37</v>
      </c>
      <c r="K584">
        <v>12</v>
      </c>
      <c r="L584" t="s">
        <v>55</v>
      </c>
      <c r="M584">
        <v>2</v>
      </c>
      <c r="N584">
        <v>5</v>
      </c>
      <c r="O584">
        <v>0</v>
      </c>
      <c r="P584" t="s">
        <v>40</v>
      </c>
      <c r="Q584" t="s">
        <v>101</v>
      </c>
      <c r="R584">
        <v>0</v>
      </c>
      <c r="S584">
        <v>9</v>
      </c>
      <c r="T584" t="s">
        <v>69</v>
      </c>
      <c r="U584" t="s">
        <v>42</v>
      </c>
      <c r="V584" t="s">
        <v>43</v>
      </c>
      <c r="W584" s="1">
        <v>45420</v>
      </c>
      <c r="X584" t="b">
        <v>0</v>
      </c>
      <c r="Y584" t="b">
        <v>1</v>
      </c>
      <c r="Z584" t="s">
        <v>89</v>
      </c>
      <c r="AA584" t="s">
        <v>77</v>
      </c>
      <c r="AB584">
        <v>6</v>
      </c>
      <c r="AF584" t="str">
        <f>tbl_OriginalData[[#This Row],[Customer_ID]]</f>
        <v>41-215-6092</v>
      </c>
      <c r="AG584">
        <f>tbl_OriginalData[[#This Row],[Age]]</f>
        <v>37</v>
      </c>
      <c r="AH584" t="str" cm="1">
        <f t="array" ref="AH58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84" t="str">
        <f>tbl_OriginalData[[#This Row],[Gender]]</f>
        <v>Female</v>
      </c>
      <c r="AJ584" t="str">
        <f>tbl_OriginalData[[#This Row],[Income_Level]]</f>
        <v>High</v>
      </c>
      <c r="AK584" t="str">
        <f>tbl_OriginalData[[#This Row],[Marital_Status]]</f>
        <v>Single</v>
      </c>
      <c r="AL584" t="str">
        <f>tbl_OriginalData[[#This Row],[Education_Level]]</f>
        <v>High School</v>
      </c>
      <c r="AM584" t="str">
        <f>tbl_OriginalData[[#This Row],[Occupation]]</f>
        <v>High</v>
      </c>
      <c r="AN584" t="s">
        <v>1382</v>
      </c>
      <c r="AO584" t="s">
        <v>342</v>
      </c>
      <c r="AP584" t="str">
        <f>tbl_OriginalData[[#This Row],[Purchase_Category]]</f>
        <v>Books</v>
      </c>
      <c r="AQ584" s="4">
        <f>tbl_OriginalData[[#This Row],[Purchase_Amount]]</f>
        <v>253.37</v>
      </c>
      <c r="AR584">
        <f>tbl_OriginalData[[#This Row],[Frequency_of_Purchase]]</f>
        <v>12</v>
      </c>
      <c r="AS584" t="str">
        <f>tbl_OriginalData[[#This Row],[Purchase_Channel]]</f>
        <v>In-Store</v>
      </c>
      <c r="AT584">
        <f>tbl_OriginalData[[#This Row],[Brand_Loyalty]]</f>
        <v>2</v>
      </c>
      <c r="AU584">
        <f>tbl_OriginalData[[#This Row],[Product_Rating]]</f>
        <v>5</v>
      </c>
      <c r="AV584">
        <f>tbl_OriginalData[[#This Row],[Time_Spent_on_Product_Research(hours)]]*60</f>
        <v>0</v>
      </c>
      <c r="AW584" t="str">
        <f>tbl_OriginalData[[#This Row],[Social_Media_Influence]]</f>
        <v>None</v>
      </c>
      <c r="AX584" t="str">
        <f>tbl_OriginalData[[#This Row],[Discount_Sensitivity]]</f>
        <v>Very Sensitive</v>
      </c>
      <c r="AY584" s="3">
        <f>tbl_OriginalData[[#This Row],[Return_Rate]]/tbl_OriginalData[[#This Row],[Frequency_of_Purchase]]</f>
        <v>0</v>
      </c>
      <c r="AZ584">
        <f>tbl_OriginalData[[#This Row],[Customer_Satisfaction]]</f>
        <v>9</v>
      </c>
      <c r="BA584" t="str">
        <f>tbl_OriginalData[[#This Row],[Engagement_with_Ads]]</f>
        <v>Low</v>
      </c>
      <c r="BB584" t="str">
        <f>tbl_OriginalData[[#This Row],[Device_Used_for_Shopping]]</f>
        <v>Tablet</v>
      </c>
      <c r="BC584" t="str">
        <f>tbl_OriginalData[[#This Row],[Payment_Method]]</f>
        <v>Credit Card</v>
      </c>
      <c r="BD584" s="1">
        <f>tbl_OriginalData[[#This Row],[Time_of_Purchase]]</f>
        <v>45420</v>
      </c>
      <c r="BE584" t="str">
        <f>IF(tbl_OriginalData[[#This Row],[Discount_Used]]=TRUE,"Yes","No")</f>
        <v>No</v>
      </c>
      <c r="BF584" t="str">
        <f>IF(tbl_OriginalData[[#This Row],[Customer_Loyalty_Program_Member]]=TRUE,"Yes","No")</f>
        <v>Yes</v>
      </c>
      <c r="BG584" t="str">
        <f>tbl_OriginalData[[#This Row],[Purchase_Intent]]</f>
        <v>Planned</v>
      </c>
      <c r="BH584" t="str">
        <f>tbl_OriginalData[[#This Row],[Shipping_Preference]]</f>
        <v>Express</v>
      </c>
      <c r="BI584">
        <f>tbl_OriginalData[[#This Row],[Time_to_Decision]]</f>
        <v>6</v>
      </c>
      <c r="BJ584" t="s">
        <v>167</v>
      </c>
      <c r="BK584" t="s">
        <v>63</v>
      </c>
      <c r="BL584" t="s">
        <v>2524</v>
      </c>
    </row>
    <row r="585" spans="1:64">
      <c r="A585" t="s">
        <v>1383</v>
      </c>
      <c r="B585">
        <v>43</v>
      </c>
      <c r="C585" t="s">
        <v>50</v>
      </c>
      <c r="D585" t="s">
        <v>34</v>
      </c>
      <c r="E585" t="s">
        <v>82</v>
      </c>
      <c r="F585" t="s">
        <v>52</v>
      </c>
      <c r="G585" t="s">
        <v>51</v>
      </c>
      <c r="H585" t="s">
        <v>1384</v>
      </c>
      <c r="I585" t="s">
        <v>127</v>
      </c>
      <c r="J585">
        <v>209.62</v>
      </c>
      <c r="K585">
        <v>12</v>
      </c>
      <c r="L585" t="s">
        <v>39</v>
      </c>
      <c r="M585">
        <v>1</v>
      </c>
      <c r="N585">
        <v>2</v>
      </c>
      <c r="O585">
        <v>1</v>
      </c>
      <c r="P585" t="s">
        <v>56</v>
      </c>
      <c r="Q585" t="s">
        <v>101</v>
      </c>
      <c r="R585">
        <v>0</v>
      </c>
      <c r="S585">
        <v>7</v>
      </c>
      <c r="T585" t="s">
        <v>56</v>
      </c>
      <c r="U585" t="s">
        <v>42</v>
      </c>
      <c r="V585" t="s">
        <v>76</v>
      </c>
      <c r="W585" s="1">
        <v>45577</v>
      </c>
      <c r="X585" t="b">
        <v>1</v>
      </c>
      <c r="Y585" t="b">
        <v>0</v>
      </c>
      <c r="Z585" t="s">
        <v>89</v>
      </c>
      <c r="AA585" t="s">
        <v>60</v>
      </c>
      <c r="AB585">
        <v>9</v>
      </c>
      <c r="AF585" t="str">
        <f>tbl_OriginalData[[#This Row],[Customer_ID]]</f>
        <v>89-833-7175</v>
      </c>
      <c r="AG585">
        <f>tbl_OriginalData[[#This Row],[Age]]</f>
        <v>43</v>
      </c>
      <c r="AH585" t="str" cm="1">
        <f t="array" ref="AH58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85" t="str">
        <f>tbl_OriginalData[[#This Row],[Gender]]</f>
        <v>Male</v>
      </c>
      <c r="AJ585" t="str">
        <f>tbl_OriginalData[[#This Row],[Income_Level]]</f>
        <v>Middle</v>
      </c>
      <c r="AK585" t="str">
        <f>tbl_OriginalData[[#This Row],[Marital_Status]]</f>
        <v>Widowed</v>
      </c>
      <c r="AL585" t="str">
        <f>tbl_OriginalData[[#This Row],[Education_Level]]</f>
        <v>High School</v>
      </c>
      <c r="AM585" t="str">
        <f>tbl_OriginalData[[#This Row],[Occupation]]</f>
        <v>High</v>
      </c>
      <c r="AN585" t="s">
        <v>1385</v>
      </c>
      <c r="AO585" t="s">
        <v>186</v>
      </c>
      <c r="AP585" t="str">
        <f>tbl_OriginalData[[#This Row],[Purchase_Category]]</f>
        <v>Animal Feed</v>
      </c>
      <c r="AQ585" s="4">
        <f>tbl_OriginalData[[#This Row],[Purchase_Amount]]</f>
        <v>209.62</v>
      </c>
      <c r="AR585">
        <f>tbl_OriginalData[[#This Row],[Frequency_of_Purchase]]</f>
        <v>12</v>
      </c>
      <c r="AS585" t="str">
        <f>tbl_OriginalData[[#This Row],[Purchase_Channel]]</f>
        <v>Mixed</v>
      </c>
      <c r="AT585">
        <f>tbl_OriginalData[[#This Row],[Brand_Loyalty]]</f>
        <v>1</v>
      </c>
      <c r="AU585">
        <f>tbl_OriginalData[[#This Row],[Product_Rating]]</f>
        <v>2</v>
      </c>
      <c r="AV585">
        <f>tbl_OriginalData[[#This Row],[Time_Spent_on_Product_Research(hours)]]*60</f>
        <v>60</v>
      </c>
      <c r="AW585" t="str">
        <f>tbl_OriginalData[[#This Row],[Social_Media_Influence]]</f>
        <v>Medium</v>
      </c>
      <c r="AX585" t="str">
        <f>tbl_OriginalData[[#This Row],[Discount_Sensitivity]]</f>
        <v>Very Sensitive</v>
      </c>
      <c r="AY585" s="3">
        <f>tbl_OriginalData[[#This Row],[Return_Rate]]/tbl_OriginalData[[#This Row],[Frequency_of_Purchase]]</f>
        <v>0</v>
      </c>
      <c r="AZ585">
        <f>tbl_OriginalData[[#This Row],[Customer_Satisfaction]]</f>
        <v>7</v>
      </c>
      <c r="BA585" t="str">
        <f>tbl_OriginalData[[#This Row],[Engagement_with_Ads]]</f>
        <v>Medium</v>
      </c>
      <c r="BB585" t="str">
        <f>tbl_OriginalData[[#This Row],[Device_Used_for_Shopping]]</f>
        <v>Tablet</v>
      </c>
      <c r="BC585" t="str">
        <f>tbl_OriginalData[[#This Row],[Payment_Method]]</f>
        <v>Other</v>
      </c>
      <c r="BD585" s="1">
        <f>tbl_OriginalData[[#This Row],[Time_of_Purchase]]</f>
        <v>45577</v>
      </c>
      <c r="BE585" t="str">
        <f>IF(tbl_OriginalData[[#This Row],[Discount_Used]]=TRUE,"Yes","No")</f>
        <v>Yes</v>
      </c>
      <c r="BF585" t="str">
        <f>IF(tbl_OriginalData[[#This Row],[Customer_Loyalty_Program_Member]]=TRUE,"Yes","No")</f>
        <v>No</v>
      </c>
      <c r="BG585" t="str">
        <f>tbl_OriginalData[[#This Row],[Purchase_Intent]]</f>
        <v>Planned</v>
      </c>
      <c r="BH585" t="str">
        <f>tbl_OriginalData[[#This Row],[Shipping_Preference]]</f>
        <v>Standard</v>
      </c>
      <c r="BI585">
        <f>tbl_OriginalData[[#This Row],[Time_to_Decision]]</f>
        <v>9</v>
      </c>
      <c r="BJ585" t="s">
        <v>79</v>
      </c>
      <c r="BK585" t="s">
        <v>80</v>
      </c>
      <c r="BL585" t="s">
        <v>2523</v>
      </c>
    </row>
    <row r="586" spans="1:64">
      <c r="A586" t="s">
        <v>1386</v>
      </c>
      <c r="B586">
        <v>49</v>
      </c>
      <c r="C586" t="s">
        <v>50</v>
      </c>
      <c r="D586" t="s">
        <v>51</v>
      </c>
      <c r="E586" t="s">
        <v>65</v>
      </c>
      <c r="F586" t="s">
        <v>52</v>
      </c>
      <c r="G586" t="s">
        <v>34</v>
      </c>
      <c r="H586" t="s">
        <v>1387</v>
      </c>
      <c r="I586" t="s">
        <v>153</v>
      </c>
      <c r="J586">
        <v>411.62</v>
      </c>
      <c r="K586">
        <v>6</v>
      </c>
      <c r="L586" t="s">
        <v>39</v>
      </c>
      <c r="M586">
        <v>2</v>
      </c>
      <c r="N586">
        <v>1</v>
      </c>
      <c r="O586">
        <v>0</v>
      </c>
      <c r="P586" t="s">
        <v>56</v>
      </c>
      <c r="Q586" t="s">
        <v>41</v>
      </c>
      <c r="R586">
        <v>2</v>
      </c>
      <c r="S586">
        <v>7</v>
      </c>
      <c r="T586" t="s">
        <v>56</v>
      </c>
      <c r="U586" t="s">
        <v>42</v>
      </c>
      <c r="V586" t="s">
        <v>58</v>
      </c>
      <c r="W586" s="1">
        <v>45570</v>
      </c>
      <c r="X586" t="b">
        <v>1</v>
      </c>
      <c r="Y586" t="b">
        <v>0</v>
      </c>
      <c r="Z586" t="s">
        <v>59</v>
      </c>
      <c r="AA586" t="s">
        <v>77</v>
      </c>
      <c r="AB586">
        <v>12</v>
      </c>
      <c r="AF586" t="str">
        <f>tbl_OriginalData[[#This Row],[Customer_ID]]</f>
        <v>08-117-9893</v>
      </c>
      <c r="AG586">
        <f>tbl_OriginalData[[#This Row],[Age]]</f>
        <v>49</v>
      </c>
      <c r="AH586" t="str" cm="1">
        <f t="array" ref="AH58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86" t="str">
        <f>tbl_OriginalData[[#This Row],[Gender]]</f>
        <v>Male</v>
      </c>
      <c r="AJ586" t="str">
        <f>tbl_OriginalData[[#This Row],[Income_Level]]</f>
        <v>High</v>
      </c>
      <c r="AK586" t="str">
        <f>tbl_OriginalData[[#This Row],[Marital_Status]]</f>
        <v>Single</v>
      </c>
      <c r="AL586" t="str">
        <f>tbl_OriginalData[[#This Row],[Education_Level]]</f>
        <v>High School</v>
      </c>
      <c r="AM586" t="str">
        <f>tbl_OriginalData[[#This Row],[Occupation]]</f>
        <v>Middle</v>
      </c>
      <c r="AN586" t="s">
        <v>1387</v>
      </c>
      <c r="AO586" t="s">
        <v>391</v>
      </c>
      <c r="AP586" t="str">
        <f>tbl_OriginalData[[#This Row],[Purchase_Category]]</f>
        <v>Baby Products</v>
      </c>
      <c r="AQ586" s="4">
        <f>tbl_OriginalData[[#This Row],[Purchase_Amount]]</f>
        <v>411.62</v>
      </c>
      <c r="AR586">
        <f>tbl_OriginalData[[#This Row],[Frequency_of_Purchase]]</f>
        <v>6</v>
      </c>
      <c r="AS586" t="str">
        <f>tbl_OriginalData[[#This Row],[Purchase_Channel]]</f>
        <v>Mixed</v>
      </c>
      <c r="AT586">
        <f>tbl_OriginalData[[#This Row],[Brand_Loyalty]]</f>
        <v>2</v>
      </c>
      <c r="AU586">
        <f>tbl_OriginalData[[#This Row],[Product_Rating]]</f>
        <v>1</v>
      </c>
      <c r="AV586">
        <f>tbl_OriginalData[[#This Row],[Time_Spent_on_Product_Research(hours)]]*60</f>
        <v>0</v>
      </c>
      <c r="AW586" t="str">
        <f>tbl_OriginalData[[#This Row],[Social_Media_Influence]]</f>
        <v>Medium</v>
      </c>
      <c r="AX586" t="str">
        <f>tbl_OriginalData[[#This Row],[Discount_Sensitivity]]</f>
        <v>Somewhat Sensitive</v>
      </c>
      <c r="AY586" s="3">
        <f>tbl_OriginalData[[#This Row],[Return_Rate]]/tbl_OriginalData[[#This Row],[Frequency_of_Purchase]]</f>
        <v>0.33333333333333331</v>
      </c>
      <c r="AZ586">
        <f>tbl_OriginalData[[#This Row],[Customer_Satisfaction]]</f>
        <v>7</v>
      </c>
      <c r="BA586" t="str">
        <f>tbl_OriginalData[[#This Row],[Engagement_with_Ads]]</f>
        <v>Medium</v>
      </c>
      <c r="BB586" t="str">
        <f>tbl_OriginalData[[#This Row],[Device_Used_for_Shopping]]</f>
        <v>Tablet</v>
      </c>
      <c r="BC586" t="str">
        <f>tbl_OriginalData[[#This Row],[Payment_Method]]</f>
        <v>PayPal</v>
      </c>
      <c r="BD586" s="1">
        <f>tbl_OriginalData[[#This Row],[Time_of_Purchase]]</f>
        <v>45570</v>
      </c>
      <c r="BE586" t="str">
        <f>IF(tbl_OriginalData[[#This Row],[Discount_Used]]=TRUE,"Yes","No")</f>
        <v>Yes</v>
      </c>
      <c r="BF586" t="str">
        <f>IF(tbl_OriginalData[[#This Row],[Customer_Loyalty_Program_Member]]=TRUE,"Yes","No")</f>
        <v>No</v>
      </c>
      <c r="BG586" t="str">
        <f>tbl_OriginalData[[#This Row],[Purchase_Intent]]</f>
        <v>Wants-based</v>
      </c>
      <c r="BH586" t="str">
        <f>tbl_OriginalData[[#This Row],[Shipping_Preference]]</f>
        <v>Express</v>
      </c>
      <c r="BI586">
        <f>tbl_OriginalData[[#This Row],[Time_to_Decision]]</f>
        <v>12</v>
      </c>
      <c r="BJ586" t="s">
        <v>79</v>
      </c>
      <c r="BK586" t="s">
        <v>80</v>
      </c>
      <c r="BL586" t="s">
        <v>2524</v>
      </c>
    </row>
    <row r="587" spans="1:64">
      <c r="A587" t="s">
        <v>1388</v>
      </c>
      <c r="B587">
        <v>27</v>
      </c>
      <c r="C587" t="s">
        <v>33</v>
      </c>
      <c r="D587" t="s">
        <v>51</v>
      </c>
      <c r="E587" t="s">
        <v>65</v>
      </c>
      <c r="F587" t="s">
        <v>36</v>
      </c>
      <c r="G587" t="s">
        <v>51</v>
      </c>
      <c r="H587" t="s">
        <v>1389</v>
      </c>
      <c r="I587" t="s">
        <v>54</v>
      </c>
      <c r="J587">
        <v>388.01</v>
      </c>
      <c r="K587">
        <v>2</v>
      </c>
      <c r="L587" t="s">
        <v>94</v>
      </c>
      <c r="M587">
        <v>1</v>
      </c>
      <c r="N587">
        <v>5</v>
      </c>
      <c r="O587">
        <v>1</v>
      </c>
      <c r="P587" t="s">
        <v>51</v>
      </c>
      <c r="Q587" t="s">
        <v>101</v>
      </c>
      <c r="R587">
        <v>1</v>
      </c>
      <c r="S587">
        <v>2</v>
      </c>
      <c r="T587" t="s">
        <v>40</v>
      </c>
      <c r="U587" t="s">
        <v>42</v>
      </c>
      <c r="V587" t="s">
        <v>58</v>
      </c>
      <c r="W587" s="1">
        <v>45615</v>
      </c>
      <c r="X587" t="b">
        <v>0</v>
      </c>
      <c r="Y587" t="b">
        <v>1</v>
      </c>
      <c r="Z587" t="s">
        <v>59</v>
      </c>
      <c r="AA587" t="s">
        <v>60</v>
      </c>
      <c r="AB587">
        <v>10</v>
      </c>
      <c r="AF587" t="str">
        <f>tbl_OriginalData[[#This Row],[Customer_ID]]</f>
        <v>24-109-2173</v>
      </c>
      <c r="AG587">
        <f>tbl_OriginalData[[#This Row],[Age]]</f>
        <v>27</v>
      </c>
      <c r="AH587" t="str" cm="1">
        <f t="array" ref="AH58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87" t="str">
        <f>tbl_OriginalData[[#This Row],[Gender]]</f>
        <v>Female</v>
      </c>
      <c r="AJ587" t="str">
        <f>tbl_OriginalData[[#This Row],[Income_Level]]</f>
        <v>High</v>
      </c>
      <c r="AK587" t="str">
        <f>tbl_OriginalData[[#This Row],[Marital_Status]]</f>
        <v>Single</v>
      </c>
      <c r="AL587" t="str">
        <f>tbl_OriginalData[[#This Row],[Education_Level]]</f>
        <v>Bachelor's</v>
      </c>
      <c r="AM587" t="str">
        <f>tbl_OriginalData[[#This Row],[Occupation]]</f>
        <v>High</v>
      </c>
      <c r="AN587" t="s">
        <v>1389</v>
      </c>
      <c r="AO587" t="s">
        <v>232</v>
      </c>
      <c r="AP587" t="str">
        <f>tbl_OriginalData[[#This Row],[Purchase_Category]]</f>
        <v>Food &amp; Beverages</v>
      </c>
      <c r="AQ587" s="4">
        <f>tbl_OriginalData[[#This Row],[Purchase_Amount]]</f>
        <v>388.01</v>
      </c>
      <c r="AR587">
        <f>tbl_OriginalData[[#This Row],[Frequency_of_Purchase]]</f>
        <v>2</v>
      </c>
      <c r="AS587" t="str">
        <f>tbl_OriginalData[[#This Row],[Purchase_Channel]]</f>
        <v>Online</v>
      </c>
      <c r="AT587">
        <f>tbl_OriginalData[[#This Row],[Brand_Loyalty]]</f>
        <v>1</v>
      </c>
      <c r="AU587">
        <f>tbl_OriginalData[[#This Row],[Product_Rating]]</f>
        <v>5</v>
      </c>
      <c r="AV587">
        <f>tbl_OriginalData[[#This Row],[Time_Spent_on_Product_Research(hours)]]*60</f>
        <v>60</v>
      </c>
      <c r="AW587" t="str">
        <f>tbl_OriginalData[[#This Row],[Social_Media_Influence]]</f>
        <v>High</v>
      </c>
      <c r="AX587" t="str">
        <f>tbl_OriginalData[[#This Row],[Discount_Sensitivity]]</f>
        <v>Very Sensitive</v>
      </c>
      <c r="AY587" s="3">
        <f>tbl_OriginalData[[#This Row],[Return_Rate]]/tbl_OriginalData[[#This Row],[Frequency_of_Purchase]]</f>
        <v>0.5</v>
      </c>
      <c r="AZ587">
        <f>tbl_OriginalData[[#This Row],[Customer_Satisfaction]]</f>
        <v>2</v>
      </c>
      <c r="BA587" t="str">
        <f>tbl_OriginalData[[#This Row],[Engagement_with_Ads]]</f>
        <v>None</v>
      </c>
      <c r="BB587" t="str">
        <f>tbl_OriginalData[[#This Row],[Device_Used_for_Shopping]]</f>
        <v>Tablet</v>
      </c>
      <c r="BC587" t="str">
        <f>tbl_OriginalData[[#This Row],[Payment_Method]]</f>
        <v>PayPal</v>
      </c>
      <c r="BD587" s="1">
        <f>tbl_OriginalData[[#This Row],[Time_of_Purchase]]</f>
        <v>45615</v>
      </c>
      <c r="BE587" t="str">
        <f>IF(tbl_OriginalData[[#This Row],[Discount_Used]]=TRUE,"Yes","No")</f>
        <v>No</v>
      </c>
      <c r="BF587" t="str">
        <f>IF(tbl_OriginalData[[#This Row],[Customer_Loyalty_Program_Member]]=TRUE,"Yes","No")</f>
        <v>Yes</v>
      </c>
      <c r="BG587" t="str">
        <f>tbl_OriginalData[[#This Row],[Purchase_Intent]]</f>
        <v>Wants-based</v>
      </c>
      <c r="BH587" t="str">
        <f>tbl_OriginalData[[#This Row],[Shipping_Preference]]</f>
        <v>Standard</v>
      </c>
      <c r="BI587">
        <f>tbl_OriginalData[[#This Row],[Time_to_Decision]]</f>
        <v>10</v>
      </c>
      <c r="BJ587" t="s">
        <v>177</v>
      </c>
      <c r="BK587" t="s">
        <v>80</v>
      </c>
      <c r="BL587" t="s">
        <v>2523</v>
      </c>
    </row>
    <row r="588" spans="1:64">
      <c r="A588" t="s">
        <v>1390</v>
      </c>
      <c r="B588">
        <v>41</v>
      </c>
      <c r="C588" t="s">
        <v>50</v>
      </c>
      <c r="D588" t="s">
        <v>34</v>
      </c>
      <c r="E588" t="s">
        <v>82</v>
      </c>
      <c r="F588" t="s">
        <v>52</v>
      </c>
      <c r="G588" t="s">
        <v>51</v>
      </c>
      <c r="H588" t="s">
        <v>1391</v>
      </c>
      <c r="I588" t="s">
        <v>131</v>
      </c>
      <c r="J588">
        <v>50.78</v>
      </c>
      <c r="K588">
        <v>6</v>
      </c>
      <c r="L588" t="s">
        <v>94</v>
      </c>
      <c r="M588">
        <v>5</v>
      </c>
      <c r="N588">
        <v>1</v>
      </c>
      <c r="O588">
        <v>1</v>
      </c>
      <c r="P588" t="s">
        <v>69</v>
      </c>
      <c r="Q588" t="s">
        <v>41</v>
      </c>
      <c r="R588">
        <v>1</v>
      </c>
      <c r="S588">
        <v>8</v>
      </c>
      <c r="T588" t="s">
        <v>40</v>
      </c>
      <c r="U588" t="s">
        <v>42</v>
      </c>
      <c r="V588" t="s">
        <v>71</v>
      </c>
      <c r="W588" s="1">
        <v>45303</v>
      </c>
      <c r="X588" t="b">
        <v>0</v>
      </c>
      <c r="Y588" t="b">
        <v>1</v>
      </c>
      <c r="Z588" t="s">
        <v>44</v>
      </c>
      <c r="AA588" t="s">
        <v>60</v>
      </c>
      <c r="AB588">
        <v>9</v>
      </c>
      <c r="AF588" t="str">
        <f>tbl_OriginalData[[#This Row],[Customer_ID]]</f>
        <v>79-939-2140</v>
      </c>
      <c r="AG588">
        <f>tbl_OriginalData[[#This Row],[Age]]</f>
        <v>41</v>
      </c>
      <c r="AH588" t="str" cm="1">
        <f t="array" ref="AH58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88" t="str">
        <f>tbl_OriginalData[[#This Row],[Gender]]</f>
        <v>Male</v>
      </c>
      <c r="AJ588" t="str">
        <f>tbl_OriginalData[[#This Row],[Income_Level]]</f>
        <v>Middle</v>
      </c>
      <c r="AK588" t="str">
        <f>tbl_OriginalData[[#This Row],[Marital_Status]]</f>
        <v>Widowed</v>
      </c>
      <c r="AL588" t="str">
        <f>tbl_OriginalData[[#This Row],[Education_Level]]</f>
        <v>High School</v>
      </c>
      <c r="AM588" t="str">
        <f>tbl_OriginalData[[#This Row],[Occupation]]</f>
        <v>High</v>
      </c>
      <c r="AN588" t="s">
        <v>1391</v>
      </c>
      <c r="AO588" t="s">
        <v>61</v>
      </c>
      <c r="AP588" t="str">
        <f>tbl_OriginalData[[#This Row],[Purchase_Category]]</f>
        <v>Health Care</v>
      </c>
      <c r="AQ588" s="4">
        <f>tbl_OriginalData[[#This Row],[Purchase_Amount]]</f>
        <v>50.78</v>
      </c>
      <c r="AR588">
        <f>tbl_OriginalData[[#This Row],[Frequency_of_Purchase]]</f>
        <v>6</v>
      </c>
      <c r="AS588" t="str">
        <f>tbl_OriginalData[[#This Row],[Purchase_Channel]]</f>
        <v>Online</v>
      </c>
      <c r="AT588">
        <f>tbl_OriginalData[[#This Row],[Brand_Loyalty]]</f>
        <v>5</v>
      </c>
      <c r="AU588">
        <f>tbl_OriginalData[[#This Row],[Product_Rating]]</f>
        <v>1</v>
      </c>
      <c r="AV588">
        <f>tbl_OriginalData[[#This Row],[Time_Spent_on_Product_Research(hours)]]*60</f>
        <v>60</v>
      </c>
      <c r="AW588" t="str">
        <f>tbl_OriginalData[[#This Row],[Social_Media_Influence]]</f>
        <v>Low</v>
      </c>
      <c r="AX588" t="str">
        <f>tbl_OriginalData[[#This Row],[Discount_Sensitivity]]</f>
        <v>Somewhat Sensitive</v>
      </c>
      <c r="AY588" s="3">
        <f>tbl_OriginalData[[#This Row],[Return_Rate]]/tbl_OriginalData[[#This Row],[Frequency_of_Purchase]]</f>
        <v>0.16666666666666666</v>
      </c>
      <c r="AZ588">
        <f>tbl_OriginalData[[#This Row],[Customer_Satisfaction]]</f>
        <v>8</v>
      </c>
      <c r="BA588" t="str">
        <f>tbl_OriginalData[[#This Row],[Engagement_with_Ads]]</f>
        <v>None</v>
      </c>
      <c r="BB588" t="str">
        <f>tbl_OriginalData[[#This Row],[Device_Used_for_Shopping]]</f>
        <v>Tablet</v>
      </c>
      <c r="BC588" t="str">
        <f>tbl_OriginalData[[#This Row],[Payment_Method]]</f>
        <v>Debit Card</v>
      </c>
      <c r="BD588" s="1">
        <f>tbl_OriginalData[[#This Row],[Time_of_Purchase]]</f>
        <v>45303</v>
      </c>
      <c r="BE588" t="str">
        <f>IF(tbl_OriginalData[[#This Row],[Discount_Used]]=TRUE,"Yes","No")</f>
        <v>No</v>
      </c>
      <c r="BF588" t="str">
        <f>IF(tbl_OriginalData[[#This Row],[Customer_Loyalty_Program_Member]]=TRUE,"Yes","No")</f>
        <v>Yes</v>
      </c>
      <c r="BG588" t="str">
        <f>tbl_OriginalData[[#This Row],[Purchase_Intent]]</f>
        <v>Need-based</v>
      </c>
      <c r="BH588" t="str">
        <f>tbl_OriginalData[[#This Row],[Shipping_Preference]]</f>
        <v>Standard</v>
      </c>
      <c r="BI588">
        <f>tbl_OriginalData[[#This Row],[Time_to_Decision]]</f>
        <v>9</v>
      </c>
      <c r="BJ588" t="s">
        <v>86</v>
      </c>
      <c r="BK588" t="s">
        <v>48</v>
      </c>
      <c r="BL588" t="s">
        <v>2524</v>
      </c>
    </row>
    <row r="589" spans="1:64">
      <c r="A589" t="s">
        <v>1392</v>
      </c>
      <c r="B589">
        <v>33</v>
      </c>
      <c r="C589" t="s">
        <v>50</v>
      </c>
      <c r="D589" t="s">
        <v>51</v>
      </c>
      <c r="E589" t="s">
        <v>92</v>
      </c>
      <c r="F589" t="s">
        <v>36</v>
      </c>
      <c r="G589" t="s">
        <v>34</v>
      </c>
      <c r="H589" t="s">
        <v>1393</v>
      </c>
      <c r="I589" t="s">
        <v>143</v>
      </c>
      <c r="J589">
        <v>159.82</v>
      </c>
      <c r="K589">
        <v>2</v>
      </c>
      <c r="L589" t="s">
        <v>55</v>
      </c>
      <c r="M589">
        <v>2</v>
      </c>
      <c r="N589">
        <v>1</v>
      </c>
      <c r="O589">
        <v>1</v>
      </c>
      <c r="P589" t="s">
        <v>51</v>
      </c>
      <c r="Q589" t="s">
        <v>101</v>
      </c>
      <c r="R589">
        <v>2</v>
      </c>
      <c r="S589">
        <v>8</v>
      </c>
      <c r="T589" t="s">
        <v>56</v>
      </c>
      <c r="U589" t="s">
        <v>42</v>
      </c>
      <c r="V589" t="s">
        <v>102</v>
      </c>
      <c r="W589" s="1">
        <v>45635</v>
      </c>
      <c r="X589" t="b">
        <v>1</v>
      </c>
      <c r="Y589" t="b">
        <v>1</v>
      </c>
      <c r="Z589" t="s">
        <v>89</v>
      </c>
      <c r="AA589" t="s">
        <v>45</v>
      </c>
      <c r="AB589">
        <v>10</v>
      </c>
      <c r="AF589" t="str">
        <f>tbl_OriginalData[[#This Row],[Customer_ID]]</f>
        <v>95-999-0984</v>
      </c>
      <c r="AG589">
        <f>tbl_OriginalData[[#This Row],[Age]]</f>
        <v>33</v>
      </c>
      <c r="AH589" t="str" cm="1">
        <f t="array" ref="AH58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89" t="str">
        <f>tbl_OriginalData[[#This Row],[Gender]]</f>
        <v>Male</v>
      </c>
      <c r="AJ589" t="str">
        <f>tbl_OriginalData[[#This Row],[Income_Level]]</f>
        <v>High</v>
      </c>
      <c r="AK589" t="str">
        <f>tbl_OriginalData[[#This Row],[Marital_Status]]</f>
        <v>Divorced</v>
      </c>
      <c r="AL589" t="str">
        <f>tbl_OriginalData[[#This Row],[Education_Level]]</f>
        <v>Bachelor's</v>
      </c>
      <c r="AM589" t="str">
        <f>tbl_OriginalData[[#This Row],[Occupation]]</f>
        <v>Middle</v>
      </c>
      <c r="AN589" t="s">
        <v>1393</v>
      </c>
      <c r="AO589" t="s">
        <v>61</v>
      </c>
      <c r="AP589" t="str">
        <f>tbl_OriginalData[[#This Row],[Purchase_Category]]</f>
        <v>Packages)</v>
      </c>
      <c r="AQ589" s="4">
        <f>tbl_OriginalData[[#This Row],[Purchase_Amount]]</f>
        <v>159.82</v>
      </c>
      <c r="AR589">
        <f>tbl_OriginalData[[#This Row],[Frequency_of_Purchase]]</f>
        <v>2</v>
      </c>
      <c r="AS589" t="str">
        <f>tbl_OriginalData[[#This Row],[Purchase_Channel]]</f>
        <v>In-Store</v>
      </c>
      <c r="AT589">
        <f>tbl_OriginalData[[#This Row],[Brand_Loyalty]]</f>
        <v>2</v>
      </c>
      <c r="AU589">
        <f>tbl_OriginalData[[#This Row],[Product_Rating]]</f>
        <v>1</v>
      </c>
      <c r="AV589">
        <f>tbl_OriginalData[[#This Row],[Time_Spent_on_Product_Research(hours)]]*60</f>
        <v>60</v>
      </c>
      <c r="AW589" t="str">
        <f>tbl_OriginalData[[#This Row],[Social_Media_Influence]]</f>
        <v>High</v>
      </c>
      <c r="AX589" t="str">
        <f>tbl_OriginalData[[#This Row],[Discount_Sensitivity]]</f>
        <v>Very Sensitive</v>
      </c>
      <c r="AY589" s="3">
        <f>tbl_OriginalData[[#This Row],[Return_Rate]]/tbl_OriginalData[[#This Row],[Frequency_of_Purchase]]</f>
        <v>1</v>
      </c>
      <c r="AZ589">
        <f>tbl_OriginalData[[#This Row],[Customer_Satisfaction]]</f>
        <v>8</v>
      </c>
      <c r="BA589" t="str">
        <f>tbl_OriginalData[[#This Row],[Engagement_with_Ads]]</f>
        <v>Medium</v>
      </c>
      <c r="BB589" t="str">
        <f>tbl_OriginalData[[#This Row],[Device_Used_for_Shopping]]</f>
        <v>Tablet</v>
      </c>
      <c r="BC589" t="str">
        <f>tbl_OriginalData[[#This Row],[Payment_Method]]</f>
        <v>Cash</v>
      </c>
      <c r="BD589" s="1">
        <f>tbl_OriginalData[[#This Row],[Time_of_Purchase]]</f>
        <v>45635</v>
      </c>
      <c r="BE589" t="str">
        <f>IF(tbl_OriginalData[[#This Row],[Discount_Used]]=TRUE,"Yes","No")</f>
        <v>Yes</v>
      </c>
      <c r="BF589" t="str">
        <f>IF(tbl_OriginalData[[#This Row],[Customer_Loyalty_Program_Member]]=TRUE,"Yes","No")</f>
        <v>Yes</v>
      </c>
      <c r="BG589" t="str">
        <f>tbl_OriginalData[[#This Row],[Purchase_Intent]]</f>
        <v>Planned</v>
      </c>
      <c r="BH589" t="str">
        <f>tbl_OriginalData[[#This Row],[Shipping_Preference]]</f>
        <v>No Preference</v>
      </c>
      <c r="BI589">
        <f>tbl_OriginalData[[#This Row],[Time_to_Decision]]</f>
        <v>10</v>
      </c>
      <c r="BJ589" t="s">
        <v>120</v>
      </c>
      <c r="BK589" t="s">
        <v>80</v>
      </c>
      <c r="BL589" t="s">
        <v>2524</v>
      </c>
    </row>
    <row r="590" spans="1:64">
      <c r="A590" t="s">
        <v>1394</v>
      </c>
      <c r="B590">
        <v>46</v>
      </c>
      <c r="C590" t="s">
        <v>50</v>
      </c>
      <c r="D590" t="s">
        <v>34</v>
      </c>
      <c r="E590" t="s">
        <v>92</v>
      </c>
      <c r="F590" t="s">
        <v>66</v>
      </c>
      <c r="G590" t="s">
        <v>34</v>
      </c>
      <c r="H590" t="s">
        <v>1395</v>
      </c>
      <c r="I590" t="s">
        <v>242</v>
      </c>
      <c r="J590">
        <v>79.430000000000007</v>
      </c>
      <c r="K590">
        <v>3</v>
      </c>
      <c r="L590" t="s">
        <v>55</v>
      </c>
      <c r="M590">
        <v>1</v>
      </c>
      <c r="N590">
        <v>5</v>
      </c>
      <c r="O590">
        <v>0</v>
      </c>
      <c r="P590" t="s">
        <v>56</v>
      </c>
      <c r="Q590" t="s">
        <v>41</v>
      </c>
      <c r="R590">
        <v>2</v>
      </c>
      <c r="S590">
        <v>7</v>
      </c>
      <c r="T590" t="s">
        <v>40</v>
      </c>
      <c r="U590" t="s">
        <v>70</v>
      </c>
      <c r="V590" t="s">
        <v>58</v>
      </c>
      <c r="W590" s="1">
        <v>45306</v>
      </c>
      <c r="X590" t="b">
        <v>0</v>
      </c>
      <c r="Y590" t="b">
        <v>0</v>
      </c>
      <c r="Z590" t="s">
        <v>59</v>
      </c>
      <c r="AA590" t="s">
        <v>45</v>
      </c>
      <c r="AB590">
        <v>6</v>
      </c>
      <c r="AF590" t="str">
        <f>tbl_OriginalData[[#This Row],[Customer_ID]]</f>
        <v>64-799-3174</v>
      </c>
      <c r="AG590">
        <f>tbl_OriginalData[[#This Row],[Age]]</f>
        <v>46</v>
      </c>
      <c r="AH590" t="str" cm="1">
        <f t="array" ref="AH59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90" t="str">
        <f>tbl_OriginalData[[#This Row],[Gender]]</f>
        <v>Male</v>
      </c>
      <c r="AJ590" t="str">
        <f>tbl_OriginalData[[#This Row],[Income_Level]]</f>
        <v>Middle</v>
      </c>
      <c r="AK590" t="str">
        <f>tbl_OriginalData[[#This Row],[Marital_Status]]</f>
        <v>Divorced</v>
      </c>
      <c r="AL590" t="str">
        <f>tbl_OriginalData[[#This Row],[Education_Level]]</f>
        <v>Master's</v>
      </c>
      <c r="AM590" t="str">
        <f>tbl_OriginalData[[#This Row],[Occupation]]</f>
        <v>Middle</v>
      </c>
      <c r="AN590" t="s">
        <v>1395</v>
      </c>
      <c r="AO590" t="s">
        <v>85</v>
      </c>
      <c r="AP590" t="str">
        <f>tbl_OriginalData[[#This Row],[Purchase_Category]]</f>
        <v>Travel &amp; Leisure (Flights</v>
      </c>
      <c r="AQ590" s="4">
        <f>tbl_OriginalData[[#This Row],[Purchase_Amount]]</f>
        <v>79.430000000000007</v>
      </c>
      <c r="AR590">
        <f>tbl_OriginalData[[#This Row],[Frequency_of_Purchase]]</f>
        <v>3</v>
      </c>
      <c r="AS590" t="str">
        <f>tbl_OriginalData[[#This Row],[Purchase_Channel]]</f>
        <v>In-Store</v>
      </c>
      <c r="AT590">
        <f>tbl_OriginalData[[#This Row],[Brand_Loyalty]]</f>
        <v>1</v>
      </c>
      <c r="AU590">
        <f>tbl_OriginalData[[#This Row],[Product_Rating]]</f>
        <v>5</v>
      </c>
      <c r="AV590">
        <f>tbl_OriginalData[[#This Row],[Time_Spent_on_Product_Research(hours)]]*60</f>
        <v>0</v>
      </c>
      <c r="AW590" t="str">
        <f>tbl_OriginalData[[#This Row],[Social_Media_Influence]]</f>
        <v>Medium</v>
      </c>
      <c r="AX590" t="str">
        <f>tbl_OriginalData[[#This Row],[Discount_Sensitivity]]</f>
        <v>Somewhat Sensitive</v>
      </c>
      <c r="AY590" s="3">
        <f>tbl_OriginalData[[#This Row],[Return_Rate]]/tbl_OriginalData[[#This Row],[Frequency_of_Purchase]]</f>
        <v>0.66666666666666663</v>
      </c>
      <c r="AZ590">
        <f>tbl_OriginalData[[#This Row],[Customer_Satisfaction]]</f>
        <v>7</v>
      </c>
      <c r="BA590" t="str">
        <f>tbl_OriginalData[[#This Row],[Engagement_with_Ads]]</f>
        <v>None</v>
      </c>
      <c r="BB590" t="str">
        <f>tbl_OriginalData[[#This Row],[Device_Used_for_Shopping]]</f>
        <v>Smartphone</v>
      </c>
      <c r="BC590" t="str">
        <f>tbl_OriginalData[[#This Row],[Payment_Method]]</f>
        <v>PayPal</v>
      </c>
      <c r="BD590" s="1">
        <f>tbl_OriginalData[[#This Row],[Time_of_Purchase]]</f>
        <v>45306</v>
      </c>
      <c r="BE590" t="str">
        <f>IF(tbl_OriginalData[[#This Row],[Discount_Used]]=TRUE,"Yes","No")</f>
        <v>No</v>
      </c>
      <c r="BF590" t="str">
        <f>IF(tbl_OriginalData[[#This Row],[Customer_Loyalty_Program_Member]]=TRUE,"Yes","No")</f>
        <v>No</v>
      </c>
      <c r="BG590" t="str">
        <f>tbl_OriginalData[[#This Row],[Purchase_Intent]]</f>
        <v>Wants-based</v>
      </c>
      <c r="BH590" t="str">
        <f>tbl_OriginalData[[#This Row],[Shipping_Preference]]</f>
        <v>No Preference</v>
      </c>
      <c r="BI590">
        <f>tbl_OriginalData[[#This Row],[Time_to_Decision]]</f>
        <v>6</v>
      </c>
      <c r="BJ590" t="s">
        <v>86</v>
      </c>
      <c r="BK590" t="s">
        <v>48</v>
      </c>
      <c r="BL590" t="s">
        <v>2524</v>
      </c>
    </row>
    <row r="591" spans="1:64">
      <c r="A591" t="s">
        <v>1396</v>
      </c>
      <c r="B591">
        <v>42</v>
      </c>
      <c r="C591" t="s">
        <v>33</v>
      </c>
      <c r="D591" t="s">
        <v>34</v>
      </c>
      <c r="E591" t="s">
        <v>35</v>
      </c>
      <c r="F591" t="s">
        <v>36</v>
      </c>
      <c r="G591" t="s">
        <v>34</v>
      </c>
      <c r="H591" t="s">
        <v>1397</v>
      </c>
      <c r="I591" t="s">
        <v>242</v>
      </c>
      <c r="J591">
        <v>131.36000000000001</v>
      </c>
      <c r="K591">
        <v>4</v>
      </c>
      <c r="L591" t="s">
        <v>55</v>
      </c>
      <c r="M591">
        <v>4</v>
      </c>
      <c r="N591">
        <v>4</v>
      </c>
      <c r="O591">
        <v>2</v>
      </c>
      <c r="P591" t="s">
        <v>40</v>
      </c>
      <c r="Q591" t="s">
        <v>41</v>
      </c>
      <c r="R591">
        <v>1</v>
      </c>
      <c r="S591">
        <v>6</v>
      </c>
      <c r="T591" t="s">
        <v>51</v>
      </c>
      <c r="U591" t="s">
        <v>70</v>
      </c>
      <c r="V591" t="s">
        <v>71</v>
      </c>
      <c r="W591" s="1">
        <v>45617</v>
      </c>
      <c r="X591" t="b">
        <v>0</v>
      </c>
      <c r="Y591" t="b">
        <v>0</v>
      </c>
      <c r="Z591" t="s">
        <v>59</v>
      </c>
      <c r="AA591" t="s">
        <v>77</v>
      </c>
      <c r="AB591">
        <v>3</v>
      </c>
      <c r="AF591" t="str">
        <f>tbl_OriginalData[[#This Row],[Customer_ID]]</f>
        <v>27-018-2262</v>
      </c>
      <c r="AG591">
        <f>tbl_OriginalData[[#This Row],[Age]]</f>
        <v>42</v>
      </c>
      <c r="AH591" t="str" cm="1">
        <f t="array" ref="AH59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91" t="str">
        <f>tbl_OriginalData[[#This Row],[Gender]]</f>
        <v>Female</v>
      </c>
      <c r="AJ591" t="str">
        <f>tbl_OriginalData[[#This Row],[Income_Level]]</f>
        <v>Middle</v>
      </c>
      <c r="AK591" t="str">
        <f>tbl_OriginalData[[#This Row],[Marital_Status]]</f>
        <v>Married</v>
      </c>
      <c r="AL591" t="str">
        <f>tbl_OriginalData[[#This Row],[Education_Level]]</f>
        <v>Bachelor's</v>
      </c>
      <c r="AM591" t="str">
        <f>tbl_OriginalData[[#This Row],[Occupation]]</f>
        <v>Middle</v>
      </c>
      <c r="AN591" t="s">
        <v>1397</v>
      </c>
      <c r="AO591" t="s">
        <v>161</v>
      </c>
      <c r="AP591" t="str">
        <f>tbl_OriginalData[[#This Row],[Purchase_Category]]</f>
        <v>Travel &amp; Leisure (Flights</v>
      </c>
      <c r="AQ591" s="4">
        <f>tbl_OriginalData[[#This Row],[Purchase_Amount]]</f>
        <v>131.36000000000001</v>
      </c>
      <c r="AR591">
        <f>tbl_OriginalData[[#This Row],[Frequency_of_Purchase]]</f>
        <v>4</v>
      </c>
      <c r="AS591" t="str">
        <f>tbl_OriginalData[[#This Row],[Purchase_Channel]]</f>
        <v>In-Store</v>
      </c>
      <c r="AT591">
        <f>tbl_OriginalData[[#This Row],[Brand_Loyalty]]</f>
        <v>4</v>
      </c>
      <c r="AU591">
        <f>tbl_OriginalData[[#This Row],[Product_Rating]]</f>
        <v>4</v>
      </c>
      <c r="AV591">
        <f>tbl_OriginalData[[#This Row],[Time_Spent_on_Product_Research(hours)]]*60</f>
        <v>120</v>
      </c>
      <c r="AW591" t="str">
        <f>tbl_OriginalData[[#This Row],[Social_Media_Influence]]</f>
        <v>None</v>
      </c>
      <c r="AX591" t="str">
        <f>tbl_OriginalData[[#This Row],[Discount_Sensitivity]]</f>
        <v>Somewhat Sensitive</v>
      </c>
      <c r="AY591" s="3">
        <f>tbl_OriginalData[[#This Row],[Return_Rate]]/tbl_OriginalData[[#This Row],[Frequency_of_Purchase]]</f>
        <v>0.25</v>
      </c>
      <c r="AZ591">
        <f>tbl_OriginalData[[#This Row],[Customer_Satisfaction]]</f>
        <v>6</v>
      </c>
      <c r="BA591" t="str">
        <f>tbl_OriginalData[[#This Row],[Engagement_with_Ads]]</f>
        <v>High</v>
      </c>
      <c r="BB591" t="str">
        <f>tbl_OriginalData[[#This Row],[Device_Used_for_Shopping]]</f>
        <v>Smartphone</v>
      </c>
      <c r="BC591" t="str">
        <f>tbl_OriginalData[[#This Row],[Payment_Method]]</f>
        <v>Debit Card</v>
      </c>
      <c r="BD591" s="1">
        <f>tbl_OriginalData[[#This Row],[Time_of_Purchase]]</f>
        <v>45617</v>
      </c>
      <c r="BE591" t="str">
        <f>IF(tbl_OriginalData[[#This Row],[Discount_Used]]=TRUE,"Yes","No")</f>
        <v>No</v>
      </c>
      <c r="BF591" t="str">
        <f>IF(tbl_OriginalData[[#This Row],[Customer_Loyalty_Program_Member]]=TRUE,"Yes","No")</f>
        <v>No</v>
      </c>
      <c r="BG591" t="str">
        <f>tbl_OriginalData[[#This Row],[Purchase_Intent]]</f>
        <v>Wants-based</v>
      </c>
      <c r="BH591" t="str">
        <f>tbl_OriginalData[[#This Row],[Shipping_Preference]]</f>
        <v>Express</v>
      </c>
      <c r="BI591">
        <f>tbl_OriginalData[[#This Row],[Time_to_Decision]]</f>
        <v>3</v>
      </c>
      <c r="BJ591" t="s">
        <v>177</v>
      </c>
      <c r="BK591" t="s">
        <v>80</v>
      </c>
      <c r="BL591" t="s">
        <v>2527</v>
      </c>
    </row>
    <row r="592" spans="1:64">
      <c r="A592" t="s">
        <v>1398</v>
      </c>
      <c r="B592">
        <v>27</v>
      </c>
      <c r="C592" t="s">
        <v>50</v>
      </c>
      <c r="D592" t="s">
        <v>34</v>
      </c>
      <c r="E592" t="s">
        <v>82</v>
      </c>
      <c r="F592" t="s">
        <v>52</v>
      </c>
      <c r="G592" t="s">
        <v>34</v>
      </c>
      <c r="H592" t="s">
        <v>1399</v>
      </c>
      <c r="I592" t="s">
        <v>235</v>
      </c>
      <c r="J592">
        <v>299.75</v>
      </c>
      <c r="K592">
        <v>12</v>
      </c>
      <c r="L592" t="s">
        <v>39</v>
      </c>
      <c r="M592">
        <v>2</v>
      </c>
      <c r="N592">
        <v>5</v>
      </c>
      <c r="O592">
        <v>0.3</v>
      </c>
      <c r="P592" t="s">
        <v>69</v>
      </c>
      <c r="Q592" t="s">
        <v>101</v>
      </c>
      <c r="R592">
        <v>0</v>
      </c>
      <c r="S592">
        <v>4</v>
      </c>
      <c r="T592" t="s">
        <v>69</v>
      </c>
      <c r="U592" t="s">
        <v>95</v>
      </c>
      <c r="V592" t="s">
        <v>43</v>
      </c>
      <c r="W592" s="1">
        <v>45478</v>
      </c>
      <c r="X592" t="b">
        <v>0</v>
      </c>
      <c r="Y592" t="b">
        <v>1</v>
      </c>
      <c r="Z592" t="s">
        <v>44</v>
      </c>
      <c r="AA592" t="s">
        <v>45</v>
      </c>
      <c r="AB592">
        <v>7</v>
      </c>
      <c r="AF592" t="str">
        <f>tbl_OriginalData[[#This Row],[Customer_ID]]</f>
        <v>38-881-0766</v>
      </c>
      <c r="AG592">
        <f>tbl_OriginalData[[#This Row],[Age]]</f>
        <v>27</v>
      </c>
      <c r="AH592" t="str" cm="1">
        <f t="array" ref="AH59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92" t="str">
        <f>tbl_OriginalData[[#This Row],[Gender]]</f>
        <v>Male</v>
      </c>
      <c r="AJ592" t="str">
        <f>tbl_OriginalData[[#This Row],[Income_Level]]</f>
        <v>Middle</v>
      </c>
      <c r="AK592" t="str">
        <f>tbl_OriginalData[[#This Row],[Marital_Status]]</f>
        <v>Widowed</v>
      </c>
      <c r="AL592" t="str">
        <f>tbl_OriginalData[[#This Row],[Education_Level]]</f>
        <v>High School</v>
      </c>
      <c r="AM592" t="str">
        <f>tbl_OriginalData[[#This Row],[Occupation]]</f>
        <v>Middle</v>
      </c>
      <c r="AN592" t="s">
        <v>1399</v>
      </c>
      <c r="AO592" t="s">
        <v>469</v>
      </c>
      <c r="AP592" t="str">
        <f>tbl_OriginalData[[#This Row],[Purchase_Category]]</f>
        <v>Beauty &amp; Personal Care</v>
      </c>
      <c r="AQ592" s="4">
        <f>tbl_OriginalData[[#This Row],[Purchase_Amount]]</f>
        <v>299.75</v>
      </c>
      <c r="AR592">
        <f>tbl_OriginalData[[#This Row],[Frequency_of_Purchase]]</f>
        <v>12</v>
      </c>
      <c r="AS592" t="str">
        <f>tbl_OriginalData[[#This Row],[Purchase_Channel]]</f>
        <v>Mixed</v>
      </c>
      <c r="AT592">
        <f>tbl_OriginalData[[#This Row],[Brand_Loyalty]]</f>
        <v>2</v>
      </c>
      <c r="AU592">
        <f>tbl_OriginalData[[#This Row],[Product_Rating]]</f>
        <v>5</v>
      </c>
      <c r="AV592">
        <f>tbl_OriginalData[[#This Row],[Time_Spent_on_Product_Research(hours)]]*60</f>
        <v>18</v>
      </c>
      <c r="AW592" t="str">
        <f>tbl_OriginalData[[#This Row],[Social_Media_Influence]]</f>
        <v>Low</v>
      </c>
      <c r="AX592" t="str">
        <f>tbl_OriginalData[[#This Row],[Discount_Sensitivity]]</f>
        <v>Very Sensitive</v>
      </c>
      <c r="AY592" s="3">
        <f>tbl_OriginalData[[#This Row],[Return_Rate]]/tbl_OriginalData[[#This Row],[Frequency_of_Purchase]]</f>
        <v>0</v>
      </c>
      <c r="AZ592">
        <f>tbl_OriginalData[[#This Row],[Customer_Satisfaction]]</f>
        <v>4</v>
      </c>
      <c r="BA592" t="str">
        <f>tbl_OriginalData[[#This Row],[Engagement_with_Ads]]</f>
        <v>Low</v>
      </c>
      <c r="BB592" t="str">
        <f>tbl_OriginalData[[#This Row],[Device_Used_for_Shopping]]</f>
        <v>Desktop</v>
      </c>
      <c r="BC592" t="str">
        <f>tbl_OriginalData[[#This Row],[Payment_Method]]</f>
        <v>Credit Card</v>
      </c>
      <c r="BD592" s="1">
        <f>tbl_OriginalData[[#This Row],[Time_of_Purchase]]</f>
        <v>45478</v>
      </c>
      <c r="BE592" t="str">
        <f>IF(tbl_OriginalData[[#This Row],[Discount_Used]]=TRUE,"Yes","No")</f>
        <v>No</v>
      </c>
      <c r="BF592" t="str">
        <f>IF(tbl_OriginalData[[#This Row],[Customer_Loyalty_Program_Member]]=TRUE,"Yes","No")</f>
        <v>Yes</v>
      </c>
      <c r="BG592" t="str">
        <f>tbl_OriginalData[[#This Row],[Purchase_Intent]]</f>
        <v>Need-based</v>
      </c>
      <c r="BH592" t="str">
        <f>tbl_OriginalData[[#This Row],[Shipping_Preference]]</f>
        <v>No Preference</v>
      </c>
      <c r="BI592">
        <f>tbl_OriginalData[[#This Row],[Time_to_Decision]]</f>
        <v>7</v>
      </c>
      <c r="BJ592" t="s">
        <v>114</v>
      </c>
      <c r="BK592" t="s">
        <v>115</v>
      </c>
      <c r="BL592" t="s">
        <v>2527</v>
      </c>
    </row>
    <row r="593" spans="1:64">
      <c r="A593" t="s">
        <v>1400</v>
      </c>
      <c r="B593">
        <v>29</v>
      </c>
      <c r="C593" t="s">
        <v>50</v>
      </c>
      <c r="D593" t="s">
        <v>51</v>
      </c>
      <c r="E593" t="s">
        <v>92</v>
      </c>
      <c r="F593" t="s">
        <v>36</v>
      </c>
      <c r="G593" t="s">
        <v>34</v>
      </c>
      <c r="H593" t="s">
        <v>1401</v>
      </c>
      <c r="I593" t="s">
        <v>127</v>
      </c>
      <c r="J593">
        <v>319.38</v>
      </c>
      <c r="K593">
        <v>9</v>
      </c>
      <c r="L593" t="s">
        <v>55</v>
      </c>
      <c r="M593">
        <v>4</v>
      </c>
      <c r="N593">
        <v>1</v>
      </c>
      <c r="O593">
        <v>0</v>
      </c>
      <c r="P593" t="s">
        <v>69</v>
      </c>
      <c r="Q593" t="s">
        <v>57</v>
      </c>
      <c r="R593">
        <v>1</v>
      </c>
      <c r="S593">
        <v>6</v>
      </c>
      <c r="T593" t="s">
        <v>51</v>
      </c>
      <c r="U593" t="s">
        <v>42</v>
      </c>
      <c r="V593" t="s">
        <v>58</v>
      </c>
      <c r="W593" s="1">
        <v>45611</v>
      </c>
      <c r="X593" t="b">
        <v>1</v>
      </c>
      <c r="Y593" t="b">
        <v>1</v>
      </c>
      <c r="Z593" t="s">
        <v>44</v>
      </c>
      <c r="AA593" t="s">
        <v>45</v>
      </c>
      <c r="AB593">
        <v>8</v>
      </c>
      <c r="AF593" t="str">
        <f>tbl_OriginalData[[#This Row],[Customer_ID]]</f>
        <v>17-344-8603</v>
      </c>
      <c r="AG593">
        <f>tbl_OriginalData[[#This Row],[Age]]</f>
        <v>29</v>
      </c>
      <c r="AH593" t="str" cm="1">
        <f t="array" ref="AH59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93" t="str">
        <f>tbl_OriginalData[[#This Row],[Gender]]</f>
        <v>Male</v>
      </c>
      <c r="AJ593" t="str">
        <f>tbl_OriginalData[[#This Row],[Income_Level]]</f>
        <v>High</v>
      </c>
      <c r="AK593" t="str">
        <f>tbl_OriginalData[[#This Row],[Marital_Status]]</f>
        <v>Divorced</v>
      </c>
      <c r="AL593" t="str">
        <f>tbl_OriginalData[[#This Row],[Education_Level]]</f>
        <v>Bachelor's</v>
      </c>
      <c r="AM593" t="str">
        <f>tbl_OriginalData[[#This Row],[Occupation]]</f>
        <v>Middle</v>
      </c>
      <c r="AN593" t="s">
        <v>1401</v>
      </c>
      <c r="AO593" t="s">
        <v>164</v>
      </c>
      <c r="AP593" t="str">
        <f>tbl_OriginalData[[#This Row],[Purchase_Category]]</f>
        <v>Animal Feed</v>
      </c>
      <c r="AQ593" s="4">
        <f>tbl_OriginalData[[#This Row],[Purchase_Amount]]</f>
        <v>319.38</v>
      </c>
      <c r="AR593">
        <f>tbl_OriginalData[[#This Row],[Frequency_of_Purchase]]</f>
        <v>9</v>
      </c>
      <c r="AS593" t="str">
        <f>tbl_OriginalData[[#This Row],[Purchase_Channel]]</f>
        <v>In-Store</v>
      </c>
      <c r="AT593">
        <f>tbl_OriginalData[[#This Row],[Brand_Loyalty]]</f>
        <v>4</v>
      </c>
      <c r="AU593">
        <f>tbl_OriginalData[[#This Row],[Product_Rating]]</f>
        <v>1</v>
      </c>
      <c r="AV593">
        <f>tbl_OriginalData[[#This Row],[Time_Spent_on_Product_Research(hours)]]*60</f>
        <v>0</v>
      </c>
      <c r="AW593" t="str">
        <f>tbl_OriginalData[[#This Row],[Social_Media_Influence]]</f>
        <v>Low</v>
      </c>
      <c r="AX593" t="str">
        <f>tbl_OriginalData[[#This Row],[Discount_Sensitivity]]</f>
        <v>Not Sensitive</v>
      </c>
      <c r="AY593" s="3">
        <f>tbl_OriginalData[[#This Row],[Return_Rate]]/tbl_OriginalData[[#This Row],[Frequency_of_Purchase]]</f>
        <v>0.1111111111111111</v>
      </c>
      <c r="AZ593">
        <f>tbl_OriginalData[[#This Row],[Customer_Satisfaction]]</f>
        <v>6</v>
      </c>
      <c r="BA593" t="str">
        <f>tbl_OriginalData[[#This Row],[Engagement_with_Ads]]</f>
        <v>High</v>
      </c>
      <c r="BB593" t="str">
        <f>tbl_OriginalData[[#This Row],[Device_Used_for_Shopping]]</f>
        <v>Tablet</v>
      </c>
      <c r="BC593" t="str">
        <f>tbl_OriginalData[[#This Row],[Payment_Method]]</f>
        <v>PayPal</v>
      </c>
      <c r="BD593" s="1">
        <f>tbl_OriginalData[[#This Row],[Time_of_Purchase]]</f>
        <v>45611</v>
      </c>
      <c r="BE593" t="str">
        <f>IF(tbl_OriginalData[[#This Row],[Discount_Used]]=TRUE,"Yes","No")</f>
        <v>Yes</v>
      </c>
      <c r="BF593" t="str">
        <f>IF(tbl_OriginalData[[#This Row],[Customer_Loyalty_Program_Member]]=TRUE,"Yes","No")</f>
        <v>Yes</v>
      </c>
      <c r="BG593" t="str">
        <f>tbl_OriginalData[[#This Row],[Purchase_Intent]]</f>
        <v>Need-based</v>
      </c>
      <c r="BH593" t="str">
        <f>tbl_OriginalData[[#This Row],[Shipping_Preference]]</f>
        <v>No Preference</v>
      </c>
      <c r="BI593">
        <f>tbl_OriginalData[[#This Row],[Time_to_Decision]]</f>
        <v>8</v>
      </c>
      <c r="BJ593" t="s">
        <v>177</v>
      </c>
      <c r="BK593" t="s">
        <v>80</v>
      </c>
      <c r="BL593" t="s">
        <v>2528</v>
      </c>
    </row>
    <row r="594" spans="1:64">
      <c r="A594" t="s">
        <v>1402</v>
      </c>
      <c r="B594">
        <v>38</v>
      </c>
      <c r="C594" t="s">
        <v>50</v>
      </c>
      <c r="D594" t="s">
        <v>51</v>
      </c>
      <c r="E594" t="s">
        <v>65</v>
      </c>
      <c r="F594" t="s">
        <v>66</v>
      </c>
      <c r="G594" t="s">
        <v>34</v>
      </c>
      <c r="H594" t="s">
        <v>1403</v>
      </c>
      <c r="I594" t="s">
        <v>147</v>
      </c>
      <c r="J594">
        <v>476.48</v>
      </c>
      <c r="K594">
        <v>8</v>
      </c>
      <c r="L594" t="s">
        <v>94</v>
      </c>
      <c r="M594">
        <v>5</v>
      </c>
      <c r="N594">
        <v>2</v>
      </c>
      <c r="O594">
        <v>1</v>
      </c>
      <c r="P594" t="s">
        <v>40</v>
      </c>
      <c r="Q594" t="s">
        <v>41</v>
      </c>
      <c r="R594">
        <v>2</v>
      </c>
      <c r="S594">
        <v>10</v>
      </c>
      <c r="T594" t="s">
        <v>51</v>
      </c>
      <c r="U594" t="s">
        <v>95</v>
      </c>
      <c r="V594" t="s">
        <v>58</v>
      </c>
      <c r="W594" s="1">
        <v>45479</v>
      </c>
      <c r="X594" t="b">
        <v>0</v>
      </c>
      <c r="Y594" t="b">
        <v>1</v>
      </c>
      <c r="Z594" t="s">
        <v>72</v>
      </c>
      <c r="AA594" t="s">
        <v>77</v>
      </c>
      <c r="AB594">
        <v>3</v>
      </c>
      <c r="AF594" t="str">
        <f>tbl_OriginalData[[#This Row],[Customer_ID]]</f>
        <v>51-387-9144</v>
      </c>
      <c r="AG594">
        <f>tbl_OriginalData[[#This Row],[Age]]</f>
        <v>38</v>
      </c>
      <c r="AH594" t="str" cm="1">
        <f t="array" ref="AH59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594" t="str">
        <f>tbl_OriginalData[[#This Row],[Gender]]</f>
        <v>Male</v>
      </c>
      <c r="AJ594" t="str">
        <f>tbl_OriginalData[[#This Row],[Income_Level]]</f>
        <v>High</v>
      </c>
      <c r="AK594" t="str">
        <f>tbl_OriginalData[[#This Row],[Marital_Status]]</f>
        <v>Single</v>
      </c>
      <c r="AL594" t="str">
        <f>tbl_OriginalData[[#This Row],[Education_Level]]</f>
        <v>Master's</v>
      </c>
      <c r="AM594" t="str">
        <f>tbl_OriginalData[[#This Row],[Occupation]]</f>
        <v>Middle</v>
      </c>
      <c r="AN594" t="s">
        <v>1403</v>
      </c>
      <c r="AO594" t="s">
        <v>897</v>
      </c>
      <c r="AP594" t="str">
        <f>tbl_OriginalData[[#This Row],[Purchase_Category]]</f>
        <v>Electronics</v>
      </c>
      <c r="AQ594" s="4">
        <f>tbl_OriginalData[[#This Row],[Purchase_Amount]]</f>
        <v>476.48</v>
      </c>
      <c r="AR594">
        <f>tbl_OriginalData[[#This Row],[Frequency_of_Purchase]]</f>
        <v>8</v>
      </c>
      <c r="AS594" t="str">
        <f>tbl_OriginalData[[#This Row],[Purchase_Channel]]</f>
        <v>Online</v>
      </c>
      <c r="AT594">
        <f>tbl_OriginalData[[#This Row],[Brand_Loyalty]]</f>
        <v>5</v>
      </c>
      <c r="AU594">
        <f>tbl_OriginalData[[#This Row],[Product_Rating]]</f>
        <v>2</v>
      </c>
      <c r="AV594">
        <f>tbl_OriginalData[[#This Row],[Time_Spent_on_Product_Research(hours)]]*60</f>
        <v>60</v>
      </c>
      <c r="AW594" t="str">
        <f>tbl_OriginalData[[#This Row],[Social_Media_Influence]]</f>
        <v>None</v>
      </c>
      <c r="AX594" t="str">
        <f>tbl_OriginalData[[#This Row],[Discount_Sensitivity]]</f>
        <v>Somewhat Sensitive</v>
      </c>
      <c r="AY594" s="3">
        <f>tbl_OriginalData[[#This Row],[Return_Rate]]/tbl_OriginalData[[#This Row],[Frequency_of_Purchase]]</f>
        <v>0.25</v>
      </c>
      <c r="AZ594">
        <f>tbl_OriginalData[[#This Row],[Customer_Satisfaction]]</f>
        <v>10</v>
      </c>
      <c r="BA594" t="str">
        <f>tbl_OriginalData[[#This Row],[Engagement_with_Ads]]</f>
        <v>High</v>
      </c>
      <c r="BB594" t="str">
        <f>tbl_OriginalData[[#This Row],[Device_Used_for_Shopping]]</f>
        <v>Desktop</v>
      </c>
      <c r="BC594" t="str">
        <f>tbl_OriginalData[[#This Row],[Payment_Method]]</f>
        <v>PayPal</v>
      </c>
      <c r="BD594" s="1">
        <f>tbl_OriginalData[[#This Row],[Time_of_Purchase]]</f>
        <v>45479</v>
      </c>
      <c r="BE594" t="str">
        <f>IF(tbl_OriginalData[[#This Row],[Discount_Used]]=TRUE,"Yes","No")</f>
        <v>No</v>
      </c>
      <c r="BF594" t="str">
        <f>IF(tbl_OriginalData[[#This Row],[Customer_Loyalty_Program_Member]]=TRUE,"Yes","No")</f>
        <v>Yes</v>
      </c>
      <c r="BG594" t="str">
        <f>tbl_OriginalData[[#This Row],[Purchase_Intent]]</f>
        <v>Impulsive</v>
      </c>
      <c r="BH594" t="str">
        <f>tbl_OriginalData[[#This Row],[Shipping_Preference]]</f>
        <v>Express</v>
      </c>
      <c r="BI594">
        <f>tbl_OriginalData[[#This Row],[Time_to_Decision]]</f>
        <v>3</v>
      </c>
      <c r="BJ594" t="s">
        <v>114</v>
      </c>
      <c r="BK594" t="s">
        <v>115</v>
      </c>
      <c r="BL594" t="s">
        <v>2524</v>
      </c>
    </row>
    <row r="595" spans="1:64">
      <c r="A595" t="s">
        <v>1404</v>
      </c>
      <c r="B595">
        <v>21</v>
      </c>
      <c r="C595" t="s">
        <v>50</v>
      </c>
      <c r="D595" t="s">
        <v>34</v>
      </c>
      <c r="E595" t="s">
        <v>82</v>
      </c>
      <c r="F595" t="s">
        <v>36</v>
      </c>
      <c r="G595" t="s">
        <v>34</v>
      </c>
      <c r="H595" t="s">
        <v>1405</v>
      </c>
      <c r="I595" t="s">
        <v>38</v>
      </c>
      <c r="J595">
        <v>301.01</v>
      </c>
      <c r="K595">
        <v>9</v>
      </c>
      <c r="L595" t="s">
        <v>39</v>
      </c>
      <c r="M595">
        <v>2</v>
      </c>
      <c r="N595">
        <v>1</v>
      </c>
      <c r="O595">
        <v>2</v>
      </c>
      <c r="P595" t="s">
        <v>51</v>
      </c>
      <c r="Q595" t="s">
        <v>57</v>
      </c>
      <c r="R595">
        <v>2</v>
      </c>
      <c r="S595">
        <v>8</v>
      </c>
      <c r="T595" t="s">
        <v>56</v>
      </c>
      <c r="U595" t="s">
        <v>70</v>
      </c>
      <c r="V595" t="s">
        <v>76</v>
      </c>
      <c r="W595" s="1">
        <v>45527</v>
      </c>
      <c r="X595" t="b">
        <v>0</v>
      </c>
      <c r="Y595" t="b">
        <v>1</v>
      </c>
      <c r="Z595" t="s">
        <v>44</v>
      </c>
      <c r="AA595" t="s">
        <v>77</v>
      </c>
      <c r="AB595">
        <v>13</v>
      </c>
      <c r="AF595" t="str">
        <f>tbl_OriginalData[[#This Row],[Customer_ID]]</f>
        <v>42-101-8525</v>
      </c>
      <c r="AG595">
        <f>tbl_OriginalData[[#This Row],[Age]]</f>
        <v>21</v>
      </c>
      <c r="AH595" t="str" cm="1">
        <f t="array" ref="AH59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95" t="str">
        <f>tbl_OriginalData[[#This Row],[Gender]]</f>
        <v>Male</v>
      </c>
      <c r="AJ595" t="str">
        <f>tbl_OriginalData[[#This Row],[Income_Level]]</f>
        <v>Middle</v>
      </c>
      <c r="AK595" t="str">
        <f>tbl_OriginalData[[#This Row],[Marital_Status]]</f>
        <v>Widowed</v>
      </c>
      <c r="AL595" t="str">
        <f>tbl_OriginalData[[#This Row],[Education_Level]]</f>
        <v>Bachelor's</v>
      </c>
      <c r="AM595" t="str">
        <f>tbl_OriginalData[[#This Row],[Occupation]]</f>
        <v>Middle</v>
      </c>
      <c r="AN595" t="s">
        <v>1405</v>
      </c>
      <c r="AO595" t="s">
        <v>90</v>
      </c>
      <c r="AP595" t="str">
        <f>tbl_OriginalData[[#This Row],[Purchase_Category]]</f>
        <v>Gardening &amp; Outdoors</v>
      </c>
      <c r="AQ595" s="4">
        <f>tbl_OriginalData[[#This Row],[Purchase_Amount]]</f>
        <v>301.01</v>
      </c>
      <c r="AR595">
        <f>tbl_OriginalData[[#This Row],[Frequency_of_Purchase]]</f>
        <v>9</v>
      </c>
      <c r="AS595" t="str">
        <f>tbl_OriginalData[[#This Row],[Purchase_Channel]]</f>
        <v>Mixed</v>
      </c>
      <c r="AT595">
        <f>tbl_OriginalData[[#This Row],[Brand_Loyalty]]</f>
        <v>2</v>
      </c>
      <c r="AU595">
        <f>tbl_OriginalData[[#This Row],[Product_Rating]]</f>
        <v>1</v>
      </c>
      <c r="AV595">
        <f>tbl_OriginalData[[#This Row],[Time_Spent_on_Product_Research(hours)]]*60</f>
        <v>120</v>
      </c>
      <c r="AW595" t="str">
        <f>tbl_OriginalData[[#This Row],[Social_Media_Influence]]</f>
        <v>High</v>
      </c>
      <c r="AX595" t="str">
        <f>tbl_OriginalData[[#This Row],[Discount_Sensitivity]]</f>
        <v>Not Sensitive</v>
      </c>
      <c r="AY595" s="3">
        <f>tbl_OriginalData[[#This Row],[Return_Rate]]/tbl_OriginalData[[#This Row],[Frequency_of_Purchase]]</f>
        <v>0.22222222222222221</v>
      </c>
      <c r="AZ595">
        <f>tbl_OriginalData[[#This Row],[Customer_Satisfaction]]</f>
        <v>8</v>
      </c>
      <c r="BA595" t="str">
        <f>tbl_OriginalData[[#This Row],[Engagement_with_Ads]]</f>
        <v>Medium</v>
      </c>
      <c r="BB595" t="str">
        <f>tbl_OriginalData[[#This Row],[Device_Used_for_Shopping]]</f>
        <v>Smartphone</v>
      </c>
      <c r="BC595" t="str">
        <f>tbl_OriginalData[[#This Row],[Payment_Method]]</f>
        <v>Other</v>
      </c>
      <c r="BD595" s="1">
        <f>tbl_OriginalData[[#This Row],[Time_of_Purchase]]</f>
        <v>45527</v>
      </c>
      <c r="BE595" t="str">
        <f>IF(tbl_OriginalData[[#This Row],[Discount_Used]]=TRUE,"Yes","No")</f>
        <v>No</v>
      </c>
      <c r="BF595" t="str">
        <f>IF(tbl_OriginalData[[#This Row],[Customer_Loyalty_Program_Member]]=TRUE,"Yes","No")</f>
        <v>Yes</v>
      </c>
      <c r="BG595" t="str">
        <f>tbl_OriginalData[[#This Row],[Purchase_Intent]]</f>
        <v>Need-based</v>
      </c>
      <c r="BH595" t="str">
        <f>tbl_OriginalData[[#This Row],[Shipping_Preference]]</f>
        <v>Express</v>
      </c>
      <c r="BI595">
        <f>tbl_OriginalData[[#This Row],[Time_to_Decision]]</f>
        <v>13</v>
      </c>
      <c r="BJ595" t="s">
        <v>124</v>
      </c>
      <c r="BK595" t="s">
        <v>115</v>
      </c>
      <c r="BL595" t="s">
        <v>2524</v>
      </c>
    </row>
    <row r="596" spans="1:64">
      <c r="A596" t="s">
        <v>1406</v>
      </c>
      <c r="B596">
        <v>18</v>
      </c>
      <c r="C596" t="s">
        <v>50</v>
      </c>
      <c r="D596" t="s">
        <v>34</v>
      </c>
      <c r="E596" t="s">
        <v>65</v>
      </c>
      <c r="F596" t="s">
        <v>36</v>
      </c>
      <c r="G596" t="s">
        <v>34</v>
      </c>
      <c r="H596" t="s">
        <v>1407</v>
      </c>
      <c r="I596" t="s">
        <v>147</v>
      </c>
      <c r="J596">
        <v>378.71</v>
      </c>
      <c r="K596">
        <v>5</v>
      </c>
      <c r="L596" t="s">
        <v>94</v>
      </c>
      <c r="M596">
        <v>4</v>
      </c>
      <c r="N596">
        <v>1</v>
      </c>
      <c r="O596">
        <v>2</v>
      </c>
      <c r="P596" t="s">
        <v>56</v>
      </c>
      <c r="Q596" t="s">
        <v>41</v>
      </c>
      <c r="R596">
        <v>2</v>
      </c>
      <c r="S596">
        <v>5</v>
      </c>
      <c r="T596" t="s">
        <v>40</v>
      </c>
      <c r="U596" t="s">
        <v>95</v>
      </c>
      <c r="V596" t="s">
        <v>76</v>
      </c>
      <c r="W596" s="1">
        <v>45534</v>
      </c>
      <c r="X596" t="b">
        <v>1</v>
      </c>
      <c r="Y596" t="b">
        <v>1</v>
      </c>
      <c r="Z596" t="s">
        <v>89</v>
      </c>
      <c r="AA596" t="s">
        <v>77</v>
      </c>
      <c r="AB596">
        <v>14</v>
      </c>
      <c r="AF596" t="str">
        <f>tbl_OriginalData[[#This Row],[Customer_ID]]</f>
        <v>69-157-6752</v>
      </c>
      <c r="AG596">
        <f>tbl_OriginalData[[#This Row],[Age]]</f>
        <v>18</v>
      </c>
      <c r="AH596" t="str" cm="1">
        <f t="array" ref="AH59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596" t="str">
        <f>tbl_OriginalData[[#This Row],[Gender]]</f>
        <v>Male</v>
      </c>
      <c r="AJ596" t="str">
        <f>tbl_OriginalData[[#This Row],[Income_Level]]</f>
        <v>Middle</v>
      </c>
      <c r="AK596" t="str">
        <f>tbl_OriginalData[[#This Row],[Marital_Status]]</f>
        <v>Single</v>
      </c>
      <c r="AL596" t="str">
        <f>tbl_OriginalData[[#This Row],[Education_Level]]</f>
        <v>Bachelor's</v>
      </c>
      <c r="AM596" t="str">
        <f>tbl_OriginalData[[#This Row],[Occupation]]</f>
        <v>Middle</v>
      </c>
      <c r="AN596" t="s">
        <v>1407</v>
      </c>
      <c r="AO596" t="s">
        <v>269</v>
      </c>
      <c r="AP596" t="str">
        <f>tbl_OriginalData[[#This Row],[Purchase_Category]]</f>
        <v>Electronics</v>
      </c>
      <c r="AQ596" s="4">
        <f>tbl_OriginalData[[#This Row],[Purchase_Amount]]</f>
        <v>378.71</v>
      </c>
      <c r="AR596">
        <f>tbl_OriginalData[[#This Row],[Frequency_of_Purchase]]</f>
        <v>5</v>
      </c>
      <c r="AS596" t="str">
        <f>tbl_OriginalData[[#This Row],[Purchase_Channel]]</f>
        <v>Online</v>
      </c>
      <c r="AT596">
        <f>tbl_OriginalData[[#This Row],[Brand_Loyalty]]</f>
        <v>4</v>
      </c>
      <c r="AU596">
        <f>tbl_OriginalData[[#This Row],[Product_Rating]]</f>
        <v>1</v>
      </c>
      <c r="AV596">
        <f>tbl_OriginalData[[#This Row],[Time_Spent_on_Product_Research(hours)]]*60</f>
        <v>120</v>
      </c>
      <c r="AW596" t="str">
        <f>tbl_OriginalData[[#This Row],[Social_Media_Influence]]</f>
        <v>Medium</v>
      </c>
      <c r="AX596" t="str">
        <f>tbl_OriginalData[[#This Row],[Discount_Sensitivity]]</f>
        <v>Somewhat Sensitive</v>
      </c>
      <c r="AY596" s="3">
        <f>tbl_OriginalData[[#This Row],[Return_Rate]]/tbl_OriginalData[[#This Row],[Frequency_of_Purchase]]</f>
        <v>0.4</v>
      </c>
      <c r="AZ596">
        <f>tbl_OriginalData[[#This Row],[Customer_Satisfaction]]</f>
        <v>5</v>
      </c>
      <c r="BA596" t="str">
        <f>tbl_OriginalData[[#This Row],[Engagement_with_Ads]]</f>
        <v>None</v>
      </c>
      <c r="BB596" t="str">
        <f>tbl_OriginalData[[#This Row],[Device_Used_for_Shopping]]</f>
        <v>Desktop</v>
      </c>
      <c r="BC596" t="str">
        <f>tbl_OriginalData[[#This Row],[Payment_Method]]</f>
        <v>Other</v>
      </c>
      <c r="BD596" s="1">
        <f>tbl_OriginalData[[#This Row],[Time_of_Purchase]]</f>
        <v>45534</v>
      </c>
      <c r="BE596" t="str">
        <f>IF(tbl_OriginalData[[#This Row],[Discount_Used]]=TRUE,"Yes","No")</f>
        <v>Yes</v>
      </c>
      <c r="BF596" t="str">
        <f>IF(tbl_OriginalData[[#This Row],[Customer_Loyalty_Program_Member]]=TRUE,"Yes","No")</f>
        <v>Yes</v>
      </c>
      <c r="BG596" t="str">
        <f>tbl_OriginalData[[#This Row],[Purchase_Intent]]</f>
        <v>Planned</v>
      </c>
      <c r="BH596" t="str">
        <f>tbl_OriginalData[[#This Row],[Shipping_Preference]]</f>
        <v>Express</v>
      </c>
      <c r="BI596">
        <f>tbl_OriginalData[[#This Row],[Time_to_Decision]]</f>
        <v>14</v>
      </c>
      <c r="BJ596" t="s">
        <v>124</v>
      </c>
      <c r="BK596" t="s">
        <v>115</v>
      </c>
      <c r="BL596" t="s">
        <v>2528</v>
      </c>
    </row>
    <row r="597" spans="1:64">
      <c r="A597" t="s">
        <v>1408</v>
      </c>
      <c r="B597">
        <v>44</v>
      </c>
      <c r="C597" t="s">
        <v>238</v>
      </c>
      <c r="D597" t="s">
        <v>34</v>
      </c>
      <c r="E597" t="s">
        <v>65</v>
      </c>
      <c r="F597" t="s">
        <v>36</v>
      </c>
      <c r="G597" t="s">
        <v>34</v>
      </c>
      <c r="H597" t="s">
        <v>1409</v>
      </c>
      <c r="I597" t="s">
        <v>112</v>
      </c>
      <c r="J597">
        <v>314.32</v>
      </c>
      <c r="K597">
        <v>6</v>
      </c>
      <c r="L597" t="s">
        <v>94</v>
      </c>
      <c r="M597">
        <v>1</v>
      </c>
      <c r="N597">
        <v>4</v>
      </c>
      <c r="O597">
        <v>2</v>
      </c>
      <c r="P597" t="s">
        <v>51</v>
      </c>
      <c r="Q597" t="s">
        <v>101</v>
      </c>
      <c r="R597">
        <v>2</v>
      </c>
      <c r="S597">
        <v>5</v>
      </c>
      <c r="T597" t="s">
        <v>69</v>
      </c>
      <c r="U597" t="s">
        <v>70</v>
      </c>
      <c r="V597" t="s">
        <v>43</v>
      </c>
      <c r="W597" s="1">
        <v>45367</v>
      </c>
      <c r="X597" t="b">
        <v>1</v>
      </c>
      <c r="Y597" t="b">
        <v>0</v>
      </c>
      <c r="Z597" t="s">
        <v>72</v>
      </c>
      <c r="AA597" t="s">
        <v>60</v>
      </c>
      <c r="AB597">
        <v>7</v>
      </c>
      <c r="AF597" t="str">
        <f>tbl_OriginalData[[#This Row],[Customer_ID]]</f>
        <v>27-843-5553</v>
      </c>
      <c r="AG597">
        <f>tbl_OriginalData[[#This Row],[Age]]</f>
        <v>44</v>
      </c>
      <c r="AH597" t="str" cm="1">
        <f t="array" ref="AH59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597" t="str">
        <f>tbl_OriginalData[[#This Row],[Gender]]</f>
        <v>Non-binary</v>
      </c>
      <c r="AJ597" t="str">
        <f>tbl_OriginalData[[#This Row],[Income_Level]]</f>
        <v>Middle</v>
      </c>
      <c r="AK597" t="str">
        <f>tbl_OriginalData[[#This Row],[Marital_Status]]</f>
        <v>Single</v>
      </c>
      <c r="AL597" t="str">
        <f>tbl_OriginalData[[#This Row],[Education_Level]]</f>
        <v>Bachelor's</v>
      </c>
      <c r="AM597" t="str">
        <f>tbl_OriginalData[[#This Row],[Occupation]]</f>
        <v>Middle</v>
      </c>
      <c r="AN597" t="s">
        <v>1409</v>
      </c>
      <c r="AO597" t="s">
        <v>469</v>
      </c>
      <c r="AP597" t="str">
        <f>tbl_OriginalData[[#This Row],[Purchase_Category]]</f>
        <v>Mobile Accessories</v>
      </c>
      <c r="AQ597" s="4">
        <f>tbl_OriginalData[[#This Row],[Purchase_Amount]]</f>
        <v>314.32</v>
      </c>
      <c r="AR597">
        <f>tbl_OriginalData[[#This Row],[Frequency_of_Purchase]]</f>
        <v>6</v>
      </c>
      <c r="AS597" t="str">
        <f>tbl_OriginalData[[#This Row],[Purchase_Channel]]</f>
        <v>Online</v>
      </c>
      <c r="AT597">
        <f>tbl_OriginalData[[#This Row],[Brand_Loyalty]]</f>
        <v>1</v>
      </c>
      <c r="AU597">
        <f>tbl_OriginalData[[#This Row],[Product_Rating]]</f>
        <v>4</v>
      </c>
      <c r="AV597">
        <f>tbl_OriginalData[[#This Row],[Time_Spent_on_Product_Research(hours)]]*60</f>
        <v>120</v>
      </c>
      <c r="AW597" t="str">
        <f>tbl_OriginalData[[#This Row],[Social_Media_Influence]]</f>
        <v>High</v>
      </c>
      <c r="AX597" t="str">
        <f>tbl_OriginalData[[#This Row],[Discount_Sensitivity]]</f>
        <v>Very Sensitive</v>
      </c>
      <c r="AY597" s="3">
        <f>tbl_OriginalData[[#This Row],[Return_Rate]]/tbl_OriginalData[[#This Row],[Frequency_of_Purchase]]</f>
        <v>0.33333333333333331</v>
      </c>
      <c r="AZ597">
        <f>tbl_OriginalData[[#This Row],[Customer_Satisfaction]]</f>
        <v>5</v>
      </c>
      <c r="BA597" t="str">
        <f>tbl_OriginalData[[#This Row],[Engagement_with_Ads]]</f>
        <v>Low</v>
      </c>
      <c r="BB597" t="str">
        <f>tbl_OriginalData[[#This Row],[Device_Used_for_Shopping]]</f>
        <v>Smartphone</v>
      </c>
      <c r="BC597" t="str">
        <f>tbl_OriginalData[[#This Row],[Payment_Method]]</f>
        <v>Credit Card</v>
      </c>
      <c r="BD597" s="1">
        <f>tbl_OriginalData[[#This Row],[Time_of_Purchase]]</f>
        <v>45367</v>
      </c>
      <c r="BE597" t="str">
        <f>IF(tbl_OriginalData[[#This Row],[Discount_Used]]=TRUE,"Yes","No")</f>
        <v>Yes</v>
      </c>
      <c r="BF597" t="str">
        <f>IF(tbl_OriginalData[[#This Row],[Customer_Loyalty_Program_Member]]=TRUE,"Yes","No")</f>
        <v>No</v>
      </c>
      <c r="BG597" t="str">
        <f>tbl_OriginalData[[#This Row],[Purchase_Intent]]</f>
        <v>Impulsive</v>
      </c>
      <c r="BH597" t="str">
        <f>tbl_OriginalData[[#This Row],[Shipping_Preference]]</f>
        <v>Standard</v>
      </c>
      <c r="BI597">
        <f>tbl_OriginalData[[#This Row],[Time_to_Decision]]</f>
        <v>7</v>
      </c>
      <c r="BJ597" t="s">
        <v>47</v>
      </c>
      <c r="BK597" t="s">
        <v>48</v>
      </c>
      <c r="BL597" t="s">
        <v>2527</v>
      </c>
    </row>
    <row r="598" spans="1:64">
      <c r="A598" t="s">
        <v>1410</v>
      </c>
      <c r="B598">
        <v>22</v>
      </c>
      <c r="C598" t="s">
        <v>50</v>
      </c>
      <c r="D598" t="s">
        <v>34</v>
      </c>
      <c r="E598" t="s">
        <v>35</v>
      </c>
      <c r="F598" t="s">
        <v>52</v>
      </c>
      <c r="G598" t="s">
        <v>51</v>
      </c>
      <c r="H598" t="s">
        <v>317</v>
      </c>
      <c r="I598" t="s">
        <v>68</v>
      </c>
      <c r="J598">
        <v>210.9</v>
      </c>
      <c r="K598">
        <v>12</v>
      </c>
      <c r="L598" t="s">
        <v>55</v>
      </c>
      <c r="M598">
        <v>2</v>
      </c>
      <c r="N598">
        <v>1</v>
      </c>
      <c r="O598">
        <v>2</v>
      </c>
      <c r="P598" t="s">
        <v>40</v>
      </c>
      <c r="Q598" t="s">
        <v>41</v>
      </c>
      <c r="R598">
        <v>1</v>
      </c>
      <c r="S598">
        <v>1</v>
      </c>
      <c r="T598" t="s">
        <v>40</v>
      </c>
      <c r="U598" t="s">
        <v>42</v>
      </c>
      <c r="V598" t="s">
        <v>71</v>
      </c>
      <c r="W598" s="1">
        <v>45521</v>
      </c>
      <c r="X598" t="b">
        <v>0</v>
      </c>
      <c r="Y598" t="b">
        <v>0</v>
      </c>
      <c r="Z598" t="s">
        <v>72</v>
      </c>
      <c r="AA598" t="s">
        <v>60</v>
      </c>
      <c r="AB598">
        <v>12</v>
      </c>
      <c r="AF598" t="str">
        <f>tbl_OriginalData[[#This Row],[Customer_ID]]</f>
        <v>04-468-5487</v>
      </c>
      <c r="AG598">
        <f>tbl_OriginalData[[#This Row],[Age]]</f>
        <v>22</v>
      </c>
      <c r="AH598" t="str" cm="1">
        <f t="array" ref="AH59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598" t="str">
        <f>tbl_OriginalData[[#This Row],[Gender]]</f>
        <v>Male</v>
      </c>
      <c r="AJ598" t="str">
        <f>tbl_OriginalData[[#This Row],[Income_Level]]</f>
        <v>Middle</v>
      </c>
      <c r="AK598" t="str">
        <f>tbl_OriginalData[[#This Row],[Marital_Status]]</f>
        <v>Married</v>
      </c>
      <c r="AL598" t="str">
        <f>tbl_OriginalData[[#This Row],[Education_Level]]</f>
        <v>High School</v>
      </c>
      <c r="AM598" t="str">
        <f>tbl_OriginalData[[#This Row],[Occupation]]</f>
        <v>High</v>
      </c>
      <c r="AN598" t="s">
        <v>317</v>
      </c>
      <c r="AO598" t="s">
        <v>46</v>
      </c>
      <c r="AP598" t="str">
        <f>tbl_OriginalData[[#This Row],[Purchase_Category]]</f>
        <v>Office Supplies</v>
      </c>
      <c r="AQ598" s="4">
        <f>tbl_OriginalData[[#This Row],[Purchase_Amount]]</f>
        <v>210.9</v>
      </c>
      <c r="AR598">
        <f>tbl_OriginalData[[#This Row],[Frequency_of_Purchase]]</f>
        <v>12</v>
      </c>
      <c r="AS598" t="str">
        <f>tbl_OriginalData[[#This Row],[Purchase_Channel]]</f>
        <v>In-Store</v>
      </c>
      <c r="AT598">
        <f>tbl_OriginalData[[#This Row],[Brand_Loyalty]]</f>
        <v>2</v>
      </c>
      <c r="AU598">
        <f>tbl_OriginalData[[#This Row],[Product_Rating]]</f>
        <v>1</v>
      </c>
      <c r="AV598">
        <f>tbl_OriginalData[[#This Row],[Time_Spent_on_Product_Research(hours)]]*60</f>
        <v>120</v>
      </c>
      <c r="AW598" t="str">
        <f>tbl_OriginalData[[#This Row],[Social_Media_Influence]]</f>
        <v>None</v>
      </c>
      <c r="AX598" t="str">
        <f>tbl_OriginalData[[#This Row],[Discount_Sensitivity]]</f>
        <v>Somewhat Sensitive</v>
      </c>
      <c r="AY598" s="3">
        <f>tbl_OriginalData[[#This Row],[Return_Rate]]/tbl_OriginalData[[#This Row],[Frequency_of_Purchase]]</f>
        <v>8.3333333333333329E-2</v>
      </c>
      <c r="AZ598">
        <f>tbl_OriginalData[[#This Row],[Customer_Satisfaction]]</f>
        <v>1</v>
      </c>
      <c r="BA598" t="str">
        <f>tbl_OriginalData[[#This Row],[Engagement_with_Ads]]</f>
        <v>None</v>
      </c>
      <c r="BB598" t="str">
        <f>tbl_OriginalData[[#This Row],[Device_Used_for_Shopping]]</f>
        <v>Tablet</v>
      </c>
      <c r="BC598" t="str">
        <f>tbl_OriginalData[[#This Row],[Payment_Method]]</f>
        <v>Debit Card</v>
      </c>
      <c r="BD598" s="1">
        <f>tbl_OriginalData[[#This Row],[Time_of_Purchase]]</f>
        <v>45521</v>
      </c>
      <c r="BE598" t="str">
        <f>IF(tbl_OriginalData[[#This Row],[Discount_Used]]=TRUE,"Yes","No")</f>
        <v>No</v>
      </c>
      <c r="BF598" t="str">
        <f>IF(tbl_OriginalData[[#This Row],[Customer_Loyalty_Program_Member]]=TRUE,"Yes","No")</f>
        <v>No</v>
      </c>
      <c r="BG598" t="str">
        <f>tbl_OriginalData[[#This Row],[Purchase_Intent]]</f>
        <v>Impulsive</v>
      </c>
      <c r="BH598" t="str">
        <f>tbl_OriginalData[[#This Row],[Shipping_Preference]]</f>
        <v>Standard</v>
      </c>
      <c r="BI598">
        <f>tbl_OriginalData[[#This Row],[Time_to_Decision]]</f>
        <v>12</v>
      </c>
      <c r="BJ598" t="s">
        <v>124</v>
      </c>
      <c r="BK598" t="s">
        <v>115</v>
      </c>
      <c r="BL598" t="s">
        <v>2523</v>
      </c>
    </row>
    <row r="599" spans="1:64">
      <c r="A599" t="s">
        <v>1411</v>
      </c>
      <c r="B599">
        <v>18</v>
      </c>
      <c r="C599" t="s">
        <v>33</v>
      </c>
      <c r="D599" t="s">
        <v>34</v>
      </c>
      <c r="E599" t="s">
        <v>92</v>
      </c>
      <c r="F599" t="s">
        <v>52</v>
      </c>
      <c r="G599" t="s">
        <v>51</v>
      </c>
      <c r="H599" t="s">
        <v>1412</v>
      </c>
      <c r="I599" t="s">
        <v>54</v>
      </c>
      <c r="J599">
        <v>218.26</v>
      </c>
      <c r="K599">
        <v>4</v>
      </c>
      <c r="L599" t="s">
        <v>39</v>
      </c>
      <c r="M599">
        <v>3</v>
      </c>
      <c r="N599">
        <v>1</v>
      </c>
      <c r="O599">
        <v>2</v>
      </c>
      <c r="P599" t="s">
        <v>69</v>
      </c>
      <c r="Q599" t="s">
        <v>101</v>
      </c>
      <c r="R599">
        <v>0</v>
      </c>
      <c r="S599">
        <v>8</v>
      </c>
      <c r="T599" t="s">
        <v>51</v>
      </c>
      <c r="U599" t="s">
        <v>70</v>
      </c>
      <c r="V599" t="s">
        <v>71</v>
      </c>
      <c r="W599" s="1">
        <v>45349</v>
      </c>
      <c r="X599" t="b">
        <v>0</v>
      </c>
      <c r="Y599" t="b">
        <v>0</v>
      </c>
      <c r="Z599" t="s">
        <v>59</v>
      </c>
      <c r="AA599" t="s">
        <v>60</v>
      </c>
      <c r="AB599">
        <v>12</v>
      </c>
      <c r="AF599" t="str">
        <f>tbl_OriginalData[[#This Row],[Customer_ID]]</f>
        <v>08-584-8296</v>
      </c>
      <c r="AG599">
        <f>tbl_OriginalData[[#This Row],[Age]]</f>
        <v>18</v>
      </c>
      <c r="AH599" t="str" cm="1">
        <f t="array" ref="AH59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599" t="str">
        <f>tbl_OriginalData[[#This Row],[Gender]]</f>
        <v>Female</v>
      </c>
      <c r="AJ599" t="str">
        <f>tbl_OriginalData[[#This Row],[Income_Level]]</f>
        <v>Middle</v>
      </c>
      <c r="AK599" t="str">
        <f>tbl_OriginalData[[#This Row],[Marital_Status]]</f>
        <v>Divorced</v>
      </c>
      <c r="AL599" t="str">
        <f>tbl_OriginalData[[#This Row],[Education_Level]]</f>
        <v>High School</v>
      </c>
      <c r="AM599" t="str">
        <f>tbl_OriginalData[[#This Row],[Occupation]]</f>
        <v>High</v>
      </c>
      <c r="AN599" t="s">
        <v>1412</v>
      </c>
      <c r="AO599" t="s">
        <v>61</v>
      </c>
      <c r="AP599" t="str">
        <f>tbl_OriginalData[[#This Row],[Purchase_Category]]</f>
        <v>Food &amp; Beverages</v>
      </c>
      <c r="AQ599" s="4">
        <f>tbl_OriginalData[[#This Row],[Purchase_Amount]]</f>
        <v>218.26</v>
      </c>
      <c r="AR599">
        <f>tbl_OriginalData[[#This Row],[Frequency_of_Purchase]]</f>
        <v>4</v>
      </c>
      <c r="AS599" t="str">
        <f>tbl_OriginalData[[#This Row],[Purchase_Channel]]</f>
        <v>Mixed</v>
      </c>
      <c r="AT599">
        <f>tbl_OriginalData[[#This Row],[Brand_Loyalty]]</f>
        <v>3</v>
      </c>
      <c r="AU599">
        <f>tbl_OriginalData[[#This Row],[Product_Rating]]</f>
        <v>1</v>
      </c>
      <c r="AV599">
        <f>tbl_OriginalData[[#This Row],[Time_Spent_on_Product_Research(hours)]]*60</f>
        <v>120</v>
      </c>
      <c r="AW599" t="str">
        <f>tbl_OriginalData[[#This Row],[Social_Media_Influence]]</f>
        <v>Low</v>
      </c>
      <c r="AX599" t="str">
        <f>tbl_OriginalData[[#This Row],[Discount_Sensitivity]]</f>
        <v>Very Sensitive</v>
      </c>
      <c r="AY599" s="3">
        <f>tbl_OriginalData[[#This Row],[Return_Rate]]/tbl_OriginalData[[#This Row],[Frequency_of_Purchase]]</f>
        <v>0</v>
      </c>
      <c r="AZ599">
        <f>tbl_OriginalData[[#This Row],[Customer_Satisfaction]]</f>
        <v>8</v>
      </c>
      <c r="BA599" t="str">
        <f>tbl_OriginalData[[#This Row],[Engagement_with_Ads]]</f>
        <v>High</v>
      </c>
      <c r="BB599" t="str">
        <f>tbl_OriginalData[[#This Row],[Device_Used_for_Shopping]]</f>
        <v>Smartphone</v>
      </c>
      <c r="BC599" t="str">
        <f>tbl_OriginalData[[#This Row],[Payment_Method]]</f>
        <v>Debit Card</v>
      </c>
      <c r="BD599" s="1">
        <f>tbl_OriginalData[[#This Row],[Time_of_Purchase]]</f>
        <v>45349</v>
      </c>
      <c r="BE599" t="str">
        <f>IF(tbl_OriginalData[[#This Row],[Discount_Used]]=TRUE,"Yes","No")</f>
        <v>No</v>
      </c>
      <c r="BF599" t="str">
        <f>IF(tbl_OriginalData[[#This Row],[Customer_Loyalty_Program_Member]]=TRUE,"Yes","No")</f>
        <v>No</v>
      </c>
      <c r="BG599" t="str">
        <f>tbl_OriginalData[[#This Row],[Purchase_Intent]]</f>
        <v>Wants-based</v>
      </c>
      <c r="BH599" t="str">
        <f>tbl_OriginalData[[#This Row],[Shipping_Preference]]</f>
        <v>Standard</v>
      </c>
      <c r="BI599">
        <f>tbl_OriginalData[[#This Row],[Time_to_Decision]]</f>
        <v>12</v>
      </c>
      <c r="BJ599" t="s">
        <v>158</v>
      </c>
      <c r="BK599" t="s">
        <v>48</v>
      </c>
      <c r="BL599" t="s">
        <v>2524</v>
      </c>
    </row>
    <row r="600" spans="1:64">
      <c r="A600" t="s">
        <v>1413</v>
      </c>
      <c r="B600">
        <v>24</v>
      </c>
      <c r="C600" t="s">
        <v>33</v>
      </c>
      <c r="D600" t="s">
        <v>34</v>
      </c>
      <c r="E600" t="s">
        <v>82</v>
      </c>
      <c r="F600" t="s">
        <v>66</v>
      </c>
      <c r="G600" t="s">
        <v>34</v>
      </c>
      <c r="H600" t="s">
        <v>1414</v>
      </c>
      <c r="I600" t="s">
        <v>127</v>
      </c>
      <c r="J600">
        <v>424.18</v>
      </c>
      <c r="K600">
        <v>5</v>
      </c>
      <c r="L600" t="s">
        <v>39</v>
      </c>
      <c r="M600">
        <v>4</v>
      </c>
      <c r="N600">
        <v>4</v>
      </c>
      <c r="O600">
        <v>1</v>
      </c>
      <c r="P600" t="s">
        <v>40</v>
      </c>
      <c r="Q600" t="s">
        <v>57</v>
      </c>
      <c r="R600">
        <v>2</v>
      </c>
      <c r="S600">
        <v>4</v>
      </c>
      <c r="T600" t="s">
        <v>56</v>
      </c>
      <c r="U600" t="s">
        <v>70</v>
      </c>
      <c r="V600" t="s">
        <v>71</v>
      </c>
      <c r="W600" s="1">
        <v>45336</v>
      </c>
      <c r="X600" t="b">
        <v>0</v>
      </c>
      <c r="Y600" t="b">
        <v>1</v>
      </c>
      <c r="Z600" t="s">
        <v>44</v>
      </c>
      <c r="AA600" t="s">
        <v>77</v>
      </c>
      <c r="AB600">
        <v>5</v>
      </c>
      <c r="AF600" t="str">
        <f>tbl_OriginalData[[#This Row],[Customer_ID]]</f>
        <v>81-014-4502</v>
      </c>
      <c r="AG600">
        <f>tbl_OriginalData[[#This Row],[Age]]</f>
        <v>24</v>
      </c>
      <c r="AH600" t="str" cm="1">
        <f t="array" ref="AH60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00" t="str">
        <f>tbl_OriginalData[[#This Row],[Gender]]</f>
        <v>Female</v>
      </c>
      <c r="AJ600" t="str">
        <f>tbl_OriginalData[[#This Row],[Income_Level]]</f>
        <v>Middle</v>
      </c>
      <c r="AK600" t="str">
        <f>tbl_OriginalData[[#This Row],[Marital_Status]]</f>
        <v>Widowed</v>
      </c>
      <c r="AL600" t="str">
        <f>tbl_OriginalData[[#This Row],[Education_Level]]</f>
        <v>Master's</v>
      </c>
      <c r="AM600" t="str">
        <f>tbl_OriginalData[[#This Row],[Occupation]]</f>
        <v>Middle</v>
      </c>
      <c r="AN600" t="s">
        <v>1414</v>
      </c>
      <c r="AO600" t="s">
        <v>766</v>
      </c>
      <c r="AP600" t="str">
        <f>tbl_OriginalData[[#This Row],[Purchase_Category]]</f>
        <v>Animal Feed</v>
      </c>
      <c r="AQ600" s="4">
        <f>tbl_OriginalData[[#This Row],[Purchase_Amount]]</f>
        <v>424.18</v>
      </c>
      <c r="AR600">
        <f>tbl_OriginalData[[#This Row],[Frequency_of_Purchase]]</f>
        <v>5</v>
      </c>
      <c r="AS600" t="str">
        <f>tbl_OriginalData[[#This Row],[Purchase_Channel]]</f>
        <v>Mixed</v>
      </c>
      <c r="AT600">
        <f>tbl_OriginalData[[#This Row],[Brand_Loyalty]]</f>
        <v>4</v>
      </c>
      <c r="AU600">
        <f>tbl_OriginalData[[#This Row],[Product_Rating]]</f>
        <v>4</v>
      </c>
      <c r="AV600">
        <f>tbl_OriginalData[[#This Row],[Time_Spent_on_Product_Research(hours)]]*60</f>
        <v>60</v>
      </c>
      <c r="AW600" t="str">
        <f>tbl_OriginalData[[#This Row],[Social_Media_Influence]]</f>
        <v>None</v>
      </c>
      <c r="AX600" t="str">
        <f>tbl_OriginalData[[#This Row],[Discount_Sensitivity]]</f>
        <v>Not Sensitive</v>
      </c>
      <c r="AY600" s="3">
        <f>tbl_OriginalData[[#This Row],[Return_Rate]]/tbl_OriginalData[[#This Row],[Frequency_of_Purchase]]</f>
        <v>0.4</v>
      </c>
      <c r="AZ600">
        <f>tbl_OriginalData[[#This Row],[Customer_Satisfaction]]</f>
        <v>4</v>
      </c>
      <c r="BA600" t="str">
        <f>tbl_OriginalData[[#This Row],[Engagement_with_Ads]]</f>
        <v>Medium</v>
      </c>
      <c r="BB600" t="str">
        <f>tbl_OriginalData[[#This Row],[Device_Used_for_Shopping]]</f>
        <v>Smartphone</v>
      </c>
      <c r="BC600" t="str">
        <f>tbl_OriginalData[[#This Row],[Payment_Method]]</f>
        <v>Debit Card</v>
      </c>
      <c r="BD600" s="1">
        <f>tbl_OriginalData[[#This Row],[Time_of_Purchase]]</f>
        <v>45336</v>
      </c>
      <c r="BE600" t="str">
        <f>IF(tbl_OriginalData[[#This Row],[Discount_Used]]=TRUE,"Yes","No")</f>
        <v>No</v>
      </c>
      <c r="BF600" t="str">
        <f>IF(tbl_OriginalData[[#This Row],[Customer_Loyalty_Program_Member]]=TRUE,"Yes","No")</f>
        <v>Yes</v>
      </c>
      <c r="BG600" t="str">
        <f>tbl_OriginalData[[#This Row],[Purchase_Intent]]</f>
        <v>Need-based</v>
      </c>
      <c r="BH600" t="str">
        <f>tbl_OriginalData[[#This Row],[Shipping_Preference]]</f>
        <v>Express</v>
      </c>
      <c r="BI600">
        <f>tbl_OriginalData[[#This Row],[Time_to_Decision]]</f>
        <v>5</v>
      </c>
      <c r="BJ600" t="s">
        <v>158</v>
      </c>
      <c r="BK600" t="s">
        <v>48</v>
      </c>
      <c r="BL600" t="s">
        <v>2524</v>
      </c>
    </row>
    <row r="601" spans="1:64">
      <c r="A601" t="s">
        <v>1415</v>
      </c>
      <c r="B601">
        <v>28</v>
      </c>
      <c r="C601" t="s">
        <v>50</v>
      </c>
      <c r="D601" t="s">
        <v>51</v>
      </c>
      <c r="E601" t="s">
        <v>92</v>
      </c>
      <c r="F601" t="s">
        <v>52</v>
      </c>
      <c r="G601" t="s">
        <v>34</v>
      </c>
      <c r="H601" t="s">
        <v>111</v>
      </c>
      <c r="I601" t="s">
        <v>123</v>
      </c>
      <c r="J601">
        <v>430.75</v>
      </c>
      <c r="K601">
        <v>11</v>
      </c>
      <c r="L601" t="s">
        <v>94</v>
      </c>
      <c r="M601">
        <v>1</v>
      </c>
      <c r="N601">
        <v>3</v>
      </c>
      <c r="O601">
        <v>1</v>
      </c>
      <c r="P601" t="s">
        <v>69</v>
      </c>
      <c r="Q601" t="s">
        <v>41</v>
      </c>
      <c r="R601">
        <v>0</v>
      </c>
      <c r="S601">
        <v>8</v>
      </c>
      <c r="T601" t="s">
        <v>51</v>
      </c>
      <c r="U601" t="s">
        <v>42</v>
      </c>
      <c r="V601" t="s">
        <v>43</v>
      </c>
      <c r="W601" s="1">
        <v>45467</v>
      </c>
      <c r="X601" t="b">
        <v>1</v>
      </c>
      <c r="Y601" t="b">
        <v>0</v>
      </c>
      <c r="Z601" t="s">
        <v>89</v>
      </c>
      <c r="AA601" t="s">
        <v>45</v>
      </c>
      <c r="AB601">
        <v>6</v>
      </c>
      <c r="AF601" t="str">
        <f>tbl_OriginalData[[#This Row],[Customer_ID]]</f>
        <v>65-167-9819</v>
      </c>
      <c r="AG601">
        <f>tbl_OriginalData[[#This Row],[Age]]</f>
        <v>28</v>
      </c>
      <c r="AH601" t="str" cm="1">
        <f t="array" ref="AH60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01" t="str">
        <f>tbl_OriginalData[[#This Row],[Gender]]</f>
        <v>Male</v>
      </c>
      <c r="AJ601" t="str">
        <f>tbl_OriginalData[[#This Row],[Income_Level]]</f>
        <v>High</v>
      </c>
      <c r="AK601" t="str">
        <f>tbl_OriginalData[[#This Row],[Marital_Status]]</f>
        <v>Divorced</v>
      </c>
      <c r="AL601" t="str">
        <f>tbl_OriginalData[[#This Row],[Education_Level]]</f>
        <v>High School</v>
      </c>
      <c r="AM601" t="str">
        <f>tbl_OriginalData[[#This Row],[Occupation]]</f>
        <v>Middle</v>
      </c>
      <c r="AN601" t="s">
        <v>111</v>
      </c>
      <c r="AO601" t="s">
        <v>113</v>
      </c>
      <c r="AP601" t="str">
        <f>tbl_OriginalData[[#This Row],[Purchase_Category]]</f>
        <v>Luxury Goods</v>
      </c>
      <c r="AQ601" s="4">
        <f>tbl_OriginalData[[#This Row],[Purchase_Amount]]</f>
        <v>430.75</v>
      </c>
      <c r="AR601">
        <f>tbl_OriginalData[[#This Row],[Frequency_of_Purchase]]</f>
        <v>11</v>
      </c>
      <c r="AS601" t="str">
        <f>tbl_OriginalData[[#This Row],[Purchase_Channel]]</f>
        <v>Online</v>
      </c>
      <c r="AT601">
        <f>tbl_OriginalData[[#This Row],[Brand_Loyalty]]</f>
        <v>1</v>
      </c>
      <c r="AU601">
        <f>tbl_OriginalData[[#This Row],[Product_Rating]]</f>
        <v>3</v>
      </c>
      <c r="AV601">
        <f>tbl_OriginalData[[#This Row],[Time_Spent_on_Product_Research(hours)]]*60</f>
        <v>60</v>
      </c>
      <c r="AW601" t="str">
        <f>tbl_OriginalData[[#This Row],[Social_Media_Influence]]</f>
        <v>Low</v>
      </c>
      <c r="AX601" t="str">
        <f>tbl_OriginalData[[#This Row],[Discount_Sensitivity]]</f>
        <v>Somewhat Sensitive</v>
      </c>
      <c r="AY601" s="3">
        <f>tbl_OriginalData[[#This Row],[Return_Rate]]/tbl_OriginalData[[#This Row],[Frequency_of_Purchase]]</f>
        <v>0</v>
      </c>
      <c r="AZ601">
        <f>tbl_OriginalData[[#This Row],[Customer_Satisfaction]]</f>
        <v>8</v>
      </c>
      <c r="BA601" t="str">
        <f>tbl_OriginalData[[#This Row],[Engagement_with_Ads]]</f>
        <v>High</v>
      </c>
      <c r="BB601" t="str">
        <f>tbl_OriginalData[[#This Row],[Device_Used_for_Shopping]]</f>
        <v>Tablet</v>
      </c>
      <c r="BC601" t="str">
        <f>tbl_OriginalData[[#This Row],[Payment_Method]]</f>
        <v>Credit Card</v>
      </c>
      <c r="BD601" s="1">
        <f>tbl_OriginalData[[#This Row],[Time_of_Purchase]]</f>
        <v>45467</v>
      </c>
      <c r="BE601" t="str">
        <f>IF(tbl_OriginalData[[#This Row],[Discount_Used]]=TRUE,"Yes","No")</f>
        <v>Yes</v>
      </c>
      <c r="BF601" t="str">
        <f>IF(tbl_OriginalData[[#This Row],[Customer_Loyalty_Program_Member]]=TRUE,"Yes","No")</f>
        <v>No</v>
      </c>
      <c r="BG601" t="str">
        <f>tbl_OriginalData[[#This Row],[Purchase_Intent]]</f>
        <v>Planned</v>
      </c>
      <c r="BH601" t="str">
        <f>tbl_OriginalData[[#This Row],[Shipping_Preference]]</f>
        <v>No Preference</v>
      </c>
      <c r="BI601">
        <f>tbl_OriginalData[[#This Row],[Time_to_Decision]]</f>
        <v>6</v>
      </c>
      <c r="BJ601" t="s">
        <v>104</v>
      </c>
      <c r="BK601" t="s">
        <v>63</v>
      </c>
      <c r="BL601" t="s">
        <v>2525</v>
      </c>
    </row>
    <row r="602" spans="1:64">
      <c r="A602" t="s">
        <v>1416</v>
      </c>
      <c r="B602">
        <v>24</v>
      </c>
      <c r="C602" t="s">
        <v>50</v>
      </c>
      <c r="D602" t="s">
        <v>51</v>
      </c>
      <c r="E602" t="s">
        <v>65</v>
      </c>
      <c r="F602" t="s">
        <v>36</v>
      </c>
      <c r="G602" t="s">
        <v>34</v>
      </c>
      <c r="H602" t="s">
        <v>1417</v>
      </c>
      <c r="I602" t="s">
        <v>112</v>
      </c>
      <c r="J602">
        <v>162.94999999999999</v>
      </c>
      <c r="K602">
        <v>11</v>
      </c>
      <c r="L602" t="s">
        <v>55</v>
      </c>
      <c r="M602">
        <v>1</v>
      </c>
      <c r="N602">
        <v>2</v>
      </c>
      <c r="O602">
        <v>2</v>
      </c>
      <c r="P602" t="s">
        <v>51</v>
      </c>
      <c r="Q602" t="s">
        <v>101</v>
      </c>
      <c r="R602">
        <v>1</v>
      </c>
      <c r="S602">
        <v>8</v>
      </c>
      <c r="T602" t="s">
        <v>69</v>
      </c>
      <c r="U602" t="s">
        <v>95</v>
      </c>
      <c r="V602" t="s">
        <v>102</v>
      </c>
      <c r="W602" s="1">
        <v>45494</v>
      </c>
      <c r="X602" t="b">
        <v>0</v>
      </c>
      <c r="Y602" t="b">
        <v>1</v>
      </c>
      <c r="Z602" t="s">
        <v>72</v>
      </c>
      <c r="AA602" t="s">
        <v>77</v>
      </c>
      <c r="AB602">
        <v>14</v>
      </c>
      <c r="AF602" t="str">
        <f>tbl_OriginalData[[#This Row],[Customer_ID]]</f>
        <v>19-925-2376</v>
      </c>
      <c r="AG602">
        <f>tbl_OriginalData[[#This Row],[Age]]</f>
        <v>24</v>
      </c>
      <c r="AH602" t="str" cm="1">
        <f t="array" ref="AH60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02" t="str">
        <f>tbl_OriginalData[[#This Row],[Gender]]</f>
        <v>Male</v>
      </c>
      <c r="AJ602" t="str">
        <f>tbl_OriginalData[[#This Row],[Income_Level]]</f>
        <v>High</v>
      </c>
      <c r="AK602" t="str">
        <f>tbl_OriginalData[[#This Row],[Marital_Status]]</f>
        <v>Single</v>
      </c>
      <c r="AL602" t="str">
        <f>tbl_OriginalData[[#This Row],[Education_Level]]</f>
        <v>Bachelor's</v>
      </c>
      <c r="AM602" t="str">
        <f>tbl_OriginalData[[#This Row],[Occupation]]</f>
        <v>Middle</v>
      </c>
      <c r="AN602" t="s">
        <v>1417</v>
      </c>
      <c r="AO602" t="s">
        <v>90</v>
      </c>
      <c r="AP602" t="str">
        <f>tbl_OriginalData[[#This Row],[Purchase_Category]]</f>
        <v>Mobile Accessories</v>
      </c>
      <c r="AQ602" s="4">
        <f>tbl_OriginalData[[#This Row],[Purchase_Amount]]</f>
        <v>162.94999999999999</v>
      </c>
      <c r="AR602">
        <f>tbl_OriginalData[[#This Row],[Frequency_of_Purchase]]</f>
        <v>11</v>
      </c>
      <c r="AS602" t="str">
        <f>tbl_OriginalData[[#This Row],[Purchase_Channel]]</f>
        <v>In-Store</v>
      </c>
      <c r="AT602">
        <f>tbl_OriginalData[[#This Row],[Brand_Loyalty]]</f>
        <v>1</v>
      </c>
      <c r="AU602">
        <f>tbl_OriginalData[[#This Row],[Product_Rating]]</f>
        <v>2</v>
      </c>
      <c r="AV602">
        <f>tbl_OriginalData[[#This Row],[Time_Spent_on_Product_Research(hours)]]*60</f>
        <v>120</v>
      </c>
      <c r="AW602" t="str">
        <f>tbl_OriginalData[[#This Row],[Social_Media_Influence]]</f>
        <v>High</v>
      </c>
      <c r="AX602" t="str">
        <f>tbl_OriginalData[[#This Row],[Discount_Sensitivity]]</f>
        <v>Very Sensitive</v>
      </c>
      <c r="AY602" s="3">
        <f>tbl_OriginalData[[#This Row],[Return_Rate]]/tbl_OriginalData[[#This Row],[Frequency_of_Purchase]]</f>
        <v>9.0909090909090912E-2</v>
      </c>
      <c r="AZ602">
        <f>tbl_OriginalData[[#This Row],[Customer_Satisfaction]]</f>
        <v>8</v>
      </c>
      <c r="BA602" t="str">
        <f>tbl_OriginalData[[#This Row],[Engagement_with_Ads]]</f>
        <v>Low</v>
      </c>
      <c r="BB602" t="str">
        <f>tbl_OriginalData[[#This Row],[Device_Used_for_Shopping]]</f>
        <v>Desktop</v>
      </c>
      <c r="BC602" t="str">
        <f>tbl_OriginalData[[#This Row],[Payment_Method]]</f>
        <v>Cash</v>
      </c>
      <c r="BD602" s="1">
        <f>tbl_OriginalData[[#This Row],[Time_of_Purchase]]</f>
        <v>45494</v>
      </c>
      <c r="BE602" t="str">
        <f>IF(tbl_OriginalData[[#This Row],[Discount_Used]]=TRUE,"Yes","No")</f>
        <v>No</v>
      </c>
      <c r="BF602" t="str">
        <f>IF(tbl_OriginalData[[#This Row],[Customer_Loyalty_Program_Member]]=TRUE,"Yes","No")</f>
        <v>Yes</v>
      </c>
      <c r="BG602" t="str">
        <f>tbl_OriginalData[[#This Row],[Purchase_Intent]]</f>
        <v>Impulsive</v>
      </c>
      <c r="BH602" t="str">
        <f>tbl_OriginalData[[#This Row],[Shipping_Preference]]</f>
        <v>Express</v>
      </c>
      <c r="BI602">
        <f>tbl_OriginalData[[#This Row],[Time_to_Decision]]</f>
        <v>14</v>
      </c>
      <c r="BJ602" t="s">
        <v>114</v>
      </c>
      <c r="BK602" t="s">
        <v>115</v>
      </c>
      <c r="BL602" t="s">
        <v>2524</v>
      </c>
    </row>
    <row r="603" spans="1:64">
      <c r="A603" t="s">
        <v>1418</v>
      </c>
      <c r="B603">
        <v>40</v>
      </c>
      <c r="C603" t="s">
        <v>33</v>
      </c>
      <c r="D603" t="s">
        <v>34</v>
      </c>
      <c r="E603" t="s">
        <v>35</v>
      </c>
      <c r="F603" t="s">
        <v>66</v>
      </c>
      <c r="G603" t="s">
        <v>51</v>
      </c>
      <c r="H603" t="s">
        <v>1419</v>
      </c>
      <c r="I603" t="s">
        <v>180</v>
      </c>
      <c r="J603">
        <v>209.68</v>
      </c>
      <c r="K603">
        <v>2</v>
      </c>
      <c r="L603" t="s">
        <v>94</v>
      </c>
      <c r="M603">
        <v>3</v>
      </c>
      <c r="N603">
        <v>1</v>
      </c>
      <c r="O603">
        <v>1</v>
      </c>
      <c r="P603" t="s">
        <v>40</v>
      </c>
      <c r="Q603" t="s">
        <v>57</v>
      </c>
      <c r="R603">
        <v>0</v>
      </c>
      <c r="S603">
        <v>1</v>
      </c>
      <c r="T603" t="s">
        <v>56</v>
      </c>
      <c r="U603" t="s">
        <v>70</v>
      </c>
      <c r="V603" t="s">
        <v>76</v>
      </c>
      <c r="W603" s="1">
        <v>45473</v>
      </c>
      <c r="X603" t="b">
        <v>0</v>
      </c>
      <c r="Y603" t="b">
        <v>1</v>
      </c>
      <c r="Z603" t="s">
        <v>72</v>
      </c>
      <c r="AA603" t="s">
        <v>77</v>
      </c>
      <c r="AB603">
        <v>8</v>
      </c>
      <c r="AF603" t="str">
        <f>tbl_OriginalData[[#This Row],[Customer_ID]]</f>
        <v>03-669-7519</v>
      </c>
      <c r="AG603">
        <f>tbl_OriginalData[[#This Row],[Age]]</f>
        <v>40</v>
      </c>
      <c r="AH603" t="str" cm="1">
        <f t="array" ref="AH60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03" t="str">
        <f>tbl_OriginalData[[#This Row],[Gender]]</f>
        <v>Female</v>
      </c>
      <c r="AJ603" t="str">
        <f>tbl_OriginalData[[#This Row],[Income_Level]]</f>
        <v>Middle</v>
      </c>
      <c r="AK603" t="str">
        <f>tbl_OriginalData[[#This Row],[Marital_Status]]</f>
        <v>Married</v>
      </c>
      <c r="AL603" t="str">
        <f>tbl_OriginalData[[#This Row],[Education_Level]]</f>
        <v>Master's</v>
      </c>
      <c r="AM603" t="str">
        <f>tbl_OriginalData[[#This Row],[Occupation]]</f>
        <v>High</v>
      </c>
      <c r="AN603" t="s">
        <v>1419</v>
      </c>
      <c r="AO603" t="s">
        <v>61</v>
      </c>
      <c r="AP603" t="str">
        <f>tbl_OriginalData[[#This Row],[Purchase_Category]]</f>
        <v>Health Supplements</v>
      </c>
      <c r="AQ603" s="4">
        <f>tbl_OriginalData[[#This Row],[Purchase_Amount]]</f>
        <v>209.68</v>
      </c>
      <c r="AR603">
        <f>tbl_OriginalData[[#This Row],[Frequency_of_Purchase]]</f>
        <v>2</v>
      </c>
      <c r="AS603" t="str">
        <f>tbl_OriginalData[[#This Row],[Purchase_Channel]]</f>
        <v>Online</v>
      </c>
      <c r="AT603">
        <f>tbl_OriginalData[[#This Row],[Brand_Loyalty]]</f>
        <v>3</v>
      </c>
      <c r="AU603">
        <f>tbl_OriginalData[[#This Row],[Product_Rating]]</f>
        <v>1</v>
      </c>
      <c r="AV603">
        <f>tbl_OriginalData[[#This Row],[Time_Spent_on_Product_Research(hours)]]*60</f>
        <v>60</v>
      </c>
      <c r="AW603" t="str">
        <f>tbl_OriginalData[[#This Row],[Social_Media_Influence]]</f>
        <v>None</v>
      </c>
      <c r="AX603" t="str">
        <f>tbl_OriginalData[[#This Row],[Discount_Sensitivity]]</f>
        <v>Not Sensitive</v>
      </c>
      <c r="AY603" s="3">
        <f>tbl_OriginalData[[#This Row],[Return_Rate]]/tbl_OriginalData[[#This Row],[Frequency_of_Purchase]]</f>
        <v>0</v>
      </c>
      <c r="AZ603">
        <f>tbl_OriginalData[[#This Row],[Customer_Satisfaction]]</f>
        <v>1</v>
      </c>
      <c r="BA603" t="str">
        <f>tbl_OriginalData[[#This Row],[Engagement_with_Ads]]</f>
        <v>Medium</v>
      </c>
      <c r="BB603" t="str">
        <f>tbl_OriginalData[[#This Row],[Device_Used_for_Shopping]]</f>
        <v>Smartphone</v>
      </c>
      <c r="BC603" t="str">
        <f>tbl_OriginalData[[#This Row],[Payment_Method]]</f>
        <v>Other</v>
      </c>
      <c r="BD603" s="1">
        <f>tbl_OriginalData[[#This Row],[Time_of_Purchase]]</f>
        <v>45473</v>
      </c>
      <c r="BE603" t="str">
        <f>IF(tbl_OriginalData[[#This Row],[Discount_Used]]=TRUE,"Yes","No")</f>
        <v>No</v>
      </c>
      <c r="BF603" t="str">
        <f>IF(tbl_OriginalData[[#This Row],[Customer_Loyalty_Program_Member]]=TRUE,"Yes","No")</f>
        <v>Yes</v>
      </c>
      <c r="BG603" t="str">
        <f>tbl_OriginalData[[#This Row],[Purchase_Intent]]</f>
        <v>Impulsive</v>
      </c>
      <c r="BH603" t="str">
        <f>tbl_OriginalData[[#This Row],[Shipping_Preference]]</f>
        <v>Express</v>
      </c>
      <c r="BI603">
        <f>tbl_OriginalData[[#This Row],[Time_to_Decision]]</f>
        <v>8</v>
      </c>
      <c r="BJ603" t="s">
        <v>104</v>
      </c>
      <c r="BK603" t="s">
        <v>63</v>
      </c>
      <c r="BL603" t="s">
        <v>2524</v>
      </c>
    </row>
    <row r="604" spans="1:64">
      <c r="A604" t="s">
        <v>1420</v>
      </c>
      <c r="B604">
        <v>50</v>
      </c>
      <c r="C604" t="s">
        <v>50</v>
      </c>
      <c r="D604" t="s">
        <v>51</v>
      </c>
      <c r="E604" t="s">
        <v>82</v>
      </c>
      <c r="F604" t="s">
        <v>36</v>
      </c>
      <c r="G604" t="s">
        <v>34</v>
      </c>
      <c r="H604" t="s">
        <v>1421</v>
      </c>
      <c r="I604" t="s">
        <v>235</v>
      </c>
      <c r="J604">
        <v>97.97</v>
      </c>
      <c r="K604">
        <v>2</v>
      </c>
      <c r="L604" t="s">
        <v>55</v>
      </c>
      <c r="M604">
        <v>5</v>
      </c>
      <c r="N604">
        <v>5</v>
      </c>
      <c r="O604">
        <v>1</v>
      </c>
      <c r="P604" t="s">
        <v>69</v>
      </c>
      <c r="Q604" t="s">
        <v>41</v>
      </c>
      <c r="R604">
        <v>0</v>
      </c>
      <c r="S604">
        <v>10</v>
      </c>
      <c r="T604" t="s">
        <v>40</v>
      </c>
      <c r="U604" t="s">
        <v>95</v>
      </c>
      <c r="V604" t="s">
        <v>43</v>
      </c>
      <c r="W604" s="1">
        <v>45568</v>
      </c>
      <c r="X604" t="b">
        <v>1</v>
      </c>
      <c r="Y604" t="b">
        <v>0</v>
      </c>
      <c r="Z604" t="s">
        <v>89</v>
      </c>
      <c r="AA604" t="s">
        <v>45</v>
      </c>
      <c r="AB604">
        <v>1</v>
      </c>
      <c r="AF604" t="str">
        <f>tbl_OriginalData[[#This Row],[Customer_ID]]</f>
        <v>00-520-4376</v>
      </c>
      <c r="AG604">
        <f>tbl_OriginalData[[#This Row],[Age]]</f>
        <v>50</v>
      </c>
      <c r="AH604" t="str" cm="1">
        <f t="array" ref="AH60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04" t="str">
        <f>tbl_OriginalData[[#This Row],[Gender]]</f>
        <v>Male</v>
      </c>
      <c r="AJ604" t="str">
        <f>tbl_OriginalData[[#This Row],[Income_Level]]</f>
        <v>High</v>
      </c>
      <c r="AK604" t="str">
        <f>tbl_OriginalData[[#This Row],[Marital_Status]]</f>
        <v>Widowed</v>
      </c>
      <c r="AL604" t="str">
        <f>tbl_OriginalData[[#This Row],[Education_Level]]</f>
        <v>Bachelor's</v>
      </c>
      <c r="AM604" t="str">
        <f>tbl_OriginalData[[#This Row],[Occupation]]</f>
        <v>Middle</v>
      </c>
      <c r="AN604" t="s">
        <v>1421</v>
      </c>
      <c r="AO604" t="s">
        <v>1422</v>
      </c>
      <c r="AP604" t="str">
        <f>tbl_OriginalData[[#This Row],[Purchase_Category]]</f>
        <v>Beauty &amp; Personal Care</v>
      </c>
      <c r="AQ604" s="4">
        <f>tbl_OriginalData[[#This Row],[Purchase_Amount]]</f>
        <v>97.97</v>
      </c>
      <c r="AR604">
        <f>tbl_OriginalData[[#This Row],[Frequency_of_Purchase]]</f>
        <v>2</v>
      </c>
      <c r="AS604" t="str">
        <f>tbl_OriginalData[[#This Row],[Purchase_Channel]]</f>
        <v>In-Store</v>
      </c>
      <c r="AT604">
        <f>tbl_OriginalData[[#This Row],[Brand_Loyalty]]</f>
        <v>5</v>
      </c>
      <c r="AU604">
        <f>tbl_OriginalData[[#This Row],[Product_Rating]]</f>
        <v>5</v>
      </c>
      <c r="AV604">
        <f>tbl_OriginalData[[#This Row],[Time_Spent_on_Product_Research(hours)]]*60</f>
        <v>60</v>
      </c>
      <c r="AW604" t="str">
        <f>tbl_OriginalData[[#This Row],[Social_Media_Influence]]</f>
        <v>Low</v>
      </c>
      <c r="AX604" t="str">
        <f>tbl_OriginalData[[#This Row],[Discount_Sensitivity]]</f>
        <v>Somewhat Sensitive</v>
      </c>
      <c r="AY604" s="3">
        <f>tbl_OriginalData[[#This Row],[Return_Rate]]/tbl_OriginalData[[#This Row],[Frequency_of_Purchase]]</f>
        <v>0</v>
      </c>
      <c r="AZ604">
        <f>tbl_OriginalData[[#This Row],[Customer_Satisfaction]]</f>
        <v>10</v>
      </c>
      <c r="BA604" t="str">
        <f>tbl_OriginalData[[#This Row],[Engagement_with_Ads]]</f>
        <v>None</v>
      </c>
      <c r="BB604" t="str">
        <f>tbl_OriginalData[[#This Row],[Device_Used_for_Shopping]]</f>
        <v>Desktop</v>
      </c>
      <c r="BC604" t="str">
        <f>tbl_OriginalData[[#This Row],[Payment_Method]]</f>
        <v>Credit Card</v>
      </c>
      <c r="BD604" s="1">
        <f>tbl_OriginalData[[#This Row],[Time_of_Purchase]]</f>
        <v>45568</v>
      </c>
      <c r="BE604" t="str">
        <f>IF(tbl_OriginalData[[#This Row],[Discount_Used]]=TRUE,"Yes","No")</f>
        <v>Yes</v>
      </c>
      <c r="BF604" t="str">
        <f>IF(tbl_OriginalData[[#This Row],[Customer_Loyalty_Program_Member]]=TRUE,"Yes","No")</f>
        <v>No</v>
      </c>
      <c r="BG604" t="str">
        <f>tbl_OriginalData[[#This Row],[Purchase_Intent]]</f>
        <v>Planned</v>
      </c>
      <c r="BH604" t="str">
        <f>tbl_OriginalData[[#This Row],[Shipping_Preference]]</f>
        <v>No Preference</v>
      </c>
      <c r="BI604">
        <f>tbl_OriginalData[[#This Row],[Time_to_Decision]]</f>
        <v>1</v>
      </c>
      <c r="BJ604" t="s">
        <v>79</v>
      </c>
      <c r="BK604" t="s">
        <v>80</v>
      </c>
      <c r="BL604" t="s">
        <v>2528</v>
      </c>
    </row>
    <row r="605" spans="1:64">
      <c r="A605" t="s">
        <v>1423</v>
      </c>
      <c r="B605">
        <v>49</v>
      </c>
      <c r="C605" t="s">
        <v>50</v>
      </c>
      <c r="D605" t="s">
        <v>34</v>
      </c>
      <c r="E605" t="s">
        <v>82</v>
      </c>
      <c r="F605" t="s">
        <v>66</v>
      </c>
      <c r="G605" t="s">
        <v>51</v>
      </c>
      <c r="H605" t="s">
        <v>1424</v>
      </c>
      <c r="I605" t="s">
        <v>98</v>
      </c>
      <c r="J605">
        <v>192.51</v>
      </c>
      <c r="K605">
        <v>9</v>
      </c>
      <c r="L605" t="s">
        <v>39</v>
      </c>
      <c r="M605">
        <v>2</v>
      </c>
      <c r="N605">
        <v>5</v>
      </c>
      <c r="O605">
        <v>2</v>
      </c>
      <c r="P605" t="s">
        <v>56</v>
      </c>
      <c r="Q605" t="s">
        <v>101</v>
      </c>
      <c r="R605">
        <v>0</v>
      </c>
      <c r="S605">
        <v>2</v>
      </c>
      <c r="T605" t="s">
        <v>56</v>
      </c>
      <c r="U605" t="s">
        <v>70</v>
      </c>
      <c r="V605" t="s">
        <v>43</v>
      </c>
      <c r="W605" s="1">
        <v>45527</v>
      </c>
      <c r="X605" t="b">
        <v>1</v>
      </c>
      <c r="Y605" t="b">
        <v>0</v>
      </c>
      <c r="Z605" t="s">
        <v>44</v>
      </c>
      <c r="AA605" t="s">
        <v>60</v>
      </c>
      <c r="AB605">
        <v>9</v>
      </c>
      <c r="AF605" t="str">
        <f>tbl_OriginalData[[#This Row],[Customer_ID]]</f>
        <v>62-701-1037</v>
      </c>
      <c r="AG605">
        <f>tbl_OriginalData[[#This Row],[Age]]</f>
        <v>49</v>
      </c>
      <c r="AH605" t="str" cm="1">
        <f t="array" ref="AH60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05" t="str">
        <f>tbl_OriginalData[[#This Row],[Gender]]</f>
        <v>Male</v>
      </c>
      <c r="AJ605" t="str">
        <f>tbl_OriginalData[[#This Row],[Income_Level]]</f>
        <v>Middle</v>
      </c>
      <c r="AK605" t="str">
        <f>tbl_OriginalData[[#This Row],[Marital_Status]]</f>
        <v>Widowed</v>
      </c>
      <c r="AL605" t="str">
        <f>tbl_OriginalData[[#This Row],[Education_Level]]</f>
        <v>Master's</v>
      </c>
      <c r="AM605" t="str">
        <f>tbl_OriginalData[[#This Row],[Occupation]]</f>
        <v>High</v>
      </c>
      <c r="AN605" t="s">
        <v>1424</v>
      </c>
      <c r="AO605" t="s">
        <v>386</v>
      </c>
      <c r="AP605" t="str">
        <f>tbl_OriginalData[[#This Row],[Purchase_Category]]</f>
        <v>Books</v>
      </c>
      <c r="AQ605" s="4">
        <f>tbl_OriginalData[[#This Row],[Purchase_Amount]]</f>
        <v>192.51</v>
      </c>
      <c r="AR605">
        <f>tbl_OriginalData[[#This Row],[Frequency_of_Purchase]]</f>
        <v>9</v>
      </c>
      <c r="AS605" t="str">
        <f>tbl_OriginalData[[#This Row],[Purchase_Channel]]</f>
        <v>Mixed</v>
      </c>
      <c r="AT605">
        <f>tbl_OriginalData[[#This Row],[Brand_Loyalty]]</f>
        <v>2</v>
      </c>
      <c r="AU605">
        <f>tbl_OriginalData[[#This Row],[Product_Rating]]</f>
        <v>5</v>
      </c>
      <c r="AV605">
        <f>tbl_OriginalData[[#This Row],[Time_Spent_on_Product_Research(hours)]]*60</f>
        <v>120</v>
      </c>
      <c r="AW605" t="str">
        <f>tbl_OriginalData[[#This Row],[Social_Media_Influence]]</f>
        <v>Medium</v>
      </c>
      <c r="AX605" t="str">
        <f>tbl_OriginalData[[#This Row],[Discount_Sensitivity]]</f>
        <v>Very Sensitive</v>
      </c>
      <c r="AY605" s="3">
        <f>tbl_OriginalData[[#This Row],[Return_Rate]]/tbl_OriginalData[[#This Row],[Frequency_of_Purchase]]</f>
        <v>0</v>
      </c>
      <c r="AZ605">
        <f>tbl_OriginalData[[#This Row],[Customer_Satisfaction]]</f>
        <v>2</v>
      </c>
      <c r="BA605" t="str">
        <f>tbl_OriginalData[[#This Row],[Engagement_with_Ads]]</f>
        <v>Medium</v>
      </c>
      <c r="BB605" t="str">
        <f>tbl_OriginalData[[#This Row],[Device_Used_for_Shopping]]</f>
        <v>Smartphone</v>
      </c>
      <c r="BC605" t="str">
        <f>tbl_OriginalData[[#This Row],[Payment_Method]]</f>
        <v>Credit Card</v>
      </c>
      <c r="BD605" s="1">
        <f>tbl_OriginalData[[#This Row],[Time_of_Purchase]]</f>
        <v>45527</v>
      </c>
      <c r="BE605" t="str">
        <f>IF(tbl_OriginalData[[#This Row],[Discount_Used]]=TRUE,"Yes","No")</f>
        <v>Yes</v>
      </c>
      <c r="BF605" t="str">
        <f>IF(tbl_OriginalData[[#This Row],[Customer_Loyalty_Program_Member]]=TRUE,"Yes","No")</f>
        <v>No</v>
      </c>
      <c r="BG605" t="str">
        <f>tbl_OriginalData[[#This Row],[Purchase_Intent]]</f>
        <v>Need-based</v>
      </c>
      <c r="BH605" t="str">
        <f>tbl_OriginalData[[#This Row],[Shipping_Preference]]</f>
        <v>Standard</v>
      </c>
      <c r="BI605">
        <f>tbl_OriginalData[[#This Row],[Time_to_Decision]]</f>
        <v>9</v>
      </c>
      <c r="BJ605" t="s">
        <v>124</v>
      </c>
      <c r="BK605" t="s">
        <v>115</v>
      </c>
      <c r="BL605" t="s">
        <v>2523</v>
      </c>
    </row>
    <row r="606" spans="1:64">
      <c r="A606" t="s">
        <v>1425</v>
      </c>
      <c r="B606">
        <v>35</v>
      </c>
      <c r="C606" t="s">
        <v>50</v>
      </c>
      <c r="D606" t="s">
        <v>34</v>
      </c>
      <c r="E606" t="s">
        <v>82</v>
      </c>
      <c r="F606" t="s">
        <v>66</v>
      </c>
      <c r="G606" t="s">
        <v>34</v>
      </c>
      <c r="H606" t="s">
        <v>1401</v>
      </c>
      <c r="I606" t="s">
        <v>147</v>
      </c>
      <c r="J606">
        <v>151.81</v>
      </c>
      <c r="K606">
        <v>8</v>
      </c>
      <c r="L606" t="s">
        <v>94</v>
      </c>
      <c r="M606">
        <v>3</v>
      </c>
      <c r="N606">
        <v>4</v>
      </c>
      <c r="O606">
        <v>0</v>
      </c>
      <c r="P606" t="s">
        <v>56</v>
      </c>
      <c r="Q606" t="s">
        <v>57</v>
      </c>
      <c r="R606">
        <v>1</v>
      </c>
      <c r="S606">
        <v>10</v>
      </c>
      <c r="T606" t="s">
        <v>40</v>
      </c>
      <c r="U606" t="s">
        <v>42</v>
      </c>
      <c r="V606" t="s">
        <v>71</v>
      </c>
      <c r="W606" s="1">
        <v>45304</v>
      </c>
      <c r="X606" t="b">
        <v>0</v>
      </c>
      <c r="Y606" t="b">
        <v>0</v>
      </c>
      <c r="Z606" t="s">
        <v>89</v>
      </c>
      <c r="AA606" t="s">
        <v>45</v>
      </c>
      <c r="AB606">
        <v>1</v>
      </c>
      <c r="AF606" t="str">
        <f>tbl_OriginalData[[#This Row],[Customer_ID]]</f>
        <v>87-806-4478</v>
      </c>
      <c r="AG606">
        <f>tbl_OriginalData[[#This Row],[Age]]</f>
        <v>35</v>
      </c>
      <c r="AH606" t="str" cm="1">
        <f t="array" ref="AH60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06" t="str">
        <f>tbl_OriginalData[[#This Row],[Gender]]</f>
        <v>Male</v>
      </c>
      <c r="AJ606" t="str">
        <f>tbl_OriginalData[[#This Row],[Income_Level]]</f>
        <v>Middle</v>
      </c>
      <c r="AK606" t="str">
        <f>tbl_OriginalData[[#This Row],[Marital_Status]]</f>
        <v>Widowed</v>
      </c>
      <c r="AL606" t="str">
        <f>tbl_OriginalData[[#This Row],[Education_Level]]</f>
        <v>Master's</v>
      </c>
      <c r="AM606" t="str">
        <f>tbl_OriginalData[[#This Row],[Occupation]]</f>
        <v>Middle</v>
      </c>
      <c r="AN606" t="s">
        <v>1401</v>
      </c>
      <c r="AO606" t="s">
        <v>164</v>
      </c>
      <c r="AP606" t="str">
        <f>tbl_OriginalData[[#This Row],[Purchase_Category]]</f>
        <v>Electronics</v>
      </c>
      <c r="AQ606" s="4">
        <f>tbl_OriginalData[[#This Row],[Purchase_Amount]]</f>
        <v>151.81</v>
      </c>
      <c r="AR606">
        <f>tbl_OriginalData[[#This Row],[Frequency_of_Purchase]]</f>
        <v>8</v>
      </c>
      <c r="AS606" t="str">
        <f>tbl_OriginalData[[#This Row],[Purchase_Channel]]</f>
        <v>Online</v>
      </c>
      <c r="AT606">
        <f>tbl_OriginalData[[#This Row],[Brand_Loyalty]]</f>
        <v>3</v>
      </c>
      <c r="AU606">
        <f>tbl_OriginalData[[#This Row],[Product_Rating]]</f>
        <v>4</v>
      </c>
      <c r="AV606">
        <f>tbl_OriginalData[[#This Row],[Time_Spent_on_Product_Research(hours)]]*60</f>
        <v>0</v>
      </c>
      <c r="AW606" t="str">
        <f>tbl_OriginalData[[#This Row],[Social_Media_Influence]]</f>
        <v>Medium</v>
      </c>
      <c r="AX606" t="str">
        <f>tbl_OriginalData[[#This Row],[Discount_Sensitivity]]</f>
        <v>Not Sensitive</v>
      </c>
      <c r="AY606" s="3">
        <f>tbl_OriginalData[[#This Row],[Return_Rate]]/tbl_OriginalData[[#This Row],[Frequency_of_Purchase]]</f>
        <v>0.125</v>
      </c>
      <c r="AZ606">
        <f>tbl_OriginalData[[#This Row],[Customer_Satisfaction]]</f>
        <v>10</v>
      </c>
      <c r="BA606" t="str">
        <f>tbl_OriginalData[[#This Row],[Engagement_with_Ads]]</f>
        <v>None</v>
      </c>
      <c r="BB606" t="str">
        <f>tbl_OriginalData[[#This Row],[Device_Used_for_Shopping]]</f>
        <v>Tablet</v>
      </c>
      <c r="BC606" t="str">
        <f>tbl_OriginalData[[#This Row],[Payment_Method]]</f>
        <v>Debit Card</v>
      </c>
      <c r="BD606" s="1">
        <f>tbl_OriginalData[[#This Row],[Time_of_Purchase]]</f>
        <v>45304</v>
      </c>
      <c r="BE606" t="str">
        <f>IF(tbl_OriginalData[[#This Row],[Discount_Used]]=TRUE,"Yes","No")</f>
        <v>No</v>
      </c>
      <c r="BF606" t="str">
        <f>IF(tbl_OriginalData[[#This Row],[Customer_Loyalty_Program_Member]]=TRUE,"Yes","No")</f>
        <v>No</v>
      </c>
      <c r="BG606" t="str">
        <f>tbl_OriginalData[[#This Row],[Purchase_Intent]]</f>
        <v>Planned</v>
      </c>
      <c r="BH606" t="str">
        <f>tbl_OriginalData[[#This Row],[Shipping_Preference]]</f>
        <v>No Preference</v>
      </c>
      <c r="BI606">
        <f>tbl_OriginalData[[#This Row],[Time_to_Decision]]</f>
        <v>1</v>
      </c>
      <c r="BJ606" t="s">
        <v>86</v>
      </c>
      <c r="BK606" t="s">
        <v>48</v>
      </c>
      <c r="BL606" t="s">
        <v>2528</v>
      </c>
    </row>
    <row r="607" spans="1:64">
      <c r="A607" t="s">
        <v>1426</v>
      </c>
      <c r="B607">
        <v>25</v>
      </c>
      <c r="C607" t="s">
        <v>33</v>
      </c>
      <c r="D607" t="s">
        <v>51</v>
      </c>
      <c r="E607" t="s">
        <v>35</v>
      </c>
      <c r="F607" t="s">
        <v>52</v>
      </c>
      <c r="G607" t="s">
        <v>34</v>
      </c>
      <c r="H607" t="s">
        <v>1427</v>
      </c>
      <c r="I607" t="s">
        <v>84</v>
      </c>
      <c r="J607">
        <v>239.28</v>
      </c>
      <c r="K607">
        <v>8</v>
      </c>
      <c r="L607" t="s">
        <v>94</v>
      </c>
      <c r="M607">
        <v>1</v>
      </c>
      <c r="N607">
        <v>4</v>
      </c>
      <c r="O607">
        <v>1</v>
      </c>
      <c r="P607" t="s">
        <v>56</v>
      </c>
      <c r="Q607" t="s">
        <v>41</v>
      </c>
      <c r="R607">
        <v>2</v>
      </c>
      <c r="S607">
        <v>5</v>
      </c>
      <c r="T607" t="s">
        <v>56</v>
      </c>
      <c r="U607" t="s">
        <v>42</v>
      </c>
      <c r="V607" t="s">
        <v>76</v>
      </c>
      <c r="W607" s="1">
        <v>45604</v>
      </c>
      <c r="X607" t="b">
        <v>0</v>
      </c>
      <c r="Y607" t="b">
        <v>1</v>
      </c>
      <c r="Z607" t="s">
        <v>72</v>
      </c>
      <c r="AA607" t="s">
        <v>45</v>
      </c>
      <c r="AB607">
        <v>10</v>
      </c>
      <c r="AF607" t="str">
        <f>tbl_OriginalData[[#This Row],[Customer_ID]]</f>
        <v>04-809-8989</v>
      </c>
      <c r="AG607">
        <f>tbl_OriginalData[[#This Row],[Age]]</f>
        <v>25</v>
      </c>
      <c r="AH607" t="str" cm="1">
        <f t="array" ref="AH60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07" t="str">
        <f>tbl_OriginalData[[#This Row],[Gender]]</f>
        <v>Female</v>
      </c>
      <c r="AJ607" t="str">
        <f>tbl_OriginalData[[#This Row],[Income_Level]]</f>
        <v>High</v>
      </c>
      <c r="AK607" t="str">
        <f>tbl_OriginalData[[#This Row],[Marital_Status]]</f>
        <v>Married</v>
      </c>
      <c r="AL607" t="str">
        <f>tbl_OriginalData[[#This Row],[Education_Level]]</f>
        <v>High School</v>
      </c>
      <c r="AM607" t="str">
        <f>tbl_OriginalData[[#This Row],[Occupation]]</f>
        <v>Middle</v>
      </c>
      <c r="AN607" t="s">
        <v>1427</v>
      </c>
      <c r="AO607" t="s">
        <v>61</v>
      </c>
      <c r="AP607" t="str">
        <f>tbl_OriginalData[[#This Row],[Purchase_Category]]</f>
        <v>Furniture</v>
      </c>
      <c r="AQ607" s="4">
        <f>tbl_OriginalData[[#This Row],[Purchase_Amount]]</f>
        <v>239.28</v>
      </c>
      <c r="AR607">
        <f>tbl_OriginalData[[#This Row],[Frequency_of_Purchase]]</f>
        <v>8</v>
      </c>
      <c r="AS607" t="str">
        <f>tbl_OriginalData[[#This Row],[Purchase_Channel]]</f>
        <v>Online</v>
      </c>
      <c r="AT607">
        <f>tbl_OriginalData[[#This Row],[Brand_Loyalty]]</f>
        <v>1</v>
      </c>
      <c r="AU607">
        <f>tbl_OriginalData[[#This Row],[Product_Rating]]</f>
        <v>4</v>
      </c>
      <c r="AV607">
        <f>tbl_OriginalData[[#This Row],[Time_Spent_on_Product_Research(hours)]]*60</f>
        <v>60</v>
      </c>
      <c r="AW607" t="str">
        <f>tbl_OriginalData[[#This Row],[Social_Media_Influence]]</f>
        <v>Medium</v>
      </c>
      <c r="AX607" t="str">
        <f>tbl_OriginalData[[#This Row],[Discount_Sensitivity]]</f>
        <v>Somewhat Sensitive</v>
      </c>
      <c r="AY607" s="3">
        <f>tbl_OriginalData[[#This Row],[Return_Rate]]/tbl_OriginalData[[#This Row],[Frequency_of_Purchase]]</f>
        <v>0.25</v>
      </c>
      <c r="AZ607">
        <f>tbl_OriginalData[[#This Row],[Customer_Satisfaction]]</f>
        <v>5</v>
      </c>
      <c r="BA607" t="str">
        <f>tbl_OriginalData[[#This Row],[Engagement_with_Ads]]</f>
        <v>Medium</v>
      </c>
      <c r="BB607" t="str">
        <f>tbl_OriginalData[[#This Row],[Device_Used_for_Shopping]]</f>
        <v>Tablet</v>
      </c>
      <c r="BC607" t="str">
        <f>tbl_OriginalData[[#This Row],[Payment_Method]]</f>
        <v>Other</v>
      </c>
      <c r="BD607" s="1">
        <f>tbl_OriginalData[[#This Row],[Time_of_Purchase]]</f>
        <v>45604</v>
      </c>
      <c r="BE607" t="str">
        <f>IF(tbl_OriginalData[[#This Row],[Discount_Used]]=TRUE,"Yes","No")</f>
        <v>No</v>
      </c>
      <c r="BF607" t="str">
        <f>IF(tbl_OriginalData[[#This Row],[Customer_Loyalty_Program_Member]]=TRUE,"Yes","No")</f>
        <v>Yes</v>
      </c>
      <c r="BG607" t="str">
        <f>tbl_OriginalData[[#This Row],[Purchase_Intent]]</f>
        <v>Impulsive</v>
      </c>
      <c r="BH607" t="str">
        <f>tbl_OriginalData[[#This Row],[Shipping_Preference]]</f>
        <v>No Preference</v>
      </c>
      <c r="BI607">
        <f>tbl_OriginalData[[#This Row],[Time_to_Decision]]</f>
        <v>10</v>
      </c>
      <c r="BJ607" t="s">
        <v>177</v>
      </c>
      <c r="BK607" t="s">
        <v>80</v>
      </c>
      <c r="BL607" t="s">
        <v>2524</v>
      </c>
    </row>
    <row r="608" spans="1:64">
      <c r="A608" t="s">
        <v>1428</v>
      </c>
      <c r="B608">
        <v>40</v>
      </c>
      <c r="C608" t="s">
        <v>33</v>
      </c>
      <c r="D608" t="s">
        <v>51</v>
      </c>
      <c r="E608" t="s">
        <v>82</v>
      </c>
      <c r="F608" t="s">
        <v>52</v>
      </c>
      <c r="G608" t="s">
        <v>51</v>
      </c>
      <c r="H608" t="s">
        <v>1429</v>
      </c>
      <c r="I608" t="s">
        <v>112</v>
      </c>
      <c r="J608">
        <v>306.17</v>
      </c>
      <c r="K608">
        <v>4</v>
      </c>
      <c r="L608" t="s">
        <v>55</v>
      </c>
      <c r="M608">
        <v>3</v>
      </c>
      <c r="N608">
        <v>5</v>
      </c>
      <c r="O608">
        <v>1</v>
      </c>
      <c r="P608" t="s">
        <v>56</v>
      </c>
      <c r="Q608" t="s">
        <v>41</v>
      </c>
      <c r="R608">
        <v>0</v>
      </c>
      <c r="S608">
        <v>6</v>
      </c>
      <c r="T608" t="s">
        <v>56</v>
      </c>
      <c r="U608" t="s">
        <v>42</v>
      </c>
      <c r="V608" t="s">
        <v>58</v>
      </c>
      <c r="W608" s="1">
        <v>45320</v>
      </c>
      <c r="X608" t="b">
        <v>0</v>
      </c>
      <c r="Y608" t="b">
        <v>1</v>
      </c>
      <c r="Z608" t="s">
        <v>59</v>
      </c>
      <c r="AA608" t="s">
        <v>77</v>
      </c>
      <c r="AB608">
        <v>8</v>
      </c>
      <c r="AF608" t="str">
        <f>tbl_OriginalData[[#This Row],[Customer_ID]]</f>
        <v>39-867-1989</v>
      </c>
      <c r="AG608">
        <f>tbl_OriginalData[[#This Row],[Age]]</f>
        <v>40</v>
      </c>
      <c r="AH608" t="str" cm="1">
        <f t="array" ref="AH60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08" t="str">
        <f>tbl_OriginalData[[#This Row],[Gender]]</f>
        <v>Female</v>
      </c>
      <c r="AJ608" t="str">
        <f>tbl_OriginalData[[#This Row],[Income_Level]]</f>
        <v>High</v>
      </c>
      <c r="AK608" t="str">
        <f>tbl_OriginalData[[#This Row],[Marital_Status]]</f>
        <v>Widowed</v>
      </c>
      <c r="AL608" t="str">
        <f>tbl_OriginalData[[#This Row],[Education_Level]]</f>
        <v>High School</v>
      </c>
      <c r="AM608" t="str">
        <f>tbl_OriginalData[[#This Row],[Occupation]]</f>
        <v>High</v>
      </c>
      <c r="AN608" t="s">
        <v>1429</v>
      </c>
      <c r="AO608" t="s">
        <v>61</v>
      </c>
      <c r="AP608" t="str">
        <f>tbl_OriginalData[[#This Row],[Purchase_Category]]</f>
        <v>Mobile Accessories</v>
      </c>
      <c r="AQ608" s="4">
        <f>tbl_OriginalData[[#This Row],[Purchase_Amount]]</f>
        <v>306.17</v>
      </c>
      <c r="AR608">
        <f>tbl_OriginalData[[#This Row],[Frequency_of_Purchase]]</f>
        <v>4</v>
      </c>
      <c r="AS608" t="str">
        <f>tbl_OriginalData[[#This Row],[Purchase_Channel]]</f>
        <v>In-Store</v>
      </c>
      <c r="AT608">
        <f>tbl_OriginalData[[#This Row],[Brand_Loyalty]]</f>
        <v>3</v>
      </c>
      <c r="AU608">
        <f>tbl_OriginalData[[#This Row],[Product_Rating]]</f>
        <v>5</v>
      </c>
      <c r="AV608">
        <f>tbl_OriginalData[[#This Row],[Time_Spent_on_Product_Research(hours)]]*60</f>
        <v>60</v>
      </c>
      <c r="AW608" t="str">
        <f>tbl_OriginalData[[#This Row],[Social_Media_Influence]]</f>
        <v>Medium</v>
      </c>
      <c r="AX608" t="str">
        <f>tbl_OriginalData[[#This Row],[Discount_Sensitivity]]</f>
        <v>Somewhat Sensitive</v>
      </c>
      <c r="AY608" s="3">
        <f>tbl_OriginalData[[#This Row],[Return_Rate]]/tbl_OriginalData[[#This Row],[Frequency_of_Purchase]]</f>
        <v>0</v>
      </c>
      <c r="AZ608">
        <f>tbl_OriginalData[[#This Row],[Customer_Satisfaction]]</f>
        <v>6</v>
      </c>
      <c r="BA608" t="str">
        <f>tbl_OriginalData[[#This Row],[Engagement_with_Ads]]</f>
        <v>Medium</v>
      </c>
      <c r="BB608" t="str">
        <f>tbl_OriginalData[[#This Row],[Device_Used_for_Shopping]]</f>
        <v>Tablet</v>
      </c>
      <c r="BC608" t="str">
        <f>tbl_OriginalData[[#This Row],[Payment_Method]]</f>
        <v>PayPal</v>
      </c>
      <c r="BD608" s="1">
        <f>tbl_OriginalData[[#This Row],[Time_of_Purchase]]</f>
        <v>45320</v>
      </c>
      <c r="BE608" t="str">
        <f>IF(tbl_OriginalData[[#This Row],[Discount_Used]]=TRUE,"Yes","No")</f>
        <v>No</v>
      </c>
      <c r="BF608" t="str">
        <f>IF(tbl_OriginalData[[#This Row],[Customer_Loyalty_Program_Member]]=TRUE,"Yes","No")</f>
        <v>Yes</v>
      </c>
      <c r="BG608" t="str">
        <f>tbl_OriginalData[[#This Row],[Purchase_Intent]]</f>
        <v>Wants-based</v>
      </c>
      <c r="BH608" t="str">
        <f>tbl_OriginalData[[#This Row],[Shipping_Preference]]</f>
        <v>Express</v>
      </c>
      <c r="BI608">
        <f>tbl_OriginalData[[#This Row],[Time_to_Decision]]</f>
        <v>8</v>
      </c>
      <c r="BJ608" t="s">
        <v>86</v>
      </c>
      <c r="BK608" t="s">
        <v>48</v>
      </c>
      <c r="BL608" t="s">
        <v>2524</v>
      </c>
    </row>
    <row r="609" spans="1:64">
      <c r="A609" t="s">
        <v>1430</v>
      </c>
      <c r="B609">
        <v>40</v>
      </c>
      <c r="C609" t="s">
        <v>33</v>
      </c>
      <c r="D609" t="s">
        <v>51</v>
      </c>
      <c r="E609" t="s">
        <v>82</v>
      </c>
      <c r="F609" t="s">
        <v>66</v>
      </c>
      <c r="G609" t="s">
        <v>51</v>
      </c>
      <c r="H609" t="s">
        <v>1431</v>
      </c>
      <c r="I609" t="s">
        <v>147</v>
      </c>
      <c r="J609">
        <v>370.38</v>
      </c>
      <c r="K609">
        <v>11</v>
      </c>
      <c r="L609" t="s">
        <v>55</v>
      </c>
      <c r="M609">
        <v>1</v>
      </c>
      <c r="N609">
        <v>2</v>
      </c>
      <c r="O609">
        <v>1</v>
      </c>
      <c r="P609" t="s">
        <v>40</v>
      </c>
      <c r="Q609" t="s">
        <v>57</v>
      </c>
      <c r="R609">
        <v>1</v>
      </c>
      <c r="S609">
        <v>1</v>
      </c>
      <c r="T609" t="s">
        <v>51</v>
      </c>
      <c r="U609" t="s">
        <v>95</v>
      </c>
      <c r="V609" t="s">
        <v>76</v>
      </c>
      <c r="W609" s="1">
        <v>45355</v>
      </c>
      <c r="X609" t="b">
        <v>1</v>
      </c>
      <c r="Y609" t="b">
        <v>1</v>
      </c>
      <c r="Z609" t="s">
        <v>59</v>
      </c>
      <c r="AA609" t="s">
        <v>45</v>
      </c>
      <c r="AB609">
        <v>9</v>
      </c>
      <c r="AF609" t="str">
        <f>tbl_OriginalData[[#This Row],[Customer_ID]]</f>
        <v>45-584-7333</v>
      </c>
      <c r="AG609">
        <f>tbl_OriginalData[[#This Row],[Age]]</f>
        <v>40</v>
      </c>
      <c r="AH609" t="str" cm="1">
        <f t="array" ref="AH60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09" t="str">
        <f>tbl_OriginalData[[#This Row],[Gender]]</f>
        <v>Female</v>
      </c>
      <c r="AJ609" t="str">
        <f>tbl_OriginalData[[#This Row],[Income_Level]]</f>
        <v>High</v>
      </c>
      <c r="AK609" t="str">
        <f>tbl_OriginalData[[#This Row],[Marital_Status]]</f>
        <v>Widowed</v>
      </c>
      <c r="AL609" t="str">
        <f>tbl_OriginalData[[#This Row],[Education_Level]]</f>
        <v>Master's</v>
      </c>
      <c r="AM609" t="str">
        <f>tbl_OriginalData[[#This Row],[Occupation]]</f>
        <v>High</v>
      </c>
      <c r="AN609" t="s">
        <v>1431</v>
      </c>
      <c r="AO609" t="s">
        <v>194</v>
      </c>
      <c r="AP609" t="str">
        <f>tbl_OriginalData[[#This Row],[Purchase_Category]]</f>
        <v>Electronics</v>
      </c>
      <c r="AQ609" s="4">
        <f>tbl_OriginalData[[#This Row],[Purchase_Amount]]</f>
        <v>370.38</v>
      </c>
      <c r="AR609">
        <f>tbl_OriginalData[[#This Row],[Frequency_of_Purchase]]</f>
        <v>11</v>
      </c>
      <c r="AS609" t="str">
        <f>tbl_OriginalData[[#This Row],[Purchase_Channel]]</f>
        <v>In-Store</v>
      </c>
      <c r="AT609">
        <f>tbl_OriginalData[[#This Row],[Brand_Loyalty]]</f>
        <v>1</v>
      </c>
      <c r="AU609">
        <f>tbl_OriginalData[[#This Row],[Product_Rating]]</f>
        <v>2</v>
      </c>
      <c r="AV609">
        <f>tbl_OriginalData[[#This Row],[Time_Spent_on_Product_Research(hours)]]*60</f>
        <v>60</v>
      </c>
      <c r="AW609" t="str">
        <f>tbl_OriginalData[[#This Row],[Social_Media_Influence]]</f>
        <v>None</v>
      </c>
      <c r="AX609" t="str">
        <f>tbl_OriginalData[[#This Row],[Discount_Sensitivity]]</f>
        <v>Not Sensitive</v>
      </c>
      <c r="AY609" s="3">
        <f>tbl_OriginalData[[#This Row],[Return_Rate]]/tbl_OriginalData[[#This Row],[Frequency_of_Purchase]]</f>
        <v>9.0909090909090912E-2</v>
      </c>
      <c r="AZ609">
        <f>tbl_OriginalData[[#This Row],[Customer_Satisfaction]]</f>
        <v>1</v>
      </c>
      <c r="BA609" t="str">
        <f>tbl_OriginalData[[#This Row],[Engagement_with_Ads]]</f>
        <v>High</v>
      </c>
      <c r="BB609" t="str">
        <f>tbl_OriginalData[[#This Row],[Device_Used_for_Shopping]]</f>
        <v>Desktop</v>
      </c>
      <c r="BC609" t="str">
        <f>tbl_OriginalData[[#This Row],[Payment_Method]]</f>
        <v>Other</v>
      </c>
      <c r="BD609" s="1">
        <f>tbl_OriginalData[[#This Row],[Time_of_Purchase]]</f>
        <v>45355</v>
      </c>
      <c r="BE609" t="str">
        <f>IF(tbl_OriginalData[[#This Row],[Discount_Used]]=TRUE,"Yes","No")</f>
        <v>Yes</v>
      </c>
      <c r="BF609" t="str">
        <f>IF(tbl_OriginalData[[#This Row],[Customer_Loyalty_Program_Member]]=TRUE,"Yes","No")</f>
        <v>Yes</v>
      </c>
      <c r="BG609" t="str">
        <f>tbl_OriginalData[[#This Row],[Purchase_Intent]]</f>
        <v>Wants-based</v>
      </c>
      <c r="BH609" t="str">
        <f>tbl_OriginalData[[#This Row],[Shipping_Preference]]</f>
        <v>No Preference</v>
      </c>
      <c r="BI609">
        <f>tbl_OriginalData[[#This Row],[Time_to_Decision]]</f>
        <v>9</v>
      </c>
      <c r="BJ609" t="s">
        <v>47</v>
      </c>
      <c r="BK609" t="s">
        <v>48</v>
      </c>
      <c r="BL609" t="s">
        <v>2524</v>
      </c>
    </row>
    <row r="610" spans="1:64">
      <c r="A610" t="s">
        <v>1432</v>
      </c>
      <c r="B610">
        <v>50</v>
      </c>
      <c r="C610" t="s">
        <v>50</v>
      </c>
      <c r="D610" t="s">
        <v>34</v>
      </c>
      <c r="E610" t="s">
        <v>65</v>
      </c>
      <c r="F610" t="s">
        <v>36</v>
      </c>
      <c r="G610" t="s">
        <v>34</v>
      </c>
      <c r="H610" t="s">
        <v>1433</v>
      </c>
      <c r="I610" t="s">
        <v>170</v>
      </c>
      <c r="J610">
        <v>346.58</v>
      </c>
      <c r="K610">
        <v>6</v>
      </c>
      <c r="L610" t="s">
        <v>39</v>
      </c>
      <c r="M610">
        <v>5</v>
      </c>
      <c r="N610">
        <v>1</v>
      </c>
      <c r="O610">
        <v>1</v>
      </c>
      <c r="P610" t="s">
        <v>51</v>
      </c>
      <c r="Q610" t="s">
        <v>41</v>
      </c>
      <c r="R610">
        <v>0</v>
      </c>
      <c r="S610">
        <v>9</v>
      </c>
      <c r="T610" t="s">
        <v>69</v>
      </c>
      <c r="U610" t="s">
        <v>42</v>
      </c>
      <c r="V610" t="s">
        <v>76</v>
      </c>
      <c r="W610" s="1">
        <v>45446</v>
      </c>
      <c r="X610" t="b">
        <v>0</v>
      </c>
      <c r="Y610" t="b">
        <v>0</v>
      </c>
      <c r="Z610" t="s">
        <v>72</v>
      </c>
      <c r="AA610" t="s">
        <v>77</v>
      </c>
      <c r="AB610">
        <v>7</v>
      </c>
      <c r="AF610" t="str">
        <f>tbl_OriginalData[[#This Row],[Customer_ID]]</f>
        <v>85-885-6579</v>
      </c>
      <c r="AG610">
        <f>tbl_OriginalData[[#This Row],[Age]]</f>
        <v>50</v>
      </c>
      <c r="AH610" t="str" cm="1">
        <f t="array" ref="AH61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10" t="str">
        <f>tbl_OriginalData[[#This Row],[Gender]]</f>
        <v>Male</v>
      </c>
      <c r="AJ610" t="str">
        <f>tbl_OriginalData[[#This Row],[Income_Level]]</f>
        <v>Middle</v>
      </c>
      <c r="AK610" t="str">
        <f>tbl_OriginalData[[#This Row],[Marital_Status]]</f>
        <v>Single</v>
      </c>
      <c r="AL610" t="str">
        <f>tbl_OriginalData[[#This Row],[Education_Level]]</f>
        <v>Bachelor's</v>
      </c>
      <c r="AM610" t="str">
        <f>tbl_OriginalData[[#This Row],[Occupation]]</f>
        <v>Middle</v>
      </c>
      <c r="AN610" t="s">
        <v>1433</v>
      </c>
      <c r="AO610" t="s">
        <v>315</v>
      </c>
      <c r="AP610" t="str">
        <f>tbl_OriginalData[[#This Row],[Purchase_Category]]</f>
        <v>Arts &amp; Crafts</v>
      </c>
      <c r="AQ610" s="4">
        <f>tbl_OriginalData[[#This Row],[Purchase_Amount]]</f>
        <v>346.58</v>
      </c>
      <c r="AR610">
        <f>tbl_OriginalData[[#This Row],[Frequency_of_Purchase]]</f>
        <v>6</v>
      </c>
      <c r="AS610" t="str">
        <f>tbl_OriginalData[[#This Row],[Purchase_Channel]]</f>
        <v>Mixed</v>
      </c>
      <c r="AT610">
        <f>tbl_OriginalData[[#This Row],[Brand_Loyalty]]</f>
        <v>5</v>
      </c>
      <c r="AU610">
        <f>tbl_OriginalData[[#This Row],[Product_Rating]]</f>
        <v>1</v>
      </c>
      <c r="AV610">
        <f>tbl_OriginalData[[#This Row],[Time_Spent_on_Product_Research(hours)]]*60</f>
        <v>60</v>
      </c>
      <c r="AW610" t="str">
        <f>tbl_OriginalData[[#This Row],[Social_Media_Influence]]</f>
        <v>High</v>
      </c>
      <c r="AX610" t="str">
        <f>tbl_OriginalData[[#This Row],[Discount_Sensitivity]]</f>
        <v>Somewhat Sensitive</v>
      </c>
      <c r="AY610" s="3">
        <f>tbl_OriginalData[[#This Row],[Return_Rate]]/tbl_OriginalData[[#This Row],[Frequency_of_Purchase]]</f>
        <v>0</v>
      </c>
      <c r="AZ610">
        <f>tbl_OriginalData[[#This Row],[Customer_Satisfaction]]</f>
        <v>9</v>
      </c>
      <c r="BA610" t="str">
        <f>tbl_OriginalData[[#This Row],[Engagement_with_Ads]]</f>
        <v>Low</v>
      </c>
      <c r="BB610" t="str">
        <f>tbl_OriginalData[[#This Row],[Device_Used_for_Shopping]]</f>
        <v>Tablet</v>
      </c>
      <c r="BC610" t="str">
        <f>tbl_OriginalData[[#This Row],[Payment_Method]]</f>
        <v>Other</v>
      </c>
      <c r="BD610" s="1">
        <f>tbl_OriginalData[[#This Row],[Time_of_Purchase]]</f>
        <v>45446</v>
      </c>
      <c r="BE610" t="str">
        <f>IF(tbl_OriginalData[[#This Row],[Discount_Used]]=TRUE,"Yes","No")</f>
        <v>No</v>
      </c>
      <c r="BF610" t="str">
        <f>IF(tbl_OriginalData[[#This Row],[Customer_Loyalty_Program_Member]]=TRUE,"Yes","No")</f>
        <v>No</v>
      </c>
      <c r="BG610" t="str">
        <f>tbl_OriginalData[[#This Row],[Purchase_Intent]]</f>
        <v>Impulsive</v>
      </c>
      <c r="BH610" t="str">
        <f>tbl_OriginalData[[#This Row],[Shipping_Preference]]</f>
        <v>Express</v>
      </c>
      <c r="BI610">
        <f>tbl_OriginalData[[#This Row],[Time_to_Decision]]</f>
        <v>7</v>
      </c>
      <c r="BJ610" t="s">
        <v>104</v>
      </c>
      <c r="BK610" t="s">
        <v>63</v>
      </c>
      <c r="BL610" t="s">
        <v>2523</v>
      </c>
    </row>
    <row r="611" spans="1:64">
      <c r="A611" t="s">
        <v>1434</v>
      </c>
      <c r="B611">
        <v>24</v>
      </c>
      <c r="C611" t="s">
        <v>50</v>
      </c>
      <c r="D611" t="s">
        <v>34</v>
      </c>
      <c r="E611" t="s">
        <v>65</v>
      </c>
      <c r="F611" t="s">
        <v>52</v>
      </c>
      <c r="G611" t="s">
        <v>34</v>
      </c>
      <c r="H611" t="s">
        <v>1435</v>
      </c>
      <c r="I611" t="s">
        <v>150</v>
      </c>
      <c r="J611">
        <v>292.64</v>
      </c>
      <c r="K611">
        <v>5</v>
      </c>
      <c r="L611" t="s">
        <v>55</v>
      </c>
      <c r="M611">
        <v>1</v>
      </c>
      <c r="N611">
        <v>1</v>
      </c>
      <c r="O611">
        <v>1</v>
      </c>
      <c r="P611" t="s">
        <v>40</v>
      </c>
      <c r="Q611" t="s">
        <v>41</v>
      </c>
      <c r="R611">
        <v>2</v>
      </c>
      <c r="S611">
        <v>10</v>
      </c>
      <c r="T611" t="s">
        <v>56</v>
      </c>
      <c r="U611" t="s">
        <v>42</v>
      </c>
      <c r="V611" t="s">
        <v>43</v>
      </c>
      <c r="W611" s="1">
        <v>45632</v>
      </c>
      <c r="X611" t="b">
        <v>1</v>
      </c>
      <c r="Y611" t="b">
        <v>0</v>
      </c>
      <c r="Z611" t="s">
        <v>59</v>
      </c>
      <c r="AA611" t="s">
        <v>60</v>
      </c>
      <c r="AB611">
        <v>1</v>
      </c>
      <c r="AF611" t="str">
        <f>tbl_OriginalData[[#This Row],[Customer_ID]]</f>
        <v>65-457-2840</v>
      </c>
      <c r="AG611">
        <f>tbl_OriginalData[[#This Row],[Age]]</f>
        <v>24</v>
      </c>
      <c r="AH611" t="str" cm="1">
        <f t="array" ref="AH61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11" t="str">
        <f>tbl_OriginalData[[#This Row],[Gender]]</f>
        <v>Male</v>
      </c>
      <c r="AJ611" t="str">
        <f>tbl_OriginalData[[#This Row],[Income_Level]]</f>
        <v>Middle</v>
      </c>
      <c r="AK611" t="str">
        <f>tbl_OriginalData[[#This Row],[Marital_Status]]</f>
        <v>Single</v>
      </c>
      <c r="AL611" t="str">
        <f>tbl_OriginalData[[#This Row],[Education_Level]]</f>
        <v>High School</v>
      </c>
      <c r="AM611" t="str">
        <f>tbl_OriginalData[[#This Row],[Occupation]]</f>
        <v>Middle</v>
      </c>
      <c r="AN611" t="s">
        <v>1435</v>
      </c>
      <c r="AO611" t="s">
        <v>545</v>
      </c>
      <c r="AP611" t="str">
        <f>tbl_OriginalData[[#This Row],[Purchase_Category]]</f>
        <v>Software &amp; Apps</v>
      </c>
      <c r="AQ611" s="4">
        <f>tbl_OriginalData[[#This Row],[Purchase_Amount]]</f>
        <v>292.64</v>
      </c>
      <c r="AR611">
        <f>tbl_OriginalData[[#This Row],[Frequency_of_Purchase]]</f>
        <v>5</v>
      </c>
      <c r="AS611" t="str">
        <f>tbl_OriginalData[[#This Row],[Purchase_Channel]]</f>
        <v>In-Store</v>
      </c>
      <c r="AT611">
        <f>tbl_OriginalData[[#This Row],[Brand_Loyalty]]</f>
        <v>1</v>
      </c>
      <c r="AU611">
        <f>tbl_OriginalData[[#This Row],[Product_Rating]]</f>
        <v>1</v>
      </c>
      <c r="AV611">
        <f>tbl_OriginalData[[#This Row],[Time_Spent_on_Product_Research(hours)]]*60</f>
        <v>60</v>
      </c>
      <c r="AW611" t="str">
        <f>tbl_OriginalData[[#This Row],[Social_Media_Influence]]</f>
        <v>None</v>
      </c>
      <c r="AX611" t="str">
        <f>tbl_OriginalData[[#This Row],[Discount_Sensitivity]]</f>
        <v>Somewhat Sensitive</v>
      </c>
      <c r="AY611" s="3">
        <f>tbl_OriginalData[[#This Row],[Return_Rate]]/tbl_OriginalData[[#This Row],[Frequency_of_Purchase]]</f>
        <v>0.4</v>
      </c>
      <c r="AZ611">
        <f>tbl_OriginalData[[#This Row],[Customer_Satisfaction]]</f>
        <v>10</v>
      </c>
      <c r="BA611" t="str">
        <f>tbl_OriginalData[[#This Row],[Engagement_with_Ads]]</f>
        <v>Medium</v>
      </c>
      <c r="BB611" t="str">
        <f>tbl_OriginalData[[#This Row],[Device_Used_for_Shopping]]</f>
        <v>Tablet</v>
      </c>
      <c r="BC611" t="str">
        <f>tbl_OriginalData[[#This Row],[Payment_Method]]</f>
        <v>Credit Card</v>
      </c>
      <c r="BD611" s="1">
        <f>tbl_OriginalData[[#This Row],[Time_of_Purchase]]</f>
        <v>45632</v>
      </c>
      <c r="BE611" t="str">
        <f>IF(tbl_OriginalData[[#This Row],[Discount_Used]]=TRUE,"Yes","No")</f>
        <v>Yes</v>
      </c>
      <c r="BF611" t="str">
        <f>IF(tbl_OriginalData[[#This Row],[Customer_Loyalty_Program_Member]]=TRUE,"Yes","No")</f>
        <v>No</v>
      </c>
      <c r="BG611" t="str">
        <f>tbl_OriginalData[[#This Row],[Purchase_Intent]]</f>
        <v>Wants-based</v>
      </c>
      <c r="BH611" t="str">
        <f>tbl_OriginalData[[#This Row],[Shipping_Preference]]</f>
        <v>Standard</v>
      </c>
      <c r="BI611">
        <f>tbl_OriginalData[[#This Row],[Time_to_Decision]]</f>
        <v>1</v>
      </c>
      <c r="BJ611" t="s">
        <v>120</v>
      </c>
      <c r="BK611" t="s">
        <v>80</v>
      </c>
      <c r="BL611" t="s">
        <v>2528</v>
      </c>
    </row>
    <row r="612" spans="1:64">
      <c r="A612" t="s">
        <v>1436</v>
      </c>
      <c r="B612">
        <v>30</v>
      </c>
      <c r="C612" t="s">
        <v>33</v>
      </c>
      <c r="D612" t="s">
        <v>34</v>
      </c>
      <c r="E612" t="s">
        <v>35</v>
      </c>
      <c r="F612" t="s">
        <v>36</v>
      </c>
      <c r="G612" t="s">
        <v>51</v>
      </c>
      <c r="H612" t="s">
        <v>1437</v>
      </c>
      <c r="I612" t="s">
        <v>242</v>
      </c>
      <c r="J612">
        <v>102.91</v>
      </c>
      <c r="K612">
        <v>12</v>
      </c>
      <c r="L612" t="s">
        <v>39</v>
      </c>
      <c r="M612">
        <v>2</v>
      </c>
      <c r="N612">
        <v>1</v>
      </c>
      <c r="O612">
        <v>1</v>
      </c>
      <c r="P612" t="s">
        <v>56</v>
      </c>
      <c r="Q612" t="s">
        <v>101</v>
      </c>
      <c r="R612">
        <v>1</v>
      </c>
      <c r="S612">
        <v>10</v>
      </c>
      <c r="T612" t="s">
        <v>40</v>
      </c>
      <c r="U612" t="s">
        <v>95</v>
      </c>
      <c r="V612" t="s">
        <v>58</v>
      </c>
      <c r="W612" s="1">
        <v>45377</v>
      </c>
      <c r="X612" t="b">
        <v>1</v>
      </c>
      <c r="Y612" t="b">
        <v>0</v>
      </c>
      <c r="Z612" t="s">
        <v>72</v>
      </c>
      <c r="AA612" t="s">
        <v>77</v>
      </c>
      <c r="AB612">
        <v>13</v>
      </c>
      <c r="AF612" t="str">
        <f>tbl_OriginalData[[#This Row],[Customer_ID]]</f>
        <v>82-726-1255</v>
      </c>
      <c r="AG612">
        <f>tbl_OriginalData[[#This Row],[Age]]</f>
        <v>30</v>
      </c>
      <c r="AH612" t="str" cm="1">
        <f t="array" ref="AH61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12" t="str">
        <f>tbl_OriginalData[[#This Row],[Gender]]</f>
        <v>Female</v>
      </c>
      <c r="AJ612" t="str">
        <f>tbl_OriginalData[[#This Row],[Income_Level]]</f>
        <v>Middle</v>
      </c>
      <c r="AK612" t="str">
        <f>tbl_OriginalData[[#This Row],[Marital_Status]]</f>
        <v>Married</v>
      </c>
      <c r="AL612" t="str">
        <f>tbl_OriginalData[[#This Row],[Education_Level]]</f>
        <v>Bachelor's</v>
      </c>
      <c r="AM612" t="str">
        <f>tbl_OriginalData[[#This Row],[Occupation]]</f>
        <v>High</v>
      </c>
      <c r="AN612" t="s">
        <v>1437</v>
      </c>
      <c r="AO612" t="s">
        <v>61</v>
      </c>
      <c r="AP612" t="str">
        <f>tbl_OriginalData[[#This Row],[Purchase_Category]]</f>
        <v>Travel &amp; Leisure (Flights</v>
      </c>
      <c r="AQ612" s="4">
        <f>tbl_OriginalData[[#This Row],[Purchase_Amount]]</f>
        <v>102.91</v>
      </c>
      <c r="AR612">
        <f>tbl_OriginalData[[#This Row],[Frequency_of_Purchase]]</f>
        <v>12</v>
      </c>
      <c r="AS612" t="str">
        <f>tbl_OriginalData[[#This Row],[Purchase_Channel]]</f>
        <v>Mixed</v>
      </c>
      <c r="AT612">
        <f>tbl_OriginalData[[#This Row],[Brand_Loyalty]]</f>
        <v>2</v>
      </c>
      <c r="AU612">
        <f>tbl_OriginalData[[#This Row],[Product_Rating]]</f>
        <v>1</v>
      </c>
      <c r="AV612">
        <f>tbl_OriginalData[[#This Row],[Time_Spent_on_Product_Research(hours)]]*60</f>
        <v>60</v>
      </c>
      <c r="AW612" t="str">
        <f>tbl_OriginalData[[#This Row],[Social_Media_Influence]]</f>
        <v>Medium</v>
      </c>
      <c r="AX612" t="str">
        <f>tbl_OriginalData[[#This Row],[Discount_Sensitivity]]</f>
        <v>Very Sensitive</v>
      </c>
      <c r="AY612" s="3">
        <f>tbl_OriginalData[[#This Row],[Return_Rate]]/tbl_OriginalData[[#This Row],[Frequency_of_Purchase]]</f>
        <v>8.3333333333333329E-2</v>
      </c>
      <c r="AZ612">
        <f>tbl_OriginalData[[#This Row],[Customer_Satisfaction]]</f>
        <v>10</v>
      </c>
      <c r="BA612" t="str">
        <f>tbl_OriginalData[[#This Row],[Engagement_with_Ads]]</f>
        <v>None</v>
      </c>
      <c r="BB612" t="str">
        <f>tbl_OriginalData[[#This Row],[Device_Used_for_Shopping]]</f>
        <v>Desktop</v>
      </c>
      <c r="BC612" t="str">
        <f>tbl_OriginalData[[#This Row],[Payment_Method]]</f>
        <v>PayPal</v>
      </c>
      <c r="BD612" s="1">
        <f>tbl_OriginalData[[#This Row],[Time_of_Purchase]]</f>
        <v>45377</v>
      </c>
      <c r="BE612" t="str">
        <f>IF(tbl_OriginalData[[#This Row],[Discount_Used]]=TRUE,"Yes","No")</f>
        <v>Yes</v>
      </c>
      <c r="BF612" t="str">
        <f>IF(tbl_OriginalData[[#This Row],[Customer_Loyalty_Program_Member]]=TRUE,"Yes","No")</f>
        <v>No</v>
      </c>
      <c r="BG612" t="str">
        <f>tbl_OriginalData[[#This Row],[Purchase_Intent]]</f>
        <v>Impulsive</v>
      </c>
      <c r="BH612" t="str">
        <f>tbl_OriginalData[[#This Row],[Shipping_Preference]]</f>
        <v>Express</v>
      </c>
      <c r="BI612">
        <f>tbl_OriginalData[[#This Row],[Time_to_Decision]]</f>
        <v>13</v>
      </c>
      <c r="BJ612" t="s">
        <v>47</v>
      </c>
      <c r="BK612" t="s">
        <v>48</v>
      </c>
      <c r="BL612" t="s">
        <v>2524</v>
      </c>
    </row>
    <row r="613" spans="1:64">
      <c r="A613" t="s">
        <v>1438</v>
      </c>
      <c r="B613">
        <v>32</v>
      </c>
      <c r="C613" t="s">
        <v>33</v>
      </c>
      <c r="D613" t="s">
        <v>51</v>
      </c>
      <c r="E613" t="s">
        <v>82</v>
      </c>
      <c r="F613" t="s">
        <v>36</v>
      </c>
      <c r="G613" t="s">
        <v>34</v>
      </c>
      <c r="H613" t="s">
        <v>1439</v>
      </c>
      <c r="I613" t="s">
        <v>75</v>
      </c>
      <c r="J613">
        <v>283.77999999999997</v>
      </c>
      <c r="K613">
        <v>4</v>
      </c>
      <c r="L613" t="s">
        <v>39</v>
      </c>
      <c r="M613">
        <v>2</v>
      </c>
      <c r="N613">
        <v>4</v>
      </c>
      <c r="O613">
        <v>1.2</v>
      </c>
      <c r="P613" t="s">
        <v>40</v>
      </c>
      <c r="Q613" t="s">
        <v>41</v>
      </c>
      <c r="R613">
        <v>0</v>
      </c>
      <c r="S613">
        <v>6</v>
      </c>
      <c r="T613" t="s">
        <v>40</v>
      </c>
      <c r="U613" t="s">
        <v>70</v>
      </c>
      <c r="V613" t="s">
        <v>71</v>
      </c>
      <c r="W613" s="1">
        <v>45513</v>
      </c>
      <c r="X613" t="b">
        <v>1</v>
      </c>
      <c r="Y613" t="b">
        <v>0</v>
      </c>
      <c r="Z613" t="s">
        <v>44</v>
      </c>
      <c r="AA613" t="s">
        <v>77</v>
      </c>
      <c r="AB613">
        <v>10</v>
      </c>
      <c r="AF613" t="str">
        <f>tbl_OriginalData[[#This Row],[Customer_ID]]</f>
        <v>90-602-3583</v>
      </c>
      <c r="AG613">
        <f>tbl_OriginalData[[#This Row],[Age]]</f>
        <v>32</v>
      </c>
      <c r="AH613" t="str" cm="1">
        <f t="array" ref="AH61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13" t="str">
        <f>tbl_OriginalData[[#This Row],[Gender]]</f>
        <v>Female</v>
      </c>
      <c r="AJ613" t="str">
        <f>tbl_OriginalData[[#This Row],[Income_Level]]</f>
        <v>High</v>
      </c>
      <c r="AK613" t="str">
        <f>tbl_OriginalData[[#This Row],[Marital_Status]]</f>
        <v>Widowed</v>
      </c>
      <c r="AL613" t="str">
        <f>tbl_OriginalData[[#This Row],[Education_Level]]</f>
        <v>Bachelor's</v>
      </c>
      <c r="AM613" t="str">
        <f>tbl_OriginalData[[#This Row],[Occupation]]</f>
        <v>Middle</v>
      </c>
      <c r="AN613" t="s">
        <v>1439</v>
      </c>
      <c r="AO613" t="s">
        <v>490</v>
      </c>
      <c r="AP613" t="str">
        <f>tbl_OriginalData[[#This Row],[Purchase_Category]]</f>
        <v>Home Appliances</v>
      </c>
      <c r="AQ613" s="4">
        <f>tbl_OriginalData[[#This Row],[Purchase_Amount]]</f>
        <v>283.77999999999997</v>
      </c>
      <c r="AR613">
        <f>tbl_OriginalData[[#This Row],[Frequency_of_Purchase]]</f>
        <v>4</v>
      </c>
      <c r="AS613" t="str">
        <f>tbl_OriginalData[[#This Row],[Purchase_Channel]]</f>
        <v>Mixed</v>
      </c>
      <c r="AT613">
        <f>tbl_OriginalData[[#This Row],[Brand_Loyalty]]</f>
        <v>2</v>
      </c>
      <c r="AU613">
        <f>tbl_OriginalData[[#This Row],[Product_Rating]]</f>
        <v>4</v>
      </c>
      <c r="AV613">
        <f>tbl_OriginalData[[#This Row],[Time_Spent_on_Product_Research(hours)]]*60</f>
        <v>72</v>
      </c>
      <c r="AW613" t="str">
        <f>tbl_OriginalData[[#This Row],[Social_Media_Influence]]</f>
        <v>None</v>
      </c>
      <c r="AX613" t="str">
        <f>tbl_OriginalData[[#This Row],[Discount_Sensitivity]]</f>
        <v>Somewhat Sensitive</v>
      </c>
      <c r="AY613" s="3">
        <f>tbl_OriginalData[[#This Row],[Return_Rate]]/tbl_OriginalData[[#This Row],[Frequency_of_Purchase]]</f>
        <v>0</v>
      </c>
      <c r="AZ613">
        <f>tbl_OriginalData[[#This Row],[Customer_Satisfaction]]</f>
        <v>6</v>
      </c>
      <c r="BA613" t="str">
        <f>tbl_OriginalData[[#This Row],[Engagement_with_Ads]]</f>
        <v>None</v>
      </c>
      <c r="BB613" t="str">
        <f>tbl_OriginalData[[#This Row],[Device_Used_for_Shopping]]</f>
        <v>Smartphone</v>
      </c>
      <c r="BC613" t="str">
        <f>tbl_OriginalData[[#This Row],[Payment_Method]]</f>
        <v>Debit Card</v>
      </c>
      <c r="BD613" s="1">
        <f>tbl_OriginalData[[#This Row],[Time_of_Purchase]]</f>
        <v>45513</v>
      </c>
      <c r="BE613" t="str">
        <f>IF(tbl_OriginalData[[#This Row],[Discount_Used]]=TRUE,"Yes","No")</f>
        <v>Yes</v>
      </c>
      <c r="BF613" t="str">
        <f>IF(tbl_OriginalData[[#This Row],[Customer_Loyalty_Program_Member]]=TRUE,"Yes","No")</f>
        <v>No</v>
      </c>
      <c r="BG613" t="str">
        <f>tbl_OriginalData[[#This Row],[Purchase_Intent]]</f>
        <v>Need-based</v>
      </c>
      <c r="BH613" t="str">
        <f>tbl_OriginalData[[#This Row],[Shipping_Preference]]</f>
        <v>Express</v>
      </c>
      <c r="BI613">
        <f>tbl_OriginalData[[#This Row],[Time_to_Decision]]</f>
        <v>10</v>
      </c>
      <c r="BJ613" t="s">
        <v>124</v>
      </c>
      <c r="BK613" t="s">
        <v>115</v>
      </c>
      <c r="BL613" t="s">
        <v>2525</v>
      </c>
    </row>
    <row r="614" spans="1:64">
      <c r="A614" t="s">
        <v>1440</v>
      </c>
      <c r="B614">
        <v>48</v>
      </c>
      <c r="C614" t="s">
        <v>33</v>
      </c>
      <c r="D614" t="s">
        <v>51</v>
      </c>
      <c r="E614" t="s">
        <v>82</v>
      </c>
      <c r="F614" t="s">
        <v>52</v>
      </c>
      <c r="G614" t="s">
        <v>34</v>
      </c>
      <c r="H614" t="s">
        <v>1441</v>
      </c>
      <c r="I614" t="s">
        <v>235</v>
      </c>
      <c r="J614">
        <v>51.44</v>
      </c>
      <c r="K614">
        <v>2</v>
      </c>
      <c r="L614" t="s">
        <v>55</v>
      </c>
      <c r="M614">
        <v>1</v>
      </c>
      <c r="N614">
        <v>3</v>
      </c>
      <c r="O614">
        <v>2</v>
      </c>
      <c r="P614" t="s">
        <v>51</v>
      </c>
      <c r="Q614" t="s">
        <v>57</v>
      </c>
      <c r="R614">
        <v>0</v>
      </c>
      <c r="S614">
        <v>1</v>
      </c>
      <c r="T614" t="s">
        <v>51</v>
      </c>
      <c r="U614" t="s">
        <v>42</v>
      </c>
      <c r="V614" t="s">
        <v>76</v>
      </c>
      <c r="W614" s="1">
        <v>45429</v>
      </c>
      <c r="X614" t="b">
        <v>1</v>
      </c>
      <c r="Y614" t="b">
        <v>0</v>
      </c>
      <c r="Z614" t="s">
        <v>89</v>
      </c>
      <c r="AA614" t="s">
        <v>45</v>
      </c>
      <c r="AB614">
        <v>5</v>
      </c>
      <c r="AF614" t="str">
        <f>tbl_OriginalData[[#This Row],[Customer_ID]]</f>
        <v>02-711-1034</v>
      </c>
      <c r="AG614">
        <f>tbl_OriginalData[[#This Row],[Age]]</f>
        <v>48</v>
      </c>
      <c r="AH614" t="str" cm="1">
        <f t="array" ref="AH61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14" t="str">
        <f>tbl_OriginalData[[#This Row],[Gender]]</f>
        <v>Female</v>
      </c>
      <c r="AJ614" t="str">
        <f>tbl_OriginalData[[#This Row],[Income_Level]]</f>
        <v>High</v>
      </c>
      <c r="AK614" t="str">
        <f>tbl_OriginalData[[#This Row],[Marital_Status]]</f>
        <v>Widowed</v>
      </c>
      <c r="AL614" t="str">
        <f>tbl_OriginalData[[#This Row],[Education_Level]]</f>
        <v>High School</v>
      </c>
      <c r="AM614" t="str">
        <f>tbl_OriginalData[[#This Row],[Occupation]]</f>
        <v>Middle</v>
      </c>
      <c r="AN614" t="s">
        <v>1441</v>
      </c>
      <c r="AO614" t="s">
        <v>109</v>
      </c>
      <c r="AP614" t="str">
        <f>tbl_OriginalData[[#This Row],[Purchase_Category]]</f>
        <v>Beauty &amp; Personal Care</v>
      </c>
      <c r="AQ614" s="4">
        <f>tbl_OriginalData[[#This Row],[Purchase_Amount]]</f>
        <v>51.44</v>
      </c>
      <c r="AR614">
        <f>tbl_OriginalData[[#This Row],[Frequency_of_Purchase]]</f>
        <v>2</v>
      </c>
      <c r="AS614" t="str">
        <f>tbl_OriginalData[[#This Row],[Purchase_Channel]]</f>
        <v>In-Store</v>
      </c>
      <c r="AT614">
        <f>tbl_OriginalData[[#This Row],[Brand_Loyalty]]</f>
        <v>1</v>
      </c>
      <c r="AU614">
        <f>tbl_OriginalData[[#This Row],[Product_Rating]]</f>
        <v>3</v>
      </c>
      <c r="AV614">
        <f>tbl_OriginalData[[#This Row],[Time_Spent_on_Product_Research(hours)]]*60</f>
        <v>120</v>
      </c>
      <c r="AW614" t="str">
        <f>tbl_OriginalData[[#This Row],[Social_Media_Influence]]</f>
        <v>High</v>
      </c>
      <c r="AX614" t="str">
        <f>tbl_OriginalData[[#This Row],[Discount_Sensitivity]]</f>
        <v>Not Sensitive</v>
      </c>
      <c r="AY614" s="3">
        <f>tbl_OriginalData[[#This Row],[Return_Rate]]/tbl_OriginalData[[#This Row],[Frequency_of_Purchase]]</f>
        <v>0</v>
      </c>
      <c r="AZ614">
        <f>tbl_OriginalData[[#This Row],[Customer_Satisfaction]]</f>
        <v>1</v>
      </c>
      <c r="BA614" t="str">
        <f>tbl_OriginalData[[#This Row],[Engagement_with_Ads]]</f>
        <v>High</v>
      </c>
      <c r="BB614" t="str">
        <f>tbl_OriginalData[[#This Row],[Device_Used_for_Shopping]]</f>
        <v>Tablet</v>
      </c>
      <c r="BC614" t="str">
        <f>tbl_OriginalData[[#This Row],[Payment_Method]]</f>
        <v>Other</v>
      </c>
      <c r="BD614" s="1">
        <f>tbl_OriginalData[[#This Row],[Time_of_Purchase]]</f>
        <v>45429</v>
      </c>
      <c r="BE614" t="str">
        <f>IF(tbl_OriginalData[[#This Row],[Discount_Used]]=TRUE,"Yes","No")</f>
        <v>Yes</v>
      </c>
      <c r="BF614" t="str">
        <f>IF(tbl_OriginalData[[#This Row],[Customer_Loyalty_Program_Member]]=TRUE,"Yes","No")</f>
        <v>No</v>
      </c>
      <c r="BG614" t="str">
        <f>tbl_OriginalData[[#This Row],[Purchase_Intent]]</f>
        <v>Planned</v>
      </c>
      <c r="BH614" t="str">
        <f>tbl_OriginalData[[#This Row],[Shipping_Preference]]</f>
        <v>No Preference</v>
      </c>
      <c r="BI614">
        <f>tbl_OriginalData[[#This Row],[Time_to_Decision]]</f>
        <v>5</v>
      </c>
      <c r="BJ614" t="s">
        <v>167</v>
      </c>
      <c r="BK614" t="s">
        <v>63</v>
      </c>
      <c r="BL614" t="s">
        <v>2526</v>
      </c>
    </row>
    <row r="615" spans="1:64">
      <c r="A615" t="s">
        <v>1442</v>
      </c>
      <c r="B615">
        <v>44</v>
      </c>
      <c r="C615" t="s">
        <v>33</v>
      </c>
      <c r="D615" t="s">
        <v>51</v>
      </c>
      <c r="E615" t="s">
        <v>35</v>
      </c>
      <c r="F615" t="s">
        <v>36</v>
      </c>
      <c r="G615" t="s">
        <v>51</v>
      </c>
      <c r="H615" t="s">
        <v>1443</v>
      </c>
      <c r="I615" t="s">
        <v>123</v>
      </c>
      <c r="J615">
        <v>405.7</v>
      </c>
      <c r="K615">
        <v>12</v>
      </c>
      <c r="L615" t="s">
        <v>94</v>
      </c>
      <c r="M615">
        <v>1</v>
      </c>
      <c r="N615">
        <v>3</v>
      </c>
      <c r="O615">
        <v>1</v>
      </c>
      <c r="P615" t="s">
        <v>69</v>
      </c>
      <c r="Q615" t="s">
        <v>101</v>
      </c>
      <c r="R615">
        <v>2</v>
      </c>
      <c r="S615">
        <v>10</v>
      </c>
      <c r="T615" t="s">
        <v>69</v>
      </c>
      <c r="U615" t="s">
        <v>42</v>
      </c>
      <c r="V615" t="s">
        <v>43</v>
      </c>
      <c r="W615" s="1">
        <v>45339</v>
      </c>
      <c r="X615" t="b">
        <v>1</v>
      </c>
      <c r="Y615" t="b">
        <v>1</v>
      </c>
      <c r="Z615" t="s">
        <v>59</v>
      </c>
      <c r="AA615" t="s">
        <v>60</v>
      </c>
      <c r="AB615">
        <v>14</v>
      </c>
      <c r="AF615" t="str">
        <f>tbl_OriginalData[[#This Row],[Customer_ID]]</f>
        <v>27-347-7437</v>
      </c>
      <c r="AG615">
        <f>tbl_OriginalData[[#This Row],[Age]]</f>
        <v>44</v>
      </c>
      <c r="AH615" t="str" cm="1">
        <f t="array" ref="AH61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15" t="str">
        <f>tbl_OriginalData[[#This Row],[Gender]]</f>
        <v>Female</v>
      </c>
      <c r="AJ615" t="str">
        <f>tbl_OriginalData[[#This Row],[Income_Level]]</f>
        <v>High</v>
      </c>
      <c r="AK615" t="str">
        <f>tbl_OriginalData[[#This Row],[Marital_Status]]</f>
        <v>Married</v>
      </c>
      <c r="AL615" t="str">
        <f>tbl_OriginalData[[#This Row],[Education_Level]]</f>
        <v>Bachelor's</v>
      </c>
      <c r="AM615" t="str">
        <f>tbl_OriginalData[[#This Row],[Occupation]]</f>
        <v>High</v>
      </c>
      <c r="AN615" t="s">
        <v>1443</v>
      </c>
      <c r="AO615" t="s">
        <v>161</v>
      </c>
      <c r="AP615" t="str">
        <f>tbl_OriginalData[[#This Row],[Purchase_Category]]</f>
        <v>Luxury Goods</v>
      </c>
      <c r="AQ615" s="4">
        <f>tbl_OriginalData[[#This Row],[Purchase_Amount]]</f>
        <v>405.7</v>
      </c>
      <c r="AR615">
        <f>tbl_OriginalData[[#This Row],[Frequency_of_Purchase]]</f>
        <v>12</v>
      </c>
      <c r="AS615" t="str">
        <f>tbl_OriginalData[[#This Row],[Purchase_Channel]]</f>
        <v>Online</v>
      </c>
      <c r="AT615">
        <f>tbl_OriginalData[[#This Row],[Brand_Loyalty]]</f>
        <v>1</v>
      </c>
      <c r="AU615">
        <f>tbl_OriginalData[[#This Row],[Product_Rating]]</f>
        <v>3</v>
      </c>
      <c r="AV615">
        <f>tbl_OriginalData[[#This Row],[Time_Spent_on_Product_Research(hours)]]*60</f>
        <v>60</v>
      </c>
      <c r="AW615" t="str">
        <f>tbl_OriginalData[[#This Row],[Social_Media_Influence]]</f>
        <v>Low</v>
      </c>
      <c r="AX615" t="str">
        <f>tbl_OriginalData[[#This Row],[Discount_Sensitivity]]</f>
        <v>Very Sensitive</v>
      </c>
      <c r="AY615" s="3">
        <f>tbl_OriginalData[[#This Row],[Return_Rate]]/tbl_OriginalData[[#This Row],[Frequency_of_Purchase]]</f>
        <v>0.16666666666666666</v>
      </c>
      <c r="AZ615">
        <f>tbl_OriginalData[[#This Row],[Customer_Satisfaction]]</f>
        <v>10</v>
      </c>
      <c r="BA615" t="str">
        <f>tbl_OriginalData[[#This Row],[Engagement_with_Ads]]</f>
        <v>Low</v>
      </c>
      <c r="BB615" t="str">
        <f>tbl_OriginalData[[#This Row],[Device_Used_for_Shopping]]</f>
        <v>Tablet</v>
      </c>
      <c r="BC615" t="str">
        <f>tbl_OriginalData[[#This Row],[Payment_Method]]</f>
        <v>Credit Card</v>
      </c>
      <c r="BD615" s="1">
        <f>tbl_OriginalData[[#This Row],[Time_of_Purchase]]</f>
        <v>45339</v>
      </c>
      <c r="BE615" t="str">
        <f>IF(tbl_OriginalData[[#This Row],[Discount_Used]]=TRUE,"Yes","No")</f>
        <v>Yes</v>
      </c>
      <c r="BF615" t="str">
        <f>IF(tbl_OriginalData[[#This Row],[Customer_Loyalty_Program_Member]]=TRUE,"Yes","No")</f>
        <v>Yes</v>
      </c>
      <c r="BG615" t="str">
        <f>tbl_OriginalData[[#This Row],[Purchase_Intent]]</f>
        <v>Wants-based</v>
      </c>
      <c r="BH615" t="str">
        <f>tbl_OriginalData[[#This Row],[Shipping_Preference]]</f>
        <v>Standard</v>
      </c>
      <c r="BI615">
        <f>tbl_OriginalData[[#This Row],[Time_to_Decision]]</f>
        <v>14</v>
      </c>
      <c r="BJ615" t="s">
        <v>158</v>
      </c>
      <c r="BK615" t="s">
        <v>48</v>
      </c>
      <c r="BL615" t="s">
        <v>2527</v>
      </c>
    </row>
    <row r="616" spans="1:64">
      <c r="A616" t="s">
        <v>1444</v>
      </c>
      <c r="B616">
        <v>19</v>
      </c>
      <c r="C616" t="s">
        <v>33</v>
      </c>
      <c r="D616" t="s">
        <v>51</v>
      </c>
      <c r="E616" t="s">
        <v>82</v>
      </c>
      <c r="F616" t="s">
        <v>66</v>
      </c>
      <c r="G616" t="s">
        <v>34</v>
      </c>
      <c r="H616" t="s">
        <v>1445</v>
      </c>
      <c r="I616" t="s">
        <v>199</v>
      </c>
      <c r="J616">
        <v>311.74</v>
      </c>
      <c r="K616">
        <v>11</v>
      </c>
      <c r="L616" t="s">
        <v>39</v>
      </c>
      <c r="M616">
        <v>1</v>
      </c>
      <c r="N616">
        <v>4</v>
      </c>
      <c r="O616">
        <v>2</v>
      </c>
      <c r="P616" t="s">
        <v>69</v>
      </c>
      <c r="Q616" t="s">
        <v>41</v>
      </c>
      <c r="R616">
        <v>2</v>
      </c>
      <c r="S616">
        <v>10</v>
      </c>
      <c r="T616" t="s">
        <v>56</v>
      </c>
      <c r="U616" t="s">
        <v>70</v>
      </c>
      <c r="V616" t="s">
        <v>58</v>
      </c>
      <c r="W616" s="1">
        <v>45308</v>
      </c>
      <c r="X616" t="b">
        <v>1</v>
      </c>
      <c r="Y616" t="b">
        <v>0</v>
      </c>
      <c r="Z616" t="s">
        <v>72</v>
      </c>
      <c r="AA616" t="s">
        <v>77</v>
      </c>
      <c r="AB616">
        <v>11</v>
      </c>
      <c r="AF616" t="str">
        <f>tbl_OriginalData[[#This Row],[Customer_ID]]</f>
        <v>95-675-7816</v>
      </c>
      <c r="AG616">
        <f>tbl_OriginalData[[#This Row],[Age]]</f>
        <v>19</v>
      </c>
      <c r="AH616" t="str" cm="1">
        <f t="array" ref="AH61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616" t="str">
        <f>tbl_OriginalData[[#This Row],[Gender]]</f>
        <v>Female</v>
      </c>
      <c r="AJ616" t="str">
        <f>tbl_OriginalData[[#This Row],[Income_Level]]</f>
        <v>High</v>
      </c>
      <c r="AK616" t="str">
        <f>tbl_OriginalData[[#This Row],[Marital_Status]]</f>
        <v>Widowed</v>
      </c>
      <c r="AL616" t="str">
        <f>tbl_OriginalData[[#This Row],[Education_Level]]</f>
        <v>Master's</v>
      </c>
      <c r="AM616" t="str">
        <f>tbl_OriginalData[[#This Row],[Occupation]]</f>
        <v>Middle</v>
      </c>
      <c r="AN616" t="s">
        <v>1445</v>
      </c>
      <c r="AO616" t="s">
        <v>46</v>
      </c>
      <c r="AP616" t="str">
        <f>tbl_OriginalData[[#This Row],[Purchase_Category]]</f>
        <v>Groceries</v>
      </c>
      <c r="AQ616" s="4">
        <f>tbl_OriginalData[[#This Row],[Purchase_Amount]]</f>
        <v>311.74</v>
      </c>
      <c r="AR616">
        <f>tbl_OriginalData[[#This Row],[Frequency_of_Purchase]]</f>
        <v>11</v>
      </c>
      <c r="AS616" t="str">
        <f>tbl_OriginalData[[#This Row],[Purchase_Channel]]</f>
        <v>Mixed</v>
      </c>
      <c r="AT616">
        <f>tbl_OriginalData[[#This Row],[Brand_Loyalty]]</f>
        <v>1</v>
      </c>
      <c r="AU616">
        <f>tbl_OriginalData[[#This Row],[Product_Rating]]</f>
        <v>4</v>
      </c>
      <c r="AV616">
        <f>tbl_OriginalData[[#This Row],[Time_Spent_on_Product_Research(hours)]]*60</f>
        <v>120</v>
      </c>
      <c r="AW616" t="str">
        <f>tbl_OriginalData[[#This Row],[Social_Media_Influence]]</f>
        <v>Low</v>
      </c>
      <c r="AX616" t="str">
        <f>tbl_OriginalData[[#This Row],[Discount_Sensitivity]]</f>
        <v>Somewhat Sensitive</v>
      </c>
      <c r="AY616" s="3">
        <f>tbl_OriginalData[[#This Row],[Return_Rate]]/tbl_OriginalData[[#This Row],[Frequency_of_Purchase]]</f>
        <v>0.18181818181818182</v>
      </c>
      <c r="AZ616">
        <f>tbl_OriginalData[[#This Row],[Customer_Satisfaction]]</f>
        <v>10</v>
      </c>
      <c r="BA616" t="str">
        <f>tbl_OriginalData[[#This Row],[Engagement_with_Ads]]</f>
        <v>Medium</v>
      </c>
      <c r="BB616" t="str">
        <f>tbl_OriginalData[[#This Row],[Device_Used_for_Shopping]]</f>
        <v>Smartphone</v>
      </c>
      <c r="BC616" t="str">
        <f>tbl_OriginalData[[#This Row],[Payment_Method]]</f>
        <v>PayPal</v>
      </c>
      <c r="BD616" s="1">
        <f>tbl_OriginalData[[#This Row],[Time_of_Purchase]]</f>
        <v>45308</v>
      </c>
      <c r="BE616" t="str">
        <f>IF(tbl_OriginalData[[#This Row],[Discount_Used]]=TRUE,"Yes","No")</f>
        <v>Yes</v>
      </c>
      <c r="BF616" t="str">
        <f>IF(tbl_OriginalData[[#This Row],[Customer_Loyalty_Program_Member]]=TRUE,"Yes","No")</f>
        <v>No</v>
      </c>
      <c r="BG616" t="str">
        <f>tbl_OriginalData[[#This Row],[Purchase_Intent]]</f>
        <v>Impulsive</v>
      </c>
      <c r="BH616" t="str">
        <f>tbl_OriginalData[[#This Row],[Shipping_Preference]]</f>
        <v>Express</v>
      </c>
      <c r="BI616">
        <f>tbl_OriginalData[[#This Row],[Time_to_Decision]]</f>
        <v>11</v>
      </c>
      <c r="BJ616" t="s">
        <v>86</v>
      </c>
      <c r="BK616" t="s">
        <v>48</v>
      </c>
      <c r="BL616" t="s">
        <v>2523</v>
      </c>
    </row>
    <row r="617" spans="1:64">
      <c r="A617" t="s">
        <v>1446</v>
      </c>
      <c r="B617">
        <v>39</v>
      </c>
      <c r="C617" t="s">
        <v>50</v>
      </c>
      <c r="D617" t="s">
        <v>34</v>
      </c>
      <c r="E617" t="s">
        <v>82</v>
      </c>
      <c r="F617" t="s">
        <v>36</v>
      </c>
      <c r="G617" t="s">
        <v>51</v>
      </c>
      <c r="H617" t="s">
        <v>1447</v>
      </c>
      <c r="I617" t="s">
        <v>229</v>
      </c>
      <c r="J617">
        <v>293.43</v>
      </c>
      <c r="K617">
        <v>9</v>
      </c>
      <c r="L617" t="s">
        <v>55</v>
      </c>
      <c r="M617">
        <v>4</v>
      </c>
      <c r="N617">
        <v>4</v>
      </c>
      <c r="O617">
        <v>1</v>
      </c>
      <c r="P617" t="s">
        <v>56</v>
      </c>
      <c r="Q617" t="s">
        <v>101</v>
      </c>
      <c r="R617">
        <v>0</v>
      </c>
      <c r="S617">
        <v>5</v>
      </c>
      <c r="T617" t="s">
        <v>40</v>
      </c>
      <c r="U617" t="s">
        <v>95</v>
      </c>
      <c r="V617" t="s">
        <v>102</v>
      </c>
      <c r="W617" s="1">
        <v>45478</v>
      </c>
      <c r="X617" t="b">
        <v>0</v>
      </c>
      <c r="Y617" t="b">
        <v>1</v>
      </c>
      <c r="Z617" t="s">
        <v>44</v>
      </c>
      <c r="AA617" t="s">
        <v>60</v>
      </c>
      <c r="AB617">
        <v>7</v>
      </c>
      <c r="AF617" t="str">
        <f>tbl_OriginalData[[#This Row],[Customer_ID]]</f>
        <v>87-418-1400</v>
      </c>
      <c r="AG617">
        <f>tbl_OriginalData[[#This Row],[Age]]</f>
        <v>39</v>
      </c>
      <c r="AH617" t="str" cm="1">
        <f t="array" ref="AH61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17" t="str">
        <f>tbl_OriginalData[[#This Row],[Gender]]</f>
        <v>Male</v>
      </c>
      <c r="AJ617" t="str">
        <f>tbl_OriginalData[[#This Row],[Income_Level]]</f>
        <v>Middle</v>
      </c>
      <c r="AK617" t="str">
        <f>tbl_OriginalData[[#This Row],[Marital_Status]]</f>
        <v>Widowed</v>
      </c>
      <c r="AL617" t="str">
        <f>tbl_OriginalData[[#This Row],[Education_Level]]</f>
        <v>Bachelor's</v>
      </c>
      <c r="AM617" t="str">
        <f>tbl_OriginalData[[#This Row],[Occupation]]</f>
        <v>High</v>
      </c>
      <c r="AN617" t="s">
        <v>1447</v>
      </c>
      <c r="AO617" t="s">
        <v>727</v>
      </c>
      <c r="AP617" t="str">
        <f>tbl_OriginalData[[#This Row],[Purchase_Category]]</f>
        <v>Clothing</v>
      </c>
      <c r="AQ617" s="4">
        <f>tbl_OriginalData[[#This Row],[Purchase_Amount]]</f>
        <v>293.43</v>
      </c>
      <c r="AR617">
        <f>tbl_OriginalData[[#This Row],[Frequency_of_Purchase]]</f>
        <v>9</v>
      </c>
      <c r="AS617" t="str">
        <f>tbl_OriginalData[[#This Row],[Purchase_Channel]]</f>
        <v>In-Store</v>
      </c>
      <c r="AT617">
        <f>tbl_OriginalData[[#This Row],[Brand_Loyalty]]</f>
        <v>4</v>
      </c>
      <c r="AU617">
        <f>tbl_OriginalData[[#This Row],[Product_Rating]]</f>
        <v>4</v>
      </c>
      <c r="AV617">
        <f>tbl_OriginalData[[#This Row],[Time_Spent_on_Product_Research(hours)]]*60</f>
        <v>60</v>
      </c>
      <c r="AW617" t="str">
        <f>tbl_OriginalData[[#This Row],[Social_Media_Influence]]</f>
        <v>Medium</v>
      </c>
      <c r="AX617" t="str">
        <f>tbl_OriginalData[[#This Row],[Discount_Sensitivity]]</f>
        <v>Very Sensitive</v>
      </c>
      <c r="AY617" s="3">
        <f>tbl_OriginalData[[#This Row],[Return_Rate]]/tbl_OriginalData[[#This Row],[Frequency_of_Purchase]]</f>
        <v>0</v>
      </c>
      <c r="AZ617">
        <f>tbl_OriginalData[[#This Row],[Customer_Satisfaction]]</f>
        <v>5</v>
      </c>
      <c r="BA617" t="str">
        <f>tbl_OriginalData[[#This Row],[Engagement_with_Ads]]</f>
        <v>None</v>
      </c>
      <c r="BB617" t="str">
        <f>tbl_OriginalData[[#This Row],[Device_Used_for_Shopping]]</f>
        <v>Desktop</v>
      </c>
      <c r="BC617" t="str">
        <f>tbl_OriginalData[[#This Row],[Payment_Method]]</f>
        <v>Cash</v>
      </c>
      <c r="BD617" s="1">
        <f>tbl_OriginalData[[#This Row],[Time_of_Purchase]]</f>
        <v>45478</v>
      </c>
      <c r="BE617" t="str">
        <f>IF(tbl_OriginalData[[#This Row],[Discount_Used]]=TRUE,"Yes","No")</f>
        <v>No</v>
      </c>
      <c r="BF617" t="str">
        <f>IF(tbl_OriginalData[[#This Row],[Customer_Loyalty_Program_Member]]=TRUE,"Yes","No")</f>
        <v>Yes</v>
      </c>
      <c r="BG617" t="str">
        <f>tbl_OriginalData[[#This Row],[Purchase_Intent]]</f>
        <v>Need-based</v>
      </c>
      <c r="BH617" t="str">
        <f>tbl_OriginalData[[#This Row],[Shipping_Preference]]</f>
        <v>Standard</v>
      </c>
      <c r="BI617">
        <f>tbl_OriginalData[[#This Row],[Time_to_Decision]]</f>
        <v>7</v>
      </c>
      <c r="BJ617" t="s">
        <v>114</v>
      </c>
      <c r="BK617" t="s">
        <v>115</v>
      </c>
      <c r="BL617" t="s">
        <v>2524</v>
      </c>
    </row>
    <row r="618" spans="1:64">
      <c r="A618" t="s">
        <v>1448</v>
      </c>
      <c r="B618">
        <v>35</v>
      </c>
      <c r="C618" t="s">
        <v>33</v>
      </c>
      <c r="D618" t="s">
        <v>51</v>
      </c>
      <c r="E618" t="s">
        <v>65</v>
      </c>
      <c r="F618" t="s">
        <v>36</v>
      </c>
      <c r="G618" t="s">
        <v>34</v>
      </c>
      <c r="H618" t="s">
        <v>1449</v>
      </c>
      <c r="I618" t="s">
        <v>153</v>
      </c>
      <c r="J618">
        <v>418.51</v>
      </c>
      <c r="K618">
        <v>6</v>
      </c>
      <c r="L618" t="s">
        <v>94</v>
      </c>
      <c r="M618">
        <v>4</v>
      </c>
      <c r="N618">
        <v>4</v>
      </c>
      <c r="O618">
        <v>2</v>
      </c>
      <c r="P618" t="s">
        <v>69</v>
      </c>
      <c r="Q618" t="s">
        <v>41</v>
      </c>
      <c r="R618">
        <v>2</v>
      </c>
      <c r="S618">
        <v>2</v>
      </c>
      <c r="T618" t="s">
        <v>51</v>
      </c>
      <c r="U618" t="s">
        <v>95</v>
      </c>
      <c r="V618" t="s">
        <v>43</v>
      </c>
      <c r="W618" s="1">
        <v>45413</v>
      </c>
      <c r="X618" t="b">
        <v>0</v>
      </c>
      <c r="Y618" t="b">
        <v>1</v>
      </c>
      <c r="Z618" t="s">
        <v>44</v>
      </c>
      <c r="AA618" t="s">
        <v>60</v>
      </c>
      <c r="AB618">
        <v>3</v>
      </c>
      <c r="AF618" t="str">
        <f>tbl_OriginalData[[#This Row],[Customer_ID]]</f>
        <v>73-991-0066</v>
      </c>
      <c r="AG618">
        <f>tbl_OriginalData[[#This Row],[Age]]</f>
        <v>35</v>
      </c>
      <c r="AH618" t="str" cm="1">
        <f t="array" ref="AH61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18" t="str">
        <f>tbl_OriginalData[[#This Row],[Gender]]</f>
        <v>Female</v>
      </c>
      <c r="AJ618" t="str">
        <f>tbl_OriginalData[[#This Row],[Income_Level]]</f>
        <v>High</v>
      </c>
      <c r="AK618" t="str">
        <f>tbl_OriginalData[[#This Row],[Marital_Status]]</f>
        <v>Single</v>
      </c>
      <c r="AL618" t="str">
        <f>tbl_OriginalData[[#This Row],[Education_Level]]</f>
        <v>Bachelor's</v>
      </c>
      <c r="AM618" t="str">
        <f>tbl_OriginalData[[#This Row],[Occupation]]</f>
        <v>Middle</v>
      </c>
      <c r="AN618" t="s">
        <v>1449</v>
      </c>
      <c r="AO618" t="s">
        <v>299</v>
      </c>
      <c r="AP618" t="str">
        <f>tbl_OriginalData[[#This Row],[Purchase_Category]]</f>
        <v>Baby Products</v>
      </c>
      <c r="AQ618" s="4">
        <f>tbl_OriginalData[[#This Row],[Purchase_Amount]]</f>
        <v>418.51</v>
      </c>
      <c r="AR618">
        <f>tbl_OriginalData[[#This Row],[Frequency_of_Purchase]]</f>
        <v>6</v>
      </c>
      <c r="AS618" t="str">
        <f>tbl_OriginalData[[#This Row],[Purchase_Channel]]</f>
        <v>Online</v>
      </c>
      <c r="AT618">
        <f>tbl_OriginalData[[#This Row],[Brand_Loyalty]]</f>
        <v>4</v>
      </c>
      <c r="AU618">
        <f>tbl_OriginalData[[#This Row],[Product_Rating]]</f>
        <v>4</v>
      </c>
      <c r="AV618">
        <f>tbl_OriginalData[[#This Row],[Time_Spent_on_Product_Research(hours)]]*60</f>
        <v>120</v>
      </c>
      <c r="AW618" t="str">
        <f>tbl_OriginalData[[#This Row],[Social_Media_Influence]]</f>
        <v>Low</v>
      </c>
      <c r="AX618" t="str">
        <f>tbl_OriginalData[[#This Row],[Discount_Sensitivity]]</f>
        <v>Somewhat Sensitive</v>
      </c>
      <c r="AY618" s="3">
        <f>tbl_OriginalData[[#This Row],[Return_Rate]]/tbl_OriginalData[[#This Row],[Frequency_of_Purchase]]</f>
        <v>0.33333333333333331</v>
      </c>
      <c r="AZ618">
        <f>tbl_OriginalData[[#This Row],[Customer_Satisfaction]]</f>
        <v>2</v>
      </c>
      <c r="BA618" t="str">
        <f>tbl_OriginalData[[#This Row],[Engagement_with_Ads]]</f>
        <v>High</v>
      </c>
      <c r="BB618" t="str">
        <f>tbl_OriginalData[[#This Row],[Device_Used_for_Shopping]]</f>
        <v>Desktop</v>
      </c>
      <c r="BC618" t="str">
        <f>tbl_OriginalData[[#This Row],[Payment_Method]]</f>
        <v>Credit Card</v>
      </c>
      <c r="BD618" s="1">
        <f>tbl_OriginalData[[#This Row],[Time_of_Purchase]]</f>
        <v>45413</v>
      </c>
      <c r="BE618" t="str">
        <f>IF(tbl_OriginalData[[#This Row],[Discount_Used]]=TRUE,"Yes","No")</f>
        <v>No</v>
      </c>
      <c r="BF618" t="str">
        <f>IF(tbl_OriginalData[[#This Row],[Customer_Loyalty_Program_Member]]=TRUE,"Yes","No")</f>
        <v>Yes</v>
      </c>
      <c r="BG618" t="str">
        <f>tbl_OriginalData[[#This Row],[Purchase_Intent]]</f>
        <v>Need-based</v>
      </c>
      <c r="BH618" t="str">
        <f>tbl_OriginalData[[#This Row],[Shipping_Preference]]</f>
        <v>Standard</v>
      </c>
      <c r="BI618">
        <f>tbl_OriginalData[[#This Row],[Time_to_Decision]]</f>
        <v>3</v>
      </c>
      <c r="BJ618" t="s">
        <v>167</v>
      </c>
      <c r="BK618" t="s">
        <v>63</v>
      </c>
      <c r="BL618" t="s">
        <v>2525</v>
      </c>
    </row>
    <row r="619" spans="1:64">
      <c r="A619" t="s">
        <v>1450</v>
      </c>
      <c r="B619">
        <v>39</v>
      </c>
      <c r="C619" t="s">
        <v>50</v>
      </c>
      <c r="D619" t="s">
        <v>34</v>
      </c>
      <c r="E619" t="s">
        <v>65</v>
      </c>
      <c r="F619" t="s">
        <v>66</v>
      </c>
      <c r="G619" t="s">
        <v>34</v>
      </c>
      <c r="H619" t="s">
        <v>1451</v>
      </c>
      <c r="I619" t="s">
        <v>131</v>
      </c>
      <c r="J619">
        <v>85.03</v>
      </c>
      <c r="K619">
        <v>9</v>
      </c>
      <c r="L619" t="s">
        <v>55</v>
      </c>
      <c r="M619">
        <v>5</v>
      </c>
      <c r="N619">
        <v>4</v>
      </c>
      <c r="O619">
        <v>1</v>
      </c>
      <c r="P619" t="s">
        <v>56</v>
      </c>
      <c r="Q619" t="s">
        <v>57</v>
      </c>
      <c r="R619">
        <v>0</v>
      </c>
      <c r="S619">
        <v>9</v>
      </c>
      <c r="T619" t="s">
        <v>51</v>
      </c>
      <c r="U619" t="s">
        <v>70</v>
      </c>
      <c r="V619" t="s">
        <v>43</v>
      </c>
      <c r="W619" s="1">
        <v>45571</v>
      </c>
      <c r="X619" t="b">
        <v>1</v>
      </c>
      <c r="Y619" t="b">
        <v>1</v>
      </c>
      <c r="Z619" t="s">
        <v>59</v>
      </c>
      <c r="AA619" t="s">
        <v>77</v>
      </c>
      <c r="AB619">
        <v>8</v>
      </c>
      <c r="AF619" t="str">
        <f>tbl_OriginalData[[#This Row],[Customer_ID]]</f>
        <v>62-273-8089</v>
      </c>
      <c r="AG619">
        <f>tbl_OriginalData[[#This Row],[Age]]</f>
        <v>39</v>
      </c>
      <c r="AH619" t="str" cm="1">
        <f t="array" ref="AH61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19" t="str">
        <f>tbl_OriginalData[[#This Row],[Gender]]</f>
        <v>Male</v>
      </c>
      <c r="AJ619" t="str">
        <f>tbl_OriginalData[[#This Row],[Income_Level]]</f>
        <v>Middle</v>
      </c>
      <c r="AK619" t="str">
        <f>tbl_OriginalData[[#This Row],[Marital_Status]]</f>
        <v>Single</v>
      </c>
      <c r="AL619" t="str">
        <f>tbl_OriginalData[[#This Row],[Education_Level]]</f>
        <v>Master's</v>
      </c>
      <c r="AM619" t="str">
        <f>tbl_OriginalData[[#This Row],[Occupation]]</f>
        <v>Middle</v>
      </c>
      <c r="AN619" t="s">
        <v>1451</v>
      </c>
      <c r="AO619" t="s">
        <v>109</v>
      </c>
      <c r="AP619" t="str">
        <f>tbl_OriginalData[[#This Row],[Purchase_Category]]</f>
        <v>Health Care</v>
      </c>
      <c r="AQ619" s="4">
        <f>tbl_OriginalData[[#This Row],[Purchase_Amount]]</f>
        <v>85.03</v>
      </c>
      <c r="AR619">
        <f>tbl_OriginalData[[#This Row],[Frequency_of_Purchase]]</f>
        <v>9</v>
      </c>
      <c r="AS619" t="str">
        <f>tbl_OriginalData[[#This Row],[Purchase_Channel]]</f>
        <v>In-Store</v>
      </c>
      <c r="AT619">
        <f>tbl_OriginalData[[#This Row],[Brand_Loyalty]]</f>
        <v>5</v>
      </c>
      <c r="AU619">
        <f>tbl_OriginalData[[#This Row],[Product_Rating]]</f>
        <v>4</v>
      </c>
      <c r="AV619">
        <f>tbl_OriginalData[[#This Row],[Time_Spent_on_Product_Research(hours)]]*60</f>
        <v>60</v>
      </c>
      <c r="AW619" t="str">
        <f>tbl_OriginalData[[#This Row],[Social_Media_Influence]]</f>
        <v>Medium</v>
      </c>
      <c r="AX619" t="str">
        <f>tbl_OriginalData[[#This Row],[Discount_Sensitivity]]</f>
        <v>Not Sensitive</v>
      </c>
      <c r="AY619" s="3">
        <f>tbl_OriginalData[[#This Row],[Return_Rate]]/tbl_OriginalData[[#This Row],[Frequency_of_Purchase]]</f>
        <v>0</v>
      </c>
      <c r="AZ619">
        <f>tbl_OriginalData[[#This Row],[Customer_Satisfaction]]</f>
        <v>9</v>
      </c>
      <c r="BA619" t="str">
        <f>tbl_OriginalData[[#This Row],[Engagement_with_Ads]]</f>
        <v>High</v>
      </c>
      <c r="BB619" t="str">
        <f>tbl_OriginalData[[#This Row],[Device_Used_for_Shopping]]</f>
        <v>Smartphone</v>
      </c>
      <c r="BC619" t="str">
        <f>tbl_OriginalData[[#This Row],[Payment_Method]]</f>
        <v>Credit Card</v>
      </c>
      <c r="BD619" s="1">
        <f>tbl_OriginalData[[#This Row],[Time_of_Purchase]]</f>
        <v>45571</v>
      </c>
      <c r="BE619" t="str">
        <f>IF(tbl_OriginalData[[#This Row],[Discount_Used]]=TRUE,"Yes","No")</f>
        <v>Yes</v>
      </c>
      <c r="BF619" t="str">
        <f>IF(tbl_OriginalData[[#This Row],[Customer_Loyalty_Program_Member]]=TRUE,"Yes","No")</f>
        <v>Yes</v>
      </c>
      <c r="BG619" t="str">
        <f>tbl_OriginalData[[#This Row],[Purchase_Intent]]</f>
        <v>Wants-based</v>
      </c>
      <c r="BH619" t="str">
        <f>tbl_OriginalData[[#This Row],[Shipping_Preference]]</f>
        <v>Express</v>
      </c>
      <c r="BI619">
        <f>tbl_OriginalData[[#This Row],[Time_to_Decision]]</f>
        <v>8</v>
      </c>
      <c r="BJ619" t="s">
        <v>79</v>
      </c>
      <c r="BK619" t="s">
        <v>80</v>
      </c>
      <c r="BL619" t="s">
        <v>2526</v>
      </c>
    </row>
    <row r="620" spans="1:64">
      <c r="A620" t="s">
        <v>1452</v>
      </c>
      <c r="B620">
        <v>31</v>
      </c>
      <c r="C620" t="s">
        <v>50</v>
      </c>
      <c r="D620" t="s">
        <v>34</v>
      </c>
      <c r="E620" t="s">
        <v>35</v>
      </c>
      <c r="F620" t="s">
        <v>66</v>
      </c>
      <c r="G620" t="s">
        <v>51</v>
      </c>
      <c r="H620" t="s">
        <v>1453</v>
      </c>
      <c r="I620" t="s">
        <v>112</v>
      </c>
      <c r="J620">
        <v>164.94</v>
      </c>
      <c r="K620">
        <v>4</v>
      </c>
      <c r="L620" t="s">
        <v>55</v>
      </c>
      <c r="M620">
        <v>4</v>
      </c>
      <c r="N620">
        <v>4</v>
      </c>
      <c r="O620">
        <v>2</v>
      </c>
      <c r="P620" t="s">
        <v>51</v>
      </c>
      <c r="Q620" t="s">
        <v>41</v>
      </c>
      <c r="R620">
        <v>2</v>
      </c>
      <c r="S620">
        <v>2</v>
      </c>
      <c r="T620" t="s">
        <v>69</v>
      </c>
      <c r="U620" t="s">
        <v>95</v>
      </c>
      <c r="V620" t="s">
        <v>58</v>
      </c>
      <c r="W620" s="1">
        <v>45491</v>
      </c>
      <c r="X620" t="b">
        <v>1</v>
      </c>
      <c r="Y620" t="b">
        <v>1</v>
      </c>
      <c r="Z620" t="s">
        <v>59</v>
      </c>
      <c r="AA620" t="s">
        <v>77</v>
      </c>
      <c r="AB620">
        <v>6</v>
      </c>
      <c r="AF620" t="str">
        <f>tbl_OriginalData[[#This Row],[Customer_ID]]</f>
        <v>51-220-3072</v>
      </c>
      <c r="AG620">
        <f>tbl_OriginalData[[#This Row],[Age]]</f>
        <v>31</v>
      </c>
      <c r="AH620" t="str" cm="1">
        <f t="array" ref="AH62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20" t="str">
        <f>tbl_OriginalData[[#This Row],[Gender]]</f>
        <v>Male</v>
      </c>
      <c r="AJ620" t="str">
        <f>tbl_OriginalData[[#This Row],[Income_Level]]</f>
        <v>Middle</v>
      </c>
      <c r="AK620" t="str">
        <f>tbl_OriginalData[[#This Row],[Marital_Status]]</f>
        <v>Married</v>
      </c>
      <c r="AL620" t="str">
        <f>tbl_OriginalData[[#This Row],[Education_Level]]</f>
        <v>Master's</v>
      </c>
      <c r="AM620" t="str">
        <f>tbl_OriginalData[[#This Row],[Occupation]]</f>
        <v>High</v>
      </c>
      <c r="AN620" t="s">
        <v>1453</v>
      </c>
      <c r="AO620" t="s">
        <v>61</v>
      </c>
      <c r="AP620" t="str">
        <f>tbl_OriginalData[[#This Row],[Purchase_Category]]</f>
        <v>Mobile Accessories</v>
      </c>
      <c r="AQ620" s="4">
        <f>tbl_OriginalData[[#This Row],[Purchase_Amount]]</f>
        <v>164.94</v>
      </c>
      <c r="AR620">
        <f>tbl_OriginalData[[#This Row],[Frequency_of_Purchase]]</f>
        <v>4</v>
      </c>
      <c r="AS620" t="str">
        <f>tbl_OriginalData[[#This Row],[Purchase_Channel]]</f>
        <v>In-Store</v>
      </c>
      <c r="AT620">
        <f>tbl_OriginalData[[#This Row],[Brand_Loyalty]]</f>
        <v>4</v>
      </c>
      <c r="AU620">
        <f>tbl_OriginalData[[#This Row],[Product_Rating]]</f>
        <v>4</v>
      </c>
      <c r="AV620">
        <f>tbl_OriginalData[[#This Row],[Time_Spent_on_Product_Research(hours)]]*60</f>
        <v>120</v>
      </c>
      <c r="AW620" t="str">
        <f>tbl_OriginalData[[#This Row],[Social_Media_Influence]]</f>
        <v>High</v>
      </c>
      <c r="AX620" t="str">
        <f>tbl_OriginalData[[#This Row],[Discount_Sensitivity]]</f>
        <v>Somewhat Sensitive</v>
      </c>
      <c r="AY620" s="3">
        <f>tbl_OriginalData[[#This Row],[Return_Rate]]/tbl_OriginalData[[#This Row],[Frequency_of_Purchase]]</f>
        <v>0.5</v>
      </c>
      <c r="AZ620">
        <f>tbl_OriginalData[[#This Row],[Customer_Satisfaction]]</f>
        <v>2</v>
      </c>
      <c r="BA620" t="str">
        <f>tbl_OriginalData[[#This Row],[Engagement_with_Ads]]</f>
        <v>Low</v>
      </c>
      <c r="BB620" t="str">
        <f>tbl_OriginalData[[#This Row],[Device_Used_for_Shopping]]</f>
        <v>Desktop</v>
      </c>
      <c r="BC620" t="str">
        <f>tbl_OriginalData[[#This Row],[Payment_Method]]</f>
        <v>PayPal</v>
      </c>
      <c r="BD620" s="1">
        <f>tbl_OriginalData[[#This Row],[Time_of_Purchase]]</f>
        <v>45491</v>
      </c>
      <c r="BE620" t="str">
        <f>IF(tbl_OriginalData[[#This Row],[Discount_Used]]=TRUE,"Yes","No")</f>
        <v>Yes</v>
      </c>
      <c r="BF620" t="str">
        <f>IF(tbl_OriginalData[[#This Row],[Customer_Loyalty_Program_Member]]=TRUE,"Yes","No")</f>
        <v>Yes</v>
      </c>
      <c r="BG620" t="str">
        <f>tbl_OriginalData[[#This Row],[Purchase_Intent]]</f>
        <v>Wants-based</v>
      </c>
      <c r="BH620" t="str">
        <f>tbl_OriginalData[[#This Row],[Shipping_Preference]]</f>
        <v>Express</v>
      </c>
      <c r="BI620">
        <f>tbl_OriginalData[[#This Row],[Time_to_Decision]]</f>
        <v>6</v>
      </c>
      <c r="BJ620" t="s">
        <v>114</v>
      </c>
      <c r="BK620" t="s">
        <v>115</v>
      </c>
      <c r="BL620" t="s">
        <v>2524</v>
      </c>
    </row>
    <row r="621" spans="1:64">
      <c r="A621" t="s">
        <v>1454</v>
      </c>
      <c r="B621">
        <v>38</v>
      </c>
      <c r="C621" t="s">
        <v>33</v>
      </c>
      <c r="D621" t="s">
        <v>51</v>
      </c>
      <c r="E621" t="s">
        <v>82</v>
      </c>
      <c r="F621" t="s">
        <v>36</v>
      </c>
      <c r="G621" t="s">
        <v>34</v>
      </c>
      <c r="H621" t="s">
        <v>1455</v>
      </c>
      <c r="I621" t="s">
        <v>199</v>
      </c>
      <c r="J621">
        <v>89.32</v>
      </c>
      <c r="K621">
        <v>11</v>
      </c>
      <c r="L621" t="s">
        <v>94</v>
      </c>
      <c r="M621">
        <v>1</v>
      </c>
      <c r="N621">
        <v>1</v>
      </c>
      <c r="O621">
        <v>0.3</v>
      </c>
      <c r="P621" t="s">
        <v>69</v>
      </c>
      <c r="Q621" t="s">
        <v>41</v>
      </c>
      <c r="R621">
        <v>1</v>
      </c>
      <c r="S621">
        <v>3</v>
      </c>
      <c r="T621" t="s">
        <v>51</v>
      </c>
      <c r="U621" t="s">
        <v>95</v>
      </c>
      <c r="V621" t="s">
        <v>76</v>
      </c>
      <c r="W621" s="1">
        <v>45405</v>
      </c>
      <c r="X621" t="b">
        <v>1</v>
      </c>
      <c r="Y621" t="b">
        <v>0</v>
      </c>
      <c r="Z621" t="s">
        <v>59</v>
      </c>
      <c r="AA621" t="s">
        <v>45</v>
      </c>
      <c r="AB621">
        <v>12</v>
      </c>
      <c r="AF621" t="str">
        <f>tbl_OriginalData[[#This Row],[Customer_ID]]</f>
        <v>17-648-0171</v>
      </c>
      <c r="AG621">
        <f>tbl_OriginalData[[#This Row],[Age]]</f>
        <v>38</v>
      </c>
      <c r="AH621" t="str" cm="1">
        <f t="array" ref="AH62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21" t="str">
        <f>tbl_OriginalData[[#This Row],[Gender]]</f>
        <v>Female</v>
      </c>
      <c r="AJ621" t="str">
        <f>tbl_OriginalData[[#This Row],[Income_Level]]</f>
        <v>High</v>
      </c>
      <c r="AK621" t="str">
        <f>tbl_OriginalData[[#This Row],[Marital_Status]]</f>
        <v>Widowed</v>
      </c>
      <c r="AL621" t="str">
        <f>tbl_OriginalData[[#This Row],[Education_Level]]</f>
        <v>Bachelor's</v>
      </c>
      <c r="AM621" t="str">
        <f>tbl_OriginalData[[#This Row],[Occupation]]</f>
        <v>Middle</v>
      </c>
      <c r="AN621" t="s">
        <v>1455</v>
      </c>
      <c r="AO621" t="s">
        <v>161</v>
      </c>
      <c r="AP621" t="str">
        <f>tbl_OriginalData[[#This Row],[Purchase_Category]]</f>
        <v>Groceries</v>
      </c>
      <c r="AQ621" s="4">
        <f>tbl_OriginalData[[#This Row],[Purchase_Amount]]</f>
        <v>89.32</v>
      </c>
      <c r="AR621">
        <f>tbl_OriginalData[[#This Row],[Frequency_of_Purchase]]</f>
        <v>11</v>
      </c>
      <c r="AS621" t="str">
        <f>tbl_OriginalData[[#This Row],[Purchase_Channel]]</f>
        <v>Online</v>
      </c>
      <c r="AT621">
        <f>tbl_OriginalData[[#This Row],[Brand_Loyalty]]</f>
        <v>1</v>
      </c>
      <c r="AU621">
        <f>tbl_OriginalData[[#This Row],[Product_Rating]]</f>
        <v>1</v>
      </c>
      <c r="AV621">
        <f>tbl_OriginalData[[#This Row],[Time_Spent_on_Product_Research(hours)]]*60</f>
        <v>18</v>
      </c>
      <c r="AW621" t="str">
        <f>tbl_OriginalData[[#This Row],[Social_Media_Influence]]</f>
        <v>Low</v>
      </c>
      <c r="AX621" t="str">
        <f>tbl_OriginalData[[#This Row],[Discount_Sensitivity]]</f>
        <v>Somewhat Sensitive</v>
      </c>
      <c r="AY621" s="3">
        <f>tbl_OriginalData[[#This Row],[Return_Rate]]/tbl_OriginalData[[#This Row],[Frequency_of_Purchase]]</f>
        <v>9.0909090909090912E-2</v>
      </c>
      <c r="AZ621">
        <f>tbl_OriginalData[[#This Row],[Customer_Satisfaction]]</f>
        <v>3</v>
      </c>
      <c r="BA621" t="str">
        <f>tbl_OriginalData[[#This Row],[Engagement_with_Ads]]</f>
        <v>High</v>
      </c>
      <c r="BB621" t="str">
        <f>tbl_OriginalData[[#This Row],[Device_Used_for_Shopping]]</f>
        <v>Desktop</v>
      </c>
      <c r="BC621" t="str">
        <f>tbl_OriginalData[[#This Row],[Payment_Method]]</f>
        <v>Other</v>
      </c>
      <c r="BD621" s="1">
        <f>tbl_OriginalData[[#This Row],[Time_of_Purchase]]</f>
        <v>45405</v>
      </c>
      <c r="BE621" t="str">
        <f>IF(tbl_OriginalData[[#This Row],[Discount_Used]]=TRUE,"Yes","No")</f>
        <v>Yes</v>
      </c>
      <c r="BF621" t="str">
        <f>IF(tbl_OriginalData[[#This Row],[Customer_Loyalty_Program_Member]]=TRUE,"Yes","No")</f>
        <v>No</v>
      </c>
      <c r="BG621" t="str">
        <f>tbl_OriginalData[[#This Row],[Purchase_Intent]]</f>
        <v>Wants-based</v>
      </c>
      <c r="BH621" t="str">
        <f>tbl_OriginalData[[#This Row],[Shipping_Preference]]</f>
        <v>No Preference</v>
      </c>
      <c r="BI621">
        <f>tbl_OriginalData[[#This Row],[Time_to_Decision]]</f>
        <v>12</v>
      </c>
      <c r="BJ621" t="s">
        <v>62</v>
      </c>
      <c r="BK621" t="s">
        <v>63</v>
      </c>
      <c r="BL621" t="s">
        <v>2527</v>
      </c>
    </row>
    <row r="622" spans="1:64">
      <c r="A622" t="s">
        <v>1456</v>
      </c>
      <c r="B622">
        <v>33</v>
      </c>
      <c r="C622" t="s">
        <v>50</v>
      </c>
      <c r="D622" t="s">
        <v>34</v>
      </c>
      <c r="E622" t="s">
        <v>35</v>
      </c>
      <c r="F622" t="s">
        <v>52</v>
      </c>
      <c r="G622" t="s">
        <v>51</v>
      </c>
      <c r="H622" t="s">
        <v>1457</v>
      </c>
      <c r="I622" t="s">
        <v>229</v>
      </c>
      <c r="J622">
        <v>388.26</v>
      </c>
      <c r="K622">
        <v>2</v>
      </c>
      <c r="L622" t="s">
        <v>39</v>
      </c>
      <c r="M622">
        <v>3</v>
      </c>
      <c r="N622">
        <v>1</v>
      </c>
      <c r="O622">
        <v>1</v>
      </c>
      <c r="P622" t="s">
        <v>51</v>
      </c>
      <c r="Q622" t="s">
        <v>57</v>
      </c>
      <c r="R622">
        <v>0</v>
      </c>
      <c r="S622">
        <v>7</v>
      </c>
      <c r="T622" t="s">
        <v>40</v>
      </c>
      <c r="U622" t="s">
        <v>70</v>
      </c>
      <c r="V622" t="s">
        <v>43</v>
      </c>
      <c r="W622" s="1">
        <v>45384</v>
      </c>
      <c r="X622" t="b">
        <v>0</v>
      </c>
      <c r="Y622" t="b">
        <v>0</v>
      </c>
      <c r="Z622" t="s">
        <v>89</v>
      </c>
      <c r="AA622" t="s">
        <v>45</v>
      </c>
      <c r="AB622">
        <v>5</v>
      </c>
      <c r="AF622" t="str">
        <f>tbl_OriginalData[[#This Row],[Customer_ID]]</f>
        <v>11-975-9054</v>
      </c>
      <c r="AG622">
        <f>tbl_OriginalData[[#This Row],[Age]]</f>
        <v>33</v>
      </c>
      <c r="AH622" t="str" cm="1">
        <f t="array" ref="AH62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22" t="str">
        <f>tbl_OriginalData[[#This Row],[Gender]]</f>
        <v>Male</v>
      </c>
      <c r="AJ622" t="str">
        <f>tbl_OriginalData[[#This Row],[Income_Level]]</f>
        <v>Middle</v>
      </c>
      <c r="AK622" t="str">
        <f>tbl_OriginalData[[#This Row],[Marital_Status]]</f>
        <v>Married</v>
      </c>
      <c r="AL622" t="str">
        <f>tbl_OriginalData[[#This Row],[Education_Level]]</f>
        <v>High School</v>
      </c>
      <c r="AM622" t="str">
        <f>tbl_OriginalData[[#This Row],[Occupation]]</f>
        <v>High</v>
      </c>
      <c r="AN622" t="s">
        <v>1457</v>
      </c>
      <c r="AO622" t="s">
        <v>161</v>
      </c>
      <c r="AP622" t="str">
        <f>tbl_OriginalData[[#This Row],[Purchase_Category]]</f>
        <v>Clothing</v>
      </c>
      <c r="AQ622" s="4">
        <f>tbl_OriginalData[[#This Row],[Purchase_Amount]]</f>
        <v>388.26</v>
      </c>
      <c r="AR622">
        <f>tbl_OriginalData[[#This Row],[Frequency_of_Purchase]]</f>
        <v>2</v>
      </c>
      <c r="AS622" t="str">
        <f>tbl_OriginalData[[#This Row],[Purchase_Channel]]</f>
        <v>Mixed</v>
      </c>
      <c r="AT622">
        <f>tbl_OriginalData[[#This Row],[Brand_Loyalty]]</f>
        <v>3</v>
      </c>
      <c r="AU622">
        <f>tbl_OriginalData[[#This Row],[Product_Rating]]</f>
        <v>1</v>
      </c>
      <c r="AV622">
        <f>tbl_OriginalData[[#This Row],[Time_Spent_on_Product_Research(hours)]]*60</f>
        <v>60</v>
      </c>
      <c r="AW622" t="str">
        <f>tbl_OriginalData[[#This Row],[Social_Media_Influence]]</f>
        <v>High</v>
      </c>
      <c r="AX622" t="str">
        <f>tbl_OriginalData[[#This Row],[Discount_Sensitivity]]</f>
        <v>Not Sensitive</v>
      </c>
      <c r="AY622" s="3">
        <f>tbl_OriginalData[[#This Row],[Return_Rate]]/tbl_OriginalData[[#This Row],[Frequency_of_Purchase]]</f>
        <v>0</v>
      </c>
      <c r="AZ622">
        <f>tbl_OriginalData[[#This Row],[Customer_Satisfaction]]</f>
        <v>7</v>
      </c>
      <c r="BA622" t="str">
        <f>tbl_OriginalData[[#This Row],[Engagement_with_Ads]]</f>
        <v>None</v>
      </c>
      <c r="BB622" t="str">
        <f>tbl_OriginalData[[#This Row],[Device_Used_for_Shopping]]</f>
        <v>Smartphone</v>
      </c>
      <c r="BC622" t="str">
        <f>tbl_OriginalData[[#This Row],[Payment_Method]]</f>
        <v>Credit Card</v>
      </c>
      <c r="BD622" s="1">
        <f>tbl_OriginalData[[#This Row],[Time_of_Purchase]]</f>
        <v>45384</v>
      </c>
      <c r="BE622" t="str">
        <f>IF(tbl_OriginalData[[#This Row],[Discount_Used]]=TRUE,"Yes","No")</f>
        <v>No</v>
      </c>
      <c r="BF622" t="str">
        <f>IF(tbl_OriginalData[[#This Row],[Customer_Loyalty_Program_Member]]=TRUE,"Yes","No")</f>
        <v>No</v>
      </c>
      <c r="BG622" t="str">
        <f>tbl_OriginalData[[#This Row],[Purchase_Intent]]</f>
        <v>Planned</v>
      </c>
      <c r="BH622" t="str">
        <f>tbl_OriginalData[[#This Row],[Shipping_Preference]]</f>
        <v>No Preference</v>
      </c>
      <c r="BI622">
        <f>tbl_OriginalData[[#This Row],[Time_to_Decision]]</f>
        <v>5</v>
      </c>
      <c r="BJ622" t="s">
        <v>62</v>
      </c>
      <c r="BK622" t="s">
        <v>63</v>
      </c>
      <c r="BL622" t="s">
        <v>2527</v>
      </c>
    </row>
    <row r="623" spans="1:64">
      <c r="A623" t="s">
        <v>1458</v>
      </c>
      <c r="B623">
        <v>33</v>
      </c>
      <c r="C623" t="s">
        <v>50</v>
      </c>
      <c r="D623" t="s">
        <v>34</v>
      </c>
      <c r="E623" t="s">
        <v>92</v>
      </c>
      <c r="F623" t="s">
        <v>66</v>
      </c>
      <c r="G623" t="s">
        <v>34</v>
      </c>
      <c r="H623" t="s">
        <v>1459</v>
      </c>
      <c r="I623" t="s">
        <v>306</v>
      </c>
      <c r="J623">
        <v>106.69</v>
      </c>
      <c r="K623">
        <v>5</v>
      </c>
      <c r="L623" t="s">
        <v>94</v>
      </c>
      <c r="M623">
        <v>3</v>
      </c>
      <c r="N623">
        <v>4</v>
      </c>
      <c r="O623">
        <v>1.3</v>
      </c>
      <c r="P623" t="s">
        <v>56</v>
      </c>
      <c r="Q623" t="s">
        <v>101</v>
      </c>
      <c r="R623">
        <v>2</v>
      </c>
      <c r="S623">
        <v>10</v>
      </c>
      <c r="T623" t="s">
        <v>40</v>
      </c>
      <c r="U623" t="s">
        <v>95</v>
      </c>
      <c r="V623" t="s">
        <v>58</v>
      </c>
      <c r="W623" s="1">
        <v>45555</v>
      </c>
      <c r="X623" t="b">
        <v>0</v>
      </c>
      <c r="Y623" t="b">
        <v>1</v>
      </c>
      <c r="Z623" t="s">
        <v>59</v>
      </c>
      <c r="AA623" t="s">
        <v>60</v>
      </c>
      <c r="AB623">
        <v>14</v>
      </c>
      <c r="AF623" t="str">
        <f>tbl_OriginalData[[#This Row],[Customer_ID]]</f>
        <v>75-518-2831</v>
      </c>
      <c r="AG623">
        <f>tbl_OriginalData[[#This Row],[Age]]</f>
        <v>33</v>
      </c>
      <c r="AH623" t="str" cm="1">
        <f t="array" ref="AH62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23" t="str">
        <f>tbl_OriginalData[[#This Row],[Gender]]</f>
        <v>Male</v>
      </c>
      <c r="AJ623" t="str">
        <f>tbl_OriginalData[[#This Row],[Income_Level]]</f>
        <v>Middle</v>
      </c>
      <c r="AK623" t="str">
        <f>tbl_OriginalData[[#This Row],[Marital_Status]]</f>
        <v>Divorced</v>
      </c>
      <c r="AL623" t="str">
        <f>tbl_OriginalData[[#This Row],[Education_Level]]</f>
        <v>Master's</v>
      </c>
      <c r="AM623" t="str">
        <f>tbl_OriginalData[[#This Row],[Occupation]]</f>
        <v>Middle</v>
      </c>
      <c r="AN623" t="s">
        <v>1459</v>
      </c>
      <c r="AO623" t="s">
        <v>61</v>
      </c>
      <c r="AP623" t="str">
        <f>tbl_OriginalData[[#This Row],[Purchase_Category]]</f>
        <v>Jewelry &amp; Accessories</v>
      </c>
      <c r="AQ623" s="4">
        <f>tbl_OriginalData[[#This Row],[Purchase_Amount]]</f>
        <v>106.69</v>
      </c>
      <c r="AR623">
        <f>tbl_OriginalData[[#This Row],[Frequency_of_Purchase]]</f>
        <v>5</v>
      </c>
      <c r="AS623" t="str">
        <f>tbl_OriginalData[[#This Row],[Purchase_Channel]]</f>
        <v>Online</v>
      </c>
      <c r="AT623">
        <f>tbl_OriginalData[[#This Row],[Brand_Loyalty]]</f>
        <v>3</v>
      </c>
      <c r="AU623">
        <f>tbl_OriginalData[[#This Row],[Product_Rating]]</f>
        <v>4</v>
      </c>
      <c r="AV623">
        <f>tbl_OriginalData[[#This Row],[Time_Spent_on_Product_Research(hours)]]*60</f>
        <v>78</v>
      </c>
      <c r="AW623" t="str">
        <f>tbl_OriginalData[[#This Row],[Social_Media_Influence]]</f>
        <v>Medium</v>
      </c>
      <c r="AX623" t="str">
        <f>tbl_OriginalData[[#This Row],[Discount_Sensitivity]]</f>
        <v>Very Sensitive</v>
      </c>
      <c r="AY623" s="3">
        <f>tbl_OriginalData[[#This Row],[Return_Rate]]/tbl_OriginalData[[#This Row],[Frequency_of_Purchase]]</f>
        <v>0.4</v>
      </c>
      <c r="AZ623">
        <f>tbl_OriginalData[[#This Row],[Customer_Satisfaction]]</f>
        <v>10</v>
      </c>
      <c r="BA623" t="str">
        <f>tbl_OriginalData[[#This Row],[Engagement_with_Ads]]</f>
        <v>None</v>
      </c>
      <c r="BB623" t="str">
        <f>tbl_OriginalData[[#This Row],[Device_Used_for_Shopping]]</f>
        <v>Desktop</v>
      </c>
      <c r="BC623" t="str">
        <f>tbl_OriginalData[[#This Row],[Payment_Method]]</f>
        <v>PayPal</v>
      </c>
      <c r="BD623" s="1">
        <f>tbl_OriginalData[[#This Row],[Time_of_Purchase]]</f>
        <v>45555</v>
      </c>
      <c r="BE623" t="str">
        <f>IF(tbl_OriginalData[[#This Row],[Discount_Used]]=TRUE,"Yes","No")</f>
        <v>No</v>
      </c>
      <c r="BF623" t="str">
        <f>IF(tbl_OriginalData[[#This Row],[Customer_Loyalty_Program_Member]]=TRUE,"Yes","No")</f>
        <v>Yes</v>
      </c>
      <c r="BG623" t="str">
        <f>tbl_OriginalData[[#This Row],[Purchase_Intent]]</f>
        <v>Wants-based</v>
      </c>
      <c r="BH623" t="str">
        <f>tbl_OriginalData[[#This Row],[Shipping_Preference]]</f>
        <v>Standard</v>
      </c>
      <c r="BI623">
        <f>tbl_OriginalData[[#This Row],[Time_to_Decision]]</f>
        <v>14</v>
      </c>
      <c r="BJ623" t="s">
        <v>172</v>
      </c>
      <c r="BK623" t="s">
        <v>115</v>
      </c>
      <c r="BL623" t="s">
        <v>2524</v>
      </c>
    </row>
    <row r="624" spans="1:64">
      <c r="A624" t="s">
        <v>1460</v>
      </c>
      <c r="B624">
        <v>42</v>
      </c>
      <c r="C624" t="s">
        <v>340</v>
      </c>
      <c r="D624" t="s">
        <v>34</v>
      </c>
      <c r="E624" t="s">
        <v>35</v>
      </c>
      <c r="F624" t="s">
        <v>36</v>
      </c>
      <c r="G624" t="s">
        <v>51</v>
      </c>
      <c r="H624" t="s">
        <v>1461</v>
      </c>
      <c r="I624" t="s">
        <v>143</v>
      </c>
      <c r="J624">
        <v>301.16000000000003</v>
      </c>
      <c r="K624">
        <v>10</v>
      </c>
      <c r="L624" t="s">
        <v>94</v>
      </c>
      <c r="M624">
        <v>4</v>
      </c>
      <c r="N624">
        <v>3</v>
      </c>
      <c r="O624">
        <v>2</v>
      </c>
      <c r="P624" t="s">
        <v>40</v>
      </c>
      <c r="Q624" t="s">
        <v>101</v>
      </c>
      <c r="R624">
        <v>2</v>
      </c>
      <c r="S624">
        <v>9</v>
      </c>
      <c r="T624" t="s">
        <v>56</v>
      </c>
      <c r="U624" t="s">
        <v>42</v>
      </c>
      <c r="V624" t="s">
        <v>102</v>
      </c>
      <c r="W624" s="1">
        <v>45499</v>
      </c>
      <c r="X624" t="b">
        <v>0</v>
      </c>
      <c r="Y624" t="b">
        <v>0</v>
      </c>
      <c r="Z624" t="s">
        <v>44</v>
      </c>
      <c r="AA624" t="s">
        <v>60</v>
      </c>
      <c r="AB624">
        <v>1</v>
      </c>
      <c r="AF624" t="str">
        <f>tbl_OriginalData[[#This Row],[Customer_ID]]</f>
        <v>13-297-9777</v>
      </c>
      <c r="AG624">
        <f>tbl_OriginalData[[#This Row],[Age]]</f>
        <v>42</v>
      </c>
      <c r="AH624" t="str" cm="1">
        <f t="array" ref="AH62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24" t="str">
        <f>tbl_OriginalData[[#This Row],[Gender]]</f>
        <v>Agender</v>
      </c>
      <c r="AJ624" t="str">
        <f>tbl_OriginalData[[#This Row],[Income_Level]]</f>
        <v>Middle</v>
      </c>
      <c r="AK624" t="str">
        <f>tbl_OriginalData[[#This Row],[Marital_Status]]</f>
        <v>Married</v>
      </c>
      <c r="AL624" t="str">
        <f>tbl_OriginalData[[#This Row],[Education_Level]]</f>
        <v>Bachelor's</v>
      </c>
      <c r="AM624" t="str">
        <f>tbl_OriginalData[[#This Row],[Occupation]]</f>
        <v>High</v>
      </c>
      <c r="AN624" t="s">
        <v>1461</v>
      </c>
      <c r="AO624" t="s">
        <v>109</v>
      </c>
      <c r="AP624" t="str">
        <f>tbl_OriginalData[[#This Row],[Purchase_Category]]</f>
        <v>Packages)</v>
      </c>
      <c r="AQ624" s="4">
        <f>tbl_OriginalData[[#This Row],[Purchase_Amount]]</f>
        <v>301.16000000000003</v>
      </c>
      <c r="AR624">
        <f>tbl_OriginalData[[#This Row],[Frequency_of_Purchase]]</f>
        <v>10</v>
      </c>
      <c r="AS624" t="str">
        <f>tbl_OriginalData[[#This Row],[Purchase_Channel]]</f>
        <v>Online</v>
      </c>
      <c r="AT624">
        <f>tbl_OriginalData[[#This Row],[Brand_Loyalty]]</f>
        <v>4</v>
      </c>
      <c r="AU624">
        <f>tbl_OriginalData[[#This Row],[Product_Rating]]</f>
        <v>3</v>
      </c>
      <c r="AV624">
        <f>tbl_OriginalData[[#This Row],[Time_Spent_on_Product_Research(hours)]]*60</f>
        <v>120</v>
      </c>
      <c r="AW624" t="str">
        <f>tbl_OriginalData[[#This Row],[Social_Media_Influence]]</f>
        <v>None</v>
      </c>
      <c r="AX624" t="str">
        <f>tbl_OriginalData[[#This Row],[Discount_Sensitivity]]</f>
        <v>Very Sensitive</v>
      </c>
      <c r="AY624" s="3">
        <f>tbl_OriginalData[[#This Row],[Return_Rate]]/tbl_OriginalData[[#This Row],[Frequency_of_Purchase]]</f>
        <v>0.2</v>
      </c>
      <c r="AZ624">
        <f>tbl_OriginalData[[#This Row],[Customer_Satisfaction]]</f>
        <v>9</v>
      </c>
      <c r="BA624" t="str">
        <f>tbl_OriginalData[[#This Row],[Engagement_with_Ads]]</f>
        <v>Medium</v>
      </c>
      <c r="BB624" t="str">
        <f>tbl_OriginalData[[#This Row],[Device_Used_for_Shopping]]</f>
        <v>Tablet</v>
      </c>
      <c r="BC624" t="str">
        <f>tbl_OriginalData[[#This Row],[Payment_Method]]</f>
        <v>Cash</v>
      </c>
      <c r="BD624" s="1">
        <f>tbl_OriginalData[[#This Row],[Time_of_Purchase]]</f>
        <v>45499</v>
      </c>
      <c r="BE624" t="str">
        <f>IF(tbl_OriginalData[[#This Row],[Discount_Used]]=TRUE,"Yes","No")</f>
        <v>No</v>
      </c>
      <c r="BF624" t="str">
        <f>IF(tbl_OriginalData[[#This Row],[Customer_Loyalty_Program_Member]]=TRUE,"Yes","No")</f>
        <v>No</v>
      </c>
      <c r="BG624" t="str">
        <f>tbl_OriginalData[[#This Row],[Purchase_Intent]]</f>
        <v>Need-based</v>
      </c>
      <c r="BH624" t="str">
        <f>tbl_OriginalData[[#This Row],[Shipping_Preference]]</f>
        <v>Standard</v>
      </c>
      <c r="BI624">
        <f>tbl_OriginalData[[#This Row],[Time_to_Decision]]</f>
        <v>1</v>
      </c>
      <c r="BJ624" t="s">
        <v>114</v>
      </c>
      <c r="BK624" t="s">
        <v>115</v>
      </c>
      <c r="BL624" t="s">
        <v>2526</v>
      </c>
    </row>
    <row r="625" spans="1:64">
      <c r="A625" t="s">
        <v>1462</v>
      </c>
      <c r="B625">
        <v>49</v>
      </c>
      <c r="C625" t="s">
        <v>50</v>
      </c>
      <c r="D625" t="s">
        <v>34</v>
      </c>
      <c r="E625" t="s">
        <v>92</v>
      </c>
      <c r="F625" t="s">
        <v>52</v>
      </c>
      <c r="G625" t="s">
        <v>51</v>
      </c>
      <c r="H625" t="s">
        <v>1463</v>
      </c>
      <c r="I625" t="s">
        <v>135</v>
      </c>
      <c r="J625">
        <v>61.71</v>
      </c>
      <c r="K625">
        <v>6</v>
      </c>
      <c r="L625" t="s">
        <v>39</v>
      </c>
      <c r="M625">
        <v>2</v>
      </c>
      <c r="N625">
        <v>5</v>
      </c>
      <c r="O625">
        <v>1</v>
      </c>
      <c r="P625" t="s">
        <v>69</v>
      </c>
      <c r="Q625" t="s">
        <v>101</v>
      </c>
      <c r="R625">
        <v>2</v>
      </c>
      <c r="S625">
        <v>7</v>
      </c>
      <c r="T625" t="s">
        <v>69</v>
      </c>
      <c r="U625" t="s">
        <v>42</v>
      </c>
      <c r="V625" t="s">
        <v>102</v>
      </c>
      <c r="W625" s="1">
        <v>45568</v>
      </c>
      <c r="X625" t="b">
        <v>0</v>
      </c>
      <c r="Y625" t="b">
        <v>0</v>
      </c>
      <c r="Z625" t="s">
        <v>72</v>
      </c>
      <c r="AA625" t="s">
        <v>45</v>
      </c>
      <c r="AB625">
        <v>12</v>
      </c>
      <c r="AF625" t="str">
        <f>tbl_OriginalData[[#This Row],[Customer_ID]]</f>
        <v>81-604-7906</v>
      </c>
      <c r="AG625">
        <f>tbl_OriginalData[[#This Row],[Age]]</f>
        <v>49</v>
      </c>
      <c r="AH625" t="str" cm="1">
        <f t="array" ref="AH62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25" t="str">
        <f>tbl_OriginalData[[#This Row],[Gender]]</f>
        <v>Male</v>
      </c>
      <c r="AJ625" t="str">
        <f>tbl_OriginalData[[#This Row],[Income_Level]]</f>
        <v>Middle</v>
      </c>
      <c r="AK625" t="str">
        <f>tbl_OriginalData[[#This Row],[Marital_Status]]</f>
        <v>Divorced</v>
      </c>
      <c r="AL625" t="str">
        <f>tbl_OriginalData[[#This Row],[Education_Level]]</f>
        <v>High School</v>
      </c>
      <c r="AM625" t="str">
        <f>tbl_OriginalData[[#This Row],[Occupation]]</f>
        <v>High</v>
      </c>
      <c r="AN625" t="s">
        <v>1463</v>
      </c>
      <c r="AO625" t="s">
        <v>90</v>
      </c>
      <c r="AP625" t="str">
        <f>tbl_OriginalData[[#This Row],[Purchase_Category]]</f>
        <v>Hotels</v>
      </c>
      <c r="AQ625" s="4">
        <f>tbl_OriginalData[[#This Row],[Purchase_Amount]]</f>
        <v>61.71</v>
      </c>
      <c r="AR625">
        <f>tbl_OriginalData[[#This Row],[Frequency_of_Purchase]]</f>
        <v>6</v>
      </c>
      <c r="AS625" t="str">
        <f>tbl_OriginalData[[#This Row],[Purchase_Channel]]</f>
        <v>Mixed</v>
      </c>
      <c r="AT625">
        <f>tbl_OriginalData[[#This Row],[Brand_Loyalty]]</f>
        <v>2</v>
      </c>
      <c r="AU625">
        <f>tbl_OriginalData[[#This Row],[Product_Rating]]</f>
        <v>5</v>
      </c>
      <c r="AV625">
        <f>tbl_OriginalData[[#This Row],[Time_Spent_on_Product_Research(hours)]]*60</f>
        <v>60</v>
      </c>
      <c r="AW625" t="str">
        <f>tbl_OriginalData[[#This Row],[Social_Media_Influence]]</f>
        <v>Low</v>
      </c>
      <c r="AX625" t="str">
        <f>tbl_OriginalData[[#This Row],[Discount_Sensitivity]]</f>
        <v>Very Sensitive</v>
      </c>
      <c r="AY625" s="3">
        <f>tbl_OriginalData[[#This Row],[Return_Rate]]/tbl_OriginalData[[#This Row],[Frequency_of_Purchase]]</f>
        <v>0.33333333333333331</v>
      </c>
      <c r="AZ625">
        <f>tbl_OriginalData[[#This Row],[Customer_Satisfaction]]</f>
        <v>7</v>
      </c>
      <c r="BA625" t="str">
        <f>tbl_OriginalData[[#This Row],[Engagement_with_Ads]]</f>
        <v>Low</v>
      </c>
      <c r="BB625" t="str">
        <f>tbl_OriginalData[[#This Row],[Device_Used_for_Shopping]]</f>
        <v>Tablet</v>
      </c>
      <c r="BC625" t="str">
        <f>tbl_OriginalData[[#This Row],[Payment_Method]]</f>
        <v>Cash</v>
      </c>
      <c r="BD625" s="1">
        <f>tbl_OriginalData[[#This Row],[Time_of_Purchase]]</f>
        <v>45568</v>
      </c>
      <c r="BE625" t="str">
        <f>IF(tbl_OriginalData[[#This Row],[Discount_Used]]=TRUE,"Yes","No")</f>
        <v>No</v>
      </c>
      <c r="BF625" t="str">
        <f>IF(tbl_OriginalData[[#This Row],[Customer_Loyalty_Program_Member]]=TRUE,"Yes","No")</f>
        <v>No</v>
      </c>
      <c r="BG625" t="str">
        <f>tbl_OriginalData[[#This Row],[Purchase_Intent]]</f>
        <v>Impulsive</v>
      </c>
      <c r="BH625" t="str">
        <f>tbl_OriginalData[[#This Row],[Shipping_Preference]]</f>
        <v>No Preference</v>
      </c>
      <c r="BI625">
        <f>tbl_OriginalData[[#This Row],[Time_to_Decision]]</f>
        <v>12</v>
      </c>
      <c r="BJ625" t="s">
        <v>79</v>
      </c>
      <c r="BK625" t="s">
        <v>80</v>
      </c>
      <c r="BL625" t="s">
        <v>2524</v>
      </c>
    </row>
    <row r="626" spans="1:64">
      <c r="A626" t="s">
        <v>1464</v>
      </c>
      <c r="B626">
        <v>46</v>
      </c>
      <c r="C626" t="s">
        <v>238</v>
      </c>
      <c r="D626" t="s">
        <v>34</v>
      </c>
      <c r="E626" t="s">
        <v>92</v>
      </c>
      <c r="F626" t="s">
        <v>52</v>
      </c>
      <c r="G626" t="s">
        <v>51</v>
      </c>
      <c r="H626" t="s">
        <v>1465</v>
      </c>
      <c r="I626" t="s">
        <v>108</v>
      </c>
      <c r="J626">
        <v>83.33</v>
      </c>
      <c r="K626">
        <v>11</v>
      </c>
      <c r="L626" t="s">
        <v>55</v>
      </c>
      <c r="M626">
        <v>1</v>
      </c>
      <c r="N626">
        <v>5</v>
      </c>
      <c r="O626">
        <v>1</v>
      </c>
      <c r="P626" t="s">
        <v>56</v>
      </c>
      <c r="Q626" t="s">
        <v>101</v>
      </c>
      <c r="R626">
        <v>1</v>
      </c>
      <c r="S626">
        <v>6</v>
      </c>
      <c r="T626" t="s">
        <v>69</v>
      </c>
      <c r="U626" t="s">
        <v>95</v>
      </c>
      <c r="V626" t="s">
        <v>71</v>
      </c>
      <c r="W626" s="1">
        <v>45349</v>
      </c>
      <c r="X626" t="b">
        <v>1</v>
      </c>
      <c r="Y626" t="b">
        <v>1</v>
      </c>
      <c r="Z626" t="s">
        <v>89</v>
      </c>
      <c r="AA626" t="s">
        <v>77</v>
      </c>
      <c r="AB626">
        <v>1</v>
      </c>
      <c r="AF626" t="str">
        <f>tbl_OriginalData[[#This Row],[Customer_ID]]</f>
        <v>87-518-0375</v>
      </c>
      <c r="AG626">
        <f>tbl_OriginalData[[#This Row],[Age]]</f>
        <v>46</v>
      </c>
      <c r="AH626" t="str" cm="1">
        <f t="array" ref="AH62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26" t="str">
        <f>tbl_OriginalData[[#This Row],[Gender]]</f>
        <v>Non-binary</v>
      </c>
      <c r="AJ626" t="str">
        <f>tbl_OriginalData[[#This Row],[Income_Level]]</f>
        <v>Middle</v>
      </c>
      <c r="AK626" t="str">
        <f>tbl_OriginalData[[#This Row],[Marital_Status]]</f>
        <v>Divorced</v>
      </c>
      <c r="AL626" t="str">
        <f>tbl_OriginalData[[#This Row],[Education_Level]]</f>
        <v>High School</v>
      </c>
      <c r="AM626" t="str">
        <f>tbl_OriginalData[[#This Row],[Occupation]]</f>
        <v>High</v>
      </c>
      <c r="AN626" t="s">
        <v>1465</v>
      </c>
      <c r="AO626" t="s">
        <v>1466</v>
      </c>
      <c r="AP626" t="str">
        <f>tbl_OriginalData[[#This Row],[Purchase_Category]]</f>
        <v>Sports &amp; Outdoors</v>
      </c>
      <c r="AQ626" s="4">
        <f>tbl_OriginalData[[#This Row],[Purchase_Amount]]</f>
        <v>83.33</v>
      </c>
      <c r="AR626">
        <f>tbl_OriginalData[[#This Row],[Frequency_of_Purchase]]</f>
        <v>11</v>
      </c>
      <c r="AS626" t="str">
        <f>tbl_OriginalData[[#This Row],[Purchase_Channel]]</f>
        <v>In-Store</v>
      </c>
      <c r="AT626">
        <f>tbl_OriginalData[[#This Row],[Brand_Loyalty]]</f>
        <v>1</v>
      </c>
      <c r="AU626">
        <f>tbl_OriginalData[[#This Row],[Product_Rating]]</f>
        <v>5</v>
      </c>
      <c r="AV626">
        <f>tbl_OriginalData[[#This Row],[Time_Spent_on_Product_Research(hours)]]*60</f>
        <v>60</v>
      </c>
      <c r="AW626" t="str">
        <f>tbl_OriginalData[[#This Row],[Social_Media_Influence]]</f>
        <v>Medium</v>
      </c>
      <c r="AX626" t="str">
        <f>tbl_OriginalData[[#This Row],[Discount_Sensitivity]]</f>
        <v>Very Sensitive</v>
      </c>
      <c r="AY626" s="3">
        <f>tbl_OriginalData[[#This Row],[Return_Rate]]/tbl_OriginalData[[#This Row],[Frequency_of_Purchase]]</f>
        <v>9.0909090909090912E-2</v>
      </c>
      <c r="AZ626">
        <f>tbl_OriginalData[[#This Row],[Customer_Satisfaction]]</f>
        <v>6</v>
      </c>
      <c r="BA626" t="str">
        <f>tbl_OriginalData[[#This Row],[Engagement_with_Ads]]</f>
        <v>Low</v>
      </c>
      <c r="BB626" t="str">
        <f>tbl_OriginalData[[#This Row],[Device_Used_for_Shopping]]</f>
        <v>Desktop</v>
      </c>
      <c r="BC626" t="str">
        <f>tbl_OriginalData[[#This Row],[Payment_Method]]</f>
        <v>Debit Card</v>
      </c>
      <c r="BD626" s="1">
        <f>tbl_OriginalData[[#This Row],[Time_of_Purchase]]</f>
        <v>45349</v>
      </c>
      <c r="BE626" t="str">
        <f>IF(tbl_OriginalData[[#This Row],[Discount_Used]]=TRUE,"Yes","No")</f>
        <v>Yes</v>
      </c>
      <c r="BF626" t="str">
        <f>IF(tbl_OriginalData[[#This Row],[Customer_Loyalty_Program_Member]]=TRUE,"Yes","No")</f>
        <v>Yes</v>
      </c>
      <c r="BG626" t="str">
        <f>tbl_OriginalData[[#This Row],[Purchase_Intent]]</f>
        <v>Planned</v>
      </c>
      <c r="BH626" t="str">
        <f>tbl_OriginalData[[#This Row],[Shipping_Preference]]</f>
        <v>Express</v>
      </c>
      <c r="BI626">
        <f>tbl_OriginalData[[#This Row],[Time_to_Decision]]</f>
        <v>1</v>
      </c>
      <c r="BJ626" t="s">
        <v>158</v>
      </c>
      <c r="BK626" t="s">
        <v>48</v>
      </c>
      <c r="BL626" t="s">
        <v>2523</v>
      </c>
    </row>
    <row r="627" spans="1:64">
      <c r="A627" t="s">
        <v>1467</v>
      </c>
      <c r="B627">
        <v>42</v>
      </c>
      <c r="C627" t="s">
        <v>50</v>
      </c>
      <c r="D627" t="s">
        <v>51</v>
      </c>
      <c r="E627" t="s">
        <v>65</v>
      </c>
      <c r="F627" t="s">
        <v>36</v>
      </c>
      <c r="G627" t="s">
        <v>34</v>
      </c>
      <c r="H627" t="s">
        <v>1468</v>
      </c>
      <c r="I627" t="s">
        <v>98</v>
      </c>
      <c r="J627">
        <v>411.81</v>
      </c>
      <c r="K627">
        <v>4</v>
      </c>
      <c r="L627" t="s">
        <v>39</v>
      </c>
      <c r="M627">
        <v>1</v>
      </c>
      <c r="N627">
        <v>3</v>
      </c>
      <c r="O627">
        <v>1</v>
      </c>
      <c r="P627" t="s">
        <v>51</v>
      </c>
      <c r="Q627" t="s">
        <v>41</v>
      </c>
      <c r="R627">
        <v>1</v>
      </c>
      <c r="S627">
        <v>1</v>
      </c>
      <c r="T627" t="s">
        <v>51</v>
      </c>
      <c r="U627" t="s">
        <v>70</v>
      </c>
      <c r="V627" t="s">
        <v>102</v>
      </c>
      <c r="W627" s="1">
        <v>45390</v>
      </c>
      <c r="X627" t="b">
        <v>1</v>
      </c>
      <c r="Y627" t="b">
        <v>1</v>
      </c>
      <c r="Z627" t="s">
        <v>89</v>
      </c>
      <c r="AA627" t="s">
        <v>60</v>
      </c>
      <c r="AB627">
        <v>1</v>
      </c>
      <c r="AF627" t="str">
        <f>tbl_OriginalData[[#This Row],[Customer_ID]]</f>
        <v>53-437-2629</v>
      </c>
      <c r="AG627">
        <f>tbl_OriginalData[[#This Row],[Age]]</f>
        <v>42</v>
      </c>
      <c r="AH627" t="str" cm="1">
        <f t="array" ref="AH62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27" t="str">
        <f>tbl_OriginalData[[#This Row],[Gender]]</f>
        <v>Male</v>
      </c>
      <c r="AJ627" t="str">
        <f>tbl_OriginalData[[#This Row],[Income_Level]]</f>
        <v>High</v>
      </c>
      <c r="AK627" t="str">
        <f>tbl_OriginalData[[#This Row],[Marital_Status]]</f>
        <v>Single</v>
      </c>
      <c r="AL627" t="str">
        <f>tbl_OriginalData[[#This Row],[Education_Level]]</f>
        <v>Bachelor's</v>
      </c>
      <c r="AM627" t="str">
        <f>tbl_OriginalData[[#This Row],[Occupation]]</f>
        <v>Middle</v>
      </c>
      <c r="AN627" t="s">
        <v>1468</v>
      </c>
      <c r="AO627" t="s">
        <v>61</v>
      </c>
      <c r="AP627" t="str">
        <f>tbl_OriginalData[[#This Row],[Purchase_Category]]</f>
        <v>Books</v>
      </c>
      <c r="AQ627" s="4">
        <f>tbl_OriginalData[[#This Row],[Purchase_Amount]]</f>
        <v>411.81</v>
      </c>
      <c r="AR627">
        <f>tbl_OriginalData[[#This Row],[Frequency_of_Purchase]]</f>
        <v>4</v>
      </c>
      <c r="AS627" t="str">
        <f>tbl_OriginalData[[#This Row],[Purchase_Channel]]</f>
        <v>Mixed</v>
      </c>
      <c r="AT627">
        <f>tbl_OriginalData[[#This Row],[Brand_Loyalty]]</f>
        <v>1</v>
      </c>
      <c r="AU627">
        <f>tbl_OriginalData[[#This Row],[Product_Rating]]</f>
        <v>3</v>
      </c>
      <c r="AV627">
        <f>tbl_OriginalData[[#This Row],[Time_Spent_on_Product_Research(hours)]]*60</f>
        <v>60</v>
      </c>
      <c r="AW627" t="str">
        <f>tbl_OriginalData[[#This Row],[Social_Media_Influence]]</f>
        <v>High</v>
      </c>
      <c r="AX627" t="str">
        <f>tbl_OriginalData[[#This Row],[Discount_Sensitivity]]</f>
        <v>Somewhat Sensitive</v>
      </c>
      <c r="AY627" s="3">
        <f>tbl_OriginalData[[#This Row],[Return_Rate]]/tbl_OriginalData[[#This Row],[Frequency_of_Purchase]]</f>
        <v>0.25</v>
      </c>
      <c r="AZ627">
        <f>tbl_OriginalData[[#This Row],[Customer_Satisfaction]]</f>
        <v>1</v>
      </c>
      <c r="BA627" t="str">
        <f>tbl_OriginalData[[#This Row],[Engagement_with_Ads]]</f>
        <v>High</v>
      </c>
      <c r="BB627" t="str">
        <f>tbl_OriginalData[[#This Row],[Device_Used_for_Shopping]]</f>
        <v>Smartphone</v>
      </c>
      <c r="BC627" t="str">
        <f>tbl_OriginalData[[#This Row],[Payment_Method]]</f>
        <v>Cash</v>
      </c>
      <c r="BD627" s="1">
        <f>tbl_OriginalData[[#This Row],[Time_of_Purchase]]</f>
        <v>45390</v>
      </c>
      <c r="BE627" t="str">
        <f>IF(tbl_OriginalData[[#This Row],[Discount_Used]]=TRUE,"Yes","No")</f>
        <v>Yes</v>
      </c>
      <c r="BF627" t="str">
        <f>IF(tbl_OriginalData[[#This Row],[Customer_Loyalty_Program_Member]]=TRUE,"Yes","No")</f>
        <v>Yes</v>
      </c>
      <c r="BG627" t="str">
        <f>tbl_OriginalData[[#This Row],[Purchase_Intent]]</f>
        <v>Planned</v>
      </c>
      <c r="BH627" t="str">
        <f>tbl_OriginalData[[#This Row],[Shipping_Preference]]</f>
        <v>Standard</v>
      </c>
      <c r="BI627">
        <f>tbl_OriginalData[[#This Row],[Time_to_Decision]]</f>
        <v>1</v>
      </c>
      <c r="BJ627" t="s">
        <v>62</v>
      </c>
      <c r="BK627" t="s">
        <v>63</v>
      </c>
      <c r="BL627" t="s">
        <v>2524</v>
      </c>
    </row>
    <row r="628" spans="1:64">
      <c r="A628" t="s">
        <v>1469</v>
      </c>
      <c r="B628">
        <v>44</v>
      </c>
      <c r="C628" t="s">
        <v>33</v>
      </c>
      <c r="D628" t="s">
        <v>34</v>
      </c>
      <c r="E628" t="s">
        <v>35</v>
      </c>
      <c r="F628" t="s">
        <v>66</v>
      </c>
      <c r="G628" t="s">
        <v>51</v>
      </c>
      <c r="H628" t="s">
        <v>1470</v>
      </c>
      <c r="I628" t="s">
        <v>123</v>
      </c>
      <c r="J628">
        <v>114.93</v>
      </c>
      <c r="K628">
        <v>3</v>
      </c>
      <c r="L628" t="s">
        <v>55</v>
      </c>
      <c r="M628">
        <v>4</v>
      </c>
      <c r="N628">
        <v>3</v>
      </c>
      <c r="O628">
        <v>1</v>
      </c>
      <c r="P628" t="s">
        <v>51</v>
      </c>
      <c r="Q628" t="s">
        <v>41</v>
      </c>
      <c r="R628">
        <v>0</v>
      </c>
      <c r="S628">
        <v>4</v>
      </c>
      <c r="T628" t="s">
        <v>40</v>
      </c>
      <c r="U628" t="s">
        <v>95</v>
      </c>
      <c r="V628" t="s">
        <v>76</v>
      </c>
      <c r="W628" s="1">
        <v>45527</v>
      </c>
      <c r="X628" t="b">
        <v>1</v>
      </c>
      <c r="Y628" t="b">
        <v>1</v>
      </c>
      <c r="Z628" t="s">
        <v>72</v>
      </c>
      <c r="AA628" t="s">
        <v>60</v>
      </c>
      <c r="AB628">
        <v>4</v>
      </c>
      <c r="AF628" t="str">
        <f>tbl_OriginalData[[#This Row],[Customer_ID]]</f>
        <v>46-681-0764</v>
      </c>
      <c r="AG628">
        <f>tbl_OriginalData[[#This Row],[Age]]</f>
        <v>44</v>
      </c>
      <c r="AH628" t="str" cm="1">
        <f t="array" ref="AH62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28" t="str">
        <f>tbl_OriginalData[[#This Row],[Gender]]</f>
        <v>Female</v>
      </c>
      <c r="AJ628" t="str">
        <f>tbl_OriginalData[[#This Row],[Income_Level]]</f>
        <v>Middle</v>
      </c>
      <c r="AK628" t="str">
        <f>tbl_OriginalData[[#This Row],[Marital_Status]]</f>
        <v>Married</v>
      </c>
      <c r="AL628" t="str">
        <f>tbl_OriginalData[[#This Row],[Education_Level]]</f>
        <v>Master's</v>
      </c>
      <c r="AM628" t="str">
        <f>tbl_OriginalData[[#This Row],[Occupation]]</f>
        <v>High</v>
      </c>
      <c r="AN628" t="s">
        <v>1470</v>
      </c>
      <c r="AO628" t="s">
        <v>1471</v>
      </c>
      <c r="AP628" t="str">
        <f>tbl_OriginalData[[#This Row],[Purchase_Category]]</f>
        <v>Luxury Goods</v>
      </c>
      <c r="AQ628" s="4">
        <f>tbl_OriginalData[[#This Row],[Purchase_Amount]]</f>
        <v>114.93</v>
      </c>
      <c r="AR628">
        <f>tbl_OriginalData[[#This Row],[Frequency_of_Purchase]]</f>
        <v>3</v>
      </c>
      <c r="AS628" t="str">
        <f>tbl_OriginalData[[#This Row],[Purchase_Channel]]</f>
        <v>In-Store</v>
      </c>
      <c r="AT628">
        <f>tbl_OriginalData[[#This Row],[Brand_Loyalty]]</f>
        <v>4</v>
      </c>
      <c r="AU628">
        <f>tbl_OriginalData[[#This Row],[Product_Rating]]</f>
        <v>3</v>
      </c>
      <c r="AV628">
        <f>tbl_OriginalData[[#This Row],[Time_Spent_on_Product_Research(hours)]]*60</f>
        <v>60</v>
      </c>
      <c r="AW628" t="str">
        <f>tbl_OriginalData[[#This Row],[Social_Media_Influence]]</f>
        <v>High</v>
      </c>
      <c r="AX628" t="str">
        <f>tbl_OriginalData[[#This Row],[Discount_Sensitivity]]</f>
        <v>Somewhat Sensitive</v>
      </c>
      <c r="AY628" s="3">
        <f>tbl_OriginalData[[#This Row],[Return_Rate]]/tbl_OriginalData[[#This Row],[Frequency_of_Purchase]]</f>
        <v>0</v>
      </c>
      <c r="AZ628">
        <f>tbl_OriginalData[[#This Row],[Customer_Satisfaction]]</f>
        <v>4</v>
      </c>
      <c r="BA628" t="str">
        <f>tbl_OriginalData[[#This Row],[Engagement_with_Ads]]</f>
        <v>None</v>
      </c>
      <c r="BB628" t="str">
        <f>tbl_OriginalData[[#This Row],[Device_Used_for_Shopping]]</f>
        <v>Desktop</v>
      </c>
      <c r="BC628" t="str">
        <f>tbl_OriginalData[[#This Row],[Payment_Method]]</f>
        <v>Other</v>
      </c>
      <c r="BD628" s="1">
        <f>tbl_OriginalData[[#This Row],[Time_of_Purchase]]</f>
        <v>45527</v>
      </c>
      <c r="BE628" t="str">
        <f>IF(tbl_OriginalData[[#This Row],[Discount_Used]]=TRUE,"Yes","No")</f>
        <v>Yes</v>
      </c>
      <c r="BF628" t="str">
        <f>IF(tbl_OriginalData[[#This Row],[Customer_Loyalty_Program_Member]]=TRUE,"Yes","No")</f>
        <v>Yes</v>
      </c>
      <c r="BG628" t="str">
        <f>tbl_OriginalData[[#This Row],[Purchase_Intent]]</f>
        <v>Impulsive</v>
      </c>
      <c r="BH628" t="str">
        <f>tbl_OriginalData[[#This Row],[Shipping_Preference]]</f>
        <v>Standard</v>
      </c>
      <c r="BI628">
        <f>tbl_OriginalData[[#This Row],[Time_to_Decision]]</f>
        <v>4</v>
      </c>
      <c r="BJ628" t="s">
        <v>124</v>
      </c>
      <c r="BK628" t="s">
        <v>115</v>
      </c>
      <c r="BL628" t="s">
        <v>2524</v>
      </c>
    </row>
    <row r="629" spans="1:64">
      <c r="A629" t="s">
        <v>1472</v>
      </c>
      <c r="B629">
        <v>33</v>
      </c>
      <c r="C629" t="s">
        <v>33</v>
      </c>
      <c r="D629" t="s">
        <v>51</v>
      </c>
      <c r="E629" t="s">
        <v>92</v>
      </c>
      <c r="F629" t="s">
        <v>66</v>
      </c>
      <c r="G629" t="s">
        <v>34</v>
      </c>
      <c r="H629" t="s">
        <v>1473</v>
      </c>
      <c r="I629" t="s">
        <v>306</v>
      </c>
      <c r="J629">
        <v>438.42</v>
      </c>
      <c r="K629">
        <v>11</v>
      </c>
      <c r="L629" t="s">
        <v>94</v>
      </c>
      <c r="M629">
        <v>3</v>
      </c>
      <c r="N629">
        <v>2</v>
      </c>
      <c r="O629">
        <v>2</v>
      </c>
      <c r="P629" t="s">
        <v>56</v>
      </c>
      <c r="Q629" t="s">
        <v>101</v>
      </c>
      <c r="R629">
        <v>0</v>
      </c>
      <c r="S629">
        <v>4</v>
      </c>
      <c r="T629" t="s">
        <v>69</v>
      </c>
      <c r="U629" t="s">
        <v>42</v>
      </c>
      <c r="V629" t="s">
        <v>102</v>
      </c>
      <c r="W629" s="1">
        <v>45545</v>
      </c>
      <c r="X629" t="b">
        <v>1</v>
      </c>
      <c r="Y629" t="b">
        <v>0</v>
      </c>
      <c r="Z629" t="s">
        <v>89</v>
      </c>
      <c r="AA629" t="s">
        <v>77</v>
      </c>
      <c r="AB629">
        <v>4</v>
      </c>
      <c r="AF629" t="str">
        <f>tbl_OriginalData[[#This Row],[Customer_ID]]</f>
        <v>43-990-6454</v>
      </c>
      <c r="AG629">
        <f>tbl_OriginalData[[#This Row],[Age]]</f>
        <v>33</v>
      </c>
      <c r="AH629" t="str" cm="1">
        <f t="array" ref="AH62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29" t="str">
        <f>tbl_OriginalData[[#This Row],[Gender]]</f>
        <v>Female</v>
      </c>
      <c r="AJ629" t="str">
        <f>tbl_OriginalData[[#This Row],[Income_Level]]</f>
        <v>High</v>
      </c>
      <c r="AK629" t="str">
        <f>tbl_OriginalData[[#This Row],[Marital_Status]]</f>
        <v>Divorced</v>
      </c>
      <c r="AL629" t="str">
        <f>tbl_OriginalData[[#This Row],[Education_Level]]</f>
        <v>Master's</v>
      </c>
      <c r="AM629" t="str">
        <f>tbl_OriginalData[[#This Row],[Occupation]]</f>
        <v>Middle</v>
      </c>
      <c r="AN629" t="s">
        <v>1473</v>
      </c>
      <c r="AO629" t="s">
        <v>766</v>
      </c>
      <c r="AP629" t="str">
        <f>tbl_OriginalData[[#This Row],[Purchase_Category]]</f>
        <v>Jewelry &amp; Accessories</v>
      </c>
      <c r="AQ629" s="4">
        <f>tbl_OriginalData[[#This Row],[Purchase_Amount]]</f>
        <v>438.42</v>
      </c>
      <c r="AR629">
        <f>tbl_OriginalData[[#This Row],[Frequency_of_Purchase]]</f>
        <v>11</v>
      </c>
      <c r="AS629" t="str">
        <f>tbl_OriginalData[[#This Row],[Purchase_Channel]]</f>
        <v>Online</v>
      </c>
      <c r="AT629">
        <f>tbl_OriginalData[[#This Row],[Brand_Loyalty]]</f>
        <v>3</v>
      </c>
      <c r="AU629">
        <f>tbl_OriginalData[[#This Row],[Product_Rating]]</f>
        <v>2</v>
      </c>
      <c r="AV629">
        <f>tbl_OriginalData[[#This Row],[Time_Spent_on_Product_Research(hours)]]*60</f>
        <v>120</v>
      </c>
      <c r="AW629" t="str">
        <f>tbl_OriginalData[[#This Row],[Social_Media_Influence]]</f>
        <v>Medium</v>
      </c>
      <c r="AX629" t="str">
        <f>tbl_OriginalData[[#This Row],[Discount_Sensitivity]]</f>
        <v>Very Sensitive</v>
      </c>
      <c r="AY629" s="3">
        <f>tbl_OriginalData[[#This Row],[Return_Rate]]/tbl_OriginalData[[#This Row],[Frequency_of_Purchase]]</f>
        <v>0</v>
      </c>
      <c r="AZ629">
        <f>tbl_OriginalData[[#This Row],[Customer_Satisfaction]]</f>
        <v>4</v>
      </c>
      <c r="BA629" t="str">
        <f>tbl_OriginalData[[#This Row],[Engagement_with_Ads]]</f>
        <v>Low</v>
      </c>
      <c r="BB629" t="str">
        <f>tbl_OriginalData[[#This Row],[Device_Used_for_Shopping]]</f>
        <v>Tablet</v>
      </c>
      <c r="BC629" t="str">
        <f>tbl_OriginalData[[#This Row],[Payment_Method]]</f>
        <v>Cash</v>
      </c>
      <c r="BD629" s="1">
        <f>tbl_OriginalData[[#This Row],[Time_of_Purchase]]</f>
        <v>45545</v>
      </c>
      <c r="BE629" t="str">
        <f>IF(tbl_OriginalData[[#This Row],[Discount_Used]]=TRUE,"Yes","No")</f>
        <v>Yes</v>
      </c>
      <c r="BF629" t="str">
        <f>IF(tbl_OriginalData[[#This Row],[Customer_Loyalty_Program_Member]]=TRUE,"Yes","No")</f>
        <v>No</v>
      </c>
      <c r="BG629" t="str">
        <f>tbl_OriginalData[[#This Row],[Purchase_Intent]]</f>
        <v>Planned</v>
      </c>
      <c r="BH629" t="str">
        <f>tbl_OriginalData[[#This Row],[Shipping_Preference]]</f>
        <v>Express</v>
      </c>
      <c r="BI629">
        <f>tbl_OriginalData[[#This Row],[Time_to_Decision]]</f>
        <v>4</v>
      </c>
      <c r="BJ629" t="s">
        <v>172</v>
      </c>
      <c r="BK629" t="s">
        <v>115</v>
      </c>
      <c r="BL629" t="s">
        <v>2524</v>
      </c>
    </row>
    <row r="630" spans="1:64">
      <c r="A630" t="s">
        <v>1474</v>
      </c>
      <c r="B630">
        <v>36</v>
      </c>
      <c r="C630" t="s">
        <v>50</v>
      </c>
      <c r="D630" t="s">
        <v>34</v>
      </c>
      <c r="E630" t="s">
        <v>82</v>
      </c>
      <c r="F630" t="s">
        <v>66</v>
      </c>
      <c r="G630" t="s">
        <v>34</v>
      </c>
      <c r="H630" t="s">
        <v>1475</v>
      </c>
      <c r="I630" t="s">
        <v>123</v>
      </c>
      <c r="J630">
        <v>189.97</v>
      </c>
      <c r="K630">
        <v>2</v>
      </c>
      <c r="L630" t="s">
        <v>55</v>
      </c>
      <c r="M630">
        <v>2</v>
      </c>
      <c r="N630">
        <v>3</v>
      </c>
      <c r="O630">
        <v>1</v>
      </c>
      <c r="P630" t="s">
        <v>51</v>
      </c>
      <c r="Q630" t="s">
        <v>41</v>
      </c>
      <c r="R630">
        <v>0</v>
      </c>
      <c r="S630">
        <v>3</v>
      </c>
      <c r="T630" t="s">
        <v>56</v>
      </c>
      <c r="U630" t="s">
        <v>70</v>
      </c>
      <c r="V630" t="s">
        <v>43</v>
      </c>
      <c r="W630" s="1">
        <v>45357</v>
      </c>
      <c r="X630" t="b">
        <v>1</v>
      </c>
      <c r="Y630" t="b">
        <v>0</v>
      </c>
      <c r="Z630" t="s">
        <v>44</v>
      </c>
      <c r="AA630" t="s">
        <v>60</v>
      </c>
      <c r="AB630">
        <v>8</v>
      </c>
      <c r="AF630" t="str">
        <f>tbl_OriginalData[[#This Row],[Customer_ID]]</f>
        <v>55-570-3804</v>
      </c>
      <c r="AG630">
        <f>tbl_OriginalData[[#This Row],[Age]]</f>
        <v>36</v>
      </c>
      <c r="AH630" t="str" cm="1">
        <f t="array" ref="AH63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30" t="str">
        <f>tbl_OriginalData[[#This Row],[Gender]]</f>
        <v>Male</v>
      </c>
      <c r="AJ630" t="str">
        <f>tbl_OriginalData[[#This Row],[Income_Level]]</f>
        <v>Middle</v>
      </c>
      <c r="AK630" t="str">
        <f>tbl_OriginalData[[#This Row],[Marital_Status]]</f>
        <v>Widowed</v>
      </c>
      <c r="AL630" t="str">
        <f>tbl_OriginalData[[#This Row],[Education_Level]]</f>
        <v>Master's</v>
      </c>
      <c r="AM630" t="str">
        <f>tbl_OriginalData[[#This Row],[Occupation]]</f>
        <v>Middle</v>
      </c>
      <c r="AN630" t="s">
        <v>1475</v>
      </c>
      <c r="AO630" t="s">
        <v>161</v>
      </c>
      <c r="AP630" t="str">
        <f>tbl_OriginalData[[#This Row],[Purchase_Category]]</f>
        <v>Luxury Goods</v>
      </c>
      <c r="AQ630" s="4">
        <f>tbl_OriginalData[[#This Row],[Purchase_Amount]]</f>
        <v>189.97</v>
      </c>
      <c r="AR630">
        <f>tbl_OriginalData[[#This Row],[Frequency_of_Purchase]]</f>
        <v>2</v>
      </c>
      <c r="AS630" t="str">
        <f>tbl_OriginalData[[#This Row],[Purchase_Channel]]</f>
        <v>In-Store</v>
      </c>
      <c r="AT630">
        <f>tbl_OriginalData[[#This Row],[Brand_Loyalty]]</f>
        <v>2</v>
      </c>
      <c r="AU630">
        <f>tbl_OriginalData[[#This Row],[Product_Rating]]</f>
        <v>3</v>
      </c>
      <c r="AV630">
        <f>tbl_OriginalData[[#This Row],[Time_Spent_on_Product_Research(hours)]]*60</f>
        <v>60</v>
      </c>
      <c r="AW630" t="str">
        <f>tbl_OriginalData[[#This Row],[Social_Media_Influence]]</f>
        <v>High</v>
      </c>
      <c r="AX630" t="str">
        <f>tbl_OriginalData[[#This Row],[Discount_Sensitivity]]</f>
        <v>Somewhat Sensitive</v>
      </c>
      <c r="AY630" s="3">
        <f>tbl_OriginalData[[#This Row],[Return_Rate]]/tbl_OriginalData[[#This Row],[Frequency_of_Purchase]]</f>
        <v>0</v>
      </c>
      <c r="AZ630">
        <f>tbl_OriginalData[[#This Row],[Customer_Satisfaction]]</f>
        <v>3</v>
      </c>
      <c r="BA630" t="str">
        <f>tbl_OriginalData[[#This Row],[Engagement_with_Ads]]</f>
        <v>Medium</v>
      </c>
      <c r="BB630" t="str">
        <f>tbl_OriginalData[[#This Row],[Device_Used_for_Shopping]]</f>
        <v>Smartphone</v>
      </c>
      <c r="BC630" t="str">
        <f>tbl_OriginalData[[#This Row],[Payment_Method]]</f>
        <v>Credit Card</v>
      </c>
      <c r="BD630" s="1">
        <f>tbl_OriginalData[[#This Row],[Time_of_Purchase]]</f>
        <v>45357</v>
      </c>
      <c r="BE630" t="str">
        <f>IF(tbl_OriginalData[[#This Row],[Discount_Used]]=TRUE,"Yes","No")</f>
        <v>Yes</v>
      </c>
      <c r="BF630" t="str">
        <f>IF(tbl_OriginalData[[#This Row],[Customer_Loyalty_Program_Member]]=TRUE,"Yes","No")</f>
        <v>No</v>
      </c>
      <c r="BG630" t="str">
        <f>tbl_OriginalData[[#This Row],[Purchase_Intent]]</f>
        <v>Need-based</v>
      </c>
      <c r="BH630" t="str">
        <f>tbl_OriginalData[[#This Row],[Shipping_Preference]]</f>
        <v>Standard</v>
      </c>
      <c r="BI630">
        <f>tbl_OriginalData[[#This Row],[Time_to_Decision]]</f>
        <v>8</v>
      </c>
      <c r="BJ630" t="s">
        <v>47</v>
      </c>
      <c r="BK630" t="s">
        <v>48</v>
      </c>
      <c r="BL630" t="s">
        <v>2527</v>
      </c>
    </row>
    <row r="631" spans="1:64">
      <c r="A631" t="s">
        <v>1476</v>
      </c>
      <c r="B631">
        <v>35</v>
      </c>
      <c r="C631" t="s">
        <v>50</v>
      </c>
      <c r="D631" t="s">
        <v>51</v>
      </c>
      <c r="E631" t="s">
        <v>92</v>
      </c>
      <c r="F631" t="s">
        <v>66</v>
      </c>
      <c r="G631" t="s">
        <v>34</v>
      </c>
      <c r="H631" t="s">
        <v>1477</v>
      </c>
      <c r="I631" t="s">
        <v>180</v>
      </c>
      <c r="J631">
        <v>227.03</v>
      </c>
      <c r="K631">
        <v>12</v>
      </c>
      <c r="L631" t="s">
        <v>94</v>
      </c>
      <c r="M631">
        <v>2</v>
      </c>
      <c r="N631">
        <v>2</v>
      </c>
      <c r="O631">
        <v>0</v>
      </c>
      <c r="P631" t="s">
        <v>51</v>
      </c>
      <c r="Q631" t="s">
        <v>101</v>
      </c>
      <c r="R631">
        <v>2</v>
      </c>
      <c r="S631">
        <v>10</v>
      </c>
      <c r="T631" t="s">
        <v>69</v>
      </c>
      <c r="U631" t="s">
        <v>95</v>
      </c>
      <c r="V631" t="s">
        <v>58</v>
      </c>
      <c r="W631" s="1">
        <v>45480</v>
      </c>
      <c r="X631" t="b">
        <v>1</v>
      </c>
      <c r="Y631" t="b">
        <v>1</v>
      </c>
      <c r="Z631" t="s">
        <v>89</v>
      </c>
      <c r="AA631" t="s">
        <v>60</v>
      </c>
      <c r="AB631">
        <v>2</v>
      </c>
      <c r="AF631" t="str">
        <f>tbl_OriginalData[[#This Row],[Customer_ID]]</f>
        <v>29-067-4901</v>
      </c>
      <c r="AG631">
        <f>tbl_OriginalData[[#This Row],[Age]]</f>
        <v>35</v>
      </c>
      <c r="AH631" t="str" cm="1">
        <f t="array" ref="AH63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31" t="str">
        <f>tbl_OriginalData[[#This Row],[Gender]]</f>
        <v>Male</v>
      </c>
      <c r="AJ631" t="str">
        <f>tbl_OriginalData[[#This Row],[Income_Level]]</f>
        <v>High</v>
      </c>
      <c r="AK631" t="str">
        <f>tbl_OriginalData[[#This Row],[Marital_Status]]</f>
        <v>Divorced</v>
      </c>
      <c r="AL631" t="str">
        <f>tbl_OriginalData[[#This Row],[Education_Level]]</f>
        <v>Master's</v>
      </c>
      <c r="AM631" t="str">
        <f>tbl_OriginalData[[#This Row],[Occupation]]</f>
        <v>Middle</v>
      </c>
      <c r="AN631" t="s">
        <v>1477</v>
      </c>
      <c r="AO631" t="s">
        <v>1478</v>
      </c>
      <c r="AP631" t="str">
        <f>tbl_OriginalData[[#This Row],[Purchase_Category]]</f>
        <v>Health Supplements</v>
      </c>
      <c r="AQ631" s="4">
        <f>tbl_OriginalData[[#This Row],[Purchase_Amount]]</f>
        <v>227.03</v>
      </c>
      <c r="AR631">
        <f>tbl_OriginalData[[#This Row],[Frequency_of_Purchase]]</f>
        <v>12</v>
      </c>
      <c r="AS631" t="str">
        <f>tbl_OriginalData[[#This Row],[Purchase_Channel]]</f>
        <v>Online</v>
      </c>
      <c r="AT631">
        <f>tbl_OriginalData[[#This Row],[Brand_Loyalty]]</f>
        <v>2</v>
      </c>
      <c r="AU631">
        <f>tbl_OriginalData[[#This Row],[Product_Rating]]</f>
        <v>2</v>
      </c>
      <c r="AV631">
        <f>tbl_OriginalData[[#This Row],[Time_Spent_on_Product_Research(hours)]]*60</f>
        <v>0</v>
      </c>
      <c r="AW631" t="str">
        <f>tbl_OriginalData[[#This Row],[Social_Media_Influence]]</f>
        <v>High</v>
      </c>
      <c r="AX631" t="str">
        <f>tbl_OriginalData[[#This Row],[Discount_Sensitivity]]</f>
        <v>Very Sensitive</v>
      </c>
      <c r="AY631" s="3">
        <f>tbl_OriginalData[[#This Row],[Return_Rate]]/tbl_OriginalData[[#This Row],[Frequency_of_Purchase]]</f>
        <v>0.16666666666666666</v>
      </c>
      <c r="AZ631">
        <f>tbl_OriginalData[[#This Row],[Customer_Satisfaction]]</f>
        <v>10</v>
      </c>
      <c r="BA631" t="str">
        <f>tbl_OriginalData[[#This Row],[Engagement_with_Ads]]</f>
        <v>Low</v>
      </c>
      <c r="BB631" t="str">
        <f>tbl_OriginalData[[#This Row],[Device_Used_for_Shopping]]</f>
        <v>Desktop</v>
      </c>
      <c r="BC631" t="str">
        <f>tbl_OriginalData[[#This Row],[Payment_Method]]</f>
        <v>PayPal</v>
      </c>
      <c r="BD631" s="1">
        <f>tbl_OriginalData[[#This Row],[Time_of_Purchase]]</f>
        <v>45480</v>
      </c>
      <c r="BE631" t="str">
        <f>IF(tbl_OriginalData[[#This Row],[Discount_Used]]=TRUE,"Yes","No")</f>
        <v>Yes</v>
      </c>
      <c r="BF631" t="str">
        <f>IF(tbl_OriginalData[[#This Row],[Customer_Loyalty_Program_Member]]=TRUE,"Yes","No")</f>
        <v>Yes</v>
      </c>
      <c r="BG631" t="str">
        <f>tbl_OriginalData[[#This Row],[Purchase_Intent]]</f>
        <v>Planned</v>
      </c>
      <c r="BH631" t="str">
        <f>tbl_OriginalData[[#This Row],[Shipping_Preference]]</f>
        <v>Standard</v>
      </c>
      <c r="BI631">
        <f>tbl_OriginalData[[#This Row],[Time_to_Decision]]</f>
        <v>2</v>
      </c>
      <c r="BJ631" t="s">
        <v>114</v>
      </c>
      <c r="BK631" t="s">
        <v>115</v>
      </c>
      <c r="BL631" t="s">
        <v>2523</v>
      </c>
    </row>
    <row r="632" spans="1:64">
      <c r="A632" t="s">
        <v>1479</v>
      </c>
      <c r="B632">
        <v>26</v>
      </c>
      <c r="C632" t="s">
        <v>50</v>
      </c>
      <c r="D632" t="s">
        <v>51</v>
      </c>
      <c r="E632" t="s">
        <v>92</v>
      </c>
      <c r="F632" t="s">
        <v>36</v>
      </c>
      <c r="G632" t="s">
        <v>34</v>
      </c>
      <c r="H632" t="s">
        <v>1480</v>
      </c>
      <c r="I632" t="s">
        <v>75</v>
      </c>
      <c r="J632">
        <v>278.49</v>
      </c>
      <c r="K632">
        <v>4</v>
      </c>
      <c r="L632" t="s">
        <v>39</v>
      </c>
      <c r="M632">
        <v>5</v>
      </c>
      <c r="N632">
        <v>5</v>
      </c>
      <c r="O632">
        <v>0</v>
      </c>
      <c r="P632" t="s">
        <v>69</v>
      </c>
      <c r="Q632" t="s">
        <v>41</v>
      </c>
      <c r="R632">
        <v>1</v>
      </c>
      <c r="S632">
        <v>5</v>
      </c>
      <c r="T632" t="s">
        <v>69</v>
      </c>
      <c r="U632" t="s">
        <v>70</v>
      </c>
      <c r="V632" t="s">
        <v>43</v>
      </c>
      <c r="W632" s="1">
        <v>45543</v>
      </c>
      <c r="X632" t="b">
        <v>1</v>
      </c>
      <c r="Y632" t="b">
        <v>1</v>
      </c>
      <c r="Z632" t="s">
        <v>44</v>
      </c>
      <c r="AA632" t="s">
        <v>77</v>
      </c>
      <c r="AB632">
        <v>8</v>
      </c>
      <c r="AF632" t="str">
        <f>tbl_OriginalData[[#This Row],[Customer_ID]]</f>
        <v>93-957-6269</v>
      </c>
      <c r="AG632">
        <f>tbl_OriginalData[[#This Row],[Age]]</f>
        <v>26</v>
      </c>
      <c r="AH632" t="str" cm="1">
        <f t="array" ref="AH63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32" t="str">
        <f>tbl_OriginalData[[#This Row],[Gender]]</f>
        <v>Male</v>
      </c>
      <c r="AJ632" t="str">
        <f>tbl_OriginalData[[#This Row],[Income_Level]]</f>
        <v>High</v>
      </c>
      <c r="AK632" t="str">
        <f>tbl_OriginalData[[#This Row],[Marital_Status]]</f>
        <v>Divorced</v>
      </c>
      <c r="AL632" t="str">
        <f>tbl_OriginalData[[#This Row],[Education_Level]]</f>
        <v>Bachelor's</v>
      </c>
      <c r="AM632" t="str">
        <f>tbl_OriginalData[[#This Row],[Occupation]]</f>
        <v>Middle</v>
      </c>
      <c r="AN632" t="s">
        <v>1480</v>
      </c>
      <c r="AO632" t="s">
        <v>1481</v>
      </c>
      <c r="AP632" t="str">
        <f>tbl_OriginalData[[#This Row],[Purchase_Category]]</f>
        <v>Home Appliances</v>
      </c>
      <c r="AQ632" s="4">
        <f>tbl_OriginalData[[#This Row],[Purchase_Amount]]</f>
        <v>278.49</v>
      </c>
      <c r="AR632">
        <f>tbl_OriginalData[[#This Row],[Frequency_of_Purchase]]</f>
        <v>4</v>
      </c>
      <c r="AS632" t="str">
        <f>tbl_OriginalData[[#This Row],[Purchase_Channel]]</f>
        <v>Mixed</v>
      </c>
      <c r="AT632">
        <f>tbl_OriginalData[[#This Row],[Brand_Loyalty]]</f>
        <v>5</v>
      </c>
      <c r="AU632">
        <f>tbl_OriginalData[[#This Row],[Product_Rating]]</f>
        <v>5</v>
      </c>
      <c r="AV632">
        <f>tbl_OriginalData[[#This Row],[Time_Spent_on_Product_Research(hours)]]*60</f>
        <v>0</v>
      </c>
      <c r="AW632" t="str">
        <f>tbl_OriginalData[[#This Row],[Social_Media_Influence]]</f>
        <v>Low</v>
      </c>
      <c r="AX632" t="str">
        <f>tbl_OriginalData[[#This Row],[Discount_Sensitivity]]</f>
        <v>Somewhat Sensitive</v>
      </c>
      <c r="AY632" s="3">
        <f>tbl_OriginalData[[#This Row],[Return_Rate]]/tbl_OriginalData[[#This Row],[Frequency_of_Purchase]]</f>
        <v>0.25</v>
      </c>
      <c r="AZ632">
        <f>tbl_OriginalData[[#This Row],[Customer_Satisfaction]]</f>
        <v>5</v>
      </c>
      <c r="BA632" t="str">
        <f>tbl_OriginalData[[#This Row],[Engagement_with_Ads]]</f>
        <v>Low</v>
      </c>
      <c r="BB632" t="str">
        <f>tbl_OriginalData[[#This Row],[Device_Used_for_Shopping]]</f>
        <v>Smartphone</v>
      </c>
      <c r="BC632" t="str">
        <f>tbl_OriginalData[[#This Row],[Payment_Method]]</f>
        <v>Credit Card</v>
      </c>
      <c r="BD632" s="1">
        <f>tbl_OriginalData[[#This Row],[Time_of_Purchase]]</f>
        <v>45543</v>
      </c>
      <c r="BE632" t="str">
        <f>IF(tbl_OriginalData[[#This Row],[Discount_Used]]=TRUE,"Yes","No")</f>
        <v>Yes</v>
      </c>
      <c r="BF632" t="str">
        <f>IF(tbl_OriginalData[[#This Row],[Customer_Loyalty_Program_Member]]=TRUE,"Yes","No")</f>
        <v>Yes</v>
      </c>
      <c r="BG632" t="str">
        <f>tbl_OriginalData[[#This Row],[Purchase_Intent]]</f>
        <v>Need-based</v>
      </c>
      <c r="BH632" t="str">
        <f>tbl_OriginalData[[#This Row],[Shipping_Preference]]</f>
        <v>Express</v>
      </c>
      <c r="BI632">
        <f>tbl_OriginalData[[#This Row],[Time_to_Decision]]</f>
        <v>8</v>
      </c>
      <c r="BJ632" t="s">
        <v>172</v>
      </c>
      <c r="BK632" t="s">
        <v>115</v>
      </c>
      <c r="BL632" t="s">
        <v>2524</v>
      </c>
    </row>
    <row r="633" spans="1:64">
      <c r="A633" t="s">
        <v>1482</v>
      </c>
      <c r="B633">
        <v>43</v>
      </c>
      <c r="C633" t="s">
        <v>33</v>
      </c>
      <c r="D633" t="s">
        <v>51</v>
      </c>
      <c r="E633" t="s">
        <v>82</v>
      </c>
      <c r="F633" t="s">
        <v>36</v>
      </c>
      <c r="G633" t="s">
        <v>51</v>
      </c>
      <c r="H633" t="s">
        <v>1483</v>
      </c>
      <c r="I633" t="s">
        <v>127</v>
      </c>
      <c r="J633">
        <v>120.56</v>
      </c>
      <c r="K633">
        <v>5</v>
      </c>
      <c r="L633" t="s">
        <v>94</v>
      </c>
      <c r="M633">
        <v>4</v>
      </c>
      <c r="N633">
        <v>3</v>
      </c>
      <c r="O633">
        <v>2</v>
      </c>
      <c r="P633" t="s">
        <v>40</v>
      </c>
      <c r="Q633" t="s">
        <v>57</v>
      </c>
      <c r="R633">
        <v>2</v>
      </c>
      <c r="S633">
        <v>7</v>
      </c>
      <c r="T633" t="s">
        <v>69</v>
      </c>
      <c r="U633" t="s">
        <v>42</v>
      </c>
      <c r="V633" t="s">
        <v>71</v>
      </c>
      <c r="W633" s="1">
        <v>45446</v>
      </c>
      <c r="X633" t="b">
        <v>0</v>
      </c>
      <c r="Y633" t="b">
        <v>0</v>
      </c>
      <c r="Z633" t="s">
        <v>44</v>
      </c>
      <c r="AA633" t="s">
        <v>77</v>
      </c>
      <c r="AB633">
        <v>7</v>
      </c>
      <c r="AF633" t="str">
        <f>tbl_OriginalData[[#This Row],[Customer_ID]]</f>
        <v>81-225-6647</v>
      </c>
      <c r="AG633">
        <f>tbl_OriginalData[[#This Row],[Age]]</f>
        <v>43</v>
      </c>
      <c r="AH633" t="str" cm="1">
        <f t="array" ref="AH63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33" t="str">
        <f>tbl_OriginalData[[#This Row],[Gender]]</f>
        <v>Female</v>
      </c>
      <c r="AJ633" t="str">
        <f>tbl_OriginalData[[#This Row],[Income_Level]]</f>
        <v>High</v>
      </c>
      <c r="AK633" t="str">
        <f>tbl_OriginalData[[#This Row],[Marital_Status]]</f>
        <v>Widowed</v>
      </c>
      <c r="AL633" t="str">
        <f>tbl_OriginalData[[#This Row],[Education_Level]]</f>
        <v>Bachelor's</v>
      </c>
      <c r="AM633" t="str">
        <f>tbl_OriginalData[[#This Row],[Occupation]]</f>
        <v>High</v>
      </c>
      <c r="AN633" t="s">
        <v>1483</v>
      </c>
      <c r="AO633" t="s">
        <v>61</v>
      </c>
      <c r="AP633" t="str">
        <f>tbl_OriginalData[[#This Row],[Purchase_Category]]</f>
        <v>Animal Feed</v>
      </c>
      <c r="AQ633" s="4">
        <f>tbl_OriginalData[[#This Row],[Purchase_Amount]]</f>
        <v>120.56</v>
      </c>
      <c r="AR633">
        <f>tbl_OriginalData[[#This Row],[Frequency_of_Purchase]]</f>
        <v>5</v>
      </c>
      <c r="AS633" t="str">
        <f>tbl_OriginalData[[#This Row],[Purchase_Channel]]</f>
        <v>Online</v>
      </c>
      <c r="AT633">
        <f>tbl_OriginalData[[#This Row],[Brand_Loyalty]]</f>
        <v>4</v>
      </c>
      <c r="AU633">
        <f>tbl_OriginalData[[#This Row],[Product_Rating]]</f>
        <v>3</v>
      </c>
      <c r="AV633">
        <f>tbl_OriginalData[[#This Row],[Time_Spent_on_Product_Research(hours)]]*60</f>
        <v>120</v>
      </c>
      <c r="AW633" t="str">
        <f>tbl_OriginalData[[#This Row],[Social_Media_Influence]]</f>
        <v>None</v>
      </c>
      <c r="AX633" t="str">
        <f>tbl_OriginalData[[#This Row],[Discount_Sensitivity]]</f>
        <v>Not Sensitive</v>
      </c>
      <c r="AY633" s="3">
        <f>tbl_OriginalData[[#This Row],[Return_Rate]]/tbl_OriginalData[[#This Row],[Frequency_of_Purchase]]</f>
        <v>0.4</v>
      </c>
      <c r="AZ633">
        <f>tbl_OriginalData[[#This Row],[Customer_Satisfaction]]</f>
        <v>7</v>
      </c>
      <c r="BA633" t="str">
        <f>tbl_OriginalData[[#This Row],[Engagement_with_Ads]]</f>
        <v>Low</v>
      </c>
      <c r="BB633" t="str">
        <f>tbl_OriginalData[[#This Row],[Device_Used_for_Shopping]]</f>
        <v>Tablet</v>
      </c>
      <c r="BC633" t="str">
        <f>tbl_OriginalData[[#This Row],[Payment_Method]]</f>
        <v>Debit Card</v>
      </c>
      <c r="BD633" s="1">
        <f>tbl_OriginalData[[#This Row],[Time_of_Purchase]]</f>
        <v>45446</v>
      </c>
      <c r="BE633" t="str">
        <f>IF(tbl_OriginalData[[#This Row],[Discount_Used]]=TRUE,"Yes","No")</f>
        <v>No</v>
      </c>
      <c r="BF633" t="str">
        <f>IF(tbl_OriginalData[[#This Row],[Customer_Loyalty_Program_Member]]=TRUE,"Yes","No")</f>
        <v>No</v>
      </c>
      <c r="BG633" t="str">
        <f>tbl_OriginalData[[#This Row],[Purchase_Intent]]</f>
        <v>Need-based</v>
      </c>
      <c r="BH633" t="str">
        <f>tbl_OriginalData[[#This Row],[Shipping_Preference]]</f>
        <v>Express</v>
      </c>
      <c r="BI633">
        <f>tbl_OriginalData[[#This Row],[Time_to_Decision]]</f>
        <v>7</v>
      </c>
      <c r="BJ633" t="s">
        <v>104</v>
      </c>
      <c r="BK633" t="s">
        <v>63</v>
      </c>
      <c r="BL633" t="s">
        <v>2524</v>
      </c>
    </row>
    <row r="634" spans="1:64">
      <c r="A634" t="s">
        <v>1484</v>
      </c>
      <c r="B634">
        <v>25</v>
      </c>
      <c r="C634" t="s">
        <v>50</v>
      </c>
      <c r="D634" t="s">
        <v>51</v>
      </c>
      <c r="E634" t="s">
        <v>92</v>
      </c>
      <c r="F634" t="s">
        <v>36</v>
      </c>
      <c r="G634" t="s">
        <v>34</v>
      </c>
      <c r="H634" t="s">
        <v>1485</v>
      </c>
      <c r="I634" t="s">
        <v>38</v>
      </c>
      <c r="J634">
        <v>320.94</v>
      </c>
      <c r="K634">
        <v>11</v>
      </c>
      <c r="L634" t="s">
        <v>94</v>
      </c>
      <c r="M634">
        <v>3</v>
      </c>
      <c r="N634">
        <v>3</v>
      </c>
      <c r="O634">
        <v>2</v>
      </c>
      <c r="P634" t="s">
        <v>51</v>
      </c>
      <c r="Q634" t="s">
        <v>57</v>
      </c>
      <c r="R634">
        <v>2</v>
      </c>
      <c r="S634">
        <v>10</v>
      </c>
      <c r="T634" t="s">
        <v>40</v>
      </c>
      <c r="U634" t="s">
        <v>70</v>
      </c>
      <c r="V634" t="s">
        <v>102</v>
      </c>
      <c r="W634" s="1">
        <v>45604</v>
      </c>
      <c r="X634" t="b">
        <v>0</v>
      </c>
      <c r="Y634" t="b">
        <v>0</v>
      </c>
      <c r="Z634" t="s">
        <v>72</v>
      </c>
      <c r="AA634" t="s">
        <v>45</v>
      </c>
      <c r="AB634">
        <v>10</v>
      </c>
      <c r="AF634" t="str">
        <f>tbl_OriginalData[[#This Row],[Customer_ID]]</f>
        <v>64-706-7841</v>
      </c>
      <c r="AG634">
        <f>tbl_OriginalData[[#This Row],[Age]]</f>
        <v>25</v>
      </c>
      <c r="AH634" t="str" cm="1">
        <f t="array" ref="AH63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34" t="str">
        <f>tbl_OriginalData[[#This Row],[Gender]]</f>
        <v>Male</v>
      </c>
      <c r="AJ634" t="str">
        <f>tbl_OriginalData[[#This Row],[Income_Level]]</f>
        <v>High</v>
      </c>
      <c r="AK634" t="str">
        <f>tbl_OriginalData[[#This Row],[Marital_Status]]</f>
        <v>Divorced</v>
      </c>
      <c r="AL634" t="str">
        <f>tbl_OriginalData[[#This Row],[Education_Level]]</f>
        <v>Bachelor's</v>
      </c>
      <c r="AM634" t="str">
        <f>tbl_OriginalData[[#This Row],[Occupation]]</f>
        <v>Middle</v>
      </c>
      <c r="AN634" t="s">
        <v>1485</v>
      </c>
      <c r="AO634" t="s">
        <v>90</v>
      </c>
      <c r="AP634" t="str">
        <f>tbl_OriginalData[[#This Row],[Purchase_Category]]</f>
        <v>Gardening &amp; Outdoors</v>
      </c>
      <c r="AQ634" s="4">
        <f>tbl_OriginalData[[#This Row],[Purchase_Amount]]</f>
        <v>320.94</v>
      </c>
      <c r="AR634">
        <f>tbl_OriginalData[[#This Row],[Frequency_of_Purchase]]</f>
        <v>11</v>
      </c>
      <c r="AS634" t="str">
        <f>tbl_OriginalData[[#This Row],[Purchase_Channel]]</f>
        <v>Online</v>
      </c>
      <c r="AT634">
        <f>tbl_OriginalData[[#This Row],[Brand_Loyalty]]</f>
        <v>3</v>
      </c>
      <c r="AU634">
        <f>tbl_OriginalData[[#This Row],[Product_Rating]]</f>
        <v>3</v>
      </c>
      <c r="AV634">
        <f>tbl_OriginalData[[#This Row],[Time_Spent_on_Product_Research(hours)]]*60</f>
        <v>120</v>
      </c>
      <c r="AW634" t="str">
        <f>tbl_OriginalData[[#This Row],[Social_Media_Influence]]</f>
        <v>High</v>
      </c>
      <c r="AX634" t="str">
        <f>tbl_OriginalData[[#This Row],[Discount_Sensitivity]]</f>
        <v>Not Sensitive</v>
      </c>
      <c r="AY634" s="3">
        <f>tbl_OriginalData[[#This Row],[Return_Rate]]/tbl_OriginalData[[#This Row],[Frequency_of_Purchase]]</f>
        <v>0.18181818181818182</v>
      </c>
      <c r="AZ634">
        <f>tbl_OriginalData[[#This Row],[Customer_Satisfaction]]</f>
        <v>10</v>
      </c>
      <c r="BA634" t="str">
        <f>tbl_OriginalData[[#This Row],[Engagement_with_Ads]]</f>
        <v>None</v>
      </c>
      <c r="BB634" t="str">
        <f>tbl_OriginalData[[#This Row],[Device_Used_for_Shopping]]</f>
        <v>Smartphone</v>
      </c>
      <c r="BC634" t="str">
        <f>tbl_OriginalData[[#This Row],[Payment_Method]]</f>
        <v>Cash</v>
      </c>
      <c r="BD634" s="1">
        <f>tbl_OriginalData[[#This Row],[Time_of_Purchase]]</f>
        <v>45604</v>
      </c>
      <c r="BE634" t="str">
        <f>IF(tbl_OriginalData[[#This Row],[Discount_Used]]=TRUE,"Yes","No")</f>
        <v>No</v>
      </c>
      <c r="BF634" t="str">
        <f>IF(tbl_OriginalData[[#This Row],[Customer_Loyalty_Program_Member]]=TRUE,"Yes","No")</f>
        <v>No</v>
      </c>
      <c r="BG634" t="str">
        <f>tbl_OriginalData[[#This Row],[Purchase_Intent]]</f>
        <v>Impulsive</v>
      </c>
      <c r="BH634" t="str">
        <f>tbl_OriginalData[[#This Row],[Shipping_Preference]]</f>
        <v>No Preference</v>
      </c>
      <c r="BI634">
        <f>tbl_OriginalData[[#This Row],[Time_to_Decision]]</f>
        <v>10</v>
      </c>
      <c r="BJ634" t="s">
        <v>177</v>
      </c>
      <c r="BK634" t="s">
        <v>80</v>
      </c>
      <c r="BL634" t="s">
        <v>2524</v>
      </c>
    </row>
    <row r="635" spans="1:64">
      <c r="A635" t="s">
        <v>1486</v>
      </c>
      <c r="B635">
        <v>37</v>
      </c>
      <c r="C635" t="s">
        <v>33</v>
      </c>
      <c r="D635" t="s">
        <v>51</v>
      </c>
      <c r="E635" t="s">
        <v>92</v>
      </c>
      <c r="F635" t="s">
        <v>66</v>
      </c>
      <c r="G635" t="s">
        <v>34</v>
      </c>
      <c r="H635" t="s">
        <v>1487</v>
      </c>
      <c r="I635" t="s">
        <v>306</v>
      </c>
      <c r="J635">
        <v>217.72</v>
      </c>
      <c r="K635">
        <v>3</v>
      </c>
      <c r="L635" t="s">
        <v>55</v>
      </c>
      <c r="M635">
        <v>4</v>
      </c>
      <c r="N635">
        <v>4</v>
      </c>
      <c r="O635">
        <v>2</v>
      </c>
      <c r="P635" t="s">
        <v>56</v>
      </c>
      <c r="Q635" t="s">
        <v>57</v>
      </c>
      <c r="R635">
        <v>1</v>
      </c>
      <c r="S635">
        <v>4</v>
      </c>
      <c r="T635" t="s">
        <v>51</v>
      </c>
      <c r="U635" t="s">
        <v>42</v>
      </c>
      <c r="V635" t="s">
        <v>71</v>
      </c>
      <c r="W635" s="1">
        <v>45581</v>
      </c>
      <c r="X635" t="b">
        <v>0</v>
      </c>
      <c r="Y635" t="b">
        <v>1</v>
      </c>
      <c r="Z635" t="s">
        <v>59</v>
      </c>
      <c r="AA635" t="s">
        <v>45</v>
      </c>
      <c r="AB635">
        <v>14</v>
      </c>
      <c r="AF635" t="str">
        <f>tbl_OriginalData[[#This Row],[Customer_ID]]</f>
        <v>47-178-9529</v>
      </c>
      <c r="AG635">
        <f>tbl_OriginalData[[#This Row],[Age]]</f>
        <v>37</v>
      </c>
      <c r="AH635" t="str" cm="1">
        <f t="array" ref="AH63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35" t="str">
        <f>tbl_OriginalData[[#This Row],[Gender]]</f>
        <v>Female</v>
      </c>
      <c r="AJ635" t="str">
        <f>tbl_OriginalData[[#This Row],[Income_Level]]</f>
        <v>High</v>
      </c>
      <c r="AK635" t="str">
        <f>tbl_OriginalData[[#This Row],[Marital_Status]]</f>
        <v>Divorced</v>
      </c>
      <c r="AL635" t="str">
        <f>tbl_OriginalData[[#This Row],[Education_Level]]</f>
        <v>Master's</v>
      </c>
      <c r="AM635" t="str">
        <f>tbl_OriginalData[[#This Row],[Occupation]]</f>
        <v>Middle</v>
      </c>
      <c r="AN635" t="s">
        <v>1487</v>
      </c>
      <c r="AO635" t="s">
        <v>269</v>
      </c>
      <c r="AP635" t="str">
        <f>tbl_OriginalData[[#This Row],[Purchase_Category]]</f>
        <v>Jewelry &amp; Accessories</v>
      </c>
      <c r="AQ635" s="4">
        <f>tbl_OriginalData[[#This Row],[Purchase_Amount]]</f>
        <v>217.72</v>
      </c>
      <c r="AR635">
        <f>tbl_OriginalData[[#This Row],[Frequency_of_Purchase]]</f>
        <v>3</v>
      </c>
      <c r="AS635" t="str">
        <f>tbl_OriginalData[[#This Row],[Purchase_Channel]]</f>
        <v>In-Store</v>
      </c>
      <c r="AT635">
        <f>tbl_OriginalData[[#This Row],[Brand_Loyalty]]</f>
        <v>4</v>
      </c>
      <c r="AU635">
        <f>tbl_OriginalData[[#This Row],[Product_Rating]]</f>
        <v>4</v>
      </c>
      <c r="AV635">
        <f>tbl_OriginalData[[#This Row],[Time_Spent_on_Product_Research(hours)]]*60</f>
        <v>120</v>
      </c>
      <c r="AW635" t="str">
        <f>tbl_OriginalData[[#This Row],[Social_Media_Influence]]</f>
        <v>Medium</v>
      </c>
      <c r="AX635" t="str">
        <f>tbl_OriginalData[[#This Row],[Discount_Sensitivity]]</f>
        <v>Not Sensitive</v>
      </c>
      <c r="AY635" s="3">
        <f>tbl_OriginalData[[#This Row],[Return_Rate]]/tbl_OriginalData[[#This Row],[Frequency_of_Purchase]]</f>
        <v>0.33333333333333331</v>
      </c>
      <c r="AZ635">
        <f>tbl_OriginalData[[#This Row],[Customer_Satisfaction]]</f>
        <v>4</v>
      </c>
      <c r="BA635" t="str">
        <f>tbl_OriginalData[[#This Row],[Engagement_with_Ads]]</f>
        <v>High</v>
      </c>
      <c r="BB635" t="str">
        <f>tbl_OriginalData[[#This Row],[Device_Used_for_Shopping]]</f>
        <v>Tablet</v>
      </c>
      <c r="BC635" t="str">
        <f>tbl_OriginalData[[#This Row],[Payment_Method]]</f>
        <v>Debit Card</v>
      </c>
      <c r="BD635" s="1">
        <f>tbl_OriginalData[[#This Row],[Time_of_Purchase]]</f>
        <v>45581</v>
      </c>
      <c r="BE635" t="str">
        <f>IF(tbl_OriginalData[[#This Row],[Discount_Used]]=TRUE,"Yes","No")</f>
        <v>No</v>
      </c>
      <c r="BF635" t="str">
        <f>IF(tbl_OriginalData[[#This Row],[Customer_Loyalty_Program_Member]]=TRUE,"Yes","No")</f>
        <v>Yes</v>
      </c>
      <c r="BG635" t="str">
        <f>tbl_OriginalData[[#This Row],[Purchase_Intent]]</f>
        <v>Wants-based</v>
      </c>
      <c r="BH635" t="str">
        <f>tbl_OriginalData[[#This Row],[Shipping_Preference]]</f>
        <v>No Preference</v>
      </c>
      <c r="BI635">
        <f>tbl_OriginalData[[#This Row],[Time_to_Decision]]</f>
        <v>14</v>
      </c>
      <c r="BJ635" t="s">
        <v>79</v>
      </c>
      <c r="BK635" t="s">
        <v>80</v>
      </c>
      <c r="BL635" t="s">
        <v>2528</v>
      </c>
    </row>
    <row r="636" spans="1:64">
      <c r="A636" t="s">
        <v>1488</v>
      </c>
      <c r="B636">
        <v>25</v>
      </c>
      <c r="C636" t="s">
        <v>50</v>
      </c>
      <c r="D636" t="s">
        <v>51</v>
      </c>
      <c r="E636" t="s">
        <v>82</v>
      </c>
      <c r="F636" t="s">
        <v>36</v>
      </c>
      <c r="G636" t="s">
        <v>34</v>
      </c>
      <c r="H636" t="s">
        <v>1489</v>
      </c>
      <c r="I636" t="s">
        <v>75</v>
      </c>
      <c r="J636">
        <v>222.61</v>
      </c>
      <c r="K636">
        <v>3</v>
      </c>
      <c r="L636" t="s">
        <v>94</v>
      </c>
      <c r="M636">
        <v>1</v>
      </c>
      <c r="N636">
        <v>2</v>
      </c>
      <c r="O636">
        <v>1</v>
      </c>
      <c r="P636" t="s">
        <v>56</v>
      </c>
      <c r="Q636" t="s">
        <v>101</v>
      </c>
      <c r="R636">
        <v>1</v>
      </c>
      <c r="S636">
        <v>1</v>
      </c>
      <c r="T636" t="s">
        <v>40</v>
      </c>
      <c r="U636" t="s">
        <v>95</v>
      </c>
      <c r="V636" t="s">
        <v>58</v>
      </c>
      <c r="W636" s="1">
        <v>45476</v>
      </c>
      <c r="X636" t="b">
        <v>0</v>
      </c>
      <c r="Y636" t="b">
        <v>1</v>
      </c>
      <c r="Z636" t="s">
        <v>44</v>
      </c>
      <c r="AA636" t="s">
        <v>60</v>
      </c>
      <c r="AB636">
        <v>3</v>
      </c>
      <c r="AF636" t="str">
        <f>tbl_OriginalData[[#This Row],[Customer_ID]]</f>
        <v>63-808-3641</v>
      </c>
      <c r="AG636">
        <f>tbl_OriginalData[[#This Row],[Age]]</f>
        <v>25</v>
      </c>
      <c r="AH636" t="str" cm="1">
        <f t="array" ref="AH63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36" t="str">
        <f>tbl_OriginalData[[#This Row],[Gender]]</f>
        <v>Male</v>
      </c>
      <c r="AJ636" t="str">
        <f>tbl_OriginalData[[#This Row],[Income_Level]]</f>
        <v>High</v>
      </c>
      <c r="AK636" t="str">
        <f>tbl_OriginalData[[#This Row],[Marital_Status]]</f>
        <v>Widowed</v>
      </c>
      <c r="AL636" t="str">
        <f>tbl_OriginalData[[#This Row],[Education_Level]]</f>
        <v>Bachelor's</v>
      </c>
      <c r="AM636" t="str">
        <f>tbl_OriginalData[[#This Row],[Occupation]]</f>
        <v>Middle</v>
      </c>
      <c r="AN636" t="s">
        <v>1489</v>
      </c>
      <c r="AO636" t="s">
        <v>1490</v>
      </c>
      <c r="AP636" t="str">
        <f>tbl_OriginalData[[#This Row],[Purchase_Category]]</f>
        <v>Home Appliances</v>
      </c>
      <c r="AQ636" s="4">
        <f>tbl_OriginalData[[#This Row],[Purchase_Amount]]</f>
        <v>222.61</v>
      </c>
      <c r="AR636">
        <f>tbl_OriginalData[[#This Row],[Frequency_of_Purchase]]</f>
        <v>3</v>
      </c>
      <c r="AS636" t="str">
        <f>tbl_OriginalData[[#This Row],[Purchase_Channel]]</f>
        <v>Online</v>
      </c>
      <c r="AT636">
        <f>tbl_OriginalData[[#This Row],[Brand_Loyalty]]</f>
        <v>1</v>
      </c>
      <c r="AU636">
        <f>tbl_OriginalData[[#This Row],[Product_Rating]]</f>
        <v>2</v>
      </c>
      <c r="AV636">
        <f>tbl_OriginalData[[#This Row],[Time_Spent_on_Product_Research(hours)]]*60</f>
        <v>60</v>
      </c>
      <c r="AW636" t="str">
        <f>tbl_OriginalData[[#This Row],[Social_Media_Influence]]</f>
        <v>Medium</v>
      </c>
      <c r="AX636" t="str">
        <f>tbl_OriginalData[[#This Row],[Discount_Sensitivity]]</f>
        <v>Very Sensitive</v>
      </c>
      <c r="AY636" s="3">
        <f>tbl_OriginalData[[#This Row],[Return_Rate]]/tbl_OriginalData[[#This Row],[Frequency_of_Purchase]]</f>
        <v>0.33333333333333331</v>
      </c>
      <c r="AZ636">
        <f>tbl_OriginalData[[#This Row],[Customer_Satisfaction]]</f>
        <v>1</v>
      </c>
      <c r="BA636" t="str">
        <f>tbl_OriginalData[[#This Row],[Engagement_with_Ads]]</f>
        <v>None</v>
      </c>
      <c r="BB636" t="str">
        <f>tbl_OriginalData[[#This Row],[Device_Used_for_Shopping]]</f>
        <v>Desktop</v>
      </c>
      <c r="BC636" t="str">
        <f>tbl_OriginalData[[#This Row],[Payment_Method]]</f>
        <v>PayPal</v>
      </c>
      <c r="BD636" s="1">
        <f>tbl_OriginalData[[#This Row],[Time_of_Purchase]]</f>
        <v>45476</v>
      </c>
      <c r="BE636" t="str">
        <f>IF(tbl_OriginalData[[#This Row],[Discount_Used]]=TRUE,"Yes","No")</f>
        <v>No</v>
      </c>
      <c r="BF636" t="str">
        <f>IF(tbl_OriginalData[[#This Row],[Customer_Loyalty_Program_Member]]=TRUE,"Yes","No")</f>
        <v>Yes</v>
      </c>
      <c r="BG636" t="str">
        <f>tbl_OriginalData[[#This Row],[Purchase_Intent]]</f>
        <v>Need-based</v>
      </c>
      <c r="BH636" t="str">
        <f>tbl_OriginalData[[#This Row],[Shipping_Preference]]</f>
        <v>Standard</v>
      </c>
      <c r="BI636">
        <f>tbl_OriginalData[[#This Row],[Time_to_Decision]]</f>
        <v>3</v>
      </c>
      <c r="BJ636" t="s">
        <v>114</v>
      </c>
      <c r="BK636" t="s">
        <v>115</v>
      </c>
      <c r="BL636" t="s">
        <v>2525</v>
      </c>
    </row>
    <row r="637" spans="1:64">
      <c r="A637" t="s">
        <v>1491</v>
      </c>
      <c r="B637">
        <v>40</v>
      </c>
      <c r="C637" t="s">
        <v>33</v>
      </c>
      <c r="D637" t="s">
        <v>34</v>
      </c>
      <c r="E637" t="s">
        <v>92</v>
      </c>
      <c r="F637" t="s">
        <v>52</v>
      </c>
      <c r="G637" t="s">
        <v>34</v>
      </c>
      <c r="H637" t="s">
        <v>1492</v>
      </c>
      <c r="I637" t="s">
        <v>235</v>
      </c>
      <c r="J637">
        <v>102.73</v>
      </c>
      <c r="K637">
        <v>3</v>
      </c>
      <c r="L637" t="s">
        <v>39</v>
      </c>
      <c r="M637">
        <v>4</v>
      </c>
      <c r="N637">
        <v>5</v>
      </c>
      <c r="O637">
        <v>0.3</v>
      </c>
      <c r="P637" t="s">
        <v>40</v>
      </c>
      <c r="Q637" t="s">
        <v>57</v>
      </c>
      <c r="R637">
        <v>2</v>
      </c>
      <c r="S637">
        <v>5</v>
      </c>
      <c r="T637" t="s">
        <v>40</v>
      </c>
      <c r="U637" t="s">
        <v>42</v>
      </c>
      <c r="V637" t="s">
        <v>71</v>
      </c>
      <c r="W637" s="1">
        <v>45491</v>
      </c>
      <c r="X637" t="b">
        <v>0</v>
      </c>
      <c r="Y637" t="b">
        <v>0</v>
      </c>
      <c r="Z637" t="s">
        <v>59</v>
      </c>
      <c r="AA637" t="s">
        <v>77</v>
      </c>
      <c r="AB637">
        <v>14</v>
      </c>
      <c r="AF637" t="str">
        <f>tbl_OriginalData[[#This Row],[Customer_ID]]</f>
        <v>85-738-8909</v>
      </c>
      <c r="AG637">
        <f>tbl_OriginalData[[#This Row],[Age]]</f>
        <v>40</v>
      </c>
      <c r="AH637" t="str" cm="1">
        <f t="array" ref="AH63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37" t="str">
        <f>tbl_OriginalData[[#This Row],[Gender]]</f>
        <v>Female</v>
      </c>
      <c r="AJ637" t="str">
        <f>tbl_OriginalData[[#This Row],[Income_Level]]</f>
        <v>Middle</v>
      </c>
      <c r="AK637" t="str">
        <f>tbl_OriginalData[[#This Row],[Marital_Status]]</f>
        <v>Divorced</v>
      </c>
      <c r="AL637" t="str">
        <f>tbl_OriginalData[[#This Row],[Education_Level]]</f>
        <v>High School</v>
      </c>
      <c r="AM637" t="str">
        <f>tbl_OriginalData[[#This Row],[Occupation]]</f>
        <v>Middle</v>
      </c>
      <c r="AN637" t="s">
        <v>1492</v>
      </c>
      <c r="AO637" t="s">
        <v>61</v>
      </c>
      <c r="AP637" t="str">
        <f>tbl_OriginalData[[#This Row],[Purchase_Category]]</f>
        <v>Beauty &amp; Personal Care</v>
      </c>
      <c r="AQ637" s="4">
        <f>tbl_OriginalData[[#This Row],[Purchase_Amount]]</f>
        <v>102.73</v>
      </c>
      <c r="AR637">
        <f>tbl_OriginalData[[#This Row],[Frequency_of_Purchase]]</f>
        <v>3</v>
      </c>
      <c r="AS637" t="str">
        <f>tbl_OriginalData[[#This Row],[Purchase_Channel]]</f>
        <v>Mixed</v>
      </c>
      <c r="AT637">
        <f>tbl_OriginalData[[#This Row],[Brand_Loyalty]]</f>
        <v>4</v>
      </c>
      <c r="AU637">
        <f>tbl_OriginalData[[#This Row],[Product_Rating]]</f>
        <v>5</v>
      </c>
      <c r="AV637">
        <f>tbl_OriginalData[[#This Row],[Time_Spent_on_Product_Research(hours)]]*60</f>
        <v>18</v>
      </c>
      <c r="AW637" t="str">
        <f>tbl_OriginalData[[#This Row],[Social_Media_Influence]]</f>
        <v>None</v>
      </c>
      <c r="AX637" t="str">
        <f>tbl_OriginalData[[#This Row],[Discount_Sensitivity]]</f>
        <v>Not Sensitive</v>
      </c>
      <c r="AY637" s="3">
        <f>tbl_OriginalData[[#This Row],[Return_Rate]]/tbl_OriginalData[[#This Row],[Frequency_of_Purchase]]</f>
        <v>0.66666666666666663</v>
      </c>
      <c r="AZ637">
        <f>tbl_OriginalData[[#This Row],[Customer_Satisfaction]]</f>
        <v>5</v>
      </c>
      <c r="BA637" t="str">
        <f>tbl_OriginalData[[#This Row],[Engagement_with_Ads]]</f>
        <v>None</v>
      </c>
      <c r="BB637" t="str">
        <f>tbl_OriginalData[[#This Row],[Device_Used_for_Shopping]]</f>
        <v>Tablet</v>
      </c>
      <c r="BC637" t="str">
        <f>tbl_OriginalData[[#This Row],[Payment_Method]]</f>
        <v>Debit Card</v>
      </c>
      <c r="BD637" s="1">
        <f>tbl_OriginalData[[#This Row],[Time_of_Purchase]]</f>
        <v>45491</v>
      </c>
      <c r="BE637" t="str">
        <f>IF(tbl_OriginalData[[#This Row],[Discount_Used]]=TRUE,"Yes","No")</f>
        <v>No</v>
      </c>
      <c r="BF637" t="str">
        <f>IF(tbl_OriginalData[[#This Row],[Customer_Loyalty_Program_Member]]=TRUE,"Yes","No")</f>
        <v>No</v>
      </c>
      <c r="BG637" t="str">
        <f>tbl_OriginalData[[#This Row],[Purchase_Intent]]</f>
        <v>Wants-based</v>
      </c>
      <c r="BH637" t="str">
        <f>tbl_OriginalData[[#This Row],[Shipping_Preference]]</f>
        <v>Express</v>
      </c>
      <c r="BI637">
        <f>tbl_OriginalData[[#This Row],[Time_to_Decision]]</f>
        <v>14</v>
      </c>
      <c r="BJ637" t="s">
        <v>114</v>
      </c>
      <c r="BK637" t="s">
        <v>115</v>
      </c>
      <c r="BL637" t="s">
        <v>2524</v>
      </c>
    </row>
    <row r="638" spans="1:64">
      <c r="A638" t="s">
        <v>1493</v>
      </c>
      <c r="B638">
        <v>40</v>
      </c>
      <c r="C638" t="s">
        <v>33</v>
      </c>
      <c r="D638" t="s">
        <v>34</v>
      </c>
      <c r="E638" t="s">
        <v>35</v>
      </c>
      <c r="F638" t="s">
        <v>36</v>
      </c>
      <c r="G638" t="s">
        <v>51</v>
      </c>
      <c r="H638" t="s">
        <v>1494</v>
      </c>
      <c r="I638" t="s">
        <v>108</v>
      </c>
      <c r="J638">
        <v>426.87</v>
      </c>
      <c r="K638">
        <v>2</v>
      </c>
      <c r="L638" t="s">
        <v>55</v>
      </c>
      <c r="M638">
        <v>4</v>
      </c>
      <c r="N638">
        <v>2</v>
      </c>
      <c r="O638">
        <v>2</v>
      </c>
      <c r="P638" t="s">
        <v>40</v>
      </c>
      <c r="Q638" t="s">
        <v>57</v>
      </c>
      <c r="R638">
        <v>0</v>
      </c>
      <c r="S638">
        <v>4</v>
      </c>
      <c r="T638" t="s">
        <v>56</v>
      </c>
      <c r="U638" t="s">
        <v>70</v>
      </c>
      <c r="V638" t="s">
        <v>71</v>
      </c>
      <c r="W638" s="1">
        <v>45365</v>
      </c>
      <c r="X638" t="b">
        <v>0</v>
      </c>
      <c r="Y638" t="b">
        <v>0</v>
      </c>
      <c r="Z638" t="s">
        <v>59</v>
      </c>
      <c r="AA638" t="s">
        <v>45</v>
      </c>
      <c r="AB638">
        <v>3</v>
      </c>
      <c r="AF638" t="str">
        <f>tbl_OriginalData[[#This Row],[Customer_ID]]</f>
        <v>40-224-1057</v>
      </c>
      <c r="AG638">
        <f>tbl_OriginalData[[#This Row],[Age]]</f>
        <v>40</v>
      </c>
      <c r="AH638" t="str" cm="1">
        <f t="array" ref="AH63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38" t="str">
        <f>tbl_OriginalData[[#This Row],[Gender]]</f>
        <v>Female</v>
      </c>
      <c r="AJ638" t="str">
        <f>tbl_OriginalData[[#This Row],[Income_Level]]</f>
        <v>Middle</v>
      </c>
      <c r="AK638" t="str">
        <f>tbl_OriginalData[[#This Row],[Marital_Status]]</f>
        <v>Married</v>
      </c>
      <c r="AL638" t="str">
        <f>tbl_OriginalData[[#This Row],[Education_Level]]</f>
        <v>Bachelor's</v>
      </c>
      <c r="AM638" t="str">
        <f>tbl_OriginalData[[#This Row],[Occupation]]</f>
        <v>High</v>
      </c>
      <c r="AN638" t="s">
        <v>1494</v>
      </c>
      <c r="AO638" t="s">
        <v>246</v>
      </c>
      <c r="AP638" t="str">
        <f>tbl_OriginalData[[#This Row],[Purchase_Category]]</f>
        <v>Sports &amp; Outdoors</v>
      </c>
      <c r="AQ638" s="4">
        <f>tbl_OriginalData[[#This Row],[Purchase_Amount]]</f>
        <v>426.87</v>
      </c>
      <c r="AR638">
        <f>tbl_OriginalData[[#This Row],[Frequency_of_Purchase]]</f>
        <v>2</v>
      </c>
      <c r="AS638" t="str">
        <f>tbl_OriginalData[[#This Row],[Purchase_Channel]]</f>
        <v>In-Store</v>
      </c>
      <c r="AT638">
        <f>tbl_OriginalData[[#This Row],[Brand_Loyalty]]</f>
        <v>4</v>
      </c>
      <c r="AU638">
        <f>tbl_OriginalData[[#This Row],[Product_Rating]]</f>
        <v>2</v>
      </c>
      <c r="AV638">
        <f>tbl_OriginalData[[#This Row],[Time_Spent_on_Product_Research(hours)]]*60</f>
        <v>120</v>
      </c>
      <c r="AW638" t="str">
        <f>tbl_OriginalData[[#This Row],[Social_Media_Influence]]</f>
        <v>None</v>
      </c>
      <c r="AX638" t="str">
        <f>tbl_OriginalData[[#This Row],[Discount_Sensitivity]]</f>
        <v>Not Sensitive</v>
      </c>
      <c r="AY638" s="3">
        <f>tbl_OriginalData[[#This Row],[Return_Rate]]/tbl_OriginalData[[#This Row],[Frequency_of_Purchase]]</f>
        <v>0</v>
      </c>
      <c r="AZ638">
        <f>tbl_OriginalData[[#This Row],[Customer_Satisfaction]]</f>
        <v>4</v>
      </c>
      <c r="BA638" t="str">
        <f>tbl_OriginalData[[#This Row],[Engagement_with_Ads]]</f>
        <v>Medium</v>
      </c>
      <c r="BB638" t="str">
        <f>tbl_OriginalData[[#This Row],[Device_Used_for_Shopping]]</f>
        <v>Smartphone</v>
      </c>
      <c r="BC638" t="str">
        <f>tbl_OriginalData[[#This Row],[Payment_Method]]</f>
        <v>Debit Card</v>
      </c>
      <c r="BD638" s="1">
        <f>tbl_OriginalData[[#This Row],[Time_of_Purchase]]</f>
        <v>45365</v>
      </c>
      <c r="BE638" t="str">
        <f>IF(tbl_OriginalData[[#This Row],[Discount_Used]]=TRUE,"Yes","No")</f>
        <v>No</v>
      </c>
      <c r="BF638" t="str">
        <f>IF(tbl_OriginalData[[#This Row],[Customer_Loyalty_Program_Member]]=TRUE,"Yes","No")</f>
        <v>No</v>
      </c>
      <c r="BG638" t="str">
        <f>tbl_OriginalData[[#This Row],[Purchase_Intent]]</f>
        <v>Wants-based</v>
      </c>
      <c r="BH638" t="str">
        <f>tbl_OriginalData[[#This Row],[Shipping_Preference]]</f>
        <v>No Preference</v>
      </c>
      <c r="BI638">
        <f>tbl_OriginalData[[#This Row],[Time_to_Decision]]</f>
        <v>3</v>
      </c>
      <c r="BJ638" t="s">
        <v>47</v>
      </c>
      <c r="BK638" t="s">
        <v>48</v>
      </c>
      <c r="BL638" t="s">
        <v>2523</v>
      </c>
    </row>
    <row r="639" spans="1:64">
      <c r="A639" t="s">
        <v>1495</v>
      </c>
      <c r="B639">
        <v>20</v>
      </c>
      <c r="C639" t="s">
        <v>33</v>
      </c>
      <c r="D639" t="s">
        <v>34</v>
      </c>
      <c r="E639" t="s">
        <v>82</v>
      </c>
      <c r="F639" t="s">
        <v>52</v>
      </c>
      <c r="G639" t="s">
        <v>34</v>
      </c>
      <c r="H639" t="s">
        <v>1496</v>
      </c>
      <c r="I639" t="s">
        <v>306</v>
      </c>
      <c r="J639">
        <v>473.28</v>
      </c>
      <c r="K639">
        <v>5</v>
      </c>
      <c r="L639" t="s">
        <v>94</v>
      </c>
      <c r="M639">
        <v>5</v>
      </c>
      <c r="N639">
        <v>5</v>
      </c>
      <c r="O639">
        <v>1</v>
      </c>
      <c r="P639" t="s">
        <v>56</v>
      </c>
      <c r="Q639" t="s">
        <v>101</v>
      </c>
      <c r="R639">
        <v>1</v>
      </c>
      <c r="S639">
        <v>9</v>
      </c>
      <c r="T639" t="s">
        <v>40</v>
      </c>
      <c r="U639" t="s">
        <v>70</v>
      </c>
      <c r="V639" t="s">
        <v>102</v>
      </c>
      <c r="W639" s="1">
        <v>45635</v>
      </c>
      <c r="X639" t="b">
        <v>0</v>
      </c>
      <c r="Y639" t="b">
        <v>0</v>
      </c>
      <c r="Z639" t="s">
        <v>44</v>
      </c>
      <c r="AA639" t="s">
        <v>60</v>
      </c>
      <c r="AB639">
        <v>13</v>
      </c>
      <c r="AF639" t="str">
        <f>tbl_OriginalData[[#This Row],[Customer_ID]]</f>
        <v>24-853-1635</v>
      </c>
      <c r="AG639">
        <f>tbl_OriginalData[[#This Row],[Age]]</f>
        <v>20</v>
      </c>
      <c r="AH639" t="str" cm="1">
        <f t="array" ref="AH63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39" t="str">
        <f>tbl_OriginalData[[#This Row],[Gender]]</f>
        <v>Female</v>
      </c>
      <c r="AJ639" t="str">
        <f>tbl_OriginalData[[#This Row],[Income_Level]]</f>
        <v>Middle</v>
      </c>
      <c r="AK639" t="str">
        <f>tbl_OriginalData[[#This Row],[Marital_Status]]</f>
        <v>Widowed</v>
      </c>
      <c r="AL639" t="str">
        <f>tbl_OriginalData[[#This Row],[Education_Level]]</f>
        <v>High School</v>
      </c>
      <c r="AM639" t="str">
        <f>tbl_OriginalData[[#This Row],[Occupation]]</f>
        <v>Middle</v>
      </c>
      <c r="AN639" t="s">
        <v>1496</v>
      </c>
      <c r="AO639" t="s">
        <v>61</v>
      </c>
      <c r="AP639" t="str">
        <f>tbl_OriginalData[[#This Row],[Purchase_Category]]</f>
        <v>Jewelry &amp; Accessories</v>
      </c>
      <c r="AQ639" s="4">
        <f>tbl_OriginalData[[#This Row],[Purchase_Amount]]</f>
        <v>473.28</v>
      </c>
      <c r="AR639">
        <f>tbl_OriginalData[[#This Row],[Frequency_of_Purchase]]</f>
        <v>5</v>
      </c>
      <c r="AS639" t="str">
        <f>tbl_OriginalData[[#This Row],[Purchase_Channel]]</f>
        <v>Online</v>
      </c>
      <c r="AT639">
        <f>tbl_OriginalData[[#This Row],[Brand_Loyalty]]</f>
        <v>5</v>
      </c>
      <c r="AU639">
        <f>tbl_OriginalData[[#This Row],[Product_Rating]]</f>
        <v>5</v>
      </c>
      <c r="AV639">
        <f>tbl_OriginalData[[#This Row],[Time_Spent_on_Product_Research(hours)]]*60</f>
        <v>60</v>
      </c>
      <c r="AW639" t="str">
        <f>tbl_OriginalData[[#This Row],[Social_Media_Influence]]</f>
        <v>Medium</v>
      </c>
      <c r="AX639" t="str">
        <f>tbl_OriginalData[[#This Row],[Discount_Sensitivity]]</f>
        <v>Very Sensitive</v>
      </c>
      <c r="AY639" s="3">
        <f>tbl_OriginalData[[#This Row],[Return_Rate]]/tbl_OriginalData[[#This Row],[Frequency_of_Purchase]]</f>
        <v>0.2</v>
      </c>
      <c r="AZ639">
        <f>tbl_OriginalData[[#This Row],[Customer_Satisfaction]]</f>
        <v>9</v>
      </c>
      <c r="BA639" t="str">
        <f>tbl_OriginalData[[#This Row],[Engagement_with_Ads]]</f>
        <v>None</v>
      </c>
      <c r="BB639" t="str">
        <f>tbl_OriginalData[[#This Row],[Device_Used_for_Shopping]]</f>
        <v>Smartphone</v>
      </c>
      <c r="BC639" t="str">
        <f>tbl_OriginalData[[#This Row],[Payment_Method]]</f>
        <v>Cash</v>
      </c>
      <c r="BD639" s="1">
        <f>tbl_OriginalData[[#This Row],[Time_of_Purchase]]</f>
        <v>45635</v>
      </c>
      <c r="BE639" t="str">
        <f>IF(tbl_OriginalData[[#This Row],[Discount_Used]]=TRUE,"Yes","No")</f>
        <v>No</v>
      </c>
      <c r="BF639" t="str">
        <f>IF(tbl_OriginalData[[#This Row],[Customer_Loyalty_Program_Member]]=TRUE,"Yes","No")</f>
        <v>No</v>
      </c>
      <c r="BG639" t="str">
        <f>tbl_OriginalData[[#This Row],[Purchase_Intent]]</f>
        <v>Need-based</v>
      </c>
      <c r="BH639" t="str">
        <f>tbl_OriginalData[[#This Row],[Shipping_Preference]]</f>
        <v>Standard</v>
      </c>
      <c r="BI639">
        <f>tbl_OriginalData[[#This Row],[Time_to_Decision]]</f>
        <v>13</v>
      </c>
      <c r="BJ639" t="s">
        <v>120</v>
      </c>
      <c r="BK639" t="s">
        <v>80</v>
      </c>
      <c r="BL639" t="s">
        <v>2524</v>
      </c>
    </row>
    <row r="640" spans="1:64">
      <c r="A640" t="s">
        <v>1497</v>
      </c>
      <c r="B640">
        <v>39</v>
      </c>
      <c r="C640" t="s">
        <v>50</v>
      </c>
      <c r="D640" t="s">
        <v>51</v>
      </c>
      <c r="E640" t="s">
        <v>82</v>
      </c>
      <c r="F640" t="s">
        <v>36</v>
      </c>
      <c r="G640" t="s">
        <v>51</v>
      </c>
      <c r="H640" t="s">
        <v>1498</v>
      </c>
      <c r="I640" t="s">
        <v>306</v>
      </c>
      <c r="J640">
        <v>446.03</v>
      </c>
      <c r="K640">
        <v>9</v>
      </c>
      <c r="L640" t="s">
        <v>55</v>
      </c>
      <c r="M640">
        <v>2</v>
      </c>
      <c r="N640">
        <v>1</v>
      </c>
      <c r="O640">
        <v>2</v>
      </c>
      <c r="P640" t="s">
        <v>69</v>
      </c>
      <c r="Q640" t="s">
        <v>41</v>
      </c>
      <c r="R640">
        <v>2</v>
      </c>
      <c r="S640">
        <v>7</v>
      </c>
      <c r="T640" t="s">
        <v>40</v>
      </c>
      <c r="U640" t="s">
        <v>42</v>
      </c>
      <c r="V640" t="s">
        <v>76</v>
      </c>
      <c r="W640" s="1">
        <v>45469</v>
      </c>
      <c r="X640" t="b">
        <v>1</v>
      </c>
      <c r="Y640" t="b">
        <v>1</v>
      </c>
      <c r="Z640" t="s">
        <v>44</v>
      </c>
      <c r="AA640" t="s">
        <v>77</v>
      </c>
      <c r="AB640">
        <v>12</v>
      </c>
      <c r="AF640" t="str">
        <f>tbl_OriginalData[[#This Row],[Customer_ID]]</f>
        <v>61-627-1822</v>
      </c>
      <c r="AG640">
        <f>tbl_OriginalData[[#This Row],[Age]]</f>
        <v>39</v>
      </c>
      <c r="AH640" t="str" cm="1">
        <f t="array" ref="AH64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40" t="str">
        <f>tbl_OriginalData[[#This Row],[Gender]]</f>
        <v>Male</v>
      </c>
      <c r="AJ640" t="str">
        <f>tbl_OriginalData[[#This Row],[Income_Level]]</f>
        <v>High</v>
      </c>
      <c r="AK640" t="str">
        <f>tbl_OriginalData[[#This Row],[Marital_Status]]</f>
        <v>Widowed</v>
      </c>
      <c r="AL640" t="str">
        <f>tbl_OriginalData[[#This Row],[Education_Level]]</f>
        <v>Bachelor's</v>
      </c>
      <c r="AM640" t="str">
        <f>tbl_OriginalData[[#This Row],[Occupation]]</f>
        <v>High</v>
      </c>
      <c r="AN640" t="s">
        <v>1498</v>
      </c>
      <c r="AO640" t="s">
        <v>61</v>
      </c>
      <c r="AP640" t="str">
        <f>tbl_OriginalData[[#This Row],[Purchase_Category]]</f>
        <v>Jewelry &amp; Accessories</v>
      </c>
      <c r="AQ640" s="4">
        <f>tbl_OriginalData[[#This Row],[Purchase_Amount]]</f>
        <v>446.03</v>
      </c>
      <c r="AR640">
        <f>tbl_OriginalData[[#This Row],[Frequency_of_Purchase]]</f>
        <v>9</v>
      </c>
      <c r="AS640" t="str">
        <f>tbl_OriginalData[[#This Row],[Purchase_Channel]]</f>
        <v>In-Store</v>
      </c>
      <c r="AT640">
        <f>tbl_OriginalData[[#This Row],[Brand_Loyalty]]</f>
        <v>2</v>
      </c>
      <c r="AU640">
        <f>tbl_OriginalData[[#This Row],[Product_Rating]]</f>
        <v>1</v>
      </c>
      <c r="AV640">
        <f>tbl_OriginalData[[#This Row],[Time_Spent_on_Product_Research(hours)]]*60</f>
        <v>120</v>
      </c>
      <c r="AW640" t="str">
        <f>tbl_OriginalData[[#This Row],[Social_Media_Influence]]</f>
        <v>Low</v>
      </c>
      <c r="AX640" t="str">
        <f>tbl_OriginalData[[#This Row],[Discount_Sensitivity]]</f>
        <v>Somewhat Sensitive</v>
      </c>
      <c r="AY640" s="3">
        <f>tbl_OriginalData[[#This Row],[Return_Rate]]/tbl_OriginalData[[#This Row],[Frequency_of_Purchase]]</f>
        <v>0.22222222222222221</v>
      </c>
      <c r="AZ640">
        <f>tbl_OriginalData[[#This Row],[Customer_Satisfaction]]</f>
        <v>7</v>
      </c>
      <c r="BA640" t="str">
        <f>tbl_OriginalData[[#This Row],[Engagement_with_Ads]]</f>
        <v>None</v>
      </c>
      <c r="BB640" t="str">
        <f>tbl_OriginalData[[#This Row],[Device_Used_for_Shopping]]</f>
        <v>Tablet</v>
      </c>
      <c r="BC640" t="str">
        <f>tbl_OriginalData[[#This Row],[Payment_Method]]</f>
        <v>Other</v>
      </c>
      <c r="BD640" s="1">
        <f>tbl_OriginalData[[#This Row],[Time_of_Purchase]]</f>
        <v>45469</v>
      </c>
      <c r="BE640" t="str">
        <f>IF(tbl_OriginalData[[#This Row],[Discount_Used]]=TRUE,"Yes","No")</f>
        <v>Yes</v>
      </c>
      <c r="BF640" t="str">
        <f>IF(tbl_OriginalData[[#This Row],[Customer_Loyalty_Program_Member]]=TRUE,"Yes","No")</f>
        <v>Yes</v>
      </c>
      <c r="BG640" t="str">
        <f>tbl_OriginalData[[#This Row],[Purchase_Intent]]</f>
        <v>Need-based</v>
      </c>
      <c r="BH640" t="str">
        <f>tbl_OriginalData[[#This Row],[Shipping_Preference]]</f>
        <v>Express</v>
      </c>
      <c r="BI640">
        <f>tbl_OriginalData[[#This Row],[Time_to_Decision]]</f>
        <v>12</v>
      </c>
      <c r="BJ640" t="s">
        <v>104</v>
      </c>
      <c r="BK640" t="s">
        <v>63</v>
      </c>
      <c r="BL640" t="s">
        <v>2524</v>
      </c>
    </row>
    <row r="641" spans="1:64">
      <c r="A641" t="s">
        <v>1499</v>
      </c>
      <c r="B641">
        <v>19</v>
      </c>
      <c r="C641" t="s">
        <v>33</v>
      </c>
      <c r="D641" t="s">
        <v>51</v>
      </c>
      <c r="E641" t="s">
        <v>65</v>
      </c>
      <c r="F641" t="s">
        <v>36</v>
      </c>
      <c r="G641" t="s">
        <v>51</v>
      </c>
      <c r="H641" t="s">
        <v>1500</v>
      </c>
      <c r="I641" t="s">
        <v>170</v>
      </c>
      <c r="J641">
        <v>287.95</v>
      </c>
      <c r="K641">
        <v>3</v>
      </c>
      <c r="L641" t="s">
        <v>39</v>
      </c>
      <c r="M641">
        <v>2</v>
      </c>
      <c r="N641">
        <v>3</v>
      </c>
      <c r="O641">
        <v>2</v>
      </c>
      <c r="P641" t="s">
        <v>40</v>
      </c>
      <c r="Q641" t="s">
        <v>101</v>
      </c>
      <c r="R641">
        <v>2</v>
      </c>
      <c r="S641">
        <v>7</v>
      </c>
      <c r="T641" t="s">
        <v>51</v>
      </c>
      <c r="U641" t="s">
        <v>42</v>
      </c>
      <c r="V641" t="s">
        <v>58</v>
      </c>
      <c r="W641" s="1">
        <v>45608</v>
      </c>
      <c r="X641" t="b">
        <v>1</v>
      </c>
      <c r="Y641" t="b">
        <v>1</v>
      </c>
      <c r="Z641" t="s">
        <v>89</v>
      </c>
      <c r="AA641" t="s">
        <v>60</v>
      </c>
      <c r="AB641">
        <v>11</v>
      </c>
      <c r="AF641" t="str">
        <f>tbl_OriginalData[[#This Row],[Customer_ID]]</f>
        <v>89-392-5002</v>
      </c>
      <c r="AG641">
        <f>tbl_OriginalData[[#This Row],[Age]]</f>
        <v>19</v>
      </c>
      <c r="AH641" t="str" cm="1">
        <f t="array" ref="AH64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641" t="str">
        <f>tbl_OriginalData[[#This Row],[Gender]]</f>
        <v>Female</v>
      </c>
      <c r="AJ641" t="str">
        <f>tbl_OriginalData[[#This Row],[Income_Level]]</f>
        <v>High</v>
      </c>
      <c r="AK641" t="str">
        <f>tbl_OriginalData[[#This Row],[Marital_Status]]</f>
        <v>Single</v>
      </c>
      <c r="AL641" t="str">
        <f>tbl_OriginalData[[#This Row],[Education_Level]]</f>
        <v>Bachelor's</v>
      </c>
      <c r="AM641" t="str">
        <f>tbl_OriginalData[[#This Row],[Occupation]]</f>
        <v>High</v>
      </c>
      <c r="AN641" t="s">
        <v>1500</v>
      </c>
      <c r="AO641" t="s">
        <v>61</v>
      </c>
      <c r="AP641" t="str">
        <f>tbl_OriginalData[[#This Row],[Purchase_Category]]</f>
        <v>Arts &amp; Crafts</v>
      </c>
      <c r="AQ641" s="4">
        <f>tbl_OriginalData[[#This Row],[Purchase_Amount]]</f>
        <v>287.95</v>
      </c>
      <c r="AR641">
        <f>tbl_OriginalData[[#This Row],[Frequency_of_Purchase]]</f>
        <v>3</v>
      </c>
      <c r="AS641" t="str">
        <f>tbl_OriginalData[[#This Row],[Purchase_Channel]]</f>
        <v>Mixed</v>
      </c>
      <c r="AT641">
        <f>tbl_OriginalData[[#This Row],[Brand_Loyalty]]</f>
        <v>2</v>
      </c>
      <c r="AU641">
        <f>tbl_OriginalData[[#This Row],[Product_Rating]]</f>
        <v>3</v>
      </c>
      <c r="AV641">
        <f>tbl_OriginalData[[#This Row],[Time_Spent_on_Product_Research(hours)]]*60</f>
        <v>120</v>
      </c>
      <c r="AW641" t="str">
        <f>tbl_OriginalData[[#This Row],[Social_Media_Influence]]</f>
        <v>None</v>
      </c>
      <c r="AX641" t="str">
        <f>tbl_OriginalData[[#This Row],[Discount_Sensitivity]]</f>
        <v>Very Sensitive</v>
      </c>
      <c r="AY641" s="3">
        <f>tbl_OriginalData[[#This Row],[Return_Rate]]/tbl_OriginalData[[#This Row],[Frequency_of_Purchase]]</f>
        <v>0.66666666666666663</v>
      </c>
      <c r="AZ641">
        <f>tbl_OriginalData[[#This Row],[Customer_Satisfaction]]</f>
        <v>7</v>
      </c>
      <c r="BA641" t="str">
        <f>tbl_OriginalData[[#This Row],[Engagement_with_Ads]]</f>
        <v>High</v>
      </c>
      <c r="BB641" t="str">
        <f>tbl_OriginalData[[#This Row],[Device_Used_for_Shopping]]</f>
        <v>Tablet</v>
      </c>
      <c r="BC641" t="str">
        <f>tbl_OriginalData[[#This Row],[Payment_Method]]</f>
        <v>PayPal</v>
      </c>
      <c r="BD641" s="1">
        <f>tbl_OriginalData[[#This Row],[Time_of_Purchase]]</f>
        <v>45608</v>
      </c>
      <c r="BE641" t="str">
        <f>IF(tbl_OriginalData[[#This Row],[Discount_Used]]=TRUE,"Yes","No")</f>
        <v>Yes</v>
      </c>
      <c r="BF641" t="str">
        <f>IF(tbl_OriginalData[[#This Row],[Customer_Loyalty_Program_Member]]=TRUE,"Yes","No")</f>
        <v>Yes</v>
      </c>
      <c r="BG641" t="str">
        <f>tbl_OriginalData[[#This Row],[Purchase_Intent]]</f>
        <v>Planned</v>
      </c>
      <c r="BH641" t="str">
        <f>tbl_OriginalData[[#This Row],[Shipping_Preference]]</f>
        <v>Standard</v>
      </c>
      <c r="BI641">
        <f>tbl_OriginalData[[#This Row],[Time_to_Decision]]</f>
        <v>11</v>
      </c>
      <c r="BJ641" t="s">
        <v>177</v>
      </c>
      <c r="BK641" t="s">
        <v>80</v>
      </c>
      <c r="BL641" t="s">
        <v>2524</v>
      </c>
    </row>
    <row r="642" spans="1:64">
      <c r="A642" t="s">
        <v>1501</v>
      </c>
      <c r="B642">
        <v>31</v>
      </c>
      <c r="C642" t="s">
        <v>33</v>
      </c>
      <c r="D642" t="s">
        <v>34</v>
      </c>
      <c r="E642" t="s">
        <v>82</v>
      </c>
      <c r="F642" t="s">
        <v>66</v>
      </c>
      <c r="G642" t="s">
        <v>51</v>
      </c>
      <c r="H642" t="s">
        <v>1502</v>
      </c>
      <c r="I642" t="s">
        <v>123</v>
      </c>
      <c r="J642">
        <v>132.52000000000001</v>
      </c>
      <c r="K642">
        <v>6</v>
      </c>
      <c r="L642" t="s">
        <v>39</v>
      </c>
      <c r="M642">
        <v>1</v>
      </c>
      <c r="N642">
        <v>2</v>
      </c>
      <c r="O642">
        <v>0</v>
      </c>
      <c r="P642" t="s">
        <v>56</v>
      </c>
      <c r="Q642" t="s">
        <v>41</v>
      </c>
      <c r="R642">
        <v>2</v>
      </c>
      <c r="S642">
        <v>10</v>
      </c>
      <c r="T642" t="s">
        <v>69</v>
      </c>
      <c r="U642" t="s">
        <v>70</v>
      </c>
      <c r="V642" t="s">
        <v>71</v>
      </c>
      <c r="W642" s="1">
        <v>45646</v>
      </c>
      <c r="X642" t="b">
        <v>1</v>
      </c>
      <c r="Y642" t="b">
        <v>1</v>
      </c>
      <c r="Z642" t="s">
        <v>72</v>
      </c>
      <c r="AA642" t="s">
        <v>77</v>
      </c>
      <c r="AB642">
        <v>12</v>
      </c>
      <c r="AF642" t="str">
        <f>tbl_OriginalData[[#This Row],[Customer_ID]]</f>
        <v>71-573-6085</v>
      </c>
      <c r="AG642">
        <f>tbl_OriginalData[[#This Row],[Age]]</f>
        <v>31</v>
      </c>
      <c r="AH642" t="str" cm="1">
        <f t="array" ref="AH64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42" t="str">
        <f>tbl_OriginalData[[#This Row],[Gender]]</f>
        <v>Female</v>
      </c>
      <c r="AJ642" t="str">
        <f>tbl_OriginalData[[#This Row],[Income_Level]]</f>
        <v>Middle</v>
      </c>
      <c r="AK642" t="str">
        <f>tbl_OriginalData[[#This Row],[Marital_Status]]</f>
        <v>Widowed</v>
      </c>
      <c r="AL642" t="str">
        <f>tbl_OriginalData[[#This Row],[Education_Level]]</f>
        <v>Master's</v>
      </c>
      <c r="AM642" t="str">
        <f>tbl_OriginalData[[#This Row],[Occupation]]</f>
        <v>High</v>
      </c>
      <c r="AN642" t="s">
        <v>1502</v>
      </c>
      <c r="AO642" t="s">
        <v>186</v>
      </c>
      <c r="AP642" t="str">
        <f>tbl_OriginalData[[#This Row],[Purchase_Category]]</f>
        <v>Luxury Goods</v>
      </c>
      <c r="AQ642" s="4">
        <f>tbl_OriginalData[[#This Row],[Purchase_Amount]]</f>
        <v>132.52000000000001</v>
      </c>
      <c r="AR642">
        <f>tbl_OriginalData[[#This Row],[Frequency_of_Purchase]]</f>
        <v>6</v>
      </c>
      <c r="AS642" t="str">
        <f>tbl_OriginalData[[#This Row],[Purchase_Channel]]</f>
        <v>Mixed</v>
      </c>
      <c r="AT642">
        <f>tbl_OriginalData[[#This Row],[Brand_Loyalty]]</f>
        <v>1</v>
      </c>
      <c r="AU642">
        <f>tbl_OriginalData[[#This Row],[Product_Rating]]</f>
        <v>2</v>
      </c>
      <c r="AV642">
        <f>tbl_OriginalData[[#This Row],[Time_Spent_on_Product_Research(hours)]]*60</f>
        <v>0</v>
      </c>
      <c r="AW642" t="str">
        <f>tbl_OriginalData[[#This Row],[Social_Media_Influence]]</f>
        <v>Medium</v>
      </c>
      <c r="AX642" t="str">
        <f>tbl_OriginalData[[#This Row],[Discount_Sensitivity]]</f>
        <v>Somewhat Sensitive</v>
      </c>
      <c r="AY642" s="3">
        <f>tbl_OriginalData[[#This Row],[Return_Rate]]/tbl_OriginalData[[#This Row],[Frequency_of_Purchase]]</f>
        <v>0.33333333333333331</v>
      </c>
      <c r="AZ642">
        <f>tbl_OriginalData[[#This Row],[Customer_Satisfaction]]</f>
        <v>10</v>
      </c>
      <c r="BA642" t="str">
        <f>tbl_OriginalData[[#This Row],[Engagement_with_Ads]]</f>
        <v>Low</v>
      </c>
      <c r="BB642" t="str">
        <f>tbl_OriginalData[[#This Row],[Device_Used_for_Shopping]]</f>
        <v>Smartphone</v>
      </c>
      <c r="BC642" t="str">
        <f>tbl_OriginalData[[#This Row],[Payment_Method]]</f>
        <v>Debit Card</v>
      </c>
      <c r="BD642" s="1">
        <f>tbl_OriginalData[[#This Row],[Time_of_Purchase]]</f>
        <v>45646</v>
      </c>
      <c r="BE642" t="str">
        <f>IF(tbl_OriginalData[[#This Row],[Discount_Used]]=TRUE,"Yes","No")</f>
        <v>Yes</v>
      </c>
      <c r="BF642" t="str">
        <f>IF(tbl_OriginalData[[#This Row],[Customer_Loyalty_Program_Member]]=TRUE,"Yes","No")</f>
        <v>Yes</v>
      </c>
      <c r="BG642" t="str">
        <f>tbl_OriginalData[[#This Row],[Purchase_Intent]]</f>
        <v>Impulsive</v>
      </c>
      <c r="BH642" t="str">
        <f>tbl_OriginalData[[#This Row],[Shipping_Preference]]</f>
        <v>Express</v>
      </c>
      <c r="BI642">
        <f>tbl_OriginalData[[#This Row],[Time_to_Decision]]</f>
        <v>12</v>
      </c>
      <c r="BJ642" t="s">
        <v>120</v>
      </c>
      <c r="BK642" t="s">
        <v>80</v>
      </c>
      <c r="BL642" t="s">
        <v>2523</v>
      </c>
    </row>
    <row r="643" spans="1:64">
      <c r="A643" t="s">
        <v>1503</v>
      </c>
      <c r="B643">
        <v>36</v>
      </c>
      <c r="C643" t="s">
        <v>33</v>
      </c>
      <c r="D643" t="s">
        <v>34</v>
      </c>
      <c r="E643" t="s">
        <v>35</v>
      </c>
      <c r="F643" t="s">
        <v>36</v>
      </c>
      <c r="G643" t="s">
        <v>34</v>
      </c>
      <c r="H643" t="s">
        <v>1504</v>
      </c>
      <c r="I643" t="s">
        <v>108</v>
      </c>
      <c r="J643">
        <v>379.2</v>
      </c>
      <c r="K643">
        <v>7</v>
      </c>
      <c r="L643" t="s">
        <v>94</v>
      </c>
      <c r="M643">
        <v>5</v>
      </c>
      <c r="N643">
        <v>1</v>
      </c>
      <c r="O643">
        <v>0</v>
      </c>
      <c r="P643" t="s">
        <v>56</v>
      </c>
      <c r="Q643" t="s">
        <v>101</v>
      </c>
      <c r="R643">
        <v>2</v>
      </c>
      <c r="S643">
        <v>2</v>
      </c>
      <c r="T643" t="s">
        <v>51</v>
      </c>
      <c r="U643" t="s">
        <v>70</v>
      </c>
      <c r="V643" t="s">
        <v>71</v>
      </c>
      <c r="W643" s="1">
        <v>45440</v>
      </c>
      <c r="X643" t="b">
        <v>1</v>
      </c>
      <c r="Y643" t="b">
        <v>1</v>
      </c>
      <c r="Z643" t="s">
        <v>44</v>
      </c>
      <c r="AA643" t="s">
        <v>45</v>
      </c>
      <c r="AB643">
        <v>7</v>
      </c>
      <c r="AF643" t="str">
        <f>tbl_OriginalData[[#This Row],[Customer_ID]]</f>
        <v>91-810-3612</v>
      </c>
      <c r="AG643">
        <f>tbl_OriginalData[[#This Row],[Age]]</f>
        <v>36</v>
      </c>
      <c r="AH643" t="str" cm="1">
        <f t="array" ref="AH64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43" t="str">
        <f>tbl_OriginalData[[#This Row],[Gender]]</f>
        <v>Female</v>
      </c>
      <c r="AJ643" t="str">
        <f>tbl_OriginalData[[#This Row],[Income_Level]]</f>
        <v>Middle</v>
      </c>
      <c r="AK643" t="str">
        <f>tbl_OriginalData[[#This Row],[Marital_Status]]</f>
        <v>Married</v>
      </c>
      <c r="AL643" t="str">
        <f>tbl_OriginalData[[#This Row],[Education_Level]]</f>
        <v>Bachelor's</v>
      </c>
      <c r="AM643" t="str">
        <f>tbl_OriginalData[[#This Row],[Occupation]]</f>
        <v>Middle</v>
      </c>
      <c r="AN643" t="s">
        <v>1504</v>
      </c>
      <c r="AO643" t="s">
        <v>1505</v>
      </c>
      <c r="AP643" t="str">
        <f>tbl_OriginalData[[#This Row],[Purchase_Category]]</f>
        <v>Sports &amp; Outdoors</v>
      </c>
      <c r="AQ643" s="4">
        <f>tbl_OriginalData[[#This Row],[Purchase_Amount]]</f>
        <v>379.2</v>
      </c>
      <c r="AR643">
        <f>tbl_OriginalData[[#This Row],[Frequency_of_Purchase]]</f>
        <v>7</v>
      </c>
      <c r="AS643" t="str">
        <f>tbl_OriginalData[[#This Row],[Purchase_Channel]]</f>
        <v>Online</v>
      </c>
      <c r="AT643">
        <f>tbl_OriginalData[[#This Row],[Brand_Loyalty]]</f>
        <v>5</v>
      </c>
      <c r="AU643">
        <f>tbl_OriginalData[[#This Row],[Product_Rating]]</f>
        <v>1</v>
      </c>
      <c r="AV643">
        <f>tbl_OriginalData[[#This Row],[Time_Spent_on_Product_Research(hours)]]*60</f>
        <v>0</v>
      </c>
      <c r="AW643" t="str">
        <f>tbl_OriginalData[[#This Row],[Social_Media_Influence]]</f>
        <v>Medium</v>
      </c>
      <c r="AX643" t="str">
        <f>tbl_OriginalData[[#This Row],[Discount_Sensitivity]]</f>
        <v>Very Sensitive</v>
      </c>
      <c r="AY643" s="3">
        <f>tbl_OriginalData[[#This Row],[Return_Rate]]/tbl_OriginalData[[#This Row],[Frequency_of_Purchase]]</f>
        <v>0.2857142857142857</v>
      </c>
      <c r="AZ643">
        <f>tbl_OriginalData[[#This Row],[Customer_Satisfaction]]</f>
        <v>2</v>
      </c>
      <c r="BA643" t="str">
        <f>tbl_OriginalData[[#This Row],[Engagement_with_Ads]]</f>
        <v>High</v>
      </c>
      <c r="BB643" t="str">
        <f>tbl_OriginalData[[#This Row],[Device_Used_for_Shopping]]</f>
        <v>Smartphone</v>
      </c>
      <c r="BC643" t="str">
        <f>tbl_OriginalData[[#This Row],[Payment_Method]]</f>
        <v>Debit Card</v>
      </c>
      <c r="BD643" s="1">
        <f>tbl_OriginalData[[#This Row],[Time_of_Purchase]]</f>
        <v>45440</v>
      </c>
      <c r="BE643" t="str">
        <f>IF(tbl_OriginalData[[#This Row],[Discount_Used]]=TRUE,"Yes","No")</f>
        <v>Yes</v>
      </c>
      <c r="BF643" t="str">
        <f>IF(tbl_OriginalData[[#This Row],[Customer_Loyalty_Program_Member]]=TRUE,"Yes","No")</f>
        <v>Yes</v>
      </c>
      <c r="BG643" t="str">
        <f>tbl_OriginalData[[#This Row],[Purchase_Intent]]</f>
        <v>Need-based</v>
      </c>
      <c r="BH643" t="str">
        <f>tbl_OriginalData[[#This Row],[Shipping_Preference]]</f>
        <v>No Preference</v>
      </c>
      <c r="BI643">
        <f>tbl_OriginalData[[#This Row],[Time_to_Decision]]</f>
        <v>7</v>
      </c>
      <c r="BJ643" t="s">
        <v>167</v>
      </c>
      <c r="BK643" t="s">
        <v>63</v>
      </c>
      <c r="BL643" t="s">
        <v>2523</v>
      </c>
    </row>
    <row r="644" spans="1:64">
      <c r="A644" t="s">
        <v>1506</v>
      </c>
      <c r="B644">
        <v>31</v>
      </c>
      <c r="C644" t="s">
        <v>188</v>
      </c>
      <c r="D644" t="s">
        <v>34</v>
      </c>
      <c r="E644" t="s">
        <v>35</v>
      </c>
      <c r="F644" t="s">
        <v>52</v>
      </c>
      <c r="G644" t="s">
        <v>51</v>
      </c>
      <c r="H644" t="s">
        <v>1507</v>
      </c>
      <c r="I644" t="s">
        <v>199</v>
      </c>
      <c r="J644">
        <v>447.53</v>
      </c>
      <c r="K644">
        <v>4</v>
      </c>
      <c r="L644" t="s">
        <v>94</v>
      </c>
      <c r="M644">
        <v>2</v>
      </c>
      <c r="N644">
        <v>1</v>
      </c>
      <c r="O644">
        <v>2</v>
      </c>
      <c r="P644" t="s">
        <v>51</v>
      </c>
      <c r="Q644" t="s">
        <v>41</v>
      </c>
      <c r="R644">
        <v>1</v>
      </c>
      <c r="S644">
        <v>6</v>
      </c>
      <c r="T644" t="s">
        <v>40</v>
      </c>
      <c r="U644" t="s">
        <v>70</v>
      </c>
      <c r="V644" t="s">
        <v>58</v>
      </c>
      <c r="W644" s="1">
        <v>45578</v>
      </c>
      <c r="X644" t="b">
        <v>1</v>
      </c>
      <c r="Y644" t="b">
        <v>1</v>
      </c>
      <c r="Z644" t="s">
        <v>59</v>
      </c>
      <c r="AA644" t="s">
        <v>45</v>
      </c>
      <c r="AB644">
        <v>3</v>
      </c>
      <c r="AF644" t="str">
        <f>tbl_OriginalData[[#This Row],[Customer_ID]]</f>
        <v>07-323-0255</v>
      </c>
      <c r="AG644">
        <f>tbl_OriginalData[[#This Row],[Age]]</f>
        <v>31</v>
      </c>
      <c r="AH644" t="str" cm="1">
        <f t="array" ref="AH64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44" t="str">
        <f>tbl_OriginalData[[#This Row],[Gender]]</f>
        <v>Genderfluid</v>
      </c>
      <c r="AJ644" t="str">
        <f>tbl_OriginalData[[#This Row],[Income_Level]]</f>
        <v>Middle</v>
      </c>
      <c r="AK644" t="str">
        <f>tbl_OriginalData[[#This Row],[Marital_Status]]</f>
        <v>Married</v>
      </c>
      <c r="AL644" t="str">
        <f>tbl_OriginalData[[#This Row],[Education_Level]]</f>
        <v>High School</v>
      </c>
      <c r="AM644" t="str">
        <f>tbl_OriginalData[[#This Row],[Occupation]]</f>
        <v>High</v>
      </c>
      <c r="AN644" t="s">
        <v>1507</v>
      </c>
      <c r="AO644" t="s">
        <v>85</v>
      </c>
      <c r="AP644" t="str">
        <f>tbl_OriginalData[[#This Row],[Purchase_Category]]</f>
        <v>Groceries</v>
      </c>
      <c r="AQ644" s="4">
        <f>tbl_OriginalData[[#This Row],[Purchase_Amount]]</f>
        <v>447.53</v>
      </c>
      <c r="AR644">
        <f>tbl_OriginalData[[#This Row],[Frequency_of_Purchase]]</f>
        <v>4</v>
      </c>
      <c r="AS644" t="str">
        <f>tbl_OriginalData[[#This Row],[Purchase_Channel]]</f>
        <v>Online</v>
      </c>
      <c r="AT644">
        <f>tbl_OriginalData[[#This Row],[Brand_Loyalty]]</f>
        <v>2</v>
      </c>
      <c r="AU644">
        <f>tbl_OriginalData[[#This Row],[Product_Rating]]</f>
        <v>1</v>
      </c>
      <c r="AV644">
        <f>tbl_OriginalData[[#This Row],[Time_Spent_on_Product_Research(hours)]]*60</f>
        <v>120</v>
      </c>
      <c r="AW644" t="str">
        <f>tbl_OriginalData[[#This Row],[Social_Media_Influence]]</f>
        <v>High</v>
      </c>
      <c r="AX644" t="str">
        <f>tbl_OriginalData[[#This Row],[Discount_Sensitivity]]</f>
        <v>Somewhat Sensitive</v>
      </c>
      <c r="AY644" s="3">
        <f>tbl_OriginalData[[#This Row],[Return_Rate]]/tbl_OriginalData[[#This Row],[Frequency_of_Purchase]]</f>
        <v>0.25</v>
      </c>
      <c r="AZ644">
        <f>tbl_OriginalData[[#This Row],[Customer_Satisfaction]]</f>
        <v>6</v>
      </c>
      <c r="BA644" t="str">
        <f>tbl_OriginalData[[#This Row],[Engagement_with_Ads]]</f>
        <v>None</v>
      </c>
      <c r="BB644" t="str">
        <f>tbl_OriginalData[[#This Row],[Device_Used_for_Shopping]]</f>
        <v>Smartphone</v>
      </c>
      <c r="BC644" t="str">
        <f>tbl_OriginalData[[#This Row],[Payment_Method]]</f>
        <v>PayPal</v>
      </c>
      <c r="BD644" s="1">
        <f>tbl_OriginalData[[#This Row],[Time_of_Purchase]]</f>
        <v>45578</v>
      </c>
      <c r="BE644" t="str">
        <f>IF(tbl_OriginalData[[#This Row],[Discount_Used]]=TRUE,"Yes","No")</f>
        <v>Yes</v>
      </c>
      <c r="BF644" t="str">
        <f>IF(tbl_OriginalData[[#This Row],[Customer_Loyalty_Program_Member]]=TRUE,"Yes","No")</f>
        <v>Yes</v>
      </c>
      <c r="BG644" t="str">
        <f>tbl_OriginalData[[#This Row],[Purchase_Intent]]</f>
        <v>Wants-based</v>
      </c>
      <c r="BH644" t="str">
        <f>tbl_OriginalData[[#This Row],[Shipping_Preference]]</f>
        <v>No Preference</v>
      </c>
      <c r="BI644">
        <f>tbl_OriginalData[[#This Row],[Time_to_Decision]]</f>
        <v>3</v>
      </c>
      <c r="BJ644" t="s">
        <v>79</v>
      </c>
      <c r="BK644" t="s">
        <v>80</v>
      </c>
      <c r="BL644" t="s">
        <v>2524</v>
      </c>
    </row>
    <row r="645" spans="1:64">
      <c r="A645" t="s">
        <v>1508</v>
      </c>
      <c r="B645">
        <v>45</v>
      </c>
      <c r="C645" t="s">
        <v>33</v>
      </c>
      <c r="D645" t="s">
        <v>51</v>
      </c>
      <c r="E645" t="s">
        <v>92</v>
      </c>
      <c r="F645" t="s">
        <v>36</v>
      </c>
      <c r="G645" t="s">
        <v>34</v>
      </c>
      <c r="H645" t="s">
        <v>1509</v>
      </c>
      <c r="I645" t="s">
        <v>68</v>
      </c>
      <c r="J645">
        <v>138.44</v>
      </c>
      <c r="K645">
        <v>4</v>
      </c>
      <c r="L645" t="s">
        <v>39</v>
      </c>
      <c r="M645">
        <v>5</v>
      </c>
      <c r="N645">
        <v>1</v>
      </c>
      <c r="O645">
        <v>1</v>
      </c>
      <c r="P645" t="s">
        <v>40</v>
      </c>
      <c r="Q645" t="s">
        <v>101</v>
      </c>
      <c r="R645">
        <v>1</v>
      </c>
      <c r="S645">
        <v>2</v>
      </c>
      <c r="T645" t="s">
        <v>40</v>
      </c>
      <c r="U645" t="s">
        <v>70</v>
      </c>
      <c r="V645" t="s">
        <v>102</v>
      </c>
      <c r="W645" s="1">
        <v>45344</v>
      </c>
      <c r="X645" t="b">
        <v>0</v>
      </c>
      <c r="Y645" t="b">
        <v>1</v>
      </c>
      <c r="Z645" t="s">
        <v>59</v>
      </c>
      <c r="AA645" t="s">
        <v>77</v>
      </c>
      <c r="AB645">
        <v>1</v>
      </c>
      <c r="AF645" t="str">
        <f>tbl_OriginalData[[#This Row],[Customer_ID]]</f>
        <v>81-054-5343</v>
      </c>
      <c r="AG645">
        <f>tbl_OriginalData[[#This Row],[Age]]</f>
        <v>45</v>
      </c>
      <c r="AH645" t="str" cm="1">
        <f t="array" ref="AH64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45" t="str">
        <f>tbl_OriginalData[[#This Row],[Gender]]</f>
        <v>Female</v>
      </c>
      <c r="AJ645" t="str">
        <f>tbl_OriginalData[[#This Row],[Income_Level]]</f>
        <v>High</v>
      </c>
      <c r="AK645" t="str">
        <f>tbl_OriginalData[[#This Row],[Marital_Status]]</f>
        <v>Divorced</v>
      </c>
      <c r="AL645" t="str">
        <f>tbl_OriginalData[[#This Row],[Education_Level]]</f>
        <v>Bachelor's</v>
      </c>
      <c r="AM645" t="str">
        <f>tbl_OriginalData[[#This Row],[Occupation]]</f>
        <v>Middle</v>
      </c>
      <c r="AN645" t="s">
        <v>1509</v>
      </c>
      <c r="AO645" t="s">
        <v>61</v>
      </c>
      <c r="AP645" t="str">
        <f>tbl_OriginalData[[#This Row],[Purchase_Category]]</f>
        <v>Office Supplies</v>
      </c>
      <c r="AQ645" s="4">
        <f>tbl_OriginalData[[#This Row],[Purchase_Amount]]</f>
        <v>138.44</v>
      </c>
      <c r="AR645">
        <f>tbl_OriginalData[[#This Row],[Frequency_of_Purchase]]</f>
        <v>4</v>
      </c>
      <c r="AS645" t="str">
        <f>tbl_OriginalData[[#This Row],[Purchase_Channel]]</f>
        <v>Mixed</v>
      </c>
      <c r="AT645">
        <f>tbl_OriginalData[[#This Row],[Brand_Loyalty]]</f>
        <v>5</v>
      </c>
      <c r="AU645">
        <f>tbl_OriginalData[[#This Row],[Product_Rating]]</f>
        <v>1</v>
      </c>
      <c r="AV645">
        <f>tbl_OriginalData[[#This Row],[Time_Spent_on_Product_Research(hours)]]*60</f>
        <v>60</v>
      </c>
      <c r="AW645" t="str">
        <f>tbl_OriginalData[[#This Row],[Social_Media_Influence]]</f>
        <v>None</v>
      </c>
      <c r="AX645" t="str">
        <f>tbl_OriginalData[[#This Row],[Discount_Sensitivity]]</f>
        <v>Very Sensitive</v>
      </c>
      <c r="AY645" s="3">
        <f>tbl_OriginalData[[#This Row],[Return_Rate]]/tbl_OriginalData[[#This Row],[Frequency_of_Purchase]]</f>
        <v>0.25</v>
      </c>
      <c r="AZ645">
        <f>tbl_OriginalData[[#This Row],[Customer_Satisfaction]]</f>
        <v>2</v>
      </c>
      <c r="BA645" t="str">
        <f>tbl_OriginalData[[#This Row],[Engagement_with_Ads]]</f>
        <v>None</v>
      </c>
      <c r="BB645" t="str">
        <f>tbl_OriginalData[[#This Row],[Device_Used_for_Shopping]]</f>
        <v>Smartphone</v>
      </c>
      <c r="BC645" t="str">
        <f>tbl_OriginalData[[#This Row],[Payment_Method]]</f>
        <v>Cash</v>
      </c>
      <c r="BD645" s="1">
        <f>tbl_OriginalData[[#This Row],[Time_of_Purchase]]</f>
        <v>45344</v>
      </c>
      <c r="BE645" t="str">
        <f>IF(tbl_OriginalData[[#This Row],[Discount_Used]]=TRUE,"Yes","No")</f>
        <v>No</v>
      </c>
      <c r="BF645" t="str">
        <f>IF(tbl_OriginalData[[#This Row],[Customer_Loyalty_Program_Member]]=TRUE,"Yes","No")</f>
        <v>Yes</v>
      </c>
      <c r="BG645" t="str">
        <f>tbl_OriginalData[[#This Row],[Purchase_Intent]]</f>
        <v>Wants-based</v>
      </c>
      <c r="BH645" t="str">
        <f>tbl_OriginalData[[#This Row],[Shipping_Preference]]</f>
        <v>Express</v>
      </c>
      <c r="BI645">
        <f>tbl_OriginalData[[#This Row],[Time_to_Decision]]</f>
        <v>1</v>
      </c>
      <c r="BJ645" t="s">
        <v>158</v>
      </c>
      <c r="BK645" t="s">
        <v>48</v>
      </c>
      <c r="BL645" t="s">
        <v>2524</v>
      </c>
    </row>
    <row r="646" spans="1:64">
      <c r="A646" t="s">
        <v>1510</v>
      </c>
      <c r="B646">
        <v>45</v>
      </c>
      <c r="C646" t="s">
        <v>340</v>
      </c>
      <c r="D646" t="s">
        <v>34</v>
      </c>
      <c r="E646" t="s">
        <v>65</v>
      </c>
      <c r="F646" t="s">
        <v>52</v>
      </c>
      <c r="G646" t="s">
        <v>34</v>
      </c>
      <c r="H646" t="s">
        <v>1511</v>
      </c>
      <c r="I646" t="s">
        <v>75</v>
      </c>
      <c r="J646">
        <v>440.62</v>
      </c>
      <c r="K646">
        <v>8</v>
      </c>
      <c r="L646" t="s">
        <v>39</v>
      </c>
      <c r="M646">
        <v>2</v>
      </c>
      <c r="N646">
        <v>2</v>
      </c>
      <c r="O646">
        <v>2</v>
      </c>
      <c r="P646" t="s">
        <v>40</v>
      </c>
      <c r="Q646" t="s">
        <v>101</v>
      </c>
      <c r="R646">
        <v>1</v>
      </c>
      <c r="S646">
        <v>3</v>
      </c>
      <c r="T646" t="s">
        <v>56</v>
      </c>
      <c r="U646" t="s">
        <v>42</v>
      </c>
      <c r="V646" t="s">
        <v>71</v>
      </c>
      <c r="W646" s="1">
        <v>45323</v>
      </c>
      <c r="X646" t="b">
        <v>1</v>
      </c>
      <c r="Y646" t="b">
        <v>1</v>
      </c>
      <c r="Z646" t="s">
        <v>44</v>
      </c>
      <c r="AA646" t="s">
        <v>77</v>
      </c>
      <c r="AB646">
        <v>6</v>
      </c>
      <c r="AF646" t="str">
        <f>tbl_OriginalData[[#This Row],[Customer_ID]]</f>
        <v>14-854-9545</v>
      </c>
      <c r="AG646">
        <f>tbl_OriginalData[[#This Row],[Age]]</f>
        <v>45</v>
      </c>
      <c r="AH646" t="str" cm="1">
        <f t="array" ref="AH64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46" t="str">
        <f>tbl_OriginalData[[#This Row],[Gender]]</f>
        <v>Agender</v>
      </c>
      <c r="AJ646" t="str">
        <f>tbl_OriginalData[[#This Row],[Income_Level]]</f>
        <v>Middle</v>
      </c>
      <c r="AK646" t="str">
        <f>tbl_OriginalData[[#This Row],[Marital_Status]]</f>
        <v>Single</v>
      </c>
      <c r="AL646" t="str">
        <f>tbl_OriginalData[[#This Row],[Education_Level]]</f>
        <v>High School</v>
      </c>
      <c r="AM646" t="str">
        <f>tbl_OriginalData[[#This Row],[Occupation]]</f>
        <v>Middle</v>
      </c>
      <c r="AN646" t="s">
        <v>1511</v>
      </c>
      <c r="AO646" t="s">
        <v>109</v>
      </c>
      <c r="AP646" t="str">
        <f>tbl_OriginalData[[#This Row],[Purchase_Category]]</f>
        <v>Home Appliances</v>
      </c>
      <c r="AQ646" s="4">
        <f>tbl_OriginalData[[#This Row],[Purchase_Amount]]</f>
        <v>440.62</v>
      </c>
      <c r="AR646">
        <f>tbl_OriginalData[[#This Row],[Frequency_of_Purchase]]</f>
        <v>8</v>
      </c>
      <c r="AS646" t="str">
        <f>tbl_OriginalData[[#This Row],[Purchase_Channel]]</f>
        <v>Mixed</v>
      </c>
      <c r="AT646">
        <f>tbl_OriginalData[[#This Row],[Brand_Loyalty]]</f>
        <v>2</v>
      </c>
      <c r="AU646">
        <f>tbl_OriginalData[[#This Row],[Product_Rating]]</f>
        <v>2</v>
      </c>
      <c r="AV646">
        <f>tbl_OriginalData[[#This Row],[Time_Spent_on_Product_Research(hours)]]*60</f>
        <v>120</v>
      </c>
      <c r="AW646" t="str">
        <f>tbl_OriginalData[[#This Row],[Social_Media_Influence]]</f>
        <v>None</v>
      </c>
      <c r="AX646" t="str">
        <f>tbl_OriginalData[[#This Row],[Discount_Sensitivity]]</f>
        <v>Very Sensitive</v>
      </c>
      <c r="AY646" s="3">
        <f>tbl_OriginalData[[#This Row],[Return_Rate]]/tbl_OriginalData[[#This Row],[Frequency_of_Purchase]]</f>
        <v>0.125</v>
      </c>
      <c r="AZ646">
        <f>tbl_OriginalData[[#This Row],[Customer_Satisfaction]]</f>
        <v>3</v>
      </c>
      <c r="BA646" t="str">
        <f>tbl_OriginalData[[#This Row],[Engagement_with_Ads]]</f>
        <v>Medium</v>
      </c>
      <c r="BB646" t="str">
        <f>tbl_OriginalData[[#This Row],[Device_Used_for_Shopping]]</f>
        <v>Tablet</v>
      </c>
      <c r="BC646" t="str">
        <f>tbl_OriginalData[[#This Row],[Payment_Method]]</f>
        <v>Debit Card</v>
      </c>
      <c r="BD646" s="1">
        <f>tbl_OriginalData[[#This Row],[Time_of_Purchase]]</f>
        <v>45323</v>
      </c>
      <c r="BE646" t="str">
        <f>IF(tbl_OriginalData[[#This Row],[Discount_Used]]=TRUE,"Yes","No")</f>
        <v>Yes</v>
      </c>
      <c r="BF646" t="str">
        <f>IF(tbl_OriginalData[[#This Row],[Customer_Loyalty_Program_Member]]=TRUE,"Yes","No")</f>
        <v>Yes</v>
      </c>
      <c r="BG646" t="str">
        <f>tbl_OriginalData[[#This Row],[Purchase_Intent]]</f>
        <v>Need-based</v>
      </c>
      <c r="BH646" t="str">
        <f>tbl_OriginalData[[#This Row],[Shipping_Preference]]</f>
        <v>Express</v>
      </c>
      <c r="BI646">
        <f>tbl_OriginalData[[#This Row],[Time_to_Decision]]</f>
        <v>6</v>
      </c>
      <c r="BJ646" t="s">
        <v>158</v>
      </c>
      <c r="BK646" t="s">
        <v>48</v>
      </c>
      <c r="BL646" t="s">
        <v>2526</v>
      </c>
    </row>
    <row r="647" spans="1:64">
      <c r="A647" t="s">
        <v>1512</v>
      </c>
      <c r="B647">
        <v>23</v>
      </c>
      <c r="C647" t="s">
        <v>33</v>
      </c>
      <c r="D647" t="s">
        <v>51</v>
      </c>
      <c r="E647" t="s">
        <v>92</v>
      </c>
      <c r="F647" t="s">
        <v>66</v>
      </c>
      <c r="G647" t="s">
        <v>51</v>
      </c>
      <c r="H647" t="s">
        <v>1513</v>
      </c>
      <c r="I647" t="s">
        <v>108</v>
      </c>
      <c r="J647">
        <v>145.97999999999999</v>
      </c>
      <c r="K647">
        <v>4</v>
      </c>
      <c r="L647" t="s">
        <v>55</v>
      </c>
      <c r="M647">
        <v>1</v>
      </c>
      <c r="N647">
        <v>2</v>
      </c>
      <c r="O647">
        <v>1</v>
      </c>
      <c r="P647" t="s">
        <v>69</v>
      </c>
      <c r="Q647" t="s">
        <v>101</v>
      </c>
      <c r="R647">
        <v>2</v>
      </c>
      <c r="S647">
        <v>5</v>
      </c>
      <c r="T647" t="s">
        <v>51</v>
      </c>
      <c r="U647" t="s">
        <v>95</v>
      </c>
      <c r="V647" t="s">
        <v>76</v>
      </c>
      <c r="W647" s="1">
        <v>45551</v>
      </c>
      <c r="X647" t="b">
        <v>0</v>
      </c>
      <c r="Y647" t="b">
        <v>0</v>
      </c>
      <c r="Z647" t="s">
        <v>44</v>
      </c>
      <c r="AA647" t="s">
        <v>45</v>
      </c>
      <c r="AB647">
        <v>1</v>
      </c>
      <c r="AF647" t="str">
        <f>tbl_OriginalData[[#This Row],[Customer_ID]]</f>
        <v>52-150-4629</v>
      </c>
      <c r="AG647">
        <f>tbl_OriginalData[[#This Row],[Age]]</f>
        <v>23</v>
      </c>
      <c r="AH647" t="str" cm="1">
        <f t="array" ref="AH64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47" t="str">
        <f>tbl_OriginalData[[#This Row],[Gender]]</f>
        <v>Female</v>
      </c>
      <c r="AJ647" t="str">
        <f>tbl_OriginalData[[#This Row],[Income_Level]]</f>
        <v>High</v>
      </c>
      <c r="AK647" t="str">
        <f>tbl_OriginalData[[#This Row],[Marital_Status]]</f>
        <v>Divorced</v>
      </c>
      <c r="AL647" t="str">
        <f>tbl_OriginalData[[#This Row],[Education_Level]]</f>
        <v>Master's</v>
      </c>
      <c r="AM647" t="str">
        <f>tbl_OriginalData[[#This Row],[Occupation]]</f>
        <v>High</v>
      </c>
      <c r="AN647" t="s">
        <v>1513</v>
      </c>
      <c r="AO647" t="s">
        <v>61</v>
      </c>
      <c r="AP647" t="str">
        <f>tbl_OriginalData[[#This Row],[Purchase_Category]]</f>
        <v>Sports &amp; Outdoors</v>
      </c>
      <c r="AQ647" s="4">
        <f>tbl_OriginalData[[#This Row],[Purchase_Amount]]</f>
        <v>145.97999999999999</v>
      </c>
      <c r="AR647">
        <f>tbl_OriginalData[[#This Row],[Frequency_of_Purchase]]</f>
        <v>4</v>
      </c>
      <c r="AS647" t="str">
        <f>tbl_OriginalData[[#This Row],[Purchase_Channel]]</f>
        <v>In-Store</v>
      </c>
      <c r="AT647">
        <f>tbl_OriginalData[[#This Row],[Brand_Loyalty]]</f>
        <v>1</v>
      </c>
      <c r="AU647">
        <f>tbl_OriginalData[[#This Row],[Product_Rating]]</f>
        <v>2</v>
      </c>
      <c r="AV647">
        <f>tbl_OriginalData[[#This Row],[Time_Spent_on_Product_Research(hours)]]*60</f>
        <v>60</v>
      </c>
      <c r="AW647" t="str">
        <f>tbl_OriginalData[[#This Row],[Social_Media_Influence]]</f>
        <v>Low</v>
      </c>
      <c r="AX647" t="str">
        <f>tbl_OriginalData[[#This Row],[Discount_Sensitivity]]</f>
        <v>Very Sensitive</v>
      </c>
      <c r="AY647" s="3">
        <f>tbl_OriginalData[[#This Row],[Return_Rate]]/tbl_OriginalData[[#This Row],[Frequency_of_Purchase]]</f>
        <v>0.5</v>
      </c>
      <c r="AZ647">
        <f>tbl_OriginalData[[#This Row],[Customer_Satisfaction]]</f>
        <v>5</v>
      </c>
      <c r="BA647" t="str">
        <f>tbl_OriginalData[[#This Row],[Engagement_with_Ads]]</f>
        <v>High</v>
      </c>
      <c r="BB647" t="str">
        <f>tbl_OriginalData[[#This Row],[Device_Used_for_Shopping]]</f>
        <v>Desktop</v>
      </c>
      <c r="BC647" t="str">
        <f>tbl_OriginalData[[#This Row],[Payment_Method]]</f>
        <v>Other</v>
      </c>
      <c r="BD647" s="1">
        <f>tbl_OriginalData[[#This Row],[Time_of_Purchase]]</f>
        <v>45551</v>
      </c>
      <c r="BE647" t="str">
        <f>IF(tbl_OriginalData[[#This Row],[Discount_Used]]=TRUE,"Yes","No")</f>
        <v>No</v>
      </c>
      <c r="BF647" t="str">
        <f>IF(tbl_OriginalData[[#This Row],[Customer_Loyalty_Program_Member]]=TRUE,"Yes","No")</f>
        <v>No</v>
      </c>
      <c r="BG647" t="str">
        <f>tbl_OriginalData[[#This Row],[Purchase_Intent]]</f>
        <v>Need-based</v>
      </c>
      <c r="BH647" t="str">
        <f>tbl_OriginalData[[#This Row],[Shipping_Preference]]</f>
        <v>No Preference</v>
      </c>
      <c r="BI647">
        <f>tbl_OriginalData[[#This Row],[Time_to_Decision]]</f>
        <v>1</v>
      </c>
      <c r="BJ647" t="s">
        <v>172</v>
      </c>
      <c r="BK647" t="s">
        <v>115</v>
      </c>
      <c r="BL647" t="s">
        <v>2524</v>
      </c>
    </row>
    <row r="648" spans="1:64">
      <c r="A648" t="s">
        <v>1514</v>
      </c>
      <c r="B648">
        <v>28</v>
      </c>
      <c r="C648" t="s">
        <v>50</v>
      </c>
      <c r="D648" t="s">
        <v>34</v>
      </c>
      <c r="E648" t="s">
        <v>35</v>
      </c>
      <c r="F648" t="s">
        <v>52</v>
      </c>
      <c r="G648" t="s">
        <v>51</v>
      </c>
      <c r="H648" t="s">
        <v>1515</v>
      </c>
      <c r="I648" t="s">
        <v>150</v>
      </c>
      <c r="J648">
        <v>405.66</v>
      </c>
      <c r="K648">
        <v>11</v>
      </c>
      <c r="L648" t="s">
        <v>94</v>
      </c>
      <c r="M648">
        <v>5</v>
      </c>
      <c r="N648">
        <v>2</v>
      </c>
      <c r="O648">
        <v>1</v>
      </c>
      <c r="P648" t="s">
        <v>56</v>
      </c>
      <c r="Q648" t="s">
        <v>41</v>
      </c>
      <c r="R648">
        <v>1</v>
      </c>
      <c r="S648">
        <v>3</v>
      </c>
      <c r="T648" t="s">
        <v>51</v>
      </c>
      <c r="U648" t="s">
        <v>42</v>
      </c>
      <c r="V648" t="s">
        <v>102</v>
      </c>
      <c r="W648" s="1">
        <v>45409</v>
      </c>
      <c r="X648" t="b">
        <v>1</v>
      </c>
      <c r="Y648" t="b">
        <v>0</v>
      </c>
      <c r="Z648" t="s">
        <v>72</v>
      </c>
      <c r="AA648" t="s">
        <v>77</v>
      </c>
      <c r="AB648">
        <v>11</v>
      </c>
      <c r="AF648" t="str">
        <f>tbl_OriginalData[[#This Row],[Customer_ID]]</f>
        <v>48-918-4473</v>
      </c>
      <c r="AG648">
        <f>tbl_OriginalData[[#This Row],[Age]]</f>
        <v>28</v>
      </c>
      <c r="AH648" t="str" cm="1">
        <f t="array" ref="AH64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48" t="str">
        <f>tbl_OriginalData[[#This Row],[Gender]]</f>
        <v>Male</v>
      </c>
      <c r="AJ648" t="str">
        <f>tbl_OriginalData[[#This Row],[Income_Level]]</f>
        <v>Middle</v>
      </c>
      <c r="AK648" t="str">
        <f>tbl_OriginalData[[#This Row],[Marital_Status]]</f>
        <v>Married</v>
      </c>
      <c r="AL648" t="str">
        <f>tbl_OriginalData[[#This Row],[Education_Level]]</f>
        <v>High School</v>
      </c>
      <c r="AM648" t="str">
        <f>tbl_OriginalData[[#This Row],[Occupation]]</f>
        <v>High</v>
      </c>
      <c r="AN648" t="s">
        <v>1515</v>
      </c>
      <c r="AO648" t="s">
        <v>61</v>
      </c>
      <c r="AP648" t="str">
        <f>tbl_OriginalData[[#This Row],[Purchase_Category]]</f>
        <v>Software &amp; Apps</v>
      </c>
      <c r="AQ648" s="4">
        <f>tbl_OriginalData[[#This Row],[Purchase_Amount]]</f>
        <v>405.66</v>
      </c>
      <c r="AR648">
        <f>tbl_OriginalData[[#This Row],[Frequency_of_Purchase]]</f>
        <v>11</v>
      </c>
      <c r="AS648" t="str">
        <f>tbl_OriginalData[[#This Row],[Purchase_Channel]]</f>
        <v>Online</v>
      </c>
      <c r="AT648">
        <f>tbl_OriginalData[[#This Row],[Brand_Loyalty]]</f>
        <v>5</v>
      </c>
      <c r="AU648">
        <f>tbl_OriginalData[[#This Row],[Product_Rating]]</f>
        <v>2</v>
      </c>
      <c r="AV648">
        <f>tbl_OriginalData[[#This Row],[Time_Spent_on_Product_Research(hours)]]*60</f>
        <v>60</v>
      </c>
      <c r="AW648" t="str">
        <f>tbl_OriginalData[[#This Row],[Social_Media_Influence]]</f>
        <v>Medium</v>
      </c>
      <c r="AX648" t="str">
        <f>tbl_OriginalData[[#This Row],[Discount_Sensitivity]]</f>
        <v>Somewhat Sensitive</v>
      </c>
      <c r="AY648" s="3">
        <f>tbl_OriginalData[[#This Row],[Return_Rate]]/tbl_OriginalData[[#This Row],[Frequency_of_Purchase]]</f>
        <v>9.0909090909090912E-2</v>
      </c>
      <c r="AZ648">
        <f>tbl_OriginalData[[#This Row],[Customer_Satisfaction]]</f>
        <v>3</v>
      </c>
      <c r="BA648" t="str">
        <f>tbl_OriginalData[[#This Row],[Engagement_with_Ads]]</f>
        <v>High</v>
      </c>
      <c r="BB648" t="str">
        <f>tbl_OriginalData[[#This Row],[Device_Used_for_Shopping]]</f>
        <v>Tablet</v>
      </c>
      <c r="BC648" t="str">
        <f>tbl_OriginalData[[#This Row],[Payment_Method]]</f>
        <v>Cash</v>
      </c>
      <c r="BD648" s="1">
        <f>tbl_OriginalData[[#This Row],[Time_of_Purchase]]</f>
        <v>45409</v>
      </c>
      <c r="BE648" t="str">
        <f>IF(tbl_OriginalData[[#This Row],[Discount_Used]]=TRUE,"Yes","No")</f>
        <v>Yes</v>
      </c>
      <c r="BF648" t="str">
        <f>IF(tbl_OriginalData[[#This Row],[Customer_Loyalty_Program_Member]]=TRUE,"Yes","No")</f>
        <v>No</v>
      </c>
      <c r="BG648" t="str">
        <f>tbl_OriginalData[[#This Row],[Purchase_Intent]]</f>
        <v>Impulsive</v>
      </c>
      <c r="BH648" t="str">
        <f>tbl_OriginalData[[#This Row],[Shipping_Preference]]</f>
        <v>Express</v>
      </c>
      <c r="BI648">
        <f>tbl_OriginalData[[#This Row],[Time_to_Decision]]</f>
        <v>11</v>
      </c>
      <c r="BJ648" t="s">
        <v>62</v>
      </c>
      <c r="BK648" t="s">
        <v>63</v>
      </c>
      <c r="BL648" t="s">
        <v>2524</v>
      </c>
    </row>
    <row r="649" spans="1:64">
      <c r="A649" t="s">
        <v>1516</v>
      </c>
      <c r="B649">
        <v>26</v>
      </c>
      <c r="C649" t="s">
        <v>33</v>
      </c>
      <c r="D649" t="s">
        <v>51</v>
      </c>
      <c r="E649" t="s">
        <v>65</v>
      </c>
      <c r="F649" t="s">
        <v>52</v>
      </c>
      <c r="G649" t="s">
        <v>34</v>
      </c>
      <c r="H649" t="s">
        <v>1517</v>
      </c>
      <c r="I649" t="s">
        <v>229</v>
      </c>
      <c r="J649">
        <v>419.98</v>
      </c>
      <c r="K649">
        <v>7</v>
      </c>
      <c r="L649" t="s">
        <v>55</v>
      </c>
      <c r="M649">
        <v>4</v>
      </c>
      <c r="N649">
        <v>4</v>
      </c>
      <c r="O649">
        <v>0</v>
      </c>
      <c r="P649" t="s">
        <v>40</v>
      </c>
      <c r="Q649" t="s">
        <v>101</v>
      </c>
      <c r="R649">
        <v>0</v>
      </c>
      <c r="S649">
        <v>10</v>
      </c>
      <c r="T649" t="s">
        <v>56</v>
      </c>
      <c r="U649" t="s">
        <v>95</v>
      </c>
      <c r="V649" t="s">
        <v>58</v>
      </c>
      <c r="W649" s="1">
        <v>45410</v>
      </c>
      <c r="X649" t="b">
        <v>1</v>
      </c>
      <c r="Y649" t="b">
        <v>1</v>
      </c>
      <c r="Z649" t="s">
        <v>72</v>
      </c>
      <c r="AA649" t="s">
        <v>45</v>
      </c>
      <c r="AB649">
        <v>14</v>
      </c>
      <c r="AF649" t="str">
        <f>tbl_OriginalData[[#This Row],[Customer_ID]]</f>
        <v>06-764-5496</v>
      </c>
      <c r="AG649">
        <f>tbl_OriginalData[[#This Row],[Age]]</f>
        <v>26</v>
      </c>
      <c r="AH649" t="str" cm="1">
        <f t="array" ref="AH64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49" t="str">
        <f>tbl_OriginalData[[#This Row],[Gender]]</f>
        <v>Female</v>
      </c>
      <c r="AJ649" t="str">
        <f>tbl_OriginalData[[#This Row],[Income_Level]]</f>
        <v>High</v>
      </c>
      <c r="AK649" t="str">
        <f>tbl_OriginalData[[#This Row],[Marital_Status]]</f>
        <v>Single</v>
      </c>
      <c r="AL649" t="str">
        <f>tbl_OriginalData[[#This Row],[Education_Level]]</f>
        <v>High School</v>
      </c>
      <c r="AM649" t="str">
        <f>tbl_OriginalData[[#This Row],[Occupation]]</f>
        <v>Middle</v>
      </c>
      <c r="AN649" t="s">
        <v>1517</v>
      </c>
      <c r="AO649" t="s">
        <v>466</v>
      </c>
      <c r="AP649" t="str">
        <f>tbl_OriginalData[[#This Row],[Purchase_Category]]</f>
        <v>Clothing</v>
      </c>
      <c r="AQ649" s="4">
        <f>tbl_OriginalData[[#This Row],[Purchase_Amount]]</f>
        <v>419.98</v>
      </c>
      <c r="AR649">
        <f>tbl_OriginalData[[#This Row],[Frequency_of_Purchase]]</f>
        <v>7</v>
      </c>
      <c r="AS649" t="str">
        <f>tbl_OriginalData[[#This Row],[Purchase_Channel]]</f>
        <v>In-Store</v>
      </c>
      <c r="AT649">
        <f>tbl_OriginalData[[#This Row],[Brand_Loyalty]]</f>
        <v>4</v>
      </c>
      <c r="AU649">
        <f>tbl_OriginalData[[#This Row],[Product_Rating]]</f>
        <v>4</v>
      </c>
      <c r="AV649">
        <f>tbl_OriginalData[[#This Row],[Time_Spent_on_Product_Research(hours)]]*60</f>
        <v>0</v>
      </c>
      <c r="AW649" t="str">
        <f>tbl_OriginalData[[#This Row],[Social_Media_Influence]]</f>
        <v>None</v>
      </c>
      <c r="AX649" t="str">
        <f>tbl_OriginalData[[#This Row],[Discount_Sensitivity]]</f>
        <v>Very Sensitive</v>
      </c>
      <c r="AY649" s="3">
        <f>tbl_OriginalData[[#This Row],[Return_Rate]]/tbl_OriginalData[[#This Row],[Frequency_of_Purchase]]</f>
        <v>0</v>
      </c>
      <c r="AZ649">
        <f>tbl_OriginalData[[#This Row],[Customer_Satisfaction]]</f>
        <v>10</v>
      </c>
      <c r="BA649" t="str">
        <f>tbl_OriginalData[[#This Row],[Engagement_with_Ads]]</f>
        <v>Medium</v>
      </c>
      <c r="BB649" t="str">
        <f>tbl_OriginalData[[#This Row],[Device_Used_for_Shopping]]</f>
        <v>Desktop</v>
      </c>
      <c r="BC649" t="str">
        <f>tbl_OriginalData[[#This Row],[Payment_Method]]</f>
        <v>PayPal</v>
      </c>
      <c r="BD649" s="1">
        <f>tbl_OriginalData[[#This Row],[Time_of_Purchase]]</f>
        <v>45410</v>
      </c>
      <c r="BE649" t="str">
        <f>IF(tbl_OriginalData[[#This Row],[Discount_Used]]=TRUE,"Yes","No")</f>
        <v>Yes</v>
      </c>
      <c r="BF649" t="str">
        <f>IF(tbl_OriginalData[[#This Row],[Customer_Loyalty_Program_Member]]=TRUE,"Yes","No")</f>
        <v>Yes</v>
      </c>
      <c r="BG649" t="str">
        <f>tbl_OriginalData[[#This Row],[Purchase_Intent]]</f>
        <v>Impulsive</v>
      </c>
      <c r="BH649" t="str">
        <f>tbl_OriginalData[[#This Row],[Shipping_Preference]]</f>
        <v>No Preference</v>
      </c>
      <c r="BI649">
        <f>tbl_OriginalData[[#This Row],[Time_to_Decision]]</f>
        <v>14</v>
      </c>
      <c r="BJ649" t="s">
        <v>62</v>
      </c>
      <c r="BK649" t="s">
        <v>63</v>
      </c>
      <c r="BL649" t="s">
        <v>2523</v>
      </c>
    </row>
    <row r="650" spans="1:64">
      <c r="A650" t="s">
        <v>1518</v>
      </c>
      <c r="B650">
        <v>50</v>
      </c>
      <c r="C650" t="s">
        <v>33</v>
      </c>
      <c r="D650" t="s">
        <v>34</v>
      </c>
      <c r="E650" t="s">
        <v>92</v>
      </c>
      <c r="F650" t="s">
        <v>66</v>
      </c>
      <c r="G650" t="s">
        <v>51</v>
      </c>
      <c r="H650" t="s">
        <v>1519</v>
      </c>
      <c r="I650" t="s">
        <v>170</v>
      </c>
      <c r="J650">
        <v>260.14</v>
      </c>
      <c r="K650">
        <v>5</v>
      </c>
      <c r="L650" t="s">
        <v>94</v>
      </c>
      <c r="M650">
        <v>3</v>
      </c>
      <c r="N650">
        <v>2</v>
      </c>
      <c r="O650">
        <v>1</v>
      </c>
      <c r="P650" t="s">
        <v>40</v>
      </c>
      <c r="Q650" t="s">
        <v>41</v>
      </c>
      <c r="R650">
        <v>1</v>
      </c>
      <c r="S650">
        <v>7</v>
      </c>
      <c r="T650" t="s">
        <v>69</v>
      </c>
      <c r="U650" t="s">
        <v>70</v>
      </c>
      <c r="V650" t="s">
        <v>76</v>
      </c>
      <c r="W650" s="1">
        <v>45536</v>
      </c>
      <c r="X650" t="b">
        <v>1</v>
      </c>
      <c r="Y650" t="b">
        <v>1</v>
      </c>
      <c r="Z650" t="s">
        <v>44</v>
      </c>
      <c r="AA650" t="s">
        <v>60</v>
      </c>
      <c r="AB650">
        <v>7</v>
      </c>
      <c r="AF650" t="str">
        <f>tbl_OriginalData[[#This Row],[Customer_ID]]</f>
        <v>67-036-4295</v>
      </c>
      <c r="AG650">
        <f>tbl_OriginalData[[#This Row],[Age]]</f>
        <v>50</v>
      </c>
      <c r="AH650" t="str" cm="1">
        <f t="array" ref="AH65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50" t="str">
        <f>tbl_OriginalData[[#This Row],[Gender]]</f>
        <v>Female</v>
      </c>
      <c r="AJ650" t="str">
        <f>tbl_OriginalData[[#This Row],[Income_Level]]</f>
        <v>Middle</v>
      </c>
      <c r="AK650" t="str">
        <f>tbl_OriginalData[[#This Row],[Marital_Status]]</f>
        <v>Divorced</v>
      </c>
      <c r="AL650" t="str">
        <f>tbl_OriginalData[[#This Row],[Education_Level]]</f>
        <v>Master's</v>
      </c>
      <c r="AM650" t="str">
        <f>tbl_OriginalData[[#This Row],[Occupation]]</f>
        <v>High</v>
      </c>
      <c r="AN650" t="s">
        <v>1519</v>
      </c>
      <c r="AO650" t="s">
        <v>46</v>
      </c>
      <c r="AP650" t="str">
        <f>tbl_OriginalData[[#This Row],[Purchase_Category]]</f>
        <v>Arts &amp; Crafts</v>
      </c>
      <c r="AQ650" s="4">
        <f>tbl_OriginalData[[#This Row],[Purchase_Amount]]</f>
        <v>260.14</v>
      </c>
      <c r="AR650">
        <f>tbl_OriginalData[[#This Row],[Frequency_of_Purchase]]</f>
        <v>5</v>
      </c>
      <c r="AS650" t="str">
        <f>tbl_OriginalData[[#This Row],[Purchase_Channel]]</f>
        <v>Online</v>
      </c>
      <c r="AT650">
        <f>tbl_OriginalData[[#This Row],[Brand_Loyalty]]</f>
        <v>3</v>
      </c>
      <c r="AU650">
        <f>tbl_OriginalData[[#This Row],[Product_Rating]]</f>
        <v>2</v>
      </c>
      <c r="AV650">
        <f>tbl_OriginalData[[#This Row],[Time_Spent_on_Product_Research(hours)]]*60</f>
        <v>60</v>
      </c>
      <c r="AW650" t="str">
        <f>tbl_OriginalData[[#This Row],[Social_Media_Influence]]</f>
        <v>None</v>
      </c>
      <c r="AX650" t="str">
        <f>tbl_OriginalData[[#This Row],[Discount_Sensitivity]]</f>
        <v>Somewhat Sensitive</v>
      </c>
      <c r="AY650" s="3">
        <f>tbl_OriginalData[[#This Row],[Return_Rate]]/tbl_OriginalData[[#This Row],[Frequency_of_Purchase]]</f>
        <v>0.2</v>
      </c>
      <c r="AZ650">
        <f>tbl_OriginalData[[#This Row],[Customer_Satisfaction]]</f>
        <v>7</v>
      </c>
      <c r="BA650" t="str">
        <f>tbl_OriginalData[[#This Row],[Engagement_with_Ads]]</f>
        <v>Low</v>
      </c>
      <c r="BB650" t="str">
        <f>tbl_OriginalData[[#This Row],[Device_Used_for_Shopping]]</f>
        <v>Smartphone</v>
      </c>
      <c r="BC650" t="str">
        <f>tbl_OriginalData[[#This Row],[Payment_Method]]</f>
        <v>Other</v>
      </c>
      <c r="BD650" s="1">
        <f>tbl_OriginalData[[#This Row],[Time_of_Purchase]]</f>
        <v>45536</v>
      </c>
      <c r="BE650" t="str">
        <f>IF(tbl_OriginalData[[#This Row],[Discount_Used]]=TRUE,"Yes","No")</f>
        <v>Yes</v>
      </c>
      <c r="BF650" t="str">
        <f>IF(tbl_OriginalData[[#This Row],[Customer_Loyalty_Program_Member]]=TRUE,"Yes","No")</f>
        <v>Yes</v>
      </c>
      <c r="BG650" t="str">
        <f>tbl_OriginalData[[#This Row],[Purchase_Intent]]</f>
        <v>Need-based</v>
      </c>
      <c r="BH650" t="str">
        <f>tbl_OriginalData[[#This Row],[Shipping_Preference]]</f>
        <v>Standard</v>
      </c>
      <c r="BI650">
        <f>tbl_OriginalData[[#This Row],[Time_to_Decision]]</f>
        <v>7</v>
      </c>
      <c r="BJ650" t="s">
        <v>172</v>
      </c>
      <c r="BK650" t="s">
        <v>115</v>
      </c>
      <c r="BL650" t="s">
        <v>2523</v>
      </c>
    </row>
    <row r="651" spans="1:64">
      <c r="A651" t="s">
        <v>1520</v>
      </c>
      <c r="B651">
        <v>36</v>
      </c>
      <c r="C651" t="s">
        <v>33</v>
      </c>
      <c r="D651" t="s">
        <v>34</v>
      </c>
      <c r="E651" t="s">
        <v>82</v>
      </c>
      <c r="F651" t="s">
        <v>36</v>
      </c>
      <c r="G651" t="s">
        <v>51</v>
      </c>
      <c r="H651" t="s">
        <v>1521</v>
      </c>
      <c r="I651" t="s">
        <v>170</v>
      </c>
      <c r="J651">
        <v>368.91</v>
      </c>
      <c r="K651">
        <v>10</v>
      </c>
      <c r="L651" t="s">
        <v>55</v>
      </c>
      <c r="M651">
        <v>1</v>
      </c>
      <c r="N651">
        <v>3</v>
      </c>
      <c r="O651">
        <v>2</v>
      </c>
      <c r="P651" t="s">
        <v>51</v>
      </c>
      <c r="Q651" t="s">
        <v>57</v>
      </c>
      <c r="R651">
        <v>2</v>
      </c>
      <c r="S651">
        <v>10</v>
      </c>
      <c r="T651" t="s">
        <v>51</v>
      </c>
      <c r="U651" t="s">
        <v>95</v>
      </c>
      <c r="V651" t="s">
        <v>71</v>
      </c>
      <c r="W651" s="1">
        <v>45372</v>
      </c>
      <c r="X651" t="b">
        <v>0</v>
      </c>
      <c r="Y651" t="b">
        <v>0</v>
      </c>
      <c r="Z651" t="s">
        <v>44</v>
      </c>
      <c r="AA651" t="s">
        <v>45</v>
      </c>
      <c r="AB651">
        <v>7</v>
      </c>
      <c r="AF651" t="str">
        <f>tbl_OriginalData[[#This Row],[Customer_ID]]</f>
        <v>35-880-9374</v>
      </c>
      <c r="AG651">
        <f>tbl_OriginalData[[#This Row],[Age]]</f>
        <v>36</v>
      </c>
      <c r="AH651" t="str" cm="1">
        <f t="array" ref="AH65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51" t="str">
        <f>tbl_OriginalData[[#This Row],[Gender]]</f>
        <v>Female</v>
      </c>
      <c r="AJ651" t="str">
        <f>tbl_OriginalData[[#This Row],[Income_Level]]</f>
        <v>Middle</v>
      </c>
      <c r="AK651" t="str">
        <f>tbl_OriginalData[[#This Row],[Marital_Status]]</f>
        <v>Widowed</v>
      </c>
      <c r="AL651" t="str">
        <f>tbl_OriginalData[[#This Row],[Education_Level]]</f>
        <v>Bachelor's</v>
      </c>
      <c r="AM651" t="str">
        <f>tbl_OriginalData[[#This Row],[Occupation]]</f>
        <v>High</v>
      </c>
      <c r="AN651" t="s">
        <v>1521</v>
      </c>
      <c r="AO651" t="s">
        <v>90</v>
      </c>
      <c r="AP651" t="str">
        <f>tbl_OriginalData[[#This Row],[Purchase_Category]]</f>
        <v>Arts &amp; Crafts</v>
      </c>
      <c r="AQ651" s="4">
        <f>tbl_OriginalData[[#This Row],[Purchase_Amount]]</f>
        <v>368.91</v>
      </c>
      <c r="AR651">
        <f>tbl_OriginalData[[#This Row],[Frequency_of_Purchase]]</f>
        <v>10</v>
      </c>
      <c r="AS651" t="str">
        <f>tbl_OriginalData[[#This Row],[Purchase_Channel]]</f>
        <v>In-Store</v>
      </c>
      <c r="AT651">
        <f>tbl_OriginalData[[#This Row],[Brand_Loyalty]]</f>
        <v>1</v>
      </c>
      <c r="AU651">
        <f>tbl_OriginalData[[#This Row],[Product_Rating]]</f>
        <v>3</v>
      </c>
      <c r="AV651">
        <f>tbl_OriginalData[[#This Row],[Time_Spent_on_Product_Research(hours)]]*60</f>
        <v>120</v>
      </c>
      <c r="AW651" t="str">
        <f>tbl_OriginalData[[#This Row],[Social_Media_Influence]]</f>
        <v>High</v>
      </c>
      <c r="AX651" t="str">
        <f>tbl_OriginalData[[#This Row],[Discount_Sensitivity]]</f>
        <v>Not Sensitive</v>
      </c>
      <c r="AY651" s="3">
        <f>tbl_OriginalData[[#This Row],[Return_Rate]]/tbl_OriginalData[[#This Row],[Frequency_of_Purchase]]</f>
        <v>0.2</v>
      </c>
      <c r="AZ651">
        <f>tbl_OriginalData[[#This Row],[Customer_Satisfaction]]</f>
        <v>10</v>
      </c>
      <c r="BA651" t="str">
        <f>tbl_OriginalData[[#This Row],[Engagement_with_Ads]]</f>
        <v>High</v>
      </c>
      <c r="BB651" t="str">
        <f>tbl_OriginalData[[#This Row],[Device_Used_for_Shopping]]</f>
        <v>Desktop</v>
      </c>
      <c r="BC651" t="str">
        <f>tbl_OriginalData[[#This Row],[Payment_Method]]</f>
        <v>Debit Card</v>
      </c>
      <c r="BD651" s="1">
        <f>tbl_OriginalData[[#This Row],[Time_of_Purchase]]</f>
        <v>45372</v>
      </c>
      <c r="BE651" t="str">
        <f>IF(tbl_OriginalData[[#This Row],[Discount_Used]]=TRUE,"Yes","No")</f>
        <v>No</v>
      </c>
      <c r="BF651" t="str">
        <f>IF(tbl_OriginalData[[#This Row],[Customer_Loyalty_Program_Member]]=TRUE,"Yes","No")</f>
        <v>No</v>
      </c>
      <c r="BG651" t="str">
        <f>tbl_OriginalData[[#This Row],[Purchase_Intent]]</f>
        <v>Need-based</v>
      </c>
      <c r="BH651" t="str">
        <f>tbl_OriginalData[[#This Row],[Shipping_Preference]]</f>
        <v>No Preference</v>
      </c>
      <c r="BI651">
        <f>tbl_OriginalData[[#This Row],[Time_to_Decision]]</f>
        <v>7</v>
      </c>
      <c r="BJ651" t="s">
        <v>47</v>
      </c>
      <c r="BK651" t="s">
        <v>48</v>
      </c>
      <c r="BL651" t="s">
        <v>2524</v>
      </c>
    </row>
    <row r="652" spans="1:64">
      <c r="A652" t="s">
        <v>1522</v>
      </c>
      <c r="B652">
        <v>32</v>
      </c>
      <c r="C652" t="s">
        <v>50</v>
      </c>
      <c r="D652" t="s">
        <v>34</v>
      </c>
      <c r="E652" t="s">
        <v>82</v>
      </c>
      <c r="F652" t="s">
        <v>66</v>
      </c>
      <c r="G652" t="s">
        <v>34</v>
      </c>
      <c r="H652" t="s">
        <v>1523</v>
      </c>
      <c r="I652" t="s">
        <v>75</v>
      </c>
      <c r="J652">
        <v>100.32</v>
      </c>
      <c r="K652">
        <v>2</v>
      </c>
      <c r="L652" t="s">
        <v>55</v>
      </c>
      <c r="M652">
        <v>5</v>
      </c>
      <c r="N652">
        <v>1</v>
      </c>
      <c r="O652">
        <v>1</v>
      </c>
      <c r="P652" t="s">
        <v>69</v>
      </c>
      <c r="Q652" t="s">
        <v>101</v>
      </c>
      <c r="R652">
        <v>0</v>
      </c>
      <c r="S652">
        <v>1</v>
      </c>
      <c r="T652" t="s">
        <v>56</v>
      </c>
      <c r="U652" t="s">
        <v>42</v>
      </c>
      <c r="V652" t="s">
        <v>43</v>
      </c>
      <c r="W652" s="1">
        <v>45637</v>
      </c>
      <c r="X652" t="b">
        <v>0</v>
      </c>
      <c r="Y652" t="b">
        <v>1</v>
      </c>
      <c r="Z652" t="s">
        <v>89</v>
      </c>
      <c r="AA652" t="s">
        <v>77</v>
      </c>
      <c r="AB652">
        <v>8</v>
      </c>
      <c r="AF652" t="str">
        <f>tbl_OriginalData[[#This Row],[Customer_ID]]</f>
        <v>08-614-6177</v>
      </c>
      <c r="AG652">
        <f>tbl_OriginalData[[#This Row],[Age]]</f>
        <v>32</v>
      </c>
      <c r="AH652" t="str" cm="1">
        <f t="array" ref="AH65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52" t="str">
        <f>tbl_OriginalData[[#This Row],[Gender]]</f>
        <v>Male</v>
      </c>
      <c r="AJ652" t="str">
        <f>tbl_OriginalData[[#This Row],[Income_Level]]</f>
        <v>Middle</v>
      </c>
      <c r="AK652" t="str">
        <f>tbl_OriginalData[[#This Row],[Marital_Status]]</f>
        <v>Widowed</v>
      </c>
      <c r="AL652" t="str">
        <f>tbl_OriginalData[[#This Row],[Education_Level]]</f>
        <v>Master's</v>
      </c>
      <c r="AM652" t="str">
        <f>tbl_OriginalData[[#This Row],[Occupation]]</f>
        <v>Middle</v>
      </c>
      <c r="AN652" t="s">
        <v>1523</v>
      </c>
      <c r="AO652" t="s">
        <v>90</v>
      </c>
      <c r="AP652" t="str">
        <f>tbl_OriginalData[[#This Row],[Purchase_Category]]</f>
        <v>Home Appliances</v>
      </c>
      <c r="AQ652" s="4">
        <f>tbl_OriginalData[[#This Row],[Purchase_Amount]]</f>
        <v>100.32</v>
      </c>
      <c r="AR652">
        <f>tbl_OriginalData[[#This Row],[Frequency_of_Purchase]]</f>
        <v>2</v>
      </c>
      <c r="AS652" t="str">
        <f>tbl_OriginalData[[#This Row],[Purchase_Channel]]</f>
        <v>In-Store</v>
      </c>
      <c r="AT652">
        <f>tbl_OriginalData[[#This Row],[Brand_Loyalty]]</f>
        <v>5</v>
      </c>
      <c r="AU652">
        <f>tbl_OriginalData[[#This Row],[Product_Rating]]</f>
        <v>1</v>
      </c>
      <c r="AV652">
        <f>tbl_OriginalData[[#This Row],[Time_Spent_on_Product_Research(hours)]]*60</f>
        <v>60</v>
      </c>
      <c r="AW652" t="str">
        <f>tbl_OriginalData[[#This Row],[Social_Media_Influence]]</f>
        <v>Low</v>
      </c>
      <c r="AX652" t="str">
        <f>tbl_OriginalData[[#This Row],[Discount_Sensitivity]]</f>
        <v>Very Sensitive</v>
      </c>
      <c r="AY652" s="3">
        <f>tbl_OriginalData[[#This Row],[Return_Rate]]/tbl_OriginalData[[#This Row],[Frequency_of_Purchase]]</f>
        <v>0</v>
      </c>
      <c r="AZ652">
        <f>tbl_OriginalData[[#This Row],[Customer_Satisfaction]]</f>
        <v>1</v>
      </c>
      <c r="BA652" t="str">
        <f>tbl_OriginalData[[#This Row],[Engagement_with_Ads]]</f>
        <v>Medium</v>
      </c>
      <c r="BB652" t="str">
        <f>tbl_OriginalData[[#This Row],[Device_Used_for_Shopping]]</f>
        <v>Tablet</v>
      </c>
      <c r="BC652" t="str">
        <f>tbl_OriginalData[[#This Row],[Payment_Method]]</f>
        <v>Credit Card</v>
      </c>
      <c r="BD652" s="1">
        <f>tbl_OriginalData[[#This Row],[Time_of_Purchase]]</f>
        <v>45637</v>
      </c>
      <c r="BE652" t="str">
        <f>IF(tbl_OriginalData[[#This Row],[Discount_Used]]=TRUE,"Yes","No")</f>
        <v>No</v>
      </c>
      <c r="BF652" t="str">
        <f>IF(tbl_OriginalData[[#This Row],[Customer_Loyalty_Program_Member]]=TRUE,"Yes","No")</f>
        <v>Yes</v>
      </c>
      <c r="BG652" t="str">
        <f>tbl_OriginalData[[#This Row],[Purchase_Intent]]</f>
        <v>Planned</v>
      </c>
      <c r="BH652" t="str">
        <f>tbl_OriginalData[[#This Row],[Shipping_Preference]]</f>
        <v>Express</v>
      </c>
      <c r="BI652">
        <f>tbl_OriginalData[[#This Row],[Time_to_Decision]]</f>
        <v>8</v>
      </c>
      <c r="BJ652" t="s">
        <v>120</v>
      </c>
      <c r="BK652" t="s">
        <v>80</v>
      </c>
      <c r="BL652" t="s">
        <v>2524</v>
      </c>
    </row>
    <row r="653" spans="1:64">
      <c r="A653" t="s">
        <v>1524</v>
      </c>
      <c r="B653">
        <v>34</v>
      </c>
      <c r="C653" t="s">
        <v>50</v>
      </c>
      <c r="D653" t="s">
        <v>51</v>
      </c>
      <c r="E653" t="s">
        <v>35</v>
      </c>
      <c r="F653" t="s">
        <v>66</v>
      </c>
      <c r="G653" t="s">
        <v>34</v>
      </c>
      <c r="H653" t="s">
        <v>1525</v>
      </c>
      <c r="I653" t="s">
        <v>54</v>
      </c>
      <c r="J653">
        <v>107.82</v>
      </c>
      <c r="K653">
        <v>7</v>
      </c>
      <c r="L653" t="s">
        <v>39</v>
      </c>
      <c r="M653">
        <v>5</v>
      </c>
      <c r="N653">
        <v>3</v>
      </c>
      <c r="O653">
        <v>2</v>
      </c>
      <c r="P653" t="s">
        <v>51</v>
      </c>
      <c r="Q653" t="s">
        <v>101</v>
      </c>
      <c r="R653">
        <v>2</v>
      </c>
      <c r="S653">
        <v>10</v>
      </c>
      <c r="T653" t="s">
        <v>69</v>
      </c>
      <c r="U653" t="s">
        <v>70</v>
      </c>
      <c r="V653" t="s">
        <v>43</v>
      </c>
      <c r="W653" s="1">
        <v>45630</v>
      </c>
      <c r="X653" t="b">
        <v>0</v>
      </c>
      <c r="Y653" t="b">
        <v>1</v>
      </c>
      <c r="Z653" t="s">
        <v>59</v>
      </c>
      <c r="AA653" t="s">
        <v>45</v>
      </c>
      <c r="AB653">
        <v>2</v>
      </c>
      <c r="AF653" t="str">
        <f>tbl_OriginalData[[#This Row],[Customer_ID]]</f>
        <v>35-879-0014</v>
      </c>
      <c r="AG653">
        <f>tbl_OriginalData[[#This Row],[Age]]</f>
        <v>34</v>
      </c>
      <c r="AH653" t="str" cm="1">
        <f t="array" ref="AH65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53" t="str">
        <f>tbl_OriginalData[[#This Row],[Gender]]</f>
        <v>Male</v>
      </c>
      <c r="AJ653" t="str">
        <f>tbl_OriginalData[[#This Row],[Income_Level]]</f>
        <v>High</v>
      </c>
      <c r="AK653" t="str">
        <f>tbl_OriginalData[[#This Row],[Marital_Status]]</f>
        <v>Married</v>
      </c>
      <c r="AL653" t="str">
        <f>tbl_OriginalData[[#This Row],[Education_Level]]</f>
        <v>Master's</v>
      </c>
      <c r="AM653" t="str">
        <f>tbl_OriginalData[[#This Row],[Occupation]]</f>
        <v>Middle</v>
      </c>
      <c r="AN653" t="s">
        <v>1525</v>
      </c>
      <c r="AO653" t="s">
        <v>618</v>
      </c>
      <c r="AP653" t="str">
        <f>tbl_OriginalData[[#This Row],[Purchase_Category]]</f>
        <v>Food &amp; Beverages</v>
      </c>
      <c r="AQ653" s="4">
        <f>tbl_OriginalData[[#This Row],[Purchase_Amount]]</f>
        <v>107.82</v>
      </c>
      <c r="AR653">
        <f>tbl_OriginalData[[#This Row],[Frequency_of_Purchase]]</f>
        <v>7</v>
      </c>
      <c r="AS653" t="str">
        <f>tbl_OriginalData[[#This Row],[Purchase_Channel]]</f>
        <v>Mixed</v>
      </c>
      <c r="AT653">
        <f>tbl_OriginalData[[#This Row],[Brand_Loyalty]]</f>
        <v>5</v>
      </c>
      <c r="AU653">
        <f>tbl_OriginalData[[#This Row],[Product_Rating]]</f>
        <v>3</v>
      </c>
      <c r="AV653">
        <f>tbl_OriginalData[[#This Row],[Time_Spent_on_Product_Research(hours)]]*60</f>
        <v>120</v>
      </c>
      <c r="AW653" t="str">
        <f>tbl_OriginalData[[#This Row],[Social_Media_Influence]]</f>
        <v>High</v>
      </c>
      <c r="AX653" t="str">
        <f>tbl_OriginalData[[#This Row],[Discount_Sensitivity]]</f>
        <v>Very Sensitive</v>
      </c>
      <c r="AY653" s="3">
        <f>tbl_OriginalData[[#This Row],[Return_Rate]]/tbl_OriginalData[[#This Row],[Frequency_of_Purchase]]</f>
        <v>0.2857142857142857</v>
      </c>
      <c r="AZ653">
        <f>tbl_OriginalData[[#This Row],[Customer_Satisfaction]]</f>
        <v>10</v>
      </c>
      <c r="BA653" t="str">
        <f>tbl_OriginalData[[#This Row],[Engagement_with_Ads]]</f>
        <v>Low</v>
      </c>
      <c r="BB653" t="str">
        <f>tbl_OriginalData[[#This Row],[Device_Used_for_Shopping]]</f>
        <v>Smartphone</v>
      </c>
      <c r="BC653" t="str">
        <f>tbl_OriginalData[[#This Row],[Payment_Method]]</f>
        <v>Credit Card</v>
      </c>
      <c r="BD653" s="1">
        <f>tbl_OriginalData[[#This Row],[Time_of_Purchase]]</f>
        <v>45630</v>
      </c>
      <c r="BE653" t="str">
        <f>IF(tbl_OriginalData[[#This Row],[Discount_Used]]=TRUE,"Yes","No")</f>
        <v>No</v>
      </c>
      <c r="BF653" t="str">
        <f>IF(tbl_OriginalData[[#This Row],[Customer_Loyalty_Program_Member]]=TRUE,"Yes","No")</f>
        <v>Yes</v>
      </c>
      <c r="BG653" t="str">
        <f>tbl_OriginalData[[#This Row],[Purchase_Intent]]</f>
        <v>Wants-based</v>
      </c>
      <c r="BH653" t="str">
        <f>tbl_OriginalData[[#This Row],[Shipping_Preference]]</f>
        <v>No Preference</v>
      </c>
      <c r="BI653">
        <f>tbl_OriginalData[[#This Row],[Time_to_Decision]]</f>
        <v>2</v>
      </c>
      <c r="BJ653" t="s">
        <v>120</v>
      </c>
      <c r="BK653" t="s">
        <v>80</v>
      </c>
      <c r="BL653" t="s">
        <v>2528</v>
      </c>
    </row>
    <row r="654" spans="1:64">
      <c r="A654" t="s">
        <v>1526</v>
      </c>
      <c r="B654">
        <v>50</v>
      </c>
      <c r="C654" t="s">
        <v>50</v>
      </c>
      <c r="D654" t="s">
        <v>34</v>
      </c>
      <c r="E654" t="s">
        <v>35</v>
      </c>
      <c r="F654" t="s">
        <v>52</v>
      </c>
      <c r="G654" t="s">
        <v>34</v>
      </c>
      <c r="H654" t="s">
        <v>1527</v>
      </c>
      <c r="I654" t="s">
        <v>153</v>
      </c>
      <c r="J654">
        <v>83.88</v>
      </c>
      <c r="K654">
        <v>11</v>
      </c>
      <c r="L654" t="s">
        <v>94</v>
      </c>
      <c r="M654">
        <v>4</v>
      </c>
      <c r="N654">
        <v>2</v>
      </c>
      <c r="O654">
        <v>1</v>
      </c>
      <c r="P654" t="s">
        <v>56</v>
      </c>
      <c r="Q654" t="s">
        <v>57</v>
      </c>
      <c r="R654">
        <v>0</v>
      </c>
      <c r="S654">
        <v>6</v>
      </c>
      <c r="T654" t="s">
        <v>69</v>
      </c>
      <c r="U654" t="s">
        <v>95</v>
      </c>
      <c r="V654" t="s">
        <v>76</v>
      </c>
      <c r="W654" s="1">
        <v>45346</v>
      </c>
      <c r="X654" t="b">
        <v>1</v>
      </c>
      <c r="Y654" t="b">
        <v>1</v>
      </c>
      <c r="Z654" t="s">
        <v>89</v>
      </c>
      <c r="AA654" t="s">
        <v>77</v>
      </c>
      <c r="AB654">
        <v>4</v>
      </c>
      <c r="AF654" t="str">
        <f>tbl_OriginalData[[#This Row],[Customer_ID]]</f>
        <v>91-570-2695</v>
      </c>
      <c r="AG654">
        <f>tbl_OriginalData[[#This Row],[Age]]</f>
        <v>50</v>
      </c>
      <c r="AH654" t="str" cm="1">
        <f t="array" ref="AH65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54" t="str">
        <f>tbl_OriginalData[[#This Row],[Gender]]</f>
        <v>Male</v>
      </c>
      <c r="AJ654" t="str">
        <f>tbl_OriginalData[[#This Row],[Income_Level]]</f>
        <v>Middle</v>
      </c>
      <c r="AK654" t="str">
        <f>tbl_OriginalData[[#This Row],[Marital_Status]]</f>
        <v>Married</v>
      </c>
      <c r="AL654" t="str">
        <f>tbl_OriginalData[[#This Row],[Education_Level]]</f>
        <v>High School</v>
      </c>
      <c r="AM654" t="str">
        <f>tbl_OriginalData[[#This Row],[Occupation]]</f>
        <v>Middle</v>
      </c>
      <c r="AN654" t="s">
        <v>1528</v>
      </c>
      <c r="AO654" t="s">
        <v>965</v>
      </c>
      <c r="AP654" t="str">
        <f>tbl_OriginalData[[#This Row],[Purchase_Category]]</f>
        <v>Baby Products</v>
      </c>
      <c r="AQ654" s="4">
        <f>tbl_OriginalData[[#This Row],[Purchase_Amount]]</f>
        <v>83.88</v>
      </c>
      <c r="AR654">
        <f>tbl_OriginalData[[#This Row],[Frequency_of_Purchase]]</f>
        <v>11</v>
      </c>
      <c r="AS654" t="str">
        <f>tbl_OriginalData[[#This Row],[Purchase_Channel]]</f>
        <v>Online</v>
      </c>
      <c r="AT654">
        <f>tbl_OriginalData[[#This Row],[Brand_Loyalty]]</f>
        <v>4</v>
      </c>
      <c r="AU654">
        <f>tbl_OriginalData[[#This Row],[Product_Rating]]</f>
        <v>2</v>
      </c>
      <c r="AV654">
        <f>tbl_OriginalData[[#This Row],[Time_Spent_on_Product_Research(hours)]]*60</f>
        <v>60</v>
      </c>
      <c r="AW654" t="str">
        <f>tbl_OriginalData[[#This Row],[Social_Media_Influence]]</f>
        <v>Medium</v>
      </c>
      <c r="AX654" t="str">
        <f>tbl_OriginalData[[#This Row],[Discount_Sensitivity]]</f>
        <v>Not Sensitive</v>
      </c>
      <c r="AY654" s="3">
        <f>tbl_OriginalData[[#This Row],[Return_Rate]]/tbl_OriginalData[[#This Row],[Frequency_of_Purchase]]</f>
        <v>0</v>
      </c>
      <c r="AZ654">
        <f>tbl_OriginalData[[#This Row],[Customer_Satisfaction]]</f>
        <v>6</v>
      </c>
      <c r="BA654" t="str">
        <f>tbl_OriginalData[[#This Row],[Engagement_with_Ads]]</f>
        <v>Low</v>
      </c>
      <c r="BB654" t="str">
        <f>tbl_OriginalData[[#This Row],[Device_Used_for_Shopping]]</f>
        <v>Desktop</v>
      </c>
      <c r="BC654" t="str">
        <f>tbl_OriginalData[[#This Row],[Payment_Method]]</f>
        <v>Other</v>
      </c>
      <c r="BD654" s="1">
        <f>tbl_OriginalData[[#This Row],[Time_of_Purchase]]</f>
        <v>45346</v>
      </c>
      <c r="BE654" t="str">
        <f>IF(tbl_OriginalData[[#This Row],[Discount_Used]]=TRUE,"Yes","No")</f>
        <v>Yes</v>
      </c>
      <c r="BF654" t="str">
        <f>IF(tbl_OriginalData[[#This Row],[Customer_Loyalty_Program_Member]]=TRUE,"Yes","No")</f>
        <v>Yes</v>
      </c>
      <c r="BG654" t="str">
        <f>tbl_OriginalData[[#This Row],[Purchase_Intent]]</f>
        <v>Planned</v>
      </c>
      <c r="BH654" t="str">
        <f>tbl_OriginalData[[#This Row],[Shipping_Preference]]</f>
        <v>Express</v>
      </c>
      <c r="BI654">
        <f>tbl_OriginalData[[#This Row],[Time_to_Decision]]</f>
        <v>4</v>
      </c>
      <c r="BJ654" t="s">
        <v>158</v>
      </c>
      <c r="BK654" t="s">
        <v>48</v>
      </c>
      <c r="BL654" t="s">
        <v>2524</v>
      </c>
    </row>
    <row r="655" spans="1:64">
      <c r="A655" t="s">
        <v>1529</v>
      </c>
      <c r="B655">
        <v>24</v>
      </c>
      <c r="C655" t="s">
        <v>33</v>
      </c>
      <c r="D655" t="s">
        <v>34</v>
      </c>
      <c r="E655" t="s">
        <v>82</v>
      </c>
      <c r="F655" t="s">
        <v>36</v>
      </c>
      <c r="G655" t="s">
        <v>34</v>
      </c>
      <c r="H655" t="s">
        <v>1530</v>
      </c>
      <c r="I655" t="s">
        <v>242</v>
      </c>
      <c r="J655">
        <v>81.25</v>
      </c>
      <c r="K655">
        <v>9</v>
      </c>
      <c r="L655" t="s">
        <v>94</v>
      </c>
      <c r="M655">
        <v>1</v>
      </c>
      <c r="N655">
        <v>2</v>
      </c>
      <c r="O655">
        <v>1</v>
      </c>
      <c r="P655" t="s">
        <v>69</v>
      </c>
      <c r="Q655" t="s">
        <v>101</v>
      </c>
      <c r="R655">
        <v>2</v>
      </c>
      <c r="S655">
        <v>8</v>
      </c>
      <c r="T655" t="s">
        <v>56</v>
      </c>
      <c r="U655" t="s">
        <v>95</v>
      </c>
      <c r="V655" t="s">
        <v>102</v>
      </c>
      <c r="W655" s="1">
        <v>45436</v>
      </c>
      <c r="X655" t="b">
        <v>1</v>
      </c>
      <c r="Y655" t="b">
        <v>1</v>
      </c>
      <c r="Z655" t="s">
        <v>89</v>
      </c>
      <c r="AA655" t="s">
        <v>45</v>
      </c>
      <c r="AB655">
        <v>10</v>
      </c>
      <c r="AF655" t="str">
        <f>tbl_OriginalData[[#This Row],[Customer_ID]]</f>
        <v>54-193-3526</v>
      </c>
      <c r="AG655">
        <f>tbl_OriginalData[[#This Row],[Age]]</f>
        <v>24</v>
      </c>
      <c r="AH655" t="str" cm="1">
        <f t="array" ref="AH65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55" t="str">
        <f>tbl_OriginalData[[#This Row],[Gender]]</f>
        <v>Female</v>
      </c>
      <c r="AJ655" t="str">
        <f>tbl_OriginalData[[#This Row],[Income_Level]]</f>
        <v>Middle</v>
      </c>
      <c r="AK655" t="str">
        <f>tbl_OriginalData[[#This Row],[Marital_Status]]</f>
        <v>Widowed</v>
      </c>
      <c r="AL655" t="str">
        <f>tbl_OriginalData[[#This Row],[Education_Level]]</f>
        <v>Bachelor's</v>
      </c>
      <c r="AM655" t="str">
        <f>tbl_OriginalData[[#This Row],[Occupation]]</f>
        <v>Middle</v>
      </c>
      <c r="AN655" t="s">
        <v>1530</v>
      </c>
      <c r="AO655" t="s">
        <v>90</v>
      </c>
      <c r="AP655" t="str">
        <f>tbl_OriginalData[[#This Row],[Purchase_Category]]</f>
        <v>Travel &amp; Leisure (Flights</v>
      </c>
      <c r="AQ655" s="4">
        <f>tbl_OriginalData[[#This Row],[Purchase_Amount]]</f>
        <v>81.25</v>
      </c>
      <c r="AR655">
        <f>tbl_OriginalData[[#This Row],[Frequency_of_Purchase]]</f>
        <v>9</v>
      </c>
      <c r="AS655" t="str">
        <f>tbl_OriginalData[[#This Row],[Purchase_Channel]]</f>
        <v>Online</v>
      </c>
      <c r="AT655">
        <f>tbl_OriginalData[[#This Row],[Brand_Loyalty]]</f>
        <v>1</v>
      </c>
      <c r="AU655">
        <f>tbl_OriginalData[[#This Row],[Product_Rating]]</f>
        <v>2</v>
      </c>
      <c r="AV655">
        <f>tbl_OriginalData[[#This Row],[Time_Spent_on_Product_Research(hours)]]*60</f>
        <v>60</v>
      </c>
      <c r="AW655" t="str">
        <f>tbl_OriginalData[[#This Row],[Social_Media_Influence]]</f>
        <v>Low</v>
      </c>
      <c r="AX655" t="str">
        <f>tbl_OriginalData[[#This Row],[Discount_Sensitivity]]</f>
        <v>Very Sensitive</v>
      </c>
      <c r="AY655" s="3">
        <f>tbl_OriginalData[[#This Row],[Return_Rate]]/tbl_OriginalData[[#This Row],[Frequency_of_Purchase]]</f>
        <v>0.22222222222222221</v>
      </c>
      <c r="AZ655">
        <f>tbl_OriginalData[[#This Row],[Customer_Satisfaction]]</f>
        <v>8</v>
      </c>
      <c r="BA655" t="str">
        <f>tbl_OriginalData[[#This Row],[Engagement_with_Ads]]</f>
        <v>Medium</v>
      </c>
      <c r="BB655" t="str">
        <f>tbl_OriginalData[[#This Row],[Device_Used_for_Shopping]]</f>
        <v>Desktop</v>
      </c>
      <c r="BC655" t="str">
        <f>tbl_OriginalData[[#This Row],[Payment_Method]]</f>
        <v>Cash</v>
      </c>
      <c r="BD655" s="1">
        <f>tbl_OriginalData[[#This Row],[Time_of_Purchase]]</f>
        <v>45436</v>
      </c>
      <c r="BE655" t="str">
        <f>IF(tbl_OriginalData[[#This Row],[Discount_Used]]=TRUE,"Yes","No")</f>
        <v>Yes</v>
      </c>
      <c r="BF655" t="str">
        <f>IF(tbl_OriginalData[[#This Row],[Customer_Loyalty_Program_Member]]=TRUE,"Yes","No")</f>
        <v>Yes</v>
      </c>
      <c r="BG655" t="str">
        <f>tbl_OriginalData[[#This Row],[Purchase_Intent]]</f>
        <v>Planned</v>
      </c>
      <c r="BH655" t="str">
        <f>tbl_OriginalData[[#This Row],[Shipping_Preference]]</f>
        <v>No Preference</v>
      </c>
      <c r="BI655">
        <f>tbl_OriginalData[[#This Row],[Time_to_Decision]]</f>
        <v>10</v>
      </c>
      <c r="BJ655" t="s">
        <v>167</v>
      </c>
      <c r="BK655" t="s">
        <v>63</v>
      </c>
      <c r="BL655" t="s">
        <v>2524</v>
      </c>
    </row>
    <row r="656" spans="1:64">
      <c r="A656" t="s">
        <v>1531</v>
      </c>
      <c r="B656">
        <v>49</v>
      </c>
      <c r="C656" t="s">
        <v>50</v>
      </c>
      <c r="D656" t="s">
        <v>34</v>
      </c>
      <c r="E656" t="s">
        <v>82</v>
      </c>
      <c r="F656" t="s">
        <v>66</v>
      </c>
      <c r="G656" t="s">
        <v>51</v>
      </c>
      <c r="H656" t="s">
        <v>1532</v>
      </c>
      <c r="I656" t="s">
        <v>75</v>
      </c>
      <c r="J656">
        <v>125.8</v>
      </c>
      <c r="K656">
        <v>12</v>
      </c>
      <c r="L656" t="s">
        <v>55</v>
      </c>
      <c r="M656">
        <v>4</v>
      </c>
      <c r="N656">
        <v>4</v>
      </c>
      <c r="O656">
        <v>2</v>
      </c>
      <c r="P656" t="s">
        <v>40</v>
      </c>
      <c r="Q656" t="s">
        <v>41</v>
      </c>
      <c r="R656">
        <v>0</v>
      </c>
      <c r="S656">
        <v>8</v>
      </c>
      <c r="T656" t="s">
        <v>51</v>
      </c>
      <c r="U656" t="s">
        <v>95</v>
      </c>
      <c r="V656" t="s">
        <v>58</v>
      </c>
      <c r="W656" s="1">
        <v>45430</v>
      </c>
      <c r="X656" t="b">
        <v>0</v>
      </c>
      <c r="Y656" t="b">
        <v>1</v>
      </c>
      <c r="Z656" t="s">
        <v>89</v>
      </c>
      <c r="AA656" t="s">
        <v>45</v>
      </c>
      <c r="AB656">
        <v>1</v>
      </c>
      <c r="AF656" t="str">
        <f>tbl_OriginalData[[#This Row],[Customer_ID]]</f>
        <v>55-237-7991</v>
      </c>
      <c r="AG656">
        <f>tbl_OriginalData[[#This Row],[Age]]</f>
        <v>49</v>
      </c>
      <c r="AH656" t="str" cm="1">
        <f t="array" ref="AH65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56" t="str">
        <f>tbl_OriginalData[[#This Row],[Gender]]</f>
        <v>Male</v>
      </c>
      <c r="AJ656" t="str">
        <f>tbl_OriginalData[[#This Row],[Income_Level]]</f>
        <v>Middle</v>
      </c>
      <c r="AK656" t="str">
        <f>tbl_OriginalData[[#This Row],[Marital_Status]]</f>
        <v>Widowed</v>
      </c>
      <c r="AL656" t="str">
        <f>tbl_OriginalData[[#This Row],[Education_Level]]</f>
        <v>Master's</v>
      </c>
      <c r="AM656" t="str">
        <f>tbl_OriginalData[[#This Row],[Occupation]]</f>
        <v>High</v>
      </c>
      <c r="AN656" t="s">
        <v>1532</v>
      </c>
      <c r="AO656" t="s">
        <v>61</v>
      </c>
      <c r="AP656" t="str">
        <f>tbl_OriginalData[[#This Row],[Purchase_Category]]</f>
        <v>Home Appliances</v>
      </c>
      <c r="AQ656" s="4">
        <f>tbl_OriginalData[[#This Row],[Purchase_Amount]]</f>
        <v>125.8</v>
      </c>
      <c r="AR656">
        <f>tbl_OriginalData[[#This Row],[Frequency_of_Purchase]]</f>
        <v>12</v>
      </c>
      <c r="AS656" t="str">
        <f>tbl_OriginalData[[#This Row],[Purchase_Channel]]</f>
        <v>In-Store</v>
      </c>
      <c r="AT656">
        <f>tbl_OriginalData[[#This Row],[Brand_Loyalty]]</f>
        <v>4</v>
      </c>
      <c r="AU656">
        <f>tbl_OriginalData[[#This Row],[Product_Rating]]</f>
        <v>4</v>
      </c>
      <c r="AV656">
        <f>tbl_OriginalData[[#This Row],[Time_Spent_on_Product_Research(hours)]]*60</f>
        <v>120</v>
      </c>
      <c r="AW656" t="str">
        <f>tbl_OriginalData[[#This Row],[Social_Media_Influence]]</f>
        <v>None</v>
      </c>
      <c r="AX656" t="str">
        <f>tbl_OriginalData[[#This Row],[Discount_Sensitivity]]</f>
        <v>Somewhat Sensitive</v>
      </c>
      <c r="AY656" s="3">
        <f>tbl_OriginalData[[#This Row],[Return_Rate]]/tbl_OriginalData[[#This Row],[Frequency_of_Purchase]]</f>
        <v>0</v>
      </c>
      <c r="AZ656">
        <f>tbl_OriginalData[[#This Row],[Customer_Satisfaction]]</f>
        <v>8</v>
      </c>
      <c r="BA656" t="str">
        <f>tbl_OriginalData[[#This Row],[Engagement_with_Ads]]</f>
        <v>High</v>
      </c>
      <c r="BB656" t="str">
        <f>tbl_OriginalData[[#This Row],[Device_Used_for_Shopping]]</f>
        <v>Desktop</v>
      </c>
      <c r="BC656" t="str">
        <f>tbl_OriginalData[[#This Row],[Payment_Method]]</f>
        <v>PayPal</v>
      </c>
      <c r="BD656" s="1">
        <f>tbl_OriginalData[[#This Row],[Time_of_Purchase]]</f>
        <v>45430</v>
      </c>
      <c r="BE656" t="str">
        <f>IF(tbl_OriginalData[[#This Row],[Discount_Used]]=TRUE,"Yes","No")</f>
        <v>No</v>
      </c>
      <c r="BF656" t="str">
        <f>IF(tbl_OriginalData[[#This Row],[Customer_Loyalty_Program_Member]]=TRUE,"Yes","No")</f>
        <v>Yes</v>
      </c>
      <c r="BG656" t="str">
        <f>tbl_OriginalData[[#This Row],[Purchase_Intent]]</f>
        <v>Planned</v>
      </c>
      <c r="BH656" t="str">
        <f>tbl_OriginalData[[#This Row],[Shipping_Preference]]</f>
        <v>No Preference</v>
      </c>
      <c r="BI656">
        <f>tbl_OriginalData[[#This Row],[Time_to_Decision]]</f>
        <v>1</v>
      </c>
      <c r="BJ656" t="s">
        <v>167</v>
      </c>
      <c r="BK656" t="s">
        <v>63</v>
      </c>
      <c r="BL656" t="s">
        <v>2524</v>
      </c>
    </row>
    <row r="657" spans="1:64">
      <c r="A657" t="s">
        <v>1533</v>
      </c>
      <c r="B657">
        <v>18</v>
      </c>
      <c r="C657" t="s">
        <v>33</v>
      </c>
      <c r="D657" t="s">
        <v>34</v>
      </c>
      <c r="E657" t="s">
        <v>65</v>
      </c>
      <c r="F657" t="s">
        <v>36</v>
      </c>
      <c r="G657" t="s">
        <v>34</v>
      </c>
      <c r="H657" t="s">
        <v>1534</v>
      </c>
      <c r="I657" t="s">
        <v>180</v>
      </c>
      <c r="J657">
        <v>197.9</v>
      </c>
      <c r="K657">
        <v>11</v>
      </c>
      <c r="L657" t="s">
        <v>39</v>
      </c>
      <c r="M657">
        <v>2</v>
      </c>
      <c r="N657">
        <v>4</v>
      </c>
      <c r="O657">
        <v>2</v>
      </c>
      <c r="P657" t="s">
        <v>56</v>
      </c>
      <c r="Q657" t="s">
        <v>57</v>
      </c>
      <c r="R657">
        <v>1</v>
      </c>
      <c r="S657">
        <v>4</v>
      </c>
      <c r="T657" t="s">
        <v>69</v>
      </c>
      <c r="U657" t="s">
        <v>95</v>
      </c>
      <c r="V657" t="s">
        <v>71</v>
      </c>
      <c r="W657" s="1">
        <v>45384</v>
      </c>
      <c r="X657" t="b">
        <v>1</v>
      </c>
      <c r="Y657" t="b">
        <v>1</v>
      </c>
      <c r="Z657" t="s">
        <v>59</v>
      </c>
      <c r="AA657" t="s">
        <v>60</v>
      </c>
      <c r="AB657">
        <v>5</v>
      </c>
      <c r="AF657" t="str">
        <f>tbl_OriginalData[[#This Row],[Customer_ID]]</f>
        <v>90-569-7391</v>
      </c>
      <c r="AG657">
        <f>tbl_OriginalData[[#This Row],[Age]]</f>
        <v>18</v>
      </c>
      <c r="AH657" t="str" cm="1">
        <f t="array" ref="AH65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657" t="str">
        <f>tbl_OriginalData[[#This Row],[Gender]]</f>
        <v>Female</v>
      </c>
      <c r="AJ657" t="str">
        <f>tbl_OriginalData[[#This Row],[Income_Level]]</f>
        <v>Middle</v>
      </c>
      <c r="AK657" t="str">
        <f>tbl_OriginalData[[#This Row],[Marital_Status]]</f>
        <v>Single</v>
      </c>
      <c r="AL657" t="str">
        <f>tbl_OriginalData[[#This Row],[Education_Level]]</f>
        <v>Bachelor's</v>
      </c>
      <c r="AM657" t="str">
        <f>tbl_OriginalData[[#This Row],[Occupation]]</f>
        <v>Middle</v>
      </c>
      <c r="AN657" t="s">
        <v>1534</v>
      </c>
      <c r="AO657" t="s">
        <v>232</v>
      </c>
      <c r="AP657" t="str">
        <f>tbl_OriginalData[[#This Row],[Purchase_Category]]</f>
        <v>Health Supplements</v>
      </c>
      <c r="AQ657" s="4">
        <f>tbl_OriginalData[[#This Row],[Purchase_Amount]]</f>
        <v>197.9</v>
      </c>
      <c r="AR657">
        <f>tbl_OriginalData[[#This Row],[Frequency_of_Purchase]]</f>
        <v>11</v>
      </c>
      <c r="AS657" t="str">
        <f>tbl_OriginalData[[#This Row],[Purchase_Channel]]</f>
        <v>Mixed</v>
      </c>
      <c r="AT657">
        <f>tbl_OriginalData[[#This Row],[Brand_Loyalty]]</f>
        <v>2</v>
      </c>
      <c r="AU657">
        <f>tbl_OriginalData[[#This Row],[Product_Rating]]</f>
        <v>4</v>
      </c>
      <c r="AV657">
        <f>tbl_OriginalData[[#This Row],[Time_Spent_on_Product_Research(hours)]]*60</f>
        <v>120</v>
      </c>
      <c r="AW657" t="str">
        <f>tbl_OriginalData[[#This Row],[Social_Media_Influence]]</f>
        <v>Medium</v>
      </c>
      <c r="AX657" t="str">
        <f>tbl_OriginalData[[#This Row],[Discount_Sensitivity]]</f>
        <v>Not Sensitive</v>
      </c>
      <c r="AY657" s="3">
        <f>tbl_OriginalData[[#This Row],[Return_Rate]]/tbl_OriginalData[[#This Row],[Frequency_of_Purchase]]</f>
        <v>9.0909090909090912E-2</v>
      </c>
      <c r="AZ657">
        <f>tbl_OriginalData[[#This Row],[Customer_Satisfaction]]</f>
        <v>4</v>
      </c>
      <c r="BA657" t="str">
        <f>tbl_OriginalData[[#This Row],[Engagement_with_Ads]]</f>
        <v>Low</v>
      </c>
      <c r="BB657" t="str">
        <f>tbl_OriginalData[[#This Row],[Device_Used_for_Shopping]]</f>
        <v>Desktop</v>
      </c>
      <c r="BC657" t="str">
        <f>tbl_OriginalData[[#This Row],[Payment_Method]]</f>
        <v>Debit Card</v>
      </c>
      <c r="BD657" s="1">
        <f>tbl_OriginalData[[#This Row],[Time_of_Purchase]]</f>
        <v>45384</v>
      </c>
      <c r="BE657" t="str">
        <f>IF(tbl_OriginalData[[#This Row],[Discount_Used]]=TRUE,"Yes","No")</f>
        <v>Yes</v>
      </c>
      <c r="BF657" t="str">
        <f>IF(tbl_OriginalData[[#This Row],[Customer_Loyalty_Program_Member]]=TRUE,"Yes","No")</f>
        <v>Yes</v>
      </c>
      <c r="BG657" t="str">
        <f>tbl_OriginalData[[#This Row],[Purchase_Intent]]</f>
        <v>Wants-based</v>
      </c>
      <c r="BH657" t="str">
        <f>tbl_OriginalData[[#This Row],[Shipping_Preference]]</f>
        <v>Standard</v>
      </c>
      <c r="BI657">
        <f>tbl_OriginalData[[#This Row],[Time_to_Decision]]</f>
        <v>5</v>
      </c>
      <c r="BJ657" t="s">
        <v>62</v>
      </c>
      <c r="BK657" t="s">
        <v>63</v>
      </c>
      <c r="BL657" t="s">
        <v>2523</v>
      </c>
    </row>
    <row r="658" spans="1:64">
      <c r="A658" t="s">
        <v>1535</v>
      </c>
      <c r="B658">
        <v>44</v>
      </c>
      <c r="C658" t="s">
        <v>50</v>
      </c>
      <c r="D658" t="s">
        <v>51</v>
      </c>
      <c r="E658" t="s">
        <v>92</v>
      </c>
      <c r="F658" t="s">
        <v>52</v>
      </c>
      <c r="G658" t="s">
        <v>34</v>
      </c>
      <c r="H658" t="s">
        <v>1536</v>
      </c>
      <c r="I658" t="s">
        <v>242</v>
      </c>
      <c r="J658">
        <v>299.08999999999997</v>
      </c>
      <c r="K658">
        <v>8</v>
      </c>
      <c r="L658" t="s">
        <v>55</v>
      </c>
      <c r="M658">
        <v>1</v>
      </c>
      <c r="N658">
        <v>1</v>
      </c>
      <c r="O658">
        <v>2</v>
      </c>
      <c r="P658" t="s">
        <v>51</v>
      </c>
      <c r="Q658" t="s">
        <v>101</v>
      </c>
      <c r="R658">
        <v>2</v>
      </c>
      <c r="S658">
        <v>7</v>
      </c>
      <c r="T658" t="s">
        <v>51</v>
      </c>
      <c r="U658" t="s">
        <v>42</v>
      </c>
      <c r="V658" t="s">
        <v>71</v>
      </c>
      <c r="W658" s="1">
        <v>45467</v>
      </c>
      <c r="X658" t="b">
        <v>0</v>
      </c>
      <c r="Y658" t="b">
        <v>0</v>
      </c>
      <c r="Z658" t="s">
        <v>72</v>
      </c>
      <c r="AA658" t="s">
        <v>60</v>
      </c>
      <c r="AB658">
        <v>14</v>
      </c>
      <c r="AF658" t="str">
        <f>tbl_OriginalData[[#This Row],[Customer_ID]]</f>
        <v>88-395-8741</v>
      </c>
      <c r="AG658">
        <f>tbl_OriginalData[[#This Row],[Age]]</f>
        <v>44</v>
      </c>
      <c r="AH658" t="str" cm="1">
        <f t="array" ref="AH65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58" t="str">
        <f>tbl_OriginalData[[#This Row],[Gender]]</f>
        <v>Male</v>
      </c>
      <c r="AJ658" t="str">
        <f>tbl_OriginalData[[#This Row],[Income_Level]]</f>
        <v>High</v>
      </c>
      <c r="AK658" t="str">
        <f>tbl_OriginalData[[#This Row],[Marital_Status]]</f>
        <v>Divorced</v>
      </c>
      <c r="AL658" t="str">
        <f>tbl_OriginalData[[#This Row],[Education_Level]]</f>
        <v>High School</v>
      </c>
      <c r="AM658" t="str">
        <f>tbl_OriginalData[[#This Row],[Occupation]]</f>
        <v>Middle</v>
      </c>
      <c r="AN658" t="s">
        <v>1536</v>
      </c>
      <c r="AO658" t="s">
        <v>90</v>
      </c>
      <c r="AP658" t="str">
        <f>tbl_OriginalData[[#This Row],[Purchase_Category]]</f>
        <v>Travel &amp; Leisure (Flights</v>
      </c>
      <c r="AQ658" s="4">
        <f>tbl_OriginalData[[#This Row],[Purchase_Amount]]</f>
        <v>299.08999999999997</v>
      </c>
      <c r="AR658">
        <f>tbl_OriginalData[[#This Row],[Frequency_of_Purchase]]</f>
        <v>8</v>
      </c>
      <c r="AS658" t="str">
        <f>tbl_OriginalData[[#This Row],[Purchase_Channel]]</f>
        <v>In-Store</v>
      </c>
      <c r="AT658">
        <f>tbl_OriginalData[[#This Row],[Brand_Loyalty]]</f>
        <v>1</v>
      </c>
      <c r="AU658">
        <f>tbl_OriginalData[[#This Row],[Product_Rating]]</f>
        <v>1</v>
      </c>
      <c r="AV658">
        <f>tbl_OriginalData[[#This Row],[Time_Spent_on_Product_Research(hours)]]*60</f>
        <v>120</v>
      </c>
      <c r="AW658" t="str">
        <f>tbl_OriginalData[[#This Row],[Social_Media_Influence]]</f>
        <v>High</v>
      </c>
      <c r="AX658" t="str">
        <f>tbl_OriginalData[[#This Row],[Discount_Sensitivity]]</f>
        <v>Very Sensitive</v>
      </c>
      <c r="AY658" s="3">
        <f>tbl_OriginalData[[#This Row],[Return_Rate]]/tbl_OriginalData[[#This Row],[Frequency_of_Purchase]]</f>
        <v>0.25</v>
      </c>
      <c r="AZ658">
        <f>tbl_OriginalData[[#This Row],[Customer_Satisfaction]]</f>
        <v>7</v>
      </c>
      <c r="BA658" t="str">
        <f>tbl_OriginalData[[#This Row],[Engagement_with_Ads]]</f>
        <v>High</v>
      </c>
      <c r="BB658" t="str">
        <f>tbl_OriginalData[[#This Row],[Device_Used_for_Shopping]]</f>
        <v>Tablet</v>
      </c>
      <c r="BC658" t="str">
        <f>tbl_OriginalData[[#This Row],[Payment_Method]]</f>
        <v>Debit Card</v>
      </c>
      <c r="BD658" s="1">
        <f>tbl_OriginalData[[#This Row],[Time_of_Purchase]]</f>
        <v>45467</v>
      </c>
      <c r="BE658" t="str">
        <f>IF(tbl_OriginalData[[#This Row],[Discount_Used]]=TRUE,"Yes","No")</f>
        <v>No</v>
      </c>
      <c r="BF658" t="str">
        <f>IF(tbl_OriginalData[[#This Row],[Customer_Loyalty_Program_Member]]=TRUE,"Yes","No")</f>
        <v>No</v>
      </c>
      <c r="BG658" t="str">
        <f>tbl_OriginalData[[#This Row],[Purchase_Intent]]</f>
        <v>Impulsive</v>
      </c>
      <c r="BH658" t="str">
        <f>tbl_OriginalData[[#This Row],[Shipping_Preference]]</f>
        <v>Standard</v>
      </c>
      <c r="BI658">
        <f>tbl_OriginalData[[#This Row],[Time_to_Decision]]</f>
        <v>14</v>
      </c>
      <c r="BJ658" t="s">
        <v>104</v>
      </c>
      <c r="BK658" t="s">
        <v>63</v>
      </c>
      <c r="BL658" t="s">
        <v>2524</v>
      </c>
    </row>
    <row r="659" spans="1:64">
      <c r="A659" t="s">
        <v>1537</v>
      </c>
      <c r="B659">
        <v>41</v>
      </c>
      <c r="C659" t="s">
        <v>50</v>
      </c>
      <c r="D659" t="s">
        <v>51</v>
      </c>
      <c r="E659" t="s">
        <v>35</v>
      </c>
      <c r="F659" t="s">
        <v>52</v>
      </c>
      <c r="G659" t="s">
        <v>34</v>
      </c>
      <c r="H659" t="s">
        <v>1538</v>
      </c>
      <c r="I659" t="s">
        <v>242</v>
      </c>
      <c r="J659">
        <v>79.3</v>
      </c>
      <c r="K659">
        <v>10</v>
      </c>
      <c r="L659" t="s">
        <v>94</v>
      </c>
      <c r="M659">
        <v>3</v>
      </c>
      <c r="N659">
        <v>2</v>
      </c>
      <c r="O659">
        <v>1</v>
      </c>
      <c r="P659" t="s">
        <v>69</v>
      </c>
      <c r="Q659" t="s">
        <v>41</v>
      </c>
      <c r="R659">
        <v>2</v>
      </c>
      <c r="S659">
        <v>4</v>
      </c>
      <c r="T659" t="s">
        <v>51</v>
      </c>
      <c r="U659" t="s">
        <v>70</v>
      </c>
      <c r="V659" t="s">
        <v>71</v>
      </c>
      <c r="W659" s="1">
        <v>45538</v>
      </c>
      <c r="X659" t="b">
        <v>0</v>
      </c>
      <c r="Y659" t="b">
        <v>0</v>
      </c>
      <c r="Z659" t="s">
        <v>89</v>
      </c>
      <c r="AA659" t="s">
        <v>45</v>
      </c>
      <c r="AB659">
        <v>2</v>
      </c>
      <c r="AF659" t="str">
        <f>tbl_OriginalData[[#This Row],[Customer_ID]]</f>
        <v>06-638-0433</v>
      </c>
      <c r="AG659">
        <f>tbl_OriginalData[[#This Row],[Age]]</f>
        <v>41</v>
      </c>
      <c r="AH659" t="str" cm="1">
        <f t="array" ref="AH65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59" t="str">
        <f>tbl_OriginalData[[#This Row],[Gender]]</f>
        <v>Male</v>
      </c>
      <c r="AJ659" t="str">
        <f>tbl_OriginalData[[#This Row],[Income_Level]]</f>
        <v>High</v>
      </c>
      <c r="AK659" t="str">
        <f>tbl_OriginalData[[#This Row],[Marital_Status]]</f>
        <v>Married</v>
      </c>
      <c r="AL659" t="str">
        <f>tbl_OriginalData[[#This Row],[Education_Level]]</f>
        <v>High School</v>
      </c>
      <c r="AM659" t="str">
        <f>tbl_OriginalData[[#This Row],[Occupation]]</f>
        <v>Middle</v>
      </c>
      <c r="AN659" t="s">
        <v>1538</v>
      </c>
      <c r="AO659" t="s">
        <v>897</v>
      </c>
      <c r="AP659" t="str">
        <f>tbl_OriginalData[[#This Row],[Purchase_Category]]</f>
        <v>Travel &amp; Leisure (Flights</v>
      </c>
      <c r="AQ659" s="4">
        <f>tbl_OriginalData[[#This Row],[Purchase_Amount]]</f>
        <v>79.3</v>
      </c>
      <c r="AR659">
        <f>tbl_OriginalData[[#This Row],[Frequency_of_Purchase]]</f>
        <v>10</v>
      </c>
      <c r="AS659" t="str">
        <f>tbl_OriginalData[[#This Row],[Purchase_Channel]]</f>
        <v>Online</v>
      </c>
      <c r="AT659">
        <f>tbl_OriginalData[[#This Row],[Brand_Loyalty]]</f>
        <v>3</v>
      </c>
      <c r="AU659">
        <f>tbl_OriginalData[[#This Row],[Product_Rating]]</f>
        <v>2</v>
      </c>
      <c r="AV659">
        <f>tbl_OriginalData[[#This Row],[Time_Spent_on_Product_Research(hours)]]*60</f>
        <v>60</v>
      </c>
      <c r="AW659" t="str">
        <f>tbl_OriginalData[[#This Row],[Social_Media_Influence]]</f>
        <v>Low</v>
      </c>
      <c r="AX659" t="str">
        <f>tbl_OriginalData[[#This Row],[Discount_Sensitivity]]</f>
        <v>Somewhat Sensitive</v>
      </c>
      <c r="AY659" s="3">
        <f>tbl_OriginalData[[#This Row],[Return_Rate]]/tbl_OriginalData[[#This Row],[Frequency_of_Purchase]]</f>
        <v>0.2</v>
      </c>
      <c r="AZ659">
        <f>tbl_OriginalData[[#This Row],[Customer_Satisfaction]]</f>
        <v>4</v>
      </c>
      <c r="BA659" t="str">
        <f>tbl_OriginalData[[#This Row],[Engagement_with_Ads]]</f>
        <v>High</v>
      </c>
      <c r="BB659" t="str">
        <f>tbl_OriginalData[[#This Row],[Device_Used_for_Shopping]]</f>
        <v>Smartphone</v>
      </c>
      <c r="BC659" t="str">
        <f>tbl_OriginalData[[#This Row],[Payment_Method]]</f>
        <v>Debit Card</v>
      </c>
      <c r="BD659" s="1">
        <f>tbl_OriginalData[[#This Row],[Time_of_Purchase]]</f>
        <v>45538</v>
      </c>
      <c r="BE659" t="str">
        <f>IF(tbl_OriginalData[[#This Row],[Discount_Used]]=TRUE,"Yes","No")</f>
        <v>No</v>
      </c>
      <c r="BF659" t="str">
        <f>IF(tbl_OriginalData[[#This Row],[Customer_Loyalty_Program_Member]]=TRUE,"Yes","No")</f>
        <v>No</v>
      </c>
      <c r="BG659" t="str">
        <f>tbl_OriginalData[[#This Row],[Purchase_Intent]]</f>
        <v>Planned</v>
      </c>
      <c r="BH659" t="str">
        <f>tbl_OriginalData[[#This Row],[Shipping_Preference]]</f>
        <v>No Preference</v>
      </c>
      <c r="BI659">
        <f>tbl_OriginalData[[#This Row],[Time_to_Decision]]</f>
        <v>2</v>
      </c>
      <c r="BJ659" t="s">
        <v>172</v>
      </c>
      <c r="BK659" t="s">
        <v>115</v>
      </c>
      <c r="BL659" t="s">
        <v>2524</v>
      </c>
    </row>
    <row r="660" spans="1:64">
      <c r="A660" t="s">
        <v>1539</v>
      </c>
      <c r="B660">
        <v>33</v>
      </c>
      <c r="C660" t="s">
        <v>50</v>
      </c>
      <c r="D660" t="s">
        <v>51</v>
      </c>
      <c r="E660" t="s">
        <v>92</v>
      </c>
      <c r="F660" t="s">
        <v>52</v>
      </c>
      <c r="G660" t="s">
        <v>51</v>
      </c>
      <c r="H660" t="s">
        <v>1540</v>
      </c>
      <c r="I660" t="s">
        <v>98</v>
      </c>
      <c r="J660">
        <v>55.73</v>
      </c>
      <c r="K660">
        <v>12</v>
      </c>
      <c r="L660" t="s">
        <v>55</v>
      </c>
      <c r="M660">
        <v>4</v>
      </c>
      <c r="N660">
        <v>3</v>
      </c>
      <c r="O660">
        <v>0.3</v>
      </c>
      <c r="P660" t="s">
        <v>56</v>
      </c>
      <c r="Q660" t="s">
        <v>57</v>
      </c>
      <c r="R660">
        <v>1</v>
      </c>
      <c r="S660">
        <v>3</v>
      </c>
      <c r="T660" t="s">
        <v>51</v>
      </c>
      <c r="U660" t="s">
        <v>42</v>
      </c>
      <c r="V660" t="s">
        <v>58</v>
      </c>
      <c r="W660" s="1">
        <v>45431</v>
      </c>
      <c r="X660" t="b">
        <v>0</v>
      </c>
      <c r="Y660" t="b">
        <v>1</v>
      </c>
      <c r="Z660" t="s">
        <v>44</v>
      </c>
      <c r="AA660" t="s">
        <v>77</v>
      </c>
      <c r="AB660">
        <v>3</v>
      </c>
      <c r="AF660" t="str">
        <f>tbl_OriginalData[[#This Row],[Customer_ID]]</f>
        <v>84-208-7045</v>
      </c>
      <c r="AG660">
        <f>tbl_OriginalData[[#This Row],[Age]]</f>
        <v>33</v>
      </c>
      <c r="AH660" t="str" cm="1">
        <f t="array" ref="AH66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60" t="str">
        <f>tbl_OriginalData[[#This Row],[Gender]]</f>
        <v>Male</v>
      </c>
      <c r="AJ660" t="str">
        <f>tbl_OriginalData[[#This Row],[Income_Level]]</f>
        <v>High</v>
      </c>
      <c r="AK660" t="str">
        <f>tbl_OriginalData[[#This Row],[Marital_Status]]</f>
        <v>Divorced</v>
      </c>
      <c r="AL660" t="str">
        <f>tbl_OriginalData[[#This Row],[Education_Level]]</f>
        <v>High School</v>
      </c>
      <c r="AM660" t="str">
        <f>tbl_OriginalData[[#This Row],[Occupation]]</f>
        <v>High</v>
      </c>
      <c r="AN660" t="s">
        <v>1540</v>
      </c>
      <c r="AO660" t="s">
        <v>186</v>
      </c>
      <c r="AP660" t="str">
        <f>tbl_OriginalData[[#This Row],[Purchase_Category]]</f>
        <v>Books</v>
      </c>
      <c r="AQ660" s="4">
        <f>tbl_OriginalData[[#This Row],[Purchase_Amount]]</f>
        <v>55.73</v>
      </c>
      <c r="AR660">
        <f>tbl_OriginalData[[#This Row],[Frequency_of_Purchase]]</f>
        <v>12</v>
      </c>
      <c r="AS660" t="str">
        <f>tbl_OriginalData[[#This Row],[Purchase_Channel]]</f>
        <v>In-Store</v>
      </c>
      <c r="AT660">
        <f>tbl_OriginalData[[#This Row],[Brand_Loyalty]]</f>
        <v>4</v>
      </c>
      <c r="AU660">
        <f>tbl_OriginalData[[#This Row],[Product_Rating]]</f>
        <v>3</v>
      </c>
      <c r="AV660">
        <f>tbl_OriginalData[[#This Row],[Time_Spent_on_Product_Research(hours)]]*60</f>
        <v>18</v>
      </c>
      <c r="AW660" t="str">
        <f>tbl_OriginalData[[#This Row],[Social_Media_Influence]]</f>
        <v>Medium</v>
      </c>
      <c r="AX660" t="str">
        <f>tbl_OriginalData[[#This Row],[Discount_Sensitivity]]</f>
        <v>Not Sensitive</v>
      </c>
      <c r="AY660" s="3">
        <f>tbl_OriginalData[[#This Row],[Return_Rate]]/tbl_OriginalData[[#This Row],[Frequency_of_Purchase]]</f>
        <v>8.3333333333333329E-2</v>
      </c>
      <c r="AZ660">
        <f>tbl_OriginalData[[#This Row],[Customer_Satisfaction]]</f>
        <v>3</v>
      </c>
      <c r="BA660" t="str">
        <f>tbl_OriginalData[[#This Row],[Engagement_with_Ads]]</f>
        <v>High</v>
      </c>
      <c r="BB660" t="str">
        <f>tbl_OriginalData[[#This Row],[Device_Used_for_Shopping]]</f>
        <v>Tablet</v>
      </c>
      <c r="BC660" t="str">
        <f>tbl_OriginalData[[#This Row],[Payment_Method]]</f>
        <v>PayPal</v>
      </c>
      <c r="BD660" s="1">
        <f>tbl_OriginalData[[#This Row],[Time_of_Purchase]]</f>
        <v>45431</v>
      </c>
      <c r="BE660" t="str">
        <f>IF(tbl_OriginalData[[#This Row],[Discount_Used]]=TRUE,"Yes","No")</f>
        <v>No</v>
      </c>
      <c r="BF660" t="str">
        <f>IF(tbl_OriginalData[[#This Row],[Customer_Loyalty_Program_Member]]=TRUE,"Yes","No")</f>
        <v>Yes</v>
      </c>
      <c r="BG660" t="str">
        <f>tbl_OriginalData[[#This Row],[Purchase_Intent]]</f>
        <v>Need-based</v>
      </c>
      <c r="BH660" t="str">
        <f>tbl_OriginalData[[#This Row],[Shipping_Preference]]</f>
        <v>Express</v>
      </c>
      <c r="BI660">
        <f>tbl_OriginalData[[#This Row],[Time_to_Decision]]</f>
        <v>3</v>
      </c>
      <c r="BJ660" t="s">
        <v>167</v>
      </c>
      <c r="BK660" t="s">
        <v>63</v>
      </c>
      <c r="BL660" t="s">
        <v>2523</v>
      </c>
    </row>
    <row r="661" spans="1:64">
      <c r="A661" t="s">
        <v>1541</v>
      </c>
      <c r="B661">
        <v>46</v>
      </c>
      <c r="C661" t="s">
        <v>50</v>
      </c>
      <c r="D661" t="s">
        <v>51</v>
      </c>
      <c r="E661" t="s">
        <v>65</v>
      </c>
      <c r="F661" t="s">
        <v>36</v>
      </c>
      <c r="G661" t="s">
        <v>51</v>
      </c>
      <c r="H661" t="s">
        <v>1542</v>
      </c>
      <c r="I661" t="s">
        <v>150</v>
      </c>
      <c r="J661">
        <v>256.44</v>
      </c>
      <c r="K661">
        <v>8</v>
      </c>
      <c r="L661" t="s">
        <v>55</v>
      </c>
      <c r="M661">
        <v>4</v>
      </c>
      <c r="N661">
        <v>1</v>
      </c>
      <c r="O661">
        <v>2</v>
      </c>
      <c r="P661" t="s">
        <v>51</v>
      </c>
      <c r="Q661" t="s">
        <v>41</v>
      </c>
      <c r="R661">
        <v>1</v>
      </c>
      <c r="S661">
        <v>6</v>
      </c>
      <c r="T661" t="s">
        <v>56</v>
      </c>
      <c r="U661" t="s">
        <v>42</v>
      </c>
      <c r="V661" t="s">
        <v>76</v>
      </c>
      <c r="W661" s="1">
        <v>45508</v>
      </c>
      <c r="X661" t="b">
        <v>0</v>
      </c>
      <c r="Y661" t="b">
        <v>0</v>
      </c>
      <c r="Z661" t="s">
        <v>59</v>
      </c>
      <c r="AA661" t="s">
        <v>77</v>
      </c>
      <c r="AB661">
        <v>3</v>
      </c>
      <c r="AF661" t="str">
        <f>tbl_OriginalData[[#This Row],[Customer_ID]]</f>
        <v>71-568-0867</v>
      </c>
      <c r="AG661">
        <f>tbl_OriginalData[[#This Row],[Age]]</f>
        <v>46</v>
      </c>
      <c r="AH661" t="str" cm="1">
        <f t="array" ref="AH66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61" t="str">
        <f>tbl_OriginalData[[#This Row],[Gender]]</f>
        <v>Male</v>
      </c>
      <c r="AJ661" t="str">
        <f>tbl_OriginalData[[#This Row],[Income_Level]]</f>
        <v>High</v>
      </c>
      <c r="AK661" t="str">
        <f>tbl_OriginalData[[#This Row],[Marital_Status]]</f>
        <v>Single</v>
      </c>
      <c r="AL661" t="str">
        <f>tbl_OriginalData[[#This Row],[Education_Level]]</f>
        <v>Bachelor's</v>
      </c>
      <c r="AM661" t="str">
        <f>tbl_OriginalData[[#This Row],[Occupation]]</f>
        <v>High</v>
      </c>
      <c r="AN661" t="s">
        <v>1542</v>
      </c>
      <c r="AO661" t="s">
        <v>90</v>
      </c>
      <c r="AP661" t="str">
        <f>tbl_OriginalData[[#This Row],[Purchase_Category]]</f>
        <v>Software &amp; Apps</v>
      </c>
      <c r="AQ661" s="4">
        <f>tbl_OriginalData[[#This Row],[Purchase_Amount]]</f>
        <v>256.44</v>
      </c>
      <c r="AR661">
        <f>tbl_OriginalData[[#This Row],[Frequency_of_Purchase]]</f>
        <v>8</v>
      </c>
      <c r="AS661" t="str">
        <f>tbl_OriginalData[[#This Row],[Purchase_Channel]]</f>
        <v>In-Store</v>
      </c>
      <c r="AT661">
        <f>tbl_OriginalData[[#This Row],[Brand_Loyalty]]</f>
        <v>4</v>
      </c>
      <c r="AU661">
        <f>tbl_OriginalData[[#This Row],[Product_Rating]]</f>
        <v>1</v>
      </c>
      <c r="AV661">
        <f>tbl_OriginalData[[#This Row],[Time_Spent_on_Product_Research(hours)]]*60</f>
        <v>120</v>
      </c>
      <c r="AW661" t="str">
        <f>tbl_OriginalData[[#This Row],[Social_Media_Influence]]</f>
        <v>High</v>
      </c>
      <c r="AX661" t="str">
        <f>tbl_OriginalData[[#This Row],[Discount_Sensitivity]]</f>
        <v>Somewhat Sensitive</v>
      </c>
      <c r="AY661" s="3">
        <f>tbl_OriginalData[[#This Row],[Return_Rate]]/tbl_OriginalData[[#This Row],[Frequency_of_Purchase]]</f>
        <v>0.125</v>
      </c>
      <c r="AZ661">
        <f>tbl_OriginalData[[#This Row],[Customer_Satisfaction]]</f>
        <v>6</v>
      </c>
      <c r="BA661" t="str">
        <f>tbl_OriginalData[[#This Row],[Engagement_with_Ads]]</f>
        <v>Medium</v>
      </c>
      <c r="BB661" t="str">
        <f>tbl_OriginalData[[#This Row],[Device_Used_for_Shopping]]</f>
        <v>Tablet</v>
      </c>
      <c r="BC661" t="str">
        <f>tbl_OriginalData[[#This Row],[Payment_Method]]</f>
        <v>Other</v>
      </c>
      <c r="BD661" s="1">
        <f>tbl_OriginalData[[#This Row],[Time_of_Purchase]]</f>
        <v>45508</v>
      </c>
      <c r="BE661" t="str">
        <f>IF(tbl_OriginalData[[#This Row],[Discount_Used]]=TRUE,"Yes","No")</f>
        <v>No</v>
      </c>
      <c r="BF661" t="str">
        <f>IF(tbl_OriginalData[[#This Row],[Customer_Loyalty_Program_Member]]=TRUE,"Yes","No")</f>
        <v>No</v>
      </c>
      <c r="BG661" t="str">
        <f>tbl_OriginalData[[#This Row],[Purchase_Intent]]</f>
        <v>Wants-based</v>
      </c>
      <c r="BH661" t="str">
        <f>tbl_OriginalData[[#This Row],[Shipping_Preference]]</f>
        <v>Express</v>
      </c>
      <c r="BI661">
        <f>tbl_OriginalData[[#This Row],[Time_to_Decision]]</f>
        <v>3</v>
      </c>
      <c r="BJ661" t="s">
        <v>124</v>
      </c>
      <c r="BK661" t="s">
        <v>115</v>
      </c>
      <c r="BL661" t="s">
        <v>2524</v>
      </c>
    </row>
    <row r="662" spans="1:64">
      <c r="A662" t="s">
        <v>1543</v>
      </c>
      <c r="B662">
        <v>23</v>
      </c>
      <c r="C662" t="s">
        <v>33</v>
      </c>
      <c r="D662" t="s">
        <v>51</v>
      </c>
      <c r="E662" t="s">
        <v>35</v>
      </c>
      <c r="F662" t="s">
        <v>36</v>
      </c>
      <c r="G662" t="s">
        <v>51</v>
      </c>
      <c r="H662" t="s">
        <v>1544</v>
      </c>
      <c r="I662" t="s">
        <v>156</v>
      </c>
      <c r="J662">
        <v>337.21</v>
      </c>
      <c r="K662">
        <v>12</v>
      </c>
      <c r="L662" t="s">
        <v>94</v>
      </c>
      <c r="M662">
        <v>1</v>
      </c>
      <c r="N662">
        <v>5</v>
      </c>
      <c r="O662">
        <v>1</v>
      </c>
      <c r="P662" t="s">
        <v>69</v>
      </c>
      <c r="Q662" t="s">
        <v>41</v>
      </c>
      <c r="R662">
        <v>0</v>
      </c>
      <c r="S662">
        <v>9</v>
      </c>
      <c r="T662" t="s">
        <v>40</v>
      </c>
      <c r="U662" t="s">
        <v>70</v>
      </c>
      <c r="V662" t="s">
        <v>71</v>
      </c>
      <c r="W662" s="1">
        <v>45589</v>
      </c>
      <c r="X662" t="b">
        <v>1</v>
      </c>
      <c r="Y662" t="b">
        <v>1</v>
      </c>
      <c r="Z662" t="s">
        <v>89</v>
      </c>
      <c r="AA662" t="s">
        <v>77</v>
      </c>
      <c r="AB662">
        <v>11</v>
      </c>
      <c r="AF662" t="str">
        <f>tbl_OriginalData[[#This Row],[Customer_ID]]</f>
        <v>18-925-1867</v>
      </c>
      <c r="AG662">
        <f>tbl_OriginalData[[#This Row],[Age]]</f>
        <v>23</v>
      </c>
      <c r="AH662" t="str" cm="1">
        <f t="array" ref="AH66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62" t="str">
        <f>tbl_OriginalData[[#This Row],[Gender]]</f>
        <v>Female</v>
      </c>
      <c r="AJ662" t="str">
        <f>tbl_OriginalData[[#This Row],[Income_Level]]</f>
        <v>High</v>
      </c>
      <c r="AK662" t="str">
        <f>tbl_OriginalData[[#This Row],[Marital_Status]]</f>
        <v>Married</v>
      </c>
      <c r="AL662" t="str">
        <f>tbl_OriginalData[[#This Row],[Education_Level]]</f>
        <v>Bachelor's</v>
      </c>
      <c r="AM662" t="str">
        <f>tbl_OriginalData[[#This Row],[Occupation]]</f>
        <v>High</v>
      </c>
      <c r="AN662" t="s">
        <v>1544</v>
      </c>
      <c r="AO662" t="s">
        <v>161</v>
      </c>
      <c r="AP662" t="str">
        <f>tbl_OriginalData[[#This Row],[Purchase_Category]]</f>
        <v>Toys &amp; Games</v>
      </c>
      <c r="AQ662" s="4">
        <f>tbl_OriginalData[[#This Row],[Purchase_Amount]]</f>
        <v>337.21</v>
      </c>
      <c r="AR662">
        <f>tbl_OriginalData[[#This Row],[Frequency_of_Purchase]]</f>
        <v>12</v>
      </c>
      <c r="AS662" t="str">
        <f>tbl_OriginalData[[#This Row],[Purchase_Channel]]</f>
        <v>Online</v>
      </c>
      <c r="AT662">
        <f>tbl_OriginalData[[#This Row],[Brand_Loyalty]]</f>
        <v>1</v>
      </c>
      <c r="AU662">
        <f>tbl_OriginalData[[#This Row],[Product_Rating]]</f>
        <v>5</v>
      </c>
      <c r="AV662">
        <f>tbl_OriginalData[[#This Row],[Time_Spent_on_Product_Research(hours)]]*60</f>
        <v>60</v>
      </c>
      <c r="AW662" t="str">
        <f>tbl_OriginalData[[#This Row],[Social_Media_Influence]]</f>
        <v>Low</v>
      </c>
      <c r="AX662" t="str">
        <f>tbl_OriginalData[[#This Row],[Discount_Sensitivity]]</f>
        <v>Somewhat Sensitive</v>
      </c>
      <c r="AY662" s="3">
        <f>tbl_OriginalData[[#This Row],[Return_Rate]]/tbl_OriginalData[[#This Row],[Frequency_of_Purchase]]</f>
        <v>0</v>
      </c>
      <c r="AZ662">
        <f>tbl_OriginalData[[#This Row],[Customer_Satisfaction]]</f>
        <v>9</v>
      </c>
      <c r="BA662" t="str">
        <f>tbl_OriginalData[[#This Row],[Engagement_with_Ads]]</f>
        <v>None</v>
      </c>
      <c r="BB662" t="str">
        <f>tbl_OriginalData[[#This Row],[Device_Used_for_Shopping]]</f>
        <v>Smartphone</v>
      </c>
      <c r="BC662" t="str">
        <f>tbl_OriginalData[[#This Row],[Payment_Method]]</f>
        <v>Debit Card</v>
      </c>
      <c r="BD662" s="1">
        <f>tbl_OriginalData[[#This Row],[Time_of_Purchase]]</f>
        <v>45589</v>
      </c>
      <c r="BE662" t="str">
        <f>IF(tbl_OriginalData[[#This Row],[Discount_Used]]=TRUE,"Yes","No")</f>
        <v>Yes</v>
      </c>
      <c r="BF662" t="str">
        <f>IF(tbl_OriginalData[[#This Row],[Customer_Loyalty_Program_Member]]=TRUE,"Yes","No")</f>
        <v>Yes</v>
      </c>
      <c r="BG662" t="str">
        <f>tbl_OriginalData[[#This Row],[Purchase_Intent]]</f>
        <v>Planned</v>
      </c>
      <c r="BH662" t="str">
        <f>tbl_OriginalData[[#This Row],[Shipping_Preference]]</f>
        <v>Express</v>
      </c>
      <c r="BI662">
        <f>tbl_OriginalData[[#This Row],[Time_to_Decision]]</f>
        <v>11</v>
      </c>
      <c r="BJ662" t="s">
        <v>79</v>
      </c>
      <c r="BK662" t="s">
        <v>80</v>
      </c>
      <c r="BL662" t="s">
        <v>2527</v>
      </c>
    </row>
    <row r="663" spans="1:64">
      <c r="A663" t="s">
        <v>1545</v>
      </c>
      <c r="B663">
        <v>35</v>
      </c>
      <c r="C663" t="s">
        <v>33</v>
      </c>
      <c r="D663" t="s">
        <v>51</v>
      </c>
      <c r="E663" t="s">
        <v>65</v>
      </c>
      <c r="F663" t="s">
        <v>66</v>
      </c>
      <c r="G663" t="s">
        <v>34</v>
      </c>
      <c r="H663" t="s">
        <v>1546</v>
      </c>
      <c r="I663" t="s">
        <v>150</v>
      </c>
      <c r="J663">
        <v>494.97</v>
      </c>
      <c r="K663">
        <v>12</v>
      </c>
      <c r="L663" t="s">
        <v>55</v>
      </c>
      <c r="M663">
        <v>5</v>
      </c>
      <c r="N663">
        <v>4</v>
      </c>
      <c r="O663">
        <v>2</v>
      </c>
      <c r="P663" t="s">
        <v>69</v>
      </c>
      <c r="Q663" t="s">
        <v>57</v>
      </c>
      <c r="R663">
        <v>1</v>
      </c>
      <c r="S663">
        <v>5</v>
      </c>
      <c r="T663" t="s">
        <v>69</v>
      </c>
      <c r="U663" t="s">
        <v>42</v>
      </c>
      <c r="V663" t="s">
        <v>71</v>
      </c>
      <c r="W663" s="1">
        <v>45520</v>
      </c>
      <c r="X663" t="b">
        <v>0</v>
      </c>
      <c r="Y663" t="b">
        <v>0</v>
      </c>
      <c r="Z663" t="s">
        <v>89</v>
      </c>
      <c r="AA663" t="s">
        <v>45</v>
      </c>
      <c r="AB663">
        <v>7</v>
      </c>
      <c r="AF663" t="str">
        <f>tbl_OriginalData[[#This Row],[Customer_ID]]</f>
        <v>69-394-1424</v>
      </c>
      <c r="AG663">
        <f>tbl_OriginalData[[#This Row],[Age]]</f>
        <v>35</v>
      </c>
      <c r="AH663" t="str" cm="1">
        <f t="array" ref="AH66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63" t="str">
        <f>tbl_OriginalData[[#This Row],[Gender]]</f>
        <v>Female</v>
      </c>
      <c r="AJ663" t="str">
        <f>tbl_OriginalData[[#This Row],[Income_Level]]</f>
        <v>High</v>
      </c>
      <c r="AK663" t="str">
        <f>tbl_OriginalData[[#This Row],[Marital_Status]]</f>
        <v>Single</v>
      </c>
      <c r="AL663" t="str">
        <f>tbl_OriginalData[[#This Row],[Education_Level]]</f>
        <v>Master's</v>
      </c>
      <c r="AM663" t="str">
        <f>tbl_OriginalData[[#This Row],[Occupation]]</f>
        <v>Middle</v>
      </c>
      <c r="AN663" t="s">
        <v>1546</v>
      </c>
      <c r="AO663" t="s">
        <v>1547</v>
      </c>
      <c r="AP663" t="str">
        <f>tbl_OriginalData[[#This Row],[Purchase_Category]]</f>
        <v>Software &amp; Apps</v>
      </c>
      <c r="AQ663" s="4">
        <f>tbl_OriginalData[[#This Row],[Purchase_Amount]]</f>
        <v>494.97</v>
      </c>
      <c r="AR663">
        <f>tbl_OriginalData[[#This Row],[Frequency_of_Purchase]]</f>
        <v>12</v>
      </c>
      <c r="AS663" t="str">
        <f>tbl_OriginalData[[#This Row],[Purchase_Channel]]</f>
        <v>In-Store</v>
      </c>
      <c r="AT663">
        <f>tbl_OriginalData[[#This Row],[Brand_Loyalty]]</f>
        <v>5</v>
      </c>
      <c r="AU663">
        <f>tbl_OriginalData[[#This Row],[Product_Rating]]</f>
        <v>4</v>
      </c>
      <c r="AV663">
        <f>tbl_OriginalData[[#This Row],[Time_Spent_on_Product_Research(hours)]]*60</f>
        <v>120</v>
      </c>
      <c r="AW663" t="str">
        <f>tbl_OriginalData[[#This Row],[Social_Media_Influence]]</f>
        <v>Low</v>
      </c>
      <c r="AX663" t="str">
        <f>tbl_OriginalData[[#This Row],[Discount_Sensitivity]]</f>
        <v>Not Sensitive</v>
      </c>
      <c r="AY663" s="3">
        <f>tbl_OriginalData[[#This Row],[Return_Rate]]/tbl_OriginalData[[#This Row],[Frequency_of_Purchase]]</f>
        <v>8.3333333333333329E-2</v>
      </c>
      <c r="AZ663">
        <f>tbl_OriginalData[[#This Row],[Customer_Satisfaction]]</f>
        <v>5</v>
      </c>
      <c r="BA663" t="str">
        <f>tbl_OriginalData[[#This Row],[Engagement_with_Ads]]</f>
        <v>Low</v>
      </c>
      <c r="BB663" t="str">
        <f>tbl_OriginalData[[#This Row],[Device_Used_for_Shopping]]</f>
        <v>Tablet</v>
      </c>
      <c r="BC663" t="str">
        <f>tbl_OriginalData[[#This Row],[Payment_Method]]</f>
        <v>Debit Card</v>
      </c>
      <c r="BD663" s="1">
        <f>tbl_OriginalData[[#This Row],[Time_of_Purchase]]</f>
        <v>45520</v>
      </c>
      <c r="BE663" t="str">
        <f>IF(tbl_OriginalData[[#This Row],[Discount_Used]]=TRUE,"Yes","No")</f>
        <v>No</v>
      </c>
      <c r="BF663" t="str">
        <f>IF(tbl_OriginalData[[#This Row],[Customer_Loyalty_Program_Member]]=TRUE,"Yes","No")</f>
        <v>No</v>
      </c>
      <c r="BG663" t="str">
        <f>tbl_OriginalData[[#This Row],[Purchase_Intent]]</f>
        <v>Planned</v>
      </c>
      <c r="BH663" t="str">
        <f>tbl_OriginalData[[#This Row],[Shipping_Preference]]</f>
        <v>No Preference</v>
      </c>
      <c r="BI663">
        <f>tbl_OriginalData[[#This Row],[Time_to_Decision]]</f>
        <v>7</v>
      </c>
      <c r="BJ663" t="s">
        <v>124</v>
      </c>
      <c r="BK663" t="s">
        <v>115</v>
      </c>
      <c r="BL663" t="s">
        <v>2523</v>
      </c>
    </row>
    <row r="664" spans="1:64">
      <c r="A664" t="s">
        <v>1548</v>
      </c>
      <c r="B664">
        <v>31</v>
      </c>
      <c r="C664" t="s">
        <v>33</v>
      </c>
      <c r="D664" t="s">
        <v>34</v>
      </c>
      <c r="E664" t="s">
        <v>82</v>
      </c>
      <c r="F664" t="s">
        <v>52</v>
      </c>
      <c r="G664" t="s">
        <v>51</v>
      </c>
      <c r="H664" t="s">
        <v>1549</v>
      </c>
      <c r="I664" t="s">
        <v>170</v>
      </c>
      <c r="J664">
        <v>238.58</v>
      </c>
      <c r="K664">
        <v>6</v>
      </c>
      <c r="L664" t="s">
        <v>94</v>
      </c>
      <c r="M664">
        <v>3</v>
      </c>
      <c r="N664">
        <v>2</v>
      </c>
      <c r="O664">
        <v>2</v>
      </c>
      <c r="P664" t="s">
        <v>56</v>
      </c>
      <c r="Q664" t="s">
        <v>101</v>
      </c>
      <c r="R664">
        <v>2</v>
      </c>
      <c r="S664">
        <v>9</v>
      </c>
      <c r="T664" t="s">
        <v>56</v>
      </c>
      <c r="U664" t="s">
        <v>42</v>
      </c>
      <c r="V664" t="s">
        <v>58</v>
      </c>
      <c r="W664" s="1">
        <v>45454</v>
      </c>
      <c r="X664" t="b">
        <v>1</v>
      </c>
      <c r="Y664" t="b">
        <v>1</v>
      </c>
      <c r="Z664" t="s">
        <v>59</v>
      </c>
      <c r="AA664" t="s">
        <v>60</v>
      </c>
      <c r="AB664">
        <v>8</v>
      </c>
      <c r="AF664" t="str">
        <f>tbl_OriginalData[[#This Row],[Customer_ID]]</f>
        <v>91-695-8237</v>
      </c>
      <c r="AG664">
        <f>tbl_OriginalData[[#This Row],[Age]]</f>
        <v>31</v>
      </c>
      <c r="AH664" t="str" cm="1">
        <f t="array" ref="AH66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64" t="str">
        <f>tbl_OriginalData[[#This Row],[Gender]]</f>
        <v>Female</v>
      </c>
      <c r="AJ664" t="str">
        <f>tbl_OriginalData[[#This Row],[Income_Level]]</f>
        <v>Middle</v>
      </c>
      <c r="AK664" t="str">
        <f>tbl_OriginalData[[#This Row],[Marital_Status]]</f>
        <v>Widowed</v>
      </c>
      <c r="AL664" t="str">
        <f>tbl_OriginalData[[#This Row],[Education_Level]]</f>
        <v>High School</v>
      </c>
      <c r="AM664" t="str">
        <f>tbl_OriginalData[[#This Row],[Occupation]]</f>
        <v>High</v>
      </c>
      <c r="AN664" t="s">
        <v>1549</v>
      </c>
      <c r="AO664" t="s">
        <v>128</v>
      </c>
      <c r="AP664" t="str">
        <f>tbl_OriginalData[[#This Row],[Purchase_Category]]</f>
        <v>Arts &amp; Crafts</v>
      </c>
      <c r="AQ664" s="4">
        <f>tbl_OriginalData[[#This Row],[Purchase_Amount]]</f>
        <v>238.58</v>
      </c>
      <c r="AR664">
        <f>tbl_OriginalData[[#This Row],[Frequency_of_Purchase]]</f>
        <v>6</v>
      </c>
      <c r="AS664" t="str">
        <f>tbl_OriginalData[[#This Row],[Purchase_Channel]]</f>
        <v>Online</v>
      </c>
      <c r="AT664">
        <f>tbl_OriginalData[[#This Row],[Brand_Loyalty]]</f>
        <v>3</v>
      </c>
      <c r="AU664">
        <f>tbl_OriginalData[[#This Row],[Product_Rating]]</f>
        <v>2</v>
      </c>
      <c r="AV664">
        <f>tbl_OriginalData[[#This Row],[Time_Spent_on_Product_Research(hours)]]*60</f>
        <v>120</v>
      </c>
      <c r="AW664" t="str">
        <f>tbl_OriginalData[[#This Row],[Social_Media_Influence]]</f>
        <v>Medium</v>
      </c>
      <c r="AX664" t="str">
        <f>tbl_OriginalData[[#This Row],[Discount_Sensitivity]]</f>
        <v>Very Sensitive</v>
      </c>
      <c r="AY664" s="3">
        <f>tbl_OriginalData[[#This Row],[Return_Rate]]/tbl_OriginalData[[#This Row],[Frequency_of_Purchase]]</f>
        <v>0.33333333333333331</v>
      </c>
      <c r="AZ664">
        <f>tbl_OriginalData[[#This Row],[Customer_Satisfaction]]</f>
        <v>9</v>
      </c>
      <c r="BA664" t="str">
        <f>tbl_OriginalData[[#This Row],[Engagement_with_Ads]]</f>
        <v>Medium</v>
      </c>
      <c r="BB664" t="str">
        <f>tbl_OriginalData[[#This Row],[Device_Used_for_Shopping]]</f>
        <v>Tablet</v>
      </c>
      <c r="BC664" t="str">
        <f>tbl_OriginalData[[#This Row],[Payment_Method]]</f>
        <v>PayPal</v>
      </c>
      <c r="BD664" s="1">
        <f>tbl_OriginalData[[#This Row],[Time_of_Purchase]]</f>
        <v>45454</v>
      </c>
      <c r="BE664" t="str">
        <f>IF(tbl_OriginalData[[#This Row],[Discount_Used]]=TRUE,"Yes","No")</f>
        <v>Yes</v>
      </c>
      <c r="BF664" t="str">
        <f>IF(tbl_OriginalData[[#This Row],[Customer_Loyalty_Program_Member]]=TRUE,"Yes","No")</f>
        <v>Yes</v>
      </c>
      <c r="BG664" t="str">
        <f>tbl_OriginalData[[#This Row],[Purchase_Intent]]</f>
        <v>Wants-based</v>
      </c>
      <c r="BH664" t="str">
        <f>tbl_OriginalData[[#This Row],[Shipping_Preference]]</f>
        <v>Standard</v>
      </c>
      <c r="BI664">
        <f>tbl_OriginalData[[#This Row],[Time_to_Decision]]</f>
        <v>8</v>
      </c>
      <c r="BJ664" t="s">
        <v>104</v>
      </c>
      <c r="BK664" t="s">
        <v>63</v>
      </c>
      <c r="BL664" t="s">
        <v>2523</v>
      </c>
    </row>
    <row r="665" spans="1:64">
      <c r="A665" t="s">
        <v>1550</v>
      </c>
      <c r="B665">
        <v>20</v>
      </c>
      <c r="C665" t="s">
        <v>33</v>
      </c>
      <c r="D665" t="s">
        <v>51</v>
      </c>
      <c r="E665" t="s">
        <v>65</v>
      </c>
      <c r="F665" t="s">
        <v>36</v>
      </c>
      <c r="G665" t="s">
        <v>51</v>
      </c>
      <c r="H665" t="s">
        <v>1551</v>
      </c>
      <c r="I665" t="s">
        <v>108</v>
      </c>
      <c r="J665">
        <v>131.9</v>
      </c>
      <c r="K665">
        <v>8</v>
      </c>
      <c r="L665" t="s">
        <v>39</v>
      </c>
      <c r="M665">
        <v>3</v>
      </c>
      <c r="N665">
        <v>5</v>
      </c>
      <c r="O665">
        <v>0</v>
      </c>
      <c r="P665" t="s">
        <v>40</v>
      </c>
      <c r="Q665" t="s">
        <v>57</v>
      </c>
      <c r="R665">
        <v>2</v>
      </c>
      <c r="S665">
        <v>4</v>
      </c>
      <c r="T665" t="s">
        <v>56</v>
      </c>
      <c r="U665" t="s">
        <v>42</v>
      </c>
      <c r="V665" t="s">
        <v>43</v>
      </c>
      <c r="W665" s="1">
        <v>45597</v>
      </c>
      <c r="X665" t="b">
        <v>1</v>
      </c>
      <c r="Y665" t="b">
        <v>1</v>
      </c>
      <c r="Z665" t="s">
        <v>89</v>
      </c>
      <c r="AA665" t="s">
        <v>45</v>
      </c>
      <c r="AB665">
        <v>4</v>
      </c>
      <c r="AF665" t="str">
        <f>tbl_OriginalData[[#This Row],[Customer_ID]]</f>
        <v>68-458-0904</v>
      </c>
      <c r="AG665">
        <f>tbl_OriginalData[[#This Row],[Age]]</f>
        <v>20</v>
      </c>
      <c r="AH665" t="str" cm="1">
        <f t="array" ref="AH66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65" t="str">
        <f>tbl_OriginalData[[#This Row],[Gender]]</f>
        <v>Female</v>
      </c>
      <c r="AJ665" t="str">
        <f>tbl_OriginalData[[#This Row],[Income_Level]]</f>
        <v>High</v>
      </c>
      <c r="AK665" t="str">
        <f>tbl_OriginalData[[#This Row],[Marital_Status]]</f>
        <v>Single</v>
      </c>
      <c r="AL665" t="str">
        <f>tbl_OriginalData[[#This Row],[Education_Level]]</f>
        <v>Bachelor's</v>
      </c>
      <c r="AM665" t="str">
        <f>tbl_OriginalData[[#This Row],[Occupation]]</f>
        <v>High</v>
      </c>
      <c r="AN665" t="s">
        <v>1551</v>
      </c>
      <c r="AO665" t="s">
        <v>136</v>
      </c>
      <c r="AP665" t="str">
        <f>tbl_OriginalData[[#This Row],[Purchase_Category]]</f>
        <v>Sports &amp; Outdoors</v>
      </c>
      <c r="AQ665" s="4">
        <f>tbl_OriginalData[[#This Row],[Purchase_Amount]]</f>
        <v>131.9</v>
      </c>
      <c r="AR665">
        <f>tbl_OriginalData[[#This Row],[Frequency_of_Purchase]]</f>
        <v>8</v>
      </c>
      <c r="AS665" t="str">
        <f>tbl_OriginalData[[#This Row],[Purchase_Channel]]</f>
        <v>Mixed</v>
      </c>
      <c r="AT665">
        <f>tbl_OriginalData[[#This Row],[Brand_Loyalty]]</f>
        <v>3</v>
      </c>
      <c r="AU665">
        <f>tbl_OriginalData[[#This Row],[Product_Rating]]</f>
        <v>5</v>
      </c>
      <c r="AV665">
        <f>tbl_OriginalData[[#This Row],[Time_Spent_on_Product_Research(hours)]]*60</f>
        <v>0</v>
      </c>
      <c r="AW665" t="str">
        <f>tbl_OriginalData[[#This Row],[Social_Media_Influence]]</f>
        <v>None</v>
      </c>
      <c r="AX665" t="str">
        <f>tbl_OriginalData[[#This Row],[Discount_Sensitivity]]</f>
        <v>Not Sensitive</v>
      </c>
      <c r="AY665" s="3">
        <f>tbl_OriginalData[[#This Row],[Return_Rate]]/tbl_OriginalData[[#This Row],[Frequency_of_Purchase]]</f>
        <v>0.25</v>
      </c>
      <c r="AZ665">
        <f>tbl_OriginalData[[#This Row],[Customer_Satisfaction]]</f>
        <v>4</v>
      </c>
      <c r="BA665" t="str">
        <f>tbl_OriginalData[[#This Row],[Engagement_with_Ads]]</f>
        <v>Medium</v>
      </c>
      <c r="BB665" t="str">
        <f>tbl_OriginalData[[#This Row],[Device_Used_for_Shopping]]</f>
        <v>Tablet</v>
      </c>
      <c r="BC665" t="str">
        <f>tbl_OriginalData[[#This Row],[Payment_Method]]</f>
        <v>Credit Card</v>
      </c>
      <c r="BD665" s="1">
        <f>tbl_OriginalData[[#This Row],[Time_of_Purchase]]</f>
        <v>45597</v>
      </c>
      <c r="BE665" t="str">
        <f>IF(tbl_OriginalData[[#This Row],[Discount_Used]]=TRUE,"Yes","No")</f>
        <v>Yes</v>
      </c>
      <c r="BF665" t="str">
        <f>IF(tbl_OriginalData[[#This Row],[Customer_Loyalty_Program_Member]]=TRUE,"Yes","No")</f>
        <v>Yes</v>
      </c>
      <c r="BG665" t="str">
        <f>tbl_OriginalData[[#This Row],[Purchase_Intent]]</f>
        <v>Planned</v>
      </c>
      <c r="BH665" t="str">
        <f>tbl_OriginalData[[#This Row],[Shipping_Preference]]</f>
        <v>No Preference</v>
      </c>
      <c r="BI665">
        <f>tbl_OriginalData[[#This Row],[Time_to_Decision]]</f>
        <v>4</v>
      </c>
      <c r="BJ665" t="s">
        <v>177</v>
      </c>
      <c r="BK665" t="s">
        <v>80</v>
      </c>
      <c r="BL665" t="s">
        <v>2524</v>
      </c>
    </row>
    <row r="666" spans="1:64">
      <c r="A666" t="s">
        <v>1552</v>
      </c>
      <c r="B666">
        <v>49</v>
      </c>
      <c r="C666" t="s">
        <v>33</v>
      </c>
      <c r="D666" t="s">
        <v>34</v>
      </c>
      <c r="E666" t="s">
        <v>35</v>
      </c>
      <c r="F666" t="s">
        <v>36</v>
      </c>
      <c r="G666" t="s">
        <v>51</v>
      </c>
      <c r="H666" t="s">
        <v>1553</v>
      </c>
      <c r="I666" t="s">
        <v>54</v>
      </c>
      <c r="J666">
        <v>403.03</v>
      </c>
      <c r="K666">
        <v>12</v>
      </c>
      <c r="L666" t="s">
        <v>39</v>
      </c>
      <c r="M666">
        <v>1</v>
      </c>
      <c r="N666">
        <v>5</v>
      </c>
      <c r="O666">
        <v>1</v>
      </c>
      <c r="P666" t="s">
        <v>56</v>
      </c>
      <c r="Q666" t="s">
        <v>41</v>
      </c>
      <c r="R666">
        <v>0</v>
      </c>
      <c r="S666">
        <v>1</v>
      </c>
      <c r="T666" t="s">
        <v>51</v>
      </c>
      <c r="U666" t="s">
        <v>42</v>
      </c>
      <c r="V666" t="s">
        <v>76</v>
      </c>
      <c r="W666" s="1">
        <v>45526</v>
      </c>
      <c r="X666" t="b">
        <v>1</v>
      </c>
      <c r="Y666" t="b">
        <v>1</v>
      </c>
      <c r="Z666" t="s">
        <v>59</v>
      </c>
      <c r="AA666" t="s">
        <v>60</v>
      </c>
      <c r="AB666">
        <v>2</v>
      </c>
      <c r="AF666" t="str">
        <f>tbl_OriginalData[[#This Row],[Customer_ID]]</f>
        <v>28-862-5550</v>
      </c>
      <c r="AG666">
        <f>tbl_OriginalData[[#This Row],[Age]]</f>
        <v>49</v>
      </c>
      <c r="AH666" t="str" cm="1">
        <f t="array" ref="AH66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66" t="str">
        <f>tbl_OriginalData[[#This Row],[Gender]]</f>
        <v>Female</v>
      </c>
      <c r="AJ666" t="str">
        <f>tbl_OriginalData[[#This Row],[Income_Level]]</f>
        <v>Middle</v>
      </c>
      <c r="AK666" t="str">
        <f>tbl_OriginalData[[#This Row],[Marital_Status]]</f>
        <v>Married</v>
      </c>
      <c r="AL666" t="str">
        <f>tbl_OriginalData[[#This Row],[Education_Level]]</f>
        <v>Bachelor's</v>
      </c>
      <c r="AM666" t="str">
        <f>tbl_OriginalData[[#This Row],[Occupation]]</f>
        <v>High</v>
      </c>
      <c r="AN666" t="s">
        <v>1553</v>
      </c>
      <c r="AO666" t="s">
        <v>469</v>
      </c>
      <c r="AP666" t="str">
        <f>tbl_OriginalData[[#This Row],[Purchase_Category]]</f>
        <v>Food &amp; Beverages</v>
      </c>
      <c r="AQ666" s="4">
        <f>tbl_OriginalData[[#This Row],[Purchase_Amount]]</f>
        <v>403.03</v>
      </c>
      <c r="AR666">
        <f>tbl_OriginalData[[#This Row],[Frequency_of_Purchase]]</f>
        <v>12</v>
      </c>
      <c r="AS666" t="str">
        <f>tbl_OriginalData[[#This Row],[Purchase_Channel]]</f>
        <v>Mixed</v>
      </c>
      <c r="AT666">
        <f>tbl_OriginalData[[#This Row],[Brand_Loyalty]]</f>
        <v>1</v>
      </c>
      <c r="AU666">
        <f>tbl_OriginalData[[#This Row],[Product_Rating]]</f>
        <v>5</v>
      </c>
      <c r="AV666">
        <f>tbl_OriginalData[[#This Row],[Time_Spent_on_Product_Research(hours)]]*60</f>
        <v>60</v>
      </c>
      <c r="AW666" t="str">
        <f>tbl_OriginalData[[#This Row],[Social_Media_Influence]]</f>
        <v>Medium</v>
      </c>
      <c r="AX666" t="str">
        <f>tbl_OriginalData[[#This Row],[Discount_Sensitivity]]</f>
        <v>Somewhat Sensitive</v>
      </c>
      <c r="AY666" s="3">
        <f>tbl_OriginalData[[#This Row],[Return_Rate]]/tbl_OriginalData[[#This Row],[Frequency_of_Purchase]]</f>
        <v>0</v>
      </c>
      <c r="AZ666">
        <f>tbl_OriginalData[[#This Row],[Customer_Satisfaction]]</f>
        <v>1</v>
      </c>
      <c r="BA666" t="str">
        <f>tbl_OriginalData[[#This Row],[Engagement_with_Ads]]</f>
        <v>High</v>
      </c>
      <c r="BB666" t="str">
        <f>tbl_OriginalData[[#This Row],[Device_Used_for_Shopping]]</f>
        <v>Tablet</v>
      </c>
      <c r="BC666" t="str">
        <f>tbl_OriginalData[[#This Row],[Payment_Method]]</f>
        <v>Other</v>
      </c>
      <c r="BD666" s="1">
        <f>tbl_OriginalData[[#This Row],[Time_of_Purchase]]</f>
        <v>45526</v>
      </c>
      <c r="BE666" t="str">
        <f>IF(tbl_OriginalData[[#This Row],[Discount_Used]]=TRUE,"Yes","No")</f>
        <v>Yes</v>
      </c>
      <c r="BF666" t="str">
        <f>IF(tbl_OriginalData[[#This Row],[Customer_Loyalty_Program_Member]]=TRUE,"Yes","No")</f>
        <v>Yes</v>
      </c>
      <c r="BG666" t="str">
        <f>tbl_OriginalData[[#This Row],[Purchase_Intent]]</f>
        <v>Wants-based</v>
      </c>
      <c r="BH666" t="str">
        <f>tbl_OriginalData[[#This Row],[Shipping_Preference]]</f>
        <v>Standard</v>
      </c>
      <c r="BI666">
        <f>tbl_OriginalData[[#This Row],[Time_to_Decision]]</f>
        <v>2</v>
      </c>
      <c r="BJ666" t="s">
        <v>124</v>
      </c>
      <c r="BK666" t="s">
        <v>115</v>
      </c>
      <c r="BL666" t="s">
        <v>2527</v>
      </c>
    </row>
    <row r="667" spans="1:64">
      <c r="A667" t="s">
        <v>1554</v>
      </c>
      <c r="B667">
        <v>26</v>
      </c>
      <c r="C667" t="s">
        <v>33</v>
      </c>
      <c r="D667" t="s">
        <v>51</v>
      </c>
      <c r="E667" t="s">
        <v>82</v>
      </c>
      <c r="F667" t="s">
        <v>36</v>
      </c>
      <c r="G667" t="s">
        <v>51</v>
      </c>
      <c r="H667" t="s">
        <v>1555</v>
      </c>
      <c r="I667" t="s">
        <v>180</v>
      </c>
      <c r="J667">
        <v>338.6</v>
      </c>
      <c r="K667">
        <v>10</v>
      </c>
      <c r="L667" t="s">
        <v>55</v>
      </c>
      <c r="M667">
        <v>1</v>
      </c>
      <c r="N667">
        <v>3</v>
      </c>
      <c r="O667">
        <v>2</v>
      </c>
      <c r="P667" t="s">
        <v>56</v>
      </c>
      <c r="Q667" t="s">
        <v>41</v>
      </c>
      <c r="R667">
        <v>1</v>
      </c>
      <c r="S667">
        <v>3</v>
      </c>
      <c r="T667" t="s">
        <v>56</v>
      </c>
      <c r="U667" t="s">
        <v>95</v>
      </c>
      <c r="V667" t="s">
        <v>76</v>
      </c>
      <c r="W667" s="1">
        <v>45528</v>
      </c>
      <c r="X667" t="b">
        <v>0</v>
      </c>
      <c r="Y667" t="b">
        <v>0</v>
      </c>
      <c r="Z667" t="s">
        <v>89</v>
      </c>
      <c r="AA667" t="s">
        <v>45</v>
      </c>
      <c r="AB667">
        <v>9</v>
      </c>
      <c r="AF667" t="str">
        <f>tbl_OriginalData[[#This Row],[Customer_ID]]</f>
        <v>85-666-7449</v>
      </c>
      <c r="AG667">
        <f>tbl_OriginalData[[#This Row],[Age]]</f>
        <v>26</v>
      </c>
      <c r="AH667" t="str" cm="1">
        <f t="array" ref="AH66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67" t="str">
        <f>tbl_OriginalData[[#This Row],[Gender]]</f>
        <v>Female</v>
      </c>
      <c r="AJ667" t="str">
        <f>tbl_OriginalData[[#This Row],[Income_Level]]</f>
        <v>High</v>
      </c>
      <c r="AK667" t="str">
        <f>tbl_OriginalData[[#This Row],[Marital_Status]]</f>
        <v>Widowed</v>
      </c>
      <c r="AL667" t="str">
        <f>tbl_OriginalData[[#This Row],[Education_Level]]</f>
        <v>Bachelor's</v>
      </c>
      <c r="AM667" t="str">
        <f>tbl_OriginalData[[#This Row],[Occupation]]</f>
        <v>High</v>
      </c>
      <c r="AN667" t="s">
        <v>1555</v>
      </c>
      <c r="AO667" t="s">
        <v>61</v>
      </c>
      <c r="AP667" t="str">
        <f>tbl_OriginalData[[#This Row],[Purchase_Category]]</f>
        <v>Health Supplements</v>
      </c>
      <c r="AQ667" s="4">
        <f>tbl_OriginalData[[#This Row],[Purchase_Amount]]</f>
        <v>338.6</v>
      </c>
      <c r="AR667">
        <f>tbl_OriginalData[[#This Row],[Frequency_of_Purchase]]</f>
        <v>10</v>
      </c>
      <c r="AS667" t="str">
        <f>tbl_OriginalData[[#This Row],[Purchase_Channel]]</f>
        <v>In-Store</v>
      </c>
      <c r="AT667">
        <f>tbl_OriginalData[[#This Row],[Brand_Loyalty]]</f>
        <v>1</v>
      </c>
      <c r="AU667">
        <f>tbl_OriginalData[[#This Row],[Product_Rating]]</f>
        <v>3</v>
      </c>
      <c r="AV667">
        <f>tbl_OriginalData[[#This Row],[Time_Spent_on_Product_Research(hours)]]*60</f>
        <v>120</v>
      </c>
      <c r="AW667" t="str">
        <f>tbl_OriginalData[[#This Row],[Social_Media_Influence]]</f>
        <v>Medium</v>
      </c>
      <c r="AX667" t="str">
        <f>tbl_OriginalData[[#This Row],[Discount_Sensitivity]]</f>
        <v>Somewhat Sensitive</v>
      </c>
      <c r="AY667" s="3">
        <f>tbl_OriginalData[[#This Row],[Return_Rate]]/tbl_OriginalData[[#This Row],[Frequency_of_Purchase]]</f>
        <v>0.1</v>
      </c>
      <c r="AZ667">
        <f>tbl_OriginalData[[#This Row],[Customer_Satisfaction]]</f>
        <v>3</v>
      </c>
      <c r="BA667" t="str">
        <f>tbl_OriginalData[[#This Row],[Engagement_with_Ads]]</f>
        <v>Medium</v>
      </c>
      <c r="BB667" t="str">
        <f>tbl_OriginalData[[#This Row],[Device_Used_for_Shopping]]</f>
        <v>Desktop</v>
      </c>
      <c r="BC667" t="str">
        <f>tbl_OriginalData[[#This Row],[Payment_Method]]</f>
        <v>Other</v>
      </c>
      <c r="BD667" s="1">
        <f>tbl_OriginalData[[#This Row],[Time_of_Purchase]]</f>
        <v>45528</v>
      </c>
      <c r="BE667" t="str">
        <f>IF(tbl_OriginalData[[#This Row],[Discount_Used]]=TRUE,"Yes","No")</f>
        <v>No</v>
      </c>
      <c r="BF667" t="str">
        <f>IF(tbl_OriginalData[[#This Row],[Customer_Loyalty_Program_Member]]=TRUE,"Yes","No")</f>
        <v>No</v>
      </c>
      <c r="BG667" t="str">
        <f>tbl_OriginalData[[#This Row],[Purchase_Intent]]</f>
        <v>Planned</v>
      </c>
      <c r="BH667" t="str">
        <f>tbl_OriginalData[[#This Row],[Shipping_Preference]]</f>
        <v>No Preference</v>
      </c>
      <c r="BI667">
        <f>tbl_OriginalData[[#This Row],[Time_to_Decision]]</f>
        <v>9</v>
      </c>
      <c r="BJ667" t="s">
        <v>124</v>
      </c>
      <c r="BK667" t="s">
        <v>115</v>
      </c>
      <c r="BL667" t="s">
        <v>2524</v>
      </c>
    </row>
    <row r="668" spans="1:64">
      <c r="A668" t="s">
        <v>1556</v>
      </c>
      <c r="B668">
        <v>36</v>
      </c>
      <c r="C668" t="s">
        <v>50</v>
      </c>
      <c r="D668" t="s">
        <v>34</v>
      </c>
      <c r="E668" t="s">
        <v>82</v>
      </c>
      <c r="F668" t="s">
        <v>52</v>
      </c>
      <c r="G668" t="s">
        <v>51</v>
      </c>
      <c r="H668" t="s">
        <v>1557</v>
      </c>
      <c r="I668" t="s">
        <v>84</v>
      </c>
      <c r="J668">
        <v>365.38</v>
      </c>
      <c r="K668">
        <v>11</v>
      </c>
      <c r="L668" t="s">
        <v>94</v>
      </c>
      <c r="M668">
        <v>1</v>
      </c>
      <c r="N668">
        <v>4</v>
      </c>
      <c r="O668">
        <v>0</v>
      </c>
      <c r="P668" t="s">
        <v>51</v>
      </c>
      <c r="Q668" t="s">
        <v>41</v>
      </c>
      <c r="R668">
        <v>0</v>
      </c>
      <c r="S668">
        <v>9</v>
      </c>
      <c r="T668" t="s">
        <v>56</v>
      </c>
      <c r="U668" t="s">
        <v>95</v>
      </c>
      <c r="V668" t="s">
        <v>102</v>
      </c>
      <c r="W668" s="1">
        <v>45505</v>
      </c>
      <c r="X668" t="b">
        <v>0</v>
      </c>
      <c r="Y668" t="b">
        <v>0</v>
      </c>
      <c r="Z668" t="s">
        <v>59</v>
      </c>
      <c r="AA668" t="s">
        <v>77</v>
      </c>
      <c r="AB668">
        <v>14</v>
      </c>
      <c r="AF668" t="str">
        <f>tbl_OriginalData[[#This Row],[Customer_ID]]</f>
        <v>30-987-7421</v>
      </c>
      <c r="AG668">
        <f>tbl_OriginalData[[#This Row],[Age]]</f>
        <v>36</v>
      </c>
      <c r="AH668" t="str" cm="1">
        <f t="array" ref="AH66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68" t="str">
        <f>tbl_OriginalData[[#This Row],[Gender]]</f>
        <v>Male</v>
      </c>
      <c r="AJ668" t="str">
        <f>tbl_OriginalData[[#This Row],[Income_Level]]</f>
        <v>Middle</v>
      </c>
      <c r="AK668" t="str">
        <f>tbl_OriginalData[[#This Row],[Marital_Status]]</f>
        <v>Widowed</v>
      </c>
      <c r="AL668" t="str">
        <f>tbl_OriginalData[[#This Row],[Education_Level]]</f>
        <v>High School</v>
      </c>
      <c r="AM668" t="str">
        <f>tbl_OriginalData[[#This Row],[Occupation]]</f>
        <v>High</v>
      </c>
      <c r="AN668" t="s">
        <v>1557</v>
      </c>
      <c r="AO668" t="s">
        <v>672</v>
      </c>
      <c r="AP668" t="str">
        <f>tbl_OriginalData[[#This Row],[Purchase_Category]]</f>
        <v>Furniture</v>
      </c>
      <c r="AQ668" s="4">
        <f>tbl_OriginalData[[#This Row],[Purchase_Amount]]</f>
        <v>365.38</v>
      </c>
      <c r="AR668">
        <f>tbl_OriginalData[[#This Row],[Frequency_of_Purchase]]</f>
        <v>11</v>
      </c>
      <c r="AS668" t="str">
        <f>tbl_OriginalData[[#This Row],[Purchase_Channel]]</f>
        <v>Online</v>
      </c>
      <c r="AT668">
        <f>tbl_OriginalData[[#This Row],[Brand_Loyalty]]</f>
        <v>1</v>
      </c>
      <c r="AU668">
        <f>tbl_OriginalData[[#This Row],[Product_Rating]]</f>
        <v>4</v>
      </c>
      <c r="AV668">
        <f>tbl_OriginalData[[#This Row],[Time_Spent_on_Product_Research(hours)]]*60</f>
        <v>0</v>
      </c>
      <c r="AW668" t="str">
        <f>tbl_OriginalData[[#This Row],[Social_Media_Influence]]</f>
        <v>High</v>
      </c>
      <c r="AX668" t="str">
        <f>tbl_OriginalData[[#This Row],[Discount_Sensitivity]]</f>
        <v>Somewhat Sensitive</v>
      </c>
      <c r="AY668" s="3">
        <f>tbl_OriginalData[[#This Row],[Return_Rate]]/tbl_OriginalData[[#This Row],[Frequency_of_Purchase]]</f>
        <v>0</v>
      </c>
      <c r="AZ668">
        <f>tbl_OriginalData[[#This Row],[Customer_Satisfaction]]</f>
        <v>9</v>
      </c>
      <c r="BA668" t="str">
        <f>tbl_OriginalData[[#This Row],[Engagement_with_Ads]]</f>
        <v>Medium</v>
      </c>
      <c r="BB668" t="str">
        <f>tbl_OriginalData[[#This Row],[Device_Used_for_Shopping]]</f>
        <v>Desktop</v>
      </c>
      <c r="BC668" t="str">
        <f>tbl_OriginalData[[#This Row],[Payment_Method]]</f>
        <v>Cash</v>
      </c>
      <c r="BD668" s="1">
        <f>tbl_OriginalData[[#This Row],[Time_of_Purchase]]</f>
        <v>45505</v>
      </c>
      <c r="BE668" t="str">
        <f>IF(tbl_OriginalData[[#This Row],[Discount_Used]]=TRUE,"Yes","No")</f>
        <v>No</v>
      </c>
      <c r="BF668" t="str">
        <f>IF(tbl_OriginalData[[#This Row],[Customer_Loyalty_Program_Member]]=TRUE,"Yes","No")</f>
        <v>No</v>
      </c>
      <c r="BG668" t="str">
        <f>tbl_OriginalData[[#This Row],[Purchase_Intent]]</f>
        <v>Wants-based</v>
      </c>
      <c r="BH668" t="str">
        <f>tbl_OriginalData[[#This Row],[Shipping_Preference]]</f>
        <v>Express</v>
      </c>
      <c r="BI668">
        <f>tbl_OriginalData[[#This Row],[Time_to_Decision]]</f>
        <v>14</v>
      </c>
      <c r="BJ668" t="s">
        <v>124</v>
      </c>
      <c r="BK668" t="s">
        <v>115</v>
      </c>
      <c r="BL668" t="s">
        <v>2527</v>
      </c>
    </row>
    <row r="669" spans="1:64">
      <c r="A669" t="s">
        <v>1558</v>
      </c>
      <c r="B669">
        <v>21</v>
      </c>
      <c r="C669" t="s">
        <v>50</v>
      </c>
      <c r="D669" t="s">
        <v>34</v>
      </c>
      <c r="E669" t="s">
        <v>35</v>
      </c>
      <c r="F669" t="s">
        <v>52</v>
      </c>
      <c r="G669" t="s">
        <v>51</v>
      </c>
      <c r="H669" t="s">
        <v>1559</v>
      </c>
      <c r="I669" t="s">
        <v>108</v>
      </c>
      <c r="J669">
        <v>433.99</v>
      </c>
      <c r="K669">
        <v>11</v>
      </c>
      <c r="L669" t="s">
        <v>39</v>
      </c>
      <c r="M669">
        <v>3</v>
      </c>
      <c r="N669">
        <v>2</v>
      </c>
      <c r="O669">
        <v>1</v>
      </c>
      <c r="P669" t="s">
        <v>51</v>
      </c>
      <c r="Q669" t="s">
        <v>57</v>
      </c>
      <c r="R669">
        <v>0</v>
      </c>
      <c r="S669">
        <v>2</v>
      </c>
      <c r="T669" t="s">
        <v>40</v>
      </c>
      <c r="U669" t="s">
        <v>95</v>
      </c>
      <c r="V669" t="s">
        <v>43</v>
      </c>
      <c r="W669" s="1">
        <v>45331</v>
      </c>
      <c r="X669" t="b">
        <v>0</v>
      </c>
      <c r="Y669" t="b">
        <v>0</v>
      </c>
      <c r="Z669" t="s">
        <v>44</v>
      </c>
      <c r="AA669" t="s">
        <v>45</v>
      </c>
      <c r="AB669">
        <v>8</v>
      </c>
      <c r="AF669" t="str">
        <f>tbl_OriginalData[[#This Row],[Customer_ID]]</f>
        <v>39-107-6852</v>
      </c>
      <c r="AG669">
        <f>tbl_OriginalData[[#This Row],[Age]]</f>
        <v>21</v>
      </c>
      <c r="AH669" t="str" cm="1">
        <f t="array" ref="AH66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69" t="str">
        <f>tbl_OriginalData[[#This Row],[Gender]]</f>
        <v>Male</v>
      </c>
      <c r="AJ669" t="str">
        <f>tbl_OriginalData[[#This Row],[Income_Level]]</f>
        <v>Middle</v>
      </c>
      <c r="AK669" t="str">
        <f>tbl_OriginalData[[#This Row],[Marital_Status]]</f>
        <v>Married</v>
      </c>
      <c r="AL669" t="str">
        <f>tbl_OriginalData[[#This Row],[Education_Level]]</f>
        <v>High School</v>
      </c>
      <c r="AM669" t="str">
        <f>tbl_OriginalData[[#This Row],[Occupation]]</f>
        <v>High</v>
      </c>
      <c r="AN669" t="s">
        <v>1559</v>
      </c>
      <c r="AO669" t="s">
        <v>61</v>
      </c>
      <c r="AP669" t="str">
        <f>tbl_OriginalData[[#This Row],[Purchase_Category]]</f>
        <v>Sports &amp; Outdoors</v>
      </c>
      <c r="AQ669" s="4">
        <f>tbl_OriginalData[[#This Row],[Purchase_Amount]]</f>
        <v>433.99</v>
      </c>
      <c r="AR669">
        <f>tbl_OriginalData[[#This Row],[Frequency_of_Purchase]]</f>
        <v>11</v>
      </c>
      <c r="AS669" t="str">
        <f>tbl_OriginalData[[#This Row],[Purchase_Channel]]</f>
        <v>Mixed</v>
      </c>
      <c r="AT669">
        <f>tbl_OriginalData[[#This Row],[Brand_Loyalty]]</f>
        <v>3</v>
      </c>
      <c r="AU669">
        <f>tbl_OriginalData[[#This Row],[Product_Rating]]</f>
        <v>2</v>
      </c>
      <c r="AV669">
        <f>tbl_OriginalData[[#This Row],[Time_Spent_on_Product_Research(hours)]]*60</f>
        <v>60</v>
      </c>
      <c r="AW669" t="str">
        <f>tbl_OriginalData[[#This Row],[Social_Media_Influence]]</f>
        <v>High</v>
      </c>
      <c r="AX669" t="str">
        <f>tbl_OriginalData[[#This Row],[Discount_Sensitivity]]</f>
        <v>Not Sensitive</v>
      </c>
      <c r="AY669" s="3">
        <f>tbl_OriginalData[[#This Row],[Return_Rate]]/tbl_OriginalData[[#This Row],[Frequency_of_Purchase]]</f>
        <v>0</v>
      </c>
      <c r="AZ669">
        <f>tbl_OriginalData[[#This Row],[Customer_Satisfaction]]</f>
        <v>2</v>
      </c>
      <c r="BA669" t="str">
        <f>tbl_OriginalData[[#This Row],[Engagement_with_Ads]]</f>
        <v>None</v>
      </c>
      <c r="BB669" t="str">
        <f>tbl_OriginalData[[#This Row],[Device_Used_for_Shopping]]</f>
        <v>Desktop</v>
      </c>
      <c r="BC669" t="str">
        <f>tbl_OriginalData[[#This Row],[Payment_Method]]</f>
        <v>Credit Card</v>
      </c>
      <c r="BD669" s="1">
        <f>tbl_OriginalData[[#This Row],[Time_of_Purchase]]</f>
        <v>45331</v>
      </c>
      <c r="BE669" t="str">
        <f>IF(tbl_OriginalData[[#This Row],[Discount_Used]]=TRUE,"Yes","No")</f>
        <v>No</v>
      </c>
      <c r="BF669" t="str">
        <f>IF(tbl_OriginalData[[#This Row],[Customer_Loyalty_Program_Member]]=TRUE,"Yes","No")</f>
        <v>No</v>
      </c>
      <c r="BG669" t="str">
        <f>tbl_OriginalData[[#This Row],[Purchase_Intent]]</f>
        <v>Need-based</v>
      </c>
      <c r="BH669" t="str">
        <f>tbl_OriginalData[[#This Row],[Shipping_Preference]]</f>
        <v>No Preference</v>
      </c>
      <c r="BI669">
        <f>tbl_OriginalData[[#This Row],[Time_to_Decision]]</f>
        <v>8</v>
      </c>
      <c r="BJ669" t="s">
        <v>158</v>
      </c>
      <c r="BK669" t="s">
        <v>48</v>
      </c>
      <c r="BL669" t="s">
        <v>2524</v>
      </c>
    </row>
    <row r="670" spans="1:64">
      <c r="A670" t="s">
        <v>1560</v>
      </c>
      <c r="B670">
        <v>35</v>
      </c>
      <c r="C670" t="s">
        <v>33</v>
      </c>
      <c r="D670" t="s">
        <v>34</v>
      </c>
      <c r="E670" t="s">
        <v>82</v>
      </c>
      <c r="F670" t="s">
        <v>52</v>
      </c>
      <c r="G670" t="s">
        <v>34</v>
      </c>
      <c r="H670" t="s">
        <v>1561</v>
      </c>
      <c r="I670" t="s">
        <v>131</v>
      </c>
      <c r="J670">
        <v>495.95</v>
      </c>
      <c r="K670">
        <v>5</v>
      </c>
      <c r="L670" t="s">
        <v>55</v>
      </c>
      <c r="M670">
        <v>4</v>
      </c>
      <c r="N670">
        <v>2</v>
      </c>
      <c r="O670">
        <v>0</v>
      </c>
      <c r="P670" t="s">
        <v>51</v>
      </c>
      <c r="Q670" t="s">
        <v>101</v>
      </c>
      <c r="R670">
        <v>1</v>
      </c>
      <c r="S670">
        <v>7</v>
      </c>
      <c r="T670" t="s">
        <v>40</v>
      </c>
      <c r="U670" t="s">
        <v>70</v>
      </c>
      <c r="V670" t="s">
        <v>76</v>
      </c>
      <c r="W670" s="1">
        <v>45392</v>
      </c>
      <c r="X670" t="b">
        <v>0</v>
      </c>
      <c r="Y670" t="b">
        <v>0</v>
      </c>
      <c r="Z670" t="s">
        <v>89</v>
      </c>
      <c r="AA670" t="s">
        <v>45</v>
      </c>
      <c r="AB670">
        <v>6</v>
      </c>
      <c r="AF670" t="str">
        <f>tbl_OriginalData[[#This Row],[Customer_ID]]</f>
        <v>85-467-6564</v>
      </c>
      <c r="AG670">
        <f>tbl_OriginalData[[#This Row],[Age]]</f>
        <v>35</v>
      </c>
      <c r="AH670" t="str" cm="1">
        <f t="array" ref="AH67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70" t="str">
        <f>tbl_OriginalData[[#This Row],[Gender]]</f>
        <v>Female</v>
      </c>
      <c r="AJ670" t="str">
        <f>tbl_OriginalData[[#This Row],[Income_Level]]</f>
        <v>Middle</v>
      </c>
      <c r="AK670" t="str">
        <f>tbl_OriginalData[[#This Row],[Marital_Status]]</f>
        <v>Widowed</v>
      </c>
      <c r="AL670" t="str">
        <f>tbl_OriginalData[[#This Row],[Education_Level]]</f>
        <v>High School</v>
      </c>
      <c r="AM670" t="str">
        <f>tbl_OriginalData[[#This Row],[Occupation]]</f>
        <v>Middle</v>
      </c>
      <c r="AN670" t="s">
        <v>1561</v>
      </c>
      <c r="AO670" t="s">
        <v>194</v>
      </c>
      <c r="AP670" t="str">
        <f>tbl_OriginalData[[#This Row],[Purchase_Category]]</f>
        <v>Health Care</v>
      </c>
      <c r="AQ670" s="4">
        <f>tbl_OriginalData[[#This Row],[Purchase_Amount]]</f>
        <v>495.95</v>
      </c>
      <c r="AR670">
        <f>tbl_OriginalData[[#This Row],[Frequency_of_Purchase]]</f>
        <v>5</v>
      </c>
      <c r="AS670" t="str">
        <f>tbl_OriginalData[[#This Row],[Purchase_Channel]]</f>
        <v>In-Store</v>
      </c>
      <c r="AT670">
        <f>tbl_OriginalData[[#This Row],[Brand_Loyalty]]</f>
        <v>4</v>
      </c>
      <c r="AU670">
        <f>tbl_OriginalData[[#This Row],[Product_Rating]]</f>
        <v>2</v>
      </c>
      <c r="AV670">
        <f>tbl_OriginalData[[#This Row],[Time_Spent_on_Product_Research(hours)]]*60</f>
        <v>0</v>
      </c>
      <c r="AW670" t="str">
        <f>tbl_OriginalData[[#This Row],[Social_Media_Influence]]</f>
        <v>High</v>
      </c>
      <c r="AX670" t="str">
        <f>tbl_OriginalData[[#This Row],[Discount_Sensitivity]]</f>
        <v>Very Sensitive</v>
      </c>
      <c r="AY670" s="3">
        <f>tbl_OriginalData[[#This Row],[Return_Rate]]/tbl_OriginalData[[#This Row],[Frequency_of_Purchase]]</f>
        <v>0.2</v>
      </c>
      <c r="AZ670">
        <f>tbl_OriginalData[[#This Row],[Customer_Satisfaction]]</f>
        <v>7</v>
      </c>
      <c r="BA670" t="str">
        <f>tbl_OriginalData[[#This Row],[Engagement_with_Ads]]</f>
        <v>None</v>
      </c>
      <c r="BB670" t="str">
        <f>tbl_OriginalData[[#This Row],[Device_Used_for_Shopping]]</f>
        <v>Smartphone</v>
      </c>
      <c r="BC670" t="str">
        <f>tbl_OriginalData[[#This Row],[Payment_Method]]</f>
        <v>Other</v>
      </c>
      <c r="BD670" s="1">
        <f>tbl_OriginalData[[#This Row],[Time_of_Purchase]]</f>
        <v>45392</v>
      </c>
      <c r="BE670" t="str">
        <f>IF(tbl_OriginalData[[#This Row],[Discount_Used]]=TRUE,"Yes","No")</f>
        <v>No</v>
      </c>
      <c r="BF670" t="str">
        <f>IF(tbl_OriginalData[[#This Row],[Customer_Loyalty_Program_Member]]=TRUE,"Yes","No")</f>
        <v>No</v>
      </c>
      <c r="BG670" t="str">
        <f>tbl_OriginalData[[#This Row],[Purchase_Intent]]</f>
        <v>Planned</v>
      </c>
      <c r="BH670" t="str">
        <f>tbl_OriginalData[[#This Row],[Shipping_Preference]]</f>
        <v>No Preference</v>
      </c>
      <c r="BI670">
        <f>tbl_OriginalData[[#This Row],[Time_to_Decision]]</f>
        <v>6</v>
      </c>
      <c r="BJ670" t="s">
        <v>62</v>
      </c>
      <c r="BK670" t="s">
        <v>63</v>
      </c>
      <c r="BL670" t="s">
        <v>2524</v>
      </c>
    </row>
    <row r="671" spans="1:64">
      <c r="A671" t="s">
        <v>1562</v>
      </c>
      <c r="B671">
        <v>41</v>
      </c>
      <c r="C671" t="s">
        <v>50</v>
      </c>
      <c r="D671" t="s">
        <v>51</v>
      </c>
      <c r="E671" t="s">
        <v>35</v>
      </c>
      <c r="F671" t="s">
        <v>52</v>
      </c>
      <c r="G671" t="s">
        <v>34</v>
      </c>
      <c r="H671" t="s">
        <v>1563</v>
      </c>
      <c r="I671" t="s">
        <v>153</v>
      </c>
      <c r="J671">
        <v>356.22</v>
      </c>
      <c r="K671">
        <v>7</v>
      </c>
      <c r="L671" t="s">
        <v>55</v>
      </c>
      <c r="M671">
        <v>2</v>
      </c>
      <c r="N671">
        <v>5</v>
      </c>
      <c r="O671">
        <v>0</v>
      </c>
      <c r="P671" t="s">
        <v>56</v>
      </c>
      <c r="Q671" t="s">
        <v>101</v>
      </c>
      <c r="R671">
        <v>1</v>
      </c>
      <c r="S671">
        <v>7</v>
      </c>
      <c r="T671" t="s">
        <v>51</v>
      </c>
      <c r="U671" t="s">
        <v>70</v>
      </c>
      <c r="V671" t="s">
        <v>43</v>
      </c>
      <c r="W671" s="1">
        <v>45453</v>
      </c>
      <c r="X671" t="b">
        <v>0</v>
      </c>
      <c r="Y671" t="b">
        <v>1</v>
      </c>
      <c r="Z671" t="s">
        <v>89</v>
      </c>
      <c r="AA671" t="s">
        <v>77</v>
      </c>
      <c r="AB671">
        <v>6</v>
      </c>
      <c r="AF671" t="str">
        <f>tbl_OriginalData[[#This Row],[Customer_ID]]</f>
        <v>82-692-9306</v>
      </c>
      <c r="AG671">
        <f>tbl_OriginalData[[#This Row],[Age]]</f>
        <v>41</v>
      </c>
      <c r="AH671" t="str" cm="1">
        <f t="array" ref="AH67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71" t="str">
        <f>tbl_OriginalData[[#This Row],[Gender]]</f>
        <v>Male</v>
      </c>
      <c r="AJ671" t="str">
        <f>tbl_OriginalData[[#This Row],[Income_Level]]</f>
        <v>High</v>
      </c>
      <c r="AK671" t="str">
        <f>tbl_OriginalData[[#This Row],[Marital_Status]]</f>
        <v>Married</v>
      </c>
      <c r="AL671" t="str">
        <f>tbl_OriginalData[[#This Row],[Education_Level]]</f>
        <v>High School</v>
      </c>
      <c r="AM671" t="str">
        <f>tbl_OriginalData[[#This Row],[Occupation]]</f>
        <v>Middle</v>
      </c>
      <c r="AN671" t="s">
        <v>1563</v>
      </c>
      <c r="AO671" t="s">
        <v>186</v>
      </c>
      <c r="AP671" t="str">
        <f>tbl_OriginalData[[#This Row],[Purchase_Category]]</f>
        <v>Baby Products</v>
      </c>
      <c r="AQ671" s="4">
        <f>tbl_OriginalData[[#This Row],[Purchase_Amount]]</f>
        <v>356.22</v>
      </c>
      <c r="AR671">
        <f>tbl_OriginalData[[#This Row],[Frequency_of_Purchase]]</f>
        <v>7</v>
      </c>
      <c r="AS671" t="str">
        <f>tbl_OriginalData[[#This Row],[Purchase_Channel]]</f>
        <v>In-Store</v>
      </c>
      <c r="AT671">
        <f>tbl_OriginalData[[#This Row],[Brand_Loyalty]]</f>
        <v>2</v>
      </c>
      <c r="AU671">
        <f>tbl_OriginalData[[#This Row],[Product_Rating]]</f>
        <v>5</v>
      </c>
      <c r="AV671">
        <f>tbl_OriginalData[[#This Row],[Time_Spent_on_Product_Research(hours)]]*60</f>
        <v>0</v>
      </c>
      <c r="AW671" t="str">
        <f>tbl_OriginalData[[#This Row],[Social_Media_Influence]]</f>
        <v>Medium</v>
      </c>
      <c r="AX671" t="str">
        <f>tbl_OriginalData[[#This Row],[Discount_Sensitivity]]</f>
        <v>Very Sensitive</v>
      </c>
      <c r="AY671" s="3">
        <f>tbl_OriginalData[[#This Row],[Return_Rate]]/tbl_OriginalData[[#This Row],[Frequency_of_Purchase]]</f>
        <v>0.14285714285714285</v>
      </c>
      <c r="AZ671">
        <f>tbl_OriginalData[[#This Row],[Customer_Satisfaction]]</f>
        <v>7</v>
      </c>
      <c r="BA671" t="str">
        <f>tbl_OriginalData[[#This Row],[Engagement_with_Ads]]</f>
        <v>High</v>
      </c>
      <c r="BB671" t="str">
        <f>tbl_OriginalData[[#This Row],[Device_Used_for_Shopping]]</f>
        <v>Smartphone</v>
      </c>
      <c r="BC671" t="str">
        <f>tbl_OriginalData[[#This Row],[Payment_Method]]</f>
        <v>Credit Card</v>
      </c>
      <c r="BD671" s="1">
        <f>tbl_OriginalData[[#This Row],[Time_of_Purchase]]</f>
        <v>45453</v>
      </c>
      <c r="BE671" t="str">
        <f>IF(tbl_OriginalData[[#This Row],[Discount_Used]]=TRUE,"Yes","No")</f>
        <v>No</v>
      </c>
      <c r="BF671" t="str">
        <f>IF(tbl_OriginalData[[#This Row],[Customer_Loyalty_Program_Member]]=TRUE,"Yes","No")</f>
        <v>Yes</v>
      </c>
      <c r="BG671" t="str">
        <f>tbl_OriginalData[[#This Row],[Purchase_Intent]]</f>
        <v>Planned</v>
      </c>
      <c r="BH671" t="str">
        <f>tbl_OriginalData[[#This Row],[Shipping_Preference]]</f>
        <v>Express</v>
      </c>
      <c r="BI671">
        <f>tbl_OriginalData[[#This Row],[Time_to_Decision]]</f>
        <v>6</v>
      </c>
      <c r="BJ671" t="s">
        <v>104</v>
      </c>
      <c r="BK671" t="s">
        <v>63</v>
      </c>
      <c r="BL671" t="s">
        <v>2523</v>
      </c>
    </row>
    <row r="672" spans="1:64">
      <c r="A672" t="s">
        <v>1564</v>
      </c>
      <c r="B672">
        <v>22</v>
      </c>
      <c r="C672" t="s">
        <v>431</v>
      </c>
      <c r="D672" t="s">
        <v>51</v>
      </c>
      <c r="E672" t="s">
        <v>65</v>
      </c>
      <c r="F672" t="s">
        <v>52</v>
      </c>
      <c r="G672" t="s">
        <v>34</v>
      </c>
      <c r="H672" t="s">
        <v>1565</v>
      </c>
      <c r="I672" t="s">
        <v>180</v>
      </c>
      <c r="J672">
        <v>156.4</v>
      </c>
      <c r="K672">
        <v>7</v>
      </c>
      <c r="L672" t="s">
        <v>55</v>
      </c>
      <c r="M672">
        <v>4</v>
      </c>
      <c r="N672">
        <v>5</v>
      </c>
      <c r="O672">
        <v>2</v>
      </c>
      <c r="P672" t="s">
        <v>69</v>
      </c>
      <c r="Q672" t="s">
        <v>41</v>
      </c>
      <c r="R672">
        <v>1</v>
      </c>
      <c r="S672">
        <v>7</v>
      </c>
      <c r="T672" t="s">
        <v>69</v>
      </c>
      <c r="U672" t="s">
        <v>95</v>
      </c>
      <c r="V672" t="s">
        <v>43</v>
      </c>
      <c r="W672" s="1">
        <v>45603</v>
      </c>
      <c r="X672" t="b">
        <v>0</v>
      </c>
      <c r="Y672" t="b">
        <v>1</v>
      </c>
      <c r="Z672" t="s">
        <v>44</v>
      </c>
      <c r="AA672" t="s">
        <v>60</v>
      </c>
      <c r="AB672">
        <v>4</v>
      </c>
      <c r="AF672" t="str">
        <f>tbl_OriginalData[[#This Row],[Customer_ID]]</f>
        <v>18-593-8611</v>
      </c>
      <c r="AG672">
        <f>tbl_OriginalData[[#This Row],[Age]]</f>
        <v>22</v>
      </c>
      <c r="AH672" t="str" cm="1">
        <f t="array" ref="AH67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72" t="str">
        <f>tbl_OriginalData[[#This Row],[Gender]]</f>
        <v>Genderqueer</v>
      </c>
      <c r="AJ672" t="str">
        <f>tbl_OriginalData[[#This Row],[Income_Level]]</f>
        <v>High</v>
      </c>
      <c r="AK672" t="str">
        <f>tbl_OriginalData[[#This Row],[Marital_Status]]</f>
        <v>Single</v>
      </c>
      <c r="AL672" t="str">
        <f>tbl_OriginalData[[#This Row],[Education_Level]]</f>
        <v>High School</v>
      </c>
      <c r="AM672" t="str">
        <f>tbl_OriginalData[[#This Row],[Occupation]]</f>
        <v>Middle</v>
      </c>
      <c r="AN672" t="s">
        <v>1565</v>
      </c>
      <c r="AO672" t="s">
        <v>132</v>
      </c>
      <c r="AP672" t="str">
        <f>tbl_OriginalData[[#This Row],[Purchase_Category]]</f>
        <v>Health Supplements</v>
      </c>
      <c r="AQ672" s="4">
        <f>tbl_OriginalData[[#This Row],[Purchase_Amount]]</f>
        <v>156.4</v>
      </c>
      <c r="AR672">
        <f>tbl_OriginalData[[#This Row],[Frequency_of_Purchase]]</f>
        <v>7</v>
      </c>
      <c r="AS672" t="str">
        <f>tbl_OriginalData[[#This Row],[Purchase_Channel]]</f>
        <v>In-Store</v>
      </c>
      <c r="AT672">
        <f>tbl_OriginalData[[#This Row],[Brand_Loyalty]]</f>
        <v>4</v>
      </c>
      <c r="AU672">
        <f>tbl_OriginalData[[#This Row],[Product_Rating]]</f>
        <v>5</v>
      </c>
      <c r="AV672">
        <f>tbl_OriginalData[[#This Row],[Time_Spent_on_Product_Research(hours)]]*60</f>
        <v>120</v>
      </c>
      <c r="AW672" t="str">
        <f>tbl_OriginalData[[#This Row],[Social_Media_Influence]]</f>
        <v>Low</v>
      </c>
      <c r="AX672" t="str">
        <f>tbl_OriginalData[[#This Row],[Discount_Sensitivity]]</f>
        <v>Somewhat Sensitive</v>
      </c>
      <c r="AY672" s="3">
        <f>tbl_OriginalData[[#This Row],[Return_Rate]]/tbl_OriginalData[[#This Row],[Frequency_of_Purchase]]</f>
        <v>0.14285714285714285</v>
      </c>
      <c r="AZ672">
        <f>tbl_OriginalData[[#This Row],[Customer_Satisfaction]]</f>
        <v>7</v>
      </c>
      <c r="BA672" t="str">
        <f>tbl_OriginalData[[#This Row],[Engagement_with_Ads]]</f>
        <v>Low</v>
      </c>
      <c r="BB672" t="str">
        <f>tbl_OriginalData[[#This Row],[Device_Used_for_Shopping]]</f>
        <v>Desktop</v>
      </c>
      <c r="BC672" t="str">
        <f>tbl_OriginalData[[#This Row],[Payment_Method]]</f>
        <v>Credit Card</v>
      </c>
      <c r="BD672" s="1">
        <f>tbl_OriginalData[[#This Row],[Time_of_Purchase]]</f>
        <v>45603</v>
      </c>
      <c r="BE672" t="str">
        <f>IF(tbl_OriginalData[[#This Row],[Discount_Used]]=TRUE,"Yes","No")</f>
        <v>No</v>
      </c>
      <c r="BF672" t="str">
        <f>IF(tbl_OriginalData[[#This Row],[Customer_Loyalty_Program_Member]]=TRUE,"Yes","No")</f>
        <v>Yes</v>
      </c>
      <c r="BG672" t="str">
        <f>tbl_OriginalData[[#This Row],[Purchase_Intent]]</f>
        <v>Need-based</v>
      </c>
      <c r="BH672" t="str">
        <f>tbl_OriginalData[[#This Row],[Shipping_Preference]]</f>
        <v>Standard</v>
      </c>
      <c r="BI672">
        <f>tbl_OriginalData[[#This Row],[Time_to_Decision]]</f>
        <v>4</v>
      </c>
      <c r="BJ672" t="s">
        <v>177</v>
      </c>
      <c r="BK672" t="s">
        <v>80</v>
      </c>
      <c r="BL672" t="s">
        <v>2525</v>
      </c>
    </row>
    <row r="673" spans="1:64">
      <c r="A673" t="s">
        <v>1566</v>
      </c>
      <c r="B673">
        <v>42</v>
      </c>
      <c r="C673" t="s">
        <v>50</v>
      </c>
      <c r="D673" t="s">
        <v>34</v>
      </c>
      <c r="E673" t="s">
        <v>65</v>
      </c>
      <c r="F673" t="s">
        <v>66</v>
      </c>
      <c r="G673" t="s">
        <v>34</v>
      </c>
      <c r="H673" t="s">
        <v>1567</v>
      </c>
      <c r="I673" t="s">
        <v>108</v>
      </c>
      <c r="J673">
        <v>454.36</v>
      </c>
      <c r="K673">
        <v>3</v>
      </c>
      <c r="L673" t="s">
        <v>55</v>
      </c>
      <c r="M673">
        <v>4</v>
      </c>
      <c r="N673">
        <v>5</v>
      </c>
      <c r="O673">
        <v>1</v>
      </c>
      <c r="P673" t="s">
        <v>69</v>
      </c>
      <c r="Q673" t="s">
        <v>101</v>
      </c>
      <c r="R673">
        <v>1</v>
      </c>
      <c r="S673">
        <v>8</v>
      </c>
      <c r="T673" t="s">
        <v>56</v>
      </c>
      <c r="U673" t="s">
        <v>42</v>
      </c>
      <c r="V673" t="s">
        <v>102</v>
      </c>
      <c r="W673" s="1">
        <v>45551</v>
      </c>
      <c r="X673" t="b">
        <v>1</v>
      </c>
      <c r="Y673" t="b">
        <v>0</v>
      </c>
      <c r="Z673" t="s">
        <v>89</v>
      </c>
      <c r="AA673" t="s">
        <v>45</v>
      </c>
      <c r="AB673">
        <v>12</v>
      </c>
      <c r="AF673" t="str">
        <f>tbl_OriginalData[[#This Row],[Customer_ID]]</f>
        <v>93-093-0556</v>
      </c>
      <c r="AG673">
        <f>tbl_OriginalData[[#This Row],[Age]]</f>
        <v>42</v>
      </c>
      <c r="AH673" t="str" cm="1">
        <f t="array" ref="AH67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73" t="str">
        <f>tbl_OriginalData[[#This Row],[Gender]]</f>
        <v>Male</v>
      </c>
      <c r="AJ673" t="str">
        <f>tbl_OriginalData[[#This Row],[Income_Level]]</f>
        <v>Middle</v>
      </c>
      <c r="AK673" t="str">
        <f>tbl_OriginalData[[#This Row],[Marital_Status]]</f>
        <v>Single</v>
      </c>
      <c r="AL673" t="str">
        <f>tbl_OriginalData[[#This Row],[Education_Level]]</f>
        <v>Master's</v>
      </c>
      <c r="AM673" t="str">
        <f>tbl_OriginalData[[#This Row],[Occupation]]</f>
        <v>Middle</v>
      </c>
      <c r="AN673" t="s">
        <v>1567</v>
      </c>
      <c r="AO673" t="s">
        <v>61</v>
      </c>
      <c r="AP673" t="str">
        <f>tbl_OriginalData[[#This Row],[Purchase_Category]]</f>
        <v>Sports &amp; Outdoors</v>
      </c>
      <c r="AQ673" s="4">
        <f>tbl_OriginalData[[#This Row],[Purchase_Amount]]</f>
        <v>454.36</v>
      </c>
      <c r="AR673">
        <f>tbl_OriginalData[[#This Row],[Frequency_of_Purchase]]</f>
        <v>3</v>
      </c>
      <c r="AS673" t="str">
        <f>tbl_OriginalData[[#This Row],[Purchase_Channel]]</f>
        <v>In-Store</v>
      </c>
      <c r="AT673">
        <f>tbl_OriginalData[[#This Row],[Brand_Loyalty]]</f>
        <v>4</v>
      </c>
      <c r="AU673">
        <f>tbl_OriginalData[[#This Row],[Product_Rating]]</f>
        <v>5</v>
      </c>
      <c r="AV673">
        <f>tbl_OriginalData[[#This Row],[Time_Spent_on_Product_Research(hours)]]*60</f>
        <v>60</v>
      </c>
      <c r="AW673" t="str">
        <f>tbl_OriginalData[[#This Row],[Social_Media_Influence]]</f>
        <v>Low</v>
      </c>
      <c r="AX673" t="str">
        <f>tbl_OriginalData[[#This Row],[Discount_Sensitivity]]</f>
        <v>Very Sensitive</v>
      </c>
      <c r="AY673" s="3">
        <f>tbl_OriginalData[[#This Row],[Return_Rate]]/tbl_OriginalData[[#This Row],[Frequency_of_Purchase]]</f>
        <v>0.33333333333333331</v>
      </c>
      <c r="AZ673">
        <f>tbl_OriginalData[[#This Row],[Customer_Satisfaction]]</f>
        <v>8</v>
      </c>
      <c r="BA673" t="str">
        <f>tbl_OriginalData[[#This Row],[Engagement_with_Ads]]</f>
        <v>Medium</v>
      </c>
      <c r="BB673" t="str">
        <f>tbl_OriginalData[[#This Row],[Device_Used_for_Shopping]]</f>
        <v>Tablet</v>
      </c>
      <c r="BC673" t="str">
        <f>tbl_OriginalData[[#This Row],[Payment_Method]]</f>
        <v>Cash</v>
      </c>
      <c r="BD673" s="1">
        <f>tbl_OriginalData[[#This Row],[Time_of_Purchase]]</f>
        <v>45551</v>
      </c>
      <c r="BE673" t="str">
        <f>IF(tbl_OriginalData[[#This Row],[Discount_Used]]=TRUE,"Yes","No")</f>
        <v>Yes</v>
      </c>
      <c r="BF673" t="str">
        <f>IF(tbl_OriginalData[[#This Row],[Customer_Loyalty_Program_Member]]=TRUE,"Yes","No")</f>
        <v>No</v>
      </c>
      <c r="BG673" t="str">
        <f>tbl_OriginalData[[#This Row],[Purchase_Intent]]</f>
        <v>Planned</v>
      </c>
      <c r="BH673" t="str">
        <f>tbl_OriginalData[[#This Row],[Shipping_Preference]]</f>
        <v>No Preference</v>
      </c>
      <c r="BI673">
        <f>tbl_OriginalData[[#This Row],[Time_to_Decision]]</f>
        <v>12</v>
      </c>
      <c r="BJ673" t="s">
        <v>172</v>
      </c>
      <c r="BK673" t="s">
        <v>115</v>
      </c>
      <c r="BL673" t="s">
        <v>2524</v>
      </c>
    </row>
    <row r="674" spans="1:64">
      <c r="A674" t="s">
        <v>1568</v>
      </c>
      <c r="B674">
        <v>50</v>
      </c>
      <c r="C674" t="s">
        <v>50</v>
      </c>
      <c r="D674" t="s">
        <v>51</v>
      </c>
      <c r="E674" t="s">
        <v>65</v>
      </c>
      <c r="F674" t="s">
        <v>36</v>
      </c>
      <c r="G674" t="s">
        <v>51</v>
      </c>
      <c r="H674" t="s">
        <v>1569</v>
      </c>
      <c r="I674" t="s">
        <v>150</v>
      </c>
      <c r="J674">
        <v>486.07</v>
      </c>
      <c r="K674">
        <v>11</v>
      </c>
      <c r="L674" t="s">
        <v>39</v>
      </c>
      <c r="M674">
        <v>5</v>
      </c>
      <c r="N674">
        <v>1</v>
      </c>
      <c r="O674">
        <v>0</v>
      </c>
      <c r="P674" t="s">
        <v>56</v>
      </c>
      <c r="Q674" t="s">
        <v>41</v>
      </c>
      <c r="R674">
        <v>2</v>
      </c>
      <c r="S674">
        <v>6</v>
      </c>
      <c r="T674" t="s">
        <v>40</v>
      </c>
      <c r="U674" t="s">
        <v>42</v>
      </c>
      <c r="V674" t="s">
        <v>43</v>
      </c>
      <c r="W674" s="1">
        <v>45307</v>
      </c>
      <c r="X674" t="b">
        <v>0</v>
      </c>
      <c r="Y674" t="b">
        <v>0</v>
      </c>
      <c r="Z674" t="s">
        <v>89</v>
      </c>
      <c r="AA674" t="s">
        <v>60</v>
      </c>
      <c r="AB674">
        <v>12</v>
      </c>
      <c r="AF674" t="str">
        <f>tbl_OriginalData[[#This Row],[Customer_ID]]</f>
        <v>59-080-5779</v>
      </c>
      <c r="AG674">
        <f>tbl_OriginalData[[#This Row],[Age]]</f>
        <v>50</v>
      </c>
      <c r="AH674" t="str" cm="1">
        <f t="array" ref="AH67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74" t="str">
        <f>tbl_OriginalData[[#This Row],[Gender]]</f>
        <v>Male</v>
      </c>
      <c r="AJ674" t="str">
        <f>tbl_OriginalData[[#This Row],[Income_Level]]</f>
        <v>High</v>
      </c>
      <c r="AK674" t="str">
        <f>tbl_OriginalData[[#This Row],[Marital_Status]]</f>
        <v>Single</v>
      </c>
      <c r="AL674" t="str">
        <f>tbl_OriginalData[[#This Row],[Education_Level]]</f>
        <v>Bachelor's</v>
      </c>
      <c r="AM674" t="str">
        <f>tbl_OriginalData[[#This Row],[Occupation]]</f>
        <v>High</v>
      </c>
      <c r="AN674" t="s">
        <v>1569</v>
      </c>
      <c r="AO674" t="s">
        <v>519</v>
      </c>
      <c r="AP674" t="str">
        <f>tbl_OriginalData[[#This Row],[Purchase_Category]]</f>
        <v>Software &amp; Apps</v>
      </c>
      <c r="AQ674" s="4">
        <f>tbl_OriginalData[[#This Row],[Purchase_Amount]]</f>
        <v>486.07</v>
      </c>
      <c r="AR674">
        <f>tbl_OriginalData[[#This Row],[Frequency_of_Purchase]]</f>
        <v>11</v>
      </c>
      <c r="AS674" t="str">
        <f>tbl_OriginalData[[#This Row],[Purchase_Channel]]</f>
        <v>Mixed</v>
      </c>
      <c r="AT674">
        <f>tbl_OriginalData[[#This Row],[Brand_Loyalty]]</f>
        <v>5</v>
      </c>
      <c r="AU674">
        <f>tbl_OriginalData[[#This Row],[Product_Rating]]</f>
        <v>1</v>
      </c>
      <c r="AV674">
        <f>tbl_OriginalData[[#This Row],[Time_Spent_on_Product_Research(hours)]]*60</f>
        <v>0</v>
      </c>
      <c r="AW674" t="str">
        <f>tbl_OriginalData[[#This Row],[Social_Media_Influence]]</f>
        <v>Medium</v>
      </c>
      <c r="AX674" t="str">
        <f>tbl_OriginalData[[#This Row],[Discount_Sensitivity]]</f>
        <v>Somewhat Sensitive</v>
      </c>
      <c r="AY674" s="3">
        <f>tbl_OriginalData[[#This Row],[Return_Rate]]/tbl_OriginalData[[#This Row],[Frequency_of_Purchase]]</f>
        <v>0.18181818181818182</v>
      </c>
      <c r="AZ674">
        <f>tbl_OriginalData[[#This Row],[Customer_Satisfaction]]</f>
        <v>6</v>
      </c>
      <c r="BA674" t="str">
        <f>tbl_OriginalData[[#This Row],[Engagement_with_Ads]]</f>
        <v>None</v>
      </c>
      <c r="BB674" t="str">
        <f>tbl_OriginalData[[#This Row],[Device_Used_for_Shopping]]</f>
        <v>Tablet</v>
      </c>
      <c r="BC674" t="str">
        <f>tbl_OriginalData[[#This Row],[Payment_Method]]</f>
        <v>Credit Card</v>
      </c>
      <c r="BD674" s="1">
        <f>tbl_OriginalData[[#This Row],[Time_of_Purchase]]</f>
        <v>45307</v>
      </c>
      <c r="BE674" t="str">
        <f>IF(tbl_OriginalData[[#This Row],[Discount_Used]]=TRUE,"Yes","No")</f>
        <v>No</v>
      </c>
      <c r="BF674" t="str">
        <f>IF(tbl_OriginalData[[#This Row],[Customer_Loyalty_Program_Member]]=TRUE,"Yes","No")</f>
        <v>No</v>
      </c>
      <c r="BG674" t="str">
        <f>tbl_OriginalData[[#This Row],[Purchase_Intent]]</f>
        <v>Planned</v>
      </c>
      <c r="BH674" t="str">
        <f>tbl_OriginalData[[#This Row],[Shipping_Preference]]</f>
        <v>Standard</v>
      </c>
      <c r="BI674">
        <f>tbl_OriginalData[[#This Row],[Time_to_Decision]]</f>
        <v>12</v>
      </c>
      <c r="BJ674" t="s">
        <v>86</v>
      </c>
      <c r="BK674" t="s">
        <v>48</v>
      </c>
      <c r="BL674" t="s">
        <v>2524</v>
      </c>
    </row>
    <row r="675" spans="1:64">
      <c r="A675" t="s">
        <v>1570</v>
      </c>
      <c r="B675">
        <v>30</v>
      </c>
      <c r="C675" t="s">
        <v>33</v>
      </c>
      <c r="D675" t="s">
        <v>51</v>
      </c>
      <c r="E675" t="s">
        <v>92</v>
      </c>
      <c r="F675" t="s">
        <v>52</v>
      </c>
      <c r="G675" t="s">
        <v>34</v>
      </c>
      <c r="H675" t="s">
        <v>407</v>
      </c>
      <c r="I675" t="s">
        <v>143</v>
      </c>
      <c r="J675">
        <v>427.86</v>
      </c>
      <c r="K675">
        <v>11</v>
      </c>
      <c r="L675" t="s">
        <v>39</v>
      </c>
      <c r="M675">
        <v>4</v>
      </c>
      <c r="N675">
        <v>3</v>
      </c>
      <c r="O675">
        <v>1</v>
      </c>
      <c r="P675" t="s">
        <v>56</v>
      </c>
      <c r="Q675" t="s">
        <v>57</v>
      </c>
      <c r="R675">
        <v>0</v>
      </c>
      <c r="S675">
        <v>6</v>
      </c>
      <c r="T675" t="s">
        <v>56</v>
      </c>
      <c r="U675" t="s">
        <v>95</v>
      </c>
      <c r="V675" t="s">
        <v>71</v>
      </c>
      <c r="W675" s="1">
        <v>45354</v>
      </c>
      <c r="X675" t="b">
        <v>1</v>
      </c>
      <c r="Y675" t="b">
        <v>1</v>
      </c>
      <c r="Z675" t="s">
        <v>44</v>
      </c>
      <c r="AA675" t="s">
        <v>77</v>
      </c>
      <c r="AB675">
        <v>8</v>
      </c>
      <c r="AF675" t="str">
        <f>tbl_OriginalData[[#This Row],[Customer_ID]]</f>
        <v>64-915-2968</v>
      </c>
      <c r="AG675">
        <f>tbl_OriginalData[[#This Row],[Age]]</f>
        <v>30</v>
      </c>
      <c r="AH675" t="str" cm="1">
        <f t="array" ref="AH67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75" t="str">
        <f>tbl_OriginalData[[#This Row],[Gender]]</f>
        <v>Female</v>
      </c>
      <c r="AJ675" t="str">
        <f>tbl_OriginalData[[#This Row],[Income_Level]]</f>
        <v>High</v>
      </c>
      <c r="AK675" t="str">
        <f>tbl_OriginalData[[#This Row],[Marital_Status]]</f>
        <v>Divorced</v>
      </c>
      <c r="AL675" t="str">
        <f>tbl_OriginalData[[#This Row],[Education_Level]]</f>
        <v>High School</v>
      </c>
      <c r="AM675" t="str">
        <f>tbl_OriginalData[[#This Row],[Occupation]]</f>
        <v>Middle</v>
      </c>
      <c r="AN675" t="s">
        <v>407</v>
      </c>
      <c r="AO675" t="s">
        <v>171</v>
      </c>
      <c r="AP675" t="str">
        <f>tbl_OriginalData[[#This Row],[Purchase_Category]]</f>
        <v>Packages)</v>
      </c>
      <c r="AQ675" s="4">
        <f>tbl_OriginalData[[#This Row],[Purchase_Amount]]</f>
        <v>427.86</v>
      </c>
      <c r="AR675">
        <f>tbl_OriginalData[[#This Row],[Frequency_of_Purchase]]</f>
        <v>11</v>
      </c>
      <c r="AS675" t="str">
        <f>tbl_OriginalData[[#This Row],[Purchase_Channel]]</f>
        <v>Mixed</v>
      </c>
      <c r="AT675">
        <f>tbl_OriginalData[[#This Row],[Brand_Loyalty]]</f>
        <v>4</v>
      </c>
      <c r="AU675">
        <f>tbl_OriginalData[[#This Row],[Product_Rating]]</f>
        <v>3</v>
      </c>
      <c r="AV675">
        <f>tbl_OriginalData[[#This Row],[Time_Spent_on_Product_Research(hours)]]*60</f>
        <v>60</v>
      </c>
      <c r="AW675" t="str">
        <f>tbl_OriginalData[[#This Row],[Social_Media_Influence]]</f>
        <v>Medium</v>
      </c>
      <c r="AX675" t="str">
        <f>tbl_OriginalData[[#This Row],[Discount_Sensitivity]]</f>
        <v>Not Sensitive</v>
      </c>
      <c r="AY675" s="3">
        <f>tbl_OriginalData[[#This Row],[Return_Rate]]/tbl_OriginalData[[#This Row],[Frequency_of_Purchase]]</f>
        <v>0</v>
      </c>
      <c r="AZ675">
        <f>tbl_OriginalData[[#This Row],[Customer_Satisfaction]]</f>
        <v>6</v>
      </c>
      <c r="BA675" t="str">
        <f>tbl_OriginalData[[#This Row],[Engagement_with_Ads]]</f>
        <v>Medium</v>
      </c>
      <c r="BB675" t="str">
        <f>tbl_OriginalData[[#This Row],[Device_Used_for_Shopping]]</f>
        <v>Desktop</v>
      </c>
      <c r="BC675" t="str">
        <f>tbl_OriginalData[[#This Row],[Payment_Method]]</f>
        <v>Debit Card</v>
      </c>
      <c r="BD675" s="1">
        <f>tbl_OriginalData[[#This Row],[Time_of_Purchase]]</f>
        <v>45354</v>
      </c>
      <c r="BE675" t="str">
        <f>IF(tbl_OriginalData[[#This Row],[Discount_Used]]=TRUE,"Yes","No")</f>
        <v>Yes</v>
      </c>
      <c r="BF675" t="str">
        <f>IF(tbl_OriginalData[[#This Row],[Customer_Loyalty_Program_Member]]=TRUE,"Yes","No")</f>
        <v>Yes</v>
      </c>
      <c r="BG675" t="str">
        <f>tbl_OriginalData[[#This Row],[Purchase_Intent]]</f>
        <v>Need-based</v>
      </c>
      <c r="BH675" t="str">
        <f>tbl_OriginalData[[#This Row],[Shipping_Preference]]</f>
        <v>Express</v>
      </c>
      <c r="BI675">
        <f>tbl_OriginalData[[#This Row],[Time_to_Decision]]</f>
        <v>8</v>
      </c>
      <c r="BJ675" t="s">
        <v>47</v>
      </c>
      <c r="BK675" t="s">
        <v>48</v>
      </c>
      <c r="BL675" t="s">
        <v>2523</v>
      </c>
    </row>
    <row r="676" spans="1:64">
      <c r="A676" t="s">
        <v>1571</v>
      </c>
      <c r="B676">
        <v>49</v>
      </c>
      <c r="C676" t="s">
        <v>33</v>
      </c>
      <c r="D676" t="s">
        <v>51</v>
      </c>
      <c r="E676" t="s">
        <v>92</v>
      </c>
      <c r="F676" t="s">
        <v>66</v>
      </c>
      <c r="G676" t="s">
        <v>51</v>
      </c>
      <c r="H676" t="s">
        <v>1572</v>
      </c>
      <c r="I676" t="s">
        <v>235</v>
      </c>
      <c r="J676">
        <v>235.13</v>
      </c>
      <c r="K676">
        <v>10</v>
      </c>
      <c r="L676" t="s">
        <v>94</v>
      </c>
      <c r="M676">
        <v>5</v>
      </c>
      <c r="N676">
        <v>4</v>
      </c>
      <c r="O676">
        <v>1</v>
      </c>
      <c r="P676" t="s">
        <v>56</v>
      </c>
      <c r="Q676" t="s">
        <v>101</v>
      </c>
      <c r="R676">
        <v>2</v>
      </c>
      <c r="S676">
        <v>3</v>
      </c>
      <c r="T676" t="s">
        <v>40</v>
      </c>
      <c r="U676" t="s">
        <v>70</v>
      </c>
      <c r="V676" t="s">
        <v>76</v>
      </c>
      <c r="W676" s="1">
        <v>45380</v>
      </c>
      <c r="X676" t="b">
        <v>1</v>
      </c>
      <c r="Y676" t="b">
        <v>0</v>
      </c>
      <c r="Z676" t="s">
        <v>89</v>
      </c>
      <c r="AA676" t="s">
        <v>45</v>
      </c>
      <c r="AB676">
        <v>6</v>
      </c>
      <c r="AF676" t="str">
        <f>tbl_OriginalData[[#This Row],[Customer_ID]]</f>
        <v>94-495-3402</v>
      </c>
      <c r="AG676">
        <f>tbl_OriginalData[[#This Row],[Age]]</f>
        <v>49</v>
      </c>
      <c r="AH676" t="str" cm="1">
        <f t="array" ref="AH67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76" t="str">
        <f>tbl_OriginalData[[#This Row],[Gender]]</f>
        <v>Female</v>
      </c>
      <c r="AJ676" t="str">
        <f>tbl_OriginalData[[#This Row],[Income_Level]]</f>
        <v>High</v>
      </c>
      <c r="AK676" t="str">
        <f>tbl_OriginalData[[#This Row],[Marital_Status]]</f>
        <v>Divorced</v>
      </c>
      <c r="AL676" t="str">
        <f>tbl_OriginalData[[#This Row],[Education_Level]]</f>
        <v>Master's</v>
      </c>
      <c r="AM676" t="str">
        <f>tbl_OriginalData[[#This Row],[Occupation]]</f>
        <v>High</v>
      </c>
      <c r="AN676" t="s">
        <v>1572</v>
      </c>
      <c r="AO676" t="s">
        <v>90</v>
      </c>
      <c r="AP676" t="str">
        <f>tbl_OriginalData[[#This Row],[Purchase_Category]]</f>
        <v>Beauty &amp; Personal Care</v>
      </c>
      <c r="AQ676" s="4">
        <f>tbl_OriginalData[[#This Row],[Purchase_Amount]]</f>
        <v>235.13</v>
      </c>
      <c r="AR676">
        <f>tbl_OriginalData[[#This Row],[Frequency_of_Purchase]]</f>
        <v>10</v>
      </c>
      <c r="AS676" t="str">
        <f>tbl_OriginalData[[#This Row],[Purchase_Channel]]</f>
        <v>Online</v>
      </c>
      <c r="AT676">
        <f>tbl_OriginalData[[#This Row],[Brand_Loyalty]]</f>
        <v>5</v>
      </c>
      <c r="AU676">
        <f>tbl_OriginalData[[#This Row],[Product_Rating]]</f>
        <v>4</v>
      </c>
      <c r="AV676">
        <f>tbl_OriginalData[[#This Row],[Time_Spent_on_Product_Research(hours)]]*60</f>
        <v>60</v>
      </c>
      <c r="AW676" t="str">
        <f>tbl_OriginalData[[#This Row],[Social_Media_Influence]]</f>
        <v>Medium</v>
      </c>
      <c r="AX676" t="str">
        <f>tbl_OriginalData[[#This Row],[Discount_Sensitivity]]</f>
        <v>Very Sensitive</v>
      </c>
      <c r="AY676" s="3">
        <f>tbl_OriginalData[[#This Row],[Return_Rate]]/tbl_OriginalData[[#This Row],[Frequency_of_Purchase]]</f>
        <v>0.2</v>
      </c>
      <c r="AZ676">
        <f>tbl_OriginalData[[#This Row],[Customer_Satisfaction]]</f>
        <v>3</v>
      </c>
      <c r="BA676" t="str">
        <f>tbl_OriginalData[[#This Row],[Engagement_with_Ads]]</f>
        <v>None</v>
      </c>
      <c r="BB676" t="str">
        <f>tbl_OriginalData[[#This Row],[Device_Used_for_Shopping]]</f>
        <v>Smartphone</v>
      </c>
      <c r="BC676" t="str">
        <f>tbl_OriginalData[[#This Row],[Payment_Method]]</f>
        <v>Other</v>
      </c>
      <c r="BD676" s="1">
        <f>tbl_OriginalData[[#This Row],[Time_of_Purchase]]</f>
        <v>45380</v>
      </c>
      <c r="BE676" t="str">
        <f>IF(tbl_OriginalData[[#This Row],[Discount_Used]]=TRUE,"Yes","No")</f>
        <v>Yes</v>
      </c>
      <c r="BF676" t="str">
        <f>IF(tbl_OriginalData[[#This Row],[Customer_Loyalty_Program_Member]]=TRUE,"Yes","No")</f>
        <v>No</v>
      </c>
      <c r="BG676" t="str">
        <f>tbl_OriginalData[[#This Row],[Purchase_Intent]]</f>
        <v>Planned</v>
      </c>
      <c r="BH676" t="str">
        <f>tbl_OriginalData[[#This Row],[Shipping_Preference]]</f>
        <v>No Preference</v>
      </c>
      <c r="BI676">
        <f>tbl_OriginalData[[#This Row],[Time_to_Decision]]</f>
        <v>6</v>
      </c>
      <c r="BJ676" t="s">
        <v>47</v>
      </c>
      <c r="BK676" t="s">
        <v>48</v>
      </c>
      <c r="BL676" t="s">
        <v>2524</v>
      </c>
    </row>
    <row r="677" spans="1:64">
      <c r="A677" t="s">
        <v>1573</v>
      </c>
      <c r="B677">
        <v>40</v>
      </c>
      <c r="C677" t="s">
        <v>33</v>
      </c>
      <c r="D677" t="s">
        <v>34</v>
      </c>
      <c r="E677" t="s">
        <v>92</v>
      </c>
      <c r="F677" t="s">
        <v>36</v>
      </c>
      <c r="G677" t="s">
        <v>34</v>
      </c>
      <c r="H677" t="s">
        <v>1574</v>
      </c>
      <c r="I677" t="s">
        <v>199</v>
      </c>
      <c r="J677">
        <v>361.27</v>
      </c>
      <c r="K677">
        <v>4</v>
      </c>
      <c r="L677" t="s">
        <v>94</v>
      </c>
      <c r="M677">
        <v>3</v>
      </c>
      <c r="N677">
        <v>3</v>
      </c>
      <c r="O677">
        <v>1</v>
      </c>
      <c r="P677" t="s">
        <v>40</v>
      </c>
      <c r="Q677" t="s">
        <v>57</v>
      </c>
      <c r="R677">
        <v>0</v>
      </c>
      <c r="S677">
        <v>5</v>
      </c>
      <c r="T677" t="s">
        <v>51</v>
      </c>
      <c r="U677" t="s">
        <v>42</v>
      </c>
      <c r="V677" t="s">
        <v>43</v>
      </c>
      <c r="W677" s="1">
        <v>45550</v>
      </c>
      <c r="X677" t="b">
        <v>1</v>
      </c>
      <c r="Y677" t="b">
        <v>0</v>
      </c>
      <c r="Z677" t="s">
        <v>44</v>
      </c>
      <c r="AA677" t="s">
        <v>60</v>
      </c>
      <c r="AB677">
        <v>2</v>
      </c>
      <c r="AF677" t="str">
        <f>tbl_OriginalData[[#This Row],[Customer_ID]]</f>
        <v>84-458-6432</v>
      </c>
      <c r="AG677">
        <f>tbl_OriginalData[[#This Row],[Age]]</f>
        <v>40</v>
      </c>
      <c r="AH677" t="str" cm="1">
        <f t="array" ref="AH67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77" t="str">
        <f>tbl_OriginalData[[#This Row],[Gender]]</f>
        <v>Female</v>
      </c>
      <c r="AJ677" t="str">
        <f>tbl_OriginalData[[#This Row],[Income_Level]]</f>
        <v>Middle</v>
      </c>
      <c r="AK677" t="str">
        <f>tbl_OriginalData[[#This Row],[Marital_Status]]</f>
        <v>Divorced</v>
      </c>
      <c r="AL677" t="str">
        <f>tbl_OriginalData[[#This Row],[Education_Level]]</f>
        <v>Bachelor's</v>
      </c>
      <c r="AM677" t="str">
        <f>tbl_OriginalData[[#This Row],[Occupation]]</f>
        <v>Middle</v>
      </c>
      <c r="AN677" t="s">
        <v>1574</v>
      </c>
      <c r="AO677" t="s">
        <v>61</v>
      </c>
      <c r="AP677" t="str">
        <f>tbl_OriginalData[[#This Row],[Purchase_Category]]</f>
        <v>Groceries</v>
      </c>
      <c r="AQ677" s="4">
        <f>tbl_OriginalData[[#This Row],[Purchase_Amount]]</f>
        <v>361.27</v>
      </c>
      <c r="AR677">
        <f>tbl_OriginalData[[#This Row],[Frequency_of_Purchase]]</f>
        <v>4</v>
      </c>
      <c r="AS677" t="str">
        <f>tbl_OriginalData[[#This Row],[Purchase_Channel]]</f>
        <v>Online</v>
      </c>
      <c r="AT677">
        <f>tbl_OriginalData[[#This Row],[Brand_Loyalty]]</f>
        <v>3</v>
      </c>
      <c r="AU677">
        <f>tbl_OriginalData[[#This Row],[Product_Rating]]</f>
        <v>3</v>
      </c>
      <c r="AV677">
        <f>tbl_OriginalData[[#This Row],[Time_Spent_on_Product_Research(hours)]]*60</f>
        <v>60</v>
      </c>
      <c r="AW677" t="str">
        <f>tbl_OriginalData[[#This Row],[Social_Media_Influence]]</f>
        <v>None</v>
      </c>
      <c r="AX677" t="str">
        <f>tbl_OriginalData[[#This Row],[Discount_Sensitivity]]</f>
        <v>Not Sensitive</v>
      </c>
      <c r="AY677" s="3">
        <f>tbl_OriginalData[[#This Row],[Return_Rate]]/tbl_OriginalData[[#This Row],[Frequency_of_Purchase]]</f>
        <v>0</v>
      </c>
      <c r="AZ677">
        <f>tbl_OriginalData[[#This Row],[Customer_Satisfaction]]</f>
        <v>5</v>
      </c>
      <c r="BA677" t="str">
        <f>tbl_OriginalData[[#This Row],[Engagement_with_Ads]]</f>
        <v>High</v>
      </c>
      <c r="BB677" t="str">
        <f>tbl_OriginalData[[#This Row],[Device_Used_for_Shopping]]</f>
        <v>Tablet</v>
      </c>
      <c r="BC677" t="str">
        <f>tbl_OriginalData[[#This Row],[Payment_Method]]</f>
        <v>Credit Card</v>
      </c>
      <c r="BD677" s="1">
        <f>tbl_OriginalData[[#This Row],[Time_of_Purchase]]</f>
        <v>45550</v>
      </c>
      <c r="BE677" t="str">
        <f>IF(tbl_OriginalData[[#This Row],[Discount_Used]]=TRUE,"Yes","No")</f>
        <v>Yes</v>
      </c>
      <c r="BF677" t="str">
        <f>IF(tbl_OriginalData[[#This Row],[Customer_Loyalty_Program_Member]]=TRUE,"Yes","No")</f>
        <v>No</v>
      </c>
      <c r="BG677" t="str">
        <f>tbl_OriginalData[[#This Row],[Purchase_Intent]]</f>
        <v>Need-based</v>
      </c>
      <c r="BH677" t="str">
        <f>tbl_OriginalData[[#This Row],[Shipping_Preference]]</f>
        <v>Standard</v>
      </c>
      <c r="BI677">
        <f>tbl_OriginalData[[#This Row],[Time_to_Decision]]</f>
        <v>2</v>
      </c>
      <c r="BJ677" t="s">
        <v>172</v>
      </c>
      <c r="BK677" t="s">
        <v>115</v>
      </c>
      <c r="BL677" t="s">
        <v>2524</v>
      </c>
    </row>
    <row r="678" spans="1:64">
      <c r="A678" t="s">
        <v>1575</v>
      </c>
      <c r="B678">
        <v>38</v>
      </c>
      <c r="C678" t="s">
        <v>33</v>
      </c>
      <c r="D678" t="s">
        <v>34</v>
      </c>
      <c r="E678" t="s">
        <v>65</v>
      </c>
      <c r="F678" t="s">
        <v>36</v>
      </c>
      <c r="G678" t="s">
        <v>34</v>
      </c>
      <c r="H678" t="s">
        <v>1576</v>
      </c>
      <c r="I678" t="s">
        <v>84</v>
      </c>
      <c r="J678">
        <v>195.83</v>
      </c>
      <c r="K678">
        <v>10</v>
      </c>
      <c r="L678" t="s">
        <v>39</v>
      </c>
      <c r="M678">
        <v>1</v>
      </c>
      <c r="N678">
        <v>2</v>
      </c>
      <c r="O678">
        <v>2</v>
      </c>
      <c r="P678" t="s">
        <v>40</v>
      </c>
      <c r="Q678" t="s">
        <v>57</v>
      </c>
      <c r="R678">
        <v>1</v>
      </c>
      <c r="S678">
        <v>7</v>
      </c>
      <c r="T678" t="s">
        <v>51</v>
      </c>
      <c r="U678" t="s">
        <v>95</v>
      </c>
      <c r="V678" t="s">
        <v>71</v>
      </c>
      <c r="W678" s="1">
        <v>45316</v>
      </c>
      <c r="X678" t="b">
        <v>1</v>
      </c>
      <c r="Y678" t="b">
        <v>0</v>
      </c>
      <c r="Z678" t="s">
        <v>44</v>
      </c>
      <c r="AA678" t="s">
        <v>45</v>
      </c>
      <c r="AB678">
        <v>13</v>
      </c>
      <c r="AF678" t="str">
        <f>tbl_OriginalData[[#This Row],[Customer_ID]]</f>
        <v>46-452-3822</v>
      </c>
      <c r="AG678">
        <f>tbl_OriginalData[[#This Row],[Age]]</f>
        <v>38</v>
      </c>
      <c r="AH678" t="str" cm="1">
        <f t="array" ref="AH67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78" t="str">
        <f>tbl_OriginalData[[#This Row],[Gender]]</f>
        <v>Female</v>
      </c>
      <c r="AJ678" t="str">
        <f>tbl_OriginalData[[#This Row],[Income_Level]]</f>
        <v>Middle</v>
      </c>
      <c r="AK678" t="str">
        <f>tbl_OriginalData[[#This Row],[Marital_Status]]</f>
        <v>Single</v>
      </c>
      <c r="AL678" t="str">
        <f>tbl_OriginalData[[#This Row],[Education_Level]]</f>
        <v>Bachelor's</v>
      </c>
      <c r="AM678" t="str">
        <f>tbl_OriginalData[[#This Row],[Occupation]]</f>
        <v>Middle</v>
      </c>
      <c r="AN678" t="s">
        <v>1576</v>
      </c>
      <c r="AO678" t="s">
        <v>613</v>
      </c>
      <c r="AP678" t="str">
        <f>tbl_OriginalData[[#This Row],[Purchase_Category]]</f>
        <v>Furniture</v>
      </c>
      <c r="AQ678" s="4">
        <f>tbl_OriginalData[[#This Row],[Purchase_Amount]]</f>
        <v>195.83</v>
      </c>
      <c r="AR678">
        <f>tbl_OriginalData[[#This Row],[Frequency_of_Purchase]]</f>
        <v>10</v>
      </c>
      <c r="AS678" t="str">
        <f>tbl_OriginalData[[#This Row],[Purchase_Channel]]</f>
        <v>Mixed</v>
      </c>
      <c r="AT678">
        <f>tbl_OriginalData[[#This Row],[Brand_Loyalty]]</f>
        <v>1</v>
      </c>
      <c r="AU678">
        <f>tbl_OriginalData[[#This Row],[Product_Rating]]</f>
        <v>2</v>
      </c>
      <c r="AV678">
        <f>tbl_OriginalData[[#This Row],[Time_Spent_on_Product_Research(hours)]]*60</f>
        <v>120</v>
      </c>
      <c r="AW678" t="str">
        <f>tbl_OriginalData[[#This Row],[Social_Media_Influence]]</f>
        <v>None</v>
      </c>
      <c r="AX678" t="str">
        <f>tbl_OriginalData[[#This Row],[Discount_Sensitivity]]</f>
        <v>Not Sensitive</v>
      </c>
      <c r="AY678" s="3">
        <f>tbl_OriginalData[[#This Row],[Return_Rate]]/tbl_OriginalData[[#This Row],[Frequency_of_Purchase]]</f>
        <v>0.1</v>
      </c>
      <c r="AZ678">
        <f>tbl_OriginalData[[#This Row],[Customer_Satisfaction]]</f>
        <v>7</v>
      </c>
      <c r="BA678" t="str">
        <f>tbl_OriginalData[[#This Row],[Engagement_with_Ads]]</f>
        <v>High</v>
      </c>
      <c r="BB678" t="str">
        <f>tbl_OriginalData[[#This Row],[Device_Used_for_Shopping]]</f>
        <v>Desktop</v>
      </c>
      <c r="BC678" t="str">
        <f>tbl_OriginalData[[#This Row],[Payment_Method]]</f>
        <v>Debit Card</v>
      </c>
      <c r="BD678" s="1">
        <f>tbl_OriginalData[[#This Row],[Time_of_Purchase]]</f>
        <v>45316</v>
      </c>
      <c r="BE678" t="str">
        <f>IF(tbl_OriginalData[[#This Row],[Discount_Used]]=TRUE,"Yes","No")</f>
        <v>Yes</v>
      </c>
      <c r="BF678" t="str">
        <f>IF(tbl_OriginalData[[#This Row],[Customer_Loyalty_Program_Member]]=TRUE,"Yes","No")</f>
        <v>No</v>
      </c>
      <c r="BG678" t="str">
        <f>tbl_OriginalData[[#This Row],[Purchase_Intent]]</f>
        <v>Need-based</v>
      </c>
      <c r="BH678" t="str">
        <f>tbl_OriginalData[[#This Row],[Shipping_Preference]]</f>
        <v>No Preference</v>
      </c>
      <c r="BI678">
        <f>tbl_OriginalData[[#This Row],[Time_to_Decision]]</f>
        <v>13</v>
      </c>
      <c r="BJ678" t="s">
        <v>86</v>
      </c>
      <c r="BK678" t="s">
        <v>48</v>
      </c>
      <c r="BL678" t="s">
        <v>2524</v>
      </c>
    </row>
    <row r="679" spans="1:64">
      <c r="A679" t="s">
        <v>1577</v>
      </c>
      <c r="B679">
        <v>21</v>
      </c>
      <c r="C679" t="s">
        <v>50</v>
      </c>
      <c r="D679" t="s">
        <v>51</v>
      </c>
      <c r="E679" t="s">
        <v>35</v>
      </c>
      <c r="F679" t="s">
        <v>66</v>
      </c>
      <c r="G679" t="s">
        <v>51</v>
      </c>
      <c r="H679" t="s">
        <v>1578</v>
      </c>
      <c r="I679" t="s">
        <v>108</v>
      </c>
      <c r="J679">
        <v>340.31</v>
      </c>
      <c r="K679">
        <v>10</v>
      </c>
      <c r="L679" t="s">
        <v>94</v>
      </c>
      <c r="M679">
        <v>5</v>
      </c>
      <c r="N679">
        <v>1</v>
      </c>
      <c r="O679">
        <v>1</v>
      </c>
      <c r="P679" t="s">
        <v>69</v>
      </c>
      <c r="Q679" t="s">
        <v>41</v>
      </c>
      <c r="R679">
        <v>0</v>
      </c>
      <c r="S679">
        <v>5</v>
      </c>
      <c r="T679" t="s">
        <v>69</v>
      </c>
      <c r="U679" t="s">
        <v>95</v>
      </c>
      <c r="V679" t="s">
        <v>76</v>
      </c>
      <c r="W679" s="1">
        <v>45553</v>
      </c>
      <c r="X679" t="b">
        <v>0</v>
      </c>
      <c r="Y679" t="b">
        <v>1</v>
      </c>
      <c r="Z679" t="s">
        <v>72</v>
      </c>
      <c r="AA679" t="s">
        <v>45</v>
      </c>
      <c r="AB679">
        <v>14</v>
      </c>
      <c r="AF679" t="str">
        <f>tbl_OriginalData[[#This Row],[Customer_ID]]</f>
        <v>54-877-5699</v>
      </c>
      <c r="AG679">
        <f>tbl_OriginalData[[#This Row],[Age]]</f>
        <v>21</v>
      </c>
      <c r="AH679" t="str" cm="1">
        <f t="array" ref="AH67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79" t="str">
        <f>tbl_OriginalData[[#This Row],[Gender]]</f>
        <v>Male</v>
      </c>
      <c r="AJ679" t="str">
        <f>tbl_OriginalData[[#This Row],[Income_Level]]</f>
        <v>High</v>
      </c>
      <c r="AK679" t="str">
        <f>tbl_OriginalData[[#This Row],[Marital_Status]]</f>
        <v>Married</v>
      </c>
      <c r="AL679" t="str">
        <f>tbl_OriginalData[[#This Row],[Education_Level]]</f>
        <v>Master's</v>
      </c>
      <c r="AM679" t="str">
        <f>tbl_OriginalData[[#This Row],[Occupation]]</f>
        <v>High</v>
      </c>
      <c r="AN679" t="s">
        <v>1578</v>
      </c>
      <c r="AO679" t="s">
        <v>1274</v>
      </c>
      <c r="AP679" t="str">
        <f>tbl_OriginalData[[#This Row],[Purchase_Category]]</f>
        <v>Sports &amp; Outdoors</v>
      </c>
      <c r="AQ679" s="4">
        <f>tbl_OriginalData[[#This Row],[Purchase_Amount]]</f>
        <v>340.31</v>
      </c>
      <c r="AR679">
        <f>tbl_OriginalData[[#This Row],[Frequency_of_Purchase]]</f>
        <v>10</v>
      </c>
      <c r="AS679" t="str">
        <f>tbl_OriginalData[[#This Row],[Purchase_Channel]]</f>
        <v>Online</v>
      </c>
      <c r="AT679">
        <f>tbl_OriginalData[[#This Row],[Brand_Loyalty]]</f>
        <v>5</v>
      </c>
      <c r="AU679">
        <f>tbl_OriginalData[[#This Row],[Product_Rating]]</f>
        <v>1</v>
      </c>
      <c r="AV679">
        <f>tbl_OriginalData[[#This Row],[Time_Spent_on_Product_Research(hours)]]*60</f>
        <v>60</v>
      </c>
      <c r="AW679" t="str">
        <f>tbl_OriginalData[[#This Row],[Social_Media_Influence]]</f>
        <v>Low</v>
      </c>
      <c r="AX679" t="str">
        <f>tbl_OriginalData[[#This Row],[Discount_Sensitivity]]</f>
        <v>Somewhat Sensitive</v>
      </c>
      <c r="AY679" s="3">
        <f>tbl_OriginalData[[#This Row],[Return_Rate]]/tbl_OriginalData[[#This Row],[Frequency_of_Purchase]]</f>
        <v>0</v>
      </c>
      <c r="AZ679">
        <f>tbl_OriginalData[[#This Row],[Customer_Satisfaction]]</f>
        <v>5</v>
      </c>
      <c r="BA679" t="str">
        <f>tbl_OriginalData[[#This Row],[Engagement_with_Ads]]</f>
        <v>Low</v>
      </c>
      <c r="BB679" t="str">
        <f>tbl_OriginalData[[#This Row],[Device_Used_for_Shopping]]</f>
        <v>Desktop</v>
      </c>
      <c r="BC679" t="str">
        <f>tbl_OriginalData[[#This Row],[Payment_Method]]</f>
        <v>Other</v>
      </c>
      <c r="BD679" s="1">
        <f>tbl_OriginalData[[#This Row],[Time_of_Purchase]]</f>
        <v>45553</v>
      </c>
      <c r="BE679" t="str">
        <f>IF(tbl_OriginalData[[#This Row],[Discount_Used]]=TRUE,"Yes","No")</f>
        <v>No</v>
      </c>
      <c r="BF679" t="str">
        <f>IF(tbl_OriginalData[[#This Row],[Customer_Loyalty_Program_Member]]=TRUE,"Yes","No")</f>
        <v>Yes</v>
      </c>
      <c r="BG679" t="str">
        <f>tbl_OriginalData[[#This Row],[Purchase_Intent]]</f>
        <v>Impulsive</v>
      </c>
      <c r="BH679" t="str">
        <f>tbl_OriginalData[[#This Row],[Shipping_Preference]]</f>
        <v>No Preference</v>
      </c>
      <c r="BI679">
        <f>tbl_OriginalData[[#This Row],[Time_to_Decision]]</f>
        <v>14</v>
      </c>
      <c r="BJ679" t="s">
        <v>172</v>
      </c>
      <c r="BK679" t="s">
        <v>115</v>
      </c>
      <c r="BL679" t="s">
        <v>2523</v>
      </c>
    </row>
    <row r="680" spans="1:64">
      <c r="A680" t="s">
        <v>1579</v>
      </c>
      <c r="B680">
        <v>40</v>
      </c>
      <c r="C680" t="s">
        <v>50</v>
      </c>
      <c r="D680" t="s">
        <v>51</v>
      </c>
      <c r="E680" t="s">
        <v>92</v>
      </c>
      <c r="F680" t="s">
        <v>66</v>
      </c>
      <c r="G680" t="s">
        <v>51</v>
      </c>
      <c r="H680" t="s">
        <v>1580</v>
      </c>
      <c r="I680" t="s">
        <v>127</v>
      </c>
      <c r="J680">
        <v>489.67</v>
      </c>
      <c r="K680">
        <v>5</v>
      </c>
      <c r="L680" t="s">
        <v>39</v>
      </c>
      <c r="M680">
        <v>5</v>
      </c>
      <c r="N680">
        <v>5</v>
      </c>
      <c r="O680">
        <v>1</v>
      </c>
      <c r="P680" t="s">
        <v>40</v>
      </c>
      <c r="Q680" t="s">
        <v>101</v>
      </c>
      <c r="R680">
        <v>1</v>
      </c>
      <c r="S680">
        <v>5</v>
      </c>
      <c r="T680" t="s">
        <v>56</v>
      </c>
      <c r="U680" t="s">
        <v>42</v>
      </c>
      <c r="V680" t="s">
        <v>71</v>
      </c>
      <c r="W680" s="1">
        <v>45647</v>
      </c>
      <c r="X680" t="b">
        <v>0</v>
      </c>
      <c r="Y680" t="b">
        <v>0</v>
      </c>
      <c r="Z680" t="s">
        <v>59</v>
      </c>
      <c r="AA680" t="s">
        <v>60</v>
      </c>
      <c r="AB680">
        <v>11</v>
      </c>
      <c r="AF680" t="str">
        <f>tbl_OriginalData[[#This Row],[Customer_ID]]</f>
        <v>15-146-4456</v>
      </c>
      <c r="AG680">
        <f>tbl_OriginalData[[#This Row],[Age]]</f>
        <v>40</v>
      </c>
      <c r="AH680" t="str" cm="1">
        <f t="array" ref="AH68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80" t="str">
        <f>tbl_OriginalData[[#This Row],[Gender]]</f>
        <v>Male</v>
      </c>
      <c r="AJ680" t="str">
        <f>tbl_OriginalData[[#This Row],[Income_Level]]</f>
        <v>High</v>
      </c>
      <c r="AK680" t="str">
        <f>tbl_OriginalData[[#This Row],[Marital_Status]]</f>
        <v>Divorced</v>
      </c>
      <c r="AL680" t="str">
        <f>tbl_OriginalData[[#This Row],[Education_Level]]</f>
        <v>Master's</v>
      </c>
      <c r="AM680" t="str">
        <f>tbl_OriginalData[[#This Row],[Occupation]]</f>
        <v>High</v>
      </c>
      <c r="AN680" t="s">
        <v>1580</v>
      </c>
      <c r="AO680" t="s">
        <v>61</v>
      </c>
      <c r="AP680" t="str">
        <f>tbl_OriginalData[[#This Row],[Purchase_Category]]</f>
        <v>Animal Feed</v>
      </c>
      <c r="AQ680" s="4">
        <f>tbl_OriginalData[[#This Row],[Purchase_Amount]]</f>
        <v>489.67</v>
      </c>
      <c r="AR680">
        <f>tbl_OriginalData[[#This Row],[Frequency_of_Purchase]]</f>
        <v>5</v>
      </c>
      <c r="AS680" t="str">
        <f>tbl_OriginalData[[#This Row],[Purchase_Channel]]</f>
        <v>Mixed</v>
      </c>
      <c r="AT680">
        <f>tbl_OriginalData[[#This Row],[Brand_Loyalty]]</f>
        <v>5</v>
      </c>
      <c r="AU680">
        <f>tbl_OriginalData[[#This Row],[Product_Rating]]</f>
        <v>5</v>
      </c>
      <c r="AV680">
        <f>tbl_OriginalData[[#This Row],[Time_Spent_on_Product_Research(hours)]]*60</f>
        <v>60</v>
      </c>
      <c r="AW680" t="str">
        <f>tbl_OriginalData[[#This Row],[Social_Media_Influence]]</f>
        <v>None</v>
      </c>
      <c r="AX680" t="str">
        <f>tbl_OriginalData[[#This Row],[Discount_Sensitivity]]</f>
        <v>Very Sensitive</v>
      </c>
      <c r="AY680" s="3">
        <f>tbl_OriginalData[[#This Row],[Return_Rate]]/tbl_OriginalData[[#This Row],[Frequency_of_Purchase]]</f>
        <v>0.2</v>
      </c>
      <c r="AZ680">
        <f>tbl_OriginalData[[#This Row],[Customer_Satisfaction]]</f>
        <v>5</v>
      </c>
      <c r="BA680" t="str">
        <f>tbl_OriginalData[[#This Row],[Engagement_with_Ads]]</f>
        <v>Medium</v>
      </c>
      <c r="BB680" t="str">
        <f>tbl_OriginalData[[#This Row],[Device_Used_for_Shopping]]</f>
        <v>Tablet</v>
      </c>
      <c r="BC680" t="str">
        <f>tbl_OriginalData[[#This Row],[Payment_Method]]</f>
        <v>Debit Card</v>
      </c>
      <c r="BD680" s="1">
        <f>tbl_OriginalData[[#This Row],[Time_of_Purchase]]</f>
        <v>45647</v>
      </c>
      <c r="BE680" t="str">
        <f>IF(tbl_OriginalData[[#This Row],[Discount_Used]]=TRUE,"Yes","No")</f>
        <v>No</v>
      </c>
      <c r="BF680" t="str">
        <f>IF(tbl_OriginalData[[#This Row],[Customer_Loyalty_Program_Member]]=TRUE,"Yes","No")</f>
        <v>No</v>
      </c>
      <c r="BG680" t="str">
        <f>tbl_OriginalData[[#This Row],[Purchase_Intent]]</f>
        <v>Wants-based</v>
      </c>
      <c r="BH680" t="str">
        <f>tbl_OriginalData[[#This Row],[Shipping_Preference]]</f>
        <v>Standard</v>
      </c>
      <c r="BI680">
        <f>tbl_OriginalData[[#This Row],[Time_to_Decision]]</f>
        <v>11</v>
      </c>
      <c r="BJ680" t="s">
        <v>120</v>
      </c>
      <c r="BK680" t="s">
        <v>80</v>
      </c>
      <c r="BL680" t="s">
        <v>2524</v>
      </c>
    </row>
    <row r="681" spans="1:64">
      <c r="A681" t="s">
        <v>1581</v>
      </c>
      <c r="B681">
        <v>26</v>
      </c>
      <c r="C681" t="s">
        <v>50</v>
      </c>
      <c r="D681" t="s">
        <v>51</v>
      </c>
      <c r="E681" t="s">
        <v>92</v>
      </c>
      <c r="F681" t="s">
        <v>66</v>
      </c>
      <c r="G681" t="s">
        <v>34</v>
      </c>
      <c r="H681" t="s">
        <v>1582</v>
      </c>
      <c r="I681" t="s">
        <v>112</v>
      </c>
      <c r="J681">
        <v>482.5</v>
      </c>
      <c r="K681">
        <v>11</v>
      </c>
      <c r="L681" t="s">
        <v>39</v>
      </c>
      <c r="M681">
        <v>1</v>
      </c>
      <c r="N681">
        <v>1</v>
      </c>
      <c r="O681">
        <v>1</v>
      </c>
      <c r="P681" t="s">
        <v>40</v>
      </c>
      <c r="Q681" t="s">
        <v>101</v>
      </c>
      <c r="R681">
        <v>2</v>
      </c>
      <c r="S681">
        <v>1</v>
      </c>
      <c r="T681" t="s">
        <v>40</v>
      </c>
      <c r="U681" t="s">
        <v>70</v>
      </c>
      <c r="V681" t="s">
        <v>102</v>
      </c>
      <c r="W681" s="1">
        <v>45563</v>
      </c>
      <c r="X681" t="b">
        <v>1</v>
      </c>
      <c r="Y681" t="b">
        <v>1</v>
      </c>
      <c r="Z681" t="s">
        <v>44</v>
      </c>
      <c r="AA681" t="s">
        <v>45</v>
      </c>
      <c r="AB681">
        <v>13</v>
      </c>
      <c r="AF681" t="str">
        <f>tbl_OriginalData[[#This Row],[Customer_ID]]</f>
        <v>76-620-2994</v>
      </c>
      <c r="AG681">
        <f>tbl_OriginalData[[#This Row],[Age]]</f>
        <v>26</v>
      </c>
      <c r="AH681" t="str" cm="1">
        <f t="array" ref="AH68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81" t="str">
        <f>tbl_OriginalData[[#This Row],[Gender]]</f>
        <v>Male</v>
      </c>
      <c r="AJ681" t="str">
        <f>tbl_OriginalData[[#This Row],[Income_Level]]</f>
        <v>High</v>
      </c>
      <c r="AK681" t="str">
        <f>tbl_OriginalData[[#This Row],[Marital_Status]]</f>
        <v>Divorced</v>
      </c>
      <c r="AL681" t="str">
        <f>tbl_OriginalData[[#This Row],[Education_Level]]</f>
        <v>Master's</v>
      </c>
      <c r="AM681" t="str">
        <f>tbl_OriginalData[[#This Row],[Occupation]]</f>
        <v>Middle</v>
      </c>
      <c r="AN681" t="s">
        <v>1582</v>
      </c>
      <c r="AO681" t="s">
        <v>502</v>
      </c>
      <c r="AP681" t="str">
        <f>tbl_OriginalData[[#This Row],[Purchase_Category]]</f>
        <v>Mobile Accessories</v>
      </c>
      <c r="AQ681" s="4">
        <f>tbl_OriginalData[[#This Row],[Purchase_Amount]]</f>
        <v>482.5</v>
      </c>
      <c r="AR681">
        <f>tbl_OriginalData[[#This Row],[Frequency_of_Purchase]]</f>
        <v>11</v>
      </c>
      <c r="AS681" t="str">
        <f>tbl_OriginalData[[#This Row],[Purchase_Channel]]</f>
        <v>Mixed</v>
      </c>
      <c r="AT681">
        <f>tbl_OriginalData[[#This Row],[Brand_Loyalty]]</f>
        <v>1</v>
      </c>
      <c r="AU681">
        <f>tbl_OriginalData[[#This Row],[Product_Rating]]</f>
        <v>1</v>
      </c>
      <c r="AV681">
        <f>tbl_OriginalData[[#This Row],[Time_Spent_on_Product_Research(hours)]]*60</f>
        <v>60</v>
      </c>
      <c r="AW681" t="str">
        <f>tbl_OriginalData[[#This Row],[Social_Media_Influence]]</f>
        <v>None</v>
      </c>
      <c r="AX681" t="str">
        <f>tbl_OriginalData[[#This Row],[Discount_Sensitivity]]</f>
        <v>Very Sensitive</v>
      </c>
      <c r="AY681" s="3">
        <f>tbl_OriginalData[[#This Row],[Return_Rate]]/tbl_OriginalData[[#This Row],[Frequency_of_Purchase]]</f>
        <v>0.18181818181818182</v>
      </c>
      <c r="AZ681">
        <f>tbl_OriginalData[[#This Row],[Customer_Satisfaction]]</f>
        <v>1</v>
      </c>
      <c r="BA681" t="str">
        <f>tbl_OriginalData[[#This Row],[Engagement_with_Ads]]</f>
        <v>None</v>
      </c>
      <c r="BB681" t="str">
        <f>tbl_OriginalData[[#This Row],[Device_Used_for_Shopping]]</f>
        <v>Smartphone</v>
      </c>
      <c r="BC681" t="str">
        <f>tbl_OriginalData[[#This Row],[Payment_Method]]</f>
        <v>Cash</v>
      </c>
      <c r="BD681" s="1">
        <f>tbl_OriginalData[[#This Row],[Time_of_Purchase]]</f>
        <v>45563</v>
      </c>
      <c r="BE681" t="str">
        <f>IF(tbl_OriginalData[[#This Row],[Discount_Used]]=TRUE,"Yes","No")</f>
        <v>Yes</v>
      </c>
      <c r="BF681" t="str">
        <f>IF(tbl_OriginalData[[#This Row],[Customer_Loyalty_Program_Member]]=TRUE,"Yes","No")</f>
        <v>Yes</v>
      </c>
      <c r="BG681" t="str">
        <f>tbl_OriginalData[[#This Row],[Purchase_Intent]]</f>
        <v>Need-based</v>
      </c>
      <c r="BH681" t="str">
        <f>tbl_OriginalData[[#This Row],[Shipping_Preference]]</f>
        <v>No Preference</v>
      </c>
      <c r="BI681">
        <f>tbl_OriginalData[[#This Row],[Time_to_Decision]]</f>
        <v>13</v>
      </c>
      <c r="BJ681" t="s">
        <v>172</v>
      </c>
      <c r="BK681" t="s">
        <v>115</v>
      </c>
      <c r="BL681" t="s">
        <v>2524</v>
      </c>
    </row>
    <row r="682" spans="1:64">
      <c r="A682" t="s">
        <v>1583</v>
      </c>
      <c r="B682">
        <v>32</v>
      </c>
      <c r="C682" t="s">
        <v>33</v>
      </c>
      <c r="D682" t="s">
        <v>34</v>
      </c>
      <c r="E682" t="s">
        <v>35</v>
      </c>
      <c r="F682" t="s">
        <v>66</v>
      </c>
      <c r="G682" t="s">
        <v>34</v>
      </c>
      <c r="H682" t="s">
        <v>1584</v>
      </c>
      <c r="I682" t="s">
        <v>306</v>
      </c>
      <c r="J682">
        <v>433.14</v>
      </c>
      <c r="K682">
        <v>10</v>
      </c>
      <c r="L682" t="s">
        <v>55</v>
      </c>
      <c r="M682">
        <v>3</v>
      </c>
      <c r="N682">
        <v>1</v>
      </c>
      <c r="O682">
        <v>2</v>
      </c>
      <c r="P682" t="s">
        <v>56</v>
      </c>
      <c r="Q682" t="s">
        <v>57</v>
      </c>
      <c r="R682">
        <v>2</v>
      </c>
      <c r="S682">
        <v>3</v>
      </c>
      <c r="T682" t="s">
        <v>51</v>
      </c>
      <c r="U682" t="s">
        <v>42</v>
      </c>
      <c r="V682" t="s">
        <v>71</v>
      </c>
      <c r="W682" s="1">
        <v>45482</v>
      </c>
      <c r="X682" t="b">
        <v>0</v>
      </c>
      <c r="Y682" t="b">
        <v>0</v>
      </c>
      <c r="Z682" t="s">
        <v>72</v>
      </c>
      <c r="AA682" t="s">
        <v>45</v>
      </c>
      <c r="AB682">
        <v>5</v>
      </c>
      <c r="AF682" t="str">
        <f>tbl_OriginalData[[#This Row],[Customer_ID]]</f>
        <v>60-834-3348</v>
      </c>
      <c r="AG682">
        <f>tbl_OriginalData[[#This Row],[Age]]</f>
        <v>32</v>
      </c>
      <c r="AH682" t="str" cm="1">
        <f t="array" ref="AH68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82" t="str">
        <f>tbl_OriginalData[[#This Row],[Gender]]</f>
        <v>Female</v>
      </c>
      <c r="AJ682" t="str">
        <f>tbl_OriginalData[[#This Row],[Income_Level]]</f>
        <v>Middle</v>
      </c>
      <c r="AK682" t="str">
        <f>tbl_OriginalData[[#This Row],[Marital_Status]]</f>
        <v>Married</v>
      </c>
      <c r="AL682" t="str">
        <f>tbl_OriginalData[[#This Row],[Education_Level]]</f>
        <v>Master's</v>
      </c>
      <c r="AM682" t="str">
        <f>tbl_OriginalData[[#This Row],[Occupation]]</f>
        <v>Middle</v>
      </c>
      <c r="AN682" t="s">
        <v>1584</v>
      </c>
      <c r="AO682" t="s">
        <v>310</v>
      </c>
      <c r="AP682" t="str">
        <f>tbl_OriginalData[[#This Row],[Purchase_Category]]</f>
        <v>Jewelry &amp; Accessories</v>
      </c>
      <c r="AQ682" s="4">
        <f>tbl_OriginalData[[#This Row],[Purchase_Amount]]</f>
        <v>433.14</v>
      </c>
      <c r="AR682">
        <f>tbl_OriginalData[[#This Row],[Frequency_of_Purchase]]</f>
        <v>10</v>
      </c>
      <c r="AS682" t="str">
        <f>tbl_OriginalData[[#This Row],[Purchase_Channel]]</f>
        <v>In-Store</v>
      </c>
      <c r="AT682">
        <f>tbl_OriginalData[[#This Row],[Brand_Loyalty]]</f>
        <v>3</v>
      </c>
      <c r="AU682">
        <f>tbl_OriginalData[[#This Row],[Product_Rating]]</f>
        <v>1</v>
      </c>
      <c r="AV682">
        <f>tbl_OriginalData[[#This Row],[Time_Spent_on_Product_Research(hours)]]*60</f>
        <v>120</v>
      </c>
      <c r="AW682" t="str">
        <f>tbl_OriginalData[[#This Row],[Social_Media_Influence]]</f>
        <v>Medium</v>
      </c>
      <c r="AX682" t="str">
        <f>tbl_OriginalData[[#This Row],[Discount_Sensitivity]]</f>
        <v>Not Sensitive</v>
      </c>
      <c r="AY682" s="3">
        <f>tbl_OriginalData[[#This Row],[Return_Rate]]/tbl_OriginalData[[#This Row],[Frequency_of_Purchase]]</f>
        <v>0.2</v>
      </c>
      <c r="AZ682">
        <f>tbl_OriginalData[[#This Row],[Customer_Satisfaction]]</f>
        <v>3</v>
      </c>
      <c r="BA682" t="str">
        <f>tbl_OriginalData[[#This Row],[Engagement_with_Ads]]</f>
        <v>High</v>
      </c>
      <c r="BB682" t="str">
        <f>tbl_OriginalData[[#This Row],[Device_Used_for_Shopping]]</f>
        <v>Tablet</v>
      </c>
      <c r="BC682" t="str">
        <f>tbl_OriginalData[[#This Row],[Payment_Method]]</f>
        <v>Debit Card</v>
      </c>
      <c r="BD682" s="1">
        <f>tbl_OriginalData[[#This Row],[Time_of_Purchase]]</f>
        <v>45482</v>
      </c>
      <c r="BE682" t="str">
        <f>IF(tbl_OriginalData[[#This Row],[Discount_Used]]=TRUE,"Yes","No")</f>
        <v>No</v>
      </c>
      <c r="BF682" t="str">
        <f>IF(tbl_OriginalData[[#This Row],[Customer_Loyalty_Program_Member]]=TRUE,"Yes","No")</f>
        <v>No</v>
      </c>
      <c r="BG682" t="str">
        <f>tbl_OriginalData[[#This Row],[Purchase_Intent]]</f>
        <v>Impulsive</v>
      </c>
      <c r="BH682" t="str">
        <f>tbl_OriginalData[[#This Row],[Shipping_Preference]]</f>
        <v>No Preference</v>
      </c>
      <c r="BI682">
        <f>tbl_OriginalData[[#This Row],[Time_to_Decision]]</f>
        <v>5</v>
      </c>
      <c r="BJ682" t="s">
        <v>114</v>
      </c>
      <c r="BK682" t="s">
        <v>115</v>
      </c>
      <c r="BL682" t="s">
        <v>2524</v>
      </c>
    </row>
    <row r="683" spans="1:64">
      <c r="A683" t="s">
        <v>1585</v>
      </c>
      <c r="B683">
        <v>47</v>
      </c>
      <c r="C683" t="s">
        <v>33</v>
      </c>
      <c r="D683" t="s">
        <v>34</v>
      </c>
      <c r="E683" t="s">
        <v>82</v>
      </c>
      <c r="F683" t="s">
        <v>52</v>
      </c>
      <c r="G683" t="s">
        <v>51</v>
      </c>
      <c r="H683" t="s">
        <v>1586</v>
      </c>
      <c r="I683" t="s">
        <v>306</v>
      </c>
      <c r="J683">
        <v>375.7</v>
      </c>
      <c r="K683">
        <v>6</v>
      </c>
      <c r="L683" t="s">
        <v>94</v>
      </c>
      <c r="M683">
        <v>3</v>
      </c>
      <c r="N683">
        <v>1</v>
      </c>
      <c r="O683">
        <v>2</v>
      </c>
      <c r="P683" t="s">
        <v>69</v>
      </c>
      <c r="Q683" t="s">
        <v>101</v>
      </c>
      <c r="R683">
        <v>2</v>
      </c>
      <c r="S683">
        <v>10</v>
      </c>
      <c r="T683" t="s">
        <v>56</v>
      </c>
      <c r="U683" t="s">
        <v>42</v>
      </c>
      <c r="V683" t="s">
        <v>76</v>
      </c>
      <c r="W683" s="1">
        <v>45562</v>
      </c>
      <c r="X683" t="b">
        <v>1</v>
      </c>
      <c r="Y683" t="b">
        <v>0</v>
      </c>
      <c r="Z683" t="s">
        <v>59</v>
      </c>
      <c r="AA683" t="s">
        <v>45</v>
      </c>
      <c r="AB683">
        <v>10</v>
      </c>
      <c r="AF683" t="str">
        <f>tbl_OriginalData[[#This Row],[Customer_ID]]</f>
        <v>77-742-5663</v>
      </c>
      <c r="AG683">
        <f>tbl_OriginalData[[#This Row],[Age]]</f>
        <v>47</v>
      </c>
      <c r="AH683" t="str" cm="1">
        <f t="array" ref="AH68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83" t="str">
        <f>tbl_OriginalData[[#This Row],[Gender]]</f>
        <v>Female</v>
      </c>
      <c r="AJ683" t="str">
        <f>tbl_OriginalData[[#This Row],[Income_Level]]</f>
        <v>Middle</v>
      </c>
      <c r="AK683" t="str">
        <f>tbl_OriginalData[[#This Row],[Marital_Status]]</f>
        <v>Widowed</v>
      </c>
      <c r="AL683" t="str">
        <f>tbl_OriginalData[[#This Row],[Education_Level]]</f>
        <v>High School</v>
      </c>
      <c r="AM683" t="str">
        <f>tbl_OriginalData[[#This Row],[Occupation]]</f>
        <v>High</v>
      </c>
      <c r="AN683" t="s">
        <v>1586</v>
      </c>
      <c r="AO683" t="s">
        <v>61</v>
      </c>
      <c r="AP683" t="str">
        <f>tbl_OriginalData[[#This Row],[Purchase_Category]]</f>
        <v>Jewelry &amp; Accessories</v>
      </c>
      <c r="AQ683" s="4">
        <f>tbl_OriginalData[[#This Row],[Purchase_Amount]]</f>
        <v>375.7</v>
      </c>
      <c r="AR683">
        <f>tbl_OriginalData[[#This Row],[Frequency_of_Purchase]]</f>
        <v>6</v>
      </c>
      <c r="AS683" t="str">
        <f>tbl_OriginalData[[#This Row],[Purchase_Channel]]</f>
        <v>Online</v>
      </c>
      <c r="AT683">
        <f>tbl_OriginalData[[#This Row],[Brand_Loyalty]]</f>
        <v>3</v>
      </c>
      <c r="AU683">
        <f>tbl_OriginalData[[#This Row],[Product_Rating]]</f>
        <v>1</v>
      </c>
      <c r="AV683">
        <f>tbl_OriginalData[[#This Row],[Time_Spent_on_Product_Research(hours)]]*60</f>
        <v>120</v>
      </c>
      <c r="AW683" t="str">
        <f>tbl_OriginalData[[#This Row],[Social_Media_Influence]]</f>
        <v>Low</v>
      </c>
      <c r="AX683" t="str">
        <f>tbl_OriginalData[[#This Row],[Discount_Sensitivity]]</f>
        <v>Very Sensitive</v>
      </c>
      <c r="AY683" s="3">
        <f>tbl_OriginalData[[#This Row],[Return_Rate]]/tbl_OriginalData[[#This Row],[Frequency_of_Purchase]]</f>
        <v>0.33333333333333331</v>
      </c>
      <c r="AZ683">
        <f>tbl_OriginalData[[#This Row],[Customer_Satisfaction]]</f>
        <v>10</v>
      </c>
      <c r="BA683" t="str">
        <f>tbl_OriginalData[[#This Row],[Engagement_with_Ads]]</f>
        <v>Medium</v>
      </c>
      <c r="BB683" t="str">
        <f>tbl_OriginalData[[#This Row],[Device_Used_for_Shopping]]</f>
        <v>Tablet</v>
      </c>
      <c r="BC683" t="str">
        <f>tbl_OriginalData[[#This Row],[Payment_Method]]</f>
        <v>Other</v>
      </c>
      <c r="BD683" s="1">
        <f>tbl_OriginalData[[#This Row],[Time_of_Purchase]]</f>
        <v>45562</v>
      </c>
      <c r="BE683" t="str">
        <f>IF(tbl_OriginalData[[#This Row],[Discount_Used]]=TRUE,"Yes","No")</f>
        <v>Yes</v>
      </c>
      <c r="BF683" t="str">
        <f>IF(tbl_OriginalData[[#This Row],[Customer_Loyalty_Program_Member]]=TRUE,"Yes","No")</f>
        <v>No</v>
      </c>
      <c r="BG683" t="str">
        <f>tbl_OriginalData[[#This Row],[Purchase_Intent]]</f>
        <v>Wants-based</v>
      </c>
      <c r="BH683" t="str">
        <f>tbl_OriginalData[[#This Row],[Shipping_Preference]]</f>
        <v>No Preference</v>
      </c>
      <c r="BI683">
        <f>tbl_OriginalData[[#This Row],[Time_to_Decision]]</f>
        <v>10</v>
      </c>
      <c r="BJ683" t="s">
        <v>172</v>
      </c>
      <c r="BK683" t="s">
        <v>115</v>
      </c>
      <c r="BL683" t="s">
        <v>2524</v>
      </c>
    </row>
    <row r="684" spans="1:64">
      <c r="A684" t="s">
        <v>1587</v>
      </c>
      <c r="B684">
        <v>21</v>
      </c>
      <c r="C684" t="s">
        <v>50</v>
      </c>
      <c r="D684" t="s">
        <v>34</v>
      </c>
      <c r="E684" t="s">
        <v>65</v>
      </c>
      <c r="F684" t="s">
        <v>66</v>
      </c>
      <c r="G684" t="s">
        <v>34</v>
      </c>
      <c r="H684" t="s">
        <v>1588</v>
      </c>
      <c r="I684" t="s">
        <v>242</v>
      </c>
      <c r="J684">
        <v>381.3</v>
      </c>
      <c r="K684">
        <v>12</v>
      </c>
      <c r="L684" t="s">
        <v>94</v>
      </c>
      <c r="M684">
        <v>2</v>
      </c>
      <c r="N684">
        <v>1</v>
      </c>
      <c r="O684">
        <v>1</v>
      </c>
      <c r="P684" t="s">
        <v>51</v>
      </c>
      <c r="Q684" t="s">
        <v>101</v>
      </c>
      <c r="R684">
        <v>0</v>
      </c>
      <c r="S684">
        <v>4</v>
      </c>
      <c r="T684" t="s">
        <v>69</v>
      </c>
      <c r="U684" t="s">
        <v>95</v>
      </c>
      <c r="V684" t="s">
        <v>43</v>
      </c>
      <c r="W684" s="1">
        <v>45300</v>
      </c>
      <c r="X684" t="b">
        <v>0</v>
      </c>
      <c r="Y684" t="b">
        <v>0</v>
      </c>
      <c r="Z684" t="s">
        <v>89</v>
      </c>
      <c r="AA684" t="s">
        <v>77</v>
      </c>
      <c r="AB684">
        <v>7</v>
      </c>
      <c r="AF684" t="str">
        <f>tbl_OriginalData[[#This Row],[Customer_ID]]</f>
        <v>05-167-0833</v>
      </c>
      <c r="AG684">
        <f>tbl_OriginalData[[#This Row],[Age]]</f>
        <v>21</v>
      </c>
      <c r="AH684" t="str" cm="1">
        <f t="array" ref="AH68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84" t="str">
        <f>tbl_OriginalData[[#This Row],[Gender]]</f>
        <v>Male</v>
      </c>
      <c r="AJ684" t="str">
        <f>tbl_OriginalData[[#This Row],[Income_Level]]</f>
        <v>Middle</v>
      </c>
      <c r="AK684" t="str">
        <f>tbl_OriginalData[[#This Row],[Marital_Status]]</f>
        <v>Single</v>
      </c>
      <c r="AL684" t="str">
        <f>tbl_OriginalData[[#This Row],[Education_Level]]</f>
        <v>Master's</v>
      </c>
      <c r="AM684" t="str">
        <f>tbl_OriginalData[[#This Row],[Occupation]]</f>
        <v>Middle</v>
      </c>
      <c r="AN684" t="s">
        <v>1588</v>
      </c>
      <c r="AO684" t="s">
        <v>46</v>
      </c>
      <c r="AP684" t="str">
        <f>tbl_OriginalData[[#This Row],[Purchase_Category]]</f>
        <v>Travel &amp; Leisure (Flights</v>
      </c>
      <c r="AQ684" s="4">
        <f>tbl_OriginalData[[#This Row],[Purchase_Amount]]</f>
        <v>381.3</v>
      </c>
      <c r="AR684">
        <f>tbl_OriginalData[[#This Row],[Frequency_of_Purchase]]</f>
        <v>12</v>
      </c>
      <c r="AS684" t="str">
        <f>tbl_OriginalData[[#This Row],[Purchase_Channel]]</f>
        <v>Online</v>
      </c>
      <c r="AT684">
        <f>tbl_OriginalData[[#This Row],[Brand_Loyalty]]</f>
        <v>2</v>
      </c>
      <c r="AU684">
        <f>tbl_OriginalData[[#This Row],[Product_Rating]]</f>
        <v>1</v>
      </c>
      <c r="AV684">
        <f>tbl_OriginalData[[#This Row],[Time_Spent_on_Product_Research(hours)]]*60</f>
        <v>60</v>
      </c>
      <c r="AW684" t="str">
        <f>tbl_OriginalData[[#This Row],[Social_Media_Influence]]</f>
        <v>High</v>
      </c>
      <c r="AX684" t="str">
        <f>tbl_OriginalData[[#This Row],[Discount_Sensitivity]]</f>
        <v>Very Sensitive</v>
      </c>
      <c r="AY684" s="3">
        <f>tbl_OriginalData[[#This Row],[Return_Rate]]/tbl_OriginalData[[#This Row],[Frequency_of_Purchase]]</f>
        <v>0</v>
      </c>
      <c r="AZ684">
        <f>tbl_OriginalData[[#This Row],[Customer_Satisfaction]]</f>
        <v>4</v>
      </c>
      <c r="BA684" t="str">
        <f>tbl_OriginalData[[#This Row],[Engagement_with_Ads]]</f>
        <v>Low</v>
      </c>
      <c r="BB684" t="str">
        <f>tbl_OriginalData[[#This Row],[Device_Used_for_Shopping]]</f>
        <v>Desktop</v>
      </c>
      <c r="BC684" t="str">
        <f>tbl_OriginalData[[#This Row],[Payment_Method]]</f>
        <v>Credit Card</v>
      </c>
      <c r="BD684" s="1">
        <f>tbl_OriginalData[[#This Row],[Time_of_Purchase]]</f>
        <v>45300</v>
      </c>
      <c r="BE684" t="str">
        <f>IF(tbl_OriginalData[[#This Row],[Discount_Used]]=TRUE,"Yes","No")</f>
        <v>No</v>
      </c>
      <c r="BF684" t="str">
        <f>IF(tbl_OriginalData[[#This Row],[Customer_Loyalty_Program_Member]]=TRUE,"Yes","No")</f>
        <v>No</v>
      </c>
      <c r="BG684" t="str">
        <f>tbl_OriginalData[[#This Row],[Purchase_Intent]]</f>
        <v>Planned</v>
      </c>
      <c r="BH684" t="str">
        <f>tbl_OriginalData[[#This Row],[Shipping_Preference]]</f>
        <v>Express</v>
      </c>
      <c r="BI684">
        <f>tbl_OriginalData[[#This Row],[Time_to_Decision]]</f>
        <v>7</v>
      </c>
      <c r="BJ684" t="s">
        <v>86</v>
      </c>
      <c r="BK684" t="s">
        <v>48</v>
      </c>
      <c r="BL684" t="s">
        <v>2523</v>
      </c>
    </row>
    <row r="685" spans="1:64">
      <c r="A685" t="s">
        <v>1589</v>
      </c>
      <c r="B685">
        <v>34</v>
      </c>
      <c r="C685" t="s">
        <v>50</v>
      </c>
      <c r="D685" t="s">
        <v>51</v>
      </c>
      <c r="E685" t="s">
        <v>82</v>
      </c>
      <c r="F685" t="s">
        <v>52</v>
      </c>
      <c r="G685" t="s">
        <v>51</v>
      </c>
      <c r="H685" t="s">
        <v>1590</v>
      </c>
      <c r="I685" t="s">
        <v>147</v>
      </c>
      <c r="J685">
        <v>210.21</v>
      </c>
      <c r="K685">
        <v>4</v>
      </c>
      <c r="L685" t="s">
        <v>39</v>
      </c>
      <c r="M685">
        <v>4</v>
      </c>
      <c r="N685">
        <v>1</v>
      </c>
      <c r="O685">
        <v>2</v>
      </c>
      <c r="P685" t="s">
        <v>51</v>
      </c>
      <c r="Q685" t="s">
        <v>101</v>
      </c>
      <c r="R685">
        <v>0</v>
      </c>
      <c r="S685">
        <v>10</v>
      </c>
      <c r="T685" t="s">
        <v>51</v>
      </c>
      <c r="U685" t="s">
        <v>95</v>
      </c>
      <c r="V685" t="s">
        <v>58</v>
      </c>
      <c r="W685" s="1">
        <v>45478</v>
      </c>
      <c r="X685" t="b">
        <v>0</v>
      </c>
      <c r="Y685" t="b">
        <v>1</v>
      </c>
      <c r="Z685" t="s">
        <v>44</v>
      </c>
      <c r="AA685" t="s">
        <v>45</v>
      </c>
      <c r="AB685">
        <v>14</v>
      </c>
      <c r="AF685" t="str">
        <f>tbl_OriginalData[[#This Row],[Customer_ID]]</f>
        <v>86-182-9556</v>
      </c>
      <c r="AG685">
        <f>tbl_OriginalData[[#This Row],[Age]]</f>
        <v>34</v>
      </c>
      <c r="AH685" t="str" cm="1">
        <f t="array" ref="AH68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85" t="str">
        <f>tbl_OriginalData[[#This Row],[Gender]]</f>
        <v>Male</v>
      </c>
      <c r="AJ685" t="str">
        <f>tbl_OriginalData[[#This Row],[Income_Level]]</f>
        <v>High</v>
      </c>
      <c r="AK685" t="str">
        <f>tbl_OriginalData[[#This Row],[Marital_Status]]</f>
        <v>Widowed</v>
      </c>
      <c r="AL685" t="str">
        <f>tbl_OriginalData[[#This Row],[Education_Level]]</f>
        <v>High School</v>
      </c>
      <c r="AM685" t="str">
        <f>tbl_OriginalData[[#This Row],[Occupation]]</f>
        <v>High</v>
      </c>
      <c r="AN685" t="s">
        <v>1590</v>
      </c>
      <c r="AO685" t="s">
        <v>749</v>
      </c>
      <c r="AP685" t="str">
        <f>tbl_OriginalData[[#This Row],[Purchase_Category]]</f>
        <v>Electronics</v>
      </c>
      <c r="AQ685" s="4">
        <f>tbl_OriginalData[[#This Row],[Purchase_Amount]]</f>
        <v>210.21</v>
      </c>
      <c r="AR685">
        <f>tbl_OriginalData[[#This Row],[Frequency_of_Purchase]]</f>
        <v>4</v>
      </c>
      <c r="AS685" t="str">
        <f>tbl_OriginalData[[#This Row],[Purchase_Channel]]</f>
        <v>Mixed</v>
      </c>
      <c r="AT685">
        <f>tbl_OriginalData[[#This Row],[Brand_Loyalty]]</f>
        <v>4</v>
      </c>
      <c r="AU685">
        <f>tbl_OriginalData[[#This Row],[Product_Rating]]</f>
        <v>1</v>
      </c>
      <c r="AV685">
        <f>tbl_OriginalData[[#This Row],[Time_Spent_on_Product_Research(hours)]]*60</f>
        <v>120</v>
      </c>
      <c r="AW685" t="str">
        <f>tbl_OriginalData[[#This Row],[Social_Media_Influence]]</f>
        <v>High</v>
      </c>
      <c r="AX685" t="str">
        <f>tbl_OriginalData[[#This Row],[Discount_Sensitivity]]</f>
        <v>Very Sensitive</v>
      </c>
      <c r="AY685" s="3">
        <f>tbl_OriginalData[[#This Row],[Return_Rate]]/tbl_OriginalData[[#This Row],[Frequency_of_Purchase]]</f>
        <v>0</v>
      </c>
      <c r="AZ685">
        <f>tbl_OriginalData[[#This Row],[Customer_Satisfaction]]</f>
        <v>10</v>
      </c>
      <c r="BA685" t="str">
        <f>tbl_OriginalData[[#This Row],[Engagement_with_Ads]]</f>
        <v>High</v>
      </c>
      <c r="BB685" t="str">
        <f>tbl_OriginalData[[#This Row],[Device_Used_for_Shopping]]</f>
        <v>Desktop</v>
      </c>
      <c r="BC685" t="str">
        <f>tbl_OriginalData[[#This Row],[Payment_Method]]</f>
        <v>PayPal</v>
      </c>
      <c r="BD685" s="1">
        <f>tbl_OriginalData[[#This Row],[Time_of_Purchase]]</f>
        <v>45478</v>
      </c>
      <c r="BE685" t="str">
        <f>IF(tbl_OriginalData[[#This Row],[Discount_Used]]=TRUE,"Yes","No")</f>
        <v>No</v>
      </c>
      <c r="BF685" t="str">
        <f>IF(tbl_OriginalData[[#This Row],[Customer_Loyalty_Program_Member]]=TRUE,"Yes","No")</f>
        <v>Yes</v>
      </c>
      <c r="BG685" t="str">
        <f>tbl_OriginalData[[#This Row],[Purchase_Intent]]</f>
        <v>Need-based</v>
      </c>
      <c r="BH685" t="str">
        <f>tbl_OriginalData[[#This Row],[Shipping_Preference]]</f>
        <v>No Preference</v>
      </c>
      <c r="BI685">
        <f>tbl_OriginalData[[#This Row],[Time_to_Decision]]</f>
        <v>14</v>
      </c>
      <c r="BJ685" t="s">
        <v>114</v>
      </c>
      <c r="BK685" t="s">
        <v>115</v>
      </c>
      <c r="BL685" t="s">
        <v>2528</v>
      </c>
    </row>
    <row r="686" spans="1:64">
      <c r="A686" t="s">
        <v>1591</v>
      </c>
      <c r="B686">
        <v>29</v>
      </c>
      <c r="C686" t="s">
        <v>50</v>
      </c>
      <c r="D686" t="s">
        <v>34</v>
      </c>
      <c r="E686" t="s">
        <v>82</v>
      </c>
      <c r="F686" t="s">
        <v>66</v>
      </c>
      <c r="G686" t="s">
        <v>51</v>
      </c>
      <c r="H686" t="s">
        <v>1592</v>
      </c>
      <c r="I686" t="s">
        <v>180</v>
      </c>
      <c r="J686">
        <v>408.81</v>
      </c>
      <c r="K686">
        <v>8</v>
      </c>
      <c r="L686" t="s">
        <v>39</v>
      </c>
      <c r="M686">
        <v>5</v>
      </c>
      <c r="N686">
        <v>4</v>
      </c>
      <c r="O686">
        <v>2</v>
      </c>
      <c r="P686" t="s">
        <v>69</v>
      </c>
      <c r="Q686" t="s">
        <v>101</v>
      </c>
      <c r="R686">
        <v>1</v>
      </c>
      <c r="S686">
        <v>3</v>
      </c>
      <c r="T686" t="s">
        <v>56</v>
      </c>
      <c r="U686" t="s">
        <v>95</v>
      </c>
      <c r="V686" t="s">
        <v>71</v>
      </c>
      <c r="W686" s="1">
        <v>45489</v>
      </c>
      <c r="X686" t="b">
        <v>0</v>
      </c>
      <c r="Y686" t="b">
        <v>1</v>
      </c>
      <c r="Z686" t="s">
        <v>59</v>
      </c>
      <c r="AA686" t="s">
        <v>77</v>
      </c>
      <c r="AB686">
        <v>12</v>
      </c>
      <c r="AF686" t="str">
        <f>tbl_OriginalData[[#This Row],[Customer_ID]]</f>
        <v>14-415-2802</v>
      </c>
      <c r="AG686">
        <f>tbl_OriginalData[[#This Row],[Age]]</f>
        <v>29</v>
      </c>
      <c r="AH686" t="str" cm="1">
        <f t="array" ref="AH68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86" t="str">
        <f>tbl_OriginalData[[#This Row],[Gender]]</f>
        <v>Male</v>
      </c>
      <c r="AJ686" t="str">
        <f>tbl_OriginalData[[#This Row],[Income_Level]]</f>
        <v>Middle</v>
      </c>
      <c r="AK686" t="str">
        <f>tbl_OriginalData[[#This Row],[Marital_Status]]</f>
        <v>Widowed</v>
      </c>
      <c r="AL686" t="str">
        <f>tbl_OriginalData[[#This Row],[Education_Level]]</f>
        <v>Master's</v>
      </c>
      <c r="AM686" t="str">
        <f>tbl_OriginalData[[#This Row],[Occupation]]</f>
        <v>High</v>
      </c>
      <c r="AN686" t="s">
        <v>1592</v>
      </c>
      <c r="AO686" t="s">
        <v>545</v>
      </c>
      <c r="AP686" t="str">
        <f>tbl_OriginalData[[#This Row],[Purchase_Category]]</f>
        <v>Health Supplements</v>
      </c>
      <c r="AQ686" s="4">
        <f>tbl_OriginalData[[#This Row],[Purchase_Amount]]</f>
        <v>408.81</v>
      </c>
      <c r="AR686">
        <f>tbl_OriginalData[[#This Row],[Frequency_of_Purchase]]</f>
        <v>8</v>
      </c>
      <c r="AS686" t="str">
        <f>tbl_OriginalData[[#This Row],[Purchase_Channel]]</f>
        <v>Mixed</v>
      </c>
      <c r="AT686">
        <f>tbl_OriginalData[[#This Row],[Brand_Loyalty]]</f>
        <v>5</v>
      </c>
      <c r="AU686">
        <f>tbl_OriginalData[[#This Row],[Product_Rating]]</f>
        <v>4</v>
      </c>
      <c r="AV686">
        <f>tbl_OriginalData[[#This Row],[Time_Spent_on_Product_Research(hours)]]*60</f>
        <v>120</v>
      </c>
      <c r="AW686" t="str">
        <f>tbl_OriginalData[[#This Row],[Social_Media_Influence]]</f>
        <v>Low</v>
      </c>
      <c r="AX686" t="str">
        <f>tbl_OriginalData[[#This Row],[Discount_Sensitivity]]</f>
        <v>Very Sensitive</v>
      </c>
      <c r="AY686" s="3">
        <f>tbl_OriginalData[[#This Row],[Return_Rate]]/tbl_OriginalData[[#This Row],[Frequency_of_Purchase]]</f>
        <v>0.125</v>
      </c>
      <c r="AZ686">
        <f>tbl_OriginalData[[#This Row],[Customer_Satisfaction]]</f>
        <v>3</v>
      </c>
      <c r="BA686" t="str">
        <f>tbl_OriginalData[[#This Row],[Engagement_with_Ads]]</f>
        <v>Medium</v>
      </c>
      <c r="BB686" t="str">
        <f>tbl_OriginalData[[#This Row],[Device_Used_for_Shopping]]</f>
        <v>Desktop</v>
      </c>
      <c r="BC686" t="str">
        <f>tbl_OriginalData[[#This Row],[Payment_Method]]</f>
        <v>Debit Card</v>
      </c>
      <c r="BD686" s="1">
        <f>tbl_OriginalData[[#This Row],[Time_of_Purchase]]</f>
        <v>45489</v>
      </c>
      <c r="BE686" t="str">
        <f>IF(tbl_OriginalData[[#This Row],[Discount_Used]]=TRUE,"Yes","No")</f>
        <v>No</v>
      </c>
      <c r="BF686" t="str">
        <f>IF(tbl_OriginalData[[#This Row],[Customer_Loyalty_Program_Member]]=TRUE,"Yes","No")</f>
        <v>Yes</v>
      </c>
      <c r="BG686" t="str">
        <f>tbl_OriginalData[[#This Row],[Purchase_Intent]]</f>
        <v>Wants-based</v>
      </c>
      <c r="BH686" t="str">
        <f>tbl_OriginalData[[#This Row],[Shipping_Preference]]</f>
        <v>Express</v>
      </c>
      <c r="BI686">
        <f>tbl_OriginalData[[#This Row],[Time_to_Decision]]</f>
        <v>12</v>
      </c>
      <c r="BJ686" t="s">
        <v>114</v>
      </c>
      <c r="BK686" t="s">
        <v>115</v>
      </c>
      <c r="BL686" t="s">
        <v>2528</v>
      </c>
    </row>
    <row r="687" spans="1:64">
      <c r="A687" t="s">
        <v>1593</v>
      </c>
      <c r="B687">
        <v>20</v>
      </c>
      <c r="C687" t="s">
        <v>33</v>
      </c>
      <c r="D687" t="s">
        <v>34</v>
      </c>
      <c r="E687" t="s">
        <v>92</v>
      </c>
      <c r="F687" t="s">
        <v>36</v>
      </c>
      <c r="G687" t="s">
        <v>51</v>
      </c>
      <c r="H687" t="s">
        <v>1594</v>
      </c>
      <c r="I687" t="s">
        <v>306</v>
      </c>
      <c r="J687">
        <v>118.65</v>
      </c>
      <c r="K687">
        <v>10</v>
      </c>
      <c r="L687" t="s">
        <v>39</v>
      </c>
      <c r="M687">
        <v>1</v>
      </c>
      <c r="N687">
        <v>3</v>
      </c>
      <c r="O687">
        <v>0</v>
      </c>
      <c r="P687" t="s">
        <v>69</v>
      </c>
      <c r="Q687" t="s">
        <v>101</v>
      </c>
      <c r="R687">
        <v>0</v>
      </c>
      <c r="S687">
        <v>2</v>
      </c>
      <c r="T687" t="s">
        <v>69</v>
      </c>
      <c r="U687" t="s">
        <v>70</v>
      </c>
      <c r="V687" t="s">
        <v>43</v>
      </c>
      <c r="W687" s="1">
        <v>45300</v>
      </c>
      <c r="X687" t="b">
        <v>1</v>
      </c>
      <c r="Y687" t="b">
        <v>1</v>
      </c>
      <c r="Z687" t="s">
        <v>72</v>
      </c>
      <c r="AA687" t="s">
        <v>60</v>
      </c>
      <c r="AB687">
        <v>13</v>
      </c>
      <c r="AF687" t="str">
        <f>tbl_OriginalData[[#This Row],[Customer_ID]]</f>
        <v>49-469-9163</v>
      </c>
      <c r="AG687">
        <f>tbl_OriginalData[[#This Row],[Age]]</f>
        <v>20</v>
      </c>
      <c r="AH687" t="str" cm="1">
        <f t="array" ref="AH68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87" t="str">
        <f>tbl_OriginalData[[#This Row],[Gender]]</f>
        <v>Female</v>
      </c>
      <c r="AJ687" t="str">
        <f>tbl_OriginalData[[#This Row],[Income_Level]]</f>
        <v>Middle</v>
      </c>
      <c r="AK687" t="str">
        <f>tbl_OriginalData[[#This Row],[Marital_Status]]</f>
        <v>Divorced</v>
      </c>
      <c r="AL687" t="str">
        <f>tbl_OriginalData[[#This Row],[Education_Level]]</f>
        <v>Bachelor's</v>
      </c>
      <c r="AM687" t="str">
        <f>tbl_OriginalData[[#This Row],[Occupation]]</f>
        <v>High</v>
      </c>
      <c r="AN687" t="s">
        <v>1594</v>
      </c>
      <c r="AO687" t="s">
        <v>90</v>
      </c>
      <c r="AP687" t="str">
        <f>tbl_OriginalData[[#This Row],[Purchase_Category]]</f>
        <v>Jewelry &amp; Accessories</v>
      </c>
      <c r="AQ687" s="4">
        <f>tbl_OriginalData[[#This Row],[Purchase_Amount]]</f>
        <v>118.65</v>
      </c>
      <c r="AR687">
        <f>tbl_OriginalData[[#This Row],[Frequency_of_Purchase]]</f>
        <v>10</v>
      </c>
      <c r="AS687" t="str">
        <f>tbl_OriginalData[[#This Row],[Purchase_Channel]]</f>
        <v>Mixed</v>
      </c>
      <c r="AT687">
        <f>tbl_OriginalData[[#This Row],[Brand_Loyalty]]</f>
        <v>1</v>
      </c>
      <c r="AU687">
        <f>tbl_OriginalData[[#This Row],[Product_Rating]]</f>
        <v>3</v>
      </c>
      <c r="AV687">
        <f>tbl_OriginalData[[#This Row],[Time_Spent_on_Product_Research(hours)]]*60</f>
        <v>0</v>
      </c>
      <c r="AW687" t="str">
        <f>tbl_OriginalData[[#This Row],[Social_Media_Influence]]</f>
        <v>Low</v>
      </c>
      <c r="AX687" t="str">
        <f>tbl_OriginalData[[#This Row],[Discount_Sensitivity]]</f>
        <v>Very Sensitive</v>
      </c>
      <c r="AY687" s="3">
        <f>tbl_OriginalData[[#This Row],[Return_Rate]]/tbl_OriginalData[[#This Row],[Frequency_of_Purchase]]</f>
        <v>0</v>
      </c>
      <c r="AZ687">
        <f>tbl_OriginalData[[#This Row],[Customer_Satisfaction]]</f>
        <v>2</v>
      </c>
      <c r="BA687" t="str">
        <f>tbl_OriginalData[[#This Row],[Engagement_with_Ads]]</f>
        <v>Low</v>
      </c>
      <c r="BB687" t="str">
        <f>tbl_OriginalData[[#This Row],[Device_Used_for_Shopping]]</f>
        <v>Smartphone</v>
      </c>
      <c r="BC687" t="str">
        <f>tbl_OriginalData[[#This Row],[Payment_Method]]</f>
        <v>Credit Card</v>
      </c>
      <c r="BD687" s="1">
        <f>tbl_OriginalData[[#This Row],[Time_of_Purchase]]</f>
        <v>45300</v>
      </c>
      <c r="BE687" t="str">
        <f>IF(tbl_OriginalData[[#This Row],[Discount_Used]]=TRUE,"Yes","No")</f>
        <v>Yes</v>
      </c>
      <c r="BF687" t="str">
        <f>IF(tbl_OriginalData[[#This Row],[Customer_Loyalty_Program_Member]]=TRUE,"Yes","No")</f>
        <v>Yes</v>
      </c>
      <c r="BG687" t="str">
        <f>tbl_OriginalData[[#This Row],[Purchase_Intent]]</f>
        <v>Impulsive</v>
      </c>
      <c r="BH687" t="str">
        <f>tbl_OriginalData[[#This Row],[Shipping_Preference]]</f>
        <v>Standard</v>
      </c>
      <c r="BI687">
        <f>tbl_OriginalData[[#This Row],[Time_to_Decision]]</f>
        <v>13</v>
      </c>
      <c r="BJ687" t="s">
        <v>86</v>
      </c>
      <c r="BK687" t="s">
        <v>48</v>
      </c>
      <c r="BL687" t="s">
        <v>2524</v>
      </c>
    </row>
    <row r="688" spans="1:64">
      <c r="A688" t="s">
        <v>1595</v>
      </c>
      <c r="B688">
        <v>50</v>
      </c>
      <c r="C688" t="s">
        <v>50</v>
      </c>
      <c r="D688" t="s">
        <v>51</v>
      </c>
      <c r="E688" t="s">
        <v>92</v>
      </c>
      <c r="F688" t="s">
        <v>36</v>
      </c>
      <c r="G688" t="s">
        <v>34</v>
      </c>
      <c r="H688" t="s">
        <v>1596</v>
      </c>
      <c r="I688" t="s">
        <v>150</v>
      </c>
      <c r="J688">
        <v>166.45</v>
      </c>
      <c r="K688">
        <v>7</v>
      </c>
      <c r="L688" t="s">
        <v>39</v>
      </c>
      <c r="M688">
        <v>5</v>
      </c>
      <c r="N688">
        <v>2</v>
      </c>
      <c r="O688">
        <v>2</v>
      </c>
      <c r="P688" t="s">
        <v>69</v>
      </c>
      <c r="Q688" t="s">
        <v>101</v>
      </c>
      <c r="R688">
        <v>2</v>
      </c>
      <c r="S688">
        <v>1</v>
      </c>
      <c r="T688" t="s">
        <v>51</v>
      </c>
      <c r="U688" t="s">
        <v>70</v>
      </c>
      <c r="V688" t="s">
        <v>102</v>
      </c>
      <c r="W688" s="1">
        <v>45517</v>
      </c>
      <c r="X688" t="b">
        <v>1</v>
      </c>
      <c r="Y688" t="b">
        <v>0</v>
      </c>
      <c r="Z688" t="s">
        <v>89</v>
      </c>
      <c r="AA688" t="s">
        <v>77</v>
      </c>
      <c r="AB688">
        <v>12</v>
      </c>
      <c r="AF688" t="str">
        <f>tbl_OriginalData[[#This Row],[Customer_ID]]</f>
        <v>67-937-6624</v>
      </c>
      <c r="AG688">
        <f>tbl_OriginalData[[#This Row],[Age]]</f>
        <v>50</v>
      </c>
      <c r="AH688" t="str" cm="1">
        <f t="array" ref="AH68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88" t="str">
        <f>tbl_OriginalData[[#This Row],[Gender]]</f>
        <v>Male</v>
      </c>
      <c r="AJ688" t="str">
        <f>tbl_OriginalData[[#This Row],[Income_Level]]</f>
        <v>High</v>
      </c>
      <c r="AK688" t="str">
        <f>tbl_OriginalData[[#This Row],[Marital_Status]]</f>
        <v>Divorced</v>
      </c>
      <c r="AL688" t="str">
        <f>tbl_OriginalData[[#This Row],[Education_Level]]</f>
        <v>Bachelor's</v>
      </c>
      <c r="AM688" t="str">
        <f>tbl_OriginalData[[#This Row],[Occupation]]</f>
        <v>Middle</v>
      </c>
      <c r="AN688" t="s">
        <v>1596</v>
      </c>
      <c r="AO688" t="s">
        <v>1597</v>
      </c>
      <c r="AP688" t="str">
        <f>tbl_OriginalData[[#This Row],[Purchase_Category]]</f>
        <v>Software &amp; Apps</v>
      </c>
      <c r="AQ688" s="4">
        <f>tbl_OriginalData[[#This Row],[Purchase_Amount]]</f>
        <v>166.45</v>
      </c>
      <c r="AR688">
        <f>tbl_OriginalData[[#This Row],[Frequency_of_Purchase]]</f>
        <v>7</v>
      </c>
      <c r="AS688" t="str">
        <f>tbl_OriginalData[[#This Row],[Purchase_Channel]]</f>
        <v>Mixed</v>
      </c>
      <c r="AT688">
        <f>tbl_OriginalData[[#This Row],[Brand_Loyalty]]</f>
        <v>5</v>
      </c>
      <c r="AU688">
        <f>tbl_OriginalData[[#This Row],[Product_Rating]]</f>
        <v>2</v>
      </c>
      <c r="AV688">
        <f>tbl_OriginalData[[#This Row],[Time_Spent_on_Product_Research(hours)]]*60</f>
        <v>120</v>
      </c>
      <c r="AW688" t="str">
        <f>tbl_OriginalData[[#This Row],[Social_Media_Influence]]</f>
        <v>Low</v>
      </c>
      <c r="AX688" t="str">
        <f>tbl_OriginalData[[#This Row],[Discount_Sensitivity]]</f>
        <v>Very Sensitive</v>
      </c>
      <c r="AY688" s="3">
        <f>tbl_OriginalData[[#This Row],[Return_Rate]]/tbl_OriginalData[[#This Row],[Frequency_of_Purchase]]</f>
        <v>0.2857142857142857</v>
      </c>
      <c r="AZ688">
        <f>tbl_OriginalData[[#This Row],[Customer_Satisfaction]]</f>
        <v>1</v>
      </c>
      <c r="BA688" t="str">
        <f>tbl_OriginalData[[#This Row],[Engagement_with_Ads]]</f>
        <v>High</v>
      </c>
      <c r="BB688" t="str">
        <f>tbl_OriginalData[[#This Row],[Device_Used_for_Shopping]]</f>
        <v>Smartphone</v>
      </c>
      <c r="BC688" t="str">
        <f>tbl_OriginalData[[#This Row],[Payment_Method]]</f>
        <v>Cash</v>
      </c>
      <c r="BD688" s="1">
        <f>tbl_OriginalData[[#This Row],[Time_of_Purchase]]</f>
        <v>45517</v>
      </c>
      <c r="BE688" t="str">
        <f>IF(tbl_OriginalData[[#This Row],[Discount_Used]]=TRUE,"Yes","No")</f>
        <v>Yes</v>
      </c>
      <c r="BF688" t="str">
        <f>IF(tbl_OriginalData[[#This Row],[Customer_Loyalty_Program_Member]]=TRUE,"Yes","No")</f>
        <v>No</v>
      </c>
      <c r="BG688" t="str">
        <f>tbl_OriginalData[[#This Row],[Purchase_Intent]]</f>
        <v>Planned</v>
      </c>
      <c r="BH688" t="str">
        <f>tbl_OriginalData[[#This Row],[Shipping_Preference]]</f>
        <v>Express</v>
      </c>
      <c r="BI688">
        <f>tbl_OriginalData[[#This Row],[Time_to_Decision]]</f>
        <v>12</v>
      </c>
      <c r="BJ688" t="s">
        <v>124</v>
      </c>
      <c r="BK688" t="s">
        <v>115</v>
      </c>
      <c r="BL688" t="s">
        <v>2528</v>
      </c>
    </row>
    <row r="689" spans="1:64">
      <c r="A689" t="s">
        <v>1598</v>
      </c>
      <c r="B689">
        <v>29</v>
      </c>
      <c r="C689" t="s">
        <v>33</v>
      </c>
      <c r="D689" t="s">
        <v>34</v>
      </c>
      <c r="E689" t="s">
        <v>92</v>
      </c>
      <c r="F689" t="s">
        <v>66</v>
      </c>
      <c r="G689" t="s">
        <v>51</v>
      </c>
      <c r="H689" t="s">
        <v>1599</v>
      </c>
      <c r="I689" t="s">
        <v>242</v>
      </c>
      <c r="J689">
        <v>385.32</v>
      </c>
      <c r="K689">
        <v>10</v>
      </c>
      <c r="L689" t="s">
        <v>94</v>
      </c>
      <c r="M689">
        <v>1</v>
      </c>
      <c r="N689">
        <v>1</v>
      </c>
      <c r="O689">
        <v>1</v>
      </c>
      <c r="P689" t="s">
        <v>69</v>
      </c>
      <c r="Q689" t="s">
        <v>101</v>
      </c>
      <c r="R689">
        <v>0</v>
      </c>
      <c r="S689">
        <v>1</v>
      </c>
      <c r="T689" t="s">
        <v>56</v>
      </c>
      <c r="U689" t="s">
        <v>70</v>
      </c>
      <c r="V689" t="s">
        <v>58</v>
      </c>
      <c r="W689" s="1">
        <v>45540</v>
      </c>
      <c r="X689" t="b">
        <v>1</v>
      </c>
      <c r="Y689" t="b">
        <v>1</v>
      </c>
      <c r="Z689" t="s">
        <v>72</v>
      </c>
      <c r="AA689" t="s">
        <v>60</v>
      </c>
      <c r="AB689">
        <v>9</v>
      </c>
      <c r="AF689" t="str">
        <f>tbl_OriginalData[[#This Row],[Customer_ID]]</f>
        <v>91-761-9492</v>
      </c>
      <c r="AG689">
        <f>tbl_OriginalData[[#This Row],[Age]]</f>
        <v>29</v>
      </c>
      <c r="AH689" t="str" cm="1">
        <f t="array" ref="AH68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89" t="str">
        <f>tbl_OriginalData[[#This Row],[Gender]]</f>
        <v>Female</v>
      </c>
      <c r="AJ689" t="str">
        <f>tbl_OriginalData[[#This Row],[Income_Level]]</f>
        <v>Middle</v>
      </c>
      <c r="AK689" t="str">
        <f>tbl_OriginalData[[#This Row],[Marital_Status]]</f>
        <v>Divorced</v>
      </c>
      <c r="AL689" t="str">
        <f>tbl_OriginalData[[#This Row],[Education_Level]]</f>
        <v>Master's</v>
      </c>
      <c r="AM689" t="str">
        <f>tbl_OriginalData[[#This Row],[Occupation]]</f>
        <v>High</v>
      </c>
      <c r="AN689" t="s">
        <v>1599</v>
      </c>
      <c r="AO689" t="s">
        <v>61</v>
      </c>
      <c r="AP689" t="str">
        <f>tbl_OriginalData[[#This Row],[Purchase_Category]]</f>
        <v>Travel &amp; Leisure (Flights</v>
      </c>
      <c r="AQ689" s="4">
        <f>tbl_OriginalData[[#This Row],[Purchase_Amount]]</f>
        <v>385.32</v>
      </c>
      <c r="AR689">
        <f>tbl_OriginalData[[#This Row],[Frequency_of_Purchase]]</f>
        <v>10</v>
      </c>
      <c r="AS689" t="str">
        <f>tbl_OriginalData[[#This Row],[Purchase_Channel]]</f>
        <v>Online</v>
      </c>
      <c r="AT689">
        <f>tbl_OriginalData[[#This Row],[Brand_Loyalty]]</f>
        <v>1</v>
      </c>
      <c r="AU689">
        <f>tbl_OriginalData[[#This Row],[Product_Rating]]</f>
        <v>1</v>
      </c>
      <c r="AV689">
        <f>tbl_OriginalData[[#This Row],[Time_Spent_on_Product_Research(hours)]]*60</f>
        <v>60</v>
      </c>
      <c r="AW689" t="str">
        <f>tbl_OriginalData[[#This Row],[Social_Media_Influence]]</f>
        <v>Low</v>
      </c>
      <c r="AX689" t="str">
        <f>tbl_OriginalData[[#This Row],[Discount_Sensitivity]]</f>
        <v>Very Sensitive</v>
      </c>
      <c r="AY689" s="3">
        <f>tbl_OriginalData[[#This Row],[Return_Rate]]/tbl_OriginalData[[#This Row],[Frequency_of_Purchase]]</f>
        <v>0</v>
      </c>
      <c r="AZ689">
        <f>tbl_OriginalData[[#This Row],[Customer_Satisfaction]]</f>
        <v>1</v>
      </c>
      <c r="BA689" t="str">
        <f>tbl_OriginalData[[#This Row],[Engagement_with_Ads]]</f>
        <v>Medium</v>
      </c>
      <c r="BB689" t="str">
        <f>tbl_OriginalData[[#This Row],[Device_Used_for_Shopping]]</f>
        <v>Smartphone</v>
      </c>
      <c r="BC689" t="str">
        <f>tbl_OriginalData[[#This Row],[Payment_Method]]</f>
        <v>PayPal</v>
      </c>
      <c r="BD689" s="1">
        <f>tbl_OriginalData[[#This Row],[Time_of_Purchase]]</f>
        <v>45540</v>
      </c>
      <c r="BE689" t="str">
        <f>IF(tbl_OriginalData[[#This Row],[Discount_Used]]=TRUE,"Yes","No")</f>
        <v>Yes</v>
      </c>
      <c r="BF689" t="str">
        <f>IF(tbl_OriginalData[[#This Row],[Customer_Loyalty_Program_Member]]=TRUE,"Yes","No")</f>
        <v>Yes</v>
      </c>
      <c r="BG689" t="str">
        <f>tbl_OriginalData[[#This Row],[Purchase_Intent]]</f>
        <v>Impulsive</v>
      </c>
      <c r="BH689" t="str">
        <f>tbl_OriginalData[[#This Row],[Shipping_Preference]]</f>
        <v>Standard</v>
      </c>
      <c r="BI689">
        <f>tbl_OriginalData[[#This Row],[Time_to_Decision]]</f>
        <v>9</v>
      </c>
      <c r="BJ689" t="s">
        <v>172</v>
      </c>
      <c r="BK689" t="s">
        <v>115</v>
      </c>
      <c r="BL689" t="s">
        <v>2524</v>
      </c>
    </row>
    <row r="690" spans="1:64">
      <c r="A690" t="s">
        <v>1600</v>
      </c>
      <c r="B690">
        <v>25</v>
      </c>
      <c r="C690" t="s">
        <v>238</v>
      </c>
      <c r="D690" t="s">
        <v>34</v>
      </c>
      <c r="E690" t="s">
        <v>35</v>
      </c>
      <c r="F690" t="s">
        <v>36</v>
      </c>
      <c r="G690" t="s">
        <v>51</v>
      </c>
      <c r="H690" t="s">
        <v>1601</v>
      </c>
      <c r="I690" t="s">
        <v>112</v>
      </c>
      <c r="J690">
        <v>293.99</v>
      </c>
      <c r="K690">
        <v>10</v>
      </c>
      <c r="L690" t="s">
        <v>39</v>
      </c>
      <c r="M690">
        <v>3</v>
      </c>
      <c r="N690">
        <v>4</v>
      </c>
      <c r="O690">
        <v>0</v>
      </c>
      <c r="P690" t="s">
        <v>40</v>
      </c>
      <c r="Q690" t="s">
        <v>41</v>
      </c>
      <c r="R690">
        <v>2</v>
      </c>
      <c r="S690">
        <v>7</v>
      </c>
      <c r="T690" t="s">
        <v>40</v>
      </c>
      <c r="U690" t="s">
        <v>42</v>
      </c>
      <c r="V690" t="s">
        <v>43</v>
      </c>
      <c r="W690" s="1">
        <v>45564</v>
      </c>
      <c r="X690" t="b">
        <v>0</v>
      </c>
      <c r="Y690" t="b">
        <v>1</v>
      </c>
      <c r="Z690" t="s">
        <v>59</v>
      </c>
      <c r="AA690" t="s">
        <v>45</v>
      </c>
      <c r="AB690">
        <v>5</v>
      </c>
      <c r="AF690" t="str">
        <f>tbl_OriginalData[[#This Row],[Customer_ID]]</f>
        <v>19-184-7665</v>
      </c>
      <c r="AG690">
        <f>tbl_OriginalData[[#This Row],[Age]]</f>
        <v>25</v>
      </c>
      <c r="AH690" t="str" cm="1">
        <f t="array" ref="AH69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90" t="str">
        <f>tbl_OriginalData[[#This Row],[Gender]]</f>
        <v>Non-binary</v>
      </c>
      <c r="AJ690" t="str">
        <f>tbl_OriginalData[[#This Row],[Income_Level]]</f>
        <v>Middle</v>
      </c>
      <c r="AK690" t="str">
        <f>tbl_OriginalData[[#This Row],[Marital_Status]]</f>
        <v>Married</v>
      </c>
      <c r="AL690" t="str">
        <f>tbl_OriginalData[[#This Row],[Education_Level]]</f>
        <v>Bachelor's</v>
      </c>
      <c r="AM690" t="str">
        <f>tbl_OriginalData[[#This Row],[Occupation]]</f>
        <v>High</v>
      </c>
      <c r="AN690" t="s">
        <v>1601</v>
      </c>
      <c r="AO690" t="s">
        <v>519</v>
      </c>
      <c r="AP690" t="str">
        <f>tbl_OriginalData[[#This Row],[Purchase_Category]]</f>
        <v>Mobile Accessories</v>
      </c>
      <c r="AQ690" s="4">
        <f>tbl_OriginalData[[#This Row],[Purchase_Amount]]</f>
        <v>293.99</v>
      </c>
      <c r="AR690">
        <f>tbl_OriginalData[[#This Row],[Frequency_of_Purchase]]</f>
        <v>10</v>
      </c>
      <c r="AS690" t="str">
        <f>tbl_OriginalData[[#This Row],[Purchase_Channel]]</f>
        <v>Mixed</v>
      </c>
      <c r="AT690">
        <f>tbl_OriginalData[[#This Row],[Brand_Loyalty]]</f>
        <v>3</v>
      </c>
      <c r="AU690">
        <f>tbl_OriginalData[[#This Row],[Product_Rating]]</f>
        <v>4</v>
      </c>
      <c r="AV690">
        <f>tbl_OriginalData[[#This Row],[Time_Spent_on_Product_Research(hours)]]*60</f>
        <v>0</v>
      </c>
      <c r="AW690" t="str">
        <f>tbl_OriginalData[[#This Row],[Social_Media_Influence]]</f>
        <v>None</v>
      </c>
      <c r="AX690" t="str">
        <f>tbl_OriginalData[[#This Row],[Discount_Sensitivity]]</f>
        <v>Somewhat Sensitive</v>
      </c>
      <c r="AY690" s="3">
        <f>tbl_OriginalData[[#This Row],[Return_Rate]]/tbl_OriginalData[[#This Row],[Frequency_of_Purchase]]</f>
        <v>0.2</v>
      </c>
      <c r="AZ690">
        <f>tbl_OriginalData[[#This Row],[Customer_Satisfaction]]</f>
        <v>7</v>
      </c>
      <c r="BA690" t="str">
        <f>tbl_OriginalData[[#This Row],[Engagement_with_Ads]]</f>
        <v>None</v>
      </c>
      <c r="BB690" t="str">
        <f>tbl_OriginalData[[#This Row],[Device_Used_for_Shopping]]</f>
        <v>Tablet</v>
      </c>
      <c r="BC690" t="str">
        <f>tbl_OriginalData[[#This Row],[Payment_Method]]</f>
        <v>Credit Card</v>
      </c>
      <c r="BD690" s="1">
        <f>tbl_OriginalData[[#This Row],[Time_of_Purchase]]</f>
        <v>45564</v>
      </c>
      <c r="BE690" t="str">
        <f>IF(tbl_OriginalData[[#This Row],[Discount_Used]]=TRUE,"Yes","No")</f>
        <v>No</v>
      </c>
      <c r="BF690" t="str">
        <f>IF(tbl_OriginalData[[#This Row],[Customer_Loyalty_Program_Member]]=TRUE,"Yes","No")</f>
        <v>Yes</v>
      </c>
      <c r="BG690" t="str">
        <f>tbl_OriginalData[[#This Row],[Purchase_Intent]]</f>
        <v>Wants-based</v>
      </c>
      <c r="BH690" t="str">
        <f>tbl_OriginalData[[#This Row],[Shipping_Preference]]</f>
        <v>No Preference</v>
      </c>
      <c r="BI690">
        <f>tbl_OriginalData[[#This Row],[Time_to_Decision]]</f>
        <v>5</v>
      </c>
      <c r="BJ690" t="s">
        <v>172</v>
      </c>
      <c r="BK690" t="s">
        <v>115</v>
      </c>
      <c r="BL690" t="s">
        <v>2524</v>
      </c>
    </row>
    <row r="691" spans="1:64">
      <c r="A691" t="s">
        <v>1602</v>
      </c>
      <c r="B691">
        <v>37</v>
      </c>
      <c r="C691" t="s">
        <v>50</v>
      </c>
      <c r="D691" t="s">
        <v>34</v>
      </c>
      <c r="E691" t="s">
        <v>82</v>
      </c>
      <c r="F691" t="s">
        <v>52</v>
      </c>
      <c r="G691" t="s">
        <v>34</v>
      </c>
      <c r="H691" t="s">
        <v>1603</v>
      </c>
      <c r="I691" t="s">
        <v>156</v>
      </c>
      <c r="J691">
        <v>161.41</v>
      </c>
      <c r="K691">
        <v>9</v>
      </c>
      <c r="L691" t="s">
        <v>39</v>
      </c>
      <c r="M691">
        <v>1</v>
      </c>
      <c r="N691">
        <v>4</v>
      </c>
      <c r="O691">
        <v>0</v>
      </c>
      <c r="P691" t="s">
        <v>69</v>
      </c>
      <c r="Q691" t="s">
        <v>101</v>
      </c>
      <c r="R691">
        <v>1</v>
      </c>
      <c r="S691">
        <v>8</v>
      </c>
      <c r="T691" t="s">
        <v>51</v>
      </c>
      <c r="U691" t="s">
        <v>95</v>
      </c>
      <c r="V691" t="s">
        <v>58</v>
      </c>
      <c r="W691" s="1">
        <v>45389</v>
      </c>
      <c r="X691" t="b">
        <v>1</v>
      </c>
      <c r="Y691" t="b">
        <v>0</v>
      </c>
      <c r="Z691" t="s">
        <v>72</v>
      </c>
      <c r="AA691" t="s">
        <v>60</v>
      </c>
      <c r="AB691">
        <v>3</v>
      </c>
      <c r="AF691" t="str">
        <f>tbl_OriginalData[[#This Row],[Customer_ID]]</f>
        <v>19-383-9741</v>
      </c>
      <c r="AG691">
        <f>tbl_OriginalData[[#This Row],[Age]]</f>
        <v>37</v>
      </c>
      <c r="AH691" t="str" cm="1">
        <f t="array" ref="AH69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91" t="str">
        <f>tbl_OriginalData[[#This Row],[Gender]]</f>
        <v>Male</v>
      </c>
      <c r="AJ691" t="str">
        <f>tbl_OriginalData[[#This Row],[Income_Level]]</f>
        <v>Middle</v>
      </c>
      <c r="AK691" t="str">
        <f>tbl_OriginalData[[#This Row],[Marital_Status]]</f>
        <v>Widowed</v>
      </c>
      <c r="AL691" t="str">
        <f>tbl_OriginalData[[#This Row],[Education_Level]]</f>
        <v>High School</v>
      </c>
      <c r="AM691" t="str">
        <f>tbl_OriginalData[[#This Row],[Occupation]]</f>
        <v>Middle</v>
      </c>
      <c r="AN691" t="s">
        <v>1603</v>
      </c>
      <c r="AO691" t="s">
        <v>109</v>
      </c>
      <c r="AP691" t="str">
        <f>tbl_OriginalData[[#This Row],[Purchase_Category]]</f>
        <v>Toys &amp; Games</v>
      </c>
      <c r="AQ691" s="4">
        <f>tbl_OriginalData[[#This Row],[Purchase_Amount]]</f>
        <v>161.41</v>
      </c>
      <c r="AR691">
        <f>tbl_OriginalData[[#This Row],[Frequency_of_Purchase]]</f>
        <v>9</v>
      </c>
      <c r="AS691" t="str">
        <f>tbl_OriginalData[[#This Row],[Purchase_Channel]]</f>
        <v>Mixed</v>
      </c>
      <c r="AT691">
        <f>tbl_OriginalData[[#This Row],[Brand_Loyalty]]</f>
        <v>1</v>
      </c>
      <c r="AU691">
        <f>tbl_OriginalData[[#This Row],[Product_Rating]]</f>
        <v>4</v>
      </c>
      <c r="AV691">
        <f>tbl_OriginalData[[#This Row],[Time_Spent_on_Product_Research(hours)]]*60</f>
        <v>0</v>
      </c>
      <c r="AW691" t="str">
        <f>tbl_OriginalData[[#This Row],[Social_Media_Influence]]</f>
        <v>Low</v>
      </c>
      <c r="AX691" t="str">
        <f>tbl_OriginalData[[#This Row],[Discount_Sensitivity]]</f>
        <v>Very Sensitive</v>
      </c>
      <c r="AY691" s="3">
        <f>tbl_OriginalData[[#This Row],[Return_Rate]]/tbl_OriginalData[[#This Row],[Frequency_of_Purchase]]</f>
        <v>0.1111111111111111</v>
      </c>
      <c r="AZ691">
        <f>tbl_OriginalData[[#This Row],[Customer_Satisfaction]]</f>
        <v>8</v>
      </c>
      <c r="BA691" t="str">
        <f>tbl_OriginalData[[#This Row],[Engagement_with_Ads]]</f>
        <v>High</v>
      </c>
      <c r="BB691" t="str">
        <f>tbl_OriginalData[[#This Row],[Device_Used_for_Shopping]]</f>
        <v>Desktop</v>
      </c>
      <c r="BC691" t="str">
        <f>tbl_OriginalData[[#This Row],[Payment_Method]]</f>
        <v>PayPal</v>
      </c>
      <c r="BD691" s="1">
        <f>tbl_OriginalData[[#This Row],[Time_of_Purchase]]</f>
        <v>45389</v>
      </c>
      <c r="BE691" t="str">
        <f>IF(tbl_OriginalData[[#This Row],[Discount_Used]]=TRUE,"Yes","No")</f>
        <v>Yes</v>
      </c>
      <c r="BF691" t="str">
        <f>IF(tbl_OriginalData[[#This Row],[Customer_Loyalty_Program_Member]]=TRUE,"Yes","No")</f>
        <v>No</v>
      </c>
      <c r="BG691" t="str">
        <f>tbl_OriginalData[[#This Row],[Purchase_Intent]]</f>
        <v>Impulsive</v>
      </c>
      <c r="BH691" t="str">
        <f>tbl_OriginalData[[#This Row],[Shipping_Preference]]</f>
        <v>Standard</v>
      </c>
      <c r="BI691">
        <f>tbl_OriginalData[[#This Row],[Time_to_Decision]]</f>
        <v>3</v>
      </c>
      <c r="BJ691" t="s">
        <v>62</v>
      </c>
      <c r="BK691" t="s">
        <v>63</v>
      </c>
      <c r="BL691" t="s">
        <v>2526</v>
      </c>
    </row>
    <row r="692" spans="1:64">
      <c r="A692" t="s">
        <v>1604</v>
      </c>
      <c r="B692">
        <v>39</v>
      </c>
      <c r="C692" t="s">
        <v>50</v>
      </c>
      <c r="D692" t="s">
        <v>34</v>
      </c>
      <c r="E692" t="s">
        <v>65</v>
      </c>
      <c r="F692" t="s">
        <v>66</v>
      </c>
      <c r="G692" t="s">
        <v>34</v>
      </c>
      <c r="H692" t="s">
        <v>779</v>
      </c>
      <c r="I692" t="s">
        <v>199</v>
      </c>
      <c r="J692">
        <v>130.91999999999999</v>
      </c>
      <c r="K692">
        <v>2</v>
      </c>
      <c r="L692" t="s">
        <v>94</v>
      </c>
      <c r="M692">
        <v>1</v>
      </c>
      <c r="N692">
        <v>2</v>
      </c>
      <c r="O692">
        <v>1</v>
      </c>
      <c r="P692" t="s">
        <v>51</v>
      </c>
      <c r="Q692" t="s">
        <v>101</v>
      </c>
      <c r="R692">
        <v>2</v>
      </c>
      <c r="S692">
        <v>2</v>
      </c>
      <c r="T692" t="s">
        <v>40</v>
      </c>
      <c r="U692" t="s">
        <v>42</v>
      </c>
      <c r="V692" t="s">
        <v>102</v>
      </c>
      <c r="W692" s="1">
        <v>45644</v>
      </c>
      <c r="X692" t="b">
        <v>1</v>
      </c>
      <c r="Y692" t="b">
        <v>1</v>
      </c>
      <c r="Z692" t="s">
        <v>72</v>
      </c>
      <c r="AA692" t="s">
        <v>45</v>
      </c>
      <c r="AB692">
        <v>9</v>
      </c>
      <c r="AF692" t="str">
        <f>tbl_OriginalData[[#This Row],[Customer_ID]]</f>
        <v>15-625-4047</v>
      </c>
      <c r="AG692">
        <f>tbl_OriginalData[[#This Row],[Age]]</f>
        <v>39</v>
      </c>
      <c r="AH692" t="str" cm="1">
        <f t="array" ref="AH69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692" t="str">
        <f>tbl_OriginalData[[#This Row],[Gender]]</f>
        <v>Male</v>
      </c>
      <c r="AJ692" t="str">
        <f>tbl_OriginalData[[#This Row],[Income_Level]]</f>
        <v>Middle</v>
      </c>
      <c r="AK692" t="str">
        <f>tbl_OriginalData[[#This Row],[Marital_Status]]</f>
        <v>Single</v>
      </c>
      <c r="AL692" t="str">
        <f>tbl_OriginalData[[#This Row],[Education_Level]]</f>
        <v>Master's</v>
      </c>
      <c r="AM692" t="str">
        <f>tbl_OriginalData[[#This Row],[Occupation]]</f>
        <v>Middle</v>
      </c>
      <c r="AN692" t="s">
        <v>779</v>
      </c>
      <c r="AO692" t="s">
        <v>1605</v>
      </c>
      <c r="AP692" t="str">
        <f>tbl_OriginalData[[#This Row],[Purchase_Category]]</f>
        <v>Groceries</v>
      </c>
      <c r="AQ692" s="4">
        <f>tbl_OriginalData[[#This Row],[Purchase_Amount]]</f>
        <v>130.91999999999999</v>
      </c>
      <c r="AR692">
        <f>tbl_OriginalData[[#This Row],[Frequency_of_Purchase]]</f>
        <v>2</v>
      </c>
      <c r="AS692" t="str">
        <f>tbl_OriginalData[[#This Row],[Purchase_Channel]]</f>
        <v>Online</v>
      </c>
      <c r="AT692">
        <f>tbl_OriginalData[[#This Row],[Brand_Loyalty]]</f>
        <v>1</v>
      </c>
      <c r="AU692">
        <f>tbl_OriginalData[[#This Row],[Product_Rating]]</f>
        <v>2</v>
      </c>
      <c r="AV692">
        <f>tbl_OriginalData[[#This Row],[Time_Spent_on_Product_Research(hours)]]*60</f>
        <v>60</v>
      </c>
      <c r="AW692" t="str">
        <f>tbl_OriginalData[[#This Row],[Social_Media_Influence]]</f>
        <v>High</v>
      </c>
      <c r="AX692" t="str">
        <f>tbl_OriginalData[[#This Row],[Discount_Sensitivity]]</f>
        <v>Very Sensitive</v>
      </c>
      <c r="AY692" s="3">
        <f>tbl_OriginalData[[#This Row],[Return_Rate]]/tbl_OriginalData[[#This Row],[Frequency_of_Purchase]]</f>
        <v>1</v>
      </c>
      <c r="AZ692">
        <f>tbl_OriginalData[[#This Row],[Customer_Satisfaction]]</f>
        <v>2</v>
      </c>
      <c r="BA692" t="str">
        <f>tbl_OriginalData[[#This Row],[Engagement_with_Ads]]</f>
        <v>None</v>
      </c>
      <c r="BB692" t="str">
        <f>tbl_OriginalData[[#This Row],[Device_Used_for_Shopping]]</f>
        <v>Tablet</v>
      </c>
      <c r="BC692" t="str">
        <f>tbl_OriginalData[[#This Row],[Payment_Method]]</f>
        <v>Cash</v>
      </c>
      <c r="BD692" s="1">
        <f>tbl_OriginalData[[#This Row],[Time_of_Purchase]]</f>
        <v>45644</v>
      </c>
      <c r="BE692" t="str">
        <f>IF(tbl_OriginalData[[#This Row],[Discount_Used]]=TRUE,"Yes","No")</f>
        <v>Yes</v>
      </c>
      <c r="BF692" t="str">
        <f>IF(tbl_OriginalData[[#This Row],[Customer_Loyalty_Program_Member]]=TRUE,"Yes","No")</f>
        <v>Yes</v>
      </c>
      <c r="BG692" t="str">
        <f>tbl_OriginalData[[#This Row],[Purchase_Intent]]</f>
        <v>Impulsive</v>
      </c>
      <c r="BH692" t="str">
        <f>tbl_OriginalData[[#This Row],[Shipping_Preference]]</f>
        <v>No Preference</v>
      </c>
      <c r="BI692">
        <f>tbl_OriginalData[[#This Row],[Time_to_Decision]]</f>
        <v>9</v>
      </c>
      <c r="BJ692" t="s">
        <v>120</v>
      </c>
      <c r="BK692" t="s">
        <v>80</v>
      </c>
      <c r="BL692" t="s">
        <v>2525</v>
      </c>
    </row>
    <row r="693" spans="1:64">
      <c r="A693" t="s">
        <v>1606</v>
      </c>
      <c r="B693">
        <v>48</v>
      </c>
      <c r="C693" t="s">
        <v>33</v>
      </c>
      <c r="D693" t="s">
        <v>34</v>
      </c>
      <c r="E693" t="s">
        <v>92</v>
      </c>
      <c r="F693" t="s">
        <v>36</v>
      </c>
      <c r="G693" t="s">
        <v>51</v>
      </c>
      <c r="H693" t="s">
        <v>1607</v>
      </c>
      <c r="I693" t="s">
        <v>156</v>
      </c>
      <c r="J693">
        <v>468.6</v>
      </c>
      <c r="K693">
        <v>4</v>
      </c>
      <c r="L693" t="s">
        <v>39</v>
      </c>
      <c r="M693">
        <v>3</v>
      </c>
      <c r="N693">
        <v>4</v>
      </c>
      <c r="O693">
        <v>2</v>
      </c>
      <c r="P693" t="s">
        <v>56</v>
      </c>
      <c r="Q693" t="s">
        <v>41</v>
      </c>
      <c r="R693">
        <v>0</v>
      </c>
      <c r="S693">
        <v>6</v>
      </c>
      <c r="T693" t="s">
        <v>40</v>
      </c>
      <c r="U693" t="s">
        <v>95</v>
      </c>
      <c r="V693" t="s">
        <v>58</v>
      </c>
      <c r="W693" s="1">
        <v>45457</v>
      </c>
      <c r="X693" t="b">
        <v>0</v>
      </c>
      <c r="Y693" t="b">
        <v>1</v>
      </c>
      <c r="Z693" t="s">
        <v>44</v>
      </c>
      <c r="AA693" t="s">
        <v>45</v>
      </c>
      <c r="AB693">
        <v>2</v>
      </c>
      <c r="AF693" t="str">
        <f>tbl_OriginalData[[#This Row],[Customer_ID]]</f>
        <v>81-820-4735</v>
      </c>
      <c r="AG693">
        <f>tbl_OriginalData[[#This Row],[Age]]</f>
        <v>48</v>
      </c>
      <c r="AH693" t="str" cm="1">
        <f t="array" ref="AH69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93" t="str">
        <f>tbl_OriginalData[[#This Row],[Gender]]</f>
        <v>Female</v>
      </c>
      <c r="AJ693" t="str">
        <f>tbl_OriginalData[[#This Row],[Income_Level]]</f>
        <v>Middle</v>
      </c>
      <c r="AK693" t="str">
        <f>tbl_OriginalData[[#This Row],[Marital_Status]]</f>
        <v>Divorced</v>
      </c>
      <c r="AL693" t="str">
        <f>tbl_OriginalData[[#This Row],[Education_Level]]</f>
        <v>Bachelor's</v>
      </c>
      <c r="AM693" t="str">
        <f>tbl_OriginalData[[#This Row],[Occupation]]</f>
        <v>High</v>
      </c>
      <c r="AN693" t="s">
        <v>1607</v>
      </c>
      <c r="AO693" t="s">
        <v>90</v>
      </c>
      <c r="AP693" t="str">
        <f>tbl_OriginalData[[#This Row],[Purchase_Category]]</f>
        <v>Toys &amp; Games</v>
      </c>
      <c r="AQ693" s="4">
        <f>tbl_OriginalData[[#This Row],[Purchase_Amount]]</f>
        <v>468.6</v>
      </c>
      <c r="AR693">
        <f>tbl_OriginalData[[#This Row],[Frequency_of_Purchase]]</f>
        <v>4</v>
      </c>
      <c r="AS693" t="str">
        <f>tbl_OriginalData[[#This Row],[Purchase_Channel]]</f>
        <v>Mixed</v>
      </c>
      <c r="AT693">
        <f>tbl_OriginalData[[#This Row],[Brand_Loyalty]]</f>
        <v>3</v>
      </c>
      <c r="AU693">
        <f>tbl_OriginalData[[#This Row],[Product_Rating]]</f>
        <v>4</v>
      </c>
      <c r="AV693">
        <f>tbl_OriginalData[[#This Row],[Time_Spent_on_Product_Research(hours)]]*60</f>
        <v>120</v>
      </c>
      <c r="AW693" t="str">
        <f>tbl_OriginalData[[#This Row],[Social_Media_Influence]]</f>
        <v>Medium</v>
      </c>
      <c r="AX693" t="str">
        <f>tbl_OriginalData[[#This Row],[Discount_Sensitivity]]</f>
        <v>Somewhat Sensitive</v>
      </c>
      <c r="AY693" s="3">
        <f>tbl_OriginalData[[#This Row],[Return_Rate]]/tbl_OriginalData[[#This Row],[Frequency_of_Purchase]]</f>
        <v>0</v>
      </c>
      <c r="AZ693">
        <f>tbl_OriginalData[[#This Row],[Customer_Satisfaction]]</f>
        <v>6</v>
      </c>
      <c r="BA693" t="str">
        <f>tbl_OriginalData[[#This Row],[Engagement_with_Ads]]</f>
        <v>None</v>
      </c>
      <c r="BB693" t="str">
        <f>tbl_OriginalData[[#This Row],[Device_Used_for_Shopping]]</f>
        <v>Desktop</v>
      </c>
      <c r="BC693" t="str">
        <f>tbl_OriginalData[[#This Row],[Payment_Method]]</f>
        <v>PayPal</v>
      </c>
      <c r="BD693" s="1">
        <f>tbl_OriginalData[[#This Row],[Time_of_Purchase]]</f>
        <v>45457</v>
      </c>
      <c r="BE693" t="str">
        <f>IF(tbl_OriginalData[[#This Row],[Discount_Used]]=TRUE,"Yes","No")</f>
        <v>No</v>
      </c>
      <c r="BF693" t="str">
        <f>IF(tbl_OriginalData[[#This Row],[Customer_Loyalty_Program_Member]]=TRUE,"Yes","No")</f>
        <v>Yes</v>
      </c>
      <c r="BG693" t="str">
        <f>tbl_OriginalData[[#This Row],[Purchase_Intent]]</f>
        <v>Need-based</v>
      </c>
      <c r="BH693" t="str">
        <f>tbl_OriginalData[[#This Row],[Shipping_Preference]]</f>
        <v>No Preference</v>
      </c>
      <c r="BI693">
        <f>tbl_OriginalData[[#This Row],[Time_to_Decision]]</f>
        <v>2</v>
      </c>
      <c r="BJ693" t="s">
        <v>104</v>
      </c>
      <c r="BK693" t="s">
        <v>63</v>
      </c>
      <c r="BL693" t="s">
        <v>2524</v>
      </c>
    </row>
    <row r="694" spans="1:64">
      <c r="A694" t="s">
        <v>1608</v>
      </c>
      <c r="B694">
        <v>47</v>
      </c>
      <c r="C694" t="s">
        <v>50</v>
      </c>
      <c r="D694" t="s">
        <v>51</v>
      </c>
      <c r="E694" t="s">
        <v>92</v>
      </c>
      <c r="F694" t="s">
        <v>36</v>
      </c>
      <c r="G694" t="s">
        <v>34</v>
      </c>
      <c r="H694" t="s">
        <v>1609</v>
      </c>
      <c r="I694" t="s">
        <v>156</v>
      </c>
      <c r="J694">
        <v>237.57</v>
      </c>
      <c r="K694">
        <v>5</v>
      </c>
      <c r="L694" t="s">
        <v>94</v>
      </c>
      <c r="M694">
        <v>3</v>
      </c>
      <c r="N694">
        <v>3</v>
      </c>
      <c r="O694">
        <v>0</v>
      </c>
      <c r="P694" t="s">
        <v>56</v>
      </c>
      <c r="Q694" t="s">
        <v>41</v>
      </c>
      <c r="R694">
        <v>0</v>
      </c>
      <c r="S694">
        <v>3</v>
      </c>
      <c r="T694" t="s">
        <v>56</v>
      </c>
      <c r="U694" t="s">
        <v>70</v>
      </c>
      <c r="V694" t="s">
        <v>102</v>
      </c>
      <c r="W694" s="1">
        <v>45407</v>
      </c>
      <c r="X694" t="b">
        <v>1</v>
      </c>
      <c r="Y694" t="b">
        <v>1</v>
      </c>
      <c r="Z694" t="s">
        <v>44</v>
      </c>
      <c r="AA694" t="s">
        <v>45</v>
      </c>
      <c r="AB694">
        <v>11</v>
      </c>
      <c r="AF694" t="str">
        <f>tbl_OriginalData[[#This Row],[Customer_ID]]</f>
        <v>71-436-6908</v>
      </c>
      <c r="AG694">
        <f>tbl_OriginalData[[#This Row],[Age]]</f>
        <v>47</v>
      </c>
      <c r="AH694" t="str" cm="1">
        <f t="array" ref="AH69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94" t="str">
        <f>tbl_OriginalData[[#This Row],[Gender]]</f>
        <v>Male</v>
      </c>
      <c r="AJ694" t="str">
        <f>tbl_OriginalData[[#This Row],[Income_Level]]</f>
        <v>High</v>
      </c>
      <c r="AK694" t="str">
        <f>tbl_OriginalData[[#This Row],[Marital_Status]]</f>
        <v>Divorced</v>
      </c>
      <c r="AL694" t="str">
        <f>tbl_OriginalData[[#This Row],[Education_Level]]</f>
        <v>Bachelor's</v>
      </c>
      <c r="AM694" t="str">
        <f>tbl_OriginalData[[#This Row],[Occupation]]</f>
        <v>Middle</v>
      </c>
      <c r="AN694" t="s">
        <v>1609</v>
      </c>
      <c r="AO694" t="s">
        <v>144</v>
      </c>
      <c r="AP694" t="str">
        <f>tbl_OriginalData[[#This Row],[Purchase_Category]]</f>
        <v>Toys &amp; Games</v>
      </c>
      <c r="AQ694" s="4">
        <f>tbl_OriginalData[[#This Row],[Purchase_Amount]]</f>
        <v>237.57</v>
      </c>
      <c r="AR694">
        <f>tbl_OriginalData[[#This Row],[Frequency_of_Purchase]]</f>
        <v>5</v>
      </c>
      <c r="AS694" t="str">
        <f>tbl_OriginalData[[#This Row],[Purchase_Channel]]</f>
        <v>Online</v>
      </c>
      <c r="AT694">
        <f>tbl_OriginalData[[#This Row],[Brand_Loyalty]]</f>
        <v>3</v>
      </c>
      <c r="AU694">
        <f>tbl_OriginalData[[#This Row],[Product_Rating]]</f>
        <v>3</v>
      </c>
      <c r="AV694">
        <f>tbl_OriginalData[[#This Row],[Time_Spent_on_Product_Research(hours)]]*60</f>
        <v>0</v>
      </c>
      <c r="AW694" t="str">
        <f>tbl_OriginalData[[#This Row],[Social_Media_Influence]]</f>
        <v>Medium</v>
      </c>
      <c r="AX694" t="str">
        <f>tbl_OriginalData[[#This Row],[Discount_Sensitivity]]</f>
        <v>Somewhat Sensitive</v>
      </c>
      <c r="AY694" s="3">
        <f>tbl_OriginalData[[#This Row],[Return_Rate]]/tbl_OriginalData[[#This Row],[Frequency_of_Purchase]]</f>
        <v>0</v>
      </c>
      <c r="AZ694">
        <f>tbl_OriginalData[[#This Row],[Customer_Satisfaction]]</f>
        <v>3</v>
      </c>
      <c r="BA694" t="str">
        <f>tbl_OriginalData[[#This Row],[Engagement_with_Ads]]</f>
        <v>Medium</v>
      </c>
      <c r="BB694" t="str">
        <f>tbl_OriginalData[[#This Row],[Device_Used_for_Shopping]]</f>
        <v>Smartphone</v>
      </c>
      <c r="BC694" t="str">
        <f>tbl_OriginalData[[#This Row],[Payment_Method]]</f>
        <v>Cash</v>
      </c>
      <c r="BD694" s="1">
        <f>tbl_OriginalData[[#This Row],[Time_of_Purchase]]</f>
        <v>45407</v>
      </c>
      <c r="BE694" t="str">
        <f>IF(tbl_OriginalData[[#This Row],[Discount_Used]]=TRUE,"Yes","No")</f>
        <v>Yes</v>
      </c>
      <c r="BF694" t="str">
        <f>IF(tbl_OriginalData[[#This Row],[Customer_Loyalty_Program_Member]]=TRUE,"Yes","No")</f>
        <v>Yes</v>
      </c>
      <c r="BG694" t="str">
        <f>tbl_OriginalData[[#This Row],[Purchase_Intent]]</f>
        <v>Need-based</v>
      </c>
      <c r="BH694" t="str">
        <f>tbl_OriginalData[[#This Row],[Shipping_Preference]]</f>
        <v>No Preference</v>
      </c>
      <c r="BI694">
        <f>tbl_OriginalData[[#This Row],[Time_to_Decision]]</f>
        <v>11</v>
      </c>
      <c r="BJ694" t="s">
        <v>62</v>
      </c>
      <c r="BK694" t="s">
        <v>63</v>
      </c>
      <c r="BL694" t="s">
        <v>2525</v>
      </c>
    </row>
    <row r="695" spans="1:64">
      <c r="A695" t="s">
        <v>1610</v>
      </c>
      <c r="B695">
        <v>50</v>
      </c>
      <c r="C695" t="s">
        <v>33</v>
      </c>
      <c r="D695" t="s">
        <v>34</v>
      </c>
      <c r="E695" t="s">
        <v>92</v>
      </c>
      <c r="F695" t="s">
        <v>52</v>
      </c>
      <c r="G695" t="s">
        <v>51</v>
      </c>
      <c r="H695" t="s">
        <v>1611</v>
      </c>
      <c r="I695" t="s">
        <v>84</v>
      </c>
      <c r="J695">
        <v>395.18</v>
      </c>
      <c r="K695">
        <v>5</v>
      </c>
      <c r="L695" t="s">
        <v>55</v>
      </c>
      <c r="M695">
        <v>2</v>
      </c>
      <c r="N695">
        <v>2</v>
      </c>
      <c r="O695">
        <v>1</v>
      </c>
      <c r="P695" t="s">
        <v>40</v>
      </c>
      <c r="Q695" t="s">
        <v>57</v>
      </c>
      <c r="R695">
        <v>0</v>
      </c>
      <c r="S695">
        <v>5</v>
      </c>
      <c r="T695" t="s">
        <v>51</v>
      </c>
      <c r="U695" t="s">
        <v>70</v>
      </c>
      <c r="V695" t="s">
        <v>76</v>
      </c>
      <c r="W695" s="1">
        <v>45493</v>
      </c>
      <c r="X695" t="b">
        <v>1</v>
      </c>
      <c r="Y695" t="b">
        <v>1</v>
      </c>
      <c r="Z695" t="s">
        <v>44</v>
      </c>
      <c r="AA695" t="s">
        <v>60</v>
      </c>
      <c r="AB695">
        <v>6</v>
      </c>
      <c r="AF695" t="str">
        <f>tbl_OriginalData[[#This Row],[Customer_ID]]</f>
        <v>73-145-5784</v>
      </c>
      <c r="AG695">
        <f>tbl_OriginalData[[#This Row],[Age]]</f>
        <v>50</v>
      </c>
      <c r="AH695" t="str" cm="1">
        <f t="array" ref="AH69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95" t="str">
        <f>tbl_OriginalData[[#This Row],[Gender]]</f>
        <v>Female</v>
      </c>
      <c r="AJ695" t="str">
        <f>tbl_OriginalData[[#This Row],[Income_Level]]</f>
        <v>Middle</v>
      </c>
      <c r="AK695" t="str">
        <f>tbl_OriginalData[[#This Row],[Marital_Status]]</f>
        <v>Divorced</v>
      </c>
      <c r="AL695" t="str">
        <f>tbl_OriginalData[[#This Row],[Education_Level]]</f>
        <v>High School</v>
      </c>
      <c r="AM695" t="str">
        <f>tbl_OriginalData[[#This Row],[Occupation]]</f>
        <v>High</v>
      </c>
      <c r="AN695" t="s">
        <v>1611</v>
      </c>
      <c r="AO695" t="s">
        <v>61</v>
      </c>
      <c r="AP695" t="str">
        <f>tbl_OriginalData[[#This Row],[Purchase_Category]]</f>
        <v>Furniture</v>
      </c>
      <c r="AQ695" s="4">
        <f>tbl_OriginalData[[#This Row],[Purchase_Amount]]</f>
        <v>395.18</v>
      </c>
      <c r="AR695">
        <f>tbl_OriginalData[[#This Row],[Frequency_of_Purchase]]</f>
        <v>5</v>
      </c>
      <c r="AS695" t="str">
        <f>tbl_OriginalData[[#This Row],[Purchase_Channel]]</f>
        <v>In-Store</v>
      </c>
      <c r="AT695">
        <f>tbl_OriginalData[[#This Row],[Brand_Loyalty]]</f>
        <v>2</v>
      </c>
      <c r="AU695">
        <f>tbl_OriginalData[[#This Row],[Product_Rating]]</f>
        <v>2</v>
      </c>
      <c r="AV695">
        <f>tbl_OriginalData[[#This Row],[Time_Spent_on_Product_Research(hours)]]*60</f>
        <v>60</v>
      </c>
      <c r="AW695" t="str">
        <f>tbl_OriginalData[[#This Row],[Social_Media_Influence]]</f>
        <v>None</v>
      </c>
      <c r="AX695" t="str">
        <f>tbl_OriginalData[[#This Row],[Discount_Sensitivity]]</f>
        <v>Not Sensitive</v>
      </c>
      <c r="AY695" s="3">
        <f>tbl_OriginalData[[#This Row],[Return_Rate]]/tbl_OriginalData[[#This Row],[Frequency_of_Purchase]]</f>
        <v>0</v>
      </c>
      <c r="AZ695">
        <f>tbl_OriginalData[[#This Row],[Customer_Satisfaction]]</f>
        <v>5</v>
      </c>
      <c r="BA695" t="str">
        <f>tbl_OriginalData[[#This Row],[Engagement_with_Ads]]</f>
        <v>High</v>
      </c>
      <c r="BB695" t="str">
        <f>tbl_OriginalData[[#This Row],[Device_Used_for_Shopping]]</f>
        <v>Smartphone</v>
      </c>
      <c r="BC695" t="str">
        <f>tbl_OriginalData[[#This Row],[Payment_Method]]</f>
        <v>Other</v>
      </c>
      <c r="BD695" s="1">
        <f>tbl_OriginalData[[#This Row],[Time_of_Purchase]]</f>
        <v>45493</v>
      </c>
      <c r="BE695" t="str">
        <f>IF(tbl_OriginalData[[#This Row],[Discount_Used]]=TRUE,"Yes","No")</f>
        <v>Yes</v>
      </c>
      <c r="BF695" t="str">
        <f>IF(tbl_OriginalData[[#This Row],[Customer_Loyalty_Program_Member]]=TRUE,"Yes","No")</f>
        <v>Yes</v>
      </c>
      <c r="BG695" t="str">
        <f>tbl_OriginalData[[#This Row],[Purchase_Intent]]</f>
        <v>Need-based</v>
      </c>
      <c r="BH695" t="str">
        <f>tbl_OriginalData[[#This Row],[Shipping_Preference]]</f>
        <v>Standard</v>
      </c>
      <c r="BI695">
        <f>tbl_OriginalData[[#This Row],[Time_to_Decision]]</f>
        <v>6</v>
      </c>
      <c r="BJ695" t="s">
        <v>114</v>
      </c>
      <c r="BK695" t="s">
        <v>115</v>
      </c>
      <c r="BL695" t="s">
        <v>2524</v>
      </c>
    </row>
    <row r="696" spans="1:64">
      <c r="A696" t="s">
        <v>1612</v>
      </c>
      <c r="B696">
        <v>42</v>
      </c>
      <c r="C696" t="s">
        <v>264</v>
      </c>
      <c r="D696" t="s">
        <v>51</v>
      </c>
      <c r="E696" t="s">
        <v>35</v>
      </c>
      <c r="F696" t="s">
        <v>52</v>
      </c>
      <c r="G696" t="s">
        <v>34</v>
      </c>
      <c r="H696" t="s">
        <v>1613</v>
      </c>
      <c r="I696" t="s">
        <v>147</v>
      </c>
      <c r="J696">
        <v>427.94</v>
      </c>
      <c r="K696">
        <v>12</v>
      </c>
      <c r="L696" t="s">
        <v>39</v>
      </c>
      <c r="M696">
        <v>5</v>
      </c>
      <c r="N696">
        <v>4</v>
      </c>
      <c r="O696">
        <v>1.3</v>
      </c>
      <c r="P696" t="s">
        <v>51</v>
      </c>
      <c r="Q696" t="s">
        <v>57</v>
      </c>
      <c r="R696">
        <v>1</v>
      </c>
      <c r="S696">
        <v>2</v>
      </c>
      <c r="T696" t="s">
        <v>40</v>
      </c>
      <c r="U696" t="s">
        <v>70</v>
      </c>
      <c r="V696" t="s">
        <v>76</v>
      </c>
      <c r="W696" s="1">
        <v>45380</v>
      </c>
      <c r="X696" t="b">
        <v>0</v>
      </c>
      <c r="Y696" t="b">
        <v>0</v>
      </c>
      <c r="Z696" t="s">
        <v>72</v>
      </c>
      <c r="AA696" t="s">
        <v>45</v>
      </c>
      <c r="AB696">
        <v>10</v>
      </c>
      <c r="AF696" t="str">
        <f>tbl_OriginalData[[#This Row],[Customer_ID]]</f>
        <v>50-637-1630</v>
      </c>
      <c r="AG696">
        <f>tbl_OriginalData[[#This Row],[Age]]</f>
        <v>42</v>
      </c>
      <c r="AH696" t="str" cm="1">
        <f t="array" ref="AH69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96" t="str">
        <f>tbl_OriginalData[[#This Row],[Gender]]</f>
        <v>Polygender</v>
      </c>
      <c r="AJ696" t="str">
        <f>tbl_OriginalData[[#This Row],[Income_Level]]</f>
        <v>High</v>
      </c>
      <c r="AK696" t="str">
        <f>tbl_OriginalData[[#This Row],[Marital_Status]]</f>
        <v>Married</v>
      </c>
      <c r="AL696" t="str">
        <f>tbl_OriginalData[[#This Row],[Education_Level]]</f>
        <v>High School</v>
      </c>
      <c r="AM696" t="str">
        <f>tbl_OriginalData[[#This Row],[Occupation]]</f>
        <v>Middle</v>
      </c>
      <c r="AN696" t="s">
        <v>1613</v>
      </c>
      <c r="AO696" t="s">
        <v>109</v>
      </c>
      <c r="AP696" t="str">
        <f>tbl_OriginalData[[#This Row],[Purchase_Category]]</f>
        <v>Electronics</v>
      </c>
      <c r="AQ696" s="4">
        <f>tbl_OriginalData[[#This Row],[Purchase_Amount]]</f>
        <v>427.94</v>
      </c>
      <c r="AR696">
        <f>tbl_OriginalData[[#This Row],[Frequency_of_Purchase]]</f>
        <v>12</v>
      </c>
      <c r="AS696" t="str">
        <f>tbl_OriginalData[[#This Row],[Purchase_Channel]]</f>
        <v>Mixed</v>
      </c>
      <c r="AT696">
        <f>tbl_OriginalData[[#This Row],[Brand_Loyalty]]</f>
        <v>5</v>
      </c>
      <c r="AU696">
        <f>tbl_OriginalData[[#This Row],[Product_Rating]]</f>
        <v>4</v>
      </c>
      <c r="AV696">
        <f>tbl_OriginalData[[#This Row],[Time_Spent_on_Product_Research(hours)]]*60</f>
        <v>78</v>
      </c>
      <c r="AW696" t="str">
        <f>tbl_OriginalData[[#This Row],[Social_Media_Influence]]</f>
        <v>High</v>
      </c>
      <c r="AX696" t="str">
        <f>tbl_OriginalData[[#This Row],[Discount_Sensitivity]]</f>
        <v>Not Sensitive</v>
      </c>
      <c r="AY696" s="3">
        <f>tbl_OriginalData[[#This Row],[Return_Rate]]/tbl_OriginalData[[#This Row],[Frequency_of_Purchase]]</f>
        <v>8.3333333333333329E-2</v>
      </c>
      <c r="AZ696">
        <f>tbl_OriginalData[[#This Row],[Customer_Satisfaction]]</f>
        <v>2</v>
      </c>
      <c r="BA696" t="str">
        <f>tbl_OriginalData[[#This Row],[Engagement_with_Ads]]</f>
        <v>None</v>
      </c>
      <c r="BB696" t="str">
        <f>tbl_OriginalData[[#This Row],[Device_Used_for_Shopping]]</f>
        <v>Smartphone</v>
      </c>
      <c r="BC696" t="str">
        <f>tbl_OriginalData[[#This Row],[Payment_Method]]</f>
        <v>Other</v>
      </c>
      <c r="BD696" s="1">
        <f>tbl_OriginalData[[#This Row],[Time_of_Purchase]]</f>
        <v>45380</v>
      </c>
      <c r="BE696" t="str">
        <f>IF(tbl_OriginalData[[#This Row],[Discount_Used]]=TRUE,"Yes","No")</f>
        <v>No</v>
      </c>
      <c r="BF696" t="str">
        <f>IF(tbl_OriginalData[[#This Row],[Customer_Loyalty_Program_Member]]=TRUE,"Yes","No")</f>
        <v>No</v>
      </c>
      <c r="BG696" t="str">
        <f>tbl_OriginalData[[#This Row],[Purchase_Intent]]</f>
        <v>Impulsive</v>
      </c>
      <c r="BH696" t="str">
        <f>tbl_OriginalData[[#This Row],[Shipping_Preference]]</f>
        <v>No Preference</v>
      </c>
      <c r="BI696">
        <f>tbl_OriginalData[[#This Row],[Time_to_Decision]]</f>
        <v>10</v>
      </c>
      <c r="BJ696" t="s">
        <v>47</v>
      </c>
      <c r="BK696" t="s">
        <v>48</v>
      </c>
      <c r="BL696" t="s">
        <v>2526</v>
      </c>
    </row>
    <row r="697" spans="1:64">
      <c r="A697" t="s">
        <v>1614</v>
      </c>
      <c r="B697">
        <v>28</v>
      </c>
      <c r="C697" t="s">
        <v>33</v>
      </c>
      <c r="D697" t="s">
        <v>51</v>
      </c>
      <c r="E697" t="s">
        <v>65</v>
      </c>
      <c r="F697" t="s">
        <v>36</v>
      </c>
      <c r="G697" t="s">
        <v>51</v>
      </c>
      <c r="H697" t="s">
        <v>1615</v>
      </c>
      <c r="I697" t="s">
        <v>135</v>
      </c>
      <c r="J697">
        <v>81.23</v>
      </c>
      <c r="K697">
        <v>9</v>
      </c>
      <c r="L697" t="s">
        <v>39</v>
      </c>
      <c r="M697">
        <v>2</v>
      </c>
      <c r="N697">
        <v>5</v>
      </c>
      <c r="O697">
        <v>2</v>
      </c>
      <c r="P697" t="s">
        <v>51</v>
      </c>
      <c r="Q697" t="s">
        <v>57</v>
      </c>
      <c r="R697">
        <v>1</v>
      </c>
      <c r="S697">
        <v>10</v>
      </c>
      <c r="T697" t="s">
        <v>56</v>
      </c>
      <c r="U697" t="s">
        <v>42</v>
      </c>
      <c r="V697" t="s">
        <v>102</v>
      </c>
      <c r="W697" s="1">
        <v>45377</v>
      </c>
      <c r="X697" t="b">
        <v>0</v>
      </c>
      <c r="Y697" t="b">
        <v>1</v>
      </c>
      <c r="Z697" t="s">
        <v>59</v>
      </c>
      <c r="AA697" t="s">
        <v>60</v>
      </c>
      <c r="AB697">
        <v>6</v>
      </c>
      <c r="AF697" t="str">
        <f>tbl_OriginalData[[#This Row],[Customer_ID]]</f>
        <v>44-938-7475</v>
      </c>
      <c r="AG697">
        <f>tbl_OriginalData[[#This Row],[Age]]</f>
        <v>28</v>
      </c>
      <c r="AH697" t="str" cm="1">
        <f t="array" ref="AH69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97" t="str">
        <f>tbl_OriginalData[[#This Row],[Gender]]</f>
        <v>Female</v>
      </c>
      <c r="AJ697" t="str">
        <f>tbl_OriginalData[[#This Row],[Income_Level]]</f>
        <v>High</v>
      </c>
      <c r="AK697" t="str">
        <f>tbl_OriginalData[[#This Row],[Marital_Status]]</f>
        <v>Single</v>
      </c>
      <c r="AL697" t="str">
        <f>tbl_OriginalData[[#This Row],[Education_Level]]</f>
        <v>Bachelor's</v>
      </c>
      <c r="AM697" t="str">
        <f>tbl_OriginalData[[#This Row],[Occupation]]</f>
        <v>High</v>
      </c>
      <c r="AN697" t="s">
        <v>1615</v>
      </c>
      <c r="AO697" t="s">
        <v>85</v>
      </c>
      <c r="AP697" t="str">
        <f>tbl_OriginalData[[#This Row],[Purchase_Category]]</f>
        <v>Hotels</v>
      </c>
      <c r="AQ697" s="4">
        <f>tbl_OriginalData[[#This Row],[Purchase_Amount]]</f>
        <v>81.23</v>
      </c>
      <c r="AR697">
        <f>tbl_OriginalData[[#This Row],[Frequency_of_Purchase]]</f>
        <v>9</v>
      </c>
      <c r="AS697" t="str">
        <f>tbl_OriginalData[[#This Row],[Purchase_Channel]]</f>
        <v>Mixed</v>
      </c>
      <c r="AT697">
        <f>tbl_OriginalData[[#This Row],[Brand_Loyalty]]</f>
        <v>2</v>
      </c>
      <c r="AU697">
        <f>tbl_OriginalData[[#This Row],[Product_Rating]]</f>
        <v>5</v>
      </c>
      <c r="AV697">
        <f>tbl_OriginalData[[#This Row],[Time_Spent_on_Product_Research(hours)]]*60</f>
        <v>120</v>
      </c>
      <c r="AW697" t="str">
        <f>tbl_OriginalData[[#This Row],[Social_Media_Influence]]</f>
        <v>High</v>
      </c>
      <c r="AX697" t="str">
        <f>tbl_OriginalData[[#This Row],[Discount_Sensitivity]]</f>
        <v>Not Sensitive</v>
      </c>
      <c r="AY697" s="3">
        <f>tbl_OriginalData[[#This Row],[Return_Rate]]/tbl_OriginalData[[#This Row],[Frequency_of_Purchase]]</f>
        <v>0.1111111111111111</v>
      </c>
      <c r="AZ697">
        <f>tbl_OriginalData[[#This Row],[Customer_Satisfaction]]</f>
        <v>10</v>
      </c>
      <c r="BA697" t="str">
        <f>tbl_OriginalData[[#This Row],[Engagement_with_Ads]]</f>
        <v>Medium</v>
      </c>
      <c r="BB697" t="str">
        <f>tbl_OriginalData[[#This Row],[Device_Used_for_Shopping]]</f>
        <v>Tablet</v>
      </c>
      <c r="BC697" t="str">
        <f>tbl_OriginalData[[#This Row],[Payment_Method]]</f>
        <v>Cash</v>
      </c>
      <c r="BD697" s="1">
        <f>tbl_OriginalData[[#This Row],[Time_of_Purchase]]</f>
        <v>45377</v>
      </c>
      <c r="BE697" t="str">
        <f>IF(tbl_OriginalData[[#This Row],[Discount_Used]]=TRUE,"Yes","No")</f>
        <v>No</v>
      </c>
      <c r="BF697" t="str">
        <f>IF(tbl_OriginalData[[#This Row],[Customer_Loyalty_Program_Member]]=TRUE,"Yes","No")</f>
        <v>Yes</v>
      </c>
      <c r="BG697" t="str">
        <f>tbl_OriginalData[[#This Row],[Purchase_Intent]]</f>
        <v>Wants-based</v>
      </c>
      <c r="BH697" t="str">
        <f>tbl_OriginalData[[#This Row],[Shipping_Preference]]</f>
        <v>Standard</v>
      </c>
      <c r="BI697">
        <f>tbl_OriginalData[[#This Row],[Time_to_Decision]]</f>
        <v>6</v>
      </c>
      <c r="BJ697" t="s">
        <v>47</v>
      </c>
      <c r="BK697" t="s">
        <v>48</v>
      </c>
      <c r="BL697" t="s">
        <v>2524</v>
      </c>
    </row>
    <row r="698" spans="1:64">
      <c r="A698" t="s">
        <v>1616</v>
      </c>
      <c r="B698">
        <v>23</v>
      </c>
      <c r="C698" t="s">
        <v>50</v>
      </c>
      <c r="D698" t="s">
        <v>34</v>
      </c>
      <c r="E698" t="s">
        <v>65</v>
      </c>
      <c r="F698" t="s">
        <v>52</v>
      </c>
      <c r="G698" t="s">
        <v>34</v>
      </c>
      <c r="H698" t="s">
        <v>1617</v>
      </c>
      <c r="I698" t="s">
        <v>135</v>
      </c>
      <c r="J698">
        <v>257.43</v>
      </c>
      <c r="K698">
        <v>5</v>
      </c>
      <c r="L698" t="s">
        <v>94</v>
      </c>
      <c r="M698">
        <v>4</v>
      </c>
      <c r="N698">
        <v>2</v>
      </c>
      <c r="O698">
        <v>0</v>
      </c>
      <c r="P698" t="s">
        <v>69</v>
      </c>
      <c r="Q698" t="s">
        <v>41</v>
      </c>
      <c r="R698">
        <v>1</v>
      </c>
      <c r="S698">
        <v>7</v>
      </c>
      <c r="T698" t="s">
        <v>69</v>
      </c>
      <c r="U698" t="s">
        <v>95</v>
      </c>
      <c r="V698" t="s">
        <v>76</v>
      </c>
      <c r="W698" s="1">
        <v>45396</v>
      </c>
      <c r="X698" t="b">
        <v>1</v>
      </c>
      <c r="Y698" t="b">
        <v>1</v>
      </c>
      <c r="Z698" t="s">
        <v>44</v>
      </c>
      <c r="AA698" t="s">
        <v>60</v>
      </c>
      <c r="AB698">
        <v>13</v>
      </c>
      <c r="AF698" t="str">
        <f>tbl_OriginalData[[#This Row],[Customer_ID]]</f>
        <v>55-279-3045</v>
      </c>
      <c r="AG698">
        <f>tbl_OriginalData[[#This Row],[Age]]</f>
        <v>23</v>
      </c>
      <c r="AH698" t="str" cm="1">
        <f t="array" ref="AH69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698" t="str">
        <f>tbl_OriginalData[[#This Row],[Gender]]</f>
        <v>Male</v>
      </c>
      <c r="AJ698" t="str">
        <f>tbl_OriginalData[[#This Row],[Income_Level]]</f>
        <v>Middle</v>
      </c>
      <c r="AK698" t="str">
        <f>tbl_OriginalData[[#This Row],[Marital_Status]]</f>
        <v>Single</v>
      </c>
      <c r="AL698" t="str">
        <f>tbl_OriginalData[[#This Row],[Education_Level]]</f>
        <v>High School</v>
      </c>
      <c r="AM698" t="str">
        <f>tbl_OriginalData[[#This Row],[Occupation]]</f>
        <v>Middle</v>
      </c>
      <c r="AN698" t="s">
        <v>1617</v>
      </c>
      <c r="AO698" t="s">
        <v>132</v>
      </c>
      <c r="AP698" t="str">
        <f>tbl_OriginalData[[#This Row],[Purchase_Category]]</f>
        <v>Hotels</v>
      </c>
      <c r="AQ698" s="4">
        <f>tbl_OriginalData[[#This Row],[Purchase_Amount]]</f>
        <v>257.43</v>
      </c>
      <c r="AR698">
        <f>tbl_OriginalData[[#This Row],[Frequency_of_Purchase]]</f>
        <v>5</v>
      </c>
      <c r="AS698" t="str">
        <f>tbl_OriginalData[[#This Row],[Purchase_Channel]]</f>
        <v>Online</v>
      </c>
      <c r="AT698">
        <f>tbl_OriginalData[[#This Row],[Brand_Loyalty]]</f>
        <v>4</v>
      </c>
      <c r="AU698">
        <f>tbl_OriginalData[[#This Row],[Product_Rating]]</f>
        <v>2</v>
      </c>
      <c r="AV698">
        <f>tbl_OriginalData[[#This Row],[Time_Spent_on_Product_Research(hours)]]*60</f>
        <v>0</v>
      </c>
      <c r="AW698" t="str">
        <f>tbl_OriginalData[[#This Row],[Social_Media_Influence]]</f>
        <v>Low</v>
      </c>
      <c r="AX698" t="str">
        <f>tbl_OriginalData[[#This Row],[Discount_Sensitivity]]</f>
        <v>Somewhat Sensitive</v>
      </c>
      <c r="AY698" s="3">
        <f>tbl_OriginalData[[#This Row],[Return_Rate]]/tbl_OriginalData[[#This Row],[Frequency_of_Purchase]]</f>
        <v>0.2</v>
      </c>
      <c r="AZ698">
        <f>tbl_OriginalData[[#This Row],[Customer_Satisfaction]]</f>
        <v>7</v>
      </c>
      <c r="BA698" t="str">
        <f>tbl_OriginalData[[#This Row],[Engagement_with_Ads]]</f>
        <v>Low</v>
      </c>
      <c r="BB698" t="str">
        <f>tbl_OriginalData[[#This Row],[Device_Used_for_Shopping]]</f>
        <v>Desktop</v>
      </c>
      <c r="BC698" t="str">
        <f>tbl_OriginalData[[#This Row],[Payment_Method]]</f>
        <v>Other</v>
      </c>
      <c r="BD698" s="1">
        <f>tbl_OriginalData[[#This Row],[Time_of_Purchase]]</f>
        <v>45396</v>
      </c>
      <c r="BE698" t="str">
        <f>IF(tbl_OriginalData[[#This Row],[Discount_Used]]=TRUE,"Yes","No")</f>
        <v>Yes</v>
      </c>
      <c r="BF698" t="str">
        <f>IF(tbl_OriginalData[[#This Row],[Customer_Loyalty_Program_Member]]=TRUE,"Yes","No")</f>
        <v>Yes</v>
      </c>
      <c r="BG698" t="str">
        <f>tbl_OriginalData[[#This Row],[Purchase_Intent]]</f>
        <v>Need-based</v>
      </c>
      <c r="BH698" t="str">
        <f>tbl_OriginalData[[#This Row],[Shipping_Preference]]</f>
        <v>Standard</v>
      </c>
      <c r="BI698">
        <f>tbl_OriginalData[[#This Row],[Time_to_Decision]]</f>
        <v>13</v>
      </c>
      <c r="BJ698" t="s">
        <v>62</v>
      </c>
      <c r="BK698" t="s">
        <v>63</v>
      </c>
      <c r="BL698" t="s">
        <v>2525</v>
      </c>
    </row>
    <row r="699" spans="1:64">
      <c r="A699" t="s">
        <v>1618</v>
      </c>
      <c r="B699">
        <v>42</v>
      </c>
      <c r="C699" t="s">
        <v>50</v>
      </c>
      <c r="D699" t="s">
        <v>51</v>
      </c>
      <c r="E699" t="s">
        <v>92</v>
      </c>
      <c r="F699" t="s">
        <v>52</v>
      </c>
      <c r="G699" t="s">
        <v>51</v>
      </c>
      <c r="H699" t="s">
        <v>1619</v>
      </c>
      <c r="I699" t="s">
        <v>170</v>
      </c>
      <c r="J699">
        <v>305.73</v>
      </c>
      <c r="K699">
        <v>7</v>
      </c>
      <c r="L699" t="s">
        <v>39</v>
      </c>
      <c r="M699">
        <v>2</v>
      </c>
      <c r="N699">
        <v>5</v>
      </c>
      <c r="O699">
        <v>1</v>
      </c>
      <c r="P699" t="s">
        <v>56</v>
      </c>
      <c r="Q699" t="s">
        <v>57</v>
      </c>
      <c r="R699">
        <v>2</v>
      </c>
      <c r="S699">
        <v>8</v>
      </c>
      <c r="T699" t="s">
        <v>56</v>
      </c>
      <c r="U699" t="s">
        <v>42</v>
      </c>
      <c r="V699" t="s">
        <v>102</v>
      </c>
      <c r="W699" s="1">
        <v>45640</v>
      </c>
      <c r="X699" t="b">
        <v>1</v>
      </c>
      <c r="Y699" t="b">
        <v>0</v>
      </c>
      <c r="Z699" t="s">
        <v>89</v>
      </c>
      <c r="AA699" t="s">
        <v>77</v>
      </c>
      <c r="AB699">
        <v>14</v>
      </c>
      <c r="AF699" t="str">
        <f>tbl_OriginalData[[#This Row],[Customer_ID]]</f>
        <v>59-997-3903</v>
      </c>
      <c r="AG699">
        <f>tbl_OriginalData[[#This Row],[Age]]</f>
        <v>42</v>
      </c>
      <c r="AH699" t="str" cm="1">
        <f t="array" ref="AH69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699" t="str">
        <f>tbl_OriginalData[[#This Row],[Gender]]</f>
        <v>Male</v>
      </c>
      <c r="AJ699" t="str">
        <f>tbl_OriginalData[[#This Row],[Income_Level]]</f>
        <v>High</v>
      </c>
      <c r="AK699" t="str">
        <f>tbl_OriginalData[[#This Row],[Marital_Status]]</f>
        <v>Divorced</v>
      </c>
      <c r="AL699" t="str">
        <f>tbl_OriginalData[[#This Row],[Education_Level]]</f>
        <v>High School</v>
      </c>
      <c r="AM699" t="str">
        <f>tbl_OriginalData[[#This Row],[Occupation]]</f>
        <v>High</v>
      </c>
      <c r="AN699" t="s">
        <v>1619</v>
      </c>
      <c r="AO699" t="s">
        <v>310</v>
      </c>
      <c r="AP699" t="str">
        <f>tbl_OriginalData[[#This Row],[Purchase_Category]]</f>
        <v>Arts &amp; Crafts</v>
      </c>
      <c r="AQ699" s="4">
        <f>tbl_OriginalData[[#This Row],[Purchase_Amount]]</f>
        <v>305.73</v>
      </c>
      <c r="AR699">
        <f>tbl_OriginalData[[#This Row],[Frequency_of_Purchase]]</f>
        <v>7</v>
      </c>
      <c r="AS699" t="str">
        <f>tbl_OriginalData[[#This Row],[Purchase_Channel]]</f>
        <v>Mixed</v>
      </c>
      <c r="AT699">
        <f>tbl_OriginalData[[#This Row],[Brand_Loyalty]]</f>
        <v>2</v>
      </c>
      <c r="AU699">
        <f>tbl_OriginalData[[#This Row],[Product_Rating]]</f>
        <v>5</v>
      </c>
      <c r="AV699">
        <f>tbl_OriginalData[[#This Row],[Time_Spent_on_Product_Research(hours)]]*60</f>
        <v>60</v>
      </c>
      <c r="AW699" t="str">
        <f>tbl_OriginalData[[#This Row],[Social_Media_Influence]]</f>
        <v>Medium</v>
      </c>
      <c r="AX699" t="str">
        <f>tbl_OriginalData[[#This Row],[Discount_Sensitivity]]</f>
        <v>Not Sensitive</v>
      </c>
      <c r="AY699" s="3">
        <f>tbl_OriginalData[[#This Row],[Return_Rate]]/tbl_OriginalData[[#This Row],[Frequency_of_Purchase]]</f>
        <v>0.2857142857142857</v>
      </c>
      <c r="AZ699">
        <f>tbl_OriginalData[[#This Row],[Customer_Satisfaction]]</f>
        <v>8</v>
      </c>
      <c r="BA699" t="str">
        <f>tbl_OriginalData[[#This Row],[Engagement_with_Ads]]</f>
        <v>Medium</v>
      </c>
      <c r="BB699" t="str">
        <f>tbl_OriginalData[[#This Row],[Device_Used_for_Shopping]]</f>
        <v>Tablet</v>
      </c>
      <c r="BC699" t="str">
        <f>tbl_OriginalData[[#This Row],[Payment_Method]]</f>
        <v>Cash</v>
      </c>
      <c r="BD699" s="1">
        <f>tbl_OriginalData[[#This Row],[Time_of_Purchase]]</f>
        <v>45640</v>
      </c>
      <c r="BE699" t="str">
        <f>IF(tbl_OriginalData[[#This Row],[Discount_Used]]=TRUE,"Yes","No")</f>
        <v>Yes</v>
      </c>
      <c r="BF699" t="str">
        <f>IF(tbl_OriginalData[[#This Row],[Customer_Loyalty_Program_Member]]=TRUE,"Yes","No")</f>
        <v>No</v>
      </c>
      <c r="BG699" t="str">
        <f>tbl_OriginalData[[#This Row],[Purchase_Intent]]</f>
        <v>Planned</v>
      </c>
      <c r="BH699" t="str">
        <f>tbl_OriginalData[[#This Row],[Shipping_Preference]]</f>
        <v>Express</v>
      </c>
      <c r="BI699">
        <f>tbl_OriginalData[[#This Row],[Time_to_Decision]]</f>
        <v>14</v>
      </c>
      <c r="BJ699" t="s">
        <v>120</v>
      </c>
      <c r="BK699" t="s">
        <v>80</v>
      </c>
      <c r="BL699" t="s">
        <v>2524</v>
      </c>
    </row>
    <row r="700" spans="1:64">
      <c r="A700" t="s">
        <v>1620</v>
      </c>
      <c r="B700">
        <v>32</v>
      </c>
      <c r="C700" t="s">
        <v>50</v>
      </c>
      <c r="D700" t="s">
        <v>51</v>
      </c>
      <c r="E700" t="s">
        <v>65</v>
      </c>
      <c r="F700" t="s">
        <v>36</v>
      </c>
      <c r="G700" t="s">
        <v>51</v>
      </c>
      <c r="H700" t="s">
        <v>1621</v>
      </c>
      <c r="I700" t="s">
        <v>156</v>
      </c>
      <c r="J700">
        <v>249.82</v>
      </c>
      <c r="K700">
        <v>10</v>
      </c>
      <c r="L700" t="s">
        <v>55</v>
      </c>
      <c r="M700">
        <v>5</v>
      </c>
      <c r="N700">
        <v>3</v>
      </c>
      <c r="O700">
        <v>1</v>
      </c>
      <c r="P700" t="s">
        <v>51</v>
      </c>
      <c r="Q700" t="s">
        <v>57</v>
      </c>
      <c r="R700">
        <v>2</v>
      </c>
      <c r="S700">
        <v>6</v>
      </c>
      <c r="T700" t="s">
        <v>56</v>
      </c>
      <c r="U700" t="s">
        <v>42</v>
      </c>
      <c r="V700" t="s">
        <v>58</v>
      </c>
      <c r="W700" s="1">
        <v>45516</v>
      </c>
      <c r="X700" t="b">
        <v>1</v>
      </c>
      <c r="Y700" t="b">
        <v>0</v>
      </c>
      <c r="Z700" t="s">
        <v>59</v>
      </c>
      <c r="AA700" t="s">
        <v>45</v>
      </c>
      <c r="AB700">
        <v>10</v>
      </c>
      <c r="AF700" t="str">
        <f>tbl_OriginalData[[#This Row],[Customer_ID]]</f>
        <v>12-029-9344</v>
      </c>
      <c r="AG700">
        <f>tbl_OriginalData[[#This Row],[Age]]</f>
        <v>32</v>
      </c>
      <c r="AH700" t="str" cm="1">
        <f t="array" ref="AH70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00" t="str">
        <f>tbl_OriginalData[[#This Row],[Gender]]</f>
        <v>Male</v>
      </c>
      <c r="AJ700" t="str">
        <f>tbl_OriginalData[[#This Row],[Income_Level]]</f>
        <v>High</v>
      </c>
      <c r="AK700" t="str">
        <f>tbl_OriginalData[[#This Row],[Marital_Status]]</f>
        <v>Single</v>
      </c>
      <c r="AL700" t="str">
        <f>tbl_OriginalData[[#This Row],[Education_Level]]</f>
        <v>Bachelor's</v>
      </c>
      <c r="AM700" t="str">
        <f>tbl_OriginalData[[#This Row],[Occupation]]</f>
        <v>High</v>
      </c>
      <c r="AN700" t="s">
        <v>1621</v>
      </c>
      <c r="AO700" t="s">
        <v>1622</v>
      </c>
      <c r="AP700" t="str">
        <f>tbl_OriginalData[[#This Row],[Purchase_Category]]</f>
        <v>Toys &amp; Games</v>
      </c>
      <c r="AQ700" s="4">
        <f>tbl_OriginalData[[#This Row],[Purchase_Amount]]</f>
        <v>249.82</v>
      </c>
      <c r="AR700">
        <f>tbl_OriginalData[[#This Row],[Frequency_of_Purchase]]</f>
        <v>10</v>
      </c>
      <c r="AS700" t="str">
        <f>tbl_OriginalData[[#This Row],[Purchase_Channel]]</f>
        <v>In-Store</v>
      </c>
      <c r="AT700">
        <f>tbl_OriginalData[[#This Row],[Brand_Loyalty]]</f>
        <v>5</v>
      </c>
      <c r="AU700">
        <f>tbl_OriginalData[[#This Row],[Product_Rating]]</f>
        <v>3</v>
      </c>
      <c r="AV700">
        <f>tbl_OriginalData[[#This Row],[Time_Spent_on_Product_Research(hours)]]*60</f>
        <v>60</v>
      </c>
      <c r="AW700" t="str">
        <f>tbl_OriginalData[[#This Row],[Social_Media_Influence]]</f>
        <v>High</v>
      </c>
      <c r="AX700" t="str">
        <f>tbl_OriginalData[[#This Row],[Discount_Sensitivity]]</f>
        <v>Not Sensitive</v>
      </c>
      <c r="AY700" s="3">
        <f>tbl_OriginalData[[#This Row],[Return_Rate]]/tbl_OriginalData[[#This Row],[Frequency_of_Purchase]]</f>
        <v>0.2</v>
      </c>
      <c r="AZ700">
        <f>tbl_OriginalData[[#This Row],[Customer_Satisfaction]]</f>
        <v>6</v>
      </c>
      <c r="BA700" t="str">
        <f>tbl_OriginalData[[#This Row],[Engagement_with_Ads]]</f>
        <v>Medium</v>
      </c>
      <c r="BB700" t="str">
        <f>tbl_OriginalData[[#This Row],[Device_Used_for_Shopping]]</f>
        <v>Tablet</v>
      </c>
      <c r="BC700" t="str">
        <f>tbl_OriginalData[[#This Row],[Payment_Method]]</f>
        <v>PayPal</v>
      </c>
      <c r="BD700" s="1">
        <f>tbl_OriginalData[[#This Row],[Time_of_Purchase]]</f>
        <v>45516</v>
      </c>
      <c r="BE700" t="str">
        <f>IF(tbl_OriginalData[[#This Row],[Discount_Used]]=TRUE,"Yes","No")</f>
        <v>Yes</v>
      </c>
      <c r="BF700" t="str">
        <f>IF(tbl_OriginalData[[#This Row],[Customer_Loyalty_Program_Member]]=TRUE,"Yes","No")</f>
        <v>No</v>
      </c>
      <c r="BG700" t="str">
        <f>tbl_OriginalData[[#This Row],[Purchase_Intent]]</f>
        <v>Wants-based</v>
      </c>
      <c r="BH700" t="str">
        <f>tbl_OriginalData[[#This Row],[Shipping_Preference]]</f>
        <v>No Preference</v>
      </c>
      <c r="BI700">
        <f>tbl_OriginalData[[#This Row],[Time_to_Decision]]</f>
        <v>10</v>
      </c>
      <c r="BJ700" t="s">
        <v>124</v>
      </c>
      <c r="BK700" t="s">
        <v>115</v>
      </c>
      <c r="BL700" t="s">
        <v>2528</v>
      </c>
    </row>
    <row r="701" spans="1:64">
      <c r="A701" t="s">
        <v>1623</v>
      </c>
      <c r="B701">
        <v>33</v>
      </c>
      <c r="C701" t="s">
        <v>50</v>
      </c>
      <c r="D701" t="s">
        <v>34</v>
      </c>
      <c r="E701" t="s">
        <v>92</v>
      </c>
      <c r="F701" t="s">
        <v>36</v>
      </c>
      <c r="G701" t="s">
        <v>51</v>
      </c>
      <c r="H701" t="s">
        <v>1624</v>
      </c>
      <c r="I701" t="s">
        <v>127</v>
      </c>
      <c r="J701">
        <v>332.79</v>
      </c>
      <c r="K701">
        <v>11</v>
      </c>
      <c r="L701" t="s">
        <v>94</v>
      </c>
      <c r="M701">
        <v>3</v>
      </c>
      <c r="N701">
        <v>5</v>
      </c>
      <c r="O701">
        <v>2</v>
      </c>
      <c r="P701" t="s">
        <v>40</v>
      </c>
      <c r="Q701" t="s">
        <v>57</v>
      </c>
      <c r="R701">
        <v>2</v>
      </c>
      <c r="S701">
        <v>1</v>
      </c>
      <c r="T701" t="s">
        <v>51</v>
      </c>
      <c r="U701" t="s">
        <v>42</v>
      </c>
      <c r="V701" t="s">
        <v>58</v>
      </c>
      <c r="W701" s="1">
        <v>45533</v>
      </c>
      <c r="X701" t="b">
        <v>0</v>
      </c>
      <c r="Y701" t="b">
        <v>0</v>
      </c>
      <c r="Z701" t="s">
        <v>59</v>
      </c>
      <c r="AA701" t="s">
        <v>45</v>
      </c>
      <c r="AB701">
        <v>4</v>
      </c>
      <c r="AF701" t="str">
        <f>tbl_OriginalData[[#This Row],[Customer_ID]]</f>
        <v>41-130-2570</v>
      </c>
      <c r="AG701">
        <f>tbl_OriginalData[[#This Row],[Age]]</f>
        <v>33</v>
      </c>
      <c r="AH701" t="str" cm="1">
        <f t="array" ref="AH70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01" t="str">
        <f>tbl_OriginalData[[#This Row],[Gender]]</f>
        <v>Male</v>
      </c>
      <c r="AJ701" t="str">
        <f>tbl_OriginalData[[#This Row],[Income_Level]]</f>
        <v>Middle</v>
      </c>
      <c r="AK701" t="str">
        <f>tbl_OriginalData[[#This Row],[Marital_Status]]</f>
        <v>Divorced</v>
      </c>
      <c r="AL701" t="str">
        <f>tbl_OriginalData[[#This Row],[Education_Level]]</f>
        <v>Bachelor's</v>
      </c>
      <c r="AM701" t="str">
        <f>tbl_OriginalData[[#This Row],[Occupation]]</f>
        <v>High</v>
      </c>
      <c r="AN701" t="s">
        <v>1624</v>
      </c>
      <c r="AO701" t="s">
        <v>103</v>
      </c>
      <c r="AP701" t="str">
        <f>tbl_OriginalData[[#This Row],[Purchase_Category]]</f>
        <v>Animal Feed</v>
      </c>
      <c r="AQ701" s="4">
        <f>tbl_OriginalData[[#This Row],[Purchase_Amount]]</f>
        <v>332.79</v>
      </c>
      <c r="AR701">
        <f>tbl_OriginalData[[#This Row],[Frequency_of_Purchase]]</f>
        <v>11</v>
      </c>
      <c r="AS701" t="str">
        <f>tbl_OriginalData[[#This Row],[Purchase_Channel]]</f>
        <v>Online</v>
      </c>
      <c r="AT701">
        <f>tbl_OriginalData[[#This Row],[Brand_Loyalty]]</f>
        <v>3</v>
      </c>
      <c r="AU701">
        <f>tbl_OriginalData[[#This Row],[Product_Rating]]</f>
        <v>5</v>
      </c>
      <c r="AV701">
        <f>tbl_OriginalData[[#This Row],[Time_Spent_on_Product_Research(hours)]]*60</f>
        <v>120</v>
      </c>
      <c r="AW701" t="str">
        <f>tbl_OriginalData[[#This Row],[Social_Media_Influence]]</f>
        <v>None</v>
      </c>
      <c r="AX701" t="str">
        <f>tbl_OriginalData[[#This Row],[Discount_Sensitivity]]</f>
        <v>Not Sensitive</v>
      </c>
      <c r="AY701" s="3">
        <f>tbl_OriginalData[[#This Row],[Return_Rate]]/tbl_OriginalData[[#This Row],[Frequency_of_Purchase]]</f>
        <v>0.18181818181818182</v>
      </c>
      <c r="AZ701">
        <f>tbl_OriginalData[[#This Row],[Customer_Satisfaction]]</f>
        <v>1</v>
      </c>
      <c r="BA701" t="str">
        <f>tbl_OriginalData[[#This Row],[Engagement_with_Ads]]</f>
        <v>High</v>
      </c>
      <c r="BB701" t="str">
        <f>tbl_OriginalData[[#This Row],[Device_Used_for_Shopping]]</f>
        <v>Tablet</v>
      </c>
      <c r="BC701" t="str">
        <f>tbl_OriginalData[[#This Row],[Payment_Method]]</f>
        <v>PayPal</v>
      </c>
      <c r="BD701" s="1">
        <f>tbl_OriginalData[[#This Row],[Time_of_Purchase]]</f>
        <v>45533</v>
      </c>
      <c r="BE701" t="str">
        <f>IF(tbl_OriginalData[[#This Row],[Discount_Used]]=TRUE,"Yes","No")</f>
        <v>No</v>
      </c>
      <c r="BF701" t="str">
        <f>IF(tbl_OriginalData[[#This Row],[Customer_Loyalty_Program_Member]]=TRUE,"Yes","No")</f>
        <v>No</v>
      </c>
      <c r="BG701" t="str">
        <f>tbl_OriginalData[[#This Row],[Purchase_Intent]]</f>
        <v>Wants-based</v>
      </c>
      <c r="BH701" t="str">
        <f>tbl_OriginalData[[#This Row],[Shipping_Preference]]</f>
        <v>No Preference</v>
      </c>
      <c r="BI701">
        <f>tbl_OriginalData[[#This Row],[Time_to_Decision]]</f>
        <v>4</v>
      </c>
      <c r="BJ701" t="s">
        <v>124</v>
      </c>
      <c r="BK701" t="s">
        <v>115</v>
      </c>
      <c r="BL701" t="s">
        <v>2523</v>
      </c>
    </row>
    <row r="702" spans="1:64">
      <c r="A702" t="s">
        <v>1625</v>
      </c>
      <c r="B702">
        <v>32</v>
      </c>
      <c r="C702" t="s">
        <v>50</v>
      </c>
      <c r="D702" t="s">
        <v>51</v>
      </c>
      <c r="E702" t="s">
        <v>65</v>
      </c>
      <c r="F702" t="s">
        <v>36</v>
      </c>
      <c r="G702" t="s">
        <v>34</v>
      </c>
      <c r="H702" t="s">
        <v>1626</v>
      </c>
      <c r="I702" t="s">
        <v>170</v>
      </c>
      <c r="J702">
        <v>78.900000000000006</v>
      </c>
      <c r="K702">
        <v>3</v>
      </c>
      <c r="L702" t="s">
        <v>55</v>
      </c>
      <c r="M702">
        <v>4</v>
      </c>
      <c r="N702">
        <v>1</v>
      </c>
      <c r="O702">
        <v>1</v>
      </c>
      <c r="P702" t="s">
        <v>69</v>
      </c>
      <c r="Q702" t="s">
        <v>57</v>
      </c>
      <c r="R702">
        <v>0</v>
      </c>
      <c r="S702">
        <v>1</v>
      </c>
      <c r="T702" t="s">
        <v>56</v>
      </c>
      <c r="U702" t="s">
        <v>42</v>
      </c>
      <c r="V702" t="s">
        <v>71</v>
      </c>
      <c r="W702" s="1">
        <v>45542</v>
      </c>
      <c r="X702" t="b">
        <v>0</v>
      </c>
      <c r="Y702" t="b">
        <v>1</v>
      </c>
      <c r="Z702" t="s">
        <v>89</v>
      </c>
      <c r="AA702" t="s">
        <v>60</v>
      </c>
      <c r="AB702">
        <v>10</v>
      </c>
      <c r="AF702" t="str">
        <f>tbl_OriginalData[[#This Row],[Customer_ID]]</f>
        <v>25-285-7453</v>
      </c>
      <c r="AG702">
        <f>tbl_OriginalData[[#This Row],[Age]]</f>
        <v>32</v>
      </c>
      <c r="AH702" t="str" cm="1">
        <f t="array" ref="AH70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02" t="str">
        <f>tbl_OriginalData[[#This Row],[Gender]]</f>
        <v>Male</v>
      </c>
      <c r="AJ702" t="str">
        <f>tbl_OriginalData[[#This Row],[Income_Level]]</f>
        <v>High</v>
      </c>
      <c r="AK702" t="str">
        <f>tbl_OriginalData[[#This Row],[Marital_Status]]</f>
        <v>Single</v>
      </c>
      <c r="AL702" t="str">
        <f>tbl_OriginalData[[#This Row],[Education_Level]]</f>
        <v>Bachelor's</v>
      </c>
      <c r="AM702" t="str">
        <f>tbl_OriginalData[[#This Row],[Occupation]]</f>
        <v>Middle</v>
      </c>
      <c r="AN702" t="s">
        <v>1626</v>
      </c>
      <c r="AO702" t="s">
        <v>46</v>
      </c>
      <c r="AP702" t="str">
        <f>tbl_OriginalData[[#This Row],[Purchase_Category]]</f>
        <v>Arts &amp; Crafts</v>
      </c>
      <c r="AQ702" s="4">
        <f>tbl_OriginalData[[#This Row],[Purchase_Amount]]</f>
        <v>78.900000000000006</v>
      </c>
      <c r="AR702">
        <f>tbl_OriginalData[[#This Row],[Frequency_of_Purchase]]</f>
        <v>3</v>
      </c>
      <c r="AS702" t="str">
        <f>tbl_OriginalData[[#This Row],[Purchase_Channel]]</f>
        <v>In-Store</v>
      </c>
      <c r="AT702">
        <f>tbl_OriginalData[[#This Row],[Brand_Loyalty]]</f>
        <v>4</v>
      </c>
      <c r="AU702">
        <f>tbl_OriginalData[[#This Row],[Product_Rating]]</f>
        <v>1</v>
      </c>
      <c r="AV702">
        <f>tbl_OriginalData[[#This Row],[Time_Spent_on_Product_Research(hours)]]*60</f>
        <v>60</v>
      </c>
      <c r="AW702" t="str">
        <f>tbl_OriginalData[[#This Row],[Social_Media_Influence]]</f>
        <v>Low</v>
      </c>
      <c r="AX702" t="str">
        <f>tbl_OriginalData[[#This Row],[Discount_Sensitivity]]</f>
        <v>Not Sensitive</v>
      </c>
      <c r="AY702" s="3">
        <f>tbl_OriginalData[[#This Row],[Return_Rate]]/tbl_OriginalData[[#This Row],[Frequency_of_Purchase]]</f>
        <v>0</v>
      </c>
      <c r="AZ702">
        <f>tbl_OriginalData[[#This Row],[Customer_Satisfaction]]</f>
        <v>1</v>
      </c>
      <c r="BA702" t="str">
        <f>tbl_OriginalData[[#This Row],[Engagement_with_Ads]]</f>
        <v>Medium</v>
      </c>
      <c r="BB702" t="str">
        <f>tbl_OriginalData[[#This Row],[Device_Used_for_Shopping]]</f>
        <v>Tablet</v>
      </c>
      <c r="BC702" t="str">
        <f>tbl_OriginalData[[#This Row],[Payment_Method]]</f>
        <v>Debit Card</v>
      </c>
      <c r="BD702" s="1">
        <f>tbl_OriginalData[[#This Row],[Time_of_Purchase]]</f>
        <v>45542</v>
      </c>
      <c r="BE702" t="str">
        <f>IF(tbl_OriginalData[[#This Row],[Discount_Used]]=TRUE,"Yes","No")</f>
        <v>No</v>
      </c>
      <c r="BF702" t="str">
        <f>IF(tbl_OriginalData[[#This Row],[Customer_Loyalty_Program_Member]]=TRUE,"Yes","No")</f>
        <v>Yes</v>
      </c>
      <c r="BG702" t="str">
        <f>tbl_OriginalData[[#This Row],[Purchase_Intent]]</f>
        <v>Planned</v>
      </c>
      <c r="BH702" t="str">
        <f>tbl_OriginalData[[#This Row],[Shipping_Preference]]</f>
        <v>Standard</v>
      </c>
      <c r="BI702">
        <f>tbl_OriginalData[[#This Row],[Time_to_Decision]]</f>
        <v>10</v>
      </c>
      <c r="BJ702" t="s">
        <v>172</v>
      </c>
      <c r="BK702" t="s">
        <v>115</v>
      </c>
      <c r="BL702" t="s">
        <v>2523</v>
      </c>
    </row>
    <row r="703" spans="1:64">
      <c r="A703" t="s">
        <v>1627</v>
      </c>
      <c r="B703">
        <v>29</v>
      </c>
      <c r="C703" t="s">
        <v>50</v>
      </c>
      <c r="D703" t="s">
        <v>51</v>
      </c>
      <c r="E703" t="s">
        <v>82</v>
      </c>
      <c r="F703" t="s">
        <v>52</v>
      </c>
      <c r="G703" t="s">
        <v>51</v>
      </c>
      <c r="H703" t="s">
        <v>1628</v>
      </c>
      <c r="I703" t="s">
        <v>131</v>
      </c>
      <c r="J703">
        <v>122.55</v>
      </c>
      <c r="K703">
        <v>9</v>
      </c>
      <c r="L703" t="s">
        <v>39</v>
      </c>
      <c r="M703">
        <v>2</v>
      </c>
      <c r="N703">
        <v>4</v>
      </c>
      <c r="O703">
        <v>0.3</v>
      </c>
      <c r="P703" t="s">
        <v>69</v>
      </c>
      <c r="Q703" t="s">
        <v>57</v>
      </c>
      <c r="R703">
        <v>2</v>
      </c>
      <c r="S703">
        <v>3</v>
      </c>
      <c r="T703" t="s">
        <v>56</v>
      </c>
      <c r="U703" t="s">
        <v>95</v>
      </c>
      <c r="V703" t="s">
        <v>43</v>
      </c>
      <c r="W703" s="1">
        <v>45471</v>
      </c>
      <c r="X703" t="b">
        <v>0</v>
      </c>
      <c r="Y703" t="b">
        <v>0</v>
      </c>
      <c r="Z703" t="s">
        <v>72</v>
      </c>
      <c r="AA703" t="s">
        <v>77</v>
      </c>
      <c r="AB703">
        <v>4</v>
      </c>
      <c r="AF703" t="str">
        <f>tbl_OriginalData[[#This Row],[Customer_ID]]</f>
        <v>47-225-8686</v>
      </c>
      <c r="AG703">
        <f>tbl_OriginalData[[#This Row],[Age]]</f>
        <v>29</v>
      </c>
      <c r="AH703" t="str" cm="1">
        <f t="array" ref="AH70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03" t="str">
        <f>tbl_OriginalData[[#This Row],[Gender]]</f>
        <v>Male</v>
      </c>
      <c r="AJ703" t="str">
        <f>tbl_OriginalData[[#This Row],[Income_Level]]</f>
        <v>High</v>
      </c>
      <c r="AK703" t="str">
        <f>tbl_OriginalData[[#This Row],[Marital_Status]]</f>
        <v>Widowed</v>
      </c>
      <c r="AL703" t="str">
        <f>tbl_OriginalData[[#This Row],[Education_Level]]</f>
        <v>High School</v>
      </c>
      <c r="AM703" t="str">
        <f>tbl_OriginalData[[#This Row],[Occupation]]</f>
        <v>High</v>
      </c>
      <c r="AN703" t="s">
        <v>1628</v>
      </c>
      <c r="AO703" t="s">
        <v>186</v>
      </c>
      <c r="AP703" t="str">
        <f>tbl_OriginalData[[#This Row],[Purchase_Category]]</f>
        <v>Health Care</v>
      </c>
      <c r="AQ703" s="4">
        <f>tbl_OriginalData[[#This Row],[Purchase_Amount]]</f>
        <v>122.55</v>
      </c>
      <c r="AR703">
        <f>tbl_OriginalData[[#This Row],[Frequency_of_Purchase]]</f>
        <v>9</v>
      </c>
      <c r="AS703" t="str">
        <f>tbl_OriginalData[[#This Row],[Purchase_Channel]]</f>
        <v>Mixed</v>
      </c>
      <c r="AT703">
        <f>tbl_OriginalData[[#This Row],[Brand_Loyalty]]</f>
        <v>2</v>
      </c>
      <c r="AU703">
        <f>tbl_OriginalData[[#This Row],[Product_Rating]]</f>
        <v>4</v>
      </c>
      <c r="AV703">
        <f>tbl_OriginalData[[#This Row],[Time_Spent_on_Product_Research(hours)]]*60</f>
        <v>18</v>
      </c>
      <c r="AW703" t="str">
        <f>tbl_OriginalData[[#This Row],[Social_Media_Influence]]</f>
        <v>Low</v>
      </c>
      <c r="AX703" t="str">
        <f>tbl_OriginalData[[#This Row],[Discount_Sensitivity]]</f>
        <v>Not Sensitive</v>
      </c>
      <c r="AY703" s="3">
        <f>tbl_OriginalData[[#This Row],[Return_Rate]]/tbl_OriginalData[[#This Row],[Frequency_of_Purchase]]</f>
        <v>0.22222222222222221</v>
      </c>
      <c r="AZ703">
        <f>tbl_OriginalData[[#This Row],[Customer_Satisfaction]]</f>
        <v>3</v>
      </c>
      <c r="BA703" t="str">
        <f>tbl_OriginalData[[#This Row],[Engagement_with_Ads]]</f>
        <v>Medium</v>
      </c>
      <c r="BB703" t="str">
        <f>tbl_OriginalData[[#This Row],[Device_Used_for_Shopping]]</f>
        <v>Desktop</v>
      </c>
      <c r="BC703" t="str">
        <f>tbl_OriginalData[[#This Row],[Payment_Method]]</f>
        <v>Credit Card</v>
      </c>
      <c r="BD703" s="1">
        <f>tbl_OriginalData[[#This Row],[Time_of_Purchase]]</f>
        <v>45471</v>
      </c>
      <c r="BE703" t="str">
        <f>IF(tbl_OriginalData[[#This Row],[Discount_Used]]=TRUE,"Yes","No")</f>
        <v>No</v>
      </c>
      <c r="BF703" t="str">
        <f>IF(tbl_OriginalData[[#This Row],[Customer_Loyalty_Program_Member]]=TRUE,"Yes","No")</f>
        <v>No</v>
      </c>
      <c r="BG703" t="str">
        <f>tbl_OriginalData[[#This Row],[Purchase_Intent]]</f>
        <v>Impulsive</v>
      </c>
      <c r="BH703" t="str">
        <f>tbl_OriginalData[[#This Row],[Shipping_Preference]]</f>
        <v>Express</v>
      </c>
      <c r="BI703">
        <f>tbl_OriginalData[[#This Row],[Time_to_Decision]]</f>
        <v>4</v>
      </c>
      <c r="BJ703" t="s">
        <v>104</v>
      </c>
      <c r="BK703" t="s">
        <v>63</v>
      </c>
      <c r="BL703" t="s">
        <v>2523</v>
      </c>
    </row>
    <row r="704" spans="1:64">
      <c r="A704" t="s">
        <v>1629</v>
      </c>
      <c r="B704">
        <v>25</v>
      </c>
      <c r="C704" t="s">
        <v>238</v>
      </c>
      <c r="D704" t="s">
        <v>51</v>
      </c>
      <c r="E704" t="s">
        <v>92</v>
      </c>
      <c r="F704" t="s">
        <v>36</v>
      </c>
      <c r="G704" t="s">
        <v>34</v>
      </c>
      <c r="H704" t="s">
        <v>1630</v>
      </c>
      <c r="I704" t="s">
        <v>112</v>
      </c>
      <c r="J704">
        <v>307.61</v>
      </c>
      <c r="K704">
        <v>6</v>
      </c>
      <c r="L704" t="s">
        <v>39</v>
      </c>
      <c r="M704">
        <v>1</v>
      </c>
      <c r="N704">
        <v>1</v>
      </c>
      <c r="O704">
        <v>0</v>
      </c>
      <c r="P704" t="s">
        <v>69</v>
      </c>
      <c r="Q704" t="s">
        <v>41</v>
      </c>
      <c r="R704">
        <v>0</v>
      </c>
      <c r="S704">
        <v>9</v>
      </c>
      <c r="T704" t="s">
        <v>56</v>
      </c>
      <c r="U704" t="s">
        <v>70</v>
      </c>
      <c r="V704" t="s">
        <v>58</v>
      </c>
      <c r="W704" s="1">
        <v>45547</v>
      </c>
      <c r="X704" t="b">
        <v>1</v>
      </c>
      <c r="Y704" t="b">
        <v>1</v>
      </c>
      <c r="Z704" t="s">
        <v>44</v>
      </c>
      <c r="AA704" t="s">
        <v>45</v>
      </c>
      <c r="AB704">
        <v>10</v>
      </c>
      <c r="AF704" t="str">
        <f>tbl_OriginalData[[#This Row],[Customer_ID]]</f>
        <v>33-519-4214</v>
      </c>
      <c r="AG704">
        <f>tbl_OriginalData[[#This Row],[Age]]</f>
        <v>25</v>
      </c>
      <c r="AH704" t="str" cm="1">
        <f t="array" ref="AH70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04" t="str">
        <f>tbl_OriginalData[[#This Row],[Gender]]</f>
        <v>Non-binary</v>
      </c>
      <c r="AJ704" t="str">
        <f>tbl_OriginalData[[#This Row],[Income_Level]]</f>
        <v>High</v>
      </c>
      <c r="AK704" t="str">
        <f>tbl_OriginalData[[#This Row],[Marital_Status]]</f>
        <v>Divorced</v>
      </c>
      <c r="AL704" t="str">
        <f>tbl_OriginalData[[#This Row],[Education_Level]]</f>
        <v>Bachelor's</v>
      </c>
      <c r="AM704" t="str">
        <f>tbl_OriginalData[[#This Row],[Occupation]]</f>
        <v>Middle</v>
      </c>
      <c r="AN704" t="s">
        <v>1630</v>
      </c>
      <c r="AO704" t="s">
        <v>61</v>
      </c>
      <c r="AP704" t="str">
        <f>tbl_OriginalData[[#This Row],[Purchase_Category]]</f>
        <v>Mobile Accessories</v>
      </c>
      <c r="AQ704" s="4">
        <f>tbl_OriginalData[[#This Row],[Purchase_Amount]]</f>
        <v>307.61</v>
      </c>
      <c r="AR704">
        <f>tbl_OriginalData[[#This Row],[Frequency_of_Purchase]]</f>
        <v>6</v>
      </c>
      <c r="AS704" t="str">
        <f>tbl_OriginalData[[#This Row],[Purchase_Channel]]</f>
        <v>Mixed</v>
      </c>
      <c r="AT704">
        <f>tbl_OriginalData[[#This Row],[Brand_Loyalty]]</f>
        <v>1</v>
      </c>
      <c r="AU704">
        <f>tbl_OriginalData[[#This Row],[Product_Rating]]</f>
        <v>1</v>
      </c>
      <c r="AV704">
        <f>tbl_OriginalData[[#This Row],[Time_Spent_on_Product_Research(hours)]]*60</f>
        <v>0</v>
      </c>
      <c r="AW704" t="str">
        <f>tbl_OriginalData[[#This Row],[Social_Media_Influence]]</f>
        <v>Low</v>
      </c>
      <c r="AX704" t="str">
        <f>tbl_OriginalData[[#This Row],[Discount_Sensitivity]]</f>
        <v>Somewhat Sensitive</v>
      </c>
      <c r="AY704" s="3">
        <f>tbl_OriginalData[[#This Row],[Return_Rate]]/tbl_OriginalData[[#This Row],[Frequency_of_Purchase]]</f>
        <v>0</v>
      </c>
      <c r="AZ704">
        <f>tbl_OriginalData[[#This Row],[Customer_Satisfaction]]</f>
        <v>9</v>
      </c>
      <c r="BA704" t="str">
        <f>tbl_OriginalData[[#This Row],[Engagement_with_Ads]]</f>
        <v>Medium</v>
      </c>
      <c r="BB704" t="str">
        <f>tbl_OriginalData[[#This Row],[Device_Used_for_Shopping]]</f>
        <v>Smartphone</v>
      </c>
      <c r="BC704" t="str">
        <f>tbl_OriginalData[[#This Row],[Payment_Method]]</f>
        <v>PayPal</v>
      </c>
      <c r="BD704" s="1">
        <f>tbl_OriginalData[[#This Row],[Time_of_Purchase]]</f>
        <v>45547</v>
      </c>
      <c r="BE704" t="str">
        <f>IF(tbl_OriginalData[[#This Row],[Discount_Used]]=TRUE,"Yes","No")</f>
        <v>Yes</v>
      </c>
      <c r="BF704" t="str">
        <f>IF(tbl_OriginalData[[#This Row],[Customer_Loyalty_Program_Member]]=TRUE,"Yes","No")</f>
        <v>Yes</v>
      </c>
      <c r="BG704" t="str">
        <f>tbl_OriginalData[[#This Row],[Purchase_Intent]]</f>
        <v>Need-based</v>
      </c>
      <c r="BH704" t="str">
        <f>tbl_OriginalData[[#This Row],[Shipping_Preference]]</f>
        <v>No Preference</v>
      </c>
      <c r="BI704">
        <f>tbl_OriginalData[[#This Row],[Time_to_Decision]]</f>
        <v>10</v>
      </c>
      <c r="BJ704" t="s">
        <v>172</v>
      </c>
      <c r="BK704" t="s">
        <v>115</v>
      </c>
      <c r="BL704" t="s">
        <v>2524</v>
      </c>
    </row>
    <row r="705" spans="1:64">
      <c r="A705" t="s">
        <v>1631</v>
      </c>
      <c r="B705">
        <v>41</v>
      </c>
      <c r="C705" t="s">
        <v>33</v>
      </c>
      <c r="D705" t="s">
        <v>51</v>
      </c>
      <c r="E705" t="s">
        <v>92</v>
      </c>
      <c r="F705" t="s">
        <v>36</v>
      </c>
      <c r="G705" t="s">
        <v>34</v>
      </c>
      <c r="H705" t="s">
        <v>1632</v>
      </c>
      <c r="I705" t="s">
        <v>150</v>
      </c>
      <c r="J705">
        <v>152.33000000000001</v>
      </c>
      <c r="K705">
        <v>2</v>
      </c>
      <c r="L705" t="s">
        <v>55</v>
      </c>
      <c r="M705">
        <v>1</v>
      </c>
      <c r="N705">
        <v>5</v>
      </c>
      <c r="O705">
        <v>1</v>
      </c>
      <c r="P705" t="s">
        <v>40</v>
      </c>
      <c r="Q705" t="s">
        <v>57</v>
      </c>
      <c r="R705">
        <v>1</v>
      </c>
      <c r="S705">
        <v>6</v>
      </c>
      <c r="T705" t="s">
        <v>51</v>
      </c>
      <c r="U705" t="s">
        <v>70</v>
      </c>
      <c r="V705" t="s">
        <v>71</v>
      </c>
      <c r="W705" s="1">
        <v>45310</v>
      </c>
      <c r="X705" t="b">
        <v>0</v>
      </c>
      <c r="Y705" t="b">
        <v>1</v>
      </c>
      <c r="Z705" t="s">
        <v>72</v>
      </c>
      <c r="AA705" t="s">
        <v>45</v>
      </c>
      <c r="AB705">
        <v>8</v>
      </c>
      <c r="AF705" t="str">
        <f>tbl_OriginalData[[#This Row],[Customer_ID]]</f>
        <v>03-991-2098</v>
      </c>
      <c r="AG705">
        <f>tbl_OriginalData[[#This Row],[Age]]</f>
        <v>41</v>
      </c>
      <c r="AH705" t="str" cm="1">
        <f t="array" ref="AH70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05" t="str">
        <f>tbl_OriginalData[[#This Row],[Gender]]</f>
        <v>Female</v>
      </c>
      <c r="AJ705" t="str">
        <f>tbl_OriginalData[[#This Row],[Income_Level]]</f>
        <v>High</v>
      </c>
      <c r="AK705" t="str">
        <f>tbl_OriginalData[[#This Row],[Marital_Status]]</f>
        <v>Divorced</v>
      </c>
      <c r="AL705" t="str">
        <f>tbl_OriginalData[[#This Row],[Education_Level]]</f>
        <v>Bachelor's</v>
      </c>
      <c r="AM705" t="str">
        <f>tbl_OriginalData[[#This Row],[Occupation]]</f>
        <v>Middle</v>
      </c>
      <c r="AN705" t="s">
        <v>1632</v>
      </c>
      <c r="AO705" t="s">
        <v>386</v>
      </c>
      <c r="AP705" t="str">
        <f>tbl_OriginalData[[#This Row],[Purchase_Category]]</f>
        <v>Software &amp; Apps</v>
      </c>
      <c r="AQ705" s="4">
        <f>tbl_OriginalData[[#This Row],[Purchase_Amount]]</f>
        <v>152.33000000000001</v>
      </c>
      <c r="AR705">
        <f>tbl_OriginalData[[#This Row],[Frequency_of_Purchase]]</f>
        <v>2</v>
      </c>
      <c r="AS705" t="str">
        <f>tbl_OriginalData[[#This Row],[Purchase_Channel]]</f>
        <v>In-Store</v>
      </c>
      <c r="AT705">
        <f>tbl_OriginalData[[#This Row],[Brand_Loyalty]]</f>
        <v>1</v>
      </c>
      <c r="AU705">
        <f>tbl_OriginalData[[#This Row],[Product_Rating]]</f>
        <v>5</v>
      </c>
      <c r="AV705">
        <f>tbl_OriginalData[[#This Row],[Time_Spent_on_Product_Research(hours)]]*60</f>
        <v>60</v>
      </c>
      <c r="AW705" t="str">
        <f>tbl_OriginalData[[#This Row],[Social_Media_Influence]]</f>
        <v>None</v>
      </c>
      <c r="AX705" t="str">
        <f>tbl_OriginalData[[#This Row],[Discount_Sensitivity]]</f>
        <v>Not Sensitive</v>
      </c>
      <c r="AY705" s="3">
        <f>tbl_OriginalData[[#This Row],[Return_Rate]]/tbl_OriginalData[[#This Row],[Frequency_of_Purchase]]</f>
        <v>0.5</v>
      </c>
      <c r="AZ705">
        <f>tbl_OriginalData[[#This Row],[Customer_Satisfaction]]</f>
        <v>6</v>
      </c>
      <c r="BA705" t="str">
        <f>tbl_OriginalData[[#This Row],[Engagement_with_Ads]]</f>
        <v>High</v>
      </c>
      <c r="BB705" t="str">
        <f>tbl_OriginalData[[#This Row],[Device_Used_for_Shopping]]</f>
        <v>Smartphone</v>
      </c>
      <c r="BC705" t="str">
        <f>tbl_OriginalData[[#This Row],[Payment_Method]]</f>
        <v>Debit Card</v>
      </c>
      <c r="BD705" s="1">
        <f>tbl_OriginalData[[#This Row],[Time_of_Purchase]]</f>
        <v>45310</v>
      </c>
      <c r="BE705" t="str">
        <f>IF(tbl_OriginalData[[#This Row],[Discount_Used]]=TRUE,"Yes","No")</f>
        <v>No</v>
      </c>
      <c r="BF705" t="str">
        <f>IF(tbl_OriginalData[[#This Row],[Customer_Loyalty_Program_Member]]=TRUE,"Yes","No")</f>
        <v>Yes</v>
      </c>
      <c r="BG705" t="str">
        <f>tbl_OriginalData[[#This Row],[Purchase_Intent]]</f>
        <v>Impulsive</v>
      </c>
      <c r="BH705" t="str">
        <f>tbl_OriginalData[[#This Row],[Shipping_Preference]]</f>
        <v>No Preference</v>
      </c>
      <c r="BI705">
        <f>tbl_OriginalData[[#This Row],[Time_to_Decision]]</f>
        <v>8</v>
      </c>
      <c r="BJ705" t="s">
        <v>86</v>
      </c>
      <c r="BK705" t="s">
        <v>48</v>
      </c>
      <c r="BL705" t="s">
        <v>2523</v>
      </c>
    </row>
    <row r="706" spans="1:64">
      <c r="A706" t="s">
        <v>1633</v>
      </c>
      <c r="B706">
        <v>24</v>
      </c>
      <c r="C706" t="s">
        <v>33</v>
      </c>
      <c r="D706" t="s">
        <v>34</v>
      </c>
      <c r="E706" t="s">
        <v>92</v>
      </c>
      <c r="F706" t="s">
        <v>36</v>
      </c>
      <c r="G706" t="s">
        <v>51</v>
      </c>
      <c r="H706" t="s">
        <v>1634</v>
      </c>
      <c r="I706" t="s">
        <v>112</v>
      </c>
      <c r="J706">
        <v>465.07</v>
      </c>
      <c r="K706">
        <v>8</v>
      </c>
      <c r="L706" t="s">
        <v>94</v>
      </c>
      <c r="M706">
        <v>2</v>
      </c>
      <c r="N706">
        <v>4</v>
      </c>
      <c r="O706">
        <v>0</v>
      </c>
      <c r="P706" t="s">
        <v>56</v>
      </c>
      <c r="Q706" t="s">
        <v>57</v>
      </c>
      <c r="R706">
        <v>1</v>
      </c>
      <c r="S706">
        <v>2</v>
      </c>
      <c r="T706" t="s">
        <v>51</v>
      </c>
      <c r="U706" t="s">
        <v>95</v>
      </c>
      <c r="V706" t="s">
        <v>102</v>
      </c>
      <c r="W706" s="1">
        <v>45353</v>
      </c>
      <c r="X706" t="b">
        <v>0</v>
      </c>
      <c r="Y706" t="b">
        <v>0</v>
      </c>
      <c r="Z706" t="s">
        <v>59</v>
      </c>
      <c r="AA706" t="s">
        <v>45</v>
      </c>
      <c r="AB706">
        <v>8</v>
      </c>
      <c r="AF706" t="str">
        <f>tbl_OriginalData[[#This Row],[Customer_ID]]</f>
        <v>30-735-8744</v>
      </c>
      <c r="AG706">
        <f>tbl_OriginalData[[#This Row],[Age]]</f>
        <v>24</v>
      </c>
      <c r="AH706" t="str" cm="1">
        <f t="array" ref="AH70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06" t="str">
        <f>tbl_OriginalData[[#This Row],[Gender]]</f>
        <v>Female</v>
      </c>
      <c r="AJ706" t="str">
        <f>tbl_OriginalData[[#This Row],[Income_Level]]</f>
        <v>Middle</v>
      </c>
      <c r="AK706" t="str">
        <f>tbl_OriginalData[[#This Row],[Marital_Status]]</f>
        <v>Divorced</v>
      </c>
      <c r="AL706" t="str">
        <f>tbl_OriginalData[[#This Row],[Education_Level]]</f>
        <v>Bachelor's</v>
      </c>
      <c r="AM706" t="str">
        <f>tbl_OriginalData[[#This Row],[Occupation]]</f>
        <v>High</v>
      </c>
      <c r="AN706" t="s">
        <v>1634</v>
      </c>
      <c r="AO706" t="s">
        <v>61</v>
      </c>
      <c r="AP706" t="str">
        <f>tbl_OriginalData[[#This Row],[Purchase_Category]]</f>
        <v>Mobile Accessories</v>
      </c>
      <c r="AQ706" s="4">
        <f>tbl_OriginalData[[#This Row],[Purchase_Amount]]</f>
        <v>465.07</v>
      </c>
      <c r="AR706">
        <f>tbl_OriginalData[[#This Row],[Frequency_of_Purchase]]</f>
        <v>8</v>
      </c>
      <c r="AS706" t="str">
        <f>tbl_OriginalData[[#This Row],[Purchase_Channel]]</f>
        <v>Online</v>
      </c>
      <c r="AT706">
        <f>tbl_OriginalData[[#This Row],[Brand_Loyalty]]</f>
        <v>2</v>
      </c>
      <c r="AU706">
        <f>tbl_OriginalData[[#This Row],[Product_Rating]]</f>
        <v>4</v>
      </c>
      <c r="AV706">
        <f>tbl_OriginalData[[#This Row],[Time_Spent_on_Product_Research(hours)]]*60</f>
        <v>0</v>
      </c>
      <c r="AW706" t="str">
        <f>tbl_OriginalData[[#This Row],[Social_Media_Influence]]</f>
        <v>Medium</v>
      </c>
      <c r="AX706" t="str">
        <f>tbl_OriginalData[[#This Row],[Discount_Sensitivity]]</f>
        <v>Not Sensitive</v>
      </c>
      <c r="AY706" s="3">
        <f>tbl_OriginalData[[#This Row],[Return_Rate]]/tbl_OriginalData[[#This Row],[Frequency_of_Purchase]]</f>
        <v>0.125</v>
      </c>
      <c r="AZ706">
        <f>tbl_OriginalData[[#This Row],[Customer_Satisfaction]]</f>
        <v>2</v>
      </c>
      <c r="BA706" t="str">
        <f>tbl_OriginalData[[#This Row],[Engagement_with_Ads]]</f>
        <v>High</v>
      </c>
      <c r="BB706" t="str">
        <f>tbl_OriginalData[[#This Row],[Device_Used_for_Shopping]]</f>
        <v>Desktop</v>
      </c>
      <c r="BC706" t="str">
        <f>tbl_OriginalData[[#This Row],[Payment_Method]]</f>
        <v>Cash</v>
      </c>
      <c r="BD706" s="1">
        <f>tbl_OriginalData[[#This Row],[Time_of_Purchase]]</f>
        <v>45353</v>
      </c>
      <c r="BE706" t="str">
        <f>IF(tbl_OriginalData[[#This Row],[Discount_Used]]=TRUE,"Yes","No")</f>
        <v>No</v>
      </c>
      <c r="BF706" t="str">
        <f>IF(tbl_OriginalData[[#This Row],[Customer_Loyalty_Program_Member]]=TRUE,"Yes","No")</f>
        <v>No</v>
      </c>
      <c r="BG706" t="str">
        <f>tbl_OriginalData[[#This Row],[Purchase_Intent]]</f>
        <v>Wants-based</v>
      </c>
      <c r="BH706" t="str">
        <f>tbl_OriginalData[[#This Row],[Shipping_Preference]]</f>
        <v>No Preference</v>
      </c>
      <c r="BI706">
        <f>tbl_OriginalData[[#This Row],[Time_to_Decision]]</f>
        <v>8</v>
      </c>
      <c r="BJ706" t="s">
        <v>47</v>
      </c>
      <c r="BK706" t="s">
        <v>48</v>
      </c>
      <c r="BL706" t="s">
        <v>2524</v>
      </c>
    </row>
    <row r="707" spans="1:64">
      <c r="A707" t="s">
        <v>1635</v>
      </c>
      <c r="B707">
        <v>32</v>
      </c>
      <c r="C707" t="s">
        <v>33</v>
      </c>
      <c r="D707" t="s">
        <v>51</v>
      </c>
      <c r="E707" t="s">
        <v>65</v>
      </c>
      <c r="F707" t="s">
        <v>66</v>
      </c>
      <c r="G707" t="s">
        <v>34</v>
      </c>
      <c r="H707" t="s">
        <v>1636</v>
      </c>
      <c r="I707" t="s">
        <v>108</v>
      </c>
      <c r="J707">
        <v>498.23</v>
      </c>
      <c r="K707">
        <v>10</v>
      </c>
      <c r="L707" t="s">
        <v>94</v>
      </c>
      <c r="M707">
        <v>5</v>
      </c>
      <c r="N707">
        <v>2</v>
      </c>
      <c r="O707">
        <v>0</v>
      </c>
      <c r="P707" t="s">
        <v>40</v>
      </c>
      <c r="Q707" t="s">
        <v>101</v>
      </c>
      <c r="R707">
        <v>0</v>
      </c>
      <c r="S707">
        <v>7</v>
      </c>
      <c r="T707" t="s">
        <v>56</v>
      </c>
      <c r="U707" t="s">
        <v>70</v>
      </c>
      <c r="V707" t="s">
        <v>76</v>
      </c>
      <c r="W707" s="1">
        <v>45299</v>
      </c>
      <c r="X707" t="b">
        <v>1</v>
      </c>
      <c r="Y707" t="b">
        <v>0</v>
      </c>
      <c r="Z707" t="s">
        <v>89</v>
      </c>
      <c r="AA707" t="s">
        <v>45</v>
      </c>
      <c r="AB707">
        <v>9</v>
      </c>
      <c r="AF707" t="str">
        <f>tbl_OriginalData[[#This Row],[Customer_ID]]</f>
        <v>13-848-5757</v>
      </c>
      <c r="AG707">
        <f>tbl_OriginalData[[#This Row],[Age]]</f>
        <v>32</v>
      </c>
      <c r="AH707" t="str" cm="1">
        <f t="array" ref="AH70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07" t="str">
        <f>tbl_OriginalData[[#This Row],[Gender]]</f>
        <v>Female</v>
      </c>
      <c r="AJ707" t="str">
        <f>tbl_OriginalData[[#This Row],[Income_Level]]</f>
        <v>High</v>
      </c>
      <c r="AK707" t="str">
        <f>tbl_OriginalData[[#This Row],[Marital_Status]]</f>
        <v>Single</v>
      </c>
      <c r="AL707" t="str">
        <f>tbl_OriginalData[[#This Row],[Education_Level]]</f>
        <v>Master's</v>
      </c>
      <c r="AM707" t="str">
        <f>tbl_OriginalData[[#This Row],[Occupation]]</f>
        <v>Middle</v>
      </c>
      <c r="AN707" t="s">
        <v>1636</v>
      </c>
      <c r="AO707" t="s">
        <v>1637</v>
      </c>
      <c r="AP707" t="str">
        <f>tbl_OriginalData[[#This Row],[Purchase_Category]]</f>
        <v>Sports &amp; Outdoors</v>
      </c>
      <c r="AQ707" s="4">
        <f>tbl_OriginalData[[#This Row],[Purchase_Amount]]</f>
        <v>498.23</v>
      </c>
      <c r="AR707">
        <f>tbl_OriginalData[[#This Row],[Frequency_of_Purchase]]</f>
        <v>10</v>
      </c>
      <c r="AS707" t="str">
        <f>tbl_OriginalData[[#This Row],[Purchase_Channel]]</f>
        <v>Online</v>
      </c>
      <c r="AT707">
        <f>tbl_OriginalData[[#This Row],[Brand_Loyalty]]</f>
        <v>5</v>
      </c>
      <c r="AU707">
        <f>tbl_OriginalData[[#This Row],[Product_Rating]]</f>
        <v>2</v>
      </c>
      <c r="AV707">
        <f>tbl_OriginalData[[#This Row],[Time_Spent_on_Product_Research(hours)]]*60</f>
        <v>0</v>
      </c>
      <c r="AW707" t="str">
        <f>tbl_OriginalData[[#This Row],[Social_Media_Influence]]</f>
        <v>None</v>
      </c>
      <c r="AX707" t="str">
        <f>tbl_OriginalData[[#This Row],[Discount_Sensitivity]]</f>
        <v>Very Sensitive</v>
      </c>
      <c r="AY707" s="3">
        <f>tbl_OriginalData[[#This Row],[Return_Rate]]/tbl_OriginalData[[#This Row],[Frequency_of_Purchase]]</f>
        <v>0</v>
      </c>
      <c r="AZ707">
        <f>tbl_OriginalData[[#This Row],[Customer_Satisfaction]]</f>
        <v>7</v>
      </c>
      <c r="BA707" t="str">
        <f>tbl_OriginalData[[#This Row],[Engagement_with_Ads]]</f>
        <v>Medium</v>
      </c>
      <c r="BB707" t="str">
        <f>tbl_OriginalData[[#This Row],[Device_Used_for_Shopping]]</f>
        <v>Smartphone</v>
      </c>
      <c r="BC707" t="str">
        <f>tbl_OriginalData[[#This Row],[Payment_Method]]</f>
        <v>Other</v>
      </c>
      <c r="BD707" s="1">
        <f>tbl_OriginalData[[#This Row],[Time_of_Purchase]]</f>
        <v>45299</v>
      </c>
      <c r="BE707" t="str">
        <f>IF(tbl_OriginalData[[#This Row],[Discount_Used]]=TRUE,"Yes","No")</f>
        <v>Yes</v>
      </c>
      <c r="BF707" t="str">
        <f>IF(tbl_OriginalData[[#This Row],[Customer_Loyalty_Program_Member]]=TRUE,"Yes","No")</f>
        <v>No</v>
      </c>
      <c r="BG707" t="str">
        <f>tbl_OriginalData[[#This Row],[Purchase_Intent]]</f>
        <v>Planned</v>
      </c>
      <c r="BH707" t="str">
        <f>tbl_OriginalData[[#This Row],[Shipping_Preference]]</f>
        <v>No Preference</v>
      </c>
      <c r="BI707">
        <f>tbl_OriginalData[[#This Row],[Time_to_Decision]]</f>
        <v>9</v>
      </c>
      <c r="BJ707" t="s">
        <v>86</v>
      </c>
      <c r="BK707" t="s">
        <v>48</v>
      </c>
      <c r="BL707" t="s">
        <v>2529</v>
      </c>
    </row>
    <row r="708" spans="1:64">
      <c r="A708" t="s">
        <v>1638</v>
      </c>
      <c r="B708">
        <v>41</v>
      </c>
      <c r="C708" t="s">
        <v>33</v>
      </c>
      <c r="D708" t="s">
        <v>34</v>
      </c>
      <c r="E708" t="s">
        <v>82</v>
      </c>
      <c r="F708" t="s">
        <v>52</v>
      </c>
      <c r="G708" t="s">
        <v>34</v>
      </c>
      <c r="H708" t="s">
        <v>1639</v>
      </c>
      <c r="I708" t="s">
        <v>123</v>
      </c>
      <c r="J708">
        <v>491.18</v>
      </c>
      <c r="K708">
        <v>3</v>
      </c>
      <c r="L708" t="s">
        <v>39</v>
      </c>
      <c r="M708">
        <v>4</v>
      </c>
      <c r="N708">
        <v>4</v>
      </c>
      <c r="O708">
        <v>1</v>
      </c>
      <c r="P708" t="s">
        <v>51</v>
      </c>
      <c r="Q708" t="s">
        <v>101</v>
      </c>
      <c r="R708">
        <v>0</v>
      </c>
      <c r="S708">
        <v>6</v>
      </c>
      <c r="T708" t="s">
        <v>40</v>
      </c>
      <c r="U708" t="s">
        <v>70</v>
      </c>
      <c r="V708" t="s">
        <v>102</v>
      </c>
      <c r="W708" s="1">
        <v>45531</v>
      </c>
      <c r="X708" t="b">
        <v>0</v>
      </c>
      <c r="Y708" t="b">
        <v>0</v>
      </c>
      <c r="Z708" t="s">
        <v>72</v>
      </c>
      <c r="AA708" t="s">
        <v>45</v>
      </c>
      <c r="AB708">
        <v>14</v>
      </c>
      <c r="AF708" t="str">
        <f>tbl_OriginalData[[#This Row],[Customer_ID]]</f>
        <v>21-300-2001</v>
      </c>
      <c r="AG708">
        <f>tbl_OriginalData[[#This Row],[Age]]</f>
        <v>41</v>
      </c>
      <c r="AH708" t="str" cm="1">
        <f t="array" ref="AH70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08" t="str">
        <f>tbl_OriginalData[[#This Row],[Gender]]</f>
        <v>Female</v>
      </c>
      <c r="AJ708" t="str">
        <f>tbl_OriginalData[[#This Row],[Income_Level]]</f>
        <v>Middle</v>
      </c>
      <c r="AK708" t="str">
        <f>tbl_OriginalData[[#This Row],[Marital_Status]]</f>
        <v>Widowed</v>
      </c>
      <c r="AL708" t="str">
        <f>tbl_OriginalData[[#This Row],[Education_Level]]</f>
        <v>High School</v>
      </c>
      <c r="AM708" t="str">
        <f>tbl_OriginalData[[#This Row],[Occupation]]</f>
        <v>Middle</v>
      </c>
      <c r="AN708" t="s">
        <v>1640</v>
      </c>
      <c r="AO708" t="s">
        <v>342</v>
      </c>
      <c r="AP708" t="str">
        <f>tbl_OriginalData[[#This Row],[Purchase_Category]]</f>
        <v>Luxury Goods</v>
      </c>
      <c r="AQ708" s="4">
        <f>tbl_OriginalData[[#This Row],[Purchase_Amount]]</f>
        <v>491.18</v>
      </c>
      <c r="AR708">
        <f>tbl_OriginalData[[#This Row],[Frequency_of_Purchase]]</f>
        <v>3</v>
      </c>
      <c r="AS708" t="str">
        <f>tbl_OriginalData[[#This Row],[Purchase_Channel]]</f>
        <v>Mixed</v>
      </c>
      <c r="AT708">
        <f>tbl_OriginalData[[#This Row],[Brand_Loyalty]]</f>
        <v>4</v>
      </c>
      <c r="AU708">
        <f>tbl_OriginalData[[#This Row],[Product_Rating]]</f>
        <v>4</v>
      </c>
      <c r="AV708">
        <f>tbl_OriginalData[[#This Row],[Time_Spent_on_Product_Research(hours)]]*60</f>
        <v>60</v>
      </c>
      <c r="AW708" t="str">
        <f>tbl_OriginalData[[#This Row],[Social_Media_Influence]]</f>
        <v>High</v>
      </c>
      <c r="AX708" t="str">
        <f>tbl_OriginalData[[#This Row],[Discount_Sensitivity]]</f>
        <v>Very Sensitive</v>
      </c>
      <c r="AY708" s="3">
        <f>tbl_OriginalData[[#This Row],[Return_Rate]]/tbl_OriginalData[[#This Row],[Frequency_of_Purchase]]</f>
        <v>0</v>
      </c>
      <c r="AZ708">
        <f>tbl_OriginalData[[#This Row],[Customer_Satisfaction]]</f>
        <v>6</v>
      </c>
      <c r="BA708" t="str">
        <f>tbl_OriginalData[[#This Row],[Engagement_with_Ads]]</f>
        <v>None</v>
      </c>
      <c r="BB708" t="str">
        <f>tbl_OriginalData[[#This Row],[Device_Used_for_Shopping]]</f>
        <v>Smartphone</v>
      </c>
      <c r="BC708" t="str">
        <f>tbl_OriginalData[[#This Row],[Payment_Method]]</f>
        <v>Cash</v>
      </c>
      <c r="BD708" s="1">
        <f>tbl_OriginalData[[#This Row],[Time_of_Purchase]]</f>
        <v>45531</v>
      </c>
      <c r="BE708" t="str">
        <f>IF(tbl_OriginalData[[#This Row],[Discount_Used]]=TRUE,"Yes","No")</f>
        <v>No</v>
      </c>
      <c r="BF708" t="str">
        <f>IF(tbl_OriginalData[[#This Row],[Customer_Loyalty_Program_Member]]=TRUE,"Yes","No")</f>
        <v>No</v>
      </c>
      <c r="BG708" t="str">
        <f>tbl_OriginalData[[#This Row],[Purchase_Intent]]</f>
        <v>Impulsive</v>
      </c>
      <c r="BH708" t="str">
        <f>tbl_OriginalData[[#This Row],[Shipping_Preference]]</f>
        <v>No Preference</v>
      </c>
      <c r="BI708">
        <f>tbl_OriginalData[[#This Row],[Time_to_Decision]]</f>
        <v>14</v>
      </c>
      <c r="BJ708" t="s">
        <v>124</v>
      </c>
      <c r="BK708" t="s">
        <v>115</v>
      </c>
      <c r="BL708" t="s">
        <v>2524</v>
      </c>
    </row>
    <row r="709" spans="1:64">
      <c r="A709" t="s">
        <v>1641</v>
      </c>
      <c r="B709">
        <v>18</v>
      </c>
      <c r="C709" t="s">
        <v>50</v>
      </c>
      <c r="D709" t="s">
        <v>34</v>
      </c>
      <c r="E709" t="s">
        <v>92</v>
      </c>
      <c r="F709" t="s">
        <v>36</v>
      </c>
      <c r="G709" t="s">
        <v>34</v>
      </c>
      <c r="H709" t="s">
        <v>1642</v>
      </c>
      <c r="I709" t="s">
        <v>131</v>
      </c>
      <c r="J709">
        <v>149.41999999999999</v>
      </c>
      <c r="K709">
        <v>3</v>
      </c>
      <c r="L709" t="s">
        <v>39</v>
      </c>
      <c r="M709">
        <v>1</v>
      </c>
      <c r="N709">
        <v>1</v>
      </c>
      <c r="O709">
        <v>2</v>
      </c>
      <c r="P709" t="s">
        <v>56</v>
      </c>
      <c r="Q709" t="s">
        <v>101</v>
      </c>
      <c r="R709">
        <v>0</v>
      </c>
      <c r="S709">
        <v>6</v>
      </c>
      <c r="T709" t="s">
        <v>40</v>
      </c>
      <c r="U709" t="s">
        <v>95</v>
      </c>
      <c r="V709" t="s">
        <v>102</v>
      </c>
      <c r="W709" s="1">
        <v>45294</v>
      </c>
      <c r="X709" t="b">
        <v>1</v>
      </c>
      <c r="Y709" t="b">
        <v>0</v>
      </c>
      <c r="Z709" t="s">
        <v>59</v>
      </c>
      <c r="AA709" t="s">
        <v>77</v>
      </c>
      <c r="AB709">
        <v>5</v>
      </c>
      <c r="AF709" t="str">
        <f>tbl_OriginalData[[#This Row],[Customer_ID]]</f>
        <v>38-587-1781</v>
      </c>
      <c r="AG709">
        <f>tbl_OriginalData[[#This Row],[Age]]</f>
        <v>18</v>
      </c>
      <c r="AH709" t="str" cm="1">
        <f t="array" ref="AH70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709" t="str">
        <f>tbl_OriginalData[[#This Row],[Gender]]</f>
        <v>Male</v>
      </c>
      <c r="AJ709" t="str">
        <f>tbl_OriginalData[[#This Row],[Income_Level]]</f>
        <v>Middle</v>
      </c>
      <c r="AK709" t="str">
        <f>tbl_OriginalData[[#This Row],[Marital_Status]]</f>
        <v>Divorced</v>
      </c>
      <c r="AL709" t="str">
        <f>tbl_OriginalData[[#This Row],[Education_Level]]</f>
        <v>Bachelor's</v>
      </c>
      <c r="AM709" t="str">
        <f>tbl_OriginalData[[#This Row],[Occupation]]</f>
        <v>Middle</v>
      </c>
      <c r="AN709" t="s">
        <v>1642</v>
      </c>
      <c r="AO709" t="s">
        <v>194</v>
      </c>
      <c r="AP709" t="str">
        <f>tbl_OriginalData[[#This Row],[Purchase_Category]]</f>
        <v>Health Care</v>
      </c>
      <c r="AQ709" s="4">
        <f>tbl_OriginalData[[#This Row],[Purchase_Amount]]</f>
        <v>149.41999999999999</v>
      </c>
      <c r="AR709">
        <f>tbl_OriginalData[[#This Row],[Frequency_of_Purchase]]</f>
        <v>3</v>
      </c>
      <c r="AS709" t="str">
        <f>tbl_OriginalData[[#This Row],[Purchase_Channel]]</f>
        <v>Mixed</v>
      </c>
      <c r="AT709">
        <f>tbl_OriginalData[[#This Row],[Brand_Loyalty]]</f>
        <v>1</v>
      </c>
      <c r="AU709">
        <f>tbl_OriginalData[[#This Row],[Product_Rating]]</f>
        <v>1</v>
      </c>
      <c r="AV709">
        <f>tbl_OriginalData[[#This Row],[Time_Spent_on_Product_Research(hours)]]*60</f>
        <v>120</v>
      </c>
      <c r="AW709" t="str">
        <f>tbl_OriginalData[[#This Row],[Social_Media_Influence]]</f>
        <v>Medium</v>
      </c>
      <c r="AX709" t="str">
        <f>tbl_OriginalData[[#This Row],[Discount_Sensitivity]]</f>
        <v>Very Sensitive</v>
      </c>
      <c r="AY709" s="3">
        <f>tbl_OriginalData[[#This Row],[Return_Rate]]/tbl_OriginalData[[#This Row],[Frequency_of_Purchase]]</f>
        <v>0</v>
      </c>
      <c r="AZ709">
        <f>tbl_OriginalData[[#This Row],[Customer_Satisfaction]]</f>
        <v>6</v>
      </c>
      <c r="BA709" t="str">
        <f>tbl_OriginalData[[#This Row],[Engagement_with_Ads]]</f>
        <v>None</v>
      </c>
      <c r="BB709" t="str">
        <f>tbl_OriginalData[[#This Row],[Device_Used_for_Shopping]]</f>
        <v>Desktop</v>
      </c>
      <c r="BC709" t="str">
        <f>tbl_OriginalData[[#This Row],[Payment_Method]]</f>
        <v>Cash</v>
      </c>
      <c r="BD709" s="1">
        <f>tbl_OriginalData[[#This Row],[Time_of_Purchase]]</f>
        <v>45294</v>
      </c>
      <c r="BE709" t="str">
        <f>IF(tbl_OriginalData[[#This Row],[Discount_Used]]=TRUE,"Yes","No")</f>
        <v>Yes</v>
      </c>
      <c r="BF709" t="str">
        <f>IF(tbl_OriginalData[[#This Row],[Customer_Loyalty_Program_Member]]=TRUE,"Yes","No")</f>
        <v>No</v>
      </c>
      <c r="BG709" t="str">
        <f>tbl_OriginalData[[#This Row],[Purchase_Intent]]</f>
        <v>Wants-based</v>
      </c>
      <c r="BH709" t="str">
        <f>tbl_OriginalData[[#This Row],[Shipping_Preference]]</f>
        <v>Express</v>
      </c>
      <c r="BI709">
        <f>tbl_OriginalData[[#This Row],[Time_to_Decision]]</f>
        <v>5</v>
      </c>
      <c r="BJ709" t="s">
        <v>86</v>
      </c>
      <c r="BK709" t="s">
        <v>48</v>
      </c>
      <c r="BL709" t="s">
        <v>2524</v>
      </c>
    </row>
    <row r="710" spans="1:64">
      <c r="A710" t="s">
        <v>1643</v>
      </c>
      <c r="B710">
        <v>25</v>
      </c>
      <c r="C710" t="s">
        <v>50</v>
      </c>
      <c r="D710" t="s">
        <v>34</v>
      </c>
      <c r="E710" t="s">
        <v>65</v>
      </c>
      <c r="F710" t="s">
        <v>66</v>
      </c>
      <c r="G710" t="s">
        <v>34</v>
      </c>
      <c r="H710" t="s">
        <v>1644</v>
      </c>
      <c r="I710" t="s">
        <v>84</v>
      </c>
      <c r="J710">
        <v>82.13</v>
      </c>
      <c r="K710">
        <v>9</v>
      </c>
      <c r="L710" t="s">
        <v>94</v>
      </c>
      <c r="M710">
        <v>5</v>
      </c>
      <c r="N710">
        <v>1</v>
      </c>
      <c r="O710">
        <v>0</v>
      </c>
      <c r="P710" t="s">
        <v>56</v>
      </c>
      <c r="Q710" t="s">
        <v>41</v>
      </c>
      <c r="R710">
        <v>2</v>
      </c>
      <c r="S710">
        <v>6</v>
      </c>
      <c r="T710" t="s">
        <v>51</v>
      </c>
      <c r="U710" t="s">
        <v>42</v>
      </c>
      <c r="V710" t="s">
        <v>71</v>
      </c>
      <c r="W710" s="1">
        <v>45391</v>
      </c>
      <c r="X710" t="b">
        <v>1</v>
      </c>
      <c r="Y710" t="b">
        <v>1</v>
      </c>
      <c r="Z710" t="s">
        <v>44</v>
      </c>
      <c r="AA710" t="s">
        <v>77</v>
      </c>
      <c r="AB710">
        <v>6</v>
      </c>
      <c r="AF710" t="str">
        <f>tbl_OriginalData[[#This Row],[Customer_ID]]</f>
        <v>66-557-1474</v>
      </c>
      <c r="AG710">
        <f>tbl_OriginalData[[#This Row],[Age]]</f>
        <v>25</v>
      </c>
      <c r="AH710" t="str" cm="1">
        <f t="array" ref="AH71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10" t="str">
        <f>tbl_OriginalData[[#This Row],[Gender]]</f>
        <v>Male</v>
      </c>
      <c r="AJ710" t="str">
        <f>tbl_OriginalData[[#This Row],[Income_Level]]</f>
        <v>Middle</v>
      </c>
      <c r="AK710" t="str">
        <f>tbl_OriginalData[[#This Row],[Marital_Status]]</f>
        <v>Single</v>
      </c>
      <c r="AL710" t="str">
        <f>tbl_OriginalData[[#This Row],[Education_Level]]</f>
        <v>Master's</v>
      </c>
      <c r="AM710" t="str">
        <f>tbl_OriginalData[[#This Row],[Occupation]]</f>
        <v>Middle</v>
      </c>
      <c r="AN710" t="s">
        <v>1644</v>
      </c>
      <c r="AO710" t="s">
        <v>724</v>
      </c>
      <c r="AP710" t="str">
        <f>tbl_OriginalData[[#This Row],[Purchase_Category]]</f>
        <v>Furniture</v>
      </c>
      <c r="AQ710" s="4">
        <f>tbl_OriginalData[[#This Row],[Purchase_Amount]]</f>
        <v>82.13</v>
      </c>
      <c r="AR710">
        <f>tbl_OriginalData[[#This Row],[Frequency_of_Purchase]]</f>
        <v>9</v>
      </c>
      <c r="AS710" t="str">
        <f>tbl_OriginalData[[#This Row],[Purchase_Channel]]</f>
        <v>Online</v>
      </c>
      <c r="AT710">
        <f>tbl_OriginalData[[#This Row],[Brand_Loyalty]]</f>
        <v>5</v>
      </c>
      <c r="AU710">
        <f>tbl_OriginalData[[#This Row],[Product_Rating]]</f>
        <v>1</v>
      </c>
      <c r="AV710">
        <f>tbl_OriginalData[[#This Row],[Time_Spent_on_Product_Research(hours)]]*60</f>
        <v>0</v>
      </c>
      <c r="AW710" t="str">
        <f>tbl_OriginalData[[#This Row],[Social_Media_Influence]]</f>
        <v>Medium</v>
      </c>
      <c r="AX710" t="str">
        <f>tbl_OriginalData[[#This Row],[Discount_Sensitivity]]</f>
        <v>Somewhat Sensitive</v>
      </c>
      <c r="AY710" s="3">
        <f>tbl_OriginalData[[#This Row],[Return_Rate]]/tbl_OriginalData[[#This Row],[Frequency_of_Purchase]]</f>
        <v>0.22222222222222221</v>
      </c>
      <c r="AZ710">
        <f>tbl_OriginalData[[#This Row],[Customer_Satisfaction]]</f>
        <v>6</v>
      </c>
      <c r="BA710" t="str">
        <f>tbl_OriginalData[[#This Row],[Engagement_with_Ads]]</f>
        <v>High</v>
      </c>
      <c r="BB710" t="str">
        <f>tbl_OriginalData[[#This Row],[Device_Used_for_Shopping]]</f>
        <v>Tablet</v>
      </c>
      <c r="BC710" t="str">
        <f>tbl_OriginalData[[#This Row],[Payment_Method]]</f>
        <v>Debit Card</v>
      </c>
      <c r="BD710" s="1">
        <f>tbl_OriginalData[[#This Row],[Time_of_Purchase]]</f>
        <v>45391</v>
      </c>
      <c r="BE710" t="str">
        <f>IF(tbl_OriginalData[[#This Row],[Discount_Used]]=TRUE,"Yes","No")</f>
        <v>Yes</v>
      </c>
      <c r="BF710" t="str">
        <f>IF(tbl_OriginalData[[#This Row],[Customer_Loyalty_Program_Member]]=TRUE,"Yes","No")</f>
        <v>Yes</v>
      </c>
      <c r="BG710" t="str">
        <f>tbl_OriginalData[[#This Row],[Purchase_Intent]]</f>
        <v>Need-based</v>
      </c>
      <c r="BH710" t="str">
        <f>tbl_OriginalData[[#This Row],[Shipping_Preference]]</f>
        <v>Express</v>
      </c>
      <c r="BI710">
        <f>tbl_OriginalData[[#This Row],[Time_to_Decision]]</f>
        <v>6</v>
      </c>
      <c r="BJ710" t="s">
        <v>62</v>
      </c>
      <c r="BK710" t="s">
        <v>63</v>
      </c>
      <c r="BL710" t="s">
        <v>2524</v>
      </c>
    </row>
    <row r="711" spans="1:64">
      <c r="A711" t="s">
        <v>1645</v>
      </c>
      <c r="B711">
        <v>49</v>
      </c>
      <c r="C711" t="s">
        <v>50</v>
      </c>
      <c r="D711" t="s">
        <v>34</v>
      </c>
      <c r="E711" t="s">
        <v>92</v>
      </c>
      <c r="F711" t="s">
        <v>36</v>
      </c>
      <c r="G711" t="s">
        <v>51</v>
      </c>
      <c r="H711" t="s">
        <v>1646</v>
      </c>
      <c r="I711" t="s">
        <v>108</v>
      </c>
      <c r="J711">
        <v>425.18</v>
      </c>
      <c r="K711">
        <v>4</v>
      </c>
      <c r="L711" t="s">
        <v>39</v>
      </c>
      <c r="M711">
        <v>2</v>
      </c>
      <c r="N711">
        <v>1</v>
      </c>
      <c r="O711">
        <v>0</v>
      </c>
      <c r="P711" t="s">
        <v>56</v>
      </c>
      <c r="Q711" t="s">
        <v>101</v>
      </c>
      <c r="R711">
        <v>1</v>
      </c>
      <c r="S711">
        <v>8</v>
      </c>
      <c r="T711" t="s">
        <v>56</v>
      </c>
      <c r="U711" t="s">
        <v>42</v>
      </c>
      <c r="V711" t="s">
        <v>58</v>
      </c>
      <c r="W711" s="1">
        <v>45370</v>
      </c>
      <c r="X711" t="b">
        <v>1</v>
      </c>
      <c r="Y711" t="b">
        <v>0</v>
      </c>
      <c r="Z711" t="s">
        <v>59</v>
      </c>
      <c r="AA711" t="s">
        <v>60</v>
      </c>
      <c r="AB711">
        <v>10</v>
      </c>
      <c r="AF711" t="str">
        <f>tbl_OriginalData[[#This Row],[Customer_ID]]</f>
        <v>03-422-8710</v>
      </c>
      <c r="AG711">
        <f>tbl_OriginalData[[#This Row],[Age]]</f>
        <v>49</v>
      </c>
      <c r="AH711" t="str" cm="1">
        <f t="array" ref="AH71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11" t="str">
        <f>tbl_OriginalData[[#This Row],[Gender]]</f>
        <v>Male</v>
      </c>
      <c r="AJ711" t="str">
        <f>tbl_OriginalData[[#This Row],[Income_Level]]</f>
        <v>Middle</v>
      </c>
      <c r="AK711" t="str">
        <f>tbl_OriginalData[[#This Row],[Marital_Status]]</f>
        <v>Divorced</v>
      </c>
      <c r="AL711" t="str">
        <f>tbl_OriginalData[[#This Row],[Education_Level]]</f>
        <v>Bachelor's</v>
      </c>
      <c r="AM711" t="str">
        <f>tbl_OriginalData[[#This Row],[Occupation]]</f>
        <v>High</v>
      </c>
      <c r="AN711" t="s">
        <v>1646</v>
      </c>
      <c r="AO711" t="s">
        <v>61</v>
      </c>
      <c r="AP711" t="str">
        <f>tbl_OriginalData[[#This Row],[Purchase_Category]]</f>
        <v>Sports &amp; Outdoors</v>
      </c>
      <c r="AQ711" s="4">
        <f>tbl_OriginalData[[#This Row],[Purchase_Amount]]</f>
        <v>425.18</v>
      </c>
      <c r="AR711">
        <f>tbl_OriginalData[[#This Row],[Frequency_of_Purchase]]</f>
        <v>4</v>
      </c>
      <c r="AS711" t="str">
        <f>tbl_OriginalData[[#This Row],[Purchase_Channel]]</f>
        <v>Mixed</v>
      </c>
      <c r="AT711">
        <f>tbl_OriginalData[[#This Row],[Brand_Loyalty]]</f>
        <v>2</v>
      </c>
      <c r="AU711">
        <f>tbl_OriginalData[[#This Row],[Product_Rating]]</f>
        <v>1</v>
      </c>
      <c r="AV711">
        <f>tbl_OriginalData[[#This Row],[Time_Spent_on_Product_Research(hours)]]*60</f>
        <v>0</v>
      </c>
      <c r="AW711" t="str">
        <f>tbl_OriginalData[[#This Row],[Social_Media_Influence]]</f>
        <v>Medium</v>
      </c>
      <c r="AX711" t="str">
        <f>tbl_OriginalData[[#This Row],[Discount_Sensitivity]]</f>
        <v>Very Sensitive</v>
      </c>
      <c r="AY711" s="3">
        <f>tbl_OriginalData[[#This Row],[Return_Rate]]/tbl_OriginalData[[#This Row],[Frequency_of_Purchase]]</f>
        <v>0.25</v>
      </c>
      <c r="AZ711">
        <f>tbl_OriginalData[[#This Row],[Customer_Satisfaction]]</f>
        <v>8</v>
      </c>
      <c r="BA711" t="str">
        <f>tbl_OriginalData[[#This Row],[Engagement_with_Ads]]</f>
        <v>Medium</v>
      </c>
      <c r="BB711" t="str">
        <f>tbl_OriginalData[[#This Row],[Device_Used_for_Shopping]]</f>
        <v>Tablet</v>
      </c>
      <c r="BC711" t="str">
        <f>tbl_OriginalData[[#This Row],[Payment_Method]]</f>
        <v>PayPal</v>
      </c>
      <c r="BD711" s="1">
        <f>tbl_OriginalData[[#This Row],[Time_of_Purchase]]</f>
        <v>45370</v>
      </c>
      <c r="BE711" t="str">
        <f>IF(tbl_OriginalData[[#This Row],[Discount_Used]]=TRUE,"Yes","No")</f>
        <v>Yes</v>
      </c>
      <c r="BF711" t="str">
        <f>IF(tbl_OriginalData[[#This Row],[Customer_Loyalty_Program_Member]]=TRUE,"Yes","No")</f>
        <v>No</v>
      </c>
      <c r="BG711" t="str">
        <f>tbl_OriginalData[[#This Row],[Purchase_Intent]]</f>
        <v>Wants-based</v>
      </c>
      <c r="BH711" t="str">
        <f>tbl_OriginalData[[#This Row],[Shipping_Preference]]</f>
        <v>Standard</v>
      </c>
      <c r="BI711">
        <f>tbl_OriginalData[[#This Row],[Time_to_Decision]]</f>
        <v>10</v>
      </c>
      <c r="BJ711" t="s">
        <v>47</v>
      </c>
      <c r="BK711" t="s">
        <v>48</v>
      </c>
      <c r="BL711" t="s">
        <v>2524</v>
      </c>
    </row>
    <row r="712" spans="1:64">
      <c r="A712" t="s">
        <v>1647</v>
      </c>
      <c r="B712">
        <v>39</v>
      </c>
      <c r="C712" t="s">
        <v>50</v>
      </c>
      <c r="D712" t="s">
        <v>51</v>
      </c>
      <c r="E712" t="s">
        <v>35</v>
      </c>
      <c r="F712" t="s">
        <v>66</v>
      </c>
      <c r="G712" t="s">
        <v>34</v>
      </c>
      <c r="H712" t="s">
        <v>1648</v>
      </c>
      <c r="I712" t="s">
        <v>170</v>
      </c>
      <c r="J712">
        <v>176.12</v>
      </c>
      <c r="K712">
        <v>8</v>
      </c>
      <c r="L712" t="s">
        <v>94</v>
      </c>
      <c r="M712">
        <v>2</v>
      </c>
      <c r="N712">
        <v>3</v>
      </c>
      <c r="O712">
        <v>1.2</v>
      </c>
      <c r="P712" t="s">
        <v>56</v>
      </c>
      <c r="Q712" t="s">
        <v>41</v>
      </c>
      <c r="R712">
        <v>1</v>
      </c>
      <c r="S712">
        <v>10</v>
      </c>
      <c r="T712" t="s">
        <v>69</v>
      </c>
      <c r="U712" t="s">
        <v>95</v>
      </c>
      <c r="V712" t="s">
        <v>43</v>
      </c>
      <c r="W712" s="1">
        <v>45458</v>
      </c>
      <c r="X712" t="b">
        <v>1</v>
      </c>
      <c r="Y712" t="b">
        <v>1</v>
      </c>
      <c r="Z712" t="s">
        <v>72</v>
      </c>
      <c r="AA712" t="s">
        <v>60</v>
      </c>
      <c r="AB712">
        <v>14</v>
      </c>
      <c r="AF712" t="str">
        <f>tbl_OriginalData[[#This Row],[Customer_ID]]</f>
        <v>39-731-8532</v>
      </c>
      <c r="AG712">
        <f>tbl_OriginalData[[#This Row],[Age]]</f>
        <v>39</v>
      </c>
      <c r="AH712" t="str" cm="1">
        <f t="array" ref="AH71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12" t="str">
        <f>tbl_OriginalData[[#This Row],[Gender]]</f>
        <v>Male</v>
      </c>
      <c r="AJ712" t="str">
        <f>tbl_OriginalData[[#This Row],[Income_Level]]</f>
        <v>High</v>
      </c>
      <c r="AK712" t="str">
        <f>tbl_OriginalData[[#This Row],[Marital_Status]]</f>
        <v>Married</v>
      </c>
      <c r="AL712" t="str">
        <f>tbl_OriginalData[[#This Row],[Education_Level]]</f>
        <v>Master's</v>
      </c>
      <c r="AM712" t="str">
        <f>tbl_OriginalData[[#This Row],[Occupation]]</f>
        <v>Middle</v>
      </c>
      <c r="AN712" t="s">
        <v>1648</v>
      </c>
      <c r="AO712" t="s">
        <v>582</v>
      </c>
      <c r="AP712" t="str">
        <f>tbl_OriginalData[[#This Row],[Purchase_Category]]</f>
        <v>Arts &amp; Crafts</v>
      </c>
      <c r="AQ712" s="4">
        <f>tbl_OriginalData[[#This Row],[Purchase_Amount]]</f>
        <v>176.12</v>
      </c>
      <c r="AR712">
        <f>tbl_OriginalData[[#This Row],[Frequency_of_Purchase]]</f>
        <v>8</v>
      </c>
      <c r="AS712" t="str">
        <f>tbl_OriginalData[[#This Row],[Purchase_Channel]]</f>
        <v>Online</v>
      </c>
      <c r="AT712">
        <f>tbl_OriginalData[[#This Row],[Brand_Loyalty]]</f>
        <v>2</v>
      </c>
      <c r="AU712">
        <f>tbl_OriginalData[[#This Row],[Product_Rating]]</f>
        <v>3</v>
      </c>
      <c r="AV712">
        <f>tbl_OriginalData[[#This Row],[Time_Spent_on_Product_Research(hours)]]*60</f>
        <v>72</v>
      </c>
      <c r="AW712" t="str">
        <f>tbl_OriginalData[[#This Row],[Social_Media_Influence]]</f>
        <v>Medium</v>
      </c>
      <c r="AX712" t="str">
        <f>tbl_OriginalData[[#This Row],[Discount_Sensitivity]]</f>
        <v>Somewhat Sensitive</v>
      </c>
      <c r="AY712" s="3">
        <f>tbl_OriginalData[[#This Row],[Return_Rate]]/tbl_OriginalData[[#This Row],[Frequency_of_Purchase]]</f>
        <v>0.125</v>
      </c>
      <c r="AZ712">
        <f>tbl_OriginalData[[#This Row],[Customer_Satisfaction]]</f>
        <v>10</v>
      </c>
      <c r="BA712" t="str">
        <f>tbl_OriginalData[[#This Row],[Engagement_with_Ads]]</f>
        <v>Low</v>
      </c>
      <c r="BB712" t="str">
        <f>tbl_OriginalData[[#This Row],[Device_Used_for_Shopping]]</f>
        <v>Desktop</v>
      </c>
      <c r="BC712" t="str">
        <f>tbl_OriginalData[[#This Row],[Payment_Method]]</f>
        <v>Credit Card</v>
      </c>
      <c r="BD712" s="1">
        <f>tbl_OriginalData[[#This Row],[Time_of_Purchase]]</f>
        <v>45458</v>
      </c>
      <c r="BE712" t="str">
        <f>IF(tbl_OriginalData[[#This Row],[Discount_Used]]=TRUE,"Yes","No")</f>
        <v>Yes</v>
      </c>
      <c r="BF712" t="str">
        <f>IF(tbl_OriginalData[[#This Row],[Customer_Loyalty_Program_Member]]=TRUE,"Yes","No")</f>
        <v>Yes</v>
      </c>
      <c r="BG712" t="str">
        <f>tbl_OriginalData[[#This Row],[Purchase_Intent]]</f>
        <v>Impulsive</v>
      </c>
      <c r="BH712" t="str">
        <f>tbl_OriginalData[[#This Row],[Shipping_Preference]]</f>
        <v>Standard</v>
      </c>
      <c r="BI712">
        <f>tbl_OriginalData[[#This Row],[Time_to_Decision]]</f>
        <v>14</v>
      </c>
      <c r="BJ712" t="s">
        <v>104</v>
      </c>
      <c r="BK712" t="s">
        <v>63</v>
      </c>
      <c r="BL712" t="s">
        <v>2525</v>
      </c>
    </row>
    <row r="713" spans="1:64">
      <c r="A713" t="s">
        <v>1649</v>
      </c>
      <c r="B713">
        <v>47</v>
      </c>
      <c r="C713" t="s">
        <v>33</v>
      </c>
      <c r="D713" t="s">
        <v>51</v>
      </c>
      <c r="E713" t="s">
        <v>65</v>
      </c>
      <c r="F713" t="s">
        <v>52</v>
      </c>
      <c r="G713" t="s">
        <v>34</v>
      </c>
      <c r="H713" t="s">
        <v>1650</v>
      </c>
      <c r="I713" t="s">
        <v>306</v>
      </c>
      <c r="J713">
        <v>70.3</v>
      </c>
      <c r="K713">
        <v>6</v>
      </c>
      <c r="L713" t="s">
        <v>94</v>
      </c>
      <c r="M713">
        <v>3</v>
      </c>
      <c r="N713">
        <v>5</v>
      </c>
      <c r="O713">
        <v>0</v>
      </c>
      <c r="P713" t="s">
        <v>40</v>
      </c>
      <c r="Q713" t="s">
        <v>101</v>
      </c>
      <c r="R713">
        <v>1</v>
      </c>
      <c r="S713">
        <v>8</v>
      </c>
      <c r="T713" t="s">
        <v>56</v>
      </c>
      <c r="U713" t="s">
        <v>95</v>
      </c>
      <c r="V713" t="s">
        <v>102</v>
      </c>
      <c r="W713" s="1">
        <v>45354</v>
      </c>
      <c r="X713" t="b">
        <v>1</v>
      </c>
      <c r="Y713" t="b">
        <v>1</v>
      </c>
      <c r="Z713" t="s">
        <v>44</v>
      </c>
      <c r="AA713" t="s">
        <v>60</v>
      </c>
      <c r="AB713">
        <v>3</v>
      </c>
      <c r="AF713" t="str">
        <f>tbl_OriginalData[[#This Row],[Customer_ID]]</f>
        <v>80-830-3184</v>
      </c>
      <c r="AG713">
        <f>tbl_OriginalData[[#This Row],[Age]]</f>
        <v>47</v>
      </c>
      <c r="AH713" t="str" cm="1">
        <f t="array" ref="AH71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13" t="str">
        <f>tbl_OriginalData[[#This Row],[Gender]]</f>
        <v>Female</v>
      </c>
      <c r="AJ713" t="str">
        <f>tbl_OriginalData[[#This Row],[Income_Level]]</f>
        <v>High</v>
      </c>
      <c r="AK713" t="str">
        <f>tbl_OriginalData[[#This Row],[Marital_Status]]</f>
        <v>Single</v>
      </c>
      <c r="AL713" t="str">
        <f>tbl_OriginalData[[#This Row],[Education_Level]]</f>
        <v>High School</v>
      </c>
      <c r="AM713" t="str">
        <f>tbl_OriginalData[[#This Row],[Occupation]]</f>
        <v>Middle</v>
      </c>
      <c r="AN713" t="s">
        <v>1650</v>
      </c>
      <c r="AO713" t="s">
        <v>46</v>
      </c>
      <c r="AP713" t="str">
        <f>tbl_OriginalData[[#This Row],[Purchase_Category]]</f>
        <v>Jewelry &amp; Accessories</v>
      </c>
      <c r="AQ713" s="4">
        <f>tbl_OriginalData[[#This Row],[Purchase_Amount]]</f>
        <v>70.3</v>
      </c>
      <c r="AR713">
        <f>tbl_OriginalData[[#This Row],[Frequency_of_Purchase]]</f>
        <v>6</v>
      </c>
      <c r="AS713" t="str">
        <f>tbl_OriginalData[[#This Row],[Purchase_Channel]]</f>
        <v>Online</v>
      </c>
      <c r="AT713">
        <f>tbl_OriginalData[[#This Row],[Brand_Loyalty]]</f>
        <v>3</v>
      </c>
      <c r="AU713">
        <f>tbl_OriginalData[[#This Row],[Product_Rating]]</f>
        <v>5</v>
      </c>
      <c r="AV713">
        <f>tbl_OriginalData[[#This Row],[Time_Spent_on_Product_Research(hours)]]*60</f>
        <v>0</v>
      </c>
      <c r="AW713" t="str">
        <f>tbl_OriginalData[[#This Row],[Social_Media_Influence]]</f>
        <v>None</v>
      </c>
      <c r="AX713" t="str">
        <f>tbl_OriginalData[[#This Row],[Discount_Sensitivity]]</f>
        <v>Very Sensitive</v>
      </c>
      <c r="AY713" s="3">
        <f>tbl_OriginalData[[#This Row],[Return_Rate]]/tbl_OriginalData[[#This Row],[Frequency_of_Purchase]]</f>
        <v>0.16666666666666666</v>
      </c>
      <c r="AZ713">
        <f>tbl_OriginalData[[#This Row],[Customer_Satisfaction]]</f>
        <v>8</v>
      </c>
      <c r="BA713" t="str">
        <f>tbl_OriginalData[[#This Row],[Engagement_with_Ads]]</f>
        <v>Medium</v>
      </c>
      <c r="BB713" t="str">
        <f>tbl_OriginalData[[#This Row],[Device_Used_for_Shopping]]</f>
        <v>Desktop</v>
      </c>
      <c r="BC713" t="str">
        <f>tbl_OriginalData[[#This Row],[Payment_Method]]</f>
        <v>Cash</v>
      </c>
      <c r="BD713" s="1">
        <f>tbl_OriginalData[[#This Row],[Time_of_Purchase]]</f>
        <v>45354</v>
      </c>
      <c r="BE713" t="str">
        <f>IF(tbl_OriginalData[[#This Row],[Discount_Used]]=TRUE,"Yes","No")</f>
        <v>Yes</v>
      </c>
      <c r="BF713" t="str">
        <f>IF(tbl_OriginalData[[#This Row],[Customer_Loyalty_Program_Member]]=TRUE,"Yes","No")</f>
        <v>Yes</v>
      </c>
      <c r="BG713" t="str">
        <f>tbl_OriginalData[[#This Row],[Purchase_Intent]]</f>
        <v>Need-based</v>
      </c>
      <c r="BH713" t="str">
        <f>tbl_OriginalData[[#This Row],[Shipping_Preference]]</f>
        <v>Standard</v>
      </c>
      <c r="BI713">
        <f>tbl_OriginalData[[#This Row],[Time_to_Decision]]</f>
        <v>3</v>
      </c>
      <c r="BJ713" t="s">
        <v>47</v>
      </c>
      <c r="BK713" t="s">
        <v>48</v>
      </c>
      <c r="BL713" t="s">
        <v>2523</v>
      </c>
    </row>
    <row r="714" spans="1:64">
      <c r="A714" t="s">
        <v>1651</v>
      </c>
      <c r="B714">
        <v>43</v>
      </c>
      <c r="C714" t="s">
        <v>50</v>
      </c>
      <c r="D714" t="s">
        <v>34</v>
      </c>
      <c r="E714" t="s">
        <v>35</v>
      </c>
      <c r="F714" t="s">
        <v>36</v>
      </c>
      <c r="G714" t="s">
        <v>34</v>
      </c>
      <c r="H714" t="s">
        <v>1652</v>
      </c>
      <c r="I714" t="s">
        <v>123</v>
      </c>
      <c r="J714">
        <v>319.39</v>
      </c>
      <c r="K714">
        <v>7</v>
      </c>
      <c r="L714" t="s">
        <v>39</v>
      </c>
      <c r="M714">
        <v>4</v>
      </c>
      <c r="N714">
        <v>5</v>
      </c>
      <c r="O714">
        <v>0</v>
      </c>
      <c r="P714" t="s">
        <v>40</v>
      </c>
      <c r="Q714" t="s">
        <v>101</v>
      </c>
      <c r="R714">
        <v>1</v>
      </c>
      <c r="S714">
        <v>10</v>
      </c>
      <c r="T714" t="s">
        <v>51</v>
      </c>
      <c r="U714" t="s">
        <v>95</v>
      </c>
      <c r="V714" t="s">
        <v>43</v>
      </c>
      <c r="W714" s="1">
        <v>45613</v>
      </c>
      <c r="X714" t="b">
        <v>0</v>
      </c>
      <c r="Y714" t="b">
        <v>1</v>
      </c>
      <c r="Z714" t="s">
        <v>89</v>
      </c>
      <c r="AA714" t="s">
        <v>60</v>
      </c>
      <c r="AB714">
        <v>3</v>
      </c>
      <c r="AF714" t="str">
        <f>tbl_OriginalData[[#This Row],[Customer_ID]]</f>
        <v>97-505-8416</v>
      </c>
      <c r="AG714">
        <f>tbl_OriginalData[[#This Row],[Age]]</f>
        <v>43</v>
      </c>
      <c r="AH714" t="str" cm="1">
        <f t="array" ref="AH71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14" t="str">
        <f>tbl_OriginalData[[#This Row],[Gender]]</f>
        <v>Male</v>
      </c>
      <c r="AJ714" t="str">
        <f>tbl_OriginalData[[#This Row],[Income_Level]]</f>
        <v>Middle</v>
      </c>
      <c r="AK714" t="str">
        <f>tbl_OriginalData[[#This Row],[Marital_Status]]</f>
        <v>Married</v>
      </c>
      <c r="AL714" t="str">
        <f>tbl_OriginalData[[#This Row],[Education_Level]]</f>
        <v>Bachelor's</v>
      </c>
      <c r="AM714" t="str">
        <f>tbl_OriginalData[[#This Row],[Occupation]]</f>
        <v>Middle</v>
      </c>
      <c r="AN714" t="s">
        <v>1652</v>
      </c>
      <c r="AO714" t="s">
        <v>469</v>
      </c>
      <c r="AP714" t="str">
        <f>tbl_OriginalData[[#This Row],[Purchase_Category]]</f>
        <v>Luxury Goods</v>
      </c>
      <c r="AQ714" s="4">
        <f>tbl_OriginalData[[#This Row],[Purchase_Amount]]</f>
        <v>319.39</v>
      </c>
      <c r="AR714">
        <f>tbl_OriginalData[[#This Row],[Frequency_of_Purchase]]</f>
        <v>7</v>
      </c>
      <c r="AS714" t="str">
        <f>tbl_OriginalData[[#This Row],[Purchase_Channel]]</f>
        <v>Mixed</v>
      </c>
      <c r="AT714">
        <f>tbl_OriginalData[[#This Row],[Brand_Loyalty]]</f>
        <v>4</v>
      </c>
      <c r="AU714">
        <f>tbl_OriginalData[[#This Row],[Product_Rating]]</f>
        <v>5</v>
      </c>
      <c r="AV714">
        <f>tbl_OriginalData[[#This Row],[Time_Spent_on_Product_Research(hours)]]*60</f>
        <v>0</v>
      </c>
      <c r="AW714" t="str">
        <f>tbl_OriginalData[[#This Row],[Social_Media_Influence]]</f>
        <v>None</v>
      </c>
      <c r="AX714" t="str">
        <f>tbl_OriginalData[[#This Row],[Discount_Sensitivity]]</f>
        <v>Very Sensitive</v>
      </c>
      <c r="AY714" s="3">
        <f>tbl_OriginalData[[#This Row],[Return_Rate]]/tbl_OriginalData[[#This Row],[Frequency_of_Purchase]]</f>
        <v>0.14285714285714285</v>
      </c>
      <c r="AZ714">
        <f>tbl_OriginalData[[#This Row],[Customer_Satisfaction]]</f>
        <v>10</v>
      </c>
      <c r="BA714" t="str">
        <f>tbl_OriginalData[[#This Row],[Engagement_with_Ads]]</f>
        <v>High</v>
      </c>
      <c r="BB714" t="str">
        <f>tbl_OriginalData[[#This Row],[Device_Used_for_Shopping]]</f>
        <v>Desktop</v>
      </c>
      <c r="BC714" t="str">
        <f>tbl_OriginalData[[#This Row],[Payment_Method]]</f>
        <v>Credit Card</v>
      </c>
      <c r="BD714" s="1">
        <f>tbl_OriginalData[[#This Row],[Time_of_Purchase]]</f>
        <v>45613</v>
      </c>
      <c r="BE714" t="str">
        <f>IF(tbl_OriginalData[[#This Row],[Discount_Used]]=TRUE,"Yes","No")</f>
        <v>No</v>
      </c>
      <c r="BF714" t="str">
        <f>IF(tbl_OriginalData[[#This Row],[Customer_Loyalty_Program_Member]]=TRUE,"Yes","No")</f>
        <v>Yes</v>
      </c>
      <c r="BG714" t="str">
        <f>tbl_OriginalData[[#This Row],[Purchase_Intent]]</f>
        <v>Planned</v>
      </c>
      <c r="BH714" t="str">
        <f>tbl_OriginalData[[#This Row],[Shipping_Preference]]</f>
        <v>Standard</v>
      </c>
      <c r="BI714">
        <f>tbl_OriginalData[[#This Row],[Time_to_Decision]]</f>
        <v>3</v>
      </c>
      <c r="BJ714" t="s">
        <v>177</v>
      </c>
      <c r="BK714" t="s">
        <v>80</v>
      </c>
      <c r="BL714" t="s">
        <v>2527</v>
      </c>
    </row>
    <row r="715" spans="1:64">
      <c r="A715" t="s">
        <v>1653</v>
      </c>
      <c r="B715">
        <v>38</v>
      </c>
      <c r="C715" t="s">
        <v>33</v>
      </c>
      <c r="D715" t="s">
        <v>51</v>
      </c>
      <c r="E715" t="s">
        <v>82</v>
      </c>
      <c r="F715" t="s">
        <v>52</v>
      </c>
      <c r="G715" t="s">
        <v>51</v>
      </c>
      <c r="H715" t="s">
        <v>1654</v>
      </c>
      <c r="I715" t="s">
        <v>75</v>
      </c>
      <c r="J715">
        <v>113.51</v>
      </c>
      <c r="K715">
        <v>11</v>
      </c>
      <c r="L715" t="s">
        <v>39</v>
      </c>
      <c r="M715">
        <v>4</v>
      </c>
      <c r="N715">
        <v>1</v>
      </c>
      <c r="O715">
        <v>1</v>
      </c>
      <c r="P715" t="s">
        <v>51</v>
      </c>
      <c r="Q715" t="s">
        <v>57</v>
      </c>
      <c r="R715">
        <v>2</v>
      </c>
      <c r="S715">
        <v>2</v>
      </c>
      <c r="T715" t="s">
        <v>69</v>
      </c>
      <c r="U715" t="s">
        <v>95</v>
      </c>
      <c r="V715" t="s">
        <v>43</v>
      </c>
      <c r="W715" s="1">
        <v>45336</v>
      </c>
      <c r="X715" t="b">
        <v>1</v>
      </c>
      <c r="Y715" t="b">
        <v>1</v>
      </c>
      <c r="Z715" t="s">
        <v>89</v>
      </c>
      <c r="AA715" t="s">
        <v>77</v>
      </c>
      <c r="AB715">
        <v>8</v>
      </c>
      <c r="AF715" t="str">
        <f>tbl_OriginalData[[#This Row],[Customer_ID]]</f>
        <v>98-585-4742</v>
      </c>
      <c r="AG715">
        <f>tbl_OriginalData[[#This Row],[Age]]</f>
        <v>38</v>
      </c>
      <c r="AH715" t="str" cm="1">
        <f t="array" ref="AH71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15" t="str">
        <f>tbl_OriginalData[[#This Row],[Gender]]</f>
        <v>Female</v>
      </c>
      <c r="AJ715" t="str">
        <f>tbl_OriginalData[[#This Row],[Income_Level]]</f>
        <v>High</v>
      </c>
      <c r="AK715" t="str">
        <f>tbl_OriginalData[[#This Row],[Marital_Status]]</f>
        <v>Widowed</v>
      </c>
      <c r="AL715" t="str">
        <f>tbl_OriginalData[[#This Row],[Education_Level]]</f>
        <v>High School</v>
      </c>
      <c r="AM715" t="str">
        <f>tbl_OriginalData[[#This Row],[Occupation]]</f>
        <v>High</v>
      </c>
      <c r="AN715" t="s">
        <v>1654</v>
      </c>
      <c r="AO715" t="s">
        <v>232</v>
      </c>
      <c r="AP715" t="str">
        <f>tbl_OriginalData[[#This Row],[Purchase_Category]]</f>
        <v>Home Appliances</v>
      </c>
      <c r="AQ715" s="4">
        <f>tbl_OriginalData[[#This Row],[Purchase_Amount]]</f>
        <v>113.51</v>
      </c>
      <c r="AR715">
        <f>tbl_OriginalData[[#This Row],[Frequency_of_Purchase]]</f>
        <v>11</v>
      </c>
      <c r="AS715" t="str">
        <f>tbl_OriginalData[[#This Row],[Purchase_Channel]]</f>
        <v>Mixed</v>
      </c>
      <c r="AT715">
        <f>tbl_OriginalData[[#This Row],[Brand_Loyalty]]</f>
        <v>4</v>
      </c>
      <c r="AU715">
        <f>tbl_OriginalData[[#This Row],[Product_Rating]]</f>
        <v>1</v>
      </c>
      <c r="AV715">
        <f>tbl_OriginalData[[#This Row],[Time_Spent_on_Product_Research(hours)]]*60</f>
        <v>60</v>
      </c>
      <c r="AW715" t="str">
        <f>tbl_OriginalData[[#This Row],[Social_Media_Influence]]</f>
        <v>High</v>
      </c>
      <c r="AX715" t="str">
        <f>tbl_OriginalData[[#This Row],[Discount_Sensitivity]]</f>
        <v>Not Sensitive</v>
      </c>
      <c r="AY715" s="3">
        <f>tbl_OriginalData[[#This Row],[Return_Rate]]/tbl_OriginalData[[#This Row],[Frequency_of_Purchase]]</f>
        <v>0.18181818181818182</v>
      </c>
      <c r="AZ715">
        <f>tbl_OriginalData[[#This Row],[Customer_Satisfaction]]</f>
        <v>2</v>
      </c>
      <c r="BA715" t="str">
        <f>tbl_OriginalData[[#This Row],[Engagement_with_Ads]]</f>
        <v>Low</v>
      </c>
      <c r="BB715" t="str">
        <f>tbl_OriginalData[[#This Row],[Device_Used_for_Shopping]]</f>
        <v>Desktop</v>
      </c>
      <c r="BC715" t="str">
        <f>tbl_OriginalData[[#This Row],[Payment_Method]]</f>
        <v>Credit Card</v>
      </c>
      <c r="BD715" s="1">
        <f>tbl_OriginalData[[#This Row],[Time_of_Purchase]]</f>
        <v>45336</v>
      </c>
      <c r="BE715" t="str">
        <f>IF(tbl_OriginalData[[#This Row],[Discount_Used]]=TRUE,"Yes","No")</f>
        <v>Yes</v>
      </c>
      <c r="BF715" t="str">
        <f>IF(tbl_OriginalData[[#This Row],[Customer_Loyalty_Program_Member]]=TRUE,"Yes","No")</f>
        <v>Yes</v>
      </c>
      <c r="BG715" t="str">
        <f>tbl_OriginalData[[#This Row],[Purchase_Intent]]</f>
        <v>Planned</v>
      </c>
      <c r="BH715" t="str">
        <f>tbl_OriginalData[[#This Row],[Shipping_Preference]]</f>
        <v>Express</v>
      </c>
      <c r="BI715">
        <f>tbl_OriginalData[[#This Row],[Time_to_Decision]]</f>
        <v>8</v>
      </c>
      <c r="BJ715" t="s">
        <v>158</v>
      </c>
      <c r="BK715" t="s">
        <v>48</v>
      </c>
      <c r="BL715" t="s">
        <v>2523</v>
      </c>
    </row>
    <row r="716" spans="1:64">
      <c r="A716" t="s">
        <v>1655</v>
      </c>
      <c r="B716">
        <v>40</v>
      </c>
      <c r="C716" t="s">
        <v>33</v>
      </c>
      <c r="D716" t="s">
        <v>51</v>
      </c>
      <c r="E716" t="s">
        <v>65</v>
      </c>
      <c r="F716" t="s">
        <v>36</v>
      </c>
      <c r="G716" t="s">
        <v>34</v>
      </c>
      <c r="H716" t="s">
        <v>1656</v>
      </c>
      <c r="I716" t="s">
        <v>127</v>
      </c>
      <c r="J716">
        <v>492.74</v>
      </c>
      <c r="K716">
        <v>2</v>
      </c>
      <c r="L716" t="s">
        <v>39</v>
      </c>
      <c r="M716">
        <v>1</v>
      </c>
      <c r="N716">
        <v>5</v>
      </c>
      <c r="O716">
        <v>2</v>
      </c>
      <c r="P716" t="s">
        <v>69</v>
      </c>
      <c r="Q716" t="s">
        <v>101</v>
      </c>
      <c r="R716">
        <v>1</v>
      </c>
      <c r="S716">
        <v>3</v>
      </c>
      <c r="T716" t="s">
        <v>51</v>
      </c>
      <c r="U716" t="s">
        <v>42</v>
      </c>
      <c r="V716" t="s">
        <v>76</v>
      </c>
      <c r="W716" s="1">
        <v>45351</v>
      </c>
      <c r="X716" t="b">
        <v>1</v>
      </c>
      <c r="Y716" t="b">
        <v>0</v>
      </c>
      <c r="Z716" t="s">
        <v>44</v>
      </c>
      <c r="AA716" t="s">
        <v>77</v>
      </c>
      <c r="AB716">
        <v>13</v>
      </c>
      <c r="AF716" t="str">
        <f>tbl_OriginalData[[#This Row],[Customer_ID]]</f>
        <v>51-302-9537</v>
      </c>
      <c r="AG716">
        <f>tbl_OriginalData[[#This Row],[Age]]</f>
        <v>40</v>
      </c>
      <c r="AH716" t="str" cm="1">
        <f t="array" ref="AH71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16" t="str">
        <f>tbl_OriginalData[[#This Row],[Gender]]</f>
        <v>Female</v>
      </c>
      <c r="AJ716" t="str">
        <f>tbl_OriginalData[[#This Row],[Income_Level]]</f>
        <v>High</v>
      </c>
      <c r="AK716" t="str">
        <f>tbl_OriginalData[[#This Row],[Marital_Status]]</f>
        <v>Single</v>
      </c>
      <c r="AL716" t="str">
        <f>tbl_OriginalData[[#This Row],[Education_Level]]</f>
        <v>Bachelor's</v>
      </c>
      <c r="AM716" t="str">
        <f>tbl_OriginalData[[#This Row],[Occupation]]</f>
        <v>Middle</v>
      </c>
      <c r="AN716" t="s">
        <v>1656</v>
      </c>
      <c r="AO716" t="s">
        <v>90</v>
      </c>
      <c r="AP716" t="str">
        <f>tbl_OriginalData[[#This Row],[Purchase_Category]]</f>
        <v>Animal Feed</v>
      </c>
      <c r="AQ716" s="4">
        <f>tbl_OriginalData[[#This Row],[Purchase_Amount]]</f>
        <v>492.74</v>
      </c>
      <c r="AR716">
        <f>tbl_OriginalData[[#This Row],[Frequency_of_Purchase]]</f>
        <v>2</v>
      </c>
      <c r="AS716" t="str">
        <f>tbl_OriginalData[[#This Row],[Purchase_Channel]]</f>
        <v>Mixed</v>
      </c>
      <c r="AT716">
        <f>tbl_OriginalData[[#This Row],[Brand_Loyalty]]</f>
        <v>1</v>
      </c>
      <c r="AU716">
        <f>tbl_OriginalData[[#This Row],[Product_Rating]]</f>
        <v>5</v>
      </c>
      <c r="AV716">
        <f>tbl_OriginalData[[#This Row],[Time_Spent_on_Product_Research(hours)]]*60</f>
        <v>120</v>
      </c>
      <c r="AW716" t="str">
        <f>tbl_OriginalData[[#This Row],[Social_Media_Influence]]</f>
        <v>Low</v>
      </c>
      <c r="AX716" t="str">
        <f>tbl_OriginalData[[#This Row],[Discount_Sensitivity]]</f>
        <v>Very Sensitive</v>
      </c>
      <c r="AY716" s="3">
        <f>tbl_OriginalData[[#This Row],[Return_Rate]]/tbl_OriginalData[[#This Row],[Frequency_of_Purchase]]</f>
        <v>0.5</v>
      </c>
      <c r="AZ716">
        <f>tbl_OriginalData[[#This Row],[Customer_Satisfaction]]</f>
        <v>3</v>
      </c>
      <c r="BA716" t="str">
        <f>tbl_OriginalData[[#This Row],[Engagement_with_Ads]]</f>
        <v>High</v>
      </c>
      <c r="BB716" t="str">
        <f>tbl_OriginalData[[#This Row],[Device_Used_for_Shopping]]</f>
        <v>Tablet</v>
      </c>
      <c r="BC716" t="str">
        <f>tbl_OriginalData[[#This Row],[Payment_Method]]</f>
        <v>Other</v>
      </c>
      <c r="BD716" s="1">
        <f>tbl_OriginalData[[#This Row],[Time_of_Purchase]]</f>
        <v>45351</v>
      </c>
      <c r="BE716" t="str">
        <f>IF(tbl_OriginalData[[#This Row],[Discount_Used]]=TRUE,"Yes","No")</f>
        <v>Yes</v>
      </c>
      <c r="BF716" t="str">
        <f>IF(tbl_OriginalData[[#This Row],[Customer_Loyalty_Program_Member]]=TRUE,"Yes","No")</f>
        <v>No</v>
      </c>
      <c r="BG716" t="str">
        <f>tbl_OriginalData[[#This Row],[Purchase_Intent]]</f>
        <v>Need-based</v>
      </c>
      <c r="BH716" t="str">
        <f>tbl_OriginalData[[#This Row],[Shipping_Preference]]</f>
        <v>Express</v>
      </c>
      <c r="BI716">
        <f>tbl_OriginalData[[#This Row],[Time_to_Decision]]</f>
        <v>13</v>
      </c>
      <c r="BJ716" t="s">
        <v>158</v>
      </c>
      <c r="BK716" t="s">
        <v>48</v>
      </c>
      <c r="BL716" t="s">
        <v>2524</v>
      </c>
    </row>
    <row r="717" spans="1:64">
      <c r="A717" t="s">
        <v>1657</v>
      </c>
      <c r="B717">
        <v>33</v>
      </c>
      <c r="C717" t="s">
        <v>50</v>
      </c>
      <c r="D717" t="s">
        <v>34</v>
      </c>
      <c r="E717" t="s">
        <v>92</v>
      </c>
      <c r="F717" t="s">
        <v>66</v>
      </c>
      <c r="G717" t="s">
        <v>34</v>
      </c>
      <c r="H717" t="s">
        <v>1658</v>
      </c>
      <c r="I717" t="s">
        <v>84</v>
      </c>
      <c r="J717">
        <v>143.80000000000001</v>
      </c>
      <c r="K717">
        <v>9</v>
      </c>
      <c r="L717" t="s">
        <v>55</v>
      </c>
      <c r="M717">
        <v>2</v>
      </c>
      <c r="N717">
        <v>2</v>
      </c>
      <c r="O717">
        <v>2</v>
      </c>
      <c r="P717" t="s">
        <v>69</v>
      </c>
      <c r="Q717" t="s">
        <v>41</v>
      </c>
      <c r="R717">
        <v>0</v>
      </c>
      <c r="S717">
        <v>7</v>
      </c>
      <c r="T717" t="s">
        <v>40</v>
      </c>
      <c r="U717" t="s">
        <v>42</v>
      </c>
      <c r="V717" t="s">
        <v>71</v>
      </c>
      <c r="W717" s="1">
        <v>45344</v>
      </c>
      <c r="X717" t="b">
        <v>1</v>
      </c>
      <c r="Y717" t="b">
        <v>0</v>
      </c>
      <c r="Z717" t="s">
        <v>59</v>
      </c>
      <c r="AA717" t="s">
        <v>45</v>
      </c>
      <c r="AB717">
        <v>11</v>
      </c>
      <c r="AF717" t="str">
        <f>tbl_OriginalData[[#This Row],[Customer_ID]]</f>
        <v>88-313-2633</v>
      </c>
      <c r="AG717">
        <f>tbl_OriginalData[[#This Row],[Age]]</f>
        <v>33</v>
      </c>
      <c r="AH717" t="str" cm="1">
        <f t="array" ref="AH71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17" t="str">
        <f>tbl_OriginalData[[#This Row],[Gender]]</f>
        <v>Male</v>
      </c>
      <c r="AJ717" t="str">
        <f>tbl_OriginalData[[#This Row],[Income_Level]]</f>
        <v>Middle</v>
      </c>
      <c r="AK717" t="str">
        <f>tbl_OriginalData[[#This Row],[Marital_Status]]</f>
        <v>Divorced</v>
      </c>
      <c r="AL717" t="str">
        <f>tbl_OriginalData[[#This Row],[Education_Level]]</f>
        <v>Master's</v>
      </c>
      <c r="AM717" t="str">
        <f>tbl_OriginalData[[#This Row],[Occupation]]</f>
        <v>Middle</v>
      </c>
      <c r="AN717" t="s">
        <v>1658</v>
      </c>
      <c r="AO717" t="s">
        <v>1422</v>
      </c>
      <c r="AP717" t="str">
        <f>tbl_OriginalData[[#This Row],[Purchase_Category]]</f>
        <v>Furniture</v>
      </c>
      <c r="AQ717" s="4">
        <f>tbl_OriginalData[[#This Row],[Purchase_Amount]]</f>
        <v>143.80000000000001</v>
      </c>
      <c r="AR717">
        <f>tbl_OriginalData[[#This Row],[Frequency_of_Purchase]]</f>
        <v>9</v>
      </c>
      <c r="AS717" t="str">
        <f>tbl_OriginalData[[#This Row],[Purchase_Channel]]</f>
        <v>In-Store</v>
      </c>
      <c r="AT717">
        <f>tbl_OriginalData[[#This Row],[Brand_Loyalty]]</f>
        <v>2</v>
      </c>
      <c r="AU717">
        <f>tbl_OriginalData[[#This Row],[Product_Rating]]</f>
        <v>2</v>
      </c>
      <c r="AV717">
        <f>tbl_OriginalData[[#This Row],[Time_Spent_on_Product_Research(hours)]]*60</f>
        <v>120</v>
      </c>
      <c r="AW717" t="str">
        <f>tbl_OriginalData[[#This Row],[Social_Media_Influence]]</f>
        <v>Low</v>
      </c>
      <c r="AX717" t="str">
        <f>tbl_OriginalData[[#This Row],[Discount_Sensitivity]]</f>
        <v>Somewhat Sensitive</v>
      </c>
      <c r="AY717" s="3">
        <f>tbl_OriginalData[[#This Row],[Return_Rate]]/tbl_OriginalData[[#This Row],[Frequency_of_Purchase]]</f>
        <v>0</v>
      </c>
      <c r="AZ717">
        <f>tbl_OriginalData[[#This Row],[Customer_Satisfaction]]</f>
        <v>7</v>
      </c>
      <c r="BA717" t="str">
        <f>tbl_OriginalData[[#This Row],[Engagement_with_Ads]]</f>
        <v>None</v>
      </c>
      <c r="BB717" t="str">
        <f>tbl_OriginalData[[#This Row],[Device_Used_for_Shopping]]</f>
        <v>Tablet</v>
      </c>
      <c r="BC717" t="str">
        <f>tbl_OriginalData[[#This Row],[Payment_Method]]</f>
        <v>Debit Card</v>
      </c>
      <c r="BD717" s="1">
        <f>tbl_OriginalData[[#This Row],[Time_of_Purchase]]</f>
        <v>45344</v>
      </c>
      <c r="BE717" t="str">
        <f>IF(tbl_OriginalData[[#This Row],[Discount_Used]]=TRUE,"Yes","No")</f>
        <v>Yes</v>
      </c>
      <c r="BF717" t="str">
        <f>IF(tbl_OriginalData[[#This Row],[Customer_Loyalty_Program_Member]]=TRUE,"Yes","No")</f>
        <v>No</v>
      </c>
      <c r="BG717" t="str">
        <f>tbl_OriginalData[[#This Row],[Purchase_Intent]]</f>
        <v>Wants-based</v>
      </c>
      <c r="BH717" t="str">
        <f>tbl_OriginalData[[#This Row],[Shipping_Preference]]</f>
        <v>No Preference</v>
      </c>
      <c r="BI717">
        <f>tbl_OriginalData[[#This Row],[Time_to_Decision]]</f>
        <v>11</v>
      </c>
      <c r="BJ717" t="s">
        <v>158</v>
      </c>
      <c r="BK717" t="s">
        <v>48</v>
      </c>
      <c r="BL717" t="s">
        <v>2528</v>
      </c>
    </row>
    <row r="718" spans="1:64">
      <c r="A718" t="s">
        <v>1659</v>
      </c>
      <c r="B718">
        <v>18</v>
      </c>
      <c r="C718" t="s">
        <v>340</v>
      </c>
      <c r="D718" t="s">
        <v>34</v>
      </c>
      <c r="E718" t="s">
        <v>82</v>
      </c>
      <c r="F718" t="s">
        <v>36</v>
      </c>
      <c r="G718" t="s">
        <v>34</v>
      </c>
      <c r="H718" t="s">
        <v>1660</v>
      </c>
      <c r="I718" t="s">
        <v>170</v>
      </c>
      <c r="J718">
        <v>158.54</v>
      </c>
      <c r="K718">
        <v>5</v>
      </c>
      <c r="L718" t="s">
        <v>94</v>
      </c>
      <c r="M718">
        <v>2</v>
      </c>
      <c r="N718">
        <v>1</v>
      </c>
      <c r="O718">
        <v>1</v>
      </c>
      <c r="P718" t="s">
        <v>69</v>
      </c>
      <c r="Q718" t="s">
        <v>57</v>
      </c>
      <c r="R718">
        <v>2</v>
      </c>
      <c r="S718">
        <v>7</v>
      </c>
      <c r="T718" t="s">
        <v>51</v>
      </c>
      <c r="U718" t="s">
        <v>70</v>
      </c>
      <c r="V718" t="s">
        <v>71</v>
      </c>
      <c r="W718" s="1">
        <v>45382</v>
      </c>
      <c r="X718" t="b">
        <v>0</v>
      </c>
      <c r="Y718" t="b">
        <v>0</v>
      </c>
      <c r="Z718" t="s">
        <v>89</v>
      </c>
      <c r="AA718" t="s">
        <v>77</v>
      </c>
      <c r="AB718">
        <v>5</v>
      </c>
      <c r="AF718" t="str">
        <f>tbl_OriginalData[[#This Row],[Customer_ID]]</f>
        <v>61-286-0069</v>
      </c>
      <c r="AG718">
        <f>tbl_OriginalData[[#This Row],[Age]]</f>
        <v>18</v>
      </c>
      <c r="AH718" t="str" cm="1">
        <f t="array" ref="AH71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718" t="str">
        <f>tbl_OriginalData[[#This Row],[Gender]]</f>
        <v>Agender</v>
      </c>
      <c r="AJ718" t="str">
        <f>tbl_OriginalData[[#This Row],[Income_Level]]</f>
        <v>Middle</v>
      </c>
      <c r="AK718" t="str">
        <f>tbl_OriginalData[[#This Row],[Marital_Status]]</f>
        <v>Widowed</v>
      </c>
      <c r="AL718" t="str">
        <f>tbl_OriginalData[[#This Row],[Education_Level]]</f>
        <v>Bachelor's</v>
      </c>
      <c r="AM718" t="str">
        <f>tbl_OriginalData[[#This Row],[Occupation]]</f>
        <v>Middle</v>
      </c>
      <c r="AN718" t="s">
        <v>1660</v>
      </c>
      <c r="AO718" t="s">
        <v>109</v>
      </c>
      <c r="AP718" t="str">
        <f>tbl_OriginalData[[#This Row],[Purchase_Category]]</f>
        <v>Arts &amp; Crafts</v>
      </c>
      <c r="AQ718" s="4">
        <f>tbl_OriginalData[[#This Row],[Purchase_Amount]]</f>
        <v>158.54</v>
      </c>
      <c r="AR718">
        <f>tbl_OriginalData[[#This Row],[Frequency_of_Purchase]]</f>
        <v>5</v>
      </c>
      <c r="AS718" t="str">
        <f>tbl_OriginalData[[#This Row],[Purchase_Channel]]</f>
        <v>Online</v>
      </c>
      <c r="AT718">
        <f>tbl_OriginalData[[#This Row],[Brand_Loyalty]]</f>
        <v>2</v>
      </c>
      <c r="AU718">
        <f>tbl_OriginalData[[#This Row],[Product_Rating]]</f>
        <v>1</v>
      </c>
      <c r="AV718">
        <f>tbl_OriginalData[[#This Row],[Time_Spent_on_Product_Research(hours)]]*60</f>
        <v>60</v>
      </c>
      <c r="AW718" t="str">
        <f>tbl_OriginalData[[#This Row],[Social_Media_Influence]]</f>
        <v>Low</v>
      </c>
      <c r="AX718" t="str">
        <f>tbl_OriginalData[[#This Row],[Discount_Sensitivity]]</f>
        <v>Not Sensitive</v>
      </c>
      <c r="AY718" s="3">
        <f>tbl_OriginalData[[#This Row],[Return_Rate]]/tbl_OriginalData[[#This Row],[Frequency_of_Purchase]]</f>
        <v>0.4</v>
      </c>
      <c r="AZ718">
        <f>tbl_OriginalData[[#This Row],[Customer_Satisfaction]]</f>
        <v>7</v>
      </c>
      <c r="BA718" t="str">
        <f>tbl_OriginalData[[#This Row],[Engagement_with_Ads]]</f>
        <v>High</v>
      </c>
      <c r="BB718" t="str">
        <f>tbl_OriginalData[[#This Row],[Device_Used_for_Shopping]]</f>
        <v>Smartphone</v>
      </c>
      <c r="BC718" t="str">
        <f>tbl_OriginalData[[#This Row],[Payment_Method]]</f>
        <v>Debit Card</v>
      </c>
      <c r="BD718" s="1">
        <f>tbl_OriginalData[[#This Row],[Time_of_Purchase]]</f>
        <v>45382</v>
      </c>
      <c r="BE718" t="str">
        <f>IF(tbl_OriginalData[[#This Row],[Discount_Used]]=TRUE,"Yes","No")</f>
        <v>No</v>
      </c>
      <c r="BF718" t="str">
        <f>IF(tbl_OriginalData[[#This Row],[Customer_Loyalty_Program_Member]]=TRUE,"Yes","No")</f>
        <v>No</v>
      </c>
      <c r="BG718" t="str">
        <f>tbl_OriginalData[[#This Row],[Purchase_Intent]]</f>
        <v>Planned</v>
      </c>
      <c r="BH718" t="str">
        <f>tbl_OriginalData[[#This Row],[Shipping_Preference]]</f>
        <v>Express</v>
      </c>
      <c r="BI718">
        <f>tbl_OriginalData[[#This Row],[Time_to_Decision]]</f>
        <v>5</v>
      </c>
      <c r="BJ718" t="s">
        <v>47</v>
      </c>
      <c r="BK718" t="s">
        <v>48</v>
      </c>
      <c r="BL718" t="s">
        <v>2526</v>
      </c>
    </row>
    <row r="719" spans="1:64">
      <c r="A719" t="s">
        <v>1661</v>
      </c>
      <c r="B719">
        <v>39</v>
      </c>
      <c r="C719" t="s">
        <v>33</v>
      </c>
      <c r="D719" t="s">
        <v>51</v>
      </c>
      <c r="E719" t="s">
        <v>35</v>
      </c>
      <c r="F719" t="s">
        <v>36</v>
      </c>
      <c r="G719" t="s">
        <v>51</v>
      </c>
      <c r="H719" t="s">
        <v>1662</v>
      </c>
      <c r="I719" t="s">
        <v>84</v>
      </c>
      <c r="J719">
        <v>213.39</v>
      </c>
      <c r="K719">
        <v>6</v>
      </c>
      <c r="L719" t="s">
        <v>94</v>
      </c>
      <c r="M719">
        <v>3</v>
      </c>
      <c r="N719">
        <v>4</v>
      </c>
      <c r="O719">
        <v>2</v>
      </c>
      <c r="P719" t="s">
        <v>56</v>
      </c>
      <c r="Q719" t="s">
        <v>57</v>
      </c>
      <c r="R719">
        <v>2</v>
      </c>
      <c r="S719">
        <v>5</v>
      </c>
      <c r="T719" t="s">
        <v>56</v>
      </c>
      <c r="U719" t="s">
        <v>95</v>
      </c>
      <c r="V719" t="s">
        <v>102</v>
      </c>
      <c r="W719" s="1">
        <v>45592</v>
      </c>
      <c r="X719" t="b">
        <v>0</v>
      </c>
      <c r="Y719" t="b">
        <v>1</v>
      </c>
      <c r="Z719" t="s">
        <v>89</v>
      </c>
      <c r="AA719" t="s">
        <v>60</v>
      </c>
      <c r="AB719">
        <v>4</v>
      </c>
      <c r="AF719" t="str">
        <f>tbl_OriginalData[[#This Row],[Customer_ID]]</f>
        <v>35-907-0586</v>
      </c>
      <c r="AG719">
        <f>tbl_OriginalData[[#This Row],[Age]]</f>
        <v>39</v>
      </c>
      <c r="AH719" t="str" cm="1">
        <f t="array" ref="AH71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19" t="str">
        <f>tbl_OriginalData[[#This Row],[Gender]]</f>
        <v>Female</v>
      </c>
      <c r="AJ719" t="str">
        <f>tbl_OriginalData[[#This Row],[Income_Level]]</f>
        <v>High</v>
      </c>
      <c r="AK719" t="str">
        <f>tbl_OriginalData[[#This Row],[Marital_Status]]</f>
        <v>Married</v>
      </c>
      <c r="AL719" t="str">
        <f>tbl_OriginalData[[#This Row],[Education_Level]]</f>
        <v>Bachelor's</v>
      </c>
      <c r="AM719" t="str">
        <f>tbl_OriginalData[[#This Row],[Occupation]]</f>
        <v>High</v>
      </c>
      <c r="AN719" t="s">
        <v>1662</v>
      </c>
      <c r="AO719" t="s">
        <v>1637</v>
      </c>
      <c r="AP719" t="str">
        <f>tbl_OriginalData[[#This Row],[Purchase_Category]]</f>
        <v>Furniture</v>
      </c>
      <c r="AQ719" s="4">
        <f>tbl_OriginalData[[#This Row],[Purchase_Amount]]</f>
        <v>213.39</v>
      </c>
      <c r="AR719">
        <f>tbl_OriginalData[[#This Row],[Frequency_of_Purchase]]</f>
        <v>6</v>
      </c>
      <c r="AS719" t="str">
        <f>tbl_OriginalData[[#This Row],[Purchase_Channel]]</f>
        <v>Online</v>
      </c>
      <c r="AT719">
        <f>tbl_OriginalData[[#This Row],[Brand_Loyalty]]</f>
        <v>3</v>
      </c>
      <c r="AU719">
        <f>tbl_OriginalData[[#This Row],[Product_Rating]]</f>
        <v>4</v>
      </c>
      <c r="AV719">
        <f>tbl_OriginalData[[#This Row],[Time_Spent_on_Product_Research(hours)]]*60</f>
        <v>120</v>
      </c>
      <c r="AW719" t="str">
        <f>tbl_OriginalData[[#This Row],[Social_Media_Influence]]</f>
        <v>Medium</v>
      </c>
      <c r="AX719" t="str">
        <f>tbl_OriginalData[[#This Row],[Discount_Sensitivity]]</f>
        <v>Not Sensitive</v>
      </c>
      <c r="AY719" s="3">
        <f>tbl_OriginalData[[#This Row],[Return_Rate]]/tbl_OriginalData[[#This Row],[Frequency_of_Purchase]]</f>
        <v>0.33333333333333331</v>
      </c>
      <c r="AZ719">
        <f>tbl_OriginalData[[#This Row],[Customer_Satisfaction]]</f>
        <v>5</v>
      </c>
      <c r="BA719" t="str">
        <f>tbl_OriginalData[[#This Row],[Engagement_with_Ads]]</f>
        <v>Medium</v>
      </c>
      <c r="BB719" t="str">
        <f>tbl_OriginalData[[#This Row],[Device_Used_for_Shopping]]</f>
        <v>Desktop</v>
      </c>
      <c r="BC719" t="str">
        <f>tbl_OriginalData[[#This Row],[Payment_Method]]</f>
        <v>Cash</v>
      </c>
      <c r="BD719" s="1">
        <f>tbl_OriginalData[[#This Row],[Time_of_Purchase]]</f>
        <v>45592</v>
      </c>
      <c r="BE719" t="str">
        <f>IF(tbl_OriginalData[[#This Row],[Discount_Used]]=TRUE,"Yes","No")</f>
        <v>No</v>
      </c>
      <c r="BF719" t="str">
        <f>IF(tbl_OriginalData[[#This Row],[Customer_Loyalty_Program_Member]]=TRUE,"Yes","No")</f>
        <v>Yes</v>
      </c>
      <c r="BG719" t="str">
        <f>tbl_OriginalData[[#This Row],[Purchase_Intent]]</f>
        <v>Planned</v>
      </c>
      <c r="BH719" t="str">
        <f>tbl_OriginalData[[#This Row],[Shipping_Preference]]</f>
        <v>Standard</v>
      </c>
      <c r="BI719">
        <f>tbl_OriginalData[[#This Row],[Time_to_Decision]]</f>
        <v>4</v>
      </c>
      <c r="BJ719" t="s">
        <v>79</v>
      </c>
      <c r="BK719" t="s">
        <v>80</v>
      </c>
      <c r="BL719" t="s">
        <v>2529</v>
      </c>
    </row>
    <row r="720" spans="1:64">
      <c r="A720" t="s">
        <v>1663</v>
      </c>
      <c r="B720">
        <v>31</v>
      </c>
      <c r="C720" t="s">
        <v>50</v>
      </c>
      <c r="D720" t="s">
        <v>34</v>
      </c>
      <c r="E720" t="s">
        <v>92</v>
      </c>
      <c r="F720" t="s">
        <v>36</v>
      </c>
      <c r="G720" t="s">
        <v>51</v>
      </c>
      <c r="H720" t="s">
        <v>1664</v>
      </c>
      <c r="I720" t="s">
        <v>180</v>
      </c>
      <c r="J720">
        <v>127.18</v>
      </c>
      <c r="K720">
        <v>2</v>
      </c>
      <c r="L720" t="s">
        <v>55</v>
      </c>
      <c r="M720">
        <v>5</v>
      </c>
      <c r="N720">
        <v>5</v>
      </c>
      <c r="O720">
        <v>1</v>
      </c>
      <c r="P720" t="s">
        <v>56</v>
      </c>
      <c r="Q720" t="s">
        <v>41</v>
      </c>
      <c r="R720">
        <v>0</v>
      </c>
      <c r="S720">
        <v>2</v>
      </c>
      <c r="T720" t="s">
        <v>56</v>
      </c>
      <c r="U720" t="s">
        <v>95</v>
      </c>
      <c r="V720" t="s">
        <v>71</v>
      </c>
      <c r="W720" s="1">
        <v>45647</v>
      </c>
      <c r="X720" t="b">
        <v>0</v>
      </c>
      <c r="Y720" t="b">
        <v>0</v>
      </c>
      <c r="Z720" t="s">
        <v>89</v>
      </c>
      <c r="AA720" t="s">
        <v>60</v>
      </c>
      <c r="AB720">
        <v>4</v>
      </c>
      <c r="AF720" t="str">
        <f>tbl_OriginalData[[#This Row],[Customer_ID]]</f>
        <v>30-522-1574</v>
      </c>
      <c r="AG720">
        <f>tbl_OriginalData[[#This Row],[Age]]</f>
        <v>31</v>
      </c>
      <c r="AH720" t="str" cm="1">
        <f t="array" ref="AH72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20" t="str">
        <f>tbl_OriginalData[[#This Row],[Gender]]</f>
        <v>Male</v>
      </c>
      <c r="AJ720" t="str">
        <f>tbl_OriginalData[[#This Row],[Income_Level]]</f>
        <v>Middle</v>
      </c>
      <c r="AK720" t="str">
        <f>tbl_OriginalData[[#This Row],[Marital_Status]]</f>
        <v>Divorced</v>
      </c>
      <c r="AL720" t="str">
        <f>tbl_OriginalData[[#This Row],[Education_Level]]</f>
        <v>Bachelor's</v>
      </c>
      <c r="AM720" t="str">
        <f>tbl_OriginalData[[#This Row],[Occupation]]</f>
        <v>High</v>
      </c>
      <c r="AN720" t="s">
        <v>1664</v>
      </c>
      <c r="AO720" t="s">
        <v>61</v>
      </c>
      <c r="AP720" t="str">
        <f>tbl_OriginalData[[#This Row],[Purchase_Category]]</f>
        <v>Health Supplements</v>
      </c>
      <c r="AQ720" s="4">
        <f>tbl_OriginalData[[#This Row],[Purchase_Amount]]</f>
        <v>127.18</v>
      </c>
      <c r="AR720">
        <f>tbl_OriginalData[[#This Row],[Frequency_of_Purchase]]</f>
        <v>2</v>
      </c>
      <c r="AS720" t="str">
        <f>tbl_OriginalData[[#This Row],[Purchase_Channel]]</f>
        <v>In-Store</v>
      </c>
      <c r="AT720">
        <f>tbl_OriginalData[[#This Row],[Brand_Loyalty]]</f>
        <v>5</v>
      </c>
      <c r="AU720">
        <f>tbl_OriginalData[[#This Row],[Product_Rating]]</f>
        <v>5</v>
      </c>
      <c r="AV720">
        <f>tbl_OriginalData[[#This Row],[Time_Spent_on_Product_Research(hours)]]*60</f>
        <v>60</v>
      </c>
      <c r="AW720" t="str">
        <f>tbl_OriginalData[[#This Row],[Social_Media_Influence]]</f>
        <v>Medium</v>
      </c>
      <c r="AX720" t="str">
        <f>tbl_OriginalData[[#This Row],[Discount_Sensitivity]]</f>
        <v>Somewhat Sensitive</v>
      </c>
      <c r="AY720" s="3">
        <f>tbl_OriginalData[[#This Row],[Return_Rate]]/tbl_OriginalData[[#This Row],[Frequency_of_Purchase]]</f>
        <v>0</v>
      </c>
      <c r="AZ720">
        <f>tbl_OriginalData[[#This Row],[Customer_Satisfaction]]</f>
        <v>2</v>
      </c>
      <c r="BA720" t="str">
        <f>tbl_OriginalData[[#This Row],[Engagement_with_Ads]]</f>
        <v>Medium</v>
      </c>
      <c r="BB720" t="str">
        <f>tbl_OriginalData[[#This Row],[Device_Used_for_Shopping]]</f>
        <v>Desktop</v>
      </c>
      <c r="BC720" t="str">
        <f>tbl_OriginalData[[#This Row],[Payment_Method]]</f>
        <v>Debit Card</v>
      </c>
      <c r="BD720" s="1">
        <f>tbl_OriginalData[[#This Row],[Time_of_Purchase]]</f>
        <v>45647</v>
      </c>
      <c r="BE720" t="str">
        <f>IF(tbl_OriginalData[[#This Row],[Discount_Used]]=TRUE,"Yes","No")</f>
        <v>No</v>
      </c>
      <c r="BF720" t="str">
        <f>IF(tbl_OriginalData[[#This Row],[Customer_Loyalty_Program_Member]]=TRUE,"Yes","No")</f>
        <v>No</v>
      </c>
      <c r="BG720" t="str">
        <f>tbl_OriginalData[[#This Row],[Purchase_Intent]]</f>
        <v>Planned</v>
      </c>
      <c r="BH720" t="str">
        <f>tbl_OriginalData[[#This Row],[Shipping_Preference]]</f>
        <v>Standard</v>
      </c>
      <c r="BI720">
        <f>tbl_OriginalData[[#This Row],[Time_to_Decision]]</f>
        <v>4</v>
      </c>
      <c r="BJ720" t="s">
        <v>120</v>
      </c>
      <c r="BK720" t="s">
        <v>80</v>
      </c>
      <c r="BL720" t="s">
        <v>2524</v>
      </c>
    </row>
    <row r="721" spans="1:64">
      <c r="A721" t="s">
        <v>1665</v>
      </c>
      <c r="B721">
        <v>27</v>
      </c>
      <c r="C721" t="s">
        <v>50</v>
      </c>
      <c r="D721" t="s">
        <v>34</v>
      </c>
      <c r="E721" t="s">
        <v>92</v>
      </c>
      <c r="F721" t="s">
        <v>66</v>
      </c>
      <c r="G721" t="s">
        <v>51</v>
      </c>
      <c r="H721" t="s">
        <v>1666</v>
      </c>
      <c r="I721" t="s">
        <v>123</v>
      </c>
      <c r="J721">
        <v>476.63</v>
      </c>
      <c r="K721">
        <v>9</v>
      </c>
      <c r="L721" t="s">
        <v>55</v>
      </c>
      <c r="M721">
        <v>3</v>
      </c>
      <c r="N721">
        <v>5</v>
      </c>
      <c r="O721">
        <v>2</v>
      </c>
      <c r="P721" t="s">
        <v>56</v>
      </c>
      <c r="Q721" t="s">
        <v>57</v>
      </c>
      <c r="R721">
        <v>2</v>
      </c>
      <c r="S721">
        <v>2</v>
      </c>
      <c r="T721" t="s">
        <v>40</v>
      </c>
      <c r="U721" t="s">
        <v>95</v>
      </c>
      <c r="V721" t="s">
        <v>71</v>
      </c>
      <c r="W721" s="1">
        <v>45615</v>
      </c>
      <c r="X721" t="b">
        <v>1</v>
      </c>
      <c r="Y721" t="b">
        <v>0</v>
      </c>
      <c r="Z721" t="s">
        <v>72</v>
      </c>
      <c r="AA721" t="s">
        <v>45</v>
      </c>
      <c r="AB721">
        <v>1</v>
      </c>
      <c r="AF721" t="str">
        <f>tbl_OriginalData[[#This Row],[Customer_ID]]</f>
        <v>43-715-8777</v>
      </c>
      <c r="AG721">
        <f>tbl_OriginalData[[#This Row],[Age]]</f>
        <v>27</v>
      </c>
      <c r="AH721" t="str" cm="1">
        <f t="array" ref="AH72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21" t="str">
        <f>tbl_OriginalData[[#This Row],[Gender]]</f>
        <v>Male</v>
      </c>
      <c r="AJ721" t="str">
        <f>tbl_OriginalData[[#This Row],[Income_Level]]</f>
        <v>Middle</v>
      </c>
      <c r="AK721" t="str">
        <f>tbl_OriginalData[[#This Row],[Marital_Status]]</f>
        <v>Divorced</v>
      </c>
      <c r="AL721" t="str">
        <f>tbl_OriginalData[[#This Row],[Education_Level]]</f>
        <v>Master's</v>
      </c>
      <c r="AM721" t="str">
        <f>tbl_OriginalData[[#This Row],[Occupation]]</f>
        <v>High</v>
      </c>
      <c r="AN721" t="s">
        <v>1666</v>
      </c>
      <c r="AO721" t="s">
        <v>132</v>
      </c>
      <c r="AP721" t="str">
        <f>tbl_OriginalData[[#This Row],[Purchase_Category]]</f>
        <v>Luxury Goods</v>
      </c>
      <c r="AQ721" s="4">
        <f>tbl_OriginalData[[#This Row],[Purchase_Amount]]</f>
        <v>476.63</v>
      </c>
      <c r="AR721">
        <f>tbl_OriginalData[[#This Row],[Frequency_of_Purchase]]</f>
        <v>9</v>
      </c>
      <c r="AS721" t="str">
        <f>tbl_OriginalData[[#This Row],[Purchase_Channel]]</f>
        <v>In-Store</v>
      </c>
      <c r="AT721">
        <f>tbl_OriginalData[[#This Row],[Brand_Loyalty]]</f>
        <v>3</v>
      </c>
      <c r="AU721">
        <f>tbl_OriginalData[[#This Row],[Product_Rating]]</f>
        <v>5</v>
      </c>
      <c r="AV721">
        <f>tbl_OriginalData[[#This Row],[Time_Spent_on_Product_Research(hours)]]*60</f>
        <v>120</v>
      </c>
      <c r="AW721" t="str">
        <f>tbl_OriginalData[[#This Row],[Social_Media_Influence]]</f>
        <v>Medium</v>
      </c>
      <c r="AX721" t="str">
        <f>tbl_OriginalData[[#This Row],[Discount_Sensitivity]]</f>
        <v>Not Sensitive</v>
      </c>
      <c r="AY721" s="3">
        <f>tbl_OriginalData[[#This Row],[Return_Rate]]/tbl_OriginalData[[#This Row],[Frequency_of_Purchase]]</f>
        <v>0.22222222222222221</v>
      </c>
      <c r="AZ721">
        <f>tbl_OriginalData[[#This Row],[Customer_Satisfaction]]</f>
        <v>2</v>
      </c>
      <c r="BA721" t="str">
        <f>tbl_OriginalData[[#This Row],[Engagement_with_Ads]]</f>
        <v>None</v>
      </c>
      <c r="BB721" t="str">
        <f>tbl_OriginalData[[#This Row],[Device_Used_for_Shopping]]</f>
        <v>Desktop</v>
      </c>
      <c r="BC721" t="str">
        <f>tbl_OriginalData[[#This Row],[Payment_Method]]</f>
        <v>Debit Card</v>
      </c>
      <c r="BD721" s="1">
        <f>tbl_OriginalData[[#This Row],[Time_of_Purchase]]</f>
        <v>45615</v>
      </c>
      <c r="BE721" t="str">
        <f>IF(tbl_OriginalData[[#This Row],[Discount_Used]]=TRUE,"Yes","No")</f>
        <v>Yes</v>
      </c>
      <c r="BF721" t="str">
        <f>IF(tbl_OriginalData[[#This Row],[Customer_Loyalty_Program_Member]]=TRUE,"Yes","No")</f>
        <v>No</v>
      </c>
      <c r="BG721" t="str">
        <f>tbl_OriginalData[[#This Row],[Purchase_Intent]]</f>
        <v>Impulsive</v>
      </c>
      <c r="BH721" t="str">
        <f>tbl_OriginalData[[#This Row],[Shipping_Preference]]</f>
        <v>No Preference</v>
      </c>
      <c r="BI721">
        <f>tbl_OriginalData[[#This Row],[Time_to_Decision]]</f>
        <v>1</v>
      </c>
      <c r="BJ721" t="s">
        <v>177</v>
      </c>
      <c r="BK721" t="s">
        <v>80</v>
      </c>
      <c r="BL721" t="s">
        <v>2525</v>
      </c>
    </row>
    <row r="722" spans="1:64">
      <c r="A722" t="s">
        <v>1667</v>
      </c>
      <c r="B722">
        <v>31</v>
      </c>
      <c r="C722" t="s">
        <v>33</v>
      </c>
      <c r="D722" t="s">
        <v>51</v>
      </c>
      <c r="E722" t="s">
        <v>65</v>
      </c>
      <c r="F722" t="s">
        <v>36</v>
      </c>
      <c r="G722" t="s">
        <v>34</v>
      </c>
      <c r="H722" t="s">
        <v>1668</v>
      </c>
      <c r="I722" t="s">
        <v>127</v>
      </c>
      <c r="J722">
        <v>56.02</v>
      </c>
      <c r="K722">
        <v>3</v>
      </c>
      <c r="L722" t="s">
        <v>94</v>
      </c>
      <c r="M722">
        <v>5</v>
      </c>
      <c r="N722">
        <v>3</v>
      </c>
      <c r="O722">
        <v>1</v>
      </c>
      <c r="P722" t="s">
        <v>40</v>
      </c>
      <c r="Q722" t="s">
        <v>101</v>
      </c>
      <c r="R722">
        <v>1</v>
      </c>
      <c r="S722">
        <v>6</v>
      </c>
      <c r="T722" t="s">
        <v>51</v>
      </c>
      <c r="U722" t="s">
        <v>95</v>
      </c>
      <c r="V722" t="s">
        <v>58</v>
      </c>
      <c r="W722" s="1">
        <v>45548</v>
      </c>
      <c r="X722" t="b">
        <v>0</v>
      </c>
      <c r="Y722" t="b">
        <v>1</v>
      </c>
      <c r="Z722" t="s">
        <v>44</v>
      </c>
      <c r="AA722" t="s">
        <v>60</v>
      </c>
      <c r="AB722">
        <v>12</v>
      </c>
      <c r="AF722" t="str">
        <f>tbl_OriginalData[[#This Row],[Customer_ID]]</f>
        <v>94-692-4313</v>
      </c>
      <c r="AG722">
        <f>tbl_OriginalData[[#This Row],[Age]]</f>
        <v>31</v>
      </c>
      <c r="AH722" t="str" cm="1">
        <f t="array" ref="AH72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22" t="str">
        <f>tbl_OriginalData[[#This Row],[Gender]]</f>
        <v>Female</v>
      </c>
      <c r="AJ722" t="str">
        <f>tbl_OriginalData[[#This Row],[Income_Level]]</f>
        <v>High</v>
      </c>
      <c r="AK722" t="str">
        <f>tbl_OriginalData[[#This Row],[Marital_Status]]</f>
        <v>Single</v>
      </c>
      <c r="AL722" t="str">
        <f>tbl_OriginalData[[#This Row],[Education_Level]]</f>
        <v>Bachelor's</v>
      </c>
      <c r="AM722" t="str">
        <f>tbl_OriginalData[[#This Row],[Occupation]]</f>
        <v>Middle</v>
      </c>
      <c r="AN722" t="s">
        <v>1668</v>
      </c>
      <c r="AO722" t="s">
        <v>232</v>
      </c>
      <c r="AP722" t="str">
        <f>tbl_OriginalData[[#This Row],[Purchase_Category]]</f>
        <v>Animal Feed</v>
      </c>
      <c r="AQ722" s="4">
        <f>tbl_OriginalData[[#This Row],[Purchase_Amount]]</f>
        <v>56.02</v>
      </c>
      <c r="AR722">
        <f>tbl_OriginalData[[#This Row],[Frequency_of_Purchase]]</f>
        <v>3</v>
      </c>
      <c r="AS722" t="str">
        <f>tbl_OriginalData[[#This Row],[Purchase_Channel]]</f>
        <v>Online</v>
      </c>
      <c r="AT722">
        <f>tbl_OriginalData[[#This Row],[Brand_Loyalty]]</f>
        <v>5</v>
      </c>
      <c r="AU722">
        <f>tbl_OriginalData[[#This Row],[Product_Rating]]</f>
        <v>3</v>
      </c>
      <c r="AV722">
        <f>tbl_OriginalData[[#This Row],[Time_Spent_on_Product_Research(hours)]]*60</f>
        <v>60</v>
      </c>
      <c r="AW722" t="str">
        <f>tbl_OriginalData[[#This Row],[Social_Media_Influence]]</f>
        <v>None</v>
      </c>
      <c r="AX722" t="str">
        <f>tbl_OriginalData[[#This Row],[Discount_Sensitivity]]</f>
        <v>Very Sensitive</v>
      </c>
      <c r="AY722" s="3">
        <f>tbl_OriginalData[[#This Row],[Return_Rate]]/tbl_OriginalData[[#This Row],[Frequency_of_Purchase]]</f>
        <v>0.33333333333333331</v>
      </c>
      <c r="AZ722">
        <f>tbl_OriginalData[[#This Row],[Customer_Satisfaction]]</f>
        <v>6</v>
      </c>
      <c r="BA722" t="str">
        <f>tbl_OriginalData[[#This Row],[Engagement_with_Ads]]</f>
        <v>High</v>
      </c>
      <c r="BB722" t="str">
        <f>tbl_OriginalData[[#This Row],[Device_Used_for_Shopping]]</f>
        <v>Desktop</v>
      </c>
      <c r="BC722" t="str">
        <f>tbl_OriginalData[[#This Row],[Payment_Method]]</f>
        <v>PayPal</v>
      </c>
      <c r="BD722" s="1">
        <f>tbl_OriginalData[[#This Row],[Time_of_Purchase]]</f>
        <v>45548</v>
      </c>
      <c r="BE722" t="str">
        <f>IF(tbl_OriginalData[[#This Row],[Discount_Used]]=TRUE,"Yes","No")</f>
        <v>No</v>
      </c>
      <c r="BF722" t="str">
        <f>IF(tbl_OriginalData[[#This Row],[Customer_Loyalty_Program_Member]]=TRUE,"Yes","No")</f>
        <v>Yes</v>
      </c>
      <c r="BG722" t="str">
        <f>tbl_OriginalData[[#This Row],[Purchase_Intent]]</f>
        <v>Need-based</v>
      </c>
      <c r="BH722" t="str">
        <f>tbl_OriginalData[[#This Row],[Shipping_Preference]]</f>
        <v>Standard</v>
      </c>
      <c r="BI722">
        <f>tbl_OriginalData[[#This Row],[Time_to_Decision]]</f>
        <v>12</v>
      </c>
      <c r="BJ722" t="s">
        <v>172</v>
      </c>
      <c r="BK722" t="s">
        <v>115</v>
      </c>
      <c r="BL722" t="s">
        <v>2523</v>
      </c>
    </row>
    <row r="723" spans="1:64">
      <c r="A723" t="s">
        <v>1669</v>
      </c>
      <c r="B723">
        <v>36</v>
      </c>
      <c r="C723" t="s">
        <v>33</v>
      </c>
      <c r="D723" t="s">
        <v>51</v>
      </c>
      <c r="E723" t="s">
        <v>82</v>
      </c>
      <c r="F723" t="s">
        <v>36</v>
      </c>
      <c r="G723" t="s">
        <v>34</v>
      </c>
      <c r="H723" t="s">
        <v>1670</v>
      </c>
      <c r="I723" t="s">
        <v>147</v>
      </c>
      <c r="J723">
        <v>398.97</v>
      </c>
      <c r="K723">
        <v>3</v>
      </c>
      <c r="L723" t="s">
        <v>94</v>
      </c>
      <c r="M723">
        <v>2</v>
      </c>
      <c r="N723">
        <v>3</v>
      </c>
      <c r="O723">
        <v>1</v>
      </c>
      <c r="P723" t="s">
        <v>51</v>
      </c>
      <c r="Q723" t="s">
        <v>57</v>
      </c>
      <c r="R723">
        <v>2</v>
      </c>
      <c r="S723">
        <v>3</v>
      </c>
      <c r="T723" t="s">
        <v>51</v>
      </c>
      <c r="U723" t="s">
        <v>42</v>
      </c>
      <c r="V723" t="s">
        <v>71</v>
      </c>
      <c r="W723" s="1">
        <v>45561</v>
      </c>
      <c r="X723" t="b">
        <v>0</v>
      </c>
      <c r="Y723" t="b">
        <v>0</v>
      </c>
      <c r="Z723" t="s">
        <v>72</v>
      </c>
      <c r="AA723" t="s">
        <v>45</v>
      </c>
      <c r="AB723">
        <v>9</v>
      </c>
      <c r="AF723" t="str">
        <f>tbl_OriginalData[[#This Row],[Customer_ID]]</f>
        <v>96-915-4091</v>
      </c>
      <c r="AG723">
        <f>tbl_OriginalData[[#This Row],[Age]]</f>
        <v>36</v>
      </c>
      <c r="AH723" t="str" cm="1">
        <f t="array" ref="AH72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23" t="str">
        <f>tbl_OriginalData[[#This Row],[Gender]]</f>
        <v>Female</v>
      </c>
      <c r="AJ723" t="str">
        <f>tbl_OriginalData[[#This Row],[Income_Level]]</f>
        <v>High</v>
      </c>
      <c r="AK723" t="str">
        <f>tbl_OriginalData[[#This Row],[Marital_Status]]</f>
        <v>Widowed</v>
      </c>
      <c r="AL723" t="str">
        <f>tbl_OriginalData[[#This Row],[Education_Level]]</f>
        <v>Bachelor's</v>
      </c>
      <c r="AM723" t="str">
        <f>tbl_OriginalData[[#This Row],[Occupation]]</f>
        <v>Middle</v>
      </c>
      <c r="AN723" t="s">
        <v>1671</v>
      </c>
      <c r="AO723" t="s">
        <v>1672</v>
      </c>
      <c r="AP723" t="str">
        <f>tbl_OriginalData[[#This Row],[Purchase_Category]]</f>
        <v>Electronics</v>
      </c>
      <c r="AQ723" s="4">
        <f>tbl_OriginalData[[#This Row],[Purchase_Amount]]</f>
        <v>398.97</v>
      </c>
      <c r="AR723">
        <f>tbl_OriginalData[[#This Row],[Frequency_of_Purchase]]</f>
        <v>3</v>
      </c>
      <c r="AS723" t="str">
        <f>tbl_OriginalData[[#This Row],[Purchase_Channel]]</f>
        <v>Online</v>
      </c>
      <c r="AT723">
        <f>tbl_OriginalData[[#This Row],[Brand_Loyalty]]</f>
        <v>2</v>
      </c>
      <c r="AU723">
        <f>tbl_OriginalData[[#This Row],[Product_Rating]]</f>
        <v>3</v>
      </c>
      <c r="AV723">
        <f>tbl_OriginalData[[#This Row],[Time_Spent_on_Product_Research(hours)]]*60</f>
        <v>60</v>
      </c>
      <c r="AW723" t="str">
        <f>tbl_OriginalData[[#This Row],[Social_Media_Influence]]</f>
        <v>High</v>
      </c>
      <c r="AX723" t="str">
        <f>tbl_OriginalData[[#This Row],[Discount_Sensitivity]]</f>
        <v>Not Sensitive</v>
      </c>
      <c r="AY723" s="3">
        <f>tbl_OriginalData[[#This Row],[Return_Rate]]/tbl_OriginalData[[#This Row],[Frequency_of_Purchase]]</f>
        <v>0.66666666666666663</v>
      </c>
      <c r="AZ723">
        <f>tbl_OriginalData[[#This Row],[Customer_Satisfaction]]</f>
        <v>3</v>
      </c>
      <c r="BA723" t="str">
        <f>tbl_OriginalData[[#This Row],[Engagement_with_Ads]]</f>
        <v>High</v>
      </c>
      <c r="BB723" t="str">
        <f>tbl_OriginalData[[#This Row],[Device_Used_for_Shopping]]</f>
        <v>Tablet</v>
      </c>
      <c r="BC723" t="str">
        <f>tbl_OriginalData[[#This Row],[Payment_Method]]</f>
        <v>Debit Card</v>
      </c>
      <c r="BD723" s="1">
        <f>tbl_OriginalData[[#This Row],[Time_of_Purchase]]</f>
        <v>45561</v>
      </c>
      <c r="BE723" t="str">
        <f>IF(tbl_OriginalData[[#This Row],[Discount_Used]]=TRUE,"Yes","No")</f>
        <v>No</v>
      </c>
      <c r="BF723" t="str">
        <f>IF(tbl_OriginalData[[#This Row],[Customer_Loyalty_Program_Member]]=TRUE,"Yes","No")</f>
        <v>No</v>
      </c>
      <c r="BG723" t="str">
        <f>tbl_OriginalData[[#This Row],[Purchase_Intent]]</f>
        <v>Impulsive</v>
      </c>
      <c r="BH723" t="str">
        <f>tbl_OriginalData[[#This Row],[Shipping_Preference]]</f>
        <v>No Preference</v>
      </c>
      <c r="BI723">
        <f>tbl_OriginalData[[#This Row],[Time_to_Decision]]</f>
        <v>9</v>
      </c>
      <c r="BJ723" t="s">
        <v>172</v>
      </c>
      <c r="BK723" t="s">
        <v>115</v>
      </c>
      <c r="BL723" t="s">
        <v>2528</v>
      </c>
    </row>
    <row r="724" spans="1:64">
      <c r="A724" t="s">
        <v>1673</v>
      </c>
      <c r="B724">
        <v>27</v>
      </c>
      <c r="C724" t="s">
        <v>33</v>
      </c>
      <c r="D724" t="s">
        <v>34</v>
      </c>
      <c r="E724" t="s">
        <v>92</v>
      </c>
      <c r="F724" t="s">
        <v>52</v>
      </c>
      <c r="G724" t="s">
        <v>34</v>
      </c>
      <c r="H724" t="s">
        <v>1021</v>
      </c>
      <c r="I724" t="s">
        <v>199</v>
      </c>
      <c r="J724">
        <v>53.45</v>
      </c>
      <c r="K724">
        <v>6</v>
      </c>
      <c r="L724" t="s">
        <v>39</v>
      </c>
      <c r="M724">
        <v>2</v>
      </c>
      <c r="N724">
        <v>3</v>
      </c>
      <c r="O724">
        <v>1</v>
      </c>
      <c r="P724" t="s">
        <v>51</v>
      </c>
      <c r="Q724" t="s">
        <v>41</v>
      </c>
      <c r="R724">
        <v>1</v>
      </c>
      <c r="S724">
        <v>9</v>
      </c>
      <c r="T724" t="s">
        <v>51</v>
      </c>
      <c r="U724" t="s">
        <v>42</v>
      </c>
      <c r="V724" t="s">
        <v>71</v>
      </c>
      <c r="W724" s="1">
        <v>45487</v>
      </c>
      <c r="X724" t="b">
        <v>0</v>
      </c>
      <c r="Y724" t="b">
        <v>0</v>
      </c>
      <c r="Z724" t="s">
        <v>44</v>
      </c>
      <c r="AA724" t="s">
        <v>60</v>
      </c>
      <c r="AB724">
        <v>11</v>
      </c>
      <c r="AF724" t="str">
        <f>tbl_OriginalData[[#This Row],[Customer_ID]]</f>
        <v>67-073-5578</v>
      </c>
      <c r="AG724">
        <f>tbl_OriginalData[[#This Row],[Age]]</f>
        <v>27</v>
      </c>
      <c r="AH724" t="str" cm="1">
        <f t="array" ref="AH72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24" t="str">
        <f>tbl_OriginalData[[#This Row],[Gender]]</f>
        <v>Female</v>
      </c>
      <c r="AJ724" t="str">
        <f>tbl_OriginalData[[#This Row],[Income_Level]]</f>
        <v>Middle</v>
      </c>
      <c r="AK724" t="str">
        <f>tbl_OriginalData[[#This Row],[Marital_Status]]</f>
        <v>Divorced</v>
      </c>
      <c r="AL724" t="str">
        <f>tbl_OriginalData[[#This Row],[Education_Level]]</f>
        <v>High School</v>
      </c>
      <c r="AM724" t="str">
        <f>tbl_OriginalData[[#This Row],[Occupation]]</f>
        <v>Middle</v>
      </c>
      <c r="AN724" t="s">
        <v>1021</v>
      </c>
      <c r="AO724" t="s">
        <v>161</v>
      </c>
      <c r="AP724" t="str">
        <f>tbl_OriginalData[[#This Row],[Purchase_Category]]</f>
        <v>Groceries</v>
      </c>
      <c r="AQ724" s="4">
        <f>tbl_OriginalData[[#This Row],[Purchase_Amount]]</f>
        <v>53.45</v>
      </c>
      <c r="AR724">
        <f>tbl_OriginalData[[#This Row],[Frequency_of_Purchase]]</f>
        <v>6</v>
      </c>
      <c r="AS724" t="str">
        <f>tbl_OriginalData[[#This Row],[Purchase_Channel]]</f>
        <v>Mixed</v>
      </c>
      <c r="AT724">
        <f>tbl_OriginalData[[#This Row],[Brand_Loyalty]]</f>
        <v>2</v>
      </c>
      <c r="AU724">
        <f>tbl_OriginalData[[#This Row],[Product_Rating]]</f>
        <v>3</v>
      </c>
      <c r="AV724">
        <f>tbl_OriginalData[[#This Row],[Time_Spent_on_Product_Research(hours)]]*60</f>
        <v>60</v>
      </c>
      <c r="AW724" t="str">
        <f>tbl_OriginalData[[#This Row],[Social_Media_Influence]]</f>
        <v>High</v>
      </c>
      <c r="AX724" t="str">
        <f>tbl_OriginalData[[#This Row],[Discount_Sensitivity]]</f>
        <v>Somewhat Sensitive</v>
      </c>
      <c r="AY724" s="3">
        <f>tbl_OriginalData[[#This Row],[Return_Rate]]/tbl_OriginalData[[#This Row],[Frequency_of_Purchase]]</f>
        <v>0.16666666666666666</v>
      </c>
      <c r="AZ724">
        <f>tbl_OriginalData[[#This Row],[Customer_Satisfaction]]</f>
        <v>9</v>
      </c>
      <c r="BA724" t="str">
        <f>tbl_OriginalData[[#This Row],[Engagement_with_Ads]]</f>
        <v>High</v>
      </c>
      <c r="BB724" t="str">
        <f>tbl_OriginalData[[#This Row],[Device_Used_for_Shopping]]</f>
        <v>Tablet</v>
      </c>
      <c r="BC724" t="str">
        <f>tbl_OriginalData[[#This Row],[Payment_Method]]</f>
        <v>Debit Card</v>
      </c>
      <c r="BD724" s="1">
        <f>tbl_OriginalData[[#This Row],[Time_of_Purchase]]</f>
        <v>45487</v>
      </c>
      <c r="BE724" t="str">
        <f>IF(tbl_OriginalData[[#This Row],[Discount_Used]]=TRUE,"Yes","No")</f>
        <v>No</v>
      </c>
      <c r="BF724" t="str">
        <f>IF(tbl_OriginalData[[#This Row],[Customer_Loyalty_Program_Member]]=TRUE,"Yes","No")</f>
        <v>No</v>
      </c>
      <c r="BG724" t="str">
        <f>tbl_OriginalData[[#This Row],[Purchase_Intent]]</f>
        <v>Need-based</v>
      </c>
      <c r="BH724" t="str">
        <f>tbl_OriginalData[[#This Row],[Shipping_Preference]]</f>
        <v>Standard</v>
      </c>
      <c r="BI724">
        <f>tbl_OriginalData[[#This Row],[Time_to_Decision]]</f>
        <v>11</v>
      </c>
      <c r="BJ724" t="s">
        <v>114</v>
      </c>
      <c r="BK724" t="s">
        <v>115</v>
      </c>
      <c r="BL724" t="s">
        <v>2527</v>
      </c>
    </row>
    <row r="725" spans="1:64">
      <c r="A725" t="s">
        <v>1674</v>
      </c>
      <c r="B725">
        <v>21</v>
      </c>
      <c r="C725" t="s">
        <v>340</v>
      </c>
      <c r="D725" t="s">
        <v>34</v>
      </c>
      <c r="E725" t="s">
        <v>35</v>
      </c>
      <c r="F725" t="s">
        <v>36</v>
      </c>
      <c r="G725" t="s">
        <v>51</v>
      </c>
      <c r="H725" t="s">
        <v>1675</v>
      </c>
      <c r="I725" t="s">
        <v>199</v>
      </c>
      <c r="J725">
        <v>61.19</v>
      </c>
      <c r="K725">
        <v>2</v>
      </c>
      <c r="L725" t="s">
        <v>39</v>
      </c>
      <c r="M725">
        <v>4</v>
      </c>
      <c r="N725">
        <v>5</v>
      </c>
      <c r="O725">
        <v>1</v>
      </c>
      <c r="P725" t="s">
        <v>40</v>
      </c>
      <c r="Q725" t="s">
        <v>57</v>
      </c>
      <c r="R725">
        <v>2</v>
      </c>
      <c r="S725">
        <v>6</v>
      </c>
      <c r="T725" t="s">
        <v>51</v>
      </c>
      <c r="U725" t="s">
        <v>95</v>
      </c>
      <c r="V725" t="s">
        <v>58</v>
      </c>
      <c r="W725" s="1">
        <v>45516</v>
      </c>
      <c r="X725" t="b">
        <v>1</v>
      </c>
      <c r="Y725" t="b">
        <v>1</v>
      </c>
      <c r="Z725" t="s">
        <v>59</v>
      </c>
      <c r="AA725" t="s">
        <v>45</v>
      </c>
      <c r="AB725">
        <v>3</v>
      </c>
      <c r="AF725" t="str">
        <f>tbl_OriginalData[[#This Row],[Customer_ID]]</f>
        <v>27-010-9462</v>
      </c>
      <c r="AG725">
        <f>tbl_OriginalData[[#This Row],[Age]]</f>
        <v>21</v>
      </c>
      <c r="AH725" t="str" cm="1">
        <f t="array" ref="AH72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25" t="str">
        <f>tbl_OriginalData[[#This Row],[Gender]]</f>
        <v>Agender</v>
      </c>
      <c r="AJ725" t="str">
        <f>tbl_OriginalData[[#This Row],[Income_Level]]</f>
        <v>Middle</v>
      </c>
      <c r="AK725" t="str">
        <f>tbl_OriginalData[[#This Row],[Marital_Status]]</f>
        <v>Married</v>
      </c>
      <c r="AL725" t="str">
        <f>tbl_OriginalData[[#This Row],[Education_Level]]</f>
        <v>Bachelor's</v>
      </c>
      <c r="AM725" t="str">
        <f>tbl_OriginalData[[#This Row],[Occupation]]</f>
        <v>High</v>
      </c>
      <c r="AN725" t="s">
        <v>1675</v>
      </c>
      <c r="AO725" t="s">
        <v>186</v>
      </c>
      <c r="AP725" t="str">
        <f>tbl_OriginalData[[#This Row],[Purchase_Category]]</f>
        <v>Groceries</v>
      </c>
      <c r="AQ725" s="4">
        <f>tbl_OriginalData[[#This Row],[Purchase_Amount]]</f>
        <v>61.19</v>
      </c>
      <c r="AR725">
        <f>tbl_OriginalData[[#This Row],[Frequency_of_Purchase]]</f>
        <v>2</v>
      </c>
      <c r="AS725" t="str">
        <f>tbl_OriginalData[[#This Row],[Purchase_Channel]]</f>
        <v>Mixed</v>
      </c>
      <c r="AT725">
        <f>tbl_OriginalData[[#This Row],[Brand_Loyalty]]</f>
        <v>4</v>
      </c>
      <c r="AU725">
        <f>tbl_OriginalData[[#This Row],[Product_Rating]]</f>
        <v>5</v>
      </c>
      <c r="AV725">
        <f>tbl_OriginalData[[#This Row],[Time_Spent_on_Product_Research(hours)]]*60</f>
        <v>60</v>
      </c>
      <c r="AW725" t="str">
        <f>tbl_OriginalData[[#This Row],[Social_Media_Influence]]</f>
        <v>None</v>
      </c>
      <c r="AX725" t="str">
        <f>tbl_OriginalData[[#This Row],[Discount_Sensitivity]]</f>
        <v>Not Sensitive</v>
      </c>
      <c r="AY725" s="3">
        <f>tbl_OriginalData[[#This Row],[Return_Rate]]/tbl_OriginalData[[#This Row],[Frequency_of_Purchase]]</f>
        <v>1</v>
      </c>
      <c r="AZ725">
        <f>tbl_OriginalData[[#This Row],[Customer_Satisfaction]]</f>
        <v>6</v>
      </c>
      <c r="BA725" t="str">
        <f>tbl_OriginalData[[#This Row],[Engagement_with_Ads]]</f>
        <v>High</v>
      </c>
      <c r="BB725" t="str">
        <f>tbl_OriginalData[[#This Row],[Device_Used_for_Shopping]]</f>
        <v>Desktop</v>
      </c>
      <c r="BC725" t="str">
        <f>tbl_OriginalData[[#This Row],[Payment_Method]]</f>
        <v>PayPal</v>
      </c>
      <c r="BD725" s="1">
        <f>tbl_OriginalData[[#This Row],[Time_of_Purchase]]</f>
        <v>45516</v>
      </c>
      <c r="BE725" t="str">
        <f>IF(tbl_OriginalData[[#This Row],[Discount_Used]]=TRUE,"Yes","No")</f>
        <v>Yes</v>
      </c>
      <c r="BF725" t="str">
        <f>IF(tbl_OriginalData[[#This Row],[Customer_Loyalty_Program_Member]]=TRUE,"Yes","No")</f>
        <v>Yes</v>
      </c>
      <c r="BG725" t="str">
        <f>tbl_OriginalData[[#This Row],[Purchase_Intent]]</f>
        <v>Wants-based</v>
      </c>
      <c r="BH725" t="str">
        <f>tbl_OriginalData[[#This Row],[Shipping_Preference]]</f>
        <v>No Preference</v>
      </c>
      <c r="BI725">
        <f>tbl_OriginalData[[#This Row],[Time_to_Decision]]</f>
        <v>3</v>
      </c>
      <c r="BJ725" t="s">
        <v>124</v>
      </c>
      <c r="BK725" t="s">
        <v>115</v>
      </c>
      <c r="BL725" t="s">
        <v>2523</v>
      </c>
    </row>
    <row r="726" spans="1:64">
      <c r="A726" t="s">
        <v>1676</v>
      </c>
      <c r="B726">
        <v>50</v>
      </c>
      <c r="C726" t="s">
        <v>33</v>
      </c>
      <c r="D726" t="s">
        <v>34</v>
      </c>
      <c r="E726" t="s">
        <v>35</v>
      </c>
      <c r="F726" t="s">
        <v>52</v>
      </c>
      <c r="G726" t="s">
        <v>34</v>
      </c>
      <c r="H726" t="s">
        <v>1677</v>
      </c>
      <c r="I726" t="s">
        <v>123</v>
      </c>
      <c r="J726">
        <v>471.31</v>
      </c>
      <c r="K726">
        <v>4</v>
      </c>
      <c r="L726" t="s">
        <v>39</v>
      </c>
      <c r="M726">
        <v>1</v>
      </c>
      <c r="N726">
        <v>5</v>
      </c>
      <c r="O726">
        <v>2</v>
      </c>
      <c r="P726" t="s">
        <v>51</v>
      </c>
      <c r="Q726" t="s">
        <v>101</v>
      </c>
      <c r="R726">
        <v>0</v>
      </c>
      <c r="S726">
        <v>8</v>
      </c>
      <c r="T726" t="s">
        <v>40</v>
      </c>
      <c r="U726" t="s">
        <v>70</v>
      </c>
      <c r="V726" t="s">
        <v>76</v>
      </c>
      <c r="W726" s="1">
        <v>45643</v>
      </c>
      <c r="X726" t="b">
        <v>0</v>
      </c>
      <c r="Y726" t="b">
        <v>1</v>
      </c>
      <c r="Z726" t="s">
        <v>72</v>
      </c>
      <c r="AA726" t="s">
        <v>77</v>
      </c>
      <c r="AB726">
        <v>7</v>
      </c>
      <c r="AF726" t="str">
        <f>tbl_OriginalData[[#This Row],[Customer_ID]]</f>
        <v>19-689-4556</v>
      </c>
      <c r="AG726">
        <f>tbl_OriginalData[[#This Row],[Age]]</f>
        <v>50</v>
      </c>
      <c r="AH726" t="str" cm="1">
        <f t="array" ref="AH72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26" t="str">
        <f>tbl_OriginalData[[#This Row],[Gender]]</f>
        <v>Female</v>
      </c>
      <c r="AJ726" t="str">
        <f>tbl_OriginalData[[#This Row],[Income_Level]]</f>
        <v>Middle</v>
      </c>
      <c r="AK726" t="str">
        <f>tbl_OriginalData[[#This Row],[Marital_Status]]</f>
        <v>Married</v>
      </c>
      <c r="AL726" t="str">
        <f>tbl_OriginalData[[#This Row],[Education_Level]]</f>
        <v>High School</v>
      </c>
      <c r="AM726" t="str">
        <f>tbl_OriginalData[[#This Row],[Occupation]]</f>
        <v>Middle</v>
      </c>
      <c r="AN726" t="s">
        <v>1677</v>
      </c>
      <c r="AO726" t="s">
        <v>186</v>
      </c>
      <c r="AP726" t="str">
        <f>tbl_OriginalData[[#This Row],[Purchase_Category]]</f>
        <v>Luxury Goods</v>
      </c>
      <c r="AQ726" s="4">
        <f>tbl_OriginalData[[#This Row],[Purchase_Amount]]</f>
        <v>471.31</v>
      </c>
      <c r="AR726">
        <f>tbl_OriginalData[[#This Row],[Frequency_of_Purchase]]</f>
        <v>4</v>
      </c>
      <c r="AS726" t="str">
        <f>tbl_OriginalData[[#This Row],[Purchase_Channel]]</f>
        <v>Mixed</v>
      </c>
      <c r="AT726">
        <f>tbl_OriginalData[[#This Row],[Brand_Loyalty]]</f>
        <v>1</v>
      </c>
      <c r="AU726">
        <f>tbl_OriginalData[[#This Row],[Product_Rating]]</f>
        <v>5</v>
      </c>
      <c r="AV726">
        <f>tbl_OriginalData[[#This Row],[Time_Spent_on_Product_Research(hours)]]*60</f>
        <v>120</v>
      </c>
      <c r="AW726" t="str">
        <f>tbl_OriginalData[[#This Row],[Social_Media_Influence]]</f>
        <v>High</v>
      </c>
      <c r="AX726" t="str">
        <f>tbl_OriginalData[[#This Row],[Discount_Sensitivity]]</f>
        <v>Very Sensitive</v>
      </c>
      <c r="AY726" s="3">
        <f>tbl_OriginalData[[#This Row],[Return_Rate]]/tbl_OriginalData[[#This Row],[Frequency_of_Purchase]]</f>
        <v>0</v>
      </c>
      <c r="AZ726">
        <f>tbl_OriginalData[[#This Row],[Customer_Satisfaction]]</f>
        <v>8</v>
      </c>
      <c r="BA726" t="str">
        <f>tbl_OriginalData[[#This Row],[Engagement_with_Ads]]</f>
        <v>None</v>
      </c>
      <c r="BB726" t="str">
        <f>tbl_OriginalData[[#This Row],[Device_Used_for_Shopping]]</f>
        <v>Smartphone</v>
      </c>
      <c r="BC726" t="str">
        <f>tbl_OriginalData[[#This Row],[Payment_Method]]</f>
        <v>Other</v>
      </c>
      <c r="BD726" s="1">
        <f>tbl_OriginalData[[#This Row],[Time_of_Purchase]]</f>
        <v>45643</v>
      </c>
      <c r="BE726" t="str">
        <f>IF(tbl_OriginalData[[#This Row],[Discount_Used]]=TRUE,"Yes","No")</f>
        <v>No</v>
      </c>
      <c r="BF726" t="str">
        <f>IF(tbl_OriginalData[[#This Row],[Customer_Loyalty_Program_Member]]=TRUE,"Yes","No")</f>
        <v>Yes</v>
      </c>
      <c r="BG726" t="str">
        <f>tbl_OriginalData[[#This Row],[Purchase_Intent]]</f>
        <v>Impulsive</v>
      </c>
      <c r="BH726" t="str">
        <f>tbl_OriginalData[[#This Row],[Shipping_Preference]]</f>
        <v>Express</v>
      </c>
      <c r="BI726">
        <f>tbl_OriginalData[[#This Row],[Time_to_Decision]]</f>
        <v>7</v>
      </c>
      <c r="BJ726" t="s">
        <v>120</v>
      </c>
      <c r="BK726" t="s">
        <v>80</v>
      </c>
      <c r="BL726" t="s">
        <v>2523</v>
      </c>
    </row>
    <row r="727" spans="1:64">
      <c r="A727" t="s">
        <v>1678</v>
      </c>
      <c r="B727">
        <v>49</v>
      </c>
      <c r="C727" t="s">
        <v>33</v>
      </c>
      <c r="D727" t="s">
        <v>51</v>
      </c>
      <c r="E727" t="s">
        <v>92</v>
      </c>
      <c r="F727" t="s">
        <v>52</v>
      </c>
      <c r="G727" t="s">
        <v>51</v>
      </c>
      <c r="H727" t="s">
        <v>1679</v>
      </c>
      <c r="I727" t="s">
        <v>131</v>
      </c>
      <c r="J727">
        <v>179.19</v>
      </c>
      <c r="K727">
        <v>10</v>
      </c>
      <c r="L727" t="s">
        <v>55</v>
      </c>
      <c r="M727">
        <v>3</v>
      </c>
      <c r="N727">
        <v>1</v>
      </c>
      <c r="O727">
        <v>1</v>
      </c>
      <c r="P727" t="s">
        <v>69</v>
      </c>
      <c r="Q727" t="s">
        <v>57</v>
      </c>
      <c r="R727">
        <v>2</v>
      </c>
      <c r="S727">
        <v>7</v>
      </c>
      <c r="T727" t="s">
        <v>40</v>
      </c>
      <c r="U727" t="s">
        <v>42</v>
      </c>
      <c r="V727" t="s">
        <v>58</v>
      </c>
      <c r="W727" s="1">
        <v>45372</v>
      </c>
      <c r="X727" t="b">
        <v>0</v>
      </c>
      <c r="Y727" t="b">
        <v>0</v>
      </c>
      <c r="Z727" t="s">
        <v>72</v>
      </c>
      <c r="AA727" t="s">
        <v>77</v>
      </c>
      <c r="AB727">
        <v>12</v>
      </c>
      <c r="AF727" t="str">
        <f>tbl_OriginalData[[#This Row],[Customer_ID]]</f>
        <v>53-143-6147</v>
      </c>
      <c r="AG727">
        <f>tbl_OriginalData[[#This Row],[Age]]</f>
        <v>49</v>
      </c>
      <c r="AH727" t="str" cm="1">
        <f t="array" ref="AH72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27" t="str">
        <f>tbl_OriginalData[[#This Row],[Gender]]</f>
        <v>Female</v>
      </c>
      <c r="AJ727" t="str">
        <f>tbl_OriginalData[[#This Row],[Income_Level]]</f>
        <v>High</v>
      </c>
      <c r="AK727" t="str">
        <f>tbl_OriginalData[[#This Row],[Marital_Status]]</f>
        <v>Divorced</v>
      </c>
      <c r="AL727" t="str">
        <f>tbl_OriginalData[[#This Row],[Education_Level]]</f>
        <v>High School</v>
      </c>
      <c r="AM727" t="str">
        <f>tbl_OriginalData[[#This Row],[Occupation]]</f>
        <v>High</v>
      </c>
      <c r="AN727" t="s">
        <v>1679</v>
      </c>
      <c r="AO727" t="s">
        <v>1096</v>
      </c>
      <c r="AP727" t="str">
        <f>tbl_OriginalData[[#This Row],[Purchase_Category]]</f>
        <v>Health Care</v>
      </c>
      <c r="AQ727" s="4">
        <f>tbl_OriginalData[[#This Row],[Purchase_Amount]]</f>
        <v>179.19</v>
      </c>
      <c r="AR727">
        <f>tbl_OriginalData[[#This Row],[Frequency_of_Purchase]]</f>
        <v>10</v>
      </c>
      <c r="AS727" t="str">
        <f>tbl_OriginalData[[#This Row],[Purchase_Channel]]</f>
        <v>In-Store</v>
      </c>
      <c r="AT727">
        <f>tbl_OriginalData[[#This Row],[Brand_Loyalty]]</f>
        <v>3</v>
      </c>
      <c r="AU727">
        <f>tbl_OriginalData[[#This Row],[Product_Rating]]</f>
        <v>1</v>
      </c>
      <c r="AV727">
        <f>tbl_OriginalData[[#This Row],[Time_Spent_on_Product_Research(hours)]]*60</f>
        <v>60</v>
      </c>
      <c r="AW727" t="str">
        <f>tbl_OriginalData[[#This Row],[Social_Media_Influence]]</f>
        <v>Low</v>
      </c>
      <c r="AX727" t="str">
        <f>tbl_OriginalData[[#This Row],[Discount_Sensitivity]]</f>
        <v>Not Sensitive</v>
      </c>
      <c r="AY727" s="3">
        <f>tbl_OriginalData[[#This Row],[Return_Rate]]/tbl_OriginalData[[#This Row],[Frequency_of_Purchase]]</f>
        <v>0.2</v>
      </c>
      <c r="AZ727">
        <f>tbl_OriginalData[[#This Row],[Customer_Satisfaction]]</f>
        <v>7</v>
      </c>
      <c r="BA727" t="str">
        <f>tbl_OriginalData[[#This Row],[Engagement_with_Ads]]</f>
        <v>None</v>
      </c>
      <c r="BB727" t="str">
        <f>tbl_OriginalData[[#This Row],[Device_Used_for_Shopping]]</f>
        <v>Tablet</v>
      </c>
      <c r="BC727" t="str">
        <f>tbl_OriginalData[[#This Row],[Payment_Method]]</f>
        <v>PayPal</v>
      </c>
      <c r="BD727" s="1">
        <f>tbl_OriginalData[[#This Row],[Time_of_Purchase]]</f>
        <v>45372</v>
      </c>
      <c r="BE727" t="str">
        <f>IF(tbl_OriginalData[[#This Row],[Discount_Used]]=TRUE,"Yes","No")</f>
        <v>No</v>
      </c>
      <c r="BF727" t="str">
        <f>IF(tbl_OriginalData[[#This Row],[Customer_Loyalty_Program_Member]]=TRUE,"Yes","No")</f>
        <v>No</v>
      </c>
      <c r="BG727" t="str">
        <f>tbl_OriginalData[[#This Row],[Purchase_Intent]]</f>
        <v>Impulsive</v>
      </c>
      <c r="BH727" t="str">
        <f>tbl_OriginalData[[#This Row],[Shipping_Preference]]</f>
        <v>Express</v>
      </c>
      <c r="BI727">
        <f>tbl_OriginalData[[#This Row],[Time_to_Decision]]</f>
        <v>12</v>
      </c>
      <c r="BJ727" t="s">
        <v>47</v>
      </c>
      <c r="BK727" t="s">
        <v>48</v>
      </c>
      <c r="BL727" t="s">
        <v>2523</v>
      </c>
    </row>
    <row r="728" spans="1:64">
      <c r="A728" t="s">
        <v>1680</v>
      </c>
      <c r="B728">
        <v>43</v>
      </c>
      <c r="C728" t="s">
        <v>33</v>
      </c>
      <c r="D728" t="s">
        <v>51</v>
      </c>
      <c r="E728" t="s">
        <v>92</v>
      </c>
      <c r="F728" t="s">
        <v>52</v>
      </c>
      <c r="G728" t="s">
        <v>34</v>
      </c>
      <c r="H728" t="s">
        <v>1681</v>
      </c>
      <c r="I728" t="s">
        <v>54</v>
      </c>
      <c r="J728">
        <v>294.61</v>
      </c>
      <c r="K728">
        <v>6</v>
      </c>
      <c r="L728" t="s">
        <v>55</v>
      </c>
      <c r="M728">
        <v>2</v>
      </c>
      <c r="N728">
        <v>1</v>
      </c>
      <c r="O728">
        <v>0</v>
      </c>
      <c r="P728" t="s">
        <v>40</v>
      </c>
      <c r="Q728" t="s">
        <v>101</v>
      </c>
      <c r="R728">
        <v>0</v>
      </c>
      <c r="S728">
        <v>2</v>
      </c>
      <c r="T728" t="s">
        <v>40</v>
      </c>
      <c r="U728" t="s">
        <v>95</v>
      </c>
      <c r="V728" t="s">
        <v>58</v>
      </c>
      <c r="W728" s="1">
        <v>45568</v>
      </c>
      <c r="X728" t="b">
        <v>0</v>
      </c>
      <c r="Y728" t="b">
        <v>1</v>
      </c>
      <c r="Z728" t="s">
        <v>59</v>
      </c>
      <c r="AA728" t="s">
        <v>77</v>
      </c>
      <c r="AB728">
        <v>4</v>
      </c>
      <c r="AF728" t="str">
        <f>tbl_OriginalData[[#This Row],[Customer_ID]]</f>
        <v>02-725-7664</v>
      </c>
      <c r="AG728">
        <f>tbl_OriginalData[[#This Row],[Age]]</f>
        <v>43</v>
      </c>
      <c r="AH728" t="str" cm="1">
        <f t="array" ref="AH72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28" t="str">
        <f>tbl_OriginalData[[#This Row],[Gender]]</f>
        <v>Female</v>
      </c>
      <c r="AJ728" t="str">
        <f>tbl_OriginalData[[#This Row],[Income_Level]]</f>
        <v>High</v>
      </c>
      <c r="AK728" t="str">
        <f>tbl_OriginalData[[#This Row],[Marital_Status]]</f>
        <v>Divorced</v>
      </c>
      <c r="AL728" t="str">
        <f>tbl_OriginalData[[#This Row],[Education_Level]]</f>
        <v>High School</v>
      </c>
      <c r="AM728" t="str">
        <f>tbl_OriginalData[[#This Row],[Occupation]]</f>
        <v>Middle</v>
      </c>
      <c r="AN728" t="s">
        <v>1681</v>
      </c>
      <c r="AO728" t="s">
        <v>128</v>
      </c>
      <c r="AP728" t="str">
        <f>tbl_OriginalData[[#This Row],[Purchase_Category]]</f>
        <v>Food &amp; Beverages</v>
      </c>
      <c r="AQ728" s="4">
        <f>tbl_OriginalData[[#This Row],[Purchase_Amount]]</f>
        <v>294.61</v>
      </c>
      <c r="AR728">
        <f>tbl_OriginalData[[#This Row],[Frequency_of_Purchase]]</f>
        <v>6</v>
      </c>
      <c r="AS728" t="str">
        <f>tbl_OriginalData[[#This Row],[Purchase_Channel]]</f>
        <v>In-Store</v>
      </c>
      <c r="AT728">
        <f>tbl_OriginalData[[#This Row],[Brand_Loyalty]]</f>
        <v>2</v>
      </c>
      <c r="AU728">
        <f>tbl_OriginalData[[#This Row],[Product_Rating]]</f>
        <v>1</v>
      </c>
      <c r="AV728">
        <f>tbl_OriginalData[[#This Row],[Time_Spent_on_Product_Research(hours)]]*60</f>
        <v>0</v>
      </c>
      <c r="AW728" t="str">
        <f>tbl_OriginalData[[#This Row],[Social_Media_Influence]]</f>
        <v>None</v>
      </c>
      <c r="AX728" t="str">
        <f>tbl_OriginalData[[#This Row],[Discount_Sensitivity]]</f>
        <v>Very Sensitive</v>
      </c>
      <c r="AY728" s="3">
        <f>tbl_OriginalData[[#This Row],[Return_Rate]]/tbl_OriginalData[[#This Row],[Frequency_of_Purchase]]</f>
        <v>0</v>
      </c>
      <c r="AZ728">
        <f>tbl_OriginalData[[#This Row],[Customer_Satisfaction]]</f>
        <v>2</v>
      </c>
      <c r="BA728" t="str">
        <f>tbl_OriginalData[[#This Row],[Engagement_with_Ads]]</f>
        <v>None</v>
      </c>
      <c r="BB728" t="str">
        <f>tbl_OriginalData[[#This Row],[Device_Used_for_Shopping]]</f>
        <v>Desktop</v>
      </c>
      <c r="BC728" t="str">
        <f>tbl_OriginalData[[#This Row],[Payment_Method]]</f>
        <v>PayPal</v>
      </c>
      <c r="BD728" s="1">
        <f>tbl_OriginalData[[#This Row],[Time_of_Purchase]]</f>
        <v>45568</v>
      </c>
      <c r="BE728" t="str">
        <f>IF(tbl_OriginalData[[#This Row],[Discount_Used]]=TRUE,"Yes","No")</f>
        <v>No</v>
      </c>
      <c r="BF728" t="str">
        <f>IF(tbl_OriginalData[[#This Row],[Customer_Loyalty_Program_Member]]=TRUE,"Yes","No")</f>
        <v>Yes</v>
      </c>
      <c r="BG728" t="str">
        <f>tbl_OriginalData[[#This Row],[Purchase_Intent]]</f>
        <v>Wants-based</v>
      </c>
      <c r="BH728" t="str">
        <f>tbl_OriginalData[[#This Row],[Shipping_Preference]]</f>
        <v>Express</v>
      </c>
      <c r="BI728">
        <f>tbl_OriginalData[[#This Row],[Time_to_Decision]]</f>
        <v>4</v>
      </c>
      <c r="BJ728" t="s">
        <v>79</v>
      </c>
      <c r="BK728" t="s">
        <v>80</v>
      </c>
      <c r="BL728" t="s">
        <v>2523</v>
      </c>
    </row>
    <row r="729" spans="1:64">
      <c r="A729" t="s">
        <v>1682</v>
      </c>
      <c r="B729">
        <v>35</v>
      </c>
      <c r="C729" t="s">
        <v>238</v>
      </c>
      <c r="D729" t="s">
        <v>51</v>
      </c>
      <c r="E729" t="s">
        <v>82</v>
      </c>
      <c r="F729" t="s">
        <v>36</v>
      </c>
      <c r="G729" t="s">
        <v>51</v>
      </c>
      <c r="H729" t="s">
        <v>1683</v>
      </c>
      <c r="I729" t="s">
        <v>131</v>
      </c>
      <c r="J729">
        <v>375.45</v>
      </c>
      <c r="K729">
        <v>6</v>
      </c>
      <c r="L729" t="s">
        <v>94</v>
      </c>
      <c r="M729">
        <v>3</v>
      </c>
      <c r="N729">
        <v>4</v>
      </c>
      <c r="O729">
        <v>0</v>
      </c>
      <c r="P729" t="s">
        <v>51</v>
      </c>
      <c r="Q729" t="s">
        <v>57</v>
      </c>
      <c r="R729">
        <v>1</v>
      </c>
      <c r="S729">
        <v>8</v>
      </c>
      <c r="T729" t="s">
        <v>56</v>
      </c>
      <c r="U729" t="s">
        <v>70</v>
      </c>
      <c r="V729" t="s">
        <v>76</v>
      </c>
      <c r="W729" s="1">
        <v>45396</v>
      </c>
      <c r="X729" t="b">
        <v>0</v>
      </c>
      <c r="Y729" t="b">
        <v>1</v>
      </c>
      <c r="Z729" t="s">
        <v>72</v>
      </c>
      <c r="AA729" t="s">
        <v>77</v>
      </c>
      <c r="AB729">
        <v>1</v>
      </c>
      <c r="AF729" t="str">
        <f>tbl_OriginalData[[#This Row],[Customer_ID]]</f>
        <v>54-439-4748</v>
      </c>
      <c r="AG729">
        <f>tbl_OriginalData[[#This Row],[Age]]</f>
        <v>35</v>
      </c>
      <c r="AH729" t="str" cm="1">
        <f t="array" ref="AH72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29" t="str">
        <f>tbl_OriginalData[[#This Row],[Gender]]</f>
        <v>Non-binary</v>
      </c>
      <c r="AJ729" t="str">
        <f>tbl_OriginalData[[#This Row],[Income_Level]]</f>
        <v>High</v>
      </c>
      <c r="AK729" t="str">
        <f>tbl_OriginalData[[#This Row],[Marital_Status]]</f>
        <v>Widowed</v>
      </c>
      <c r="AL729" t="str">
        <f>tbl_OriginalData[[#This Row],[Education_Level]]</f>
        <v>Bachelor's</v>
      </c>
      <c r="AM729" t="str">
        <f>tbl_OriginalData[[#This Row],[Occupation]]</f>
        <v>High</v>
      </c>
      <c r="AN729" t="s">
        <v>1683</v>
      </c>
      <c r="AO729" t="s">
        <v>128</v>
      </c>
      <c r="AP729" t="str">
        <f>tbl_OriginalData[[#This Row],[Purchase_Category]]</f>
        <v>Health Care</v>
      </c>
      <c r="AQ729" s="4">
        <f>tbl_OriginalData[[#This Row],[Purchase_Amount]]</f>
        <v>375.45</v>
      </c>
      <c r="AR729">
        <f>tbl_OriginalData[[#This Row],[Frequency_of_Purchase]]</f>
        <v>6</v>
      </c>
      <c r="AS729" t="str">
        <f>tbl_OriginalData[[#This Row],[Purchase_Channel]]</f>
        <v>Online</v>
      </c>
      <c r="AT729">
        <f>tbl_OriginalData[[#This Row],[Brand_Loyalty]]</f>
        <v>3</v>
      </c>
      <c r="AU729">
        <f>tbl_OriginalData[[#This Row],[Product_Rating]]</f>
        <v>4</v>
      </c>
      <c r="AV729">
        <f>tbl_OriginalData[[#This Row],[Time_Spent_on_Product_Research(hours)]]*60</f>
        <v>0</v>
      </c>
      <c r="AW729" t="str">
        <f>tbl_OriginalData[[#This Row],[Social_Media_Influence]]</f>
        <v>High</v>
      </c>
      <c r="AX729" t="str">
        <f>tbl_OriginalData[[#This Row],[Discount_Sensitivity]]</f>
        <v>Not Sensitive</v>
      </c>
      <c r="AY729" s="3">
        <f>tbl_OriginalData[[#This Row],[Return_Rate]]/tbl_OriginalData[[#This Row],[Frequency_of_Purchase]]</f>
        <v>0.16666666666666666</v>
      </c>
      <c r="AZ729">
        <f>tbl_OriginalData[[#This Row],[Customer_Satisfaction]]</f>
        <v>8</v>
      </c>
      <c r="BA729" t="str">
        <f>tbl_OriginalData[[#This Row],[Engagement_with_Ads]]</f>
        <v>Medium</v>
      </c>
      <c r="BB729" t="str">
        <f>tbl_OriginalData[[#This Row],[Device_Used_for_Shopping]]</f>
        <v>Smartphone</v>
      </c>
      <c r="BC729" t="str">
        <f>tbl_OriginalData[[#This Row],[Payment_Method]]</f>
        <v>Other</v>
      </c>
      <c r="BD729" s="1">
        <f>tbl_OriginalData[[#This Row],[Time_of_Purchase]]</f>
        <v>45396</v>
      </c>
      <c r="BE729" t="str">
        <f>IF(tbl_OriginalData[[#This Row],[Discount_Used]]=TRUE,"Yes","No")</f>
        <v>No</v>
      </c>
      <c r="BF729" t="str">
        <f>IF(tbl_OriginalData[[#This Row],[Customer_Loyalty_Program_Member]]=TRUE,"Yes","No")</f>
        <v>Yes</v>
      </c>
      <c r="BG729" t="str">
        <f>tbl_OriginalData[[#This Row],[Purchase_Intent]]</f>
        <v>Impulsive</v>
      </c>
      <c r="BH729" t="str">
        <f>tbl_OriginalData[[#This Row],[Shipping_Preference]]</f>
        <v>Express</v>
      </c>
      <c r="BI729">
        <f>tbl_OriginalData[[#This Row],[Time_to_Decision]]</f>
        <v>1</v>
      </c>
      <c r="BJ729" t="s">
        <v>62</v>
      </c>
      <c r="BK729" t="s">
        <v>63</v>
      </c>
      <c r="BL729" t="s">
        <v>2523</v>
      </c>
    </row>
    <row r="730" spans="1:64">
      <c r="A730" t="s">
        <v>1684</v>
      </c>
      <c r="B730">
        <v>21</v>
      </c>
      <c r="C730" t="s">
        <v>50</v>
      </c>
      <c r="D730" t="s">
        <v>34</v>
      </c>
      <c r="E730" t="s">
        <v>82</v>
      </c>
      <c r="F730" t="s">
        <v>66</v>
      </c>
      <c r="G730" t="s">
        <v>51</v>
      </c>
      <c r="H730" t="s">
        <v>1685</v>
      </c>
      <c r="I730" t="s">
        <v>147</v>
      </c>
      <c r="J730">
        <v>83.5</v>
      </c>
      <c r="K730">
        <v>12</v>
      </c>
      <c r="L730" t="s">
        <v>55</v>
      </c>
      <c r="M730">
        <v>2</v>
      </c>
      <c r="N730">
        <v>4</v>
      </c>
      <c r="O730">
        <v>0</v>
      </c>
      <c r="P730" t="s">
        <v>40</v>
      </c>
      <c r="Q730" t="s">
        <v>57</v>
      </c>
      <c r="R730">
        <v>2</v>
      </c>
      <c r="S730">
        <v>7</v>
      </c>
      <c r="T730" t="s">
        <v>69</v>
      </c>
      <c r="U730" t="s">
        <v>70</v>
      </c>
      <c r="V730" t="s">
        <v>102</v>
      </c>
      <c r="W730" s="1">
        <v>45316</v>
      </c>
      <c r="X730" t="b">
        <v>1</v>
      </c>
      <c r="Y730" t="b">
        <v>1</v>
      </c>
      <c r="Z730" t="s">
        <v>44</v>
      </c>
      <c r="AA730" t="s">
        <v>60</v>
      </c>
      <c r="AB730">
        <v>10</v>
      </c>
      <c r="AF730" t="str">
        <f>tbl_OriginalData[[#This Row],[Customer_ID]]</f>
        <v>66-949-9895</v>
      </c>
      <c r="AG730">
        <f>tbl_OriginalData[[#This Row],[Age]]</f>
        <v>21</v>
      </c>
      <c r="AH730" t="str" cm="1">
        <f t="array" ref="AH73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30" t="str">
        <f>tbl_OriginalData[[#This Row],[Gender]]</f>
        <v>Male</v>
      </c>
      <c r="AJ730" t="str">
        <f>tbl_OriginalData[[#This Row],[Income_Level]]</f>
        <v>Middle</v>
      </c>
      <c r="AK730" t="str">
        <f>tbl_OriginalData[[#This Row],[Marital_Status]]</f>
        <v>Widowed</v>
      </c>
      <c r="AL730" t="str">
        <f>tbl_OriginalData[[#This Row],[Education_Level]]</f>
        <v>Master's</v>
      </c>
      <c r="AM730" t="str">
        <f>tbl_OriginalData[[#This Row],[Occupation]]</f>
        <v>High</v>
      </c>
      <c r="AN730" t="s">
        <v>1685</v>
      </c>
      <c r="AO730" t="s">
        <v>46</v>
      </c>
      <c r="AP730" t="str">
        <f>tbl_OriginalData[[#This Row],[Purchase_Category]]</f>
        <v>Electronics</v>
      </c>
      <c r="AQ730" s="4">
        <f>tbl_OriginalData[[#This Row],[Purchase_Amount]]</f>
        <v>83.5</v>
      </c>
      <c r="AR730">
        <f>tbl_OriginalData[[#This Row],[Frequency_of_Purchase]]</f>
        <v>12</v>
      </c>
      <c r="AS730" t="str">
        <f>tbl_OriginalData[[#This Row],[Purchase_Channel]]</f>
        <v>In-Store</v>
      </c>
      <c r="AT730">
        <f>tbl_OriginalData[[#This Row],[Brand_Loyalty]]</f>
        <v>2</v>
      </c>
      <c r="AU730">
        <f>tbl_OriginalData[[#This Row],[Product_Rating]]</f>
        <v>4</v>
      </c>
      <c r="AV730">
        <f>tbl_OriginalData[[#This Row],[Time_Spent_on_Product_Research(hours)]]*60</f>
        <v>0</v>
      </c>
      <c r="AW730" t="str">
        <f>tbl_OriginalData[[#This Row],[Social_Media_Influence]]</f>
        <v>None</v>
      </c>
      <c r="AX730" t="str">
        <f>tbl_OriginalData[[#This Row],[Discount_Sensitivity]]</f>
        <v>Not Sensitive</v>
      </c>
      <c r="AY730" s="3">
        <f>tbl_OriginalData[[#This Row],[Return_Rate]]/tbl_OriginalData[[#This Row],[Frequency_of_Purchase]]</f>
        <v>0.16666666666666666</v>
      </c>
      <c r="AZ730">
        <f>tbl_OriginalData[[#This Row],[Customer_Satisfaction]]</f>
        <v>7</v>
      </c>
      <c r="BA730" t="str">
        <f>tbl_OriginalData[[#This Row],[Engagement_with_Ads]]</f>
        <v>Low</v>
      </c>
      <c r="BB730" t="str">
        <f>tbl_OriginalData[[#This Row],[Device_Used_for_Shopping]]</f>
        <v>Smartphone</v>
      </c>
      <c r="BC730" t="str">
        <f>tbl_OriginalData[[#This Row],[Payment_Method]]</f>
        <v>Cash</v>
      </c>
      <c r="BD730" s="1">
        <f>tbl_OriginalData[[#This Row],[Time_of_Purchase]]</f>
        <v>45316</v>
      </c>
      <c r="BE730" t="str">
        <f>IF(tbl_OriginalData[[#This Row],[Discount_Used]]=TRUE,"Yes","No")</f>
        <v>Yes</v>
      </c>
      <c r="BF730" t="str">
        <f>IF(tbl_OriginalData[[#This Row],[Customer_Loyalty_Program_Member]]=TRUE,"Yes","No")</f>
        <v>Yes</v>
      </c>
      <c r="BG730" t="str">
        <f>tbl_OriginalData[[#This Row],[Purchase_Intent]]</f>
        <v>Need-based</v>
      </c>
      <c r="BH730" t="str">
        <f>tbl_OriginalData[[#This Row],[Shipping_Preference]]</f>
        <v>Standard</v>
      </c>
      <c r="BI730">
        <f>tbl_OriginalData[[#This Row],[Time_to_Decision]]</f>
        <v>10</v>
      </c>
      <c r="BJ730" t="s">
        <v>86</v>
      </c>
      <c r="BK730" t="s">
        <v>48</v>
      </c>
      <c r="BL730" t="s">
        <v>2523</v>
      </c>
    </row>
    <row r="731" spans="1:64">
      <c r="A731" t="s">
        <v>1686</v>
      </c>
      <c r="B731">
        <v>34</v>
      </c>
      <c r="C731" t="s">
        <v>50</v>
      </c>
      <c r="D731" t="s">
        <v>51</v>
      </c>
      <c r="E731" t="s">
        <v>35</v>
      </c>
      <c r="F731" t="s">
        <v>52</v>
      </c>
      <c r="G731" t="s">
        <v>34</v>
      </c>
      <c r="H731" t="s">
        <v>1687</v>
      </c>
      <c r="I731" t="s">
        <v>75</v>
      </c>
      <c r="J731">
        <v>109.88</v>
      </c>
      <c r="K731">
        <v>7</v>
      </c>
      <c r="L731" t="s">
        <v>94</v>
      </c>
      <c r="M731">
        <v>4</v>
      </c>
      <c r="N731">
        <v>4</v>
      </c>
      <c r="O731">
        <v>1</v>
      </c>
      <c r="P731" t="s">
        <v>69</v>
      </c>
      <c r="Q731" t="s">
        <v>101</v>
      </c>
      <c r="R731">
        <v>1</v>
      </c>
      <c r="S731">
        <v>3</v>
      </c>
      <c r="T731" t="s">
        <v>56</v>
      </c>
      <c r="U731" t="s">
        <v>70</v>
      </c>
      <c r="V731" t="s">
        <v>43</v>
      </c>
      <c r="W731" s="1">
        <v>45296</v>
      </c>
      <c r="X731" t="b">
        <v>0</v>
      </c>
      <c r="Y731" t="b">
        <v>1</v>
      </c>
      <c r="Z731" t="s">
        <v>72</v>
      </c>
      <c r="AA731" t="s">
        <v>60</v>
      </c>
      <c r="AB731">
        <v>11</v>
      </c>
      <c r="AF731" t="str">
        <f>tbl_OriginalData[[#This Row],[Customer_ID]]</f>
        <v>20-648-1010</v>
      </c>
      <c r="AG731">
        <f>tbl_OriginalData[[#This Row],[Age]]</f>
        <v>34</v>
      </c>
      <c r="AH731" t="str" cm="1">
        <f t="array" ref="AH73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31" t="str">
        <f>tbl_OriginalData[[#This Row],[Gender]]</f>
        <v>Male</v>
      </c>
      <c r="AJ731" t="str">
        <f>tbl_OriginalData[[#This Row],[Income_Level]]</f>
        <v>High</v>
      </c>
      <c r="AK731" t="str">
        <f>tbl_OriginalData[[#This Row],[Marital_Status]]</f>
        <v>Married</v>
      </c>
      <c r="AL731" t="str">
        <f>tbl_OriginalData[[#This Row],[Education_Level]]</f>
        <v>High School</v>
      </c>
      <c r="AM731" t="str">
        <f>tbl_OriginalData[[#This Row],[Occupation]]</f>
        <v>Middle</v>
      </c>
      <c r="AN731" t="s">
        <v>1687</v>
      </c>
      <c r="AO731" t="s">
        <v>61</v>
      </c>
      <c r="AP731" t="str">
        <f>tbl_OriginalData[[#This Row],[Purchase_Category]]</f>
        <v>Home Appliances</v>
      </c>
      <c r="AQ731" s="4">
        <f>tbl_OriginalData[[#This Row],[Purchase_Amount]]</f>
        <v>109.88</v>
      </c>
      <c r="AR731">
        <f>tbl_OriginalData[[#This Row],[Frequency_of_Purchase]]</f>
        <v>7</v>
      </c>
      <c r="AS731" t="str">
        <f>tbl_OriginalData[[#This Row],[Purchase_Channel]]</f>
        <v>Online</v>
      </c>
      <c r="AT731">
        <f>tbl_OriginalData[[#This Row],[Brand_Loyalty]]</f>
        <v>4</v>
      </c>
      <c r="AU731">
        <f>tbl_OriginalData[[#This Row],[Product_Rating]]</f>
        <v>4</v>
      </c>
      <c r="AV731">
        <f>tbl_OriginalData[[#This Row],[Time_Spent_on_Product_Research(hours)]]*60</f>
        <v>60</v>
      </c>
      <c r="AW731" t="str">
        <f>tbl_OriginalData[[#This Row],[Social_Media_Influence]]</f>
        <v>Low</v>
      </c>
      <c r="AX731" t="str">
        <f>tbl_OriginalData[[#This Row],[Discount_Sensitivity]]</f>
        <v>Very Sensitive</v>
      </c>
      <c r="AY731" s="3">
        <f>tbl_OriginalData[[#This Row],[Return_Rate]]/tbl_OriginalData[[#This Row],[Frequency_of_Purchase]]</f>
        <v>0.14285714285714285</v>
      </c>
      <c r="AZ731">
        <f>tbl_OriginalData[[#This Row],[Customer_Satisfaction]]</f>
        <v>3</v>
      </c>
      <c r="BA731" t="str">
        <f>tbl_OriginalData[[#This Row],[Engagement_with_Ads]]</f>
        <v>Medium</v>
      </c>
      <c r="BB731" t="str">
        <f>tbl_OriginalData[[#This Row],[Device_Used_for_Shopping]]</f>
        <v>Smartphone</v>
      </c>
      <c r="BC731" t="str">
        <f>tbl_OriginalData[[#This Row],[Payment_Method]]</f>
        <v>Credit Card</v>
      </c>
      <c r="BD731" s="1">
        <f>tbl_OriginalData[[#This Row],[Time_of_Purchase]]</f>
        <v>45296</v>
      </c>
      <c r="BE731" t="str">
        <f>IF(tbl_OriginalData[[#This Row],[Discount_Used]]=TRUE,"Yes","No")</f>
        <v>No</v>
      </c>
      <c r="BF731" t="str">
        <f>IF(tbl_OriginalData[[#This Row],[Customer_Loyalty_Program_Member]]=TRUE,"Yes","No")</f>
        <v>Yes</v>
      </c>
      <c r="BG731" t="str">
        <f>tbl_OriginalData[[#This Row],[Purchase_Intent]]</f>
        <v>Impulsive</v>
      </c>
      <c r="BH731" t="str">
        <f>tbl_OriginalData[[#This Row],[Shipping_Preference]]</f>
        <v>Standard</v>
      </c>
      <c r="BI731">
        <f>tbl_OriginalData[[#This Row],[Time_to_Decision]]</f>
        <v>11</v>
      </c>
      <c r="BJ731" t="s">
        <v>86</v>
      </c>
      <c r="BK731" t="s">
        <v>48</v>
      </c>
      <c r="BL731" t="s">
        <v>2524</v>
      </c>
    </row>
    <row r="732" spans="1:64">
      <c r="A732" t="s">
        <v>1688</v>
      </c>
      <c r="B732">
        <v>21</v>
      </c>
      <c r="C732" t="s">
        <v>33</v>
      </c>
      <c r="D732" t="s">
        <v>51</v>
      </c>
      <c r="E732" t="s">
        <v>35</v>
      </c>
      <c r="F732" t="s">
        <v>52</v>
      </c>
      <c r="G732" t="s">
        <v>51</v>
      </c>
      <c r="H732" t="s">
        <v>1689</v>
      </c>
      <c r="I732" t="s">
        <v>68</v>
      </c>
      <c r="J732">
        <v>182.54</v>
      </c>
      <c r="K732">
        <v>11</v>
      </c>
      <c r="L732" t="s">
        <v>39</v>
      </c>
      <c r="M732">
        <v>5</v>
      </c>
      <c r="N732">
        <v>5</v>
      </c>
      <c r="O732">
        <v>1</v>
      </c>
      <c r="P732" t="s">
        <v>56</v>
      </c>
      <c r="Q732" t="s">
        <v>41</v>
      </c>
      <c r="R732">
        <v>1</v>
      </c>
      <c r="S732">
        <v>1</v>
      </c>
      <c r="T732" t="s">
        <v>51</v>
      </c>
      <c r="U732" t="s">
        <v>42</v>
      </c>
      <c r="V732" t="s">
        <v>102</v>
      </c>
      <c r="W732" s="1">
        <v>45525</v>
      </c>
      <c r="X732" t="b">
        <v>0</v>
      </c>
      <c r="Y732" t="b">
        <v>0</v>
      </c>
      <c r="Z732" t="s">
        <v>44</v>
      </c>
      <c r="AA732" t="s">
        <v>60</v>
      </c>
      <c r="AB732">
        <v>13</v>
      </c>
      <c r="AF732" t="str">
        <f>tbl_OriginalData[[#This Row],[Customer_ID]]</f>
        <v>79-939-5393</v>
      </c>
      <c r="AG732">
        <f>tbl_OriginalData[[#This Row],[Age]]</f>
        <v>21</v>
      </c>
      <c r="AH732" t="str" cm="1">
        <f t="array" ref="AH73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32" t="str">
        <f>tbl_OriginalData[[#This Row],[Gender]]</f>
        <v>Female</v>
      </c>
      <c r="AJ732" t="str">
        <f>tbl_OriginalData[[#This Row],[Income_Level]]</f>
        <v>High</v>
      </c>
      <c r="AK732" t="str">
        <f>tbl_OriginalData[[#This Row],[Marital_Status]]</f>
        <v>Married</v>
      </c>
      <c r="AL732" t="str">
        <f>tbl_OriginalData[[#This Row],[Education_Level]]</f>
        <v>High School</v>
      </c>
      <c r="AM732" t="str">
        <f>tbl_OriginalData[[#This Row],[Occupation]]</f>
        <v>High</v>
      </c>
      <c r="AN732" t="s">
        <v>1689</v>
      </c>
      <c r="AO732" t="s">
        <v>113</v>
      </c>
      <c r="AP732" t="str">
        <f>tbl_OriginalData[[#This Row],[Purchase_Category]]</f>
        <v>Office Supplies</v>
      </c>
      <c r="AQ732" s="4">
        <f>tbl_OriginalData[[#This Row],[Purchase_Amount]]</f>
        <v>182.54</v>
      </c>
      <c r="AR732">
        <f>tbl_OriginalData[[#This Row],[Frequency_of_Purchase]]</f>
        <v>11</v>
      </c>
      <c r="AS732" t="str">
        <f>tbl_OriginalData[[#This Row],[Purchase_Channel]]</f>
        <v>Mixed</v>
      </c>
      <c r="AT732">
        <f>tbl_OriginalData[[#This Row],[Brand_Loyalty]]</f>
        <v>5</v>
      </c>
      <c r="AU732">
        <f>tbl_OriginalData[[#This Row],[Product_Rating]]</f>
        <v>5</v>
      </c>
      <c r="AV732">
        <f>tbl_OriginalData[[#This Row],[Time_Spent_on_Product_Research(hours)]]*60</f>
        <v>60</v>
      </c>
      <c r="AW732" t="str">
        <f>tbl_OriginalData[[#This Row],[Social_Media_Influence]]</f>
        <v>Medium</v>
      </c>
      <c r="AX732" t="str">
        <f>tbl_OriginalData[[#This Row],[Discount_Sensitivity]]</f>
        <v>Somewhat Sensitive</v>
      </c>
      <c r="AY732" s="3">
        <f>tbl_OriginalData[[#This Row],[Return_Rate]]/tbl_OriginalData[[#This Row],[Frequency_of_Purchase]]</f>
        <v>9.0909090909090912E-2</v>
      </c>
      <c r="AZ732">
        <f>tbl_OriginalData[[#This Row],[Customer_Satisfaction]]</f>
        <v>1</v>
      </c>
      <c r="BA732" t="str">
        <f>tbl_OriginalData[[#This Row],[Engagement_with_Ads]]</f>
        <v>High</v>
      </c>
      <c r="BB732" t="str">
        <f>tbl_OriginalData[[#This Row],[Device_Used_for_Shopping]]</f>
        <v>Tablet</v>
      </c>
      <c r="BC732" t="str">
        <f>tbl_OriginalData[[#This Row],[Payment_Method]]</f>
        <v>Cash</v>
      </c>
      <c r="BD732" s="1">
        <f>tbl_OriginalData[[#This Row],[Time_of_Purchase]]</f>
        <v>45525</v>
      </c>
      <c r="BE732" t="str">
        <f>IF(tbl_OriginalData[[#This Row],[Discount_Used]]=TRUE,"Yes","No")</f>
        <v>No</v>
      </c>
      <c r="BF732" t="str">
        <f>IF(tbl_OriginalData[[#This Row],[Customer_Loyalty_Program_Member]]=TRUE,"Yes","No")</f>
        <v>No</v>
      </c>
      <c r="BG732" t="str">
        <f>tbl_OriginalData[[#This Row],[Purchase_Intent]]</f>
        <v>Need-based</v>
      </c>
      <c r="BH732" t="str">
        <f>tbl_OriginalData[[#This Row],[Shipping_Preference]]</f>
        <v>Standard</v>
      </c>
      <c r="BI732">
        <f>tbl_OriginalData[[#This Row],[Time_to_Decision]]</f>
        <v>13</v>
      </c>
      <c r="BJ732" t="s">
        <v>124</v>
      </c>
      <c r="BK732" t="s">
        <v>115</v>
      </c>
      <c r="BL732" t="s">
        <v>2525</v>
      </c>
    </row>
    <row r="733" spans="1:64">
      <c r="A733" t="s">
        <v>1690</v>
      </c>
      <c r="B733">
        <v>23</v>
      </c>
      <c r="C733" t="s">
        <v>33</v>
      </c>
      <c r="D733" t="s">
        <v>51</v>
      </c>
      <c r="E733" t="s">
        <v>82</v>
      </c>
      <c r="F733" t="s">
        <v>36</v>
      </c>
      <c r="G733" t="s">
        <v>51</v>
      </c>
      <c r="H733" t="s">
        <v>1691</v>
      </c>
      <c r="I733" t="s">
        <v>84</v>
      </c>
      <c r="J733">
        <v>465.48</v>
      </c>
      <c r="K733">
        <v>3</v>
      </c>
      <c r="L733" t="s">
        <v>39</v>
      </c>
      <c r="M733">
        <v>3</v>
      </c>
      <c r="N733">
        <v>3</v>
      </c>
      <c r="O733">
        <v>2</v>
      </c>
      <c r="P733" t="s">
        <v>56</v>
      </c>
      <c r="Q733" t="s">
        <v>101</v>
      </c>
      <c r="R733">
        <v>1</v>
      </c>
      <c r="S733">
        <v>8</v>
      </c>
      <c r="T733" t="s">
        <v>56</v>
      </c>
      <c r="U733" t="s">
        <v>42</v>
      </c>
      <c r="V733" t="s">
        <v>102</v>
      </c>
      <c r="W733" s="1">
        <v>45464</v>
      </c>
      <c r="X733" t="b">
        <v>0</v>
      </c>
      <c r="Y733" t="b">
        <v>0</v>
      </c>
      <c r="Z733" t="s">
        <v>59</v>
      </c>
      <c r="AA733" t="s">
        <v>45</v>
      </c>
      <c r="AB733">
        <v>1</v>
      </c>
      <c r="AF733" t="str">
        <f>tbl_OriginalData[[#This Row],[Customer_ID]]</f>
        <v>89-249-8369</v>
      </c>
      <c r="AG733">
        <f>tbl_OriginalData[[#This Row],[Age]]</f>
        <v>23</v>
      </c>
      <c r="AH733" t="str" cm="1">
        <f t="array" ref="AH73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33" t="str">
        <f>tbl_OriginalData[[#This Row],[Gender]]</f>
        <v>Female</v>
      </c>
      <c r="AJ733" t="str">
        <f>tbl_OriginalData[[#This Row],[Income_Level]]</f>
        <v>High</v>
      </c>
      <c r="AK733" t="str">
        <f>tbl_OriginalData[[#This Row],[Marital_Status]]</f>
        <v>Widowed</v>
      </c>
      <c r="AL733" t="str">
        <f>tbl_OriginalData[[#This Row],[Education_Level]]</f>
        <v>Bachelor's</v>
      </c>
      <c r="AM733" t="str">
        <f>tbl_OriginalData[[#This Row],[Occupation]]</f>
        <v>High</v>
      </c>
      <c r="AN733" t="s">
        <v>1691</v>
      </c>
      <c r="AO733" t="s">
        <v>1692</v>
      </c>
      <c r="AP733" t="str">
        <f>tbl_OriginalData[[#This Row],[Purchase_Category]]</f>
        <v>Furniture</v>
      </c>
      <c r="AQ733" s="4">
        <f>tbl_OriginalData[[#This Row],[Purchase_Amount]]</f>
        <v>465.48</v>
      </c>
      <c r="AR733">
        <f>tbl_OriginalData[[#This Row],[Frequency_of_Purchase]]</f>
        <v>3</v>
      </c>
      <c r="AS733" t="str">
        <f>tbl_OriginalData[[#This Row],[Purchase_Channel]]</f>
        <v>Mixed</v>
      </c>
      <c r="AT733">
        <f>tbl_OriginalData[[#This Row],[Brand_Loyalty]]</f>
        <v>3</v>
      </c>
      <c r="AU733">
        <f>tbl_OriginalData[[#This Row],[Product_Rating]]</f>
        <v>3</v>
      </c>
      <c r="AV733">
        <f>tbl_OriginalData[[#This Row],[Time_Spent_on_Product_Research(hours)]]*60</f>
        <v>120</v>
      </c>
      <c r="AW733" t="str">
        <f>tbl_OriginalData[[#This Row],[Social_Media_Influence]]</f>
        <v>Medium</v>
      </c>
      <c r="AX733" t="str">
        <f>tbl_OriginalData[[#This Row],[Discount_Sensitivity]]</f>
        <v>Very Sensitive</v>
      </c>
      <c r="AY733" s="3">
        <f>tbl_OriginalData[[#This Row],[Return_Rate]]/tbl_OriginalData[[#This Row],[Frequency_of_Purchase]]</f>
        <v>0.33333333333333331</v>
      </c>
      <c r="AZ733">
        <f>tbl_OriginalData[[#This Row],[Customer_Satisfaction]]</f>
        <v>8</v>
      </c>
      <c r="BA733" t="str">
        <f>tbl_OriginalData[[#This Row],[Engagement_with_Ads]]</f>
        <v>Medium</v>
      </c>
      <c r="BB733" t="str">
        <f>tbl_OriginalData[[#This Row],[Device_Used_for_Shopping]]</f>
        <v>Tablet</v>
      </c>
      <c r="BC733" t="str">
        <f>tbl_OriginalData[[#This Row],[Payment_Method]]</f>
        <v>Cash</v>
      </c>
      <c r="BD733" s="1">
        <f>tbl_OriginalData[[#This Row],[Time_of_Purchase]]</f>
        <v>45464</v>
      </c>
      <c r="BE733" t="str">
        <f>IF(tbl_OriginalData[[#This Row],[Discount_Used]]=TRUE,"Yes","No")</f>
        <v>No</v>
      </c>
      <c r="BF733" t="str">
        <f>IF(tbl_OriginalData[[#This Row],[Customer_Loyalty_Program_Member]]=TRUE,"Yes","No")</f>
        <v>No</v>
      </c>
      <c r="BG733" t="str">
        <f>tbl_OriginalData[[#This Row],[Purchase_Intent]]</f>
        <v>Wants-based</v>
      </c>
      <c r="BH733" t="str">
        <f>tbl_OriginalData[[#This Row],[Shipping_Preference]]</f>
        <v>No Preference</v>
      </c>
      <c r="BI733">
        <f>tbl_OriginalData[[#This Row],[Time_to_Decision]]</f>
        <v>1</v>
      </c>
      <c r="BJ733" t="s">
        <v>104</v>
      </c>
      <c r="BK733" t="s">
        <v>63</v>
      </c>
      <c r="BL733" t="s">
        <v>2524</v>
      </c>
    </row>
    <row r="734" spans="1:64">
      <c r="A734" t="s">
        <v>1693</v>
      </c>
      <c r="B734">
        <v>31</v>
      </c>
      <c r="C734" t="s">
        <v>33</v>
      </c>
      <c r="D734" t="s">
        <v>34</v>
      </c>
      <c r="E734" t="s">
        <v>35</v>
      </c>
      <c r="F734" t="s">
        <v>52</v>
      </c>
      <c r="G734" t="s">
        <v>34</v>
      </c>
      <c r="H734" t="s">
        <v>1694</v>
      </c>
      <c r="I734" t="s">
        <v>131</v>
      </c>
      <c r="J734">
        <v>224.52</v>
      </c>
      <c r="K734">
        <v>8</v>
      </c>
      <c r="L734" t="s">
        <v>39</v>
      </c>
      <c r="M734">
        <v>3</v>
      </c>
      <c r="N734">
        <v>3</v>
      </c>
      <c r="O734">
        <v>2</v>
      </c>
      <c r="P734" t="s">
        <v>69</v>
      </c>
      <c r="Q734" t="s">
        <v>57</v>
      </c>
      <c r="R734">
        <v>1</v>
      </c>
      <c r="S734">
        <v>5</v>
      </c>
      <c r="T734" t="s">
        <v>51</v>
      </c>
      <c r="U734" t="s">
        <v>95</v>
      </c>
      <c r="V734" t="s">
        <v>43</v>
      </c>
      <c r="W734" s="1">
        <v>45625</v>
      </c>
      <c r="X734" t="b">
        <v>1</v>
      </c>
      <c r="Y734" t="b">
        <v>0</v>
      </c>
      <c r="Z734" t="s">
        <v>72</v>
      </c>
      <c r="AA734" t="s">
        <v>77</v>
      </c>
      <c r="AB734">
        <v>1</v>
      </c>
      <c r="AF734" t="str">
        <f>tbl_OriginalData[[#This Row],[Customer_ID]]</f>
        <v>85-366-1482</v>
      </c>
      <c r="AG734">
        <f>tbl_OriginalData[[#This Row],[Age]]</f>
        <v>31</v>
      </c>
      <c r="AH734" t="str" cm="1">
        <f t="array" ref="AH73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34" t="str">
        <f>tbl_OriginalData[[#This Row],[Gender]]</f>
        <v>Female</v>
      </c>
      <c r="AJ734" t="str">
        <f>tbl_OriginalData[[#This Row],[Income_Level]]</f>
        <v>Middle</v>
      </c>
      <c r="AK734" t="str">
        <f>tbl_OriginalData[[#This Row],[Marital_Status]]</f>
        <v>Married</v>
      </c>
      <c r="AL734" t="str">
        <f>tbl_OriginalData[[#This Row],[Education_Level]]</f>
        <v>High School</v>
      </c>
      <c r="AM734" t="str">
        <f>tbl_OriginalData[[#This Row],[Occupation]]</f>
        <v>Middle</v>
      </c>
      <c r="AN734" t="s">
        <v>1694</v>
      </c>
      <c r="AO734" t="s">
        <v>157</v>
      </c>
      <c r="AP734" t="str">
        <f>tbl_OriginalData[[#This Row],[Purchase_Category]]</f>
        <v>Health Care</v>
      </c>
      <c r="AQ734" s="4">
        <f>tbl_OriginalData[[#This Row],[Purchase_Amount]]</f>
        <v>224.52</v>
      </c>
      <c r="AR734">
        <f>tbl_OriginalData[[#This Row],[Frequency_of_Purchase]]</f>
        <v>8</v>
      </c>
      <c r="AS734" t="str">
        <f>tbl_OriginalData[[#This Row],[Purchase_Channel]]</f>
        <v>Mixed</v>
      </c>
      <c r="AT734">
        <f>tbl_OriginalData[[#This Row],[Brand_Loyalty]]</f>
        <v>3</v>
      </c>
      <c r="AU734">
        <f>tbl_OriginalData[[#This Row],[Product_Rating]]</f>
        <v>3</v>
      </c>
      <c r="AV734">
        <f>tbl_OriginalData[[#This Row],[Time_Spent_on_Product_Research(hours)]]*60</f>
        <v>120</v>
      </c>
      <c r="AW734" t="str">
        <f>tbl_OriginalData[[#This Row],[Social_Media_Influence]]</f>
        <v>Low</v>
      </c>
      <c r="AX734" t="str">
        <f>tbl_OriginalData[[#This Row],[Discount_Sensitivity]]</f>
        <v>Not Sensitive</v>
      </c>
      <c r="AY734" s="3">
        <f>tbl_OriginalData[[#This Row],[Return_Rate]]/tbl_OriginalData[[#This Row],[Frequency_of_Purchase]]</f>
        <v>0.125</v>
      </c>
      <c r="AZ734">
        <f>tbl_OriginalData[[#This Row],[Customer_Satisfaction]]</f>
        <v>5</v>
      </c>
      <c r="BA734" t="str">
        <f>tbl_OriginalData[[#This Row],[Engagement_with_Ads]]</f>
        <v>High</v>
      </c>
      <c r="BB734" t="str">
        <f>tbl_OriginalData[[#This Row],[Device_Used_for_Shopping]]</f>
        <v>Desktop</v>
      </c>
      <c r="BC734" t="str">
        <f>tbl_OriginalData[[#This Row],[Payment_Method]]</f>
        <v>Credit Card</v>
      </c>
      <c r="BD734" s="1">
        <f>tbl_OriginalData[[#This Row],[Time_of_Purchase]]</f>
        <v>45625</v>
      </c>
      <c r="BE734" t="str">
        <f>IF(tbl_OriginalData[[#This Row],[Discount_Used]]=TRUE,"Yes","No")</f>
        <v>Yes</v>
      </c>
      <c r="BF734" t="str">
        <f>IF(tbl_OriginalData[[#This Row],[Customer_Loyalty_Program_Member]]=TRUE,"Yes","No")</f>
        <v>No</v>
      </c>
      <c r="BG734" t="str">
        <f>tbl_OriginalData[[#This Row],[Purchase_Intent]]</f>
        <v>Impulsive</v>
      </c>
      <c r="BH734" t="str">
        <f>tbl_OriginalData[[#This Row],[Shipping_Preference]]</f>
        <v>Express</v>
      </c>
      <c r="BI734">
        <f>tbl_OriginalData[[#This Row],[Time_to_Decision]]</f>
        <v>1</v>
      </c>
      <c r="BJ734" t="s">
        <v>177</v>
      </c>
      <c r="BK734" t="s">
        <v>80</v>
      </c>
      <c r="BL734" t="s">
        <v>2523</v>
      </c>
    </row>
    <row r="735" spans="1:64">
      <c r="A735" t="s">
        <v>1695</v>
      </c>
      <c r="B735">
        <v>21</v>
      </c>
      <c r="C735" t="s">
        <v>50</v>
      </c>
      <c r="D735" t="s">
        <v>51</v>
      </c>
      <c r="E735" t="s">
        <v>82</v>
      </c>
      <c r="F735" t="s">
        <v>66</v>
      </c>
      <c r="G735" t="s">
        <v>34</v>
      </c>
      <c r="H735" t="s">
        <v>1696</v>
      </c>
      <c r="I735" t="s">
        <v>235</v>
      </c>
      <c r="J735">
        <v>281.37</v>
      </c>
      <c r="K735">
        <v>12</v>
      </c>
      <c r="L735" t="s">
        <v>94</v>
      </c>
      <c r="M735">
        <v>2</v>
      </c>
      <c r="N735">
        <v>3</v>
      </c>
      <c r="O735">
        <v>2</v>
      </c>
      <c r="P735" t="s">
        <v>69</v>
      </c>
      <c r="Q735" t="s">
        <v>101</v>
      </c>
      <c r="R735">
        <v>0</v>
      </c>
      <c r="S735">
        <v>2</v>
      </c>
      <c r="T735" t="s">
        <v>69</v>
      </c>
      <c r="U735" t="s">
        <v>70</v>
      </c>
      <c r="V735" t="s">
        <v>71</v>
      </c>
      <c r="W735" s="1">
        <v>45293</v>
      </c>
      <c r="X735" t="b">
        <v>0</v>
      </c>
      <c r="Y735" t="b">
        <v>1</v>
      </c>
      <c r="Z735" t="s">
        <v>72</v>
      </c>
      <c r="AA735" t="s">
        <v>77</v>
      </c>
      <c r="AB735">
        <v>14</v>
      </c>
      <c r="AF735" t="str">
        <f>tbl_OriginalData[[#This Row],[Customer_ID]]</f>
        <v>34-874-7357</v>
      </c>
      <c r="AG735">
        <f>tbl_OriginalData[[#This Row],[Age]]</f>
        <v>21</v>
      </c>
      <c r="AH735" t="str" cm="1">
        <f t="array" ref="AH73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35" t="str">
        <f>tbl_OriginalData[[#This Row],[Gender]]</f>
        <v>Male</v>
      </c>
      <c r="AJ735" t="str">
        <f>tbl_OriginalData[[#This Row],[Income_Level]]</f>
        <v>High</v>
      </c>
      <c r="AK735" t="str">
        <f>tbl_OriginalData[[#This Row],[Marital_Status]]</f>
        <v>Widowed</v>
      </c>
      <c r="AL735" t="str">
        <f>tbl_OriginalData[[#This Row],[Education_Level]]</f>
        <v>Master's</v>
      </c>
      <c r="AM735" t="str">
        <f>tbl_OriginalData[[#This Row],[Occupation]]</f>
        <v>Middle</v>
      </c>
      <c r="AN735" t="s">
        <v>1696</v>
      </c>
      <c r="AO735" t="s">
        <v>132</v>
      </c>
      <c r="AP735" t="str">
        <f>tbl_OriginalData[[#This Row],[Purchase_Category]]</f>
        <v>Beauty &amp; Personal Care</v>
      </c>
      <c r="AQ735" s="4">
        <f>tbl_OriginalData[[#This Row],[Purchase_Amount]]</f>
        <v>281.37</v>
      </c>
      <c r="AR735">
        <f>tbl_OriginalData[[#This Row],[Frequency_of_Purchase]]</f>
        <v>12</v>
      </c>
      <c r="AS735" t="str">
        <f>tbl_OriginalData[[#This Row],[Purchase_Channel]]</f>
        <v>Online</v>
      </c>
      <c r="AT735">
        <f>tbl_OriginalData[[#This Row],[Brand_Loyalty]]</f>
        <v>2</v>
      </c>
      <c r="AU735">
        <f>tbl_OriginalData[[#This Row],[Product_Rating]]</f>
        <v>3</v>
      </c>
      <c r="AV735">
        <f>tbl_OriginalData[[#This Row],[Time_Spent_on_Product_Research(hours)]]*60</f>
        <v>120</v>
      </c>
      <c r="AW735" t="str">
        <f>tbl_OriginalData[[#This Row],[Social_Media_Influence]]</f>
        <v>Low</v>
      </c>
      <c r="AX735" t="str">
        <f>tbl_OriginalData[[#This Row],[Discount_Sensitivity]]</f>
        <v>Very Sensitive</v>
      </c>
      <c r="AY735" s="3">
        <f>tbl_OriginalData[[#This Row],[Return_Rate]]/tbl_OriginalData[[#This Row],[Frequency_of_Purchase]]</f>
        <v>0</v>
      </c>
      <c r="AZ735">
        <f>tbl_OriginalData[[#This Row],[Customer_Satisfaction]]</f>
        <v>2</v>
      </c>
      <c r="BA735" t="str">
        <f>tbl_OriginalData[[#This Row],[Engagement_with_Ads]]</f>
        <v>Low</v>
      </c>
      <c r="BB735" t="str">
        <f>tbl_OriginalData[[#This Row],[Device_Used_for_Shopping]]</f>
        <v>Smartphone</v>
      </c>
      <c r="BC735" t="str">
        <f>tbl_OriginalData[[#This Row],[Payment_Method]]</f>
        <v>Debit Card</v>
      </c>
      <c r="BD735" s="1">
        <f>tbl_OriginalData[[#This Row],[Time_of_Purchase]]</f>
        <v>45293</v>
      </c>
      <c r="BE735" t="str">
        <f>IF(tbl_OriginalData[[#This Row],[Discount_Used]]=TRUE,"Yes","No")</f>
        <v>No</v>
      </c>
      <c r="BF735" t="str">
        <f>IF(tbl_OriginalData[[#This Row],[Customer_Loyalty_Program_Member]]=TRUE,"Yes","No")</f>
        <v>Yes</v>
      </c>
      <c r="BG735" t="str">
        <f>tbl_OriginalData[[#This Row],[Purchase_Intent]]</f>
        <v>Impulsive</v>
      </c>
      <c r="BH735" t="str">
        <f>tbl_OriginalData[[#This Row],[Shipping_Preference]]</f>
        <v>Express</v>
      </c>
      <c r="BI735">
        <f>tbl_OriginalData[[#This Row],[Time_to_Decision]]</f>
        <v>14</v>
      </c>
      <c r="BJ735" t="s">
        <v>86</v>
      </c>
      <c r="BK735" t="s">
        <v>48</v>
      </c>
      <c r="BL735" t="s">
        <v>2525</v>
      </c>
    </row>
    <row r="736" spans="1:64">
      <c r="A736" t="s">
        <v>1697</v>
      </c>
      <c r="B736">
        <v>22</v>
      </c>
      <c r="C736" t="s">
        <v>33</v>
      </c>
      <c r="D736" t="s">
        <v>34</v>
      </c>
      <c r="E736" t="s">
        <v>35</v>
      </c>
      <c r="F736" t="s">
        <v>36</v>
      </c>
      <c r="G736" t="s">
        <v>34</v>
      </c>
      <c r="H736" t="s">
        <v>1698</v>
      </c>
      <c r="I736" t="s">
        <v>68</v>
      </c>
      <c r="J736">
        <v>125.68</v>
      </c>
      <c r="K736">
        <v>2</v>
      </c>
      <c r="L736" t="s">
        <v>94</v>
      </c>
      <c r="M736">
        <v>1</v>
      </c>
      <c r="N736">
        <v>4</v>
      </c>
      <c r="O736">
        <v>1</v>
      </c>
      <c r="P736" t="s">
        <v>40</v>
      </c>
      <c r="Q736" t="s">
        <v>57</v>
      </c>
      <c r="R736">
        <v>1</v>
      </c>
      <c r="S736">
        <v>8</v>
      </c>
      <c r="T736" t="s">
        <v>56</v>
      </c>
      <c r="U736" t="s">
        <v>70</v>
      </c>
      <c r="V736" t="s">
        <v>71</v>
      </c>
      <c r="W736" s="1">
        <v>45464</v>
      </c>
      <c r="X736" t="b">
        <v>1</v>
      </c>
      <c r="Y736" t="b">
        <v>0</v>
      </c>
      <c r="Z736" t="s">
        <v>44</v>
      </c>
      <c r="AA736" t="s">
        <v>77</v>
      </c>
      <c r="AB736">
        <v>9</v>
      </c>
      <c r="AF736" t="str">
        <f>tbl_OriginalData[[#This Row],[Customer_ID]]</f>
        <v>11-820-5039</v>
      </c>
      <c r="AG736">
        <f>tbl_OriginalData[[#This Row],[Age]]</f>
        <v>22</v>
      </c>
      <c r="AH736" t="str" cm="1">
        <f t="array" ref="AH73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36" t="str">
        <f>tbl_OriginalData[[#This Row],[Gender]]</f>
        <v>Female</v>
      </c>
      <c r="AJ736" t="str">
        <f>tbl_OriginalData[[#This Row],[Income_Level]]</f>
        <v>Middle</v>
      </c>
      <c r="AK736" t="str">
        <f>tbl_OriginalData[[#This Row],[Marital_Status]]</f>
        <v>Married</v>
      </c>
      <c r="AL736" t="str">
        <f>tbl_OriginalData[[#This Row],[Education_Level]]</f>
        <v>Bachelor's</v>
      </c>
      <c r="AM736" t="str">
        <f>tbl_OriginalData[[#This Row],[Occupation]]</f>
        <v>Middle</v>
      </c>
      <c r="AN736" t="s">
        <v>1698</v>
      </c>
      <c r="AO736" t="s">
        <v>328</v>
      </c>
      <c r="AP736" t="str">
        <f>tbl_OriginalData[[#This Row],[Purchase_Category]]</f>
        <v>Office Supplies</v>
      </c>
      <c r="AQ736" s="4">
        <f>tbl_OriginalData[[#This Row],[Purchase_Amount]]</f>
        <v>125.68</v>
      </c>
      <c r="AR736">
        <f>tbl_OriginalData[[#This Row],[Frequency_of_Purchase]]</f>
        <v>2</v>
      </c>
      <c r="AS736" t="str">
        <f>tbl_OriginalData[[#This Row],[Purchase_Channel]]</f>
        <v>Online</v>
      </c>
      <c r="AT736">
        <f>tbl_OriginalData[[#This Row],[Brand_Loyalty]]</f>
        <v>1</v>
      </c>
      <c r="AU736">
        <f>tbl_OriginalData[[#This Row],[Product_Rating]]</f>
        <v>4</v>
      </c>
      <c r="AV736">
        <f>tbl_OriginalData[[#This Row],[Time_Spent_on_Product_Research(hours)]]*60</f>
        <v>60</v>
      </c>
      <c r="AW736" t="str">
        <f>tbl_OriginalData[[#This Row],[Social_Media_Influence]]</f>
        <v>None</v>
      </c>
      <c r="AX736" t="str">
        <f>tbl_OriginalData[[#This Row],[Discount_Sensitivity]]</f>
        <v>Not Sensitive</v>
      </c>
      <c r="AY736" s="3">
        <f>tbl_OriginalData[[#This Row],[Return_Rate]]/tbl_OriginalData[[#This Row],[Frequency_of_Purchase]]</f>
        <v>0.5</v>
      </c>
      <c r="AZ736">
        <f>tbl_OriginalData[[#This Row],[Customer_Satisfaction]]</f>
        <v>8</v>
      </c>
      <c r="BA736" t="str">
        <f>tbl_OriginalData[[#This Row],[Engagement_with_Ads]]</f>
        <v>Medium</v>
      </c>
      <c r="BB736" t="str">
        <f>tbl_OriginalData[[#This Row],[Device_Used_for_Shopping]]</f>
        <v>Smartphone</v>
      </c>
      <c r="BC736" t="str">
        <f>tbl_OriginalData[[#This Row],[Payment_Method]]</f>
        <v>Debit Card</v>
      </c>
      <c r="BD736" s="1">
        <f>tbl_OriginalData[[#This Row],[Time_of_Purchase]]</f>
        <v>45464</v>
      </c>
      <c r="BE736" t="str">
        <f>IF(tbl_OriginalData[[#This Row],[Discount_Used]]=TRUE,"Yes","No")</f>
        <v>Yes</v>
      </c>
      <c r="BF736" t="str">
        <f>IF(tbl_OriginalData[[#This Row],[Customer_Loyalty_Program_Member]]=TRUE,"Yes","No")</f>
        <v>No</v>
      </c>
      <c r="BG736" t="str">
        <f>tbl_OriginalData[[#This Row],[Purchase_Intent]]</f>
        <v>Need-based</v>
      </c>
      <c r="BH736" t="str">
        <f>tbl_OriginalData[[#This Row],[Shipping_Preference]]</f>
        <v>Express</v>
      </c>
      <c r="BI736">
        <f>tbl_OriginalData[[#This Row],[Time_to_Decision]]</f>
        <v>9</v>
      </c>
      <c r="BJ736" t="s">
        <v>104</v>
      </c>
      <c r="BK736" t="s">
        <v>63</v>
      </c>
      <c r="BL736" t="s">
        <v>2527</v>
      </c>
    </row>
    <row r="737" spans="1:64">
      <c r="A737" t="s">
        <v>1699</v>
      </c>
      <c r="B737">
        <v>38</v>
      </c>
      <c r="C737" t="s">
        <v>33</v>
      </c>
      <c r="D737" t="s">
        <v>51</v>
      </c>
      <c r="E737" t="s">
        <v>65</v>
      </c>
      <c r="F737" t="s">
        <v>52</v>
      </c>
      <c r="G737" t="s">
        <v>51</v>
      </c>
      <c r="H737" t="s">
        <v>1700</v>
      </c>
      <c r="I737" t="s">
        <v>235</v>
      </c>
      <c r="J737">
        <v>178.21</v>
      </c>
      <c r="K737">
        <v>7</v>
      </c>
      <c r="L737" t="s">
        <v>55</v>
      </c>
      <c r="M737">
        <v>1</v>
      </c>
      <c r="N737">
        <v>5</v>
      </c>
      <c r="O737">
        <v>2</v>
      </c>
      <c r="P737" t="s">
        <v>69</v>
      </c>
      <c r="Q737" t="s">
        <v>41</v>
      </c>
      <c r="R737">
        <v>2</v>
      </c>
      <c r="S737">
        <v>8</v>
      </c>
      <c r="T737" t="s">
        <v>40</v>
      </c>
      <c r="U737" t="s">
        <v>95</v>
      </c>
      <c r="V737" t="s">
        <v>58</v>
      </c>
      <c r="W737" s="1">
        <v>45436</v>
      </c>
      <c r="X737" t="b">
        <v>0</v>
      </c>
      <c r="Y737" t="b">
        <v>0</v>
      </c>
      <c r="Z737" t="s">
        <v>89</v>
      </c>
      <c r="AA737" t="s">
        <v>45</v>
      </c>
      <c r="AB737">
        <v>9</v>
      </c>
      <c r="AF737" t="str">
        <f>tbl_OriginalData[[#This Row],[Customer_ID]]</f>
        <v>73-846-1423</v>
      </c>
      <c r="AG737">
        <f>tbl_OriginalData[[#This Row],[Age]]</f>
        <v>38</v>
      </c>
      <c r="AH737" t="str" cm="1">
        <f t="array" ref="AH73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37" t="str">
        <f>tbl_OriginalData[[#This Row],[Gender]]</f>
        <v>Female</v>
      </c>
      <c r="AJ737" t="str">
        <f>tbl_OriginalData[[#This Row],[Income_Level]]</f>
        <v>High</v>
      </c>
      <c r="AK737" t="str">
        <f>tbl_OriginalData[[#This Row],[Marital_Status]]</f>
        <v>Single</v>
      </c>
      <c r="AL737" t="str">
        <f>tbl_OriginalData[[#This Row],[Education_Level]]</f>
        <v>High School</v>
      </c>
      <c r="AM737" t="str">
        <f>tbl_OriginalData[[#This Row],[Occupation]]</f>
        <v>High</v>
      </c>
      <c r="AN737" t="s">
        <v>1700</v>
      </c>
      <c r="AO737" t="s">
        <v>132</v>
      </c>
      <c r="AP737" t="str">
        <f>tbl_OriginalData[[#This Row],[Purchase_Category]]</f>
        <v>Beauty &amp; Personal Care</v>
      </c>
      <c r="AQ737" s="4">
        <f>tbl_OriginalData[[#This Row],[Purchase_Amount]]</f>
        <v>178.21</v>
      </c>
      <c r="AR737">
        <f>tbl_OriginalData[[#This Row],[Frequency_of_Purchase]]</f>
        <v>7</v>
      </c>
      <c r="AS737" t="str">
        <f>tbl_OriginalData[[#This Row],[Purchase_Channel]]</f>
        <v>In-Store</v>
      </c>
      <c r="AT737">
        <f>tbl_OriginalData[[#This Row],[Brand_Loyalty]]</f>
        <v>1</v>
      </c>
      <c r="AU737">
        <f>tbl_OriginalData[[#This Row],[Product_Rating]]</f>
        <v>5</v>
      </c>
      <c r="AV737">
        <f>tbl_OriginalData[[#This Row],[Time_Spent_on_Product_Research(hours)]]*60</f>
        <v>120</v>
      </c>
      <c r="AW737" t="str">
        <f>tbl_OriginalData[[#This Row],[Social_Media_Influence]]</f>
        <v>Low</v>
      </c>
      <c r="AX737" t="str">
        <f>tbl_OriginalData[[#This Row],[Discount_Sensitivity]]</f>
        <v>Somewhat Sensitive</v>
      </c>
      <c r="AY737" s="3">
        <f>tbl_OriginalData[[#This Row],[Return_Rate]]/tbl_OriginalData[[#This Row],[Frequency_of_Purchase]]</f>
        <v>0.2857142857142857</v>
      </c>
      <c r="AZ737">
        <f>tbl_OriginalData[[#This Row],[Customer_Satisfaction]]</f>
        <v>8</v>
      </c>
      <c r="BA737" t="str">
        <f>tbl_OriginalData[[#This Row],[Engagement_with_Ads]]</f>
        <v>None</v>
      </c>
      <c r="BB737" t="str">
        <f>tbl_OriginalData[[#This Row],[Device_Used_for_Shopping]]</f>
        <v>Desktop</v>
      </c>
      <c r="BC737" t="str">
        <f>tbl_OriginalData[[#This Row],[Payment_Method]]</f>
        <v>PayPal</v>
      </c>
      <c r="BD737" s="1">
        <f>tbl_OriginalData[[#This Row],[Time_of_Purchase]]</f>
        <v>45436</v>
      </c>
      <c r="BE737" t="str">
        <f>IF(tbl_OriginalData[[#This Row],[Discount_Used]]=TRUE,"Yes","No")</f>
        <v>No</v>
      </c>
      <c r="BF737" t="str">
        <f>IF(tbl_OriginalData[[#This Row],[Customer_Loyalty_Program_Member]]=TRUE,"Yes","No")</f>
        <v>No</v>
      </c>
      <c r="BG737" t="str">
        <f>tbl_OriginalData[[#This Row],[Purchase_Intent]]</f>
        <v>Planned</v>
      </c>
      <c r="BH737" t="str">
        <f>tbl_OriginalData[[#This Row],[Shipping_Preference]]</f>
        <v>No Preference</v>
      </c>
      <c r="BI737">
        <f>tbl_OriginalData[[#This Row],[Time_to_Decision]]</f>
        <v>9</v>
      </c>
      <c r="BJ737" t="s">
        <v>167</v>
      </c>
      <c r="BK737" t="s">
        <v>63</v>
      </c>
      <c r="BL737" t="s">
        <v>2525</v>
      </c>
    </row>
    <row r="738" spans="1:64">
      <c r="A738" t="s">
        <v>1701</v>
      </c>
      <c r="B738">
        <v>27</v>
      </c>
      <c r="C738" t="s">
        <v>50</v>
      </c>
      <c r="D738" t="s">
        <v>51</v>
      </c>
      <c r="E738" t="s">
        <v>92</v>
      </c>
      <c r="F738" t="s">
        <v>36</v>
      </c>
      <c r="G738" t="s">
        <v>34</v>
      </c>
      <c r="H738" t="s">
        <v>1702</v>
      </c>
      <c r="I738" t="s">
        <v>131</v>
      </c>
      <c r="J738">
        <v>483.23</v>
      </c>
      <c r="K738">
        <v>7</v>
      </c>
      <c r="L738" t="s">
        <v>94</v>
      </c>
      <c r="M738">
        <v>2</v>
      </c>
      <c r="N738">
        <v>4</v>
      </c>
      <c r="O738">
        <v>2</v>
      </c>
      <c r="P738" t="s">
        <v>56</v>
      </c>
      <c r="Q738" t="s">
        <v>41</v>
      </c>
      <c r="R738">
        <v>0</v>
      </c>
      <c r="S738">
        <v>5</v>
      </c>
      <c r="T738" t="s">
        <v>51</v>
      </c>
      <c r="U738" t="s">
        <v>70</v>
      </c>
      <c r="V738" t="s">
        <v>58</v>
      </c>
      <c r="W738" s="1">
        <v>45645</v>
      </c>
      <c r="X738" t="b">
        <v>1</v>
      </c>
      <c r="Y738" t="b">
        <v>0</v>
      </c>
      <c r="Z738" t="s">
        <v>72</v>
      </c>
      <c r="AA738" t="s">
        <v>77</v>
      </c>
      <c r="AB738">
        <v>9</v>
      </c>
      <c r="AF738" t="str">
        <f>tbl_OriginalData[[#This Row],[Customer_ID]]</f>
        <v>90-363-8040</v>
      </c>
      <c r="AG738">
        <f>tbl_OriginalData[[#This Row],[Age]]</f>
        <v>27</v>
      </c>
      <c r="AH738" t="str" cm="1">
        <f t="array" ref="AH73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38" t="str">
        <f>tbl_OriginalData[[#This Row],[Gender]]</f>
        <v>Male</v>
      </c>
      <c r="AJ738" t="str">
        <f>tbl_OriginalData[[#This Row],[Income_Level]]</f>
        <v>High</v>
      </c>
      <c r="AK738" t="str">
        <f>tbl_OriginalData[[#This Row],[Marital_Status]]</f>
        <v>Divorced</v>
      </c>
      <c r="AL738" t="str">
        <f>tbl_OriginalData[[#This Row],[Education_Level]]</f>
        <v>Bachelor's</v>
      </c>
      <c r="AM738" t="str">
        <f>tbl_OriginalData[[#This Row],[Occupation]]</f>
        <v>Middle</v>
      </c>
      <c r="AN738" t="s">
        <v>1703</v>
      </c>
      <c r="AO738" t="s">
        <v>157</v>
      </c>
      <c r="AP738" t="str">
        <f>tbl_OriginalData[[#This Row],[Purchase_Category]]</f>
        <v>Health Care</v>
      </c>
      <c r="AQ738" s="4">
        <f>tbl_OriginalData[[#This Row],[Purchase_Amount]]</f>
        <v>483.23</v>
      </c>
      <c r="AR738">
        <f>tbl_OriginalData[[#This Row],[Frequency_of_Purchase]]</f>
        <v>7</v>
      </c>
      <c r="AS738" t="str">
        <f>tbl_OriginalData[[#This Row],[Purchase_Channel]]</f>
        <v>Online</v>
      </c>
      <c r="AT738">
        <f>tbl_OriginalData[[#This Row],[Brand_Loyalty]]</f>
        <v>2</v>
      </c>
      <c r="AU738">
        <f>tbl_OriginalData[[#This Row],[Product_Rating]]</f>
        <v>4</v>
      </c>
      <c r="AV738">
        <f>tbl_OriginalData[[#This Row],[Time_Spent_on_Product_Research(hours)]]*60</f>
        <v>120</v>
      </c>
      <c r="AW738" t="str">
        <f>tbl_OriginalData[[#This Row],[Social_Media_Influence]]</f>
        <v>Medium</v>
      </c>
      <c r="AX738" t="str">
        <f>tbl_OriginalData[[#This Row],[Discount_Sensitivity]]</f>
        <v>Somewhat Sensitive</v>
      </c>
      <c r="AY738" s="3">
        <f>tbl_OriginalData[[#This Row],[Return_Rate]]/tbl_OriginalData[[#This Row],[Frequency_of_Purchase]]</f>
        <v>0</v>
      </c>
      <c r="AZ738">
        <f>tbl_OriginalData[[#This Row],[Customer_Satisfaction]]</f>
        <v>5</v>
      </c>
      <c r="BA738" t="str">
        <f>tbl_OriginalData[[#This Row],[Engagement_with_Ads]]</f>
        <v>High</v>
      </c>
      <c r="BB738" t="str">
        <f>tbl_OriginalData[[#This Row],[Device_Used_for_Shopping]]</f>
        <v>Smartphone</v>
      </c>
      <c r="BC738" t="str">
        <f>tbl_OriginalData[[#This Row],[Payment_Method]]</f>
        <v>PayPal</v>
      </c>
      <c r="BD738" s="1">
        <f>tbl_OriginalData[[#This Row],[Time_of_Purchase]]</f>
        <v>45645</v>
      </c>
      <c r="BE738" t="str">
        <f>IF(tbl_OriginalData[[#This Row],[Discount_Used]]=TRUE,"Yes","No")</f>
        <v>Yes</v>
      </c>
      <c r="BF738" t="str">
        <f>IF(tbl_OriginalData[[#This Row],[Customer_Loyalty_Program_Member]]=TRUE,"Yes","No")</f>
        <v>No</v>
      </c>
      <c r="BG738" t="str">
        <f>tbl_OriginalData[[#This Row],[Purchase_Intent]]</f>
        <v>Impulsive</v>
      </c>
      <c r="BH738" t="str">
        <f>tbl_OriginalData[[#This Row],[Shipping_Preference]]</f>
        <v>Express</v>
      </c>
      <c r="BI738">
        <f>tbl_OriginalData[[#This Row],[Time_to_Decision]]</f>
        <v>9</v>
      </c>
      <c r="BJ738" t="s">
        <v>120</v>
      </c>
      <c r="BK738" t="s">
        <v>80</v>
      </c>
      <c r="BL738" t="s">
        <v>2523</v>
      </c>
    </row>
    <row r="739" spans="1:64">
      <c r="A739" t="s">
        <v>1704</v>
      </c>
      <c r="B739">
        <v>18</v>
      </c>
      <c r="C739" t="s">
        <v>50</v>
      </c>
      <c r="D739" t="s">
        <v>34</v>
      </c>
      <c r="E739" t="s">
        <v>35</v>
      </c>
      <c r="F739" t="s">
        <v>66</v>
      </c>
      <c r="G739" t="s">
        <v>51</v>
      </c>
      <c r="H739" t="s">
        <v>1705</v>
      </c>
      <c r="I739" t="s">
        <v>75</v>
      </c>
      <c r="J739">
        <v>415.3</v>
      </c>
      <c r="K739">
        <v>11</v>
      </c>
      <c r="L739" t="s">
        <v>55</v>
      </c>
      <c r="M739">
        <v>4</v>
      </c>
      <c r="N739">
        <v>2</v>
      </c>
      <c r="O739">
        <v>1</v>
      </c>
      <c r="P739" t="s">
        <v>69</v>
      </c>
      <c r="Q739" t="s">
        <v>101</v>
      </c>
      <c r="R739">
        <v>1</v>
      </c>
      <c r="S739">
        <v>9</v>
      </c>
      <c r="T739" t="s">
        <v>40</v>
      </c>
      <c r="U739" t="s">
        <v>42</v>
      </c>
      <c r="V739" t="s">
        <v>58</v>
      </c>
      <c r="W739" s="1">
        <v>45560</v>
      </c>
      <c r="X739" t="b">
        <v>0</v>
      </c>
      <c r="Y739" t="b">
        <v>1</v>
      </c>
      <c r="Z739" t="s">
        <v>72</v>
      </c>
      <c r="AA739" t="s">
        <v>60</v>
      </c>
      <c r="AB739">
        <v>2</v>
      </c>
      <c r="AF739" t="str">
        <f>tbl_OriginalData[[#This Row],[Customer_ID]]</f>
        <v>65-533-1660</v>
      </c>
      <c r="AG739">
        <f>tbl_OriginalData[[#This Row],[Age]]</f>
        <v>18</v>
      </c>
      <c r="AH739" t="str" cm="1">
        <f t="array" ref="AH73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739" t="str">
        <f>tbl_OriginalData[[#This Row],[Gender]]</f>
        <v>Male</v>
      </c>
      <c r="AJ739" t="str">
        <f>tbl_OriginalData[[#This Row],[Income_Level]]</f>
        <v>Middle</v>
      </c>
      <c r="AK739" t="str">
        <f>tbl_OriginalData[[#This Row],[Marital_Status]]</f>
        <v>Married</v>
      </c>
      <c r="AL739" t="str">
        <f>tbl_OriginalData[[#This Row],[Education_Level]]</f>
        <v>Master's</v>
      </c>
      <c r="AM739" t="str">
        <f>tbl_OriginalData[[#This Row],[Occupation]]</f>
        <v>High</v>
      </c>
      <c r="AN739" t="s">
        <v>1706</v>
      </c>
      <c r="AO739" t="s">
        <v>157</v>
      </c>
      <c r="AP739" t="str">
        <f>tbl_OriginalData[[#This Row],[Purchase_Category]]</f>
        <v>Home Appliances</v>
      </c>
      <c r="AQ739" s="4">
        <f>tbl_OriginalData[[#This Row],[Purchase_Amount]]</f>
        <v>415.3</v>
      </c>
      <c r="AR739">
        <f>tbl_OriginalData[[#This Row],[Frequency_of_Purchase]]</f>
        <v>11</v>
      </c>
      <c r="AS739" t="str">
        <f>tbl_OriginalData[[#This Row],[Purchase_Channel]]</f>
        <v>In-Store</v>
      </c>
      <c r="AT739">
        <f>tbl_OriginalData[[#This Row],[Brand_Loyalty]]</f>
        <v>4</v>
      </c>
      <c r="AU739">
        <f>tbl_OriginalData[[#This Row],[Product_Rating]]</f>
        <v>2</v>
      </c>
      <c r="AV739">
        <f>tbl_OriginalData[[#This Row],[Time_Spent_on_Product_Research(hours)]]*60</f>
        <v>60</v>
      </c>
      <c r="AW739" t="str">
        <f>tbl_OriginalData[[#This Row],[Social_Media_Influence]]</f>
        <v>Low</v>
      </c>
      <c r="AX739" t="str">
        <f>tbl_OriginalData[[#This Row],[Discount_Sensitivity]]</f>
        <v>Very Sensitive</v>
      </c>
      <c r="AY739" s="3">
        <f>tbl_OriginalData[[#This Row],[Return_Rate]]/tbl_OriginalData[[#This Row],[Frequency_of_Purchase]]</f>
        <v>9.0909090909090912E-2</v>
      </c>
      <c r="AZ739">
        <f>tbl_OriginalData[[#This Row],[Customer_Satisfaction]]</f>
        <v>9</v>
      </c>
      <c r="BA739" t="str">
        <f>tbl_OriginalData[[#This Row],[Engagement_with_Ads]]</f>
        <v>None</v>
      </c>
      <c r="BB739" t="str">
        <f>tbl_OriginalData[[#This Row],[Device_Used_for_Shopping]]</f>
        <v>Tablet</v>
      </c>
      <c r="BC739" t="str">
        <f>tbl_OriginalData[[#This Row],[Payment_Method]]</f>
        <v>PayPal</v>
      </c>
      <c r="BD739" s="1">
        <f>tbl_OriginalData[[#This Row],[Time_of_Purchase]]</f>
        <v>45560</v>
      </c>
      <c r="BE739" t="str">
        <f>IF(tbl_OriginalData[[#This Row],[Discount_Used]]=TRUE,"Yes","No")</f>
        <v>No</v>
      </c>
      <c r="BF739" t="str">
        <f>IF(tbl_OriginalData[[#This Row],[Customer_Loyalty_Program_Member]]=TRUE,"Yes","No")</f>
        <v>Yes</v>
      </c>
      <c r="BG739" t="str">
        <f>tbl_OriginalData[[#This Row],[Purchase_Intent]]</f>
        <v>Impulsive</v>
      </c>
      <c r="BH739" t="str">
        <f>tbl_OriginalData[[#This Row],[Shipping_Preference]]</f>
        <v>Standard</v>
      </c>
      <c r="BI739">
        <f>tbl_OriginalData[[#This Row],[Time_to_Decision]]</f>
        <v>2</v>
      </c>
      <c r="BJ739" t="s">
        <v>172</v>
      </c>
      <c r="BK739" t="s">
        <v>115</v>
      </c>
      <c r="BL739" t="s">
        <v>2523</v>
      </c>
    </row>
    <row r="740" spans="1:64">
      <c r="A740" t="s">
        <v>1707</v>
      </c>
      <c r="B740">
        <v>36</v>
      </c>
      <c r="C740" t="s">
        <v>50</v>
      </c>
      <c r="D740" t="s">
        <v>51</v>
      </c>
      <c r="E740" t="s">
        <v>35</v>
      </c>
      <c r="F740" t="s">
        <v>66</v>
      </c>
      <c r="G740" t="s">
        <v>34</v>
      </c>
      <c r="H740" t="s">
        <v>1708</v>
      </c>
      <c r="I740" t="s">
        <v>147</v>
      </c>
      <c r="J740">
        <v>85.52</v>
      </c>
      <c r="K740">
        <v>7</v>
      </c>
      <c r="L740" t="s">
        <v>39</v>
      </c>
      <c r="M740">
        <v>1</v>
      </c>
      <c r="N740">
        <v>5</v>
      </c>
      <c r="O740">
        <v>0</v>
      </c>
      <c r="P740" t="s">
        <v>56</v>
      </c>
      <c r="Q740" t="s">
        <v>41</v>
      </c>
      <c r="R740">
        <v>1</v>
      </c>
      <c r="S740">
        <v>3</v>
      </c>
      <c r="T740" t="s">
        <v>69</v>
      </c>
      <c r="U740" t="s">
        <v>70</v>
      </c>
      <c r="V740" t="s">
        <v>76</v>
      </c>
      <c r="W740" s="1">
        <v>45596</v>
      </c>
      <c r="X740" t="b">
        <v>0</v>
      </c>
      <c r="Y740" t="b">
        <v>1</v>
      </c>
      <c r="Z740" t="s">
        <v>89</v>
      </c>
      <c r="AA740" t="s">
        <v>45</v>
      </c>
      <c r="AB740">
        <v>7</v>
      </c>
      <c r="AF740" t="str">
        <f>tbl_OriginalData[[#This Row],[Customer_ID]]</f>
        <v>98-376-8787</v>
      </c>
      <c r="AG740">
        <f>tbl_OriginalData[[#This Row],[Age]]</f>
        <v>36</v>
      </c>
      <c r="AH740" t="str" cm="1">
        <f t="array" ref="AH74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40" t="str">
        <f>tbl_OriginalData[[#This Row],[Gender]]</f>
        <v>Male</v>
      </c>
      <c r="AJ740" t="str">
        <f>tbl_OriginalData[[#This Row],[Income_Level]]</f>
        <v>High</v>
      </c>
      <c r="AK740" t="str">
        <f>tbl_OriginalData[[#This Row],[Marital_Status]]</f>
        <v>Married</v>
      </c>
      <c r="AL740" t="str">
        <f>tbl_OriginalData[[#This Row],[Education_Level]]</f>
        <v>Master's</v>
      </c>
      <c r="AM740" t="str">
        <f>tbl_OriginalData[[#This Row],[Occupation]]</f>
        <v>Middle</v>
      </c>
      <c r="AN740" t="s">
        <v>1708</v>
      </c>
      <c r="AO740" t="s">
        <v>897</v>
      </c>
      <c r="AP740" t="str">
        <f>tbl_OriginalData[[#This Row],[Purchase_Category]]</f>
        <v>Electronics</v>
      </c>
      <c r="AQ740" s="4">
        <f>tbl_OriginalData[[#This Row],[Purchase_Amount]]</f>
        <v>85.52</v>
      </c>
      <c r="AR740">
        <f>tbl_OriginalData[[#This Row],[Frequency_of_Purchase]]</f>
        <v>7</v>
      </c>
      <c r="AS740" t="str">
        <f>tbl_OriginalData[[#This Row],[Purchase_Channel]]</f>
        <v>Mixed</v>
      </c>
      <c r="AT740">
        <f>tbl_OriginalData[[#This Row],[Brand_Loyalty]]</f>
        <v>1</v>
      </c>
      <c r="AU740">
        <f>tbl_OriginalData[[#This Row],[Product_Rating]]</f>
        <v>5</v>
      </c>
      <c r="AV740">
        <f>tbl_OriginalData[[#This Row],[Time_Spent_on_Product_Research(hours)]]*60</f>
        <v>0</v>
      </c>
      <c r="AW740" t="str">
        <f>tbl_OriginalData[[#This Row],[Social_Media_Influence]]</f>
        <v>Medium</v>
      </c>
      <c r="AX740" t="str">
        <f>tbl_OriginalData[[#This Row],[Discount_Sensitivity]]</f>
        <v>Somewhat Sensitive</v>
      </c>
      <c r="AY740" s="3">
        <f>tbl_OriginalData[[#This Row],[Return_Rate]]/tbl_OriginalData[[#This Row],[Frequency_of_Purchase]]</f>
        <v>0.14285714285714285</v>
      </c>
      <c r="AZ740">
        <f>tbl_OriginalData[[#This Row],[Customer_Satisfaction]]</f>
        <v>3</v>
      </c>
      <c r="BA740" t="str">
        <f>tbl_OriginalData[[#This Row],[Engagement_with_Ads]]</f>
        <v>Low</v>
      </c>
      <c r="BB740" t="str">
        <f>tbl_OriginalData[[#This Row],[Device_Used_for_Shopping]]</f>
        <v>Smartphone</v>
      </c>
      <c r="BC740" t="str">
        <f>tbl_OriginalData[[#This Row],[Payment_Method]]</f>
        <v>Other</v>
      </c>
      <c r="BD740" s="1">
        <f>tbl_OriginalData[[#This Row],[Time_of_Purchase]]</f>
        <v>45596</v>
      </c>
      <c r="BE740" t="str">
        <f>IF(tbl_OriginalData[[#This Row],[Discount_Used]]=TRUE,"Yes","No")</f>
        <v>No</v>
      </c>
      <c r="BF740" t="str">
        <f>IF(tbl_OriginalData[[#This Row],[Customer_Loyalty_Program_Member]]=TRUE,"Yes","No")</f>
        <v>Yes</v>
      </c>
      <c r="BG740" t="str">
        <f>tbl_OriginalData[[#This Row],[Purchase_Intent]]</f>
        <v>Planned</v>
      </c>
      <c r="BH740" t="str">
        <f>tbl_OriginalData[[#This Row],[Shipping_Preference]]</f>
        <v>No Preference</v>
      </c>
      <c r="BI740">
        <f>tbl_OriginalData[[#This Row],[Time_to_Decision]]</f>
        <v>7</v>
      </c>
      <c r="BJ740" t="s">
        <v>79</v>
      </c>
      <c r="BK740" t="s">
        <v>80</v>
      </c>
      <c r="BL740" t="s">
        <v>2524</v>
      </c>
    </row>
    <row r="741" spans="1:64">
      <c r="A741" t="s">
        <v>1709</v>
      </c>
      <c r="B741">
        <v>44</v>
      </c>
      <c r="C741" t="s">
        <v>33</v>
      </c>
      <c r="D741" t="s">
        <v>34</v>
      </c>
      <c r="E741" t="s">
        <v>82</v>
      </c>
      <c r="F741" t="s">
        <v>52</v>
      </c>
      <c r="G741" t="s">
        <v>51</v>
      </c>
      <c r="H741" t="s">
        <v>1710</v>
      </c>
      <c r="I741" t="s">
        <v>143</v>
      </c>
      <c r="J741">
        <v>422.31</v>
      </c>
      <c r="K741">
        <v>2</v>
      </c>
      <c r="L741" t="s">
        <v>55</v>
      </c>
      <c r="M741">
        <v>3</v>
      </c>
      <c r="N741">
        <v>4</v>
      </c>
      <c r="O741">
        <v>1</v>
      </c>
      <c r="P741" t="s">
        <v>56</v>
      </c>
      <c r="Q741" t="s">
        <v>101</v>
      </c>
      <c r="R741">
        <v>0</v>
      </c>
      <c r="S741">
        <v>6</v>
      </c>
      <c r="T741" t="s">
        <v>40</v>
      </c>
      <c r="U741" t="s">
        <v>70</v>
      </c>
      <c r="V741" t="s">
        <v>76</v>
      </c>
      <c r="W741" s="1">
        <v>45513</v>
      </c>
      <c r="X741" t="b">
        <v>1</v>
      </c>
      <c r="Y741" t="b">
        <v>1</v>
      </c>
      <c r="Z741" t="s">
        <v>72</v>
      </c>
      <c r="AA741" t="s">
        <v>45</v>
      </c>
      <c r="AB741">
        <v>3</v>
      </c>
      <c r="AF741" t="str">
        <f>tbl_OriginalData[[#This Row],[Customer_ID]]</f>
        <v>18-938-9896</v>
      </c>
      <c r="AG741">
        <f>tbl_OriginalData[[#This Row],[Age]]</f>
        <v>44</v>
      </c>
      <c r="AH741" t="str" cm="1">
        <f t="array" ref="AH74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41" t="str">
        <f>tbl_OriginalData[[#This Row],[Gender]]</f>
        <v>Female</v>
      </c>
      <c r="AJ741" t="str">
        <f>tbl_OriginalData[[#This Row],[Income_Level]]</f>
        <v>Middle</v>
      </c>
      <c r="AK741" t="str">
        <f>tbl_OriginalData[[#This Row],[Marital_Status]]</f>
        <v>Widowed</v>
      </c>
      <c r="AL741" t="str">
        <f>tbl_OriginalData[[#This Row],[Education_Level]]</f>
        <v>High School</v>
      </c>
      <c r="AM741" t="str">
        <f>tbl_OriginalData[[#This Row],[Occupation]]</f>
        <v>High</v>
      </c>
      <c r="AN741" t="s">
        <v>1710</v>
      </c>
      <c r="AO741" t="s">
        <v>186</v>
      </c>
      <c r="AP741" t="str">
        <f>tbl_OriginalData[[#This Row],[Purchase_Category]]</f>
        <v>Packages)</v>
      </c>
      <c r="AQ741" s="4">
        <f>tbl_OriginalData[[#This Row],[Purchase_Amount]]</f>
        <v>422.31</v>
      </c>
      <c r="AR741">
        <f>tbl_OriginalData[[#This Row],[Frequency_of_Purchase]]</f>
        <v>2</v>
      </c>
      <c r="AS741" t="str">
        <f>tbl_OriginalData[[#This Row],[Purchase_Channel]]</f>
        <v>In-Store</v>
      </c>
      <c r="AT741">
        <f>tbl_OriginalData[[#This Row],[Brand_Loyalty]]</f>
        <v>3</v>
      </c>
      <c r="AU741">
        <f>tbl_OriginalData[[#This Row],[Product_Rating]]</f>
        <v>4</v>
      </c>
      <c r="AV741">
        <f>tbl_OriginalData[[#This Row],[Time_Spent_on_Product_Research(hours)]]*60</f>
        <v>60</v>
      </c>
      <c r="AW741" t="str">
        <f>tbl_OriginalData[[#This Row],[Social_Media_Influence]]</f>
        <v>Medium</v>
      </c>
      <c r="AX741" t="str">
        <f>tbl_OriginalData[[#This Row],[Discount_Sensitivity]]</f>
        <v>Very Sensitive</v>
      </c>
      <c r="AY741" s="3">
        <f>tbl_OriginalData[[#This Row],[Return_Rate]]/tbl_OriginalData[[#This Row],[Frequency_of_Purchase]]</f>
        <v>0</v>
      </c>
      <c r="AZ741">
        <f>tbl_OriginalData[[#This Row],[Customer_Satisfaction]]</f>
        <v>6</v>
      </c>
      <c r="BA741" t="str">
        <f>tbl_OriginalData[[#This Row],[Engagement_with_Ads]]</f>
        <v>None</v>
      </c>
      <c r="BB741" t="str">
        <f>tbl_OriginalData[[#This Row],[Device_Used_for_Shopping]]</f>
        <v>Smartphone</v>
      </c>
      <c r="BC741" t="str">
        <f>tbl_OriginalData[[#This Row],[Payment_Method]]</f>
        <v>Other</v>
      </c>
      <c r="BD741" s="1">
        <f>tbl_OriginalData[[#This Row],[Time_of_Purchase]]</f>
        <v>45513</v>
      </c>
      <c r="BE741" t="str">
        <f>IF(tbl_OriginalData[[#This Row],[Discount_Used]]=TRUE,"Yes","No")</f>
        <v>Yes</v>
      </c>
      <c r="BF741" t="str">
        <f>IF(tbl_OriginalData[[#This Row],[Customer_Loyalty_Program_Member]]=TRUE,"Yes","No")</f>
        <v>Yes</v>
      </c>
      <c r="BG741" t="str">
        <f>tbl_OriginalData[[#This Row],[Purchase_Intent]]</f>
        <v>Impulsive</v>
      </c>
      <c r="BH741" t="str">
        <f>tbl_OriginalData[[#This Row],[Shipping_Preference]]</f>
        <v>No Preference</v>
      </c>
      <c r="BI741">
        <f>tbl_OriginalData[[#This Row],[Time_to_Decision]]</f>
        <v>3</v>
      </c>
      <c r="BJ741" t="s">
        <v>124</v>
      </c>
      <c r="BK741" t="s">
        <v>115</v>
      </c>
      <c r="BL741" t="s">
        <v>2523</v>
      </c>
    </row>
    <row r="742" spans="1:64">
      <c r="A742" t="s">
        <v>1711</v>
      </c>
      <c r="B742">
        <v>48</v>
      </c>
      <c r="C742" t="s">
        <v>106</v>
      </c>
      <c r="D742" t="s">
        <v>51</v>
      </c>
      <c r="E742" t="s">
        <v>35</v>
      </c>
      <c r="F742" t="s">
        <v>52</v>
      </c>
      <c r="G742" t="s">
        <v>51</v>
      </c>
      <c r="H742" t="s">
        <v>1712</v>
      </c>
      <c r="I742" t="s">
        <v>170</v>
      </c>
      <c r="J742">
        <v>70.42</v>
      </c>
      <c r="K742">
        <v>11</v>
      </c>
      <c r="L742" t="s">
        <v>94</v>
      </c>
      <c r="M742">
        <v>4</v>
      </c>
      <c r="N742">
        <v>5</v>
      </c>
      <c r="O742">
        <v>1</v>
      </c>
      <c r="P742" t="s">
        <v>51</v>
      </c>
      <c r="Q742" t="s">
        <v>57</v>
      </c>
      <c r="R742">
        <v>2</v>
      </c>
      <c r="S742">
        <v>7</v>
      </c>
      <c r="T742" t="s">
        <v>69</v>
      </c>
      <c r="U742" t="s">
        <v>95</v>
      </c>
      <c r="V742" t="s">
        <v>76</v>
      </c>
      <c r="W742" s="1">
        <v>45566</v>
      </c>
      <c r="X742" t="b">
        <v>0</v>
      </c>
      <c r="Y742" t="b">
        <v>1</v>
      </c>
      <c r="Z742" t="s">
        <v>44</v>
      </c>
      <c r="AA742" t="s">
        <v>77</v>
      </c>
      <c r="AB742">
        <v>14</v>
      </c>
      <c r="AF742" t="str">
        <f>tbl_OriginalData[[#This Row],[Customer_ID]]</f>
        <v>04-829-7037</v>
      </c>
      <c r="AG742">
        <f>tbl_OriginalData[[#This Row],[Age]]</f>
        <v>48</v>
      </c>
      <c r="AH742" t="str" cm="1">
        <f t="array" ref="AH74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42" t="str">
        <f>tbl_OriginalData[[#This Row],[Gender]]</f>
        <v>Bigender</v>
      </c>
      <c r="AJ742" t="str">
        <f>tbl_OriginalData[[#This Row],[Income_Level]]</f>
        <v>High</v>
      </c>
      <c r="AK742" t="str">
        <f>tbl_OriginalData[[#This Row],[Marital_Status]]</f>
        <v>Married</v>
      </c>
      <c r="AL742" t="str">
        <f>tbl_OriginalData[[#This Row],[Education_Level]]</f>
        <v>High School</v>
      </c>
      <c r="AM742" t="str">
        <f>tbl_OriginalData[[#This Row],[Occupation]]</f>
        <v>High</v>
      </c>
      <c r="AN742" t="s">
        <v>1712</v>
      </c>
      <c r="AO742" t="s">
        <v>1713</v>
      </c>
      <c r="AP742" t="str">
        <f>tbl_OriginalData[[#This Row],[Purchase_Category]]</f>
        <v>Arts &amp; Crafts</v>
      </c>
      <c r="AQ742" s="4">
        <f>tbl_OriginalData[[#This Row],[Purchase_Amount]]</f>
        <v>70.42</v>
      </c>
      <c r="AR742">
        <f>tbl_OriginalData[[#This Row],[Frequency_of_Purchase]]</f>
        <v>11</v>
      </c>
      <c r="AS742" t="str">
        <f>tbl_OriginalData[[#This Row],[Purchase_Channel]]</f>
        <v>Online</v>
      </c>
      <c r="AT742">
        <f>tbl_OriginalData[[#This Row],[Brand_Loyalty]]</f>
        <v>4</v>
      </c>
      <c r="AU742">
        <f>tbl_OriginalData[[#This Row],[Product_Rating]]</f>
        <v>5</v>
      </c>
      <c r="AV742">
        <f>tbl_OriginalData[[#This Row],[Time_Spent_on_Product_Research(hours)]]*60</f>
        <v>60</v>
      </c>
      <c r="AW742" t="str">
        <f>tbl_OriginalData[[#This Row],[Social_Media_Influence]]</f>
        <v>High</v>
      </c>
      <c r="AX742" t="str">
        <f>tbl_OriginalData[[#This Row],[Discount_Sensitivity]]</f>
        <v>Not Sensitive</v>
      </c>
      <c r="AY742" s="3">
        <f>tbl_OriginalData[[#This Row],[Return_Rate]]/tbl_OriginalData[[#This Row],[Frequency_of_Purchase]]</f>
        <v>0.18181818181818182</v>
      </c>
      <c r="AZ742">
        <f>tbl_OriginalData[[#This Row],[Customer_Satisfaction]]</f>
        <v>7</v>
      </c>
      <c r="BA742" t="str">
        <f>tbl_OriginalData[[#This Row],[Engagement_with_Ads]]</f>
        <v>Low</v>
      </c>
      <c r="BB742" t="str">
        <f>tbl_OriginalData[[#This Row],[Device_Used_for_Shopping]]</f>
        <v>Desktop</v>
      </c>
      <c r="BC742" t="str">
        <f>tbl_OriginalData[[#This Row],[Payment_Method]]</f>
        <v>Other</v>
      </c>
      <c r="BD742" s="1">
        <f>tbl_OriginalData[[#This Row],[Time_of_Purchase]]</f>
        <v>45566</v>
      </c>
      <c r="BE742" t="str">
        <f>IF(tbl_OriginalData[[#This Row],[Discount_Used]]=TRUE,"Yes","No")</f>
        <v>No</v>
      </c>
      <c r="BF742" t="str">
        <f>IF(tbl_OriginalData[[#This Row],[Customer_Loyalty_Program_Member]]=TRUE,"Yes","No")</f>
        <v>Yes</v>
      </c>
      <c r="BG742" t="str">
        <f>tbl_OriginalData[[#This Row],[Purchase_Intent]]</f>
        <v>Need-based</v>
      </c>
      <c r="BH742" t="str">
        <f>tbl_OriginalData[[#This Row],[Shipping_Preference]]</f>
        <v>Express</v>
      </c>
      <c r="BI742">
        <f>tbl_OriginalData[[#This Row],[Time_to_Decision]]</f>
        <v>14</v>
      </c>
      <c r="BJ742" t="s">
        <v>79</v>
      </c>
      <c r="BK742" t="s">
        <v>80</v>
      </c>
      <c r="BL742" t="s">
        <v>2527</v>
      </c>
    </row>
    <row r="743" spans="1:64">
      <c r="A743" t="s">
        <v>1714</v>
      </c>
      <c r="B743">
        <v>23</v>
      </c>
      <c r="C743" t="s">
        <v>33</v>
      </c>
      <c r="D743" t="s">
        <v>34</v>
      </c>
      <c r="E743" t="s">
        <v>82</v>
      </c>
      <c r="F743" t="s">
        <v>66</v>
      </c>
      <c r="G743" t="s">
        <v>34</v>
      </c>
      <c r="H743" t="s">
        <v>1715</v>
      </c>
      <c r="I743" t="s">
        <v>156</v>
      </c>
      <c r="J743">
        <v>437.4</v>
      </c>
      <c r="K743">
        <v>6</v>
      </c>
      <c r="L743" t="s">
        <v>39</v>
      </c>
      <c r="M743">
        <v>1</v>
      </c>
      <c r="N743">
        <v>4</v>
      </c>
      <c r="O743">
        <v>1</v>
      </c>
      <c r="P743" t="s">
        <v>51</v>
      </c>
      <c r="Q743" t="s">
        <v>41</v>
      </c>
      <c r="R743">
        <v>2</v>
      </c>
      <c r="S743">
        <v>5</v>
      </c>
      <c r="T743" t="s">
        <v>69</v>
      </c>
      <c r="U743" t="s">
        <v>42</v>
      </c>
      <c r="V743" t="s">
        <v>43</v>
      </c>
      <c r="W743" s="1">
        <v>45459</v>
      </c>
      <c r="X743" t="b">
        <v>0</v>
      </c>
      <c r="Y743" t="b">
        <v>0</v>
      </c>
      <c r="Z743" t="s">
        <v>89</v>
      </c>
      <c r="AA743" t="s">
        <v>77</v>
      </c>
      <c r="AB743">
        <v>1</v>
      </c>
      <c r="AF743" t="str">
        <f>tbl_OriginalData[[#This Row],[Customer_ID]]</f>
        <v>93-455-0576</v>
      </c>
      <c r="AG743">
        <f>tbl_OriginalData[[#This Row],[Age]]</f>
        <v>23</v>
      </c>
      <c r="AH743" t="str" cm="1">
        <f t="array" ref="AH74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43" t="str">
        <f>tbl_OriginalData[[#This Row],[Gender]]</f>
        <v>Female</v>
      </c>
      <c r="AJ743" t="str">
        <f>tbl_OriginalData[[#This Row],[Income_Level]]</f>
        <v>Middle</v>
      </c>
      <c r="AK743" t="str">
        <f>tbl_OriginalData[[#This Row],[Marital_Status]]</f>
        <v>Widowed</v>
      </c>
      <c r="AL743" t="str">
        <f>tbl_OriginalData[[#This Row],[Education_Level]]</f>
        <v>Master's</v>
      </c>
      <c r="AM743" t="str">
        <f>tbl_OriginalData[[#This Row],[Occupation]]</f>
        <v>Middle</v>
      </c>
      <c r="AN743" t="s">
        <v>1715</v>
      </c>
      <c r="AO743" t="s">
        <v>109</v>
      </c>
      <c r="AP743" t="str">
        <f>tbl_OriginalData[[#This Row],[Purchase_Category]]</f>
        <v>Toys &amp; Games</v>
      </c>
      <c r="AQ743" s="4">
        <f>tbl_OriginalData[[#This Row],[Purchase_Amount]]</f>
        <v>437.4</v>
      </c>
      <c r="AR743">
        <f>tbl_OriginalData[[#This Row],[Frequency_of_Purchase]]</f>
        <v>6</v>
      </c>
      <c r="AS743" t="str">
        <f>tbl_OriginalData[[#This Row],[Purchase_Channel]]</f>
        <v>Mixed</v>
      </c>
      <c r="AT743">
        <f>tbl_OriginalData[[#This Row],[Brand_Loyalty]]</f>
        <v>1</v>
      </c>
      <c r="AU743">
        <f>tbl_OriginalData[[#This Row],[Product_Rating]]</f>
        <v>4</v>
      </c>
      <c r="AV743">
        <f>tbl_OriginalData[[#This Row],[Time_Spent_on_Product_Research(hours)]]*60</f>
        <v>60</v>
      </c>
      <c r="AW743" t="str">
        <f>tbl_OriginalData[[#This Row],[Social_Media_Influence]]</f>
        <v>High</v>
      </c>
      <c r="AX743" t="str">
        <f>tbl_OriginalData[[#This Row],[Discount_Sensitivity]]</f>
        <v>Somewhat Sensitive</v>
      </c>
      <c r="AY743" s="3">
        <f>tbl_OriginalData[[#This Row],[Return_Rate]]/tbl_OriginalData[[#This Row],[Frequency_of_Purchase]]</f>
        <v>0.33333333333333331</v>
      </c>
      <c r="AZ743">
        <f>tbl_OriginalData[[#This Row],[Customer_Satisfaction]]</f>
        <v>5</v>
      </c>
      <c r="BA743" t="str">
        <f>tbl_OriginalData[[#This Row],[Engagement_with_Ads]]</f>
        <v>Low</v>
      </c>
      <c r="BB743" t="str">
        <f>tbl_OriginalData[[#This Row],[Device_Used_for_Shopping]]</f>
        <v>Tablet</v>
      </c>
      <c r="BC743" t="str">
        <f>tbl_OriginalData[[#This Row],[Payment_Method]]</f>
        <v>Credit Card</v>
      </c>
      <c r="BD743" s="1">
        <f>tbl_OriginalData[[#This Row],[Time_of_Purchase]]</f>
        <v>45459</v>
      </c>
      <c r="BE743" t="str">
        <f>IF(tbl_OriginalData[[#This Row],[Discount_Used]]=TRUE,"Yes","No")</f>
        <v>No</v>
      </c>
      <c r="BF743" t="str">
        <f>IF(tbl_OriginalData[[#This Row],[Customer_Loyalty_Program_Member]]=TRUE,"Yes","No")</f>
        <v>No</v>
      </c>
      <c r="BG743" t="str">
        <f>tbl_OriginalData[[#This Row],[Purchase_Intent]]</f>
        <v>Planned</v>
      </c>
      <c r="BH743" t="str">
        <f>tbl_OriginalData[[#This Row],[Shipping_Preference]]</f>
        <v>Express</v>
      </c>
      <c r="BI743">
        <f>tbl_OriginalData[[#This Row],[Time_to_Decision]]</f>
        <v>1</v>
      </c>
      <c r="BJ743" t="s">
        <v>104</v>
      </c>
      <c r="BK743" t="s">
        <v>63</v>
      </c>
      <c r="BL743" t="s">
        <v>2526</v>
      </c>
    </row>
    <row r="744" spans="1:64">
      <c r="A744" t="s">
        <v>1716</v>
      </c>
      <c r="B744">
        <v>35</v>
      </c>
      <c r="C744" t="s">
        <v>50</v>
      </c>
      <c r="D744" t="s">
        <v>34</v>
      </c>
      <c r="E744" t="s">
        <v>92</v>
      </c>
      <c r="F744" t="s">
        <v>36</v>
      </c>
      <c r="G744" t="s">
        <v>34</v>
      </c>
      <c r="H744" t="s">
        <v>1717</v>
      </c>
      <c r="I744" t="s">
        <v>306</v>
      </c>
      <c r="J744">
        <v>207.11</v>
      </c>
      <c r="K744">
        <v>4</v>
      </c>
      <c r="L744" t="s">
        <v>39</v>
      </c>
      <c r="M744">
        <v>1</v>
      </c>
      <c r="N744">
        <v>4</v>
      </c>
      <c r="O744">
        <v>2</v>
      </c>
      <c r="P744" t="s">
        <v>51</v>
      </c>
      <c r="Q744" t="s">
        <v>57</v>
      </c>
      <c r="R744">
        <v>0</v>
      </c>
      <c r="S744">
        <v>1</v>
      </c>
      <c r="T744" t="s">
        <v>69</v>
      </c>
      <c r="U744" t="s">
        <v>42</v>
      </c>
      <c r="V744" t="s">
        <v>76</v>
      </c>
      <c r="W744" s="1">
        <v>45379</v>
      </c>
      <c r="X744" t="b">
        <v>1</v>
      </c>
      <c r="Y744" t="b">
        <v>0</v>
      </c>
      <c r="Z744" t="s">
        <v>44</v>
      </c>
      <c r="AA744" t="s">
        <v>45</v>
      </c>
      <c r="AB744">
        <v>2</v>
      </c>
      <c r="AF744" t="str">
        <f>tbl_OriginalData[[#This Row],[Customer_ID]]</f>
        <v>84-637-9188</v>
      </c>
      <c r="AG744">
        <f>tbl_OriginalData[[#This Row],[Age]]</f>
        <v>35</v>
      </c>
      <c r="AH744" t="str" cm="1">
        <f t="array" ref="AH74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44" t="str">
        <f>tbl_OriginalData[[#This Row],[Gender]]</f>
        <v>Male</v>
      </c>
      <c r="AJ744" t="str">
        <f>tbl_OriginalData[[#This Row],[Income_Level]]</f>
        <v>Middle</v>
      </c>
      <c r="AK744" t="str">
        <f>tbl_OriginalData[[#This Row],[Marital_Status]]</f>
        <v>Divorced</v>
      </c>
      <c r="AL744" t="str">
        <f>tbl_OriginalData[[#This Row],[Education_Level]]</f>
        <v>Bachelor's</v>
      </c>
      <c r="AM744" t="str">
        <f>tbl_OriginalData[[#This Row],[Occupation]]</f>
        <v>Middle</v>
      </c>
      <c r="AN744" t="s">
        <v>1717</v>
      </c>
      <c r="AO744" t="s">
        <v>61</v>
      </c>
      <c r="AP744" t="str">
        <f>tbl_OriginalData[[#This Row],[Purchase_Category]]</f>
        <v>Jewelry &amp; Accessories</v>
      </c>
      <c r="AQ744" s="4">
        <f>tbl_OriginalData[[#This Row],[Purchase_Amount]]</f>
        <v>207.11</v>
      </c>
      <c r="AR744">
        <f>tbl_OriginalData[[#This Row],[Frequency_of_Purchase]]</f>
        <v>4</v>
      </c>
      <c r="AS744" t="str">
        <f>tbl_OriginalData[[#This Row],[Purchase_Channel]]</f>
        <v>Mixed</v>
      </c>
      <c r="AT744">
        <f>tbl_OriginalData[[#This Row],[Brand_Loyalty]]</f>
        <v>1</v>
      </c>
      <c r="AU744">
        <f>tbl_OriginalData[[#This Row],[Product_Rating]]</f>
        <v>4</v>
      </c>
      <c r="AV744">
        <f>tbl_OriginalData[[#This Row],[Time_Spent_on_Product_Research(hours)]]*60</f>
        <v>120</v>
      </c>
      <c r="AW744" t="str">
        <f>tbl_OriginalData[[#This Row],[Social_Media_Influence]]</f>
        <v>High</v>
      </c>
      <c r="AX744" t="str">
        <f>tbl_OriginalData[[#This Row],[Discount_Sensitivity]]</f>
        <v>Not Sensitive</v>
      </c>
      <c r="AY744" s="3">
        <f>tbl_OriginalData[[#This Row],[Return_Rate]]/tbl_OriginalData[[#This Row],[Frequency_of_Purchase]]</f>
        <v>0</v>
      </c>
      <c r="AZ744">
        <f>tbl_OriginalData[[#This Row],[Customer_Satisfaction]]</f>
        <v>1</v>
      </c>
      <c r="BA744" t="str">
        <f>tbl_OriginalData[[#This Row],[Engagement_with_Ads]]</f>
        <v>Low</v>
      </c>
      <c r="BB744" t="str">
        <f>tbl_OriginalData[[#This Row],[Device_Used_for_Shopping]]</f>
        <v>Tablet</v>
      </c>
      <c r="BC744" t="str">
        <f>tbl_OriginalData[[#This Row],[Payment_Method]]</f>
        <v>Other</v>
      </c>
      <c r="BD744" s="1">
        <f>tbl_OriginalData[[#This Row],[Time_of_Purchase]]</f>
        <v>45379</v>
      </c>
      <c r="BE744" t="str">
        <f>IF(tbl_OriginalData[[#This Row],[Discount_Used]]=TRUE,"Yes","No")</f>
        <v>Yes</v>
      </c>
      <c r="BF744" t="str">
        <f>IF(tbl_OriginalData[[#This Row],[Customer_Loyalty_Program_Member]]=TRUE,"Yes","No")</f>
        <v>No</v>
      </c>
      <c r="BG744" t="str">
        <f>tbl_OriginalData[[#This Row],[Purchase_Intent]]</f>
        <v>Need-based</v>
      </c>
      <c r="BH744" t="str">
        <f>tbl_OriginalData[[#This Row],[Shipping_Preference]]</f>
        <v>No Preference</v>
      </c>
      <c r="BI744">
        <f>tbl_OriginalData[[#This Row],[Time_to_Decision]]</f>
        <v>2</v>
      </c>
      <c r="BJ744" t="s">
        <v>47</v>
      </c>
      <c r="BK744" t="s">
        <v>48</v>
      </c>
      <c r="BL744" t="s">
        <v>2524</v>
      </c>
    </row>
    <row r="745" spans="1:64">
      <c r="A745" t="s">
        <v>1718</v>
      </c>
      <c r="B745">
        <v>50</v>
      </c>
      <c r="C745" t="s">
        <v>33</v>
      </c>
      <c r="D745" t="s">
        <v>51</v>
      </c>
      <c r="E745" t="s">
        <v>82</v>
      </c>
      <c r="F745" t="s">
        <v>36</v>
      </c>
      <c r="G745" t="s">
        <v>34</v>
      </c>
      <c r="H745" t="s">
        <v>1719</v>
      </c>
      <c r="I745" t="s">
        <v>127</v>
      </c>
      <c r="J745">
        <v>378.87</v>
      </c>
      <c r="K745">
        <v>2</v>
      </c>
      <c r="L745" t="s">
        <v>94</v>
      </c>
      <c r="M745">
        <v>5</v>
      </c>
      <c r="N745">
        <v>2</v>
      </c>
      <c r="O745">
        <v>2</v>
      </c>
      <c r="P745" t="s">
        <v>40</v>
      </c>
      <c r="Q745" t="s">
        <v>101</v>
      </c>
      <c r="R745">
        <v>2</v>
      </c>
      <c r="S745">
        <v>2</v>
      </c>
      <c r="T745" t="s">
        <v>56</v>
      </c>
      <c r="U745" t="s">
        <v>95</v>
      </c>
      <c r="V745" t="s">
        <v>71</v>
      </c>
      <c r="W745" s="1">
        <v>45459</v>
      </c>
      <c r="X745" t="b">
        <v>1</v>
      </c>
      <c r="Y745" t="b">
        <v>0</v>
      </c>
      <c r="Z745" t="s">
        <v>89</v>
      </c>
      <c r="AA745" t="s">
        <v>45</v>
      </c>
      <c r="AB745">
        <v>9</v>
      </c>
      <c r="AF745" t="str">
        <f>tbl_OriginalData[[#This Row],[Customer_ID]]</f>
        <v>81-111-7832</v>
      </c>
      <c r="AG745">
        <f>tbl_OriginalData[[#This Row],[Age]]</f>
        <v>50</v>
      </c>
      <c r="AH745" t="str" cm="1">
        <f t="array" ref="AH74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45" t="str">
        <f>tbl_OriginalData[[#This Row],[Gender]]</f>
        <v>Female</v>
      </c>
      <c r="AJ745" t="str">
        <f>tbl_OriginalData[[#This Row],[Income_Level]]</f>
        <v>High</v>
      </c>
      <c r="AK745" t="str">
        <f>tbl_OriginalData[[#This Row],[Marital_Status]]</f>
        <v>Widowed</v>
      </c>
      <c r="AL745" t="str">
        <f>tbl_OriginalData[[#This Row],[Education_Level]]</f>
        <v>Bachelor's</v>
      </c>
      <c r="AM745" t="str">
        <f>tbl_OriginalData[[#This Row],[Occupation]]</f>
        <v>Middle</v>
      </c>
      <c r="AN745" t="s">
        <v>1719</v>
      </c>
      <c r="AO745" t="s">
        <v>232</v>
      </c>
      <c r="AP745" t="str">
        <f>tbl_OriginalData[[#This Row],[Purchase_Category]]</f>
        <v>Animal Feed</v>
      </c>
      <c r="AQ745" s="4">
        <f>tbl_OriginalData[[#This Row],[Purchase_Amount]]</f>
        <v>378.87</v>
      </c>
      <c r="AR745">
        <f>tbl_OriginalData[[#This Row],[Frequency_of_Purchase]]</f>
        <v>2</v>
      </c>
      <c r="AS745" t="str">
        <f>tbl_OriginalData[[#This Row],[Purchase_Channel]]</f>
        <v>Online</v>
      </c>
      <c r="AT745">
        <f>tbl_OriginalData[[#This Row],[Brand_Loyalty]]</f>
        <v>5</v>
      </c>
      <c r="AU745">
        <f>tbl_OriginalData[[#This Row],[Product_Rating]]</f>
        <v>2</v>
      </c>
      <c r="AV745">
        <f>tbl_OriginalData[[#This Row],[Time_Spent_on_Product_Research(hours)]]*60</f>
        <v>120</v>
      </c>
      <c r="AW745" t="str">
        <f>tbl_OriginalData[[#This Row],[Social_Media_Influence]]</f>
        <v>None</v>
      </c>
      <c r="AX745" t="str">
        <f>tbl_OriginalData[[#This Row],[Discount_Sensitivity]]</f>
        <v>Very Sensitive</v>
      </c>
      <c r="AY745" s="3">
        <f>tbl_OriginalData[[#This Row],[Return_Rate]]/tbl_OriginalData[[#This Row],[Frequency_of_Purchase]]</f>
        <v>1</v>
      </c>
      <c r="AZ745">
        <f>tbl_OriginalData[[#This Row],[Customer_Satisfaction]]</f>
        <v>2</v>
      </c>
      <c r="BA745" t="str">
        <f>tbl_OriginalData[[#This Row],[Engagement_with_Ads]]</f>
        <v>Medium</v>
      </c>
      <c r="BB745" t="str">
        <f>tbl_OriginalData[[#This Row],[Device_Used_for_Shopping]]</f>
        <v>Desktop</v>
      </c>
      <c r="BC745" t="str">
        <f>tbl_OriginalData[[#This Row],[Payment_Method]]</f>
        <v>Debit Card</v>
      </c>
      <c r="BD745" s="1">
        <f>tbl_OriginalData[[#This Row],[Time_of_Purchase]]</f>
        <v>45459</v>
      </c>
      <c r="BE745" t="str">
        <f>IF(tbl_OriginalData[[#This Row],[Discount_Used]]=TRUE,"Yes","No")</f>
        <v>Yes</v>
      </c>
      <c r="BF745" t="str">
        <f>IF(tbl_OriginalData[[#This Row],[Customer_Loyalty_Program_Member]]=TRUE,"Yes","No")</f>
        <v>No</v>
      </c>
      <c r="BG745" t="str">
        <f>tbl_OriginalData[[#This Row],[Purchase_Intent]]</f>
        <v>Planned</v>
      </c>
      <c r="BH745" t="str">
        <f>tbl_OriginalData[[#This Row],[Shipping_Preference]]</f>
        <v>No Preference</v>
      </c>
      <c r="BI745">
        <f>tbl_OriginalData[[#This Row],[Time_to_Decision]]</f>
        <v>9</v>
      </c>
      <c r="BJ745" t="s">
        <v>104</v>
      </c>
      <c r="BK745" t="s">
        <v>63</v>
      </c>
      <c r="BL745" t="s">
        <v>2523</v>
      </c>
    </row>
    <row r="746" spans="1:64">
      <c r="A746" t="s">
        <v>1720</v>
      </c>
      <c r="B746">
        <v>30</v>
      </c>
      <c r="C746" t="s">
        <v>33</v>
      </c>
      <c r="D746" t="s">
        <v>51</v>
      </c>
      <c r="E746" t="s">
        <v>92</v>
      </c>
      <c r="F746" t="s">
        <v>52</v>
      </c>
      <c r="G746" t="s">
        <v>51</v>
      </c>
      <c r="H746" t="s">
        <v>1721</v>
      </c>
      <c r="I746" t="s">
        <v>153</v>
      </c>
      <c r="J746">
        <v>349</v>
      </c>
      <c r="K746">
        <v>10</v>
      </c>
      <c r="L746" t="s">
        <v>39</v>
      </c>
      <c r="M746">
        <v>3</v>
      </c>
      <c r="N746">
        <v>5</v>
      </c>
      <c r="O746">
        <v>1</v>
      </c>
      <c r="P746" t="s">
        <v>69</v>
      </c>
      <c r="Q746" t="s">
        <v>57</v>
      </c>
      <c r="R746">
        <v>1</v>
      </c>
      <c r="S746">
        <v>5</v>
      </c>
      <c r="T746" t="s">
        <v>69</v>
      </c>
      <c r="U746" t="s">
        <v>95</v>
      </c>
      <c r="V746" t="s">
        <v>58</v>
      </c>
      <c r="W746" s="1">
        <v>45306</v>
      </c>
      <c r="X746" t="b">
        <v>0</v>
      </c>
      <c r="Y746" t="b">
        <v>1</v>
      </c>
      <c r="Z746" t="s">
        <v>89</v>
      </c>
      <c r="AA746" t="s">
        <v>45</v>
      </c>
      <c r="AB746">
        <v>10</v>
      </c>
      <c r="AF746" t="str">
        <f>tbl_OriginalData[[#This Row],[Customer_ID]]</f>
        <v>77-401-8183</v>
      </c>
      <c r="AG746">
        <f>tbl_OriginalData[[#This Row],[Age]]</f>
        <v>30</v>
      </c>
      <c r="AH746" t="str" cm="1">
        <f t="array" ref="AH74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46" t="str">
        <f>tbl_OriginalData[[#This Row],[Gender]]</f>
        <v>Female</v>
      </c>
      <c r="AJ746" t="str">
        <f>tbl_OriginalData[[#This Row],[Income_Level]]</f>
        <v>High</v>
      </c>
      <c r="AK746" t="str">
        <f>tbl_OriginalData[[#This Row],[Marital_Status]]</f>
        <v>Divorced</v>
      </c>
      <c r="AL746" t="str">
        <f>tbl_OriginalData[[#This Row],[Education_Level]]</f>
        <v>High School</v>
      </c>
      <c r="AM746" t="str">
        <f>tbl_OriginalData[[#This Row],[Occupation]]</f>
        <v>High</v>
      </c>
      <c r="AN746" t="s">
        <v>1721</v>
      </c>
      <c r="AO746" t="s">
        <v>897</v>
      </c>
      <c r="AP746" t="str">
        <f>tbl_OriginalData[[#This Row],[Purchase_Category]]</f>
        <v>Baby Products</v>
      </c>
      <c r="AQ746" s="4">
        <f>tbl_OriginalData[[#This Row],[Purchase_Amount]]</f>
        <v>349</v>
      </c>
      <c r="AR746">
        <f>tbl_OriginalData[[#This Row],[Frequency_of_Purchase]]</f>
        <v>10</v>
      </c>
      <c r="AS746" t="str">
        <f>tbl_OriginalData[[#This Row],[Purchase_Channel]]</f>
        <v>Mixed</v>
      </c>
      <c r="AT746">
        <f>tbl_OriginalData[[#This Row],[Brand_Loyalty]]</f>
        <v>3</v>
      </c>
      <c r="AU746">
        <f>tbl_OriginalData[[#This Row],[Product_Rating]]</f>
        <v>5</v>
      </c>
      <c r="AV746">
        <f>tbl_OriginalData[[#This Row],[Time_Spent_on_Product_Research(hours)]]*60</f>
        <v>60</v>
      </c>
      <c r="AW746" t="str">
        <f>tbl_OriginalData[[#This Row],[Social_Media_Influence]]</f>
        <v>Low</v>
      </c>
      <c r="AX746" t="str">
        <f>tbl_OriginalData[[#This Row],[Discount_Sensitivity]]</f>
        <v>Not Sensitive</v>
      </c>
      <c r="AY746" s="3">
        <f>tbl_OriginalData[[#This Row],[Return_Rate]]/tbl_OriginalData[[#This Row],[Frequency_of_Purchase]]</f>
        <v>0.1</v>
      </c>
      <c r="AZ746">
        <f>tbl_OriginalData[[#This Row],[Customer_Satisfaction]]</f>
        <v>5</v>
      </c>
      <c r="BA746" t="str">
        <f>tbl_OriginalData[[#This Row],[Engagement_with_Ads]]</f>
        <v>Low</v>
      </c>
      <c r="BB746" t="str">
        <f>tbl_OriginalData[[#This Row],[Device_Used_for_Shopping]]</f>
        <v>Desktop</v>
      </c>
      <c r="BC746" t="str">
        <f>tbl_OriginalData[[#This Row],[Payment_Method]]</f>
        <v>PayPal</v>
      </c>
      <c r="BD746" s="1">
        <f>tbl_OriginalData[[#This Row],[Time_of_Purchase]]</f>
        <v>45306</v>
      </c>
      <c r="BE746" t="str">
        <f>IF(tbl_OriginalData[[#This Row],[Discount_Used]]=TRUE,"Yes","No")</f>
        <v>No</v>
      </c>
      <c r="BF746" t="str">
        <f>IF(tbl_OriginalData[[#This Row],[Customer_Loyalty_Program_Member]]=TRUE,"Yes","No")</f>
        <v>Yes</v>
      </c>
      <c r="BG746" t="str">
        <f>tbl_OriginalData[[#This Row],[Purchase_Intent]]</f>
        <v>Planned</v>
      </c>
      <c r="BH746" t="str">
        <f>tbl_OriginalData[[#This Row],[Shipping_Preference]]</f>
        <v>No Preference</v>
      </c>
      <c r="BI746">
        <f>tbl_OriginalData[[#This Row],[Time_to_Decision]]</f>
        <v>10</v>
      </c>
      <c r="BJ746" t="s">
        <v>86</v>
      </c>
      <c r="BK746" t="s">
        <v>48</v>
      </c>
      <c r="BL746" t="s">
        <v>2524</v>
      </c>
    </row>
    <row r="747" spans="1:64">
      <c r="A747" t="s">
        <v>1722</v>
      </c>
      <c r="B747">
        <v>38</v>
      </c>
      <c r="C747" t="s">
        <v>50</v>
      </c>
      <c r="D747" t="s">
        <v>34</v>
      </c>
      <c r="E747" t="s">
        <v>35</v>
      </c>
      <c r="F747" t="s">
        <v>36</v>
      </c>
      <c r="G747" t="s">
        <v>34</v>
      </c>
      <c r="H747" t="s">
        <v>1723</v>
      </c>
      <c r="I747" t="s">
        <v>135</v>
      </c>
      <c r="J747">
        <v>330.27</v>
      </c>
      <c r="K747">
        <v>3</v>
      </c>
      <c r="L747" t="s">
        <v>55</v>
      </c>
      <c r="M747">
        <v>3</v>
      </c>
      <c r="N747">
        <v>2</v>
      </c>
      <c r="O747">
        <v>1</v>
      </c>
      <c r="P747" t="s">
        <v>51</v>
      </c>
      <c r="Q747" t="s">
        <v>57</v>
      </c>
      <c r="R747">
        <v>1</v>
      </c>
      <c r="S747">
        <v>9</v>
      </c>
      <c r="T747" t="s">
        <v>51</v>
      </c>
      <c r="U747" t="s">
        <v>70</v>
      </c>
      <c r="V747" t="s">
        <v>76</v>
      </c>
      <c r="W747" s="1">
        <v>45332</v>
      </c>
      <c r="X747" t="b">
        <v>1</v>
      </c>
      <c r="Y747" t="b">
        <v>0</v>
      </c>
      <c r="Z747" t="s">
        <v>72</v>
      </c>
      <c r="AA747" t="s">
        <v>45</v>
      </c>
      <c r="AB747">
        <v>9</v>
      </c>
      <c r="AF747" t="str">
        <f>tbl_OriginalData[[#This Row],[Customer_ID]]</f>
        <v>01-484-8220</v>
      </c>
      <c r="AG747">
        <f>tbl_OriginalData[[#This Row],[Age]]</f>
        <v>38</v>
      </c>
      <c r="AH747" t="str" cm="1">
        <f t="array" ref="AH74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47" t="str">
        <f>tbl_OriginalData[[#This Row],[Gender]]</f>
        <v>Male</v>
      </c>
      <c r="AJ747" t="str">
        <f>tbl_OriginalData[[#This Row],[Income_Level]]</f>
        <v>Middle</v>
      </c>
      <c r="AK747" t="str">
        <f>tbl_OriginalData[[#This Row],[Marital_Status]]</f>
        <v>Married</v>
      </c>
      <c r="AL747" t="str">
        <f>tbl_OriginalData[[#This Row],[Education_Level]]</f>
        <v>Bachelor's</v>
      </c>
      <c r="AM747" t="str">
        <f>tbl_OriginalData[[#This Row],[Occupation]]</f>
        <v>Middle</v>
      </c>
      <c r="AN747" t="s">
        <v>1723</v>
      </c>
      <c r="AO747" t="s">
        <v>109</v>
      </c>
      <c r="AP747" t="str">
        <f>tbl_OriginalData[[#This Row],[Purchase_Category]]</f>
        <v>Hotels</v>
      </c>
      <c r="AQ747" s="4">
        <f>tbl_OriginalData[[#This Row],[Purchase_Amount]]</f>
        <v>330.27</v>
      </c>
      <c r="AR747">
        <f>tbl_OriginalData[[#This Row],[Frequency_of_Purchase]]</f>
        <v>3</v>
      </c>
      <c r="AS747" t="str">
        <f>tbl_OriginalData[[#This Row],[Purchase_Channel]]</f>
        <v>In-Store</v>
      </c>
      <c r="AT747">
        <f>tbl_OriginalData[[#This Row],[Brand_Loyalty]]</f>
        <v>3</v>
      </c>
      <c r="AU747">
        <f>tbl_OriginalData[[#This Row],[Product_Rating]]</f>
        <v>2</v>
      </c>
      <c r="AV747">
        <f>tbl_OriginalData[[#This Row],[Time_Spent_on_Product_Research(hours)]]*60</f>
        <v>60</v>
      </c>
      <c r="AW747" t="str">
        <f>tbl_OriginalData[[#This Row],[Social_Media_Influence]]</f>
        <v>High</v>
      </c>
      <c r="AX747" t="str">
        <f>tbl_OriginalData[[#This Row],[Discount_Sensitivity]]</f>
        <v>Not Sensitive</v>
      </c>
      <c r="AY747" s="3">
        <f>tbl_OriginalData[[#This Row],[Return_Rate]]/tbl_OriginalData[[#This Row],[Frequency_of_Purchase]]</f>
        <v>0.33333333333333331</v>
      </c>
      <c r="AZ747">
        <f>tbl_OriginalData[[#This Row],[Customer_Satisfaction]]</f>
        <v>9</v>
      </c>
      <c r="BA747" t="str">
        <f>tbl_OriginalData[[#This Row],[Engagement_with_Ads]]</f>
        <v>High</v>
      </c>
      <c r="BB747" t="str">
        <f>tbl_OriginalData[[#This Row],[Device_Used_for_Shopping]]</f>
        <v>Smartphone</v>
      </c>
      <c r="BC747" t="str">
        <f>tbl_OriginalData[[#This Row],[Payment_Method]]</f>
        <v>Other</v>
      </c>
      <c r="BD747" s="1">
        <f>tbl_OriginalData[[#This Row],[Time_of_Purchase]]</f>
        <v>45332</v>
      </c>
      <c r="BE747" t="str">
        <f>IF(tbl_OriginalData[[#This Row],[Discount_Used]]=TRUE,"Yes","No")</f>
        <v>Yes</v>
      </c>
      <c r="BF747" t="str">
        <f>IF(tbl_OriginalData[[#This Row],[Customer_Loyalty_Program_Member]]=TRUE,"Yes","No")</f>
        <v>No</v>
      </c>
      <c r="BG747" t="str">
        <f>tbl_OriginalData[[#This Row],[Purchase_Intent]]</f>
        <v>Impulsive</v>
      </c>
      <c r="BH747" t="str">
        <f>tbl_OriginalData[[#This Row],[Shipping_Preference]]</f>
        <v>No Preference</v>
      </c>
      <c r="BI747">
        <f>tbl_OriginalData[[#This Row],[Time_to_Decision]]</f>
        <v>9</v>
      </c>
      <c r="BJ747" t="s">
        <v>158</v>
      </c>
      <c r="BK747" t="s">
        <v>48</v>
      </c>
      <c r="BL747" t="s">
        <v>2526</v>
      </c>
    </row>
    <row r="748" spans="1:64">
      <c r="A748" t="s">
        <v>1724</v>
      </c>
      <c r="B748">
        <v>42</v>
      </c>
      <c r="C748" t="s">
        <v>50</v>
      </c>
      <c r="D748" t="s">
        <v>34</v>
      </c>
      <c r="E748" t="s">
        <v>35</v>
      </c>
      <c r="F748" t="s">
        <v>66</v>
      </c>
      <c r="G748" t="s">
        <v>34</v>
      </c>
      <c r="H748" t="s">
        <v>1725</v>
      </c>
      <c r="I748" t="s">
        <v>180</v>
      </c>
      <c r="J748">
        <v>410.29</v>
      </c>
      <c r="K748">
        <v>10</v>
      </c>
      <c r="L748" t="s">
        <v>94</v>
      </c>
      <c r="M748">
        <v>2</v>
      </c>
      <c r="N748">
        <v>4</v>
      </c>
      <c r="O748">
        <v>1</v>
      </c>
      <c r="P748" t="s">
        <v>69</v>
      </c>
      <c r="Q748" t="s">
        <v>57</v>
      </c>
      <c r="R748">
        <v>2</v>
      </c>
      <c r="S748">
        <v>4</v>
      </c>
      <c r="T748" t="s">
        <v>51</v>
      </c>
      <c r="U748" t="s">
        <v>70</v>
      </c>
      <c r="V748" t="s">
        <v>43</v>
      </c>
      <c r="W748" s="1">
        <v>45537</v>
      </c>
      <c r="X748" t="b">
        <v>1</v>
      </c>
      <c r="Y748" t="b">
        <v>0</v>
      </c>
      <c r="Z748" t="s">
        <v>89</v>
      </c>
      <c r="AA748" t="s">
        <v>77</v>
      </c>
      <c r="AB748">
        <v>1</v>
      </c>
      <c r="AF748" t="str">
        <f>tbl_OriginalData[[#This Row],[Customer_ID]]</f>
        <v>11-121-0709</v>
      </c>
      <c r="AG748">
        <f>tbl_OriginalData[[#This Row],[Age]]</f>
        <v>42</v>
      </c>
      <c r="AH748" t="str" cm="1">
        <f t="array" ref="AH74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48" t="str">
        <f>tbl_OriginalData[[#This Row],[Gender]]</f>
        <v>Male</v>
      </c>
      <c r="AJ748" t="str">
        <f>tbl_OriginalData[[#This Row],[Income_Level]]</f>
        <v>Middle</v>
      </c>
      <c r="AK748" t="str">
        <f>tbl_OriginalData[[#This Row],[Marital_Status]]</f>
        <v>Married</v>
      </c>
      <c r="AL748" t="str">
        <f>tbl_OriginalData[[#This Row],[Education_Level]]</f>
        <v>Master's</v>
      </c>
      <c r="AM748" t="str">
        <f>tbl_OriginalData[[#This Row],[Occupation]]</f>
        <v>Middle</v>
      </c>
      <c r="AN748" t="s">
        <v>1725</v>
      </c>
      <c r="AO748" t="s">
        <v>272</v>
      </c>
      <c r="AP748" t="str">
        <f>tbl_OriginalData[[#This Row],[Purchase_Category]]</f>
        <v>Health Supplements</v>
      </c>
      <c r="AQ748" s="4">
        <f>tbl_OriginalData[[#This Row],[Purchase_Amount]]</f>
        <v>410.29</v>
      </c>
      <c r="AR748">
        <f>tbl_OriginalData[[#This Row],[Frequency_of_Purchase]]</f>
        <v>10</v>
      </c>
      <c r="AS748" t="str">
        <f>tbl_OriginalData[[#This Row],[Purchase_Channel]]</f>
        <v>Online</v>
      </c>
      <c r="AT748">
        <f>tbl_OriginalData[[#This Row],[Brand_Loyalty]]</f>
        <v>2</v>
      </c>
      <c r="AU748">
        <f>tbl_OriginalData[[#This Row],[Product_Rating]]</f>
        <v>4</v>
      </c>
      <c r="AV748">
        <f>tbl_OriginalData[[#This Row],[Time_Spent_on_Product_Research(hours)]]*60</f>
        <v>60</v>
      </c>
      <c r="AW748" t="str">
        <f>tbl_OriginalData[[#This Row],[Social_Media_Influence]]</f>
        <v>Low</v>
      </c>
      <c r="AX748" t="str">
        <f>tbl_OriginalData[[#This Row],[Discount_Sensitivity]]</f>
        <v>Not Sensitive</v>
      </c>
      <c r="AY748" s="3">
        <f>tbl_OriginalData[[#This Row],[Return_Rate]]/tbl_OriginalData[[#This Row],[Frequency_of_Purchase]]</f>
        <v>0.2</v>
      </c>
      <c r="AZ748">
        <f>tbl_OriginalData[[#This Row],[Customer_Satisfaction]]</f>
        <v>4</v>
      </c>
      <c r="BA748" t="str">
        <f>tbl_OriginalData[[#This Row],[Engagement_with_Ads]]</f>
        <v>High</v>
      </c>
      <c r="BB748" t="str">
        <f>tbl_OriginalData[[#This Row],[Device_Used_for_Shopping]]</f>
        <v>Smartphone</v>
      </c>
      <c r="BC748" t="str">
        <f>tbl_OriginalData[[#This Row],[Payment_Method]]</f>
        <v>Credit Card</v>
      </c>
      <c r="BD748" s="1">
        <f>tbl_OriginalData[[#This Row],[Time_of_Purchase]]</f>
        <v>45537</v>
      </c>
      <c r="BE748" t="str">
        <f>IF(tbl_OriginalData[[#This Row],[Discount_Used]]=TRUE,"Yes","No")</f>
        <v>Yes</v>
      </c>
      <c r="BF748" t="str">
        <f>IF(tbl_OriginalData[[#This Row],[Customer_Loyalty_Program_Member]]=TRUE,"Yes","No")</f>
        <v>No</v>
      </c>
      <c r="BG748" t="str">
        <f>tbl_OriginalData[[#This Row],[Purchase_Intent]]</f>
        <v>Planned</v>
      </c>
      <c r="BH748" t="str">
        <f>tbl_OriginalData[[#This Row],[Shipping_Preference]]</f>
        <v>Express</v>
      </c>
      <c r="BI748">
        <f>tbl_OriginalData[[#This Row],[Time_to_Decision]]</f>
        <v>1</v>
      </c>
      <c r="BJ748" t="s">
        <v>172</v>
      </c>
      <c r="BK748" t="s">
        <v>115</v>
      </c>
      <c r="BL748" t="s">
        <v>2524</v>
      </c>
    </row>
    <row r="749" spans="1:64">
      <c r="A749" t="s">
        <v>1726</v>
      </c>
      <c r="B749">
        <v>24</v>
      </c>
      <c r="C749" t="s">
        <v>33</v>
      </c>
      <c r="D749" t="s">
        <v>51</v>
      </c>
      <c r="E749" t="s">
        <v>92</v>
      </c>
      <c r="F749" t="s">
        <v>66</v>
      </c>
      <c r="G749" t="s">
        <v>34</v>
      </c>
      <c r="H749" t="s">
        <v>1727</v>
      </c>
      <c r="I749" t="s">
        <v>135</v>
      </c>
      <c r="J749">
        <v>400.86</v>
      </c>
      <c r="K749">
        <v>7</v>
      </c>
      <c r="L749" t="s">
        <v>94</v>
      </c>
      <c r="M749">
        <v>3</v>
      </c>
      <c r="N749">
        <v>3</v>
      </c>
      <c r="O749">
        <v>1</v>
      </c>
      <c r="P749" t="s">
        <v>51</v>
      </c>
      <c r="Q749" t="s">
        <v>101</v>
      </c>
      <c r="R749">
        <v>1</v>
      </c>
      <c r="S749">
        <v>7</v>
      </c>
      <c r="T749" t="s">
        <v>69</v>
      </c>
      <c r="U749" t="s">
        <v>70</v>
      </c>
      <c r="V749" t="s">
        <v>43</v>
      </c>
      <c r="W749" s="1">
        <v>45547</v>
      </c>
      <c r="X749" t="b">
        <v>1</v>
      </c>
      <c r="Y749" t="b">
        <v>0</v>
      </c>
      <c r="Z749" t="s">
        <v>89</v>
      </c>
      <c r="AA749" t="s">
        <v>45</v>
      </c>
      <c r="AB749">
        <v>5</v>
      </c>
      <c r="AF749" t="str">
        <f>tbl_OriginalData[[#This Row],[Customer_ID]]</f>
        <v>36-649-0081</v>
      </c>
      <c r="AG749">
        <f>tbl_OriginalData[[#This Row],[Age]]</f>
        <v>24</v>
      </c>
      <c r="AH749" t="str" cm="1">
        <f t="array" ref="AH74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49" t="str">
        <f>tbl_OriginalData[[#This Row],[Gender]]</f>
        <v>Female</v>
      </c>
      <c r="AJ749" t="str">
        <f>tbl_OriginalData[[#This Row],[Income_Level]]</f>
        <v>High</v>
      </c>
      <c r="AK749" t="str">
        <f>tbl_OriginalData[[#This Row],[Marital_Status]]</f>
        <v>Divorced</v>
      </c>
      <c r="AL749" t="str">
        <f>tbl_OriginalData[[#This Row],[Education_Level]]</f>
        <v>Master's</v>
      </c>
      <c r="AM749" t="str">
        <f>tbl_OriginalData[[#This Row],[Occupation]]</f>
        <v>Middle</v>
      </c>
      <c r="AN749" t="s">
        <v>1727</v>
      </c>
      <c r="AO749" t="s">
        <v>61</v>
      </c>
      <c r="AP749" t="str">
        <f>tbl_OriginalData[[#This Row],[Purchase_Category]]</f>
        <v>Hotels</v>
      </c>
      <c r="AQ749" s="4">
        <f>tbl_OriginalData[[#This Row],[Purchase_Amount]]</f>
        <v>400.86</v>
      </c>
      <c r="AR749">
        <f>tbl_OriginalData[[#This Row],[Frequency_of_Purchase]]</f>
        <v>7</v>
      </c>
      <c r="AS749" t="str">
        <f>tbl_OriginalData[[#This Row],[Purchase_Channel]]</f>
        <v>Online</v>
      </c>
      <c r="AT749">
        <f>tbl_OriginalData[[#This Row],[Brand_Loyalty]]</f>
        <v>3</v>
      </c>
      <c r="AU749">
        <f>tbl_OriginalData[[#This Row],[Product_Rating]]</f>
        <v>3</v>
      </c>
      <c r="AV749">
        <f>tbl_OriginalData[[#This Row],[Time_Spent_on_Product_Research(hours)]]*60</f>
        <v>60</v>
      </c>
      <c r="AW749" t="str">
        <f>tbl_OriginalData[[#This Row],[Social_Media_Influence]]</f>
        <v>High</v>
      </c>
      <c r="AX749" t="str">
        <f>tbl_OriginalData[[#This Row],[Discount_Sensitivity]]</f>
        <v>Very Sensitive</v>
      </c>
      <c r="AY749" s="3">
        <f>tbl_OriginalData[[#This Row],[Return_Rate]]/tbl_OriginalData[[#This Row],[Frequency_of_Purchase]]</f>
        <v>0.14285714285714285</v>
      </c>
      <c r="AZ749">
        <f>tbl_OriginalData[[#This Row],[Customer_Satisfaction]]</f>
        <v>7</v>
      </c>
      <c r="BA749" t="str">
        <f>tbl_OriginalData[[#This Row],[Engagement_with_Ads]]</f>
        <v>Low</v>
      </c>
      <c r="BB749" t="str">
        <f>tbl_OriginalData[[#This Row],[Device_Used_for_Shopping]]</f>
        <v>Smartphone</v>
      </c>
      <c r="BC749" t="str">
        <f>tbl_OriginalData[[#This Row],[Payment_Method]]</f>
        <v>Credit Card</v>
      </c>
      <c r="BD749" s="1">
        <f>tbl_OriginalData[[#This Row],[Time_of_Purchase]]</f>
        <v>45547</v>
      </c>
      <c r="BE749" t="str">
        <f>IF(tbl_OriginalData[[#This Row],[Discount_Used]]=TRUE,"Yes","No")</f>
        <v>Yes</v>
      </c>
      <c r="BF749" t="str">
        <f>IF(tbl_OriginalData[[#This Row],[Customer_Loyalty_Program_Member]]=TRUE,"Yes","No")</f>
        <v>No</v>
      </c>
      <c r="BG749" t="str">
        <f>tbl_OriginalData[[#This Row],[Purchase_Intent]]</f>
        <v>Planned</v>
      </c>
      <c r="BH749" t="str">
        <f>tbl_OriginalData[[#This Row],[Shipping_Preference]]</f>
        <v>No Preference</v>
      </c>
      <c r="BI749">
        <f>tbl_OriginalData[[#This Row],[Time_to_Decision]]</f>
        <v>5</v>
      </c>
      <c r="BJ749" t="s">
        <v>172</v>
      </c>
      <c r="BK749" t="s">
        <v>115</v>
      </c>
      <c r="BL749" t="s">
        <v>2524</v>
      </c>
    </row>
    <row r="750" spans="1:64">
      <c r="A750" t="s">
        <v>1728</v>
      </c>
      <c r="B750">
        <v>27</v>
      </c>
      <c r="C750" t="s">
        <v>33</v>
      </c>
      <c r="D750" t="s">
        <v>51</v>
      </c>
      <c r="E750" t="s">
        <v>35</v>
      </c>
      <c r="F750" t="s">
        <v>66</v>
      </c>
      <c r="G750" t="s">
        <v>34</v>
      </c>
      <c r="H750" t="s">
        <v>1729</v>
      </c>
      <c r="I750" t="s">
        <v>235</v>
      </c>
      <c r="J750">
        <v>225.12</v>
      </c>
      <c r="K750">
        <v>11</v>
      </c>
      <c r="L750" t="s">
        <v>55</v>
      </c>
      <c r="M750">
        <v>3</v>
      </c>
      <c r="N750">
        <v>2</v>
      </c>
      <c r="O750">
        <v>1</v>
      </c>
      <c r="P750" t="s">
        <v>56</v>
      </c>
      <c r="Q750" t="s">
        <v>41</v>
      </c>
      <c r="R750">
        <v>0</v>
      </c>
      <c r="S750">
        <v>1</v>
      </c>
      <c r="T750" t="s">
        <v>40</v>
      </c>
      <c r="U750" t="s">
        <v>95</v>
      </c>
      <c r="V750" t="s">
        <v>102</v>
      </c>
      <c r="W750" s="1">
        <v>45535</v>
      </c>
      <c r="X750" t="b">
        <v>1</v>
      </c>
      <c r="Y750" t="b">
        <v>0</v>
      </c>
      <c r="Z750" t="s">
        <v>89</v>
      </c>
      <c r="AA750" t="s">
        <v>77</v>
      </c>
      <c r="AB750">
        <v>6</v>
      </c>
      <c r="AF750" t="str">
        <f>tbl_OriginalData[[#This Row],[Customer_ID]]</f>
        <v>61-176-8712</v>
      </c>
      <c r="AG750">
        <f>tbl_OriginalData[[#This Row],[Age]]</f>
        <v>27</v>
      </c>
      <c r="AH750" t="str" cm="1">
        <f t="array" ref="AH75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50" t="str">
        <f>tbl_OriginalData[[#This Row],[Gender]]</f>
        <v>Female</v>
      </c>
      <c r="AJ750" t="str">
        <f>tbl_OriginalData[[#This Row],[Income_Level]]</f>
        <v>High</v>
      </c>
      <c r="AK750" t="str">
        <f>tbl_OriginalData[[#This Row],[Marital_Status]]</f>
        <v>Married</v>
      </c>
      <c r="AL750" t="str">
        <f>tbl_OriginalData[[#This Row],[Education_Level]]</f>
        <v>Master's</v>
      </c>
      <c r="AM750" t="str">
        <f>tbl_OriginalData[[#This Row],[Occupation]]</f>
        <v>Middle</v>
      </c>
      <c r="AN750" t="s">
        <v>1729</v>
      </c>
      <c r="AO750" t="s">
        <v>218</v>
      </c>
      <c r="AP750" t="str">
        <f>tbl_OriginalData[[#This Row],[Purchase_Category]]</f>
        <v>Beauty &amp; Personal Care</v>
      </c>
      <c r="AQ750" s="4">
        <f>tbl_OriginalData[[#This Row],[Purchase_Amount]]</f>
        <v>225.12</v>
      </c>
      <c r="AR750">
        <f>tbl_OriginalData[[#This Row],[Frequency_of_Purchase]]</f>
        <v>11</v>
      </c>
      <c r="AS750" t="str">
        <f>tbl_OriginalData[[#This Row],[Purchase_Channel]]</f>
        <v>In-Store</v>
      </c>
      <c r="AT750">
        <f>tbl_OriginalData[[#This Row],[Brand_Loyalty]]</f>
        <v>3</v>
      </c>
      <c r="AU750">
        <f>tbl_OriginalData[[#This Row],[Product_Rating]]</f>
        <v>2</v>
      </c>
      <c r="AV750">
        <f>tbl_OriginalData[[#This Row],[Time_Spent_on_Product_Research(hours)]]*60</f>
        <v>60</v>
      </c>
      <c r="AW750" t="str">
        <f>tbl_OriginalData[[#This Row],[Social_Media_Influence]]</f>
        <v>Medium</v>
      </c>
      <c r="AX750" t="str">
        <f>tbl_OriginalData[[#This Row],[Discount_Sensitivity]]</f>
        <v>Somewhat Sensitive</v>
      </c>
      <c r="AY750" s="3">
        <f>tbl_OriginalData[[#This Row],[Return_Rate]]/tbl_OriginalData[[#This Row],[Frequency_of_Purchase]]</f>
        <v>0</v>
      </c>
      <c r="AZ750">
        <f>tbl_OriginalData[[#This Row],[Customer_Satisfaction]]</f>
        <v>1</v>
      </c>
      <c r="BA750" t="str">
        <f>tbl_OriginalData[[#This Row],[Engagement_with_Ads]]</f>
        <v>None</v>
      </c>
      <c r="BB750" t="str">
        <f>tbl_OriginalData[[#This Row],[Device_Used_for_Shopping]]</f>
        <v>Desktop</v>
      </c>
      <c r="BC750" t="str">
        <f>tbl_OriginalData[[#This Row],[Payment_Method]]</f>
        <v>Cash</v>
      </c>
      <c r="BD750" s="1">
        <f>tbl_OriginalData[[#This Row],[Time_of_Purchase]]</f>
        <v>45535</v>
      </c>
      <c r="BE750" t="str">
        <f>IF(tbl_OriginalData[[#This Row],[Discount_Used]]=TRUE,"Yes","No")</f>
        <v>Yes</v>
      </c>
      <c r="BF750" t="str">
        <f>IF(tbl_OriginalData[[#This Row],[Customer_Loyalty_Program_Member]]=TRUE,"Yes","No")</f>
        <v>No</v>
      </c>
      <c r="BG750" t="str">
        <f>tbl_OriginalData[[#This Row],[Purchase_Intent]]</f>
        <v>Planned</v>
      </c>
      <c r="BH750" t="str">
        <f>tbl_OriginalData[[#This Row],[Shipping_Preference]]</f>
        <v>Express</v>
      </c>
      <c r="BI750">
        <f>tbl_OriginalData[[#This Row],[Time_to_Decision]]</f>
        <v>6</v>
      </c>
      <c r="BJ750" t="s">
        <v>124</v>
      </c>
      <c r="BK750" t="s">
        <v>115</v>
      </c>
      <c r="BL750" t="s">
        <v>2527</v>
      </c>
    </row>
    <row r="751" spans="1:64">
      <c r="A751" t="s">
        <v>1730</v>
      </c>
      <c r="B751">
        <v>36</v>
      </c>
      <c r="C751" t="s">
        <v>33</v>
      </c>
      <c r="D751" t="s">
        <v>51</v>
      </c>
      <c r="E751" t="s">
        <v>82</v>
      </c>
      <c r="F751" t="s">
        <v>66</v>
      </c>
      <c r="G751" t="s">
        <v>51</v>
      </c>
      <c r="H751" t="s">
        <v>1731</v>
      </c>
      <c r="I751" t="s">
        <v>235</v>
      </c>
      <c r="J751">
        <v>273.48</v>
      </c>
      <c r="K751">
        <v>12</v>
      </c>
      <c r="L751" t="s">
        <v>94</v>
      </c>
      <c r="M751">
        <v>5</v>
      </c>
      <c r="N751">
        <v>3</v>
      </c>
      <c r="O751">
        <v>2</v>
      </c>
      <c r="P751" t="s">
        <v>69</v>
      </c>
      <c r="Q751" t="s">
        <v>101</v>
      </c>
      <c r="R751">
        <v>0</v>
      </c>
      <c r="S751">
        <v>5</v>
      </c>
      <c r="T751" t="s">
        <v>56</v>
      </c>
      <c r="U751" t="s">
        <v>70</v>
      </c>
      <c r="V751" t="s">
        <v>76</v>
      </c>
      <c r="W751" s="1">
        <v>45313</v>
      </c>
      <c r="X751" t="b">
        <v>1</v>
      </c>
      <c r="Y751" t="b">
        <v>0</v>
      </c>
      <c r="Z751" t="s">
        <v>59</v>
      </c>
      <c r="AA751" t="s">
        <v>77</v>
      </c>
      <c r="AB751">
        <v>5</v>
      </c>
      <c r="AF751" t="str">
        <f>tbl_OriginalData[[#This Row],[Customer_ID]]</f>
        <v>75-526-2611</v>
      </c>
      <c r="AG751">
        <f>tbl_OriginalData[[#This Row],[Age]]</f>
        <v>36</v>
      </c>
      <c r="AH751" t="str" cm="1">
        <f t="array" ref="AH75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51" t="str">
        <f>tbl_OriginalData[[#This Row],[Gender]]</f>
        <v>Female</v>
      </c>
      <c r="AJ751" t="str">
        <f>tbl_OriginalData[[#This Row],[Income_Level]]</f>
        <v>High</v>
      </c>
      <c r="AK751" t="str">
        <f>tbl_OriginalData[[#This Row],[Marital_Status]]</f>
        <v>Widowed</v>
      </c>
      <c r="AL751" t="str">
        <f>tbl_OriginalData[[#This Row],[Education_Level]]</f>
        <v>Master's</v>
      </c>
      <c r="AM751" t="str">
        <f>tbl_OriginalData[[#This Row],[Occupation]]</f>
        <v>High</v>
      </c>
      <c r="AN751" t="s">
        <v>1731</v>
      </c>
      <c r="AO751" t="s">
        <v>85</v>
      </c>
      <c r="AP751" t="str">
        <f>tbl_OriginalData[[#This Row],[Purchase_Category]]</f>
        <v>Beauty &amp; Personal Care</v>
      </c>
      <c r="AQ751" s="4">
        <f>tbl_OriginalData[[#This Row],[Purchase_Amount]]</f>
        <v>273.48</v>
      </c>
      <c r="AR751">
        <f>tbl_OriginalData[[#This Row],[Frequency_of_Purchase]]</f>
        <v>12</v>
      </c>
      <c r="AS751" t="str">
        <f>tbl_OriginalData[[#This Row],[Purchase_Channel]]</f>
        <v>Online</v>
      </c>
      <c r="AT751">
        <f>tbl_OriginalData[[#This Row],[Brand_Loyalty]]</f>
        <v>5</v>
      </c>
      <c r="AU751">
        <f>tbl_OriginalData[[#This Row],[Product_Rating]]</f>
        <v>3</v>
      </c>
      <c r="AV751">
        <f>tbl_OriginalData[[#This Row],[Time_Spent_on_Product_Research(hours)]]*60</f>
        <v>120</v>
      </c>
      <c r="AW751" t="str">
        <f>tbl_OriginalData[[#This Row],[Social_Media_Influence]]</f>
        <v>Low</v>
      </c>
      <c r="AX751" t="str">
        <f>tbl_OriginalData[[#This Row],[Discount_Sensitivity]]</f>
        <v>Very Sensitive</v>
      </c>
      <c r="AY751" s="3">
        <f>tbl_OriginalData[[#This Row],[Return_Rate]]/tbl_OriginalData[[#This Row],[Frequency_of_Purchase]]</f>
        <v>0</v>
      </c>
      <c r="AZ751">
        <f>tbl_OriginalData[[#This Row],[Customer_Satisfaction]]</f>
        <v>5</v>
      </c>
      <c r="BA751" t="str">
        <f>tbl_OriginalData[[#This Row],[Engagement_with_Ads]]</f>
        <v>Medium</v>
      </c>
      <c r="BB751" t="str">
        <f>tbl_OriginalData[[#This Row],[Device_Used_for_Shopping]]</f>
        <v>Smartphone</v>
      </c>
      <c r="BC751" t="str">
        <f>tbl_OriginalData[[#This Row],[Payment_Method]]</f>
        <v>Other</v>
      </c>
      <c r="BD751" s="1">
        <f>tbl_OriginalData[[#This Row],[Time_of_Purchase]]</f>
        <v>45313</v>
      </c>
      <c r="BE751" t="str">
        <f>IF(tbl_OriginalData[[#This Row],[Discount_Used]]=TRUE,"Yes","No")</f>
        <v>Yes</v>
      </c>
      <c r="BF751" t="str">
        <f>IF(tbl_OriginalData[[#This Row],[Customer_Loyalty_Program_Member]]=TRUE,"Yes","No")</f>
        <v>No</v>
      </c>
      <c r="BG751" t="str">
        <f>tbl_OriginalData[[#This Row],[Purchase_Intent]]</f>
        <v>Wants-based</v>
      </c>
      <c r="BH751" t="str">
        <f>tbl_OriginalData[[#This Row],[Shipping_Preference]]</f>
        <v>Express</v>
      </c>
      <c r="BI751">
        <f>tbl_OriginalData[[#This Row],[Time_to_Decision]]</f>
        <v>5</v>
      </c>
      <c r="BJ751" t="s">
        <v>86</v>
      </c>
      <c r="BK751" t="s">
        <v>48</v>
      </c>
      <c r="BL751" t="s">
        <v>2524</v>
      </c>
    </row>
    <row r="752" spans="1:64">
      <c r="A752" t="s">
        <v>1732</v>
      </c>
      <c r="B752">
        <v>19</v>
      </c>
      <c r="C752" t="s">
        <v>106</v>
      </c>
      <c r="D752" t="s">
        <v>51</v>
      </c>
      <c r="E752" t="s">
        <v>65</v>
      </c>
      <c r="F752" t="s">
        <v>66</v>
      </c>
      <c r="G752" t="s">
        <v>34</v>
      </c>
      <c r="H752" t="s">
        <v>1733</v>
      </c>
      <c r="I752" t="s">
        <v>84</v>
      </c>
      <c r="J752">
        <v>363.84</v>
      </c>
      <c r="K752">
        <v>11</v>
      </c>
      <c r="L752" t="s">
        <v>94</v>
      </c>
      <c r="M752">
        <v>3</v>
      </c>
      <c r="N752">
        <v>2</v>
      </c>
      <c r="O752">
        <v>1</v>
      </c>
      <c r="P752" t="s">
        <v>69</v>
      </c>
      <c r="Q752" t="s">
        <v>57</v>
      </c>
      <c r="R752">
        <v>0</v>
      </c>
      <c r="S752">
        <v>3</v>
      </c>
      <c r="T752" t="s">
        <v>56</v>
      </c>
      <c r="U752" t="s">
        <v>95</v>
      </c>
      <c r="V752" t="s">
        <v>102</v>
      </c>
      <c r="W752" s="1">
        <v>45534</v>
      </c>
      <c r="X752" t="b">
        <v>1</v>
      </c>
      <c r="Y752" t="b">
        <v>0</v>
      </c>
      <c r="Z752" t="s">
        <v>72</v>
      </c>
      <c r="AA752" t="s">
        <v>77</v>
      </c>
      <c r="AB752">
        <v>5</v>
      </c>
      <c r="AF752" t="str">
        <f>tbl_OriginalData[[#This Row],[Customer_ID]]</f>
        <v>72-339-1854</v>
      </c>
      <c r="AG752">
        <f>tbl_OriginalData[[#This Row],[Age]]</f>
        <v>19</v>
      </c>
      <c r="AH752" t="str" cm="1">
        <f t="array" ref="AH75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752" t="str">
        <f>tbl_OriginalData[[#This Row],[Gender]]</f>
        <v>Bigender</v>
      </c>
      <c r="AJ752" t="str">
        <f>tbl_OriginalData[[#This Row],[Income_Level]]</f>
        <v>High</v>
      </c>
      <c r="AK752" t="str">
        <f>tbl_OriginalData[[#This Row],[Marital_Status]]</f>
        <v>Single</v>
      </c>
      <c r="AL752" t="str">
        <f>tbl_OriginalData[[#This Row],[Education_Level]]</f>
        <v>Master's</v>
      </c>
      <c r="AM752" t="str">
        <f>tbl_OriginalData[[#This Row],[Occupation]]</f>
        <v>Middle</v>
      </c>
      <c r="AN752" t="s">
        <v>1733</v>
      </c>
      <c r="AO752" t="s">
        <v>132</v>
      </c>
      <c r="AP752" t="str">
        <f>tbl_OriginalData[[#This Row],[Purchase_Category]]</f>
        <v>Furniture</v>
      </c>
      <c r="AQ752" s="4">
        <f>tbl_OriginalData[[#This Row],[Purchase_Amount]]</f>
        <v>363.84</v>
      </c>
      <c r="AR752">
        <f>tbl_OriginalData[[#This Row],[Frequency_of_Purchase]]</f>
        <v>11</v>
      </c>
      <c r="AS752" t="str">
        <f>tbl_OriginalData[[#This Row],[Purchase_Channel]]</f>
        <v>Online</v>
      </c>
      <c r="AT752">
        <f>tbl_OriginalData[[#This Row],[Brand_Loyalty]]</f>
        <v>3</v>
      </c>
      <c r="AU752">
        <f>tbl_OriginalData[[#This Row],[Product_Rating]]</f>
        <v>2</v>
      </c>
      <c r="AV752">
        <f>tbl_OriginalData[[#This Row],[Time_Spent_on_Product_Research(hours)]]*60</f>
        <v>60</v>
      </c>
      <c r="AW752" t="str">
        <f>tbl_OriginalData[[#This Row],[Social_Media_Influence]]</f>
        <v>Low</v>
      </c>
      <c r="AX752" t="str">
        <f>tbl_OriginalData[[#This Row],[Discount_Sensitivity]]</f>
        <v>Not Sensitive</v>
      </c>
      <c r="AY752" s="3">
        <f>tbl_OriginalData[[#This Row],[Return_Rate]]/tbl_OriginalData[[#This Row],[Frequency_of_Purchase]]</f>
        <v>0</v>
      </c>
      <c r="AZ752">
        <f>tbl_OriginalData[[#This Row],[Customer_Satisfaction]]</f>
        <v>3</v>
      </c>
      <c r="BA752" t="str">
        <f>tbl_OriginalData[[#This Row],[Engagement_with_Ads]]</f>
        <v>Medium</v>
      </c>
      <c r="BB752" t="str">
        <f>tbl_OriginalData[[#This Row],[Device_Used_for_Shopping]]</f>
        <v>Desktop</v>
      </c>
      <c r="BC752" t="str">
        <f>tbl_OriginalData[[#This Row],[Payment_Method]]</f>
        <v>Cash</v>
      </c>
      <c r="BD752" s="1">
        <f>tbl_OriginalData[[#This Row],[Time_of_Purchase]]</f>
        <v>45534</v>
      </c>
      <c r="BE752" t="str">
        <f>IF(tbl_OriginalData[[#This Row],[Discount_Used]]=TRUE,"Yes","No")</f>
        <v>Yes</v>
      </c>
      <c r="BF752" t="str">
        <f>IF(tbl_OriginalData[[#This Row],[Customer_Loyalty_Program_Member]]=TRUE,"Yes","No")</f>
        <v>No</v>
      </c>
      <c r="BG752" t="str">
        <f>tbl_OriginalData[[#This Row],[Purchase_Intent]]</f>
        <v>Impulsive</v>
      </c>
      <c r="BH752" t="str">
        <f>tbl_OriginalData[[#This Row],[Shipping_Preference]]</f>
        <v>Express</v>
      </c>
      <c r="BI752">
        <f>tbl_OriginalData[[#This Row],[Time_to_Decision]]</f>
        <v>5</v>
      </c>
      <c r="BJ752" t="s">
        <v>124</v>
      </c>
      <c r="BK752" t="s">
        <v>115</v>
      </c>
      <c r="BL752" t="s">
        <v>2525</v>
      </c>
    </row>
    <row r="753" spans="1:64">
      <c r="A753" t="s">
        <v>1734</v>
      </c>
      <c r="B753">
        <v>24</v>
      </c>
      <c r="C753" t="s">
        <v>33</v>
      </c>
      <c r="D753" t="s">
        <v>51</v>
      </c>
      <c r="E753" t="s">
        <v>65</v>
      </c>
      <c r="F753" t="s">
        <v>36</v>
      </c>
      <c r="G753" t="s">
        <v>34</v>
      </c>
      <c r="H753" t="s">
        <v>1735</v>
      </c>
      <c r="I753" t="s">
        <v>143</v>
      </c>
      <c r="J753">
        <v>302.60000000000002</v>
      </c>
      <c r="K753">
        <v>9</v>
      </c>
      <c r="L753" t="s">
        <v>94</v>
      </c>
      <c r="M753">
        <v>1</v>
      </c>
      <c r="N753">
        <v>4</v>
      </c>
      <c r="O753">
        <v>2</v>
      </c>
      <c r="P753" t="s">
        <v>56</v>
      </c>
      <c r="Q753" t="s">
        <v>101</v>
      </c>
      <c r="R753">
        <v>2</v>
      </c>
      <c r="S753">
        <v>10</v>
      </c>
      <c r="T753" t="s">
        <v>40</v>
      </c>
      <c r="U753" t="s">
        <v>95</v>
      </c>
      <c r="V753" t="s">
        <v>71</v>
      </c>
      <c r="W753" s="1">
        <v>45496</v>
      </c>
      <c r="X753" t="b">
        <v>0</v>
      </c>
      <c r="Y753" t="b">
        <v>1</v>
      </c>
      <c r="Z753" t="s">
        <v>72</v>
      </c>
      <c r="AA753" t="s">
        <v>60</v>
      </c>
      <c r="AB753">
        <v>2</v>
      </c>
      <c r="AF753" t="str">
        <f>tbl_OriginalData[[#This Row],[Customer_ID]]</f>
        <v>80-360-6324</v>
      </c>
      <c r="AG753">
        <f>tbl_OriginalData[[#This Row],[Age]]</f>
        <v>24</v>
      </c>
      <c r="AH753" t="str" cm="1">
        <f t="array" ref="AH75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53" t="str">
        <f>tbl_OriginalData[[#This Row],[Gender]]</f>
        <v>Female</v>
      </c>
      <c r="AJ753" t="str">
        <f>tbl_OriginalData[[#This Row],[Income_Level]]</f>
        <v>High</v>
      </c>
      <c r="AK753" t="str">
        <f>tbl_OriginalData[[#This Row],[Marital_Status]]</f>
        <v>Single</v>
      </c>
      <c r="AL753" t="str">
        <f>tbl_OriginalData[[#This Row],[Education_Level]]</f>
        <v>Bachelor's</v>
      </c>
      <c r="AM753" t="str">
        <f>tbl_OriginalData[[#This Row],[Occupation]]</f>
        <v>Middle</v>
      </c>
      <c r="AN753" t="s">
        <v>1735</v>
      </c>
      <c r="AO753" t="s">
        <v>700</v>
      </c>
      <c r="AP753" t="str">
        <f>tbl_OriginalData[[#This Row],[Purchase_Category]]</f>
        <v>Packages)</v>
      </c>
      <c r="AQ753" s="4">
        <f>tbl_OriginalData[[#This Row],[Purchase_Amount]]</f>
        <v>302.60000000000002</v>
      </c>
      <c r="AR753">
        <f>tbl_OriginalData[[#This Row],[Frequency_of_Purchase]]</f>
        <v>9</v>
      </c>
      <c r="AS753" t="str">
        <f>tbl_OriginalData[[#This Row],[Purchase_Channel]]</f>
        <v>Online</v>
      </c>
      <c r="AT753">
        <f>tbl_OriginalData[[#This Row],[Brand_Loyalty]]</f>
        <v>1</v>
      </c>
      <c r="AU753">
        <f>tbl_OriginalData[[#This Row],[Product_Rating]]</f>
        <v>4</v>
      </c>
      <c r="AV753">
        <f>tbl_OriginalData[[#This Row],[Time_Spent_on_Product_Research(hours)]]*60</f>
        <v>120</v>
      </c>
      <c r="AW753" t="str">
        <f>tbl_OriginalData[[#This Row],[Social_Media_Influence]]</f>
        <v>Medium</v>
      </c>
      <c r="AX753" t="str">
        <f>tbl_OriginalData[[#This Row],[Discount_Sensitivity]]</f>
        <v>Very Sensitive</v>
      </c>
      <c r="AY753" s="3">
        <f>tbl_OriginalData[[#This Row],[Return_Rate]]/tbl_OriginalData[[#This Row],[Frequency_of_Purchase]]</f>
        <v>0.22222222222222221</v>
      </c>
      <c r="AZ753">
        <f>tbl_OriginalData[[#This Row],[Customer_Satisfaction]]</f>
        <v>10</v>
      </c>
      <c r="BA753" t="str">
        <f>tbl_OriginalData[[#This Row],[Engagement_with_Ads]]</f>
        <v>None</v>
      </c>
      <c r="BB753" t="str">
        <f>tbl_OriginalData[[#This Row],[Device_Used_for_Shopping]]</f>
        <v>Desktop</v>
      </c>
      <c r="BC753" t="str">
        <f>tbl_OriginalData[[#This Row],[Payment_Method]]</f>
        <v>Debit Card</v>
      </c>
      <c r="BD753" s="1">
        <f>tbl_OriginalData[[#This Row],[Time_of_Purchase]]</f>
        <v>45496</v>
      </c>
      <c r="BE753" t="str">
        <f>IF(tbl_OriginalData[[#This Row],[Discount_Used]]=TRUE,"Yes","No")</f>
        <v>No</v>
      </c>
      <c r="BF753" t="str">
        <f>IF(tbl_OriginalData[[#This Row],[Customer_Loyalty_Program_Member]]=TRUE,"Yes","No")</f>
        <v>Yes</v>
      </c>
      <c r="BG753" t="str">
        <f>tbl_OriginalData[[#This Row],[Purchase_Intent]]</f>
        <v>Impulsive</v>
      </c>
      <c r="BH753" t="str">
        <f>tbl_OriginalData[[#This Row],[Shipping_Preference]]</f>
        <v>Standard</v>
      </c>
      <c r="BI753">
        <f>tbl_OriginalData[[#This Row],[Time_to_Decision]]</f>
        <v>2</v>
      </c>
      <c r="BJ753" t="s">
        <v>114</v>
      </c>
      <c r="BK753" t="s">
        <v>115</v>
      </c>
      <c r="BL753" t="s">
        <v>2528</v>
      </c>
    </row>
    <row r="754" spans="1:64">
      <c r="A754" t="s">
        <v>1736</v>
      </c>
      <c r="B754">
        <v>35</v>
      </c>
      <c r="C754" t="s">
        <v>50</v>
      </c>
      <c r="D754" t="s">
        <v>51</v>
      </c>
      <c r="E754" t="s">
        <v>92</v>
      </c>
      <c r="F754" t="s">
        <v>52</v>
      </c>
      <c r="G754" t="s">
        <v>51</v>
      </c>
      <c r="H754" t="s">
        <v>1737</v>
      </c>
      <c r="I754" t="s">
        <v>127</v>
      </c>
      <c r="J754">
        <v>317.08999999999997</v>
      </c>
      <c r="K754">
        <v>6</v>
      </c>
      <c r="L754" t="s">
        <v>94</v>
      </c>
      <c r="M754">
        <v>1</v>
      </c>
      <c r="N754">
        <v>1</v>
      </c>
      <c r="O754">
        <v>1</v>
      </c>
      <c r="P754" t="s">
        <v>51</v>
      </c>
      <c r="Q754" t="s">
        <v>57</v>
      </c>
      <c r="R754">
        <v>2</v>
      </c>
      <c r="S754">
        <v>2</v>
      </c>
      <c r="T754" t="s">
        <v>51</v>
      </c>
      <c r="U754" t="s">
        <v>95</v>
      </c>
      <c r="V754" t="s">
        <v>76</v>
      </c>
      <c r="W754" s="1">
        <v>45393</v>
      </c>
      <c r="X754" t="b">
        <v>1</v>
      </c>
      <c r="Y754" t="b">
        <v>0</v>
      </c>
      <c r="Z754" t="s">
        <v>72</v>
      </c>
      <c r="AA754" t="s">
        <v>60</v>
      </c>
      <c r="AB754">
        <v>4</v>
      </c>
      <c r="AF754" t="str">
        <f>tbl_OriginalData[[#This Row],[Customer_ID]]</f>
        <v>24-591-4327</v>
      </c>
      <c r="AG754">
        <f>tbl_OriginalData[[#This Row],[Age]]</f>
        <v>35</v>
      </c>
      <c r="AH754" t="str" cm="1">
        <f t="array" ref="AH75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54" t="str">
        <f>tbl_OriginalData[[#This Row],[Gender]]</f>
        <v>Male</v>
      </c>
      <c r="AJ754" t="str">
        <f>tbl_OriginalData[[#This Row],[Income_Level]]</f>
        <v>High</v>
      </c>
      <c r="AK754" t="str">
        <f>tbl_OriginalData[[#This Row],[Marital_Status]]</f>
        <v>Divorced</v>
      </c>
      <c r="AL754" t="str">
        <f>tbl_OriginalData[[#This Row],[Education_Level]]</f>
        <v>High School</v>
      </c>
      <c r="AM754" t="str">
        <f>tbl_OriginalData[[#This Row],[Occupation]]</f>
        <v>High</v>
      </c>
      <c r="AN754" t="s">
        <v>1737</v>
      </c>
      <c r="AO754" t="s">
        <v>186</v>
      </c>
      <c r="AP754" t="str">
        <f>tbl_OriginalData[[#This Row],[Purchase_Category]]</f>
        <v>Animal Feed</v>
      </c>
      <c r="AQ754" s="4">
        <f>tbl_OriginalData[[#This Row],[Purchase_Amount]]</f>
        <v>317.08999999999997</v>
      </c>
      <c r="AR754">
        <f>tbl_OriginalData[[#This Row],[Frequency_of_Purchase]]</f>
        <v>6</v>
      </c>
      <c r="AS754" t="str">
        <f>tbl_OriginalData[[#This Row],[Purchase_Channel]]</f>
        <v>Online</v>
      </c>
      <c r="AT754">
        <f>tbl_OriginalData[[#This Row],[Brand_Loyalty]]</f>
        <v>1</v>
      </c>
      <c r="AU754">
        <f>tbl_OriginalData[[#This Row],[Product_Rating]]</f>
        <v>1</v>
      </c>
      <c r="AV754">
        <f>tbl_OriginalData[[#This Row],[Time_Spent_on_Product_Research(hours)]]*60</f>
        <v>60</v>
      </c>
      <c r="AW754" t="str">
        <f>tbl_OriginalData[[#This Row],[Social_Media_Influence]]</f>
        <v>High</v>
      </c>
      <c r="AX754" t="str">
        <f>tbl_OriginalData[[#This Row],[Discount_Sensitivity]]</f>
        <v>Not Sensitive</v>
      </c>
      <c r="AY754" s="3">
        <f>tbl_OriginalData[[#This Row],[Return_Rate]]/tbl_OriginalData[[#This Row],[Frequency_of_Purchase]]</f>
        <v>0.33333333333333331</v>
      </c>
      <c r="AZ754">
        <f>tbl_OriginalData[[#This Row],[Customer_Satisfaction]]</f>
        <v>2</v>
      </c>
      <c r="BA754" t="str">
        <f>tbl_OriginalData[[#This Row],[Engagement_with_Ads]]</f>
        <v>High</v>
      </c>
      <c r="BB754" t="str">
        <f>tbl_OriginalData[[#This Row],[Device_Used_for_Shopping]]</f>
        <v>Desktop</v>
      </c>
      <c r="BC754" t="str">
        <f>tbl_OriginalData[[#This Row],[Payment_Method]]</f>
        <v>Other</v>
      </c>
      <c r="BD754" s="1">
        <f>tbl_OriginalData[[#This Row],[Time_of_Purchase]]</f>
        <v>45393</v>
      </c>
      <c r="BE754" t="str">
        <f>IF(tbl_OriginalData[[#This Row],[Discount_Used]]=TRUE,"Yes","No")</f>
        <v>Yes</v>
      </c>
      <c r="BF754" t="str">
        <f>IF(tbl_OriginalData[[#This Row],[Customer_Loyalty_Program_Member]]=TRUE,"Yes","No")</f>
        <v>No</v>
      </c>
      <c r="BG754" t="str">
        <f>tbl_OriginalData[[#This Row],[Purchase_Intent]]</f>
        <v>Impulsive</v>
      </c>
      <c r="BH754" t="str">
        <f>tbl_OriginalData[[#This Row],[Shipping_Preference]]</f>
        <v>Standard</v>
      </c>
      <c r="BI754">
        <f>tbl_OriginalData[[#This Row],[Time_to_Decision]]</f>
        <v>4</v>
      </c>
      <c r="BJ754" t="s">
        <v>62</v>
      </c>
      <c r="BK754" t="s">
        <v>63</v>
      </c>
      <c r="BL754" t="s">
        <v>2523</v>
      </c>
    </row>
    <row r="755" spans="1:64">
      <c r="A755" t="s">
        <v>1738</v>
      </c>
      <c r="B755">
        <v>38</v>
      </c>
      <c r="C755" t="s">
        <v>33</v>
      </c>
      <c r="D755" t="s">
        <v>51</v>
      </c>
      <c r="E755" t="s">
        <v>35</v>
      </c>
      <c r="F755" t="s">
        <v>52</v>
      </c>
      <c r="G755" t="s">
        <v>51</v>
      </c>
      <c r="H755" t="s">
        <v>1739</v>
      </c>
      <c r="I755" t="s">
        <v>235</v>
      </c>
      <c r="J755">
        <v>193.32</v>
      </c>
      <c r="K755">
        <v>9</v>
      </c>
      <c r="L755" t="s">
        <v>39</v>
      </c>
      <c r="M755">
        <v>4</v>
      </c>
      <c r="N755">
        <v>3</v>
      </c>
      <c r="O755">
        <v>0</v>
      </c>
      <c r="P755" t="s">
        <v>40</v>
      </c>
      <c r="Q755" t="s">
        <v>101</v>
      </c>
      <c r="R755">
        <v>0</v>
      </c>
      <c r="S755">
        <v>8</v>
      </c>
      <c r="T755" t="s">
        <v>51</v>
      </c>
      <c r="U755" t="s">
        <v>42</v>
      </c>
      <c r="V755" t="s">
        <v>58</v>
      </c>
      <c r="W755" s="1">
        <v>45484</v>
      </c>
      <c r="X755" t="b">
        <v>0</v>
      </c>
      <c r="Y755" t="b">
        <v>1</v>
      </c>
      <c r="Z755" t="s">
        <v>59</v>
      </c>
      <c r="AA755" t="s">
        <v>77</v>
      </c>
      <c r="AB755">
        <v>6</v>
      </c>
      <c r="AF755" t="str">
        <f>tbl_OriginalData[[#This Row],[Customer_ID]]</f>
        <v>58-487-8848</v>
      </c>
      <c r="AG755">
        <f>tbl_OriginalData[[#This Row],[Age]]</f>
        <v>38</v>
      </c>
      <c r="AH755" t="str" cm="1">
        <f t="array" ref="AH75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55" t="str">
        <f>tbl_OriginalData[[#This Row],[Gender]]</f>
        <v>Female</v>
      </c>
      <c r="AJ755" t="str">
        <f>tbl_OriginalData[[#This Row],[Income_Level]]</f>
        <v>High</v>
      </c>
      <c r="AK755" t="str">
        <f>tbl_OriginalData[[#This Row],[Marital_Status]]</f>
        <v>Married</v>
      </c>
      <c r="AL755" t="str">
        <f>tbl_OriginalData[[#This Row],[Education_Level]]</f>
        <v>High School</v>
      </c>
      <c r="AM755" t="str">
        <f>tbl_OriginalData[[#This Row],[Occupation]]</f>
        <v>High</v>
      </c>
      <c r="AN755" t="s">
        <v>1740</v>
      </c>
      <c r="AO755" t="s">
        <v>519</v>
      </c>
      <c r="AP755" t="str">
        <f>tbl_OriginalData[[#This Row],[Purchase_Category]]</f>
        <v>Beauty &amp; Personal Care</v>
      </c>
      <c r="AQ755" s="4">
        <f>tbl_OriginalData[[#This Row],[Purchase_Amount]]</f>
        <v>193.32</v>
      </c>
      <c r="AR755">
        <f>tbl_OriginalData[[#This Row],[Frequency_of_Purchase]]</f>
        <v>9</v>
      </c>
      <c r="AS755" t="str">
        <f>tbl_OriginalData[[#This Row],[Purchase_Channel]]</f>
        <v>Mixed</v>
      </c>
      <c r="AT755">
        <f>tbl_OriginalData[[#This Row],[Brand_Loyalty]]</f>
        <v>4</v>
      </c>
      <c r="AU755">
        <f>tbl_OriginalData[[#This Row],[Product_Rating]]</f>
        <v>3</v>
      </c>
      <c r="AV755">
        <f>tbl_OriginalData[[#This Row],[Time_Spent_on_Product_Research(hours)]]*60</f>
        <v>0</v>
      </c>
      <c r="AW755" t="str">
        <f>tbl_OriginalData[[#This Row],[Social_Media_Influence]]</f>
        <v>None</v>
      </c>
      <c r="AX755" t="str">
        <f>tbl_OriginalData[[#This Row],[Discount_Sensitivity]]</f>
        <v>Very Sensitive</v>
      </c>
      <c r="AY755" s="3">
        <f>tbl_OriginalData[[#This Row],[Return_Rate]]/tbl_OriginalData[[#This Row],[Frequency_of_Purchase]]</f>
        <v>0</v>
      </c>
      <c r="AZ755">
        <f>tbl_OriginalData[[#This Row],[Customer_Satisfaction]]</f>
        <v>8</v>
      </c>
      <c r="BA755" t="str">
        <f>tbl_OriginalData[[#This Row],[Engagement_with_Ads]]</f>
        <v>High</v>
      </c>
      <c r="BB755" t="str">
        <f>tbl_OriginalData[[#This Row],[Device_Used_for_Shopping]]</f>
        <v>Tablet</v>
      </c>
      <c r="BC755" t="str">
        <f>tbl_OriginalData[[#This Row],[Payment_Method]]</f>
        <v>PayPal</v>
      </c>
      <c r="BD755" s="1">
        <f>tbl_OriginalData[[#This Row],[Time_of_Purchase]]</f>
        <v>45484</v>
      </c>
      <c r="BE755" t="str">
        <f>IF(tbl_OriginalData[[#This Row],[Discount_Used]]=TRUE,"Yes","No")</f>
        <v>No</v>
      </c>
      <c r="BF755" t="str">
        <f>IF(tbl_OriginalData[[#This Row],[Customer_Loyalty_Program_Member]]=TRUE,"Yes","No")</f>
        <v>Yes</v>
      </c>
      <c r="BG755" t="str">
        <f>tbl_OriginalData[[#This Row],[Purchase_Intent]]</f>
        <v>Wants-based</v>
      </c>
      <c r="BH755" t="str">
        <f>tbl_OriginalData[[#This Row],[Shipping_Preference]]</f>
        <v>Express</v>
      </c>
      <c r="BI755">
        <f>tbl_OriginalData[[#This Row],[Time_to_Decision]]</f>
        <v>6</v>
      </c>
      <c r="BJ755" t="s">
        <v>114</v>
      </c>
      <c r="BK755" t="s">
        <v>115</v>
      </c>
      <c r="BL755" t="s">
        <v>2524</v>
      </c>
    </row>
    <row r="756" spans="1:64">
      <c r="A756" t="s">
        <v>1741</v>
      </c>
      <c r="B756">
        <v>34</v>
      </c>
      <c r="C756" t="s">
        <v>50</v>
      </c>
      <c r="D756" t="s">
        <v>51</v>
      </c>
      <c r="E756" t="s">
        <v>82</v>
      </c>
      <c r="F756" t="s">
        <v>52</v>
      </c>
      <c r="G756" t="s">
        <v>51</v>
      </c>
      <c r="H756" t="s">
        <v>1742</v>
      </c>
      <c r="I756" t="s">
        <v>150</v>
      </c>
      <c r="J756">
        <v>282.24</v>
      </c>
      <c r="K756">
        <v>6</v>
      </c>
      <c r="L756" t="s">
        <v>94</v>
      </c>
      <c r="M756">
        <v>2</v>
      </c>
      <c r="N756">
        <v>3</v>
      </c>
      <c r="O756">
        <v>2</v>
      </c>
      <c r="P756" t="s">
        <v>40</v>
      </c>
      <c r="Q756" t="s">
        <v>57</v>
      </c>
      <c r="R756">
        <v>1</v>
      </c>
      <c r="S756">
        <v>7</v>
      </c>
      <c r="T756" t="s">
        <v>56</v>
      </c>
      <c r="U756" t="s">
        <v>95</v>
      </c>
      <c r="V756" t="s">
        <v>43</v>
      </c>
      <c r="W756" s="1">
        <v>45551</v>
      </c>
      <c r="X756" t="b">
        <v>1</v>
      </c>
      <c r="Y756" t="b">
        <v>1</v>
      </c>
      <c r="Z756" t="s">
        <v>44</v>
      </c>
      <c r="AA756" t="s">
        <v>45</v>
      </c>
      <c r="AB756">
        <v>1</v>
      </c>
      <c r="AF756" t="str">
        <f>tbl_OriginalData[[#This Row],[Customer_ID]]</f>
        <v>61-453-3503</v>
      </c>
      <c r="AG756">
        <f>tbl_OriginalData[[#This Row],[Age]]</f>
        <v>34</v>
      </c>
      <c r="AH756" t="str" cm="1">
        <f t="array" ref="AH75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56" t="str">
        <f>tbl_OriginalData[[#This Row],[Gender]]</f>
        <v>Male</v>
      </c>
      <c r="AJ756" t="str">
        <f>tbl_OriginalData[[#This Row],[Income_Level]]</f>
        <v>High</v>
      </c>
      <c r="AK756" t="str">
        <f>tbl_OriginalData[[#This Row],[Marital_Status]]</f>
        <v>Widowed</v>
      </c>
      <c r="AL756" t="str">
        <f>tbl_OriginalData[[#This Row],[Education_Level]]</f>
        <v>High School</v>
      </c>
      <c r="AM756" t="str">
        <f>tbl_OriginalData[[#This Row],[Occupation]]</f>
        <v>High</v>
      </c>
      <c r="AN756" t="s">
        <v>1742</v>
      </c>
      <c r="AO756" t="s">
        <v>61</v>
      </c>
      <c r="AP756" t="str">
        <f>tbl_OriginalData[[#This Row],[Purchase_Category]]</f>
        <v>Software &amp; Apps</v>
      </c>
      <c r="AQ756" s="4">
        <f>tbl_OriginalData[[#This Row],[Purchase_Amount]]</f>
        <v>282.24</v>
      </c>
      <c r="AR756">
        <f>tbl_OriginalData[[#This Row],[Frequency_of_Purchase]]</f>
        <v>6</v>
      </c>
      <c r="AS756" t="str">
        <f>tbl_OriginalData[[#This Row],[Purchase_Channel]]</f>
        <v>Online</v>
      </c>
      <c r="AT756">
        <f>tbl_OriginalData[[#This Row],[Brand_Loyalty]]</f>
        <v>2</v>
      </c>
      <c r="AU756">
        <f>tbl_OriginalData[[#This Row],[Product_Rating]]</f>
        <v>3</v>
      </c>
      <c r="AV756">
        <f>tbl_OriginalData[[#This Row],[Time_Spent_on_Product_Research(hours)]]*60</f>
        <v>120</v>
      </c>
      <c r="AW756" t="str">
        <f>tbl_OriginalData[[#This Row],[Social_Media_Influence]]</f>
        <v>None</v>
      </c>
      <c r="AX756" t="str">
        <f>tbl_OriginalData[[#This Row],[Discount_Sensitivity]]</f>
        <v>Not Sensitive</v>
      </c>
      <c r="AY756" s="3">
        <f>tbl_OriginalData[[#This Row],[Return_Rate]]/tbl_OriginalData[[#This Row],[Frequency_of_Purchase]]</f>
        <v>0.16666666666666666</v>
      </c>
      <c r="AZ756">
        <f>tbl_OriginalData[[#This Row],[Customer_Satisfaction]]</f>
        <v>7</v>
      </c>
      <c r="BA756" t="str">
        <f>tbl_OriginalData[[#This Row],[Engagement_with_Ads]]</f>
        <v>Medium</v>
      </c>
      <c r="BB756" t="str">
        <f>tbl_OriginalData[[#This Row],[Device_Used_for_Shopping]]</f>
        <v>Desktop</v>
      </c>
      <c r="BC756" t="str">
        <f>tbl_OriginalData[[#This Row],[Payment_Method]]</f>
        <v>Credit Card</v>
      </c>
      <c r="BD756" s="1">
        <f>tbl_OriginalData[[#This Row],[Time_of_Purchase]]</f>
        <v>45551</v>
      </c>
      <c r="BE756" t="str">
        <f>IF(tbl_OriginalData[[#This Row],[Discount_Used]]=TRUE,"Yes","No")</f>
        <v>Yes</v>
      </c>
      <c r="BF756" t="str">
        <f>IF(tbl_OriginalData[[#This Row],[Customer_Loyalty_Program_Member]]=TRUE,"Yes","No")</f>
        <v>Yes</v>
      </c>
      <c r="BG756" t="str">
        <f>tbl_OriginalData[[#This Row],[Purchase_Intent]]</f>
        <v>Need-based</v>
      </c>
      <c r="BH756" t="str">
        <f>tbl_OriginalData[[#This Row],[Shipping_Preference]]</f>
        <v>No Preference</v>
      </c>
      <c r="BI756">
        <f>tbl_OriginalData[[#This Row],[Time_to_Decision]]</f>
        <v>1</v>
      </c>
      <c r="BJ756" t="s">
        <v>172</v>
      </c>
      <c r="BK756" t="s">
        <v>115</v>
      </c>
      <c r="BL756" t="s">
        <v>2524</v>
      </c>
    </row>
    <row r="757" spans="1:64">
      <c r="A757" t="s">
        <v>1743</v>
      </c>
      <c r="B757">
        <v>29</v>
      </c>
      <c r="C757" t="s">
        <v>33</v>
      </c>
      <c r="D757" t="s">
        <v>51</v>
      </c>
      <c r="E757" t="s">
        <v>92</v>
      </c>
      <c r="F757" t="s">
        <v>66</v>
      </c>
      <c r="G757" t="s">
        <v>34</v>
      </c>
      <c r="H757" t="s">
        <v>1744</v>
      </c>
      <c r="I757" t="s">
        <v>135</v>
      </c>
      <c r="J757">
        <v>154.19</v>
      </c>
      <c r="K757">
        <v>6</v>
      </c>
      <c r="L757" t="s">
        <v>94</v>
      </c>
      <c r="M757">
        <v>5</v>
      </c>
      <c r="N757">
        <v>4</v>
      </c>
      <c r="O757">
        <v>1</v>
      </c>
      <c r="P757" t="s">
        <v>56</v>
      </c>
      <c r="Q757" t="s">
        <v>101</v>
      </c>
      <c r="R757">
        <v>2</v>
      </c>
      <c r="S757">
        <v>1</v>
      </c>
      <c r="T757" t="s">
        <v>40</v>
      </c>
      <c r="U757" t="s">
        <v>42</v>
      </c>
      <c r="V757" t="s">
        <v>58</v>
      </c>
      <c r="W757" s="1">
        <v>45557</v>
      </c>
      <c r="X757" t="b">
        <v>1</v>
      </c>
      <c r="Y757" t="b">
        <v>1</v>
      </c>
      <c r="Z757" t="s">
        <v>44</v>
      </c>
      <c r="AA757" t="s">
        <v>45</v>
      </c>
      <c r="AB757">
        <v>1</v>
      </c>
      <c r="AF757" t="str">
        <f>tbl_OriginalData[[#This Row],[Customer_ID]]</f>
        <v>63-680-7694</v>
      </c>
      <c r="AG757">
        <f>tbl_OriginalData[[#This Row],[Age]]</f>
        <v>29</v>
      </c>
      <c r="AH757" t="str" cm="1">
        <f t="array" ref="AH75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57" t="str">
        <f>tbl_OriginalData[[#This Row],[Gender]]</f>
        <v>Female</v>
      </c>
      <c r="AJ757" t="str">
        <f>tbl_OriginalData[[#This Row],[Income_Level]]</f>
        <v>High</v>
      </c>
      <c r="AK757" t="str">
        <f>tbl_OriginalData[[#This Row],[Marital_Status]]</f>
        <v>Divorced</v>
      </c>
      <c r="AL757" t="str">
        <f>tbl_OriginalData[[#This Row],[Education_Level]]</f>
        <v>Master's</v>
      </c>
      <c r="AM757" t="str">
        <f>tbl_OriginalData[[#This Row],[Occupation]]</f>
        <v>Middle</v>
      </c>
      <c r="AN757" t="s">
        <v>1744</v>
      </c>
      <c r="AO757" t="s">
        <v>1745</v>
      </c>
      <c r="AP757" t="str">
        <f>tbl_OriginalData[[#This Row],[Purchase_Category]]</f>
        <v>Hotels</v>
      </c>
      <c r="AQ757" s="4">
        <f>tbl_OriginalData[[#This Row],[Purchase_Amount]]</f>
        <v>154.19</v>
      </c>
      <c r="AR757">
        <f>tbl_OriginalData[[#This Row],[Frequency_of_Purchase]]</f>
        <v>6</v>
      </c>
      <c r="AS757" t="str">
        <f>tbl_OriginalData[[#This Row],[Purchase_Channel]]</f>
        <v>Online</v>
      </c>
      <c r="AT757">
        <f>tbl_OriginalData[[#This Row],[Brand_Loyalty]]</f>
        <v>5</v>
      </c>
      <c r="AU757">
        <f>tbl_OriginalData[[#This Row],[Product_Rating]]</f>
        <v>4</v>
      </c>
      <c r="AV757">
        <f>tbl_OriginalData[[#This Row],[Time_Spent_on_Product_Research(hours)]]*60</f>
        <v>60</v>
      </c>
      <c r="AW757" t="str">
        <f>tbl_OriginalData[[#This Row],[Social_Media_Influence]]</f>
        <v>Medium</v>
      </c>
      <c r="AX757" t="str">
        <f>tbl_OriginalData[[#This Row],[Discount_Sensitivity]]</f>
        <v>Very Sensitive</v>
      </c>
      <c r="AY757" s="3">
        <f>tbl_OriginalData[[#This Row],[Return_Rate]]/tbl_OriginalData[[#This Row],[Frequency_of_Purchase]]</f>
        <v>0.33333333333333331</v>
      </c>
      <c r="AZ757">
        <f>tbl_OriginalData[[#This Row],[Customer_Satisfaction]]</f>
        <v>1</v>
      </c>
      <c r="BA757" t="str">
        <f>tbl_OriginalData[[#This Row],[Engagement_with_Ads]]</f>
        <v>None</v>
      </c>
      <c r="BB757" t="str">
        <f>tbl_OriginalData[[#This Row],[Device_Used_for_Shopping]]</f>
        <v>Tablet</v>
      </c>
      <c r="BC757" t="str">
        <f>tbl_OriginalData[[#This Row],[Payment_Method]]</f>
        <v>PayPal</v>
      </c>
      <c r="BD757" s="1">
        <f>tbl_OriginalData[[#This Row],[Time_of_Purchase]]</f>
        <v>45557</v>
      </c>
      <c r="BE757" t="str">
        <f>IF(tbl_OriginalData[[#This Row],[Discount_Used]]=TRUE,"Yes","No")</f>
        <v>Yes</v>
      </c>
      <c r="BF757" t="str">
        <f>IF(tbl_OriginalData[[#This Row],[Customer_Loyalty_Program_Member]]=TRUE,"Yes","No")</f>
        <v>Yes</v>
      </c>
      <c r="BG757" t="str">
        <f>tbl_OriginalData[[#This Row],[Purchase_Intent]]</f>
        <v>Need-based</v>
      </c>
      <c r="BH757" t="str">
        <f>tbl_OriginalData[[#This Row],[Shipping_Preference]]</f>
        <v>No Preference</v>
      </c>
      <c r="BI757">
        <f>tbl_OriginalData[[#This Row],[Time_to_Decision]]</f>
        <v>1</v>
      </c>
      <c r="BJ757" t="s">
        <v>172</v>
      </c>
      <c r="BK757" t="s">
        <v>115</v>
      </c>
      <c r="BL757" t="s">
        <v>2528</v>
      </c>
    </row>
    <row r="758" spans="1:64">
      <c r="A758" t="s">
        <v>1746</v>
      </c>
      <c r="B758">
        <v>41</v>
      </c>
      <c r="C758" t="s">
        <v>33</v>
      </c>
      <c r="D758" t="s">
        <v>34</v>
      </c>
      <c r="E758" t="s">
        <v>82</v>
      </c>
      <c r="F758" t="s">
        <v>36</v>
      </c>
      <c r="G758" t="s">
        <v>34</v>
      </c>
      <c r="H758" t="s">
        <v>1747</v>
      </c>
      <c r="I758" t="s">
        <v>84</v>
      </c>
      <c r="J758">
        <v>84.15</v>
      </c>
      <c r="K758">
        <v>10</v>
      </c>
      <c r="L758" t="s">
        <v>55</v>
      </c>
      <c r="M758">
        <v>1</v>
      </c>
      <c r="N758">
        <v>3</v>
      </c>
      <c r="O758">
        <v>1</v>
      </c>
      <c r="P758" t="s">
        <v>51</v>
      </c>
      <c r="Q758" t="s">
        <v>57</v>
      </c>
      <c r="R758">
        <v>2</v>
      </c>
      <c r="S758">
        <v>1</v>
      </c>
      <c r="T758" t="s">
        <v>51</v>
      </c>
      <c r="U758" t="s">
        <v>95</v>
      </c>
      <c r="V758" t="s">
        <v>58</v>
      </c>
      <c r="W758" s="1">
        <v>45599</v>
      </c>
      <c r="X758" t="b">
        <v>1</v>
      </c>
      <c r="Y758" t="b">
        <v>1</v>
      </c>
      <c r="Z758" t="s">
        <v>72</v>
      </c>
      <c r="AA758" t="s">
        <v>60</v>
      </c>
      <c r="AB758">
        <v>1</v>
      </c>
      <c r="AF758" t="str">
        <f>tbl_OriginalData[[#This Row],[Customer_ID]]</f>
        <v>51-431-7150</v>
      </c>
      <c r="AG758">
        <f>tbl_OriginalData[[#This Row],[Age]]</f>
        <v>41</v>
      </c>
      <c r="AH758" t="str" cm="1">
        <f t="array" ref="AH75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58" t="str">
        <f>tbl_OriginalData[[#This Row],[Gender]]</f>
        <v>Female</v>
      </c>
      <c r="AJ758" t="str">
        <f>tbl_OriginalData[[#This Row],[Income_Level]]</f>
        <v>Middle</v>
      </c>
      <c r="AK758" t="str">
        <f>tbl_OriginalData[[#This Row],[Marital_Status]]</f>
        <v>Widowed</v>
      </c>
      <c r="AL758" t="str">
        <f>tbl_OriginalData[[#This Row],[Education_Level]]</f>
        <v>Bachelor's</v>
      </c>
      <c r="AM758" t="str">
        <f>tbl_OriginalData[[#This Row],[Occupation]]</f>
        <v>Middle</v>
      </c>
      <c r="AN758" t="s">
        <v>1747</v>
      </c>
      <c r="AO758" t="s">
        <v>61</v>
      </c>
      <c r="AP758" t="str">
        <f>tbl_OriginalData[[#This Row],[Purchase_Category]]</f>
        <v>Furniture</v>
      </c>
      <c r="AQ758" s="4">
        <f>tbl_OriginalData[[#This Row],[Purchase_Amount]]</f>
        <v>84.15</v>
      </c>
      <c r="AR758">
        <f>tbl_OriginalData[[#This Row],[Frequency_of_Purchase]]</f>
        <v>10</v>
      </c>
      <c r="AS758" t="str">
        <f>tbl_OriginalData[[#This Row],[Purchase_Channel]]</f>
        <v>In-Store</v>
      </c>
      <c r="AT758">
        <f>tbl_OriginalData[[#This Row],[Brand_Loyalty]]</f>
        <v>1</v>
      </c>
      <c r="AU758">
        <f>tbl_OriginalData[[#This Row],[Product_Rating]]</f>
        <v>3</v>
      </c>
      <c r="AV758">
        <f>tbl_OriginalData[[#This Row],[Time_Spent_on_Product_Research(hours)]]*60</f>
        <v>60</v>
      </c>
      <c r="AW758" t="str">
        <f>tbl_OriginalData[[#This Row],[Social_Media_Influence]]</f>
        <v>High</v>
      </c>
      <c r="AX758" t="str">
        <f>tbl_OriginalData[[#This Row],[Discount_Sensitivity]]</f>
        <v>Not Sensitive</v>
      </c>
      <c r="AY758" s="3">
        <f>tbl_OriginalData[[#This Row],[Return_Rate]]/tbl_OriginalData[[#This Row],[Frequency_of_Purchase]]</f>
        <v>0.2</v>
      </c>
      <c r="AZ758">
        <f>tbl_OriginalData[[#This Row],[Customer_Satisfaction]]</f>
        <v>1</v>
      </c>
      <c r="BA758" t="str">
        <f>tbl_OriginalData[[#This Row],[Engagement_with_Ads]]</f>
        <v>High</v>
      </c>
      <c r="BB758" t="str">
        <f>tbl_OriginalData[[#This Row],[Device_Used_for_Shopping]]</f>
        <v>Desktop</v>
      </c>
      <c r="BC758" t="str">
        <f>tbl_OriginalData[[#This Row],[Payment_Method]]</f>
        <v>PayPal</v>
      </c>
      <c r="BD758" s="1">
        <f>tbl_OriginalData[[#This Row],[Time_of_Purchase]]</f>
        <v>45599</v>
      </c>
      <c r="BE758" t="str">
        <f>IF(tbl_OriginalData[[#This Row],[Discount_Used]]=TRUE,"Yes","No")</f>
        <v>Yes</v>
      </c>
      <c r="BF758" t="str">
        <f>IF(tbl_OriginalData[[#This Row],[Customer_Loyalty_Program_Member]]=TRUE,"Yes","No")</f>
        <v>Yes</v>
      </c>
      <c r="BG758" t="str">
        <f>tbl_OriginalData[[#This Row],[Purchase_Intent]]</f>
        <v>Impulsive</v>
      </c>
      <c r="BH758" t="str">
        <f>tbl_OriginalData[[#This Row],[Shipping_Preference]]</f>
        <v>Standard</v>
      </c>
      <c r="BI758">
        <f>tbl_OriginalData[[#This Row],[Time_to_Decision]]</f>
        <v>1</v>
      </c>
      <c r="BJ758" t="s">
        <v>177</v>
      </c>
      <c r="BK758" t="s">
        <v>80</v>
      </c>
      <c r="BL758" t="s">
        <v>2524</v>
      </c>
    </row>
    <row r="759" spans="1:64">
      <c r="A759" t="s">
        <v>1748</v>
      </c>
      <c r="B759">
        <v>41</v>
      </c>
      <c r="C759" t="s">
        <v>50</v>
      </c>
      <c r="D759" t="s">
        <v>34</v>
      </c>
      <c r="E759" t="s">
        <v>92</v>
      </c>
      <c r="F759" t="s">
        <v>52</v>
      </c>
      <c r="G759" t="s">
        <v>51</v>
      </c>
      <c r="H759" t="s">
        <v>1749</v>
      </c>
      <c r="I759" t="s">
        <v>180</v>
      </c>
      <c r="J759">
        <v>214.69</v>
      </c>
      <c r="K759">
        <v>7</v>
      </c>
      <c r="L759" t="s">
        <v>55</v>
      </c>
      <c r="M759">
        <v>4</v>
      </c>
      <c r="N759">
        <v>4</v>
      </c>
      <c r="O759">
        <v>0</v>
      </c>
      <c r="P759" t="s">
        <v>56</v>
      </c>
      <c r="Q759" t="s">
        <v>57</v>
      </c>
      <c r="R759">
        <v>1</v>
      </c>
      <c r="S759">
        <v>7</v>
      </c>
      <c r="T759" t="s">
        <v>40</v>
      </c>
      <c r="U759" t="s">
        <v>42</v>
      </c>
      <c r="V759" t="s">
        <v>43</v>
      </c>
      <c r="W759" s="1">
        <v>45427</v>
      </c>
      <c r="X759" t="b">
        <v>1</v>
      </c>
      <c r="Y759" t="b">
        <v>1</v>
      </c>
      <c r="Z759" t="s">
        <v>59</v>
      </c>
      <c r="AA759" t="s">
        <v>60</v>
      </c>
      <c r="AB759">
        <v>9</v>
      </c>
      <c r="AF759" t="str">
        <f>tbl_OriginalData[[#This Row],[Customer_ID]]</f>
        <v>23-039-9347</v>
      </c>
      <c r="AG759">
        <f>tbl_OriginalData[[#This Row],[Age]]</f>
        <v>41</v>
      </c>
      <c r="AH759" t="str" cm="1">
        <f t="array" ref="AH75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59" t="str">
        <f>tbl_OriginalData[[#This Row],[Gender]]</f>
        <v>Male</v>
      </c>
      <c r="AJ759" t="str">
        <f>tbl_OriginalData[[#This Row],[Income_Level]]</f>
        <v>Middle</v>
      </c>
      <c r="AK759" t="str">
        <f>tbl_OriginalData[[#This Row],[Marital_Status]]</f>
        <v>Divorced</v>
      </c>
      <c r="AL759" t="str">
        <f>tbl_OriginalData[[#This Row],[Education_Level]]</f>
        <v>High School</v>
      </c>
      <c r="AM759" t="str">
        <f>tbl_OriginalData[[#This Row],[Occupation]]</f>
        <v>High</v>
      </c>
      <c r="AN759" t="s">
        <v>1749</v>
      </c>
      <c r="AO759" t="s">
        <v>85</v>
      </c>
      <c r="AP759" t="str">
        <f>tbl_OriginalData[[#This Row],[Purchase_Category]]</f>
        <v>Health Supplements</v>
      </c>
      <c r="AQ759" s="4">
        <f>tbl_OriginalData[[#This Row],[Purchase_Amount]]</f>
        <v>214.69</v>
      </c>
      <c r="AR759">
        <f>tbl_OriginalData[[#This Row],[Frequency_of_Purchase]]</f>
        <v>7</v>
      </c>
      <c r="AS759" t="str">
        <f>tbl_OriginalData[[#This Row],[Purchase_Channel]]</f>
        <v>In-Store</v>
      </c>
      <c r="AT759">
        <f>tbl_OriginalData[[#This Row],[Brand_Loyalty]]</f>
        <v>4</v>
      </c>
      <c r="AU759">
        <f>tbl_OriginalData[[#This Row],[Product_Rating]]</f>
        <v>4</v>
      </c>
      <c r="AV759">
        <f>tbl_OriginalData[[#This Row],[Time_Spent_on_Product_Research(hours)]]*60</f>
        <v>0</v>
      </c>
      <c r="AW759" t="str">
        <f>tbl_OriginalData[[#This Row],[Social_Media_Influence]]</f>
        <v>Medium</v>
      </c>
      <c r="AX759" t="str">
        <f>tbl_OriginalData[[#This Row],[Discount_Sensitivity]]</f>
        <v>Not Sensitive</v>
      </c>
      <c r="AY759" s="3">
        <f>tbl_OriginalData[[#This Row],[Return_Rate]]/tbl_OriginalData[[#This Row],[Frequency_of_Purchase]]</f>
        <v>0.14285714285714285</v>
      </c>
      <c r="AZ759">
        <f>tbl_OriginalData[[#This Row],[Customer_Satisfaction]]</f>
        <v>7</v>
      </c>
      <c r="BA759" t="str">
        <f>tbl_OriginalData[[#This Row],[Engagement_with_Ads]]</f>
        <v>None</v>
      </c>
      <c r="BB759" t="str">
        <f>tbl_OriginalData[[#This Row],[Device_Used_for_Shopping]]</f>
        <v>Tablet</v>
      </c>
      <c r="BC759" t="str">
        <f>tbl_OriginalData[[#This Row],[Payment_Method]]</f>
        <v>Credit Card</v>
      </c>
      <c r="BD759" s="1">
        <f>tbl_OriginalData[[#This Row],[Time_of_Purchase]]</f>
        <v>45427</v>
      </c>
      <c r="BE759" t="str">
        <f>IF(tbl_OriginalData[[#This Row],[Discount_Used]]=TRUE,"Yes","No")</f>
        <v>Yes</v>
      </c>
      <c r="BF759" t="str">
        <f>IF(tbl_OriginalData[[#This Row],[Customer_Loyalty_Program_Member]]=TRUE,"Yes","No")</f>
        <v>Yes</v>
      </c>
      <c r="BG759" t="str">
        <f>tbl_OriginalData[[#This Row],[Purchase_Intent]]</f>
        <v>Wants-based</v>
      </c>
      <c r="BH759" t="str">
        <f>tbl_OriginalData[[#This Row],[Shipping_Preference]]</f>
        <v>Standard</v>
      </c>
      <c r="BI759">
        <f>tbl_OriginalData[[#This Row],[Time_to_Decision]]</f>
        <v>9</v>
      </c>
      <c r="BJ759" t="s">
        <v>167</v>
      </c>
      <c r="BK759" t="s">
        <v>63</v>
      </c>
      <c r="BL759" t="s">
        <v>2524</v>
      </c>
    </row>
    <row r="760" spans="1:64">
      <c r="A760" t="s">
        <v>1750</v>
      </c>
      <c r="B760">
        <v>32</v>
      </c>
      <c r="C760" t="s">
        <v>50</v>
      </c>
      <c r="D760" t="s">
        <v>51</v>
      </c>
      <c r="E760" t="s">
        <v>35</v>
      </c>
      <c r="F760" t="s">
        <v>36</v>
      </c>
      <c r="G760" t="s">
        <v>51</v>
      </c>
      <c r="H760" t="s">
        <v>1751</v>
      </c>
      <c r="I760" t="s">
        <v>127</v>
      </c>
      <c r="J760">
        <v>61.21</v>
      </c>
      <c r="K760">
        <v>12</v>
      </c>
      <c r="L760" t="s">
        <v>39</v>
      </c>
      <c r="M760">
        <v>5</v>
      </c>
      <c r="N760">
        <v>5</v>
      </c>
      <c r="O760">
        <v>0</v>
      </c>
      <c r="P760" t="s">
        <v>40</v>
      </c>
      <c r="Q760" t="s">
        <v>57</v>
      </c>
      <c r="R760">
        <v>0</v>
      </c>
      <c r="S760">
        <v>5</v>
      </c>
      <c r="T760" t="s">
        <v>69</v>
      </c>
      <c r="U760" t="s">
        <v>70</v>
      </c>
      <c r="V760" t="s">
        <v>43</v>
      </c>
      <c r="W760" s="1">
        <v>45620</v>
      </c>
      <c r="X760" t="b">
        <v>1</v>
      </c>
      <c r="Y760" t="b">
        <v>0</v>
      </c>
      <c r="Z760" t="s">
        <v>89</v>
      </c>
      <c r="AA760" t="s">
        <v>60</v>
      </c>
      <c r="AB760">
        <v>13</v>
      </c>
      <c r="AF760" t="str">
        <f>tbl_OriginalData[[#This Row],[Customer_ID]]</f>
        <v>18-832-6916</v>
      </c>
      <c r="AG760">
        <f>tbl_OriginalData[[#This Row],[Age]]</f>
        <v>32</v>
      </c>
      <c r="AH760" t="str" cm="1">
        <f t="array" ref="AH76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60" t="str">
        <f>tbl_OriginalData[[#This Row],[Gender]]</f>
        <v>Male</v>
      </c>
      <c r="AJ760" t="str">
        <f>tbl_OriginalData[[#This Row],[Income_Level]]</f>
        <v>High</v>
      </c>
      <c r="AK760" t="str">
        <f>tbl_OriginalData[[#This Row],[Marital_Status]]</f>
        <v>Married</v>
      </c>
      <c r="AL760" t="str">
        <f>tbl_OriginalData[[#This Row],[Education_Level]]</f>
        <v>Bachelor's</v>
      </c>
      <c r="AM760" t="str">
        <f>tbl_OriginalData[[#This Row],[Occupation]]</f>
        <v>High</v>
      </c>
      <c r="AN760" t="s">
        <v>1751</v>
      </c>
      <c r="AO760" t="s">
        <v>186</v>
      </c>
      <c r="AP760" t="str">
        <f>tbl_OriginalData[[#This Row],[Purchase_Category]]</f>
        <v>Animal Feed</v>
      </c>
      <c r="AQ760" s="4">
        <f>tbl_OriginalData[[#This Row],[Purchase_Amount]]</f>
        <v>61.21</v>
      </c>
      <c r="AR760">
        <f>tbl_OriginalData[[#This Row],[Frequency_of_Purchase]]</f>
        <v>12</v>
      </c>
      <c r="AS760" t="str">
        <f>tbl_OriginalData[[#This Row],[Purchase_Channel]]</f>
        <v>Mixed</v>
      </c>
      <c r="AT760">
        <f>tbl_OriginalData[[#This Row],[Brand_Loyalty]]</f>
        <v>5</v>
      </c>
      <c r="AU760">
        <f>tbl_OriginalData[[#This Row],[Product_Rating]]</f>
        <v>5</v>
      </c>
      <c r="AV760">
        <f>tbl_OriginalData[[#This Row],[Time_Spent_on_Product_Research(hours)]]*60</f>
        <v>0</v>
      </c>
      <c r="AW760" t="str">
        <f>tbl_OriginalData[[#This Row],[Social_Media_Influence]]</f>
        <v>None</v>
      </c>
      <c r="AX760" t="str">
        <f>tbl_OriginalData[[#This Row],[Discount_Sensitivity]]</f>
        <v>Not Sensitive</v>
      </c>
      <c r="AY760" s="3">
        <f>tbl_OriginalData[[#This Row],[Return_Rate]]/tbl_OriginalData[[#This Row],[Frequency_of_Purchase]]</f>
        <v>0</v>
      </c>
      <c r="AZ760">
        <f>tbl_OriginalData[[#This Row],[Customer_Satisfaction]]</f>
        <v>5</v>
      </c>
      <c r="BA760" t="str">
        <f>tbl_OriginalData[[#This Row],[Engagement_with_Ads]]</f>
        <v>Low</v>
      </c>
      <c r="BB760" t="str">
        <f>tbl_OriginalData[[#This Row],[Device_Used_for_Shopping]]</f>
        <v>Smartphone</v>
      </c>
      <c r="BC760" t="str">
        <f>tbl_OriginalData[[#This Row],[Payment_Method]]</f>
        <v>Credit Card</v>
      </c>
      <c r="BD760" s="1">
        <f>tbl_OriginalData[[#This Row],[Time_of_Purchase]]</f>
        <v>45620</v>
      </c>
      <c r="BE760" t="str">
        <f>IF(tbl_OriginalData[[#This Row],[Discount_Used]]=TRUE,"Yes","No")</f>
        <v>Yes</v>
      </c>
      <c r="BF760" t="str">
        <f>IF(tbl_OriginalData[[#This Row],[Customer_Loyalty_Program_Member]]=TRUE,"Yes","No")</f>
        <v>No</v>
      </c>
      <c r="BG760" t="str">
        <f>tbl_OriginalData[[#This Row],[Purchase_Intent]]</f>
        <v>Planned</v>
      </c>
      <c r="BH760" t="str">
        <f>tbl_OriginalData[[#This Row],[Shipping_Preference]]</f>
        <v>Standard</v>
      </c>
      <c r="BI760">
        <f>tbl_OriginalData[[#This Row],[Time_to_Decision]]</f>
        <v>13</v>
      </c>
      <c r="BJ760" t="s">
        <v>177</v>
      </c>
      <c r="BK760" t="s">
        <v>80</v>
      </c>
      <c r="BL760" t="s">
        <v>2523</v>
      </c>
    </row>
    <row r="761" spans="1:64">
      <c r="A761" t="s">
        <v>1752</v>
      </c>
      <c r="B761">
        <v>36</v>
      </c>
      <c r="C761" t="s">
        <v>33</v>
      </c>
      <c r="D761" t="s">
        <v>34</v>
      </c>
      <c r="E761" t="s">
        <v>65</v>
      </c>
      <c r="F761" t="s">
        <v>52</v>
      </c>
      <c r="G761" t="s">
        <v>51</v>
      </c>
      <c r="H761" t="s">
        <v>1753</v>
      </c>
      <c r="I761" t="s">
        <v>143</v>
      </c>
      <c r="J761">
        <v>462.48</v>
      </c>
      <c r="K761">
        <v>11</v>
      </c>
      <c r="L761" t="s">
        <v>94</v>
      </c>
      <c r="M761">
        <v>1</v>
      </c>
      <c r="N761">
        <v>3</v>
      </c>
      <c r="O761">
        <v>0</v>
      </c>
      <c r="P761" t="s">
        <v>56</v>
      </c>
      <c r="Q761" t="s">
        <v>101</v>
      </c>
      <c r="R761">
        <v>2</v>
      </c>
      <c r="S761">
        <v>2</v>
      </c>
      <c r="T761" t="s">
        <v>69</v>
      </c>
      <c r="U761" t="s">
        <v>70</v>
      </c>
      <c r="V761" t="s">
        <v>71</v>
      </c>
      <c r="W761" s="1">
        <v>45382</v>
      </c>
      <c r="X761" t="b">
        <v>0</v>
      </c>
      <c r="Y761" t="b">
        <v>0</v>
      </c>
      <c r="Z761" t="s">
        <v>89</v>
      </c>
      <c r="AA761" t="s">
        <v>77</v>
      </c>
      <c r="AB761">
        <v>12</v>
      </c>
      <c r="AF761" t="str">
        <f>tbl_OriginalData[[#This Row],[Customer_ID]]</f>
        <v>29-438-8126</v>
      </c>
      <c r="AG761">
        <f>tbl_OriginalData[[#This Row],[Age]]</f>
        <v>36</v>
      </c>
      <c r="AH761" t="str" cm="1">
        <f t="array" ref="AH76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61" t="str">
        <f>tbl_OriginalData[[#This Row],[Gender]]</f>
        <v>Female</v>
      </c>
      <c r="AJ761" t="str">
        <f>tbl_OriginalData[[#This Row],[Income_Level]]</f>
        <v>Middle</v>
      </c>
      <c r="AK761" t="str">
        <f>tbl_OriginalData[[#This Row],[Marital_Status]]</f>
        <v>Single</v>
      </c>
      <c r="AL761" t="str">
        <f>tbl_OriginalData[[#This Row],[Education_Level]]</f>
        <v>High School</v>
      </c>
      <c r="AM761" t="str">
        <f>tbl_OriginalData[[#This Row],[Occupation]]</f>
        <v>High</v>
      </c>
      <c r="AN761" t="s">
        <v>1753</v>
      </c>
      <c r="AO761" t="s">
        <v>90</v>
      </c>
      <c r="AP761" t="str">
        <f>tbl_OriginalData[[#This Row],[Purchase_Category]]</f>
        <v>Packages)</v>
      </c>
      <c r="AQ761" s="4">
        <f>tbl_OriginalData[[#This Row],[Purchase_Amount]]</f>
        <v>462.48</v>
      </c>
      <c r="AR761">
        <f>tbl_OriginalData[[#This Row],[Frequency_of_Purchase]]</f>
        <v>11</v>
      </c>
      <c r="AS761" t="str">
        <f>tbl_OriginalData[[#This Row],[Purchase_Channel]]</f>
        <v>Online</v>
      </c>
      <c r="AT761">
        <f>tbl_OriginalData[[#This Row],[Brand_Loyalty]]</f>
        <v>1</v>
      </c>
      <c r="AU761">
        <f>tbl_OriginalData[[#This Row],[Product_Rating]]</f>
        <v>3</v>
      </c>
      <c r="AV761">
        <f>tbl_OriginalData[[#This Row],[Time_Spent_on_Product_Research(hours)]]*60</f>
        <v>0</v>
      </c>
      <c r="AW761" t="str">
        <f>tbl_OriginalData[[#This Row],[Social_Media_Influence]]</f>
        <v>Medium</v>
      </c>
      <c r="AX761" t="str">
        <f>tbl_OriginalData[[#This Row],[Discount_Sensitivity]]</f>
        <v>Very Sensitive</v>
      </c>
      <c r="AY761" s="3">
        <f>tbl_OriginalData[[#This Row],[Return_Rate]]/tbl_OriginalData[[#This Row],[Frequency_of_Purchase]]</f>
        <v>0.18181818181818182</v>
      </c>
      <c r="AZ761">
        <f>tbl_OriginalData[[#This Row],[Customer_Satisfaction]]</f>
        <v>2</v>
      </c>
      <c r="BA761" t="str">
        <f>tbl_OriginalData[[#This Row],[Engagement_with_Ads]]</f>
        <v>Low</v>
      </c>
      <c r="BB761" t="str">
        <f>tbl_OriginalData[[#This Row],[Device_Used_for_Shopping]]</f>
        <v>Smartphone</v>
      </c>
      <c r="BC761" t="str">
        <f>tbl_OriginalData[[#This Row],[Payment_Method]]</f>
        <v>Debit Card</v>
      </c>
      <c r="BD761" s="1">
        <f>tbl_OriginalData[[#This Row],[Time_of_Purchase]]</f>
        <v>45382</v>
      </c>
      <c r="BE761" t="str">
        <f>IF(tbl_OriginalData[[#This Row],[Discount_Used]]=TRUE,"Yes","No")</f>
        <v>No</v>
      </c>
      <c r="BF761" t="str">
        <f>IF(tbl_OriginalData[[#This Row],[Customer_Loyalty_Program_Member]]=TRUE,"Yes","No")</f>
        <v>No</v>
      </c>
      <c r="BG761" t="str">
        <f>tbl_OriginalData[[#This Row],[Purchase_Intent]]</f>
        <v>Planned</v>
      </c>
      <c r="BH761" t="str">
        <f>tbl_OriginalData[[#This Row],[Shipping_Preference]]</f>
        <v>Express</v>
      </c>
      <c r="BI761">
        <f>tbl_OriginalData[[#This Row],[Time_to_Decision]]</f>
        <v>12</v>
      </c>
      <c r="BJ761" t="s">
        <v>47</v>
      </c>
      <c r="BK761" t="s">
        <v>48</v>
      </c>
      <c r="BL761" t="s">
        <v>2524</v>
      </c>
    </row>
    <row r="762" spans="1:64">
      <c r="A762" t="s">
        <v>1754</v>
      </c>
      <c r="B762">
        <v>33</v>
      </c>
      <c r="C762" t="s">
        <v>50</v>
      </c>
      <c r="D762" t="s">
        <v>34</v>
      </c>
      <c r="E762" t="s">
        <v>35</v>
      </c>
      <c r="F762" t="s">
        <v>36</v>
      </c>
      <c r="G762" t="s">
        <v>51</v>
      </c>
      <c r="H762" t="s">
        <v>1755</v>
      </c>
      <c r="I762" t="s">
        <v>150</v>
      </c>
      <c r="J762">
        <v>449.18</v>
      </c>
      <c r="K762">
        <v>3</v>
      </c>
      <c r="L762" t="s">
        <v>39</v>
      </c>
      <c r="M762">
        <v>5</v>
      </c>
      <c r="N762">
        <v>3</v>
      </c>
      <c r="O762">
        <v>2</v>
      </c>
      <c r="P762" t="s">
        <v>56</v>
      </c>
      <c r="Q762" t="s">
        <v>41</v>
      </c>
      <c r="R762">
        <v>0</v>
      </c>
      <c r="S762">
        <v>8</v>
      </c>
      <c r="T762" t="s">
        <v>51</v>
      </c>
      <c r="U762" t="s">
        <v>42</v>
      </c>
      <c r="V762" t="s">
        <v>43</v>
      </c>
      <c r="W762" s="1">
        <v>45372</v>
      </c>
      <c r="X762" t="b">
        <v>1</v>
      </c>
      <c r="Y762" t="b">
        <v>1</v>
      </c>
      <c r="Z762" t="s">
        <v>59</v>
      </c>
      <c r="AA762" t="s">
        <v>60</v>
      </c>
      <c r="AB762">
        <v>10</v>
      </c>
      <c r="AF762" t="str">
        <f>tbl_OriginalData[[#This Row],[Customer_ID]]</f>
        <v>68-201-1633</v>
      </c>
      <c r="AG762">
        <f>tbl_OriginalData[[#This Row],[Age]]</f>
        <v>33</v>
      </c>
      <c r="AH762" t="str" cm="1">
        <f t="array" ref="AH76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62" t="str">
        <f>tbl_OriginalData[[#This Row],[Gender]]</f>
        <v>Male</v>
      </c>
      <c r="AJ762" t="str">
        <f>tbl_OriginalData[[#This Row],[Income_Level]]</f>
        <v>Middle</v>
      </c>
      <c r="AK762" t="str">
        <f>tbl_OriginalData[[#This Row],[Marital_Status]]</f>
        <v>Married</v>
      </c>
      <c r="AL762" t="str">
        <f>tbl_OriginalData[[#This Row],[Education_Level]]</f>
        <v>Bachelor's</v>
      </c>
      <c r="AM762" t="str">
        <f>tbl_OriginalData[[#This Row],[Occupation]]</f>
        <v>High</v>
      </c>
      <c r="AN762" t="s">
        <v>1755</v>
      </c>
      <c r="AO762" t="s">
        <v>194</v>
      </c>
      <c r="AP762" t="str">
        <f>tbl_OriginalData[[#This Row],[Purchase_Category]]</f>
        <v>Software &amp; Apps</v>
      </c>
      <c r="AQ762" s="4">
        <f>tbl_OriginalData[[#This Row],[Purchase_Amount]]</f>
        <v>449.18</v>
      </c>
      <c r="AR762">
        <f>tbl_OriginalData[[#This Row],[Frequency_of_Purchase]]</f>
        <v>3</v>
      </c>
      <c r="AS762" t="str">
        <f>tbl_OriginalData[[#This Row],[Purchase_Channel]]</f>
        <v>Mixed</v>
      </c>
      <c r="AT762">
        <f>tbl_OriginalData[[#This Row],[Brand_Loyalty]]</f>
        <v>5</v>
      </c>
      <c r="AU762">
        <f>tbl_OriginalData[[#This Row],[Product_Rating]]</f>
        <v>3</v>
      </c>
      <c r="AV762">
        <f>tbl_OriginalData[[#This Row],[Time_Spent_on_Product_Research(hours)]]*60</f>
        <v>120</v>
      </c>
      <c r="AW762" t="str">
        <f>tbl_OriginalData[[#This Row],[Social_Media_Influence]]</f>
        <v>Medium</v>
      </c>
      <c r="AX762" t="str">
        <f>tbl_OriginalData[[#This Row],[Discount_Sensitivity]]</f>
        <v>Somewhat Sensitive</v>
      </c>
      <c r="AY762" s="3">
        <f>tbl_OriginalData[[#This Row],[Return_Rate]]/tbl_OriginalData[[#This Row],[Frequency_of_Purchase]]</f>
        <v>0</v>
      </c>
      <c r="AZ762">
        <f>tbl_OriginalData[[#This Row],[Customer_Satisfaction]]</f>
        <v>8</v>
      </c>
      <c r="BA762" t="str">
        <f>tbl_OriginalData[[#This Row],[Engagement_with_Ads]]</f>
        <v>High</v>
      </c>
      <c r="BB762" t="str">
        <f>tbl_OriginalData[[#This Row],[Device_Used_for_Shopping]]</f>
        <v>Tablet</v>
      </c>
      <c r="BC762" t="str">
        <f>tbl_OriginalData[[#This Row],[Payment_Method]]</f>
        <v>Credit Card</v>
      </c>
      <c r="BD762" s="1">
        <f>tbl_OriginalData[[#This Row],[Time_of_Purchase]]</f>
        <v>45372</v>
      </c>
      <c r="BE762" t="str">
        <f>IF(tbl_OriginalData[[#This Row],[Discount_Used]]=TRUE,"Yes","No")</f>
        <v>Yes</v>
      </c>
      <c r="BF762" t="str">
        <f>IF(tbl_OriginalData[[#This Row],[Customer_Loyalty_Program_Member]]=TRUE,"Yes","No")</f>
        <v>Yes</v>
      </c>
      <c r="BG762" t="str">
        <f>tbl_OriginalData[[#This Row],[Purchase_Intent]]</f>
        <v>Wants-based</v>
      </c>
      <c r="BH762" t="str">
        <f>tbl_OriginalData[[#This Row],[Shipping_Preference]]</f>
        <v>Standard</v>
      </c>
      <c r="BI762">
        <f>tbl_OriginalData[[#This Row],[Time_to_Decision]]</f>
        <v>10</v>
      </c>
      <c r="BJ762" t="s">
        <v>47</v>
      </c>
      <c r="BK762" t="s">
        <v>48</v>
      </c>
      <c r="BL762" t="s">
        <v>2524</v>
      </c>
    </row>
    <row r="763" spans="1:64">
      <c r="A763" t="s">
        <v>1756</v>
      </c>
      <c r="B763">
        <v>25</v>
      </c>
      <c r="C763" t="s">
        <v>33</v>
      </c>
      <c r="D763" t="s">
        <v>34</v>
      </c>
      <c r="E763" t="s">
        <v>35</v>
      </c>
      <c r="F763" t="s">
        <v>66</v>
      </c>
      <c r="G763" t="s">
        <v>34</v>
      </c>
      <c r="H763" t="s">
        <v>1757</v>
      </c>
      <c r="I763" t="s">
        <v>112</v>
      </c>
      <c r="J763">
        <v>314.36</v>
      </c>
      <c r="K763">
        <v>7</v>
      </c>
      <c r="L763" t="s">
        <v>55</v>
      </c>
      <c r="M763">
        <v>3</v>
      </c>
      <c r="N763">
        <v>5</v>
      </c>
      <c r="O763">
        <v>2</v>
      </c>
      <c r="P763" t="s">
        <v>56</v>
      </c>
      <c r="Q763" t="s">
        <v>101</v>
      </c>
      <c r="R763">
        <v>1</v>
      </c>
      <c r="S763">
        <v>4</v>
      </c>
      <c r="T763" t="s">
        <v>40</v>
      </c>
      <c r="U763" t="s">
        <v>95</v>
      </c>
      <c r="V763" t="s">
        <v>102</v>
      </c>
      <c r="W763" s="1">
        <v>45476</v>
      </c>
      <c r="X763" t="b">
        <v>1</v>
      </c>
      <c r="Y763" t="b">
        <v>0</v>
      </c>
      <c r="Z763" t="s">
        <v>72</v>
      </c>
      <c r="AA763" t="s">
        <v>77</v>
      </c>
      <c r="AB763">
        <v>1</v>
      </c>
      <c r="AF763" t="str">
        <f>tbl_OriginalData[[#This Row],[Customer_ID]]</f>
        <v>07-314-2945</v>
      </c>
      <c r="AG763">
        <f>tbl_OriginalData[[#This Row],[Age]]</f>
        <v>25</v>
      </c>
      <c r="AH763" t="str" cm="1">
        <f t="array" ref="AH76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63" t="str">
        <f>tbl_OriginalData[[#This Row],[Gender]]</f>
        <v>Female</v>
      </c>
      <c r="AJ763" t="str">
        <f>tbl_OriginalData[[#This Row],[Income_Level]]</f>
        <v>Middle</v>
      </c>
      <c r="AK763" t="str">
        <f>tbl_OriginalData[[#This Row],[Marital_Status]]</f>
        <v>Married</v>
      </c>
      <c r="AL763" t="str">
        <f>tbl_OriginalData[[#This Row],[Education_Level]]</f>
        <v>Master's</v>
      </c>
      <c r="AM763" t="str">
        <f>tbl_OriginalData[[#This Row],[Occupation]]</f>
        <v>Middle</v>
      </c>
      <c r="AN763" t="s">
        <v>1757</v>
      </c>
      <c r="AO763" t="s">
        <v>194</v>
      </c>
      <c r="AP763" t="str">
        <f>tbl_OriginalData[[#This Row],[Purchase_Category]]</f>
        <v>Mobile Accessories</v>
      </c>
      <c r="AQ763" s="4">
        <f>tbl_OriginalData[[#This Row],[Purchase_Amount]]</f>
        <v>314.36</v>
      </c>
      <c r="AR763">
        <f>tbl_OriginalData[[#This Row],[Frequency_of_Purchase]]</f>
        <v>7</v>
      </c>
      <c r="AS763" t="str">
        <f>tbl_OriginalData[[#This Row],[Purchase_Channel]]</f>
        <v>In-Store</v>
      </c>
      <c r="AT763">
        <f>tbl_OriginalData[[#This Row],[Brand_Loyalty]]</f>
        <v>3</v>
      </c>
      <c r="AU763">
        <f>tbl_OriginalData[[#This Row],[Product_Rating]]</f>
        <v>5</v>
      </c>
      <c r="AV763">
        <f>tbl_OriginalData[[#This Row],[Time_Spent_on_Product_Research(hours)]]*60</f>
        <v>120</v>
      </c>
      <c r="AW763" t="str">
        <f>tbl_OriginalData[[#This Row],[Social_Media_Influence]]</f>
        <v>Medium</v>
      </c>
      <c r="AX763" t="str">
        <f>tbl_OriginalData[[#This Row],[Discount_Sensitivity]]</f>
        <v>Very Sensitive</v>
      </c>
      <c r="AY763" s="3">
        <f>tbl_OriginalData[[#This Row],[Return_Rate]]/tbl_OriginalData[[#This Row],[Frequency_of_Purchase]]</f>
        <v>0.14285714285714285</v>
      </c>
      <c r="AZ763">
        <f>tbl_OriginalData[[#This Row],[Customer_Satisfaction]]</f>
        <v>4</v>
      </c>
      <c r="BA763" t="str">
        <f>tbl_OriginalData[[#This Row],[Engagement_with_Ads]]</f>
        <v>None</v>
      </c>
      <c r="BB763" t="str">
        <f>tbl_OriginalData[[#This Row],[Device_Used_for_Shopping]]</f>
        <v>Desktop</v>
      </c>
      <c r="BC763" t="str">
        <f>tbl_OriginalData[[#This Row],[Payment_Method]]</f>
        <v>Cash</v>
      </c>
      <c r="BD763" s="1">
        <f>tbl_OriginalData[[#This Row],[Time_of_Purchase]]</f>
        <v>45476</v>
      </c>
      <c r="BE763" t="str">
        <f>IF(tbl_OriginalData[[#This Row],[Discount_Used]]=TRUE,"Yes","No")</f>
        <v>Yes</v>
      </c>
      <c r="BF763" t="str">
        <f>IF(tbl_OriginalData[[#This Row],[Customer_Loyalty_Program_Member]]=TRUE,"Yes","No")</f>
        <v>No</v>
      </c>
      <c r="BG763" t="str">
        <f>tbl_OriginalData[[#This Row],[Purchase_Intent]]</f>
        <v>Impulsive</v>
      </c>
      <c r="BH763" t="str">
        <f>tbl_OriginalData[[#This Row],[Shipping_Preference]]</f>
        <v>Express</v>
      </c>
      <c r="BI763">
        <f>tbl_OriginalData[[#This Row],[Time_to_Decision]]</f>
        <v>1</v>
      </c>
      <c r="BJ763" t="s">
        <v>114</v>
      </c>
      <c r="BK763" t="s">
        <v>115</v>
      </c>
      <c r="BL763" t="s">
        <v>2524</v>
      </c>
    </row>
    <row r="764" spans="1:64">
      <c r="A764" t="s">
        <v>1758</v>
      </c>
      <c r="B764">
        <v>46</v>
      </c>
      <c r="C764" t="s">
        <v>33</v>
      </c>
      <c r="D764" t="s">
        <v>34</v>
      </c>
      <c r="E764" t="s">
        <v>35</v>
      </c>
      <c r="F764" t="s">
        <v>36</v>
      </c>
      <c r="G764" t="s">
        <v>34</v>
      </c>
      <c r="H764" t="s">
        <v>1759</v>
      </c>
      <c r="I764" t="s">
        <v>306</v>
      </c>
      <c r="J764">
        <v>367.7</v>
      </c>
      <c r="K764">
        <v>3</v>
      </c>
      <c r="L764" t="s">
        <v>39</v>
      </c>
      <c r="M764">
        <v>3</v>
      </c>
      <c r="N764">
        <v>5</v>
      </c>
      <c r="O764">
        <v>2</v>
      </c>
      <c r="P764" t="s">
        <v>40</v>
      </c>
      <c r="Q764" t="s">
        <v>41</v>
      </c>
      <c r="R764">
        <v>2</v>
      </c>
      <c r="S764">
        <v>3</v>
      </c>
      <c r="T764" t="s">
        <v>51</v>
      </c>
      <c r="U764" t="s">
        <v>95</v>
      </c>
      <c r="V764" t="s">
        <v>43</v>
      </c>
      <c r="W764" s="1">
        <v>45368</v>
      </c>
      <c r="X764" t="b">
        <v>1</v>
      </c>
      <c r="Y764" t="b">
        <v>1</v>
      </c>
      <c r="Z764" t="s">
        <v>44</v>
      </c>
      <c r="AA764" t="s">
        <v>45</v>
      </c>
      <c r="AB764">
        <v>3</v>
      </c>
      <c r="AF764" t="str">
        <f>tbl_OriginalData[[#This Row],[Customer_ID]]</f>
        <v>64-490-6975</v>
      </c>
      <c r="AG764">
        <f>tbl_OriginalData[[#This Row],[Age]]</f>
        <v>46</v>
      </c>
      <c r="AH764" t="str" cm="1">
        <f t="array" ref="AH76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64" t="str">
        <f>tbl_OriginalData[[#This Row],[Gender]]</f>
        <v>Female</v>
      </c>
      <c r="AJ764" t="str">
        <f>tbl_OriginalData[[#This Row],[Income_Level]]</f>
        <v>Middle</v>
      </c>
      <c r="AK764" t="str">
        <f>tbl_OriginalData[[#This Row],[Marital_Status]]</f>
        <v>Married</v>
      </c>
      <c r="AL764" t="str">
        <f>tbl_OriginalData[[#This Row],[Education_Level]]</f>
        <v>Bachelor's</v>
      </c>
      <c r="AM764" t="str">
        <f>tbl_OriginalData[[#This Row],[Occupation]]</f>
        <v>Middle</v>
      </c>
      <c r="AN764" t="s">
        <v>1759</v>
      </c>
      <c r="AO764" t="s">
        <v>766</v>
      </c>
      <c r="AP764" t="str">
        <f>tbl_OriginalData[[#This Row],[Purchase_Category]]</f>
        <v>Jewelry &amp; Accessories</v>
      </c>
      <c r="AQ764" s="4">
        <f>tbl_OriginalData[[#This Row],[Purchase_Amount]]</f>
        <v>367.7</v>
      </c>
      <c r="AR764">
        <f>tbl_OriginalData[[#This Row],[Frequency_of_Purchase]]</f>
        <v>3</v>
      </c>
      <c r="AS764" t="str">
        <f>tbl_OriginalData[[#This Row],[Purchase_Channel]]</f>
        <v>Mixed</v>
      </c>
      <c r="AT764">
        <f>tbl_OriginalData[[#This Row],[Brand_Loyalty]]</f>
        <v>3</v>
      </c>
      <c r="AU764">
        <f>tbl_OriginalData[[#This Row],[Product_Rating]]</f>
        <v>5</v>
      </c>
      <c r="AV764">
        <f>tbl_OriginalData[[#This Row],[Time_Spent_on_Product_Research(hours)]]*60</f>
        <v>120</v>
      </c>
      <c r="AW764" t="str">
        <f>tbl_OriginalData[[#This Row],[Social_Media_Influence]]</f>
        <v>None</v>
      </c>
      <c r="AX764" t="str">
        <f>tbl_OriginalData[[#This Row],[Discount_Sensitivity]]</f>
        <v>Somewhat Sensitive</v>
      </c>
      <c r="AY764" s="3">
        <f>tbl_OriginalData[[#This Row],[Return_Rate]]/tbl_OriginalData[[#This Row],[Frequency_of_Purchase]]</f>
        <v>0.66666666666666663</v>
      </c>
      <c r="AZ764">
        <f>tbl_OriginalData[[#This Row],[Customer_Satisfaction]]</f>
        <v>3</v>
      </c>
      <c r="BA764" t="str">
        <f>tbl_OriginalData[[#This Row],[Engagement_with_Ads]]</f>
        <v>High</v>
      </c>
      <c r="BB764" t="str">
        <f>tbl_OriginalData[[#This Row],[Device_Used_for_Shopping]]</f>
        <v>Desktop</v>
      </c>
      <c r="BC764" t="str">
        <f>tbl_OriginalData[[#This Row],[Payment_Method]]</f>
        <v>Credit Card</v>
      </c>
      <c r="BD764" s="1">
        <f>tbl_OriginalData[[#This Row],[Time_of_Purchase]]</f>
        <v>45368</v>
      </c>
      <c r="BE764" t="str">
        <f>IF(tbl_OriginalData[[#This Row],[Discount_Used]]=TRUE,"Yes","No")</f>
        <v>Yes</v>
      </c>
      <c r="BF764" t="str">
        <f>IF(tbl_OriginalData[[#This Row],[Customer_Loyalty_Program_Member]]=TRUE,"Yes","No")</f>
        <v>Yes</v>
      </c>
      <c r="BG764" t="str">
        <f>tbl_OriginalData[[#This Row],[Purchase_Intent]]</f>
        <v>Need-based</v>
      </c>
      <c r="BH764" t="str">
        <f>tbl_OriginalData[[#This Row],[Shipping_Preference]]</f>
        <v>No Preference</v>
      </c>
      <c r="BI764">
        <f>tbl_OriginalData[[#This Row],[Time_to_Decision]]</f>
        <v>3</v>
      </c>
      <c r="BJ764" t="s">
        <v>47</v>
      </c>
      <c r="BK764" t="s">
        <v>48</v>
      </c>
      <c r="BL764" t="s">
        <v>2524</v>
      </c>
    </row>
    <row r="765" spans="1:64">
      <c r="A765" t="s">
        <v>1760</v>
      </c>
      <c r="B765">
        <v>41</v>
      </c>
      <c r="C765" t="s">
        <v>33</v>
      </c>
      <c r="D765" t="s">
        <v>51</v>
      </c>
      <c r="E765" t="s">
        <v>65</v>
      </c>
      <c r="F765" t="s">
        <v>52</v>
      </c>
      <c r="G765" t="s">
        <v>34</v>
      </c>
      <c r="H765" t="s">
        <v>1761</v>
      </c>
      <c r="I765" t="s">
        <v>108</v>
      </c>
      <c r="J765">
        <v>229.97</v>
      </c>
      <c r="K765">
        <v>7</v>
      </c>
      <c r="L765" t="s">
        <v>39</v>
      </c>
      <c r="M765">
        <v>3</v>
      </c>
      <c r="N765">
        <v>4</v>
      </c>
      <c r="O765">
        <v>0</v>
      </c>
      <c r="P765" t="s">
        <v>40</v>
      </c>
      <c r="Q765" t="s">
        <v>101</v>
      </c>
      <c r="R765">
        <v>2</v>
      </c>
      <c r="S765">
        <v>9</v>
      </c>
      <c r="T765" t="s">
        <v>40</v>
      </c>
      <c r="U765" t="s">
        <v>95</v>
      </c>
      <c r="V765" t="s">
        <v>76</v>
      </c>
      <c r="W765" s="1">
        <v>45617</v>
      </c>
      <c r="X765" t="b">
        <v>0</v>
      </c>
      <c r="Y765" t="b">
        <v>1</v>
      </c>
      <c r="Z765" t="s">
        <v>44</v>
      </c>
      <c r="AA765" t="s">
        <v>60</v>
      </c>
      <c r="AB765">
        <v>6</v>
      </c>
      <c r="AF765" t="str">
        <f>tbl_OriginalData[[#This Row],[Customer_ID]]</f>
        <v>91-789-3191</v>
      </c>
      <c r="AG765">
        <f>tbl_OriginalData[[#This Row],[Age]]</f>
        <v>41</v>
      </c>
      <c r="AH765" t="str" cm="1">
        <f t="array" ref="AH76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65" t="str">
        <f>tbl_OriginalData[[#This Row],[Gender]]</f>
        <v>Female</v>
      </c>
      <c r="AJ765" t="str">
        <f>tbl_OriginalData[[#This Row],[Income_Level]]</f>
        <v>High</v>
      </c>
      <c r="AK765" t="str">
        <f>tbl_OriginalData[[#This Row],[Marital_Status]]</f>
        <v>Single</v>
      </c>
      <c r="AL765" t="str">
        <f>tbl_OriginalData[[#This Row],[Education_Level]]</f>
        <v>High School</v>
      </c>
      <c r="AM765" t="str">
        <f>tbl_OriginalData[[#This Row],[Occupation]]</f>
        <v>Middle</v>
      </c>
      <c r="AN765" t="s">
        <v>1761</v>
      </c>
      <c r="AO765" t="s">
        <v>61</v>
      </c>
      <c r="AP765" t="str">
        <f>tbl_OriginalData[[#This Row],[Purchase_Category]]</f>
        <v>Sports &amp; Outdoors</v>
      </c>
      <c r="AQ765" s="4">
        <f>tbl_OriginalData[[#This Row],[Purchase_Amount]]</f>
        <v>229.97</v>
      </c>
      <c r="AR765">
        <f>tbl_OriginalData[[#This Row],[Frequency_of_Purchase]]</f>
        <v>7</v>
      </c>
      <c r="AS765" t="str">
        <f>tbl_OriginalData[[#This Row],[Purchase_Channel]]</f>
        <v>Mixed</v>
      </c>
      <c r="AT765">
        <f>tbl_OriginalData[[#This Row],[Brand_Loyalty]]</f>
        <v>3</v>
      </c>
      <c r="AU765">
        <f>tbl_OriginalData[[#This Row],[Product_Rating]]</f>
        <v>4</v>
      </c>
      <c r="AV765">
        <f>tbl_OriginalData[[#This Row],[Time_Spent_on_Product_Research(hours)]]*60</f>
        <v>0</v>
      </c>
      <c r="AW765" t="str">
        <f>tbl_OriginalData[[#This Row],[Social_Media_Influence]]</f>
        <v>None</v>
      </c>
      <c r="AX765" t="str">
        <f>tbl_OriginalData[[#This Row],[Discount_Sensitivity]]</f>
        <v>Very Sensitive</v>
      </c>
      <c r="AY765" s="3">
        <f>tbl_OriginalData[[#This Row],[Return_Rate]]/tbl_OriginalData[[#This Row],[Frequency_of_Purchase]]</f>
        <v>0.2857142857142857</v>
      </c>
      <c r="AZ765">
        <f>tbl_OriginalData[[#This Row],[Customer_Satisfaction]]</f>
        <v>9</v>
      </c>
      <c r="BA765" t="str">
        <f>tbl_OriginalData[[#This Row],[Engagement_with_Ads]]</f>
        <v>None</v>
      </c>
      <c r="BB765" t="str">
        <f>tbl_OriginalData[[#This Row],[Device_Used_for_Shopping]]</f>
        <v>Desktop</v>
      </c>
      <c r="BC765" t="str">
        <f>tbl_OriginalData[[#This Row],[Payment_Method]]</f>
        <v>Other</v>
      </c>
      <c r="BD765" s="1">
        <f>tbl_OriginalData[[#This Row],[Time_of_Purchase]]</f>
        <v>45617</v>
      </c>
      <c r="BE765" t="str">
        <f>IF(tbl_OriginalData[[#This Row],[Discount_Used]]=TRUE,"Yes","No")</f>
        <v>No</v>
      </c>
      <c r="BF765" t="str">
        <f>IF(tbl_OriginalData[[#This Row],[Customer_Loyalty_Program_Member]]=TRUE,"Yes","No")</f>
        <v>Yes</v>
      </c>
      <c r="BG765" t="str">
        <f>tbl_OriginalData[[#This Row],[Purchase_Intent]]</f>
        <v>Need-based</v>
      </c>
      <c r="BH765" t="str">
        <f>tbl_OriginalData[[#This Row],[Shipping_Preference]]</f>
        <v>Standard</v>
      </c>
      <c r="BI765">
        <f>tbl_OriginalData[[#This Row],[Time_to_Decision]]</f>
        <v>6</v>
      </c>
      <c r="BJ765" t="s">
        <v>177</v>
      </c>
      <c r="BK765" t="s">
        <v>80</v>
      </c>
      <c r="BL765" t="s">
        <v>2524</v>
      </c>
    </row>
    <row r="766" spans="1:64">
      <c r="A766" t="s">
        <v>1762</v>
      </c>
      <c r="B766">
        <v>28</v>
      </c>
      <c r="C766" t="s">
        <v>33</v>
      </c>
      <c r="D766" t="s">
        <v>34</v>
      </c>
      <c r="E766" t="s">
        <v>82</v>
      </c>
      <c r="F766" t="s">
        <v>36</v>
      </c>
      <c r="G766" t="s">
        <v>34</v>
      </c>
      <c r="H766" t="s">
        <v>1763</v>
      </c>
      <c r="I766" t="s">
        <v>75</v>
      </c>
      <c r="J766">
        <v>226.53</v>
      </c>
      <c r="K766">
        <v>3</v>
      </c>
      <c r="L766" t="s">
        <v>94</v>
      </c>
      <c r="M766">
        <v>3</v>
      </c>
      <c r="N766">
        <v>1</v>
      </c>
      <c r="O766">
        <v>1</v>
      </c>
      <c r="P766" t="s">
        <v>51</v>
      </c>
      <c r="Q766" t="s">
        <v>57</v>
      </c>
      <c r="R766">
        <v>1</v>
      </c>
      <c r="S766">
        <v>10</v>
      </c>
      <c r="T766" t="s">
        <v>56</v>
      </c>
      <c r="U766" t="s">
        <v>95</v>
      </c>
      <c r="V766" t="s">
        <v>58</v>
      </c>
      <c r="W766" s="1">
        <v>45506</v>
      </c>
      <c r="X766" t="b">
        <v>1</v>
      </c>
      <c r="Y766" t="b">
        <v>0</v>
      </c>
      <c r="Z766" t="s">
        <v>59</v>
      </c>
      <c r="AA766" t="s">
        <v>45</v>
      </c>
      <c r="AB766">
        <v>13</v>
      </c>
      <c r="AF766" t="str">
        <f>tbl_OriginalData[[#This Row],[Customer_ID]]</f>
        <v>83-714-9649</v>
      </c>
      <c r="AG766">
        <f>tbl_OriginalData[[#This Row],[Age]]</f>
        <v>28</v>
      </c>
      <c r="AH766" t="str" cm="1">
        <f t="array" ref="AH76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66" t="str">
        <f>tbl_OriginalData[[#This Row],[Gender]]</f>
        <v>Female</v>
      </c>
      <c r="AJ766" t="str">
        <f>tbl_OriginalData[[#This Row],[Income_Level]]</f>
        <v>Middle</v>
      </c>
      <c r="AK766" t="str">
        <f>tbl_OriginalData[[#This Row],[Marital_Status]]</f>
        <v>Widowed</v>
      </c>
      <c r="AL766" t="str">
        <f>tbl_OriginalData[[#This Row],[Education_Level]]</f>
        <v>Bachelor's</v>
      </c>
      <c r="AM766" t="str">
        <f>tbl_OriginalData[[#This Row],[Occupation]]</f>
        <v>Middle</v>
      </c>
      <c r="AN766" t="s">
        <v>1763</v>
      </c>
      <c r="AO766" t="s">
        <v>383</v>
      </c>
      <c r="AP766" t="str">
        <f>tbl_OriginalData[[#This Row],[Purchase_Category]]</f>
        <v>Home Appliances</v>
      </c>
      <c r="AQ766" s="4">
        <f>tbl_OriginalData[[#This Row],[Purchase_Amount]]</f>
        <v>226.53</v>
      </c>
      <c r="AR766">
        <f>tbl_OriginalData[[#This Row],[Frequency_of_Purchase]]</f>
        <v>3</v>
      </c>
      <c r="AS766" t="str">
        <f>tbl_OriginalData[[#This Row],[Purchase_Channel]]</f>
        <v>Online</v>
      </c>
      <c r="AT766">
        <f>tbl_OriginalData[[#This Row],[Brand_Loyalty]]</f>
        <v>3</v>
      </c>
      <c r="AU766">
        <f>tbl_OriginalData[[#This Row],[Product_Rating]]</f>
        <v>1</v>
      </c>
      <c r="AV766">
        <f>tbl_OriginalData[[#This Row],[Time_Spent_on_Product_Research(hours)]]*60</f>
        <v>60</v>
      </c>
      <c r="AW766" t="str">
        <f>tbl_OriginalData[[#This Row],[Social_Media_Influence]]</f>
        <v>High</v>
      </c>
      <c r="AX766" t="str">
        <f>tbl_OriginalData[[#This Row],[Discount_Sensitivity]]</f>
        <v>Not Sensitive</v>
      </c>
      <c r="AY766" s="3">
        <f>tbl_OriginalData[[#This Row],[Return_Rate]]/tbl_OriginalData[[#This Row],[Frequency_of_Purchase]]</f>
        <v>0.33333333333333331</v>
      </c>
      <c r="AZ766">
        <f>tbl_OriginalData[[#This Row],[Customer_Satisfaction]]</f>
        <v>10</v>
      </c>
      <c r="BA766" t="str">
        <f>tbl_OriginalData[[#This Row],[Engagement_with_Ads]]</f>
        <v>Medium</v>
      </c>
      <c r="BB766" t="str">
        <f>tbl_OriginalData[[#This Row],[Device_Used_for_Shopping]]</f>
        <v>Desktop</v>
      </c>
      <c r="BC766" t="str">
        <f>tbl_OriginalData[[#This Row],[Payment_Method]]</f>
        <v>PayPal</v>
      </c>
      <c r="BD766" s="1">
        <f>tbl_OriginalData[[#This Row],[Time_of_Purchase]]</f>
        <v>45506</v>
      </c>
      <c r="BE766" t="str">
        <f>IF(tbl_OriginalData[[#This Row],[Discount_Used]]=TRUE,"Yes","No")</f>
        <v>Yes</v>
      </c>
      <c r="BF766" t="str">
        <f>IF(tbl_OriginalData[[#This Row],[Customer_Loyalty_Program_Member]]=TRUE,"Yes","No")</f>
        <v>No</v>
      </c>
      <c r="BG766" t="str">
        <f>tbl_OriginalData[[#This Row],[Purchase_Intent]]</f>
        <v>Wants-based</v>
      </c>
      <c r="BH766" t="str">
        <f>tbl_OriginalData[[#This Row],[Shipping_Preference]]</f>
        <v>No Preference</v>
      </c>
      <c r="BI766">
        <f>tbl_OriginalData[[#This Row],[Time_to_Decision]]</f>
        <v>13</v>
      </c>
      <c r="BJ766" t="s">
        <v>124</v>
      </c>
      <c r="BK766" t="s">
        <v>115</v>
      </c>
      <c r="BL766" t="s">
        <v>2523</v>
      </c>
    </row>
    <row r="767" spans="1:64">
      <c r="A767" t="s">
        <v>1764</v>
      </c>
      <c r="B767">
        <v>23</v>
      </c>
      <c r="C767" t="s">
        <v>50</v>
      </c>
      <c r="D767" t="s">
        <v>51</v>
      </c>
      <c r="E767" t="s">
        <v>92</v>
      </c>
      <c r="F767" t="s">
        <v>66</v>
      </c>
      <c r="G767" t="s">
        <v>34</v>
      </c>
      <c r="H767" t="s">
        <v>1765</v>
      </c>
      <c r="I767" t="s">
        <v>150</v>
      </c>
      <c r="J767">
        <v>218.32</v>
      </c>
      <c r="K767">
        <v>2</v>
      </c>
      <c r="L767" t="s">
        <v>39</v>
      </c>
      <c r="M767">
        <v>5</v>
      </c>
      <c r="N767">
        <v>3</v>
      </c>
      <c r="O767">
        <v>0</v>
      </c>
      <c r="P767" t="s">
        <v>51</v>
      </c>
      <c r="Q767" t="s">
        <v>57</v>
      </c>
      <c r="R767">
        <v>2</v>
      </c>
      <c r="S767">
        <v>7</v>
      </c>
      <c r="T767" t="s">
        <v>69</v>
      </c>
      <c r="U767" t="s">
        <v>95</v>
      </c>
      <c r="V767" t="s">
        <v>58</v>
      </c>
      <c r="W767" s="1">
        <v>45559</v>
      </c>
      <c r="X767" t="b">
        <v>0</v>
      </c>
      <c r="Y767" t="b">
        <v>0</v>
      </c>
      <c r="Z767" t="s">
        <v>44</v>
      </c>
      <c r="AA767" t="s">
        <v>77</v>
      </c>
      <c r="AB767">
        <v>3</v>
      </c>
      <c r="AF767" t="str">
        <f>tbl_OriginalData[[#This Row],[Customer_ID]]</f>
        <v>33-203-4230</v>
      </c>
      <c r="AG767">
        <f>tbl_OriginalData[[#This Row],[Age]]</f>
        <v>23</v>
      </c>
      <c r="AH767" t="str" cm="1">
        <f t="array" ref="AH76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67" t="str">
        <f>tbl_OriginalData[[#This Row],[Gender]]</f>
        <v>Male</v>
      </c>
      <c r="AJ767" t="str">
        <f>tbl_OriginalData[[#This Row],[Income_Level]]</f>
        <v>High</v>
      </c>
      <c r="AK767" t="str">
        <f>tbl_OriginalData[[#This Row],[Marital_Status]]</f>
        <v>Divorced</v>
      </c>
      <c r="AL767" t="str">
        <f>tbl_OriginalData[[#This Row],[Education_Level]]</f>
        <v>Master's</v>
      </c>
      <c r="AM767" t="str">
        <f>tbl_OriginalData[[#This Row],[Occupation]]</f>
        <v>Middle</v>
      </c>
      <c r="AN767" t="s">
        <v>1765</v>
      </c>
      <c r="AO767" t="s">
        <v>90</v>
      </c>
      <c r="AP767" t="str">
        <f>tbl_OriginalData[[#This Row],[Purchase_Category]]</f>
        <v>Software &amp; Apps</v>
      </c>
      <c r="AQ767" s="4">
        <f>tbl_OriginalData[[#This Row],[Purchase_Amount]]</f>
        <v>218.32</v>
      </c>
      <c r="AR767">
        <f>tbl_OriginalData[[#This Row],[Frequency_of_Purchase]]</f>
        <v>2</v>
      </c>
      <c r="AS767" t="str">
        <f>tbl_OriginalData[[#This Row],[Purchase_Channel]]</f>
        <v>Mixed</v>
      </c>
      <c r="AT767">
        <f>tbl_OriginalData[[#This Row],[Brand_Loyalty]]</f>
        <v>5</v>
      </c>
      <c r="AU767">
        <f>tbl_OriginalData[[#This Row],[Product_Rating]]</f>
        <v>3</v>
      </c>
      <c r="AV767">
        <f>tbl_OriginalData[[#This Row],[Time_Spent_on_Product_Research(hours)]]*60</f>
        <v>0</v>
      </c>
      <c r="AW767" t="str">
        <f>tbl_OriginalData[[#This Row],[Social_Media_Influence]]</f>
        <v>High</v>
      </c>
      <c r="AX767" t="str">
        <f>tbl_OriginalData[[#This Row],[Discount_Sensitivity]]</f>
        <v>Not Sensitive</v>
      </c>
      <c r="AY767" s="3">
        <f>tbl_OriginalData[[#This Row],[Return_Rate]]/tbl_OriginalData[[#This Row],[Frequency_of_Purchase]]</f>
        <v>1</v>
      </c>
      <c r="AZ767">
        <f>tbl_OriginalData[[#This Row],[Customer_Satisfaction]]</f>
        <v>7</v>
      </c>
      <c r="BA767" t="str">
        <f>tbl_OriginalData[[#This Row],[Engagement_with_Ads]]</f>
        <v>Low</v>
      </c>
      <c r="BB767" t="str">
        <f>tbl_OriginalData[[#This Row],[Device_Used_for_Shopping]]</f>
        <v>Desktop</v>
      </c>
      <c r="BC767" t="str">
        <f>tbl_OriginalData[[#This Row],[Payment_Method]]</f>
        <v>PayPal</v>
      </c>
      <c r="BD767" s="1">
        <f>tbl_OriginalData[[#This Row],[Time_of_Purchase]]</f>
        <v>45559</v>
      </c>
      <c r="BE767" t="str">
        <f>IF(tbl_OriginalData[[#This Row],[Discount_Used]]=TRUE,"Yes","No")</f>
        <v>No</v>
      </c>
      <c r="BF767" t="str">
        <f>IF(tbl_OriginalData[[#This Row],[Customer_Loyalty_Program_Member]]=TRUE,"Yes","No")</f>
        <v>No</v>
      </c>
      <c r="BG767" t="str">
        <f>tbl_OriginalData[[#This Row],[Purchase_Intent]]</f>
        <v>Need-based</v>
      </c>
      <c r="BH767" t="str">
        <f>tbl_OriginalData[[#This Row],[Shipping_Preference]]</f>
        <v>Express</v>
      </c>
      <c r="BI767">
        <f>tbl_OriginalData[[#This Row],[Time_to_Decision]]</f>
        <v>3</v>
      </c>
      <c r="BJ767" t="s">
        <v>172</v>
      </c>
      <c r="BK767" t="s">
        <v>115</v>
      </c>
      <c r="BL767" t="s">
        <v>2524</v>
      </c>
    </row>
    <row r="768" spans="1:64">
      <c r="A768" t="s">
        <v>1766</v>
      </c>
      <c r="B768">
        <v>48</v>
      </c>
      <c r="C768" t="s">
        <v>33</v>
      </c>
      <c r="D768" t="s">
        <v>51</v>
      </c>
      <c r="E768" t="s">
        <v>82</v>
      </c>
      <c r="F768" t="s">
        <v>52</v>
      </c>
      <c r="G768" t="s">
        <v>51</v>
      </c>
      <c r="H768" t="s">
        <v>1767</v>
      </c>
      <c r="I768" t="s">
        <v>84</v>
      </c>
      <c r="J768">
        <v>132.66999999999999</v>
      </c>
      <c r="K768">
        <v>7</v>
      </c>
      <c r="L768" t="s">
        <v>55</v>
      </c>
      <c r="M768">
        <v>2</v>
      </c>
      <c r="N768">
        <v>5</v>
      </c>
      <c r="O768">
        <v>1</v>
      </c>
      <c r="P768" t="s">
        <v>69</v>
      </c>
      <c r="Q768" t="s">
        <v>101</v>
      </c>
      <c r="R768">
        <v>2</v>
      </c>
      <c r="S768">
        <v>3</v>
      </c>
      <c r="T768" t="s">
        <v>69</v>
      </c>
      <c r="U768" t="s">
        <v>70</v>
      </c>
      <c r="V768" t="s">
        <v>76</v>
      </c>
      <c r="W768" s="1">
        <v>45644</v>
      </c>
      <c r="X768" t="b">
        <v>1</v>
      </c>
      <c r="Y768" t="b">
        <v>0</v>
      </c>
      <c r="Z768" t="s">
        <v>72</v>
      </c>
      <c r="AA768" t="s">
        <v>77</v>
      </c>
      <c r="AB768">
        <v>1</v>
      </c>
      <c r="AF768" t="str">
        <f>tbl_OriginalData[[#This Row],[Customer_ID]]</f>
        <v>90-918-2833</v>
      </c>
      <c r="AG768">
        <f>tbl_OriginalData[[#This Row],[Age]]</f>
        <v>48</v>
      </c>
      <c r="AH768" t="str" cm="1">
        <f t="array" ref="AH76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68" t="str">
        <f>tbl_OriginalData[[#This Row],[Gender]]</f>
        <v>Female</v>
      </c>
      <c r="AJ768" t="str">
        <f>tbl_OriginalData[[#This Row],[Income_Level]]</f>
        <v>High</v>
      </c>
      <c r="AK768" t="str">
        <f>tbl_OriginalData[[#This Row],[Marital_Status]]</f>
        <v>Widowed</v>
      </c>
      <c r="AL768" t="str">
        <f>tbl_OriginalData[[#This Row],[Education_Level]]</f>
        <v>High School</v>
      </c>
      <c r="AM768" t="str">
        <f>tbl_OriginalData[[#This Row],[Occupation]]</f>
        <v>High</v>
      </c>
      <c r="AN768" t="s">
        <v>1767</v>
      </c>
      <c r="AO768" t="s">
        <v>823</v>
      </c>
      <c r="AP768" t="str">
        <f>tbl_OriginalData[[#This Row],[Purchase_Category]]</f>
        <v>Furniture</v>
      </c>
      <c r="AQ768" s="4">
        <f>tbl_OriginalData[[#This Row],[Purchase_Amount]]</f>
        <v>132.66999999999999</v>
      </c>
      <c r="AR768">
        <f>tbl_OriginalData[[#This Row],[Frequency_of_Purchase]]</f>
        <v>7</v>
      </c>
      <c r="AS768" t="str">
        <f>tbl_OriginalData[[#This Row],[Purchase_Channel]]</f>
        <v>In-Store</v>
      </c>
      <c r="AT768">
        <f>tbl_OriginalData[[#This Row],[Brand_Loyalty]]</f>
        <v>2</v>
      </c>
      <c r="AU768">
        <f>tbl_OriginalData[[#This Row],[Product_Rating]]</f>
        <v>5</v>
      </c>
      <c r="AV768">
        <f>tbl_OriginalData[[#This Row],[Time_Spent_on_Product_Research(hours)]]*60</f>
        <v>60</v>
      </c>
      <c r="AW768" t="str">
        <f>tbl_OriginalData[[#This Row],[Social_Media_Influence]]</f>
        <v>Low</v>
      </c>
      <c r="AX768" t="str">
        <f>tbl_OriginalData[[#This Row],[Discount_Sensitivity]]</f>
        <v>Very Sensitive</v>
      </c>
      <c r="AY768" s="3">
        <f>tbl_OriginalData[[#This Row],[Return_Rate]]/tbl_OriginalData[[#This Row],[Frequency_of_Purchase]]</f>
        <v>0.2857142857142857</v>
      </c>
      <c r="AZ768">
        <f>tbl_OriginalData[[#This Row],[Customer_Satisfaction]]</f>
        <v>3</v>
      </c>
      <c r="BA768" t="str">
        <f>tbl_OriginalData[[#This Row],[Engagement_with_Ads]]</f>
        <v>Low</v>
      </c>
      <c r="BB768" t="str">
        <f>tbl_OriginalData[[#This Row],[Device_Used_for_Shopping]]</f>
        <v>Smartphone</v>
      </c>
      <c r="BC768" t="str">
        <f>tbl_OriginalData[[#This Row],[Payment_Method]]</f>
        <v>Other</v>
      </c>
      <c r="BD768" s="1">
        <f>tbl_OriginalData[[#This Row],[Time_of_Purchase]]</f>
        <v>45644</v>
      </c>
      <c r="BE768" t="str">
        <f>IF(tbl_OriginalData[[#This Row],[Discount_Used]]=TRUE,"Yes","No")</f>
        <v>Yes</v>
      </c>
      <c r="BF768" t="str">
        <f>IF(tbl_OriginalData[[#This Row],[Customer_Loyalty_Program_Member]]=TRUE,"Yes","No")</f>
        <v>No</v>
      </c>
      <c r="BG768" t="str">
        <f>tbl_OriginalData[[#This Row],[Purchase_Intent]]</f>
        <v>Impulsive</v>
      </c>
      <c r="BH768" t="str">
        <f>tbl_OriginalData[[#This Row],[Shipping_Preference]]</f>
        <v>Express</v>
      </c>
      <c r="BI768">
        <f>tbl_OriginalData[[#This Row],[Time_to_Decision]]</f>
        <v>1</v>
      </c>
      <c r="BJ768" t="s">
        <v>120</v>
      </c>
      <c r="BK768" t="s">
        <v>80</v>
      </c>
      <c r="BL768" t="s">
        <v>2528</v>
      </c>
    </row>
    <row r="769" spans="1:64">
      <c r="A769" t="s">
        <v>1768</v>
      </c>
      <c r="B769">
        <v>26</v>
      </c>
      <c r="C769" t="s">
        <v>50</v>
      </c>
      <c r="D769" t="s">
        <v>51</v>
      </c>
      <c r="E769" t="s">
        <v>65</v>
      </c>
      <c r="F769" t="s">
        <v>66</v>
      </c>
      <c r="G769" t="s">
        <v>51</v>
      </c>
      <c r="H769" t="s">
        <v>1769</v>
      </c>
      <c r="I769" t="s">
        <v>170</v>
      </c>
      <c r="J769">
        <v>416.96</v>
      </c>
      <c r="K769">
        <v>7</v>
      </c>
      <c r="L769" t="s">
        <v>55</v>
      </c>
      <c r="M769">
        <v>5</v>
      </c>
      <c r="N769">
        <v>1</v>
      </c>
      <c r="O769">
        <v>1</v>
      </c>
      <c r="P769" t="s">
        <v>51</v>
      </c>
      <c r="Q769" t="s">
        <v>57</v>
      </c>
      <c r="R769">
        <v>0</v>
      </c>
      <c r="S769">
        <v>1</v>
      </c>
      <c r="T769" t="s">
        <v>51</v>
      </c>
      <c r="U769" t="s">
        <v>42</v>
      </c>
      <c r="V769" t="s">
        <v>76</v>
      </c>
      <c r="W769" s="1">
        <v>45437</v>
      </c>
      <c r="X769" t="b">
        <v>0</v>
      </c>
      <c r="Y769" t="b">
        <v>0</v>
      </c>
      <c r="Z769" t="s">
        <v>89</v>
      </c>
      <c r="AA769" t="s">
        <v>77</v>
      </c>
      <c r="AB769">
        <v>7</v>
      </c>
      <c r="AF769" t="str">
        <f>tbl_OriginalData[[#This Row],[Customer_ID]]</f>
        <v>53-409-1176</v>
      </c>
      <c r="AG769">
        <f>tbl_OriginalData[[#This Row],[Age]]</f>
        <v>26</v>
      </c>
      <c r="AH769" t="str" cm="1">
        <f t="array" ref="AH76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69" t="str">
        <f>tbl_OriginalData[[#This Row],[Gender]]</f>
        <v>Male</v>
      </c>
      <c r="AJ769" t="str">
        <f>tbl_OriginalData[[#This Row],[Income_Level]]</f>
        <v>High</v>
      </c>
      <c r="AK769" t="str">
        <f>tbl_OriginalData[[#This Row],[Marital_Status]]</f>
        <v>Single</v>
      </c>
      <c r="AL769" t="str">
        <f>tbl_OriginalData[[#This Row],[Education_Level]]</f>
        <v>Master's</v>
      </c>
      <c r="AM769" t="str">
        <f>tbl_OriginalData[[#This Row],[Occupation]]</f>
        <v>High</v>
      </c>
      <c r="AN769" t="s">
        <v>1769</v>
      </c>
      <c r="AO769" t="s">
        <v>161</v>
      </c>
      <c r="AP769" t="str">
        <f>tbl_OriginalData[[#This Row],[Purchase_Category]]</f>
        <v>Arts &amp; Crafts</v>
      </c>
      <c r="AQ769" s="4">
        <f>tbl_OriginalData[[#This Row],[Purchase_Amount]]</f>
        <v>416.96</v>
      </c>
      <c r="AR769">
        <f>tbl_OriginalData[[#This Row],[Frequency_of_Purchase]]</f>
        <v>7</v>
      </c>
      <c r="AS769" t="str">
        <f>tbl_OriginalData[[#This Row],[Purchase_Channel]]</f>
        <v>In-Store</v>
      </c>
      <c r="AT769">
        <f>tbl_OriginalData[[#This Row],[Brand_Loyalty]]</f>
        <v>5</v>
      </c>
      <c r="AU769">
        <f>tbl_OriginalData[[#This Row],[Product_Rating]]</f>
        <v>1</v>
      </c>
      <c r="AV769">
        <f>tbl_OriginalData[[#This Row],[Time_Spent_on_Product_Research(hours)]]*60</f>
        <v>60</v>
      </c>
      <c r="AW769" t="str">
        <f>tbl_OriginalData[[#This Row],[Social_Media_Influence]]</f>
        <v>High</v>
      </c>
      <c r="AX769" t="str">
        <f>tbl_OriginalData[[#This Row],[Discount_Sensitivity]]</f>
        <v>Not Sensitive</v>
      </c>
      <c r="AY769" s="3">
        <f>tbl_OriginalData[[#This Row],[Return_Rate]]/tbl_OriginalData[[#This Row],[Frequency_of_Purchase]]</f>
        <v>0</v>
      </c>
      <c r="AZ769">
        <f>tbl_OriginalData[[#This Row],[Customer_Satisfaction]]</f>
        <v>1</v>
      </c>
      <c r="BA769" t="str">
        <f>tbl_OriginalData[[#This Row],[Engagement_with_Ads]]</f>
        <v>High</v>
      </c>
      <c r="BB769" t="str">
        <f>tbl_OriginalData[[#This Row],[Device_Used_for_Shopping]]</f>
        <v>Tablet</v>
      </c>
      <c r="BC769" t="str">
        <f>tbl_OriginalData[[#This Row],[Payment_Method]]</f>
        <v>Other</v>
      </c>
      <c r="BD769" s="1">
        <f>tbl_OriginalData[[#This Row],[Time_of_Purchase]]</f>
        <v>45437</v>
      </c>
      <c r="BE769" t="str">
        <f>IF(tbl_OriginalData[[#This Row],[Discount_Used]]=TRUE,"Yes","No")</f>
        <v>No</v>
      </c>
      <c r="BF769" t="str">
        <f>IF(tbl_OriginalData[[#This Row],[Customer_Loyalty_Program_Member]]=TRUE,"Yes","No")</f>
        <v>No</v>
      </c>
      <c r="BG769" t="str">
        <f>tbl_OriginalData[[#This Row],[Purchase_Intent]]</f>
        <v>Planned</v>
      </c>
      <c r="BH769" t="str">
        <f>tbl_OriginalData[[#This Row],[Shipping_Preference]]</f>
        <v>Express</v>
      </c>
      <c r="BI769">
        <f>tbl_OriginalData[[#This Row],[Time_to_Decision]]</f>
        <v>7</v>
      </c>
      <c r="BJ769" t="s">
        <v>167</v>
      </c>
      <c r="BK769" t="s">
        <v>63</v>
      </c>
      <c r="BL769" t="s">
        <v>2527</v>
      </c>
    </row>
    <row r="770" spans="1:64">
      <c r="A770" t="s">
        <v>1770</v>
      </c>
      <c r="B770">
        <v>39</v>
      </c>
      <c r="C770" t="s">
        <v>33</v>
      </c>
      <c r="D770" t="s">
        <v>51</v>
      </c>
      <c r="E770" t="s">
        <v>35</v>
      </c>
      <c r="F770" t="s">
        <v>66</v>
      </c>
      <c r="G770" t="s">
        <v>34</v>
      </c>
      <c r="H770" t="s">
        <v>1771</v>
      </c>
      <c r="I770" t="s">
        <v>170</v>
      </c>
      <c r="J770">
        <v>459.51</v>
      </c>
      <c r="K770">
        <v>7</v>
      </c>
      <c r="L770" t="s">
        <v>55</v>
      </c>
      <c r="M770">
        <v>1</v>
      </c>
      <c r="N770">
        <v>2</v>
      </c>
      <c r="O770">
        <v>2</v>
      </c>
      <c r="P770" t="s">
        <v>51</v>
      </c>
      <c r="Q770" t="s">
        <v>57</v>
      </c>
      <c r="R770">
        <v>0</v>
      </c>
      <c r="S770">
        <v>5</v>
      </c>
      <c r="T770" t="s">
        <v>56</v>
      </c>
      <c r="U770" t="s">
        <v>42</v>
      </c>
      <c r="V770" t="s">
        <v>71</v>
      </c>
      <c r="W770" s="1">
        <v>45296</v>
      </c>
      <c r="X770" t="b">
        <v>1</v>
      </c>
      <c r="Y770" t="b">
        <v>0</v>
      </c>
      <c r="Z770" t="s">
        <v>44</v>
      </c>
      <c r="AA770" t="s">
        <v>45</v>
      </c>
      <c r="AB770">
        <v>11</v>
      </c>
      <c r="AF770" t="str">
        <f>tbl_OriginalData[[#This Row],[Customer_ID]]</f>
        <v>52-491-3386</v>
      </c>
      <c r="AG770">
        <f>tbl_OriginalData[[#This Row],[Age]]</f>
        <v>39</v>
      </c>
      <c r="AH770" t="str" cm="1">
        <f t="array" ref="AH77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70" t="str">
        <f>tbl_OriginalData[[#This Row],[Gender]]</f>
        <v>Female</v>
      </c>
      <c r="AJ770" t="str">
        <f>tbl_OriginalData[[#This Row],[Income_Level]]</f>
        <v>High</v>
      </c>
      <c r="AK770" t="str">
        <f>tbl_OriginalData[[#This Row],[Marital_Status]]</f>
        <v>Married</v>
      </c>
      <c r="AL770" t="str">
        <f>tbl_OriginalData[[#This Row],[Education_Level]]</f>
        <v>Master's</v>
      </c>
      <c r="AM770" t="str">
        <f>tbl_OriginalData[[#This Row],[Occupation]]</f>
        <v>Middle</v>
      </c>
      <c r="AN770" t="s">
        <v>1771</v>
      </c>
      <c r="AO770" t="s">
        <v>186</v>
      </c>
      <c r="AP770" t="str">
        <f>tbl_OriginalData[[#This Row],[Purchase_Category]]</f>
        <v>Arts &amp; Crafts</v>
      </c>
      <c r="AQ770" s="4">
        <f>tbl_OriginalData[[#This Row],[Purchase_Amount]]</f>
        <v>459.51</v>
      </c>
      <c r="AR770">
        <f>tbl_OriginalData[[#This Row],[Frequency_of_Purchase]]</f>
        <v>7</v>
      </c>
      <c r="AS770" t="str">
        <f>tbl_OriginalData[[#This Row],[Purchase_Channel]]</f>
        <v>In-Store</v>
      </c>
      <c r="AT770">
        <f>tbl_OriginalData[[#This Row],[Brand_Loyalty]]</f>
        <v>1</v>
      </c>
      <c r="AU770">
        <f>tbl_OriginalData[[#This Row],[Product_Rating]]</f>
        <v>2</v>
      </c>
      <c r="AV770">
        <f>tbl_OriginalData[[#This Row],[Time_Spent_on_Product_Research(hours)]]*60</f>
        <v>120</v>
      </c>
      <c r="AW770" t="str">
        <f>tbl_OriginalData[[#This Row],[Social_Media_Influence]]</f>
        <v>High</v>
      </c>
      <c r="AX770" t="str">
        <f>tbl_OriginalData[[#This Row],[Discount_Sensitivity]]</f>
        <v>Not Sensitive</v>
      </c>
      <c r="AY770" s="3">
        <f>tbl_OriginalData[[#This Row],[Return_Rate]]/tbl_OriginalData[[#This Row],[Frequency_of_Purchase]]</f>
        <v>0</v>
      </c>
      <c r="AZ770">
        <f>tbl_OriginalData[[#This Row],[Customer_Satisfaction]]</f>
        <v>5</v>
      </c>
      <c r="BA770" t="str">
        <f>tbl_OriginalData[[#This Row],[Engagement_with_Ads]]</f>
        <v>Medium</v>
      </c>
      <c r="BB770" t="str">
        <f>tbl_OriginalData[[#This Row],[Device_Used_for_Shopping]]</f>
        <v>Tablet</v>
      </c>
      <c r="BC770" t="str">
        <f>tbl_OriginalData[[#This Row],[Payment_Method]]</f>
        <v>Debit Card</v>
      </c>
      <c r="BD770" s="1">
        <f>tbl_OriginalData[[#This Row],[Time_of_Purchase]]</f>
        <v>45296</v>
      </c>
      <c r="BE770" t="str">
        <f>IF(tbl_OriginalData[[#This Row],[Discount_Used]]=TRUE,"Yes","No")</f>
        <v>Yes</v>
      </c>
      <c r="BF770" t="str">
        <f>IF(tbl_OriginalData[[#This Row],[Customer_Loyalty_Program_Member]]=TRUE,"Yes","No")</f>
        <v>No</v>
      </c>
      <c r="BG770" t="str">
        <f>tbl_OriginalData[[#This Row],[Purchase_Intent]]</f>
        <v>Need-based</v>
      </c>
      <c r="BH770" t="str">
        <f>tbl_OriginalData[[#This Row],[Shipping_Preference]]</f>
        <v>No Preference</v>
      </c>
      <c r="BI770">
        <f>tbl_OriginalData[[#This Row],[Time_to_Decision]]</f>
        <v>11</v>
      </c>
      <c r="BJ770" t="s">
        <v>86</v>
      </c>
      <c r="BK770" t="s">
        <v>48</v>
      </c>
      <c r="BL770" t="s">
        <v>2523</v>
      </c>
    </row>
    <row r="771" spans="1:64">
      <c r="A771" t="s">
        <v>1772</v>
      </c>
      <c r="B771">
        <v>45</v>
      </c>
      <c r="C771" t="s">
        <v>50</v>
      </c>
      <c r="D771" t="s">
        <v>34</v>
      </c>
      <c r="E771" t="s">
        <v>35</v>
      </c>
      <c r="F771" t="s">
        <v>52</v>
      </c>
      <c r="G771" t="s">
        <v>51</v>
      </c>
      <c r="H771" t="s">
        <v>1773</v>
      </c>
      <c r="I771" t="s">
        <v>108</v>
      </c>
      <c r="J771">
        <v>487.96</v>
      </c>
      <c r="K771">
        <v>2</v>
      </c>
      <c r="L771" t="s">
        <v>39</v>
      </c>
      <c r="M771">
        <v>5</v>
      </c>
      <c r="N771">
        <v>3</v>
      </c>
      <c r="O771">
        <v>2</v>
      </c>
      <c r="P771" t="s">
        <v>69</v>
      </c>
      <c r="Q771" t="s">
        <v>101</v>
      </c>
      <c r="R771">
        <v>0</v>
      </c>
      <c r="S771">
        <v>2</v>
      </c>
      <c r="T771" t="s">
        <v>40</v>
      </c>
      <c r="U771" t="s">
        <v>95</v>
      </c>
      <c r="V771" t="s">
        <v>58</v>
      </c>
      <c r="W771" s="1">
        <v>45366</v>
      </c>
      <c r="X771" t="b">
        <v>1</v>
      </c>
      <c r="Y771" t="b">
        <v>1</v>
      </c>
      <c r="Z771" t="s">
        <v>44</v>
      </c>
      <c r="AA771" t="s">
        <v>45</v>
      </c>
      <c r="AB771">
        <v>12</v>
      </c>
      <c r="AF771" t="str">
        <f>tbl_OriginalData[[#This Row],[Customer_ID]]</f>
        <v>10-870-3357</v>
      </c>
      <c r="AG771">
        <f>tbl_OriginalData[[#This Row],[Age]]</f>
        <v>45</v>
      </c>
      <c r="AH771" t="str" cm="1">
        <f t="array" ref="AH77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71" t="str">
        <f>tbl_OriginalData[[#This Row],[Gender]]</f>
        <v>Male</v>
      </c>
      <c r="AJ771" t="str">
        <f>tbl_OriginalData[[#This Row],[Income_Level]]</f>
        <v>Middle</v>
      </c>
      <c r="AK771" t="str">
        <f>tbl_OriginalData[[#This Row],[Marital_Status]]</f>
        <v>Married</v>
      </c>
      <c r="AL771" t="str">
        <f>tbl_OriginalData[[#This Row],[Education_Level]]</f>
        <v>High School</v>
      </c>
      <c r="AM771" t="str">
        <f>tbl_OriginalData[[#This Row],[Occupation]]</f>
        <v>High</v>
      </c>
      <c r="AN771" t="s">
        <v>1773</v>
      </c>
      <c r="AO771" t="s">
        <v>1774</v>
      </c>
      <c r="AP771" t="str">
        <f>tbl_OriginalData[[#This Row],[Purchase_Category]]</f>
        <v>Sports &amp; Outdoors</v>
      </c>
      <c r="AQ771" s="4">
        <f>tbl_OriginalData[[#This Row],[Purchase_Amount]]</f>
        <v>487.96</v>
      </c>
      <c r="AR771">
        <f>tbl_OriginalData[[#This Row],[Frequency_of_Purchase]]</f>
        <v>2</v>
      </c>
      <c r="AS771" t="str">
        <f>tbl_OriginalData[[#This Row],[Purchase_Channel]]</f>
        <v>Mixed</v>
      </c>
      <c r="AT771">
        <f>tbl_OriginalData[[#This Row],[Brand_Loyalty]]</f>
        <v>5</v>
      </c>
      <c r="AU771">
        <f>tbl_OriginalData[[#This Row],[Product_Rating]]</f>
        <v>3</v>
      </c>
      <c r="AV771">
        <f>tbl_OriginalData[[#This Row],[Time_Spent_on_Product_Research(hours)]]*60</f>
        <v>120</v>
      </c>
      <c r="AW771" t="str">
        <f>tbl_OriginalData[[#This Row],[Social_Media_Influence]]</f>
        <v>Low</v>
      </c>
      <c r="AX771" t="str">
        <f>tbl_OriginalData[[#This Row],[Discount_Sensitivity]]</f>
        <v>Very Sensitive</v>
      </c>
      <c r="AY771" s="3">
        <f>tbl_OriginalData[[#This Row],[Return_Rate]]/tbl_OriginalData[[#This Row],[Frequency_of_Purchase]]</f>
        <v>0</v>
      </c>
      <c r="AZ771">
        <f>tbl_OriginalData[[#This Row],[Customer_Satisfaction]]</f>
        <v>2</v>
      </c>
      <c r="BA771" t="str">
        <f>tbl_OriginalData[[#This Row],[Engagement_with_Ads]]</f>
        <v>None</v>
      </c>
      <c r="BB771" t="str">
        <f>tbl_OriginalData[[#This Row],[Device_Used_for_Shopping]]</f>
        <v>Desktop</v>
      </c>
      <c r="BC771" t="str">
        <f>tbl_OriginalData[[#This Row],[Payment_Method]]</f>
        <v>PayPal</v>
      </c>
      <c r="BD771" s="1">
        <f>tbl_OriginalData[[#This Row],[Time_of_Purchase]]</f>
        <v>45366</v>
      </c>
      <c r="BE771" t="str">
        <f>IF(tbl_OriginalData[[#This Row],[Discount_Used]]=TRUE,"Yes","No")</f>
        <v>Yes</v>
      </c>
      <c r="BF771" t="str">
        <f>IF(tbl_OriginalData[[#This Row],[Customer_Loyalty_Program_Member]]=TRUE,"Yes","No")</f>
        <v>Yes</v>
      </c>
      <c r="BG771" t="str">
        <f>tbl_OriginalData[[#This Row],[Purchase_Intent]]</f>
        <v>Need-based</v>
      </c>
      <c r="BH771" t="str">
        <f>tbl_OriginalData[[#This Row],[Shipping_Preference]]</f>
        <v>No Preference</v>
      </c>
      <c r="BI771">
        <f>tbl_OriginalData[[#This Row],[Time_to_Decision]]</f>
        <v>12</v>
      </c>
      <c r="BJ771" t="s">
        <v>47</v>
      </c>
      <c r="BK771" t="s">
        <v>48</v>
      </c>
      <c r="BL771" t="s">
        <v>2528</v>
      </c>
    </row>
    <row r="772" spans="1:64">
      <c r="A772" t="s">
        <v>1775</v>
      </c>
      <c r="B772">
        <v>22</v>
      </c>
      <c r="C772" t="s">
        <v>50</v>
      </c>
      <c r="D772" t="s">
        <v>34</v>
      </c>
      <c r="E772" t="s">
        <v>92</v>
      </c>
      <c r="F772" t="s">
        <v>52</v>
      </c>
      <c r="G772" t="s">
        <v>51</v>
      </c>
      <c r="H772" t="s">
        <v>1776</v>
      </c>
      <c r="I772" t="s">
        <v>156</v>
      </c>
      <c r="J772">
        <v>150.11000000000001</v>
      </c>
      <c r="K772">
        <v>7</v>
      </c>
      <c r="L772" t="s">
        <v>39</v>
      </c>
      <c r="M772">
        <v>4</v>
      </c>
      <c r="N772">
        <v>4</v>
      </c>
      <c r="O772">
        <v>1.5</v>
      </c>
      <c r="P772" t="s">
        <v>69</v>
      </c>
      <c r="Q772" t="s">
        <v>101</v>
      </c>
      <c r="R772">
        <v>0</v>
      </c>
      <c r="S772">
        <v>3</v>
      </c>
      <c r="T772" t="s">
        <v>51</v>
      </c>
      <c r="U772" t="s">
        <v>70</v>
      </c>
      <c r="V772" t="s">
        <v>43</v>
      </c>
      <c r="W772" s="1">
        <v>45496</v>
      </c>
      <c r="X772" t="b">
        <v>1</v>
      </c>
      <c r="Y772" t="b">
        <v>0</v>
      </c>
      <c r="Z772" t="s">
        <v>59</v>
      </c>
      <c r="AA772" t="s">
        <v>60</v>
      </c>
      <c r="AB772">
        <v>8</v>
      </c>
      <c r="AF772" t="str">
        <f>tbl_OriginalData[[#This Row],[Customer_ID]]</f>
        <v>41-816-7753</v>
      </c>
      <c r="AG772">
        <f>tbl_OriginalData[[#This Row],[Age]]</f>
        <v>22</v>
      </c>
      <c r="AH772" t="str" cm="1">
        <f t="array" ref="AH77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72" t="str">
        <f>tbl_OriginalData[[#This Row],[Gender]]</f>
        <v>Male</v>
      </c>
      <c r="AJ772" t="str">
        <f>tbl_OriginalData[[#This Row],[Income_Level]]</f>
        <v>Middle</v>
      </c>
      <c r="AK772" t="str">
        <f>tbl_OriginalData[[#This Row],[Marital_Status]]</f>
        <v>Divorced</v>
      </c>
      <c r="AL772" t="str">
        <f>tbl_OriginalData[[#This Row],[Education_Level]]</f>
        <v>High School</v>
      </c>
      <c r="AM772" t="str">
        <f>tbl_OriginalData[[#This Row],[Occupation]]</f>
        <v>High</v>
      </c>
      <c r="AN772" t="s">
        <v>1776</v>
      </c>
      <c r="AO772" t="s">
        <v>103</v>
      </c>
      <c r="AP772" t="str">
        <f>tbl_OriginalData[[#This Row],[Purchase_Category]]</f>
        <v>Toys &amp; Games</v>
      </c>
      <c r="AQ772" s="4">
        <f>tbl_OriginalData[[#This Row],[Purchase_Amount]]</f>
        <v>150.11000000000001</v>
      </c>
      <c r="AR772">
        <f>tbl_OriginalData[[#This Row],[Frequency_of_Purchase]]</f>
        <v>7</v>
      </c>
      <c r="AS772" t="str">
        <f>tbl_OriginalData[[#This Row],[Purchase_Channel]]</f>
        <v>Mixed</v>
      </c>
      <c r="AT772">
        <f>tbl_OriginalData[[#This Row],[Brand_Loyalty]]</f>
        <v>4</v>
      </c>
      <c r="AU772">
        <f>tbl_OriginalData[[#This Row],[Product_Rating]]</f>
        <v>4</v>
      </c>
      <c r="AV772">
        <f>tbl_OriginalData[[#This Row],[Time_Spent_on_Product_Research(hours)]]*60</f>
        <v>90</v>
      </c>
      <c r="AW772" t="str">
        <f>tbl_OriginalData[[#This Row],[Social_Media_Influence]]</f>
        <v>Low</v>
      </c>
      <c r="AX772" t="str">
        <f>tbl_OriginalData[[#This Row],[Discount_Sensitivity]]</f>
        <v>Very Sensitive</v>
      </c>
      <c r="AY772" s="3">
        <f>tbl_OriginalData[[#This Row],[Return_Rate]]/tbl_OriginalData[[#This Row],[Frequency_of_Purchase]]</f>
        <v>0</v>
      </c>
      <c r="AZ772">
        <f>tbl_OriginalData[[#This Row],[Customer_Satisfaction]]</f>
        <v>3</v>
      </c>
      <c r="BA772" t="str">
        <f>tbl_OriginalData[[#This Row],[Engagement_with_Ads]]</f>
        <v>High</v>
      </c>
      <c r="BB772" t="str">
        <f>tbl_OriginalData[[#This Row],[Device_Used_for_Shopping]]</f>
        <v>Smartphone</v>
      </c>
      <c r="BC772" t="str">
        <f>tbl_OriginalData[[#This Row],[Payment_Method]]</f>
        <v>Credit Card</v>
      </c>
      <c r="BD772" s="1">
        <f>tbl_OriginalData[[#This Row],[Time_of_Purchase]]</f>
        <v>45496</v>
      </c>
      <c r="BE772" t="str">
        <f>IF(tbl_OriginalData[[#This Row],[Discount_Used]]=TRUE,"Yes","No")</f>
        <v>Yes</v>
      </c>
      <c r="BF772" t="str">
        <f>IF(tbl_OriginalData[[#This Row],[Customer_Loyalty_Program_Member]]=TRUE,"Yes","No")</f>
        <v>No</v>
      </c>
      <c r="BG772" t="str">
        <f>tbl_OriginalData[[#This Row],[Purchase_Intent]]</f>
        <v>Wants-based</v>
      </c>
      <c r="BH772" t="str">
        <f>tbl_OriginalData[[#This Row],[Shipping_Preference]]</f>
        <v>Standard</v>
      </c>
      <c r="BI772">
        <f>tbl_OriginalData[[#This Row],[Time_to_Decision]]</f>
        <v>8</v>
      </c>
      <c r="BJ772" t="s">
        <v>114</v>
      </c>
      <c r="BK772" t="s">
        <v>115</v>
      </c>
      <c r="BL772" t="s">
        <v>2523</v>
      </c>
    </row>
    <row r="773" spans="1:64">
      <c r="A773" t="s">
        <v>1777</v>
      </c>
      <c r="B773">
        <v>36</v>
      </c>
      <c r="C773" t="s">
        <v>50</v>
      </c>
      <c r="D773" t="s">
        <v>51</v>
      </c>
      <c r="E773" t="s">
        <v>35</v>
      </c>
      <c r="F773" t="s">
        <v>52</v>
      </c>
      <c r="G773" t="s">
        <v>34</v>
      </c>
      <c r="H773" t="s">
        <v>1778</v>
      </c>
      <c r="I773" t="s">
        <v>135</v>
      </c>
      <c r="J773">
        <v>218.87</v>
      </c>
      <c r="K773">
        <v>5</v>
      </c>
      <c r="L773" t="s">
        <v>39</v>
      </c>
      <c r="M773">
        <v>4</v>
      </c>
      <c r="N773">
        <v>3</v>
      </c>
      <c r="O773">
        <v>0</v>
      </c>
      <c r="P773" t="s">
        <v>56</v>
      </c>
      <c r="Q773" t="s">
        <v>101</v>
      </c>
      <c r="R773">
        <v>0</v>
      </c>
      <c r="S773">
        <v>4</v>
      </c>
      <c r="T773" t="s">
        <v>56</v>
      </c>
      <c r="U773" t="s">
        <v>70</v>
      </c>
      <c r="V773" t="s">
        <v>102</v>
      </c>
      <c r="W773" s="1">
        <v>45553</v>
      </c>
      <c r="X773" t="b">
        <v>1</v>
      </c>
      <c r="Y773" t="b">
        <v>0</v>
      </c>
      <c r="Z773" t="s">
        <v>89</v>
      </c>
      <c r="AA773" t="s">
        <v>45</v>
      </c>
      <c r="AB773">
        <v>11</v>
      </c>
      <c r="AF773" t="str">
        <f>tbl_OriginalData[[#This Row],[Customer_ID]]</f>
        <v>68-296-5978</v>
      </c>
      <c r="AG773">
        <f>tbl_OriginalData[[#This Row],[Age]]</f>
        <v>36</v>
      </c>
      <c r="AH773" t="str" cm="1">
        <f t="array" ref="AH77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73" t="str">
        <f>tbl_OriginalData[[#This Row],[Gender]]</f>
        <v>Male</v>
      </c>
      <c r="AJ773" t="str">
        <f>tbl_OriginalData[[#This Row],[Income_Level]]</f>
        <v>High</v>
      </c>
      <c r="AK773" t="str">
        <f>tbl_OriginalData[[#This Row],[Marital_Status]]</f>
        <v>Married</v>
      </c>
      <c r="AL773" t="str">
        <f>tbl_OriginalData[[#This Row],[Education_Level]]</f>
        <v>High School</v>
      </c>
      <c r="AM773" t="str">
        <f>tbl_OriginalData[[#This Row],[Occupation]]</f>
        <v>Middle</v>
      </c>
      <c r="AN773" t="s">
        <v>1778</v>
      </c>
      <c r="AO773" t="s">
        <v>90</v>
      </c>
      <c r="AP773" t="str">
        <f>tbl_OriginalData[[#This Row],[Purchase_Category]]</f>
        <v>Hotels</v>
      </c>
      <c r="AQ773" s="4">
        <f>tbl_OriginalData[[#This Row],[Purchase_Amount]]</f>
        <v>218.87</v>
      </c>
      <c r="AR773">
        <f>tbl_OriginalData[[#This Row],[Frequency_of_Purchase]]</f>
        <v>5</v>
      </c>
      <c r="AS773" t="str">
        <f>tbl_OriginalData[[#This Row],[Purchase_Channel]]</f>
        <v>Mixed</v>
      </c>
      <c r="AT773">
        <f>tbl_OriginalData[[#This Row],[Brand_Loyalty]]</f>
        <v>4</v>
      </c>
      <c r="AU773">
        <f>tbl_OriginalData[[#This Row],[Product_Rating]]</f>
        <v>3</v>
      </c>
      <c r="AV773">
        <f>tbl_OriginalData[[#This Row],[Time_Spent_on_Product_Research(hours)]]*60</f>
        <v>0</v>
      </c>
      <c r="AW773" t="str">
        <f>tbl_OriginalData[[#This Row],[Social_Media_Influence]]</f>
        <v>Medium</v>
      </c>
      <c r="AX773" t="str">
        <f>tbl_OriginalData[[#This Row],[Discount_Sensitivity]]</f>
        <v>Very Sensitive</v>
      </c>
      <c r="AY773" s="3">
        <f>tbl_OriginalData[[#This Row],[Return_Rate]]/tbl_OriginalData[[#This Row],[Frequency_of_Purchase]]</f>
        <v>0</v>
      </c>
      <c r="AZ773">
        <f>tbl_OriginalData[[#This Row],[Customer_Satisfaction]]</f>
        <v>4</v>
      </c>
      <c r="BA773" t="str">
        <f>tbl_OriginalData[[#This Row],[Engagement_with_Ads]]</f>
        <v>Medium</v>
      </c>
      <c r="BB773" t="str">
        <f>tbl_OriginalData[[#This Row],[Device_Used_for_Shopping]]</f>
        <v>Smartphone</v>
      </c>
      <c r="BC773" t="str">
        <f>tbl_OriginalData[[#This Row],[Payment_Method]]</f>
        <v>Cash</v>
      </c>
      <c r="BD773" s="1">
        <f>tbl_OriginalData[[#This Row],[Time_of_Purchase]]</f>
        <v>45553</v>
      </c>
      <c r="BE773" t="str">
        <f>IF(tbl_OriginalData[[#This Row],[Discount_Used]]=TRUE,"Yes","No")</f>
        <v>Yes</v>
      </c>
      <c r="BF773" t="str">
        <f>IF(tbl_OriginalData[[#This Row],[Customer_Loyalty_Program_Member]]=TRUE,"Yes","No")</f>
        <v>No</v>
      </c>
      <c r="BG773" t="str">
        <f>tbl_OriginalData[[#This Row],[Purchase_Intent]]</f>
        <v>Planned</v>
      </c>
      <c r="BH773" t="str">
        <f>tbl_OriginalData[[#This Row],[Shipping_Preference]]</f>
        <v>No Preference</v>
      </c>
      <c r="BI773">
        <f>tbl_OriginalData[[#This Row],[Time_to_Decision]]</f>
        <v>11</v>
      </c>
      <c r="BJ773" t="s">
        <v>172</v>
      </c>
      <c r="BK773" t="s">
        <v>115</v>
      </c>
      <c r="BL773" t="s">
        <v>2524</v>
      </c>
    </row>
    <row r="774" spans="1:64">
      <c r="A774" t="s">
        <v>1779</v>
      </c>
      <c r="B774">
        <v>29</v>
      </c>
      <c r="C774" t="s">
        <v>33</v>
      </c>
      <c r="D774" t="s">
        <v>34</v>
      </c>
      <c r="E774" t="s">
        <v>35</v>
      </c>
      <c r="F774" t="s">
        <v>36</v>
      </c>
      <c r="G774" t="s">
        <v>51</v>
      </c>
      <c r="H774" t="s">
        <v>1780</v>
      </c>
      <c r="I774" t="s">
        <v>112</v>
      </c>
      <c r="J774">
        <v>437.06</v>
      </c>
      <c r="K774">
        <v>7</v>
      </c>
      <c r="L774" t="s">
        <v>55</v>
      </c>
      <c r="M774">
        <v>3</v>
      </c>
      <c r="N774">
        <v>5</v>
      </c>
      <c r="O774">
        <v>2</v>
      </c>
      <c r="P774" t="s">
        <v>69</v>
      </c>
      <c r="Q774" t="s">
        <v>101</v>
      </c>
      <c r="R774">
        <v>0</v>
      </c>
      <c r="S774">
        <v>6</v>
      </c>
      <c r="T774" t="s">
        <v>69</v>
      </c>
      <c r="U774" t="s">
        <v>70</v>
      </c>
      <c r="V774" t="s">
        <v>102</v>
      </c>
      <c r="W774" s="1">
        <v>45360</v>
      </c>
      <c r="X774" t="b">
        <v>0</v>
      </c>
      <c r="Y774" t="b">
        <v>0</v>
      </c>
      <c r="Z774" t="s">
        <v>72</v>
      </c>
      <c r="AA774" t="s">
        <v>77</v>
      </c>
      <c r="AB774">
        <v>11</v>
      </c>
      <c r="AF774" t="str">
        <f>tbl_OriginalData[[#This Row],[Customer_ID]]</f>
        <v>03-874-9055</v>
      </c>
      <c r="AG774">
        <f>tbl_OriginalData[[#This Row],[Age]]</f>
        <v>29</v>
      </c>
      <c r="AH774" t="str" cm="1">
        <f t="array" ref="AH77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74" t="str">
        <f>tbl_OriginalData[[#This Row],[Gender]]</f>
        <v>Female</v>
      </c>
      <c r="AJ774" t="str">
        <f>tbl_OriginalData[[#This Row],[Income_Level]]</f>
        <v>Middle</v>
      </c>
      <c r="AK774" t="str">
        <f>tbl_OriginalData[[#This Row],[Marital_Status]]</f>
        <v>Married</v>
      </c>
      <c r="AL774" t="str">
        <f>tbl_OriginalData[[#This Row],[Education_Level]]</f>
        <v>Bachelor's</v>
      </c>
      <c r="AM774" t="str">
        <f>tbl_OriginalData[[#This Row],[Occupation]]</f>
        <v>High</v>
      </c>
      <c r="AN774" t="s">
        <v>1780</v>
      </c>
      <c r="AO774" t="s">
        <v>161</v>
      </c>
      <c r="AP774" t="str">
        <f>tbl_OriginalData[[#This Row],[Purchase_Category]]</f>
        <v>Mobile Accessories</v>
      </c>
      <c r="AQ774" s="4">
        <f>tbl_OriginalData[[#This Row],[Purchase_Amount]]</f>
        <v>437.06</v>
      </c>
      <c r="AR774">
        <f>tbl_OriginalData[[#This Row],[Frequency_of_Purchase]]</f>
        <v>7</v>
      </c>
      <c r="AS774" t="str">
        <f>tbl_OriginalData[[#This Row],[Purchase_Channel]]</f>
        <v>In-Store</v>
      </c>
      <c r="AT774">
        <f>tbl_OriginalData[[#This Row],[Brand_Loyalty]]</f>
        <v>3</v>
      </c>
      <c r="AU774">
        <f>tbl_OriginalData[[#This Row],[Product_Rating]]</f>
        <v>5</v>
      </c>
      <c r="AV774">
        <f>tbl_OriginalData[[#This Row],[Time_Spent_on_Product_Research(hours)]]*60</f>
        <v>120</v>
      </c>
      <c r="AW774" t="str">
        <f>tbl_OriginalData[[#This Row],[Social_Media_Influence]]</f>
        <v>Low</v>
      </c>
      <c r="AX774" t="str">
        <f>tbl_OriginalData[[#This Row],[Discount_Sensitivity]]</f>
        <v>Very Sensitive</v>
      </c>
      <c r="AY774" s="3">
        <f>tbl_OriginalData[[#This Row],[Return_Rate]]/tbl_OriginalData[[#This Row],[Frequency_of_Purchase]]</f>
        <v>0</v>
      </c>
      <c r="AZ774">
        <f>tbl_OriginalData[[#This Row],[Customer_Satisfaction]]</f>
        <v>6</v>
      </c>
      <c r="BA774" t="str">
        <f>tbl_OriginalData[[#This Row],[Engagement_with_Ads]]</f>
        <v>Low</v>
      </c>
      <c r="BB774" t="str">
        <f>tbl_OriginalData[[#This Row],[Device_Used_for_Shopping]]</f>
        <v>Smartphone</v>
      </c>
      <c r="BC774" t="str">
        <f>tbl_OriginalData[[#This Row],[Payment_Method]]</f>
        <v>Cash</v>
      </c>
      <c r="BD774" s="1">
        <f>tbl_OriginalData[[#This Row],[Time_of_Purchase]]</f>
        <v>45360</v>
      </c>
      <c r="BE774" t="str">
        <f>IF(tbl_OriginalData[[#This Row],[Discount_Used]]=TRUE,"Yes","No")</f>
        <v>No</v>
      </c>
      <c r="BF774" t="str">
        <f>IF(tbl_OriginalData[[#This Row],[Customer_Loyalty_Program_Member]]=TRUE,"Yes","No")</f>
        <v>No</v>
      </c>
      <c r="BG774" t="str">
        <f>tbl_OriginalData[[#This Row],[Purchase_Intent]]</f>
        <v>Impulsive</v>
      </c>
      <c r="BH774" t="str">
        <f>tbl_OriginalData[[#This Row],[Shipping_Preference]]</f>
        <v>Express</v>
      </c>
      <c r="BI774">
        <f>tbl_OriginalData[[#This Row],[Time_to_Decision]]</f>
        <v>11</v>
      </c>
      <c r="BJ774" t="s">
        <v>47</v>
      </c>
      <c r="BK774" t="s">
        <v>48</v>
      </c>
      <c r="BL774" t="s">
        <v>2527</v>
      </c>
    </row>
    <row r="775" spans="1:64">
      <c r="A775" t="s">
        <v>1781</v>
      </c>
      <c r="B775">
        <v>33</v>
      </c>
      <c r="C775" t="s">
        <v>50</v>
      </c>
      <c r="D775" t="s">
        <v>51</v>
      </c>
      <c r="E775" t="s">
        <v>35</v>
      </c>
      <c r="F775" t="s">
        <v>36</v>
      </c>
      <c r="G775" t="s">
        <v>51</v>
      </c>
      <c r="H775" t="s">
        <v>1782</v>
      </c>
      <c r="I775" t="s">
        <v>235</v>
      </c>
      <c r="J775">
        <v>122.58</v>
      </c>
      <c r="K775">
        <v>2</v>
      </c>
      <c r="L775" t="s">
        <v>55</v>
      </c>
      <c r="M775">
        <v>5</v>
      </c>
      <c r="N775">
        <v>4</v>
      </c>
      <c r="O775">
        <v>1.5</v>
      </c>
      <c r="P775" t="s">
        <v>69</v>
      </c>
      <c r="Q775" t="s">
        <v>57</v>
      </c>
      <c r="R775">
        <v>2</v>
      </c>
      <c r="S775">
        <v>5</v>
      </c>
      <c r="T775" t="s">
        <v>40</v>
      </c>
      <c r="U775" t="s">
        <v>42</v>
      </c>
      <c r="V775" t="s">
        <v>76</v>
      </c>
      <c r="W775" s="1">
        <v>45320</v>
      </c>
      <c r="X775" t="b">
        <v>1</v>
      </c>
      <c r="Y775" t="b">
        <v>0</v>
      </c>
      <c r="Z775" t="s">
        <v>72</v>
      </c>
      <c r="AA775" t="s">
        <v>77</v>
      </c>
      <c r="AB775">
        <v>12</v>
      </c>
      <c r="AF775" t="str">
        <f>tbl_OriginalData[[#This Row],[Customer_ID]]</f>
        <v>28-123-8406</v>
      </c>
      <c r="AG775">
        <f>tbl_OriginalData[[#This Row],[Age]]</f>
        <v>33</v>
      </c>
      <c r="AH775" t="str" cm="1">
        <f t="array" ref="AH77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75" t="str">
        <f>tbl_OriginalData[[#This Row],[Gender]]</f>
        <v>Male</v>
      </c>
      <c r="AJ775" t="str">
        <f>tbl_OriginalData[[#This Row],[Income_Level]]</f>
        <v>High</v>
      </c>
      <c r="AK775" t="str">
        <f>tbl_OriginalData[[#This Row],[Marital_Status]]</f>
        <v>Married</v>
      </c>
      <c r="AL775" t="str">
        <f>tbl_OriginalData[[#This Row],[Education_Level]]</f>
        <v>Bachelor's</v>
      </c>
      <c r="AM775" t="str">
        <f>tbl_OriginalData[[#This Row],[Occupation]]</f>
        <v>High</v>
      </c>
      <c r="AN775" t="s">
        <v>1782</v>
      </c>
      <c r="AO775" t="s">
        <v>61</v>
      </c>
      <c r="AP775" t="str">
        <f>tbl_OriginalData[[#This Row],[Purchase_Category]]</f>
        <v>Beauty &amp; Personal Care</v>
      </c>
      <c r="AQ775" s="4">
        <f>tbl_OriginalData[[#This Row],[Purchase_Amount]]</f>
        <v>122.58</v>
      </c>
      <c r="AR775">
        <f>tbl_OriginalData[[#This Row],[Frequency_of_Purchase]]</f>
        <v>2</v>
      </c>
      <c r="AS775" t="str">
        <f>tbl_OriginalData[[#This Row],[Purchase_Channel]]</f>
        <v>In-Store</v>
      </c>
      <c r="AT775">
        <f>tbl_OriginalData[[#This Row],[Brand_Loyalty]]</f>
        <v>5</v>
      </c>
      <c r="AU775">
        <f>tbl_OriginalData[[#This Row],[Product_Rating]]</f>
        <v>4</v>
      </c>
      <c r="AV775">
        <f>tbl_OriginalData[[#This Row],[Time_Spent_on_Product_Research(hours)]]*60</f>
        <v>90</v>
      </c>
      <c r="AW775" t="str">
        <f>tbl_OriginalData[[#This Row],[Social_Media_Influence]]</f>
        <v>Low</v>
      </c>
      <c r="AX775" t="str">
        <f>tbl_OriginalData[[#This Row],[Discount_Sensitivity]]</f>
        <v>Not Sensitive</v>
      </c>
      <c r="AY775" s="3">
        <f>tbl_OriginalData[[#This Row],[Return_Rate]]/tbl_OriginalData[[#This Row],[Frequency_of_Purchase]]</f>
        <v>1</v>
      </c>
      <c r="AZ775">
        <f>tbl_OriginalData[[#This Row],[Customer_Satisfaction]]</f>
        <v>5</v>
      </c>
      <c r="BA775" t="str">
        <f>tbl_OriginalData[[#This Row],[Engagement_with_Ads]]</f>
        <v>None</v>
      </c>
      <c r="BB775" t="str">
        <f>tbl_OriginalData[[#This Row],[Device_Used_for_Shopping]]</f>
        <v>Tablet</v>
      </c>
      <c r="BC775" t="str">
        <f>tbl_OriginalData[[#This Row],[Payment_Method]]</f>
        <v>Other</v>
      </c>
      <c r="BD775" s="1">
        <f>tbl_OriginalData[[#This Row],[Time_of_Purchase]]</f>
        <v>45320</v>
      </c>
      <c r="BE775" t="str">
        <f>IF(tbl_OriginalData[[#This Row],[Discount_Used]]=TRUE,"Yes","No")</f>
        <v>Yes</v>
      </c>
      <c r="BF775" t="str">
        <f>IF(tbl_OriginalData[[#This Row],[Customer_Loyalty_Program_Member]]=TRUE,"Yes","No")</f>
        <v>No</v>
      </c>
      <c r="BG775" t="str">
        <f>tbl_OriginalData[[#This Row],[Purchase_Intent]]</f>
        <v>Impulsive</v>
      </c>
      <c r="BH775" t="str">
        <f>tbl_OriginalData[[#This Row],[Shipping_Preference]]</f>
        <v>Express</v>
      </c>
      <c r="BI775">
        <f>tbl_OriginalData[[#This Row],[Time_to_Decision]]</f>
        <v>12</v>
      </c>
      <c r="BJ775" t="s">
        <v>86</v>
      </c>
      <c r="BK775" t="s">
        <v>48</v>
      </c>
      <c r="BL775" t="s">
        <v>2524</v>
      </c>
    </row>
    <row r="776" spans="1:64">
      <c r="A776" t="s">
        <v>1783</v>
      </c>
      <c r="B776">
        <v>35</v>
      </c>
      <c r="C776" t="s">
        <v>50</v>
      </c>
      <c r="D776" t="s">
        <v>51</v>
      </c>
      <c r="E776" t="s">
        <v>35</v>
      </c>
      <c r="F776" t="s">
        <v>66</v>
      </c>
      <c r="G776" t="s">
        <v>34</v>
      </c>
      <c r="H776" t="s">
        <v>1784</v>
      </c>
      <c r="I776" t="s">
        <v>54</v>
      </c>
      <c r="J776">
        <v>195.07</v>
      </c>
      <c r="K776">
        <v>8</v>
      </c>
      <c r="L776" t="s">
        <v>94</v>
      </c>
      <c r="M776">
        <v>3</v>
      </c>
      <c r="N776">
        <v>1</v>
      </c>
      <c r="O776">
        <v>1</v>
      </c>
      <c r="P776" t="s">
        <v>51</v>
      </c>
      <c r="Q776" t="s">
        <v>41</v>
      </c>
      <c r="R776">
        <v>0</v>
      </c>
      <c r="S776">
        <v>6</v>
      </c>
      <c r="T776" t="s">
        <v>40</v>
      </c>
      <c r="U776" t="s">
        <v>70</v>
      </c>
      <c r="V776" t="s">
        <v>71</v>
      </c>
      <c r="W776" s="1">
        <v>45495</v>
      </c>
      <c r="X776" t="b">
        <v>0</v>
      </c>
      <c r="Y776" t="b">
        <v>0</v>
      </c>
      <c r="Z776" t="s">
        <v>72</v>
      </c>
      <c r="AA776" t="s">
        <v>45</v>
      </c>
      <c r="AB776">
        <v>10</v>
      </c>
      <c r="AF776" t="str">
        <f>tbl_OriginalData[[#This Row],[Customer_ID]]</f>
        <v>01-089-2223</v>
      </c>
      <c r="AG776">
        <f>tbl_OriginalData[[#This Row],[Age]]</f>
        <v>35</v>
      </c>
      <c r="AH776" t="str" cm="1">
        <f t="array" ref="AH77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76" t="str">
        <f>tbl_OriginalData[[#This Row],[Gender]]</f>
        <v>Male</v>
      </c>
      <c r="AJ776" t="str">
        <f>tbl_OriginalData[[#This Row],[Income_Level]]</f>
        <v>High</v>
      </c>
      <c r="AK776" t="str">
        <f>tbl_OriginalData[[#This Row],[Marital_Status]]</f>
        <v>Married</v>
      </c>
      <c r="AL776" t="str">
        <f>tbl_OriginalData[[#This Row],[Education_Level]]</f>
        <v>Master's</v>
      </c>
      <c r="AM776" t="str">
        <f>tbl_OriginalData[[#This Row],[Occupation]]</f>
        <v>Middle</v>
      </c>
      <c r="AN776" t="s">
        <v>1784</v>
      </c>
      <c r="AO776" t="s">
        <v>132</v>
      </c>
      <c r="AP776" t="str">
        <f>tbl_OriginalData[[#This Row],[Purchase_Category]]</f>
        <v>Food &amp; Beverages</v>
      </c>
      <c r="AQ776" s="4">
        <f>tbl_OriginalData[[#This Row],[Purchase_Amount]]</f>
        <v>195.07</v>
      </c>
      <c r="AR776">
        <f>tbl_OriginalData[[#This Row],[Frequency_of_Purchase]]</f>
        <v>8</v>
      </c>
      <c r="AS776" t="str">
        <f>tbl_OriginalData[[#This Row],[Purchase_Channel]]</f>
        <v>Online</v>
      </c>
      <c r="AT776">
        <f>tbl_OriginalData[[#This Row],[Brand_Loyalty]]</f>
        <v>3</v>
      </c>
      <c r="AU776">
        <f>tbl_OriginalData[[#This Row],[Product_Rating]]</f>
        <v>1</v>
      </c>
      <c r="AV776">
        <f>tbl_OriginalData[[#This Row],[Time_Spent_on_Product_Research(hours)]]*60</f>
        <v>60</v>
      </c>
      <c r="AW776" t="str">
        <f>tbl_OriginalData[[#This Row],[Social_Media_Influence]]</f>
        <v>High</v>
      </c>
      <c r="AX776" t="str">
        <f>tbl_OriginalData[[#This Row],[Discount_Sensitivity]]</f>
        <v>Somewhat Sensitive</v>
      </c>
      <c r="AY776" s="3">
        <f>tbl_OriginalData[[#This Row],[Return_Rate]]/tbl_OriginalData[[#This Row],[Frequency_of_Purchase]]</f>
        <v>0</v>
      </c>
      <c r="AZ776">
        <f>tbl_OriginalData[[#This Row],[Customer_Satisfaction]]</f>
        <v>6</v>
      </c>
      <c r="BA776" t="str">
        <f>tbl_OriginalData[[#This Row],[Engagement_with_Ads]]</f>
        <v>None</v>
      </c>
      <c r="BB776" t="str">
        <f>tbl_OriginalData[[#This Row],[Device_Used_for_Shopping]]</f>
        <v>Smartphone</v>
      </c>
      <c r="BC776" t="str">
        <f>tbl_OriginalData[[#This Row],[Payment_Method]]</f>
        <v>Debit Card</v>
      </c>
      <c r="BD776" s="1">
        <f>tbl_OriginalData[[#This Row],[Time_of_Purchase]]</f>
        <v>45495</v>
      </c>
      <c r="BE776" t="str">
        <f>IF(tbl_OriginalData[[#This Row],[Discount_Used]]=TRUE,"Yes","No")</f>
        <v>No</v>
      </c>
      <c r="BF776" t="str">
        <f>IF(tbl_OriginalData[[#This Row],[Customer_Loyalty_Program_Member]]=TRUE,"Yes","No")</f>
        <v>No</v>
      </c>
      <c r="BG776" t="str">
        <f>tbl_OriginalData[[#This Row],[Purchase_Intent]]</f>
        <v>Impulsive</v>
      </c>
      <c r="BH776" t="str">
        <f>tbl_OriginalData[[#This Row],[Shipping_Preference]]</f>
        <v>No Preference</v>
      </c>
      <c r="BI776">
        <f>tbl_OriginalData[[#This Row],[Time_to_Decision]]</f>
        <v>10</v>
      </c>
      <c r="BJ776" t="s">
        <v>114</v>
      </c>
      <c r="BK776" t="s">
        <v>115</v>
      </c>
      <c r="BL776" t="s">
        <v>2525</v>
      </c>
    </row>
    <row r="777" spans="1:64">
      <c r="A777" t="s">
        <v>1785</v>
      </c>
      <c r="B777">
        <v>39</v>
      </c>
      <c r="C777" t="s">
        <v>33</v>
      </c>
      <c r="D777" t="s">
        <v>34</v>
      </c>
      <c r="E777" t="s">
        <v>65</v>
      </c>
      <c r="F777" t="s">
        <v>52</v>
      </c>
      <c r="G777" t="s">
        <v>51</v>
      </c>
      <c r="H777" t="s">
        <v>1786</v>
      </c>
      <c r="I777" t="s">
        <v>98</v>
      </c>
      <c r="J777">
        <v>190.06</v>
      </c>
      <c r="K777">
        <v>9</v>
      </c>
      <c r="L777" t="s">
        <v>55</v>
      </c>
      <c r="M777">
        <v>5</v>
      </c>
      <c r="N777">
        <v>1</v>
      </c>
      <c r="O777">
        <v>1</v>
      </c>
      <c r="P777" t="s">
        <v>40</v>
      </c>
      <c r="Q777" t="s">
        <v>41</v>
      </c>
      <c r="R777">
        <v>1</v>
      </c>
      <c r="S777">
        <v>2</v>
      </c>
      <c r="T777" t="s">
        <v>69</v>
      </c>
      <c r="U777" t="s">
        <v>70</v>
      </c>
      <c r="V777" t="s">
        <v>76</v>
      </c>
      <c r="W777" s="1">
        <v>45325</v>
      </c>
      <c r="X777" t="b">
        <v>1</v>
      </c>
      <c r="Y777" t="b">
        <v>1</v>
      </c>
      <c r="Z777" t="s">
        <v>89</v>
      </c>
      <c r="AA777" t="s">
        <v>60</v>
      </c>
      <c r="AB777">
        <v>12</v>
      </c>
      <c r="AF777" t="str">
        <f>tbl_OriginalData[[#This Row],[Customer_ID]]</f>
        <v>23-758-1012</v>
      </c>
      <c r="AG777">
        <f>tbl_OriginalData[[#This Row],[Age]]</f>
        <v>39</v>
      </c>
      <c r="AH777" t="str" cm="1">
        <f t="array" ref="AH77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77" t="str">
        <f>tbl_OriginalData[[#This Row],[Gender]]</f>
        <v>Female</v>
      </c>
      <c r="AJ777" t="str">
        <f>tbl_OriginalData[[#This Row],[Income_Level]]</f>
        <v>Middle</v>
      </c>
      <c r="AK777" t="str">
        <f>tbl_OriginalData[[#This Row],[Marital_Status]]</f>
        <v>Single</v>
      </c>
      <c r="AL777" t="str">
        <f>tbl_OriginalData[[#This Row],[Education_Level]]</f>
        <v>High School</v>
      </c>
      <c r="AM777" t="str">
        <f>tbl_OriginalData[[#This Row],[Occupation]]</f>
        <v>High</v>
      </c>
      <c r="AN777" t="s">
        <v>1786</v>
      </c>
      <c r="AO777" t="s">
        <v>1481</v>
      </c>
      <c r="AP777" t="str">
        <f>tbl_OriginalData[[#This Row],[Purchase_Category]]</f>
        <v>Books</v>
      </c>
      <c r="AQ777" s="4">
        <f>tbl_OriginalData[[#This Row],[Purchase_Amount]]</f>
        <v>190.06</v>
      </c>
      <c r="AR777">
        <f>tbl_OriginalData[[#This Row],[Frequency_of_Purchase]]</f>
        <v>9</v>
      </c>
      <c r="AS777" t="str">
        <f>tbl_OriginalData[[#This Row],[Purchase_Channel]]</f>
        <v>In-Store</v>
      </c>
      <c r="AT777">
        <f>tbl_OriginalData[[#This Row],[Brand_Loyalty]]</f>
        <v>5</v>
      </c>
      <c r="AU777">
        <f>tbl_OriginalData[[#This Row],[Product_Rating]]</f>
        <v>1</v>
      </c>
      <c r="AV777">
        <f>tbl_OriginalData[[#This Row],[Time_Spent_on_Product_Research(hours)]]*60</f>
        <v>60</v>
      </c>
      <c r="AW777" t="str">
        <f>tbl_OriginalData[[#This Row],[Social_Media_Influence]]</f>
        <v>None</v>
      </c>
      <c r="AX777" t="str">
        <f>tbl_OriginalData[[#This Row],[Discount_Sensitivity]]</f>
        <v>Somewhat Sensitive</v>
      </c>
      <c r="AY777" s="3">
        <f>tbl_OriginalData[[#This Row],[Return_Rate]]/tbl_OriginalData[[#This Row],[Frequency_of_Purchase]]</f>
        <v>0.1111111111111111</v>
      </c>
      <c r="AZ777">
        <f>tbl_OriginalData[[#This Row],[Customer_Satisfaction]]</f>
        <v>2</v>
      </c>
      <c r="BA777" t="str">
        <f>tbl_OriginalData[[#This Row],[Engagement_with_Ads]]</f>
        <v>Low</v>
      </c>
      <c r="BB777" t="str">
        <f>tbl_OriginalData[[#This Row],[Device_Used_for_Shopping]]</f>
        <v>Smartphone</v>
      </c>
      <c r="BC777" t="str">
        <f>tbl_OriginalData[[#This Row],[Payment_Method]]</f>
        <v>Other</v>
      </c>
      <c r="BD777" s="1">
        <f>tbl_OriginalData[[#This Row],[Time_of_Purchase]]</f>
        <v>45325</v>
      </c>
      <c r="BE777" t="str">
        <f>IF(tbl_OriginalData[[#This Row],[Discount_Used]]=TRUE,"Yes","No")</f>
        <v>Yes</v>
      </c>
      <c r="BF777" t="str">
        <f>IF(tbl_OriginalData[[#This Row],[Customer_Loyalty_Program_Member]]=TRUE,"Yes","No")</f>
        <v>Yes</v>
      </c>
      <c r="BG777" t="str">
        <f>tbl_OriginalData[[#This Row],[Purchase_Intent]]</f>
        <v>Planned</v>
      </c>
      <c r="BH777" t="str">
        <f>tbl_OriginalData[[#This Row],[Shipping_Preference]]</f>
        <v>Standard</v>
      </c>
      <c r="BI777">
        <f>tbl_OriginalData[[#This Row],[Time_to_Decision]]</f>
        <v>12</v>
      </c>
      <c r="BJ777" t="s">
        <v>158</v>
      </c>
      <c r="BK777" t="s">
        <v>48</v>
      </c>
      <c r="BL777" t="s">
        <v>2524</v>
      </c>
    </row>
    <row r="778" spans="1:64">
      <c r="A778" t="s">
        <v>1787</v>
      </c>
      <c r="B778">
        <v>38</v>
      </c>
      <c r="C778" t="s">
        <v>33</v>
      </c>
      <c r="D778" t="s">
        <v>34</v>
      </c>
      <c r="E778" t="s">
        <v>65</v>
      </c>
      <c r="F778" t="s">
        <v>52</v>
      </c>
      <c r="G778" t="s">
        <v>34</v>
      </c>
      <c r="H778" t="s">
        <v>1788</v>
      </c>
      <c r="I778" t="s">
        <v>199</v>
      </c>
      <c r="J778">
        <v>485.76</v>
      </c>
      <c r="K778">
        <v>10</v>
      </c>
      <c r="L778" t="s">
        <v>55</v>
      </c>
      <c r="M778">
        <v>3</v>
      </c>
      <c r="N778">
        <v>4</v>
      </c>
      <c r="O778">
        <v>0</v>
      </c>
      <c r="P778" t="s">
        <v>56</v>
      </c>
      <c r="Q778" t="s">
        <v>41</v>
      </c>
      <c r="R778">
        <v>0</v>
      </c>
      <c r="S778">
        <v>4</v>
      </c>
      <c r="T778" t="s">
        <v>51</v>
      </c>
      <c r="U778" t="s">
        <v>95</v>
      </c>
      <c r="V778" t="s">
        <v>71</v>
      </c>
      <c r="W778" s="1">
        <v>45446</v>
      </c>
      <c r="X778" t="b">
        <v>1</v>
      </c>
      <c r="Y778" t="b">
        <v>1</v>
      </c>
      <c r="Z778" t="s">
        <v>59</v>
      </c>
      <c r="AA778" t="s">
        <v>45</v>
      </c>
      <c r="AB778">
        <v>4</v>
      </c>
      <c r="AF778" t="str">
        <f>tbl_OriginalData[[#This Row],[Customer_ID]]</f>
        <v>34-788-8387</v>
      </c>
      <c r="AG778">
        <f>tbl_OriginalData[[#This Row],[Age]]</f>
        <v>38</v>
      </c>
      <c r="AH778" t="str" cm="1">
        <f t="array" ref="AH77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78" t="str">
        <f>tbl_OriginalData[[#This Row],[Gender]]</f>
        <v>Female</v>
      </c>
      <c r="AJ778" t="str">
        <f>tbl_OriginalData[[#This Row],[Income_Level]]</f>
        <v>Middle</v>
      </c>
      <c r="AK778" t="str">
        <f>tbl_OriginalData[[#This Row],[Marital_Status]]</f>
        <v>Single</v>
      </c>
      <c r="AL778" t="str">
        <f>tbl_OriginalData[[#This Row],[Education_Level]]</f>
        <v>High School</v>
      </c>
      <c r="AM778" t="str">
        <f>tbl_OriginalData[[#This Row],[Occupation]]</f>
        <v>Middle</v>
      </c>
      <c r="AN778" t="s">
        <v>1788</v>
      </c>
      <c r="AO778" t="s">
        <v>61</v>
      </c>
      <c r="AP778" t="str">
        <f>tbl_OriginalData[[#This Row],[Purchase_Category]]</f>
        <v>Groceries</v>
      </c>
      <c r="AQ778" s="4">
        <f>tbl_OriginalData[[#This Row],[Purchase_Amount]]</f>
        <v>485.76</v>
      </c>
      <c r="AR778">
        <f>tbl_OriginalData[[#This Row],[Frequency_of_Purchase]]</f>
        <v>10</v>
      </c>
      <c r="AS778" t="str">
        <f>tbl_OriginalData[[#This Row],[Purchase_Channel]]</f>
        <v>In-Store</v>
      </c>
      <c r="AT778">
        <f>tbl_OriginalData[[#This Row],[Brand_Loyalty]]</f>
        <v>3</v>
      </c>
      <c r="AU778">
        <f>tbl_OriginalData[[#This Row],[Product_Rating]]</f>
        <v>4</v>
      </c>
      <c r="AV778">
        <f>tbl_OriginalData[[#This Row],[Time_Spent_on_Product_Research(hours)]]*60</f>
        <v>0</v>
      </c>
      <c r="AW778" t="str">
        <f>tbl_OriginalData[[#This Row],[Social_Media_Influence]]</f>
        <v>Medium</v>
      </c>
      <c r="AX778" t="str">
        <f>tbl_OriginalData[[#This Row],[Discount_Sensitivity]]</f>
        <v>Somewhat Sensitive</v>
      </c>
      <c r="AY778" s="3">
        <f>tbl_OriginalData[[#This Row],[Return_Rate]]/tbl_OriginalData[[#This Row],[Frequency_of_Purchase]]</f>
        <v>0</v>
      </c>
      <c r="AZ778">
        <f>tbl_OriginalData[[#This Row],[Customer_Satisfaction]]</f>
        <v>4</v>
      </c>
      <c r="BA778" t="str">
        <f>tbl_OriginalData[[#This Row],[Engagement_with_Ads]]</f>
        <v>High</v>
      </c>
      <c r="BB778" t="str">
        <f>tbl_OriginalData[[#This Row],[Device_Used_for_Shopping]]</f>
        <v>Desktop</v>
      </c>
      <c r="BC778" t="str">
        <f>tbl_OriginalData[[#This Row],[Payment_Method]]</f>
        <v>Debit Card</v>
      </c>
      <c r="BD778" s="1">
        <f>tbl_OriginalData[[#This Row],[Time_of_Purchase]]</f>
        <v>45446</v>
      </c>
      <c r="BE778" t="str">
        <f>IF(tbl_OriginalData[[#This Row],[Discount_Used]]=TRUE,"Yes","No")</f>
        <v>Yes</v>
      </c>
      <c r="BF778" t="str">
        <f>IF(tbl_OriginalData[[#This Row],[Customer_Loyalty_Program_Member]]=TRUE,"Yes","No")</f>
        <v>Yes</v>
      </c>
      <c r="BG778" t="str">
        <f>tbl_OriginalData[[#This Row],[Purchase_Intent]]</f>
        <v>Wants-based</v>
      </c>
      <c r="BH778" t="str">
        <f>tbl_OriginalData[[#This Row],[Shipping_Preference]]</f>
        <v>No Preference</v>
      </c>
      <c r="BI778">
        <f>tbl_OriginalData[[#This Row],[Time_to_Decision]]</f>
        <v>4</v>
      </c>
      <c r="BJ778" t="s">
        <v>104</v>
      </c>
      <c r="BK778" t="s">
        <v>63</v>
      </c>
      <c r="BL778" t="s">
        <v>2524</v>
      </c>
    </row>
    <row r="779" spans="1:64">
      <c r="A779" t="s">
        <v>1789</v>
      </c>
      <c r="B779">
        <v>27</v>
      </c>
      <c r="C779" t="s">
        <v>33</v>
      </c>
      <c r="D779" t="s">
        <v>51</v>
      </c>
      <c r="E779" t="s">
        <v>65</v>
      </c>
      <c r="F779" t="s">
        <v>36</v>
      </c>
      <c r="G779" t="s">
        <v>51</v>
      </c>
      <c r="H779" t="s">
        <v>1790</v>
      </c>
      <c r="I779" t="s">
        <v>98</v>
      </c>
      <c r="J779">
        <v>242.57</v>
      </c>
      <c r="K779">
        <v>7</v>
      </c>
      <c r="L779" t="s">
        <v>55</v>
      </c>
      <c r="M779">
        <v>1</v>
      </c>
      <c r="N779">
        <v>1</v>
      </c>
      <c r="O779">
        <v>1</v>
      </c>
      <c r="P779" t="s">
        <v>69</v>
      </c>
      <c r="Q779" t="s">
        <v>57</v>
      </c>
      <c r="R779">
        <v>0</v>
      </c>
      <c r="S779">
        <v>10</v>
      </c>
      <c r="T779" t="s">
        <v>69</v>
      </c>
      <c r="U779" t="s">
        <v>70</v>
      </c>
      <c r="V779" t="s">
        <v>58</v>
      </c>
      <c r="W779" s="1">
        <v>45570</v>
      </c>
      <c r="X779" t="b">
        <v>1</v>
      </c>
      <c r="Y779" t="b">
        <v>0</v>
      </c>
      <c r="Z779" t="s">
        <v>59</v>
      </c>
      <c r="AA779" t="s">
        <v>45</v>
      </c>
      <c r="AB779">
        <v>1</v>
      </c>
      <c r="AF779" t="str">
        <f>tbl_OriginalData[[#This Row],[Customer_ID]]</f>
        <v>53-865-9342</v>
      </c>
      <c r="AG779">
        <f>tbl_OriginalData[[#This Row],[Age]]</f>
        <v>27</v>
      </c>
      <c r="AH779" t="str" cm="1">
        <f t="array" ref="AH77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79" t="str">
        <f>tbl_OriginalData[[#This Row],[Gender]]</f>
        <v>Female</v>
      </c>
      <c r="AJ779" t="str">
        <f>tbl_OriginalData[[#This Row],[Income_Level]]</f>
        <v>High</v>
      </c>
      <c r="AK779" t="str">
        <f>tbl_OriginalData[[#This Row],[Marital_Status]]</f>
        <v>Single</v>
      </c>
      <c r="AL779" t="str">
        <f>tbl_OriginalData[[#This Row],[Education_Level]]</f>
        <v>Bachelor's</v>
      </c>
      <c r="AM779" t="str">
        <f>tbl_OriginalData[[#This Row],[Occupation]]</f>
        <v>High</v>
      </c>
      <c r="AN779" t="s">
        <v>1790</v>
      </c>
      <c r="AO779" t="s">
        <v>1791</v>
      </c>
      <c r="AP779" t="str">
        <f>tbl_OriginalData[[#This Row],[Purchase_Category]]</f>
        <v>Books</v>
      </c>
      <c r="AQ779" s="4">
        <f>tbl_OriginalData[[#This Row],[Purchase_Amount]]</f>
        <v>242.57</v>
      </c>
      <c r="AR779">
        <f>tbl_OriginalData[[#This Row],[Frequency_of_Purchase]]</f>
        <v>7</v>
      </c>
      <c r="AS779" t="str">
        <f>tbl_OriginalData[[#This Row],[Purchase_Channel]]</f>
        <v>In-Store</v>
      </c>
      <c r="AT779">
        <f>tbl_OriginalData[[#This Row],[Brand_Loyalty]]</f>
        <v>1</v>
      </c>
      <c r="AU779">
        <f>tbl_OriginalData[[#This Row],[Product_Rating]]</f>
        <v>1</v>
      </c>
      <c r="AV779">
        <f>tbl_OriginalData[[#This Row],[Time_Spent_on_Product_Research(hours)]]*60</f>
        <v>60</v>
      </c>
      <c r="AW779" t="str">
        <f>tbl_OriginalData[[#This Row],[Social_Media_Influence]]</f>
        <v>Low</v>
      </c>
      <c r="AX779" t="str">
        <f>tbl_OriginalData[[#This Row],[Discount_Sensitivity]]</f>
        <v>Not Sensitive</v>
      </c>
      <c r="AY779" s="3">
        <f>tbl_OriginalData[[#This Row],[Return_Rate]]/tbl_OriginalData[[#This Row],[Frequency_of_Purchase]]</f>
        <v>0</v>
      </c>
      <c r="AZ779">
        <f>tbl_OriginalData[[#This Row],[Customer_Satisfaction]]</f>
        <v>10</v>
      </c>
      <c r="BA779" t="str">
        <f>tbl_OriginalData[[#This Row],[Engagement_with_Ads]]</f>
        <v>Low</v>
      </c>
      <c r="BB779" t="str">
        <f>tbl_OriginalData[[#This Row],[Device_Used_for_Shopping]]</f>
        <v>Smartphone</v>
      </c>
      <c r="BC779" t="str">
        <f>tbl_OriginalData[[#This Row],[Payment_Method]]</f>
        <v>PayPal</v>
      </c>
      <c r="BD779" s="1">
        <f>tbl_OriginalData[[#This Row],[Time_of_Purchase]]</f>
        <v>45570</v>
      </c>
      <c r="BE779" t="str">
        <f>IF(tbl_OriginalData[[#This Row],[Discount_Used]]=TRUE,"Yes","No")</f>
        <v>Yes</v>
      </c>
      <c r="BF779" t="str">
        <f>IF(tbl_OriginalData[[#This Row],[Customer_Loyalty_Program_Member]]=TRUE,"Yes","No")</f>
        <v>No</v>
      </c>
      <c r="BG779" t="str">
        <f>tbl_OriginalData[[#This Row],[Purchase_Intent]]</f>
        <v>Wants-based</v>
      </c>
      <c r="BH779" t="str">
        <f>tbl_OriginalData[[#This Row],[Shipping_Preference]]</f>
        <v>No Preference</v>
      </c>
      <c r="BI779">
        <f>tbl_OriginalData[[#This Row],[Time_to_Decision]]</f>
        <v>1</v>
      </c>
      <c r="BJ779" t="s">
        <v>79</v>
      </c>
      <c r="BK779" t="s">
        <v>80</v>
      </c>
      <c r="BL779" t="s">
        <v>2528</v>
      </c>
    </row>
    <row r="780" spans="1:64">
      <c r="A780" t="s">
        <v>1792</v>
      </c>
      <c r="B780">
        <v>35</v>
      </c>
      <c r="C780" t="s">
        <v>50</v>
      </c>
      <c r="D780" t="s">
        <v>34</v>
      </c>
      <c r="E780" t="s">
        <v>82</v>
      </c>
      <c r="F780" t="s">
        <v>52</v>
      </c>
      <c r="G780" t="s">
        <v>51</v>
      </c>
      <c r="H780" t="s">
        <v>1793</v>
      </c>
      <c r="I780" t="s">
        <v>170</v>
      </c>
      <c r="J780">
        <v>303.13</v>
      </c>
      <c r="K780">
        <v>2</v>
      </c>
      <c r="L780" t="s">
        <v>94</v>
      </c>
      <c r="M780">
        <v>1</v>
      </c>
      <c r="N780">
        <v>1</v>
      </c>
      <c r="O780">
        <v>1</v>
      </c>
      <c r="P780" t="s">
        <v>51</v>
      </c>
      <c r="Q780" t="s">
        <v>57</v>
      </c>
      <c r="R780">
        <v>0</v>
      </c>
      <c r="S780">
        <v>7</v>
      </c>
      <c r="T780" t="s">
        <v>56</v>
      </c>
      <c r="U780" t="s">
        <v>95</v>
      </c>
      <c r="V780" t="s">
        <v>71</v>
      </c>
      <c r="W780" s="1">
        <v>45295</v>
      </c>
      <c r="X780" t="b">
        <v>0</v>
      </c>
      <c r="Y780" t="b">
        <v>1</v>
      </c>
      <c r="Z780" t="s">
        <v>44</v>
      </c>
      <c r="AA780" t="s">
        <v>60</v>
      </c>
      <c r="AB780">
        <v>10</v>
      </c>
      <c r="AF780" t="str">
        <f>tbl_OriginalData[[#This Row],[Customer_ID]]</f>
        <v>79-052-8470</v>
      </c>
      <c r="AG780">
        <f>tbl_OriginalData[[#This Row],[Age]]</f>
        <v>35</v>
      </c>
      <c r="AH780" t="str" cm="1">
        <f t="array" ref="AH78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80" t="str">
        <f>tbl_OriginalData[[#This Row],[Gender]]</f>
        <v>Male</v>
      </c>
      <c r="AJ780" t="str">
        <f>tbl_OriginalData[[#This Row],[Income_Level]]</f>
        <v>Middle</v>
      </c>
      <c r="AK780" t="str">
        <f>tbl_OriginalData[[#This Row],[Marital_Status]]</f>
        <v>Widowed</v>
      </c>
      <c r="AL780" t="str">
        <f>tbl_OriginalData[[#This Row],[Education_Level]]</f>
        <v>High School</v>
      </c>
      <c r="AM780" t="str">
        <f>tbl_OriginalData[[#This Row],[Occupation]]</f>
        <v>High</v>
      </c>
      <c r="AN780" t="s">
        <v>1794</v>
      </c>
      <c r="AO780" t="s">
        <v>1795</v>
      </c>
      <c r="AP780" t="str">
        <f>tbl_OriginalData[[#This Row],[Purchase_Category]]</f>
        <v>Arts &amp; Crafts</v>
      </c>
      <c r="AQ780" s="4">
        <f>tbl_OriginalData[[#This Row],[Purchase_Amount]]</f>
        <v>303.13</v>
      </c>
      <c r="AR780">
        <f>tbl_OriginalData[[#This Row],[Frequency_of_Purchase]]</f>
        <v>2</v>
      </c>
      <c r="AS780" t="str">
        <f>tbl_OriginalData[[#This Row],[Purchase_Channel]]</f>
        <v>Online</v>
      </c>
      <c r="AT780">
        <f>tbl_OriginalData[[#This Row],[Brand_Loyalty]]</f>
        <v>1</v>
      </c>
      <c r="AU780">
        <f>tbl_OriginalData[[#This Row],[Product_Rating]]</f>
        <v>1</v>
      </c>
      <c r="AV780">
        <f>tbl_OriginalData[[#This Row],[Time_Spent_on_Product_Research(hours)]]*60</f>
        <v>60</v>
      </c>
      <c r="AW780" t="str">
        <f>tbl_OriginalData[[#This Row],[Social_Media_Influence]]</f>
        <v>High</v>
      </c>
      <c r="AX780" t="str">
        <f>tbl_OriginalData[[#This Row],[Discount_Sensitivity]]</f>
        <v>Not Sensitive</v>
      </c>
      <c r="AY780" s="3">
        <f>tbl_OriginalData[[#This Row],[Return_Rate]]/tbl_OriginalData[[#This Row],[Frequency_of_Purchase]]</f>
        <v>0</v>
      </c>
      <c r="AZ780">
        <f>tbl_OriginalData[[#This Row],[Customer_Satisfaction]]</f>
        <v>7</v>
      </c>
      <c r="BA780" t="str">
        <f>tbl_OriginalData[[#This Row],[Engagement_with_Ads]]</f>
        <v>Medium</v>
      </c>
      <c r="BB780" t="str">
        <f>tbl_OriginalData[[#This Row],[Device_Used_for_Shopping]]</f>
        <v>Desktop</v>
      </c>
      <c r="BC780" t="str">
        <f>tbl_OriginalData[[#This Row],[Payment_Method]]</f>
        <v>Debit Card</v>
      </c>
      <c r="BD780" s="1">
        <f>tbl_OriginalData[[#This Row],[Time_of_Purchase]]</f>
        <v>45295</v>
      </c>
      <c r="BE780" t="str">
        <f>IF(tbl_OriginalData[[#This Row],[Discount_Used]]=TRUE,"Yes","No")</f>
        <v>No</v>
      </c>
      <c r="BF780" t="str">
        <f>IF(tbl_OriginalData[[#This Row],[Customer_Loyalty_Program_Member]]=TRUE,"Yes","No")</f>
        <v>Yes</v>
      </c>
      <c r="BG780" t="str">
        <f>tbl_OriginalData[[#This Row],[Purchase_Intent]]</f>
        <v>Need-based</v>
      </c>
      <c r="BH780" t="str">
        <f>tbl_OriginalData[[#This Row],[Shipping_Preference]]</f>
        <v>Standard</v>
      </c>
      <c r="BI780">
        <f>tbl_OriginalData[[#This Row],[Time_to_Decision]]</f>
        <v>10</v>
      </c>
      <c r="BJ780" t="s">
        <v>86</v>
      </c>
      <c r="BK780" t="s">
        <v>48</v>
      </c>
      <c r="BL780" t="s">
        <v>2524</v>
      </c>
    </row>
    <row r="781" spans="1:64">
      <c r="A781" t="s">
        <v>1796</v>
      </c>
      <c r="B781">
        <v>43</v>
      </c>
      <c r="C781" t="s">
        <v>33</v>
      </c>
      <c r="D781" t="s">
        <v>34</v>
      </c>
      <c r="E781" t="s">
        <v>82</v>
      </c>
      <c r="F781" t="s">
        <v>66</v>
      </c>
      <c r="G781" t="s">
        <v>34</v>
      </c>
      <c r="H781" t="s">
        <v>1797</v>
      </c>
      <c r="I781" t="s">
        <v>156</v>
      </c>
      <c r="J781">
        <v>136.1</v>
      </c>
      <c r="K781">
        <v>5</v>
      </c>
      <c r="L781" t="s">
        <v>55</v>
      </c>
      <c r="M781">
        <v>3</v>
      </c>
      <c r="N781">
        <v>5</v>
      </c>
      <c r="O781">
        <v>2</v>
      </c>
      <c r="P781" t="s">
        <v>69</v>
      </c>
      <c r="Q781" t="s">
        <v>101</v>
      </c>
      <c r="R781">
        <v>0</v>
      </c>
      <c r="S781">
        <v>2</v>
      </c>
      <c r="T781" t="s">
        <v>51</v>
      </c>
      <c r="U781" t="s">
        <v>42</v>
      </c>
      <c r="V781" t="s">
        <v>71</v>
      </c>
      <c r="W781" s="1">
        <v>45349</v>
      </c>
      <c r="X781" t="b">
        <v>0</v>
      </c>
      <c r="Y781" t="b">
        <v>1</v>
      </c>
      <c r="Z781" t="s">
        <v>89</v>
      </c>
      <c r="AA781" t="s">
        <v>77</v>
      </c>
      <c r="AB781">
        <v>14</v>
      </c>
      <c r="AF781" t="str">
        <f>tbl_OriginalData[[#This Row],[Customer_ID]]</f>
        <v>86-359-7320</v>
      </c>
      <c r="AG781">
        <f>tbl_OriginalData[[#This Row],[Age]]</f>
        <v>43</v>
      </c>
      <c r="AH781" t="str" cm="1">
        <f t="array" ref="AH78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81" t="str">
        <f>tbl_OriginalData[[#This Row],[Gender]]</f>
        <v>Female</v>
      </c>
      <c r="AJ781" t="str">
        <f>tbl_OriginalData[[#This Row],[Income_Level]]</f>
        <v>Middle</v>
      </c>
      <c r="AK781" t="str">
        <f>tbl_OriginalData[[#This Row],[Marital_Status]]</f>
        <v>Widowed</v>
      </c>
      <c r="AL781" t="str">
        <f>tbl_OriginalData[[#This Row],[Education_Level]]</f>
        <v>Master's</v>
      </c>
      <c r="AM781" t="str">
        <f>tbl_OriginalData[[#This Row],[Occupation]]</f>
        <v>Middle</v>
      </c>
      <c r="AN781" t="s">
        <v>1797</v>
      </c>
      <c r="AO781" t="s">
        <v>897</v>
      </c>
      <c r="AP781" t="str">
        <f>tbl_OriginalData[[#This Row],[Purchase_Category]]</f>
        <v>Toys &amp; Games</v>
      </c>
      <c r="AQ781" s="4">
        <f>tbl_OriginalData[[#This Row],[Purchase_Amount]]</f>
        <v>136.1</v>
      </c>
      <c r="AR781">
        <f>tbl_OriginalData[[#This Row],[Frequency_of_Purchase]]</f>
        <v>5</v>
      </c>
      <c r="AS781" t="str">
        <f>tbl_OriginalData[[#This Row],[Purchase_Channel]]</f>
        <v>In-Store</v>
      </c>
      <c r="AT781">
        <f>tbl_OriginalData[[#This Row],[Brand_Loyalty]]</f>
        <v>3</v>
      </c>
      <c r="AU781">
        <f>tbl_OriginalData[[#This Row],[Product_Rating]]</f>
        <v>5</v>
      </c>
      <c r="AV781">
        <f>tbl_OriginalData[[#This Row],[Time_Spent_on_Product_Research(hours)]]*60</f>
        <v>120</v>
      </c>
      <c r="AW781" t="str">
        <f>tbl_OriginalData[[#This Row],[Social_Media_Influence]]</f>
        <v>Low</v>
      </c>
      <c r="AX781" t="str">
        <f>tbl_OriginalData[[#This Row],[Discount_Sensitivity]]</f>
        <v>Very Sensitive</v>
      </c>
      <c r="AY781" s="3">
        <f>tbl_OriginalData[[#This Row],[Return_Rate]]/tbl_OriginalData[[#This Row],[Frequency_of_Purchase]]</f>
        <v>0</v>
      </c>
      <c r="AZ781">
        <f>tbl_OriginalData[[#This Row],[Customer_Satisfaction]]</f>
        <v>2</v>
      </c>
      <c r="BA781" t="str">
        <f>tbl_OriginalData[[#This Row],[Engagement_with_Ads]]</f>
        <v>High</v>
      </c>
      <c r="BB781" t="str">
        <f>tbl_OriginalData[[#This Row],[Device_Used_for_Shopping]]</f>
        <v>Tablet</v>
      </c>
      <c r="BC781" t="str">
        <f>tbl_OriginalData[[#This Row],[Payment_Method]]</f>
        <v>Debit Card</v>
      </c>
      <c r="BD781" s="1">
        <f>tbl_OriginalData[[#This Row],[Time_of_Purchase]]</f>
        <v>45349</v>
      </c>
      <c r="BE781" t="str">
        <f>IF(tbl_OriginalData[[#This Row],[Discount_Used]]=TRUE,"Yes","No")</f>
        <v>No</v>
      </c>
      <c r="BF781" t="str">
        <f>IF(tbl_OriginalData[[#This Row],[Customer_Loyalty_Program_Member]]=TRUE,"Yes","No")</f>
        <v>Yes</v>
      </c>
      <c r="BG781" t="str">
        <f>tbl_OriginalData[[#This Row],[Purchase_Intent]]</f>
        <v>Planned</v>
      </c>
      <c r="BH781" t="str">
        <f>tbl_OriginalData[[#This Row],[Shipping_Preference]]</f>
        <v>Express</v>
      </c>
      <c r="BI781">
        <f>tbl_OriginalData[[#This Row],[Time_to_Decision]]</f>
        <v>14</v>
      </c>
      <c r="BJ781" t="s">
        <v>158</v>
      </c>
      <c r="BK781" t="s">
        <v>48</v>
      </c>
      <c r="BL781" t="s">
        <v>2524</v>
      </c>
    </row>
    <row r="782" spans="1:64">
      <c r="A782" t="s">
        <v>1798</v>
      </c>
      <c r="B782">
        <v>40</v>
      </c>
      <c r="C782" t="s">
        <v>106</v>
      </c>
      <c r="D782" t="s">
        <v>51</v>
      </c>
      <c r="E782" t="s">
        <v>65</v>
      </c>
      <c r="F782" t="s">
        <v>36</v>
      </c>
      <c r="G782" t="s">
        <v>34</v>
      </c>
      <c r="H782" t="s">
        <v>1799</v>
      </c>
      <c r="I782" t="s">
        <v>147</v>
      </c>
      <c r="J782">
        <v>249.02</v>
      </c>
      <c r="K782">
        <v>11</v>
      </c>
      <c r="L782" t="s">
        <v>39</v>
      </c>
      <c r="M782">
        <v>3</v>
      </c>
      <c r="N782">
        <v>2</v>
      </c>
      <c r="O782">
        <v>0.3</v>
      </c>
      <c r="P782" t="s">
        <v>56</v>
      </c>
      <c r="Q782" t="s">
        <v>57</v>
      </c>
      <c r="R782">
        <v>1</v>
      </c>
      <c r="S782">
        <v>1</v>
      </c>
      <c r="T782" t="s">
        <v>56</v>
      </c>
      <c r="U782" t="s">
        <v>70</v>
      </c>
      <c r="V782" t="s">
        <v>58</v>
      </c>
      <c r="W782" s="1">
        <v>45566</v>
      </c>
      <c r="X782" t="b">
        <v>1</v>
      </c>
      <c r="Y782" t="b">
        <v>1</v>
      </c>
      <c r="Z782" t="s">
        <v>89</v>
      </c>
      <c r="AA782" t="s">
        <v>77</v>
      </c>
      <c r="AB782">
        <v>14</v>
      </c>
      <c r="AF782" t="str">
        <f>tbl_OriginalData[[#This Row],[Customer_ID]]</f>
        <v>27-111-2242</v>
      </c>
      <c r="AG782">
        <f>tbl_OriginalData[[#This Row],[Age]]</f>
        <v>40</v>
      </c>
      <c r="AH782" t="str" cm="1">
        <f t="array" ref="AH78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82" t="str">
        <f>tbl_OriginalData[[#This Row],[Gender]]</f>
        <v>Bigender</v>
      </c>
      <c r="AJ782" t="str">
        <f>tbl_OriginalData[[#This Row],[Income_Level]]</f>
        <v>High</v>
      </c>
      <c r="AK782" t="str">
        <f>tbl_OriginalData[[#This Row],[Marital_Status]]</f>
        <v>Single</v>
      </c>
      <c r="AL782" t="str">
        <f>tbl_OriginalData[[#This Row],[Education_Level]]</f>
        <v>Bachelor's</v>
      </c>
      <c r="AM782" t="str">
        <f>tbl_OriginalData[[#This Row],[Occupation]]</f>
        <v>Middle</v>
      </c>
      <c r="AN782" t="s">
        <v>1799</v>
      </c>
      <c r="AO782" t="s">
        <v>90</v>
      </c>
      <c r="AP782" t="str">
        <f>tbl_OriginalData[[#This Row],[Purchase_Category]]</f>
        <v>Electronics</v>
      </c>
      <c r="AQ782" s="4">
        <f>tbl_OriginalData[[#This Row],[Purchase_Amount]]</f>
        <v>249.02</v>
      </c>
      <c r="AR782">
        <f>tbl_OriginalData[[#This Row],[Frequency_of_Purchase]]</f>
        <v>11</v>
      </c>
      <c r="AS782" t="str">
        <f>tbl_OriginalData[[#This Row],[Purchase_Channel]]</f>
        <v>Mixed</v>
      </c>
      <c r="AT782">
        <f>tbl_OriginalData[[#This Row],[Brand_Loyalty]]</f>
        <v>3</v>
      </c>
      <c r="AU782">
        <f>tbl_OriginalData[[#This Row],[Product_Rating]]</f>
        <v>2</v>
      </c>
      <c r="AV782">
        <f>tbl_OriginalData[[#This Row],[Time_Spent_on_Product_Research(hours)]]*60</f>
        <v>18</v>
      </c>
      <c r="AW782" t="str">
        <f>tbl_OriginalData[[#This Row],[Social_Media_Influence]]</f>
        <v>Medium</v>
      </c>
      <c r="AX782" t="str">
        <f>tbl_OriginalData[[#This Row],[Discount_Sensitivity]]</f>
        <v>Not Sensitive</v>
      </c>
      <c r="AY782" s="3">
        <f>tbl_OriginalData[[#This Row],[Return_Rate]]/tbl_OriginalData[[#This Row],[Frequency_of_Purchase]]</f>
        <v>9.0909090909090912E-2</v>
      </c>
      <c r="AZ782">
        <f>tbl_OriginalData[[#This Row],[Customer_Satisfaction]]</f>
        <v>1</v>
      </c>
      <c r="BA782" t="str">
        <f>tbl_OriginalData[[#This Row],[Engagement_with_Ads]]</f>
        <v>Medium</v>
      </c>
      <c r="BB782" t="str">
        <f>tbl_OriginalData[[#This Row],[Device_Used_for_Shopping]]</f>
        <v>Smartphone</v>
      </c>
      <c r="BC782" t="str">
        <f>tbl_OriginalData[[#This Row],[Payment_Method]]</f>
        <v>PayPal</v>
      </c>
      <c r="BD782" s="1">
        <f>tbl_OriginalData[[#This Row],[Time_of_Purchase]]</f>
        <v>45566</v>
      </c>
      <c r="BE782" t="str">
        <f>IF(tbl_OriginalData[[#This Row],[Discount_Used]]=TRUE,"Yes","No")</f>
        <v>Yes</v>
      </c>
      <c r="BF782" t="str">
        <f>IF(tbl_OriginalData[[#This Row],[Customer_Loyalty_Program_Member]]=TRUE,"Yes","No")</f>
        <v>Yes</v>
      </c>
      <c r="BG782" t="str">
        <f>tbl_OriginalData[[#This Row],[Purchase_Intent]]</f>
        <v>Planned</v>
      </c>
      <c r="BH782" t="str">
        <f>tbl_OriginalData[[#This Row],[Shipping_Preference]]</f>
        <v>Express</v>
      </c>
      <c r="BI782">
        <f>tbl_OriginalData[[#This Row],[Time_to_Decision]]</f>
        <v>14</v>
      </c>
      <c r="BJ782" t="s">
        <v>79</v>
      </c>
      <c r="BK782" t="s">
        <v>80</v>
      </c>
      <c r="BL782" t="s">
        <v>2524</v>
      </c>
    </row>
    <row r="783" spans="1:64">
      <c r="A783" t="s">
        <v>1800</v>
      </c>
      <c r="B783">
        <v>19</v>
      </c>
      <c r="C783" t="s">
        <v>50</v>
      </c>
      <c r="D783" t="s">
        <v>34</v>
      </c>
      <c r="E783" t="s">
        <v>92</v>
      </c>
      <c r="F783" t="s">
        <v>52</v>
      </c>
      <c r="G783" t="s">
        <v>34</v>
      </c>
      <c r="H783" t="s">
        <v>1801</v>
      </c>
      <c r="I783" t="s">
        <v>68</v>
      </c>
      <c r="J783">
        <v>466.74</v>
      </c>
      <c r="K783">
        <v>7</v>
      </c>
      <c r="L783" t="s">
        <v>55</v>
      </c>
      <c r="M783">
        <v>3</v>
      </c>
      <c r="N783">
        <v>4</v>
      </c>
      <c r="O783">
        <v>0.2</v>
      </c>
      <c r="P783" t="s">
        <v>56</v>
      </c>
      <c r="Q783" t="s">
        <v>57</v>
      </c>
      <c r="R783">
        <v>2</v>
      </c>
      <c r="S783">
        <v>3</v>
      </c>
      <c r="T783" t="s">
        <v>51</v>
      </c>
      <c r="U783" t="s">
        <v>42</v>
      </c>
      <c r="V783" t="s">
        <v>71</v>
      </c>
      <c r="W783" s="1">
        <v>45637</v>
      </c>
      <c r="X783" t="b">
        <v>1</v>
      </c>
      <c r="Y783" t="b">
        <v>1</v>
      </c>
      <c r="Z783" t="s">
        <v>44</v>
      </c>
      <c r="AA783" t="s">
        <v>77</v>
      </c>
      <c r="AB783">
        <v>5</v>
      </c>
      <c r="AF783" t="str">
        <f>tbl_OriginalData[[#This Row],[Customer_ID]]</f>
        <v>84-538-0238</v>
      </c>
      <c r="AG783">
        <f>tbl_OriginalData[[#This Row],[Age]]</f>
        <v>19</v>
      </c>
      <c r="AH783" t="str" cm="1">
        <f t="array" ref="AH78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783" t="str">
        <f>tbl_OriginalData[[#This Row],[Gender]]</f>
        <v>Male</v>
      </c>
      <c r="AJ783" t="str">
        <f>tbl_OriginalData[[#This Row],[Income_Level]]</f>
        <v>Middle</v>
      </c>
      <c r="AK783" t="str">
        <f>tbl_OriginalData[[#This Row],[Marital_Status]]</f>
        <v>Divorced</v>
      </c>
      <c r="AL783" t="str">
        <f>tbl_OriginalData[[#This Row],[Education_Level]]</f>
        <v>High School</v>
      </c>
      <c r="AM783" t="str">
        <f>tbl_OriginalData[[#This Row],[Occupation]]</f>
        <v>Middle</v>
      </c>
      <c r="AN783" t="s">
        <v>1801</v>
      </c>
      <c r="AO783" t="s">
        <v>290</v>
      </c>
      <c r="AP783" t="str">
        <f>tbl_OriginalData[[#This Row],[Purchase_Category]]</f>
        <v>Office Supplies</v>
      </c>
      <c r="AQ783" s="4">
        <f>tbl_OriginalData[[#This Row],[Purchase_Amount]]</f>
        <v>466.74</v>
      </c>
      <c r="AR783">
        <f>tbl_OriginalData[[#This Row],[Frequency_of_Purchase]]</f>
        <v>7</v>
      </c>
      <c r="AS783" t="str">
        <f>tbl_OriginalData[[#This Row],[Purchase_Channel]]</f>
        <v>In-Store</v>
      </c>
      <c r="AT783">
        <f>tbl_OriginalData[[#This Row],[Brand_Loyalty]]</f>
        <v>3</v>
      </c>
      <c r="AU783">
        <f>tbl_OriginalData[[#This Row],[Product_Rating]]</f>
        <v>4</v>
      </c>
      <c r="AV783">
        <f>tbl_OriginalData[[#This Row],[Time_Spent_on_Product_Research(hours)]]*60</f>
        <v>12</v>
      </c>
      <c r="AW783" t="str">
        <f>tbl_OriginalData[[#This Row],[Social_Media_Influence]]</f>
        <v>Medium</v>
      </c>
      <c r="AX783" t="str">
        <f>tbl_OriginalData[[#This Row],[Discount_Sensitivity]]</f>
        <v>Not Sensitive</v>
      </c>
      <c r="AY783" s="3">
        <f>tbl_OriginalData[[#This Row],[Return_Rate]]/tbl_OriginalData[[#This Row],[Frequency_of_Purchase]]</f>
        <v>0.2857142857142857</v>
      </c>
      <c r="AZ783">
        <f>tbl_OriginalData[[#This Row],[Customer_Satisfaction]]</f>
        <v>3</v>
      </c>
      <c r="BA783" t="str">
        <f>tbl_OriginalData[[#This Row],[Engagement_with_Ads]]</f>
        <v>High</v>
      </c>
      <c r="BB783" t="str">
        <f>tbl_OriginalData[[#This Row],[Device_Used_for_Shopping]]</f>
        <v>Tablet</v>
      </c>
      <c r="BC783" t="str">
        <f>tbl_OriginalData[[#This Row],[Payment_Method]]</f>
        <v>Debit Card</v>
      </c>
      <c r="BD783" s="1">
        <f>tbl_OriginalData[[#This Row],[Time_of_Purchase]]</f>
        <v>45637</v>
      </c>
      <c r="BE783" t="str">
        <f>IF(tbl_OriginalData[[#This Row],[Discount_Used]]=TRUE,"Yes","No")</f>
        <v>Yes</v>
      </c>
      <c r="BF783" t="str">
        <f>IF(tbl_OriginalData[[#This Row],[Customer_Loyalty_Program_Member]]=TRUE,"Yes","No")</f>
        <v>Yes</v>
      </c>
      <c r="BG783" t="str">
        <f>tbl_OriginalData[[#This Row],[Purchase_Intent]]</f>
        <v>Need-based</v>
      </c>
      <c r="BH783" t="str">
        <f>tbl_OriginalData[[#This Row],[Shipping_Preference]]</f>
        <v>Express</v>
      </c>
      <c r="BI783">
        <f>tbl_OriginalData[[#This Row],[Time_to_Decision]]</f>
        <v>5</v>
      </c>
      <c r="BJ783" t="s">
        <v>120</v>
      </c>
      <c r="BK783" t="s">
        <v>80</v>
      </c>
      <c r="BL783" t="s">
        <v>2524</v>
      </c>
    </row>
    <row r="784" spans="1:64">
      <c r="A784" t="s">
        <v>1802</v>
      </c>
      <c r="B784">
        <v>46</v>
      </c>
      <c r="C784" t="s">
        <v>340</v>
      </c>
      <c r="D784" t="s">
        <v>51</v>
      </c>
      <c r="E784" t="s">
        <v>35</v>
      </c>
      <c r="F784" t="s">
        <v>52</v>
      </c>
      <c r="G784" t="s">
        <v>51</v>
      </c>
      <c r="H784" t="s">
        <v>1803</v>
      </c>
      <c r="I784" t="s">
        <v>127</v>
      </c>
      <c r="J784">
        <v>229.3</v>
      </c>
      <c r="K784">
        <v>6</v>
      </c>
      <c r="L784" t="s">
        <v>55</v>
      </c>
      <c r="M784">
        <v>4</v>
      </c>
      <c r="N784">
        <v>5</v>
      </c>
      <c r="O784">
        <v>2</v>
      </c>
      <c r="P784" t="s">
        <v>40</v>
      </c>
      <c r="Q784" t="s">
        <v>41</v>
      </c>
      <c r="R784">
        <v>0</v>
      </c>
      <c r="S784">
        <v>6</v>
      </c>
      <c r="T784" t="s">
        <v>40</v>
      </c>
      <c r="U784" t="s">
        <v>70</v>
      </c>
      <c r="V784" t="s">
        <v>76</v>
      </c>
      <c r="W784" s="1">
        <v>45621</v>
      </c>
      <c r="X784" t="b">
        <v>0</v>
      </c>
      <c r="Y784" t="b">
        <v>0</v>
      </c>
      <c r="Z784" t="s">
        <v>89</v>
      </c>
      <c r="AA784" t="s">
        <v>77</v>
      </c>
      <c r="AB784">
        <v>6</v>
      </c>
      <c r="AF784" t="str">
        <f>tbl_OriginalData[[#This Row],[Customer_ID]]</f>
        <v>04-660-2742</v>
      </c>
      <c r="AG784">
        <f>tbl_OriginalData[[#This Row],[Age]]</f>
        <v>46</v>
      </c>
      <c r="AH784" t="str" cm="1">
        <f t="array" ref="AH78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84" t="str">
        <f>tbl_OriginalData[[#This Row],[Gender]]</f>
        <v>Agender</v>
      </c>
      <c r="AJ784" t="str">
        <f>tbl_OriginalData[[#This Row],[Income_Level]]</f>
        <v>High</v>
      </c>
      <c r="AK784" t="str">
        <f>tbl_OriginalData[[#This Row],[Marital_Status]]</f>
        <v>Married</v>
      </c>
      <c r="AL784" t="str">
        <f>tbl_OriginalData[[#This Row],[Education_Level]]</f>
        <v>High School</v>
      </c>
      <c r="AM784" t="str">
        <f>tbl_OriginalData[[#This Row],[Occupation]]</f>
        <v>High</v>
      </c>
      <c r="AN784" t="s">
        <v>1803</v>
      </c>
      <c r="AO784" t="s">
        <v>61</v>
      </c>
      <c r="AP784" t="str">
        <f>tbl_OriginalData[[#This Row],[Purchase_Category]]</f>
        <v>Animal Feed</v>
      </c>
      <c r="AQ784" s="4">
        <f>tbl_OriginalData[[#This Row],[Purchase_Amount]]</f>
        <v>229.3</v>
      </c>
      <c r="AR784">
        <f>tbl_OriginalData[[#This Row],[Frequency_of_Purchase]]</f>
        <v>6</v>
      </c>
      <c r="AS784" t="str">
        <f>tbl_OriginalData[[#This Row],[Purchase_Channel]]</f>
        <v>In-Store</v>
      </c>
      <c r="AT784">
        <f>tbl_OriginalData[[#This Row],[Brand_Loyalty]]</f>
        <v>4</v>
      </c>
      <c r="AU784">
        <f>tbl_OriginalData[[#This Row],[Product_Rating]]</f>
        <v>5</v>
      </c>
      <c r="AV784">
        <f>tbl_OriginalData[[#This Row],[Time_Spent_on_Product_Research(hours)]]*60</f>
        <v>120</v>
      </c>
      <c r="AW784" t="str">
        <f>tbl_OriginalData[[#This Row],[Social_Media_Influence]]</f>
        <v>None</v>
      </c>
      <c r="AX784" t="str">
        <f>tbl_OriginalData[[#This Row],[Discount_Sensitivity]]</f>
        <v>Somewhat Sensitive</v>
      </c>
      <c r="AY784" s="3">
        <f>tbl_OriginalData[[#This Row],[Return_Rate]]/tbl_OriginalData[[#This Row],[Frequency_of_Purchase]]</f>
        <v>0</v>
      </c>
      <c r="AZ784">
        <f>tbl_OriginalData[[#This Row],[Customer_Satisfaction]]</f>
        <v>6</v>
      </c>
      <c r="BA784" t="str">
        <f>tbl_OriginalData[[#This Row],[Engagement_with_Ads]]</f>
        <v>None</v>
      </c>
      <c r="BB784" t="str">
        <f>tbl_OriginalData[[#This Row],[Device_Used_for_Shopping]]</f>
        <v>Smartphone</v>
      </c>
      <c r="BC784" t="str">
        <f>tbl_OriginalData[[#This Row],[Payment_Method]]</f>
        <v>Other</v>
      </c>
      <c r="BD784" s="1">
        <f>tbl_OriginalData[[#This Row],[Time_of_Purchase]]</f>
        <v>45621</v>
      </c>
      <c r="BE784" t="str">
        <f>IF(tbl_OriginalData[[#This Row],[Discount_Used]]=TRUE,"Yes","No")</f>
        <v>No</v>
      </c>
      <c r="BF784" t="str">
        <f>IF(tbl_OriginalData[[#This Row],[Customer_Loyalty_Program_Member]]=TRUE,"Yes","No")</f>
        <v>No</v>
      </c>
      <c r="BG784" t="str">
        <f>tbl_OriginalData[[#This Row],[Purchase_Intent]]</f>
        <v>Planned</v>
      </c>
      <c r="BH784" t="str">
        <f>tbl_OriginalData[[#This Row],[Shipping_Preference]]</f>
        <v>Express</v>
      </c>
      <c r="BI784">
        <f>tbl_OriginalData[[#This Row],[Time_to_Decision]]</f>
        <v>6</v>
      </c>
      <c r="BJ784" t="s">
        <v>177</v>
      </c>
      <c r="BK784" t="s">
        <v>80</v>
      </c>
      <c r="BL784" t="s">
        <v>2524</v>
      </c>
    </row>
    <row r="785" spans="1:64">
      <c r="A785" t="s">
        <v>1804</v>
      </c>
      <c r="B785">
        <v>30</v>
      </c>
      <c r="C785" t="s">
        <v>33</v>
      </c>
      <c r="D785" t="s">
        <v>51</v>
      </c>
      <c r="E785" t="s">
        <v>65</v>
      </c>
      <c r="F785" t="s">
        <v>52</v>
      </c>
      <c r="G785" t="s">
        <v>51</v>
      </c>
      <c r="H785" t="s">
        <v>1805</v>
      </c>
      <c r="I785" t="s">
        <v>143</v>
      </c>
      <c r="J785">
        <v>450.52</v>
      </c>
      <c r="K785">
        <v>8</v>
      </c>
      <c r="L785" t="s">
        <v>94</v>
      </c>
      <c r="M785">
        <v>2</v>
      </c>
      <c r="N785">
        <v>2</v>
      </c>
      <c r="O785">
        <v>0.2</v>
      </c>
      <c r="P785" t="s">
        <v>51</v>
      </c>
      <c r="Q785" t="s">
        <v>41</v>
      </c>
      <c r="R785">
        <v>0</v>
      </c>
      <c r="S785">
        <v>6</v>
      </c>
      <c r="T785" t="s">
        <v>69</v>
      </c>
      <c r="U785" t="s">
        <v>95</v>
      </c>
      <c r="V785" t="s">
        <v>58</v>
      </c>
      <c r="W785" s="1">
        <v>45304</v>
      </c>
      <c r="X785" t="b">
        <v>1</v>
      </c>
      <c r="Y785" t="b">
        <v>1</v>
      </c>
      <c r="Z785" t="s">
        <v>44</v>
      </c>
      <c r="AA785" t="s">
        <v>45</v>
      </c>
      <c r="AB785">
        <v>8</v>
      </c>
      <c r="AF785" t="str">
        <f>tbl_OriginalData[[#This Row],[Customer_ID]]</f>
        <v>96-496-9833</v>
      </c>
      <c r="AG785">
        <f>tbl_OriginalData[[#This Row],[Age]]</f>
        <v>30</v>
      </c>
      <c r="AH785" t="str" cm="1">
        <f t="array" ref="AH78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85" t="str">
        <f>tbl_OriginalData[[#This Row],[Gender]]</f>
        <v>Female</v>
      </c>
      <c r="AJ785" t="str">
        <f>tbl_OriginalData[[#This Row],[Income_Level]]</f>
        <v>High</v>
      </c>
      <c r="AK785" t="str">
        <f>tbl_OriginalData[[#This Row],[Marital_Status]]</f>
        <v>Single</v>
      </c>
      <c r="AL785" t="str">
        <f>tbl_OriginalData[[#This Row],[Education_Level]]</f>
        <v>High School</v>
      </c>
      <c r="AM785" t="str">
        <f>tbl_OriginalData[[#This Row],[Occupation]]</f>
        <v>High</v>
      </c>
      <c r="AN785" t="s">
        <v>1805</v>
      </c>
      <c r="AO785" t="s">
        <v>194</v>
      </c>
      <c r="AP785" t="str">
        <f>tbl_OriginalData[[#This Row],[Purchase_Category]]</f>
        <v>Packages)</v>
      </c>
      <c r="AQ785" s="4">
        <f>tbl_OriginalData[[#This Row],[Purchase_Amount]]</f>
        <v>450.52</v>
      </c>
      <c r="AR785">
        <f>tbl_OriginalData[[#This Row],[Frequency_of_Purchase]]</f>
        <v>8</v>
      </c>
      <c r="AS785" t="str">
        <f>tbl_OriginalData[[#This Row],[Purchase_Channel]]</f>
        <v>Online</v>
      </c>
      <c r="AT785">
        <f>tbl_OriginalData[[#This Row],[Brand_Loyalty]]</f>
        <v>2</v>
      </c>
      <c r="AU785">
        <f>tbl_OriginalData[[#This Row],[Product_Rating]]</f>
        <v>2</v>
      </c>
      <c r="AV785">
        <f>tbl_OriginalData[[#This Row],[Time_Spent_on_Product_Research(hours)]]*60</f>
        <v>12</v>
      </c>
      <c r="AW785" t="str">
        <f>tbl_OriginalData[[#This Row],[Social_Media_Influence]]</f>
        <v>High</v>
      </c>
      <c r="AX785" t="str">
        <f>tbl_OriginalData[[#This Row],[Discount_Sensitivity]]</f>
        <v>Somewhat Sensitive</v>
      </c>
      <c r="AY785" s="3">
        <f>tbl_OriginalData[[#This Row],[Return_Rate]]/tbl_OriginalData[[#This Row],[Frequency_of_Purchase]]</f>
        <v>0</v>
      </c>
      <c r="AZ785">
        <f>tbl_OriginalData[[#This Row],[Customer_Satisfaction]]</f>
        <v>6</v>
      </c>
      <c r="BA785" t="str">
        <f>tbl_OriginalData[[#This Row],[Engagement_with_Ads]]</f>
        <v>Low</v>
      </c>
      <c r="BB785" t="str">
        <f>tbl_OriginalData[[#This Row],[Device_Used_for_Shopping]]</f>
        <v>Desktop</v>
      </c>
      <c r="BC785" t="str">
        <f>tbl_OriginalData[[#This Row],[Payment_Method]]</f>
        <v>PayPal</v>
      </c>
      <c r="BD785" s="1">
        <f>tbl_OriginalData[[#This Row],[Time_of_Purchase]]</f>
        <v>45304</v>
      </c>
      <c r="BE785" t="str">
        <f>IF(tbl_OriginalData[[#This Row],[Discount_Used]]=TRUE,"Yes","No")</f>
        <v>Yes</v>
      </c>
      <c r="BF785" t="str">
        <f>IF(tbl_OriginalData[[#This Row],[Customer_Loyalty_Program_Member]]=TRUE,"Yes","No")</f>
        <v>Yes</v>
      </c>
      <c r="BG785" t="str">
        <f>tbl_OriginalData[[#This Row],[Purchase_Intent]]</f>
        <v>Need-based</v>
      </c>
      <c r="BH785" t="str">
        <f>tbl_OriginalData[[#This Row],[Shipping_Preference]]</f>
        <v>No Preference</v>
      </c>
      <c r="BI785">
        <f>tbl_OriginalData[[#This Row],[Time_to_Decision]]</f>
        <v>8</v>
      </c>
      <c r="BJ785" t="s">
        <v>86</v>
      </c>
      <c r="BK785" t="s">
        <v>48</v>
      </c>
      <c r="BL785" t="s">
        <v>2524</v>
      </c>
    </row>
    <row r="786" spans="1:64">
      <c r="A786" t="s">
        <v>1806</v>
      </c>
      <c r="B786">
        <v>35</v>
      </c>
      <c r="C786" t="s">
        <v>50</v>
      </c>
      <c r="D786" t="s">
        <v>51</v>
      </c>
      <c r="E786" t="s">
        <v>92</v>
      </c>
      <c r="F786" t="s">
        <v>36</v>
      </c>
      <c r="G786" t="s">
        <v>34</v>
      </c>
      <c r="H786" t="s">
        <v>1807</v>
      </c>
      <c r="I786" t="s">
        <v>199</v>
      </c>
      <c r="J786">
        <v>246.44</v>
      </c>
      <c r="K786">
        <v>4</v>
      </c>
      <c r="L786" t="s">
        <v>39</v>
      </c>
      <c r="M786">
        <v>3</v>
      </c>
      <c r="N786">
        <v>1</v>
      </c>
      <c r="O786">
        <v>1</v>
      </c>
      <c r="P786" t="s">
        <v>56</v>
      </c>
      <c r="Q786" t="s">
        <v>41</v>
      </c>
      <c r="R786">
        <v>0</v>
      </c>
      <c r="S786">
        <v>3</v>
      </c>
      <c r="T786" t="s">
        <v>56</v>
      </c>
      <c r="U786" t="s">
        <v>70</v>
      </c>
      <c r="V786" t="s">
        <v>71</v>
      </c>
      <c r="W786" s="1">
        <v>45552</v>
      </c>
      <c r="X786" t="b">
        <v>0</v>
      </c>
      <c r="Y786" t="b">
        <v>1</v>
      </c>
      <c r="Z786" t="s">
        <v>59</v>
      </c>
      <c r="AA786" t="s">
        <v>45</v>
      </c>
      <c r="AB786">
        <v>5</v>
      </c>
      <c r="AF786" t="str">
        <f>tbl_OriginalData[[#This Row],[Customer_ID]]</f>
        <v>27-672-6081</v>
      </c>
      <c r="AG786">
        <f>tbl_OriginalData[[#This Row],[Age]]</f>
        <v>35</v>
      </c>
      <c r="AH786" t="str" cm="1">
        <f t="array" ref="AH78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86" t="str">
        <f>tbl_OriginalData[[#This Row],[Gender]]</f>
        <v>Male</v>
      </c>
      <c r="AJ786" t="str">
        <f>tbl_OriginalData[[#This Row],[Income_Level]]</f>
        <v>High</v>
      </c>
      <c r="AK786" t="str">
        <f>tbl_OriginalData[[#This Row],[Marital_Status]]</f>
        <v>Divorced</v>
      </c>
      <c r="AL786" t="str">
        <f>tbl_OriginalData[[#This Row],[Education_Level]]</f>
        <v>Bachelor's</v>
      </c>
      <c r="AM786" t="str">
        <f>tbl_OriginalData[[#This Row],[Occupation]]</f>
        <v>Middle</v>
      </c>
      <c r="AN786" t="s">
        <v>1807</v>
      </c>
      <c r="AO786" t="s">
        <v>90</v>
      </c>
      <c r="AP786" t="str">
        <f>tbl_OriginalData[[#This Row],[Purchase_Category]]</f>
        <v>Groceries</v>
      </c>
      <c r="AQ786" s="4">
        <f>tbl_OriginalData[[#This Row],[Purchase_Amount]]</f>
        <v>246.44</v>
      </c>
      <c r="AR786">
        <f>tbl_OriginalData[[#This Row],[Frequency_of_Purchase]]</f>
        <v>4</v>
      </c>
      <c r="AS786" t="str">
        <f>tbl_OriginalData[[#This Row],[Purchase_Channel]]</f>
        <v>Mixed</v>
      </c>
      <c r="AT786">
        <f>tbl_OriginalData[[#This Row],[Brand_Loyalty]]</f>
        <v>3</v>
      </c>
      <c r="AU786">
        <f>tbl_OriginalData[[#This Row],[Product_Rating]]</f>
        <v>1</v>
      </c>
      <c r="AV786">
        <f>tbl_OriginalData[[#This Row],[Time_Spent_on_Product_Research(hours)]]*60</f>
        <v>60</v>
      </c>
      <c r="AW786" t="str">
        <f>tbl_OriginalData[[#This Row],[Social_Media_Influence]]</f>
        <v>Medium</v>
      </c>
      <c r="AX786" t="str">
        <f>tbl_OriginalData[[#This Row],[Discount_Sensitivity]]</f>
        <v>Somewhat Sensitive</v>
      </c>
      <c r="AY786" s="3">
        <f>tbl_OriginalData[[#This Row],[Return_Rate]]/tbl_OriginalData[[#This Row],[Frequency_of_Purchase]]</f>
        <v>0</v>
      </c>
      <c r="AZ786">
        <f>tbl_OriginalData[[#This Row],[Customer_Satisfaction]]</f>
        <v>3</v>
      </c>
      <c r="BA786" t="str">
        <f>tbl_OriginalData[[#This Row],[Engagement_with_Ads]]</f>
        <v>Medium</v>
      </c>
      <c r="BB786" t="str">
        <f>tbl_OriginalData[[#This Row],[Device_Used_for_Shopping]]</f>
        <v>Smartphone</v>
      </c>
      <c r="BC786" t="str">
        <f>tbl_OriginalData[[#This Row],[Payment_Method]]</f>
        <v>Debit Card</v>
      </c>
      <c r="BD786" s="1">
        <f>tbl_OriginalData[[#This Row],[Time_of_Purchase]]</f>
        <v>45552</v>
      </c>
      <c r="BE786" t="str">
        <f>IF(tbl_OriginalData[[#This Row],[Discount_Used]]=TRUE,"Yes","No")</f>
        <v>No</v>
      </c>
      <c r="BF786" t="str">
        <f>IF(tbl_OriginalData[[#This Row],[Customer_Loyalty_Program_Member]]=TRUE,"Yes","No")</f>
        <v>Yes</v>
      </c>
      <c r="BG786" t="str">
        <f>tbl_OriginalData[[#This Row],[Purchase_Intent]]</f>
        <v>Wants-based</v>
      </c>
      <c r="BH786" t="str">
        <f>tbl_OriginalData[[#This Row],[Shipping_Preference]]</f>
        <v>No Preference</v>
      </c>
      <c r="BI786">
        <f>tbl_OriginalData[[#This Row],[Time_to_Decision]]</f>
        <v>5</v>
      </c>
      <c r="BJ786" t="s">
        <v>172</v>
      </c>
      <c r="BK786" t="s">
        <v>115</v>
      </c>
      <c r="BL786" t="s">
        <v>2524</v>
      </c>
    </row>
    <row r="787" spans="1:64">
      <c r="A787" t="s">
        <v>1808</v>
      </c>
      <c r="B787">
        <v>34</v>
      </c>
      <c r="C787" t="s">
        <v>50</v>
      </c>
      <c r="D787" t="s">
        <v>51</v>
      </c>
      <c r="E787" t="s">
        <v>82</v>
      </c>
      <c r="F787" t="s">
        <v>52</v>
      </c>
      <c r="G787" t="s">
        <v>34</v>
      </c>
      <c r="H787" t="s">
        <v>1809</v>
      </c>
      <c r="I787" t="s">
        <v>75</v>
      </c>
      <c r="J787">
        <v>93.52</v>
      </c>
      <c r="K787">
        <v>2</v>
      </c>
      <c r="L787" t="s">
        <v>94</v>
      </c>
      <c r="M787">
        <v>1</v>
      </c>
      <c r="N787">
        <v>5</v>
      </c>
      <c r="O787">
        <v>1</v>
      </c>
      <c r="P787" t="s">
        <v>40</v>
      </c>
      <c r="Q787" t="s">
        <v>41</v>
      </c>
      <c r="R787">
        <v>1</v>
      </c>
      <c r="S787">
        <v>2</v>
      </c>
      <c r="T787" t="s">
        <v>51</v>
      </c>
      <c r="U787" t="s">
        <v>95</v>
      </c>
      <c r="V787" t="s">
        <v>58</v>
      </c>
      <c r="W787" s="1">
        <v>45516</v>
      </c>
      <c r="X787" t="b">
        <v>0</v>
      </c>
      <c r="Y787" t="b">
        <v>1</v>
      </c>
      <c r="Z787" t="s">
        <v>89</v>
      </c>
      <c r="AA787" t="s">
        <v>45</v>
      </c>
      <c r="AB787">
        <v>12</v>
      </c>
      <c r="AF787" t="str">
        <f>tbl_OriginalData[[#This Row],[Customer_ID]]</f>
        <v>66-033-0540</v>
      </c>
      <c r="AG787">
        <f>tbl_OriginalData[[#This Row],[Age]]</f>
        <v>34</v>
      </c>
      <c r="AH787" t="str" cm="1">
        <f t="array" ref="AH78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87" t="str">
        <f>tbl_OriginalData[[#This Row],[Gender]]</f>
        <v>Male</v>
      </c>
      <c r="AJ787" t="str">
        <f>tbl_OriginalData[[#This Row],[Income_Level]]</f>
        <v>High</v>
      </c>
      <c r="AK787" t="str">
        <f>tbl_OriginalData[[#This Row],[Marital_Status]]</f>
        <v>Widowed</v>
      </c>
      <c r="AL787" t="str">
        <f>tbl_OriginalData[[#This Row],[Education_Level]]</f>
        <v>High School</v>
      </c>
      <c r="AM787" t="str">
        <f>tbl_OriginalData[[#This Row],[Occupation]]</f>
        <v>Middle</v>
      </c>
      <c r="AN787" t="s">
        <v>1810</v>
      </c>
      <c r="AO787" t="s">
        <v>186</v>
      </c>
      <c r="AP787" t="str">
        <f>tbl_OriginalData[[#This Row],[Purchase_Category]]</f>
        <v>Home Appliances</v>
      </c>
      <c r="AQ787" s="4">
        <f>tbl_OriginalData[[#This Row],[Purchase_Amount]]</f>
        <v>93.52</v>
      </c>
      <c r="AR787">
        <f>tbl_OriginalData[[#This Row],[Frequency_of_Purchase]]</f>
        <v>2</v>
      </c>
      <c r="AS787" t="str">
        <f>tbl_OriginalData[[#This Row],[Purchase_Channel]]</f>
        <v>Online</v>
      </c>
      <c r="AT787">
        <f>tbl_OriginalData[[#This Row],[Brand_Loyalty]]</f>
        <v>1</v>
      </c>
      <c r="AU787">
        <f>tbl_OriginalData[[#This Row],[Product_Rating]]</f>
        <v>5</v>
      </c>
      <c r="AV787">
        <f>tbl_OriginalData[[#This Row],[Time_Spent_on_Product_Research(hours)]]*60</f>
        <v>60</v>
      </c>
      <c r="AW787" t="str">
        <f>tbl_OriginalData[[#This Row],[Social_Media_Influence]]</f>
        <v>None</v>
      </c>
      <c r="AX787" t="str">
        <f>tbl_OriginalData[[#This Row],[Discount_Sensitivity]]</f>
        <v>Somewhat Sensitive</v>
      </c>
      <c r="AY787" s="3">
        <f>tbl_OriginalData[[#This Row],[Return_Rate]]/tbl_OriginalData[[#This Row],[Frequency_of_Purchase]]</f>
        <v>0.5</v>
      </c>
      <c r="AZ787">
        <f>tbl_OriginalData[[#This Row],[Customer_Satisfaction]]</f>
        <v>2</v>
      </c>
      <c r="BA787" t="str">
        <f>tbl_OriginalData[[#This Row],[Engagement_with_Ads]]</f>
        <v>High</v>
      </c>
      <c r="BB787" t="str">
        <f>tbl_OriginalData[[#This Row],[Device_Used_for_Shopping]]</f>
        <v>Desktop</v>
      </c>
      <c r="BC787" t="str">
        <f>tbl_OriginalData[[#This Row],[Payment_Method]]</f>
        <v>PayPal</v>
      </c>
      <c r="BD787" s="1">
        <f>tbl_OriginalData[[#This Row],[Time_of_Purchase]]</f>
        <v>45516</v>
      </c>
      <c r="BE787" t="str">
        <f>IF(tbl_OriginalData[[#This Row],[Discount_Used]]=TRUE,"Yes","No")</f>
        <v>No</v>
      </c>
      <c r="BF787" t="str">
        <f>IF(tbl_OriginalData[[#This Row],[Customer_Loyalty_Program_Member]]=TRUE,"Yes","No")</f>
        <v>Yes</v>
      </c>
      <c r="BG787" t="str">
        <f>tbl_OriginalData[[#This Row],[Purchase_Intent]]</f>
        <v>Planned</v>
      </c>
      <c r="BH787" t="str">
        <f>tbl_OriginalData[[#This Row],[Shipping_Preference]]</f>
        <v>No Preference</v>
      </c>
      <c r="BI787">
        <f>tbl_OriginalData[[#This Row],[Time_to_Decision]]</f>
        <v>12</v>
      </c>
      <c r="BJ787" t="s">
        <v>124</v>
      </c>
      <c r="BK787" t="s">
        <v>115</v>
      </c>
      <c r="BL787" t="s">
        <v>2523</v>
      </c>
    </row>
    <row r="788" spans="1:64">
      <c r="A788" t="s">
        <v>1811</v>
      </c>
      <c r="B788">
        <v>28</v>
      </c>
      <c r="C788" t="s">
        <v>33</v>
      </c>
      <c r="D788" t="s">
        <v>34</v>
      </c>
      <c r="E788" t="s">
        <v>35</v>
      </c>
      <c r="F788" t="s">
        <v>52</v>
      </c>
      <c r="G788" t="s">
        <v>51</v>
      </c>
      <c r="H788" t="s">
        <v>1812</v>
      </c>
      <c r="I788" t="s">
        <v>199</v>
      </c>
      <c r="J788">
        <v>137.75</v>
      </c>
      <c r="K788">
        <v>6</v>
      </c>
      <c r="L788" t="s">
        <v>94</v>
      </c>
      <c r="M788">
        <v>3</v>
      </c>
      <c r="N788">
        <v>3</v>
      </c>
      <c r="O788">
        <v>2</v>
      </c>
      <c r="P788" t="s">
        <v>51</v>
      </c>
      <c r="Q788" t="s">
        <v>101</v>
      </c>
      <c r="R788">
        <v>0</v>
      </c>
      <c r="S788">
        <v>1</v>
      </c>
      <c r="T788" t="s">
        <v>56</v>
      </c>
      <c r="U788" t="s">
        <v>70</v>
      </c>
      <c r="V788" t="s">
        <v>102</v>
      </c>
      <c r="W788" s="1">
        <v>45544</v>
      </c>
      <c r="X788" t="b">
        <v>0</v>
      </c>
      <c r="Y788" t="b">
        <v>1</v>
      </c>
      <c r="Z788" t="s">
        <v>44</v>
      </c>
      <c r="AA788" t="s">
        <v>45</v>
      </c>
      <c r="AB788">
        <v>4</v>
      </c>
      <c r="AF788" t="str">
        <f>tbl_OriginalData[[#This Row],[Customer_ID]]</f>
        <v>99-643-9845</v>
      </c>
      <c r="AG788">
        <f>tbl_OriginalData[[#This Row],[Age]]</f>
        <v>28</v>
      </c>
      <c r="AH788" t="str" cm="1">
        <f t="array" ref="AH78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88" t="str">
        <f>tbl_OriginalData[[#This Row],[Gender]]</f>
        <v>Female</v>
      </c>
      <c r="AJ788" t="str">
        <f>tbl_OriginalData[[#This Row],[Income_Level]]</f>
        <v>Middle</v>
      </c>
      <c r="AK788" t="str">
        <f>tbl_OriginalData[[#This Row],[Marital_Status]]</f>
        <v>Married</v>
      </c>
      <c r="AL788" t="str">
        <f>tbl_OriginalData[[#This Row],[Education_Level]]</f>
        <v>High School</v>
      </c>
      <c r="AM788" t="str">
        <f>tbl_OriginalData[[#This Row],[Occupation]]</f>
        <v>High</v>
      </c>
      <c r="AN788" t="s">
        <v>1812</v>
      </c>
      <c r="AO788" t="s">
        <v>90</v>
      </c>
      <c r="AP788" t="str">
        <f>tbl_OriginalData[[#This Row],[Purchase_Category]]</f>
        <v>Groceries</v>
      </c>
      <c r="AQ788" s="4">
        <f>tbl_OriginalData[[#This Row],[Purchase_Amount]]</f>
        <v>137.75</v>
      </c>
      <c r="AR788">
        <f>tbl_OriginalData[[#This Row],[Frequency_of_Purchase]]</f>
        <v>6</v>
      </c>
      <c r="AS788" t="str">
        <f>tbl_OriginalData[[#This Row],[Purchase_Channel]]</f>
        <v>Online</v>
      </c>
      <c r="AT788">
        <f>tbl_OriginalData[[#This Row],[Brand_Loyalty]]</f>
        <v>3</v>
      </c>
      <c r="AU788">
        <f>tbl_OriginalData[[#This Row],[Product_Rating]]</f>
        <v>3</v>
      </c>
      <c r="AV788">
        <f>tbl_OriginalData[[#This Row],[Time_Spent_on_Product_Research(hours)]]*60</f>
        <v>120</v>
      </c>
      <c r="AW788" t="str">
        <f>tbl_OriginalData[[#This Row],[Social_Media_Influence]]</f>
        <v>High</v>
      </c>
      <c r="AX788" t="str">
        <f>tbl_OriginalData[[#This Row],[Discount_Sensitivity]]</f>
        <v>Very Sensitive</v>
      </c>
      <c r="AY788" s="3">
        <f>tbl_OriginalData[[#This Row],[Return_Rate]]/tbl_OriginalData[[#This Row],[Frequency_of_Purchase]]</f>
        <v>0</v>
      </c>
      <c r="AZ788">
        <f>tbl_OriginalData[[#This Row],[Customer_Satisfaction]]</f>
        <v>1</v>
      </c>
      <c r="BA788" t="str">
        <f>tbl_OriginalData[[#This Row],[Engagement_with_Ads]]</f>
        <v>Medium</v>
      </c>
      <c r="BB788" t="str">
        <f>tbl_OriginalData[[#This Row],[Device_Used_for_Shopping]]</f>
        <v>Smartphone</v>
      </c>
      <c r="BC788" t="str">
        <f>tbl_OriginalData[[#This Row],[Payment_Method]]</f>
        <v>Cash</v>
      </c>
      <c r="BD788" s="1">
        <f>tbl_OriginalData[[#This Row],[Time_of_Purchase]]</f>
        <v>45544</v>
      </c>
      <c r="BE788" t="str">
        <f>IF(tbl_OriginalData[[#This Row],[Discount_Used]]=TRUE,"Yes","No")</f>
        <v>No</v>
      </c>
      <c r="BF788" t="str">
        <f>IF(tbl_OriginalData[[#This Row],[Customer_Loyalty_Program_Member]]=TRUE,"Yes","No")</f>
        <v>Yes</v>
      </c>
      <c r="BG788" t="str">
        <f>tbl_OriginalData[[#This Row],[Purchase_Intent]]</f>
        <v>Need-based</v>
      </c>
      <c r="BH788" t="str">
        <f>tbl_OriginalData[[#This Row],[Shipping_Preference]]</f>
        <v>No Preference</v>
      </c>
      <c r="BI788">
        <f>tbl_OriginalData[[#This Row],[Time_to_Decision]]</f>
        <v>4</v>
      </c>
      <c r="BJ788" t="s">
        <v>172</v>
      </c>
      <c r="BK788" t="s">
        <v>115</v>
      </c>
      <c r="BL788" t="s">
        <v>2524</v>
      </c>
    </row>
    <row r="789" spans="1:64">
      <c r="A789" t="s">
        <v>1813</v>
      </c>
      <c r="B789">
        <v>44</v>
      </c>
      <c r="C789" t="s">
        <v>33</v>
      </c>
      <c r="D789" t="s">
        <v>34</v>
      </c>
      <c r="E789" t="s">
        <v>35</v>
      </c>
      <c r="F789" t="s">
        <v>66</v>
      </c>
      <c r="G789" t="s">
        <v>34</v>
      </c>
      <c r="H789" t="s">
        <v>1814</v>
      </c>
      <c r="I789" t="s">
        <v>75</v>
      </c>
      <c r="J789">
        <v>78.64</v>
      </c>
      <c r="K789">
        <v>5</v>
      </c>
      <c r="L789" t="s">
        <v>39</v>
      </c>
      <c r="M789">
        <v>3</v>
      </c>
      <c r="N789">
        <v>4</v>
      </c>
      <c r="O789">
        <v>2</v>
      </c>
      <c r="P789" t="s">
        <v>51</v>
      </c>
      <c r="Q789" t="s">
        <v>41</v>
      </c>
      <c r="R789">
        <v>0</v>
      </c>
      <c r="S789">
        <v>3</v>
      </c>
      <c r="T789" t="s">
        <v>51</v>
      </c>
      <c r="U789" t="s">
        <v>42</v>
      </c>
      <c r="V789" t="s">
        <v>58</v>
      </c>
      <c r="W789" s="1">
        <v>45438</v>
      </c>
      <c r="X789" t="b">
        <v>1</v>
      </c>
      <c r="Y789" t="b">
        <v>0</v>
      </c>
      <c r="Z789" t="s">
        <v>89</v>
      </c>
      <c r="AA789" t="s">
        <v>60</v>
      </c>
      <c r="AB789">
        <v>12</v>
      </c>
      <c r="AF789" t="str">
        <f>tbl_OriginalData[[#This Row],[Customer_ID]]</f>
        <v>27-571-9402</v>
      </c>
      <c r="AG789">
        <f>tbl_OriginalData[[#This Row],[Age]]</f>
        <v>44</v>
      </c>
      <c r="AH789" t="str" cm="1">
        <f t="array" ref="AH78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89" t="str">
        <f>tbl_OriginalData[[#This Row],[Gender]]</f>
        <v>Female</v>
      </c>
      <c r="AJ789" t="str">
        <f>tbl_OriginalData[[#This Row],[Income_Level]]</f>
        <v>Middle</v>
      </c>
      <c r="AK789" t="str">
        <f>tbl_OriginalData[[#This Row],[Marital_Status]]</f>
        <v>Married</v>
      </c>
      <c r="AL789" t="str">
        <f>tbl_OriginalData[[#This Row],[Education_Level]]</f>
        <v>Master's</v>
      </c>
      <c r="AM789" t="str">
        <f>tbl_OriginalData[[#This Row],[Occupation]]</f>
        <v>Middle</v>
      </c>
      <c r="AN789" t="s">
        <v>1814</v>
      </c>
      <c r="AO789" t="s">
        <v>246</v>
      </c>
      <c r="AP789" t="str">
        <f>tbl_OriginalData[[#This Row],[Purchase_Category]]</f>
        <v>Home Appliances</v>
      </c>
      <c r="AQ789" s="4">
        <f>tbl_OriginalData[[#This Row],[Purchase_Amount]]</f>
        <v>78.64</v>
      </c>
      <c r="AR789">
        <f>tbl_OriginalData[[#This Row],[Frequency_of_Purchase]]</f>
        <v>5</v>
      </c>
      <c r="AS789" t="str">
        <f>tbl_OriginalData[[#This Row],[Purchase_Channel]]</f>
        <v>Mixed</v>
      </c>
      <c r="AT789">
        <f>tbl_OriginalData[[#This Row],[Brand_Loyalty]]</f>
        <v>3</v>
      </c>
      <c r="AU789">
        <f>tbl_OriginalData[[#This Row],[Product_Rating]]</f>
        <v>4</v>
      </c>
      <c r="AV789">
        <f>tbl_OriginalData[[#This Row],[Time_Spent_on_Product_Research(hours)]]*60</f>
        <v>120</v>
      </c>
      <c r="AW789" t="str">
        <f>tbl_OriginalData[[#This Row],[Social_Media_Influence]]</f>
        <v>High</v>
      </c>
      <c r="AX789" t="str">
        <f>tbl_OriginalData[[#This Row],[Discount_Sensitivity]]</f>
        <v>Somewhat Sensitive</v>
      </c>
      <c r="AY789" s="3">
        <f>tbl_OriginalData[[#This Row],[Return_Rate]]/tbl_OriginalData[[#This Row],[Frequency_of_Purchase]]</f>
        <v>0</v>
      </c>
      <c r="AZ789">
        <f>tbl_OriginalData[[#This Row],[Customer_Satisfaction]]</f>
        <v>3</v>
      </c>
      <c r="BA789" t="str">
        <f>tbl_OriginalData[[#This Row],[Engagement_with_Ads]]</f>
        <v>High</v>
      </c>
      <c r="BB789" t="str">
        <f>tbl_OriginalData[[#This Row],[Device_Used_for_Shopping]]</f>
        <v>Tablet</v>
      </c>
      <c r="BC789" t="str">
        <f>tbl_OriginalData[[#This Row],[Payment_Method]]</f>
        <v>PayPal</v>
      </c>
      <c r="BD789" s="1">
        <f>tbl_OriginalData[[#This Row],[Time_of_Purchase]]</f>
        <v>45438</v>
      </c>
      <c r="BE789" t="str">
        <f>IF(tbl_OriginalData[[#This Row],[Discount_Used]]=TRUE,"Yes","No")</f>
        <v>Yes</v>
      </c>
      <c r="BF789" t="str">
        <f>IF(tbl_OriginalData[[#This Row],[Customer_Loyalty_Program_Member]]=TRUE,"Yes","No")</f>
        <v>No</v>
      </c>
      <c r="BG789" t="str">
        <f>tbl_OriginalData[[#This Row],[Purchase_Intent]]</f>
        <v>Planned</v>
      </c>
      <c r="BH789" t="str">
        <f>tbl_OriginalData[[#This Row],[Shipping_Preference]]</f>
        <v>Standard</v>
      </c>
      <c r="BI789">
        <f>tbl_OriginalData[[#This Row],[Time_to_Decision]]</f>
        <v>12</v>
      </c>
      <c r="BJ789" t="s">
        <v>167</v>
      </c>
      <c r="BK789" t="s">
        <v>63</v>
      </c>
      <c r="BL789" t="s">
        <v>2523</v>
      </c>
    </row>
    <row r="790" spans="1:64">
      <c r="A790" t="s">
        <v>1815</v>
      </c>
      <c r="B790">
        <v>25</v>
      </c>
      <c r="C790" t="s">
        <v>50</v>
      </c>
      <c r="D790" t="s">
        <v>51</v>
      </c>
      <c r="E790" t="s">
        <v>92</v>
      </c>
      <c r="F790" t="s">
        <v>66</v>
      </c>
      <c r="G790" t="s">
        <v>34</v>
      </c>
      <c r="H790" t="s">
        <v>1816</v>
      </c>
      <c r="I790" t="s">
        <v>150</v>
      </c>
      <c r="J790">
        <v>214.82</v>
      </c>
      <c r="K790">
        <v>9</v>
      </c>
      <c r="L790" t="s">
        <v>39</v>
      </c>
      <c r="M790">
        <v>5</v>
      </c>
      <c r="N790">
        <v>4</v>
      </c>
      <c r="O790">
        <v>0.3</v>
      </c>
      <c r="P790" t="s">
        <v>40</v>
      </c>
      <c r="Q790" t="s">
        <v>101</v>
      </c>
      <c r="R790">
        <v>1</v>
      </c>
      <c r="S790">
        <v>9</v>
      </c>
      <c r="T790" t="s">
        <v>56</v>
      </c>
      <c r="U790" t="s">
        <v>42</v>
      </c>
      <c r="V790" t="s">
        <v>76</v>
      </c>
      <c r="W790" s="1">
        <v>45605</v>
      </c>
      <c r="X790" t="b">
        <v>1</v>
      </c>
      <c r="Y790" t="b">
        <v>0</v>
      </c>
      <c r="Z790" t="s">
        <v>89</v>
      </c>
      <c r="AA790" t="s">
        <v>45</v>
      </c>
      <c r="AB790">
        <v>11</v>
      </c>
      <c r="AF790" t="str">
        <f>tbl_OriginalData[[#This Row],[Customer_ID]]</f>
        <v>10-430-5821</v>
      </c>
      <c r="AG790">
        <f>tbl_OriginalData[[#This Row],[Age]]</f>
        <v>25</v>
      </c>
      <c r="AH790" t="str" cm="1">
        <f t="array" ref="AH79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90" t="str">
        <f>tbl_OriginalData[[#This Row],[Gender]]</f>
        <v>Male</v>
      </c>
      <c r="AJ790" t="str">
        <f>tbl_OriginalData[[#This Row],[Income_Level]]</f>
        <v>High</v>
      </c>
      <c r="AK790" t="str">
        <f>tbl_OriginalData[[#This Row],[Marital_Status]]</f>
        <v>Divorced</v>
      </c>
      <c r="AL790" t="str">
        <f>tbl_OriginalData[[#This Row],[Education_Level]]</f>
        <v>Master's</v>
      </c>
      <c r="AM790" t="str">
        <f>tbl_OriginalData[[#This Row],[Occupation]]</f>
        <v>Middle</v>
      </c>
      <c r="AN790" t="s">
        <v>1816</v>
      </c>
      <c r="AO790" t="s">
        <v>1817</v>
      </c>
      <c r="AP790" t="str">
        <f>tbl_OriginalData[[#This Row],[Purchase_Category]]</f>
        <v>Software &amp; Apps</v>
      </c>
      <c r="AQ790" s="4">
        <f>tbl_OriginalData[[#This Row],[Purchase_Amount]]</f>
        <v>214.82</v>
      </c>
      <c r="AR790">
        <f>tbl_OriginalData[[#This Row],[Frequency_of_Purchase]]</f>
        <v>9</v>
      </c>
      <c r="AS790" t="str">
        <f>tbl_OriginalData[[#This Row],[Purchase_Channel]]</f>
        <v>Mixed</v>
      </c>
      <c r="AT790">
        <f>tbl_OriginalData[[#This Row],[Brand_Loyalty]]</f>
        <v>5</v>
      </c>
      <c r="AU790">
        <f>tbl_OriginalData[[#This Row],[Product_Rating]]</f>
        <v>4</v>
      </c>
      <c r="AV790">
        <f>tbl_OriginalData[[#This Row],[Time_Spent_on_Product_Research(hours)]]*60</f>
        <v>18</v>
      </c>
      <c r="AW790" t="str">
        <f>tbl_OriginalData[[#This Row],[Social_Media_Influence]]</f>
        <v>None</v>
      </c>
      <c r="AX790" t="str">
        <f>tbl_OriginalData[[#This Row],[Discount_Sensitivity]]</f>
        <v>Very Sensitive</v>
      </c>
      <c r="AY790" s="3">
        <f>tbl_OriginalData[[#This Row],[Return_Rate]]/tbl_OriginalData[[#This Row],[Frequency_of_Purchase]]</f>
        <v>0.1111111111111111</v>
      </c>
      <c r="AZ790">
        <f>tbl_OriginalData[[#This Row],[Customer_Satisfaction]]</f>
        <v>9</v>
      </c>
      <c r="BA790" t="str">
        <f>tbl_OriginalData[[#This Row],[Engagement_with_Ads]]</f>
        <v>Medium</v>
      </c>
      <c r="BB790" t="str">
        <f>tbl_OriginalData[[#This Row],[Device_Used_for_Shopping]]</f>
        <v>Tablet</v>
      </c>
      <c r="BC790" t="str">
        <f>tbl_OriginalData[[#This Row],[Payment_Method]]</f>
        <v>Other</v>
      </c>
      <c r="BD790" s="1">
        <f>tbl_OriginalData[[#This Row],[Time_of_Purchase]]</f>
        <v>45605</v>
      </c>
      <c r="BE790" t="str">
        <f>IF(tbl_OriginalData[[#This Row],[Discount_Used]]=TRUE,"Yes","No")</f>
        <v>Yes</v>
      </c>
      <c r="BF790" t="str">
        <f>IF(tbl_OriginalData[[#This Row],[Customer_Loyalty_Program_Member]]=TRUE,"Yes","No")</f>
        <v>No</v>
      </c>
      <c r="BG790" t="str">
        <f>tbl_OriginalData[[#This Row],[Purchase_Intent]]</f>
        <v>Planned</v>
      </c>
      <c r="BH790" t="str">
        <f>tbl_OriginalData[[#This Row],[Shipping_Preference]]</f>
        <v>No Preference</v>
      </c>
      <c r="BI790">
        <f>tbl_OriginalData[[#This Row],[Time_to_Decision]]</f>
        <v>11</v>
      </c>
      <c r="BJ790" t="s">
        <v>177</v>
      </c>
      <c r="BK790" t="s">
        <v>80</v>
      </c>
      <c r="BL790" t="s">
        <v>2524</v>
      </c>
    </row>
    <row r="791" spans="1:64">
      <c r="A791" t="s">
        <v>1818</v>
      </c>
      <c r="B791">
        <v>45</v>
      </c>
      <c r="C791" t="s">
        <v>50</v>
      </c>
      <c r="D791" t="s">
        <v>34</v>
      </c>
      <c r="E791" t="s">
        <v>35</v>
      </c>
      <c r="F791" t="s">
        <v>36</v>
      </c>
      <c r="G791" t="s">
        <v>51</v>
      </c>
      <c r="H791" t="s">
        <v>1819</v>
      </c>
      <c r="I791" t="s">
        <v>112</v>
      </c>
      <c r="J791">
        <v>57.39</v>
      </c>
      <c r="K791">
        <v>3</v>
      </c>
      <c r="L791" t="s">
        <v>39</v>
      </c>
      <c r="M791">
        <v>2</v>
      </c>
      <c r="N791">
        <v>5</v>
      </c>
      <c r="O791">
        <v>0.25</v>
      </c>
      <c r="P791" t="s">
        <v>40</v>
      </c>
      <c r="Q791" t="s">
        <v>41</v>
      </c>
      <c r="R791">
        <v>0</v>
      </c>
      <c r="S791">
        <v>10</v>
      </c>
      <c r="T791" t="s">
        <v>56</v>
      </c>
      <c r="U791" t="s">
        <v>95</v>
      </c>
      <c r="V791" t="s">
        <v>43</v>
      </c>
      <c r="W791" s="1">
        <v>45492</v>
      </c>
      <c r="X791" t="b">
        <v>0</v>
      </c>
      <c r="Y791" t="b">
        <v>0</v>
      </c>
      <c r="Z791" t="s">
        <v>72</v>
      </c>
      <c r="AA791" t="s">
        <v>60</v>
      </c>
      <c r="AB791">
        <v>3</v>
      </c>
      <c r="AF791" t="str">
        <f>tbl_OriginalData[[#This Row],[Customer_ID]]</f>
        <v>36-835-7445</v>
      </c>
      <c r="AG791">
        <f>tbl_OriginalData[[#This Row],[Age]]</f>
        <v>45</v>
      </c>
      <c r="AH791" t="str" cm="1">
        <f t="array" ref="AH79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91" t="str">
        <f>tbl_OriginalData[[#This Row],[Gender]]</f>
        <v>Male</v>
      </c>
      <c r="AJ791" t="str">
        <f>tbl_OriginalData[[#This Row],[Income_Level]]</f>
        <v>Middle</v>
      </c>
      <c r="AK791" t="str">
        <f>tbl_OriginalData[[#This Row],[Marital_Status]]</f>
        <v>Married</v>
      </c>
      <c r="AL791" t="str">
        <f>tbl_OriginalData[[#This Row],[Education_Level]]</f>
        <v>Bachelor's</v>
      </c>
      <c r="AM791" t="str">
        <f>tbl_OriginalData[[#This Row],[Occupation]]</f>
        <v>High</v>
      </c>
      <c r="AN791" t="s">
        <v>1819</v>
      </c>
      <c r="AO791" t="s">
        <v>897</v>
      </c>
      <c r="AP791" t="str">
        <f>tbl_OriginalData[[#This Row],[Purchase_Category]]</f>
        <v>Mobile Accessories</v>
      </c>
      <c r="AQ791" s="4">
        <f>tbl_OriginalData[[#This Row],[Purchase_Amount]]</f>
        <v>57.39</v>
      </c>
      <c r="AR791">
        <f>tbl_OriginalData[[#This Row],[Frequency_of_Purchase]]</f>
        <v>3</v>
      </c>
      <c r="AS791" t="str">
        <f>tbl_OriginalData[[#This Row],[Purchase_Channel]]</f>
        <v>Mixed</v>
      </c>
      <c r="AT791">
        <f>tbl_OriginalData[[#This Row],[Brand_Loyalty]]</f>
        <v>2</v>
      </c>
      <c r="AU791">
        <f>tbl_OriginalData[[#This Row],[Product_Rating]]</f>
        <v>5</v>
      </c>
      <c r="AV791">
        <f>tbl_OriginalData[[#This Row],[Time_Spent_on_Product_Research(hours)]]*60</f>
        <v>15</v>
      </c>
      <c r="AW791" t="str">
        <f>tbl_OriginalData[[#This Row],[Social_Media_Influence]]</f>
        <v>None</v>
      </c>
      <c r="AX791" t="str">
        <f>tbl_OriginalData[[#This Row],[Discount_Sensitivity]]</f>
        <v>Somewhat Sensitive</v>
      </c>
      <c r="AY791" s="3">
        <f>tbl_OriginalData[[#This Row],[Return_Rate]]/tbl_OriginalData[[#This Row],[Frequency_of_Purchase]]</f>
        <v>0</v>
      </c>
      <c r="AZ791">
        <f>tbl_OriginalData[[#This Row],[Customer_Satisfaction]]</f>
        <v>10</v>
      </c>
      <c r="BA791" t="str">
        <f>tbl_OriginalData[[#This Row],[Engagement_with_Ads]]</f>
        <v>Medium</v>
      </c>
      <c r="BB791" t="str">
        <f>tbl_OriginalData[[#This Row],[Device_Used_for_Shopping]]</f>
        <v>Desktop</v>
      </c>
      <c r="BC791" t="str">
        <f>tbl_OriginalData[[#This Row],[Payment_Method]]</f>
        <v>Credit Card</v>
      </c>
      <c r="BD791" s="1">
        <f>tbl_OriginalData[[#This Row],[Time_of_Purchase]]</f>
        <v>45492</v>
      </c>
      <c r="BE791" t="str">
        <f>IF(tbl_OriginalData[[#This Row],[Discount_Used]]=TRUE,"Yes","No")</f>
        <v>No</v>
      </c>
      <c r="BF791" t="str">
        <f>IF(tbl_OriginalData[[#This Row],[Customer_Loyalty_Program_Member]]=TRUE,"Yes","No")</f>
        <v>No</v>
      </c>
      <c r="BG791" t="str">
        <f>tbl_OriginalData[[#This Row],[Purchase_Intent]]</f>
        <v>Impulsive</v>
      </c>
      <c r="BH791" t="str">
        <f>tbl_OriginalData[[#This Row],[Shipping_Preference]]</f>
        <v>Standard</v>
      </c>
      <c r="BI791">
        <f>tbl_OriginalData[[#This Row],[Time_to_Decision]]</f>
        <v>3</v>
      </c>
      <c r="BJ791" t="s">
        <v>114</v>
      </c>
      <c r="BK791" t="s">
        <v>115</v>
      </c>
      <c r="BL791" t="s">
        <v>2524</v>
      </c>
    </row>
    <row r="792" spans="1:64">
      <c r="A792" t="s">
        <v>1820</v>
      </c>
      <c r="B792">
        <v>47</v>
      </c>
      <c r="C792" t="s">
        <v>33</v>
      </c>
      <c r="D792" t="s">
        <v>51</v>
      </c>
      <c r="E792" t="s">
        <v>65</v>
      </c>
      <c r="F792" t="s">
        <v>52</v>
      </c>
      <c r="G792" t="s">
        <v>34</v>
      </c>
      <c r="H792" t="s">
        <v>382</v>
      </c>
      <c r="I792" t="s">
        <v>235</v>
      </c>
      <c r="J792">
        <v>363.91</v>
      </c>
      <c r="K792">
        <v>10</v>
      </c>
      <c r="L792" t="s">
        <v>94</v>
      </c>
      <c r="M792">
        <v>1</v>
      </c>
      <c r="N792">
        <v>1</v>
      </c>
      <c r="O792">
        <v>0.3</v>
      </c>
      <c r="P792" t="s">
        <v>56</v>
      </c>
      <c r="Q792" t="s">
        <v>101</v>
      </c>
      <c r="R792">
        <v>0</v>
      </c>
      <c r="S792">
        <v>2</v>
      </c>
      <c r="T792" t="s">
        <v>69</v>
      </c>
      <c r="U792" t="s">
        <v>70</v>
      </c>
      <c r="V792" t="s">
        <v>102</v>
      </c>
      <c r="W792" s="1">
        <v>45298</v>
      </c>
      <c r="X792" t="b">
        <v>1</v>
      </c>
      <c r="Y792" t="b">
        <v>1</v>
      </c>
      <c r="Z792" t="s">
        <v>89</v>
      </c>
      <c r="AA792" t="s">
        <v>60</v>
      </c>
      <c r="AB792">
        <v>9</v>
      </c>
      <c r="AF792" t="str">
        <f>tbl_OriginalData[[#This Row],[Customer_ID]]</f>
        <v>41-602-4042</v>
      </c>
      <c r="AG792">
        <f>tbl_OriginalData[[#This Row],[Age]]</f>
        <v>47</v>
      </c>
      <c r="AH792" t="str" cm="1">
        <f t="array" ref="AH79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92" t="str">
        <f>tbl_OriginalData[[#This Row],[Gender]]</f>
        <v>Female</v>
      </c>
      <c r="AJ792" t="str">
        <f>tbl_OriginalData[[#This Row],[Income_Level]]</f>
        <v>High</v>
      </c>
      <c r="AK792" t="str">
        <f>tbl_OriginalData[[#This Row],[Marital_Status]]</f>
        <v>Single</v>
      </c>
      <c r="AL792" t="str">
        <f>tbl_OriginalData[[#This Row],[Education_Level]]</f>
        <v>High School</v>
      </c>
      <c r="AM792" t="str">
        <f>tbl_OriginalData[[#This Row],[Occupation]]</f>
        <v>Middle</v>
      </c>
      <c r="AN792" t="s">
        <v>382</v>
      </c>
      <c r="AO792" t="s">
        <v>383</v>
      </c>
      <c r="AP792" t="str">
        <f>tbl_OriginalData[[#This Row],[Purchase_Category]]</f>
        <v>Beauty &amp; Personal Care</v>
      </c>
      <c r="AQ792" s="4">
        <f>tbl_OriginalData[[#This Row],[Purchase_Amount]]</f>
        <v>363.91</v>
      </c>
      <c r="AR792">
        <f>tbl_OriginalData[[#This Row],[Frequency_of_Purchase]]</f>
        <v>10</v>
      </c>
      <c r="AS792" t="str">
        <f>tbl_OriginalData[[#This Row],[Purchase_Channel]]</f>
        <v>Online</v>
      </c>
      <c r="AT792">
        <f>tbl_OriginalData[[#This Row],[Brand_Loyalty]]</f>
        <v>1</v>
      </c>
      <c r="AU792">
        <f>tbl_OriginalData[[#This Row],[Product_Rating]]</f>
        <v>1</v>
      </c>
      <c r="AV792">
        <f>tbl_OriginalData[[#This Row],[Time_Spent_on_Product_Research(hours)]]*60</f>
        <v>18</v>
      </c>
      <c r="AW792" t="str">
        <f>tbl_OriginalData[[#This Row],[Social_Media_Influence]]</f>
        <v>Medium</v>
      </c>
      <c r="AX792" t="str">
        <f>tbl_OriginalData[[#This Row],[Discount_Sensitivity]]</f>
        <v>Very Sensitive</v>
      </c>
      <c r="AY792" s="3">
        <f>tbl_OriginalData[[#This Row],[Return_Rate]]/tbl_OriginalData[[#This Row],[Frequency_of_Purchase]]</f>
        <v>0</v>
      </c>
      <c r="AZ792">
        <f>tbl_OriginalData[[#This Row],[Customer_Satisfaction]]</f>
        <v>2</v>
      </c>
      <c r="BA792" t="str">
        <f>tbl_OriginalData[[#This Row],[Engagement_with_Ads]]</f>
        <v>Low</v>
      </c>
      <c r="BB792" t="str">
        <f>tbl_OriginalData[[#This Row],[Device_Used_for_Shopping]]</f>
        <v>Smartphone</v>
      </c>
      <c r="BC792" t="str">
        <f>tbl_OriginalData[[#This Row],[Payment_Method]]</f>
        <v>Cash</v>
      </c>
      <c r="BD792" s="1">
        <f>tbl_OriginalData[[#This Row],[Time_of_Purchase]]</f>
        <v>45298</v>
      </c>
      <c r="BE792" t="str">
        <f>IF(tbl_OriginalData[[#This Row],[Discount_Used]]=TRUE,"Yes","No")</f>
        <v>Yes</v>
      </c>
      <c r="BF792" t="str">
        <f>IF(tbl_OriginalData[[#This Row],[Customer_Loyalty_Program_Member]]=TRUE,"Yes","No")</f>
        <v>Yes</v>
      </c>
      <c r="BG792" t="str">
        <f>tbl_OriginalData[[#This Row],[Purchase_Intent]]</f>
        <v>Planned</v>
      </c>
      <c r="BH792" t="str">
        <f>tbl_OriginalData[[#This Row],[Shipping_Preference]]</f>
        <v>Standard</v>
      </c>
      <c r="BI792">
        <f>tbl_OriginalData[[#This Row],[Time_to_Decision]]</f>
        <v>9</v>
      </c>
      <c r="BJ792" t="s">
        <v>86</v>
      </c>
      <c r="BK792" t="s">
        <v>48</v>
      </c>
      <c r="BL792" t="s">
        <v>2523</v>
      </c>
    </row>
    <row r="793" spans="1:64">
      <c r="A793" t="s">
        <v>1821</v>
      </c>
      <c r="B793">
        <v>39</v>
      </c>
      <c r="C793" t="s">
        <v>50</v>
      </c>
      <c r="D793" t="s">
        <v>34</v>
      </c>
      <c r="E793" t="s">
        <v>65</v>
      </c>
      <c r="F793" t="s">
        <v>52</v>
      </c>
      <c r="G793" t="s">
        <v>34</v>
      </c>
      <c r="H793" t="s">
        <v>1822</v>
      </c>
      <c r="I793" t="s">
        <v>242</v>
      </c>
      <c r="J793">
        <v>304.79000000000002</v>
      </c>
      <c r="K793">
        <v>12</v>
      </c>
      <c r="L793" t="s">
        <v>55</v>
      </c>
      <c r="M793">
        <v>2</v>
      </c>
      <c r="N793">
        <v>4</v>
      </c>
      <c r="O793">
        <v>2</v>
      </c>
      <c r="P793" t="s">
        <v>69</v>
      </c>
      <c r="Q793" t="s">
        <v>41</v>
      </c>
      <c r="R793">
        <v>1</v>
      </c>
      <c r="S793">
        <v>9</v>
      </c>
      <c r="T793" t="s">
        <v>51</v>
      </c>
      <c r="U793" t="s">
        <v>95</v>
      </c>
      <c r="V793" t="s">
        <v>76</v>
      </c>
      <c r="W793" s="1">
        <v>45298</v>
      </c>
      <c r="X793" t="b">
        <v>1</v>
      </c>
      <c r="Y793" t="b">
        <v>1</v>
      </c>
      <c r="Z793" t="s">
        <v>59</v>
      </c>
      <c r="AA793" t="s">
        <v>60</v>
      </c>
      <c r="AB793">
        <v>10</v>
      </c>
      <c r="AF793" t="str">
        <f>tbl_OriginalData[[#This Row],[Customer_ID]]</f>
        <v>63-743-6962</v>
      </c>
      <c r="AG793">
        <f>tbl_OriginalData[[#This Row],[Age]]</f>
        <v>39</v>
      </c>
      <c r="AH793" t="str" cm="1">
        <f t="array" ref="AH79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93" t="str">
        <f>tbl_OriginalData[[#This Row],[Gender]]</f>
        <v>Male</v>
      </c>
      <c r="AJ793" t="str">
        <f>tbl_OriginalData[[#This Row],[Income_Level]]</f>
        <v>Middle</v>
      </c>
      <c r="AK793" t="str">
        <f>tbl_OriginalData[[#This Row],[Marital_Status]]</f>
        <v>Single</v>
      </c>
      <c r="AL793" t="str">
        <f>tbl_OriginalData[[#This Row],[Education_Level]]</f>
        <v>High School</v>
      </c>
      <c r="AM793" t="str">
        <f>tbl_OriginalData[[#This Row],[Occupation]]</f>
        <v>Middle</v>
      </c>
      <c r="AN793" t="s">
        <v>1822</v>
      </c>
      <c r="AO793" t="s">
        <v>85</v>
      </c>
      <c r="AP793" t="str">
        <f>tbl_OriginalData[[#This Row],[Purchase_Category]]</f>
        <v>Travel &amp; Leisure (Flights</v>
      </c>
      <c r="AQ793" s="4">
        <f>tbl_OriginalData[[#This Row],[Purchase_Amount]]</f>
        <v>304.79000000000002</v>
      </c>
      <c r="AR793">
        <f>tbl_OriginalData[[#This Row],[Frequency_of_Purchase]]</f>
        <v>12</v>
      </c>
      <c r="AS793" t="str">
        <f>tbl_OriginalData[[#This Row],[Purchase_Channel]]</f>
        <v>In-Store</v>
      </c>
      <c r="AT793">
        <f>tbl_OriginalData[[#This Row],[Brand_Loyalty]]</f>
        <v>2</v>
      </c>
      <c r="AU793">
        <f>tbl_OriginalData[[#This Row],[Product_Rating]]</f>
        <v>4</v>
      </c>
      <c r="AV793">
        <f>tbl_OriginalData[[#This Row],[Time_Spent_on_Product_Research(hours)]]*60</f>
        <v>120</v>
      </c>
      <c r="AW793" t="str">
        <f>tbl_OriginalData[[#This Row],[Social_Media_Influence]]</f>
        <v>Low</v>
      </c>
      <c r="AX793" t="str">
        <f>tbl_OriginalData[[#This Row],[Discount_Sensitivity]]</f>
        <v>Somewhat Sensitive</v>
      </c>
      <c r="AY793" s="3">
        <f>tbl_OriginalData[[#This Row],[Return_Rate]]/tbl_OriginalData[[#This Row],[Frequency_of_Purchase]]</f>
        <v>8.3333333333333329E-2</v>
      </c>
      <c r="AZ793">
        <f>tbl_OriginalData[[#This Row],[Customer_Satisfaction]]</f>
        <v>9</v>
      </c>
      <c r="BA793" t="str">
        <f>tbl_OriginalData[[#This Row],[Engagement_with_Ads]]</f>
        <v>High</v>
      </c>
      <c r="BB793" t="str">
        <f>tbl_OriginalData[[#This Row],[Device_Used_for_Shopping]]</f>
        <v>Desktop</v>
      </c>
      <c r="BC793" t="str">
        <f>tbl_OriginalData[[#This Row],[Payment_Method]]</f>
        <v>Other</v>
      </c>
      <c r="BD793" s="1">
        <f>tbl_OriginalData[[#This Row],[Time_of_Purchase]]</f>
        <v>45298</v>
      </c>
      <c r="BE793" t="str">
        <f>IF(tbl_OriginalData[[#This Row],[Discount_Used]]=TRUE,"Yes","No")</f>
        <v>Yes</v>
      </c>
      <c r="BF793" t="str">
        <f>IF(tbl_OriginalData[[#This Row],[Customer_Loyalty_Program_Member]]=TRUE,"Yes","No")</f>
        <v>Yes</v>
      </c>
      <c r="BG793" t="str">
        <f>tbl_OriginalData[[#This Row],[Purchase_Intent]]</f>
        <v>Wants-based</v>
      </c>
      <c r="BH793" t="str">
        <f>tbl_OriginalData[[#This Row],[Shipping_Preference]]</f>
        <v>Standard</v>
      </c>
      <c r="BI793">
        <f>tbl_OriginalData[[#This Row],[Time_to_Decision]]</f>
        <v>10</v>
      </c>
      <c r="BJ793" t="s">
        <v>86</v>
      </c>
      <c r="BK793" t="s">
        <v>48</v>
      </c>
      <c r="BL793" t="s">
        <v>2524</v>
      </c>
    </row>
    <row r="794" spans="1:64">
      <c r="A794" t="s">
        <v>1823</v>
      </c>
      <c r="B794">
        <v>32</v>
      </c>
      <c r="C794" t="s">
        <v>50</v>
      </c>
      <c r="D794" t="s">
        <v>51</v>
      </c>
      <c r="E794" t="s">
        <v>92</v>
      </c>
      <c r="F794" t="s">
        <v>52</v>
      </c>
      <c r="G794" t="s">
        <v>34</v>
      </c>
      <c r="H794" t="s">
        <v>1824</v>
      </c>
      <c r="I794" t="s">
        <v>306</v>
      </c>
      <c r="J794">
        <v>363.98</v>
      </c>
      <c r="K794">
        <v>4</v>
      </c>
      <c r="L794" t="s">
        <v>94</v>
      </c>
      <c r="M794">
        <v>4</v>
      </c>
      <c r="N794">
        <v>4</v>
      </c>
      <c r="O794">
        <v>1</v>
      </c>
      <c r="P794" t="s">
        <v>40</v>
      </c>
      <c r="Q794" t="s">
        <v>41</v>
      </c>
      <c r="R794">
        <v>2</v>
      </c>
      <c r="S794">
        <v>7</v>
      </c>
      <c r="T794" t="s">
        <v>40</v>
      </c>
      <c r="U794" t="s">
        <v>42</v>
      </c>
      <c r="V794" t="s">
        <v>58</v>
      </c>
      <c r="W794" s="1">
        <v>45439</v>
      </c>
      <c r="X794" t="b">
        <v>1</v>
      </c>
      <c r="Y794" t="b">
        <v>1</v>
      </c>
      <c r="Z794" t="s">
        <v>89</v>
      </c>
      <c r="AA794" t="s">
        <v>77</v>
      </c>
      <c r="AB794">
        <v>1</v>
      </c>
      <c r="AF794" t="str">
        <f>tbl_OriginalData[[#This Row],[Customer_ID]]</f>
        <v>66-772-9922</v>
      </c>
      <c r="AG794">
        <f>tbl_OriginalData[[#This Row],[Age]]</f>
        <v>32</v>
      </c>
      <c r="AH794" t="str" cm="1">
        <f t="array" ref="AH79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94" t="str">
        <f>tbl_OriginalData[[#This Row],[Gender]]</f>
        <v>Male</v>
      </c>
      <c r="AJ794" t="str">
        <f>tbl_OriginalData[[#This Row],[Income_Level]]</f>
        <v>High</v>
      </c>
      <c r="AK794" t="str">
        <f>tbl_OriginalData[[#This Row],[Marital_Status]]</f>
        <v>Divorced</v>
      </c>
      <c r="AL794" t="str">
        <f>tbl_OriginalData[[#This Row],[Education_Level]]</f>
        <v>High School</v>
      </c>
      <c r="AM794" t="str">
        <f>tbl_OriginalData[[#This Row],[Occupation]]</f>
        <v>Middle</v>
      </c>
      <c r="AN794" t="s">
        <v>1824</v>
      </c>
      <c r="AO794" t="s">
        <v>85</v>
      </c>
      <c r="AP794" t="str">
        <f>tbl_OriginalData[[#This Row],[Purchase_Category]]</f>
        <v>Jewelry &amp; Accessories</v>
      </c>
      <c r="AQ794" s="4">
        <f>tbl_OriginalData[[#This Row],[Purchase_Amount]]</f>
        <v>363.98</v>
      </c>
      <c r="AR794">
        <f>tbl_OriginalData[[#This Row],[Frequency_of_Purchase]]</f>
        <v>4</v>
      </c>
      <c r="AS794" t="str">
        <f>tbl_OriginalData[[#This Row],[Purchase_Channel]]</f>
        <v>Online</v>
      </c>
      <c r="AT794">
        <f>tbl_OriginalData[[#This Row],[Brand_Loyalty]]</f>
        <v>4</v>
      </c>
      <c r="AU794">
        <f>tbl_OriginalData[[#This Row],[Product_Rating]]</f>
        <v>4</v>
      </c>
      <c r="AV794">
        <f>tbl_OriginalData[[#This Row],[Time_Spent_on_Product_Research(hours)]]*60</f>
        <v>60</v>
      </c>
      <c r="AW794" t="str">
        <f>tbl_OriginalData[[#This Row],[Social_Media_Influence]]</f>
        <v>None</v>
      </c>
      <c r="AX794" t="str">
        <f>tbl_OriginalData[[#This Row],[Discount_Sensitivity]]</f>
        <v>Somewhat Sensitive</v>
      </c>
      <c r="AY794" s="3">
        <f>tbl_OriginalData[[#This Row],[Return_Rate]]/tbl_OriginalData[[#This Row],[Frequency_of_Purchase]]</f>
        <v>0.5</v>
      </c>
      <c r="AZ794">
        <f>tbl_OriginalData[[#This Row],[Customer_Satisfaction]]</f>
        <v>7</v>
      </c>
      <c r="BA794" t="str">
        <f>tbl_OriginalData[[#This Row],[Engagement_with_Ads]]</f>
        <v>None</v>
      </c>
      <c r="BB794" t="str">
        <f>tbl_OriginalData[[#This Row],[Device_Used_for_Shopping]]</f>
        <v>Tablet</v>
      </c>
      <c r="BC794" t="str">
        <f>tbl_OriginalData[[#This Row],[Payment_Method]]</f>
        <v>PayPal</v>
      </c>
      <c r="BD794" s="1">
        <f>tbl_OriginalData[[#This Row],[Time_of_Purchase]]</f>
        <v>45439</v>
      </c>
      <c r="BE794" t="str">
        <f>IF(tbl_OriginalData[[#This Row],[Discount_Used]]=TRUE,"Yes","No")</f>
        <v>Yes</v>
      </c>
      <c r="BF794" t="str">
        <f>IF(tbl_OriginalData[[#This Row],[Customer_Loyalty_Program_Member]]=TRUE,"Yes","No")</f>
        <v>Yes</v>
      </c>
      <c r="BG794" t="str">
        <f>tbl_OriginalData[[#This Row],[Purchase_Intent]]</f>
        <v>Planned</v>
      </c>
      <c r="BH794" t="str">
        <f>tbl_OriginalData[[#This Row],[Shipping_Preference]]</f>
        <v>Express</v>
      </c>
      <c r="BI794">
        <f>tbl_OriginalData[[#This Row],[Time_to_Decision]]</f>
        <v>1</v>
      </c>
      <c r="BJ794" t="s">
        <v>167</v>
      </c>
      <c r="BK794" t="s">
        <v>63</v>
      </c>
      <c r="BL794" t="s">
        <v>2524</v>
      </c>
    </row>
    <row r="795" spans="1:64">
      <c r="A795" t="s">
        <v>1825</v>
      </c>
      <c r="B795">
        <v>47</v>
      </c>
      <c r="C795" t="s">
        <v>50</v>
      </c>
      <c r="D795" t="s">
        <v>34</v>
      </c>
      <c r="E795" t="s">
        <v>82</v>
      </c>
      <c r="F795" t="s">
        <v>36</v>
      </c>
      <c r="G795" t="s">
        <v>51</v>
      </c>
      <c r="H795" t="s">
        <v>1826</v>
      </c>
      <c r="I795" t="s">
        <v>98</v>
      </c>
      <c r="J795">
        <v>249.6</v>
      </c>
      <c r="K795">
        <v>7</v>
      </c>
      <c r="L795" t="s">
        <v>39</v>
      </c>
      <c r="M795">
        <v>4</v>
      </c>
      <c r="N795">
        <v>1</v>
      </c>
      <c r="O795">
        <v>1</v>
      </c>
      <c r="P795" t="s">
        <v>69</v>
      </c>
      <c r="Q795" t="s">
        <v>41</v>
      </c>
      <c r="R795">
        <v>2</v>
      </c>
      <c r="S795">
        <v>7</v>
      </c>
      <c r="T795" t="s">
        <v>51</v>
      </c>
      <c r="U795" t="s">
        <v>70</v>
      </c>
      <c r="V795" t="s">
        <v>71</v>
      </c>
      <c r="W795" s="1">
        <v>45423</v>
      </c>
      <c r="X795" t="b">
        <v>1</v>
      </c>
      <c r="Y795" t="b">
        <v>0</v>
      </c>
      <c r="Z795" t="s">
        <v>59</v>
      </c>
      <c r="AA795" t="s">
        <v>60</v>
      </c>
      <c r="AB795">
        <v>11</v>
      </c>
      <c r="AF795" t="str">
        <f>tbl_OriginalData[[#This Row],[Customer_ID]]</f>
        <v>23-246-5927</v>
      </c>
      <c r="AG795">
        <f>tbl_OriginalData[[#This Row],[Age]]</f>
        <v>47</v>
      </c>
      <c r="AH795" t="str" cm="1">
        <f t="array" ref="AH79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95" t="str">
        <f>tbl_OriginalData[[#This Row],[Gender]]</f>
        <v>Male</v>
      </c>
      <c r="AJ795" t="str">
        <f>tbl_OriginalData[[#This Row],[Income_Level]]</f>
        <v>Middle</v>
      </c>
      <c r="AK795" t="str">
        <f>tbl_OriginalData[[#This Row],[Marital_Status]]</f>
        <v>Widowed</v>
      </c>
      <c r="AL795" t="str">
        <f>tbl_OriginalData[[#This Row],[Education_Level]]</f>
        <v>Bachelor's</v>
      </c>
      <c r="AM795" t="str">
        <f>tbl_OriginalData[[#This Row],[Occupation]]</f>
        <v>High</v>
      </c>
      <c r="AN795" t="s">
        <v>1826</v>
      </c>
      <c r="AO795" t="s">
        <v>186</v>
      </c>
      <c r="AP795" t="str">
        <f>tbl_OriginalData[[#This Row],[Purchase_Category]]</f>
        <v>Books</v>
      </c>
      <c r="AQ795" s="4">
        <f>tbl_OriginalData[[#This Row],[Purchase_Amount]]</f>
        <v>249.6</v>
      </c>
      <c r="AR795">
        <f>tbl_OriginalData[[#This Row],[Frequency_of_Purchase]]</f>
        <v>7</v>
      </c>
      <c r="AS795" t="str">
        <f>tbl_OriginalData[[#This Row],[Purchase_Channel]]</f>
        <v>Mixed</v>
      </c>
      <c r="AT795">
        <f>tbl_OriginalData[[#This Row],[Brand_Loyalty]]</f>
        <v>4</v>
      </c>
      <c r="AU795">
        <f>tbl_OriginalData[[#This Row],[Product_Rating]]</f>
        <v>1</v>
      </c>
      <c r="AV795">
        <f>tbl_OriginalData[[#This Row],[Time_Spent_on_Product_Research(hours)]]*60</f>
        <v>60</v>
      </c>
      <c r="AW795" t="str">
        <f>tbl_OriginalData[[#This Row],[Social_Media_Influence]]</f>
        <v>Low</v>
      </c>
      <c r="AX795" t="str">
        <f>tbl_OriginalData[[#This Row],[Discount_Sensitivity]]</f>
        <v>Somewhat Sensitive</v>
      </c>
      <c r="AY795" s="3">
        <f>tbl_OriginalData[[#This Row],[Return_Rate]]/tbl_OriginalData[[#This Row],[Frequency_of_Purchase]]</f>
        <v>0.2857142857142857</v>
      </c>
      <c r="AZ795">
        <f>tbl_OriginalData[[#This Row],[Customer_Satisfaction]]</f>
        <v>7</v>
      </c>
      <c r="BA795" t="str">
        <f>tbl_OriginalData[[#This Row],[Engagement_with_Ads]]</f>
        <v>High</v>
      </c>
      <c r="BB795" t="str">
        <f>tbl_OriginalData[[#This Row],[Device_Used_for_Shopping]]</f>
        <v>Smartphone</v>
      </c>
      <c r="BC795" t="str">
        <f>tbl_OriginalData[[#This Row],[Payment_Method]]</f>
        <v>Debit Card</v>
      </c>
      <c r="BD795" s="1">
        <f>tbl_OriginalData[[#This Row],[Time_of_Purchase]]</f>
        <v>45423</v>
      </c>
      <c r="BE795" t="str">
        <f>IF(tbl_OriginalData[[#This Row],[Discount_Used]]=TRUE,"Yes","No")</f>
        <v>Yes</v>
      </c>
      <c r="BF795" t="str">
        <f>IF(tbl_OriginalData[[#This Row],[Customer_Loyalty_Program_Member]]=TRUE,"Yes","No")</f>
        <v>No</v>
      </c>
      <c r="BG795" t="str">
        <f>tbl_OriginalData[[#This Row],[Purchase_Intent]]</f>
        <v>Wants-based</v>
      </c>
      <c r="BH795" t="str">
        <f>tbl_OriginalData[[#This Row],[Shipping_Preference]]</f>
        <v>Standard</v>
      </c>
      <c r="BI795">
        <f>tbl_OriginalData[[#This Row],[Time_to_Decision]]</f>
        <v>11</v>
      </c>
      <c r="BJ795" t="s">
        <v>167</v>
      </c>
      <c r="BK795" t="s">
        <v>63</v>
      </c>
      <c r="BL795" t="s">
        <v>2523</v>
      </c>
    </row>
    <row r="796" spans="1:64">
      <c r="A796" t="s">
        <v>1827</v>
      </c>
      <c r="B796">
        <v>19</v>
      </c>
      <c r="C796" t="s">
        <v>50</v>
      </c>
      <c r="D796" t="s">
        <v>51</v>
      </c>
      <c r="E796" t="s">
        <v>35</v>
      </c>
      <c r="F796" t="s">
        <v>36</v>
      </c>
      <c r="G796" t="s">
        <v>34</v>
      </c>
      <c r="H796" t="s">
        <v>1828</v>
      </c>
      <c r="I796" t="s">
        <v>147</v>
      </c>
      <c r="J796">
        <v>345.04</v>
      </c>
      <c r="K796">
        <v>12</v>
      </c>
      <c r="L796" t="s">
        <v>55</v>
      </c>
      <c r="M796">
        <v>1</v>
      </c>
      <c r="N796">
        <v>5</v>
      </c>
      <c r="O796">
        <v>1</v>
      </c>
      <c r="P796" t="s">
        <v>69</v>
      </c>
      <c r="Q796" t="s">
        <v>41</v>
      </c>
      <c r="R796">
        <v>0</v>
      </c>
      <c r="S796">
        <v>8</v>
      </c>
      <c r="T796" t="s">
        <v>56</v>
      </c>
      <c r="U796" t="s">
        <v>42</v>
      </c>
      <c r="V796" t="s">
        <v>43</v>
      </c>
      <c r="W796" s="1">
        <v>45581</v>
      </c>
      <c r="X796" t="b">
        <v>1</v>
      </c>
      <c r="Y796" t="b">
        <v>1</v>
      </c>
      <c r="Z796" t="s">
        <v>89</v>
      </c>
      <c r="AA796" t="s">
        <v>77</v>
      </c>
      <c r="AB796">
        <v>13</v>
      </c>
      <c r="AF796" t="str">
        <f>tbl_OriginalData[[#This Row],[Customer_ID]]</f>
        <v>74-022-7557</v>
      </c>
      <c r="AG796">
        <f>tbl_OriginalData[[#This Row],[Age]]</f>
        <v>19</v>
      </c>
      <c r="AH796" t="str" cm="1">
        <f t="array" ref="AH79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796" t="str">
        <f>tbl_OriginalData[[#This Row],[Gender]]</f>
        <v>Male</v>
      </c>
      <c r="AJ796" t="str">
        <f>tbl_OriginalData[[#This Row],[Income_Level]]</f>
        <v>High</v>
      </c>
      <c r="AK796" t="str">
        <f>tbl_OriginalData[[#This Row],[Marital_Status]]</f>
        <v>Married</v>
      </c>
      <c r="AL796" t="str">
        <f>tbl_OriginalData[[#This Row],[Education_Level]]</f>
        <v>Bachelor's</v>
      </c>
      <c r="AM796" t="str">
        <f>tbl_OriginalData[[#This Row],[Occupation]]</f>
        <v>Middle</v>
      </c>
      <c r="AN796" t="s">
        <v>1828</v>
      </c>
      <c r="AO796" t="s">
        <v>1829</v>
      </c>
      <c r="AP796" t="str">
        <f>tbl_OriginalData[[#This Row],[Purchase_Category]]</f>
        <v>Electronics</v>
      </c>
      <c r="AQ796" s="4">
        <f>tbl_OriginalData[[#This Row],[Purchase_Amount]]</f>
        <v>345.04</v>
      </c>
      <c r="AR796">
        <f>tbl_OriginalData[[#This Row],[Frequency_of_Purchase]]</f>
        <v>12</v>
      </c>
      <c r="AS796" t="str">
        <f>tbl_OriginalData[[#This Row],[Purchase_Channel]]</f>
        <v>In-Store</v>
      </c>
      <c r="AT796">
        <f>tbl_OriginalData[[#This Row],[Brand_Loyalty]]</f>
        <v>1</v>
      </c>
      <c r="AU796">
        <f>tbl_OriginalData[[#This Row],[Product_Rating]]</f>
        <v>5</v>
      </c>
      <c r="AV796">
        <f>tbl_OriginalData[[#This Row],[Time_Spent_on_Product_Research(hours)]]*60</f>
        <v>60</v>
      </c>
      <c r="AW796" t="str">
        <f>tbl_OriginalData[[#This Row],[Social_Media_Influence]]</f>
        <v>Low</v>
      </c>
      <c r="AX796" t="str">
        <f>tbl_OriginalData[[#This Row],[Discount_Sensitivity]]</f>
        <v>Somewhat Sensitive</v>
      </c>
      <c r="AY796" s="3">
        <f>tbl_OriginalData[[#This Row],[Return_Rate]]/tbl_OriginalData[[#This Row],[Frequency_of_Purchase]]</f>
        <v>0</v>
      </c>
      <c r="AZ796">
        <f>tbl_OriginalData[[#This Row],[Customer_Satisfaction]]</f>
        <v>8</v>
      </c>
      <c r="BA796" t="str">
        <f>tbl_OriginalData[[#This Row],[Engagement_with_Ads]]</f>
        <v>Medium</v>
      </c>
      <c r="BB796" t="str">
        <f>tbl_OriginalData[[#This Row],[Device_Used_for_Shopping]]</f>
        <v>Tablet</v>
      </c>
      <c r="BC796" t="str">
        <f>tbl_OriginalData[[#This Row],[Payment_Method]]</f>
        <v>Credit Card</v>
      </c>
      <c r="BD796" s="1">
        <f>tbl_OriginalData[[#This Row],[Time_of_Purchase]]</f>
        <v>45581</v>
      </c>
      <c r="BE796" t="str">
        <f>IF(tbl_OriginalData[[#This Row],[Discount_Used]]=TRUE,"Yes","No")</f>
        <v>Yes</v>
      </c>
      <c r="BF796" t="str">
        <f>IF(tbl_OriginalData[[#This Row],[Customer_Loyalty_Program_Member]]=TRUE,"Yes","No")</f>
        <v>Yes</v>
      </c>
      <c r="BG796" t="str">
        <f>tbl_OriginalData[[#This Row],[Purchase_Intent]]</f>
        <v>Planned</v>
      </c>
      <c r="BH796" t="str">
        <f>tbl_OriginalData[[#This Row],[Shipping_Preference]]</f>
        <v>Express</v>
      </c>
      <c r="BI796">
        <f>tbl_OriginalData[[#This Row],[Time_to_Decision]]</f>
        <v>13</v>
      </c>
      <c r="BJ796" t="s">
        <v>79</v>
      </c>
      <c r="BK796" t="s">
        <v>80</v>
      </c>
      <c r="BL796" t="s">
        <v>2524</v>
      </c>
    </row>
    <row r="797" spans="1:64">
      <c r="A797" t="s">
        <v>1830</v>
      </c>
      <c r="B797">
        <v>48</v>
      </c>
      <c r="C797" t="s">
        <v>33</v>
      </c>
      <c r="D797" t="s">
        <v>34</v>
      </c>
      <c r="E797" t="s">
        <v>65</v>
      </c>
      <c r="F797" t="s">
        <v>52</v>
      </c>
      <c r="G797" t="s">
        <v>51</v>
      </c>
      <c r="H797" t="s">
        <v>1831</v>
      </c>
      <c r="I797" t="s">
        <v>170</v>
      </c>
      <c r="J797">
        <v>59.15</v>
      </c>
      <c r="K797">
        <v>3</v>
      </c>
      <c r="L797" t="s">
        <v>55</v>
      </c>
      <c r="M797">
        <v>4</v>
      </c>
      <c r="N797">
        <v>2</v>
      </c>
      <c r="O797">
        <v>1</v>
      </c>
      <c r="P797" t="s">
        <v>40</v>
      </c>
      <c r="Q797" t="s">
        <v>57</v>
      </c>
      <c r="R797">
        <v>0</v>
      </c>
      <c r="S797">
        <v>1</v>
      </c>
      <c r="T797" t="s">
        <v>51</v>
      </c>
      <c r="U797" t="s">
        <v>95</v>
      </c>
      <c r="V797" t="s">
        <v>71</v>
      </c>
      <c r="W797" s="1">
        <v>45401</v>
      </c>
      <c r="X797" t="b">
        <v>0</v>
      </c>
      <c r="Y797" t="b">
        <v>0</v>
      </c>
      <c r="Z797" t="s">
        <v>44</v>
      </c>
      <c r="AA797" t="s">
        <v>60</v>
      </c>
      <c r="AB797">
        <v>8</v>
      </c>
      <c r="AF797" t="str">
        <f>tbl_OriginalData[[#This Row],[Customer_ID]]</f>
        <v>78-214-5658</v>
      </c>
      <c r="AG797">
        <f>tbl_OriginalData[[#This Row],[Age]]</f>
        <v>48</v>
      </c>
      <c r="AH797" t="str" cm="1">
        <f t="array" ref="AH79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797" t="str">
        <f>tbl_OriginalData[[#This Row],[Gender]]</f>
        <v>Female</v>
      </c>
      <c r="AJ797" t="str">
        <f>tbl_OriginalData[[#This Row],[Income_Level]]</f>
        <v>Middle</v>
      </c>
      <c r="AK797" t="str">
        <f>tbl_OriginalData[[#This Row],[Marital_Status]]</f>
        <v>Single</v>
      </c>
      <c r="AL797" t="str">
        <f>tbl_OriginalData[[#This Row],[Education_Level]]</f>
        <v>High School</v>
      </c>
      <c r="AM797" t="str">
        <f>tbl_OriginalData[[#This Row],[Occupation]]</f>
        <v>High</v>
      </c>
      <c r="AN797" t="s">
        <v>1831</v>
      </c>
      <c r="AO797" t="s">
        <v>328</v>
      </c>
      <c r="AP797" t="str">
        <f>tbl_OriginalData[[#This Row],[Purchase_Category]]</f>
        <v>Arts &amp; Crafts</v>
      </c>
      <c r="AQ797" s="4">
        <f>tbl_OriginalData[[#This Row],[Purchase_Amount]]</f>
        <v>59.15</v>
      </c>
      <c r="AR797">
        <f>tbl_OriginalData[[#This Row],[Frequency_of_Purchase]]</f>
        <v>3</v>
      </c>
      <c r="AS797" t="str">
        <f>tbl_OriginalData[[#This Row],[Purchase_Channel]]</f>
        <v>In-Store</v>
      </c>
      <c r="AT797">
        <f>tbl_OriginalData[[#This Row],[Brand_Loyalty]]</f>
        <v>4</v>
      </c>
      <c r="AU797">
        <f>tbl_OriginalData[[#This Row],[Product_Rating]]</f>
        <v>2</v>
      </c>
      <c r="AV797">
        <f>tbl_OriginalData[[#This Row],[Time_Spent_on_Product_Research(hours)]]*60</f>
        <v>60</v>
      </c>
      <c r="AW797" t="str">
        <f>tbl_OriginalData[[#This Row],[Social_Media_Influence]]</f>
        <v>None</v>
      </c>
      <c r="AX797" t="str">
        <f>tbl_OriginalData[[#This Row],[Discount_Sensitivity]]</f>
        <v>Not Sensitive</v>
      </c>
      <c r="AY797" s="3">
        <f>tbl_OriginalData[[#This Row],[Return_Rate]]/tbl_OriginalData[[#This Row],[Frequency_of_Purchase]]</f>
        <v>0</v>
      </c>
      <c r="AZ797">
        <f>tbl_OriginalData[[#This Row],[Customer_Satisfaction]]</f>
        <v>1</v>
      </c>
      <c r="BA797" t="str">
        <f>tbl_OriginalData[[#This Row],[Engagement_with_Ads]]</f>
        <v>High</v>
      </c>
      <c r="BB797" t="str">
        <f>tbl_OriginalData[[#This Row],[Device_Used_for_Shopping]]</f>
        <v>Desktop</v>
      </c>
      <c r="BC797" t="str">
        <f>tbl_OriginalData[[#This Row],[Payment_Method]]</f>
        <v>Debit Card</v>
      </c>
      <c r="BD797" s="1">
        <f>tbl_OriginalData[[#This Row],[Time_of_Purchase]]</f>
        <v>45401</v>
      </c>
      <c r="BE797" t="str">
        <f>IF(tbl_OriginalData[[#This Row],[Discount_Used]]=TRUE,"Yes","No")</f>
        <v>No</v>
      </c>
      <c r="BF797" t="str">
        <f>IF(tbl_OriginalData[[#This Row],[Customer_Loyalty_Program_Member]]=TRUE,"Yes","No")</f>
        <v>No</v>
      </c>
      <c r="BG797" t="str">
        <f>tbl_OriginalData[[#This Row],[Purchase_Intent]]</f>
        <v>Need-based</v>
      </c>
      <c r="BH797" t="str">
        <f>tbl_OriginalData[[#This Row],[Shipping_Preference]]</f>
        <v>Standard</v>
      </c>
      <c r="BI797">
        <f>tbl_OriginalData[[#This Row],[Time_to_Decision]]</f>
        <v>8</v>
      </c>
      <c r="BJ797" t="s">
        <v>62</v>
      </c>
      <c r="BK797" t="s">
        <v>63</v>
      </c>
      <c r="BL797" t="s">
        <v>2527</v>
      </c>
    </row>
    <row r="798" spans="1:64">
      <c r="A798" t="s">
        <v>1832</v>
      </c>
      <c r="B798">
        <v>27</v>
      </c>
      <c r="C798" t="s">
        <v>50</v>
      </c>
      <c r="D798" t="s">
        <v>51</v>
      </c>
      <c r="E798" t="s">
        <v>65</v>
      </c>
      <c r="F798" t="s">
        <v>66</v>
      </c>
      <c r="G798" t="s">
        <v>51</v>
      </c>
      <c r="H798" t="s">
        <v>1833</v>
      </c>
      <c r="I798" t="s">
        <v>75</v>
      </c>
      <c r="J798">
        <v>461.81</v>
      </c>
      <c r="K798">
        <v>12</v>
      </c>
      <c r="L798" t="s">
        <v>39</v>
      </c>
      <c r="M798">
        <v>4</v>
      </c>
      <c r="N798">
        <v>3</v>
      </c>
      <c r="O798">
        <v>0</v>
      </c>
      <c r="P798" t="s">
        <v>56</v>
      </c>
      <c r="Q798" t="s">
        <v>101</v>
      </c>
      <c r="R798">
        <v>0</v>
      </c>
      <c r="S798">
        <v>8</v>
      </c>
      <c r="T798" t="s">
        <v>69</v>
      </c>
      <c r="U798" t="s">
        <v>95</v>
      </c>
      <c r="V798" t="s">
        <v>76</v>
      </c>
      <c r="W798" s="1">
        <v>45450</v>
      </c>
      <c r="X798" t="b">
        <v>1</v>
      </c>
      <c r="Y798" t="b">
        <v>0</v>
      </c>
      <c r="Z798" t="s">
        <v>59</v>
      </c>
      <c r="AA798" t="s">
        <v>45</v>
      </c>
      <c r="AB798">
        <v>8</v>
      </c>
      <c r="AF798" t="str">
        <f>tbl_OriginalData[[#This Row],[Customer_ID]]</f>
        <v>25-286-8786</v>
      </c>
      <c r="AG798">
        <f>tbl_OriginalData[[#This Row],[Age]]</f>
        <v>27</v>
      </c>
      <c r="AH798" t="str" cm="1">
        <f t="array" ref="AH79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798" t="str">
        <f>tbl_OriginalData[[#This Row],[Gender]]</f>
        <v>Male</v>
      </c>
      <c r="AJ798" t="str">
        <f>tbl_OriginalData[[#This Row],[Income_Level]]</f>
        <v>High</v>
      </c>
      <c r="AK798" t="str">
        <f>tbl_OriginalData[[#This Row],[Marital_Status]]</f>
        <v>Single</v>
      </c>
      <c r="AL798" t="str">
        <f>tbl_OriginalData[[#This Row],[Education_Level]]</f>
        <v>Master's</v>
      </c>
      <c r="AM798" t="str">
        <f>tbl_OriginalData[[#This Row],[Occupation]]</f>
        <v>High</v>
      </c>
      <c r="AN798" t="s">
        <v>1833</v>
      </c>
      <c r="AO798" t="s">
        <v>481</v>
      </c>
      <c r="AP798" t="str">
        <f>tbl_OriginalData[[#This Row],[Purchase_Category]]</f>
        <v>Home Appliances</v>
      </c>
      <c r="AQ798" s="4">
        <f>tbl_OriginalData[[#This Row],[Purchase_Amount]]</f>
        <v>461.81</v>
      </c>
      <c r="AR798">
        <f>tbl_OriginalData[[#This Row],[Frequency_of_Purchase]]</f>
        <v>12</v>
      </c>
      <c r="AS798" t="str">
        <f>tbl_OriginalData[[#This Row],[Purchase_Channel]]</f>
        <v>Mixed</v>
      </c>
      <c r="AT798">
        <f>tbl_OriginalData[[#This Row],[Brand_Loyalty]]</f>
        <v>4</v>
      </c>
      <c r="AU798">
        <f>tbl_OriginalData[[#This Row],[Product_Rating]]</f>
        <v>3</v>
      </c>
      <c r="AV798">
        <f>tbl_OriginalData[[#This Row],[Time_Spent_on_Product_Research(hours)]]*60</f>
        <v>0</v>
      </c>
      <c r="AW798" t="str">
        <f>tbl_OriginalData[[#This Row],[Social_Media_Influence]]</f>
        <v>Medium</v>
      </c>
      <c r="AX798" t="str">
        <f>tbl_OriginalData[[#This Row],[Discount_Sensitivity]]</f>
        <v>Very Sensitive</v>
      </c>
      <c r="AY798" s="3">
        <f>tbl_OriginalData[[#This Row],[Return_Rate]]/tbl_OriginalData[[#This Row],[Frequency_of_Purchase]]</f>
        <v>0</v>
      </c>
      <c r="AZ798">
        <f>tbl_OriginalData[[#This Row],[Customer_Satisfaction]]</f>
        <v>8</v>
      </c>
      <c r="BA798" t="str">
        <f>tbl_OriginalData[[#This Row],[Engagement_with_Ads]]</f>
        <v>Low</v>
      </c>
      <c r="BB798" t="str">
        <f>tbl_OriginalData[[#This Row],[Device_Used_for_Shopping]]</f>
        <v>Desktop</v>
      </c>
      <c r="BC798" t="str">
        <f>tbl_OriginalData[[#This Row],[Payment_Method]]</f>
        <v>Other</v>
      </c>
      <c r="BD798" s="1">
        <f>tbl_OriginalData[[#This Row],[Time_of_Purchase]]</f>
        <v>45450</v>
      </c>
      <c r="BE798" t="str">
        <f>IF(tbl_OriginalData[[#This Row],[Discount_Used]]=TRUE,"Yes","No")</f>
        <v>Yes</v>
      </c>
      <c r="BF798" t="str">
        <f>IF(tbl_OriginalData[[#This Row],[Customer_Loyalty_Program_Member]]=TRUE,"Yes","No")</f>
        <v>No</v>
      </c>
      <c r="BG798" t="str">
        <f>tbl_OriginalData[[#This Row],[Purchase_Intent]]</f>
        <v>Wants-based</v>
      </c>
      <c r="BH798" t="str">
        <f>tbl_OriginalData[[#This Row],[Shipping_Preference]]</f>
        <v>No Preference</v>
      </c>
      <c r="BI798">
        <f>tbl_OriginalData[[#This Row],[Time_to_Decision]]</f>
        <v>8</v>
      </c>
      <c r="BJ798" t="s">
        <v>104</v>
      </c>
      <c r="BK798" t="s">
        <v>63</v>
      </c>
      <c r="BL798" t="s">
        <v>2523</v>
      </c>
    </row>
    <row r="799" spans="1:64">
      <c r="A799" t="s">
        <v>1834</v>
      </c>
      <c r="B799">
        <v>31</v>
      </c>
      <c r="C799" t="s">
        <v>33</v>
      </c>
      <c r="D799" t="s">
        <v>51</v>
      </c>
      <c r="E799" t="s">
        <v>92</v>
      </c>
      <c r="F799" t="s">
        <v>36</v>
      </c>
      <c r="G799" t="s">
        <v>51</v>
      </c>
      <c r="H799" t="s">
        <v>1835</v>
      </c>
      <c r="I799" t="s">
        <v>131</v>
      </c>
      <c r="J799">
        <v>280.88</v>
      </c>
      <c r="K799">
        <v>4</v>
      </c>
      <c r="L799" t="s">
        <v>39</v>
      </c>
      <c r="M799">
        <v>3</v>
      </c>
      <c r="N799">
        <v>4</v>
      </c>
      <c r="O799">
        <v>1</v>
      </c>
      <c r="P799" t="s">
        <v>51</v>
      </c>
      <c r="Q799" t="s">
        <v>57</v>
      </c>
      <c r="R799">
        <v>0</v>
      </c>
      <c r="S799">
        <v>2</v>
      </c>
      <c r="T799" t="s">
        <v>51</v>
      </c>
      <c r="U799" t="s">
        <v>70</v>
      </c>
      <c r="V799" t="s">
        <v>43</v>
      </c>
      <c r="W799" s="1">
        <v>45417</v>
      </c>
      <c r="X799" t="b">
        <v>1</v>
      </c>
      <c r="Y799" t="b">
        <v>1</v>
      </c>
      <c r="Z799" t="s">
        <v>89</v>
      </c>
      <c r="AA799" t="s">
        <v>45</v>
      </c>
      <c r="AB799">
        <v>2</v>
      </c>
      <c r="AF799" t="str">
        <f>tbl_OriginalData[[#This Row],[Customer_ID]]</f>
        <v>55-955-9889</v>
      </c>
      <c r="AG799">
        <f>tbl_OriginalData[[#This Row],[Age]]</f>
        <v>31</v>
      </c>
      <c r="AH799" t="str" cm="1">
        <f t="array" ref="AH79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799" t="str">
        <f>tbl_OriginalData[[#This Row],[Gender]]</f>
        <v>Female</v>
      </c>
      <c r="AJ799" t="str">
        <f>tbl_OriginalData[[#This Row],[Income_Level]]</f>
        <v>High</v>
      </c>
      <c r="AK799" t="str">
        <f>tbl_OriginalData[[#This Row],[Marital_Status]]</f>
        <v>Divorced</v>
      </c>
      <c r="AL799" t="str">
        <f>tbl_OriginalData[[#This Row],[Education_Level]]</f>
        <v>Bachelor's</v>
      </c>
      <c r="AM799" t="str">
        <f>tbl_OriginalData[[#This Row],[Occupation]]</f>
        <v>High</v>
      </c>
      <c r="AN799" t="s">
        <v>1835</v>
      </c>
      <c r="AO799" t="s">
        <v>90</v>
      </c>
      <c r="AP799" t="str">
        <f>tbl_OriginalData[[#This Row],[Purchase_Category]]</f>
        <v>Health Care</v>
      </c>
      <c r="AQ799" s="4">
        <f>tbl_OriginalData[[#This Row],[Purchase_Amount]]</f>
        <v>280.88</v>
      </c>
      <c r="AR799">
        <f>tbl_OriginalData[[#This Row],[Frequency_of_Purchase]]</f>
        <v>4</v>
      </c>
      <c r="AS799" t="str">
        <f>tbl_OriginalData[[#This Row],[Purchase_Channel]]</f>
        <v>Mixed</v>
      </c>
      <c r="AT799">
        <f>tbl_OriginalData[[#This Row],[Brand_Loyalty]]</f>
        <v>3</v>
      </c>
      <c r="AU799">
        <f>tbl_OriginalData[[#This Row],[Product_Rating]]</f>
        <v>4</v>
      </c>
      <c r="AV799">
        <f>tbl_OriginalData[[#This Row],[Time_Spent_on_Product_Research(hours)]]*60</f>
        <v>60</v>
      </c>
      <c r="AW799" t="str">
        <f>tbl_OriginalData[[#This Row],[Social_Media_Influence]]</f>
        <v>High</v>
      </c>
      <c r="AX799" t="str">
        <f>tbl_OriginalData[[#This Row],[Discount_Sensitivity]]</f>
        <v>Not Sensitive</v>
      </c>
      <c r="AY799" s="3">
        <f>tbl_OriginalData[[#This Row],[Return_Rate]]/tbl_OriginalData[[#This Row],[Frequency_of_Purchase]]</f>
        <v>0</v>
      </c>
      <c r="AZ799">
        <f>tbl_OriginalData[[#This Row],[Customer_Satisfaction]]</f>
        <v>2</v>
      </c>
      <c r="BA799" t="str">
        <f>tbl_OriginalData[[#This Row],[Engagement_with_Ads]]</f>
        <v>High</v>
      </c>
      <c r="BB799" t="str">
        <f>tbl_OriginalData[[#This Row],[Device_Used_for_Shopping]]</f>
        <v>Smartphone</v>
      </c>
      <c r="BC799" t="str">
        <f>tbl_OriginalData[[#This Row],[Payment_Method]]</f>
        <v>Credit Card</v>
      </c>
      <c r="BD799" s="1">
        <f>tbl_OriginalData[[#This Row],[Time_of_Purchase]]</f>
        <v>45417</v>
      </c>
      <c r="BE799" t="str">
        <f>IF(tbl_OriginalData[[#This Row],[Discount_Used]]=TRUE,"Yes","No")</f>
        <v>Yes</v>
      </c>
      <c r="BF799" t="str">
        <f>IF(tbl_OriginalData[[#This Row],[Customer_Loyalty_Program_Member]]=TRUE,"Yes","No")</f>
        <v>Yes</v>
      </c>
      <c r="BG799" t="str">
        <f>tbl_OriginalData[[#This Row],[Purchase_Intent]]</f>
        <v>Planned</v>
      </c>
      <c r="BH799" t="str">
        <f>tbl_OriginalData[[#This Row],[Shipping_Preference]]</f>
        <v>No Preference</v>
      </c>
      <c r="BI799">
        <f>tbl_OriginalData[[#This Row],[Time_to_Decision]]</f>
        <v>2</v>
      </c>
      <c r="BJ799" t="s">
        <v>167</v>
      </c>
      <c r="BK799" t="s">
        <v>63</v>
      </c>
      <c r="BL799" t="s">
        <v>2524</v>
      </c>
    </row>
    <row r="800" spans="1:64">
      <c r="A800" t="s">
        <v>1836</v>
      </c>
      <c r="B800">
        <v>44</v>
      </c>
      <c r="C800" t="s">
        <v>50</v>
      </c>
      <c r="D800" t="s">
        <v>34</v>
      </c>
      <c r="E800" t="s">
        <v>35</v>
      </c>
      <c r="F800" t="s">
        <v>66</v>
      </c>
      <c r="G800" t="s">
        <v>34</v>
      </c>
      <c r="H800" t="s">
        <v>1837</v>
      </c>
      <c r="I800" t="s">
        <v>123</v>
      </c>
      <c r="J800">
        <v>283.7</v>
      </c>
      <c r="K800">
        <v>8</v>
      </c>
      <c r="L800" t="s">
        <v>39</v>
      </c>
      <c r="M800">
        <v>2</v>
      </c>
      <c r="N800">
        <v>5</v>
      </c>
      <c r="O800">
        <v>1</v>
      </c>
      <c r="P800" t="s">
        <v>56</v>
      </c>
      <c r="Q800" t="s">
        <v>57</v>
      </c>
      <c r="R800">
        <v>1</v>
      </c>
      <c r="S800">
        <v>3</v>
      </c>
      <c r="T800" t="s">
        <v>69</v>
      </c>
      <c r="U800" t="s">
        <v>70</v>
      </c>
      <c r="V800" t="s">
        <v>102</v>
      </c>
      <c r="W800" s="1">
        <v>45351</v>
      </c>
      <c r="X800" t="b">
        <v>0</v>
      </c>
      <c r="Y800" t="b">
        <v>0</v>
      </c>
      <c r="Z800" t="s">
        <v>72</v>
      </c>
      <c r="AA800" t="s">
        <v>77</v>
      </c>
      <c r="AB800">
        <v>8</v>
      </c>
      <c r="AF800" t="str">
        <f>tbl_OriginalData[[#This Row],[Customer_ID]]</f>
        <v>34-237-3943</v>
      </c>
      <c r="AG800">
        <f>tbl_OriginalData[[#This Row],[Age]]</f>
        <v>44</v>
      </c>
      <c r="AH800" t="str" cm="1">
        <f t="array" ref="AH80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00" t="str">
        <f>tbl_OriginalData[[#This Row],[Gender]]</f>
        <v>Male</v>
      </c>
      <c r="AJ800" t="str">
        <f>tbl_OriginalData[[#This Row],[Income_Level]]</f>
        <v>Middle</v>
      </c>
      <c r="AK800" t="str">
        <f>tbl_OriginalData[[#This Row],[Marital_Status]]</f>
        <v>Married</v>
      </c>
      <c r="AL800" t="str">
        <f>tbl_OriginalData[[#This Row],[Education_Level]]</f>
        <v>Master's</v>
      </c>
      <c r="AM800" t="str">
        <f>tbl_OriginalData[[#This Row],[Occupation]]</f>
        <v>Middle</v>
      </c>
      <c r="AN800" t="s">
        <v>1837</v>
      </c>
      <c r="AO800" t="s">
        <v>61</v>
      </c>
      <c r="AP800" t="str">
        <f>tbl_OriginalData[[#This Row],[Purchase_Category]]</f>
        <v>Luxury Goods</v>
      </c>
      <c r="AQ800" s="4">
        <f>tbl_OriginalData[[#This Row],[Purchase_Amount]]</f>
        <v>283.7</v>
      </c>
      <c r="AR800">
        <f>tbl_OriginalData[[#This Row],[Frequency_of_Purchase]]</f>
        <v>8</v>
      </c>
      <c r="AS800" t="str">
        <f>tbl_OriginalData[[#This Row],[Purchase_Channel]]</f>
        <v>Mixed</v>
      </c>
      <c r="AT800">
        <f>tbl_OriginalData[[#This Row],[Brand_Loyalty]]</f>
        <v>2</v>
      </c>
      <c r="AU800">
        <f>tbl_OriginalData[[#This Row],[Product_Rating]]</f>
        <v>5</v>
      </c>
      <c r="AV800">
        <f>tbl_OriginalData[[#This Row],[Time_Spent_on_Product_Research(hours)]]*60</f>
        <v>60</v>
      </c>
      <c r="AW800" t="str">
        <f>tbl_OriginalData[[#This Row],[Social_Media_Influence]]</f>
        <v>Medium</v>
      </c>
      <c r="AX800" t="str">
        <f>tbl_OriginalData[[#This Row],[Discount_Sensitivity]]</f>
        <v>Not Sensitive</v>
      </c>
      <c r="AY800" s="3">
        <f>tbl_OriginalData[[#This Row],[Return_Rate]]/tbl_OriginalData[[#This Row],[Frequency_of_Purchase]]</f>
        <v>0.125</v>
      </c>
      <c r="AZ800">
        <f>tbl_OriginalData[[#This Row],[Customer_Satisfaction]]</f>
        <v>3</v>
      </c>
      <c r="BA800" t="str">
        <f>tbl_OriginalData[[#This Row],[Engagement_with_Ads]]</f>
        <v>Low</v>
      </c>
      <c r="BB800" t="str">
        <f>tbl_OriginalData[[#This Row],[Device_Used_for_Shopping]]</f>
        <v>Smartphone</v>
      </c>
      <c r="BC800" t="str">
        <f>tbl_OriginalData[[#This Row],[Payment_Method]]</f>
        <v>Cash</v>
      </c>
      <c r="BD800" s="1">
        <f>tbl_OriginalData[[#This Row],[Time_of_Purchase]]</f>
        <v>45351</v>
      </c>
      <c r="BE800" t="str">
        <f>IF(tbl_OriginalData[[#This Row],[Discount_Used]]=TRUE,"Yes","No")</f>
        <v>No</v>
      </c>
      <c r="BF800" t="str">
        <f>IF(tbl_OriginalData[[#This Row],[Customer_Loyalty_Program_Member]]=TRUE,"Yes","No")</f>
        <v>No</v>
      </c>
      <c r="BG800" t="str">
        <f>tbl_OriginalData[[#This Row],[Purchase_Intent]]</f>
        <v>Impulsive</v>
      </c>
      <c r="BH800" t="str">
        <f>tbl_OriginalData[[#This Row],[Shipping_Preference]]</f>
        <v>Express</v>
      </c>
      <c r="BI800">
        <f>tbl_OriginalData[[#This Row],[Time_to_Decision]]</f>
        <v>8</v>
      </c>
      <c r="BJ800" t="s">
        <v>158</v>
      </c>
      <c r="BK800" t="s">
        <v>48</v>
      </c>
      <c r="BL800" t="s">
        <v>2524</v>
      </c>
    </row>
    <row r="801" spans="1:64">
      <c r="A801" t="s">
        <v>1838</v>
      </c>
      <c r="B801">
        <v>24</v>
      </c>
      <c r="C801" t="s">
        <v>33</v>
      </c>
      <c r="D801" t="s">
        <v>51</v>
      </c>
      <c r="E801" t="s">
        <v>82</v>
      </c>
      <c r="F801" t="s">
        <v>52</v>
      </c>
      <c r="G801" t="s">
        <v>34</v>
      </c>
      <c r="H801" t="s">
        <v>1839</v>
      </c>
      <c r="I801" t="s">
        <v>123</v>
      </c>
      <c r="J801">
        <v>411.95</v>
      </c>
      <c r="K801">
        <v>10</v>
      </c>
      <c r="L801" t="s">
        <v>55</v>
      </c>
      <c r="M801">
        <v>5</v>
      </c>
      <c r="N801">
        <v>3</v>
      </c>
      <c r="O801">
        <v>1</v>
      </c>
      <c r="P801" t="s">
        <v>40</v>
      </c>
      <c r="Q801" t="s">
        <v>57</v>
      </c>
      <c r="R801">
        <v>0</v>
      </c>
      <c r="S801">
        <v>4</v>
      </c>
      <c r="T801" t="s">
        <v>40</v>
      </c>
      <c r="U801" t="s">
        <v>70</v>
      </c>
      <c r="V801" t="s">
        <v>58</v>
      </c>
      <c r="W801" s="1">
        <v>45644</v>
      </c>
      <c r="X801" t="b">
        <v>1</v>
      </c>
      <c r="Y801" t="b">
        <v>1</v>
      </c>
      <c r="Z801" t="s">
        <v>72</v>
      </c>
      <c r="AA801" t="s">
        <v>60</v>
      </c>
      <c r="AB801">
        <v>5</v>
      </c>
      <c r="AF801" t="str">
        <f>tbl_OriginalData[[#This Row],[Customer_ID]]</f>
        <v>19-386-9088</v>
      </c>
      <c r="AG801">
        <f>tbl_OriginalData[[#This Row],[Age]]</f>
        <v>24</v>
      </c>
      <c r="AH801" t="str" cm="1">
        <f t="array" ref="AH80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01" t="str">
        <f>tbl_OriginalData[[#This Row],[Gender]]</f>
        <v>Female</v>
      </c>
      <c r="AJ801" t="str">
        <f>tbl_OriginalData[[#This Row],[Income_Level]]</f>
        <v>High</v>
      </c>
      <c r="AK801" t="str">
        <f>tbl_OriginalData[[#This Row],[Marital_Status]]</f>
        <v>Widowed</v>
      </c>
      <c r="AL801" t="str">
        <f>tbl_OriginalData[[#This Row],[Education_Level]]</f>
        <v>High School</v>
      </c>
      <c r="AM801" t="str">
        <f>tbl_OriginalData[[#This Row],[Occupation]]</f>
        <v>Middle</v>
      </c>
      <c r="AN801" t="s">
        <v>1839</v>
      </c>
      <c r="AO801" t="s">
        <v>132</v>
      </c>
      <c r="AP801" t="str">
        <f>tbl_OriginalData[[#This Row],[Purchase_Category]]</f>
        <v>Luxury Goods</v>
      </c>
      <c r="AQ801" s="4">
        <f>tbl_OriginalData[[#This Row],[Purchase_Amount]]</f>
        <v>411.95</v>
      </c>
      <c r="AR801">
        <f>tbl_OriginalData[[#This Row],[Frequency_of_Purchase]]</f>
        <v>10</v>
      </c>
      <c r="AS801" t="str">
        <f>tbl_OriginalData[[#This Row],[Purchase_Channel]]</f>
        <v>In-Store</v>
      </c>
      <c r="AT801">
        <f>tbl_OriginalData[[#This Row],[Brand_Loyalty]]</f>
        <v>5</v>
      </c>
      <c r="AU801">
        <f>tbl_OriginalData[[#This Row],[Product_Rating]]</f>
        <v>3</v>
      </c>
      <c r="AV801">
        <f>tbl_OriginalData[[#This Row],[Time_Spent_on_Product_Research(hours)]]*60</f>
        <v>60</v>
      </c>
      <c r="AW801" t="str">
        <f>tbl_OriginalData[[#This Row],[Social_Media_Influence]]</f>
        <v>None</v>
      </c>
      <c r="AX801" t="str">
        <f>tbl_OriginalData[[#This Row],[Discount_Sensitivity]]</f>
        <v>Not Sensitive</v>
      </c>
      <c r="AY801" s="3">
        <f>tbl_OriginalData[[#This Row],[Return_Rate]]/tbl_OriginalData[[#This Row],[Frequency_of_Purchase]]</f>
        <v>0</v>
      </c>
      <c r="AZ801">
        <f>tbl_OriginalData[[#This Row],[Customer_Satisfaction]]</f>
        <v>4</v>
      </c>
      <c r="BA801" t="str">
        <f>tbl_OriginalData[[#This Row],[Engagement_with_Ads]]</f>
        <v>None</v>
      </c>
      <c r="BB801" t="str">
        <f>tbl_OriginalData[[#This Row],[Device_Used_for_Shopping]]</f>
        <v>Smartphone</v>
      </c>
      <c r="BC801" t="str">
        <f>tbl_OriginalData[[#This Row],[Payment_Method]]</f>
        <v>PayPal</v>
      </c>
      <c r="BD801" s="1">
        <f>tbl_OriginalData[[#This Row],[Time_of_Purchase]]</f>
        <v>45644</v>
      </c>
      <c r="BE801" t="str">
        <f>IF(tbl_OriginalData[[#This Row],[Discount_Used]]=TRUE,"Yes","No")</f>
        <v>Yes</v>
      </c>
      <c r="BF801" t="str">
        <f>IF(tbl_OriginalData[[#This Row],[Customer_Loyalty_Program_Member]]=TRUE,"Yes","No")</f>
        <v>Yes</v>
      </c>
      <c r="BG801" t="str">
        <f>tbl_OriginalData[[#This Row],[Purchase_Intent]]</f>
        <v>Impulsive</v>
      </c>
      <c r="BH801" t="str">
        <f>tbl_OriginalData[[#This Row],[Shipping_Preference]]</f>
        <v>Standard</v>
      </c>
      <c r="BI801">
        <f>tbl_OriginalData[[#This Row],[Time_to_Decision]]</f>
        <v>5</v>
      </c>
      <c r="BJ801" t="s">
        <v>120</v>
      </c>
      <c r="BK801" t="s">
        <v>80</v>
      </c>
      <c r="BL801" t="s">
        <v>2525</v>
      </c>
    </row>
    <row r="802" spans="1:64">
      <c r="A802" t="s">
        <v>1840</v>
      </c>
      <c r="B802">
        <v>32</v>
      </c>
      <c r="C802" t="s">
        <v>33</v>
      </c>
      <c r="D802" t="s">
        <v>34</v>
      </c>
      <c r="E802" t="s">
        <v>82</v>
      </c>
      <c r="F802" t="s">
        <v>66</v>
      </c>
      <c r="G802" t="s">
        <v>34</v>
      </c>
      <c r="H802" t="s">
        <v>1841</v>
      </c>
      <c r="I802" t="s">
        <v>38</v>
      </c>
      <c r="J802">
        <v>476.11</v>
      </c>
      <c r="K802">
        <v>5</v>
      </c>
      <c r="L802" t="s">
        <v>55</v>
      </c>
      <c r="M802">
        <v>1</v>
      </c>
      <c r="N802">
        <v>4</v>
      </c>
      <c r="O802">
        <v>1</v>
      </c>
      <c r="P802" t="s">
        <v>40</v>
      </c>
      <c r="Q802" t="s">
        <v>101</v>
      </c>
      <c r="R802">
        <v>2</v>
      </c>
      <c r="S802">
        <v>10</v>
      </c>
      <c r="T802" t="s">
        <v>51</v>
      </c>
      <c r="U802" t="s">
        <v>95</v>
      </c>
      <c r="V802" t="s">
        <v>71</v>
      </c>
      <c r="W802" s="1">
        <v>45594</v>
      </c>
      <c r="X802" t="b">
        <v>1</v>
      </c>
      <c r="Y802" t="b">
        <v>0</v>
      </c>
      <c r="Z802" t="s">
        <v>59</v>
      </c>
      <c r="AA802" t="s">
        <v>60</v>
      </c>
      <c r="AB802">
        <v>1</v>
      </c>
      <c r="AF802" t="str">
        <f>tbl_OriginalData[[#This Row],[Customer_ID]]</f>
        <v>16-583-2801</v>
      </c>
      <c r="AG802">
        <f>tbl_OriginalData[[#This Row],[Age]]</f>
        <v>32</v>
      </c>
      <c r="AH802" t="str" cm="1">
        <f t="array" ref="AH80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02" t="str">
        <f>tbl_OriginalData[[#This Row],[Gender]]</f>
        <v>Female</v>
      </c>
      <c r="AJ802" t="str">
        <f>tbl_OriginalData[[#This Row],[Income_Level]]</f>
        <v>Middle</v>
      </c>
      <c r="AK802" t="str">
        <f>tbl_OriginalData[[#This Row],[Marital_Status]]</f>
        <v>Widowed</v>
      </c>
      <c r="AL802" t="str">
        <f>tbl_OriginalData[[#This Row],[Education_Level]]</f>
        <v>Master's</v>
      </c>
      <c r="AM802" t="str">
        <f>tbl_OriginalData[[#This Row],[Occupation]]</f>
        <v>Middle</v>
      </c>
      <c r="AN802" t="s">
        <v>1841</v>
      </c>
      <c r="AO802" t="s">
        <v>132</v>
      </c>
      <c r="AP802" t="str">
        <f>tbl_OriginalData[[#This Row],[Purchase_Category]]</f>
        <v>Gardening &amp; Outdoors</v>
      </c>
      <c r="AQ802" s="4">
        <f>tbl_OriginalData[[#This Row],[Purchase_Amount]]</f>
        <v>476.11</v>
      </c>
      <c r="AR802">
        <f>tbl_OriginalData[[#This Row],[Frequency_of_Purchase]]</f>
        <v>5</v>
      </c>
      <c r="AS802" t="str">
        <f>tbl_OriginalData[[#This Row],[Purchase_Channel]]</f>
        <v>In-Store</v>
      </c>
      <c r="AT802">
        <f>tbl_OriginalData[[#This Row],[Brand_Loyalty]]</f>
        <v>1</v>
      </c>
      <c r="AU802">
        <f>tbl_OriginalData[[#This Row],[Product_Rating]]</f>
        <v>4</v>
      </c>
      <c r="AV802">
        <f>tbl_OriginalData[[#This Row],[Time_Spent_on_Product_Research(hours)]]*60</f>
        <v>60</v>
      </c>
      <c r="AW802" t="str">
        <f>tbl_OriginalData[[#This Row],[Social_Media_Influence]]</f>
        <v>None</v>
      </c>
      <c r="AX802" t="str">
        <f>tbl_OriginalData[[#This Row],[Discount_Sensitivity]]</f>
        <v>Very Sensitive</v>
      </c>
      <c r="AY802" s="3">
        <f>tbl_OriginalData[[#This Row],[Return_Rate]]/tbl_OriginalData[[#This Row],[Frequency_of_Purchase]]</f>
        <v>0.4</v>
      </c>
      <c r="AZ802">
        <f>tbl_OriginalData[[#This Row],[Customer_Satisfaction]]</f>
        <v>10</v>
      </c>
      <c r="BA802" t="str">
        <f>tbl_OriginalData[[#This Row],[Engagement_with_Ads]]</f>
        <v>High</v>
      </c>
      <c r="BB802" t="str">
        <f>tbl_OriginalData[[#This Row],[Device_Used_for_Shopping]]</f>
        <v>Desktop</v>
      </c>
      <c r="BC802" t="str">
        <f>tbl_OriginalData[[#This Row],[Payment_Method]]</f>
        <v>Debit Card</v>
      </c>
      <c r="BD802" s="1">
        <f>tbl_OriginalData[[#This Row],[Time_of_Purchase]]</f>
        <v>45594</v>
      </c>
      <c r="BE802" t="str">
        <f>IF(tbl_OriginalData[[#This Row],[Discount_Used]]=TRUE,"Yes","No")</f>
        <v>Yes</v>
      </c>
      <c r="BF802" t="str">
        <f>IF(tbl_OriginalData[[#This Row],[Customer_Loyalty_Program_Member]]=TRUE,"Yes","No")</f>
        <v>No</v>
      </c>
      <c r="BG802" t="str">
        <f>tbl_OriginalData[[#This Row],[Purchase_Intent]]</f>
        <v>Wants-based</v>
      </c>
      <c r="BH802" t="str">
        <f>tbl_OriginalData[[#This Row],[Shipping_Preference]]</f>
        <v>Standard</v>
      </c>
      <c r="BI802">
        <f>tbl_OriginalData[[#This Row],[Time_to_Decision]]</f>
        <v>1</v>
      </c>
      <c r="BJ802" t="s">
        <v>79</v>
      </c>
      <c r="BK802" t="s">
        <v>80</v>
      </c>
      <c r="BL802" t="s">
        <v>2525</v>
      </c>
    </row>
    <row r="803" spans="1:64">
      <c r="A803" t="s">
        <v>1842</v>
      </c>
      <c r="B803">
        <v>28</v>
      </c>
      <c r="C803" t="s">
        <v>33</v>
      </c>
      <c r="D803" t="s">
        <v>34</v>
      </c>
      <c r="E803" t="s">
        <v>35</v>
      </c>
      <c r="F803" t="s">
        <v>66</v>
      </c>
      <c r="G803" t="s">
        <v>51</v>
      </c>
      <c r="H803" t="s">
        <v>1843</v>
      </c>
      <c r="I803" t="s">
        <v>38</v>
      </c>
      <c r="J803">
        <v>399.24</v>
      </c>
      <c r="K803">
        <v>7</v>
      </c>
      <c r="L803" t="s">
        <v>55</v>
      </c>
      <c r="M803">
        <v>4</v>
      </c>
      <c r="N803">
        <v>2</v>
      </c>
      <c r="O803">
        <v>1</v>
      </c>
      <c r="P803" t="s">
        <v>56</v>
      </c>
      <c r="Q803" t="s">
        <v>101</v>
      </c>
      <c r="R803">
        <v>1</v>
      </c>
      <c r="S803">
        <v>2</v>
      </c>
      <c r="T803" t="s">
        <v>56</v>
      </c>
      <c r="U803" t="s">
        <v>70</v>
      </c>
      <c r="V803" t="s">
        <v>71</v>
      </c>
      <c r="W803" s="1">
        <v>45464</v>
      </c>
      <c r="X803" t="b">
        <v>0</v>
      </c>
      <c r="Y803" t="b">
        <v>0</v>
      </c>
      <c r="Z803" t="s">
        <v>44</v>
      </c>
      <c r="AA803" t="s">
        <v>60</v>
      </c>
      <c r="AB803">
        <v>10</v>
      </c>
      <c r="AF803" t="str">
        <f>tbl_OriginalData[[#This Row],[Customer_ID]]</f>
        <v>83-752-5439</v>
      </c>
      <c r="AG803">
        <f>tbl_OriginalData[[#This Row],[Age]]</f>
        <v>28</v>
      </c>
      <c r="AH803" t="str" cm="1">
        <f t="array" ref="AH80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03" t="str">
        <f>tbl_OriginalData[[#This Row],[Gender]]</f>
        <v>Female</v>
      </c>
      <c r="AJ803" t="str">
        <f>tbl_OriginalData[[#This Row],[Income_Level]]</f>
        <v>Middle</v>
      </c>
      <c r="AK803" t="str">
        <f>tbl_OriginalData[[#This Row],[Marital_Status]]</f>
        <v>Married</v>
      </c>
      <c r="AL803" t="str">
        <f>tbl_OriginalData[[#This Row],[Education_Level]]</f>
        <v>Master's</v>
      </c>
      <c r="AM803" t="str">
        <f>tbl_OriginalData[[#This Row],[Occupation]]</f>
        <v>High</v>
      </c>
      <c r="AN803" t="s">
        <v>1843</v>
      </c>
      <c r="AO803" t="s">
        <v>46</v>
      </c>
      <c r="AP803" t="str">
        <f>tbl_OriginalData[[#This Row],[Purchase_Category]]</f>
        <v>Gardening &amp; Outdoors</v>
      </c>
      <c r="AQ803" s="4">
        <f>tbl_OriginalData[[#This Row],[Purchase_Amount]]</f>
        <v>399.24</v>
      </c>
      <c r="AR803">
        <f>tbl_OriginalData[[#This Row],[Frequency_of_Purchase]]</f>
        <v>7</v>
      </c>
      <c r="AS803" t="str">
        <f>tbl_OriginalData[[#This Row],[Purchase_Channel]]</f>
        <v>In-Store</v>
      </c>
      <c r="AT803">
        <f>tbl_OriginalData[[#This Row],[Brand_Loyalty]]</f>
        <v>4</v>
      </c>
      <c r="AU803">
        <f>tbl_OriginalData[[#This Row],[Product_Rating]]</f>
        <v>2</v>
      </c>
      <c r="AV803">
        <f>tbl_OriginalData[[#This Row],[Time_Spent_on_Product_Research(hours)]]*60</f>
        <v>60</v>
      </c>
      <c r="AW803" t="str">
        <f>tbl_OriginalData[[#This Row],[Social_Media_Influence]]</f>
        <v>Medium</v>
      </c>
      <c r="AX803" t="str">
        <f>tbl_OriginalData[[#This Row],[Discount_Sensitivity]]</f>
        <v>Very Sensitive</v>
      </c>
      <c r="AY803" s="3">
        <f>tbl_OriginalData[[#This Row],[Return_Rate]]/tbl_OriginalData[[#This Row],[Frequency_of_Purchase]]</f>
        <v>0.14285714285714285</v>
      </c>
      <c r="AZ803">
        <f>tbl_OriginalData[[#This Row],[Customer_Satisfaction]]</f>
        <v>2</v>
      </c>
      <c r="BA803" t="str">
        <f>tbl_OriginalData[[#This Row],[Engagement_with_Ads]]</f>
        <v>Medium</v>
      </c>
      <c r="BB803" t="str">
        <f>tbl_OriginalData[[#This Row],[Device_Used_for_Shopping]]</f>
        <v>Smartphone</v>
      </c>
      <c r="BC803" t="str">
        <f>tbl_OriginalData[[#This Row],[Payment_Method]]</f>
        <v>Debit Card</v>
      </c>
      <c r="BD803" s="1">
        <f>tbl_OriginalData[[#This Row],[Time_of_Purchase]]</f>
        <v>45464</v>
      </c>
      <c r="BE803" t="str">
        <f>IF(tbl_OriginalData[[#This Row],[Discount_Used]]=TRUE,"Yes","No")</f>
        <v>No</v>
      </c>
      <c r="BF803" t="str">
        <f>IF(tbl_OriginalData[[#This Row],[Customer_Loyalty_Program_Member]]=TRUE,"Yes","No")</f>
        <v>No</v>
      </c>
      <c r="BG803" t="str">
        <f>tbl_OriginalData[[#This Row],[Purchase_Intent]]</f>
        <v>Need-based</v>
      </c>
      <c r="BH803" t="str">
        <f>tbl_OriginalData[[#This Row],[Shipping_Preference]]</f>
        <v>Standard</v>
      </c>
      <c r="BI803">
        <f>tbl_OriginalData[[#This Row],[Time_to_Decision]]</f>
        <v>10</v>
      </c>
      <c r="BJ803" t="s">
        <v>104</v>
      </c>
      <c r="BK803" t="s">
        <v>63</v>
      </c>
      <c r="BL803" t="s">
        <v>2523</v>
      </c>
    </row>
    <row r="804" spans="1:64">
      <c r="A804" t="s">
        <v>1844</v>
      </c>
      <c r="B804">
        <v>26</v>
      </c>
      <c r="C804" t="s">
        <v>50</v>
      </c>
      <c r="D804" t="s">
        <v>34</v>
      </c>
      <c r="E804" t="s">
        <v>92</v>
      </c>
      <c r="F804" t="s">
        <v>66</v>
      </c>
      <c r="G804" t="s">
        <v>34</v>
      </c>
      <c r="H804" t="s">
        <v>1845</v>
      </c>
      <c r="I804" t="s">
        <v>306</v>
      </c>
      <c r="J804">
        <v>90.79</v>
      </c>
      <c r="K804">
        <v>12</v>
      </c>
      <c r="L804" t="s">
        <v>55</v>
      </c>
      <c r="M804">
        <v>4</v>
      </c>
      <c r="N804">
        <v>1</v>
      </c>
      <c r="O804">
        <v>2</v>
      </c>
      <c r="P804" t="s">
        <v>56</v>
      </c>
      <c r="Q804" t="s">
        <v>41</v>
      </c>
      <c r="R804">
        <v>0</v>
      </c>
      <c r="S804">
        <v>2</v>
      </c>
      <c r="T804" t="s">
        <v>56</v>
      </c>
      <c r="U804" t="s">
        <v>42</v>
      </c>
      <c r="V804" t="s">
        <v>76</v>
      </c>
      <c r="W804" s="1">
        <v>45551</v>
      </c>
      <c r="X804" t="b">
        <v>0</v>
      </c>
      <c r="Y804" t="b">
        <v>0</v>
      </c>
      <c r="Z804" t="s">
        <v>89</v>
      </c>
      <c r="AA804" t="s">
        <v>45</v>
      </c>
      <c r="AB804">
        <v>6</v>
      </c>
      <c r="AF804" t="str">
        <f>tbl_OriginalData[[#This Row],[Customer_ID]]</f>
        <v>25-485-2023</v>
      </c>
      <c r="AG804">
        <f>tbl_OriginalData[[#This Row],[Age]]</f>
        <v>26</v>
      </c>
      <c r="AH804" t="str" cm="1">
        <f t="array" ref="AH80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04" t="str">
        <f>tbl_OriginalData[[#This Row],[Gender]]</f>
        <v>Male</v>
      </c>
      <c r="AJ804" t="str">
        <f>tbl_OriginalData[[#This Row],[Income_Level]]</f>
        <v>Middle</v>
      </c>
      <c r="AK804" t="str">
        <f>tbl_OriginalData[[#This Row],[Marital_Status]]</f>
        <v>Divorced</v>
      </c>
      <c r="AL804" t="str">
        <f>tbl_OriginalData[[#This Row],[Education_Level]]</f>
        <v>Master's</v>
      </c>
      <c r="AM804" t="str">
        <f>tbl_OriginalData[[#This Row],[Occupation]]</f>
        <v>Middle</v>
      </c>
      <c r="AN804" t="s">
        <v>1845</v>
      </c>
      <c r="AO804" t="s">
        <v>90</v>
      </c>
      <c r="AP804" t="str">
        <f>tbl_OriginalData[[#This Row],[Purchase_Category]]</f>
        <v>Jewelry &amp; Accessories</v>
      </c>
      <c r="AQ804" s="4">
        <f>tbl_OriginalData[[#This Row],[Purchase_Amount]]</f>
        <v>90.79</v>
      </c>
      <c r="AR804">
        <f>tbl_OriginalData[[#This Row],[Frequency_of_Purchase]]</f>
        <v>12</v>
      </c>
      <c r="AS804" t="str">
        <f>tbl_OriginalData[[#This Row],[Purchase_Channel]]</f>
        <v>In-Store</v>
      </c>
      <c r="AT804">
        <f>tbl_OriginalData[[#This Row],[Brand_Loyalty]]</f>
        <v>4</v>
      </c>
      <c r="AU804">
        <f>tbl_OriginalData[[#This Row],[Product_Rating]]</f>
        <v>1</v>
      </c>
      <c r="AV804">
        <f>tbl_OriginalData[[#This Row],[Time_Spent_on_Product_Research(hours)]]*60</f>
        <v>120</v>
      </c>
      <c r="AW804" t="str">
        <f>tbl_OriginalData[[#This Row],[Social_Media_Influence]]</f>
        <v>Medium</v>
      </c>
      <c r="AX804" t="str">
        <f>tbl_OriginalData[[#This Row],[Discount_Sensitivity]]</f>
        <v>Somewhat Sensitive</v>
      </c>
      <c r="AY804" s="3">
        <f>tbl_OriginalData[[#This Row],[Return_Rate]]/tbl_OriginalData[[#This Row],[Frequency_of_Purchase]]</f>
        <v>0</v>
      </c>
      <c r="AZ804">
        <f>tbl_OriginalData[[#This Row],[Customer_Satisfaction]]</f>
        <v>2</v>
      </c>
      <c r="BA804" t="str">
        <f>tbl_OriginalData[[#This Row],[Engagement_with_Ads]]</f>
        <v>Medium</v>
      </c>
      <c r="BB804" t="str">
        <f>tbl_OriginalData[[#This Row],[Device_Used_for_Shopping]]</f>
        <v>Tablet</v>
      </c>
      <c r="BC804" t="str">
        <f>tbl_OriginalData[[#This Row],[Payment_Method]]</f>
        <v>Other</v>
      </c>
      <c r="BD804" s="1">
        <f>tbl_OriginalData[[#This Row],[Time_of_Purchase]]</f>
        <v>45551</v>
      </c>
      <c r="BE804" t="str">
        <f>IF(tbl_OriginalData[[#This Row],[Discount_Used]]=TRUE,"Yes","No")</f>
        <v>No</v>
      </c>
      <c r="BF804" t="str">
        <f>IF(tbl_OriginalData[[#This Row],[Customer_Loyalty_Program_Member]]=TRUE,"Yes","No")</f>
        <v>No</v>
      </c>
      <c r="BG804" t="str">
        <f>tbl_OriginalData[[#This Row],[Purchase_Intent]]</f>
        <v>Planned</v>
      </c>
      <c r="BH804" t="str">
        <f>tbl_OriginalData[[#This Row],[Shipping_Preference]]</f>
        <v>No Preference</v>
      </c>
      <c r="BI804">
        <f>tbl_OriginalData[[#This Row],[Time_to_Decision]]</f>
        <v>6</v>
      </c>
      <c r="BJ804" t="s">
        <v>172</v>
      </c>
      <c r="BK804" t="s">
        <v>115</v>
      </c>
      <c r="BL804" t="s">
        <v>2524</v>
      </c>
    </row>
    <row r="805" spans="1:64">
      <c r="A805" t="s">
        <v>1846</v>
      </c>
      <c r="B805">
        <v>38</v>
      </c>
      <c r="C805" t="s">
        <v>33</v>
      </c>
      <c r="D805" t="s">
        <v>34</v>
      </c>
      <c r="E805" t="s">
        <v>35</v>
      </c>
      <c r="F805" t="s">
        <v>66</v>
      </c>
      <c r="G805" t="s">
        <v>34</v>
      </c>
      <c r="H805" t="s">
        <v>1847</v>
      </c>
      <c r="I805" t="s">
        <v>127</v>
      </c>
      <c r="J805">
        <v>229.56</v>
      </c>
      <c r="K805">
        <v>9</v>
      </c>
      <c r="L805" t="s">
        <v>94</v>
      </c>
      <c r="M805">
        <v>1</v>
      </c>
      <c r="N805">
        <v>2</v>
      </c>
      <c r="O805">
        <v>1</v>
      </c>
      <c r="P805" t="s">
        <v>40</v>
      </c>
      <c r="Q805" t="s">
        <v>41</v>
      </c>
      <c r="R805">
        <v>0</v>
      </c>
      <c r="S805">
        <v>9</v>
      </c>
      <c r="T805" t="s">
        <v>69</v>
      </c>
      <c r="U805" t="s">
        <v>42</v>
      </c>
      <c r="V805" t="s">
        <v>58</v>
      </c>
      <c r="W805" s="1">
        <v>45305</v>
      </c>
      <c r="X805" t="b">
        <v>1</v>
      </c>
      <c r="Y805" t="b">
        <v>1</v>
      </c>
      <c r="Z805" t="s">
        <v>44</v>
      </c>
      <c r="AA805" t="s">
        <v>45</v>
      </c>
      <c r="AB805">
        <v>11</v>
      </c>
      <c r="AF805" t="str">
        <f>tbl_OriginalData[[#This Row],[Customer_ID]]</f>
        <v>90-822-7664</v>
      </c>
      <c r="AG805">
        <f>tbl_OriginalData[[#This Row],[Age]]</f>
        <v>38</v>
      </c>
      <c r="AH805" t="str" cm="1">
        <f t="array" ref="AH80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05" t="str">
        <f>tbl_OriginalData[[#This Row],[Gender]]</f>
        <v>Female</v>
      </c>
      <c r="AJ805" t="str">
        <f>tbl_OriginalData[[#This Row],[Income_Level]]</f>
        <v>Middle</v>
      </c>
      <c r="AK805" t="str">
        <f>tbl_OriginalData[[#This Row],[Marital_Status]]</f>
        <v>Married</v>
      </c>
      <c r="AL805" t="str">
        <f>tbl_OriginalData[[#This Row],[Education_Level]]</f>
        <v>Master's</v>
      </c>
      <c r="AM805" t="str">
        <f>tbl_OriginalData[[#This Row],[Occupation]]</f>
        <v>Middle</v>
      </c>
      <c r="AN805" t="s">
        <v>1847</v>
      </c>
      <c r="AO805" t="s">
        <v>194</v>
      </c>
      <c r="AP805" t="str">
        <f>tbl_OriginalData[[#This Row],[Purchase_Category]]</f>
        <v>Animal Feed</v>
      </c>
      <c r="AQ805" s="4">
        <f>tbl_OriginalData[[#This Row],[Purchase_Amount]]</f>
        <v>229.56</v>
      </c>
      <c r="AR805">
        <f>tbl_OriginalData[[#This Row],[Frequency_of_Purchase]]</f>
        <v>9</v>
      </c>
      <c r="AS805" t="str">
        <f>tbl_OriginalData[[#This Row],[Purchase_Channel]]</f>
        <v>Online</v>
      </c>
      <c r="AT805">
        <f>tbl_OriginalData[[#This Row],[Brand_Loyalty]]</f>
        <v>1</v>
      </c>
      <c r="AU805">
        <f>tbl_OriginalData[[#This Row],[Product_Rating]]</f>
        <v>2</v>
      </c>
      <c r="AV805">
        <f>tbl_OriginalData[[#This Row],[Time_Spent_on_Product_Research(hours)]]*60</f>
        <v>60</v>
      </c>
      <c r="AW805" t="str">
        <f>tbl_OriginalData[[#This Row],[Social_Media_Influence]]</f>
        <v>None</v>
      </c>
      <c r="AX805" t="str">
        <f>tbl_OriginalData[[#This Row],[Discount_Sensitivity]]</f>
        <v>Somewhat Sensitive</v>
      </c>
      <c r="AY805" s="3">
        <f>tbl_OriginalData[[#This Row],[Return_Rate]]/tbl_OriginalData[[#This Row],[Frequency_of_Purchase]]</f>
        <v>0</v>
      </c>
      <c r="AZ805">
        <f>tbl_OriginalData[[#This Row],[Customer_Satisfaction]]</f>
        <v>9</v>
      </c>
      <c r="BA805" t="str">
        <f>tbl_OriginalData[[#This Row],[Engagement_with_Ads]]</f>
        <v>Low</v>
      </c>
      <c r="BB805" t="str">
        <f>tbl_OriginalData[[#This Row],[Device_Used_for_Shopping]]</f>
        <v>Tablet</v>
      </c>
      <c r="BC805" t="str">
        <f>tbl_OriginalData[[#This Row],[Payment_Method]]</f>
        <v>PayPal</v>
      </c>
      <c r="BD805" s="1">
        <f>tbl_OriginalData[[#This Row],[Time_of_Purchase]]</f>
        <v>45305</v>
      </c>
      <c r="BE805" t="str">
        <f>IF(tbl_OriginalData[[#This Row],[Discount_Used]]=TRUE,"Yes","No")</f>
        <v>Yes</v>
      </c>
      <c r="BF805" t="str">
        <f>IF(tbl_OriginalData[[#This Row],[Customer_Loyalty_Program_Member]]=TRUE,"Yes","No")</f>
        <v>Yes</v>
      </c>
      <c r="BG805" t="str">
        <f>tbl_OriginalData[[#This Row],[Purchase_Intent]]</f>
        <v>Need-based</v>
      </c>
      <c r="BH805" t="str">
        <f>tbl_OriginalData[[#This Row],[Shipping_Preference]]</f>
        <v>No Preference</v>
      </c>
      <c r="BI805">
        <f>tbl_OriginalData[[#This Row],[Time_to_Decision]]</f>
        <v>11</v>
      </c>
      <c r="BJ805" t="s">
        <v>86</v>
      </c>
      <c r="BK805" t="s">
        <v>48</v>
      </c>
      <c r="BL805" t="s">
        <v>2524</v>
      </c>
    </row>
    <row r="806" spans="1:64">
      <c r="A806" t="s">
        <v>1848</v>
      </c>
      <c r="B806">
        <v>28</v>
      </c>
      <c r="C806" t="s">
        <v>33</v>
      </c>
      <c r="D806" t="s">
        <v>34</v>
      </c>
      <c r="E806" t="s">
        <v>92</v>
      </c>
      <c r="F806" t="s">
        <v>52</v>
      </c>
      <c r="G806" t="s">
        <v>34</v>
      </c>
      <c r="H806" t="s">
        <v>1849</v>
      </c>
      <c r="I806" t="s">
        <v>108</v>
      </c>
      <c r="J806">
        <v>160.47</v>
      </c>
      <c r="K806">
        <v>7</v>
      </c>
      <c r="L806" t="s">
        <v>39</v>
      </c>
      <c r="M806">
        <v>1</v>
      </c>
      <c r="N806">
        <v>5</v>
      </c>
      <c r="O806">
        <v>0</v>
      </c>
      <c r="P806" t="s">
        <v>40</v>
      </c>
      <c r="Q806" t="s">
        <v>57</v>
      </c>
      <c r="R806">
        <v>0</v>
      </c>
      <c r="S806">
        <v>3</v>
      </c>
      <c r="T806" t="s">
        <v>40</v>
      </c>
      <c r="U806" t="s">
        <v>70</v>
      </c>
      <c r="V806" t="s">
        <v>71</v>
      </c>
      <c r="W806" s="1">
        <v>45368</v>
      </c>
      <c r="X806" t="b">
        <v>1</v>
      </c>
      <c r="Y806" t="b">
        <v>0</v>
      </c>
      <c r="Z806" t="s">
        <v>59</v>
      </c>
      <c r="AA806" t="s">
        <v>45</v>
      </c>
      <c r="AB806">
        <v>6</v>
      </c>
      <c r="AF806" t="str">
        <f>tbl_OriginalData[[#This Row],[Customer_ID]]</f>
        <v>22-039-6819</v>
      </c>
      <c r="AG806">
        <f>tbl_OriginalData[[#This Row],[Age]]</f>
        <v>28</v>
      </c>
      <c r="AH806" t="str" cm="1">
        <f t="array" ref="AH80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06" t="str">
        <f>tbl_OriginalData[[#This Row],[Gender]]</f>
        <v>Female</v>
      </c>
      <c r="AJ806" t="str">
        <f>tbl_OriginalData[[#This Row],[Income_Level]]</f>
        <v>Middle</v>
      </c>
      <c r="AK806" t="str">
        <f>tbl_OriginalData[[#This Row],[Marital_Status]]</f>
        <v>Divorced</v>
      </c>
      <c r="AL806" t="str">
        <f>tbl_OriginalData[[#This Row],[Education_Level]]</f>
        <v>High School</v>
      </c>
      <c r="AM806" t="str">
        <f>tbl_OriginalData[[#This Row],[Occupation]]</f>
        <v>Middle</v>
      </c>
      <c r="AN806" t="s">
        <v>1849</v>
      </c>
      <c r="AO806" t="s">
        <v>246</v>
      </c>
      <c r="AP806" t="str">
        <f>tbl_OriginalData[[#This Row],[Purchase_Category]]</f>
        <v>Sports &amp; Outdoors</v>
      </c>
      <c r="AQ806" s="4">
        <f>tbl_OriginalData[[#This Row],[Purchase_Amount]]</f>
        <v>160.47</v>
      </c>
      <c r="AR806">
        <f>tbl_OriginalData[[#This Row],[Frequency_of_Purchase]]</f>
        <v>7</v>
      </c>
      <c r="AS806" t="str">
        <f>tbl_OriginalData[[#This Row],[Purchase_Channel]]</f>
        <v>Mixed</v>
      </c>
      <c r="AT806">
        <f>tbl_OriginalData[[#This Row],[Brand_Loyalty]]</f>
        <v>1</v>
      </c>
      <c r="AU806">
        <f>tbl_OriginalData[[#This Row],[Product_Rating]]</f>
        <v>5</v>
      </c>
      <c r="AV806">
        <f>tbl_OriginalData[[#This Row],[Time_Spent_on_Product_Research(hours)]]*60</f>
        <v>0</v>
      </c>
      <c r="AW806" t="str">
        <f>tbl_OriginalData[[#This Row],[Social_Media_Influence]]</f>
        <v>None</v>
      </c>
      <c r="AX806" t="str">
        <f>tbl_OriginalData[[#This Row],[Discount_Sensitivity]]</f>
        <v>Not Sensitive</v>
      </c>
      <c r="AY806" s="3">
        <f>tbl_OriginalData[[#This Row],[Return_Rate]]/tbl_OriginalData[[#This Row],[Frequency_of_Purchase]]</f>
        <v>0</v>
      </c>
      <c r="AZ806">
        <f>tbl_OriginalData[[#This Row],[Customer_Satisfaction]]</f>
        <v>3</v>
      </c>
      <c r="BA806" t="str">
        <f>tbl_OriginalData[[#This Row],[Engagement_with_Ads]]</f>
        <v>None</v>
      </c>
      <c r="BB806" t="str">
        <f>tbl_OriginalData[[#This Row],[Device_Used_for_Shopping]]</f>
        <v>Smartphone</v>
      </c>
      <c r="BC806" t="str">
        <f>tbl_OriginalData[[#This Row],[Payment_Method]]</f>
        <v>Debit Card</v>
      </c>
      <c r="BD806" s="1">
        <f>tbl_OriginalData[[#This Row],[Time_of_Purchase]]</f>
        <v>45368</v>
      </c>
      <c r="BE806" t="str">
        <f>IF(tbl_OriginalData[[#This Row],[Discount_Used]]=TRUE,"Yes","No")</f>
        <v>Yes</v>
      </c>
      <c r="BF806" t="str">
        <f>IF(tbl_OriginalData[[#This Row],[Customer_Loyalty_Program_Member]]=TRUE,"Yes","No")</f>
        <v>No</v>
      </c>
      <c r="BG806" t="str">
        <f>tbl_OriginalData[[#This Row],[Purchase_Intent]]</f>
        <v>Wants-based</v>
      </c>
      <c r="BH806" t="str">
        <f>tbl_OriginalData[[#This Row],[Shipping_Preference]]</f>
        <v>No Preference</v>
      </c>
      <c r="BI806">
        <f>tbl_OriginalData[[#This Row],[Time_to_Decision]]</f>
        <v>6</v>
      </c>
      <c r="BJ806" t="s">
        <v>47</v>
      </c>
      <c r="BK806" t="s">
        <v>48</v>
      </c>
      <c r="BL806" t="s">
        <v>2523</v>
      </c>
    </row>
    <row r="807" spans="1:64">
      <c r="A807" t="s">
        <v>1850</v>
      </c>
      <c r="B807">
        <v>30</v>
      </c>
      <c r="C807" t="s">
        <v>431</v>
      </c>
      <c r="D807" t="s">
        <v>51</v>
      </c>
      <c r="E807" t="s">
        <v>35</v>
      </c>
      <c r="F807" t="s">
        <v>52</v>
      </c>
      <c r="G807" t="s">
        <v>51</v>
      </c>
      <c r="H807" t="s">
        <v>1851</v>
      </c>
      <c r="I807" t="s">
        <v>150</v>
      </c>
      <c r="J807">
        <v>104.74</v>
      </c>
      <c r="K807">
        <v>6</v>
      </c>
      <c r="L807" t="s">
        <v>94</v>
      </c>
      <c r="M807">
        <v>2</v>
      </c>
      <c r="N807">
        <v>4</v>
      </c>
      <c r="O807">
        <v>2</v>
      </c>
      <c r="P807" t="s">
        <v>40</v>
      </c>
      <c r="Q807" t="s">
        <v>101</v>
      </c>
      <c r="R807">
        <v>0</v>
      </c>
      <c r="S807">
        <v>4</v>
      </c>
      <c r="T807" t="s">
        <v>69</v>
      </c>
      <c r="U807" t="s">
        <v>70</v>
      </c>
      <c r="V807" t="s">
        <v>58</v>
      </c>
      <c r="W807" s="1">
        <v>45557</v>
      </c>
      <c r="X807" t="b">
        <v>0</v>
      </c>
      <c r="Y807" t="b">
        <v>0</v>
      </c>
      <c r="Z807" t="s">
        <v>72</v>
      </c>
      <c r="AA807" t="s">
        <v>45</v>
      </c>
      <c r="AB807">
        <v>1</v>
      </c>
      <c r="AF807" t="str">
        <f>tbl_OriginalData[[#This Row],[Customer_ID]]</f>
        <v>50-395-1941</v>
      </c>
      <c r="AG807">
        <f>tbl_OriginalData[[#This Row],[Age]]</f>
        <v>30</v>
      </c>
      <c r="AH807" t="str" cm="1">
        <f t="array" ref="AH80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07" t="str">
        <f>tbl_OriginalData[[#This Row],[Gender]]</f>
        <v>Genderqueer</v>
      </c>
      <c r="AJ807" t="str">
        <f>tbl_OriginalData[[#This Row],[Income_Level]]</f>
        <v>High</v>
      </c>
      <c r="AK807" t="str">
        <f>tbl_OriginalData[[#This Row],[Marital_Status]]</f>
        <v>Married</v>
      </c>
      <c r="AL807" t="str">
        <f>tbl_OriginalData[[#This Row],[Education_Level]]</f>
        <v>High School</v>
      </c>
      <c r="AM807" t="str">
        <f>tbl_OriginalData[[#This Row],[Occupation]]</f>
        <v>High</v>
      </c>
      <c r="AN807" t="s">
        <v>1851</v>
      </c>
      <c r="AO807" t="s">
        <v>497</v>
      </c>
      <c r="AP807" t="str">
        <f>tbl_OriginalData[[#This Row],[Purchase_Category]]</f>
        <v>Software &amp; Apps</v>
      </c>
      <c r="AQ807" s="4">
        <f>tbl_OriginalData[[#This Row],[Purchase_Amount]]</f>
        <v>104.74</v>
      </c>
      <c r="AR807">
        <f>tbl_OriginalData[[#This Row],[Frequency_of_Purchase]]</f>
        <v>6</v>
      </c>
      <c r="AS807" t="str">
        <f>tbl_OriginalData[[#This Row],[Purchase_Channel]]</f>
        <v>Online</v>
      </c>
      <c r="AT807">
        <f>tbl_OriginalData[[#This Row],[Brand_Loyalty]]</f>
        <v>2</v>
      </c>
      <c r="AU807">
        <f>tbl_OriginalData[[#This Row],[Product_Rating]]</f>
        <v>4</v>
      </c>
      <c r="AV807">
        <f>tbl_OriginalData[[#This Row],[Time_Spent_on_Product_Research(hours)]]*60</f>
        <v>120</v>
      </c>
      <c r="AW807" t="str">
        <f>tbl_OriginalData[[#This Row],[Social_Media_Influence]]</f>
        <v>None</v>
      </c>
      <c r="AX807" t="str">
        <f>tbl_OriginalData[[#This Row],[Discount_Sensitivity]]</f>
        <v>Very Sensitive</v>
      </c>
      <c r="AY807" s="3">
        <f>tbl_OriginalData[[#This Row],[Return_Rate]]/tbl_OriginalData[[#This Row],[Frequency_of_Purchase]]</f>
        <v>0</v>
      </c>
      <c r="AZ807">
        <f>tbl_OriginalData[[#This Row],[Customer_Satisfaction]]</f>
        <v>4</v>
      </c>
      <c r="BA807" t="str">
        <f>tbl_OriginalData[[#This Row],[Engagement_with_Ads]]</f>
        <v>Low</v>
      </c>
      <c r="BB807" t="str">
        <f>tbl_OriginalData[[#This Row],[Device_Used_for_Shopping]]</f>
        <v>Smartphone</v>
      </c>
      <c r="BC807" t="str">
        <f>tbl_OriginalData[[#This Row],[Payment_Method]]</f>
        <v>PayPal</v>
      </c>
      <c r="BD807" s="1">
        <f>tbl_OriginalData[[#This Row],[Time_of_Purchase]]</f>
        <v>45557</v>
      </c>
      <c r="BE807" t="str">
        <f>IF(tbl_OriginalData[[#This Row],[Discount_Used]]=TRUE,"Yes","No")</f>
        <v>No</v>
      </c>
      <c r="BF807" t="str">
        <f>IF(tbl_OriginalData[[#This Row],[Customer_Loyalty_Program_Member]]=TRUE,"Yes","No")</f>
        <v>No</v>
      </c>
      <c r="BG807" t="str">
        <f>tbl_OriginalData[[#This Row],[Purchase_Intent]]</f>
        <v>Impulsive</v>
      </c>
      <c r="BH807" t="str">
        <f>tbl_OriginalData[[#This Row],[Shipping_Preference]]</f>
        <v>No Preference</v>
      </c>
      <c r="BI807">
        <f>tbl_OriginalData[[#This Row],[Time_to_Decision]]</f>
        <v>1</v>
      </c>
      <c r="BJ807" t="s">
        <v>172</v>
      </c>
      <c r="BK807" t="s">
        <v>115</v>
      </c>
      <c r="BL807" t="s">
        <v>2523</v>
      </c>
    </row>
    <row r="808" spans="1:64">
      <c r="A808" t="s">
        <v>1852</v>
      </c>
      <c r="B808">
        <v>37</v>
      </c>
      <c r="C808" t="s">
        <v>33</v>
      </c>
      <c r="D808" t="s">
        <v>51</v>
      </c>
      <c r="E808" t="s">
        <v>82</v>
      </c>
      <c r="F808" t="s">
        <v>66</v>
      </c>
      <c r="G808" t="s">
        <v>34</v>
      </c>
      <c r="H808" t="s">
        <v>1853</v>
      </c>
      <c r="I808" t="s">
        <v>54</v>
      </c>
      <c r="J808">
        <v>399.95</v>
      </c>
      <c r="K808">
        <v>10</v>
      </c>
      <c r="L808" t="s">
        <v>55</v>
      </c>
      <c r="M808">
        <v>2</v>
      </c>
      <c r="N808">
        <v>1</v>
      </c>
      <c r="O808">
        <v>0</v>
      </c>
      <c r="P808" t="s">
        <v>69</v>
      </c>
      <c r="Q808" t="s">
        <v>57</v>
      </c>
      <c r="R808">
        <v>1</v>
      </c>
      <c r="S808">
        <v>2</v>
      </c>
      <c r="T808" t="s">
        <v>51</v>
      </c>
      <c r="U808" t="s">
        <v>70</v>
      </c>
      <c r="V808" t="s">
        <v>102</v>
      </c>
      <c r="W808" s="1">
        <v>45358</v>
      </c>
      <c r="X808" t="b">
        <v>1</v>
      </c>
      <c r="Y808" t="b">
        <v>0</v>
      </c>
      <c r="Z808" t="s">
        <v>44</v>
      </c>
      <c r="AA808" t="s">
        <v>77</v>
      </c>
      <c r="AB808">
        <v>10</v>
      </c>
      <c r="AF808" t="str">
        <f>tbl_OriginalData[[#This Row],[Customer_ID]]</f>
        <v>99-771-9310</v>
      </c>
      <c r="AG808">
        <f>tbl_OriginalData[[#This Row],[Age]]</f>
        <v>37</v>
      </c>
      <c r="AH808" t="str" cm="1">
        <f t="array" ref="AH80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08" t="str">
        <f>tbl_OriginalData[[#This Row],[Gender]]</f>
        <v>Female</v>
      </c>
      <c r="AJ808" t="str">
        <f>tbl_OriginalData[[#This Row],[Income_Level]]</f>
        <v>High</v>
      </c>
      <c r="AK808" t="str">
        <f>tbl_OriginalData[[#This Row],[Marital_Status]]</f>
        <v>Widowed</v>
      </c>
      <c r="AL808" t="str">
        <f>tbl_OriginalData[[#This Row],[Education_Level]]</f>
        <v>Master's</v>
      </c>
      <c r="AM808" t="str">
        <f>tbl_OriginalData[[#This Row],[Occupation]]</f>
        <v>Middle</v>
      </c>
      <c r="AN808" t="s">
        <v>1853</v>
      </c>
      <c r="AO808" t="s">
        <v>157</v>
      </c>
      <c r="AP808" t="str">
        <f>tbl_OriginalData[[#This Row],[Purchase_Category]]</f>
        <v>Food &amp; Beverages</v>
      </c>
      <c r="AQ808" s="4">
        <f>tbl_OriginalData[[#This Row],[Purchase_Amount]]</f>
        <v>399.95</v>
      </c>
      <c r="AR808">
        <f>tbl_OriginalData[[#This Row],[Frequency_of_Purchase]]</f>
        <v>10</v>
      </c>
      <c r="AS808" t="str">
        <f>tbl_OriginalData[[#This Row],[Purchase_Channel]]</f>
        <v>In-Store</v>
      </c>
      <c r="AT808">
        <f>tbl_OriginalData[[#This Row],[Brand_Loyalty]]</f>
        <v>2</v>
      </c>
      <c r="AU808">
        <f>tbl_OriginalData[[#This Row],[Product_Rating]]</f>
        <v>1</v>
      </c>
      <c r="AV808">
        <f>tbl_OriginalData[[#This Row],[Time_Spent_on_Product_Research(hours)]]*60</f>
        <v>0</v>
      </c>
      <c r="AW808" t="str">
        <f>tbl_OriginalData[[#This Row],[Social_Media_Influence]]</f>
        <v>Low</v>
      </c>
      <c r="AX808" t="str">
        <f>tbl_OriginalData[[#This Row],[Discount_Sensitivity]]</f>
        <v>Not Sensitive</v>
      </c>
      <c r="AY808" s="3">
        <f>tbl_OriginalData[[#This Row],[Return_Rate]]/tbl_OriginalData[[#This Row],[Frequency_of_Purchase]]</f>
        <v>0.1</v>
      </c>
      <c r="AZ808">
        <f>tbl_OriginalData[[#This Row],[Customer_Satisfaction]]</f>
        <v>2</v>
      </c>
      <c r="BA808" t="str">
        <f>tbl_OriginalData[[#This Row],[Engagement_with_Ads]]</f>
        <v>High</v>
      </c>
      <c r="BB808" t="str">
        <f>tbl_OriginalData[[#This Row],[Device_Used_for_Shopping]]</f>
        <v>Smartphone</v>
      </c>
      <c r="BC808" t="str">
        <f>tbl_OriginalData[[#This Row],[Payment_Method]]</f>
        <v>Cash</v>
      </c>
      <c r="BD808" s="1">
        <f>tbl_OriginalData[[#This Row],[Time_of_Purchase]]</f>
        <v>45358</v>
      </c>
      <c r="BE808" t="str">
        <f>IF(tbl_OriginalData[[#This Row],[Discount_Used]]=TRUE,"Yes","No")</f>
        <v>Yes</v>
      </c>
      <c r="BF808" t="str">
        <f>IF(tbl_OriginalData[[#This Row],[Customer_Loyalty_Program_Member]]=TRUE,"Yes","No")</f>
        <v>No</v>
      </c>
      <c r="BG808" t="str">
        <f>tbl_OriginalData[[#This Row],[Purchase_Intent]]</f>
        <v>Need-based</v>
      </c>
      <c r="BH808" t="str">
        <f>tbl_OriginalData[[#This Row],[Shipping_Preference]]</f>
        <v>Express</v>
      </c>
      <c r="BI808">
        <f>tbl_OriginalData[[#This Row],[Time_to_Decision]]</f>
        <v>10</v>
      </c>
      <c r="BJ808" t="s">
        <v>47</v>
      </c>
      <c r="BK808" t="s">
        <v>48</v>
      </c>
      <c r="BL808" t="s">
        <v>2523</v>
      </c>
    </row>
    <row r="809" spans="1:64">
      <c r="A809" t="s">
        <v>1854</v>
      </c>
      <c r="B809">
        <v>47</v>
      </c>
      <c r="C809" t="s">
        <v>33</v>
      </c>
      <c r="D809" t="s">
        <v>51</v>
      </c>
      <c r="E809" t="s">
        <v>92</v>
      </c>
      <c r="F809" t="s">
        <v>36</v>
      </c>
      <c r="G809" t="s">
        <v>34</v>
      </c>
      <c r="H809" t="s">
        <v>1855</v>
      </c>
      <c r="I809" t="s">
        <v>153</v>
      </c>
      <c r="J809">
        <v>337.33</v>
      </c>
      <c r="K809">
        <v>8</v>
      </c>
      <c r="L809" t="s">
        <v>55</v>
      </c>
      <c r="M809">
        <v>1</v>
      </c>
      <c r="N809">
        <v>4</v>
      </c>
      <c r="O809">
        <v>1</v>
      </c>
      <c r="P809" t="s">
        <v>40</v>
      </c>
      <c r="Q809" t="s">
        <v>41</v>
      </c>
      <c r="R809">
        <v>0</v>
      </c>
      <c r="S809">
        <v>5</v>
      </c>
      <c r="T809" t="s">
        <v>56</v>
      </c>
      <c r="U809" t="s">
        <v>95</v>
      </c>
      <c r="V809" t="s">
        <v>71</v>
      </c>
      <c r="W809" s="1">
        <v>45621</v>
      </c>
      <c r="X809" t="b">
        <v>0</v>
      </c>
      <c r="Y809" t="b">
        <v>0</v>
      </c>
      <c r="Z809" t="s">
        <v>89</v>
      </c>
      <c r="AA809" t="s">
        <v>77</v>
      </c>
      <c r="AB809">
        <v>10</v>
      </c>
      <c r="AF809" t="str">
        <f>tbl_OriginalData[[#This Row],[Customer_ID]]</f>
        <v>18-518-0140</v>
      </c>
      <c r="AG809">
        <f>tbl_OriginalData[[#This Row],[Age]]</f>
        <v>47</v>
      </c>
      <c r="AH809" t="str" cm="1">
        <f t="array" ref="AH80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09" t="str">
        <f>tbl_OriginalData[[#This Row],[Gender]]</f>
        <v>Female</v>
      </c>
      <c r="AJ809" t="str">
        <f>tbl_OriginalData[[#This Row],[Income_Level]]</f>
        <v>High</v>
      </c>
      <c r="AK809" t="str">
        <f>tbl_OriginalData[[#This Row],[Marital_Status]]</f>
        <v>Divorced</v>
      </c>
      <c r="AL809" t="str">
        <f>tbl_OriginalData[[#This Row],[Education_Level]]</f>
        <v>Bachelor's</v>
      </c>
      <c r="AM809" t="str">
        <f>tbl_OriginalData[[#This Row],[Occupation]]</f>
        <v>Middle</v>
      </c>
      <c r="AN809" t="s">
        <v>1855</v>
      </c>
      <c r="AO809" t="s">
        <v>1713</v>
      </c>
      <c r="AP809" t="str">
        <f>tbl_OriginalData[[#This Row],[Purchase_Category]]</f>
        <v>Baby Products</v>
      </c>
      <c r="AQ809" s="4">
        <f>tbl_OriginalData[[#This Row],[Purchase_Amount]]</f>
        <v>337.33</v>
      </c>
      <c r="AR809">
        <f>tbl_OriginalData[[#This Row],[Frequency_of_Purchase]]</f>
        <v>8</v>
      </c>
      <c r="AS809" t="str">
        <f>tbl_OriginalData[[#This Row],[Purchase_Channel]]</f>
        <v>In-Store</v>
      </c>
      <c r="AT809">
        <f>tbl_OriginalData[[#This Row],[Brand_Loyalty]]</f>
        <v>1</v>
      </c>
      <c r="AU809">
        <f>tbl_OriginalData[[#This Row],[Product_Rating]]</f>
        <v>4</v>
      </c>
      <c r="AV809">
        <f>tbl_OriginalData[[#This Row],[Time_Spent_on_Product_Research(hours)]]*60</f>
        <v>60</v>
      </c>
      <c r="AW809" t="str">
        <f>tbl_OriginalData[[#This Row],[Social_Media_Influence]]</f>
        <v>None</v>
      </c>
      <c r="AX809" t="str">
        <f>tbl_OriginalData[[#This Row],[Discount_Sensitivity]]</f>
        <v>Somewhat Sensitive</v>
      </c>
      <c r="AY809" s="3">
        <f>tbl_OriginalData[[#This Row],[Return_Rate]]/tbl_OriginalData[[#This Row],[Frequency_of_Purchase]]</f>
        <v>0</v>
      </c>
      <c r="AZ809">
        <f>tbl_OriginalData[[#This Row],[Customer_Satisfaction]]</f>
        <v>5</v>
      </c>
      <c r="BA809" t="str">
        <f>tbl_OriginalData[[#This Row],[Engagement_with_Ads]]</f>
        <v>Medium</v>
      </c>
      <c r="BB809" t="str">
        <f>tbl_OriginalData[[#This Row],[Device_Used_for_Shopping]]</f>
        <v>Desktop</v>
      </c>
      <c r="BC809" t="str">
        <f>tbl_OriginalData[[#This Row],[Payment_Method]]</f>
        <v>Debit Card</v>
      </c>
      <c r="BD809" s="1">
        <f>tbl_OriginalData[[#This Row],[Time_of_Purchase]]</f>
        <v>45621</v>
      </c>
      <c r="BE809" t="str">
        <f>IF(tbl_OriginalData[[#This Row],[Discount_Used]]=TRUE,"Yes","No")</f>
        <v>No</v>
      </c>
      <c r="BF809" t="str">
        <f>IF(tbl_OriginalData[[#This Row],[Customer_Loyalty_Program_Member]]=TRUE,"Yes","No")</f>
        <v>No</v>
      </c>
      <c r="BG809" t="str">
        <f>tbl_OriginalData[[#This Row],[Purchase_Intent]]</f>
        <v>Planned</v>
      </c>
      <c r="BH809" t="str">
        <f>tbl_OriginalData[[#This Row],[Shipping_Preference]]</f>
        <v>Express</v>
      </c>
      <c r="BI809">
        <f>tbl_OriginalData[[#This Row],[Time_to_Decision]]</f>
        <v>10</v>
      </c>
      <c r="BJ809" t="s">
        <v>177</v>
      </c>
      <c r="BK809" t="s">
        <v>80</v>
      </c>
      <c r="BL809" t="s">
        <v>2527</v>
      </c>
    </row>
    <row r="810" spans="1:64">
      <c r="A810" t="s">
        <v>1856</v>
      </c>
      <c r="B810">
        <v>41</v>
      </c>
      <c r="C810" t="s">
        <v>33</v>
      </c>
      <c r="D810" t="s">
        <v>51</v>
      </c>
      <c r="E810" t="s">
        <v>82</v>
      </c>
      <c r="F810" t="s">
        <v>66</v>
      </c>
      <c r="G810" t="s">
        <v>34</v>
      </c>
      <c r="H810" t="s">
        <v>1857</v>
      </c>
      <c r="I810" t="s">
        <v>306</v>
      </c>
      <c r="J810">
        <v>204.83</v>
      </c>
      <c r="K810">
        <v>6</v>
      </c>
      <c r="L810" t="s">
        <v>55</v>
      </c>
      <c r="M810">
        <v>5</v>
      </c>
      <c r="N810">
        <v>1</v>
      </c>
      <c r="O810">
        <v>0</v>
      </c>
      <c r="P810" t="s">
        <v>51</v>
      </c>
      <c r="Q810" t="s">
        <v>101</v>
      </c>
      <c r="R810">
        <v>1</v>
      </c>
      <c r="S810">
        <v>5</v>
      </c>
      <c r="T810" t="s">
        <v>56</v>
      </c>
      <c r="U810" t="s">
        <v>70</v>
      </c>
      <c r="V810" t="s">
        <v>71</v>
      </c>
      <c r="W810" s="1">
        <v>45404</v>
      </c>
      <c r="X810" t="b">
        <v>1</v>
      </c>
      <c r="Y810" t="b">
        <v>0</v>
      </c>
      <c r="Z810" t="s">
        <v>59</v>
      </c>
      <c r="AA810" t="s">
        <v>60</v>
      </c>
      <c r="AB810">
        <v>5</v>
      </c>
      <c r="AF810" t="str">
        <f>tbl_OriginalData[[#This Row],[Customer_ID]]</f>
        <v>57-000-8646</v>
      </c>
      <c r="AG810">
        <f>tbl_OriginalData[[#This Row],[Age]]</f>
        <v>41</v>
      </c>
      <c r="AH810" t="str" cm="1">
        <f t="array" ref="AH81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10" t="str">
        <f>tbl_OriginalData[[#This Row],[Gender]]</f>
        <v>Female</v>
      </c>
      <c r="AJ810" t="str">
        <f>tbl_OriginalData[[#This Row],[Income_Level]]</f>
        <v>High</v>
      </c>
      <c r="AK810" t="str">
        <f>tbl_OriginalData[[#This Row],[Marital_Status]]</f>
        <v>Widowed</v>
      </c>
      <c r="AL810" t="str">
        <f>tbl_OriginalData[[#This Row],[Education_Level]]</f>
        <v>Master's</v>
      </c>
      <c r="AM810" t="str">
        <f>tbl_OriginalData[[#This Row],[Occupation]]</f>
        <v>Middle</v>
      </c>
      <c r="AN810" t="s">
        <v>1857</v>
      </c>
      <c r="AO810" t="s">
        <v>90</v>
      </c>
      <c r="AP810" t="str">
        <f>tbl_OriginalData[[#This Row],[Purchase_Category]]</f>
        <v>Jewelry &amp; Accessories</v>
      </c>
      <c r="AQ810" s="4">
        <f>tbl_OriginalData[[#This Row],[Purchase_Amount]]</f>
        <v>204.83</v>
      </c>
      <c r="AR810">
        <f>tbl_OriginalData[[#This Row],[Frequency_of_Purchase]]</f>
        <v>6</v>
      </c>
      <c r="AS810" t="str">
        <f>tbl_OriginalData[[#This Row],[Purchase_Channel]]</f>
        <v>In-Store</v>
      </c>
      <c r="AT810">
        <f>tbl_OriginalData[[#This Row],[Brand_Loyalty]]</f>
        <v>5</v>
      </c>
      <c r="AU810">
        <f>tbl_OriginalData[[#This Row],[Product_Rating]]</f>
        <v>1</v>
      </c>
      <c r="AV810">
        <f>tbl_OriginalData[[#This Row],[Time_Spent_on_Product_Research(hours)]]*60</f>
        <v>0</v>
      </c>
      <c r="AW810" t="str">
        <f>tbl_OriginalData[[#This Row],[Social_Media_Influence]]</f>
        <v>High</v>
      </c>
      <c r="AX810" t="str">
        <f>tbl_OriginalData[[#This Row],[Discount_Sensitivity]]</f>
        <v>Very Sensitive</v>
      </c>
      <c r="AY810" s="3">
        <f>tbl_OriginalData[[#This Row],[Return_Rate]]/tbl_OriginalData[[#This Row],[Frequency_of_Purchase]]</f>
        <v>0.16666666666666666</v>
      </c>
      <c r="AZ810">
        <f>tbl_OriginalData[[#This Row],[Customer_Satisfaction]]</f>
        <v>5</v>
      </c>
      <c r="BA810" t="str">
        <f>tbl_OriginalData[[#This Row],[Engagement_with_Ads]]</f>
        <v>Medium</v>
      </c>
      <c r="BB810" t="str">
        <f>tbl_OriginalData[[#This Row],[Device_Used_for_Shopping]]</f>
        <v>Smartphone</v>
      </c>
      <c r="BC810" t="str">
        <f>tbl_OriginalData[[#This Row],[Payment_Method]]</f>
        <v>Debit Card</v>
      </c>
      <c r="BD810" s="1">
        <f>tbl_OriginalData[[#This Row],[Time_of_Purchase]]</f>
        <v>45404</v>
      </c>
      <c r="BE810" t="str">
        <f>IF(tbl_OriginalData[[#This Row],[Discount_Used]]=TRUE,"Yes","No")</f>
        <v>Yes</v>
      </c>
      <c r="BF810" t="str">
        <f>IF(tbl_OriginalData[[#This Row],[Customer_Loyalty_Program_Member]]=TRUE,"Yes","No")</f>
        <v>No</v>
      </c>
      <c r="BG810" t="str">
        <f>tbl_OriginalData[[#This Row],[Purchase_Intent]]</f>
        <v>Wants-based</v>
      </c>
      <c r="BH810" t="str">
        <f>tbl_OriginalData[[#This Row],[Shipping_Preference]]</f>
        <v>Standard</v>
      </c>
      <c r="BI810">
        <f>tbl_OriginalData[[#This Row],[Time_to_Decision]]</f>
        <v>5</v>
      </c>
      <c r="BJ810" t="s">
        <v>62</v>
      </c>
      <c r="BK810" t="s">
        <v>63</v>
      </c>
      <c r="BL810" t="s">
        <v>2524</v>
      </c>
    </row>
    <row r="811" spans="1:64">
      <c r="A811" t="s">
        <v>1858</v>
      </c>
      <c r="B811">
        <v>22</v>
      </c>
      <c r="C811" t="s">
        <v>33</v>
      </c>
      <c r="D811" t="s">
        <v>34</v>
      </c>
      <c r="E811" t="s">
        <v>82</v>
      </c>
      <c r="F811" t="s">
        <v>66</v>
      </c>
      <c r="G811" t="s">
        <v>51</v>
      </c>
      <c r="H811" t="s">
        <v>1859</v>
      </c>
      <c r="I811" t="s">
        <v>143</v>
      </c>
      <c r="J811">
        <v>193.94</v>
      </c>
      <c r="K811">
        <v>11</v>
      </c>
      <c r="L811" t="s">
        <v>39</v>
      </c>
      <c r="M811">
        <v>4</v>
      </c>
      <c r="N811">
        <v>1</v>
      </c>
      <c r="O811">
        <v>0</v>
      </c>
      <c r="P811" t="s">
        <v>40</v>
      </c>
      <c r="Q811" t="s">
        <v>57</v>
      </c>
      <c r="R811">
        <v>0</v>
      </c>
      <c r="S811">
        <v>3</v>
      </c>
      <c r="T811" t="s">
        <v>51</v>
      </c>
      <c r="U811" t="s">
        <v>95</v>
      </c>
      <c r="V811" t="s">
        <v>76</v>
      </c>
      <c r="W811" s="1">
        <v>45513</v>
      </c>
      <c r="X811" t="b">
        <v>0</v>
      </c>
      <c r="Y811" t="b">
        <v>0</v>
      </c>
      <c r="Z811" t="s">
        <v>59</v>
      </c>
      <c r="AA811" t="s">
        <v>60</v>
      </c>
      <c r="AB811">
        <v>9</v>
      </c>
      <c r="AF811" t="str">
        <f>tbl_OriginalData[[#This Row],[Customer_ID]]</f>
        <v>81-926-9297</v>
      </c>
      <c r="AG811">
        <f>tbl_OriginalData[[#This Row],[Age]]</f>
        <v>22</v>
      </c>
      <c r="AH811" t="str" cm="1">
        <f t="array" ref="AH81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11" t="str">
        <f>tbl_OriginalData[[#This Row],[Gender]]</f>
        <v>Female</v>
      </c>
      <c r="AJ811" t="str">
        <f>tbl_OriginalData[[#This Row],[Income_Level]]</f>
        <v>Middle</v>
      </c>
      <c r="AK811" t="str">
        <f>tbl_OriginalData[[#This Row],[Marital_Status]]</f>
        <v>Widowed</v>
      </c>
      <c r="AL811" t="str">
        <f>tbl_OriginalData[[#This Row],[Education_Level]]</f>
        <v>Master's</v>
      </c>
      <c r="AM811" t="str">
        <f>tbl_OriginalData[[#This Row],[Occupation]]</f>
        <v>High</v>
      </c>
      <c r="AN811" t="s">
        <v>1859</v>
      </c>
      <c r="AO811" t="s">
        <v>103</v>
      </c>
      <c r="AP811" t="str">
        <f>tbl_OriginalData[[#This Row],[Purchase_Category]]</f>
        <v>Packages)</v>
      </c>
      <c r="AQ811" s="4">
        <f>tbl_OriginalData[[#This Row],[Purchase_Amount]]</f>
        <v>193.94</v>
      </c>
      <c r="AR811">
        <f>tbl_OriginalData[[#This Row],[Frequency_of_Purchase]]</f>
        <v>11</v>
      </c>
      <c r="AS811" t="str">
        <f>tbl_OriginalData[[#This Row],[Purchase_Channel]]</f>
        <v>Mixed</v>
      </c>
      <c r="AT811">
        <f>tbl_OriginalData[[#This Row],[Brand_Loyalty]]</f>
        <v>4</v>
      </c>
      <c r="AU811">
        <f>tbl_OriginalData[[#This Row],[Product_Rating]]</f>
        <v>1</v>
      </c>
      <c r="AV811">
        <f>tbl_OriginalData[[#This Row],[Time_Spent_on_Product_Research(hours)]]*60</f>
        <v>0</v>
      </c>
      <c r="AW811" t="str">
        <f>tbl_OriginalData[[#This Row],[Social_Media_Influence]]</f>
        <v>None</v>
      </c>
      <c r="AX811" t="str">
        <f>tbl_OriginalData[[#This Row],[Discount_Sensitivity]]</f>
        <v>Not Sensitive</v>
      </c>
      <c r="AY811" s="3">
        <f>tbl_OriginalData[[#This Row],[Return_Rate]]/tbl_OriginalData[[#This Row],[Frequency_of_Purchase]]</f>
        <v>0</v>
      </c>
      <c r="AZ811">
        <f>tbl_OriginalData[[#This Row],[Customer_Satisfaction]]</f>
        <v>3</v>
      </c>
      <c r="BA811" t="str">
        <f>tbl_OriginalData[[#This Row],[Engagement_with_Ads]]</f>
        <v>High</v>
      </c>
      <c r="BB811" t="str">
        <f>tbl_OriginalData[[#This Row],[Device_Used_for_Shopping]]</f>
        <v>Desktop</v>
      </c>
      <c r="BC811" t="str">
        <f>tbl_OriginalData[[#This Row],[Payment_Method]]</f>
        <v>Other</v>
      </c>
      <c r="BD811" s="1">
        <f>tbl_OriginalData[[#This Row],[Time_of_Purchase]]</f>
        <v>45513</v>
      </c>
      <c r="BE811" t="str">
        <f>IF(tbl_OriginalData[[#This Row],[Discount_Used]]=TRUE,"Yes","No")</f>
        <v>No</v>
      </c>
      <c r="BF811" t="str">
        <f>IF(tbl_OriginalData[[#This Row],[Customer_Loyalty_Program_Member]]=TRUE,"Yes","No")</f>
        <v>No</v>
      </c>
      <c r="BG811" t="str">
        <f>tbl_OriginalData[[#This Row],[Purchase_Intent]]</f>
        <v>Wants-based</v>
      </c>
      <c r="BH811" t="str">
        <f>tbl_OriginalData[[#This Row],[Shipping_Preference]]</f>
        <v>Standard</v>
      </c>
      <c r="BI811">
        <f>tbl_OriginalData[[#This Row],[Time_to_Decision]]</f>
        <v>9</v>
      </c>
      <c r="BJ811" t="s">
        <v>124</v>
      </c>
      <c r="BK811" t="s">
        <v>115</v>
      </c>
      <c r="BL811" t="s">
        <v>2523</v>
      </c>
    </row>
    <row r="812" spans="1:64">
      <c r="A812" t="s">
        <v>1860</v>
      </c>
      <c r="B812">
        <v>46</v>
      </c>
      <c r="C812" t="s">
        <v>50</v>
      </c>
      <c r="D812" t="s">
        <v>51</v>
      </c>
      <c r="E812" t="s">
        <v>35</v>
      </c>
      <c r="F812" t="s">
        <v>66</v>
      </c>
      <c r="G812" t="s">
        <v>34</v>
      </c>
      <c r="H812" t="s">
        <v>1861</v>
      </c>
      <c r="I812" t="s">
        <v>112</v>
      </c>
      <c r="J812">
        <v>460.37</v>
      </c>
      <c r="K812">
        <v>10</v>
      </c>
      <c r="L812" t="s">
        <v>94</v>
      </c>
      <c r="M812">
        <v>5</v>
      </c>
      <c r="N812">
        <v>4</v>
      </c>
      <c r="O812">
        <v>2</v>
      </c>
      <c r="P812" t="s">
        <v>69</v>
      </c>
      <c r="Q812" t="s">
        <v>101</v>
      </c>
      <c r="R812">
        <v>2</v>
      </c>
      <c r="S812">
        <v>7</v>
      </c>
      <c r="T812" t="s">
        <v>51</v>
      </c>
      <c r="U812" t="s">
        <v>95</v>
      </c>
      <c r="V812" t="s">
        <v>43</v>
      </c>
      <c r="W812" s="1">
        <v>45486</v>
      </c>
      <c r="X812" t="b">
        <v>1</v>
      </c>
      <c r="Y812" t="b">
        <v>1</v>
      </c>
      <c r="Z812" t="s">
        <v>59</v>
      </c>
      <c r="AA812" t="s">
        <v>77</v>
      </c>
      <c r="AB812">
        <v>12</v>
      </c>
      <c r="AF812" t="str">
        <f>tbl_OriginalData[[#This Row],[Customer_ID]]</f>
        <v>53-070-2625</v>
      </c>
      <c r="AG812">
        <f>tbl_OriginalData[[#This Row],[Age]]</f>
        <v>46</v>
      </c>
      <c r="AH812" t="str" cm="1">
        <f t="array" ref="AH81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12" t="str">
        <f>tbl_OriginalData[[#This Row],[Gender]]</f>
        <v>Male</v>
      </c>
      <c r="AJ812" t="str">
        <f>tbl_OriginalData[[#This Row],[Income_Level]]</f>
        <v>High</v>
      </c>
      <c r="AK812" t="str">
        <f>tbl_OriginalData[[#This Row],[Marital_Status]]</f>
        <v>Married</v>
      </c>
      <c r="AL812" t="str">
        <f>tbl_OriginalData[[#This Row],[Education_Level]]</f>
        <v>Master's</v>
      </c>
      <c r="AM812" t="str">
        <f>tbl_OriginalData[[#This Row],[Occupation]]</f>
        <v>Middle</v>
      </c>
      <c r="AN812" t="s">
        <v>1861</v>
      </c>
      <c r="AO812" t="s">
        <v>161</v>
      </c>
      <c r="AP812" t="str">
        <f>tbl_OriginalData[[#This Row],[Purchase_Category]]</f>
        <v>Mobile Accessories</v>
      </c>
      <c r="AQ812" s="4">
        <f>tbl_OriginalData[[#This Row],[Purchase_Amount]]</f>
        <v>460.37</v>
      </c>
      <c r="AR812">
        <f>tbl_OriginalData[[#This Row],[Frequency_of_Purchase]]</f>
        <v>10</v>
      </c>
      <c r="AS812" t="str">
        <f>tbl_OriginalData[[#This Row],[Purchase_Channel]]</f>
        <v>Online</v>
      </c>
      <c r="AT812">
        <f>tbl_OriginalData[[#This Row],[Brand_Loyalty]]</f>
        <v>5</v>
      </c>
      <c r="AU812">
        <f>tbl_OriginalData[[#This Row],[Product_Rating]]</f>
        <v>4</v>
      </c>
      <c r="AV812">
        <f>tbl_OriginalData[[#This Row],[Time_Spent_on_Product_Research(hours)]]*60</f>
        <v>120</v>
      </c>
      <c r="AW812" t="str">
        <f>tbl_OriginalData[[#This Row],[Social_Media_Influence]]</f>
        <v>Low</v>
      </c>
      <c r="AX812" t="str">
        <f>tbl_OriginalData[[#This Row],[Discount_Sensitivity]]</f>
        <v>Very Sensitive</v>
      </c>
      <c r="AY812" s="3">
        <f>tbl_OriginalData[[#This Row],[Return_Rate]]/tbl_OriginalData[[#This Row],[Frequency_of_Purchase]]</f>
        <v>0.2</v>
      </c>
      <c r="AZ812">
        <f>tbl_OriginalData[[#This Row],[Customer_Satisfaction]]</f>
        <v>7</v>
      </c>
      <c r="BA812" t="str">
        <f>tbl_OriginalData[[#This Row],[Engagement_with_Ads]]</f>
        <v>High</v>
      </c>
      <c r="BB812" t="str">
        <f>tbl_OriginalData[[#This Row],[Device_Used_for_Shopping]]</f>
        <v>Desktop</v>
      </c>
      <c r="BC812" t="str">
        <f>tbl_OriginalData[[#This Row],[Payment_Method]]</f>
        <v>Credit Card</v>
      </c>
      <c r="BD812" s="1">
        <f>tbl_OriginalData[[#This Row],[Time_of_Purchase]]</f>
        <v>45486</v>
      </c>
      <c r="BE812" t="str">
        <f>IF(tbl_OriginalData[[#This Row],[Discount_Used]]=TRUE,"Yes","No")</f>
        <v>Yes</v>
      </c>
      <c r="BF812" t="str">
        <f>IF(tbl_OriginalData[[#This Row],[Customer_Loyalty_Program_Member]]=TRUE,"Yes","No")</f>
        <v>Yes</v>
      </c>
      <c r="BG812" t="str">
        <f>tbl_OriginalData[[#This Row],[Purchase_Intent]]</f>
        <v>Wants-based</v>
      </c>
      <c r="BH812" t="str">
        <f>tbl_OriginalData[[#This Row],[Shipping_Preference]]</f>
        <v>Express</v>
      </c>
      <c r="BI812">
        <f>tbl_OriginalData[[#This Row],[Time_to_Decision]]</f>
        <v>12</v>
      </c>
      <c r="BJ812" t="s">
        <v>114</v>
      </c>
      <c r="BK812" t="s">
        <v>115</v>
      </c>
      <c r="BL812" t="s">
        <v>2527</v>
      </c>
    </row>
    <row r="813" spans="1:64">
      <c r="A813" t="s">
        <v>1862</v>
      </c>
      <c r="B813">
        <v>34</v>
      </c>
      <c r="C813" t="s">
        <v>238</v>
      </c>
      <c r="D813" t="s">
        <v>34</v>
      </c>
      <c r="E813" t="s">
        <v>65</v>
      </c>
      <c r="F813" t="s">
        <v>36</v>
      </c>
      <c r="G813" t="s">
        <v>34</v>
      </c>
      <c r="H813" t="s">
        <v>738</v>
      </c>
      <c r="I813" t="s">
        <v>170</v>
      </c>
      <c r="J813">
        <v>297.29000000000002</v>
      </c>
      <c r="K813">
        <v>9</v>
      </c>
      <c r="L813" t="s">
        <v>94</v>
      </c>
      <c r="M813">
        <v>5</v>
      </c>
      <c r="N813">
        <v>4</v>
      </c>
      <c r="O813">
        <v>2</v>
      </c>
      <c r="P813" t="s">
        <v>40</v>
      </c>
      <c r="Q813" t="s">
        <v>57</v>
      </c>
      <c r="R813">
        <v>0</v>
      </c>
      <c r="S813">
        <v>9</v>
      </c>
      <c r="T813" t="s">
        <v>69</v>
      </c>
      <c r="U813" t="s">
        <v>70</v>
      </c>
      <c r="V813" t="s">
        <v>102</v>
      </c>
      <c r="W813" s="1">
        <v>45292</v>
      </c>
      <c r="X813" t="b">
        <v>1</v>
      </c>
      <c r="Y813" t="b">
        <v>1</v>
      </c>
      <c r="Z813" t="s">
        <v>44</v>
      </c>
      <c r="AA813" t="s">
        <v>60</v>
      </c>
      <c r="AB813">
        <v>3</v>
      </c>
      <c r="AF813" t="str">
        <f>tbl_OriginalData[[#This Row],[Customer_ID]]</f>
        <v>63-217-7638</v>
      </c>
      <c r="AG813">
        <f>tbl_OriginalData[[#This Row],[Age]]</f>
        <v>34</v>
      </c>
      <c r="AH813" t="str" cm="1">
        <f t="array" ref="AH81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13" t="str">
        <f>tbl_OriginalData[[#This Row],[Gender]]</f>
        <v>Non-binary</v>
      </c>
      <c r="AJ813" t="str">
        <f>tbl_OriginalData[[#This Row],[Income_Level]]</f>
        <v>Middle</v>
      </c>
      <c r="AK813" t="str">
        <f>tbl_OriginalData[[#This Row],[Marital_Status]]</f>
        <v>Single</v>
      </c>
      <c r="AL813" t="str">
        <f>tbl_OriginalData[[#This Row],[Education_Level]]</f>
        <v>Bachelor's</v>
      </c>
      <c r="AM813" t="str">
        <f>tbl_OriginalData[[#This Row],[Occupation]]</f>
        <v>Middle</v>
      </c>
      <c r="AN813" t="s">
        <v>738</v>
      </c>
      <c r="AO813" t="s">
        <v>336</v>
      </c>
      <c r="AP813" t="str">
        <f>tbl_OriginalData[[#This Row],[Purchase_Category]]</f>
        <v>Arts &amp; Crafts</v>
      </c>
      <c r="AQ813" s="4">
        <f>tbl_OriginalData[[#This Row],[Purchase_Amount]]</f>
        <v>297.29000000000002</v>
      </c>
      <c r="AR813">
        <f>tbl_OriginalData[[#This Row],[Frequency_of_Purchase]]</f>
        <v>9</v>
      </c>
      <c r="AS813" t="str">
        <f>tbl_OriginalData[[#This Row],[Purchase_Channel]]</f>
        <v>Online</v>
      </c>
      <c r="AT813">
        <f>tbl_OriginalData[[#This Row],[Brand_Loyalty]]</f>
        <v>5</v>
      </c>
      <c r="AU813">
        <f>tbl_OriginalData[[#This Row],[Product_Rating]]</f>
        <v>4</v>
      </c>
      <c r="AV813">
        <f>tbl_OriginalData[[#This Row],[Time_Spent_on_Product_Research(hours)]]*60</f>
        <v>120</v>
      </c>
      <c r="AW813" t="str">
        <f>tbl_OriginalData[[#This Row],[Social_Media_Influence]]</f>
        <v>None</v>
      </c>
      <c r="AX813" t="str">
        <f>tbl_OriginalData[[#This Row],[Discount_Sensitivity]]</f>
        <v>Not Sensitive</v>
      </c>
      <c r="AY813" s="3">
        <f>tbl_OriginalData[[#This Row],[Return_Rate]]/tbl_OriginalData[[#This Row],[Frequency_of_Purchase]]</f>
        <v>0</v>
      </c>
      <c r="AZ813">
        <f>tbl_OriginalData[[#This Row],[Customer_Satisfaction]]</f>
        <v>9</v>
      </c>
      <c r="BA813" t="str">
        <f>tbl_OriginalData[[#This Row],[Engagement_with_Ads]]</f>
        <v>Low</v>
      </c>
      <c r="BB813" t="str">
        <f>tbl_OriginalData[[#This Row],[Device_Used_for_Shopping]]</f>
        <v>Smartphone</v>
      </c>
      <c r="BC813" t="str">
        <f>tbl_OriginalData[[#This Row],[Payment_Method]]</f>
        <v>Cash</v>
      </c>
      <c r="BD813" s="1">
        <f>tbl_OriginalData[[#This Row],[Time_of_Purchase]]</f>
        <v>45292</v>
      </c>
      <c r="BE813" t="str">
        <f>IF(tbl_OriginalData[[#This Row],[Discount_Used]]=TRUE,"Yes","No")</f>
        <v>Yes</v>
      </c>
      <c r="BF813" t="str">
        <f>IF(tbl_OriginalData[[#This Row],[Customer_Loyalty_Program_Member]]=TRUE,"Yes","No")</f>
        <v>Yes</v>
      </c>
      <c r="BG813" t="str">
        <f>tbl_OriginalData[[#This Row],[Purchase_Intent]]</f>
        <v>Need-based</v>
      </c>
      <c r="BH813" t="str">
        <f>tbl_OriginalData[[#This Row],[Shipping_Preference]]</f>
        <v>Standard</v>
      </c>
      <c r="BI813">
        <f>tbl_OriginalData[[#This Row],[Time_to_Decision]]</f>
        <v>3</v>
      </c>
      <c r="BJ813" t="s">
        <v>86</v>
      </c>
      <c r="BK813" t="s">
        <v>48</v>
      </c>
      <c r="BL813" t="s">
        <v>2525</v>
      </c>
    </row>
    <row r="814" spans="1:64">
      <c r="A814" t="s">
        <v>1863</v>
      </c>
      <c r="B814">
        <v>31</v>
      </c>
      <c r="C814" t="s">
        <v>50</v>
      </c>
      <c r="D814" t="s">
        <v>34</v>
      </c>
      <c r="E814" t="s">
        <v>65</v>
      </c>
      <c r="F814" t="s">
        <v>36</v>
      </c>
      <c r="G814" t="s">
        <v>34</v>
      </c>
      <c r="H814" t="s">
        <v>1864</v>
      </c>
      <c r="I814" t="s">
        <v>98</v>
      </c>
      <c r="J814">
        <v>389.47</v>
      </c>
      <c r="K814">
        <v>4</v>
      </c>
      <c r="L814" t="s">
        <v>55</v>
      </c>
      <c r="M814">
        <v>5</v>
      </c>
      <c r="N814">
        <v>3</v>
      </c>
      <c r="O814">
        <v>2</v>
      </c>
      <c r="P814" t="s">
        <v>69</v>
      </c>
      <c r="Q814" t="s">
        <v>57</v>
      </c>
      <c r="R814">
        <v>1</v>
      </c>
      <c r="S814">
        <v>9</v>
      </c>
      <c r="T814" t="s">
        <v>51</v>
      </c>
      <c r="U814" t="s">
        <v>95</v>
      </c>
      <c r="V814" t="s">
        <v>43</v>
      </c>
      <c r="W814" s="1">
        <v>45333</v>
      </c>
      <c r="X814" t="b">
        <v>1</v>
      </c>
      <c r="Y814" t="b">
        <v>1</v>
      </c>
      <c r="Z814" t="s">
        <v>59</v>
      </c>
      <c r="AA814" t="s">
        <v>60</v>
      </c>
      <c r="AB814">
        <v>6</v>
      </c>
      <c r="AF814" t="str">
        <f>tbl_OriginalData[[#This Row],[Customer_ID]]</f>
        <v>64-120-6212</v>
      </c>
      <c r="AG814">
        <f>tbl_OriginalData[[#This Row],[Age]]</f>
        <v>31</v>
      </c>
      <c r="AH814" t="str" cm="1">
        <f t="array" ref="AH81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14" t="str">
        <f>tbl_OriginalData[[#This Row],[Gender]]</f>
        <v>Male</v>
      </c>
      <c r="AJ814" t="str">
        <f>tbl_OriginalData[[#This Row],[Income_Level]]</f>
        <v>Middle</v>
      </c>
      <c r="AK814" t="str">
        <f>tbl_OriginalData[[#This Row],[Marital_Status]]</f>
        <v>Single</v>
      </c>
      <c r="AL814" t="str">
        <f>tbl_OriginalData[[#This Row],[Education_Level]]</f>
        <v>Bachelor's</v>
      </c>
      <c r="AM814" t="str">
        <f>tbl_OriginalData[[#This Row],[Occupation]]</f>
        <v>Middle</v>
      </c>
      <c r="AN814" t="s">
        <v>1864</v>
      </c>
      <c r="AO814" t="s">
        <v>61</v>
      </c>
      <c r="AP814" t="str">
        <f>tbl_OriginalData[[#This Row],[Purchase_Category]]</f>
        <v>Books</v>
      </c>
      <c r="AQ814" s="4">
        <f>tbl_OriginalData[[#This Row],[Purchase_Amount]]</f>
        <v>389.47</v>
      </c>
      <c r="AR814">
        <f>tbl_OriginalData[[#This Row],[Frequency_of_Purchase]]</f>
        <v>4</v>
      </c>
      <c r="AS814" t="str">
        <f>tbl_OriginalData[[#This Row],[Purchase_Channel]]</f>
        <v>In-Store</v>
      </c>
      <c r="AT814">
        <f>tbl_OriginalData[[#This Row],[Brand_Loyalty]]</f>
        <v>5</v>
      </c>
      <c r="AU814">
        <f>tbl_OriginalData[[#This Row],[Product_Rating]]</f>
        <v>3</v>
      </c>
      <c r="AV814">
        <f>tbl_OriginalData[[#This Row],[Time_Spent_on_Product_Research(hours)]]*60</f>
        <v>120</v>
      </c>
      <c r="AW814" t="str">
        <f>tbl_OriginalData[[#This Row],[Social_Media_Influence]]</f>
        <v>Low</v>
      </c>
      <c r="AX814" t="str">
        <f>tbl_OriginalData[[#This Row],[Discount_Sensitivity]]</f>
        <v>Not Sensitive</v>
      </c>
      <c r="AY814" s="3">
        <f>tbl_OriginalData[[#This Row],[Return_Rate]]/tbl_OriginalData[[#This Row],[Frequency_of_Purchase]]</f>
        <v>0.25</v>
      </c>
      <c r="AZ814">
        <f>tbl_OriginalData[[#This Row],[Customer_Satisfaction]]</f>
        <v>9</v>
      </c>
      <c r="BA814" t="str">
        <f>tbl_OriginalData[[#This Row],[Engagement_with_Ads]]</f>
        <v>High</v>
      </c>
      <c r="BB814" t="str">
        <f>tbl_OriginalData[[#This Row],[Device_Used_for_Shopping]]</f>
        <v>Desktop</v>
      </c>
      <c r="BC814" t="str">
        <f>tbl_OriginalData[[#This Row],[Payment_Method]]</f>
        <v>Credit Card</v>
      </c>
      <c r="BD814" s="1">
        <f>tbl_OriginalData[[#This Row],[Time_of_Purchase]]</f>
        <v>45333</v>
      </c>
      <c r="BE814" t="str">
        <f>IF(tbl_OriginalData[[#This Row],[Discount_Used]]=TRUE,"Yes","No")</f>
        <v>Yes</v>
      </c>
      <c r="BF814" t="str">
        <f>IF(tbl_OriginalData[[#This Row],[Customer_Loyalty_Program_Member]]=TRUE,"Yes","No")</f>
        <v>Yes</v>
      </c>
      <c r="BG814" t="str">
        <f>tbl_OriginalData[[#This Row],[Purchase_Intent]]</f>
        <v>Wants-based</v>
      </c>
      <c r="BH814" t="str">
        <f>tbl_OriginalData[[#This Row],[Shipping_Preference]]</f>
        <v>Standard</v>
      </c>
      <c r="BI814">
        <f>tbl_OriginalData[[#This Row],[Time_to_Decision]]</f>
        <v>6</v>
      </c>
      <c r="BJ814" t="s">
        <v>158</v>
      </c>
      <c r="BK814" t="s">
        <v>48</v>
      </c>
      <c r="BL814" t="s">
        <v>2524</v>
      </c>
    </row>
    <row r="815" spans="1:64">
      <c r="A815" t="s">
        <v>1865</v>
      </c>
      <c r="B815">
        <v>38</v>
      </c>
      <c r="C815" t="s">
        <v>50</v>
      </c>
      <c r="D815" t="s">
        <v>51</v>
      </c>
      <c r="E815" t="s">
        <v>65</v>
      </c>
      <c r="F815" t="s">
        <v>66</v>
      </c>
      <c r="G815" t="s">
        <v>51</v>
      </c>
      <c r="H815" t="s">
        <v>1866</v>
      </c>
      <c r="I815" t="s">
        <v>75</v>
      </c>
      <c r="J815">
        <v>370.05</v>
      </c>
      <c r="K815">
        <v>11</v>
      </c>
      <c r="L815" t="s">
        <v>39</v>
      </c>
      <c r="M815">
        <v>5</v>
      </c>
      <c r="N815">
        <v>3</v>
      </c>
      <c r="O815">
        <v>0</v>
      </c>
      <c r="P815" t="s">
        <v>56</v>
      </c>
      <c r="Q815" t="s">
        <v>101</v>
      </c>
      <c r="R815">
        <v>1</v>
      </c>
      <c r="S815">
        <v>10</v>
      </c>
      <c r="T815" t="s">
        <v>51</v>
      </c>
      <c r="U815" t="s">
        <v>70</v>
      </c>
      <c r="V815" t="s">
        <v>102</v>
      </c>
      <c r="W815" s="1">
        <v>45595</v>
      </c>
      <c r="X815" t="b">
        <v>1</v>
      </c>
      <c r="Y815" t="b">
        <v>1</v>
      </c>
      <c r="Z815" t="s">
        <v>72</v>
      </c>
      <c r="AA815" t="s">
        <v>45</v>
      </c>
      <c r="AB815">
        <v>10</v>
      </c>
      <c r="AF815" t="str">
        <f>tbl_OriginalData[[#This Row],[Customer_ID]]</f>
        <v>01-404-3425</v>
      </c>
      <c r="AG815">
        <f>tbl_OriginalData[[#This Row],[Age]]</f>
        <v>38</v>
      </c>
      <c r="AH815" t="str" cm="1">
        <f t="array" ref="AH81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15" t="str">
        <f>tbl_OriginalData[[#This Row],[Gender]]</f>
        <v>Male</v>
      </c>
      <c r="AJ815" t="str">
        <f>tbl_OriginalData[[#This Row],[Income_Level]]</f>
        <v>High</v>
      </c>
      <c r="AK815" t="str">
        <f>tbl_OriginalData[[#This Row],[Marital_Status]]</f>
        <v>Single</v>
      </c>
      <c r="AL815" t="str">
        <f>tbl_OriginalData[[#This Row],[Education_Level]]</f>
        <v>Master's</v>
      </c>
      <c r="AM815" t="str">
        <f>tbl_OriginalData[[#This Row],[Occupation]]</f>
        <v>High</v>
      </c>
      <c r="AN815" t="s">
        <v>1866</v>
      </c>
      <c r="AO815" t="s">
        <v>766</v>
      </c>
      <c r="AP815" t="str">
        <f>tbl_OriginalData[[#This Row],[Purchase_Category]]</f>
        <v>Home Appliances</v>
      </c>
      <c r="AQ815" s="4">
        <f>tbl_OriginalData[[#This Row],[Purchase_Amount]]</f>
        <v>370.05</v>
      </c>
      <c r="AR815">
        <f>tbl_OriginalData[[#This Row],[Frequency_of_Purchase]]</f>
        <v>11</v>
      </c>
      <c r="AS815" t="str">
        <f>tbl_OriginalData[[#This Row],[Purchase_Channel]]</f>
        <v>Mixed</v>
      </c>
      <c r="AT815">
        <f>tbl_OriginalData[[#This Row],[Brand_Loyalty]]</f>
        <v>5</v>
      </c>
      <c r="AU815">
        <f>tbl_OriginalData[[#This Row],[Product_Rating]]</f>
        <v>3</v>
      </c>
      <c r="AV815">
        <f>tbl_OriginalData[[#This Row],[Time_Spent_on_Product_Research(hours)]]*60</f>
        <v>0</v>
      </c>
      <c r="AW815" t="str">
        <f>tbl_OriginalData[[#This Row],[Social_Media_Influence]]</f>
        <v>Medium</v>
      </c>
      <c r="AX815" t="str">
        <f>tbl_OriginalData[[#This Row],[Discount_Sensitivity]]</f>
        <v>Very Sensitive</v>
      </c>
      <c r="AY815" s="3">
        <f>tbl_OriginalData[[#This Row],[Return_Rate]]/tbl_OriginalData[[#This Row],[Frequency_of_Purchase]]</f>
        <v>9.0909090909090912E-2</v>
      </c>
      <c r="AZ815">
        <f>tbl_OriginalData[[#This Row],[Customer_Satisfaction]]</f>
        <v>10</v>
      </c>
      <c r="BA815" t="str">
        <f>tbl_OriginalData[[#This Row],[Engagement_with_Ads]]</f>
        <v>High</v>
      </c>
      <c r="BB815" t="str">
        <f>tbl_OriginalData[[#This Row],[Device_Used_for_Shopping]]</f>
        <v>Smartphone</v>
      </c>
      <c r="BC815" t="str">
        <f>tbl_OriginalData[[#This Row],[Payment_Method]]</f>
        <v>Cash</v>
      </c>
      <c r="BD815" s="1">
        <f>tbl_OriginalData[[#This Row],[Time_of_Purchase]]</f>
        <v>45595</v>
      </c>
      <c r="BE815" t="str">
        <f>IF(tbl_OriginalData[[#This Row],[Discount_Used]]=TRUE,"Yes","No")</f>
        <v>Yes</v>
      </c>
      <c r="BF815" t="str">
        <f>IF(tbl_OriginalData[[#This Row],[Customer_Loyalty_Program_Member]]=TRUE,"Yes","No")</f>
        <v>Yes</v>
      </c>
      <c r="BG815" t="str">
        <f>tbl_OriginalData[[#This Row],[Purchase_Intent]]</f>
        <v>Impulsive</v>
      </c>
      <c r="BH815" t="str">
        <f>tbl_OriginalData[[#This Row],[Shipping_Preference]]</f>
        <v>No Preference</v>
      </c>
      <c r="BI815">
        <f>tbl_OriginalData[[#This Row],[Time_to_Decision]]</f>
        <v>10</v>
      </c>
      <c r="BJ815" t="s">
        <v>79</v>
      </c>
      <c r="BK815" t="s">
        <v>80</v>
      </c>
      <c r="BL815" t="s">
        <v>2524</v>
      </c>
    </row>
    <row r="816" spans="1:64">
      <c r="A816" t="s">
        <v>1867</v>
      </c>
      <c r="B816">
        <v>45</v>
      </c>
      <c r="C816" t="s">
        <v>50</v>
      </c>
      <c r="D816" t="s">
        <v>51</v>
      </c>
      <c r="E816" t="s">
        <v>65</v>
      </c>
      <c r="F816" t="s">
        <v>66</v>
      </c>
      <c r="G816" t="s">
        <v>34</v>
      </c>
      <c r="H816" t="s">
        <v>1868</v>
      </c>
      <c r="I816" t="s">
        <v>306</v>
      </c>
      <c r="J816">
        <v>462.24</v>
      </c>
      <c r="K816">
        <v>2</v>
      </c>
      <c r="L816" t="s">
        <v>39</v>
      </c>
      <c r="M816">
        <v>4</v>
      </c>
      <c r="N816">
        <v>5</v>
      </c>
      <c r="O816">
        <v>0</v>
      </c>
      <c r="P816" t="s">
        <v>69</v>
      </c>
      <c r="Q816" t="s">
        <v>57</v>
      </c>
      <c r="R816">
        <v>2</v>
      </c>
      <c r="S816">
        <v>1</v>
      </c>
      <c r="T816" t="s">
        <v>40</v>
      </c>
      <c r="U816" t="s">
        <v>70</v>
      </c>
      <c r="V816" t="s">
        <v>76</v>
      </c>
      <c r="W816" s="1">
        <v>45370</v>
      </c>
      <c r="X816" t="b">
        <v>1</v>
      </c>
      <c r="Y816" t="b">
        <v>1</v>
      </c>
      <c r="Z816" t="s">
        <v>59</v>
      </c>
      <c r="AA816" t="s">
        <v>77</v>
      </c>
      <c r="AB816">
        <v>13</v>
      </c>
      <c r="AF816" t="str">
        <f>tbl_OriginalData[[#This Row],[Customer_ID]]</f>
        <v>68-971-6148</v>
      </c>
      <c r="AG816">
        <f>tbl_OriginalData[[#This Row],[Age]]</f>
        <v>45</v>
      </c>
      <c r="AH816" t="str" cm="1">
        <f t="array" ref="AH81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16" t="str">
        <f>tbl_OriginalData[[#This Row],[Gender]]</f>
        <v>Male</v>
      </c>
      <c r="AJ816" t="str">
        <f>tbl_OriginalData[[#This Row],[Income_Level]]</f>
        <v>High</v>
      </c>
      <c r="AK816" t="str">
        <f>tbl_OriginalData[[#This Row],[Marital_Status]]</f>
        <v>Single</v>
      </c>
      <c r="AL816" t="str">
        <f>tbl_OriginalData[[#This Row],[Education_Level]]</f>
        <v>Master's</v>
      </c>
      <c r="AM816" t="str">
        <f>tbl_OriginalData[[#This Row],[Occupation]]</f>
        <v>Middle</v>
      </c>
      <c r="AN816" t="s">
        <v>1868</v>
      </c>
      <c r="AO816" t="s">
        <v>194</v>
      </c>
      <c r="AP816" t="str">
        <f>tbl_OriginalData[[#This Row],[Purchase_Category]]</f>
        <v>Jewelry &amp; Accessories</v>
      </c>
      <c r="AQ816" s="4">
        <f>tbl_OriginalData[[#This Row],[Purchase_Amount]]</f>
        <v>462.24</v>
      </c>
      <c r="AR816">
        <f>tbl_OriginalData[[#This Row],[Frequency_of_Purchase]]</f>
        <v>2</v>
      </c>
      <c r="AS816" t="str">
        <f>tbl_OriginalData[[#This Row],[Purchase_Channel]]</f>
        <v>Mixed</v>
      </c>
      <c r="AT816">
        <f>tbl_OriginalData[[#This Row],[Brand_Loyalty]]</f>
        <v>4</v>
      </c>
      <c r="AU816">
        <f>tbl_OriginalData[[#This Row],[Product_Rating]]</f>
        <v>5</v>
      </c>
      <c r="AV816">
        <f>tbl_OriginalData[[#This Row],[Time_Spent_on_Product_Research(hours)]]*60</f>
        <v>0</v>
      </c>
      <c r="AW816" t="str">
        <f>tbl_OriginalData[[#This Row],[Social_Media_Influence]]</f>
        <v>Low</v>
      </c>
      <c r="AX816" t="str">
        <f>tbl_OriginalData[[#This Row],[Discount_Sensitivity]]</f>
        <v>Not Sensitive</v>
      </c>
      <c r="AY816" s="3">
        <f>tbl_OriginalData[[#This Row],[Return_Rate]]/tbl_OriginalData[[#This Row],[Frequency_of_Purchase]]</f>
        <v>1</v>
      </c>
      <c r="AZ816">
        <f>tbl_OriginalData[[#This Row],[Customer_Satisfaction]]</f>
        <v>1</v>
      </c>
      <c r="BA816" t="str">
        <f>tbl_OriginalData[[#This Row],[Engagement_with_Ads]]</f>
        <v>None</v>
      </c>
      <c r="BB816" t="str">
        <f>tbl_OriginalData[[#This Row],[Device_Used_for_Shopping]]</f>
        <v>Smartphone</v>
      </c>
      <c r="BC816" t="str">
        <f>tbl_OriginalData[[#This Row],[Payment_Method]]</f>
        <v>Other</v>
      </c>
      <c r="BD816" s="1">
        <f>tbl_OriginalData[[#This Row],[Time_of_Purchase]]</f>
        <v>45370</v>
      </c>
      <c r="BE816" t="str">
        <f>IF(tbl_OriginalData[[#This Row],[Discount_Used]]=TRUE,"Yes","No")</f>
        <v>Yes</v>
      </c>
      <c r="BF816" t="str">
        <f>IF(tbl_OriginalData[[#This Row],[Customer_Loyalty_Program_Member]]=TRUE,"Yes","No")</f>
        <v>Yes</v>
      </c>
      <c r="BG816" t="str">
        <f>tbl_OriginalData[[#This Row],[Purchase_Intent]]</f>
        <v>Wants-based</v>
      </c>
      <c r="BH816" t="str">
        <f>tbl_OriginalData[[#This Row],[Shipping_Preference]]</f>
        <v>Express</v>
      </c>
      <c r="BI816">
        <f>tbl_OriginalData[[#This Row],[Time_to_Decision]]</f>
        <v>13</v>
      </c>
      <c r="BJ816" t="s">
        <v>47</v>
      </c>
      <c r="BK816" t="s">
        <v>48</v>
      </c>
      <c r="BL816" t="s">
        <v>2524</v>
      </c>
    </row>
    <row r="817" spans="1:64">
      <c r="A817" t="s">
        <v>1869</v>
      </c>
      <c r="B817">
        <v>30</v>
      </c>
      <c r="C817" t="s">
        <v>33</v>
      </c>
      <c r="D817" t="s">
        <v>51</v>
      </c>
      <c r="E817" t="s">
        <v>35</v>
      </c>
      <c r="F817" t="s">
        <v>52</v>
      </c>
      <c r="G817" t="s">
        <v>51</v>
      </c>
      <c r="H817" t="s">
        <v>1870</v>
      </c>
      <c r="I817" t="s">
        <v>54</v>
      </c>
      <c r="J817">
        <v>472.53</v>
      </c>
      <c r="K817">
        <v>11</v>
      </c>
      <c r="L817" t="s">
        <v>94</v>
      </c>
      <c r="M817">
        <v>4</v>
      </c>
      <c r="N817">
        <v>1</v>
      </c>
      <c r="O817">
        <v>1</v>
      </c>
      <c r="P817" t="s">
        <v>56</v>
      </c>
      <c r="Q817" t="s">
        <v>41</v>
      </c>
      <c r="R817">
        <v>2</v>
      </c>
      <c r="S817">
        <v>7</v>
      </c>
      <c r="T817" t="s">
        <v>56</v>
      </c>
      <c r="U817" t="s">
        <v>70</v>
      </c>
      <c r="V817" t="s">
        <v>71</v>
      </c>
      <c r="W817" s="1">
        <v>45412</v>
      </c>
      <c r="X817" t="b">
        <v>0</v>
      </c>
      <c r="Y817" t="b">
        <v>0</v>
      </c>
      <c r="Z817" t="s">
        <v>59</v>
      </c>
      <c r="AA817" t="s">
        <v>77</v>
      </c>
      <c r="AB817">
        <v>4</v>
      </c>
      <c r="AF817" t="str">
        <f>tbl_OriginalData[[#This Row],[Customer_ID]]</f>
        <v>22-053-4627</v>
      </c>
      <c r="AG817">
        <f>tbl_OriginalData[[#This Row],[Age]]</f>
        <v>30</v>
      </c>
      <c r="AH817" t="str" cm="1">
        <f t="array" ref="AH81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17" t="str">
        <f>tbl_OriginalData[[#This Row],[Gender]]</f>
        <v>Female</v>
      </c>
      <c r="AJ817" t="str">
        <f>tbl_OriginalData[[#This Row],[Income_Level]]</f>
        <v>High</v>
      </c>
      <c r="AK817" t="str">
        <f>tbl_OriginalData[[#This Row],[Marital_Status]]</f>
        <v>Married</v>
      </c>
      <c r="AL817" t="str">
        <f>tbl_OriginalData[[#This Row],[Education_Level]]</f>
        <v>High School</v>
      </c>
      <c r="AM817" t="str">
        <f>tbl_OriginalData[[#This Row],[Occupation]]</f>
        <v>High</v>
      </c>
      <c r="AN817" t="s">
        <v>1870</v>
      </c>
      <c r="AO817" t="s">
        <v>232</v>
      </c>
      <c r="AP817" t="str">
        <f>tbl_OriginalData[[#This Row],[Purchase_Category]]</f>
        <v>Food &amp; Beverages</v>
      </c>
      <c r="AQ817" s="4">
        <f>tbl_OriginalData[[#This Row],[Purchase_Amount]]</f>
        <v>472.53</v>
      </c>
      <c r="AR817">
        <f>tbl_OriginalData[[#This Row],[Frequency_of_Purchase]]</f>
        <v>11</v>
      </c>
      <c r="AS817" t="str">
        <f>tbl_OriginalData[[#This Row],[Purchase_Channel]]</f>
        <v>Online</v>
      </c>
      <c r="AT817">
        <f>tbl_OriginalData[[#This Row],[Brand_Loyalty]]</f>
        <v>4</v>
      </c>
      <c r="AU817">
        <f>tbl_OriginalData[[#This Row],[Product_Rating]]</f>
        <v>1</v>
      </c>
      <c r="AV817">
        <f>tbl_OriginalData[[#This Row],[Time_Spent_on_Product_Research(hours)]]*60</f>
        <v>60</v>
      </c>
      <c r="AW817" t="str">
        <f>tbl_OriginalData[[#This Row],[Social_Media_Influence]]</f>
        <v>Medium</v>
      </c>
      <c r="AX817" t="str">
        <f>tbl_OriginalData[[#This Row],[Discount_Sensitivity]]</f>
        <v>Somewhat Sensitive</v>
      </c>
      <c r="AY817" s="3">
        <f>tbl_OriginalData[[#This Row],[Return_Rate]]/tbl_OriginalData[[#This Row],[Frequency_of_Purchase]]</f>
        <v>0.18181818181818182</v>
      </c>
      <c r="AZ817">
        <f>tbl_OriginalData[[#This Row],[Customer_Satisfaction]]</f>
        <v>7</v>
      </c>
      <c r="BA817" t="str">
        <f>tbl_OriginalData[[#This Row],[Engagement_with_Ads]]</f>
        <v>Medium</v>
      </c>
      <c r="BB817" t="str">
        <f>tbl_OriginalData[[#This Row],[Device_Used_for_Shopping]]</f>
        <v>Smartphone</v>
      </c>
      <c r="BC817" t="str">
        <f>tbl_OriginalData[[#This Row],[Payment_Method]]</f>
        <v>Debit Card</v>
      </c>
      <c r="BD817" s="1">
        <f>tbl_OriginalData[[#This Row],[Time_of_Purchase]]</f>
        <v>45412</v>
      </c>
      <c r="BE817" t="str">
        <f>IF(tbl_OriginalData[[#This Row],[Discount_Used]]=TRUE,"Yes","No")</f>
        <v>No</v>
      </c>
      <c r="BF817" t="str">
        <f>IF(tbl_OriginalData[[#This Row],[Customer_Loyalty_Program_Member]]=TRUE,"Yes","No")</f>
        <v>No</v>
      </c>
      <c r="BG817" t="str">
        <f>tbl_OriginalData[[#This Row],[Purchase_Intent]]</f>
        <v>Wants-based</v>
      </c>
      <c r="BH817" t="str">
        <f>tbl_OriginalData[[#This Row],[Shipping_Preference]]</f>
        <v>Express</v>
      </c>
      <c r="BI817">
        <f>tbl_OriginalData[[#This Row],[Time_to_Decision]]</f>
        <v>4</v>
      </c>
      <c r="BJ817" t="s">
        <v>62</v>
      </c>
      <c r="BK817" t="s">
        <v>63</v>
      </c>
      <c r="BL817" t="s">
        <v>2523</v>
      </c>
    </row>
    <row r="818" spans="1:64">
      <c r="A818" t="s">
        <v>1871</v>
      </c>
      <c r="B818">
        <v>45</v>
      </c>
      <c r="C818" t="s">
        <v>33</v>
      </c>
      <c r="D818" t="s">
        <v>34</v>
      </c>
      <c r="E818" t="s">
        <v>35</v>
      </c>
      <c r="F818" t="s">
        <v>52</v>
      </c>
      <c r="G818" t="s">
        <v>34</v>
      </c>
      <c r="H818" t="s">
        <v>1872</v>
      </c>
      <c r="I818" t="s">
        <v>75</v>
      </c>
      <c r="J818">
        <v>407.29</v>
      </c>
      <c r="K818">
        <v>3</v>
      </c>
      <c r="L818" t="s">
        <v>55</v>
      </c>
      <c r="M818">
        <v>5</v>
      </c>
      <c r="N818">
        <v>5</v>
      </c>
      <c r="O818">
        <v>0</v>
      </c>
      <c r="P818" t="s">
        <v>69</v>
      </c>
      <c r="Q818" t="s">
        <v>57</v>
      </c>
      <c r="R818">
        <v>0</v>
      </c>
      <c r="S818">
        <v>5</v>
      </c>
      <c r="T818" t="s">
        <v>69</v>
      </c>
      <c r="U818" t="s">
        <v>42</v>
      </c>
      <c r="V818" t="s">
        <v>76</v>
      </c>
      <c r="W818" s="1">
        <v>45621</v>
      </c>
      <c r="X818" t="b">
        <v>0</v>
      </c>
      <c r="Y818" t="b">
        <v>0</v>
      </c>
      <c r="Z818" t="s">
        <v>89</v>
      </c>
      <c r="AA818" t="s">
        <v>77</v>
      </c>
      <c r="AB818">
        <v>3</v>
      </c>
      <c r="AF818" t="str">
        <f>tbl_OriginalData[[#This Row],[Customer_ID]]</f>
        <v>09-258-0424</v>
      </c>
      <c r="AG818">
        <f>tbl_OriginalData[[#This Row],[Age]]</f>
        <v>45</v>
      </c>
      <c r="AH818" t="str" cm="1">
        <f t="array" ref="AH81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18" t="str">
        <f>tbl_OriginalData[[#This Row],[Gender]]</f>
        <v>Female</v>
      </c>
      <c r="AJ818" t="str">
        <f>tbl_OriginalData[[#This Row],[Income_Level]]</f>
        <v>Middle</v>
      </c>
      <c r="AK818" t="str">
        <f>tbl_OriginalData[[#This Row],[Marital_Status]]</f>
        <v>Married</v>
      </c>
      <c r="AL818" t="str">
        <f>tbl_OriginalData[[#This Row],[Education_Level]]</f>
        <v>High School</v>
      </c>
      <c r="AM818" t="str">
        <f>tbl_OriginalData[[#This Row],[Occupation]]</f>
        <v>Middle</v>
      </c>
      <c r="AN818" t="s">
        <v>1872</v>
      </c>
      <c r="AO818" t="s">
        <v>418</v>
      </c>
      <c r="AP818" t="str">
        <f>tbl_OriginalData[[#This Row],[Purchase_Category]]</f>
        <v>Home Appliances</v>
      </c>
      <c r="AQ818" s="4">
        <f>tbl_OriginalData[[#This Row],[Purchase_Amount]]</f>
        <v>407.29</v>
      </c>
      <c r="AR818">
        <f>tbl_OriginalData[[#This Row],[Frequency_of_Purchase]]</f>
        <v>3</v>
      </c>
      <c r="AS818" t="str">
        <f>tbl_OriginalData[[#This Row],[Purchase_Channel]]</f>
        <v>In-Store</v>
      </c>
      <c r="AT818">
        <f>tbl_OriginalData[[#This Row],[Brand_Loyalty]]</f>
        <v>5</v>
      </c>
      <c r="AU818">
        <f>tbl_OriginalData[[#This Row],[Product_Rating]]</f>
        <v>5</v>
      </c>
      <c r="AV818">
        <f>tbl_OriginalData[[#This Row],[Time_Spent_on_Product_Research(hours)]]*60</f>
        <v>0</v>
      </c>
      <c r="AW818" t="str">
        <f>tbl_OriginalData[[#This Row],[Social_Media_Influence]]</f>
        <v>Low</v>
      </c>
      <c r="AX818" t="str">
        <f>tbl_OriginalData[[#This Row],[Discount_Sensitivity]]</f>
        <v>Not Sensitive</v>
      </c>
      <c r="AY818" s="3">
        <f>tbl_OriginalData[[#This Row],[Return_Rate]]/tbl_OriginalData[[#This Row],[Frequency_of_Purchase]]</f>
        <v>0</v>
      </c>
      <c r="AZ818">
        <f>tbl_OriginalData[[#This Row],[Customer_Satisfaction]]</f>
        <v>5</v>
      </c>
      <c r="BA818" t="str">
        <f>tbl_OriginalData[[#This Row],[Engagement_with_Ads]]</f>
        <v>Low</v>
      </c>
      <c r="BB818" t="str">
        <f>tbl_OriginalData[[#This Row],[Device_Used_for_Shopping]]</f>
        <v>Tablet</v>
      </c>
      <c r="BC818" t="str">
        <f>tbl_OriginalData[[#This Row],[Payment_Method]]</f>
        <v>Other</v>
      </c>
      <c r="BD818" s="1">
        <f>tbl_OriginalData[[#This Row],[Time_of_Purchase]]</f>
        <v>45621</v>
      </c>
      <c r="BE818" t="str">
        <f>IF(tbl_OriginalData[[#This Row],[Discount_Used]]=TRUE,"Yes","No")</f>
        <v>No</v>
      </c>
      <c r="BF818" t="str">
        <f>IF(tbl_OriginalData[[#This Row],[Customer_Loyalty_Program_Member]]=TRUE,"Yes","No")</f>
        <v>No</v>
      </c>
      <c r="BG818" t="str">
        <f>tbl_OriginalData[[#This Row],[Purchase_Intent]]</f>
        <v>Planned</v>
      </c>
      <c r="BH818" t="str">
        <f>tbl_OriginalData[[#This Row],[Shipping_Preference]]</f>
        <v>Express</v>
      </c>
      <c r="BI818">
        <f>tbl_OriginalData[[#This Row],[Time_to_Decision]]</f>
        <v>3</v>
      </c>
      <c r="BJ818" t="s">
        <v>177</v>
      </c>
      <c r="BK818" t="s">
        <v>80</v>
      </c>
      <c r="BL818" t="s">
        <v>2523</v>
      </c>
    </row>
    <row r="819" spans="1:64">
      <c r="A819" t="s">
        <v>1873</v>
      </c>
      <c r="B819">
        <v>18</v>
      </c>
      <c r="C819" t="s">
        <v>50</v>
      </c>
      <c r="D819" t="s">
        <v>51</v>
      </c>
      <c r="E819" t="s">
        <v>35</v>
      </c>
      <c r="F819" t="s">
        <v>36</v>
      </c>
      <c r="G819" t="s">
        <v>51</v>
      </c>
      <c r="H819" t="s">
        <v>1874</v>
      </c>
      <c r="I819" t="s">
        <v>112</v>
      </c>
      <c r="J819">
        <v>135.65</v>
      </c>
      <c r="K819">
        <v>8</v>
      </c>
      <c r="L819" t="s">
        <v>94</v>
      </c>
      <c r="M819">
        <v>4</v>
      </c>
      <c r="N819">
        <v>1</v>
      </c>
      <c r="O819">
        <v>1</v>
      </c>
      <c r="P819" t="s">
        <v>69</v>
      </c>
      <c r="Q819" t="s">
        <v>101</v>
      </c>
      <c r="R819">
        <v>0</v>
      </c>
      <c r="S819">
        <v>9</v>
      </c>
      <c r="T819" t="s">
        <v>40</v>
      </c>
      <c r="U819" t="s">
        <v>95</v>
      </c>
      <c r="V819" t="s">
        <v>76</v>
      </c>
      <c r="W819" s="1">
        <v>45338</v>
      </c>
      <c r="X819" t="b">
        <v>0</v>
      </c>
      <c r="Y819" t="b">
        <v>0</v>
      </c>
      <c r="Z819" t="s">
        <v>72</v>
      </c>
      <c r="AA819" t="s">
        <v>60</v>
      </c>
      <c r="AB819">
        <v>14</v>
      </c>
      <c r="AF819" t="str">
        <f>tbl_OriginalData[[#This Row],[Customer_ID]]</f>
        <v>56-782-9001</v>
      </c>
      <c r="AG819">
        <f>tbl_OriginalData[[#This Row],[Age]]</f>
        <v>18</v>
      </c>
      <c r="AH819" t="str" cm="1">
        <f t="array" ref="AH81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819" t="str">
        <f>tbl_OriginalData[[#This Row],[Gender]]</f>
        <v>Male</v>
      </c>
      <c r="AJ819" t="str">
        <f>tbl_OriginalData[[#This Row],[Income_Level]]</f>
        <v>High</v>
      </c>
      <c r="AK819" t="str">
        <f>tbl_OriginalData[[#This Row],[Marital_Status]]</f>
        <v>Married</v>
      </c>
      <c r="AL819" t="str">
        <f>tbl_OriginalData[[#This Row],[Education_Level]]</f>
        <v>Bachelor's</v>
      </c>
      <c r="AM819" t="str">
        <f>tbl_OriginalData[[#This Row],[Occupation]]</f>
        <v>High</v>
      </c>
      <c r="AN819" t="s">
        <v>1874</v>
      </c>
      <c r="AO819" t="s">
        <v>194</v>
      </c>
      <c r="AP819" t="str">
        <f>tbl_OriginalData[[#This Row],[Purchase_Category]]</f>
        <v>Mobile Accessories</v>
      </c>
      <c r="AQ819" s="4">
        <f>tbl_OriginalData[[#This Row],[Purchase_Amount]]</f>
        <v>135.65</v>
      </c>
      <c r="AR819">
        <f>tbl_OriginalData[[#This Row],[Frequency_of_Purchase]]</f>
        <v>8</v>
      </c>
      <c r="AS819" t="str">
        <f>tbl_OriginalData[[#This Row],[Purchase_Channel]]</f>
        <v>Online</v>
      </c>
      <c r="AT819">
        <f>tbl_OriginalData[[#This Row],[Brand_Loyalty]]</f>
        <v>4</v>
      </c>
      <c r="AU819">
        <f>tbl_OriginalData[[#This Row],[Product_Rating]]</f>
        <v>1</v>
      </c>
      <c r="AV819">
        <f>tbl_OriginalData[[#This Row],[Time_Spent_on_Product_Research(hours)]]*60</f>
        <v>60</v>
      </c>
      <c r="AW819" t="str">
        <f>tbl_OriginalData[[#This Row],[Social_Media_Influence]]</f>
        <v>Low</v>
      </c>
      <c r="AX819" t="str">
        <f>tbl_OriginalData[[#This Row],[Discount_Sensitivity]]</f>
        <v>Very Sensitive</v>
      </c>
      <c r="AY819" s="3">
        <f>tbl_OriginalData[[#This Row],[Return_Rate]]/tbl_OriginalData[[#This Row],[Frequency_of_Purchase]]</f>
        <v>0</v>
      </c>
      <c r="AZ819">
        <f>tbl_OriginalData[[#This Row],[Customer_Satisfaction]]</f>
        <v>9</v>
      </c>
      <c r="BA819" t="str">
        <f>tbl_OriginalData[[#This Row],[Engagement_with_Ads]]</f>
        <v>None</v>
      </c>
      <c r="BB819" t="str">
        <f>tbl_OriginalData[[#This Row],[Device_Used_for_Shopping]]</f>
        <v>Desktop</v>
      </c>
      <c r="BC819" t="str">
        <f>tbl_OriginalData[[#This Row],[Payment_Method]]</f>
        <v>Other</v>
      </c>
      <c r="BD819" s="1">
        <f>tbl_OriginalData[[#This Row],[Time_of_Purchase]]</f>
        <v>45338</v>
      </c>
      <c r="BE819" t="str">
        <f>IF(tbl_OriginalData[[#This Row],[Discount_Used]]=TRUE,"Yes","No")</f>
        <v>No</v>
      </c>
      <c r="BF819" t="str">
        <f>IF(tbl_OriginalData[[#This Row],[Customer_Loyalty_Program_Member]]=TRUE,"Yes","No")</f>
        <v>No</v>
      </c>
      <c r="BG819" t="str">
        <f>tbl_OriginalData[[#This Row],[Purchase_Intent]]</f>
        <v>Impulsive</v>
      </c>
      <c r="BH819" t="str">
        <f>tbl_OriginalData[[#This Row],[Shipping_Preference]]</f>
        <v>Standard</v>
      </c>
      <c r="BI819">
        <f>tbl_OriginalData[[#This Row],[Time_to_Decision]]</f>
        <v>14</v>
      </c>
      <c r="BJ819" t="s">
        <v>158</v>
      </c>
      <c r="BK819" t="s">
        <v>48</v>
      </c>
      <c r="BL819" t="s">
        <v>2524</v>
      </c>
    </row>
    <row r="820" spans="1:64">
      <c r="A820" t="s">
        <v>1875</v>
      </c>
      <c r="B820">
        <v>36</v>
      </c>
      <c r="C820" t="s">
        <v>50</v>
      </c>
      <c r="D820" t="s">
        <v>51</v>
      </c>
      <c r="E820" t="s">
        <v>65</v>
      </c>
      <c r="F820" t="s">
        <v>36</v>
      </c>
      <c r="G820" t="s">
        <v>34</v>
      </c>
      <c r="H820" t="s">
        <v>1876</v>
      </c>
      <c r="I820" t="s">
        <v>127</v>
      </c>
      <c r="J820">
        <v>352.35</v>
      </c>
      <c r="K820">
        <v>4</v>
      </c>
      <c r="L820" t="s">
        <v>94</v>
      </c>
      <c r="M820">
        <v>2</v>
      </c>
      <c r="N820">
        <v>2</v>
      </c>
      <c r="O820">
        <v>0</v>
      </c>
      <c r="P820" t="s">
        <v>69</v>
      </c>
      <c r="Q820" t="s">
        <v>101</v>
      </c>
      <c r="R820">
        <v>1</v>
      </c>
      <c r="S820">
        <v>1</v>
      </c>
      <c r="T820" t="s">
        <v>69</v>
      </c>
      <c r="U820" t="s">
        <v>70</v>
      </c>
      <c r="V820" t="s">
        <v>43</v>
      </c>
      <c r="W820" s="1">
        <v>45463</v>
      </c>
      <c r="X820" t="b">
        <v>0</v>
      </c>
      <c r="Y820" t="b">
        <v>0</v>
      </c>
      <c r="Z820" t="s">
        <v>89</v>
      </c>
      <c r="AA820" t="s">
        <v>77</v>
      </c>
      <c r="AB820">
        <v>14</v>
      </c>
      <c r="AF820" t="str">
        <f>tbl_OriginalData[[#This Row],[Customer_ID]]</f>
        <v>05-506-7216</v>
      </c>
      <c r="AG820">
        <f>tbl_OriginalData[[#This Row],[Age]]</f>
        <v>36</v>
      </c>
      <c r="AH820" t="str" cm="1">
        <f t="array" ref="AH82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20" t="str">
        <f>tbl_OriginalData[[#This Row],[Gender]]</f>
        <v>Male</v>
      </c>
      <c r="AJ820" t="str">
        <f>tbl_OriginalData[[#This Row],[Income_Level]]</f>
        <v>High</v>
      </c>
      <c r="AK820" t="str">
        <f>tbl_OriginalData[[#This Row],[Marital_Status]]</f>
        <v>Single</v>
      </c>
      <c r="AL820" t="str">
        <f>tbl_OriginalData[[#This Row],[Education_Level]]</f>
        <v>Bachelor's</v>
      </c>
      <c r="AM820" t="str">
        <f>tbl_OriginalData[[#This Row],[Occupation]]</f>
        <v>Middle</v>
      </c>
      <c r="AN820" t="s">
        <v>1876</v>
      </c>
      <c r="AO820" t="s">
        <v>194</v>
      </c>
      <c r="AP820" t="str">
        <f>tbl_OriginalData[[#This Row],[Purchase_Category]]</f>
        <v>Animal Feed</v>
      </c>
      <c r="AQ820" s="4">
        <f>tbl_OriginalData[[#This Row],[Purchase_Amount]]</f>
        <v>352.35</v>
      </c>
      <c r="AR820">
        <f>tbl_OriginalData[[#This Row],[Frequency_of_Purchase]]</f>
        <v>4</v>
      </c>
      <c r="AS820" t="str">
        <f>tbl_OriginalData[[#This Row],[Purchase_Channel]]</f>
        <v>Online</v>
      </c>
      <c r="AT820">
        <f>tbl_OriginalData[[#This Row],[Brand_Loyalty]]</f>
        <v>2</v>
      </c>
      <c r="AU820">
        <f>tbl_OriginalData[[#This Row],[Product_Rating]]</f>
        <v>2</v>
      </c>
      <c r="AV820">
        <f>tbl_OriginalData[[#This Row],[Time_Spent_on_Product_Research(hours)]]*60</f>
        <v>0</v>
      </c>
      <c r="AW820" t="str">
        <f>tbl_OriginalData[[#This Row],[Social_Media_Influence]]</f>
        <v>Low</v>
      </c>
      <c r="AX820" t="str">
        <f>tbl_OriginalData[[#This Row],[Discount_Sensitivity]]</f>
        <v>Very Sensitive</v>
      </c>
      <c r="AY820" s="3">
        <f>tbl_OriginalData[[#This Row],[Return_Rate]]/tbl_OriginalData[[#This Row],[Frequency_of_Purchase]]</f>
        <v>0.25</v>
      </c>
      <c r="AZ820">
        <f>tbl_OriginalData[[#This Row],[Customer_Satisfaction]]</f>
        <v>1</v>
      </c>
      <c r="BA820" t="str">
        <f>tbl_OriginalData[[#This Row],[Engagement_with_Ads]]</f>
        <v>Low</v>
      </c>
      <c r="BB820" t="str">
        <f>tbl_OriginalData[[#This Row],[Device_Used_for_Shopping]]</f>
        <v>Smartphone</v>
      </c>
      <c r="BC820" t="str">
        <f>tbl_OriginalData[[#This Row],[Payment_Method]]</f>
        <v>Credit Card</v>
      </c>
      <c r="BD820" s="1">
        <f>tbl_OriginalData[[#This Row],[Time_of_Purchase]]</f>
        <v>45463</v>
      </c>
      <c r="BE820" t="str">
        <f>IF(tbl_OriginalData[[#This Row],[Discount_Used]]=TRUE,"Yes","No")</f>
        <v>No</v>
      </c>
      <c r="BF820" t="str">
        <f>IF(tbl_OriginalData[[#This Row],[Customer_Loyalty_Program_Member]]=TRUE,"Yes","No")</f>
        <v>No</v>
      </c>
      <c r="BG820" t="str">
        <f>tbl_OriginalData[[#This Row],[Purchase_Intent]]</f>
        <v>Planned</v>
      </c>
      <c r="BH820" t="str">
        <f>tbl_OriginalData[[#This Row],[Shipping_Preference]]</f>
        <v>Express</v>
      </c>
      <c r="BI820">
        <f>tbl_OriginalData[[#This Row],[Time_to_Decision]]</f>
        <v>14</v>
      </c>
      <c r="BJ820" t="s">
        <v>104</v>
      </c>
      <c r="BK820" t="s">
        <v>63</v>
      </c>
      <c r="BL820" t="s">
        <v>2524</v>
      </c>
    </row>
    <row r="821" spans="1:64">
      <c r="A821" t="s">
        <v>1877</v>
      </c>
      <c r="B821">
        <v>25</v>
      </c>
      <c r="C821" t="s">
        <v>33</v>
      </c>
      <c r="D821" t="s">
        <v>51</v>
      </c>
      <c r="E821" t="s">
        <v>65</v>
      </c>
      <c r="F821" t="s">
        <v>52</v>
      </c>
      <c r="G821" t="s">
        <v>51</v>
      </c>
      <c r="H821" t="s">
        <v>615</v>
      </c>
      <c r="I821" t="s">
        <v>98</v>
      </c>
      <c r="J821">
        <v>441.73</v>
      </c>
      <c r="K821">
        <v>12</v>
      </c>
      <c r="L821" t="s">
        <v>94</v>
      </c>
      <c r="M821">
        <v>1</v>
      </c>
      <c r="N821">
        <v>4</v>
      </c>
      <c r="O821">
        <v>2</v>
      </c>
      <c r="P821" t="s">
        <v>69</v>
      </c>
      <c r="Q821" t="s">
        <v>41</v>
      </c>
      <c r="R821">
        <v>0</v>
      </c>
      <c r="S821">
        <v>8</v>
      </c>
      <c r="T821" t="s">
        <v>56</v>
      </c>
      <c r="U821" t="s">
        <v>70</v>
      </c>
      <c r="V821" t="s">
        <v>43</v>
      </c>
      <c r="W821" s="1">
        <v>45326</v>
      </c>
      <c r="X821" t="b">
        <v>1</v>
      </c>
      <c r="Y821" t="b">
        <v>0</v>
      </c>
      <c r="Z821" t="s">
        <v>89</v>
      </c>
      <c r="AA821" t="s">
        <v>60</v>
      </c>
      <c r="AB821">
        <v>8</v>
      </c>
      <c r="AF821" t="str">
        <f>tbl_OriginalData[[#This Row],[Customer_ID]]</f>
        <v>47-356-9730</v>
      </c>
      <c r="AG821">
        <f>tbl_OriginalData[[#This Row],[Age]]</f>
        <v>25</v>
      </c>
      <c r="AH821" t="str" cm="1">
        <f t="array" ref="AH82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21" t="str">
        <f>tbl_OriginalData[[#This Row],[Gender]]</f>
        <v>Female</v>
      </c>
      <c r="AJ821" t="str">
        <f>tbl_OriginalData[[#This Row],[Income_Level]]</f>
        <v>High</v>
      </c>
      <c r="AK821" t="str">
        <f>tbl_OriginalData[[#This Row],[Marital_Status]]</f>
        <v>Single</v>
      </c>
      <c r="AL821" t="str">
        <f>tbl_OriginalData[[#This Row],[Education_Level]]</f>
        <v>High School</v>
      </c>
      <c r="AM821" t="str">
        <f>tbl_OriginalData[[#This Row],[Occupation]]</f>
        <v>High</v>
      </c>
      <c r="AN821" t="s">
        <v>615</v>
      </c>
      <c r="AO821" t="s">
        <v>386</v>
      </c>
      <c r="AP821" t="str">
        <f>tbl_OriginalData[[#This Row],[Purchase_Category]]</f>
        <v>Books</v>
      </c>
      <c r="AQ821" s="4">
        <f>tbl_OriginalData[[#This Row],[Purchase_Amount]]</f>
        <v>441.73</v>
      </c>
      <c r="AR821">
        <f>tbl_OriginalData[[#This Row],[Frequency_of_Purchase]]</f>
        <v>12</v>
      </c>
      <c r="AS821" t="str">
        <f>tbl_OriginalData[[#This Row],[Purchase_Channel]]</f>
        <v>Online</v>
      </c>
      <c r="AT821">
        <f>tbl_OriginalData[[#This Row],[Brand_Loyalty]]</f>
        <v>1</v>
      </c>
      <c r="AU821">
        <f>tbl_OriginalData[[#This Row],[Product_Rating]]</f>
        <v>4</v>
      </c>
      <c r="AV821">
        <f>tbl_OriginalData[[#This Row],[Time_Spent_on_Product_Research(hours)]]*60</f>
        <v>120</v>
      </c>
      <c r="AW821" t="str">
        <f>tbl_OriginalData[[#This Row],[Social_Media_Influence]]</f>
        <v>Low</v>
      </c>
      <c r="AX821" t="str">
        <f>tbl_OriginalData[[#This Row],[Discount_Sensitivity]]</f>
        <v>Somewhat Sensitive</v>
      </c>
      <c r="AY821" s="3">
        <f>tbl_OriginalData[[#This Row],[Return_Rate]]/tbl_OriginalData[[#This Row],[Frequency_of_Purchase]]</f>
        <v>0</v>
      </c>
      <c r="AZ821">
        <f>tbl_OriginalData[[#This Row],[Customer_Satisfaction]]</f>
        <v>8</v>
      </c>
      <c r="BA821" t="str">
        <f>tbl_OriginalData[[#This Row],[Engagement_with_Ads]]</f>
        <v>Medium</v>
      </c>
      <c r="BB821" t="str">
        <f>tbl_OriginalData[[#This Row],[Device_Used_for_Shopping]]</f>
        <v>Smartphone</v>
      </c>
      <c r="BC821" t="str">
        <f>tbl_OriginalData[[#This Row],[Payment_Method]]</f>
        <v>Credit Card</v>
      </c>
      <c r="BD821" s="1">
        <f>tbl_OriginalData[[#This Row],[Time_of_Purchase]]</f>
        <v>45326</v>
      </c>
      <c r="BE821" t="str">
        <f>IF(tbl_OriginalData[[#This Row],[Discount_Used]]=TRUE,"Yes","No")</f>
        <v>Yes</v>
      </c>
      <c r="BF821" t="str">
        <f>IF(tbl_OriginalData[[#This Row],[Customer_Loyalty_Program_Member]]=TRUE,"Yes","No")</f>
        <v>No</v>
      </c>
      <c r="BG821" t="str">
        <f>tbl_OriginalData[[#This Row],[Purchase_Intent]]</f>
        <v>Planned</v>
      </c>
      <c r="BH821" t="str">
        <f>tbl_OriginalData[[#This Row],[Shipping_Preference]]</f>
        <v>Standard</v>
      </c>
      <c r="BI821">
        <f>tbl_OriginalData[[#This Row],[Time_to_Decision]]</f>
        <v>8</v>
      </c>
      <c r="BJ821" t="s">
        <v>158</v>
      </c>
      <c r="BK821" t="s">
        <v>48</v>
      </c>
      <c r="BL821" t="s">
        <v>2523</v>
      </c>
    </row>
    <row r="822" spans="1:64">
      <c r="A822" t="s">
        <v>1878</v>
      </c>
      <c r="B822">
        <v>21</v>
      </c>
      <c r="C822" t="s">
        <v>33</v>
      </c>
      <c r="D822" t="s">
        <v>51</v>
      </c>
      <c r="E822" t="s">
        <v>92</v>
      </c>
      <c r="F822" t="s">
        <v>52</v>
      </c>
      <c r="G822" t="s">
        <v>34</v>
      </c>
      <c r="H822" t="s">
        <v>1879</v>
      </c>
      <c r="I822" t="s">
        <v>123</v>
      </c>
      <c r="J822">
        <v>105.95</v>
      </c>
      <c r="K822">
        <v>12</v>
      </c>
      <c r="L822" t="s">
        <v>39</v>
      </c>
      <c r="M822">
        <v>1</v>
      </c>
      <c r="N822">
        <v>4</v>
      </c>
      <c r="O822">
        <v>2</v>
      </c>
      <c r="P822" t="s">
        <v>69</v>
      </c>
      <c r="Q822" t="s">
        <v>101</v>
      </c>
      <c r="R822">
        <v>1</v>
      </c>
      <c r="S822">
        <v>7</v>
      </c>
      <c r="T822" t="s">
        <v>56</v>
      </c>
      <c r="U822" t="s">
        <v>95</v>
      </c>
      <c r="V822" t="s">
        <v>102</v>
      </c>
      <c r="W822" s="1">
        <v>45508</v>
      </c>
      <c r="X822" t="b">
        <v>0</v>
      </c>
      <c r="Y822" t="b">
        <v>0</v>
      </c>
      <c r="Z822" t="s">
        <v>72</v>
      </c>
      <c r="AA822" t="s">
        <v>60</v>
      </c>
      <c r="AB822">
        <v>11</v>
      </c>
      <c r="AF822" t="str">
        <f>tbl_OriginalData[[#This Row],[Customer_ID]]</f>
        <v>42-898-6421</v>
      </c>
      <c r="AG822">
        <f>tbl_OriginalData[[#This Row],[Age]]</f>
        <v>21</v>
      </c>
      <c r="AH822" t="str" cm="1">
        <f t="array" ref="AH82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22" t="str">
        <f>tbl_OriginalData[[#This Row],[Gender]]</f>
        <v>Female</v>
      </c>
      <c r="AJ822" t="str">
        <f>tbl_OriginalData[[#This Row],[Income_Level]]</f>
        <v>High</v>
      </c>
      <c r="AK822" t="str">
        <f>tbl_OriginalData[[#This Row],[Marital_Status]]</f>
        <v>Divorced</v>
      </c>
      <c r="AL822" t="str">
        <f>tbl_OriginalData[[#This Row],[Education_Level]]</f>
        <v>High School</v>
      </c>
      <c r="AM822" t="str">
        <f>tbl_OriginalData[[#This Row],[Occupation]]</f>
        <v>Middle</v>
      </c>
      <c r="AN822" t="s">
        <v>1879</v>
      </c>
      <c r="AO822" t="s">
        <v>157</v>
      </c>
      <c r="AP822" t="str">
        <f>tbl_OriginalData[[#This Row],[Purchase_Category]]</f>
        <v>Luxury Goods</v>
      </c>
      <c r="AQ822" s="4">
        <f>tbl_OriginalData[[#This Row],[Purchase_Amount]]</f>
        <v>105.95</v>
      </c>
      <c r="AR822">
        <f>tbl_OriginalData[[#This Row],[Frequency_of_Purchase]]</f>
        <v>12</v>
      </c>
      <c r="AS822" t="str">
        <f>tbl_OriginalData[[#This Row],[Purchase_Channel]]</f>
        <v>Mixed</v>
      </c>
      <c r="AT822">
        <f>tbl_OriginalData[[#This Row],[Brand_Loyalty]]</f>
        <v>1</v>
      </c>
      <c r="AU822">
        <f>tbl_OriginalData[[#This Row],[Product_Rating]]</f>
        <v>4</v>
      </c>
      <c r="AV822">
        <f>tbl_OriginalData[[#This Row],[Time_Spent_on_Product_Research(hours)]]*60</f>
        <v>120</v>
      </c>
      <c r="AW822" t="str">
        <f>tbl_OriginalData[[#This Row],[Social_Media_Influence]]</f>
        <v>Low</v>
      </c>
      <c r="AX822" t="str">
        <f>tbl_OriginalData[[#This Row],[Discount_Sensitivity]]</f>
        <v>Very Sensitive</v>
      </c>
      <c r="AY822" s="3">
        <f>tbl_OriginalData[[#This Row],[Return_Rate]]/tbl_OriginalData[[#This Row],[Frequency_of_Purchase]]</f>
        <v>8.3333333333333329E-2</v>
      </c>
      <c r="AZ822">
        <f>tbl_OriginalData[[#This Row],[Customer_Satisfaction]]</f>
        <v>7</v>
      </c>
      <c r="BA822" t="str">
        <f>tbl_OriginalData[[#This Row],[Engagement_with_Ads]]</f>
        <v>Medium</v>
      </c>
      <c r="BB822" t="str">
        <f>tbl_OriginalData[[#This Row],[Device_Used_for_Shopping]]</f>
        <v>Desktop</v>
      </c>
      <c r="BC822" t="str">
        <f>tbl_OriginalData[[#This Row],[Payment_Method]]</f>
        <v>Cash</v>
      </c>
      <c r="BD822" s="1">
        <f>tbl_OriginalData[[#This Row],[Time_of_Purchase]]</f>
        <v>45508</v>
      </c>
      <c r="BE822" t="str">
        <f>IF(tbl_OriginalData[[#This Row],[Discount_Used]]=TRUE,"Yes","No")</f>
        <v>No</v>
      </c>
      <c r="BF822" t="str">
        <f>IF(tbl_OriginalData[[#This Row],[Customer_Loyalty_Program_Member]]=TRUE,"Yes","No")</f>
        <v>No</v>
      </c>
      <c r="BG822" t="str">
        <f>tbl_OriginalData[[#This Row],[Purchase_Intent]]</f>
        <v>Impulsive</v>
      </c>
      <c r="BH822" t="str">
        <f>tbl_OriginalData[[#This Row],[Shipping_Preference]]</f>
        <v>Standard</v>
      </c>
      <c r="BI822">
        <f>tbl_OriginalData[[#This Row],[Time_to_Decision]]</f>
        <v>11</v>
      </c>
      <c r="BJ822" t="s">
        <v>124</v>
      </c>
      <c r="BK822" t="s">
        <v>115</v>
      </c>
      <c r="BL822" t="s">
        <v>2523</v>
      </c>
    </row>
    <row r="823" spans="1:64">
      <c r="A823" t="s">
        <v>1880</v>
      </c>
      <c r="B823">
        <v>26</v>
      </c>
      <c r="C823" t="s">
        <v>50</v>
      </c>
      <c r="D823" t="s">
        <v>51</v>
      </c>
      <c r="E823" t="s">
        <v>65</v>
      </c>
      <c r="F823" t="s">
        <v>66</v>
      </c>
      <c r="G823" t="s">
        <v>51</v>
      </c>
      <c r="H823" t="s">
        <v>1881</v>
      </c>
      <c r="I823" t="s">
        <v>199</v>
      </c>
      <c r="J823">
        <v>351.54</v>
      </c>
      <c r="K823">
        <v>11</v>
      </c>
      <c r="L823" t="s">
        <v>39</v>
      </c>
      <c r="M823">
        <v>1</v>
      </c>
      <c r="N823">
        <v>3</v>
      </c>
      <c r="O823">
        <v>2</v>
      </c>
      <c r="P823" t="s">
        <v>40</v>
      </c>
      <c r="Q823" t="s">
        <v>41</v>
      </c>
      <c r="R823">
        <v>0</v>
      </c>
      <c r="S823">
        <v>8</v>
      </c>
      <c r="T823" t="s">
        <v>40</v>
      </c>
      <c r="U823" t="s">
        <v>42</v>
      </c>
      <c r="V823" t="s">
        <v>58</v>
      </c>
      <c r="W823" s="1">
        <v>45372</v>
      </c>
      <c r="X823" t="b">
        <v>1</v>
      </c>
      <c r="Y823" t="b">
        <v>0</v>
      </c>
      <c r="Z823" t="s">
        <v>89</v>
      </c>
      <c r="AA823" t="s">
        <v>77</v>
      </c>
      <c r="AB823">
        <v>12</v>
      </c>
      <c r="AF823" t="str">
        <f>tbl_OriginalData[[#This Row],[Customer_ID]]</f>
        <v>17-364-8685</v>
      </c>
      <c r="AG823">
        <f>tbl_OriginalData[[#This Row],[Age]]</f>
        <v>26</v>
      </c>
      <c r="AH823" t="str" cm="1">
        <f t="array" ref="AH82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23" t="str">
        <f>tbl_OriginalData[[#This Row],[Gender]]</f>
        <v>Male</v>
      </c>
      <c r="AJ823" t="str">
        <f>tbl_OriginalData[[#This Row],[Income_Level]]</f>
        <v>High</v>
      </c>
      <c r="AK823" t="str">
        <f>tbl_OriginalData[[#This Row],[Marital_Status]]</f>
        <v>Single</v>
      </c>
      <c r="AL823" t="str">
        <f>tbl_OriginalData[[#This Row],[Education_Level]]</f>
        <v>Master's</v>
      </c>
      <c r="AM823" t="str">
        <f>tbl_OriginalData[[#This Row],[Occupation]]</f>
        <v>High</v>
      </c>
      <c r="AN823" t="s">
        <v>1881</v>
      </c>
      <c r="AO823" t="s">
        <v>1882</v>
      </c>
      <c r="AP823" t="str">
        <f>tbl_OriginalData[[#This Row],[Purchase_Category]]</f>
        <v>Groceries</v>
      </c>
      <c r="AQ823" s="4">
        <f>tbl_OriginalData[[#This Row],[Purchase_Amount]]</f>
        <v>351.54</v>
      </c>
      <c r="AR823">
        <f>tbl_OriginalData[[#This Row],[Frequency_of_Purchase]]</f>
        <v>11</v>
      </c>
      <c r="AS823" t="str">
        <f>tbl_OriginalData[[#This Row],[Purchase_Channel]]</f>
        <v>Mixed</v>
      </c>
      <c r="AT823">
        <f>tbl_OriginalData[[#This Row],[Brand_Loyalty]]</f>
        <v>1</v>
      </c>
      <c r="AU823">
        <f>tbl_OriginalData[[#This Row],[Product_Rating]]</f>
        <v>3</v>
      </c>
      <c r="AV823">
        <f>tbl_OriginalData[[#This Row],[Time_Spent_on_Product_Research(hours)]]*60</f>
        <v>120</v>
      </c>
      <c r="AW823" t="str">
        <f>tbl_OriginalData[[#This Row],[Social_Media_Influence]]</f>
        <v>None</v>
      </c>
      <c r="AX823" t="str">
        <f>tbl_OriginalData[[#This Row],[Discount_Sensitivity]]</f>
        <v>Somewhat Sensitive</v>
      </c>
      <c r="AY823" s="3">
        <f>tbl_OriginalData[[#This Row],[Return_Rate]]/tbl_OriginalData[[#This Row],[Frequency_of_Purchase]]</f>
        <v>0</v>
      </c>
      <c r="AZ823">
        <f>tbl_OriginalData[[#This Row],[Customer_Satisfaction]]</f>
        <v>8</v>
      </c>
      <c r="BA823" t="str">
        <f>tbl_OriginalData[[#This Row],[Engagement_with_Ads]]</f>
        <v>None</v>
      </c>
      <c r="BB823" t="str">
        <f>tbl_OriginalData[[#This Row],[Device_Used_for_Shopping]]</f>
        <v>Tablet</v>
      </c>
      <c r="BC823" t="str">
        <f>tbl_OriginalData[[#This Row],[Payment_Method]]</f>
        <v>PayPal</v>
      </c>
      <c r="BD823" s="1">
        <f>tbl_OriginalData[[#This Row],[Time_of_Purchase]]</f>
        <v>45372</v>
      </c>
      <c r="BE823" t="str">
        <f>IF(tbl_OriginalData[[#This Row],[Discount_Used]]=TRUE,"Yes","No")</f>
        <v>Yes</v>
      </c>
      <c r="BF823" t="str">
        <f>IF(tbl_OriginalData[[#This Row],[Customer_Loyalty_Program_Member]]=TRUE,"Yes","No")</f>
        <v>No</v>
      </c>
      <c r="BG823" t="str">
        <f>tbl_OriginalData[[#This Row],[Purchase_Intent]]</f>
        <v>Planned</v>
      </c>
      <c r="BH823" t="str">
        <f>tbl_OriginalData[[#This Row],[Shipping_Preference]]</f>
        <v>Express</v>
      </c>
      <c r="BI823">
        <f>tbl_OriginalData[[#This Row],[Time_to_Decision]]</f>
        <v>12</v>
      </c>
      <c r="BJ823" t="s">
        <v>47</v>
      </c>
      <c r="BK823" t="s">
        <v>48</v>
      </c>
      <c r="BL823" t="s">
        <v>2528</v>
      </c>
    </row>
    <row r="824" spans="1:64">
      <c r="A824" t="s">
        <v>1883</v>
      </c>
      <c r="B824">
        <v>40</v>
      </c>
      <c r="C824" t="s">
        <v>50</v>
      </c>
      <c r="D824" t="s">
        <v>51</v>
      </c>
      <c r="E824" t="s">
        <v>92</v>
      </c>
      <c r="F824" t="s">
        <v>36</v>
      </c>
      <c r="G824" t="s">
        <v>51</v>
      </c>
      <c r="H824" t="s">
        <v>1884</v>
      </c>
      <c r="I824" t="s">
        <v>75</v>
      </c>
      <c r="J824">
        <v>321.26</v>
      </c>
      <c r="K824">
        <v>12</v>
      </c>
      <c r="L824" t="s">
        <v>94</v>
      </c>
      <c r="M824">
        <v>4</v>
      </c>
      <c r="N824">
        <v>1</v>
      </c>
      <c r="O824">
        <v>0</v>
      </c>
      <c r="P824" t="s">
        <v>40</v>
      </c>
      <c r="Q824" t="s">
        <v>101</v>
      </c>
      <c r="R824">
        <v>0</v>
      </c>
      <c r="S824">
        <v>6</v>
      </c>
      <c r="T824" t="s">
        <v>40</v>
      </c>
      <c r="U824" t="s">
        <v>95</v>
      </c>
      <c r="V824" t="s">
        <v>71</v>
      </c>
      <c r="W824" s="1">
        <v>45456</v>
      </c>
      <c r="X824" t="b">
        <v>0</v>
      </c>
      <c r="Y824" t="b">
        <v>0</v>
      </c>
      <c r="Z824" t="s">
        <v>44</v>
      </c>
      <c r="AA824" t="s">
        <v>60</v>
      </c>
      <c r="AB824">
        <v>14</v>
      </c>
      <c r="AF824" t="str">
        <f>tbl_OriginalData[[#This Row],[Customer_ID]]</f>
        <v>13-618-9438</v>
      </c>
      <c r="AG824">
        <f>tbl_OriginalData[[#This Row],[Age]]</f>
        <v>40</v>
      </c>
      <c r="AH824" t="str" cm="1">
        <f t="array" ref="AH82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24" t="str">
        <f>tbl_OriginalData[[#This Row],[Gender]]</f>
        <v>Male</v>
      </c>
      <c r="AJ824" t="str">
        <f>tbl_OriginalData[[#This Row],[Income_Level]]</f>
        <v>High</v>
      </c>
      <c r="AK824" t="str">
        <f>tbl_OriginalData[[#This Row],[Marital_Status]]</f>
        <v>Divorced</v>
      </c>
      <c r="AL824" t="str">
        <f>tbl_OriginalData[[#This Row],[Education_Level]]</f>
        <v>Bachelor's</v>
      </c>
      <c r="AM824" t="str">
        <f>tbl_OriginalData[[#This Row],[Occupation]]</f>
        <v>High</v>
      </c>
      <c r="AN824" t="s">
        <v>1884</v>
      </c>
      <c r="AO824" t="s">
        <v>363</v>
      </c>
      <c r="AP824" t="str">
        <f>tbl_OriginalData[[#This Row],[Purchase_Category]]</f>
        <v>Home Appliances</v>
      </c>
      <c r="AQ824" s="4">
        <f>tbl_OriginalData[[#This Row],[Purchase_Amount]]</f>
        <v>321.26</v>
      </c>
      <c r="AR824">
        <f>tbl_OriginalData[[#This Row],[Frequency_of_Purchase]]</f>
        <v>12</v>
      </c>
      <c r="AS824" t="str">
        <f>tbl_OriginalData[[#This Row],[Purchase_Channel]]</f>
        <v>Online</v>
      </c>
      <c r="AT824">
        <f>tbl_OriginalData[[#This Row],[Brand_Loyalty]]</f>
        <v>4</v>
      </c>
      <c r="AU824">
        <f>tbl_OriginalData[[#This Row],[Product_Rating]]</f>
        <v>1</v>
      </c>
      <c r="AV824">
        <f>tbl_OriginalData[[#This Row],[Time_Spent_on_Product_Research(hours)]]*60</f>
        <v>0</v>
      </c>
      <c r="AW824" t="str">
        <f>tbl_OriginalData[[#This Row],[Social_Media_Influence]]</f>
        <v>None</v>
      </c>
      <c r="AX824" t="str">
        <f>tbl_OriginalData[[#This Row],[Discount_Sensitivity]]</f>
        <v>Very Sensitive</v>
      </c>
      <c r="AY824" s="3">
        <f>tbl_OriginalData[[#This Row],[Return_Rate]]/tbl_OriginalData[[#This Row],[Frequency_of_Purchase]]</f>
        <v>0</v>
      </c>
      <c r="AZ824">
        <f>tbl_OriginalData[[#This Row],[Customer_Satisfaction]]</f>
        <v>6</v>
      </c>
      <c r="BA824" t="str">
        <f>tbl_OriginalData[[#This Row],[Engagement_with_Ads]]</f>
        <v>None</v>
      </c>
      <c r="BB824" t="str">
        <f>tbl_OriginalData[[#This Row],[Device_Used_for_Shopping]]</f>
        <v>Desktop</v>
      </c>
      <c r="BC824" t="str">
        <f>tbl_OriginalData[[#This Row],[Payment_Method]]</f>
        <v>Debit Card</v>
      </c>
      <c r="BD824" s="1">
        <f>tbl_OriginalData[[#This Row],[Time_of_Purchase]]</f>
        <v>45456</v>
      </c>
      <c r="BE824" t="str">
        <f>IF(tbl_OriginalData[[#This Row],[Discount_Used]]=TRUE,"Yes","No")</f>
        <v>No</v>
      </c>
      <c r="BF824" t="str">
        <f>IF(tbl_OriginalData[[#This Row],[Customer_Loyalty_Program_Member]]=TRUE,"Yes","No")</f>
        <v>No</v>
      </c>
      <c r="BG824" t="str">
        <f>tbl_OriginalData[[#This Row],[Purchase_Intent]]</f>
        <v>Need-based</v>
      </c>
      <c r="BH824" t="str">
        <f>tbl_OriginalData[[#This Row],[Shipping_Preference]]</f>
        <v>Standard</v>
      </c>
      <c r="BI824">
        <f>tbl_OriginalData[[#This Row],[Time_to_Decision]]</f>
        <v>14</v>
      </c>
      <c r="BJ824" t="s">
        <v>104</v>
      </c>
      <c r="BK824" t="s">
        <v>63</v>
      </c>
      <c r="BL824" t="s">
        <v>2527</v>
      </c>
    </row>
    <row r="825" spans="1:64">
      <c r="A825" t="s">
        <v>1885</v>
      </c>
      <c r="B825">
        <v>47</v>
      </c>
      <c r="C825" t="s">
        <v>33</v>
      </c>
      <c r="D825" t="s">
        <v>51</v>
      </c>
      <c r="E825" t="s">
        <v>92</v>
      </c>
      <c r="F825" t="s">
        <v>52</v>
      </c>
      <c r="G825" t="s">
        <v>34</v>
      </c>
      <c r="H825" t="s">
        <v>1886</v>
      </c>
      <c r="I825" t="s">
        <v>127</v>
      </c>
      <c r="J825">
        <v>421.5</v>
      </c>
      <c r="K825">
        <v>11</v>
      </c>
      <c r="L825" t="s">
        <v>94</v>
      </c>
      <c r="M825">
        <v>5</v>
      </c>
      <c r="N825">
        <v>1</v>
      </c>
      <c r="O825">
        <v>2</v>
      </c>
      <c r="P825" t="s">
        <v>69</v>
      </c>
      <c r="Q825" t="s">
        <v>41</v>
      </c>
      <c r="R825">
        <v>0</v>
      </c>
      <c r="S825">
        <v>8</v>
      </c>
      <c r="T825" t="s">
        <v>40</v>
      </c>
      <c r="U825" t="s">
        <v>95</v>
      </c>
      <c r="V825" t="s">
        <v>58</v>
      </c>
      <c r="W825" s="1">
        <v>45386</v>
      </c>
      <c r="X825" t="b">
        <v>1</v>
      </c>
      <c r="Y825" t="b">
        <v>1</v>
      </c>
      <c r="Z825" t="s">
        <v>44</v>
      </c>
      <c r="AA825" t="s">
        <v>77</v>
      </c>
      <c r="AB825">
        <v>3</v>
      </c>
      <c r="AF825" t="str">
        <f>tbl_OriginalData[[#This Row],[Customer_ID]]</f>
        <v>32-457-2982</v>
      </c>
      <c r="AG825">
        <f>tbl_OriginalData[[#This Row],[Age]]</f>
        <v>47</v>
      </c>
      <c r="AH825" t="str" cm="1">
        <f t="array" ref="AH82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25" t="str">
        <f>tbl_OriginalData[[#This Row],[Gender]]</f>
        <v>Female</v>
      </c>
      <c r="AJ825" t="str">
        <f>tbl_OriginalData[[#This Row],[Income_Level]]</f>
        <v>High</v>
      </c>
      <c r="AK825" t="str">
        <f>tbl_OriginalData[[#This Row],[Marital_Status]]</f>
        <v>Divorced</v>
      </c>
      <c r="AL825" t="str">
        <f>tbl_OriginalData[[#This Row],[Education_Level]]</f>
        <v>High School</v>
      </c>
      <c r="AM825" t="str">
        <f>tbl_OriginalData[[#This Row],[Occupation]]</f>
        <v>Middle</v>
      </c>
      <c r="AN825" t="s">
        <v>1886</v>
      </c>
      <c r="AO825" t="s">
        <v>109</v>
      </c>
      <c r="AP825" t="str">
        <f>tbl_OriginalData[[#This Row],[Purchase_Category]]</f>
        <v>Animal Feed</v>
      </c>
      <c r="AQ825" s="4">
        <f>tbl_OriginalData[[#This Row],[Purchase_Amount]]</f>
        <v>421.5</v>
      </c>
      <c r="AR825">
        <f>tbl_OriginalData[[#This Row],[Frequency_of_Purchase]]</f>
        <v>11</v>
      </c>
      <c r="AS825" t="str">
        <f>tbl_OriginalData[[#This Row],[Purchase_Channel]]</f>
        <v>Online</v>
      </c>
      <c r="AT825">
        <f>tbl_OriginalData[[#This Row],[Brand_Loyalty]]</f>
        <v>5</v>
      </c>
      <c r="AU825">
        <f>tbl_OriginalData[[#This Row],[Product_Rating]]</f>
        <v>1</v>
      </c>
      <c r="AV825">
        <f>tbl_OriginalData[[#This Row],[Time_Spent_on_Product_Research(hours)]]*60</f>
        <v>120</v>
      </c>
      <c r="AW825" t="str">
        <f>tbl_OriginalData[[#This Row],[Social_Media_Influence]]</f>
        <v>Low</v>
      </c>
      <c r="AX825" t="str">
        <f>tbl_OriginalData[[#This Row],[Discount_Sensitivity]]</f>
        <v>Somewhat Sensitive</v>
      </c>
      <c r="AY825" s="3">
        <f>tbl_OriginalData[[#This Row],[Return_Rate]]/tbl_OriginalData[[#This Row],[Frequency_of_Purchase]]</f>
        <v>0</v>
      </c>
      <c r="AZ825">
        <f>tbl_OriginalData[[#This Row],[Customer_Satisfaction]]</f>
        <v>8</v>
      </c>
      <c r="BA825" t="str">
        <f>tbl_OriginalData[[#This Row],[Engagement_with_Ads]]</f>
        <v>None</v>
      </c>
      <c r="BB825" t="str">
        <f>tbl_OriginalData[[#This Row],[Device_Used_for_Shopping]]</f>
        <v>Desktop</v>
      </c>
      <c r="BC825" t="str">
        <f>tbl_OriginalData[[#This Row],[Payment_Method]]</f>
        <v>PayPal</v>
      </c>
      <c r="BD825" s="1">
        <f>tbl_OriginalData[[#This Row],[Time_of_Purchase]]</f>
        <v>45386</v>
      </c>
      <c r="BE825" t="str">
        <f>IF(tbl_OriginalData[[#This Row],[Discount_Used]]=TRUE,"Yes","No")</f>
        <v>Yes</v>
      </c>
      <c r="BF825" t="str">
        <f>IF(tbl_OriginalData[[#This Row],[Customer_Loyalty_Program_Member]]=TRUE,"Yes","No")</f>
        <v>Yes</v>
      </c>
      <c r="BG825" t="str">
        <f>tbl_OriginalData[[#This Row],[Purchase_Intent]]</f>
        <v>Need-based</v>
      </c>
      <c r="BH825" t="str">
        <f>tbl_OriginalData[[#This Row],[Shipping_Preference]]</f>
        <v>Express</v>
      </c>
      <c r="BI825">
        <f>tbl_OriginalData[[#This Row],[Time_to_Decision]]</f>
        <v>3</v>
      </c>
      <c r="BJ825" t="s">
        <v>62</v>
      </c>
      <c r="BK825" t="s">
        <v>63</v>
      </c>
      <c r="BL825" t="s">
        <v>2526</v>
      </c>
    </row>
    <row r="826" spans="1:64">
      <c r="A826" t="s">
        <v>1887</v>
      </c>
      <c r="B826">
        <v>27</v>
      </c>
      <c r="C826" t="s">
        <v>106</v>
      </c>
      <c r="D826" t="s">
        <v>51</v>
      </c>
      <c r="E826" t="s">
        <v>82</v>
      </c>
      <c r="F826" t="s">
        <v>52</v>
      </c>
      <c r="G826" t="s">
        <v>34</v>
      </c>
      <c r="H826" t="s">
        <v>1888</v>
      </c>
      <c r="I826" t="s">
        <v>54</v>
      </c>
      <c r="J826">
        <v>253.29</v>
      </c>
      <c r="K826">
        <v>6</v>
      </c>
      <c r="L826" t="s">
        <v>39</v>
      </c>
      <c r="M826">
        <v>3</v>
      </c>
      <c r="N826">
        <v>2</v>
      </c>
      <c r="O826">
        <v>2</v>
      </c>
      <c r="P826" t="s">
        <v>40</v>
      </c>
      <c r="Q826" t="s">
        <v>41</v>
      </c>
      <c r="R826">
        <v>1</v>
      </c>
      <c r="S826">
        <v>4</v>
      </c>
      <c r="T826" t="s">
        <v>40</v>
      </c>
      <c r="U826" t="s">
        <v>95</v>
      </c>
      <c r="V826" t="s">
        <v>58</v>
      </c>
      <c r="W826" s="1">
        <v>45414</v>
      </c>
      <c r="X826" t="b">
        <v>1</v>
      </c>
      <c r="Y826" t="b">
        <v>0</v>
      </c>
      <c r="Z826" t="s">
        <v>89</v>
      </c>
      <c r="AA826" t="s">
        <v>60</v>
      </c>
      <c r="AB826">
        <v>8</v>
      </c>
      <c r="AF826" t="str">
        <f>tbl_OriginalData[[#This Row],[Customer_ID]]</f>
        <v>43-386-2489</v>
      </c>
      <c r="AG826">
        <f>tbl_OriginalData[[#This Row],[Age]]</f>
        <v>27</v>
      </c>
      <c r="AH826" t="str" cm="1">
        <f t="array" ref="AH82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26" t="str">
        <f>tbl_OriginalData[[#This Row],[Gender]]</f>
        <v>Bigender</v>
      </c>
      <c r="AJ826" t="str">
        <f>tbl_OriginalData[[#This Row],[Income_Level]]</f>
        <v>High</v>
      </c>
      <c r="AK826" t="str">
        <f>tbl_OriginalData[[#This Row],[Marital_Status]]</f>
        <v>Widowed</v>
      </c>
      <c r="AL826" t="str">
        <f>tbl_OriginalData[[#This Row],[Education_Level]]</f>
        <v>High School</v>
      </c>
      <c r="AM826" t="str">
        <f>tbl_OriginalData[[#This Row],[Occupation]]</f>
        <v>Middle</v>
      </c>
      <c r="AN826" t="s">
        <v>1888</v>
      </c>
      <c r="AO826" t="s">
        <v>342</v>
      </c>
      <c r="AP826" t="str">
        <f>tbl_OriginalData[[#This Row],[Purchase_Category]]</f>
        <v>Food &amp; Beverages</v>
      </c>
      <c r="AQ826" s="4">
        <f>tbl_OriginalData[[#This Row],[Purchase_Amount]]</f>
        <v>253.29</v>
      </c>
      <c r="AR826">
        <f>tbl_OriginalData[[#This Row],[Frequency_of_Purchase]]</f>
        <v>6</v>
      </c>
      <c r="AS826" t="str">
        <f>tbl_OriginalData[[#This Row],[Purchase_Channel]]</f>
        <v>Mixed</v>
      </c>
      <c r="AT826">
        <f>tbl_OriginalData[[#This Row],[Brand_Loyalty]]</f>
        <v>3</v>
      </c>
      <c r="AU826">
        <f>tbl_OriginalData[[#This Row],[Product_Rating]]</f>
        <v>2</v>
      </c>
      <c r="AV826">
        <f>tbl_OriginalData[[#This Row],[Time_Spent_on_Product_Research(hours)]]*60</f>
        <v>120</v>
      </c>
      <c r="AW826" t="str">
        <f>tbl_OriginalData[[#This Row],[Social_Media_Influence]]</f>
        <v>None</v>
      </c>
      <c r="AX826" t="str">
        <f>tbl_OriginalData[[#This Row],[Discount_Sensitivity]]</f>
        <v>Somewhat Sensitive</v>
      </c>
      <c r="AY826" s="3">
        <f>tbl_OriginalData[[#This Row],[Return_Rate]]/tbl_OriginalData[[#This Row],[Frequency_of_Purchase]]</f>
        <v>0.16666666666666666</v>
      </c>
      <c r="AZ826">
        <f>tbl_OriginalData[[#This Row],[Customer_Satisfaction]]</f>
        <v>4</v>
      </c>
      <c r="BA826" t="str">
        <f>tbl_OriginalData[[#This Row],[Engagement_with_Ads]]</f>
        <v>None</v>
      </c>
      <c r="BB826" t="str">
        <f>tbl_OriginalData[[#This Row],[Device_Used_for_Shopping]]</f>
        <v>Desktop</v>
      </c>
      <c r="BC826" t="str">
        <f>tbl_OriginalData[[#This Row],[Payment_Method]]</f>
        <v>PayPal</v>
      </c>
      <c r="BD826" s="1">
        <f>tbl_OriginalData[[#This Row],[Time_of_Purchase]]</f>
        <v>45414</v>
      </c>
      <c r="BE826" t="str">
        <f>IF(tbl_OriginalData[[#This Row],[Discount_Used]]=TRUE,"Yes","No")</f>
        <v>Yes</v>
      </c>
      <c r="BF826" t="str">
        <f>IF(tbl_OriginalData[[#This Row],[Customer_Loyalty_Program_Member]]=TRUE,"Yes","No")</f>
        <v>No</v>
      </c>
      <c r="BG826" t="str">
        <f>tbl_OriginalData[[#This Row],[Purchase_Intent]]</f>
        <v>Planned</v>
      </c>
      <c r="BH826" t="str">
        <f>tbl_OriginalData[[#This Row],[Shipping_Preference]]</f>
        <v>Standard</v>
      </c>
      <c r="BI826">
        <f>tbl_OriginalData[[#This Row],[Time_to_Decision]]</f>
        <v>8</v>
      </c>
      <c r="BJ826" t="s">
        <v>167</v>
      </c>
      <c r="BK826" t="s">
        <v>63</v>
      </c>
      <c r="BL826" t="s">
        <v>2524</v>
      </c>
    </row>
    <row r="827" spans="1:64">
      <c r="A827" t="s">
        <v>1889</v>
      </c>
      <c r="B827">
        <v>29</v>
      </c>
      <c r="C827" t="s">
        <v>33</v>
      </c>
      <c r="D827" t="s">
        <v>34</v>
      </c>
      <c r="E827" t="s">
        <v>92</v>
      </c>
      <c r="F827" t="s">
        <v>52</v>
      </c>
      <c r="G827" t="s">
        <v>51</v>
      </c>
      <c r="H827" t="s">
        <v>1890</v>
      </c>
      <c r="I827" t="s">
        <v>306</v>
      </c>
      <c r="J827">
        <v>217.62</v>
      </c>
      <c r="K827">
        <v>3</v>
      </c>
      <c r="L827" t="s">
        <v>94</v>
      </c>
      <c r="M827">
        <v>5</v>
      </c>
      <c r="N827">
        <v>2</v>
      </c>
      <c r="O827">
        <v>1</v>
      </c>
      <c r="P827" t="s">
        <v>51</v>
      </c>
      <c r="Q827" t="s">
        <v>101</v>
      </c>
      <c r="R827">
        <v>2</v>
      </c>
      <c r="S827">
        <v>3</v>
      </c>
      <c r="T827" t="s">
        <v>69</v>
      </c>
      <c r="U827" t="s">
        <v>70</v>
      </c>
      <c r="V827" t="s">
        <v>58</v>
      </c>
      <c r="W827" s="1">
        <v>45336</v>
      </c>
      <c r="X827" t="b">
        <v>0</v>
      </c>
      <c r="Y827" t="b">
        <v>1</v>
      </c>
      <c r="Z827" t="s">
        <v>72</v>
      </c>
      <c r="AA827" t="s">
        <v>45</v>
      </c>
      <c r="AB827">
        <v>5</v>
      </c>
      <c r="AF827" t="str">
        <f>tbl_OriginalData[[#This Row],[Customer_ID]]</f>
        <v>67-438-2378</v>
      </c>
      <c r="AG827">
        <f>tbl_OriginalData[[#This Row],[Age]]</f>
        <v>29</v>
      </c>
      <c r="AH827" t="str" cm="1">
        <f t="array" ref="AH82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27" t="str">
        <f>tbl_OriginalData[[#This Row],[Gender]]</f>
        <v>Female</v>
      </c>
      <c r="AJ827" t="str">
        <f>tbl_OriginalData[[#This Row],[Income_Level]]</f>
        <v>Middle</v>
      </c>
      <c r="AK827" t="str">
        <f>tbl_OriginalData[[#This Row],[Marital_Status]]</f>
        <v>Divorced</v>
      </c>
      <c r="AL827" t="str">
        <f>tbl_OriginalData[[#This Row],[Education_Level]]</f>
        <v>High School</v>
      </c>
      <c r="AM827" t="str">
        <f>tbl_OriginalData[[#This Row],[Occupation]]</f>
        <v>High</v>
      </c>
      <c r="AN827" t="s">
        <v>1890</v>
      </c>
      <c r="AO827" t="s">
        <v>132</v>
      </c>
      <c r="AP827" t="str">
        <f>tbl_OriginalData[[#This Row],[Purchase_Category]]</f>
        <v>Jewelry &amp; Accessories</v>
      </c>
      <c r="AQ827" s="4">
        <f>tbl_OriginalData[[#This Row],[Purchase_Amount]]</f>
        <v>217.62</v>
      </c>
      <c r="AR827">
        <f>tbl_OriginalData[[#This Row],[Frequency_of_Purchase]]</f>
        <v>3</v>
      </c>
      <c r="AS827" t="str">
        <f>tbl_OriginalData[[#This Row],[Purchase_Channel]]</f>
        <v>Online</v>
      </c>
      <c r="AT827">
        <f>tbl_OriginalData[[#This Row],[Brand_Loyalty]]</f>
        <v>5</v>
      </c>
      <c r="AU827">
        <f>tbl_OriginalData[[#This Row],[Product_Rating]]</f>
        <v>2</v>
      </c>
      <c r="AV827">
        <f>tbl_OriginalData[[#This Row],[Time_Spent_on_Product_Research(hours)]]*60</f>
        <v>60</v>
      </c>
      <c r="AW827" t="str">
        <f>tbl_OriginalData[[#This Row],[Social_Media_Influence]]</f>
        <v>High</v>
      </c>
      <c r="AX827" t="str">
        <f>tbl_OriginalData[[#This Row],[Discount_Sensitivity]]</f>
        <v>Very Sensitive</v>
      </c>
      <c r="AY827" s="3">
        <f>tbl_OriginalData[[#This Row],[Return_Rate]]/tbl_OriginalData[[#This Row],[Frequency_of_Purchase]]</f>
        <v>0.66666666666666663</v>
      </c>
      <c r="AZ827">
        <f>tbl_OriginalData[[#This Row],[Customer_Satisfaction]]</f>
        <v>3</v>
      </c>
      <c r="BA827" t="str">
        <f>tbl_OriginalData[[#This Row],[Engagement_with_Ads]]</f>
        <v>Low</v>
      </c>
      <c r="BB827" t="str">
        <f>tbl_OriginalData[[#This Row],[Device_Used_for_Shopping]]</f>
        <v>Smartphone</v>
      </c>
      <c r="BC827" t="str">
        <f>tbl_OriginalData[[#This Row],[Payment_Method]]</f>
        <v>PayPal</v>
      </c>
      <c r="BD827" s="1">
        <f>tbl_OriginalData[[#This Row],[Time_of_Purchase]]</f>
        <v>45336</v>
      </c>
      <c r="BE827" t="str">
        <f>IF(tbl_OriginalData[[#This Row],[Discount_Used]]=TRUE,"Yes","No")</f>
        <v>No</v>
      </c>
      <c r="BF827" t="str">
        <f>IF(tbl_OriginalData[[#This Row],[Customer_Loyalty_Program_Member]]=TRUE,"Yes","No")</f>
        <v>Yes</v>
      </c>
      <c r="BG827" t="str">
        <f>tbl_OriginalData[[#This Row],[Purchase_Intent]]</f>
        <v>Impulsive</v>
      </c>
      <c r="BH827" t="str">
        <f>tbl_OriginalData[[#This Row],[Shipping_Preference]]</f>
        <v>No Preference</v>
      </c>
      <c r="BI827">
        <f>tbl_OriginalData[[#This Row],[Time_to_Decision]]</f>
        <v>5</v>
      </c>
      <c r="BJ827" t="s">
        <v>158</v>
      </c>
      <c r="BK827" t="s">
        <v>48</v>
      </c>
      <c r="BL827" t="s">
        <v>2525</v>
      </c>
    </row>
    <row r="828" spans="1:64">
      <c r="A828" t="s">
        <v>1891</v>
      </c>
      <c r="B828">
        <v>21</v>
      </c>
      <c r="C828" t="s">
        <v>50</v>
      </c>
      <c r="D828" t="s">
        <v>34</v>
      </c>
      <c r="E828" t="s">
        <v>65</v>
      </c>
      <c r="F828" t="s">
        <v>36</v>
      </c>
      <c r="G828" t="s">
        <v>51</v>
      </c>
      <c r="H828" t="s">
        <v>1892</v>
      </c>
      <c r="I828" t="s">
        <v>98</v>
      </c>
      <c r="J828">
        <v>226.04</v>
      </c>
      <c r="K828">
        <v>11</v>
      </c>
      <c r="L828" t="s">
        <v>94</v>
      </c>
      <c r="M828">
        <v>4</v>
      </c>
      <c r="N828">
        <v>1</v>
      </c>
      <c r="O828">
        <v>1</v>
      </c>
      <c r="P828" t="s">
        <v>40</v>
      </c>
      <c r="Q828" t="s">
        <v>101</v>
      </c>
      <c r="R828">
        <v>0</v>
      </c>
      <c r="S828">
        <v>9</v>
      </c>
      <c r="T828" t="s">
        <v>56</v>
      </c>
      <c r="U828" t="s">
        <v>95</v>
      </c>
      <c r="V828" t="s">
        <v>58</v>
      </c>
      <c r="W828" s="1">
        <v>45426</v>
      </c>
      <c r="X828" t="b">
        <v>1</v>
      </c>
      <c r="Y828" t="b">
        <v>0</v>
      </c>
      <c r="Z828" t="s">
        <v>59</v>
      </c>
      <c r="AA828" t="s">
        <v>77</v>
      </c>
      <c r="AB828">
        <v>12</v>
      </c>
      <c r="AF828" t="str">
        <f>tbl_OriginalData[[#This Row],[Customer_ID]]</f>
        <v>65-431-1264</v>
      </c>
      <c r="AG828">
        <f>tbl_OriginalData[[#This Row],[Age]]</f>
        <v>21</v>
      </c>
      <c r="AH828" t="str" cm="1">
        <f t="array" ref="AH82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28" t="str">
        <f>tbl_OriginalData[[#This Row],[Gender]]</f>
        <v>Male</v>
      </c>
      <c r="AJ828" t="str">
        <f>tbl_OriginalData[[#This Row],[Income_Level]]</f>
        <v>Middle</v>
      </c>
      <c r="AK828" t="str">
        <f>tbl_OriginalData[[#This Row],[Marital_Status]]</f>
        <v>Single</v>
      </c>
      <c r="AL828" t="str">
        <f>tbl_OriginalData[[#This Row],[Education_Level]]</f>
        <v>Bachelor's</v>
      </c>
      <c r="AM828" t="str">
        <f>tbl_OriginalData[[#This Row],[Occupation]]</f>
        <v>High</v>
      </c>
      <c r="AN828" t="s">
        <v>1892</v>
      </c>
      <c r="AO828" t="s">
        <v>342</v>
      </c>
      <c r="AP828" t="str">
        <f>tbl_OriginalData[[#This Row],[Purchase_Category]]</f>
        <v>Books</v>
      </c>
      <c r="AQ828" s="4">
        <f>tbl_OriginalData[[#This Row],[Purchase_Amount]]</f>
        <v>226.04</v>
      </c>
      <c r="AR828">
        <f>tbl_OriginalData[[#This Row],[Frequency_of_Purchase]]</f>
        <v>11</v>
      </c>
      <c r="AS828" t="str">
        <f>tbl_OriginalData[[#This Row],[Purchase_Channel]]</f>
        <v>Online</v>
      </c>
      <c r="AT828">
        <f>tbl_OriginalData[[#This Row],[Brand_Loyalty]]</f>
        <v>4</v>
      </c>
      <c r="AU828">
        <f>tbl_OriginalData[[#This Row],[Product_Rating]]</f>
        <v>1</v>
      </c>
      <c r="AV828">
        <f>tbl_OriginalData[[#This Row],[Time_Spent_on_Product_Research(hours)]]*60</f>
        <v>60</v>
      </c>
      <c r="AW828" t="str">
        <f>tbl_OriginalData[[#This Row],[Social_Media_Influence]]</f>
        <v>None</v>
      </c>
      <c r="AX828" t="str">
        <f>tbl_OriginalData[[#This Row],[Discount_Sensitivity]]</f>
        <v>Very Sensitive</v>
      </c>
      <c r="AY828" s="3">
        <f>tbl_OriginalData[[#This Row],[Return_Rate]]/tbl_OriginalData[[#This Row],[Frequency_of_Purchase]]</f>
        <v>0</v>
      </c>
      <c r="AZ828">
        <f>tbl_OriginalData[[#This Row],[Customer_Satisfaction]]</f>
        <v>9</v>
      </c>
      <c r="BA828" t="str">
        <f>tbl_OriginalData[[#This Row],[Engagement_with_Ads]]</f>
        <v>Medium</v>
      </c>
      <c r="BB828" t="str">
        <f>tbl_OriginalData[[#This Row],[Device_Used_for_Shopping]]</f>
        <v>Desktop</v>
      </c>
      <c r="BC828" t="str">
        <f>tbl_OriginalData[[#This Row],[Payment_Method]]</f>
        <v>PayPal</v>
      </c>
      <c r="BD828" s="1">
        <f>tbl_OriginalData[[#This Row],[Time_of_Purchase]]</f>
        <v>45426</v>
      </c>
      <c r="BE828" t="str">
        <f>IF(tbl_OriginalData[[#This Row],[Discount_Used]]=TRUE,"Yes","No")</f>
        <v>Yes</v>
      </c>
      <c r="BF828" t="str">
        <f>IF(tbl_OriginalData[[#This Row],[Customer_Loyalty_Program_Member]]=TRUE,"Yes","No")</f>
        <v>No</v>
      </c>
      <c r="BG828" t="str">
        <f>tbl_OriginalData[[#This Row],[Purchase_Intent]]</f>
        <v>Wants-based</v>
      </c>
      <c r="BH828" t="str">
        <f>tbl_OriginalData[[#This Row],[Shipping_Preference]]</f>
        <v>Express</v>
      </c>
      <c r="BI828">
        <f>tbl_OriginalData[[#This Row],[Time_to_Decision]]</f>
        <v>12</v>
      </c>
      <c r="BJ828" t="s">
        <v>167</v>
      </c>
      <c r="BK828" t="s">
        <v>63</v>
      </c>
      <c r="BL828" t="s">
        <v>2524</v>
      </c>
    </row>
    <row r="829" spans="1:64">
      <c r="A829" t="s">
        <v>1893</v>
      </c>
      <c r="B829">
        <v>41</v>
      </c>
      <c r="C829" t="s">
        <v>188</v>
      </c>
      <c r="D829" t="s">
        <v>51</v>
      </c>
      <c r="E829" t="s">
        <v>65</v>
      </c>
      <c r="F829" t="s">
        <v>36</v>
      </c>
      <c r="G829" t="s">
        <v>51</v>
      </c>
      <c r="H829" t="s">
        <v>1894</v>
      </c>
      <c r="I829" t="s">
        <v>143</v>
      </c>
      <c r="J829">
        <v>52.79</v>
      </c>
      <c r="K829">
        <v>4</v>
      </c>
      <c r="L829" t="s">
        <v>94</v>
      </c>
      <c r="M829">
        <v>2</v>
      </c>
      <c r="N829">
        <v>2</v>
      </c>
      <c r="O829">
        <v>0</v>
      </c>
      <c r="P829" t="s">
        <v>69</v>
      </c>
      <c r="Q829" t="s">
        <v>57</v>
      </c>
      <c r="R829">
        <v>1</v>
      </c>
      <c r="S829">
        <v>7</v>
      </c>
      <c r="T829" t="s">
        <v>40</v>
      </c>
      <c r="U829" t="s">
        <v>42</v>
      </c>
      <c r="V829" t="s">
        <v>71</v>
      </c>
      <c r="W829" s="1">
        <v>45328</v>
      </c>
      <c r="X829" t="b">
        <v>1</v>
      </c>
      <c r="Y829" t="b">
        <v>1</v>
      </c>
      <c r="Z829" t="s">
        <v>72</v>
      </c>
      <c r="AA829" t="s">
        <v>77</v>
      </c>
      <c r="AB829">
        <v>4</v>
      </c>
      <c r="AF829" t="str">
        <f>tbl_OriginalData[[#This Row],[Customer_ID]]</f>
        <v>73-367-8478</v>
      </c>
      <c r="AG829">
        <f>tbl_OriginalData[[#This Row],[Age]]</f>
        <v>41</v>
      </c>
      <c r="AH829" t="str" cm="1">
        <f t="array" ref="AH82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29" t="str">
        <f>tbl_OriginalData[[#This Row],[Gender]]</f>
        <v>Genderfluid</v>
      </c>
      <c r="AJ829" t="str">
        <f>tbl_OriginalData[[#This Row],[Income_Level]]</f>
        <v>High</v>
      </c>
      <c r="AK829" t="str">
        <f>tbl_OriginalData[[#This Row],[Marital_Status]]</f>
        <v>Single</v>
      </c>
      <c r="AL829" t="str">
        <f>tbl_OriginalData[[#This Row],[Education_Level]]</f>
        <v>Bachelor's</v>
      </c>
      <c r="AM829" t="str">
        <f>tbl_OriginalData[[#This Row],[Occupation]]</f>
        <v>High</v>
      </c>
      <c r="AN829" t="s">
        <v>1894</v>
      </c>
      <c r="AO829" t="s">
        <v>246</v>
      </c>
      <c r="AP829" t="str">
        <f>tbl_OriginalData[[#This Row],[Purchase_Category]]</f>
        <v>Packages)</v>
      </c>
      <c r="AQ829" s="4">
        <f>tbl_OriginalData[[#This Row],[Purchase_Amount]]</f>
        <v>52.79</v>
      </c>
      <c r="AR829">
        <f>tbl_OriginalData[[#This Row],[Frequency_of_Purchase]]</f>
        <v>4</v>
      </c>
      <c r="AS829" t="str">
        <f>tbl_OriginalData[[#This Row],[Purchase_Channel]]</f>
        <v>Online</v>
      </c>
      <c r="AT829">
        <f>tbl_OriginalData[[#This Row],[Brand_Loyalty]]</f>
        <v>2</v>
      </c>
      <c r="AU829">
        <f>tbl_OriginalData[[#This Row],[Product_Rating]]</f>
        <v>2</v>
      </c>
      <c r="AV829">
        <f>tbl_OriginalData[[#This Row],[Time_Spent_on_Product_Research(hours)]]*60</f>
        <v>0</v>
      </c>
      <c r="AW829" t="str">
        <f>tbl_OriginalData[[#This Row],[Social_Media_Influence]]</f>
        <v>Low</v>
      </c>
      <c r="AX829" t="str">
        <f>tbl_OriginalData[[#This Row],[Discount_Sensitivity]]</f>
        <v>Not Sensitive</v>
      </c>
      <c r="AY829" s="3">
        <f>tbl_OriginalData[[#This Row],[Return_Rate]]/tbl_OriginalData[[#This Row],[Frequency_of_Purchase]]</f>
        <v>0.25</v>
      </c>
      <c r="AZ829">
        <f>tbl_OriginalData[[#This Row],[Customer_Satisfaction]]</f>
        <v>7</v>
      </c>
      <c r="BA829" t="str">
        <f>tbl_OriginalData[[#This Row],[Engagement_with_Ads]]</f>
        <v>None</v>
      </c>
      <c r="BB829" t="str">
        <f>tbl_OriginalData[[#This Row],[Device_Used_for_Shopping]]</f>
        <v>Tablet</v>
      </c>
      <c r="BC829" t="str">
        <f>tbl_OriginalData[[#This Row],[Payment_Method]]</f>
        <v>Debit Card</v>
      </c>
      <c r="BD829" s="1">
        <f>tbl_OriginalData[[#This Row],[Time_of_Purchase]]</f>
        <v>45328</v>
      </c>
      <c r="BE829" t="str">
        <f>IF(tbl_OriginalData[[#This Row],[Discount_Used]]=TRUE,"Yes","No")</f>
        <v>Yes</v>
      </c>
      <c r="BF829" t="str">
        <f>IF(tbl_OriginalData[[#This Row],[Customer_Loyalty_Program_Member]]=TRUE,"Yes","No")</f>
        <v>Yes</v>
      </c>
      <c r="BG829" t="str">
        <f>tbl_OriginalData[[#This Row],[Purchase_Intent]]</f>
        <v>Impulsive</v>
      </c>
      <c r="BH829" t="str">
        <f>tbl_OriginalData[[#This Row],[Shipping_Preference]]</f>
        <v>Express</v>
      </c>
      <c r="BI829">
        <f>tbl_OriginalData[[#This Row],[Time_to_Decision]]</f>
        <v>4</v>
      </c>
      <c r="BJ829" t="s">
        <v>158</v>
      </c>
      <c r="BK829" t="s">
        <v>48</v>
      </c>
      <c r="BL829" t="s">
        <v>2523</v>
      </c>
    </row>
    <row r="830" spans="1:64">
      <c r="A830" t="s">
        <v>1895</v>
      </c>
      <c r="B830">
        <v>43</v>
      </c>
      <c r="C830" t="s">
        <v>50</v>
      </c>
      <c r="D830" t="s">
        <v>34</v>
      </c>
      <c r="E830" t="s">
        <v>82</v>
      </c>
      <c r="F830" t="s">
        <v>52</v>
      </c>
      <c r="G830" t="s">
        <v>51</v>
      </c>
      <c r="H830" t="s">
        <v>1896</v>
      </c>
      <c r="I830" t="s">
        <v>306</v>
      </c>
      <c r="J830">
        <v>385.08</v>
      </c>
      <c r="K830">
        <v>7</v>
      </c>
      <c r="L830" t="s">
        <v>55</v>
      </c>
      <c r="M830">
        <v>2</v>
      </c>
      <c r="N830">
        <v>4</v>
      </c>
      <c r="O830">
        <v>1</v>
      </c>
      <c r="P830" t="s">
        <v>51</v>
      </c>
      <c r="Q830" t="s">
        <v>41</v>
      </c>
      <c r="R830">
        <v>1</v>
      </c>
      <c r="S830">
        <v>1</v>
      </c>
      <c r="T830" t="s">
        <v>69</v>
      </c>
      <c r="U830" t="s">
        <v>42</v>
      </c>
      <c r="V830" t="s">
        <v>71</v>
      </c>
      <c r="W830" s="1">
        <v>45608</v>
      </c>
      <c r="X830" t="b">
        <v>0</v>
      </c>
      <c r="Y830" t="b">
        <v>1</v>
      </c>
      <c r="Z830" t="s">
        <v>72</v>
      </c>
      <c r="AA830" t="s">
        <v>45</v>
      </c>
      <c r="AB830">
        <v>1</v>
      </c>
      <c r="AF830" t="str">
        <f>tbl_OriginalData[[#This Row],[Customer_ID]]</f>
        <v>84-162-8799</v>
      </c>
      <c r="AG830">
        <f>tbl_OriginalData[[#This Row],[Age]]</f>
        <v>43</v>
      </c>
      <c r="AH830" t="str" cm="1">
        <f t="array" ref="AH83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30" t="str">
        <f>tbl_OriginalData[[#This Row],[Gender]]</f>
        <v>Male</v>
      </c>
      <c r="AJ830" t="str">
        <f>tbl_OriginalData[[#This Row],[Income_Level]]</f>
        <v>Middle</v>
      </c>
      <c r="AK830" t="str">
        <f>tbl_OriginalData[[#This Row],[Marital_Status]]</f>
        <v>Widowed</v>
      </c>
      <c r="AL830" t="str">
        <f>tbl_OriginalData[[#This Row],[Education_Level]]</f>
        <v>High School</v>
      </c>
      <c r="AM830" t="str">
        <f>tbl_OriginalData[[#This Row],[Occupation]]</f>
        <v>High</v>
      </c>
      <c r="AN830" t="s">
        <v>1896</v>
      </c>
      <c r="AO830" t="s">
        <v>109</v>
      </c>
      <c r="AP830" t="str">
        <f>tbl_OriginalData[[#This Row],[Purchase_Category]]</f>
        <v>Jewelry &amp; Accessories</v>
      </c>
      <c r="AQ830" s="4">
        <f>tbl_OriginalData[[#This Row],[Purchase_Amount]]</f>
        <v>385.08</v>
      </c>
      <c r="AR830">
        <f>tbl_OriginalData[[#This Row],[Frequency_of_Purchase]]</f>
        <v>7</v>
      </c>
      <c r="AS830" t="str">
        <f>tbl_OriginalData[[#This Row],[Purchase_Channel]]</f>
        <v>In-Store</v>
      </c>
      <c r="AT830">
        <f>tbl_OriginalData[[#This Row],[Brand_Loyalty]]</f>
        <v>2</v>
      </c>
      <c r="AU830">
        <f>tbl_OriginalData[[#This Row],[Product_Rating]]</f>
        <v>4</v>
      </c>
      <c r="AV830">
        <f>tbl_OriginalData[[#This Row],[Time_Spent_on_Product_Research(hours)]]*60</f>
        <v>60</v>
      </c>
      <c r="AW830" t="str">
        <f>tbl_OriginalData[[#This Row],[Social_Media_Influence]]</f>
        <v>High</v>
      </c>
      <c r="AX830" t="str">
        <f>tbl_OriginalData[[#This Row],[Discount_Sensitivity]]</f>
        <v>Somewhat Sensitive</v>
      </c>
      <c r="AY830" s="3">
        <f>tbl_OriginalData[[#This Row],[Return_Rate]]/tbl_OriginalData[[#This Row],[Frequency_of_Purchase]]</f>
        <v>0.14285714285714285</v>
      </c>
      <c r="AZ830">
        <f>tbl_OriginalData[[#This Row],[Customer_Satisfaction]]</f>
        <v>1</v>
      </c>
      <c r="BA830" t="str">
        <f>tbl_OriginalData[[#This Row],[Engagement_with_Ads]]</f>
        <v>Low</v>
      </c>
      <c r="BB830" t="str">
        <f>tbl_OriginalData[[#This Row],[Device_Used_for_Shopping]]</f>
        <v>Tablet</v>
      </c>
      <c r="BC830" t="str">
        <f>tbl_OriginalData[[#This Row],[Payment_Method]]</f>
        <v>Debit Card</v>
      </c>
      <c r="BD830" s="1">
        <f>tbl_OriginalData[[#This Row],[Time_of_Purchase]]</f>
        <v>45608</v>
      </c>
      <c r="BE830" t="str">
        <f>IF(tbl_OriginalData[[#This Row],[Discount_Used]]=TRUE,"Yes","No")</f>
        <v>No</v>
      </c>
      <c r="BF830" t="str">
        <f>IF(tbl_OriginalData[[#This Row],[Customer_Loyalty_Program_Member]]=TRUE,"Yes","No")</f>
        <v>Yes</v>
      </c>
      <c r="BG830" t="str">
        <f>tbl_OriginalData[[#This Row],[Purchase_Intent]]</f>
        <v>Impulsive</v>
      </c>
      <c r="BH830" t="str">
        <f>tbl_OriginalData[[#This Row],[Shipping_Preference]]</f>
        <v>No Preference</v>
      </c>
      <c r="BI830">
        <f>tbl_OriginalData[[#This Row],[Time_to_Decision]]</f>
        <v>1</v>
      </c>
      <c r="BJ830" t="s">
        <v>177</v>
      </c>
      <c r="BK830" t="s">
        <v>80</v>
      </c>
      <c r="BL830" t="s">
        <v>2526</v>
      </c>
    </row>
    <row r="831" spans="1:64">
      <c r="A831" t="s">
        <v>1897</v>
      </c>
      <c r="B831">
        <v>33</v>
      </c>
      <c r="C831" t="s">
        <v>50</v>
      </c>
      <c r="D831" t="s">
        <v>51</v>
      </c>
      <c r="E831" t="s">
        <v>82</v>
      </c>
      <c r="F831" t="s">
        <v>66</v>
      </c>
      <c r="G831" t="s">
        <v>34</v>
      </c>
      <c r="H831" t="s">
        <v>1038</v>
      </c>
      <c r="I831" t="s">
        <v>135</v>
      </c>
      <c r="J831">
        <v>181.1</v>
      </c>
      <c r="K831">
        <v>2</v>
      </c>
      <c r="L831" t="s">
        <v>94</v>
      </c>
      <c r="M831">
        <v>2</v>
      </c>
      <c r="N831">
        <v>5</v>
      </c>
      <c r="O831">
        <v>2</v>
      </c>
      <c r="P831" t="s">
        <v>69</v>
      </c>
      <c r="Q831" t="s">
        <v>57</v>
      </c>
      <c r="R831">
        <v>2</v>
      </c>
      <c r="S831">
        <v>7</v>
      </c>
      <c r="T831" t="s">
        <v>69</v>
      </c>
      <c r="U831" t="s">
        <v>42</v>
      </c>
      <c r="V831" t="s">
        <v>43</v>
      </c>
      <c r="W831" s="1">
        <v>45652</v>
      </c>
      <c r="X831" t="b">
        <v>0</v>
      </c>
      <c r="Y831" t="b">
        <v>0</v>
      </c>
      <c r="Z831" t="s">
        <v>72</v>
      </c>
      <c r="AA831" t="s">
        <v>45</v>
      </c>
      <c r="AB831">
        <v>5</v>
      </c>
      <c r="AF831" t="str">
        <f>tbl_OriginalData[[#This Row],[Customer_ID]]</f>
        <v>51-546-9992</v>
      </c>
      <c r="AG831">
        <f>tbl_OriginalData[[#This Row],[Age]]</f>
        <v>33</v>
      </c>
      <c r="AH831" t="str" cm="1">
        <f t="array" ref="AH83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31" t="str">
        <f>tbl_OriginalData[[#This Row],[Gender]]</f>
        <v>Male</v>
      </c>
      <c r="AJ831" t="str">
        <f>tbl_OriginalData[[#This Row],[Income_Level]]</f>
        <v>High</v>
      </c>
      <c r="AK831" t="str">
        <f>tbl_OriginalData[[#This Row],[Marital_Status]]</f>
        <v>Widowed</v>
      </c>
      <c r="AL831" t="str">
        <f>tbl_OriginalData[[#This Row],[Education_Level]]</f>
        <v>Master's</v>
      </c>
      <c r="AM831" t="str">
        <f>tbl_OriginalData[[#This Row],[Occupation]]</f>
        <v>Middle</v>
      </c>
      <c r="AN831" t="s">
        <v>1038</v>
      </c>
      <c r="AO831" t="s">
        <v>90</v>
      </c>
      <c r="AP831" t="str">
        <f>tbl_OriginalData[[#This Row],[Purchase_Category]]</f>
        <v>Hotels</v>
      </c>
      <c r="AQ831" s="4">
        <f>tbl_OriginalData[[#This Row],[Purchase_Amount]]</f>
        <v>181.1</v>
      </c>
      <c r="AR831">
        <f>tbl_OriginalData[[#This Row],[Frequency_of_Purchase]]</f>
        <v>2</v>
      </c>
      <c r="AS831" t="str">
        <f>tbl_OriginalData[[#This Row],[Purchase_Channel]]</f>
        <v>Online</v>
      </c>
      <c r="AT831">
        <f>tbl_OriginalData[[#This Row],[Brand_Loyalty]]</f>
        <v>2</v>
      </c>
      <c r="AU831">
        <f>tbl_OriginalData[[#This Row],[Product_Rating]]</f>
        <v>5</v>
      </c>
      <c r="AV831">
        <f>tbl_OriginalData[[#This Row],[Time_Spent_on_Product_Research(hours)]]*60</f>
        <v>120</v>
      </c>
      <c r="AW831" t="str">
        <f>tbl_OriginalData[[#This Row],[Social_Media_Influence]]</f>
        <v>Low</v>
      </c>
      <c r="AX831" t="str">
        <f>tbl_OriginalData[[#This Row],[Discount_Sensitivity]]</f>
        <v>Not Sensitive</v>
      </c>
      <c r="AY831" s="3">
        <f>tbl_OriginalData[[#This Row],[Return_Rate]]/tbl_OriginalData[[#This Row],[Frequency_of_Purchase]]</f>
        <v>1</v>
      </c>
      <c r="AZ831">
        <f>tbl_OriginalData[[#This Row],[Customer_Satisfaction]]</f>
        <v>7</v>
      </c>
      <c r="BA831" t="str">
        <f>tbl_OriginalData[[#This Row],[Engagement_with_Ads]]</f>
        <v>Low</v>
      </c>
      <c r="BB831" t="str">
        <f>tbl_OriginalData[[#This Row],[Device_Used_for_Shopping]]</f>
        <v>Tablet</v>
      </c>
      <c r="BC831" t="str">
        <f>tbl_OriginalData[[#This Row],[Payment_Method]]</f>
        <v>Credit Card</v>
      </c>
      <c r="BD831" s="1">
        <f>tbl_OriginalData[[#This Row],[Time_of_Purchase]]</f>
        <v>45652</v>
      </c>
      <c r="BE831" t="str">
        <f>IF(tbl_OriginalData[[#This Row],[Discount_Used]]=TRUE,"Yes","No")</f>
        <v>No</v>
      </c>
      <c r="BF831" t="str">
        <f>IF(tbl_OriginalData[[#This Row],[Customer_Loyalty_Program_Member]]=TRUE,"Yes","No")</f>
        <v>No</v>
      </c>
      <c r="BG831" t="str">
        <f>tbl_OriginalData[[#This Row],[Purchase_Intent]]</f>
        <v>Impulsive</v>
      </c>
      <c r="BH831" t="str">
        <f>tbl_OriginalData[[#This Row],[Shipping_Preference]]</f>
        <v>No Preference</v>
      </c>
      <c r="BI831">
        <f>tbl_OriginalData[[#This Row],[Time_to_Decision]]</f>
        <v>5</v>
      </c>
      <c r="BJ831" t="s">
        <v>120</v>
      </c>
      <c r="BK831" t="s">
        <v>80</v>
      </c>
      <c r="BL831" t="s">
        <v>2524</v>
      </c>
    </row>
    <row r="832" spans="1:64">
      <c r="A832" t="s">
        <v>1898</v>
      </c>
      <c r="B832">
        <v>23</v>
      </c>
      <c r="C832" t="s">
        <v>33</v>
      </c>
      <c r="D832" t="s">
        <v>34</v>
      </c>
      <c r="E832" t="s">
        <v>65</v>
      </c>
      <c r="F832" t="s">
        <v>66</v>
      </c>
      <c r="G832" t="s">
        <v>34</v>
      </c>
      <c r="H832" t="s">
        <v>1899</v>
      </c>
      <c r="I832" t="s">
        <v>68</v>
      </c>
      <c r="J832">
        <v>246.41</v>
      </c>
      <c r="K832">
        <v>7</v>
      </c>
      <c r="L832" t="s">
        <v>55</v>
      </c>
      <c r="M832">
        <v>2</v>
      </c>
      <c r="N832">
        <v>4</v>
      </c>
      <c r="O832">
        <v>0</v>
      </c>
      <c r="P832" t="s">
        <v>40</v>
      </c>
      <c r="Q832" t="s">
        <v>41</v>
      </c>
      <c r="R832">
        <v>2</v>
      </c>
      <c r="S832">
        <v>8</v>
      </c>
      <c r="T832" t="s">
        <v>69</v>
      </c>
      <c r="U832" t="s">
        <v>70</v>
      </c>
      <c r="V832" t="s">
        <v>102</v>
      </c>
      <c r="W832" s="1">
        <v>45566</v>
      </c>
      <c r="X832" t="b">
        <v>1</v>
      </c>
      <c r="Y832" t="b">
        <v>0</v>
      </c>
      <c r="Z832" t="s">
        <v>44</v>
      </c>
      <c r="AA832" t="s">
        <v>60</v>
      </c>
      <c r="AB832">
        <v>11</v>
      </c>
      <c r="AF832" t="str">
        <f>tbl_OriginalData[[#This Row],[Customer_ID]]</f>
        <v>89-189-3295</v>
      </c>
      <c r="AG832">
        <f>tbl_OriginalData[[#This Row],[Age]]</f>
        <v>23</v>
      </c>
      <c r="AH832" t="str" cm="1">
        <f t="array" ref="AH83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32" t="str">
        <f>tbl_OriginalData[[#This Row],[Gender]]</f>
        <v>Female</v>
      </c>
      <c r="AJ832" t="str">
        <f>tbl_OriginalData[[#This Row],[Income_Level]]</f>
        <v>Middle</v>
      </c>
      <c r="AK832" t="str">
        <f>tbl_OriginalData[[#This Row],[Marital_Status]]</f>
        <v>Single</v>
      </c>
      <c r="AL832" t="str">
        <f>tbl_OriginalData[[#This Row],[Education_Level]]</f>
        <v>Master's</v>
      </c>
      <c r="AM832" t="str">
        <f>tbl_OriginalData[[#This Row],[Occupation]]</f>
        <v>Middle</v>
      </c>
      <c r="AN832" t="s">
        <v>1899</v>
      </c>
      <c r="AO832" t="s">
        <v>109</v>
      </c>
      <c r="AP832" t="str">
        <f>tbl_OriginalData[[#This Row],[Purchase_Category]]</f>
        <v>Office Supplies</v>
      </c>
      <c r="AQ832" s="4">
        <f>tbl_OriginalData[[#This Row],[Purchase_Amount]]</f>
        <v>246.41</v>
      </c>
      <c r="AR832">
        <f>tbl_OriginalData[[#This Row],[Frequency_of_Purchase]]</f>
        <v>7</v>
      </c>
      <c r="AS832" t="str">
        <f>tbl_OriginalData[[#This Row],[Purchase_Channel]]</f>
        <v>In-Store</v>
      </c>
      <c r="AT832">
        <f>tbl_OriginalData[[#This Row],[Brand_Loyalty]]</f>
        <v>2</v>
      </c>
      <c r="AU832">
        <f>tbl_OriginalData[[#This Row],[Product_Rating]]</f>
        <v>4</v>
      </c>
      <c r="AV832">
        <f>tbl_OriginalData[[#This Row],[Time_Spent_on_Product_Research(hours)]]*60</f>
        <v>0</v>
      </c>
      <c r="AW832" t="str">
        <f>tbl_OriginalData[[#This Row],[Social_Media_Influence]]</f>
        <v>None</v>
      </c>
      <c r="AX832" t="str">
        <f>tbl_OriginalData[[#This Row],[Discount_Sensitivity]]</f>
        <v>Somewhat Sensitive</v>
      </c>
      <c r="AY832" s="3">
        <f>tbl_OriginalData[[#This Row],[Return_Rate]]/tbl_OriginalData[[#This Row],[Frequency_of_Purchase]]</f>
        <v>0.2857142857142857</v>
      </c>
      <c r="AZ832">
        <f>tbl_OriginalData[[#This Row],[Customer_Satisfaction]]</f>
        <v>8</v>
      </c>
      <c r="BA832" t="str">
        <f>tbl_OriginalData[[#This Row],[Engagement_with_Ads]]</f>
        <v>Low</v>
      </c>
      <c r="BB832" t="str">
        <f>tbl_OriginalData[[#This Row],[Device_Used_for_Shopping]]</f>
        <v>Smartphone</v>
      </c>
      <c r="BC832" t="str">
        <f>tbl_OriginalData[[#This Row],[Payment_Method]]</f>
        <v>Cash</v>
      </c>
      <c r="BD832" s="1">
        <f>tbl_OriginalData[[#This Row],[Time_of_Purchase]]</f>
        <v>45566</v>
      </c>
      <c r="BE832" t="str">
        <f>IF(tbl_OriginalData[[#This Row],[Discount_Used]]=TRUE,"Yes","No")</f>
        <v>Yes</v>
      </c>
      <c r="BF832" t="str">
        <f>IF(tbl_OriginalData[[#This Row],[Customer_Loyalty_Program_Member]]=TRUE,"Yes","No")</f>
        <v>No</v>
      </c>
      <c r="BG832" t="str">
        <f>tbl_OriginalData[[#This Row],[Purchase_Intent]]</f>
        <v>Need-based</v>
      </c>
      <c r="BH832" t="str">
        <f>tbl_OriginalData[[#This Row],[Shipping_Preference]]</f>
        <v>Standard</v>
      </c>
      <c r="BI832">
        <f>tbl_OriginalData[[#This Row],[Time_to_Decision]]</f>
        <v>11</v>
      </c>
      <c r="BJ832" t="s">
        <v>79</v>
      </c>
      <c r="BK832" t="s">
        <v>80</v>
      </c>
      <c r="BL832" t="s">
        <v>2526</v>
      </c>
    </row>
    <row r="833" spans="1:64">
      <c r="A833" t="s">
        <v>1900</v>
      </c>
      <c r="B833">
        <v>37</v>
      </c>
      <c r="C833" t="s">
        <v>33</v>
      </c>
      <c r="D833" t="s">
        <v>34</v>
      </c>
      <c r="E833" t="s">
        <v>92</v>
      </c>
      <c r="F833" t="s">
        <v>36</v>
      </c>
      <c r="G833" t="s">
        <v>51</v>
      </c>
      <c r="H833" t="s">
        <v>1901</v>
      </c>
      <c r="I833" t="s">
        <v>153</v>
      </c>
      <c r="J833">
        <v>140.87</v>
      </c>
      <c r="K833">
        <v>8</v>
      </c>
      <c r="L833" t="s">
        <v>55</v>
      </c>
      <c r="M833">
        <v>3</v>
      </c>
      <c r="N833">
        <v>3</v>
      </c>
      <c r="O833">
        <v>2</v>
      </c>
      <c r="P833" t="s">
        <v>69</v>
      </c>
      <c r="Q833" t="s">
        <v>57</v>
      </c>
      <c r="R833">
        <v>2</v>
      </c>
      <c r="S833">
        <v>7</v>
      </c>
      <c r="T833" t="s">
        <v>56</v>
      </c>
      <c r="U833" t="s">
        <v>42</v>
      </c>
      <c r="V833" t="s">
        <v>76</v>
      </c>
      <c r="W833" s="1">
        <v>45354</v>
      </c>
      <c r="X833" t="b">
        <v>1</v>
      </c>
      <c r="Y833" t="b">
        <v>0</v>
      </c>
      <c r="Z833" t="s">
        <v>72</v>
      </c>
      <c r="AA833" t="s">
        <v>45</v>
      </c>
      <c r="AB833">
        <v>9</v>
      </c>
      <c r="AF833" t="str">
        <f>tbl_OriginalData[[#This Row],[Customer_ID]]</f>
        <v>45-776-7217</v>
      </c>
      <c r="AG833">
        <f>tbl_OriginalData[[#This Row],[Age]]</f>
        <v>37</v>
      </c>
      <c r="AH833" t="str" cm="1">
        <f t="array" ref="AH83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33" t="str">
        <f>tbl_OriginalData[[#This Row],[Gender]]</f>
        <v>Female</v>
      </c>
      <c r="AJ833" t="str">
        <f>tbl_OriginalData[[#This Row],[Income_Level]]</f>
        <v>Middle</v>
      </c>
      <c r="AK833" t="str">
        <f>tbl_OriginalData[[#This Row],[Marital_Status]]</f>
        <v>Divorced</v>
      </c>
      <c r="AL833" t="str">
        <f>tbl_OriginalData[[#This Row],[Education_Level]]</f>
        <v>Bachelor's</v>
      </c>
      <c r="AM833" t="str">
        <f>tbl_OriginalData[[#This Row],[Occupation]]</f>
        <v>High</v>
      </c>
      <c r="AN833" t="s">
        <v>1901</v>
      </c>
      <c r="AO833" t="s">
        <v>965</v>
      </c>
      <c r="AP833" t="str">
        <f>tbl_OriginalData[[#This Row],[Purchase_Category]]</f>
        <v>Baby Products</v>
      </c>
      <c r="AQ833" s="4">
        <f>tbl_OriginalData[[#This Row],[Purchase_Amount]]</f>
        <v>140.87</v>
      </c>
      <c r="AR833">
        <f>tbl_OriginalData[[#This Row],[Frequency_of_Purchase]]</f>
        <v>8</v>
      </c>
      <c r="AS833" t="str">
        <f>tbl_OriginalData[[#This Row],[Purchase_Channel]]</f>
        <v>In-Store</v>
      </c>
      <c r="AT833">
        <f>tbl_OriginalData[[#This Row],[Brand_Loyalty]]</f>
        <v>3</v>
      </c>
      <c r="AU833">
        <f>tbl_OriginalData[[#This Row],[Product_Rating]]</f>
        <v>3</v>
      </c>
      <c r="AV833">
        <f>tbl_OriginalData[[#This Row],[Time_Spent_on_Product_Research(hours)]]*60</f>
        <v>120</v>
      </c>
      <c r="AW833" t="str">
        <f>tbl_OriginalData[[#This Row],[Social_Media_Influence]]</f>
        <v>Low</v>
      </c>
      <c r="AX833" t="str">
        <f>tbl_OriginalData[[#This Row],[Discount_Sensitivity]]</f>
        <v>Not Sensitive</v>
      </c>
      <c r="AY833" s="3">
        <f>tbl_OriginalData[[#This Row],[Return_Rate]]/tbl_OriginalData[[#This Row],[Frequency_of_Purchase]]</f>
        <v>0.25</v>
      </c>
      <c r="AZ833">
        <f>tbl_OriginalData[[#This Row],[Customer_Satisfaction]]</f>
        <v>7</v>
      </c>
      <c r="BA833" t="str">
        <f>tbl_OriginalData[[#This Row],[Engagement_with_Ads]]</f>
        <v>Medium</v>
      </c>
      <c r="BB833" t="str">
        <f>tbl_OriginalData[[#This Row],[Device_Used_for_Shopping]]</f>
        <v>Tablet</v>
      </c>
      <c r="BC833" t="str">
        <f>tbl_OriginalData[[#This Row],[Payment_Method]]</f>
        <v>Other</v>
      </c>
      <c r="BD833" s="1">
        <f>tbl_OriginalData[[#This Row],[Time_of_Purchase]]</f>
        <v>45354</v>
      </c>
      <c r="BE833" t="str">
        <f>IF(tbl_OriginalData[[#This Row],[Discount_Used]]=TRUE,"Yes","No")</f>
        <v>Yes</v>
      </c>
      <c r="BF833" t="str">
        <f>IF(tbl_OriginalData[[#This Row],[Customer_Loyalty_Program_Member]]=TRUE,"Yes","No")</f>
        <v>No</v>
      </c>
      <c r="BG833" t="str">
        <f>tbl_OriginalData[[#This Row],[Purchase_Intent]]</f>
        <v>Impulsive</v>
      </c>
      <c r="BH833" t="str">
        <f>tbl_OriginalData[[#This Row],[Shipping_Preference]]</f>
        <v>No Preference</v>
      </c>
      <c r="BI833">
        <f>tbl_OriginalData[[#This Row],[Time_to_Decision]]</f>
        <v>9</v>
      </c>
      <c r="BJ833" t="s">
        <v>47</v>
      </c>
      <c r="BK833" t="s">
        <v>48</v>
      </c>
      <c r="BL833" t="s">
        <v>2524</v>
      </c>
    </row>
    <row r="834" spans="1:64">
      <c r="A834" t="s">
        <v>1902</v>
      </c>
      <c r="B834">
        <v>34</v>
      </c>
      <c r="C834" t="s">
        <v>33</v>
      </c>
      <c r="D834" t="s">
        <v>51</v>
      </c>
      <c r="E834" t="s">
        <v>65</v>
      </c>
      <c r="F834" t="s">
        <v>66</v>
      </c>
      <c r="G834" t="s">
        <v>51</v>
      </c>
      <c r="H834" t="s">
        <v>1903</v>
      </c>
      <c r="I834" t="s">
        <v>150</v>
      </c>
      <c r="J834">
        <v>151.25</v>
      </c>
      <c r="K834">
        <v>2</v>
      </c>
      <c r="L834" t="s">
        <v>55</v>
      </c>
      <c r="M834">
        <v>2</v>
      </c>
      <c r="N834">
        <v>5</v>
      </c>
      <c r="O834">
        <v>0</v>
      </c>
      <c r="P834" t="s">
        <v>56</v>
      </c>
      <c r="Q834" t="s">
        <v>41</v>
      </c>
      <c r="R834">
        <v>1</v>
      </c>
      <c r="S834">
        <v>8</v>
      </c>
      <c r="T834" t="s">
        <v>56</v>
      </c>
      <c r="U834" t="s">
        <v>42</v>
      </c>
      <c r="V834" t="s">
        <v>71</v>
      </c>
      <c r="W834" s="1">
        <v>45402</v>
      </c>
      <c r="X834" t="b">
        <v>1</v>
      </c>
      <c r="Y834" t="b">
        <v>0</v>
      </c>
      <c r="Z834" t="s">
        <v>89</v>
      </c>
      <c r="AA834" t="s">
        <v>45</v>
      </c>
      <c r="AB834">
        <v>10</v>
      </c>
      <c r="AF834" t="str">
        <f>tbl_OriginalData[[#This Row],[Customer_ID]]</f>
        <v>71-354-5174</v>
      </c>
      <c r="AG834">
        <f>tbl_OriginalData[[#This Row],[Age]]</f>
        <v>34</v>
      </c>
      <c r="AH834" t="str" cm="1">
        <f t="array" ref="AH83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34" t="str">
        <f>tbl_OriginalData[[#This Row],[Gender]]</f>
        <v>Female</v>
      </c>
      <c r="AJ834" t="str">
        <f>tbl_OriginalData[[#This Row],[Income_Level]]</f>
        <v>High</v>
      </c>
      <c r="AK834" t="str">
        <f>tbl_OriginalData[[#This Row],[Marital_Status]]</f>
        <v>Single</v>
      </c>
      <c r="AL834" t="str">
        <f>tbl_OriginalData[[#This Row],[Education_Level]]</f>
        <v>Master's</v>
      </c>
      <c r="AM834" t="str">
        <f>tbl_OriginalData[[#This Row],[Occupation]]</f>
        <v>High</v>
      </c>
      <c r="AN834" t="s">
        <v>1903</v>
      </c>
      <c r="AO834" t="s">
        <v>1904</v>
      </c>
      <c r="AP834" t="str">
        <f>tbl_OriginalData[[#This Row],[Purchase_Category]]</f>
        <v>Software &amp; Apps</v>
      </c>
      <c r="AQ834" s="4">
        <f>tbl_OriginalData[[#This Row],[Purchase_Amount]]</f>
        <v>151.25</v>
      </c>
      <c r="AR834">
        <f>tbl_OriginalData[[#This Row],[Frequency_of_Purchase]]</f>
        <v>2</v>
      </c>
      <c r="AS834" t="str">
        <f>tbl_OriginalData[[#This Row],[Purchase_Channel]]</f>
        <v>In-Store</v>
      </c>
      <c r="AT834">
        <f>tbl_OriginalData[[#This Row],[Brand_Loyalty]]</f>
        <v>2</v>
      </c>
      <c r="AU834">
        <f>tbl_OriginalData[[#This Row],[Product_Rating]]</f>
        <v>5</v>
      </c>
      <c r="AV834">
        <f>tbl_OriginalData[[#This Row],[Time_Spent_on_Product_Research(hours)]]*60</f>
        <v>0</v>
      </c>
      <c r="AW834" t="str">
        <f>tbl_OriginalData[[#This Row],[Social_Media_Influence]]</f>
        <v>Medium</v>
      </c>
      <c r="AX834" t="str">
        <f>tbl_OriginalData[[#This Row],[Discount_Sensitivity]]</f>
        <v>Somewhat Sensitive</v>
      </c>
      <c r="AY834" s="3">
        <f>tbl_OriginalData[[#This Row],[Return_Rate]]/tbl_OriginalData[[#This Row],[Frequency_of_Purchase]]</f>
        <v>0.5</v>
      </c>
      <c r="AZ834">
        <f>tbl_OriginalData[[#This Row],[Customer_Satisfaction]]</f>
        <v>8</v>
      </c>
      <c r="BA834" t="str">
        <f>tbl_OriginalData[[#This Row],[Engagement_with_Ads]]</f>
        <v>Medium</v>
      </c>
      <c r="BB834" t="str">
        <f>tbl_OriginalData[[#This Row],[Device_Used_for_Shopping]]</f>
        <v>Tablet</v>
      </c>
      <c r="BC834" t="str">
        <f>tbl_OriginalData[[#This Row],[Payment_Method]]</f>
        <v>Debit Card</v>
      </c>
      <c r="BD834" s="1">
        <f>tbl_OriginalData[[#This Row],[Time_of_Purchase]]</f>
        <v>45402</v>
      </c>
      <c r="BE834" t="str">
        <f>IF(tbl_OriginalData[[#This Row],[Discount_Used]]=TRUE,"Yes","No")</f>
        <v>Yes</v>
      </c>
      <c r="BF834" t="str">
        <f>IF(tbl_OriginalData[[#This Row],[Customer_Loyalty_Program_Member]]=TRUE,"Yes","No")</f>
        <v>No</v>
      </c>
      <c r="BG834" t="str">
        <f>tbl_OriginalData[[#This Row],[Purchase_Intent]]</f>
        <v>Planned</v>
      </c>
      <c r="BH834" t="str">
        <f>tbl_OriginalData[[#This Row],[Shipping_Preference]]</f>
        <v>No Preference</v>
      </c>
      <c r="BI834">
        <f>tbl_OriginalData[[#This Row],[Time_to_Decision]]</f>
        <v>10</v>
      </c>
      <c r="BJ834" t="s">
        <v>62</v>
      </c>
      <c r="BK834" t="s">
        <v>63</v>
      </c>
      <c r="BL834" t="s">
        <v>2524</v>
      </c>
    </row>
    <row r="835" spans="1:64">
      <c r="A835" t="s">
        <v>1905</v>
      </c>
      <c r="B835">
        <v>27</v>
      </c>
      <c r="C835" t="s">
        <v>50</v>
      </c>
      <c r="D835" t="s">
        <v>51</v>
      </c>
      <c r="E835" t="s">
        <v>92</v>
      </c>
      <c r="F835" t="s">
        <v>66</v>
      </c>
      <c r="G835" t="s">
        <v>34</v>
      </c>
      <c r="H835" t="s">
        <v>1906</v>
      </c>
      <c r="I835" t="s">
        <v>135</v>
      </c>
      <c r="J835">
        <v>171.52</v>
      </c>
      <c r="K835">
        <v>3</v>
      </c>
      <c r="L835" t="s">
        <v>39</v>
      </c>
      <c r="M835">
        <v>5</v>
      </c>
      <c r="N835">
        <v>5</v>
      </c>
      <c r="O835">
        <v>2</v>
      </c>
      <c r="P835" t="s">
        <v>56</v>
      </c>
      <c r="Q835" t="s">
        <v>101</v>
      </c>
      <c r="R835">
        <v>1</v>
      </c>
      <c r="S835">
        <v>9</v>
      </c>
      <c r="T835" t="s">
        <v>56</v>
      </c>
      <c r="U835" t="s">
        <v>70</v>
      </c>
      <c r="V835" t="s">
        <v>102</v>
      </c>
      <c r="W835" s="1">
        <v>45525</v>
      </c>
      <c r="X835" t="b">
        <v>1</v>
      </c>
      <c r="Y835" t="b">
        <v>1</v>
      </c>
      <c r="Z835" t="s">
        <v>89</v>
      </c>
      <c r="AA835" t="s">
        <v>60</v>
      </c>
      <c r="AB835">
        <v>12</v>
      </c>
      <c r="AF835" t="str">
        <f>tbl_OriginalData[[#This Row],[Customer_ID]]</f>
        <v>05-975-6985</v>
      </c>
      <c r="AG835">
        <f>tbl_OriginalData[[#This Row],[Age]]</f>
        <v>27</v>
      </c>
      <c r="AH835" t="str" cm="1">
        <f t="array" ref="AH83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35" t="str">
        <f>tbl_OriginalData[[#This Row],[Gender]]</f>
        <v>Male</v>
      </c>
      <c r="AJ835" t="str">
        <f>tbl_OriginalData[[#This Row],[Income_Level]]</f>
        <v>High</v>
      </c>
      <c r="AK835" t="str">
        <f>tbl_OriginalData[[#This Row],[Marital_Status]]</f>
        <v>Divorced</v>
      </c>
      <c r="AL835" t="str">
        <f>tbl_OriginalData[[#This Row],[Education_Level]]</f>
        <v>Master's</v>
      </c>
      <c r="AM835" t="str">
        <f>tbl_OriginalData[[#This Row],[Occupation]]</f>
        <v>Middle</v>
      </c>
      <c r="AN835" t="s">
        <v>1906</v>
      </c>
      <c r="AO835" t="s">
        <v>90</v>
      </c>
      <c r="AP835" t="str">
        <f>tbl_OriginalData[[#This Row],[Purchase_Category]]</f>
        <v>Hotels</v>
      </c>
      <c r="AQ835" s="4">
        <f>tbl_OriginalData[[#This Row],[Purchase_Amount]]</f>
        <v>171.52</v>
      </c>
      <c r="AR835">
        <f>tbl_OriginalData[[#This Row],[Frequency_of_Purchase]]</f>
        <v>3</v>
      </c>
      <c r="AS835" t="str">
        <f>tbl_OriginalData[[#This Row],[Purchase_Channel]]</f>
        <v>Mixed</v>
      </c>
      <c r="AT835">
        <f>tbl_OriginalData[[#This Row],[Brand_Loyalty]]</f>
        <v>5</v>
      </c>
      <c r="AU835">
        <f>tbl_OriginalData[[#This Row],[Product_Rating]]</f>
        <v>5</v>
      </c>
      <c r="AV835">
        <f>tbl_OriginalData[[#This Row],[Time_Spent_on_Product_Research(hours)]]*60</f>
        <v>120</v>
      </c>
      <c r="AW835" t="str">
        <f>tbl_OriginalData[[#This Row],[Social_Media_Influence]]</f>
        <v>Medium</v>
      </c>
      <c r="AX835" t="str">
        <f>tbl_OriginalData[[#This Row],[Discount_Sensitivity]]</f>
        <v>Very Sensitive</v>
      </c>
      <c r="AY835" s="3">
        <f>tbl_OriginalData[[#This Row],[Return_Rate]]/tbl_OriginalData[[#This Row],[Frequency_of_Purchase]]</f>
        <v>0.33333333333333331</v>
      </c>
      <c r="AZ835">
        <f>tbl_OriginalData[[#This Row],[Customer_Satisfaction]]</f>
        <v>9</v>
      </c>
      <c r="BA835" t="str">
        <f>tbl_OriginalData[[#This Row],[Engagement_with_Ads]]</f>
        <v>Medium</v>
      </c>
      <c r="BB835" t="str">
        <f>tbl_OriginalData[[#This Row],[Device_Used_for_Shopping]]</f>
        <v>Smartphone</v>
      </c>
      <c r="BC835" t="str">
        <f>tbl_OriginalData[[#This Row],[Payment_Method]]</f>
        <v>Cash</v>
      </c>
      <c r="BD835" s="1">
        <f>tbl_OriginalData[[#This Row],[Time_of_Purchase]]</f>
        <v>45525</v>
      </c>
      <c r="BE835" t="str">
        <f>IF(tbl_OriginalData[[#This Row],[Discount_Used]]=TRUE,"Yes","No")</f>
        <v>Yes</v>
      </c>
      <c r="BF835" t="str">
        <f>IF(tbl_OriginalData[[#This Row],[Customer_Loyalty_Program_Member]]=TRUE,"Yes","No")</f>
        <v>Yes</v>
      </c>
      <c r="BG835" t="str">
        <f>tbl_OriginalData[[#This Row],[Purchase_Intent]]</f>
        <v>Planned</v>
      </c>
      <c r="BH835" t="str">
        <f>tbl_OriginalData[[#This Row],[Shipping_Preference]]</f>
        <v>Standard</v>
      </c>
      <c r="BI835">
        <f>tbl_OriginalData[[#This Row],[Time_to_Decision]]</f>
        <v>12</v>
      </c>
      <c r="BJ835" t="s">
        <v>124</v>
      </c>
      <c r="BK835" t="s">
        <v>115</v>
      </c>
      <c r="BL835" t="s">
        <v>2524</v>
      </c>
    </row>
    <row r="836" spans="1:64">
      <c r="A836" t="s">
        <v>1907</v>
      </c>
      <c r="B836">
        <v>40</v>
      </c>
      <c r="C836" t="s">
        <v>50</v>
      </c>
      <c r="D836" t="s">
        <v>34</v>
      </c>
      <c r="E836" t="s">
        <v>82</v>
      </c>
      <c r="F836" t="s">
        <v>66</v>
      </c>
      <c r="G836" t="s">
        <v>51</v>
      </c>
      <c r="H836" t="s">
        <v>1908</v>
      </c>
      <c r="I836" t="s">
        <v>108</v>
      </c>
      <c r="J836">
        <v>399.56</v>
      </c>
      <c r="K836">
        <v>10</v>
      </c>
      <c r="L836" t="s">
        <v>94</v>
      </c>
      <c r="M836">
        <v>4</v>
      </c>
      <c r="N836">
        <v>2</v>
      </c>
      <c r="O836">
        <v>1</v>
      </c>
      <c r="P836" t="s">
        <v>69</v>
      </c>
      <c r="Q836" t="s">
        <v>57</v>
      </c>
      <c r="R836">
        <v>0</v>
      </c>
      <c r="S836">
        <v>4</v>
      </c>
      <c r="T836" t="s">
        <v>56</v>
      </c>
      <c r="U836" t="s">
        <v>95</v>
      </c>
      <c r="V836" t="s">
        <v>102</v>
      </c>
      <c r="W836" s="1">
        <v>45586</v>
      </c>
      <c r="X836" t="b">
        <v>1</v>
      </c>
      <c r="Y836" t="b">
        <v>1</v>
      </c>
      <c r="Z836" t="s">
        <v>44</v>
      </c>
      <c r="AA836" t="s">
        <v>45</v>
      </c>
      <c r="AB836">
        <v>1</v>
      </c>
      <c r="AF836" t="str">
        <f>tbl_OriginalData[[#This Row],[Customer_ID]]</f>
        <v>42-859-2475</v>
      </c>
      <c r="AG836">
        <f>tbl_OriginalData[[#This Row],[Age]]</f>
        <v>40</v>
      </c>
      <c r="AH836" t="str" cm="1">
        <f t="array" ref="AH83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36" t="str">
        <f>tbl_OriginalData[[#This Row],[Gender]]</f>
        <v>Male</v>
      </c>
      <c r="AJ836" t="str">
        <f>tbl_OriginalData[[#This Row],[Income_Level]]</f>
        <v>Middle</v>
      </c>
      <c r="AK836" t="str">
        <f>tbl_OriginalData[[#This Row],[Marital_Status]]</f>
        <v>Widowed</v>
      </c>
      <c r="AL836" t="str">
        <f>tbl_OriginalData[[#This Row],[Education_Level]]</f>
        <v>Master's</v>
      </c>
      <c r="AM836" t="str">
        <f>tbl_OriginalData[[#This Row],[Occupation]]</f>
        <v>High</v>
      </c>
      <c r="AN836" t="s">
        <v>1908</v>
      </c>
      <c r="AO836" t="s">
        <v>128</v>
      </c>
      <c r="AP836" t="str">
        <f>tbl_OriginalData[[#This Row],[Purchase_Category]]</f>
        <v>Sports &amp; Outdoors</v>
      </c>
      <c r="AQ836" s="4">
        <f>tbl_OriginalData[[#This Row],[Purchase_Amount]]</f>
        <v>399.56</v>
      </c>
      <c r="AR836">
        <f>tbl_OriginalData[[#This Row],[Frequency_of_Purchase]]</f>
        <v>10</v>
      </c>
      <c r="AS836" t="str">
        <f>tbl_OriginalData[[#This Row],[Purchase_Channel]]</f>
        <v>Online</v>
      </c>
      <c r="AT836">
        <f>tbl_OriginalData[[#This Row],[Brand_Loyalty]]</f>
        <v>4</v>
      </c>
      <c r="AU836">
        <f>tbl_OriginalData[[#This Row],[Product_Rating]]</f>
        <v>2</v>
      </c>
      <c r="AV836">
        <f>tbl_OriginalData[[#This Row],[Time_Spent_on_Product_Research(hours)]]*60</f>
        <v>60</v>
      </c>
      <c r="AW836" t="str">
        <f>tbl_OriginalData[[#This Row],[Social_Media_Influence]]</f>
        <v>Low</v>
      </c>
      <c r="AX836" t="str">
        <f>tbl_OriginalData[[#This Row],[Discount_Sensitivity]]</f>
        <v>Not Sensitive</v>
      </c>
      <c r="AY836" s="3">
        <f>tbl_OriginalData[[#This Row],[Return_Rate]]/tbl_OriginalData[[#This Row],[Frequency_of_Purchase]]</f>
        <v>0</v>
      </c>
      <c r="AZ836">
        <f>tbl_OriginalData[[#This Row],[Customer_Satisfaction]]</f>
        <v>4</v>
      </c>
      <c r="BA836" t="str">
        <f>tbl_OriginalData[[#This Row],[Engagement_with_Ads]]</f>
        <v>Medium</v>
      </c>
      <c r="BB836" t="str">
        <f>tbl_OriginalData[[#This Row],[Device_Used_for_Shopping]]</f>
        <v>Desktop</v>
      </c>
      <c r="BC836" t="str">
        <f>tbl_OriginalData[[#This Row],[Payment_Method]]</f>
        <v>Cash</v>
      </c>
      <c r="BD836" s="1">
        <f>tbl_OriginalData[[#This Row],[Time_of_Purchase]]</f>
        <v>45586</v>
      </c>
      <c r="BE836" t="str">
        <f>IF(tbl_OriginalData[[#This Row],[Discount_Used]]=TRUE,"Yes","No")</f>
        <v>Yes</v>
      </c>
      <c r="BF836" t="str">
        <f>IF(tbl_OriginalData[[#This Row],[Customer_Loyalty_Program_Member]]=TRUE,"Yes","No")</f>
        <v>Yes</v>
      </c>
      <c r="BG836" t="str">
        <f>tbl_OriginalData[[#This Row],[Purchase_Intent]]</f>
        <v>Need-based</v>
      </c>
      <c r="BH836" t="str">
        <f>tbl_OriginalData[[#This Row],[Shipping_Preference]]</f>
        <v>No Preference</v>
      </c>
      <c r="BI836">
        <f>tbl_OriginalData[[#This Row],[Time_to_Decision]]</f>
        <v>1</v>
      </c>
      <c r="BJ836" t="s">
        <v>79</v>
      </c>
      <c r="BK836" t="s">
        <v>80</v>
      </c>
      <c r="BL836" t="s">
        <v>2523</v>
      </c>
    </row>
    <row r="837" spans="1:64">
      <c r="A837" t="s">
        <v>1909</v>
      </c>
      <c r="B837">
        <v>40</v>
      </c>
      <c r="C837" t="s">
        <v>33</v>
      </c>
      <c r="D837" t="s">
        <v>34</v>
      </c>
      <c r="E837" t="s">
        <v>82</v>
      </c>
      <c r="F837" t="s">
        <v>66</v>
      </c>
      <c r="G837" t="s">
        <v>34</v>
      </c>
      <c r="H837" t="s">
        <v>1910</v>
      </c>
      <c r="I837" t="s">
        <v>108</v>
      </c>
      <c r="J837">
        <v>173.46</v>
      </c>
      <c r="K837">
        <v>4</v>
      </c>
      <c r="L837" t="s">
        <v>39</v>
      </c>
      <c r="M837">
        <v>5</v>
      </c>
      <c r="N837">
        <v>3</v>
      </c>
      <c r="O837">
        <v>1</v>
      </c>
      <c r="P837" t="s">
        <v>40</v>
      </c>
      <c r="Q837" t="s">
        <v>57</v>
      </c>
      <c r="R837">
        <v>0</v>
      </c>
      <c r="S837">
        <v>9</v>
      </c>
      <c r="T837" t="s">
        <v>56</v>
      </c>
      <c r="U837" t="s">
        <v>70</v>
      </c>
      <c r="V837" t="s">
        <v>58</v>
      </c>
      <c r="W837" s="1">
        <v>45393</v>
      </c>
      <c r="X837" t="b">
        <v>0</v>
      </c>
      <c r="Y837" t="b">
        <v>1</v>
      </c>
      <c r="Z837" t="s">
        <v>59</v>
      </c>
      <c r="AA837" t="s">
        <v>45</v>
      </c>
      <c r="AB837">
        <v>2</v>
      </c>
      <c r="AF837" t="str">
        <f>tbl_OriginalData[[#This Row],[Customer_ID]]</f>
        <v>34-094-1923</v>
      </c>
      <c r="AG837">
        <f>tbl_OriginalData[[#This Row],[Age]]</f>
        <v>40</v>
      </c>
      <c r="AH837" t="str" cm="1">
        <f t="array" ref="AH83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37" t="str">
        <f>tbl_OriginalData[[#This Row],[Gender]]</f>
        <v>Female</v>
      </c>
      <c r="AJ837" t="str">
        <f>tbl_OriginalData[[#This Row],[Income_Level]]</f>
        <v>Middle</v>
      </c>
      <c r="AK837" t="str">
        <f>tbl_OriginalData[[#This Row],[Marital_Status]]</f>
        <v>Widowed</v>
      </c>
      <c r="AL837" t="str">
        <f>tbl_OriginalData[[#This Row],[Education_Level]]</f>
        <v>Master's</v>
      </c>
      <c r="AM837" t="str">
        <f>tbl_OriginalData[[#This Row],[Occupation]]</f>
        <v>Middle</v>
      </c>
      <c r="AN837" t="s">
        <v>1910</v>
      </c>
      <c r="AO837" t="s">
        <v>194</v>
      </c>
      <c r="AP837" t="str">
        <f>tbl_OriginalData[[#This Row],[Purchase_Category]]</f>
        <v>Sports &amp; Outdoors</v>
      </c>
      <c r="AQ837" s="4">
        <f>tbl_OriginalData[[#This Row],[Purchase_Amount]]</f>
        <v>173.46</v>
      </c>
      <c r="AR837">
        <f>tbl_OriginalData[[#This Row],[Frequency_of_Purchase]]</f>
        <v>4</v>
      </c>
      <c r="AS837" t="str">
        <f>tbl_OriginalData[[#This Row],[Purchase_Channel]]</f>
        <v>Mixed</v>
      </c>
      <c r="AT837">
        <f>tbl_OriginalData[[#This Row],[Brand_Loyalty]]</f>
        <v>5</v>
      </c>
      <c r="AU837">
        <f>tbl_OriginalData[[#This Row],[Product_Rating]]</f>
        <v>3</v>
      </c>
      <c r="AV837">
        <f>tbl_OriginalData[[#This Row],[Time_Spent_on_Product_Research(hours)]]*60</f>
        <v>60</v>
      </c>
      <c r="AW837" t="str">
        <f>tbl_OriginalData[[#This Row],[Social_Media_Influence]]</f>
        <v>None</v>
      </c>
      <c r="AX837" t="str">
        <f>tbl_OriginalData[[#This Row],[Discount_Sensitivity]]</f>
        <v>Not Sensitive</v>
      </c>
      <c r="AY837" s="3">
        <f>tbl_OriginalData[[#This Row],[Return_Rate]]/tbl_OriginalData[[#This Row],[Frequency_of_Purchase]]</f>
        <v>0</v>
      </c>
      <c r="AZ837">
        <f>tbl_OriginalData[[#This Row],[Customer_Satisfaction]]</f>
        <v>9</v>
      </c>
      <c r="BA837" t="str">
        <f>tbl_OriginalData[[#This Row],[Engagement_with_Ads]]</f>
        <v>Medium</v>
      </c>
      <c r="BB837" t="str">
        <f>tbl_OriginalData[[#This Row],[Device_Used_for_Shopping]]</f>
        <v>Smartphone</v>
      </c>
      <c r="BC837" t="str">
        <f>tbl_OriginalData[[#This Row],[Payment_Method]]</f>
        <v>PayPal</v>
      </c>
      <c r="BD837" s="1">
        <f>tbl_OriginalData[[#This Row],[Time_of_Purchase]]</f>
        <v>45393</v>
      </c>
      <c r="BE837" t="str">
        <f>IF(tbl_OriginalData[[#This Row],[Discount_Used]]=TRUE,"Yes","No")</f>
        <v>No</v>
      </c>
      <c r="BF837" t="str">
        <f>IF(tbl_OriginalData[[#This Row],[Customer_Loyalty_Program_Member]]=TRUE,"Yes","No")</f>
        <v>Yes</v>
      </c>
      <c r="BG837" t="str">
        <f>tbl_OriginalData[[#This Row],[Purchase_Intent]]</f>
        <v>Wants-based</v>
      </c>
      <c r="BH837" t="str">
        <f>tbl_OriginalData[[#This Row],[Shipping_Preference]]</f>
        <v>No Preference</v>
      </c>
      <c r="BI837">
        <f>tbl_OriginalData[[#This Row],[Time_to_Decision]]</f>
        <v>2</v>
      </c>
      <c r="BJ837" t="s">
        <v>62</v>
      </c>
      <c r="BK837" t="s">
        <v>63</v>
      </c>
      <c r="BL837" t="s">
        <v>2524</v>
      </c>
    </row>
    <row r="838" spans="1:64">
      <c r="A838" t="s">
        <v>1911</v>
      </c>
      <c r="B838">
        <v>43</v>
      </c>
      <c r="C838" t="s">
        <v>50</v>
      </c>
      <c r="D838" t="s">
        <v>51</v>
      </c>
      <c r="E838" t="s">
        <v>82</v>
      </c>
      <c r="F838" t="s">
        <v>36</v>
      </c>
      <c r="G838" t="s">
        <v>51</v>
      </c>
      <c r="H838" t="s">
        <v>1912</v>
      </c>
      <c r="I838" t="s">
        <v>156</v>
      </c>
      <c r="J838">
        <v>332.14</v>
      </c>
      <c r="K838">
        <v>10</v>
      </c>
      <c r="L838" t="s">
        <v>94</v>
      </c>
      <c r="M838">
        <v>4</v>
      </c>
      <c r="N838">
        <v>4</v>
      </c>
      <c r="O838">
        <v>0</v>
      </c>
      <c r="P838" t="s">
        <v>69</v>
      </c>
      <c r="Q838" t="s">
        <v>41</v>
      </c>
      <c r="R838">
        <v>1</v>
      </c>
      <c r="S838">
        <v>2</v>
      </c>
      <c r="T838" t="s">
        <v>40</v>
      </c>
      <c r="U838" t="s">
        <v>95</v>
      </c>
      <c r="V838" t="s">
        <v>58</v>
      </c>
      <c r="W838" s="1">
        <v>45331</v>
      </c>
      <c r="X838" t="b">
        <v>1</v>
      </c>
      <c r="Y838" t="b">
        <v>1</v>
      </c>
      <c r="Z838" t="s">
        <v>89</v>
      </c>
      <c r="AA838" t="s">
        <v>45</v>
      </c>
      <c r="AB838">
        <v>13</v>
      </c>
      <c r="AF838" t="str">
        <f>tbl_OriginalData[[#This Row],[Customer_ID]]</f>
        <v>57-797-8139</v>
      </c>
      <c r="AG838">
        <f>tbl_OriginalData[[#This Row],[Age]]</f>
        <v>43</v>
      </c>
      <c r="AH838" t="str" cm="1">
        <f t="array" ref="AH83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38" t="str">
        <f>tbl_OriginalData[[#This Row],[Gender]]</f>
        <v>Male</v>
      </c>
      <c r="AJ838" t="str">
        <f>tbl_OriginalData[[#This Row],[Income_Level]]</f>
        <v>High</v>
      </c>
      <c r="AK838" t="str">
        <f>tbl_OriginalData[[#This Row],[Marital_Status]]</f>
        <v>Widowed</v>
      </c>
      <c r="AL838" t="str">
        <f>tbl_OriginalData[[#This Row],[Education_Level]]</f>
        <v>Bachelor's</v>
      </c>
      <c r="AM838" t="str">
        <f>tbl_OriginalData[[#This Row],[Occupation]]</f>
        <v>High</v>
      </c>
      <c r="AN838" t="s">
        <v>1912</v>
      </c>
      <c r="AO838" t="s">
        <v>1913</v>
      </c>
      <c r="AP838" t="str">
        <f>tbl_OriginalData[[#This Row],[Purchase_Category]]</f>
        <v>Toys &amp; Games</v>
      </c>
      <c r="AQ838" s="4">
        <f>tbl_OriginalData[[#This Row],[Purchase_Amount]]</f>
        <v>332.14</v>
      </c>
      <c r="AR838">
        <f>tbl_OriginalData[[#This Row],[Frequency_of_Purchase]]</f>
        <v>10</v>
      </c>
      <c r="AS838" t="str">
        <f>tbl_OriginalData[[#This Row],[Purchase_Channel]]</f>
        <v>Online</v>
      </c>
      <c r="AT838">
        <f>tbl_OriginalData[[#This Row],[Brand_Loyalty]]</f>
        <v>4</v>
      </c>
      <c r="AU838">
        <f>tbl_OriginalData[[#This Row],[Product_Rating]]</f>
        <v>4</v>
      </c>
      <c r="AV838">
        <f>tbl_OriginalData[[#This Row],[Time_Spent_on_Product_Research(hours)]]*60</f>
        <v>0</v>
      </c>
      <c r="AW838" t="str">
        <f>tbl_OriginalData[[#This Row],[Social_Media_Influence]]</f>
        <v>Low</v>
      </c>
      <c r="AX838" t="str">
        <f>tbl_OriginalData[[#This Row],[Discount_Sensitivity]]</f>
        <v>Somewhat Sensitive</v>
      </c>
      <c r="AY838" s="3">
        <f>tbl_OriginalData[[#This Row],[Return_Rate]]/tbl_OriginalData[[#This Row],[Frequency_of_Purchase]]</f>
        <v>0.1</v>
      </c>
      <c r="AZ838">
        <f>tbl_OriginalData[[#This Row],[Customer_Satisfaction]]</f>
        <v>2</v>
      </c>
      <c r="BA838" t="str">
        <f>tbl_OriginalData[[#This Row],[Engagement_with_Ads]]</f>
        <v>None</v>
      </c>
      <c r="BB838" t="str">
        <f>tbl_OriginalData[[#This Row],[Device_Used_for_Shopping]]</f>
        <v>Desktop</v>
      </c>
      <c r="BC838" t="str">
        <f>tbl_OriginalData[[#This Row],[Payment_Method]]</f>
        <v>PayPal</v>
      </c>
      <c r="BD838" s="1">
        <f>tbl_OriginalData[[#This Row],[Time_of_Purchase]]</f>
        <v>45331</v>
      </c>
      <c r="BE838" t="str">
        <f>IF(tbl_OriginalData[[#This Row],[Discount_Used]]=TRUE,"Yes","No")</f>
        <v>Yes</v>
      </c>
      <c r="BF838" t="str">
        <f>IF(tbl_OriginalData[[#This Row],[Customer_Loyalty_Program_Member]]=TRUE,"Yes","No")</f>
        <v>Yes</v>
      </c>
      <c r="BG838" t="str">
        <f>tbl_OriginalData[[#This Row],[Purchase_Intent]]</f>
        <v>Planned</v>
      </c>
      <c r="BH838" t="str">
        <f>tbl_OriginalData[[#This Row],[Shipping_Preference]]</f>
        <v>No Preference</v>
      </c>
      <c r="BI838">
        <f>tbl_OriginalData[[#This Row],[Time_to_Decision]]</f>
        <v>13</v>
      </c>
      <c r="BJ838" t="s">
        <v>158</v>
      </c>
      <c r="BK838" t="s">
        <v>48</v>
      </c>
      <c r="BL838" t="s">
        <v>2528</v>
      </c>
    </row>
    <row r="839" spans="1:64">
      <c r="A839" t="s">
        <v>1914</v>
      </c>
      <c r="B839">
        <v>37</v>
      </c>
      <c r="C839" t="s">
        <v>238</v>
      </c>
      <c r="D839" t="s">
        <v>34</v>
      </c>
      <c r="E839" t="s">
        <v>65</v>
      </c>
      <c r="F839" t="s">
        <v>36</v>
      </c>
      <c r="G839" t="s">
        <v>34</v>
      </c>
      <c r="H839" t="s">
        <v>1915</v>
      </c>
      <c r="I839" t="s">
        <v>54</v>
      </c>
      <c r="J839">
        <v>247.05</v>
      </c>
      <c r="K839">
        <v>8</v>
      </c>
      <c r="L839" t="s">
        <v>55</v>
      </c>
      <c r="M839">
        <v>3</v>
      </c>
      <c r="N839">
        <v>2</v>
      </c>
      <c r="O839">
        <v>1</v>
      </c>
      <c r="P839" t="s">
        <v>69</v>
      </c>
      <c r="Q839" t="s">
        <v>41</v>
      </c>
      <c r="R839">
        <v>1</v>
      </c>
      <c r="S839">
        <v>8</v>
      </c>
      <c r="T839" t="s">
        <v>51</v>
      </c>
      <c r="U839" t="s">
        <v>95</v>
      </c>
      <c r="V839" t="s">
        <v>102</v>
      </c>
      <c r="W839" s="1">
        <v>45437</v>
      </c>
      <c r="X839" t="b">
        <v>0</v>
      </c>
      <c r="Y839" t="b">
        <v>0</v>
      </c>
      <c r="Z839" t="s">
        <v>59</v>
      </c>
      <c r="AA839" t="s">
        <v>60</v>
      </c>
      <c r="AB839">
        <v>2</v>
      </c>
      <c r="AF839" t="str">
        <f>tbl_OriginalData[[#This Row],[Customer_ID]]</f>
        <v>21-048-8669</v>
      </c>
      <c r="AG839">
        <f>tbl_OriginalData[[#This Row],[Age]]</f>
        <v>37</v>
      </c>
      <c r="AH839" t="str" cm="1">
        <f t="array" ref="AH83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39" t="str">
        <f>tbl_OriginalData[[#This Row],[Gender]]</f>
        <v>Non-binary</v>
      </c>
      <c r="AJ839" t="str">
        <f>tbl_OriginalData[[#This Row],[Income_Level]]</f>
        <v>Middle</v>
      </c>
      <c r="AK839" t="str">
        <f>tbl_OriginalData[[#This Row],[Marital_Status]]</f>
        <v>Single</v>
      </c>
      <c r="AL839" t="str">
        <f>tbl_OriginalData[[#This Row],[Education_Level]]</f>
        <v>Bachelor's</v>
      </c>
      <c r="AM839" t="str">
        <f>tbl_OriginalData[[#This Row],[Occupation]]</f>
        <v>Middle</v>
      </c>
      <c r="AN839" t="s">
        <v>1915</v>
      </c>
      <c r="AO839" t="s">
        <v>90</v>
      </c>
      <c r="AP839" t="str">
        <f>tbl_OriginalData[[#This Row],[Purchase_Category]]</f>
        <v>Food &amp; Beverages</v>
      </c>
      <c r="AQ839" s="4">
        <f>tbl_OriginalData[[#This Row],[Purchase_Amount]]</f>
        <v>247.05</v>
      </c>
      <c r="AR839">
        <f>tbl_OriginalData[[#This Row],[Frequency_of_Purchase]]</f>
        <v>8</v>
      </c>
      <c r="AS839" t="str">
        <f>tbl_OriginalData[[#This Row],[Purchase_Channel]]</f>
        <v>In-Store</v>
      </c>
      <c r="AT839">
        <f>tbl_OriginalData[[#This Row],[Brand_Loyalty]]</f>
        <v>3</v>
      </c>
      <c r="AU839">
        <f>tbl_OriginalData[[#This Row],[Product_Rating]]</f>
        <v>2</v>
      </c>
      <c r="AV839">
        <f>tbl_OriginalData[[#This Row],[Time_Spent_on_Product_Research(hours)]]*60</f>
        <v>60</v>
      </c>
      <c r="AW839" t="str">
        <f>tbl_OriginalData[[#This Row],[Social_Media_Influence]]</f>
        <v>Low</v>
      </c>
      <c r="AX839" t="str">
        <f>tbl_OriginalData[[#This Row],[Discount_Sensitivity]]</f>
        <v>Somewhat Sensitive</v>
      </c>
      <c r="AY839" s="3">
        <f>tbl_OriginalData[[#This Row],[Return_Rate]]/tbl_OriginalData[[#This Row],[Frequency_of_Purchase]]</f>
        <v>0.125</v>
      </c>
      <c r="AZ839">
        <f>tbl_OriginalData[[#This Row],[Customer_Satisfaction]]</f>
        <v>8</v>
      </c>
      <c r="BA839" t="str">
        <f>tbl_OriginalData[[#This Row],[Engagement_with_Ads]]</f>
        <v>High</v>
      </c>
      <c r="BB839" t="str">
        <f>tbl_OriginalData[[#This Row],[Device_Used_for_Shopping]]</f>
        <v>Desktop</v>
      </c>
      <c r="BC839" t="str">
        <f>tbl_OriginalData[[#This Row],[Payment_Method]]</f>
        <v>Cash</v>
      </c>
      <c r="BD839" s="1">
        <f>tbl_OriginalData[[#This Row],[Time_of_Purchase]]</f>
        <v>45437</v>
      </c>
      <c r="BE839" t="str">
        <f>IF(tbl_OriginalData[[#This Row],[Discount_Used]]=TRUE,"Yes","No")</f>
        <v>No</v>
      </c>
      <c r="BF839" t="str">
        <f>IF(tbl_OriginalData[[#This Row],[Customer_Loyalty_Program_Member]]=TRUE,"Yes","No")</f>
        <v>No</v>
      </c>
      <c r="BG839" t="str">
        <f>tbl_OriginalData[[#This Row],[Purchase_Intent]]</f>
        <v>Wants-based</v>
      </c>
      <c r="BH839" t="str">
        <f>tbl_OriginalData[[#This Row],[Shipping_Preference]]</f>
        <v>Standard</v>
      </c>
      <c r="BI839">
        <f>tbl_OriginalData[[#This Row],[Time_to_Decision]]</f>
        <v>2</v>
      </c>
      <c r="BJ839" t="s">
        <v>167</v>
      </c>
      <c r="BK839" t="s">
        <v>63</v>
      </c>
      <c r="BL839" t="s">
        <v>2524</v>
      </c>
    </row>
    <row r="840" spans="1:64">
      <c r="A840" t="s">
        <v>1916</v>
      </c>
      <c r="B840">
        <v>49</v>
      </c>
      <c r="C840" t="s">
        <v>50</v>
      </c>
      <c r="D840" t="s">
        <v>51</v>
      </c>
      <c r="E840" t="s">
        <v>65</v>
      </c>
      <c r="F840" t="s">
        <v>36</v>
      </c>
      <c r="G840" t="s">
        <v>51</v>
      </c>
      <c r="H840" t="s">
        <v>1917</v>
      </c>
      <c r="I840" t="s">
        <v>68</v>
      </c>
      <c r="J840">
        <v>365.88</v>
      </c>
      <c r="K840">
        <v>10</v>
      </c>
      <c r="L840" t="s">
        <v>39</v>
      </c>
      <c r="M840">
        <v>4</v>
      </c>
      <c r="N840">
        <v>5</v>
      </c>
      <c r="O840">
        <v>1</v>
      </c>
      <c r="P840" t="s">
        <v>40</v>
      </c>
      <c r="Q840" t="s">
        <v>41</v>
      </c>
      <c r="R840">
        <v>1</v>
      </c>
      <c r="S840">
        <v>1</v>
      </c>
      <c r="T840" t="s">
        <v>56</v>
      </c>
      <c r="U840" t="s">
        <v>42</v>
      </c>
      <c r="V840" t="s">
        <v>58</v>
      </c>
      <c r="W840" s="1">
        <v>45398</v>
      </c>
      <c r="X840" t="b">
        <v>0</v>
      </c>
      <c r="Y840" t="b">
        <v>0</v>
      </c>
      <c r="Z840" t="s">
        <v>59</v>
      </c>
      <c r="AA840" t="s">
        <v>77</v>
      </c>
      <c r="AB840">
        <v>9</v>
      </c>
      <c r="AF840" t="str">
        <f>tbl_OriginalData[[#This Row],[Customer_ID]]</f>
        <v>30-038-8752</v>
      </c>
      <c r="AG840">
        <f>tbl_OriginalData[[#This Row],[Age]]</f>
        <v>49</v>
      </c>
      <c r="AH840" t="str" cm="1">
        <f t="array" ref="AH84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40" t="str">
        <f>tbl_OriginalData[[#This Row],[Gender]]</f>
        <v>Male</v>
      </c>
      <c r="AJ840" t="str">
        <f>tbl_OriginalData[[#This Row],[Income_Level]]</f>
        <v>High</v>
      </c>
      <c r="AK840" t="str">
        <f>tbl_OriginalData[[#This Row],[Marital_Status]]</f>
        <v>Single</v>
      </c>
      <c r="AL840" t="str">
        <f>tbl_OriginalData[[#This Row],[Education_Level]]</f>
        <v>Bachelor's</v>
      </c>
      <c r="AM840" t="str">
        <f>tbl_OriginalData[[#This Row],[Occupation]]</f>
        <v>High</v>
      </c>
      <c r="AN840" t="s">
        <v>1917</v>
      </c>
      <c r="AO840" t="s">
        <v>90</v>
      </c>
      <c r="AP840" t="str">
        <f>tbl_OriginalData[[#This Row],[Purchase_Category]]</f>
        <v>Office Supplies</v>
      </c>
      <c r="AQ840" s="4">
        <f>tbl_OriginalData[[#This Row],[Purchase_Amount]]</f>
        <v>365.88</v>
      </c>
      <c r="AR840">
        <f>tbl_OriginalData[[#This Row],[Frequency_of_Purchase]]</f>
        <v>10</v>
      </c>
      <c r="AS840" t="str">
        <f>tbl_OriginalData[[#This Row],[Purchase_Channel]]</f>
        <v>Mixed</v>
      </c>
      <c r="AT840">
        <f>tbl_OriginalData[[#This Row],[Brand_Loyalty]]</f>
        <v>4</v>
      </c>
      <c r="AU840">
        <f>tbl_OriginalData[[#This Row],[Product_Rating]]</f>
        <v>5</v>
      </c>
      <c r="AV840">
        <f>tbl_OriginalData[[#This Row],[Time_Spent_on_Product_Research(hours)]]*60</f>
        <v>60</v>
      </c>
      <c r="AW840" t="str">
        <f>tbl_OriginalData[[#This Row],[Social_Media_Influence]]</f>
        <v>None</v>
      </c>
      <c r="AX840" t="str">
        <f>tbl_OriginalData[[#This Row],[Discount_Sensitivity]]</f>
        <v>Somewhat Sensitive</v>
      </c>
      <c r="AY840" s="3">
        <f>tbl_OriginalData[[#This Row],[Return_Rate]]/tbl_OriginalData[[#This Row],[Frequency_of_Purchase]]</f>
        <v>0.1</v>
      </c>
      <c r="AZ840">
        <f>tbl_OriginalData[[#This Row],[Customer_Satisfaction]]</f>
        <v>1</v>
      </c>
      <c r="BA840" t="str">
        <f>tbl_OriginalData[[#This Row],[Engagement_with_Ads]]</f>
        <v>Medium</v>
      </c>
      <c r="BB840" t="str">
        <f>tbl_OriginalData[[#This Row],[Device_Used_for_Shopping]]</f>
        <v>Tablet</v>
      </c>
      <c r="BC840" t="str">
        <f>tbl_OriginalData[[#This Row],[Payment_Method]]</f>
        <v>PayPal</v>
      </c>
      <c r="BD840" s="1">
        <f>tbl_OriginalData[[#This Row],[Time_of_Purchase]]</f>
        <v>45398</v>
      </c>
      <c r="BE840" t="str">
        <f>IF(tbl_OriginalData[[#This Row],[Discount_Used]]=TRUE,"Yes","No")</f>
        <v>No</v>
      </c>
      <c r="BF840" t="str">
        <f>IF(tbl_OriginalData[[#This Row],[Customer_Loyalty_Program_Member]]=TRUE,"Yes","No")</f>
        <v>No</v>
      </c>
      <c r="BG840" t="str">
        <f>tbl_OriginalData[[#This Row],[Purchase_Intent]]</f>
        <v>Wants-based</v>
      </c>
      <c r="BH840" t="str">
        <f>tbl_OriginalData[[#This Row],[Shipping_Preference]]</f>
        <v>Express</v>
      </c>
      <c r="BI840">
        <f>tbl_OriginalData[[#This Row],[Time_to_Decision]]</f>
        <v>9</v>
      </c>
      <c r="BJ840" t="s">
        <v>62</v>
      </c>
      <c r="BK840" t="s">
        <v>63</v>
      </c>
      <c r="BL840" t="s">
        <v>2524</v>
      </c>
    </row>
    <row r="841" spans="1:64">
      <c r="A841" t="s">
        <v>1918</v>
      </c>
      <c r="B841">
        <v>27</v>
      </c>
      <c r="C841" t="s">
        <v>33</v>
      </c>
      <c r="D841" t="s">
        <v>34</v>
      </c>
      <c r="E841" t="s">
        <v>35</v>
      </c>
      <c r="F841" t="s">
        <v>36</v>
      </c>
      <c r="G841" t="s">
        <v>34</v>
      </c>
      <c r="H841" t="s">
        <v>1919</v>
      </c>
      <c r="I841" t="s">
        <v>156</v>
      </c>
      <c r="J841">
        <v>354.92</v>
      </c>
      <c r="K841">
        <v>8</v>
      </c>
      <c r="L841" t="s">
        <v>39</v>
      </c>
      <c r="M841">
        <v>5</v>
      </c>
      <c r="N841">
        <v>4</v>
      </c>
      <c r="O841">
        <v>0</v>
      </c>
      <c r="P841" t="s">
        <v>40</v>
      </c>
      <c r="Q841" t="s">
        <v>41</v>
      </c>
      <c r="R841">
        <v>0</v>
      </c>
      <c r="S841">
        <v>1</v>
      </c>
      <c r="T841" t="s">
        <v>40</v>
      </c>
      <c r="U841" t="s">
        <v>42</v>
      </c>
      <c r="V841" t="s">
        <v>71</v>
      </c>
      <c r="W841" s="1">
        <v>45339</v>
      </c>
      <c r="X841" t="b">
        <v>1</v>
      </c>
      <c r="Y841" t="b">
        <v>1</v>
      </c>
      <c r="Z841" t="s">
        <v>59</v>
      </c>
      <c r="AA841" t="s">
        <v>77</v>
      </c>
      <c r="AB841">
        <v>13</v>
      </c>
      <c r="AF841" t="str">
        <f>tbl_OriginalData[[#This Row],[Customer_ID]]</f>
        <v>06-237-7338</v>
      </c>
      <c r="AG841">
        <f>tbl_OriginalData[[#This Row],[Age]]</f>
        <v>27</v>
      </c>
      <c r="AH841" t="str" cm="1">
        <f t="array" ref="AH84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41" t="str">
        <f>tbl_OriginalData[[#This Row],[Gender]]</f>
        <v>Female</v>
      </c>
      <c r="AJ841" t="str">
        <f>tbl_OriginalData[[#This Row],[Income_Level]]</f>
        <v>Middle</v>
      </c>
      <c r="AK841" t="str">
        <f>tbl_OriginalData[[#This Row],[Marital_Status]]</f>
        <v>Married</v>
      </c>
      <c r="AL841" t="str">
        <f>tbl_OriginalData[[#This Row],[Education_Level]]</f>
        <v>Bachelor's</v>
      </c>
      <c r="AM841" t="str">
        <f>tbl_OriginalData[[#This Row],[Occupation]]</f>
        <v>Middle</v>
      </c>
      <c r="AN841" t="s">
        <v>1919</v>
      </c>
      <c r="AO841" t="s">
        <v>342</v>
      </c>
      <c r="AP841" t="str">
        <f>tbl_OriginalData[[#This Row],[Purchase_Category]]</f>
        <v>Toys &amp; Games</v>
      </c>
      <c r="AQ841" s="4">
        <f>tbl_OriginalData[[#This Row],[Purchase_Amount]]</f>
        <v>354.92</v>
      </c>
      <c r="AR841">
        <f>tbl_OriginalData[[#This Row],[Frequency_of_Purchase]]</f>
        <v>8</v>
      </c>
      <c r="AS841" t="str">
        <f>tbl_OriginalData[[#This Row],[Purchase_Channel]]</f>
        <v>Mixed</v>
      </c>
      <c r="AT841">
        <f>tbl_OriginalData[[#This Row],[Brand_Loyalty]]</f>
        <v>5</v>
      </c>
      <c r="AU841">
        <f>tbl_OriginalData[[#This Row],[Product_Rating]]</f>
        <v>4</v>
      </c>
      <c r="AV841">
        <f>tbl_OriginalData[[#This Row],[Time_Spent_on_Product_Research(hours)]]*60</f>
        <v>0</v>
      </c>
      <c r="AW841" t="str">
        <f>tbl_OriginalData[[#This Row],[Social_Media_Influence]]</f>
        <v>None</v>
      </c>
      <c r="AX841" t="str">
        <f>tbl_OriginalData[[#This Row],[Discount_Sensitivity]]</f>
        <v>Somewhat Sensitive</v>
      </c>
      <c r="AY841" s="3">
        <f>tbl_OriginalData[[#This Row],[Return_Rate]]/tbl_OriginalData[[#This Row],[Frequency_of_Purchase]]</f>
        <v>0</v>
      </c>
      <c r="AZ841">
        <f>tbl_OriginalData[[#This Row],[Customer_Satisfaction]]</f>
        <v>1</v>
      </c>
      <c r="BA841" t="str">
        <f>tbl_OriginalData[[#This Row],[Engagement_with_Ads]]</f>
        <v>None</v>
      </c>
      <c r="BB841" t="str">
        <f>tbl_OriginalData[[#This Row],[Device_Used_for_Shopping]]</f>
        <v>Tablet</v>
      </c>
      <c r="BC841" t="str">
        <f>tbl_OriginalData[[#This Row],[Payment_Method]]</f>
        <v>Debit Card</v>
      </c>
      <c r="BD841" s="1">
        <f>tbl_OriginalData[[#This Row],[Time_of_Purchase]]</f>
        <v>45339</v>
      </c>
      <c r="BE841" t="str">
        <f>IF(tbl_OriginalData[[#This Row],[Discount_Used]]=TRUE,"Yes","No")</f>
        <v>Yes</v>
      </c>
      <c r="BF841" t="str">
        <f>IF(tbl_OriginalData[[#This Row],[Customer_Loyalty_Program_Member]]=TRUE,"Yes","No")</f>
        <v>Yes</v>
      </c>
      <c r="BG841" t="str">
        <f>tbl_OriginalData[[#This Row],[Purchase_Intent]]</f>
        <v>Wants-based</v>
      </c>
      <c r="BH841" t="str">
        <f>tbl_OriginalData[[#This Row],[Shipping_Preference]]</f>
        <v>Express</v>
      </c>
      <c r="BI841">
        <f>tbl_OriginalData[[#This Row],[Time_to_Decision]]</f>
        <v>13</v>
      </c>
      <c r="BJ841" t="s">
        <v>158</v>
      </c>
      <c r="BK841" t="s">
        <v>48</v>
      </c>
      <c r="BL841" t="s">
        <v>2524</v>
      </c>
    </row>
    <row r="842" spans="1:64">
      <c r="A842" t="s">
        <v>1920</v>
      </c>
      <c r="B842">
        <v>19</v>
      </c>
      <c r="C842" t="s">
        <v>33</v>
      </c>
      <c r="D842" t="s">
        <v>51</v>
      </c>
      <c r="E842" t="s">
        <v>65</v>
      </c>
      <c r="F842" t="s">
        <v>52</v>
      </c>
      <c r="G842" t="s">
        <v>51</v>
      </c>
      <c r="H842" t="s">
        <v>1921</v>
      </c>
      <c r="I842" t="s">
        <v>306</v>
      </c>
      <c r="J842">
        <v>195.46</v>
      </c>
      <c r="K842">
        <v>10</v>
      </c>
      <c r="L842" t="s">
        <v>39</v>
      </c>
      <c r="M842">
        <v>5</v>
      </c>
      <c r="N842">
        <v>3</v>
      </c>
      <c r="O842">
        <v>2</v>
      </c>
      <c r="P842" t="s">
        <v>40</v>
      </c>
      <c r="Q842" t="s">
        <v>57</v>
      </c>
      <c r="R842">
        <v>0</v>
      </c>
      <c r="S842">
        <v>10</v>
      </c>
      <c r="T842" t="s">
        <v>69</v>
      </c>
      <c r="U842" t="s">
        <v>42</v>
      </c>
      <c r="V842" t="s">
        <v>76</v>
      </c>
      <c r="W842" s="1">
        <v>45480</v>
      </c>
      <c r="X842" t="b">
        <v>1</v>
      </c>
      <c r="Y842" t="b">
        <v>0</v>
      </c>
      <c r="Z842" t="s">
        <v>72</v>
      </c>
      <c r="AA842" t="s">
        <v>60</v>
      </c>
      <c r="AB842">
        <v>9</v>
      </c>
      <c r="AF842" t="str">
        <f>tbl_OriginalData[[#This Row],[Customer_ID]]</f>
        <v>71-817-5422</v>
      </c>
      <c r="AG842">
        <f>tbl_OriginalData[[#This Row],[Age]]</f>
        <v>19</v>
      </c>
      <c r="AH842" t="str" cm="1">
        <f t="array" ref="AH84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842" t="str">
        <f>tbl_OriginalData[[#This Row],[Gender]]</f>
        <v>Female</v>
      </c>
      <c r="AJ842" t="str">
        <f>tbl_OriginalData[[#This Row],[Income_Level]]</f>
        <v>High</v>
      </c>
      <c r="AK842" t="str">
        <f>tbl_OriginalData[[#This Row],[Marital_Status]]</f>
        <v>Single</v>
      </c>
      <c r="AL842" t="str">
        <f>tbl_OriginalData[[#This Row],[Education_Level]]</f>
        <v>High School</v>
      </c>
      <c r="AM842" t="str">
        <f>tbl_OriginalData[[#This Row],[Occupation]]</f>
        <v>High</v>
      </c>
      <c r="AN842" t="s">
        <v>1921</v>
      </c>
      <c r="AO842" t="s">
        <v>109</v>
      </c>
      <c r="AP842" t="str">
        <f>tbl_OriginalData[[#This Row],[Purchase_Category]]</f>
        <v>Jewelry &amp; Accessories</v>
      </c>
      <c r="AQ842" s="4">
        <f>tbl_OriginalData[[#This Row],[Purchase_Amount]]</f>
        <v>195.46</v>
      </c>
      <c r="AR842">
        <f>tbl_OriginalData[[#This Row],[Frequency_of_Purchase]]</f>
        <v>10</v>
      </c>
      <c r="AS842" t="str">
        <f>tbl_OriginalData[[#This Row],[Purchase_Channel]]</f>
        <v>Mixed</v>
      </c>
      <c r="AT842">
        <f>tbl_OriginalData[[#This Row],[Brand_Loyalty]]</f>
        <v>5</v>
      </c>
      <c r="AU842">
        <f>tbl_OriginalData[[#This Row],[Product_Rating]]</f>
        <v>3</v>
      </c>
      <c r="AV842">
        <f>tbl_OriginalData[[#This Row],[Time_Spent_on_Product_Research(hours)]]*60</f>
        <v>120</v>
      </c>
      <c r="AW842" t="str">
        <f>tbl_OriginalData[[#This Row],[Social_Media_Influence]]</f>
        <v>None</v>
      </c>
      <c r="AX842" t="str">
        <f>tbl_OriginalData[[#This Row],[Discount_Sensitivity]]</f>
        <v>Not Sensitive</v>
      </c>
      <c r="AY842" s="3">
        <f>tbl_OriginalData[[#This Row],[Return_Rate]]/tbl_OriginalData[[#This Row],[Frequency_of_Purchase]]</f>
        <v>0</v>
      </c>
      <c r="AZ842">
        <f>tbl_OriginalData[[#This Row],[Customer_Satisfaction]]</f>
        <v>10</v>
      </c>
      <c r="BA842" t="str">
        <f>tbl_OriginalData[[#This Row],[Engagement_with_Ads]]</f>
        <v>Low</v>
      </c>
      <c r="BB842" t="str">
        <f>tbl_OriginalData[[#This Row],[Device_Used_for_Shopping]]</f>
        <v>Tablet</v>
      </c>
      <c r="BC842" t="str">
        <f>tbl_OriginalData[[#This Row],[Payment_Method]]</f>
        <v>Other</v>
      </c>
      <c r="BD842" s="1">
        <f>tbl_OriginalData[[#This Row],[Time_of_Purchase]]</f>
        <v>45480</v>
      </c>
      <c r="BE842" t="str">
        <f>IF(tbl_OriginalData[[#This Row],[Discount_Used]]=TRUE,"Yes","No")</f>
        <v>Yes</v>
      </c>
      <c r="BF842" t="str">
        <f>IF(tbl_OriginalData[[#This Row],[Customer_Loyalty_Program_Member]]=TRUE,"Yes","No")</f>
        <v>No</v>
      </c>
      <c r="BG842" t="str">
        <f>tbl_OriginalData[[#This Row],[Purchase_Intent]]</f>
        <v>Impulsive</v>
      </c>
      <c r="BH842" t="str">
        <f>tbl_OriginalData[[#This Row],[Shipping_Preference]]</f>
        <v>Standard</v>
      </c>
      <c r="BI842">
        <f>tbl_OriginalData[[#This Row],[Time_to_Decision]]</f>
        <v>9</v>
      </c>
      <c r="BJ842" t="s">
        <v>114</v>
      </c>
      <c r="BK842" t="s">
        <v>115</v>
      </c>
      <c r="BL842" t="s">
        <v>2526</v>
      </c>
    </row>
    <row r="843" spans="1:64">
      <c r="A843" t="s">
        <v>1922</v>
      </c>
      <c r="B843">
        <v>40</v>
      </c>
      <c r="C843" t="s">
        <v>33</v>
      </c>
      <c r="D843" t="s">
        <v>51</v>
      </c>
      <c r="E843" t="s">
        <v>35</v>
      </c>
      <c r="F843" t="s">
        <v>66</v>
      </c>
      <c r="G843" t="s">
        <v>34</v>
      </c>
      <c r="H843" t="s">
        <v>1923</v>
      </c>
      <c r="I843" t="s">
        <v>98</v>
      </c>
      <c r="J843">
        <v>474.03</v>
      </c>
      <c r="K843">
        <v>7</v>
      </c>
      <c r="L843" t="s">
        <v>55</v>
      </c>
      <c r="M843">
        <v>3</v>
      </c>
      <c r="N843">
        <v>1</v>
      </c>
      <c r="O843">
        <v>1</v>
      </c>
      <c r="P843" t="s">
        <v>56</v>
      </c>
      <c r="Q843" t="s">
        <v>41</v>
      </c>
      <c r="R843">
        <v>0</v>
      </c>
      <c r="S843">
        <v>6</v>
      </c>
      <c r="T843" t="s">
        <v>51</v>
      </c>
      <c r="U843" t="s">
        <v>95</v>
      </c>
      <c r="V843" t="s">
        <v>76</v>
      </c>
      <c r="W843" s="1">
        <v>45507</v>
      </c>
      <c r="X843" t="b">
        <v>1</v>
      </c>
      <c r="Y843" t="b">
        <v>1</v>
      </c>
      <c r="Z843" t="s">
        <v>44</v>
      </c>
      <c r="AA843" t="s">
        <v>60</v>
      </c>
      <c r="AB843">
        <v>13</v>
      </c>
      <c r="AF843" t="str">
        <f>tbl_OriginalData[[#This Row],[Customer_ID]]</f>
        <v>68-512-0568</v>
      </c>
      <c r="AG843">
        <f>tbl_OriginalData[[#This Row],[Age]]</f>
        <v>40</v>
      </c>
      <c r="AH843" t="str" cm="1">
        <f t="array" ref="AH84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43" t="str">
        <f>tbl_OriginalData[[#This Row],[Gender]]</f>
        <v>Female</v>
      </c>
      <c r="AJ843" t="str">
        <f>tbl_OriginalData[[#This Row],[Income_Level]]</f>
        <v>High</v>
      </c>
      <c r="AK843" t="str">
        <f>tbl_OriginalData[[#This Row],[Marital_Status]]</f>
        <v>Married</v>
      </c>
      <c r="AL843" t="str">
        <f>tbl_OriginalData[[#This Row],[Education_Level]]</f>
        <v>Master's</v>
      </c>
      <c r="AM843" t="str">
        <f>tbl_OriginalData[[#This Row],[Occupation]]</f>
        <v>Middle</v>
      </c>
      <c r="AN843" t="s">
        <v>1923</v>
      </c>
      <c r="AO843" t="s">
        <v>1924</v>
      </c>
      <c r="AP843" t="str">
        <f>tbl_OriginalData[[#This Row],[Purchase_Category]]</f>
        <v>Books</v>
      </c>
      <c r="AQ843" s="4">
        <f>tbl_OriginalData[[#This Row],[Purchase_Amount]]</f>
        <v>474.03</v>
      </c>
      <c r="AR843">
        <f>tbl_OriginalData[[#This Row],[Frequency_of_Purchase]]</f>
        <v>7</v>
      </c>
      <c r="AS843" t="str">
        <f>tbl_OriginalData[[#This Row],[Purchase_Channel]]</f>
        <v>In-Store</v>
      </c>
      <c r="AT843">
        <f>tbl_OriginalData[[#This Row],[Brand_Loyalty]]</f>
        <v>3</v>
      </c>
      <c r="AU843">
        <f>tbl_OriginalData[[#This Row],[Product_Rating]]</f>
        <v>1</v>
      </c>
      <c r="AV843">
        <f>tbl_OriginalData[[#This Row],[Time_Spent_on_Product_Research(hours)]]*60</f>
        <v>60</v>
      </c>
      <c r="AW843" t="str">
        <f>tbl_OriginalData[[#This Row],[Social_Media_Influence]]</f>
        <v>Medium</v>
      </c>
      <c r="AX843" t="str">
        <f>tbl_OriginalData[[#This Row],[Discount_Sensitivity]]</f>
        <v>Somewhat Sensitive</v>
      </c>
      <c r="AY843" s="3">
        <f>tbl_OriginalData[[#This Row],[Return_Rate]]/tbl_OriginalData[[#This Row],[Frequency_of_Purchase]]</f>
        <v>0</v>
      </c>
      <c r="AZ843">
        <f>tbl_OriginalData[[#This Row],[Customer_Satisfaction]]</f>
        <v>6</v>
      </c>
      <c r="BA843" t="str">
        <f>tbl_OriginalData[[#This Row],[Engagement_with_Ads]]</f>
        <v>High</v>
      </c>
      <c r="BB843" t="str">
        <f>tbl_OriginalData[[#This Row],[Device_Used_for_Shopping]]</f>
        <v>Desktop</v>
      </c>
      <c r="BC843" t="str">
        <f>tbl_OriginalData[[#This Row],[Payment_Method]]</f>
        <v>Other</v>
      </c>
      <c r="BD843" s="1">
        <f>tbl_OriginalData[[#This Row],[Time_of_Purchase]]</f>
        <v>45507</v>
      </c>
      <c r="BE843" t="str">
        <f>IF(tbl_OriginalData[[#This Row],[Discount_Used]]=TRUE,"Yes","No")</f>
        <v>Yes</v>
      </c>
      <c r="BF843" t="str">
        <f>IF(tbl_OriginalData[[#This Row],[Customer_Loyalty_Program_Member]]=TRUE,"Yes","No")</f>
        <v>Yes</v>
      </c>
      <c r="BG843" t="str">
        <f>tbl_OriginalData[[#This Row],[Purchase_Intent]]</f>
        <v>Need-based</v>
      </c>
      <c r="BH843" t="str">
        <f>tbl_OriginalData[[#This Row],[Shipping_Preference]]</f>
        <v>Standard</v>
      </c>
      <c r="BI843">
        <f>tbl_OriginalData[[#This Row],[Time_to_Decision]]</f>
        <v>13</v>
      </c>
      <c r="BJ843" t="s">
        <v>124</v>
      </c>
      <c r="BK843" t="s">
        <v>115</v>
      </c>
      <c r="BL843" t="s">
        <v>2523</v>
      </c>
    </row>
    <row r="844" spans="1:64">
      <c r="A844" t="s">
        <v>1925</v>
      </c>
      <c r="B844">
        <v>27</v>
      </c>
      <c r="C844" t="s">
        <v>50</v>
      </c>
      <c r="D844" t="s">
        <v>34</v>
      </c>
      <c r="E844" t="s">
        <v>35</v>
      </c>
      <c r="F844" t="s">
        <v>36</v>
      </c>
      <c r="G844" t="s">
        <v>51</v>
      </c>
      <c r="H844" t="s">
        <v>1926</v>
      </c>
      <c r="I844" t="s">
        <v>127</v>
      </c>
      <c r="J844">
        <v>106.96</v>
      </c>
      <c r="K844">
        <v>6</v>
      </c>
      <c r="L844" t="s">
        <v>55</v>
      </c>
      <c r="M844">
        <v>3</v>
      </c>
      <c r="N844">
        <v>1</v>
      </c>
      <c r="O844">
        <v>2</v>
      </c>
      <c r="P844" t="s">
        <v>69</v>
      </c>
      <c r="Q844" t="s">
        <v>57</v>
      </c>
      <c r="R844">
        <v>0</v>
      </c>
      <c r="S844">
        <v>7</v>
      </c>
      <c r="T844" t="s">
        <v>56</v>
      </c>
      <c r="U844" t="s">
        <v>42</v>
      </c>
      <c r="V844" t="s">
        <v>71</v>
      </c>
      <c r="W844" s="1">
        <v>45360</v>
      </c>
      <c r="X844" t="b">
        <v>1</v>
      </c>
      <c r="Y844" t="b">
        <v>1</v>
      </c>
      <c r="Z844" t="s">
        <v>72</v>
      </c>
      <c r="AA844" t="s">
        <v>60</v>
      </c>
      <c r="AB844">
        <v>3</v>
      </c>
      <c r="AF844" t="str">
        <f>tbl_OriginalData[[#This Row],[Customer_ID]]</f>
        <v>18-633-9387</v>
      </c>
      <c r="AG844">
        <f>tbl_OriginalData[[#This Row],[Age]]</f>
        <v>27</v>
      </c>
      <c r="AH844" t="str" cm="1">
        <f t="array" ref="AH84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44" t="str">
        <f>tbl_OriginalData[[#This Row],[Gender]]</f>
        <v>Male</v>
      </c>
      <c r="AJ844" t="str">
        <f>tbl_OriginalData[[#This Row],[Income_Level]]</f>
        <v>Middle</v>
      </c>
      <c r="AK844" t="str">
        <f>tbl_OriginalData[[#This Row],[Marital_Status]]</f>
        <v>Married</v>
      </c>
      <c r="AL844" t="str">
        <f>tbl_OriginalData[[#This Row],[Education_Level]]</f>
        <v>Bachelor's</v>
      </c>
      <c r="AM844" t="str">
        <f>tbl_OriginalData[[#This Row],[Occupation]]</f>
        <v>High</v>
      </c>
      <c r="AN844" t="s">
        <v>1926</v>
      </c>
      <c r="AO844" t="s">
        <v>218</v>
      </c>
      <c r="AP844" t="str">
        <f>tbl_OriginalData[[#This Row],[Purchase_Category]]</f>
        <v>Animal Feed</v>
      </c>
      <c r="AQ844" s="4">
        <f>tbl_OriginalData[[#This Row],[Purchase_Amount]]</f>
        <v>106.96</v>
      </c>
      <c r="AR844">
        <f>tbl_OriginalData[[#This Row],[Frequency_of_Purchase]]</f>
        <v>6</v>
      </c>
      <c r="AS844" t="str">
        <f>tbl_OriginalData[[#This Row],[Purchase_Channel]]</f>
        <v>In-Store</v>
      </c>
      <c r="AT844">
        <f>tbl_OriginalData[[#This Row],[Brand_Loyalty]]</f>
        <v>3</v>
      </c>
      <c r="AU844">
        <f>tbl_OriginalData[[#This Row],[Product_Rating]]</f>
        <v>1</v>
      </c>
      <c r="AV844">
        <f>tbl_OriginalData[[#This Row],[Time_Spent_on_Product_Research(hours)]]*60</f>
        <v>120</v>
      </c>
      <c r="AW844" t="str">
        <f>tbl_OriginalData[[#This Row],[Social_Media_Influence]]</f>
        <v>Low</v>
      </c>
      <c r="AX844" t="str">
        <f>tbl_OriginalData[[#This Row],[Discount_Sensitivity]]</f>
        <v>Not Sensitive</v>
      </c>
      <c r="AY844" s="3">
        <f>tbl_OriginalData[[#This Row],[Return_Rate]]/tbl_OriginalData[[#This Row],[Frequency_of_Purchase]]</f>
        <v>0</v>
      </c>
      <c r="AZ844">
        <f>tbl_OriginalData[[#This Row],[Customer_Satisfaction]]</f>
        <v>7</v>
      </c>
      <c r="BA844" t="str">
        <f>tbl_OriginalData[[#This Row],[Engagement_with_Ads]]</f>
        <v>Medium</v>
      </c>
      <c r="BB844" t="str">
        <f>tbl_OriginalData[[#This Row],[Device_Used_for_Shopping]]</f>
        <v>Tablet</v>
      </c>
      <c r="BC844" t="str">
        <f>tbl_OriginalData[[#This Row],[Payment_Method]]</f>
        <v>Debit Card</v>
      </c>
      <c r="BD844" s="1">
        <f>tbl_OriginalData[[#This Row],[Time_of_Purchase]]</f>
        <v>45360</v>
      </c>
      <c r="BE844" t="str">
        <f>IF(tbl_OriginalData[[#This Row],[Discount_Used]]=TRUE,"Yes","No")</f>
        <v>Yes</v>
      </c>
      <c r="BF844" t="str">
        <f>IF(tbl_OriginalData[[#This Row],[Customer_Loyalty_Program_Member]]=TRUE,"Yes","No")</f>
        <v>Yes</v>
      </c>
      <c r="BG844" t="str">
        <f>tbl_OriginalData[[#This Row],[Purchase_Intent]]</f>
        <v>Impulsive</v>
      </c>
      <c r="BH844" t="str">
        <f>tbl_OriginalData[[#This Row],[Shipping_Preference]]</f>
        <v>Standard</v>
      </c>
      <c r="BI844">
        <f>tbl_OriginalData[[#This Row],[Time_to_Decision]]</f>
        <v>3</v>
      </c>
      <c r="BJ844" t="s">
        <v>47</v>
      </c>
      <c r="BK844" t="s">
        <v>48</v>
      </c>
      <c r="BL844" t="s">
        <v>2527</v>
      </c>
    </row>
    <row r="845" spans="1:64">
      <c r="A845" t="s">
        <v>1927</v>
      </c>
      <c r="B845">
        <v>29</v>
      </c>
      <c r="C845" t="s">
        <v>33</v>
      </c>
      <c r="D845" t="s">
        <v>34</v>
      </c>
      <c r="E845" t="s">
        <v>35</v>
      </c>
      <c r="F845" t="s">
        <v>66</v>
      </c>
      <c r="G845" t="s">
        <v>51</v>
      </c>
      <c r="H845" t="s">
        <v>1928</v>
      </c>
      <c r="I845" t="s">
        <v>147</v>
      </c>
      <c r="J845">
        <v>371.84</v>
      </c>
      <c r="K845">
        <v>9</v>
      </c>
      <c r="L845" t="s">
        <v>55</v>
      </c>
      <c r="M845">
        <v>5</v>
      </c>
      <c r="N845">
        <v>4</v>
      </c>
      <c r="O845">
        <v>0</v>
      </c>
      <c r="P845" t="s">
        <v>40</v>
      </c>
      <c r="Q845" t="s">
        <v>57</v>
      </c>
      <c r="R845">
        <v>2</v>
      </c>
      <c r="S845">
        <v>6</v>
      </c>
      <c r="T845" t="s">
        <v>40</v>
      </c>
      <c r="U845" t="s">
        <v>42</v>
      </c>
      <c r="V845" t="s">
        <v>76</v>
      </c>
      <c r="W845" s="1">
        <v>45501</v>
      </c>
      <c r="X845" t="b">
        <v>0</v>
      </c>
      <c r="Y845" t="b">
        <v>1</v>
      </c>
      <c r="Z845" t="s">
        <v>72</v>
      </c>
      <c r="AA845" t="s">
        <v>60</v>
      </c>
      <c r="AB845">
        <v>2</v>
      </c>
      <c r="AF845" t="str">
        <f>tbl_OriginalData[[#This Row],[Customer_ID]]</f>
        <v>08-977-4418</v>
      </c>
      <c r="AG845">
        <f>tbl_OriginalData[[#This Row],[Age]]</f>
        <v>29</v>
      </c>
      <c r="AH845" t="str" cm="1">
        <f t="array" ref="AH84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45" t="str">
        <f>tbl_OriginalData[[#This Row],[Gender]]</f>
        <v>Female</v>
      </c>
      <c r="AJ845" t="str">
        <f>tbl_OriginalData[[#This Row],[Income_Level]]</f>
        <v>Middle</v>
      </c>
      <c r="AK845" t="str">
        <f>tbl_OriginalData[[#This Row],[Marital_Status]]</f>
        <v>Married</v>
      </c>
      <c r="AL845" t="str">
        <f>tbl_OriginalData[[#This Row],[Education_Level]]</f>
        <v>Master's</v>
      </c>
      <c r="AM845" t="str">
        <f>tbl_OriginalData[[#This Row],[Occupation]]</f>
        <v>High</v>
      </c>
      <c r="AN845" t="s">
        <v>1928</v>
      </c>
      <c r="AO845" t="s">
        <v>90</v>
      </c>
      <c r="AP845" t="str">
        <f>tbl_OriginalData[[#This Row],[Purchase_Category]]</f>
        <v>Electronics</v>
      </c>
      <c r="AQ845" s="4">
        <f>tbl_OriginalData[[#This Row],[Purchase_Amount]]</f>
        <v>371.84</v>
      </c>
      <c r="AR845">
        <f>tbl_OriginalData[[#This Row],[Frequency_of_Purchase]]</f>
        <v>9</v>
      </c>
      <c r="AS845" t="str">
        <f>tbl_OriginalData[[#This Row],[Purchase_Channel]]</f>
        <v>In-Store</v>
      </c>
      <c r="AT845">
        <f>tbl_OriginalData[[#This Row],[Brand_Loyalty]]</f>
        <v>5</v>
      </c>
      <c r="AU845">
        <f>tbl_OriginalData[[#This Row],[Product_Rating]]</f>
        <v>4</v>
      </c>
      <c r="AV845">
        <f>tbl_OriginalData[[#This Row],[Time_Spent_on_Product_Research(hours)]]*60</f>
        <v>0</v>
      </c>
      <c r="AW845" t="str">
        <f>tbl_OriginalData[[#This Row],[Social_Media_Influence]]</f>
        <v>None</v>
      </c>
      <c r="AX845" t="str">
        <f>tbl_OriginalData[[#This Row],[Discount_Sensitivity]]</f>
        <v>Not Sensitive</v>
      </c>
      <c r="AY845" s="3">
        <f>tbl_OriginalData[[#This Row],[Return_Rate]]/tbl_OriginalData[[#This Row],[Frequency_of_Purchase]]</f>
        <v>0.22222222222222221</v>
      </c>
      <c r="AZ845">
        <f>tbl_OriginalData[[#This Row],[Customer_Satisfaction]]</f>
        <v>6</v>
      </c>
      <c r="BA845" t="str">
        <f>tbl_OriginalData[[#This Row],[Engagement_with_Ads]]</f>
        <v>None</v>
      </c>
      <c r="BB845" t="str">
        <f>tbl_OriginalData[[#This Row],[Device_Used_for_Shopping]]</f>
        <v>Tablet</v>
      </c>
      <c r="BC845" t="str">
        <f>tbl_OriginalData[[#This Row],[Payment_Method]]</f>
        <v>Other</v>
      </c>
      <c r="BD845" s="1">
        <f>tbl_OriginalData[[#This Row],[Time_of_Purchase]]</f>
        <v>45501</v>
      </c>
      <c r="BE845" t="str">
        <f>IF(tbl_OriginalData[[#This Row],[Discount_Used]]=TRUE,"Yes","No")</f>
        <v>No</v>
      </c>
      <c r="BF845" t="str">
        <f>IF(tbl_OriginalData[[#This Row],[Customer_Loyalty_Program_Member]]=TRUE,"Yes","No")</f>
        <v>Yes</v>
      </c>
      <c r="BG845" t="str">
        <f>tbl_OriginalData[[#This Row],[Purchase_Intent]]</f>
        <v>Impulsive</v>
      </c>
      <c r="BH845" t="str">
        <f>tbl_OriginalData[[#This Row],[Shipping_Preference]]</f>
        <v>Standard</v>
      </c>
      <c r="BI845">
        <f>tbl_OriginalData[[#This Row],[Time_to_Decision]]</f>
        <v>2</v>
      </c>
      <c r="BJ845" t="s">
        <v>114</v>
      </c>
      <c r="BK845" t="s">
        <v>115</v>
      </c>
      <c r="BL845" t="s">
        <v>2524</v>
      </c>
    </row>
    <row r="846" spans="1:64">
      <c r="A846" t="s">
        <v>1929</v>
      </c>
      <c r="B846">
        <v>45</v>
      </c>
      <c r="C846" t="s">
        <v>264</v>
      </c>
      <c r="D846" t="s">
        <v>51</v>
      </c>
      <c r="E846" t="s">
        <v>65</v>
      </c>
      <c r="F846" t="s">
        <v>36</v>
      </c>
      <c r="G846" t="s">
        <v>51</v>
      </c>
      <c r="H846" t="s">
        <v>1930</v>
      </c>
      <c r="I846" t="s">
        <v>180</v>
      </c>
      <c r="J846">
        <v>461.16</v>
      </c>
      <c r="K846">
        <v>8</v>
      </c>
      <c r="L846" t="s">
        <v>39</v>
      </c>
      <c r="M846">
        <v>1</v>
      </c>
      <c r="N846">
        <v>4</v>
      </c>
      <c r="O846">
        <v>1</v>
      </c>
      <c r="P846" t="s">
        <v>51</v>
      </c>
      <c r="Q846" t="s">
        <v>57</v>
      </c>
      <c r="R846">
        <v>0</v>
      </c>
      <c r="S846">
        <v>3</v>
      </c>
      <c r="T846" t="s">
        <v>56</v>
      </c>
      <c r="U846" t="s">
        <v>70</v>
      </c>
      <c r="V846" t="s">
        <v>76</v>
      </c>
      <c r="W846" s="1">
        <v>45351</v>
      </c>
      <c r="X846" t="b">
        <v>1</v>
      </c>
      <c r="Y846" t="b">
        <v>1</v>
      </c>
      <c r="Z846" t="s">
        <v>89</v>
      </c>
      <c r="AA846" t="s">
        <v>77</v>
      </c>
      <c r="AB846">
        <v>14</v>
      </c>
      <c r="AF846" t="str">
        <f>tbl_OriginalData[[#This Row],[Customer_ID]]</f>
        <v>97-738-8095</v>
      </c>
      <c r="AG846">
        <f>tbl_OriginalData[[#This Row],[Age]]</f>
        <v>45</v>
      </c>
      <c r="AH846" t="str" cm="1">
        <f t="array" ref="AH84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46" t="str">
        <f>tbl_OriginalData[[#This Row],[Gender]]</f>
        <v>Polygender</v>
      </c>
      <c r="AJ846" t="str">
        <f>tbl_OriginalData[[#This Row],[Income_Level]]</f>
        <v>High</v>
      </c>
      <c r="AK846" t="str">
        <f>tbl_OriginalData[[#This Row],[Marital_Status]]</f>
        <v>Single</v>
      </c>
      <c r="AL846" t="str">
        <f>tbl_OriginalData[[#This Row],[Education_Level]]</f>
        <v>Bachelor's</v>
      </c>
      <c r="AM846" t="str">
        <f>tbl_OriginalData[[#This Row],[Occupation]]</f>
        <v>High</v>
      </c>
      <c r="AN846" t="s">
        <v>1930</v>
      </c>
      <c r="AO846" t="s">
        <v>90</v>
      </c>
      <c r="AP846" t="str">
        <f>tbl_OriginalData[[#This Row],[Purchase_Category]]</f>
        <v>Health Supplements</v>
      </c>
      <c r="AQ846" s="4">
        <f>tbl_OriginalData[[#This Row],[Purchase_Amount]]</f>
        <v>461.16</v>
      </c>
      <c r="AR846">
        <f>tbl_OriginalData[[#This Row],[Frequency_of_Purchase]]</f>
        <v>8</v>
      </c>
      <c r="AS846" t="str">
        <f>tbl_OriginalData[[#This Row],[Purchase_Channel]]</f>
        <v>Mixed</v>
      </c>
      <c r="AT846">
        <f>tbl_OriginalData[[#This Row],[Brand_Loyalty]]</f>
        <v>1</v>
      </c>
      <c r="AU846">
        <f>tbl_OriginalData[[#This Row],[Product_Rating]]</f>
        <v>4</v>
      </c>
      <c r="AV846">
        <f>tbl_OriginalData[[#This Row],[Time_Spent_on_Product_Research(hours)]]*60</f>
        <v>60</v>
      </c>
      <c r="AW846" t="str">
        <f>tbl_OriginalData[[#This Row],[Social_Media_Influence]]</f>
        <v>High</v>
      </c>
      <c r="AX846" t="str">
        <f>tbl_OriginalData[[#This Row],[Discount_Sensitivity]]</f>
        <v>Not Sensitive</v>
      </c>
      <c r="AY846" s="3">
        <f>tbl_OriginalData[[#This Row],[Return_Rate]]/tbl_OriginalData[[#This Row],[Frequency_of_Purchase]]</f>
        <v>0</v>
      </c>
      <c r="AZ846">
        <f>tbl_OriginalData[[#This Row],[Customer_Satisfaction]]</f>
        <v>3</v>
      </c>
      <c r="BA846" t="str">
        <f>tbl_OriginalData[[#This Row],[Engagement_with_Ads]]</f>
        <v>Medium</v>
      </c>
      <c r="BB846" t="str">
        <f>tbl_OriginalData[[#This Row],[Device_Used_for_Shopping]]</f>
        <v>Smartphone</v>
      </c>
      <c r="BC846" t="str">
        <f>tbl_OriginalData[[#This Row],[Payment_Method]]</f>
        <v>Other</v>
      </c>
      <c r="BD846" s="1">
        <f>tbl_OriginalData[[#This Row],[Time_of_Purchase]]</f>
        <v>45351</v>
      </c>
      <c r="BE846" t="str">
        <f>IF(tbl_OriginalData[[#This Row],[Discount_Used]]=TRUE,"Yes","No")</f>
        <v>Yes</v>
      </c>
      <c r="BF846" t="str">
        <f>IF(tbl_OriginalData[[#This Row],[Customer_Loyalty_Program_Member]]=TRUE,"Yes","No")</f>
        <v>Yes</v>
      </c>
      <c r="BG846" t="str">
        <f>tbl_OriginalData[[#This Row],[Purchase_Intent]]</f>
        <v>Planned</v>
      </c>
      <c r="BH846" t="str">
        <f>tbl_OriginalData[[#This Row],[Shipping_Preference]]</f>
        <v>Express</v>
      </c>
      <c r="BI846">
        <f>tbl_OriginalData[[#This Row],[Time_to_Decision]]</f>
        <v>14</v>
      </c>
      <c r="BJ846" t="s">
        <v>158</v>
      </c>
      <c r="BK846" t="s">
        <v>48</v>
      </c>
      <c r="BL846" t="s">
        <v>2524</v>
      </c>
    </row>
    <row r="847" spans="1:64">
      <c r="A847" t="s">
        <v>1931</v>
      </c>
      <c r="B847">
        <v>24</v>
      </c>
      <c r="C847" t="s">
        <v>33</v>
      </c>
      <c r="D847" t="s">
        <v>51</v>
      </c>
      <c r="E847" t="s">
        <v>65</v>
      </c>
      <c r="F847" t="s">
        <v>52</v>
      </c>
      <c r="G847" t="s">
        <v>34</v>
      </c>
      <c r="H847" t="s">
        <v>1932</v>
      </c>
      <c r="I847" t="s">
        <v>98</v>
      </c>
      <c r="J847">
        <v>497.75</v>
      </c>
      <c r="K847">
        <v>11</v>
      </c>
      <c r="L847" t="s">
        <v>55</v>
      </c>
      <c r="M847">
        <v>4</v>
      </c>
      <c r="N847">
        <v>1</v>
      </c>
      <c r="O847">
        <v>2</v>
      </c>
      <c r="P847" t="s">
        <v>40</v>
      </c>
      <c r="Q847" t="s">
        <v>101</v>
      </c>
      <c r="R847">
        <v>2</v>
      </c>
      <c r="S847">
        <v>1</v>
      </c>
      <c r="T847" t="s">
        <v>56</v>
      </c>
      <c r="U847" t="s">
        <v>70</v>
      </c>
      <c r="V847" t="s">
        <v>102</v>
      </c>
      <c r="W847" s="1">
        <v>45476</v>
      </c>
      <c r="X847" t="b">
        <v>1</v>
      </c>
      <c r="Y847" t="b">
        <v>0</v>
      </c>
      <c r="Z847" t="s">
        <v>59</v>
      </c>
      <c r="AA847" t="s">
        <v>77</v>
      </c>
      <c r="AB847">
        <v>13</v>
      </c>
      <c r="AF847" t="str">
        <f>tbl_OriginalData[[#This Row],[Customer_ID]]</f>
        <v>15-421-1255</v>
      </c>
      <c r="AG847">
        <f>tbl_OriginalData[[#This Row],[Age]]</f>
        <v>24</v>
      </c>
      <c r="AH847" t="str" cm="1">
        <f t="array" ref="AH84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47" t="str">
        <f>tbl_OriginalData[[#This Row],[Gender]]</f>
        <v>Female</v>
      </c>
      <c r="AJ847" t="str">
        <f>tbl_OriginalData[[#This Row],[Income_Level]]</f>
        <v>High</v>
      </c>
      <c r="AK847" t="str">
        <f>tbl_OriginalData[[#This Row],[Marital_Status]]</f>
        <v>Single</v>
      </c>
      <c r="AL847" t="str">
        <f>tbl_OriginalData[[#This Row],[Education_Level]]</f>
        <v>High School</v>
      </c>
      <c r="AM847" t="str">
        <f>tbl_OriginalData[[#This Row],[Occupation]]</f>
        <v>Middle</v>
      </c>
      <c r="AN847" t="s">
        <v>1932</v>
      </c>
      <c r="AO847" t="s">
        <v>61</v>
      </c>
      <c r="AP847" t="str">
        <f>tbl_OriginalData[[#This Row],[Purchase_Category]]</f>
        <v>Books</v>
      </c>
      <c r="AQ847" s="4">
        <f>tbl_OriginalData[[#This Row],[Purchase_Amount]]</f>
        <v>497.75</v>
      </c>
      <c r="AR847">
        <f>tbl_OriginalData[[#This Row],[Frequency_of_Purchase]]</f>
        <v>11</v>
      </c>
      <c r="AS847" t="str">
        <f>tbl_OriginalData[[#This Row],[Purchase_Channel]]</f>
        <v>In-Store</v>
      </c>
      <c r="AT847">
        <f>tbl_OriginalData[[#This Row],[Brand_Loyalty]]</f>
        <v>4</v>
      </c>
      <c r="AU847">
        <f>tbl_OriginalData[[#This Row],[Product_Rating]]</f>
        <v>1</v>
      </c>
      <c r="AV847">
        <f>tbl_OriginalData[[#This Row],[Time_Spent_on_Product_Research(hours)]]*60</f>
        <v>120</v>
      </c>
      <c r="AW847" t="str">
        <f>tbl_OriginalData[[#This Row],[Social_Media_Influence]]</f>
        <v>None</v>
      </c>
      <c r="AX847" t="str">
        <f>tbl_OriginalData[[#This Row],[Discount_Sensitivity]]</f>
        <v>Very Sensitive</v>
      </c>
      <c r="AY847" s="3">
        <f>tbl_OriginalData[[#This Row],[Return_Rate]]/tbl_OriginalData[[#This Row],[Frequency_of_Purchase]]</f>
        <v>0.18181818181818182</v>
      </c>
      <c r="AZ847">
        <f>tbl_OriginalData[[#This Row],[Customer_Satisfaction]]</f>
        <v>1</v>
      </c>
      <c r="BA847" t="str">
        <f>tbl_OriginalData[[#This Row],[Engagement_with_Ads]]</f>
        <v>Medium</v>
      </c>
      <c r="BB847" t="str">
        <f>tbl_OriginalData[[#This Row],[Device_Used_for_Shopping]]</f>
        <v>Smartphone</v>
      </c>
      <c r="BC847" t="str">
        <f>tbl_OriginalData[[#This Row],[Payment_Method]]</f>
        <v>Cash</v>
      </c>
      <c r="BD847" s="1">
        <f>tbl_OriginalData[[#This Row],[Time_of_Purchase]]</f>
        <v>45476</v>
      </c>
      <c r="BE847" t="str">
        <f>IF(tbl_OriginalData[[#This Row],[Discount_Used]]=TRUE,"Yes","No")</f>
        <v>Yes</v>
      </c>
      <c r="BF847" t="str">
        <f>IF(tbl_OriginalData[[#This Row],[Customer_Loyalty_Program_Member]]=TRUE,"Yes","No")</f>
        <v>No</v>
      </c>
      <c r="BG847" t="str">
        <f>tbl_OriginalData[[#This Row],[Purchase_Intent]]</f>
        <v>Wants-based</v>
      </c>
      <c r="BH847" t="str">
        <f>tbl_OriginalData[[#This Row],[Shipping_Preference]]</f>
        <v>Express</v>
      </c>
      <c r="BI847">
        <f>tbl_OriginalData[[#This Row],[Time_to_Decision]]</f>
        <v>13</v>
      </c>
      <c r="BJ847" t="s">
        <v>114</v>
      </c>
      <c r="BK847" t="s">
        <v>115</v>
      </c>
      <c r="BL847" t="s">
        <v>2524</v>
      </c>
    </row>
    <row r="848" spans="1:64">
      <c r="A848" t="s">
        <v>1933</v>
      </c>
      <c r="B848">
        <v>45</v>
      </c>
      <c r="C848" t="s">
        <v>33</v>
      </c>
      <c r="D848" t="s">
        <v>34</v>
      </c>
      <c r="E848" t="s">
        <v>35</v>
      </c>
      <c r="F848" t="s">
        <v>66</v>
      </c>
      <c r="G848" t="s">
        <v>34</v>
      </c>
      <c r="H848" t="s">
        <v>1847</v>
      </c>
      <c r="I848" t="s">
        <v>131</v>
      </c>
      <c r="J848">
        <v>492.83</v>
      </c>
      <c r="K848">
        <v>5</v>
      </c>
      <c r="L848" t="s">
        <v>94</v>
      </c>
      <c r="M848">
        <v>2</v>
      </c>
      <c r="N848">
        <v>1</v>
      </c>
      <c r="O848">
        <v>0</v>
      </c>
      <c r="P848" t="s">
        <v>51</v>
      </c>
      <c r="Q848" t="s">
        <v>101</v>
      </c>
      <c r="R848">
        <v>0</v>
      </c>
      <c r="S848">
        <v>4</v>
      </c>
      <c r="T848" t="s">
        <v>51</v>
      </c>
      <c r="U848" t="s">
        <v>42</v>
      </c>
      <c r="V848" t="s">
        <v>71</v>
      </c>
      <c r="W848" s="1">
        <v>45353</v>
      </c>
      <c r="X848" t="b">
        <v>1</v>
      </c>
      <c r="Y848" t="b">
        <v>0</v>
      </c>
      <c r="Z848" t="s">
        <v>44</v>
      </c>
      <c r="AA848" t="s">
        <v>45</v>
      </c>
      <c r="AB848">
        <v>2</v>
      </c>
      <c r="AF848" t="str">
        <f>tbl_OriginalData[[#This Row],[Customer_ID]]</f>
        <v>92-142-4328</v>
      </c>
      <c r="AG848">
        <f>tbl_OriginalData[[#This Row],[Age]]</f>
        <v>45</v>
      </c>
      <c r="AH848" t="str" cm="1">
        <f t="array" ref="AH84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48" t="str">
        <f>tbl_OriginalData[[#This Row],[Gender]]</f>
        <v>Female</v>
      </c>
      <c r="AJ848" t="str">
        <f>tbl_OriginalData[[#This Row],[Income_Level]]</f>
        <v>Middle</v>
      </c>
      <c r="AK848" t="str">
        <f>tbl_OriginalData[[#This Row],[Marital_Status]]</f>
        <v>Married</v>
      </c>
      <c r="AL848" t="str">
        <f>tbl_OriginalData[[#This Row],[Education_Level]]</f>
        <v>Master's</v>
      </c>
      <c r="AM848" t="str">
        <f>tbl_OriginalData[[#This Row],[Occupation]]</f>
        <v>Middle</v>
      </c>
      <c r="AN848" t="s">
        <v>1847</v>
      </c>
      <c r="AO848" t="s">
        <v>1713</v>
      </c>
      <c r="AP848" t="str">
        <f>tbl_OriginalData[[#This Row],[Purchase_Category]]</f>
        <v>Health Care</v>
      </c>
      <c r="AQ848" s="4">
        <f>tbl_OriginalData[[#This Row],[Purchase_Amount]]</f>
        <v>492.83</v>
      </c>
      <c r="AR848">
        <f>tbl_OriginalData[[#This Row],[Frequency_of_Purchase]]</f>
        <v>5</v>
      </c>
      <c r="AS848" t="str">
        <f>tbl_OriginalData[[#This Row],[Purchase_Channel]]</f>
        <v>Online</v>
      </c>
      <c r="AT848">
        <f>tbl_OriginalData[[#This Row],[Brand_Loyalty]]</f>
        <v>2</v>
      </c>
      <c r="AU848">
        <f>tbl_OriginalData[[#This Row],[Product_Rating]]</f>
        <v>1</v>
      </c>
      <c r="AV848">
        <f>tbl_OriginalData[[#This Row],[Time_Spent_on_Product_Research(hours)]]*60</f>
        <v>0</v>
      </c>
      <c r="AW848" t="str">
        <f>tbl_OriginalData[[#This Row],[Social_Media_Influence]]</f>
        <v>High</v>
      </c>
      <c r="AX848" t="str">
        <f>tbl_OriginalData[[#This Row],[Discount_Sensitivity]]</f>
        <v>Very Sensitive</v>
      </c>
      <c r="AY848" s="3">
        <f>tbl_OriginalData[[#This Row],[Return_Rate]]/tbl_OriginalData[[#This Row],[Frequency_of_Purchase]]</f>
        <v>0</v>
      </c>
      <c r="AZ848">
        <f>tbl_OriginalData[[#This Row],[Customer_Satisfaction]]</f>
        <v>4</v>
      </c>
      <c r="BA848" t="str">
        <f>tbl_OriginalData[[#This Row],[Engagement_with_Ads]]</f>
        <v>High</v>
      </c>
      <c r="BB848" t="str">
        <f>tbl_OriginalData[[#This Row],[Device_Used_for_Shopping]]</f>
        <v>Tablet</v>
      </c>
      <c r="BC848" t="str">
        <f>tbl_OriginalData[[#This Row],[Payment_Method]]</f>
        <v>Debit Card</v>
      </c>
      <c r="BD848" s="1">
        <f>tbl_OriginalData[[#This Row],[Time_of_Purchase]]</f>
        <v>45353</v>
      </c>
      <c r="BE848" t="str">
        <f>IF(tbl_OriginalData[[#This Row],[Discount_Used]]=TRUE,"Yes","No")</f>
        <v>Yes</v>
      </c>
      <c r="BF848" t="str">
        <f>IF(tbl_OriginalData[[#This Row],[Customer_Loyalty_Program_Member]]=TRUE,"Yes","No")</f>
        <v>No</v>
      </c>
      <c r="BG848" t="str">
        <f>tbl_OriginalData[[#This Row],[Purchase_Intent]]</f>
        <v>Need-based</v>
      </c>
      <c r="BH848" t="str">
        <f>tbl_OriginalData[[#This Row],[Shipping_Preference]]</f>
        <v>No Preference</v>
      </c>
      <c r="BI848">
        <f>tbl_OriginalData[[#This Row],[Time_to_Decision]]</f>
        <v>2</v>
      </c>
      <c r="BJ848" t="s">
        <v>47</v>
      </c>
      <c r="BK848" t="s">
        <v>48</v>
      </c>
      <c r="BL848" t="s">
        <v>2527</v>
      </c>
    </row>
    <row r="849" spans="1:64">
      <c r="A849" t="s">
        <v>1934</v>
      </c>
      <c r="B849">
        <v>39</v>
      </c>
      <c r="C849" t="s">
        <v>33</v>
      </c>
      <c r="D849" t="s">
        <v>34</v>
      </c>
      <c r="E849" t="s">
        <v>92</v>
      </c>
      <c r="F849" t="s">
        <v>52</v>
      </c>
      <c r="G849" t="s">
        <v>34</v>
      </c>
      <c r="H849" t="s">
        <v>1935</v>
      </c>
      <c r="I849" t="s">
        <v>199</v>
      </c>
      <c r="J849">
        <v>295.54000000000002</v>
      </c>
      <c r="K849">
        <v>8</v>
      </c>
      <c r="L849" t="s">
        <v>94</v>
      </c>
      <c r="M849">
        <v>3</v>
      </c>
      <c r="N849">
        <v>3</v>
      </c>
      <c r="O849">
        <v>1</v>
      </c>
      <c r="P849" t="s">
        <v>40</v>
      </c>
      <c r="Q849" t="s">
        <v>101</v>
      </c>
      <c r="R849">
        <v>2</v>
      </c>
      <c r="S849">
        <v>4</v>
      </c>
      <c r="T849" t="s">
        <v>69</v>
      </c>
      <c r="U849" t="s">
        <v>42</v>
      </c>
      <c r="V849" t="s">
        <v>102</v>
      </c>
      <c r="W849" s="1">
        <v>45500</v>
      </c>
      <c r="X849" t="b">
        <v>0</v>
      </c>
      <c r="Y849" t="b">
        <v>0</v>
      </c>
      <c r="Z849" t="s">
        <v>89</v>
      </c>
      <c r="AA849" t="s">
        <v>77</v>
      </c>
      <c r="AB849">
        <v>14</v>
      </c>
      <c r="AF849" t="str">
        <f>tbl_OriginalData[[#This Row],[Customer_ID]]</f>
        <v>06-357-6548</v>
      </c>
      <c r="AG849">
        <f>tbl_OriginalData[[#This Row],[Age]]</f>
        <v>39</v>
      </c>
      <c r="AH849" t="str" cm="1">
        <f t="array" ref="AH84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49" t="str">
        <f>tbl_OriginalData[[#This Row],[Gender]]</f>
        <v>Female</v>
      </c>
      <c r="AJ849" t="str">
        <f>tbl_OriginalData[[#This Row],[Income_Level]]</f>
        <v>Middle</v>
      </c>
      <c r="AK849" t="str">
        <f>tbl_OriginalData[[#This Row],[Marital_Status]]</f>
        <v>Divorced</v>
      </c>
      <c r="AL849" t="str">
        <f>tbl_OriginalData[[#This Row],[Education_Level]]</f>
        <v>High School</v>
      </c>
      <c r="AM849" t="str">
        <f>tbl_OriginalData[[#This Row],[Occupation]]</f>
        <v>Middle</v>
      </c>
      <c r="AN849" t="s">
        <v>1935</v>
      </c>
      <c r="AO849" t="s">
        <v>85</v>
      </c>
      <c r="AP849" t="str">
        <f>tbl_OriginalData[[#This Row],[Purchase_Category]]</f>
        <v>Groceries</v>
      </c>
      <c r="AQ849" s="4">
        <f>tbl_OriginalData[[#This Row],[Purchase_Amount]]</f>
        <v>295.54000000000002</v>
      </c>
      <c r="AR849">
        <f>tbl_OriginalData[[#This Row],[Frequency_of_Purchase]]</f>
        <v>8</v>
      </c>
      <c r="AS849" t="str">
        <f>tbl_OriginalData[[#This Row],[Purchase_Channel]]</f>
        <v>Online</v>
      </c>
      <c r="AT849">
        <f>tbl_OriginalData[[#This Row],[Brand_Loyalty]]</f>
        <v>3</v>
      </c>
      <c r="AU849">
        <f>tbl_OriginalData[[#This Row],[Product_Rating]]</f>
        <v>3</v>
      </c>
      <c r="AV849">
        <f>tbl_OriginalData[[#This Row],[Time_Spent_on_Product_Research(hours)]]*60</f>
        <v>60</v>
      </c>
      <c r="AW849" t="str">
        <f>tbl_OriginalData[[#This Row],[Social_Media_Influence]]</f>
        <v>None</v>
      </c>
      <c r="AX849" t="str">
        <f>tbl_OriginalData[[#This Row],[Discount_Sensitivity]]</f>
        <v>Very Sensitive</v>
      </c>
      <c r="AY849" s="3">
        <f>tbl_OriginalData[[#This Row],[Return_Rate]]/tbl_OriginalData[[#This Row],[Frequency_of_Purchase]]</f>
        <v>0.25</v>
      </c>
      <c r="AZ849">
        <f>tbl_OriginalData[[#This Row],[Customer_Satisfaction]]</f>
        <v>4</v>
      </c>
      <c r="BA849" t="str">
        <f>tbl_OriginalData[[#This Row],[Engagement_with_Ads]]</f>
        <v>Low</v>
      </c>
      <c r="BB849" t="str">
        <f>tbl_OriginalData[[#This Row],[Device_Used_for_Shopping]]</f>
        <v>Tablet</v>
      </c>
      <c r="BC849" t="str">
        <f>tbl_OriginalData[[#This Row],[Payment_Method]]</f>
        <v>Cash</v>
      </c>
      <c r="BD849" s="1">
        <f>tbl_OriginalData[[#This Row],[Time_of_Purchase]]</f>
        <v>45500</v>
      </c>
      <c r="BE849" t="str">
        <f>IF(tbl_OriginalData[[#This Row],[Discount_Used]]=TRUE,"Yes","No")</f>
        <v>No</v>
      </c>
      <c r="BF849" t="str">
        <f>IF(tbl_OriginalData[[#This Row],[Customer_Loyalty_Program_Member]]=TRUE,"Yes","No")</f>
        <v>No</v>
      </c>
      <c r="BG849" t="str">
        <f>tbl_OriginalData[[#This Row],[Purchase_Intent]]</f>
        <v>Planned</v>
      </c>
      <c r="BH849" t="str">
        <f>tbl_OriginalData[[#This Row],[Shipping_Preference]]</f>
        <v>Express</v>
      </c>
      <c r="BI849">
        <f>tbl_OriginalData[[#This Row],[Time_to_Decision]]</f>
        <v>14</v>
      </c>
      <c r="BJ849" t="s">
        <v>114</v>
      </c>
      <c r="BK849" t="s">
        <v>115</v>
      </c>
      <c r="BL849" t="s">
        <v>2524</v>
      </c>
    </row>
    <row r="850" spans="1:64">
      <c r="A850" t="s">
        <v>1936</v>
      </c>
      <c r="B850">
        <v>40</v>
      </c>
      <c r="C850" t="s">
        <v>50</v>
      </c>
      <c r="D850" t="s">
        <v>51</v>
      </c>
      <c r="E850" t="s">
        <v>82</v>
      </c>
      <c r="F850" t="s">
        <v>52</v>
      </c>
      <c r="G850" t="s">
        <v>51</v>
      </c>
      <c r="H850" t="s">
        <v>1937</v>
      </c>
      <c r="I850" t="s">
        <v>84</v>
      </c>
      <c r="J850">
        <v>494.81</v>
      </c>
      <c r="K850">
        <v>9</v>
      </c>
      <c r="L850" t="s">
        <v>39</v>
      </c>
      <c r="M850">
        <v>2</v>
      </c>
      <c r="N850">
        <v>4</v>
      </c>
      <c r="O850">
        <v>1</v>
      </c>
      <c r="P850" t="s">
        <v>56</v>
      </c>
      <c r="Q850" t="s">
        <v>101</v>
      </c>
      <c r="R850">
        <v>1</v>
      </c>
      <c r="S850">
        <v>7</v>
      </c>
      <c r="T850" t="s">
        <v>56</v>
      </c>
      <c r="U850" t="s">
        <v>42</v>
      </c>
      <c r="V850" t="s">
        <v>58</v>
      </c>
      <c r="W850" s="1">
        <v>45438</v>
      </c>
      <c r="X850" t="b">
        <v>1</v>
      </c>
      <c r="Y850" t="b">
        <v>1</v>
      </c>
      <c r="Z850" t="s">
        <v>44</v>
      </c>
      <c r="AA850" t="s">
        <v>60</v>
      </c>
      <c r="AB850">
        <v>6</v>
      </c>
      <c r="AF850" t="str">
        <f>tbl_OriginalData[[#This Row],[Customer_ID]]</f>
        <v>59-261-4453</v>
      </c>
      <c r="AG850">
        <f>tbl_OriginalData[[#This Row],[Age]]</f>
        <v>40</v>
      </c>
      <c r="AH850" t="str" cm="1">
        <f t="array" ref="AH85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50" t="str">
        <f>tbl_OriginalData[[#This Row],[Gender]]</f>
        <v>Male</v>
      </c>
      <c r="AJ850" t="str">
        <f>tbl_OriginalData[[#This Row],[Income_Level]]</f>
        <v>High</v>
      </c>
      <c r="AK850" t="str">
        <f>tbl_OriginalData[[#This Row],[Marital_Status]]</f>
        <v>Widowed</v>
      </c>
      <c r="AL850" t="str">
        <f>tbl_OriginalData[[#This Row],[Education_Level]]</f>
        <v>High School</v>
      </c>
      <c r="AM850" t="str">
        <f>tbl_OriginalData[[#This Row],[Occupation]]</f>
        <v>High</v>
      </c>
      <c r="AN850" t="s">
        <v>1937</v>
      </c>
      <c r="AO850" t="s">
        <v>269</v>
      </c>
      <c r="AP850" t="str">
        <f>tbl_OriginalData[[#This Row],[Purchase_Category]]</f>
        <v>Furniture</v>
      </c>
      <c r="AQ850" s="4">
        <f>tbl_OriginalData[[#This Row],[Purchase_Amount]]</f>
        <v>494.81</v>
      </c>
      <c r="AR850">
        <f>tbl_OriginalData[[#This Row],[Frequency_of_Purchase]]</f>
        <v>9</v>
      </c>
      <c r="AS850" t="str">
        <f>tbl_OriginalData[[#This Row],[Purchase_Channel]]</f>
        <v>Mixed</v>
      </c>
      <c r="AT850">
        <f>tbl_OriginalData[[#This Row],[Brand_Loyalty]]</f>
        <v>2</v>
      </c>
      <c r="AU850">
        <f>tbl_OriginalData[[#This Row],[Product_Rating]]</f>
        <v>4</v>
      </c>
      <c r="AV850">
        <f>tbl_OriginalData[[#This Row],[Time_Spent_on_Product_Research(hours)]]*60</f>
        <v>60</v>
      </c>
      <c r="AW850" t="str">
        <f>tbl_OriginalData[[#This Row],[Social_Media_Influence]]</f>
        <v>Medium</v>
      </c>
      <c r="AX850" t="str">
        <f>tbl_OriginalData[[#This Row],[Discount_Sensitivity]]</f>
        <v>Very Sensitive</v>
      </c>
      <c r="AY850" s="3">
        <f>tbl_OriginalData[[#This Row],[Return_Rate]]/tbl_OriginalData[[#This Row],[Frequency_of_Purchase]]</f>
        <v>0.1111111111111111</v>
      </c>
      <c r="AZ850">
        <f>tbl_OriginalData[[#This Row],[Customer_Satisfaction]]</f>
        <v>7</v>
      </c>
      <c r="BA850" t="str">
        <f>tbl_OriginalData[[#This Row],[Engagement_with_Ads]]</f>
        <v>Medium</v>
      </c>
      <c r="BB850" t="str">
        <f>tbl_OriginalData[[#This Row],[Device_Used_for_Shopping]]</f>
        <v>Tablet</v>
      </c>
      <c r="BC850" t="str">
        <f>tbl_OriginalData[[#This Row],[Payment_Method]]</f>
        <v>PayPal</v>
      </c>
      <c r="BD850" s="1">
        <f>tbl_OriginalData[[#This Row],[Time_of_Purchase]]</f>
        <v>45438</v>
      </c>
      <c r="BE850" t="str">
        <f>IF(tbl_OriginalData[[#This Row],[Discount_Used]]=TRUE,"Yes","No")</f>
        <v>Yes</v>
      </c>
      <c r="BF850" t="str">
        <f>IF(tbl_OriginalData[[#This Row],[Customer_Loyalty_Program_Member]]=TRUE,"Yes","No")</f>
        <v>Yes</v>
      </c>
      <c r="BG850" t="str">
        <f>tbl_OriginalData[[#This Row],[Purchase_Intent]]</f>
        <v>Need-based</v>
      </c>
      <c r="BH850" t="str">
        <f>tbl_OriginalData[[#This Row],[Shipping_Preference]]</f>
        <v>Standard</v>
      </c>
      <c r="BI850">
        <f>tbl_OriginalData[[#This Row],[Time_to_Decision]]</f>
        <v>6</v>
      </c>
      <c r="BJ850" t="s">
        <v>167</v>
      </c>
      <c r="BK850" t="s">
        <v>63</v>
      </c>
      <c r="BL850" t="s">
        <v>2528</v>
      </c>
    </row>
    <row r="851" spans="1:64">
      <c r="A851" t="s">
        <v>1938</v>
      </c>
      <c r="B851">
        <v>21</v>
      </c>
      <c r="C851" t="s">
        <v>33</v>
      </c>
      <c r="D851" t="s">
        <v>51</v>
      </c>
      <c r="E851" t="s">
        <v>65</v>
      </c>
      <c r="F851" t="s">
        <v>66</v>
      </c>
      <c r="G851" t="s">
        <v>34</v>
      </c>
      <c r="H851" t="s">
        <v>1939</v>
      </c>
      <c r="I851" t="s">
        <v>112</v>
      </c>
      <c r="J851">
        <v>160.25</v>
      </c>
      <c r="K851">
        <v>7</v>
      </c>
      <c r="L851" t="s">
        <v>94</v>
      </c>
      <c r="M851">
        <v>2</v>
      </c>
      <c r="N851">
        <v>3</v>
      </c>
      <c r="O851">
        <v>2</v>
      </c>
      <c r="P851" t="s">
        <v>40</v>
      </c>
      <c r="Q851" t="s">
        <v>101</v>
      </c>
      <c r="R851">
        <v>2</v>
      </c>
      <c r="S851">
        <v>5</v>
      </c>
      <c r="T851" t="s">
        <v>51</v>
      </c>
      <c r="U851" t="s">
        <v>95</v>
      </c>
      <c r="V851" t="s">
        <v>58</v>
      </c>
      <c r="W851" s="1">
        <v>45355</v>
      </c>
      <c r="X851" t="b">
        <v>1</v>
      </c>
      <c r="Y851" t="b">
        <v>1</v>
      </c>
      <c r="Z851" t="s">
        <v>44</v>
      </c>
      <c r="AA851" t="s">
        <v>45</v>
      </c>
      <c r="AB851">
        <v>12</v>
      </c>
      <c r="AF851" t="str">
        <f>tbl_OriginalData[[#This Row],[Customer_ID]]</f>
        <v>35-644-3184</v>
      </c>
      <c r="AG851">
        <f>tbl_OriginalData[[#This Row],[Age]]</f>
        <v>21</v>
      </c>
      <c r="AH851" t="str" cm="1">
        <f t="array" ref="AH85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51" t="str">
        <f>tbl_OriginalData[[#This Row],[Gender]]</f>
        <v>Female</v>
      </c>
      <c r="AJ851" t="str">
        <f>tbl_OriginalData[[#This Row],[Income_Level]]</f>
        <v>High</v>
      </c>
      <c r="AK851" t="str">
        <f>tbl_OriginalData[[#This Row],[Marital_Status]]</f>
        <v>Single</v>
      </c>
      <c r="AL851" t="str">
        <f>tbl_OriginalData[[#This Row],[Education_Level]]</f>
        <v>Master's</v>
      </c>
      <c r="AM851" t="str">
        <f>tbl_OriginalData[[#This Row],[Occupation]]</f>
        <v>Middle</v>
      </c>
      <c r="AN851" t="s">
        <v>1939</v>
      </c>
      <c r="AO851" t="s">
        <v>408</v>
      </c>
      <c r="AP851" t="str">
        <f>tbl_OriginalData[[#This Row],[Purchase_Category]]</f>
        <v>Mobile Accessories</v>
      </c>
      <c r="AQ851" s="4">
        <f>tbl_OriginalData[[#This Row],[Purchase_Amount]]</f>
        <v>160.25</v>
      </c>
      <c r="AR851">
        <f>tbl_OriginalData[[#This Row],[Frequency_of_Purchase]]</f>
        <v>7</v>
      </c>
      <c r="AS851" t="str">
        <f>tbl_OriginalData[[#This Row],[Purchase_Channel]]</f>
        <v>Online</v>
      </c>
      <c r="AT851">
        <f>tbl_OriginalData[[#This Row],[Brand_Loyalty]]</f>
        <v>2</v>
      </c>
      <c r="AU851">
        <f>tbl_OriginalData[[#This Row],[Product_Rating]]</f>
        <v>3</v>
      </c>
      <c r="AV851">
        <f>tbl_OriginalData[[#This Row],[Time_Spent_on_Product_Research(hours)]]*60</f>
        <v>120</v>
      </c>
      <c r="AW851" t="str">
        <f>tbl_OriginalData[[#This Row],[Social_Media_Influence]]</f>
        <v>None</v>
      </c>
      <c r="AX851" t="str">
        <f>tbl_OriginalData[[#This Row],[Discount_Sensitivity]]</f>
        <v>Very Sensitive</v>
      </c>
      <c r="AY851" s="3">
        <f>tbl_OriginalData[[#This Row],[Return_Rate]]/tbl_OriginalData[[#This Row],[Frequency_of_Purchase]]</f>
        <v>0.2857142857142857</v>
      </c>
      <c r="AZ851">
        <f>tbl_OriginalData[[#This Row],[Customer_Satisfaction]]</f>
        <v>5</v>
      </c>
      <c r="BA851" t="str">
        <f>tbl_OriginalData[[#This Row],[Engagement_with_Ads]]</f>
        <v>High</v>
      </c>
      <c r="BB851" t="str">
        <f>tbl_OriginalData[[#This Row],[Device_Used_for_Shopping]]</f>
        <v>Desktop</v>
      </c>
      <c r="BC851" t="str">
        <f>tbl_OriginalData[[#This Row],[Payment_Method]]</f>
        <v>PayPal</v>
      </c>
      <c r="BD851" s="1">
        <f>tbl_OriginalData[[#This Row],[Time_of_Purchase]]</f>
        <v>45355</v>
      </c>
      <c r="BE851" t="str">
        <f>IF(tbl_OriginalData[[#This Row],[Discount_Used]]=TRUE,"Yes","No")</f>
        <v>Yes</v>
      </c>
      <c r="BF851" t="str">
        <f>IF(tbl_OriginalData[[#This Row],[Customer_Loyalty_Program_Member]]=TRUE,"Yes","No")</f>
        <v>Yes</v>
      </c>
      <c r="BG851" t="str">
        <f>tbl_OriginalData[[#This Row],[Purchase_Intent]]</f>
        <v>Need-based</v>
      </c>
      <c r="BH851" t="str">
        <f>tbl_OriginalData[[#This Row],[Shipping_Preference]]</f>
        <v>No Preference</v>
      </c>
      <c r="BI851">
        <f>tbl_OriginalData[[#This Row],[Time_to_Decision]]</f>
        <v>12</v>
      </c>
      <c r="BJ851" t="s">
        <v>47</v>
      </c>
      <c r="BK851" t="s">
        <v>48</v>
      </c>
      <c r="BL851" t="s">
        <v>2523</v>
      </c>
    </row>
    <row r="852" spans="1:64">
      <c r="A852" t="s">
        <v>1940</v>
      </c>
      <c r="B852">
        <v>42</v>
      </c>
      <c r="C852" t="s">
        <v>33</v>
      </c>
      <c r="D852" t="s">
        <v>34</v>
      </c>
      <c r="E852" t="s">
        <v>35</v>
      </c>
      <c r="F852" t="s">
        <v>66</v>
      </c>
      <c r="G852" t="s">
        <v>51</v>
      </c>
      <c r="H852" t="s">
        <v>1941</v>
      </c>
      <c r="I852" t="s">
        <v>38</v>
      </c>
      <c r="J852">
        <v>198.36</v>
      </c>
      <c r="K852">
        <v>4</v>
      </c>
      <c r="L852" t="s">
        <v>94</v>
      </c>
      <c r="M852">
        <v>1</v>
      </c>
      <c r="N852">
        <v>1</v>
      </c>
      <c r="O852">
        <v>2</v>
      </c>
      <c r="P852" t="s">
        <v>40</v>
      </c>
      <c r="Q852" t="s">
        <v>41</v>
      </c>
      <c r="R852">
        <v>1</v>
      </c>
      <c r="S852">
        <v>9</v>
      </c>
      <c r="T852" t="s">
        <v>40</v>
      </c>
      <c r="U852" t="s">
        <v>95</v>
      </c>
      <c r="V852" t="s">
        <v>102</v>
      </c>
      <c r="W852" s="1">
        <v>45639</v>
      </c>
      <c r="X852" t="b">
        <v>0</v>
      </c>
      <c r="Y852" t="b">
        <v>1</v>
      </c>
      <c r="Z852" t="s">
        <v>59</v>
      </c>
      <c r="AA852" t="s">
        <v>60</v>
      </c>
      <c r="AB852">
        <v>4</v>
      </c>
      <c r="AF852" t="str">
        <f>tbl_OriginalData[[#This Row],[Customer_ID]]</f>
        <v>30-528-9105</v>
      </c>
      <c r="AG852">
        <f>tbl_OriginalData[[#This Row],[Age]]</f>
        <v>42</v>
      </c>
      <c r="AH852" t="str" cm="1">
        <f t="array" ref="AH85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52" t="str">
        <f>tbl_OriginalData[[#This Row],[Gender]]</f>
        <v>Female</v>
      </c>
      <c r="AJ852" t="str">
        <f>tbl_OriginalData[[#This Row],[Income_Level]]</f>
        <v>Middle</v>
      </c>
      <c r="AK852" t="str">
        <f>tbl_OriginalData[[#This Row],[Marital_Status]]</f>
        <v>Married</v>
      </c>
      <c r="AL852" t="str">
        <f>tbl_OriginalData[[#This Row],[Education_Level]]</f>
        <v>Master's</v>
      </c>
      <c r="AM852" t="str">
        <f>tbl_OriginalData[[#This Row],[Occupation]]</f>
        <v>High</v>
      </c>
      <c r="AN852" t="s">
        <v>1941</v>
      </c>
      <c r="AO852" t="s">
        <v>109</v>
      </c>
      <c r="AP852" t="str">
        <f>tbl_OriginalData[[#This Row],[Purchase_Category]]</f>
        <v>Gardening &amp; Outdoors</v>
      </c>
      <c r="AQ852" s="4">
        <f>tbl_OriginalData[[#This Row],[Purchase_Amount]]</f>
        <v>198.36</v>
      </c>
      <c r="AR852">
        <f>tbl_OriginalData[[#This Row],[Frequency_of_Purchase]]</f>
        <v>4</v>
      </c>
      <c r="AS852" t="str">
        <f>tbl_OriginalData[[#This Row],[Purchase_Channel]]</f>
        <v>Online</v>
      </c>
      <c r="AT852">
        <f>tbl_OriginalData[[#This Row],[Brand_Loyalty]]</f>
        <v>1</v>
      </c>
      <c r="AU852">
        <f>tbl_OriginalData[[#This Row],[Product_Rating]]</f>
        <v>1</v>
      </c>
      <c r="AV852">
        <f>tbl_OriginalData[[#This Row],[Time_Spent_on_Product_Research(hours)]]*60</f>
        <v>120</v>
      </c>
      <c r="AW852" t="str">
        <f>tbl_OriginalData[[#This Row],[Social_Media_Influence]]</f>
        <v>None</v>
      </c>
      <c r="AX852" t="str">
        <f>tbl_OriginalData[[#This Row],[Discount_Sensitivity]]</f>
        <v>Somewhat Sensitive</v>
      </c>
      <c r="AY852" s="3">
        <f>tbl_OriginalData[[#This Row],[Return_Rate]]/tbl_OriginalData[[#This Row],[Frequency_of_Purchase]]</f>
        <v>0.25</v>
      </c>
      <c r="AZ852">
        <f>tbl_OriginalData[[#This Row],[Customer_Satisfaction]]</f>
        <v>9</v>
      </c>
      <c r="BA852" t="str">
        <f>tbl_OriginalData[[#This Row],[Engagement_with_Ads]]</f>
        <v>None</v>
      </c>
      <c r="BB852" t="str">
        <f>tbl_OriginalData[[#This Row],[Device_Used_for_Shopping]]</f>
        <v>Desktop</v>
      </c>
      <c r="BC852" t="str">
        <f>tbl_OriginalData[[#This Row],[Payment_Method]]</f>
        <v>Cash</v>
      </c>
      <c r="BD852" s="1">
        <f>tbl_OriginalData[[#This Row],[Time_of_Purchase]]</f>
        <v>45639</v>
      </c>
      <c r="BE852" t="str">
        <f>IF(tbl_OriginalData[[#This Row],[Discount_Used]]=TRUE,"Yes","No")</f>
        <v>No</v>
      </c>
      <c r="BF852" t="str">
        <f>IF(tbl_OriginalData[[#This Row],[Customer_Loyalty_Program_Member]]=TRUE,"Yes","No")</f>
        <v>Yes</v>
      </c>
      <c r="BG852" t="str">
        <f>tbl_OriginalData[[#This Row],[Purchase_Intent]]</f>
        <v>Wants-based</v>
      </c>
      <c r="BH852" t="str">
        <f>tbl_OriginalData[[#This Row],[Shipping_Preference]]</f>
        <v>Standard</v>
      </c>
      <c r="BI852">
        <f>tbl_OriginalData[[#This Row],[Time_to_Decision]]</f>
        <v>4</v>
      </c>
      <c r="BJ852" t="s">
        <v>120</v>
      </c>
      <c r="BK852" t="s">
        <v>80</v>
      </c>
      <c r="BL852" t="s">
        <v>2526</v>
      </c>
    </row>
    <row r="853" spans="1:64">
      <c r="A853" t="s">
        <v>1942</v>
      </c>
      <c r="B853">
        <v>44</v>
      </c>
      <c r="C853" t="s">
        <v>33</v>
      </c>
      <c r="D853" t="s">
        <v>34</v>
      </c>
      <c r="E853" t="s">
        <v>92</v>
      </c>
      <c r="F853" t="s">
        <v>36</v>
      </c>
      <c r="G853" t="s">
        <v>51</v>
      </c>
      <c r="H853" t="s">
        <v>1943</v>
      </c>
      <c r="I853" t="s">
        <v>84</v>
      </c>
      <c r="J853">
        <v>82.39</v>
      </c>
      <c r="K853">
        <v>12</v>
      </c>
      <c r="L853" t="s">
        <v>55</v>
      </c>
      <c r="M853">
        <v>5</v>
      </c>
      <c r="N853">
        <v>1</v>
      </c>
      <c r="O853">
        <v>1</v>
      </c>
      <c r="P853" t="s">
        <v>40</v>
      </c>
      <c r="Q853" t="s">
        <v>41</v>
      </c>
      <c r="R853">
        <v>0</v>
      </c>
      <c r="S853">
        <v>8</v>
      </c>
      <c r="T853" t="s">
        <v>40</v>
      </c>
      <c r="U853" t="s">
        <v>70</v>
      </c>
      <c r="V853" t="s">
        <v>76</v>
      </c>
      <c r="W853" s="1">
        <v>45346</v>
      </c>
      <c r="X853" t="b">
        <v>0</v>
      </c>
      <c r="Y853" t="b">
        <v>0</v>
      </c>
      <c r="Z853" t="s">
        <v>89</v>
      </c>
      <c r="AA853" t="s">
        <v>77</v>
      </c>
      <c r="AB853">
        <v>1</v>
      </c>
      <c r="AF853" t="str">
        <f>tbl_OriginalData[[#This Row],[Customer_ID]]</f>
        <v>14-709-8547</v>
      </c>
      <c r="AG853">
        <f>tbl_OriginalData[[#This Row],[Age]]</f>
        <v>44</v>
      </c>
      <c r="AH853" t="str" cm="1">
        <f t="array" ref="AH85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53" t="str">
        <f>tbl_OriginalData[[#This Row],[Gender]]</f>
        <v>Female</v>
      </c>
      <c r="AJ853" t="str">
        <f>tbl_OriginalData[[#This Row],[Income_Level]]</f>
        <v>Middle</v>
      </c>
      <c r="AK853" t="str">
        <f>tbl_OriginalData[[#This Row],[Marital_Status]]</f>
        <v>Divorced</v>
      </c>
      <c r="AL853" t="str">
        <f>tbl_OriginalData[[#This Row],[Education_Level]]</f>
        <v>Bachelor's</v>
      </c>
      <c r="AM853" t="str">
        <f>tbl_OriginalData[[#This Row],[Occupation]]</f>
        <v>High</v>
      </c>
      <c r="AN853" t="s">
        <v>1943</v>
      </c>
      <c r="AO853" t="s">
        <v>502</v>
      </c>
      <c r="AP853" t="str">
        <f>tbl_OriginalData[[#This Row],[Purchase_Category]]</f>
        <v>Furniture</v>
      </c>
      <c r="AQ853" s="4">
        <f>tbl_OriginalData[[#This Row],[Purchase_Amount]]</f>
        <v>82.39</v>
      </c>
      <c r="AR853">
        <f>tbl_OriginalData[[#This Row],[Frequency_of_Purchase]]</f>
        <v>12</v>
      </c>
      <c r="AS853" t="str">
        <f>tbl_OriginalData[[#This Row],[Purchase_Channel]]</f>
        <v>In-Store</v>
      </c>
      <c r="AT853">
        <f>tbl_OriginalData[[#This Row],[Brand_Loyalty]]</f>
        <v>5</v>
      </c>
      <c r="AU853">
        <f>tbl_OriginalData[[#This Row],[Product_Rating]]</f>
        <v>1</v>
      </c>
      <c r="AV853">
        <f>tbl_OriginalData[[#This Row],[Time_Spent_on_Product_Research(hours)]]*60</f>
        <v>60</v>
      </c>
      <c r="AW853" t="str">
        <f>tbl_OriginalData[[#This Row],[Social_Media_Influence]]</f>
        <v>None</v>
      </c>
      <c r="AX853" t="str">
        <f>tbl_OriginalData[[#This Row],[Discount_Sensitivity]]</f>
        <v>Somewhat Sensitive</v>
      </c>
      <c r="AY853" s="3">
        <f>tbl_OriginalData[[#This Row],[Return_Rate]]/tbl_OriginalData[[#This Row],[Frequency_of_Purchase]]</f>
        <v>0</v>
      </c>
      <c r="AZ853">
        <f>tbl_OriginalData[[#This Row],[Customer_Satisfaction]]</f>
        <v>8</v>
      </c>
      <c r="BA853" t="str">
        <f>tbl_OriginalData[[#This Row],[Engagement_with_Ads]]</f>
        <v>None</v>
      </c>
      <c r="BB853" t="str">
        <f>tbl_OriginalData[[#This Row],[Device_Used_for_Shopping]]</f>
        <v>Smartphone</v>
      </c>
      <c r="BC853" t="str">
        <f>tbl_OriginalData[[#This Row],[Payment_Method]]</f>
        <v>Other</v>
      </c>
      <c r="BD853" s="1">
        <f>tbl_OriginalData[[#This Row],[Time_of_Purchase]]</f>
        <v>45346</v>
      </c>
      <c r="BE853" t="str">
        <f>IF(tbl_OriginalData[[#This Row],[Discount_Used]]=TRUE,"Yes","No")</f>
        <v>No</v>
      </c>
      <c r="BF853" t="str">
        <f>IF(tbl_OriginalData[[#This Row],[Customer_Loyalty_Program_Member]]=TRUE,"Yes","No")</f>
        <v>No</v>
      </c>
      <c r="BG853" t="str">
        <f>tbl_OriginalData[[#This Row],[Purchase_Intent]]</f>
        <v>Planned</v>
      </c>
      <c r="BH853" t="str">
        <f>tbl_OriginalData[[#This Row],[Shipping_Preference]]</f>
        <v>Express</v>
      </c>
      <c r="BI853">
        <f>tbl_OriginalData[[#This Row],[Time_to_Decision]]</f>
        <v>1</v>
      </c>
      <c r="BJ853" t="s">
        <v>158</v>
      </c>
      <c r="BK853" t="s">
        <v>48</v>
      </c>
      <c r="BL853" t="s">
        <v>2524</v>
      </c>
    </row>
    <row r="854" spans="1:64">
      <c r="A854" t="s">
        <v>1944</v>
      </c>
      <c r="B854">
        <v>46</v>
      </c>
      <c r="C854" t="s">
        <v>33</v>
      </c>
      <c r="D854" t="s">
        <v>34</v>
      </c>
      <c r="E854" t="s">
        <v>35</v>
      </c>
      <c r="F854" t="s">
        <v>66</v>
      </c>
      <c r="G854" t="s">
        <v>51</v>
      </c>
      <c r="H854" t="s">
        <v>1945</v>
      </c>
      <c r="I854" t="s">
        <v>135</v>
      </c>
      <c r="J854">
        <v>290.56</v>
      </c>
      <c r="K854">
        <v>3</v>
      </c>
      <c r="L854" t="s">
        <v>55</v>
      </c>
      <c r="M854">
        <v>5</v>
      </c>
      <c r="N854">
        <v>1</v>
      </c>
      <c r="O854">
        <v>2</v>
      </c>
      <c r="P854" t="s">
        <v>40</v>
      </c>
      <c r="Q854" t="s">
        <v>41</v>
      </c>
      <c r="R854">
        <v>1</v>
      </c>
      <c r="S854">
        <v>1</v>
      </c>
      <c r="T854" t="s">
        <v>40</v>
      </c>
      <c r="U854" t="s">
        <v>95</v>
      </c>
      <c r="V854" t="s">
        <v>58</v>
      </c>
      <c r="W854" s="1">
        <v>45363</v>
      </c>
      <c r="X854" t="b">
        <v>1</v>
      </c>
      <c r="Y854" t="b">
        <v>0</v>
      </c>
      <c r="Z854" t="s">
        <v>59</v>
      </c>
      <c r="AA854" t="s">
        <v>45</v>
      </c>
      <c r="AB854">
        <v>4</v>
      </c>
      <c r="AF854" t="str">
        <f>tbl_OriginalData[[#This Row],[Customer_ID]]</f>
        <v>80-508-9866</v>
      </c>
      <c r="AG854">
        <f>tbl_OriginalData[[#This Row],[Age]]</f>
        <v>46</v>
      </c>
      <c r="AH854" t="str" cm="1">
        <f t="array" ref="AH85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54" t="str">
        <f>tbl_OriginalData[[#This Row],[Gender]]</f>
        <v>Female</v>
      </c>
      <c r="AJ854" t="str">
        <f>tbl_OriginalData[[#This Row],[Income_Level]]</f>
        <v>Middle</v>
      </c>
      <c r="AK854" t="str">
        <f>tbl_OriginalData[[#This Row],[Marital_Status]]</f>
        <v>Married</v>
      </c>
      <c r="AL854" t="str">
        <f>tbl_OriginalData[[#This Row],[Education_Level]]</f>
        <v>Master's</v>
      </c>
      <c r="AM854" t="str">
        <f>tbl_OriginalData[[#This Row],[Occupation]]</f>
        <v>High</v>
      </c>
      <c r="AN854" t="s">
        <v>1945</v>
      </c>
      <c r="AO854" t="s">
        <v>161</v>
      </c>
      <c r="AP854" t="str">
        <f>tbl_OriginalData[[#This Row],[Purchase_Category]]</f>
        <v>Hotels</v>
      </c>
      <c r="AQ854" s="4">
        <f>tbl_OriginalData[[#This Row],[Purchase_Amount]]</f>
        <v>290.56</v>
      </c>
      <c r="AR854">
        <f>tbl_OriginalData[[#This Row],[Frequency_of_Purchase]]</f>
        <v>3</v>
      </c>
      <c r="AS854" t="str">
        <f>tbl_OriginalData[[#This Row],[Purchase_Channel]]</f>
        <v>In-Store</v>
      </c>
      <c r="AT854">
        <f>tbl_OriginalData[[#This Row],[Brand_Loyalty]]</f>
        <v>5</v>
      </c>
      <c r="AU854">
        <f>tbl_OriginalData[[#This Row],[Product_Rating]]</f>
        <v>1</v>
      </c>
      <c r="AV854">
        <f>tbl_OriginalData[[#This Row],[Time_Spent_on_Product_Research(hours)]]*60</f>
        <v>120</v>
      </c>
      <c r="AW854" t="str">
        <f>tbl_OriginalData[[#This Row],[Social_Media_Influence]]</f>
        <v>None</v>
      </c>
      <c r="AX854" t="str">
        <f>tbl_OriginalData[[#This Row],[Discount_Sensitivity]]</f>
        <v>Somewhat Sensitive</v>
      </c>
      <c r="AY854" s="3">
        <f>tbl_OriginalData[[#This Row],[Return_Rate]]/tbl_OriginalData[[#This Row],[Frequency_of_Purchase]]</f>
        <v>0.33333333333333331</v>
      </c>
      <c r="AZ854">
        <f>tbl_OriginalData[[#This Row],[Customer_Satisfaction]]</f>
        <v>1</v>
      </c>
      <c r="BA854" t="str">
        <f>tbl_OriginalData[[#This Row],[Engagement_with_Ads]]</f>
        <v>None</v>
      </c>
      <c r="BB854" t="str">
        <f>tbl_OriginalData[[#This Row],[Device_Used_for_Shopping]]</f>
        <v>Desktop</v>
      </c>
      <c r="BC854" t="str">
        <f>tbl_OriginalData[[#This Row],[Payment_Method]]</f>
        <v>PayPal</v>
      </c>
      <c r="BD854" s="1">
        <f>tbl_OriginalData[[#This Row],[Time_of_Purchase]]</f>
        <v>45363</v>
      </c>
      <c r="BE854" t="str">
        <f>IF(tbl_OriginalData[[#This Row],[Discount_Used]]=TRUE,"Yes","No")</f>
        <v>Yes</v>
      </c>
      <c r="BF854" t="str">
        <f>IF(tbl_OriginalData[[#This Row],[Customer_Loyalty_Program_Member]]=TRUE,"Yes","No")</f>
        <v>No</v>
      </c>
      <c r="BG854" t="str">
        <f>tbl_OriginalData[[#This Row],[Purchase_Intent]]</f>
        <v>Wants-based</v>
      </c>
      <c r="BH854" t="str">
        <f>tbl_OriginalData[[#This Row],[Shipping_Preference]]</f>
        <v>No Preference</v>
      </c>
      <c r="BI854">
        <f>tbl_OriginalData[[#This Row],[Time_to_Decision]]</f>
        <v>4</v>
      </c>
      <c r="BJ854" t="s">
        <v>47</v>
      </c>
      <c r="BK854" t="s">
        <v>48</v>
      </c>
      <c r="BL854" t="s">
        <v>2527</v>
      </c>
    </row>
    <row r="855" spans="1:64">
      <c r="A855" t="s">
        <v>1946</v>
      </c>
      <c r="B855">
        <v>29</v>
      </c>
      <c r="C855" t="s">
        <v>50</v>
      </c>
      <c r="D855" t="s">
        <v>51</v>
      </c>
      <c r="E855" t="s">
        <v>92</v>
      </c>
      <c r="F855" t="s">
        <v>66</v>
      </c>
      <c r="G855" t="s">
        <v>51</v>
      </c>
      <c r="H855" t="s">
        <v>1947</v>
      </c>
      <c r="I855" t="s">
        <v>127</v>
      </c>
      <c r="J855">
        <v>206.79</v>
      </c>
      <c r="K855">
        <v>5</v>
      </c>
      <c r="L855" t="s">
        <v>55</v>
      </c>
      <c r="M855">
        <v>1</v>
      </c>
      <c r="N855">
        <v>3</v>
      </c>
      <c r="O855">
        <v>2</v>
      </c>
      <c r="P855" t="s">
        <v>51</v>
      </c>
      <c r="Q855" t="s">
        <v>101</v>
      </c>
      <c r="R855">
        <v>1</v>
      </c>
      <c r="S855">
        <v>2</v>
      </c>
      <c r="T855" t="s">
        <v>69</v>
      </c>
      <c r="U855" t="s">
        <v>42</v>
      </c>
      <c r="V855" t="s">
        <v>43</v>
      </c>
      <c r="W855" s="1">
        <v>45525</v>
      </c>
      <c r="X855" t="b">
        <v>0</v>
      </c>
      <c r="Y855" t="b">
        <v>0</v>
      </c>
      <c r="Z855" t="s">
        <v>89</v>
      </c>
      <c r="AA855" t="s">
        <v>60</v>
      </c>
      <c r="AB855">
        <v>4</v>
      </c>
      <c r="AF855" t="str">
        <f>tbl_OriginalData[[#This Row],[Customer_ID]]</f>
        <v>27-100-0661</v>
      </c>
      <c r="AG855">
        <f>tbl_OriginalData[[#This Row],[Age]]</f>
        <v>29</v>
      </c>
      <c r="AH855" t="str" cm="1">
        <f t="array" ref="AH85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55" t="str">
        <f>tbl_OriginalData[[#This Row],[Gender]]</f>
        <v>Male</v>
      </c>
      <c r="AJ855" t="str">
        <f>tbl_OriginalData[[#This Row],[Income_Level]]</f>
        <v>High</v>
      </c>
      <c r="AK855" t="str">
        <f>tbl_OriginalData[[#This Row],[Marital_Status]]</f>
        <v>Divorced</v>
      </c>
      <c r="AL855" t="str">
        <f>tbl_OriginalData[[#This Row],[Education_Level]]</f>
        <v>Master's</v>
      </c>
      <c r="AM855" t="str">
        <f>tbl_OriginalData[[#This Row],[Occupation]]</f>
        <v>High</v>
      </c>
      <c r="AN855" t="s">
        <v>1947</v>
      </c>
      <c r="AO855" t="s">
        <v>469</v>
      </c>
      <c r="AP855" t="str">
        <f>tbl_OriginalData[[#This Row],[Purchase_Category]]</f>
        <v>Animal Feed</v>
      </c>
      <c r="AQ855" s="4">
        <f>tbl_OriginalData[[#This Row],[Purchase_Amount]]</f>
        <v>206.79</v>
      </c>
      <c r="AR855">
        <f>tbl_OriginalData[[#This Row],[Frequency_of_Purchase]]</f>
        <v>5</v>
      </c>
      <c r="AS855" t="str">
        <f>tbl_OriginalData[[#This Row],[Purchase_Channel]]</f>
        <v>In-Store</v>
      </c>
      <c r="AT855">
        <f>tbl_OriginalData[[#This Row],[Brand_Loyalty]]</f>
        <v>1</v>
      </c>
      <c r="AU855">
        <f>tbl_OriginalData[[#This Row],[Product_Rating]]</f>
        <v>3</v>
      </c>
      <c r="AV855">
        <f>tbl_OriginalData[[#This Row],[Time_Spent_on_Product_Research(hours)]]*60</f>
        <v>120</v>
      </c>
      <c r="AW855" t="str">
        <f>tbl_OriginalData[[#This Row],[Social_Media_Influence]]</f>
        <v>High</v>
      </c>
      <c r="AX855" t="str">
        <f>tbl_OriginalData[[#This Row],[Discount_Sensitivity]]</f>
        <v>Very Sensitive</v>
      </c>
      <c r="AY855" s="3">
        <f>tbl_OriginalData[[#This Row],[Return_Rate]]/tbl_OriginalData[[#This Row],[Frequency_of_Purchase]]</f>
        <v>0.2</v>
      </c>
      <c r="AZ855">
        <f>tbl_OriginalData[[#This Row],[Customer_Satisfaction]]</f>
        <v>2</v>
      </c>
      <c r="BA855" t="str">
        <f>tbl_OriginalData[[#This Row],[Engagement_with_Ads]]</f>
        <v>Low</v>
      </c>
      <c r="BB855" t="str">
        <f>tbl_OriginalData[[#This Row],[Device_Used_for_Shopping]]</f>
        <v>Tablet</v>
      </c>
      <c r="BC855" t="str">
        <f>tbl_OriginalData[[#This Row],[Payment_Method]]</f>
        <v>Credit Card</v>
      </c>
      <c r="BD855" s="1">
        <f>tbl_OriginalData[[#This Row],[Time_of_Purchase]]</f>
        <v>45525</v>
      </c>
      <c r="BE855" t="str">
        <f>IF(tbl_OriginalData[[#This Row],[Discount_Used]]=TRUE,"Yes","No")</f>
        <v>No</v>
      </c>
      <c r="BF855" t="str">
        <f>IF(tbl_OriginalData[[#This Row],[Customer_Loyalty_Program_Member]]=TRUE,"Yes","No")</f>
        <v>No</v>
      </c>
      <c r="BG855" t="str">
        <f>tbl_OriginalData[[#This Row],[Purchase_Intent]]</f>
        <v>Planned</v>
      </c>
      <c r="BH855" t="str">
        <f>tbl_OriginalData[[#This Row],[Shipping_Preference]]</f>
        <v>Standard</v>
      </c>
      <c r="BI855">
        <f>tbl_OriginalData[[#This Row],[Time_to_Decision]]</f>
        <v>4</v>
      </c>
      <c r="BJ855" t="s">
        <v>124</v>
      </c>
      <c r="BK855" t="s">
        <v>115</v>
      </c>
      <c r="BL855" t="s">
        <v>2527</v>
      </c>
    </row>
    <row r="856" spans="1:64">
      <c r="A856" t="s">
        <v>1948</v>
      </c>
      <c r="B856">
        <v>19</v>
      </c>
      <c r="C856" t="s">
        <v>33</v>
      </c>
      <c r="D856" t="s">
        <v>34</v>
      </c>
      <c r="E856" t="s">
        <v>35</v>
      </c>
      <c r="F856" t="s">
        <v>52</v>
      </c>
      <c r="G856" t="s">
        <v>51</v>
      </c>
      <c r="H856" t="s">
        <v>1949</v>
      </c>
      <c r="I856" t="s">
        <v>153</v>
      </c>
      <c r="J856">
        <v>401.43</v>
      </c>
      <c r="K856">
        <v>8</v>
      </c>
      <c r="L856" t="s">
        <v>39</v>
      </c>
      <c r="M856">
        <v>4</v>
      </c>
      <c r="N856">
        <v>2</v>
      </c>
      <c r="O856">
        <v>0</v>
      </c>
      <c r="P856" t="s">
        <v>40</v>
      </c>
      <c r="Q856" t="s">
        <v>57</v>
      </c>
      <c r="R856">
        <v>0</v>
      </c>
      <c r="S856">
        <v>6</v>
      </c>
      <c r="T856" t="s">
        <v>51</v>
      </c>
      <c r="U856" t="s">
        <v>42</v>
      </c>
      <c r="V856" t="s">
        <v>76</v>
      </c>
      <c r="W856" s="1">
        <v>45435</v>
      </c>
      <c r="X856" t="b">
        <v>1</v>
      </c>
      <c r="Y856" t="b">
        <v>1</v>
      </c>
      <c r="Z856" t="s">
        <v>44</v>
      </c>
      <c r="AA856" t="s">
        <v>45</v>
      </c>
      <c r="AB856">
        <v>5</v>
      </c>
      <c r="AF856" t="str">
        <f>tbl_OriginalData[[#This Row],[Customer_ID]]</f>
        <v>68-488-7343</v>
      </c>
      <c r="AG856">
        <f>tbl_OriginalData[[#This Row],[Age]]</f>
        <v>19</v>
      </c>
      <c r="AH856" t="str" cm="1">
        <f t="array" ref="AH85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856" t="str">
        <f>tbl_OriginalData[[#This Row],[Gender]]</f>
        <v>Female</v>
      </c>
      <c r="AJ856" t="str">
        <f>tbl_OriginalData[[#This Row],[Income_Level]]</f>
        <v>Middle</v>
      </c>
      <c r="AK856" t="str">
        <f>tbl_OriginalData[[#This Row],[Marital_Status]]</f>
        <v>Married</v>
      </c>
      <c r="AL856" t="str">
        <f>tbl_OriginalData[[#This Row],[Education_Level]]</f>
        <v>High School</v>
      </c>
      <c r="AM856" t="str">
        <f>tbl_OriginalData[[#This Row],[Occupation]]</f>
        <v>High</v>
      </c>
      <c r="AN856" t="s">
        <v>1949</v>
      </c>
      <c r="AO856" t="s">
        <v>61</v>
      </c>
      <c r="AP856" t="str">
        <f>tbl_OriginalData[[#This Row],[Purchase_Category]]</f>
        <v>Baby Products</v>
      </c>
      <c r="AQ856" s="4">
        <f>tbl_OriginalData[[#This Row],[Purchase_Amount]]</f>
        <v>401.43</v>
      </c>
      <c r="AR856">
        <f>tbl_OriginalData[[#This Row],[Frequency_of_Purchase]]</f>
        <v>8</v>
      </c>
      <c r="AS856" t="str">
        <f>tbl_OriginalData[[#This Row],[Purchase_Channel]]</f>
        <v>Mixed</v>
      </c>
      <c r="AT856">
        <f>tbl_OriginalData[[#This Row],[Brand_Loyalty]]</f>
        <v>4</v>
      </c>
      <c r="AU856">
        <f>tbl_OriginalData[[#This Row],[Product_Rating]]</f>
        <v>2</v>
      </c>
      <c r="AV856">
        <f>tbl_OriginalData[[#This Row],[Time_Spent_on_Product_Research(hours)]]*60</f>
        <v>0</v>
      </c>
      <c r="AW856" t="str">
        <f>tbl_OriginalData[[#This Row],[Social_Media_Influence]]</f>
        <v>None</v>
      </c>
      <c r="AX856" t="str">
        <f>tbl_OriginalData[[#This Row],[Discount_Sensitivity]]</f>
        <v>Not Sensitive</v>
      </c>
      <c r="AY856" s="3">
        <f>tbl_OriginalData[[#This Row],[Return_Rate]]/tbl_OriginalData[[#This Row],[Frequency_of_Purchase]]</f>
        <v>0</v>
      </c>
      <c r="AZ856">
        <f>tbl_OriginalData[[#This Row],[Customer_Satisfaction]]</f>
        <v>6</v>
      </c>
      <c r="BA856" t="str">
        <f>tbl_OriginalData[[#This Row],[Engagement_with_Ads]]</f>
        <v>High</v>
      </c>
      <c r="BB856" t="str">
        <f>tbl_OriginalData[[#This Row],[Device_Used_for_Shopping]]</f>
        <v>Tablet</v>
      </c>
      <c r="BC856" t="str">
        <f>tbl_OriginalData[[#This Row],[Payment_Method]]</f>
        <v>Other</v>
      </c>
      <c r="BD856" s="1">
        <f>tbl_OriginalData[[#This Row],[Time_of_Purchase]]</f>
        <v>45435</v>
      </c>
      <c r="BE856" t="str">
        <f>IF(tbl_OriginalData[[#This Row],[Discount_Used]]=TRUE,"Yes","No")</f>
        <v>Yes</v>
      </c>
      <c r="BF856" t="str">
        <f>IF(tbl_OriginalData[[#This Row],[Customer_Loyalty_Program_Member]]=TRUE,"Yes","No")</f>
        <v>Yes</v>
      </c>
      <c r="BG856" t="str">
        <f>tbl_OriginalData[[#This Row],[Purchase_Intent]]</f>
        <v>Need-based</v>
      </c>
      <c r="BH856" t="str">
        <f>tbl_OriginalData[[#This Row],[Shipping_Preference]]</f>
        <v>No Preference</v>
      </c>
      <c r="BI856">
        <f>tbl_OriginalData[[#This Row],[Time_to_Decision]]</f>
        <v>5</v>
      </c>
      <c r="BJ856" t="s">
        <v>167</v>
      </c>
      <c r="BK856" t="s">
        <v>63</v>
      </c>
      <c r="BL856" t="s">
        <v>2524</v>
      </c>
    </row>
    <row r="857" spans="1:64">
      <c r="A857" t="s">
        <v>1950</v>
      </c>
      <c r="B857">
        <v>21</v>
      </c>
      <c r="C857" t="s">
        <v>50</v>
      </c>
      <c r="D857" t="s">
        <v>51</v>
      </c>
      <c r="E857" t="s">
        <v>82</v>
      </c>
      <c r="F857" t="s">
        <v>66</v>
      </c>
      <c r="G857" t="s">
        <v>51</v>
      </c>
      <c r="H857" t="s">
        <v>1951</v>
      </c>
      <c r="I857" t="s">
        <v>108</v>
      </c>
      <c r="J857">
        <v>188.17</v>
      </c>
      <c r="K857">
        <v>9</v>
      </c>
      <c r="L857" t="s">
        <v>94</v>
      </c>
      <c r="M857">
        <v>5</v>
      </c>
      <c r="N857">
        <v>5</v>
      </c>
      <c r="O857">
        <v>0</v>
      </c>
      <c r="P857" t="s">
        <v>56</v>
      </c>
      <c r="Q857" t="s">
        <v>57</v>
      </c>
      <c r="R857">
        <v>1</v>
      </c>
      <c r="S857">
        <v>5</v>
      </c>
      <c r="T857" t="s">
        <v>69</v>
      </c>
      <c r="U857" t="s">
        <v>95</v>
      </c>
      <c r="V857" t="s">
        <v>71</v>
      </c>
      <c r="W857" s="1">
        <v>45438</v>
      </c>
      <c r="X857" t="b">
        <v>1</v>
      </c>
      <c r="Y857" t="b">
        <v>0</v>
      </c>
      <c r="Z857" t="s">
        <v>44</v>
      </c>
      <c r="AA857" t="s">
        <v>60</v>
      </c>
      <c r="AB857">
        <v>9</v>
      </c>
      <c r="AF857" t="str">
        <f>tbl_OriginalData[[#This Row],[Customer_ID]]</f>
        <v>63-304-1852</v>
      </c>
      <c r="AG857">
        <f>tbl_OriginalData[[#This Row],[Age]]</f>
        <v>21</v>
      </c>
      <c r="AH857" t="str" cm="1">
        <f t="array" ref="AH85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57" t="str">
        <f>tbl_OriginalData[[#This Row],[Gender]]</f>
        <v>Male</v>
      </c>
      <c r="AJ857" t="str">
        <f>tbl_OriginalData[[#This Row],[Income_Level]]</f>
        <v>High</v>
      </c>
      <c r="AK857" t="str">
        <f>tbl_OriginalData[[#This Row],[Marital_Status]]</f>
        <v>Widowed</v>
      </c>
      <c r="AL857" t="str">
        <f>tbl_OriginalData[[#This Row],[Education_Level]]</f>
        <v>Master's</v>
      </c>
      <c r="AM857" t="str">
        <f>tbl_OriginalData[[#This Row],[Occupation]]</f>
        <v>High</v>
      </c>
      <c r="AN857" t="s">
        <v>1951</v>
      </c>
      <c r="AO857" t="s">
        <v>363</v>
      </c>
      <c r="AP857" t="str">
        <f>tbl_OriginalData[[#This Row],[Purchase_Category]]</f>
        <v>Sports &amp; Outdoors</v>
      </c>
      <c r="AQ857" s="4">
        <f>tbl_OriginalData[[#This Row],[Purchase_Amount]]</f>
        <v>188.17</v>
      </c>
      <c r="AR857">
        <f>tbl_OriginalData[[#This Row],[Frequency_of_Purchase]]</f>
        <v>9</v>
      </c>
      <c r="AS857" t="str">
        <f>tbl_OriginalData[[#This Row],[Purchase_Channel]]</f>
        <v>Online</v>
      </c>
      <c r="AT857">
        <f>tbl_OriginalData[[#This Row],[Brand_Loyalty]]</f>
        <v>5</v>
      </c>
      <c r="AU857">
        <f>tbl_OriginalData[[#This Row],[Product_Rating]]</f>
        <v>5</v>
      </c>
      <c r="AV857">
        <f>tbl_OriginalData[[#This Row],[Time_Spent_on_Product_Research(hours)]]*60</f>
        <v>0</v>
      </c>
      <c r="AW857" t="str">
        <f>tbl_OriginalData[[#This Row],[Social_Media_Influence]]</f>
        <v>Medium</v>
      </c>
      <c r="AX857" t="str">
        <f>tbl_OriginalData[[#This Row],[Discount_Sensitivity]]</f>
        <v>Not Sensitive</v>
      </c>
      <c r="AY857" s="3">
        <f>tbl_OriginalData[[#This Row],[Return_Rate]]/tbl_OriginalData[[#This Row],[Frequency_of_Purchase]]</f>
        <v>0.1111111111111111</v>
      </c>
      <c r="AZ857">
        <f>tbl_OriginalData[[#This Row],[Customer_Satisfaction]]</f>
        <v>5</v>
      </c>
      <c r="BA857" t="str">
        <f>tbl_OriginalData[[#This Row],[Engagement_with_Ads]]</f>
        <v>Low</v>
      </c>
      <c r="BB857" t="str">
        <f>tbl_OriginalData[[#This Row],[Device_Used_for_Shopping]]</f>
        <v>Desktop</v>
      </c>
      <c r="BC857" t="str">
        <f>tbl_OriginalData[[#This Row],[Payment_Method]]</f>
        <v>Debit Card</v>
      </c>
      <c r="BD857" s="1">
        <f>tbl_OriginalData[[#This Row],[Time_of_Purchase]]</f>
        <v>45438</v>
      </c>
      <c r="BE857" t="str">
        <f>IF(tbl_OriginalData[[#This Row],[Discount_Used]]=TRUE,"Yes","No")</f>
        <v>Yes</v>
      </c>
      <c r="BF857" t="str">
        <f>IF(tbl_OriginalData[[#This Row],[Customer_Loyalty_Program_Member]]=TRUE,"Yes","No")</f>
        <v>No</v>
      </c>
      <c r="BG857" t="str">
        <f>tbl_OriginalData[[#This Row],[Purchase_Intent]]</f>
        <v>Need-based</v>
      </c>
      <c r="BH857" t="str">
        <f>tbl_OriginalData[[#This Row],[Shipping_Preference]]</f>
        <v>Standard</v>
      </c>
      <c r="BI857">
        <f>tbl_OriginalData[[#This Row],[Time_to_Decision]]</f>
        <v>9</v>
      </c>
      <c r="BJ857" t="s">
        <v>167</v>
      </c>
      <c r="BK857" t="s">
        <v>63</v>
      </c>
      <c r="BL857" t="s">
        <v>2527</v>
      </c>
    </row>
    <row r="858" spans="1:64">
      <c r="A858" t="s">
        <v>1952</v>
      </c>
      <c r="B858">
        <v>38</v>
      </c>
      <c r="C858" t="s">
        <v>33</v>
      </c>
      <c r="D858" t="s">
        <v>51</v>
      </c>
      <c r="E858" t="s">
        <v>65</v>
      </c>
      <c r="F858" t="s">
        <v>52</v>
      </c>
      <c r="G858" t="s">
        <v>51</v>
      </c>
      <c r="H858" t="s">
        <v>1953</v>
      </c>
      <c r="I858" t="s">
        <v>38</v>
      </c>
      <c r="J858">
        <v>83.21</v>
      </c>
      <c r="K858">
        <v>10</v>
      </c>
      <c r="L858" t="s">
        <v>94</v>
      </c>
      <c r="M858">
        <v>4</v>
      </c>
      <c r="N858">
        <v>3</v>
      </c>
      <c r="O858">
        <v>2</v>
      </c>
      <c r="P858" t="s">
        <v>69</v>
      </c>
      <c r="Q858" t="s">
        <v>41</v>
      </c>
      <c r="R858">
        <v>0</v>
      </c>
      <c r="S858">
        <v>4</v>
      </c>
      <c r="T858" t="s">
        <v>51</v>
      </c>
      <c r="U858" t="s">
        <v>95</v>
      </c>
      <c r="V858" t="s">
        <v>76</v>
      </c>
      <c r="W858" s="1">
        <v>45371</v>
      </c>
      <c r="X858" t="b">
        <v>0</v>
      </c>
      <c r="Y858" t="b">
        <v>0</v>
      </c>
      <c r="Z858" t="s">
        <v>72</v>
      </c>
      <c r="AA858" t="s">
        <v>60</v>
      </c>
      <c r="AB858">
        <v>7</v>
      </c>
      <c r="AF858" t="str">
        <f>tbl_OriginalData[[#This Row],[Customer_ID]]</f>
        <v>53-843-5619</v>
      </c>
      <c r="AG858">
        <f>tbl_OriginalData[[#This Row],[Age]]</f>
        <v>38</v>
      </c>
      <c r="AH858" t="str" cm="1">
        <f t="array" ref="AH85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58" t="str">
        <f>tbl_OriginalData[[#This Row],[Gender]]</f>
        <v>Female</v>
      </c>
      <c r="AJ858" t="str">
        <f>tbl_OriginalData[[#This Row],[Income_Level]]</f>
        <v>High</v>
      </c>
      <c r="AK858" t="str">
        <f>tbl_OriginalData[[#This Row],[Marital_Status]]</f>
        <v>Single</v>
      </c>
      <c r="AL858" t="str">
        <f>tbl_OriginalData[[#This Row],[Education_Level]]</f>
        <v>High School</v>
      </c>
      <c r="AM858" t="str">
        <f>tbl_OriginalData[[#This Row],[Occupation]]</f>
        <v>High</v>
      </c>
      <c r="AN858" t="s">
        <v>1953</v>
      </c>
      <c r="AO858" t="s">
        <v>46</v>
      </c>
      <c r="AP858" t="str">
        <f>tbl_OriginalData[[#This Row],[Purchase_Category]]</f>
        <v>Gardening &amp; Outdoors</v>
      </c>
      <c r="AQ858" s="4">
        <f>tbl_OriginalData[[#This Row],[Purchase_Amount]]</f>
        <v>83.21</v>
      </c>
      <c r="AR858">
        <f>tbl_OriginalData[[#This Row],[Frequency_of_Purchase]]</f>
        <v>10</v>
      </c>
      <c r="AS858" t="str">
        <f>tbl_OriginalData[[#This Row],[Purchase_Channel]]</f>
        <v>Online</v>
      </c>
      <c r="AT858">
        <f>tbl_OriginalData[[#This Row],[Brand_Loyalty]]</f>
        <v>4</v>
      </c>
      <c r="AU858">
        <f>tbl_OriginalData[[#This Row],[Product_Rating]]</f>
        <v>3</v>
      </c>
      <c r="AV858">
        <f>tbl_OriginalData[[#This Row],[Time_Spent_on_Product_Research(hours)]]*60</f>
        <v>120</v>
      </c>
      <c r="AW858" t="str">
        <f>tbl_OriginalData[[#This Row],[Social_Media_Influence]]</f>
        <v>Low</v>
      </c>
      <c r="AX858" t="str">
        <f>tbl_OriginalData[[#This Row],[Discount_Sensitivity]]</f>
        <v>Somewhat Sensitive</v>
      </c>
      <c r="AY858" s="3">
        <f>tbl_OriginalData[[#This Row],[Return_Rate]]/tbl_OriginalData[[#This Row],[Frequency_of_Purchase]]</f>
        <v>0</v>
      </c>
      <c r="AZ858">
        <f>tbl_OriginalData[[#This Row],[Customer_Satisfaction]]</f>
        <v>4</v>
      </c>
      <c r="BA858" t="str">
        <f>tbl_OriginalData[[#This Row],[Engagement_with_Ads]]</f>
        <v>High</v>
      </c>
      <c r="BB858" t="str">
        <f>tbl_OriginalData[[#This Row],[Device_Used_for_Shopping]]</f>
        <v>Desktop</v>
      </c>
      <c r="BC858" t="str">
        <f>tbl_OriginalData[[#This Row],[Payment_Method]]</f>
        <v>Other</v>
      </c>
      <c r="BD858" s="1">
        <f>tbl_OriginalData[[#This Row],[Time_of_Purchase]]</f>
        <v>45371</v>
      </c>
      <c r="BE858" t="str">
        <f>IF(tbl_OriginalData[[#This Row],[Discount_Used]]=TRUE,"Yes","No")</f>
        <v>No</v>
      </c>
      <c r="BF858" t="str">
        <f>IF(tbl_OriginalData[[#This Row],[Customer_Loyalty_Program_Member]]=TRUE,"Yes","No")</f>
        <v>No</v>
      </c>
      <c r="BG858" t="str">
        <f>tbl_OriginalData[[#This Row],[Purchase_Intent]]</f>
        <v>Impulsive</v>
      </c>
      <c r="BH858" t="str">
        <f>tbl_OriginalData[[#This Row],[Shipping_Preference]]</f>
        <v>Standard</v>
      </c>
      <c r="BI858">
        <f>tbl_OriginalData[[#This Row],[Time_to_Decision]]</f>
        <v>7</v>
      </c>
      <c r="BJ858" t="s">
        <v>47</v>
      </c>
      <c r="BK858" t="s">
        <v>48</v>
      </c>
      <c r="BL858" t="s">
        <v>2523</v>
      </c>
    </row>
    <row r="859" spans="1:64">
      <c r="A859" t="s">
        <v>1954</v>
      </c>
      <c r="B859">
        <v>41</v>
      </c>
      <c r="C859" t="s">
        <v>106</v>
      </c>
      <c r="D859" t="s">
        <v>34</v>
      </c>
      <c r="E859" t="s">
        <v>92</v>
      </c>
      <c r="F859" t="s">
        <v>66</v>
      </c>
      <c r="G859" t="s">
        <v>34</v>
      </c>
      <c r="H859" t="s">
        <v>1955</v>
      </c>
      <c r="I859" t="s">
        <v>38</v>
      </c>
      <c r="J859">
        <v>54.74</v>
      </c>
      <c r="K859">
        <v>4</v>
      </c>
      <c r="L859" t="s">
        <v>55</v>
      </c>
      <c r="M859">
        <v>1</v>
      </c>
      <c r="N859">
        <v>2</v>
      </c>
      <c r="O859">
        <v>0</v>
      </c>
      <c r="P859" t="s">
        <v>40</v>
      </c>
      <c r="Q859" t="s">
        <v>41</v>
      </c>
      <c r="R859">
        <v>0</v>
      </c>
      <c r="S859">
        <v>4</v>
      </c>
      <c r="T859" t="s">
        <v>69</v>
      </c>
      <c r="U859" t="s">
        <v>70</v>
      </c>
      <c r="V859" t="s">
        <v>58</v>
      </c>
      <c r="W859" s="1">
        <v>45568</v>
      </c>
      <c r="X859" t="b">
        <v>1</v>
      </c>
      <c r="Y859" t="b">
        <v>1</v>
      </c>
      <c r="Z859" t="s">
        <v>72</v>
      </c>
      <c r="AA859" t="s">
        <v>45</v>
      </c>
      <c r="AB859">
        <v>14</v>
      </c>
      <c r="AF859" t="str">
        <f>tbl_OriginalData[[#This Row],[Customer_ID]]</f>
        <v>44-786-7696</v>
      </c>
      <c r="AG859">
        <f>tbl_OriginalData[[#This Row],[Age]]</f>
        <v>41</v>
      </c>
      <c r="AH859" t="str" cm="1">
        <f t="array" ref="AH85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59" t="str">
        <f>tbl_OriginalData[[#This Row],[Gender]]</f>
        <v>Bigender</v>
      </c>
      <c r="AJ859" t="str">
        <f>tbl_OriginalData[[#This Row],[Income_Level]]</f>
        <v>Middle</v>
      </c>
      <c r="AK859" t="str">
        <f>tbl_OriginalData[[#This Row],[Marital_Status]]</f>
        <v>Divorced</v>
      </c>
      <c r="AL859" t="str">
        <f>tbl_OriginalData[[#This Row],[Education_Level]]</f>
        <v>Master's</v>
      </c>
      <c r="AM859" t="str">
        <f>tbl_OriginalData[[#This Row],[Occupation]]</f>
        <v>Middle</v>
      </c>
      <c r="AN859" t="s">
        <v>1955</v>
      </c>
      <c r="AO859" t="s">
        <v>61</v>
      </c>
      <c r="AP859" t="str">
        <f>tbl_OriginalData[[#This Row],[Purchase_Category]]</f>
        <v>Gardening &amp; Outdoors</v>
      </c>
      <c r="AQ859" s="4">
        <f>tbl_OriginalData[[#This Row],[Purchase_Amount]]</f>
        <v>54.74</v>
      </c>
      <c r="AR859">
        <f>tbl_OriginalData[[#This Row],[Frequency_of_Purchase]]</f>
        <v>4</v>
      </c>
      <c r="AS859" t="str">
        <f>tbl_OriginalData[[#This Row],[Purchase_Channel]]</f>
        <v>In-Store</v>
      </c>
      <c r="AT859">
        <f>tbl_OriginalData[[#This Row],[Brand_Loyalty]]</f>
        <v>1</v>
      </c>
      <c r="AU859">
        <f>tbl_OriginalData[[#This Row],[Product_Rating]]</f>
        <v>2</v>
      </c>
      <c r="AV859">
        <f>tbl_OriginalData[[#This Row],[Time_Spent_on_Product_Research(hours)]]*60</f>
        <v>0</v>
      </c>
      <c r="AW859" t="str">
        <f>tbl_OriginalData[[#This Row],[Social_Media_Influence]]</f>
        <v>None</v>
      </c>
      <c r="AX859" t="str">
        <f>tbl_OriginalData[[#This Row],[Discount_Sensitivity]]</f>
        <v>Somewhat Sensitive</v>
      </c>
      <c r="AY859" s="3">
        <f>tbl_OriginalData[[#This Row],[Return_Rate]]/tbl_OriginalData[[#This Row],[Frequency_of_Purchase]]</f>
        <v>0</v>
      </c>
      <c r="AZ859">
        <f>tbl_OriginalData[[#This Row],[Customer_Satisfaction]]</f>
        <v>4</v>
      </c>
      <c r="BA859" t="str">
        <f>tbl_OriginalData[[#This Row],[Engagement_with_Ads]]</f>
        <v>Low</v>
      </c>
      <c r="BB859" t="str">
        <f>tbl_OriginalData[[#This Row],[Device_Used_for_Shopping]]</f>
        <v>Smartphone</v>
      </c>
      <c r="BC859" t="str">
        <f>tbl_OriginalData[[#This Row],[Payment_Method]]</f>
        <v>PayPal</v>
      </c>
      <c r="BD859" s="1">
        <f>tbl_OriginalData[[#This Row],[Time_of_Purchase]]</f>
        <v>45568</v>
      </c>
      <c r="BE859" t="str">
        <f>IF(tbl_OriginalData[[#This Row],[Discount_Used]]=TRUE,"Yes","No")</f>
        <v>Yes</v>
      </c>
      <c r="BF859" t="str">
        <f>IF(tbl_OriginalData[[#This Row],[Customer_Loyalty_Program_Member]]=TRUE,"Yes","No")</f>
        <v>Yes</v>
      </c>
      <c r="BG859" t="str">
        <f>tbl_OriginalData[[#This Row],[Purchase_Intent]]</f>
        <v>Impulsive</v>
      </c>
      <c r="BH859" t="str">
        <f>tbl_OriginalData[[#This Row],[Shipping_Preference]]</f>
        <v>No Preference</v>
      </c>
      <c r="BI859">
        <f>tbl_OriginalData[[#This Row],[Time_to_Decision]]</f>
        <v>14</v>
      </c>
      <c r="BJ859" t="s">
        <v>79</v>
      </c>
      <c r="BK859" t="s">
        <v>80</v>
      </c>
      <c r="BL859" t="s">
        <v>2524</v>
      </c>
    </row>
    <row r="860" spans="1:64">
      <c r="A860" t="s">
        <v>1956</v>
      </c>
      <c r="B860">
        <v>49</v>
      </c>
      <c r="C860" t="s">
        <v>33</v>
      </c>
      <c r="D860" t="s">
        <v>51</v>
      </c>
      <c r="E860" t="s">
        <v>92</v>
      </c>
      <c r="F860" t="s">
        <v>66</v>
      </c>
      <c r="G860" t="s">
        <v>51</v>
      </c>
      <c r="H860" t="s">
        <v>1957</v>
      </c>
      <c r="I860" t="s">
        <v>68</v>
      </c>
      <c r="J860">
        <v>371.12</v>
      </c>
      <c r="K860">
        <v>8</v>
      </c>
      <c r="L860" t="s">
        <v>94</v>
      </c>
      <c r="M860">
        <v>5</v>
      </c>
      <c r="N860">
        <v>1</v>
      </c>
      <c r="O860">
        <v>2</v>
      </c>
      <c r="P860" t="s">
        <v>51</v>
      </c>
      <c r="Q860" t="s">
        <v>41</v>
      </c>
      <c r="R860">
        <v>1</v>
      </c>
      <c r="S860">
        <v>7</v>
      </c>
      <c r="T860" t="s">
        <v>69</v>
      </c>
      <c r="U860" t="s">
        <v>70</v>
      </c>
      <c r="V860" t="s">
        <v>58</v>
      </c>
      <c r="W860" s="1">
        <v>45527</v>
      </c>
      <c r="X860" t="b">
        <v>0</v>
      </c>
      <c r="Y860" t="b">
        <v>1</v>
      </c>
      <c r="Z860" t="s">
        <v>59</v>
      </c>
      <c r="AA860" t="s">
        <v>45</v>
      </c>
      <c r="AB860">
        <v>8</v>
      </c>
      <c r="AF860" t="str">
        <f>tbl_OriginalData[[#This Row],[Customer_ID]]</f>
        <v>45-631-4619</v>
      </c>
      <c r="AG860">
        <f>tbl_OriginalData[[#This Row],[Age]]</f>
        <v>49</v>
      </c>
      <c r="AH860" t="str" cm="1">
        <f t="array" ref="AH86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60" t="str">
        <f>tbl_OriginalData[[#This Row],[Gender]]</f>
        <v>Female</v>
      </c>
      <c r="AJ860" t="str">
        <f>tbl_OriginalData[[#This Row],[Income_Level]]</f>
        <v>High</v>
      </c>
      <c r="AK860" t="str">
        <f>tbl_OriginalData[[#This Row],[Marital_Status]]</f>
        <v>Divorced</v>
      </c>
      <c r="AL860" t="str">
        <f>tbl_OriginalData[[#This Row],[Education_Level]]</f>
        <v>Master's</v>
      </c>
      <c r="AM860" t="str">
        <f>tbl_OriginalData[[#This Row],[Occupation]]</f>
        <v>High</v>
      </c>
      <c r="AN860" t="s">
        <v>1958</v>
      </c>
      <c r="AO860" t="s">
        <v>61</v>
      </c>
      <c r="AP860" t="str">
        <f>tbl_OriginalData[[#This Row],[Purchase_Category]]</f>
        <v>Office Supplies</v>
      </c>
      <c r="AQ860" s="4">
        <f>tbl_OriginalData[[#This Row],[Purchase_Amount]]</f>
        <v>371.12</v>
      </c>
      <c r="AR860">
        <f>tbl_OriginalData[[#This Row],[Frequency_of_Purchase]]</f>
        <v>8</v>
      </c>
      <c r="AS860" t="str">
        <f>tbl_OriginalData[[#This Row],[Purchase_Channel]]</f>
        <v>Online</v>
      </c>
      <c r="AT860">
        <f>tbl_OriginalData[[#This Row],[Brand_Loyalty]]</f>
        <v>5</v>
      </c>
      <c r="AU860">
        <f>tbl_OriginalData[[#This Row],[Product_Rating]]</f>
        <v>1</v>
      </c>
      <c r="AV860">
        <f>tbl_OriginalData[[#This Row],[Time_Spent_on_Product_Research(hours)]]*60</f>
        <v>120</v>
      </c>
      <c r="AW860" t="str">
        <f>tbl_OriginalData[[#This Row],[Social_Media_Influence]]</f>
        <v>High</v>
      </c>
      <c r="AX860" t="str">
        <f>tbl_OriginalData[[#This Row],[Discount_Sensitivity]]</f>
        <v>Somewhat Sensitive</v>
      </c>
      <c r="AY860" s="3">
        <f>tbl_OriginalData[[#This Row],[Return_Rate]]/tbl_OriginalData[[#This Row],[Frequency_of_Purchase]]</f>
        <v>0.125</v>
      </c>
      <c r="AZ860">
        <f>tbl_OriginalData[[#This Row],[Customer_Satisfaction]]</f>
        <v>7</v>
      </c>
      <c r="BA860" t="str">
        <f>tbl_OriginalData[[#This Row],[Engagement_with_Ads]]</f>
        <v>Low</v>
      </c>
      <c r="BB860" t="str">
        <f>tbl_OriginalData[[#This Row],[Device_Used_for_Shopping]]</f>
        <v>Smartphone</v>
      </c>
      <c r="BC860" t="str">
        <f>tbl_OriginalData[[#This Row],[Payment_Method]]</f>
        <v>PayPal</v>
      </c>
      <c r="BD860" s="1">
        <f>tbl_OriginalData[[#This Row],[Time_of_Purchase]]</f>
        <v>45527</v>
      </c>
      <c r="BE860" t="str">
        <f>IF(tbl_OriginalData[[#This Row],[Discount_Used]]=TRUE,"Yes","No")</f>
        <v>No</v>
      </c>
      <c r="BF860" t="str">
        <f>IF(tbl_OriginalData[[#This Row],[Customer_Loyalty_Program_Member]]=TRUE,"Yes","No")</f>
        <v>Yes</v>
      </c>
      <c r="BG860" t="str">
        <f>tbl_OriginalData[[#This Row],[Purchase_Intent]]</f>
        <v>Wants-based</v>
      </c>
      <c r="BH860" t="str">
        <f>tbl_OriginalData[[#This Row],[Shipping_Preference]]</f>
        <v>No Preference</v>
      </c>
      <c r="BI860">
        <f>tbl_OriginalData[[#This Row],[Time_to_Decision]]</f>
        <v>8</v>
      </c>
      <c r="BJ860" t="s">
        <v>124</v>
      </c>
      <c r="BK860" t="s">
        <v>115</v>
      </c>
      <c r="BL860" t="s">
        <v>2524</v>
      </c>
    </row>
    <row r="861" spans="1:64">
      <c r="A861" t="s">
        <v>1959</v>
      </c>
      <c r="B861">
        <v>32</v>
      </c>
      <c r="C861" t="s">
        <v>188</v>
      </c>
      <c r="D861" t="s">
        <v>34</v>
      </c>
      <c r="E861" t="s">
        <v>65</v>
      </c>
      <c r="F861" t="s">
        <v>52</v>
      </c>
      <c r="G861" t="s">
        <v>34</v>
      </c>
      <c r="H861" t="s">
        <v>1960</v>
      </c>
      <c r="I861" t="s">
        <v>143</v>
      </c>
      <c r="J861">
        <v>293.64</v>
      </c>
      <c r="K861">
        <v>3</v>
      </c>
      <c r="L861" t="s">
        <v>55</v>
      </c>
      <c r="M861">
        <v>2</v>
      </c>
      <c r="N861">
        <v>1</v>
      </c>
      <c r="O861">
        <v>2</v>
      </c>
      <c r="P861" t="s">
        <v>69</v>
      </c>
      <c r="Q861" t="s">
        <v>57</v>
      </c>
      <c r="R861">
        <v>2</v>
      </c>
      <c r="S861">
        <v>8</v>
      </c>
      <c r="T861" t="s">
        <v>40</v>
      </c>
      <c r="U861" t="s">
        <v>42</v>
      </c>
      <c r="V861" t="s">
        <v>43</v>
      </c>
      <c r="W861" s="1">
        <v>45552</v>
      </c>
      <c r="X861" t="b">
        <v>1</v>
      </c>
      <c r="Y861" t="b">
        <v>0</v>
      </c>
      <c r="Z861" t="s">
        <v>72</v>
      </c>
      <c r="AA861" t="s">
        <v>77</v>
      </c>
      <c r="AB861">
        <v>5</v>
      </c>
      <c r="AF861" t="str">
        <f>tbl_OriginalData[[#This Row],[Customer_ID]]</f>
        <v>11-850-1953</v>
      </c>
      <c r="AG861">
        <f>tbl_OriginalData[[#This Row],[Age]]</f>
        <v>32</v>
      </c>
      <c r="AH861" t="str" cm="1">
        <f t="array" ref="AH86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61" t="str">
        <f>tbl_OriginalData[[#This Row],[Gender]]</f>
        <v>Genderfluid</v>
      </c>
      <c r="AJ861" t="str">
        <f>tbl_OriginalData[[#This Row],[Income_Level]]</f>
        <v>Middle</v>
      </c>
      <c r="AK861" t="str">
        <f>tbl_OriginalData[[#This Row],[Marital_Status]]</f>
        <v>Single</v>
      </c>
      <c r="AL861" t="str">
        <f>tbl_OriginalData[[#This Row],[Education_Level]]</f>
        <v>High School</v>
      </c>
      <c r="AM861" t="str">
        <f>tbl_OriginalData[[#This Row],[Occupation]]</f>
        <v>Middle</v>
      </c>
      <c r="AN861" t="s">
        <v>1960</v>
      </c>
      <c r="AO861" t="s">
        <v>61</v>
      </c>
      <c r="AP861" t="str">
        <f>tbl_OriginalData[[#This Row],[Purchase_Category]]</f>
        <v>Packages)</v>
      </c>
      <c r="AQ861" s="4">
        <f>tbl_OriginalData[[#This Row],[Purchase_Amount]]</f>
        <v>293.64</v>
      </c>
      <c r="AR861">
        <f>tbl_OriginalData[[#This Row],[Frequency_of_Purchase]]</f>
        <v>3</v>
      </c>
      <c r="AS861" t="str">
        <f>tbl_OriginalData[[#This Row],[Purchase_Channel]]</f>
        <v>In-Store</v>
      </c>
      <c r="AT861">
        <f>tbl_OriginalData[[#This Row],[Brand_Loyalty]]</f>
        <v>2</v>
      </c>
      <c r="AU861">
        <f>tbl_OriginalData[[#This Row],[Product_Rating]]</f>
        <v>1</v>
      </c>
      <c r="AV861">
        <f>tbl_OriginalData[[#This Row],[Time_Spent_on_Product_Research(hours)]]*60</f>
        <v>120</v>
      </c>
      <c r="AW861" t="str">
        <f>tbl_OriginalData[[#This Row],[Social_Media_Influence]]</f>
        <v>Low</v>
      </c>
      <c r="AX861" t="str">
        <f>tbl_OriginalData[[#This Row],[Discount_Sensitivity]]</f>
        <v>Not Sensitive</v>
      </c>
      <c r="AY861" s="3">
        <f>tbl_OriginalData[[#This Row],[Return_Rate]]/tbl_OriginalData[[#This Row],[Frequency_of_Purchase]]</f>
        <v>0.66666666666666663</v>
      </c>
      <c r="AZ861">
        <f>tbl_OriginalData[[#This Row],[Customer_Satisfaction]]</f>
        <v>8</v>
      </c>
      <c r="BA861" t="str">
        <f>tbl_OriginalData[[#This Row],[Engagement_with_Ads]]</f>
        <v>None</v>
      </c>
      <c r="BB861" t="str">
        <f>tbl_OriginalData[[#This Row],[Device_Used_for_Shopping]]</f>
        <v>Tablet</v>
      </c>
      <c r="BC861" t="str">
        <f>tbl_OriginalData[[#This Row],[Payment_Method]]</f>
        <v>Credit Card</v>
      </c>
      <c r="BD861" s="1">
        <f>tbl_OriginalData[[#This Row],[Time_of_Purchase]]</f>
        <v>45552</v>
      </c>
      <c r="BE861" t="str">
        <f>IF(tbl_OriginalData[[#This Row],[Discount_Used]]=TRUE,"Yes","No")</f>
        <v>Yes</v>
      </c>
      <c r="BF861" t="str">
        <f>IF(tbl_OriginalData[[#This Row],[Customer_Loyalty_Program_Member]]=TRUE,"Yes","No")</f>
        <v>No</v>
      </c>
      <c r="BG861" t="str">
        <f>tbl_OriginalData[[#This Row],[Purchase_Intent]]</f>
        <v>Impulsive</v>
      </c>
      <c r="BH861" t="str">
        <f>tbl_OriginalData[[#This Row],[Shipping_Preference]]</f>
        <v>Express</v>
      </c>
      <c r="BI861">
        <f>tbl_OriginalData[[#This Row],[Time_to_Decision]]</f>
        <v>5</v>
      </c>
      <c r="BJ861" t="s">
        <v>172</v>
      </c>
      <c r="BK861" t="s">
        <v>115</v>
      </c>
      <c r="BL861" t="s">
        <v>2524</v>
      </c>
    </row>
    <row r="862" spans="1:64">
      <c r="A862" t="s">
        <v>1961</v>
      </c>
      <c r="B862">
        <v>24</v>
      </c>
      <c r="C862" t="s">
        <v>50</v>
      </c>
      <c r="D862" t="s">
        <v>51</v>
      </c>
      <c r="E862" t="s">
        <v>35</v>
      </c>
      <c r="F862" t="s">
        <v>52</v>
      </c>
      <c r="G862" t="s">
        <v>51</v>
      </c>
      <c r="H862" t="s">
        <v>1962</v>
      </c>
      <c r="I862" t="s">
        <v>98</v>
      </c>
      <c r="J862">
        <v>185.83</v>
      </c>
      <c r="K862">
        <v>11</v>
      </c>
      <c r="L862" t="s">
        <v>55</v>
      </c>
      <c r="M862">
        <v>4</v>
      </c>
      <c r="N862">
        <v>2</v>
      </c>
      <c r="O862">
        <v>2</v>
      </c>
      <c r="P862" t="s">
        <v>69</v>
      </c>
      <c r="Q862" t="s">
        <v>57</v>
      </c>
      <c r="R862">
        <v>2</v>
      </c>
      <c r="S862">
        <v>9</v>
      </c>
      <c r="T862" t="s">
        <v>56</v>
      </c>
      <c r="U862" t="s">
        <v>95</v>
      </c>
      <c r="V862" t="s">
        <v>76</v>
      </c>
      <c r="W862" s="1">
        <v>45582</v>
      </c>
      <c r="X862" t="b">
        <v>0</v>
      </c>
      <c r="Y862" t="b">
        <v>1</v>
      </c>
      <c r="Z862" t="s">
        <v>72</v>
      </c>
      <c r="AA862" t="s">
        <v>60</v>
      </c>
      <c r="AB862">
        <v>1</v>
      </c>
      <c r="AF862" t="str">
        <f>tbl_OriginalData[[#This Row],[Customer_ID]]</f>
        <v>20-421-2544</v>
      </c>
      <c r="AG862">
        <f>tbl_OriginalData[[#This Row],[Age]]</f>
        <v>24</v>
      </c>
      <c r="AH862" t="str" cm="1">
        <f t="array" ref="AH86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62" t="str">
        <f>tbl_OriginalData[[#This Row],[Gender]]</f>
        <v>Male</v>
      </c>
      <c r="AJ862" t="str">
        <f>tbl_OriginalData[[#This Row],[Income_Level]]</f>
        <v>High</v>
      </c>
      <c r="AK862" t="str">
        <f>tbl_OriginalData[[#This Row],[Marital_Status]]</f>
        <v>Married</v>
      </c>
      <c r="AL862" t="str">
        <f>tbl_OriginalData[[#This Row],[Education_Level]]</f>
        <v>High School</v>
      </c>
      <c r="AM862" t="str">
        <f>tbl_OriginalData[[#This Row],[Occupation]]</f>
        <v>High</v>
      </c>
      <c r="AN862" t="s">
        <v>1962</v>
      </c>
      <c r="AO862" t="s">
        <v>1829</v>
      </c>
      <c r="AP862" t="str">
        <f>tbl_OriginalData[[#This Row],[Purchase_Category]]</f>
        <v>Books</v>
      </c>
      <c r="AQ862" s="4">
        <f>tbl_OriginalData[[#This Row],[Purchase_Amount]]</f>
        <v>185.83</v>
      </c>
      <c r="AR862">
        <f>tbl_OriginalData[[#This Row],[Frequency_of_Purchase]]</f>
        <v>11</v>
      </c>
      <c r="AS862" t="str">
        <f>tbl_OriginalData[[#This Row],[Purchase_Channel]]</f>
        <v>In-Store</v>
      </c>
      <c r="AT862">
        <f>tbl_OriginalData[[#This Row],[Brand_Loyalty]]</f>
        <v>4</v>
      </c>
      <c r="AU862">
        <f>tbl_OriginalData[[#This Row],[Product_Rating]]</f>
        <v>2</v>
      </c>
      <c r="AV862">
        <f>tbl_OriginalData[[#This Row],[Time_Spent_on_Product_Research(hours)]]*60</f>
        <v>120</v>
      </c>
      <c r="AW862" t="str">
        <f>tbl_OriginalData[[#This Row],[Social_Media_Influence]]</f>
        <v>Low</v>
      </c>
      <c r="AX862" t="str">
        <f>tbl_OriginalData[[#This Row],[Discount_Sensitivity]]</f>
        <v>Not Sensitive</v>
      </c>
      <c r="AY862" s="3">
        <f>tbl_OriginalData[[#This Row],[Return_Rate]]/tbl_OriginalData[[#This Row],[Frequency_of_Purchase]]</f>
        <v>0.18181818181818182</v>
      </c>
      <c r="AZ862">
        <f>tbl_OriginalData[[#This Row],[Customer_Satisfaction]]</f>
        <v>9</v>
      </c>
      <c r="BA862" t="str">
        <f>tbl_OriginalData[[#This Row],[Engagement_with_Ads]]</f>
        <v>Medium</v>
      </c>
      <c r="BB862" t="str">
        <f>tbl_OriginalData[[#This Row],[Device_Used_for_Shopping]]</f>
        <v>Desktop</v>
      </c>
      <c r="BC862" t="str">
        <f>tbl_OriginalData[[#This Row],[Payment_Method]]</f>
        <v>Other</v>
      </c>
      <c r="BD862" s="1">
        <f>tbl_OriginalData[[#This Row],[Time_of_Purchase]]</f>
        <v>45582</v>
      </c>
      <c r="BE862" t="str">
        <f>IF(tbl_OriginalData[[#This Row],[Discount_Used]]=TRUE,"Yes","No")</f>
        <v>No</v>
      </c>
      <c r="BF862" t="str">
        <f>IF(tbl_OriginalData[[#This Row],[Customer_Loyalty_Program_Member]]=TRUE,"Yes","No")</f>
        <v>Yes</v>
      </c>
      <c r="BG862" t="str">
        <f>tbl_OriginalData[[#This Row],[Purchase_Intent]]</f>
        <v>Impulsive</v>
      </c>
      <c r="BH862" t="str">
        <f>tbl_OriginalData[[#This Row],[Shipping_Preference]]</f>
        <v>Standard</v>
      </c>
      <c r="BI862">
        <f>tbl_OriginalData[[#This Row],[Time_to_Decision]]</f>
        <v>1</v>
      </c>
      <c r="BJ862" t="s">
        <v>79</v>
      </c>
      <c r="BK862" t="s">
        <v>80</v>
      </c>
      <c r="BL862" t="s">
        <v>2524</v>
      </c>
    </row>
    <row r="863" spans="1:64">
      <c r="A863" t="s">
        <v>1963</v>
      </c>
      <c r="B863">
        <v>27</v>
      </c>
      <c r="C863" t="s">
        <v>50</v>
      </c>
      <c r="D863" t="s">
        <v>51</v>
      </c>
      <c r="E863" t="s">
        <v>92</v>
      </c>
      <c r="F863" t="s">
        <v>66</v>
      </c>
      <c r="G863" t="s">
        <v>34</v>
      </c>
      <c r="H863" t="s">
        <v>1964</v>
      </c>
      <c r="I863" t="s">
        <v>68</v>
      </c>
      <c r="J863">
        <v>117.13</v>
      </c>
      <c r="K863">
        <v>7</v>
      </c>
      <c r="L863" t="s">
        <v>39</v>
      </c>
      <c r="M863">
        <v>1</v>
      </c>
      <c r="N863">
        <v>1</v>
      </c>
      <c r="O863">
        <v>2</v>
      </c>
      <c r="P863" t="s">
        <v>51</v>
      </c>
      <c r="Q863" t="s">
        <v>41</v>
      </c>
      <c r="R863">
        <v>1</v>
      </c>
      <c r="S863">
        <v>10</v>
      </c>
      <c r="T863" t="s">
        <v>51</v>
      </c>
      <c r="U863" t="s">
        <v>70</v>
      </c>
      <c r="V863" t="s">
        <v>43</v>
      </c>
      <c r="W863" s="1">
        <v>45512</v>
      </c>
      <c r="X863" t="b">
        <v>1</v>
      </c>
      <c r="Y863" t="b">
        <v>1</v>
      </c>
      <c r="Z863" t="s">
        <v>89</v>
      </c>
      <c r="AA863" t="s">
        <v>77</v>
      </c>
      <c r="AB863">
        <v>6</v>
      </c>
      <c r="AF863" t="str">
        <f>tbl_OriginalData[[#This Row],[Customer_ID]]</f>
        <v>37-100-8709</v>
      </c>
      <c r="AG863">
        <f>tbl_OriginalData[[#This Row],[Age]]</f>
        <v>27</v>
      </c>
      <c r="AH863" t="str" cm="1">
        <f t="array" ref="AH86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63" t="str">
        <f>tbl_OriginalData[[#This Row],[Gender]]</f>
        <v>Male</v>
      </c>
      <c r="AJ863" t="str">
        <f>tbl_OriginalData[[#This Row],[Income_Level]]</f>
        <v>High</v>
      </c>
      <c r="AK863" t="str">
        <f>tbl_OriginalData[[#This Row],[Marital_Status]]</f>
        <v>Divorced</v>
      </c>
      <c r="AL863" t="str">
        <f>tbl_OriginalData[[#This Row],[Education_Level]]</f>
        <v>Master's</v>
      </c>
      <c r="AM863" t="str">
        <f>tbl_OriginalData[[#This Row],[Occupation]]</f>
        <v>Middle</v>
      </c>
      <c r="AN863" t="s">
        <v>1964</v>
      </c>
      <c r="AO863" t="s">
        <v>109</v>
      </c>
      <c r="AP863" t="str">
        <f>tbl_OriginalData[[#This Row],[Purchase_Category]]</f>
        <v>Office Supplies</v>
      </c>
      <c r="AQ863" s="4">
        <f>tbl_OriginalData[[#This Row],[Purchase_Amount]]</f>
        <v>117.13</v>
      </c>
      <c r="AR863">
        <f>tbl_OriginalData[[#This Row],[Frequency_of_Purchase]]</f>
        <v>7</v>
      </c>
      <c r="AS863" t="str">
        <f>tbl_OriginalData[[#This Row],[Purchase_Channel]]</f>
        <v>Mixed</v>
      </c>
      <c r="AT863">
        <f>tbl_OriginalData[[#This Row],[Brand_Loyalty]]</f>
        <v>1</v>
      </c>
      <c r="AU863">
        <f>tbl_OriginalData[[#This Row],[Product_Rating]]</f>
        <v>1</v>
      </c>
      <c r="AV863">
        <f>tbl_OriginalData[[#This Row],[Time_Spent_on_Product_Research(hours)]]*60</f>
        <v>120</v>
      </c>
      <c r="AW863" t="str">
        <f>tbl_OriginalData[[#This Row],[Social_Media_Influence]]</f>
        <v>High</v>
      </c>
      <c r="AX863" t="str">
        <f>tbl_OriginalData[[#This Row],[Discount_Sensitivity]]</f>
        <v>Somewhat Sensitive</v>
      </c>
      <c r="AY863" s="3">
        <f>tbl_OriginalData[[#This Row],[Return_Rate]]/tbl_OriginalData[[#This Row],[Frequency_of_Purchase]]</f>
        <v>0.14285714285714285</v>
      </c>
      <c r="AZ863">
        <f>tbl_OriginalData[[#This Row],[Customer_Satisfaction]]</f>
        <v>10</v>
      </c>
      <c r="BA863" t="str">
        <f>tbl_OriginalData[[#This Row],[Engagement_with_Ads]]</f>
        <v>High</v>
      </c>
      <c r="BB863" t="str">
        <f>tbl_OriginalData[[#This Row],[Device_Used_for_Shopping]]</f>
        <v>Smartphone</v>
      </c>
      <c r="BC863" t="str">
        <f>tbl_OriginalData[[#This Row],[Payment_Method]]</f>
        <v>Credit Card</v>
      </c>
      <c r="BD863" s="1">
        <f>tbl_OriginalData[[#This Row],[Time_of_Purchase]]</f>
        <v>45512</v>
      </c>
      <c r="BE863" t="str">
        <f>IF(tbl_OriginalData[[#This Row],[Discount_Used]]=TRUE,"Yes","No")</f>
        <v>Yes</v>
      </c>
      <c r="BF863" t="str">
        <f>IF(tbl_OriginalData[[#This Row],[Customer_Loyalty_Program_Member]]=TRUE,"Yes","No")</f>
        <v>Yes</v>
      </c>
      <c r="BG863" t="str">
        <f>tbl_OriginalData[[#This Row],[Purchase_Intent]]</f>
        <v>Planned</v>
      </c>
      <c r="BH863" t="str">
        <f>tbl_OriginalData[[#This Row],[Shipping_Preference]]</f>
        <v>Express</v>
      </c>
      <c r="BI863">
        <f>tbl_OriginalData[[#This Row],[Time_to_Decision]]</f>
        <v>6</v>
      </c>
      <c r="BJ863" t="s">
        <v>124</v>
      </c>
      <c r="BK863" t="s">
        <v>115</v>
      </c>
      <c r="BL863" t="s">
        <v>2526</v>
      </c>
    </row>
    <row r="864" spans="1:64">
      <c r="A864" t="s">
        <v>1965</v>
      </c>
      <c r="B864">
        <v>44</v>
      </c>
      <c r="C864" t="s">
        <v>33</v>
      </c>
      <c r="D864" t="s">
        <v>34</v>
      </c>
      <c r="E864" t="s">
        <v>35</v>
      </c>
      <c r="F864" t="s">
        <v>66</v>
      </c>
      <c r="G864" t="s">
        <v>51</v>
      </c>
      <c r="H864" t="s">
        <v>1966</v>
      </c>
      <c r="I864" t="s">
        <v>68</v>
      </c>
      <c r="J864">
        <v>52.24</v>
      </c>
      <c r="K864">
        <v>11</v>
      </c>
      <c r="L864" t="s">
        <v>55</v>
      </c>
      <c r="M864">
        <v>3</v>
      </c>
      <c r="N864">
        <v>1</v>
      </c>
      <c r="O864">
        <v>0</v>
      </c>
      <c r="P864" t="s">
        <v>69</v>
      </c>
      <c r="Q864" t="s">
        <v>57</v>
      </c>
      <c r="R864">
        <v>2</v>
      </c>
      <c r="S864">
        <v>4</v>
      </c>
      <c r="T864" t="s">
        <v>51</v>
      </c>
      <c r="U864" t="s">
        <v>70</v>
      </c>
      <c r="V864" t="s">
        <v>43</v>
      </c>
      <c r="W864" s="1">
        <v>45638</v>
      </c>
      <c r="X864" t="b">
        <v>1</v>
      </c>
      <c r="Y864" t="b">
        <v>1</v>
      </c>
      <c r="Z864" t="s">
        <v>72</v>
      </c>
      <c r="AA864" t="s">
        <v>60</v>
      </c>
      <c r="AB864">
        <v>8</v>
      </c>
      <c r="AF864" t="str">
        <f>tbl_OriginalData[[#This Row],[Customer_ID]]</f>
        <v>78-361-5100</v>
      </c>
      <c r="AG864">
        <f>tbl_OriginalData[[#This Row],[Age]]</f>
        <v>44</v>
      </c>
      <c r="AH864" t="str" cm="1">
        <f t="array" ref="AH86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64" t="str">
        <f>tbl_OriginalData[[#This Row],[Gender]]</f>
        <v>Female</v>
      </c>
      <c r="AJ864" t="str">
        <f>tbl_OriginalData[[#This Row],[Income_Level]]</f>
        <v>Middle</v>
      </c>
      <c r="AK864" t="str">
        <f>tbl_OriginalData[[#This Row],[Marital_Status]]</f>
        <v>Married</v>
      </c>
      <c r="AL864" t="str">
        <f>tbl_OriginalData[[#This Row],[Education_Level]]</f>
        <v>Master's</v>
      </c>
      <c r="AM864" t="str">
        <f>tbl_OriginalData[[#This Row],[Occupation]]</f>
        <v>High</v>
      </c>
      <c r="AN864" t="s">
        <v>1966</v>
      </c>
      <c r="AO864" t="s">
        <v>342</v>
      </c>
      <c r="AP864" t="str">
        <f>tbl_OriginalData[[#This Row],[Purchase_Category]]</f>
        <v>Office Supplies</v>
      </c>
      <c r="AQ864" s="4">
        <f>tbl_OriginalData[[#This Row],[Purchase_Amount]]</f>
        <v>52.24</v>
      </c>
      <c r="AR864">
        <f>tbl_OriginalData[[#This Row],[Frequency_of_Purchase]]</f>
        <v>11</v>
      </c>
      <c r="AS864" t="str">
        <f>tbl_OriginalData[[#This Row],[Purchase_Channel]]</f>
        <v>In-Store</v>
      </c>
      <c r="AT864">
        <f>tbl_OriginalData[[#This Row],[Brand_Loyalty]]</f>
        <v>3</v>
      </c>
      <c r="AU864">
        <f>tbl_OriginalData[[#This Row],[Product_Rating]]</f>
        <v>1</v>
      </c>
      <c r="AV864">
        <f>tbl_OriginalData[[#This Row],[Time_Spent_on_Product_Research(hours)]]*60</f>
        <v>0</v>
      </c>
      <c r="AW864" t="str">
        <f>tbl_OriginalData[[#This Row],[Social_Media_Influence]]</f>
        <v>Low</v>
      </c>
      <c r="AX864" t="str">
        <f>tbl_OriginalData[[#This Row],[Discount_Sensitivity]]</f>
        <v>Not Sensitive</v>
      </c>
      <c r="AY864" s="3">
        <f>tbl_OriginalData[[#This Row],[Return_Rate]]/tbl_OriginalData[[#This Row],[Frequency_of_Purchase]]</f>
        <v>0.18181818181818182</v>
      </c>
      <c r="AZ864">
        <f>tbl_OriginalData[[#This Row],[Customer_Satisfaction]]</f>
        <v>4</v>
      </c>
      <c r="BA864" t="str">
        <f>tbl_OriginalData[[#This Row],[Engagement_with_Ads]]</f>
        <v>High</v>
      </c>
      <c r="BB864" t="str">
        <f>tbl_OriginalData[[#This Row],[Device_Used_for_Shopping]]</f>
        <v>Smartphone</v>
      </c>
      <c r="BC864" t="str">
        <f>tbl_OriginalData[[#This Row],[Payment_Method]]</f>
        <v>Credit Card</v>
      </c>
      <c r="BD864" s="1">
        <f>tbl_OriginalData[[#This Row],[Time_of_Purchase]]</f>
        <v>45638</v>
      </c>
      <c r="BE864" t="str">
        <f>IF(tbl_OriginalData[[#This Row],[Discount_Used]]=TRUE,"Yes","No")</f>
        <v>Yes</v>
      </c>
      <c r="BF864" t="str">
        <f>IF(tbl_OriginalData[[#This Row],[Customer_Loyalty_Program_Member]]=TRUE,"Yes","No")</f>
        <v>Yes</v>
      </c>
      <c r="BG864" t="str">
        <f>tbl_OriginalData[[#This Row],[Purchase_Intent]]</f>
        <v>Impulsive</v>
      </c>
      <c r="BH864" t="str">
        <f>tbl_OriginalData[[#This Row],[Shipping_Preference]]</f>
        <v>Standard</v>
      </c>
      <c r="BI864">
        <f>tbl_OriginalData[[#This Row],[Time_to_Decision]]</f>
        <v>8</v>
      </c>
      <c r="BJ864" t="s">
        <v>120</v>
      </c>
      <c r="BK864" t="s">
        <v>80</v>
      </c>
      <c r="BL864" t="s">
        <v>2524</v>
      </c>
    </row>
    <row r="865" spans="1:64">
      <c r="A865" t="s">
        <v>1967</v>
      </c>
      <c r="B865">
        <v>28</v>
      </c>
      <c r="C865" t="s">
        <v>33</v>
      </c>
      <c r="D865" t="s">
        <v>51</v>
      </c>
      <c r="E865" t="s">
        <v>35</v>
      </c>
      <c r="F865" t="s">
        <v>36</v>
      </c>
      <c r="G865" t="s">
        <v>51</v>
      </c>
      <c r="H865" t="s">
        <v>1968</v>
      </c>
      <c r="I865" t="s">
        <v>153</v>
      </c>
      <c r="J865">
        <v>446.69</v>
      </c>
      <c r="K865">
        <v>7</v>
      </c>
      <c r="L865" t="s">
        <v>55</v>
      </c>
      <c r="M865">
        <v>4</v>
      </c>
      <c r="N865">
        <v>5</v>
      </c>
      <c r="O865">
        <v>2</v>
      </c>
      <c r="P865" t="s">
        <v>56</v>
      </c>
      <c r="Q865" t="s">
        <v>41</v>
      </c>
      <c r="R865">
        <v>1</v>
      </c>
      <c r="S865">
        <v>5</v>
      </c>
      <c r="T865" t="s">
        <v>51</v>
      </c>
      <c r="U865" t="s">
        <v>70</v>
      </c>
      <c r="V865" t="s">
        <v>102</v>
      </c>
      <c r="W865" s="1">
        <v>45455</v>
      </c>
      <c r="X865" t="b">
        <v>0</v>
      </c>
      <c r="Y865" t="b">
        <v>1</v>
      </c>
      <c r="Z865" t="s">
        <v>89</v>
      </c>
      <c r="AA865" t="s">
        <v>45</v>
      </c>
      <c r="AB865">
        <v>13</v>
      </c>
      <c r="AF865" t="str">
        <f>tbl_OriginalData[[#This Row],[Customer_ID]]</f>
        <v>67-676-5945</v>
      </c>
      <c r="AG865">
        <f>tbl_OriginalData[[#This Row],[Age]]</f>
        <v>28</v>
      </c>
      <c r="AH865" t="str" cm="1">
        <f t="array" ref="AH86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65" t="str">
        <f>tbl_OriginalData[[#This Row],[Gender]]</f>
        <v>Female</v>
      </c>
      <c r="AJ865" t="str">
        <f>tbl_OriginalData[[#This Row],[Income_Level]]</f>
        <v>High</v>
      </c>
      <c r="AK865" t="str">
        <f>tbl_OriginalData[[#This Row],[Marital_Status]]</f>
        <v>Married</v>
      </c>
      <c r="AL865" t="str">
        <f>tbl_OriginalData[[#This Row],[Education_Level]]</f>
        <v>Bachelor's</v>
      </c>
      <c r="AM865" t="str">
        <f>tbl_OriginalData[[#This Row],[Occupation]]</f>
        <v>High</v>
      </c>
      <c r="AN865" t="s">
        <v>1968</v>
      </c>
      <c r="AO865" t="s">
        <v>194</v>
      </c>
      <c r="AP865" t="str">
        <f>tbl_OriginalData[[#This Row],[Purchase_Category]]</f>
        <v>Baby Products</v>
      </c>
      <c r="AQ865" s="4">
        <f>tbl_OriginalData[[#This Row],[Purchase_Amount]]</f>
        <v>446.69</v>
      </c>
      <c r="AR865">
        <f>tbl_OriginalData[[#This Row],[Frequency_of_Purchase]]</f>
        <v>7</v>
      </c>
      <c r="AS865" t="str">
        <f>tbl_OriginalData[[#This Row],[Purchase_Channel]]</f>
        <v>In-Store</v>
      </c>
      <c r="AT865">
        <f>tbl_OriginalData[[#This Row],[Brand_Loyalty]]</f>
        <v>4</v>
      </c>
      <c r="AU865">
        <f>tbl_OriginalData[[#This Row],[Product_Rating]]</f>
        <v>5</v>
      </c>
      <c r="AV865">
        <f>tbl_OriginalData[[#This Row],[Time_Spent_on_Product_Research(hours)]]*60</f>
        <v>120</v>
      </c>
      <c r="AW865" t="str">
        <f>tbl_OriginalData[[#This Row],[Social_Media_Influence]]</f>
        <v>Medium</v>
      </c>
      <c r="AX865" t="str">
        <f>tbl_OriginalData[[#This Row],[Discount_Sensitivity]]</f>
        <v>Somewhat Sensitive</v>
      </c>
      <c r="AY865" s="3">
        <f>tbl_OriginalData[[#This Row],[Return_Rate]]/tbl_OriginalData[[#This Row],[Frequency_of_Purchase]]</f>
        <v>0.14285714285714285</v>
      </c>
      <c r="AZ865">
        <f>tbl_OriginalData[[#This Row],[Customer_Satisfaction]]</f>
        <v>5</v>
      </c>
      <c r="BA865" t="str">
        <f>tbl_OriginalData[[#This Row],[Engagement_with_Ads]]</f>
        <v>High</v>
      </c>
      <c r="BB865" t="str">
        <f>tbl_OriginalData[[#This Row],[Device_Used_for_Shopping]]</f>
        <v>Smartphone</v>
      </c>
      <c r="BC865" t="str">
        <f>tbl_OriginalData[[#This Row],[Payment_Method]]</f>
        <v>Cash</v>
      </c>
      <c r="BD865" s="1">
        <f>tbl_OriginalData[[#This Row],[Time_of_Purchase]]</f>
        <v>45455</v>
      </c>
      <c r="BE865" t="str">
        <f>IF(tbl_OriginalData[[#This Row],[Discount_Used]]=TRUE,"Yes","No")</f>
        <v>No</v>
      </c>
      <c r="BF865" t="str">
        <f>IF(tbl_OriginalData[[#This Row],[Customer_Loyalty_Program_Member]]=TRUE,"Yes","No")</f>
        <v>Yes</v>
      </c>
      <c r="BG865" t="str">
        <f>tbl_OriginalData[[#This Row],[Purchase_Intent]]</f>
        <v>Planned</v>
      </c>
      <c r="BH865" t="str">
        <f>tbl_OriginalData[[#This Row],[Shipping_Preference]]</f>
        <v>No Preference</v>
      </c>
      <c r="BI865">
        <f>tbl_OriginalData[[#This Row],[Time_to_Decision]]</f>
        <v>13</v>
      </c>
      <c r="BJ865" t="s">
        <v>104</v>
      </c>
      <c r="BK865" t="s">
        <v>63</v>
      </c>
      <c r="BL865" t="s">
        <v>2524</v>
      </c>
    </row>
    <row r="866" spans="1:64">
      <c r="A866" t="s">
        <v>1969</v>
      </c>
      <c r="B866">
        <v>23</v>
      </c>
      <c r="C866" t="s">
        <v>50</v>
      </c>
      <c r="D866" t="s">
        <v>34</v>
      </c>
      <c r="E866" t="s">
        <v>35</v>
      </c>
      <c r="F866" t="s">
        <v>52</v>
      </c>
      <c r="G866" t="s">
        <v>34</v>
      </c>
      <c r="H866" t="s">
        <v>1970</v>
      </c>
      <c r="I866" t="s">
        <v>143</v>
      </c>
      <c r="J866">
        <v>216.84</v>
      </c>
      <c r="K866">
        <v>5</v>
      </c>
      <c r="L866" t="s">
        <v>55</v>
      </c>
      <c r="M866">
        <v>4</v>
      </c>
      <c r="N866">
        <v>3</v>
      </c>
      <c r="O866">
        <v>1</v>
      </c>
      <c r="P866" t="s">
        <v>69</v>
      </c>
      <c r="Q866" t="s">
        <v>41</v>
      </c>
      <c r="R866">
        <v>1</v>
      </c>
      <c r="S866">
        <v>1</v>
      </c>
      <c r="T866" t="s">
        <v>69</v>
      </c>
      <c r="U866" t="s">
        <v>42</v>
      </c>
      <c r="V866" t="s">
        <v>58</v>
      </c>
      <c r="W866" s="1">
        <v>45379</v>
      </c>
      <c r="X866" t="b">
        <v>0</v>
      </c>
      <c r="Y866" t="b">
        <v>0</v>
      </c>
      <c r="Z866" t="s">
        <v>89</v>
      </c>
      <c r="AA866" t="s">
        <v>77</v>
      </c>
      <c r="AB866">
        <v>5</v>
      </c>
      <c r="AF866" t="str">
        <f>tbl_OriginalData[[#This Row],[Customer_ID]]</f>
        <v>67-639-5838</v>
      </c>
      <c r="AG866">
        <f>tbl_OriginalData[[#This Row],[Age]]</f>
        <v>23</v>
      </c>
      <c r="AH866" t="str" cm="1">
        <f t="array" ref="AH86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66" t="str">
        <f>tbl_OriginalData[[#This Row],[Gender]]</f>
        <v>Male</v>
      </c>
      <c r="AJ866" t="str">
        <f>tbl_OriginalData[[#This Row],[Income_Level]]</f>
        <v>Middle</v>
      </c>
      <c r="AK866" t="str">
        <f>tbl_OriginalData[[#This Row],[Marital_Status]]</f>
        <v>Married</v>
      </c>
      <c r="AL866" t="str">
        <f>tbl_OriginalData[[#This Row],[Education_Level]]</f>
        <v>High School</v>
      </c>
      <c r="AM866" t="str">
        <f>tbl_OriginalData[[#This Row],[Occupation]]</f>
        <v>Middle</v>
      </c>
      <c r="AN866" t="s">
        <v>1970</v>
      </c>
      <c r="AO866" t="s">
        <v>109</v>
      </c>
      <c r="AP866" t="str">
        <f>tbl_OriginalData[[#This Row],[Purchase_Category]]</f>
        <v>Packages)</v>
      </c>
      <c r="AQ866" s="4">
        <f>tbl_OriginalData[[#This Row],[Purchase_Amount]]</f>
        <v>216.84</v>
      </c>
      <c r="AR866">
        <f>tbl_OriginalData[[#This Row],[Frequency_of_Purchase]]</f>
        <v>5</v>
      </c>
      <c r="AS866" t="str">
        <f>tbl_OriginalData[[#This Row],[Purchase_Channel]]</f>
        <v>In-Store</v>
      </c>
      <c r="AT866">
        <f>tbl_OriginalData[[#This Row],[Brand_Loyalty]]</f>
        <v>4</v>
      </c>
      <c r="AU866">
        <f>tbl_OriginalData[[#This Row],[Product_Rating]]</f>
        <v>3</v>
      </c>
      <c r="AV866">
        <f>tbl_OriginalData[[#This Row],[Time_Spent_on_Product_Research(hours)]]*60</f>
        <v>60</v>
      </c>
      <c r="AW866" t="str">
        <f>tbl_OriginalData[[#This Row],[Social_Media_Influence]]</f>
        <v>Low</v>
      </c>
      <c r="AX866" t="str">
        <f>tbl_OriginalData[[#This Row],[Discount_Sensitivity]]</f>
        <v>Somewhat Sensitive</v>
      </c>
      <c r="AY866" s="3">
        <f>tbl_OriginalData[[#This Row],[Return_Rate]]/tbl_OriginalData[[#This Row],[Frequency_of_Purchase]]</f>
        <v>0.2</v>
      </c>
      <c r="AZ866">
        <f>tbl_OriginalData[[#This Row],[Customer_Satisfaction]]</f>
        <v>1</v>
      </c>
      <c r="BA866" t="str">
        <f>tbl_OriginalData[[#This Row],[Engagement_with_Ads]]</f>
        <v>Low</v>
      </c>
      <c r="BB866" t="str">
        <f>tbl_OriginalData[[#This Row],[Device_Used_for_Shopping]]</f>
        <v>Tablet</v>
      </c>
      <c r="BC866" t="str">
        <f>tbl_OriginalData[[#This Row],[Payment_Method]]</f>
        <v>PayPal</v>
      </c>
      <c r="BD866" s="1">
        <f>tbl_OriginalData[[#This Row],[Time_of_Purchase]]</f>
        <v>45379</v>
      </c>
      <c r="BE866" t="str">
        <f>IF(tbl_OriginalData[[#This Row],[Discount_Used]]=TRUE,"Yes","No")</f>
        <v>No</v>
      </c>
      <c r="BF866" t="str">
        <f>IF(tbl_OriginalData[[#This Row],[Customer_Loyalty_Program_Member]]=TRUE,"Yes","No")</f>
        <v>No</v>
      </c>
      <c r="BG866" t="str">
        <f>tbl_OriginalData[[#This Row],[Purchase_Intent]]</f>
        <v>Planned</v>
      </c>
      <c r="BH866" t="str">
        <f>tbl_OriginalData[[#This Row],[Shipping_Preference]]</f>
        <v>Express</v>
      </c>
      <c r="BI866">
        <f>tbl_OriginalData[[#This Row],[Time_to_Decision]]</f>
        <v>5</v>
      </c>
      <c r="BJ866" t="s">
        <v>47</v>
      </c>
      <c r="BK866" t="s">
        <v>48</v>
      </c>
      <c r="BL866" t="s">
        <v>2526</v>
      </c>
    </row>
    <row r="867" spans="1:64">
      <c r="A867" t="s">
        <v>1971</v>
      </c>
      <c r="B867">
        <v>42</v>
      </c>
      <c r="C867" t="s">
        <v>33</v>
      </c>
      <c r="D867" t="s">
        <v>51</v>
      </c>
      <c r="E867" t="s">
        <v>92</v>
      </c>
      <c r="F867" t="s">
        <v>52</v>
      </c>
      <c r="G867" t="s">
        <v>51</v>
      </c>
      <c r="H867" t="s">
        <v>1972</v>
      </c>
      <c r="I867" t="s">
        <v>147</v>
      </c>
      <c r="J867">
        <v>75.27</v>
      </c>
      <c r="K867">
        <v>7</v>
      </c>
      <c r="L867" t="s">
        <v>39</v>
      </c>
      <c r="M867">
        <v>3</v>
      </c>
      <c r="N867">
        <v>4</v>
      </c>
      <c r="O867">
        <v>1</v>
      </c>
      <c r="P867" t="s">
        <v>40</v>
      </c>
      <c r="Q867" t="s">
        <v>57</v>
      </c>
      <c r="R867">
        <v>2</v>
      </c>
      <c r="S867">
        <v>3</v>
      </c>
      <c r="T867" t="s">
        <v>40</v>
      </c>
      <c r="U867" t="s">
        <v>95</v>
      </c>
      <c r="V867" t="s">
        <v>58</v>
      </c>
      <c r="W867" s="1">
        <v>45653</v>
      </c>
      <c r="X867" t="b">
        <v>1</v>
      </c>
      <c r="Y867" t="b">
        <v>1</v>
      </c>
      <c r="Z867" t="s">
        <v>72</v>
      </c>
      <c r="AA867" t="s">
        <v>77</v>
      </c>
      <c r="AB867">
        <v>1</v>
      </c>
      <c r="AF867" t="str">
        <f>tbl_OriginalData[[#This Row],[Customer_ID]]</f>
        <v>51-415-1931</v>
      </c>
      <c r="AG867">
        <f>tbl_OriginalData[[#This Row],[Age]]</f>
        <v>42</v>
      </c>
      <c r="AH867" t="str" cm="1">
        <f t="array" ref="AH86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67" t="str">
        <f>tbl_OriginalData[[#This Row],[Gender]]</f>
        <v>Female</v>
      </c>
      <c r="AJ867" t="str">
        <f>tbl_OriginalData[[#This Row],[Income_Level]]</f>
        <v>High</v>
      </c>
      <c r="AK867" t="str">
        <f>tbl_OriginalData[[#This Row],[Marital_Status]]</f>
        <v>Divorced</v>
      </c>
      <c r="AL867" t="str">
        <f>tbl_OriginalData[[#This Row],[Education_Level]]</f>
        <v>High School</v>
      </c>
      <c r="AM867" t="str">
        <f>tbl_OriginalData[[#This Row],[Occupation]]</f>
        <v>High</v>
      </c>
      <c r="AN867" t="s">
        <v>1972</v>
      </c>
      <c r="AO867" t="s">
        <v>186</v>
      </c>
      <c r="AP867" t="str">
        <f>tbl_OriginalData[[#This Row],[Purchase_Category]]</f>
        <v>Electronics</v>
      </c>
      <c r="AQ867" s="4">
        <f>tbl_OriginalData[[#This Row],[Purchase_Amount]]</f>
        <v>75.27</v>
      </c>
      <c r="AR867">
        <f>tbl_OriginalData[[#This Row],[Frequency_of_Purchase]]</f>
        <v>7</v>
      </c>
      <c r="AS867" t="str">
        <f>tbl_OriginalData[[#This Row],[Purchase_Channel]]</f>
        <v>Mixed</v>
      </c>
      <c r="AT867">
        <f>tbl_OriginalData[[#This Row],[Brand_Loyalty]]</f>
        <v>3</v>
      </c>
      <c r="AU867">
        <f>tbl_OriginalData[[#This Row],[Product_Rating]]</f>
        <v>4</v>
      </c>
      <c r="AV867">
        <f>tbl_OriginalData[[#This Row],[Time_Spent_on_Product_Research(hours)]]*60</f>
        <v>60</v>
      </c>
      <c r="AW867" t="str">
        <f>tbl_OriginalData[[#This Row],[Social_Media_Influence]]</f>
        <v>None</v>
      </c>
      <c r="AX867" t="str">
        <f>tbl_OriginalData[[#This Row],[Discount_Sensitivity]]</f>
        <v>Not Sensitive</v>
      </c>
      <c r="AY867" s="3">
        <f>tbl_OriginalData[[#This Row],[Return_Rate]]/tbl_OriginalData[[#This Row],[Frequency_of_Purchase]]</f>
        <v>0.2857142857142857</v>
      </c>
      <c r="AZ867">
        <f>tbl_OriginalData[[#This Row],[Customer_Satisfaction]]</f>
        <v>3</v>
      </c>
      <c r="BA867" t="str">
        <f>tbl_OriginalData[[#This Row],[Engagement_with_Ads]]</f>
        <v>None</v>
      </c>
      <c r="BB867" t="str">
        <f>tbl_OriginalData[[#This Row],[Device_Used_for_Shopping]]</f>
        <v>Desktop</v>
      </c>
      <c r="BC867" t="str">
        <f>tbl_OriginalData[[#This Row],[Payment_Method]]</f>
        <v>PayPal</v>
      </c>
      <c r="BD867" s="1">
        <f>tbl_OriginalData[[#This Row],[Time_of_Purchase]]</f>
        <v>45653</v>
      </c>
      <c r="BE867" t="str">
        <f>IF(tbl_OriginalData[[#This Row],[Discount_Used]]=TRUE,"Yes","No")</f>
        <v>Yes</v>
      </c>
      <c r="BF867" t="str">
        <f>IF(tbl_OriginalData[[#This Row],[Customer_Loyalty_Program_Member]]=TRUE,"Yes","No")</f>
        <v>Yes</v>
      </c>
      <c r="BG867" t="str">
        <f>tbl_OriginalData[[#This Row],[Purchase_Intent]]</f>
        <v>Impulsive</v>
      </c>
      <c r="BH867" t="str">
        <f>tbl_OriginalData[[#This Row],[Shipping_Preference]]</f>
        <v>Express</v>
      </c>
      <c r="BI867">
        <f>tbl_OriginalData[[#This Row],[Time_to_Decision]]</f>
        <v>1</v>
      </c>
      <c r="BJ867" t="s">
        <v>120</v>
      </c>
      <c r="BK867" t="s">
        <v>80</v>
      </c>
      <c r="BL867" t="s">
        <v>2523</v>
      </c>
    </row>
    <row r="868" spans="1:64">
      <c r="A868" t="s">
        <v>1973</v>
      </c>
      <c r="B868">
        <v>20</v>
      </c>
      <c r="C868" t="s">
        <v>50</v>
      </c>
      <c r="D868" t="s">
        <v>34</v>
      </c>
      <c r="E868" t="s">
        <v>82</v>
      </c>
      <c r="F868" t="s">
        <v>66</v>
      </c>
      <c r="G868" t="s">
        <v>51</v>
      </c>
      <c r="H868" t="s">
        <v>1974</v>
      </c>
      <c r="I868" t="s">
        <v>68</v>
      </c>
      <c r="J868">
        <v>308.87</v>
      </c>
      <c r="K868">
        <v>2</v>
      </c>
      <c r="L868" t="s">
        <v>55</v>
      </c>
      <c r="M868">
        <v>3</v>
      </c>
      <c r="N868">
        <v>4</v>
      </c>
      <c r="O868">
        <v>1</v>
      </c>
      <c r="P868" t="s">
        <v>40</v>
      </c>
      <c r="Q868" t="s">
        <v>57</v>
      </c>
      <c r="R868">
        <v>2</v>
      </c>
      <c r="S868">
        <v>2</v>
      </c>
      <c r="T868" t="s">
        <v>40</v>
      </c>
      <c r="U868" t="s">
        <v>42</v>
      </c>
      <c r="V868" t="s">
        <v>102</v>
      </c>
      <c r="W868" s="1">
        <v>45346</v>
      </c>
      <c r="X868" t="b">
        <v>1</v>
      </c>
      <c r="Y868" t="b">
        <v>1</v>
      </c>
      <c r="Z868" t="s">
        <v>72</v>
      </c>
      <c r="AA868" t="s">
        <v>77</v>
      </c>
      <c r="AB868">
        <v>11</v>
      </c>
      <c r="AF868" t="str">
        <f>tbl_OriginalData[[#This Row],[Customer_ID]]</f>
        <v>96-764-3843</v>
      </c>
      <c r="AG868">
        <f>tbl_OriginalData[[#This Row],[Age]]</f>
        <v>20</v>
      </c>
      <c r="AH868" t="str" cm="1">
        <f t="array" ref="AH86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68" t="str">
        <f>tbl_OriginalData[[#This Row],[Gender]]</f>
        <v>Male</v>
      </c>
      <c r="AJ868" t="str">
        <f>tbl_OriginalData[[#This Row],[Income_Level]]</f>
        <v>Middle</v>
      </c>
      <c r="AK868" t="str">
        <f>tbl_OriginalData[[#This Row],[Marital_Status]]</f>
        <v>Widowed</v>
      </c>
      <c r="AL868" t="str">
        <f>tbl_OriginalData[[#This Row],[Education_Level]]</f>
        <v>Master's</v>
      </c>
      <c r="AM868" t="str">
        <f>tbl_OriginalData[[#This Row],[Occupation]]</f>
        <v>High</v>
      </c>
      <c r="AN868" t="s">
        <v>1974</v>
      </c>
      <c r="AO868" t="s">
        <v>61</v>
      </c>
      <c r="AP868" t="str">
        <f>tbl_OriginalData[[#This Row],[Purchase_Category]]</f>
        <v>Office Supplies</v>
      </c>
      <c r="AQ868" s="4">
        <f>tbl_OriginalData[[#This Row],[Purchase_Amount]]</f>
        <v>308.87</v>
      </c>
      <c r="AR868">
        <f>tbl_OriginalData[[#This Row],[Frequency_of_Purchase]]</f>
        <v>2</v>
      </c>
      <c r="AS868" t="str">
        <f>tbl_OriginalData[[#This Row],[Purchase_Channel]]</f>
        <v>In-Store</v>
      </c>
      <c r="AT868">
        <f>tbl_OriginalData[[#This Row],[Brand_Loyalty]]</f>
        <v>3</v>
      </c>
      <c r="AU868">
        <f>tbl_OriginalData[[#This Row],[Product_Rating]]</f>
        <v>4</v>
      </c>
      <c r="AV868">
        <f>tbl_OriginalData[[#This Row],[Time_Spent_on_Product_Research(hours)]]*60</f>
        <v>60</v>
      </c>
      <c r="AW868" t="str">
        <f>tbl_OriginalData[[#This Row],[Social_Media_Influence]]</f>
        <v>None</v>
      </c>
      <c r="AX868" t="str">
        <f>tbl_OriginalData[[#This Row],[Discount_Sensitivity]]</f>
        <v>Not Sensitive</v>
      </c>
      <c r="AY868" s="3">
        <f>tbl_OriginalData[[#This Row],[Return_Rate]]/tbl_OriginalData[[#This Row],[Frequency_of_Purchase]]</f>
        <v>1</v>
      </c>
      <c r="AZ868">
        <f>tbl_OriginalData[[#This Row],[Customer_Satisfaction]]</f>
        <v>2</v>
      </c>
      <c r="BA868" t="str">
        <f>tbl_OriginalData[[#This Row],[Engagement_with_Ads]]</f>
        <v>None</v>
      </c>
      <c r="BB868" t="str">
        <f>tbl_OriginalData[[#This Row],[Device_Used_for_Shopping]]</f>
        <v>Tablet</v>
      </c>
      <c r="BC868" t="str">
        <f>tbl_OriginalData[[#This Row],[Payment_Method]]</f>
        <v>Cash</v>
      </c>
      <c r="BD868" s="1">
        <f>tbl_OriginalData[[#This Row],[Time_of_Purchase]]</f>
        <v>45346</v>
      </c>
      <c r="BE868" t="str">
        <f>IF(tbl_OriginalData[[#This Row],[Discount_Used]]=TRUE,"Yes","No")</f>
        <v>Yes</v>
      </c>
      <c r="BF868" t="str">
        <f>IF(tbl_OriginalData[[#This Row],[Customer_Loyalty_Program_Member]]=TRUE,"Yes","No")</f>
        <v>Yes</v>
      </c>
      <c r="BG868" t="str">
        <f>tbl_OriginalData[[#This Row],[Purchase_Intent]]</f>
        <v>Impulsive</v>
      </c>
      <c r="BH868" t="str">
        <f>tbl_OriginalData[[#This Row],[Shipping_Preference]]</f>
        <v>Express</v>
      </c>
      <c r="BI868">
        <f>tbl_OriginalData[[#This Row],[Time_to_Decision]]</f>
        <v>11</v>
      </c>
      <c r="BJ868" t="s">
        <v>158</v>
      </c>
      <c r="BK868" t="s">
        <v>48</v>
      </c>
      <c r="BL868" t="s">
        <v>2524</v>
      </c>
    </row>
    <row r="869" spans="1:64">
      <c r="A869" t="s">
        <v>1975</v>
      </c>
      <c r="B869">
        <v>49</v>
      </c>
      <c r="C869" t="s">
        <v>50</v>
      </c>
      <c r="D869" t="s">
        <v>51</v>
      </c>
      <c r="E869" t="s">
        <v>92</v>
      </c>
      <c r="F869" t="s">
        <v>66</v>
      </c>
      <c r="G869" t="s">
        <v>34</v>
      </c>
      <c r="H869" t="s">
        <v>1976</v>
      </c>
      <c r="I869" t="s">
        <v>242</v>
      </c>
      <c r="J869">
        <v>169.77</v>
      </c>
      <c r="K869">
        <v>5</v>
      </c>
      <c r="L869" t="s">
        <v>55</v>
      </c>
      <c r="M869">
        <v>1</v>
      </c>
      <c r="N869">
        <v>4</v>
      </c>
      <c r="O869">
        <v>0</v>
      </c>
      <c r="P869" t="s">
        <v>56</v>
      </c>
      <c r="Q869" t="s">
        <v>101</v>
      </c>
      <c r="R869">
        <v>2</v>
      </c>
      <c r="S869">
        <v>9</v>
      </c>
      <c r="T869" t="s">
        <v>40</v>
      </c>
      <c r="U869" t="s">
        <v>95</v>
      </c>
      <c r="V869" t="s">
        <v>76</v>
      </c>
      <c r="W869" s="1">
        <v>45458</v>
      </c>
      <c r="X869" t="b">
        <v>1</v>
      </c>
      <c r="Y869" t="b">
        <v>1</v>
      </c>
      <c r="Z869" t="s">
        <v>59</v>
      </c>
      <c r="AA869" t="s">
        <v>60</v>
      </c>
      <c r="AB869">
        <v>7</v>
      </c>
      <c r="AF869" t="str">
        <f>tbl_OriginalData[[#This Row],[Customer_ID]]</f>
        <v>16-730-2056</v>
      </c>
      <c r="AG869">
        <f>tbl_OriginalData[[#This Row],[Age]]</f>
        <v>49</v>
      </c>
      <c r="AH869" t="str" cm="1">
        <f t="array" ref="AH86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69" t="str">
        <f>tbl_OriginalData[[#This Row],[Gender]]</f>
        <v>Male</v>
      </c>
      <c r="AJ869" t="str">
        <f>tbl_OriginalData[[#This Row],[Income_Level]]</f>
        <v>High</v>
      </c>
      <c r="AK869" t="str">
        <f>tbl_OriginalData[[#This Row],[Marital_Status]]</f>
        <v>Divorced</v>
      </c>
      <c r="AL869" t="str">
        <f>tbl_OriginalData[[#This Row],[Education_Level]]</f>
        <v>Master's</v>
      </c>
      <c r="AM869" t="str">
        <f>tbl_OriginalData[[#This Row],[Occupation]]</f>
        <v>Middle</v>
      </c>
      <c r="AN869" t="s">
        <v>1976</v>
      </c>
      <c r="AO869" t="s">
        <v>497</v>
      </c>
      <c r="AP869" t="str">
        <f>tbl_OriginalData[[#This Row],[Purchase_Category]]</f>
        <v>Travel &amp; Leisure (Flights</v>
      </c>
      <c r="AQ869" s="4">
        <f>tbl_OriginalData[[#This Row],[Purchase_Amount]]</f>
        <v>169.77</v>
      </c>
      <c r="AR869">
        <f>tbl_OriginalData[[#This Row],[Frequency_of_Purchase]]</f>
        <v>5</v>
      </c>
      <c r="AS869" t="str">
        <f>tbl_OriginalData[[#This Row],[Purchase_Channel]]</f>
        <v>In-Store</v>
      </c>
      <c r="AT869">
        <f>tbl_OriginalData[[#This Row],[Brand_Loyalty]]</f>
        <v>1</v>
      </c>
      <c r="AU869">
        <f>tbl_OriginalData[[#This Row],[Product_Rating]]</f>
        <v>4</v>
      </c>
      <c r="AV869">
        <f>tbl_OriginalData[[#This Row],[Time_Spent_on_Product_Research(hours)]]*60</f>
        <v>0</v>
      </c>
      <c r="AW869" t="str">
        <f>tbl_OriginalData[[#This Row],[Social_Media_Influence]]</f>
        <v>Medium</v>
      </c>
      <c r="AX869" t="str">
        <f>tbl_OriginalData[[#This Row],[Discount_Sensitivity]]</f>
        <v>Very Sensitive</v>
      </c>
      <c r="AY869" s="3">
        <f>tbl_OriginalData[[#This Row],[Return_Rate]]/tbl_OriginalData[[#This Row],[Frequency_of_Purchase]]</f>
        <v>0.4</v>
      </c>
      <c r="AZ869">
        <f>tbl_OriginalData[[#This Row],[Customer_Satisfaction]]</f>
        <v>9</v>
      </c>
      <c r="BA869" t="str">
        <f>tbl_OriginalData[[#This Row],[Engagement_with_Ads]]</f>
        <v>None</v>
      </c>
      <c r="BB869" t="str">
        <f>tbl_OriginalData[[#This Row],[Device_Used_for_Shopping]]</f>
        <v>Desktop</v>
      </c>
      <c r="BC869" t="str">
        <f>tbl_OriginalData[[#This Row],[Payment_Method]]</f>
        <v>Other</v>
      </c>
      <c r="BD869" s="1">
        <f>tbl_OriginalData[[#This Row],[Time_of_Purchase]]</f>
        <v>45458</v>
      </c>
      <c r="BE869" t="str">
        <f>IF(tbl_OriginalData[[#This Row],[Discount_Used]]=TRUE,"Yes","No")</f>
        <v>Yes</v>
      </c>
      <c r="BF869" t="str">
        <f>IF(tbl_OriginalData[[#This Row],[Customer_Loyalty_Program_Member]]=TRUE,"Yes","No")</f>
        <v>Yes</v>
      </c>
      <c r="BG869" t="str">
        <f>tbl_OriginalData[[#This Row],[Purchase_Intent]]</f>
        <v>Wants-based</v>
      </c>
      <c r="BH869" t="str">
        <f>tbl_OriginalData[[#This Row],[Shipping_Preference]]</f>
        <v>Standard</v>
      </c>
      <c r="BI869">
        <f>tbl_OriginalData[[#This Row],[Time_to_Decision]]</f>
        <v>7</v>
      </c>
      <c r="BJ869" t="s">
        <v>104</v>
      </c>
      <c r="BK869" t="s">
        <v>63</v>
      </c>
      <c r="BL869" t="s">
        <v>2523</v>
      </c>
    </row>
    <row r="870" spans="1:64">
      <c r="A870" t="s">
        <v>1977</v>
      </c>
      <c r="B870">
        <v>19</v>
      </c>
      <c r="C870" t="s">
        <v>50</v>
      </c>
      <c r="D870" t="s">
        <v>51</v>
      </c>
      <c r="E870" t="s">
        <v>92</v>
      </c>
      <c r="F870" t="s">
        <v>52</v>
      </c>
      <c r="G870" t="s">
        <v>51</v>
      </c>
      <c r="H870" t="s">
        <v>1978</v>
      </c>
      <c r="I870" t="s">
        <v>156</v>
      </c>
      <c r="J870">
        <v>289.08</v>
      </c>
      <c r="K870">
        <v>12</v>
      </c>
      <c r="L870" t="s">
        <v>94</v>
      </c>
      <c r="M870">
        <v>2</v>
      </c>
      <c r="N870">
        <v>1</v>
      </c>
      <c r="O870">
        <v>0</v>
      </c>
      <c r="P870" t="s">
        <v>40</v>
      </c>
      <c r="Q870" t="s">
        <v>101</v>
      </c>
      <c r="R870">
        <v>1</v>
      </c>
      <c r="S870">
        <v>10</v>
      </c>
      <c r="T870" t="s">
        <v>56</v>
      </c>
      <c r="U870" t="s">
        <v>95</v>
      </c>
      <c r="V870" t="s">
        <v>76</v>
      </c>
      <c r="W870" s="1">
        <v>45518</v>
      </c>
      <c r="X870" t="b">
        <v>1</v>
      </c>
      <c r="Y870" t="b">
        <v>1</v>
      </c>
      <c r="Z870" t="s">
        <v>59</v>
      </c>
      <c r="AA870" t="s">
        <v>60</v>
      </c>
      <c r="AB870">
        <v>7</v>
      </c>
      <c r="AF870" t="str">
        <f>tbl_OriginalData[[#This Row],[Customer_ID]]</f>
        <v>22-157-2494</v>
      </c>
      <c r="AG870">
        <f>tbl_OriginalData[[#This Row],[Age]]</f>
        <v>19</v>
      </c>
      <c r="AH870" t="str" cm="1">
        <f t="array" ref="AH87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870" t="str">
        <f>tbl_OriginalData[[#This Row],[Gender]]</f>
        <v>Male</v>
      </c>
      <c r="AJ870" t="str">
        <f>tbl_OriginalData[[#This Row],[Income_Level]]</f>
        <v>High</v>
      </c>
      <c r="AK870" t="str">
        <f>tbl_OriginalData[[#This Row],[Marital_Status]]</f>
        <v>Divorced</v>
      </c>
      <c r="AL870" t="str">
        <f>tbl_OriginalData[[#This Row],[Education_Level]]</f>
        <v>High School</v>
      </c>
      <c r="AM870" t="str">
        <f>tbl_OriginalData[[#This Row],[Occupation]]</f>
        <v>High</v>
      </c>
      <c r="AN870" t="s">
        <v>1978</v>
      </c>
      <c r="AO870" t="s">
        <v>336</v>
      </c>
      <c r="AP870" t="str">
        <f>tbl_OriginalData[[#This Row],[Purchase_Category]]</f>
        <v>Toys &amp; Games</v>
      </c>
      <c r="AQ870" s="4">
        <f>tbl_OriginalData[[#This Row],[Purchase_Amount]]</f>
        <v>289.08</v>
      </c>
      <c r="AR870">
        <f>tbl_OriginalData[[#This Row],[Frequency_of_Purchase]]</f>
        <v>12</v>
      </c>
      <c r="AS870" t="str">
        <f>tbl_OriginalData[[#This Row],[Purchase_Channel]]</f>
        <v>Online</v>
      </c>
      <c r="AT870">
        <f>tbl_OriginalData[[#This Row],[Brand_Loyalty]]</f>
        <v>2</v>
      </c>
      <c r="AU870">
        <f>tbl_OriginalData[[#This Row],[Product_Rating]]</f>
        <v>1</v>
      </c>
      <c r="AV870">
        <f>tbl_OriginalData[[#This Row],[Time_Spent_on_Product_Research(hours)]]*60</f>
        <v>0</v>
      </c>
      <c r="AW870" t="str">
        <f>tbl_OriginalData[[#This Row],[Social_Media_Influence]]</f>
        <v>None</v>
      </c>
      <c r="AX870" t="str">
        <f>tbl_OriginalData[[#This Row],[Discount_Sensitivity]]</f>
        <v>Very Sensitive</v>
      </c>
      <c r="AY870" s="3">
        <f>tbl_OriginalData[[#This Row],[Return_Rate]]/tbl_OriginalData[[#This Row],[Frequency_of_Purchase]]</f>
        <v>8.3333333333333329E-2</v>
      </c>
      <c r="AZ870">
        <f>tbl_OriginalData[[#This Row],[Customer_Satisfaction]]</f>
        <v>10</v>
      </c>
      <c r="BA870" t="str">
        <f>tbl_OriginalData[[#This Row],[Engagement_with_Ads]]</f>
        <v>Medium</v>
      </c>
      <c r="BB870" t="str">
        <f>tbl_OriginalData[[#This Row],[Device_Used_for_Shopping]]</f>
        <v>Desktop</v>
      </c>
      <c r="BC870" t="str">
        <f>tbl_OriginalData[[#This Row],[Payment_Method]]</f>
        <v>Other</v>
      </c>
      <c r="BD870" s="1">
        <f>tbl_OriginalData[[#This Row],[Time_of_Purchase]]</f>
        <v>45518</v>
      </c>
      <c r="BE870" t="str">
        <f>IF(tbl_OriginalData[[#This Row],[Discount_Used]]=TRUE,"Yes","No")</f>
        <v>Yes</v>
      </c>
      <c r="BF870" t="str">
        <f>IF(tbl_OriginalData[[#This Row],[Customer_Loyalty_Program_Member]]=TRUE,"Yes","No")</f>
        <v>Yes</v>
      </c>
      <c r="BG870" t="str">
        <f>tbl_OriginalData[[#This Row],[Purchase_Intent]]</f>
        <v>Wants-based</v>
      </c>
      <c r="BH870" t="str">
        <f>tbl_OriginalData[[#This Row],[Shipping_Preference]]</f>
        <v>Standard</v>
      </c>
      <c r="BI870">
        <f>tbl_OriginalData[[#This Row],[Time_to_Decision]]</f>
        <v>7</v>
      </c>
      <c r="BJ870" t="s">
        <v>124</v>
      </c>
      <c r="BK870" t="s">
        <v>115</v>
      </c>
      <c r="BL870" t="s">
        <v>2525</v>
      </c>
    </row>
    <row r="871" spans="1:64">
      <c r="A871" t="s">
        <v>1979</v>
      </c>
      <c r="B871">
        <v>38</v>
      </c>
      <c r="C871" t="s">
        <v>33</v>
      </c>
      <c r="D871" t="s">
        <v>34</v>
      </c>
      <c r="E871" t="s">
        <v>65</v>
      </c>
      <c r="F871" t="s">
        <v>52</v>
      </c>
      <c r="G871" t="s">
        <v>51</v>
      </c>
      <c r="H871" t="s">
        <v>1980</v>
      </c>
      <c r="I871" t="s">
        <v>242</v>
      </c>
      <c r="J871">
        <v>74.09</v>
      </c>
      <c r="K871">
        <v>10</v>
      </c>
      <c r="L871" t="s">
        <v>39</v>
      </c>
      <c r="M871">
        <v>1</v>
      </c>
      <c r="N871">
        <v>4</v>
      </c>
      <c r="O871">
        <v>2</v>
      </c>
      <c r="P871" t="s">
        <v>40</v>
      </c>
      <c r="Q871" t="s">
        <v>41</v>
      </c>
      <c r="R871">
        <v>2</v>
      </c>
      <c r="S871">
        <v>9</v>
      </c>
      <c r="T871" t="s">
        <v>69</v>
      </c>
      <c r="U871" t="s">
        <v>42</v>
      </c>
      <c r="V871" t="s">
        <v>76</v>
      </c>
      <c r="W871" s="1">
        <v>45427</v>
      </c>
      <c r="X871" t="b">
        <v>1</v>
      </c>
      <c r="Y871" t="b">
        <v>1</v>
      </c>
      <c r="Z871" t="s">
        <v>72</v>
      </c>
      <c r="AA871" t="s">
        <v>60</v>
      </c>
      <c r="AB871">
        <v>8</v>
      </c>
      <c r="AF871" t="str">
        <f>tbl_OriginalData[[#This Row],[Customer_ID]]</f>
        <v>29-341-6463</v>
      </c>
      <c r="AG871">
        <f>tbl_OriginalData[[#This Row],[Age]]</f>
        <v>38</v>
      </c>
      <c r="AH871" t="str" cm="1">
        <f t="array" ref="AH87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71" t="str">
        <f>tbl_OriginalData[[#This Row],[Gender]]</f>
        <v>Female</v>
      </c>
      <c r="AJ871" t="str">
        <f>tbl_OriginalData[[#This Row],[Income_Level]]</f>
        <v>Middle</v>
      </c>
      <c r="AK871" t="str">
        <f>tbl_OriginalData[[#This Row],[Marital_Status]]</f>
        <v>Single</v>
      </c>
      <c r="AL871" t="str">
        <f>tbl_OriginalData[[#This Row],[Education_Level]]</f>
        <v>High School</v>
      </c>
      <c r="AM871" t="str">
        <f>tbl_OriginalData[[#This Row],[Occupation]]</f>
        <v>High</v>
      </c>
      <c r="AN871" t="s">
        <v>1980</v>
      </c>
      <c r="AO871" t="s">
        <v>132</v>
      </c>
      <c r="AP871" t="str">
        <f>tbl_OriginalData[[#This Row],[Purchase_Category]]</f>
        <v>Travel &amp; Leisure (Flights</v>
      </c>
      <c r="AQ871" s="4">
        <f>tbl_OriginalData[[#This Row],[Purchase_Amount]]</f>
        <v>74.09</v>
      </c>
      <c r="AR871">
        <f>tbl_OriginalData[[#This Row],[Frequency_of_Purchase]]</f>
        <v>10</v>
      </c>
      <c r="AS871" t="str">
        <f>tbl_OriginalData[[#This Row],[Purchase_Channel]]</f>
        <v>Mixed</v>
      </c>
      <c r="AT871">
        <f>tbl_OriginalData[[#This Row],[Brand_Loyalty]]</f>
        <v>1</v>
      </c>
      <c r="AU871">
        <f>tbl_OriginalData[[#This Row],[Product_Rating]]</f>
        <v>4</v>
      </c>
      <c r="AV871">
        <f>tbl_OriginalData[[#This Row],[Time_Spent_on_Product_Research(hours)]]*60</f>
        <v>120</v>
      </c>
      <c r="AW871" t="str">
        <f>tbl_OriginalData[[#This Row],[Social_Media_Influence]]</f>
        <v>None</v>
      </c>
      <c r="AX871" t="str">
        <f>tbl_OriginalData[[#This Row],[Discount_Sensitivity]]</f>
        <v>Somewhat Sensitive</v>
      </c>
      <c r="AY871" s="3">
        <f>tbl_OriginalData[[#This Row],[Return_Rate]]/tbl_OriginalData[[#This Row],[Frequency_of_Purchase]]</f>
        <v>0.2</v>
      </c>
      <c r="AZ871">
        <f>tbl_OriginalData[[#This Row],[Customer_Satisfaction]]</f>
        <v>9</v>
      </c>
      <c r="BA871" t="str">
        <f>tbl_OriginalData[[#This Row],[Engagement_with_Ads]]</f>
        <v>Low</v>
      </c>
      <c r="BB871" t="str">
        <f>tbl_OriginalData[[#This Row],[Device_Used_for_Shopping]]</f>
        <v>Tablet</v>
      </c>
      <c r="BC871" t="str">
        <f>tbl_OriginalData[[#This Row],[Payment_Method]]</f>
        <v>Other</v>
      </c>
      <c r="BD871" s="1">
        <f>tbl_OriginalData[[#This Row],[Time_of_Purchase]]</f>
        <v>45427</v>
      </c>
      <c r="BE871" t="str">
        <f>IF(tbl_OriginalData[[#This Row],[Discount_Used]]=TRUE,"Yes","No")</f>
        <v>Yes</v>
      </c>
      <c r="BF871" t="str">
        <f>IF(tbl_OriginalData[[#This Row],[Customer_Loyalty_Program_Member]]=TRUE,"Yes","No")</f>
        <v>Yes</v>
      </c>
      <c r="BG871" t="str">
        <f>tbl_OriginalData[[#This Row],[Purchase_Intent]]</f>
        <v>Impulsive</v>
      </c>
      <c r="BH871" t="str">
        <f>tbl_OriginalData[[#This Row],[Shipping_Preference]]</f>
        <v>Standard</v>
      </c>
      <c r="BI871">
        <f>tbl_OriginalData[[#This Row],[Time_to_Decision]]</f>
        <v>8</v>
      </c>
      <c r="BJ871" t="s">
        <v>167</v>
      </c>
      <c r="BK871" t="s">
        <v>63</v>
      </c>
      <c r="BL871" t="s">
        <v>2525</v>
      </c>
    </row>
    <row r="872" spans="1:64">
      <c r="A872" t="s">
        <v>1981</v>
      </c>
      <c r="B872">
        <v>43</v>
      </c>
      <c r="C872" t="s">
        <v>50</v>
      </c>
      <c r="D872" t="s">
        <v>51</v>
      </c>
      <c r="E872" t="s">
        <v>35</v>
      </c>
      <c r="F872" t="s">
        <v>52</v>
      </c>
      <c r="G872" t="s">
        <v>34</v>
      </c>
      <c r="H872" t="s">
        <v>1982</v>
      </c>
      <c r="I872" t="s">
        <v>242</v>
      </c>
      <c r="J872">
        <v>201.53</v>
      </c>
      <c r="K872">
        <v>5</v>
      </c>
      <c r="L872" t="s">
        <v>94</v>
      </c>
      <c r="M872">
        <v>2</v>
      </c>
      <c r="N872">
        <v>3</v>
      </c>
      <c r="O872">
        <v>1</v>
      </c>
      <c r="P872" t="s">
        <v>40</v>
      </c>
      <c r="Q872" t="s">
        <v>57</v>
      </c>
      <c r="R872">
        <v>1</v>
      </c>
      <c r="S872">
        <v>6</v>
      </c>
      <c r="T872" t="s">
        <v>51</v>
      </c>
      <c r="U872" t="s">
        <v>42</v>
      </c>
      <c r="V872" t="s">
        <v>76</v>
      </c>
      <c r="W872" s="1">
        <v>45444</v>
      </c>
      <c r="X872" t="b">
        <v>0</v>
      </c>
      <c r="Y872" t="b">
        <v>1</v>
      </c>
      <c r="Z872" t="s">
        <v>59</v>
      </c>
      <c r="AA872" t="s">
        <v>45</v>
      </c>
      <c r="AB872">
        <v>11</v>
      </c>
      <c r="AF872" t="str">
        <f>tbl_OriginalData[[#This Row],[Customer_ID]]</f>
        <v>64-906-4475</v>
      </c>
      <c r="AG872">
        <f>tbl_OriginalData[[#This Row],[Age]]</f>
        <v>43</v>
      </c>
      <c r="AH872" t="str" cm="1">
        <f t="array" ref="AH87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72" t="str">
        <f>tbl_OriginalData[[#This Row],[Gender]]</f>
        <v>Male</v>
      </c>
      <c r="AJ872" t="str">
        <f>tbl_OriginalData[[#This Row],[Income_Level]]</f>
        <v>High</v>
      </c>
      <c r="AK872" t="str">
        <f>tbl_OriginalData[[#This Row],[Marital_Status]]</f>
        <v>Married</v>
      </c>
      <c r="AL872" t="str">
        <f>tbl_OriginalData[[#This Row],[Education_Level]]</f>
        <v>High School</v>
      </c>
      <c r="AM872" t="str">
        <f>tbl_OriginalData[[#This Row],[Occupation]]</f>
        <v>Middle</v>
      </c>
      <c r="AN872" t="s">
        <v>1982</v>
      </c>
      <c r="AO872" t="s">
        <v>61</v>
      </c>
      <c r="AP872" t="str">
        <f>tbl_OriginalData[[#This Row],[Purchase_Category]]</f>
        <v>Travel &amp; Leisure (Flights</v>
      </c>
      <c r="AQ872" s="4">
        <f>tbl_OriginalData[[#This Row],[Purchase_Amount]]</f>
        <v>201.53</v>
      </c>
      <c r="AR872">
        <f>tbl_OriginalData[[#This Row],[Frequency_of_Purchase]]</f>
        <v>5</v>
      </c>
      <c r="AS872" t="str">
        <f>tbl_OriginalData[[#This Row],[Purchase_Channel]]</f>
        <v>Online</v>
      </c>
      <c r="AT872">
        <f>tbl_OriginalData[[#This Row],[Brand_Loyalty]]</f>
        <v>2</v>
      </c>
      <c r="AU872">
        <f>tbl_OriginalData[[#This Row],[Product_Rating]]</f>
        <v>3</v>
      </c>
      <c r="AV872">
        <f>tbl_OriginalData[[#This Row],[Time_Spent_on_Product_Research(hours)]]*60</f>
        <v>60</v>
      </c>
      <c r="AW872" t="str">
        <f>tbl_OriginalData[[#This Row],[Social_Media_Influence]]</f>
        <v>None</v>
      </c>
      <c r="AX872" t="str">
        <f>tbl_OriginalData[[#This Row],[Discount_Sensitivity]]</f>
        <v>Not Sensitive</v>
      </c>
      <c r="AY872" s="3">
        <f>tbl_OriginalData[[#This Row],[Return_Rate]]/tbl_OriginalData[[#This Row],[Frequency_of_Purchase]]</f>
        <v>0.2</v>
      </c>
      <c r="AZ872">
        <f>tbl_OriginalData[[#This Row],[Customer_Satisfaction]]</f>
        <v>6</v>
      </c>
      <c r="BA872" t="str">
        <f>tbl_OriginalData[[#This Row],[Engagement_with_Ads]]</f>
        <v>High</v>
      </c>
      <c r="BB872" t="str">
        <f>tbl_OriginalData[[#This Row],[Device_Used_for_Shopping]]</f>
        <v>Tablet</v>
      </c>
      <c r="BC872" t="str">
        <f>tbl_OriginalData[[#This Row],[Payment_Method]]</f>
        <v>Other</v>
      </c>
      <c r="BD872" s="1">
        <f>tbl_OriginalData[[#This Row],[Time_of_Purchase]]</f>
        <v>45444</v>
      </c>
      <c r="BE872" t="str">
        <f>IF(tbl_OriginalData[[#This Row],[Discount_Used]]=TRUE,"Yes","No")</f>
        <v>No</v>
      </c>
      <c r="BF872" t="str">
        <f>IF(tbl_OriginalData[[#This Row],[Customer_Loyalty_Program_Member]]=TRUE,"Yes","No")</f>
        <v>Yes</v>
      </c>
      <c r="BG872" t="str">
        <f>tbl_OriginalData[[#This Row],[Purchase_Intent]]</f>
        <v>Wants-based</v>
      </c>
      <c r="BH872" t="str">
        <f>tbl_OriginalData[[#This Row],[Shipping_Preference]]</f>
        <v>No Preference</v>
      </c>
      <c r="BI872">
        <f>tbl_OriginalData[[#This Row],[Time_to_Decision]]</f>
        <v>11</v>
      </c>
      <c r="BJ872" t="s">
        <v>104</v>
      </c>
      <c r="BK872" t="s">
        <v>63</v>
      </c>
      <c r="BL872" t="s">
        <v>2524</v>
      </c>
    </row>
    <row r="873" spans="1:64">
      <c r="A873" t="s">
        <v>1983</v>
      </c>
      <c r="B873">
        <v>38</v>
      </c>
      <c r="C873" t="s">
        <v>50</v>
      </c>
      <c r="D873" t="s">
        <v>34</v>
      </c>
      <c r="E873" t="s">
        <v>92</v>
      </c>
      <c r="F873" t="s">
        <v>36</v>
      </c>
      <c r="G873" t="s">
        <v>51</v>
      </c>
      <c r="H873" t="s">
        <v>1984</v>
      </c>
      <c r="I873" t="s">
        <v>170</v>
      </c>
      <c r="J873">
        <v>244.6</v>
      </c>
      <c r="K873">
        <v>12</v>
      </c>
      <c r="L873" t="s">
        <v>94</v>
      </c>
      <c r="M873">
        <v>4</v>
      </c>
      <c r="N873">
        <v>4</v>
      </c>
      <c r="O873">
        <v>2</v>
      </c>
      <c r="P873" t="s">
        <v>56</v>
      </c>
      <c r="Q873" t="s">
        <v>41</v>
      </c>
      <c r="R873">
        <v>0</v>
      </c>
      <c r="S873">
        <v>6</v>
      </c>
      <c r="T873" t="s">
        <v>40</v>
      </c>
      <c r="U873" t="s">
        <v>42</v>
      </c>
      <c r="V873" t="s">
        <v>76</v>
      </c>
      <c r="W873" s="1">
        <v>45529</v>
      </c>
      <c r="X873" t="b">
        <v>0</v>
      </c>
      <c r="Y873" t="b">
        <v>0</v>
      </c>
      <c r="Z873" t="s">
        <v>59</v>
      </c>
      <c r="AA873" t="s">
        <v>60</v>
      </c>
      <c r="AB873">
        <v>3</v>
      </c>
      <c r="AF873" t="str">
        <f>tbl_OriginalData[[#This Row],[Customer_ID]]</f>
        <v>36-340-8494</v>
      </c>
      <c r="AG873">
        <f>tbl_OriginalData[[#This Row],[Age]]</f>
        <v>38</v>
      </c>
      <c r="AH873" t="str" cm="1">
        <f t="array" ref="AH87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73" t="str">
        <f>tbl_OriginalData[[#This Row],[Gender]]</f>
        <v>Male</v>
      </c>
      <c r="AJ873" t="str">
        <f>tbl_OriginalData[[#This Row],[Income_Level]]</f>
        <v>Middle</v>
      </c>
      <c r="AK873" t="str">
        <f>tbl_OriginalData[[#This Row],[Marital_Status]]</f>
        <v>Divorced</v>
      </c>
      <c r="AL873" t="str">
        <f>tbl_OriginalData[[#This Row],[Education_Level]]</f>
        <v>Bachelor's</v>
      </c>
      <c r="AM873" t="str">
        <f>tbl_OriginalData[[#This Row],[Occupation]]</f>
        <v>High</v>
      </c>
      <c r="AN873" t="s">
        <v>1984</v>
      </c>
      <c r="AO873" t="s">
        <v>376</v>
      </c>
      <c r="AP873" t="str">
        <f>tbl_OriginalData[[#This Row],[Purchase_Category]]</f>
        <v>Arts &amp; Crafts</v>
      </c>
      <c r="AQ873" s="4">
        <f>tbl_OriginalData[[#This Row],[Purchase_Amount]]</f>
        <v>244.6</v>
      </c>
      <c r="AR873">
        <f>tbl_OriginalData[[#This Row],[Frequency_of_Purchase]]</f>
        <v>12</v>
      </c>
      <c r="AS873" t="str">
        <f>tbl_OriginalData[[#This Row],[Purchase_Channel]]</f>
        <v>Online</v>
      </c>
      <c r="AT873">
        <f>tbl_OriginalData[[#This Row],[Brand_Loyalty]]</f>
        <v>4</v>
      </c>
      <c r="AU873">
        <f>tbl_OriginalData[[#This Row],[Product_Rating]]</f>
        <v>4</v>
      </c>
      <c r="AV873">
        <f>tbl_OriginalData[[#This Row],[Time_Spent_on_Product_Research(hours)]]*60</f>
        <v>120</v>
      </c>
      <c r="AW873" t="str">
        <f>tbl_OriginalData[[#This Row],[Social_Media_Influence]]</f>
        <v>Medium</v>
      </c>
      <c r="AX873" t="str">
        <f>tbl_OriginalData[[#This Row],[Discount_Sensitivity]]</f>
        <v>Somewhat Sensitive</v>
      </c>
      <c r="AY873" s="3">
        <f>tbl_OriginalData[[#This Row],[Return_Rate]]/tbl_OriginalData[[#This Row],[Frequency_of_Purchase]]</f>
        <v>0</v>
      </c>
      <c r="AZ873">
        <f>tbl_OriginalData[[#This Row],[Customer_Satisfaction]]</f>
        <v>6</v>
      </c>
      <c r="BA873" t="str">
        <f>tbl_OriginalData[[#This Row],[Engagement_with_Ads]]</f>
        <v>None</v>
      </c>
      <c r="BB873" t="str">
        <f>tbl_OriginalData[[#This Row],[Device_Used_for_Shopping]]</f>
        <v>Tablet</v>
      </c>
      <c r="BC873" t="str">
        <f>tbl_OriginalData[[#This Row],[Payment_Method]]</f>
        <v>Other</v>
      </c>
      <c r="BD873" s="1">
        <f>tbl_OriginalData[[#This Row],[Time_of_Purchase]]</f>
        <v>45529</v>
      </c>
      <c r="BE873" t="str">
        <f>IF(tbl_OriginalData[[#This Row],[Discount_Used]]=TRUE,"Yes","No")</f>
        <v>No</v>
      </c>
      <c r="BF873" t="str">
        <f>IF(tbl_OriginalData[[#This Row],[Customer_Loyalty_Program_Member]]=TRUE,"Yes","No")</f>
        <v>No</v>
      </c>
      <c r="BG873" t="str">
        <f>tbl_OriginalData[[#This Row],[Purchase_Intent]]</f>
        <v>Wants-based</v>
      </c>
      <c r="BH873" t="str">
        <f>tbl_OriginalData[[#This Row],[Shipping_Preference]]</f>
        <v>Standard</v>
      </c>
      <c r="BI873">
        <f>tbl_OriginalData[[#This Row],[Time_to_Decision]]</f>
        <v>3</v>
      </c>
      <c r="BJ873" t="s">
        <v>124</v>
      </c>
      <c r="BK873" t="s">
        <v>115</v>
      </c>
      <c r="BL873" t="s">
        <v>2523</v>
      </c>
    </row>
    <row r="874" spans="1:64">
      <c r="A874" t="s">
        <v>1985</v>
      </c>
      <c r="B874">
        <v>21</v>
      </c>
      <c r="C874" t="s">
        <v>50</v>
      </c>
      <c r="D874" t="s">
        <v>34</v>
      </c>
      <c r="E874" t="s">
        <v>82</v>
      </c>
      <c r="F874" t="s">
        <v>36</v>
      </c>
      <c r="G874" t="s">
        <v>51</v>
      </c>
      <c r="H874" t="s">
        <v>1986</v>
      </c>
      <c r="I874" t="s">
        <v>150</v>
      </c>
      <c r="J874">
        <v>320.5</v>
      </c>
      <c r="K874">
        <v>10</v>
      </c>
      <c r="L874" t="s">
        <v>55</v>
      </c>
      <c r="M874">
        <v>3</v>
      </c>
      <c r="N874">
        <v>4</v>
      </c>
      <c r="O874">
        <v>2</v>
      </c>
      <c r="P874" t="s">
        <v>69</v>
      </c>
      <c r="Q874" t="s">
        <v>41</v>
      </c>
      <c r="R874">
        <v>0</v>
      </c>
      <c r="S874">
        <v>9</v>
      </c>
      <c r="T874" t="s">
        <v>69</v>
      </c>
      <c r="U874" t="s">
        <v>42</v>
      </c>
      <c r="V874" t="s">
        <v>102</v>
      </c>
      <c r="W874" s="1">
        <v>45352</v>
      </c>
      <c r="X874" t="b">
        <v>1</v>
      </c>
      <c r="Y874" t="b">
        <v>0</v>
      </c>
      <c r="Z874" t="s">
        <v>44</v>
      </c>
      <c r="AA874" t="s">
        <v>77</v>
      </c>
      <c r="AB874">
        <v>9</v>
      </c>
      <c r="AF874" t="str">
        <f>tbl_OriginalData[[#This Row],[Customer_ID]]</f>
        <v>77-031-4898</v>
      </c>
      <c r="AG874">
        <f>tbl_OriginalData[[#This Row],[Age]]</f>
        <v>21</v>
      </c>
      <c r="AH874" t="str" cm="1">
        <f t="array" ref="AH87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74" t="str">
        <f>tbl_OriginalData[[#This Row],[Gender]]</f>
        <v>Male</v>
      </c>
      <c r="AJ874" t="str">
        <f>tbl_OriginalData[[#This Row],[Income_Level]]</f>
        <v>Middle</v>
      </c>
      <c r="AK874" t="str">
        <f>tbl_OriginalData[[#This Row],[Marital_Status]]</f>
        <v>Widowed</v>
      </c>
      <c r="AL874" t="str">
        <f>tbl_OriginalData[[#This Row],[Education_Level]]</f>
        <v>Bachelor's</v>
      </c>
      <c r="AM874" t="str">
        <f>tbl_OriginalData[[#This Row],[Occupation]]</f>
        <v>High</v>
      </c>
      <c r="AN874" t="s">
        <v>1986</v>
      </c>
      <c r="AO874" t="s">
        <v>61</v>
      </c>
      <c r="AP874" t="str">
        <f>tbl_OriginalData[[#This Row],[Purchase_Category]]</f>
        <v>Software &amp; Apps</v>
      </c>
      <c r="AQ874" s="4">
        <f>tbl_OriginalData[[#This Row],[Purchase_Amount]]</f>
        <v>320.5</v>
      </c>
      <c r="AR874">
        <f>tbl_OriginalData[[#This Row],[Frequency_of_Purchase]]</f>
        <v>10</v>
      </c>
      <c r="AS874" t="str">
        <f>tbl_OriginalData[[#This Row],[Purchase_Channel]]</f>
        <v>In-Store</v>
      </c>
      <c r="AT874">
        <f>tbl_OriginalData[[#This Row],[Brand_Loyalty]]</f>
        <v>3</v>
      </c>
      <c r="AU874">
        <f>tbl_OriginalData[[#This Row],[Product_Rating]]</f>
        <v>4</v>
      </c>
      <c r="AV874">
        <f>tbl_OriginalData[[#This Row],[Time_Spent_on_Product_Research(hours)]]*60</f>
        <v>120</v>
      </c>
      <c r="AW874" t="str">
        <f>tbl_OriginalData[[#This Row],[Social_Media_Influence]]</f>
        <v>Low</v>
      </c>
      <c r="AX874" t="str">
        <f>tbl_OriginalData[[#This Row],[Discount_Sensitivity]]</f>
        <v>Somewhat Sensitive</v>
      </c>
      <c r="AY874" s="3">
        <f>tbl_OriginalData[[#This Row],[Return_Rate]]/tbl_OriginalData[[#This Row],[Frequency_of_Purchase]]</f>
        <v>0</v>
      </c>
      <c r="AZ874">
        <f>tbl_OriginalData[[#This Row],[Customer_Satisfaction]]</f>
        <v>9</v>
      </c>
      <c r="BA874" t="str">
        <f>tbl_OriginalData[[#This Row],[Engagement_with_Ads]]</f>
        <v>Low</v>
      </c>
      <c r="BB874" t="str">
        <f>tbl_OriginalData[[#This Row],[Device_Used_for_Shopping]]</f>
        <v>Tablet</v>
      </c>
      <c r="BC874" t="str">
        <f>tbl_OriginalData[[#This Row],[Payment_Method]]</f>
        <v>Cash</v>
      </c>
      <c r="BD874" s="1">
        <f>tbl_OriginalData[[#This Row],[Time_of_Purchase]]</f>
        <v>45352</v>
      </c>
      <c r="BE874" t="str">
        <f>IF(tbl_OriginalData[[#This Row],[Discount_Used]]=TRUE,"Yes","No")</f>
        <v>Yes</v>
      </c>
      <c r="BF874" t="str">
        <f>IF(tbl_OriginalData[[#This Row],[Customer_Loyalty_Program_Member]]=TRUE,"Yes","No")</f>
        <v>No</v>
      </c>
      <c r="BG874" t="str">
        <f>tbl_OriginalData[[#This Row],[Purchase_Intent]]</f>
        <v>Need-based</v>
      </c>
      <c r="BH874" t="str">
        <f>tbl_OriginalData[[#This Row],[Shipping_Preference]]</f>
        <v>Express</v>
      </c>
      <c r="BI874">
        <f>tbl_OriginalData[[#This Row],[Time_to_Decision]]</f>
        <v>9</v>
      </c>
      <c r="BJ874" t="s">
        <v>47</v>
      </c>
      <c r="BK874" t="s">
        <v>48</v>
      </c>
      <c r="BL874" t="s">
        <v>2524</v>
      </c>
    </row>
    <row r="875" spans="1:64">
      <c r="A875" t="s">
        <v>1987</v>
      </c>
      <c r="B875">
        <v>27</v>
      </c>
      <c r="C875" t="s">
        <v>50</v>
      </c>
      <c r="D875" t="s">
        <v>34</v>
      </c>
      <c r="E875" t="s">
        <v>82</v>
      </c>
      <c r="F875" t="s">
        <v>66</v>
      </c>
      <c r="G875" t="s">
        <v>34</v>
      </c>
      <c r="H875" t="s">
        <v>1988</v>
      </c>
      <c r="I875" t="s">
        <v>306</v>
      </c>
      <c r="J875">
        <v>91.63</v>
      </c>
      <c r="K875">
        <v>3</v>
      </c>
      <c r="L875" t="s">
        <v>55</v>
      </c>
      <c r="M875">
        <v>5</v>
      </c>
      <c r="N875">
        <v>2</v>
      </c>
      <c r="O875">
        <v>2</v>
      </c>
      <c r="P875" t="s">
        <v>40</v>
      </c>
      <c r="Q875" t="s">
        <v>57</v>
      </c>
      <c r="R875">
        <v>0</v>
      </c>
      <c r="S875">
        <v>10</v>
      </c>
      <c r="T875" t="s">
        <v>40</v>
      </c>
      <c r="U875" t="s">
        <v>42</v>
      </c>
      <c r="V875" t="s">
        <v>71</v>
      </c>
      <c r="W875" s="1">
        <v>45473</v>
      </c>
      <c r="X875" t="b">
        <v>1</v>
      </c>
      <c r="Y875" t="b">
        <v>1</v>
      </c>
      <c r="Z875" t="s">
        <v>59</v>
      </c>
      <c r="AA875" t="s">
        <v>60</v>
      </c>
      <c r="AB875">
        <v>2</v>
      </c>
      <c r="AF875" t="str">
        <f>tbl_OriginalData[[#This Row],[Customer_ID]]</f>
        <v>86-097-9642</v>
      </c>
      <c r="AG875">
        <f>tbl_OriginalData[[#This Row],[Age]]</f>
        <v>27</v>
      </c>
      <c r="AH875" t="str" cm="1">
        <f t="array" ref="AH87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75" t="str">
        <f>tbl_OriginalData[[#This Row],[Gender]]</f>
        <v>Male</v>
      </c>
      <c r="AJ875" t="str">
        <f>tbl_OriginalData[[#This Row],[Income_Level]]</f>
        <v>Middle</v>
      </c>
      <c r="AK875" t="str">
        <f>tbl_OriginalData[[#This Row],[Marital_Status]]</f>
        <v>Widowed</v>
      </c>
      <c r="AL875" t="str">
        <f>tbl_OriginalData[[#This Row],[Education_Level]]</f>
        <v>Master's</v>
      </c>
      <c r="AM875" t="str">
        <f>tbl_OriginalData[[#This Row],[Occupation]]</f>
        <v>Middle</v>
      </c>
      <c r="AN875" t="s">
        <v>1988</v>
      </c>
      <c r="AO875" t="s">
        <v>194</v>
      </c>
      <c r="AP875" t="str">
        <f>tbl_OriginalData[[#This Row],[Purchase_Category]]</f>
        <v>Jewelry &amp; Accessories</v>
      </c>
      <c r="AQ875" s="4">
        <f>tbl_OriginalData[[#This Row],[Purchase_Amount]]</f>
        <v>91.63</v>
      </c>
      <c r="AR875">
        <f>tbl_OriginalData[[#This Row],[Frequency_of_Purchase]]</f>
        <v>3</v>
      </c>
      <c r="AS875" t="str">
        <f>tbl_OriginalData[[#This Row],[Purchase_Channel]]</f>
        <v>In-Store</v>
      </c>
      <c r="AT875">
        <f>tbl_OriginalData[[#This Row],[Brand_Loyalty]]</f>
        <v>5</v>
      </c>
      <c r="AU875">
        <f>tbl_OriginalData[[#This Row],[Product_Rating]]</f>
        <v>2</v>
      </c>
      <c r="AV875">
        <f>tbl_OriginalData[[#This Row],[Time_Spent_on_Product_Research(hours)]]*60</f>
        <v>120</v>
      </c>
      <c r="AW875" t="str">
        <f>tbl_OriginalData[[#This Row],[Social_Media_Influence]]</f>
        <v>None</v>
      </c>
      <c r="AX875" t="str">
        <f>tbl_OriginalData[[#This Row],[Discount_Sensitivity]]</f>
        <v>Not Sensitive</v>
      </c>
      <c r="AY875" s="3">
        <f>tbl_OriginalData[[#This Row],[Return_Rate]]/tbl_OriginalData[[#This Row],[Frequency_of_Purchase]]</f>
        <v>0</v>
      </c>
      <c r="AZ875">
        <f>tbl_OriginalData[[#This Row],[Customer_Satisfaction]]</f>
        <v>10</v>
      </c>
      <c r="BA875" t="str">
        <f>tbl_OriginalData[[#This Row],[Engagement_with_Ads]]</f>
        <v>None</v>
      </c>
      <c r="BB875" t="str">
        <f>tbl_OriginalData[[#This Row],[Device_Used_for_Shopping]]</f>
        <v>Tablet</v>
      </c>
      <c r="BC875" t="str">
        <f>tbl_OriginalData[[#This Row],[Payment_Method]]</f>
        <v>Debit Card</v>
      </c>
      <c r="BD875" s="1">
        <f>tbl_OriginalData[[#This Row],[Time_of_Purchase]]</f>
        <v>45473</v>
      </c>
      <c r="BE875" t="str">
        <f>IF(tbl_OriginalData[[#This Row],[Discount_Used]]=TRUE,"Yes","No")</f>
        <v>Yes</v>
      </c>
      <c r="BF875" t="str">
        <f>IF(tbl_OriginalData[[#This Row],[Customer_Loyalty_Program_Member]]=TRUE,"Yes","No")</f>
        <v>Yes</v>
      </c>
      <c r="BG875" t="str">
        <f>tbl_OriginalData[[#This Row],[Purchase_Intent]]</f>
        <v>Wants-based</v>
      </c>
      <c r="BH875" t="str">
        <f>tbl_OriginalData[[#This Row],[Shipping_Preference]]</f>
        <v>Standard</v>
      </c>
      <c r="BI875">
        <f>tbl_OriginalData[[#This Row],[Time_to_Decision]]</f>
        <v>2</v>
      </c>
      <c r="BJ875" t="s">
        <v>104</v>
      </c>
      <c r="BK875" t="s">
        <v>63</v>
      </c>
      <c r="BL875" t="s">
        <v>2524</v>
      </c>
    </row>
    <row r="876" spans="1:64">
      <c r="A876" t="s">
        <v>1989</v>
      </c>
      <c r="B876">
        <v>35</v>
      </c>
      <c r="C876" t="s">
        <v>50</v>
      </c>
      <c r="D876" t="s">
        <v>34</v>
      </c>
      <c r="E876" t="s">
        <v>35</v>
      </c>
      <c r="F876" t="s">
        <v>66</v>
      </c>
      <c r="G876" t="s">
        <v>51</v>
      </c>
      <c r="H876" t="s">
        <v>1990</v>
      </c>
      <c r="I876" t="s">
        <v>108</v>
      </c>
      <c r="J876">
        <v>251.93</v>
      </c>
      <c r="K876">
        <v>8</v>
      </c>
      <c r="L876" t="s">
        <v>55</v>
      </c>
      <c r="M876">
        <v>3</v>
      </c>
      <c r="N876">
        <v>2</v>
      </c>
      <c r="O876">
        <v>1</v>
      </c>
      <c r="P876" t="s">
        <v>51</v>
      </c>
      <c r="Q876" t="s">
        <v>101</v>
      </c>
      <c r="R876">
        <v>2</v>
      </c>
      <c r="S876">
        <v>3</v>
      </c>
      <c r="T876" t="s">
        <v>40</v>
      </c>
      <c r="U876" t="s">
        <v>42</v>
      </c>
      <c r="V876" t="s">
        <v>71</v>
      </c>
      <c r="W876" s="1">
        <v>45293</v>
      </c>
      <c r="X876" t="b">
        <v>0</v>
      </c>
      <c r="Y876" t="b">
        <v>0</v>
      </c>
      <c r="Z876" t="s">
        <v>44</v>
      </c>
      <c r="AA876" t="s">
        <v>60</v>
      </c>
      <c r="AB876">
        <v>7</v>
      </c>
      <c r="AF876" t="str">
        <f>tbl_OriginalData[[#This Row],[Customer_ID]]</f>
        <v>64-090-3433</v>
      </c>
      <c r="AG876">
        <f>tbl_OriginalData[[#This Row],[Age]]</f>
        <v>35</v>
      </c>
      <c r="AH876" t="str" cm="1">
        <f t="array" ref="AH87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76" t="str">
        <f>tbl_OriginalData[[#This Row],[Gender]]</f>
        <v>Male</v>
      </c>
      <c r="AJ876" t="str">
        <f>tbl_OriginalData[[#This Row],[Income_Level]]</f>
        <v>Middle</v>
      </c>
      <c r="AK876" t="str">
        <f>tbl_OriginalData[[#This Row],[Marital_Status]]</f>
        <v>Married</v>
      </c>
      <c r="AL876" t="str">
        <f>tbl_OriginalData[[#This Row],[Education_Level]]</f>
        <v>Master's</v>
      </c>
      <c r="AM876" t="str">
        <f>tbl_OriginalData[[#This Row],[Occupation]]</f>
        <v>High</v>
      </c>
      <c r="AN876" t="s">
        <v>1990</v>
      </c>
      <c r="AO876" t="s">
        <v>46</v>
      </c>
      <c r="AP876" t="str">
        <f>tbl_OriginalData[[#This Row],[Purchase_Category]]</f>
        <v>Sports &amp; Outdoors</v>
      </c>
      <c r="AQ876" s="4">
        <f>tbl_OriginalData[[#This Row],[Purchase_Amount]]</f>
        <v>251.93</v>
      </c>
      <c r="AR876">
        <f>tbl_OriginalData[[#This Row],[Frequency_of_Purchase]]</f>
        <v>8</v>
      </c>
      <c r="AS876" t="str">
        <f>tbl_OriginalData[[#This Row],[Purchase_Channel]]</f>
        <v>In-Store</v>
      </c>
      <c r="AT876">
        <f>tbl_OriginalData[[#This Row],[Brand_Loyalty]]</f>
        <v>3</v>
      </c>
      <c r="AU876">
        <f>tbl_OriginalData[[#This Row],[Product_Rating]]</f>
        <v>2</v>
      </c>
      <c r="AV876">
        <f>tbl_OriginalData[[#This Row],[Time_Spent_on_Product_Research(hours)]]*60</f>
        <v>60</v>
      </c>
      <c r="AW876" t="str">
        <f>tbl_OriginalData[[#This Row],[Social_Media_Influence]]</f>
        <v>High</v>
      </c>
      <c r="AX876" t="str">
        <f>tbl_OriginalData[[#This Row],[Discount_Sensitivity]]</f>
        <v>Very Sensitive</v>
      </c>
      <c r="AY876" s="3">
        <f>tbl_OriginalData[[#This Row],[Return_Rate]]/tbl_OriginalData[[#This Row],[Frequency_of_Purchase]]</f>
        <v>0.25</v>
      </c>
      <c r="AZ876">
        <f>tbl_OriginalData[[#This Row],[Customer_Satisfaction]]</f>
        <v>3</v>
      </c>
      <c r="BA876" t="str">
        <f>tbl_OriginalData[[#This Row],[Engagement_with_Ads]]</f>
        <v>None</v>
      </c>
      <c r="BB876" t="str">
        <f>tbl_OriginalData[[#This Row],[Device_Used_for_Shopping]]</f>
        <v>Tablet</v>
      </c>
      <c r="BC876" t="str">
        <f>tbl_OriginalData[[#This Row],[Payment_Method]]</f>
        <v>Debit Card</v>
      </c>
      <c r="BD876" s="1">
        <f>tbl_OriginalData[[#This Row],[Time_of_Purchase]]</f>
        <v>45293</v>
      </c>
      <c r="BE876" t="str">
        <f>IF(tbl_OriginalData[[#This Row],[Discount_Used]]=TRUE,"Yes","No")</f>
        <v>No</v>
      </c>
      <c r="BF876" t="str">
        <f>IF(tbl_OriginalData[[#This Row],[Customer_Loyalty_Program_Member]]=TRUE,"Yes","No")</f>
        <v>No</v>
      </c>
      <c r="BG876" t="str">
        <f>tbl_OriginalData[[#This Row],[Purchase_Intent]]</f>
        <v>Need-based</v>
      </c>
      <c r="BH876" t="str">
        <f>tbl_OriginalData[[#This Row],[Shipping_Preference]]</f>
        <v>Standard</v>
      </c>
      <c r="BI876">
        <f>tbl_OriginalData[[#This Row],[Time_to_Decision]]</f>
        <v>7</v>
      </c>
      <c r="BJ876" t="s">
        <v>86</v>
      </c>
      <c r="BK876" t="s">
        <v>48</v>
      </c>
      <c r="BL876" t="s">
        <v>2523</v>
      </c>
    </row>
    <row r="877" spans="1:64">
      <c r="A877" t="s">
        <v>1991</v>
      </c>
      <c r="B877">
        <v>30</v>
      </c>
      <c r="C877" t="s">
        <v>50</v>
      </c>
      <c r="D877" t="s">
        <v>34</v>
      </c>
      <c r="E877" t="s">
        <v>35</v>
      </c>
      <c r="F877" t="s">
        <v>36</v>
      </c>
      <c r="G877" t="s">
        <v>34</v>
      </c>
      <c r="H877" t="s">
        <v>1992</v>
      </c>
      <c r="I877" t="s">
        <v>123</v>
      </c>
      <c r="J877">
        <v>477.35</v>
      </c>
      <c r="K877">
        <v>4</v>
      </c>
      <c r="L877" t="s">
        <v>94</v>
      </c>
      <c r="M877">
        <v>2</v>
      </c>
      <c r="N877">
        <v>5</v>
      </c>
      <c r="O877">
        <v>0</v>
      </c>
      <c r="P877" t="s">
        <v>51</v>
      </c>
      <c r="Q877" t="s">
        <v>101</v>
      </c>
      <c r="R877">
        <v>1</v>
      </c>
      <c r="S877">
        <v>2</v>
      </c>
      <c r="T877" t="s">
        <v>69</v>
      </c>
      <c r="U877" t="s">
        <v>95</v>
      </c>
      <c r="V877" t="s">
        <v>58</v>
      </c>
      <c r="W877" s="1">
        <v>45654</v>
      </c>
      <c r="X877" t="b">
        <v>0</v>
      </c>
      <c r="Y877" t="b">
        <v>0</v>
      </c>
      <c r="Z877" t="s">
        <v>44</v>
      </c>
      <c r="AA877" t="s">
        <v>45</v>
      </c>
      <c r="AB877">
        <v>14</v>
      </c>
      <c r="AF877" t="str">
        <f>tbl_OriginalData[[#This Row],[Customer_ID]]</f>
        <v>96-140-1936</v>
      </c>
      <c r="AG877">
        <f>tbl_OriginalData[[#This Row],[Age]]</f>
        <v>30</v>
      </c>
      <c r="AH877" t="str" cm="1">
        <f t="array" ref="AH87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77" t="str">
        <f>tbl_OriginalData[[#This Row],[Gender]]</f>
        <v>Male</v>
      </c>
      <c r="AJ877" t="str">
        <f>tbl_OriginalData[[#This Row],[Income_Level]]</f>
        <v>Middle</v>
      </c>
      <c r="AK877" t="str">
        <f>tbl_OriginalData[[#This Row],[Marital_Status]]</f>
        <v>Married</v>
      </c>
      <c r="AL877" t="str">
        <f>tbl_OriginalData[[#This Row],[Education_Level]]</f>
        <v>Bachelor's</v>
      </c>
      <c r="AM877" t="str">
        <f>tbl_OriginalData[[#This Row],[Occupation]]</f>
        <v>Middle</v>
      </c>
      <c r="AN877" t="s">
        <v>1992</v>
      </c>
      <c r="AO877" t="s">
        <v>61</v>
      </c>
      <c r="AP877" t="str">
        <f>tbl_OriginalData[[#This Row],[Purchase_Category]]</f>
        <v>Luxury Goods</v>
      </c>
      <c r="AQ877" s="4">
        <f>tbl_OriginalData[[#This Row],[Purchase_Amount]]</f>
        <v>477.35</v>
      </c>
      <c r="AR877">
        <f>tbl_OriginalData[[#This Row],[Frequency_of_Purchase]]</f>
        <v>4</v>
      </c>
      <c r="AS877" t="str">
        <f>tbl_OriginalData[[#This Row],[Purchase_Channel]]</f>
        <v>Online</v>
      </c>
      <c r="AT877">
        <f>tbl_OriginalData[[#This Row],[Brand_Loyalty]]</f>
        <v>2</v>
      </c>
      <c r="AU877">
        <f>tbl_OriginalData[[#This Row],[Product_Rating]]</f>
        <v>5</v>
      </c>
      <c r="AV877">
        <f>tbl_OriginalData[[#This Row],[Time_Spent_on_Product_Research(hours)]]*60</f>
        <v>0</v>
      </c>
      <c r="AW877" t="str">
        <f>tbl_OriginalData[[#This Row],[Social_Media_Influence]]</f>
        <v>High</v>
      </c>
      <c r="AX877" t="str">
        <f>tbl_OriginalData[[#This Row],[Discount_Sensitivity]]</f>
        <v>Very Sensitive</v>
      </c>
      <c r="AY877" s="3">
        <f>tbl_OriginalData[[#This Row],[Return_Rate]]/tbl_OriginalData[[#This Row],[Frequency_of_Purchase]]</f>
        <v>0.25</v>
      </c>
      <c r="AZ877">
        <f>tbl_OriginalData[[#This Row],[Customer_Satisfaction]]</f>
        <v>2</v>
      </c>
      <c r="BA877" t="str">
        <f>tbl_OriginalData[[#This Row],[Engagement_with_Ads]]</f>
        <v>Low</v>
      </c>
      <c r="BB877" t="str">
        <f>tbl_OriginalData[[#This Row],[Device_Used_for_Shopping]]</f>
        <v>Desktop</v>
      </c>
      <c r="BC877" t="str">
        <f>tbl_OriginalData[[#This Row],[Payment_Method]]</f>
        <v>PayPal</v>
      </c>
      <c r="BD877" s="1">
        <f>tbl_OriginalData[[#This Row],[Time_of_Purchase]]</f>
        <v>45654</v>
      </c>
      <c r="BE877" t="str">
        <f>IF(tbl_OriginalData[[#This Row],[Discount_Used]]=TRUE,"Yes","No")</f>
        <v>No</v>
      </c>
      <c r="BF877" t="str">
        <f>IF(tbl_OriginalData[[#This Row],[Customer_Loyalty_Program_Member]]=TRUE,"Yes","No")</f>
        <v>No</v>
      </c>
      <c r="BG877" t="str">
        <f>tbl_OriginalData[[#This Row],[Purchase_Intent]]</f>
        <v>Need-based</v>
      </c>
      <c r="BH877" t="str">
        <f>tbl_OriginalData[[#This Row],[Shipping_Preference]]</f>
        <v>No Preference</v>
      </c>
      <c r="BI877">
        <f>tbl_OriginalData[[#This Row],[Time_to_Decision]]</f>
        <v>14</v>
      </c>
      <c r="BJ877" t="s">
        <v>120</v>
      </c>
      <c r="BK877" t="s">
        <v>80</v>
      </c>
      <c r="BL877" t="s">
        <v>2524</v>
      </c>
    </row>
    <row r="878" spans="1:64">
      <c r="A878" t="s">
        <v>1993</v>
      </c>
      <c r="B878">
        <v>31</v>
      </c>
      <c r="C878" t="s">
        <v>50</v>
      </c>
      <c r="D878" t="s">
        <v>51</v>
      </c>
      <c r="E878" t="s">
        <v>82</v>
      </c>
      <c r="F878" t="s">
        <v>66</v>
      </c>
      <c r="G878" t="s">
        <v>34</v>
      </c>
      <c r="H878" t="s">
        <v>1994</v>
      </c>
      <c r="I878" t="s">
        <v>153</v>
      </c>
      <c r="J878">
        <v>86.63</v>
      </c>
      <c r="K878">
        <v>10</v>
      </c>
      <c r="L878" t="s">
        <v>39</v>
      </c>
      <c r="M878">
        <v>3</v>
      </c>
      <c r="N878">
        <v>1</v>
      </c>
      <c r="O878">
        <v>2</v>
      </c>
      <c r="P878" t="s">
        <v>56</v>
      </c>
      <c r="Q878" t="s">
        <v>41</v>
      </c>
      <c r="R878">
        <v>2</v>
      </c>
      <c r="S878">
        <v>2</v>
      </c>
      <c r="T878" t="s">
        <v>69</v>
      </c>
      <c r="U878" t="s">
        <v>42</v>
      </c>
      <c r="V878" t="s">
        <v>102</v>
      </c>
      <c r="W878" s="1">
        <v>45537</v>
      </c>
      <c r="X878" t="b">
        <v>1</v>
      </c>
      <c r="Y878" t="b">
        <v>0</v>
      </c>
      <c r="Z878" t="s">
        <v>59</v>
      </c>
      <c r="AA878" t="s">
        <v>77</v>
      </c>
      <c r="AB878">
        <v>3</v>
      </c>
      <c r="AF878" t="str">
        <f>tbl_OriginalData[[#This Row],[Customer_ID]]</f>
        <v>38-830-6976</v>
      </c>
      <c r="AG878">
        <f>tbl_OriginalData[[#This Row],[Age]]</f>
        <v>31</v>
      </c>
      <c r="AH878" t="str" cm="1">
        <f t="array" ref="AH87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78" t="str">
        <f>tbl_OriginalData[[#This Row],[Gender]]</f>
        <v>Male</v>
      </c>
      <c r="AJ878" t="str">
        <f>tbl_OriginalData[[#This Row],[Income_Level]]</f>
        <v>High</v>
      </c>
      <c r="AK878" t="str">
        <f>tbl_OriginalData[[#This Row],[Marital_Status]]</f>
        <v>Widowed</v>
      </c>
      <c r="AL878" t="str">
        <f>tbl_OriginalData[[#This Row],[Education_Level]]</f>
        <v>Master's</v>
      </c>
      <c r="AM878" t="str">
        <f>tbl_OriginalData[[#This Row],[Occupation]]</f>
        <v>Middle</v>
      </c>
      <c r="AN878" t="s">
        <v>1994</v>
      </c>
      <c r="AO878" t="s">
        <v>61</v>
      </c>
      <c r="AP878" t="str">
        <f>tbl_OriginalData[[#This Row],[Purchase_Category]]</f>
        <v>Baby Products</v>
      </c>
      <c r="AQ878" s="4">
        <f>tbl_OriginalData[[#This Row],[Purchase_Amount]]</f>
        <v>86.63</v>
      </c>
      <c r="AR878">
        <f>tbl_OriginalData[[#This Row],[Frequency_of_Purchase]]</f>
        <v>10</v>
      </c>
      <c r="AS878" t="str">
        <f>tbl_OriginalData[[#This Row],[Purchase_Channel]]</f>
        <v>Mixed</v>
      </c>
      <c r="AT878">
        <f>tbl_OriginalData[[#This Row],[Brand_Loyalty]]</f>
        <v>3</v>
      </c>
      <c r="AU878">
        <f>tbl_OriginalData[[#This Row],[Product_Rating]]</f>
        <v>1</v>
      </c>
      <c r="AV878">
        <f>tbl_OriginalData[[#This Row],[Time_Spent_on_Product_Research(hours)]]*60</f>
        <v>120</v>
      </c>
      <c r="AW878" t="str">
        <f>tbl_OriginalData[[#This Row],[Social_Media_Influence]]</f>
        <v>Medium</v>
      </c>
      <c r="AX878" t="str">
        <f>tbl_OriginalData[[#This Row],[Discount_Sensitivity]]</f>
        <v>Somewhat Sensitive</v>
      </c>
      <c r="AY878" s="3">
        <f>tbl_OriginalData[[#This Row],[Return_Rate]]/tbl_OriginalData[[#This Row],[Frequency_of_Purchase]]</f>
        <v>0.2</v>
      </c>
      <c r="AZ878">
        <f>tbl_OriginalData[[#This Row],[Customer_Satisfaction]]</f>
        <v>2</v>
      </c>
      <c r="BA878" t="str">
        <f>tbl_OriginalData[[#This Row],[Engagement_with_Ads]]</f>
        <v>Low</v>
      </c>
      <c r="BB878" t="str">
        <f>tbl_OriginalData[[#This Row],[Device_Used_for_Shopping]]</f>
        <v>Tablet</v>
      </c>
      <c r="BC878" t="str">
        <f>tbl_OriginalData[[#This Row],[Payment_Method]]</f>
        <v>Cash</v>
      </c>
      <c r="BD878" s="1">
        <f>tbl_OriginalData[[#This Row],[Time_of_Purchase]]</f>
        <v>45537</v>
      </c>
      <c r="BE878" t="str">
        <f>IF(tbl_OriginalData[[#This Row],[Discount_Used]]=TRUE,"Yes","No")</f>
        <v>Yes</v>
      </c>
      <c r="BF878" t="str">
        <f>IF(tbl_OriginalData[[#This Row],[Customer_Loyalty_Program_Member]]=TRUE,"Yes","No")</f>
        <v>No</v>
      </c>
      <c r="BG878" t="str">
        <f>tbl_OriginalData[[#This Row],[Purchase_Intent]]</f>
        <v>Wants-based</v>
      </c>
      <c r="BH878" t="str">
        <f>tbl_OriginalData[[#This Row],[Shipping_Preference]]</f>
        <v>Express</v>
      </c>
      <c r="BI878">
        <f>tbl_OriginalData[[#This Row],[Time_to_Decision]]</f>
        <v>3</v>
      </c>
      <c r="BJ878" t="s">
        <v>172</v>
      </c>
      <c r="BK878" t="s">
        <v>115</v>
      </c>
      <c r="BL878" t="s">
        <v>2524</v>
      </c>
    </row>
    <row r="879" spans="1:64">
      <c r="A879" t="s">
        <v>1995</v>
      </c>
      <c r="B879">
        <v>50</v>
      </c>
      <c r="C879" t="s">
        <v>106</v>
      </c>
      <c r="D879" t="s">
        <v>51</v>
      </c>
      <c r="E879" t="s">
        <v>92</v>
      </c>
      <c r="F879" t="s">
        <v>52</v>
      </c>
      <c r="G879" t="s">
        <v>51</v>
      </c>
      <c r="H879" t="s">
        <v>1996</v>
      </c>
      <c r="I879" t="s">
        <v>131</v>
      </c>
      <c r="J879">
        <v>474.42</v>
      </c>
      <c r="K879">
        <v>4</v>
      </c>
      <c r="L879" t="s">
        <v>55</v>
      </c>
      <c r="M879">
        <v>2</v>
      </c>
      <c r="N879">
        <v>3</v>
      </c>
      <c r="O879">
        <v>0</v>
      </c>
      <c r="P879" t="s">
        <v>56</v>
      </c>
      <c r="Q879" t="s">
        <v>57</v>
      </c>
      <c r="R879">
        <v>1</v>
      </c>
      <c r="S879">
        <v>9</v>
      </c>
      <c r="T879" t="s">
        <v>40</v>
      </c>
      <c r="U879" t="s">
        <v>95</v>
      </c>
      <c r="V879" t="s">
        <v>71</v>
      </c>
      <c r="W879" s="1">
        <v>45556</v>
      </c>
      <c r="X879" t="b">
        <v>1</v>
      </c>
      <c r="Y879" t="b">
        <v>0</v>
      </c>
      <c r="Z879" t="s">
        <v>44</v>
      </c>
      <c r="AA879" t="s">
        <v>45</v>
      </c>
      <c r="AB879">
        <v>5</v>
      </c>
      <c r="AF879" t="str">
        <f>tbl_OriginalData[[#This Row],[Customer_ID]]</f>
        <v>82-864-1154</v>
      </c>
      <c r="AG879">
        <f>tbl_OriginalData[[#This Row],[Age]]</f>
        <v>50</v>
      </c>
      <c r="AH879" t="str" cm="1">
        <f t="array" ref="AH87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79" t="str">
        <f>tbl_OriginalData[[#This Row],[Gender]]</f>
        <v>Bigender</v>
      </c>
      <c r="AJ879" t="str">
        <f>tbl_OriginalData[[#This Row],[Income_Level]]</f>
        <v>High</v>
      </c>
      <c r="AK879" t="str">
        <f>tbl_OriginalData[[#This Row],[Marital_Status]]</f>
        <v>Divorced</v>
      </c>
      <c r="AL879" t="str">
        <f>tbl_OriginalData[[#This Row],[Education_Level]]</f>
        <v>High School</v>
      </c>
      <c r="AM879" t="str">
        <f>tbl_OriginalData[[#This Row],[Occupation]]</f>
        <v>High</v>
      </c>
      <c r="AN879" t="s">
        <v>1996</v>
      </c>
      <c r="AO879" t="s">
        <v>157</v>
      </c>
      <c r="AP879" t="str">
        <f>tbl_OriginalData[[#This Row],[Purchase_Category]]</f>
        <v>Health Care</v>
      </c>
      <c r="AQ879" s="4">
        <f>tbl_OriginalData[[#This Row],[Purchase_Amount]]</f>
        <v>474.42</v>
      </c>
      <c r="AR879">
        <f>tbl_OriginalData[[#This Row],[Frequency_of_Purchase]]</f>
        <v>4</v>
      </c>
      <c r="AS879" t="str">
        <f>tbl_OriginalData[[#This Row],[Purchase_Channel]]</f>
        <v>In-Store</v>
      </c>
      <c r="AT879">
        <f>tbl_OriginalData[[#This Row],[Brand_Loyalty]]</f>
        <v>2</v>
      </c>
      <c r="AU879">
        <f>tbl_OriginalData[[#This Row],[Product_Rating]]</f>
        <v>3</v>
      </c>
      <c r="AV879">
        <f>tbl_OriginalData[[#This Row],[Time_Spent_on_Product_Research(hours)]]*60</f>
        <v>0</v>
      </c>
      <c r="AW879" t="str">
        <f>tbl_OriginalData[[#This Row],[Social_Media_Influence]]</f>
        <v>Medium</v>
      </c>
      <c r="AX879" t="str">
        <f>tbl_OriginalData[[#This Row],[Discount_Sensitivity]]</f>
        <v>Not Sensitive</v>
      </c>
      <c r="AY879" s="3">
        <f>tbl_OriginalData[[#This Row],[Return_Rate]]/tbl_OriginalData[[#This Row],[Frequency_of_Purchase]]</f>
        <v>0.25</v>
      </c>
      <c r="AZ879">
        <f>tbl_OriginalData[[#This Row],[Customer_Satisfaction]]</f>
        <v>9</v>
      </c>
      <c r="BA879" t="str">
        <f>tbl_OriginalData[[#This Row],[Engagement_with_Ads]]</f>
        <v>None</v>
      </c>
      <c r="BB879" t="str">
        <f>tbl_OriginalData[[#This Row],[Device_Used_for_Shopping]]</f>
        <v>Desktop</v>
      </c>
      <c r="BC879" t="str">
        <f>tbl_OriginalData[[#This Row],[Payment_Method]]</f>
        <v>Debit Card</v>
      </c>
      <c r="BD879" s="1">
        <f>tbl_OriginalData[[#This Row],[Time_of_Purchase]]</f>
        <v>45556</v>
      </c>
      <c r="BE879" t="str">
        <f>IF(tbl_OriginalData[[#This Row],[Discount_Used]]=TRUE,"Yes","No")</f>
        <v>Yes</v>
      </c>
      <c r="BF879" t="str">
        <f>IF(tbl_OriginalData[[#This Row],[Customer_Loyalty_Program_Member]]=TRUE,"Yes","No")</f>
        <v>No</v>
      </c>
      <c r="BG879" t="str">
        <f>tbl_OriginalData[[#This Row],[Purchase_Intent]]</f>
        <v>Need-based</v>
      </c>
      <c r="BH879" t="str">
        <f>tbl_OriginalData[[#This Row],[Shipping_Preference]]</f>
        <v>No Preference</v>
      </c>
      <c r="BI879">
        <f>tbl_OriginalData[[#This Row],[Time_to_Decision]]</f>
        <v>5</v>
      </c>
      <c r="BJ879" t="s">
        <v>172</v>
      </c>
      <c r="BK879" t="s">
        <v>115</v>
      </c>
      <c r="BL879" t="s">
        <v>2523</v>
      </c>
    </row>
    <row r="880" spans="1:64">
      <c r="A880" t="s">
        <v>1997</v>
      </c>
      <c r="B880">
        <v>34</v>
      </c>
      <c r="C880" t="s">
        <v>33</v>
      </c>
      <c r="D880" t="s">
        <v>51</v>
      </c>
      <c r="E880" t="s">
        <v>82</v>
      </c>
      <c r="F880" t="s">
        <v>52</v>
      </c>
      <c r="G880" t="s">
        <v>51</v>
      </c>
      <c r="H880" t="s">
        <v>816</v>
      </c>
      <c r="I880" t="s">
        <v>38</v>
      </c>
      <c r="J880">
        <v>429.24</v>
      </c>
      <c r="K880">
        <v>7</v>
      </c>
      <c r="L880" t="s">
        <v>39</v>
      </c>
      <c r="M880">
        <v>3</v>
      </c>
      <c r="N880">
        <v>5</v>
      </c>
      <c r="O880">
        <v>1</v>
      </c>
      <c r="P880" t="s">
        <v>51</v>
      </c>
      <c r="Q880" t="s">
        <v>57</v>
      </c>
      <c r="R880">
        <v>0</v>
      </c>
      <c r="S880">
        <v>1</v>
      </c>
      <c r="T880" t="s">
        <v>69</v>
      </c>
      <c r="U880" t="s">
        <v>42</v>
      </c>
      <c r="V880" t="s">
        <v>71</v>
      </c>
      <c r="W880" s="1">
        <v>45378</v>
      </c>
      <c r="X880" t="b">
        <v>0</v>
      </c>
      <c r="Y880" t="b">
        <v>0</v>
      </c>
      <c r="Z880" t="s">
        <v>44</v>
      </c>
      <c r="AA880" t="s">
        <v>45</v>
      </c>
      <c r="AB880">
        <v>10</v>
      </c>
      <c r="AF880" t="str">
        <f>tbl_OriginalData[[#This Row],[Customer_ID]]</f>
        <v>79-711-6779</v>
      </c>
      <c r="AG880">
        <f>tbl_OriginalData[[#This Row],[Age]]</f>
        <v>34</v>
      </c>
      <c r="AH880" t="str" cm="1">
        <f t="array" ref="AH88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80" t="str">
        <f>tbl_OriginalData[[#This Row],[Gender]]</f>
        <v>Female</v>
      </c>
      <c r="AJ880" t="str">
        <f>tbl_OriginalData[[#This Row],[Income_Level]]</f>
        <v>High</v>
      </c>
      <c r="AK880" t="str">
        <f>tbl_OriginalData[[#This Row],[Marital_Status]]</f>
        <v>Widowed</v>
      </c>
      <c r="AL880" t="str">
        <f>tbl_OriginalData[[#This Row],[Education_Level]]</f>
        <v>High School</v>
      </c>
      <c r="AM880" t="str">
        <f>tbl_OriginalData[[#This Row],[Occupation]]</f>
        <v>High</v>
      </c>
      <c r="AN880" t="s">
        <v>816</v>
      </c>
      <c r="AO880" t="s">
        <v>290</v>
      </c>
      <c r="AP880" t="str">
        <f>tbl_OriginalData[[#This Row],[Purchase_Category]]</f>
        <v>Gardening &amp; Outdoors</v>
      </c>
      <c r="AQ880" s="4">
        <f>tbl_OriginalData[[#This Row],[Purchase_Amount]]</f>
        <v>429.24</v>
      </c>
      <c r="AR880">
        <f>tbl_OriginalData[[#This Row],[Frequency_of_Purchase]]</f>
        <v>7</v>
      </c>
      <c r="AS880" t="str">
        <f>tbl_OriginalData[[#This Row],[Purchase_Channel]]</f>
        <v>Mixed</v>
      </c>
      <c r="AT880">
        <f>tbl_OriginalData[[#This Row],[Brand_Loyalty]]</f>
        <v>3</v>
      </c>
      <c r="AU880">
        <f>tbl_OriginalData[[#This Row],[Product_Rating]]</f>
        <v>5</v>
      </c>
      <c r="AV880">
        <f>tbl_OriginalData[[#This Row],[Time_Spent_on_Product_Research(hours)]]*60</f>
        <v>60</v>
      </c>
      <c r="AW880" t="str">
        <f>tbl_OriginalData[[#This Row],[Social_Media_Influence]]</f>
        <v>High</v>
      </c>
      <c r="AX880" t="str">
        <f>tbl_OriginalData[[#This Row],[Discount_Sensitivity]]</f>
        <v>Not Sensitive</v>
      </c>
      <c r="AY880" s="3">
        <f>tbl_OriginalData[[#This Row],[Return_Rate]]/tbl_OriginalData[[#This Row],[Frequency_of_Purchase]]</f>
        <v>0</v>
      </c>
      <c r="AZ880">
        <f>tbl_OriginalData[[#This Row],[Customer_Satisfaction]]</f>
        <v>1</v>
      </c>
      <c r="BA880" t="str">
        <f>tbl_OriginalData[[#This Row],[Engagement_with_Ads]]</f>
        <v>Low</v>
      </c>
      <c r="BB880" t="str">
        <f>tbl_OriginalData[[#This Row],[Device_Used_for_Shopping]]</f>
        <v>Tablet</v>
      </c>
      <c r="BC880" t="str">
        <f>tbl_OriginalData[[#This Row],[Payment_Method]]</f>
        <v>Debit Card</v>
      </c>
      <c r="BD880" s="1">
        <f>tbl_OriginalData[[#This Row],[Time_of_Purchase]]</f>
        <v>45378</v>
      </c>
      <c r="BE880" t="str">
        <f>IF(tbl_OriginalData[[#This Row],[Discount_Used]]=TRUE,"Yes","No")</f>
        <v>No</v>
      </c>
      <c r="BF880" t="str">
        <f>IF(tbl_OriginalData[[#This Row],[Customer_Loyalty_Program_Member]]=TRUE,"Yes","No")</f>
        <v>No</v>
      </c>
      <c r="BG880" t="str">
        <f>tbl_OriginalData[[#This Row],[Purchase_Intent]]</f>
        <v>Need-based</v>
      </c>
      <c r="BH880" t="str">
        <f>tbl_OriginalData[[#This Row],[Shipping_Preference]]</f>
        <v>No Preference</v>
      </c>
      <c r="BI880">
        <f>tbl_OriginalData[[#This Row],[Time_to_Decision]]</f>
        <v>10</v>
      </c>
      <c r="BJ880" t="s">
        <v>47</v>
      </c>
      <c r="BK880" t="s">
        <v>48</v>
      </c>
      <c r="BL880" t="s">
        <v>2524</v>
      </c>
    </row>
    <row r="881" spans="1:64">
      <c r="A881" t="s">
        <v>1998</v>
      </c>
      <c r="B881">
        <v>24</v>
      </c>
      <c r="C881" t="s">
        <v>33</v>
      </c>
      <c r="D881" t="s">
        <v>51</v>
      </c>
      <c r="E881" t="s">
        <v>35</v>
      </c>
      <c r="F881" t="s">
        <v>52</v>
      </c>
      <c r="G881" t="s">
        <v>51</v>
      </c>
      <c r="H881" t="s">
        <v>1999</v>
      </c>
      <c r="I881" t="s">
        <v>75</v>
      </c>
      <c r="J881">
        <v>470.38</v>
      </c>
      <c r="K881">
        <v>8</v>
      </c>
      <c r="L881" t="s">
        <v>39</v>
      </c>
      <c r="M881">
        <v>2</v>
      </c>
      <c r="N881">
        <v>4</v>
      </c>
      <c r="O881">
        <v>0</v>
      </c>
      <c r="P881" t="s">
        <v>56</v>
      </c>
      <c r="Q881" t="s">
        <v>57</v>
      </c>
      <c r="R881">
        <v>2</v>
      </c>
      <c r="S881">
        <v>3</v>
      </c>
      <c r="T881" t="s">
        <v>51</v>
      </c>
      <c r="U881" t="s">
        <v>70</v>
      </c>
      <c r="V881" t="s">
        <v>76</v>
      </c>
      <c r="W881" s="1">
        <v>45607</v>
      </c>
      <c r="X881" t="b">
        <v>1</v>
      </c>
      <c r="Y881" t="b">
        <v>1</v>
      </c>
      <c r="Z881" t="s">
        <v>72</v>
      </c>
      <c r="AA881" t="s">
        <v>60</v>
      </c>
      <c r="AB881">
        <v>9</v>
      </c>
      <c r="AF881" t="str">
        <f>tbl_OriginalData[[#This Row],[Customer_ID]]</f>
        <v>22-860-9860</v>
      </c>
      <c r="AG881">
        <f>tbl_OriginalData[[#This Row],[Age]]</f>
        <v>24</v>
      </c>
      <c r="AH881" t="str" cm="1">
        <f t="array" ref="AH88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81" t="str">
        <f>tbl_OriginalData[[#This Row],[Gender]]</f>
        <v>Female</v>
      </c>
      <c r="AJ881" t="str">
        <f>tbl_OriginalData[[#This Row],[Income_Level]]</f>
        <v>High</v>
      </c>
      <c r="AK881" t="str">
        <f>tbl_OriginalData[[#This Row],[Marital_Status]]</f>
        <v>Married</v>
      </c>
      <c r="AL881" t="str">
        <f>tbl_OriginalData[[#This Row],[Education_Level]]</f>
        <v>High School</v>
      </c>
      <c r="AM881" t="str">
        <f>tbl_OriginalData[[#This Row],[Occupation]]</f>
        <v>High</v>
      </c>
      <c r="AN881" t="s">
        <v>1999</v>
      </c>
      <c r="AO881" t="s">
        <v>90</v>
      </c>
      <c r="AP881" t="str">
        <f>tbl_OriginalData[[#This Row],[Purchase_Category]]</f>
        <v>Home Appliances</v>
      </c>
      <c r="AQ881" s="4">
        <f>tbl_OriginalData[[#This Row],[Purchase_Amount]]</f>
        <v>470.38</v>
      </c>
      <c r="AR881">
        <f>tbl_OriginalData[[#This Row],[Frequency_of_Purchase]]</f>
        <v>8</v>
      </c>
      <c r="AS881" t="str">
        <f>tbl_OriginalData[[#This Row],[Purchase_Channel]]</f>
        <v>Mixed</v>
      </c>
      <c r="AT881">
        <f>tbl_OriginalData[[#This Row],[Brand_Loyalty]]</f>
        <v>2</v>
      </c>
      <c r="AU881">
        <f>tbl_OriginalData[[#This Row],[Product_Rating]]</f>
        <v>4</v>
      </c>
      <c r="AV881">
        <f>tbl_OriginalData[[#This Row],[Time_Spent_on_Product_Research(hours)]]*60</f>
        <v>0</v>
      </c>
      <c r="AW881" t="str">
        <f>tbl_OriginalData[[#This Row],[Social_Media_Influence]]</f>
        <v>Medium</v>
      </c>
      <c r="AX881" t="str">
        <f>tbl_OriginalData[[#This Row],[Discount_Sensitivity]]</f>
        <v>Not Sensitive</v>
      </c>
      <c r="AY881" s="3">
        <f>tbl_OriginalData[[#This Row],[Return_Rate]]/tbl_OriginalData[[#This Row],[Frequency_of_Purchase]]</f>
        <v>0.25</v>
      </c>
      <c r="AZ881">
        <f>tbl_OriginalData[[#This Row],[Customer_Satisfaction]]</f>
        <v>3</v>
      </c>
      <c r="BA881" t="str">
        <f>tbl_OriginalData[[#This Row],[Engagement_with_Ads]]</f>
        <v>High</v>
      </c>
      <c r="BB881" t="str">
        <f>tbl_OriginalData[[#This Row],[Device_Used_for_Shopping]]</f>
        <v>Smartphone</v>
      </c>
      <c r="BC881" t="str">
        <f>tbl_OriginalData[[#This Row],[Payment_Method]]</f>
        <v>Other</v>
      </c>
      <c r="BD881" s="1">
        <f>tbl_OriginalData[[#This Row],[Time_of_Purchase]]</f>
        <v>45607</v>
      </c>
      <c r="BE881" t="str">
        <f>IF(tbl_OriginalData[[#This Row],[Discount_Used]]=TRUE,"Yes","No")</f>
        <v>Yes</v>
      </c>
      <c r="BF881" t="str">
        <f>IF(tbl_OriginalData[[#This Row],[Customer_Loyalty_Program_Member]]=TRUE,"Yes","No")</f>
        <v>Yes</v>
      </c>
      <c r="BG881" t="str">
        <f>tbl_OriginalData[[#This Row],[Purchase_Intent]]</f>
        <v>Impulsive</v>
      </c>
      <c r="BH881" t="str">
        <f>tbl_OriginalData[[#This Row],[Shipping_Preference]]</f>
        <v>Standard</v>
      </c>
      <c r="BI881">
        <f>tbl_OriginalData[[#This Row],[Time_to_Decision]]</f>
        <v>9</v>
      </c>
      <c r="BJ881" t="s">
        <v>177</v>
      </c>
      <c r="BK881" t="s">
        <v>80</v>
      </c>
      <c r="BL881" t="s">
        <v>2524</v>
      </c>
    </row>
    <row r="882" spans="1:64">
      <c r="A882" t="s">
        <v>2000</v>
      </c>
      <c r="B882">
        <v>32</v>
      </c>
      <c r="C882" t="s">
        <v>33</v>
      </c>
      <c r="D882" t="s">
        <v>34</v>
      </c>
      <c r="E882" t="s">
        <v>65</v>
      </c>
      <c r="F882" t="s">
        <v>66</v>
      </c>
      <c r="G882" t="s">
        <v>51</v>
      </c>
      <c r="H882" t="s">
        <v>2001</v>
      </c>
      <c r="I882" t="s">
        <v>38</v>
      </c>
      <c r="J882">
        <v>495.8</v>
      </c>
      <c r="K882">
        <v>4</v>
      </c>
      <c r="L882" t="s">
        <v>39</v>
      </c>
      <c r="M882">
        <v>1</v>
      </c>
      <c r="N882">
        <v>2</v>
      </c>
      <c r="O882">
        <v>1</v>
      </c>
      <c r="P882" t="s">
        <v>69</v>
      </c>
      <c r="Q882" t="s">
        <v>57</v>
      </c>
      <c r="R882">
        <v>0</v>
      </c>
      <c r="S882">
        <v>7</v>
      </c>
      <c r="T882" t="s">
        <v>40</v>
      </c>
      <c r="U882" t="s">
        <v>42</v>
      </c>
      <c r="V882" t="s">
        <v>58</v>
      </c>
      <c r="W882" s="1">
        <v>45551</v>
      </c>
      <c r="X882" t="b">
        <v>1</v>
      </c>
      <c r="Y882" t="b">
        <v>1</v>
      </c>
      <c r="Z882" t="s">
        <v>59</v>
      </c>
      <c r="AA882" t="s">
        <v>60</v>
      </c>
      <c r="AB882">
        <v>10</v>
      </c>
      <c r="AF882" t="str">
        <f>tbl_OriginalData[[#This Row],[Customer_ID]]</f>
        <v>72-590-6161</v>
      </c>
      <c r="AG882">
        <f>tbl_OriginalData[[#This Row],[Age]]</f>
        <v>32</v>
      </c>
      <c r="AH882" t="str" cm="1">
        <f t="array" ref="AH88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82" t="str">
        <f>tbl_OriginalData[[#This Row],[Gender]]</f>
        <v>Female</v>
      </c>
      <c r="AJ882" t="str">
        <f>tbl_OriginalData[[#This Row],[Income_Level]]</f>
        <v>Middle</v>
      </c>
      <c r="AK882" t="str">
        <f>tbl_OriginalData[[#This Row],[Marital_Status]]</f>
        <v>Single</v>
      </c>
      <c r="AL882" t="str">
        <f>tbl_OriginalData[[#This Row],[Education_Level]]</f>
        <v>Master's</v>
      </c>
      <c r="AM882" t="str">
        <f>tbl_OriginalData[[#This Row],[Occupation]]</f>
        <v>High</v>
      </c>
      <c r="AN882" t="s">
        <v>2001</v>
      </c>
      <c r="AO882" t="s">
        <v>700</v>
      </c>
      <c r="AP882" t="str">
        <f>tbl_OriginalData[[#This Row],[Purchase_Category]]</f>
        <v>Gardening &amp; Outdoors</v>
      </c>
      <c r="AQ882" s="4">
        <f>tbl_OriginalData[[#This Row],[Purchase_Amount]]</f>
        <v>495.8</v>
      </c>
      <c r="AR882">
        <f>tbl_OriginalData[[#This Row],[Frequency_of_Purchase]]</f>
        <v>4</v>
      </c>
      <c r="AS882" t="str">
        <f>tbl_OriginalData[[#This Row],[Purchase_Channel]]</f>
        <v>Mixed</v>
      </c>
      <c r="AT882">
        <f>tbl_OriginalData[[#This Row],[Brand_Loyalty]]</f>
        <v>1</v>
      </c>
      <c r="AU882">
        <f>tbl_OriginalData[[#This Row],[Product_Rating]]</f>
        <v>2</v>
      </c>
      <c r="AV882">
        <f>tbl_OriginalData[[#This Row],[Time_Spent_on_Product_Research(hours)]]*60</f>
        <v>60</v>
      </c>
      <c r="AW882" t="str">
        <f>tbl_OriginalData[[#This Row],[Social_Media_Influence]]</f>
        <v>Low</v>
      </c>
      <c r="AX882" t="str">
        <f>tbl_OriginalData[[#This Row],[Discount_Sensitivity]]</f>
        <v>Not Sensitive</v>
      </c>
      <c r="AY882" s="3">
        <f>tbl_OriginalData[[#This Row],[Return_Rate]]/tbl_OriginalData[[#This Row],[Frequency_of_Purchase]]</f>
        <v>0</v>
      </c>
      <c r="AZ882">
        <f>tbl_OriginalData[[#This Row],[Customer_Satisfaction]]</f>
        <v>7</v>
      </c>
      <c r="BA882" t="str">
        <f>tbl_OriginalData[[#This Row],[Engagement_with_Ads]]</f>
        <v>None</v>
      </c>
      <c r="BB882" t="str">
        <f>tbl_OriginalData[[#This Row],[Device_Used_for_Shopping]]</f>
        <v>Tablet</v>
      </c>
      <c r="BC882" t="str">
        <f>tbl_OriginalData[[#This Row],[Payment_Method]]</f>
        <v>PayPal</v>
      </c>
      <c r="BD882" s="1">
        <f>tbl_OriginalData[[#This Row],[Time_of_Purchase]]</f>
        <v>45551</v>
      </c>
      <c r="BE882" t="str">
        <f>IF(tbl_OriginalData[[#This Row],[Discount_Used]]=TRUE,"Yes","No")</f>
        <v>Yes</v>
      </c>
      <c r="BF882" t="str">
        <f>IF(tbl_OriginalData[[#This Row],[Customer_Loyalty_Program_Member]]=TRUE,"Yes","No")</f>
        <v>Yes</v>
      </c>
      <c r="BG882" t="str">
        <f>tbl_OriginalData[[#This Row],[Purchase_Intent]]</f>
        <v>Wants-based</v>
      </c>
      <c r="BH882" t="str">
        <f>tbl_OriginalData[[#This Row],[Shipping_Preference]]</f>
        <v>Standard</v>
      </c>
      <c r="BI882">
        <f>tbl_OriginalData[[#This Row],[Time_to_Decision]]</f>
        <v>10</v>
      </c>
      <c r="BJ882" t="s">
        <v>172</v>
      </c>
      <c r="BK882" t="s">
        <v>115</v>
      </c>
      <c r="BL882" t="s">
        <v>2528</v>
      </c>
    </row>
    <row r="883" spans="1:64">
      <c r="A883" t="s">
        <v>2002</v>
      </c>
      <c r="B883">
        <v>21</v>
      </c>
      <c r="C883" t="s">
        <v>33</v>
      </c>
      <c r="D883" t="s">
        <v>51</v>
      </c>
      <c r="E883" t="s">
        <v>82</v>
      </c>
      <c r="F883" t="s">
        <v>36</v>
      </c>
      <c r="G883" t="s">
        <v>34</v>
      </c>
      <c r="H883" t="s">
        <v>2003</v>
      </c>
      <c r="I883" t="s">
        <v>147</v>
      </c>
      <c r="J883">
        <v>129.63999999999999</v>
      </c>
      <c r="K883">
        <v>4</v>
      </c>
      <c r="L883" t="s">
        <v>55</v>
      </c>
      <c r="M883">
        <v>3</v>
      </c>
      <c r="N883">
        <v>1</v>
      </c>
      <c r="O883">
        <v>2</v>
      </c>
      <c r="P883" t="s">
        <v>40</v>
      </c>
      <c r="Q883" t="s">
        <v>57</v>
      </c>
      <c r="R883">
        <v>1</v>
      </c>
      <c r="S883">
        <v>3</v>
      </c>
      <c r="T883" t="s">
        <v>69</v>
      </c>
      <c r="U883" t="s">
        <v>95</v>
      </c>
      <c r="V883" t="s">
        <v>71</v>
      </c>
      <c r="W883" s="1">
        <v>45439</v>
      </c>
      <c r="X883" t="b">
        <v>0</v>
      </c>
      <c r="Y883" t="b">
        <v>1</v>
      </c>
      <c r="Z883" t="s">
        <v>44</v>
      </c>
      <c r="AA883" t="s">
        <v>77</v>
      </c>
      <c r="AB883">
        <v>3</v>
      </c>
      <c r="AF883" t="str">
        <f>tbl_OriginalData[[#This Row],[Customer_ID]]</f>
        <v>76-213-5806</v>
      </c>
      <c r="AG883">
        <f>tbl_OriginalData[[#This Row],[Age]]</f>
        <v>21</v>
      </c>
      <c r="AH883" t="str" cm="1">
        <f t="array" ref="AH88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83" t="str">
        <f>tbl_OriginalData[[#This Row],[Gender]]</f>
        <v>Female</v>
      </c>
      <c r="AJ883" t="str">
        <f>tbl_OriginalData[[#This Row],[Income_Level]]</f>
        <v>High</v>
      </c>
      <c r="AK883" t="str">
        <f>tbl_OriginalData[[#This Row],[Marital_Status]]</f>
        <v>Widowed</v>
      </c>
      <c r="AL883" t="str">
        <f>tbl_OriginalData[[#This Row],[Education_Level]]</f>
        <v>Bachelor's</v>
      </c>
      <c r="AM883" t="str">
        <f>tbl_OriginalData[[#This Row],[Occupation]]</f>
        <v>Middle</v>
      </c>
      <c r="AN883" t="s">
        <v>2003</v>
      </c>
      <c r="AO883" t="s">
        <v>61</v>
      </c>
      <c r="AP883" t="str">
        <f>tbl_OriginalData[[#This Row],[Purchase_Category]]</f>
        <v>Electronics</v>
      </c>
      <c r="AQ883" s="4">
        <f>tbl_OriginalData[[#This Row],[Purchase_Amount]]</f>
        <v>129.63999999999999</v>
      </c>
      <c r="AR883">
        <f>tbl_OriginalData[[#This Row],[Frequency_of_Purchase]]</f>
        <v>4</v>
      </c>
      <c r="AS883" t="str">
        <f>tbl_OriginalData[[#This Row],[Purchase_Channel]]</f>
        <v>In-Store</v>
      </c>
      <c r="AT883">
        <f>tbl_OriginalData[[#This Row],[Brand_Loyalty]]</f>
        <v>3</v>
      </c>
      <c r="AU883">
        <f>tbl_OriginalData[[#This Row],[Product_Rating]]</f>
        <v>1</v>
      </c>
      <c r="AV883">
        <f>tbl_OriginalData[[#This Row],[Time_Spent_on_Product_Research(hours)]]*60</f>
        <v>120</v>
      </c>
      <c r="AW883" t="str">
        <f>tbl_OriginalData[[#This Row],[Social_Media_Influence]]</f>
        <v>None</v>
      </c>
      <c r="AX883" t="str">
        <f>tbl_OriginalData[[#This Row],[Discount_Sensitivity]]</f>
        <v>Not Sensitive</v>
      </c>
      <c r="AY883" s="3">
        <f>tbl_OriginalData[[#This Row],[Return_Rate]]/tbl_OriginalData[[#This Row],[Frequency_of_Purchase]]</f>
        <v>0.25</v>
      </c>
      <c r="AZ883">
        <f>tbl_OriginalData[[#This Row],[Customer_Satisfaction]]</f>
        <v>3</v>
      </c>
      <c r="BA883" t="str">
        <f>tbl_OriginalData[[#This Row],[Engagement_with_Ads]]</f>
        <v>Low</v>
      </c>
      <c r="BB883" t="str">
        <f>tbl_OriginalData[[#This Row],[Device_Used_for_Shopping]]</f>
        <v>Desktop</v>
      </c>
      <c r="BC883" t="str">
        <f>tbl_OriginalData[[#This Row],[Payment_Method]]</f>
        <v>Debit Card</v>
      </c>
      <c r="BD883" s="1">
        <f>tbl_OriginalData[[#This Row],[Time_of_Purchase]]</f>
        <v>45439</v>
      </c>
      <c r="BE883" t="str">
        <f>IF(tbl_OriginalData[[#This Row],[Discount_Used]]=TRUE,"Yes","No")</f>
        <v>No</v>
      </c>
      <c r="BF883" t="str">
        <f>IF(tbl_OriginalData[[#This Row],[Customer_Loyalty_Program_Member]]=TRUE,"Yes","No")</f>
        <v>Yes</v>
      </c>
      <c r="BG883" t="str">
        <f>tbl_OriginalData[[#This Row],[Purchase_Intent]]</f>
        <v>Need-based</v>
      </c>
      <c r="BH883" t="str">
        <f>tbl_OriginalData[[#This Row],[Shipping_Preference]]</f>
        <v>Express</v>
      </c>
      <c r="BI883">
        <f>tbl_OriginalData[[#This Row],[Time_to_Decision]]</f>
        <v>3</v>
      </c>
      <c r="BJ883" t="s">
        <v>167</v>
      </c>
      <c r="BK883" t="s">
        <v>63</v>
      </c>
      <c r="BL883" t="s">
        <v>2524</v>
      </c>
    </row>
    <row r="884" spans="1:64">
      <c r="A884" t="s">
        <v>2004</v>
      </c>
      <c r="B884">
        <v>41</v>
      </c>
      <c r="C884" t="s">
        <v>50</v>
      </c>
      <c r="D884" t="s">
        <v>34</v>
      </c>
      <c r="E884" t="s">
        <v>65</v>
      </c>
      <c r="F884" t="s">
        <v>66</v>
      </c>
      <c r="G884" t="s">
        <v>51</v>
      </c>
      <c r="H884" t="s">
        <v>2005</v>
      </c>
      <c r="I884" t="s">
        <v>112</v>
      </c>
      <c r="J884">
        <v>473.77</v>
      </c>
      <c r="K884">
        <v>9</v>
      </c>
      <c r="L884" t="s">
        <v>94</v>
      </c>
      <c r="M884">
        <v>3</v>
      </c>
      <c r="N884">
        <v>1</v>
      </c>
      <c r="O884">
        <v>2</v>
      </c>
      <c r="P884" t="s">
        <v>56</v>
      </c>
      <c r="Q884" t="s">
        <v>101</v>
      </c>
      <c r="R884">
        <v>2</v>
      </c>
      <c r="S884">
        <v>9</v>
      </c>
      <c r="T884" t="s">
        <v>40</v>
      </c>
      <c r="U884" t="s">
        <v>95</v>
      </c>
      <c r="V884" t="s">
        <v>58</v>
      </c>
      <c r="W884" s="1">
        <v>45414</v>
      </c>
      <c r="X884" t="b">
        <v>0</v>
      </c>
      <c r="Y884" t="b">
        <v>0</v>
      </c>
      <c r="Z884" t="s">
        <v>59</v>
      </c>
      <c r="AA884" t="s">
        <v>45</v>
      </c>
      <c r="AB884">
        <v>13</v>
      </c>
      <c r="AF884" t="str">
        <f>tbl_OriginalData[[#This Row],[Customer_ID]]</f>
        <v>66-894-5431</v>
      </c>
      <c r="AG884">
        <f>tbl_OriginalData[[#This Row],[Age]]</f>
        <v>41</v>
      </c>
      <c r="AH884" t="str" cm="1">
        <f t="array" ref="AH88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84" t="str">
        <f>tbl_OriginalData[[#This Row],[Gender]]</f>
        <v>Male</v>
      </c>
      <c r="AJ884" t="str">
        <f>tbl_OriginalData[[#This Row],[Income_Level]]</f>
        <v>Middle</v>
      </c>
      <c r="AK884" t="str">
        <f>tbl_OriginalData[[#This Row],[Marital_Status]]</f>
        <v>Single</v>
      </c>
      <c r="AL884" t="str">
        <f>tbl_OriginalData[[#This Row],[Education_Level]]</f>
        <v>Master's</v>
      </c>
      <c r="AM884" t="str">
        <f>tbl_OriginalData[[#This Row],[Occupation]]</f>
        <v>High</v>
      </c>
      <c r="AN884" t="s">
        <v>2005</v>
      </c>
      <c r="AO884" t="s">
        <v>550</v>
      </c>
      <c r="AP884" t="str">
        <f>tbl_OriginalData[[#This Row],[Purchase_Category]]</f>
        <v>Mobile Accessories</v>
      </c>
      <c r="AQ884" s="4">
        <f>tbl_OriginalData[[#This Row],[Purchase_Amount]]</f>
        <v>473.77</v>
      </c>
      <c r="AR884">
        <f>tbl_OriginalData[[#This Row],[Frequency_of_Purchase]]</f>
        <v>9</v>
      </c>
      <c r="AS884" t="str">
        <f>tbl_OriginalData[[#This Row],[Purchase_Channel]]</f>
        <v>Online</v>
      </c>
      <c r="AT884">
        <f>tbl_OriginalData[[#This Row],[Brand_Loyalty]]</f>
        <v>3</v>
      </c>
      <c r="AU884">
        <f>tbl_OriginalData[[#This Row],[Product_Rating]]</f>
        <v>1</v>
      </c>
      <c r="AV884">
        <f>tbl_OriginalData[[#This Row],[Time_Spent_on_Product_Research(hours)]]*60</f>
        <v>120</v>
      </c>
      <c r="AW884" t="str">
        <f>tbl_OriginalData[[#This Row],[Social_Media_Influence]]</f>
        <v>Medium</v>
      </c>
      <c r="AX884" t="str">
        <f>tbl_OriginalData[[#This Row],[Discount_Sensitivity]]</f>
        <v>Very Sensitive</v>
      </c>
      <c r="AY884" s="3">
        <f>tbl_OriginalData[[#This Row],[Return_Rate]]/tbl_OriginalData[[#This Row],[Frequency_of_Purchase]]</f>
        <v>0.22222222222222221</v>
      </c>
      <c r="AZ884">
        <f>tbl_OriginalData[[#This Row],[Customer_Satisfaction]]</f>
        <v>9</v>
      </c>
      <c r="BA884" t="str">
        <f>tbl_OriginalData[[#This Row],[Engagement_with_Ads]]</f>
        <v>None</v>
      </c>
      <c r="BB884" t="str">
        <f>tbl_OriginalData[[#This Row],[Device_Used_for_Shopping]]</f>
        <v>Desktop</v>
      </c>
      <c r="BC884" t="str">
        <f>tbl_OriginalData[[#This Row],[Payment_Method]]</f>
        <v>PayPal</v>
      </c>
      <c r="BD884" s="1">
        <f>tbl_OriginalData[[#This Row],[Time_of_Purchase]]</f>
        <v>45414</v>
      </c>
      <c r="BE884" t="str">
        <f>IF(tbl_OriginalData[[#This Row],[Discount_Used]]=TRUE,"Yes","No")</f>
        <v>No</v>
      </c>
      <c r="BF884" t="str">
        <f>IF(tbl_OriginalData[[#This Row],[Customer_Loyalty_Program_Member]]=TRUE,"Yes","No")</f>
        <v>No</v>
      </c>
      <c r="BG884" t="str">
        <f>tbl_OriginalData[[#This Row],[Purchase_Intent]]</f>
        <v>Wants-based</v>
      </c>
      <c r="BH884" t="str">
        <f>tbl_OriginalData[[#This Row],[Shipping_Preference]]</f>
        <v>No Preference</v>
      </c>
      <c r="BI884">
        <f>tbl_OriginalData[[#This Row],[Time_to_Decision]]</f>
        <v>13</v>
      </c>
      <c r="BJ884" t="s">
        <v>167</v>
      </c>
      <c r="BK884" t="s">
        <v>63</v>
      </c>
      <c r="BL884" t="s">
        <v>2523</v>
      </c>
    </row>
    <row r="885" spans="1:64">
      <c r="A885" t="s">
        <v>2006</v>
      </c>
      <c r="B885">
        <v>40</v>
      </c>
      <c r="C885" t="s">
        <v>33</v>
      </c>
      <c r="D885" t="s">
        <v>51</v>
      </c>
      <c r="E885" t="s">
        <v>35</v>
      </c>
      <c r="F885" t="s">
        <v>52</v>
      </c>
      <c r="G885" t="s">
        <v>34</v>
      </c>
      <c r="H885" t="s">
        <v>2007</v>
      </c>
      <c r="I885" t="s">
        <v>147</v>
      </c>
      <c r="J885">
        <v>130.84</v>
      </c>
      <c r="K885">
        <v>4</v>
      </c>
      <c r="L885" t="s">
        <v>94</v>
      </c>
      <c r="M885">
        <v>5</v>
      </c>
      <c r="N885">
        <v>5</v>
      </c>
      <c r="O885">
        <v>2</v>
      </c>
      <c r="P885" t="s">
        <v>56</v>
      </c>
      <c r="Q885" t="s">
        <v>101</v>
      </c>
      <c r="R885">
        <v>2</v>
      </c>
      <c r="S885">
        <v>10</v>
      </c>
      <c r="T885" t="s">
        <v>69</v>
      </c>
      <c r="U885" t="s">
        <v>42</v>
      </c>
      <c r="V885" t="s">
        <v>58</v>
      </c>
      <c r="W885" s="1">
        <v>45548</v>
      </c>
      <c r="X885" t="b">
        <v>1</v>
      </c>
      <c r="Y885" t="b">
        <v>1</v>
      </c>
      <c r="Z885" t="s">
        <v>44</v>
      </c>
      <c r="AA885" t="s">
        <v>60</v>
      </c>
      <c r="AB885">
        <v>13</v>
      </c>
      <c r="AF885" t="str">
        <f>tbl_OriginalData[[#This Row],[Customer_ID]]</f>
        <v>20-939-3906</v>
      </c>
      <c r="AG885">
        <f>tbl_OriginalData[[#This Row],[Age]]</f>
        <v>40</v>
      </c>
      <c r="AH885" t="str" cm="1">
        <f t="array" ref="AH88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85" t="str">
        <f>tbl_OriginalData[[#This Row],[Gender]]</f>
        <v>Female</v>
      </c>
      <c r="AJ885" t="str">
        <f>tbl_OriginalData[[#This Row],[Income_Level]]</f>
        <v>High</v>
      </c>
      <c r="AK885" t="str">
        <f>tbl_OriginalData[[#This Row],[Marital_Status]]</f>
        <v>Married</v>
      </c>
      <c r="AL885" t="str">
        <f>tbl_OriginalData[[#This Row],[Education_Level]]</f>
        <v>High School</v>
      </c>
      <c r="AM885" t="str">
        <f>tbl_OriginalData[[#This Row],[Occupation]]</f>
        <v>Middle</v>
      </c>
      <c r="AN885" t="s">
        <v>2007</v>
      </c>
      <c r="AO885" t="s">
        <v>61</v>
      </c>
      <c r="AP885" t="str">
        <f>tbl_OriginalData[[#This Row],[Purchase_Category]]</f>
        <v>Electronics</v>
      </c>
      <c r="AQ885" s="4">
        <f>tbl_OriginalData[[#This Row],[Purchase_Amount]]</f>
        <v>130.84</v>
      </c>
      <c r="AR885">
        <f>tbl_OriginalData[[#This Row],[Frequency_of_Purchase]]</f>
        <v>4</v>
      </c>
      <c r="AS885" t="str">
        <f>tbl_OriginalData[[#This Row],[Purchase_Channel]]</f>
        <v>Online</v>
      </c>
      <c r="AT885">
        <f>tbl_OriginalData[[#This Row],[Brand_Loyalty]]</f>
        <v>5</v>
      </c>
      <c r="AU885">
        <f>tbl_OriginalData[[#This Row],[Product_Rating]]</f>
        <v>5</v>
      </c>
      <c r="AV885">
        <f>tbl_OriginalData[[#This Row],[Time_Spent_on_Product_Research(hours)]]*60</f>
        <v>120</v>
      </c>
      <c r="AW885" t="str">
        <f>tbl_OriginalData[[#This Row],[Social_Media_Influence]]</f>
        <v>Medium</v>
      </c>
      <c r="AX885" t="str">
        <f>tbl_OriginalData[[#This Row],[Discount_Sensitivity]]</f>
        <v>Very Sensitive</v>
      </c>
      <c r="AY885" s="3">
        <f>tbl_OriginalData[[#This Row],[Return_Rate]]/tbl_OriginalData[[#This Row],[Frequency_of_Purchase]]</f>
        <v>0.5</v>
      </c>
      <c r="AZ885">
        <f>tbl_OriginalData[[#This Row],[Customer_Satisfaction]]</f>
        <v>10</v>
      </c>
      <c r="BA885" t="str">
        <f>tbl_OriginalData[[#This Row],[Engagement_with_Ads]]</f>
        <v>Low</v>
      </c>
      <c r="BB885" t="str">
        <f>tbl_OriginalData[[#This Row],[Device_Used_for_Shopping]]</f>
        <v>Tablet</v>
      </c>
      <c r="BC885" t="str">
        <f>tbl_OriginalData[[#This Row],[Payment_Method]]</f>
        <v>PayPal</v>
      </c>
      <c r="BD885" s="1">
        <f>tbl_OriginalData[[#This Row],[Time_of_Purchase]]</f>
        <v>45548</v>
      </c>
      <c r="BE885" t="str">
        <f>IF(tbl_OriginalData[[#This Row],[Discount_Used]]=TRUE,"Yes","No")</f>
        <v>Yes</v>
      </c>
      <c r="BF885" t="str">
        <f>IF(tbl_OriginalData[[#This Row],[Customer_Loyalty_Program_Member]]=TRUE,"Yes","No")</f>
        <v>Yes</v>
      </c>
      <c r="BG885" t="str">
        <f>tbl_OriginalData[[#This Row],[Purchase_Intent]]</f>
        <v>Need-based</v>
      </c>
      <c r="BH885" t="str">
        <f>tbl_OriginalData[[#This Row],[Shipping_Preference]]</f>
        <v>Standard</v>
      </c>
      <c r="BI885">
        <f>tbl_OriginalData[[#This Row],[Time_to_Decision]]</f>
        <v>13</v>
      </c>
      <c r="BJ885" t="s">
        <v>172</v>
      </c>
      <c r="BK885" t="s">
        <v>115</v>
      </c>
      <c r="BL885" t="s">
        <v>2524</v>
      </c>
    </row>
    <row r="886" spans="1:64">
      <c r="A886" t="s">
        <v>2008</v>
      </c>
      <c r="B886">
        <v>48</v>
      </c>
      <c r="C886" t="s">
        <v>50</v>
      </c>
      <c r="D886" t="s">
        <v>34</v>
      </c>
      <c r="E886" t="s">
        <v>65</v>
      </c>
      <c r="F886" t="s">
        <v>66</v>
      </c>
      <c r="G886" t="s">
        <v>51</v>
      </c>
      <c r="H886" t="s">
        <v>2009</v>
      </c>
      <c r="I886" t="s">
        <v>199</v>
      </c>
      <c r="J886">
        <v>436.54</v>
      </c>
      <c r="K886">
        <v>12</v>
      </c>
      <c r="L886" t="s">
        <v>94</v>
      </c>
      <c r="M886">
        <v>3</v>
      </c>
      <c r="N886">
        <v>3</v>
      </c>
      <c r="O886">
        <v>0</v>
      </c>
      <c r="P886" t="s">
        <v>56</v>
      </c>
      <c r="Q886" t="s">
        <v>101</v>
      </c>
      <c r="R886">
        <v>1</v>
      </c>
      <c r="S886">
        <v>8</v>
      </c>
      <c r="T886" t="s">
        <v>69</v>
      </c>
      <c r="U886" t="s">
        <v>70</v>
      </c>
      <c r="V886" t="s">
        <v>71</v>
      </c>
      <c r="W886" s="1">
        <v>45442</v>
      </c>
      <c r="X886" t="b">
        <v>1</v>
      </c>
      <c r="Y886" t="b">
        <v>0</v>
      </c>
      <c r="Z886" t="s">
        <v>59</v>
      </c>
      <c r="AA886" t="s">
        <v>45</v>
      </c>
      <c r="AB886">
        <v>9</v>
      </c>
      <c r="AF886" t="str">
        <f>tbl_OriginalData[[#This Row],[Customer_ID]]</f>
        <v>86-390-9555</v>
      </c>
      <c r="AG886">
        <f>tbl_OriginalData[[#This Row],[Age]]</f>
        <v>48</v>
      </c>
      <c r="AH886" t="str" cm="1">
        <f t="array" ref="AH88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86" t="str">
        <f>tbl_OriginalData[[#This Row],[Gender]]</f>
        <v>Male</v>
      </c>
      <c r="AJ886" t="str">
        <f>tbl_OriginalData[[#This Row],[Income_Level]]</f>
        <v>Middle</v>
      </c>
      <c r="AK886" t="str">
        <f>tbl_OriginalData[[#This Row],[Marital_Status]]</f>
        <v>Single</v>
      </c>
      <c r="AL886" t="str">
        <f>tbl_OriginalData[[#This Row],[Education_Level]]</f>
        <v>Master's</v>
      </c>
      <c r="AM886" t="str">
        <f>tbl_OriginalData[[#This Row],[Occupation]]</f>
        <v>High</v>
      </c>
      <c r="AN886" t="s">
        <v>2009</v>
      </c>
      <c r="AO886" t="s">
        <v>246</v>
      </c>
      <c r="AP886" t="str">
        <f>tbl_OriginalData[[#This Row],[Purchase_Category]]</f>
        <v>Groceries</v>
      </c>
      <c r="AQ886" s="4">
        <f>tbl_OriginalData[[#This Row],[Purchase_Amount]]</f>
        <v>436.54</v>
      </c>
      <c r="AR886">
        <f>tbl_OriginalData[[#This Row],[Frequency_of_Purchase]]</f>
        <v>12</v>
      </c>
      <c r="AS886" t="str">
        <f>tbl_OriginalData[[#This Row],[Purchase_Channel]]</f>
        <v>Online</v>
      </c>
      <c r="AT886">
        <f>tbl_OriginalData[[#This Row],[Brand_Loyalty]]</f>
        <v>3</v>
      </c>
      <c r="AU886">
        <f>tbl_OriginalData[[#This Row],[Product_Rating]]</f>
        <v>3</v>
      </c>
      <c r="AV886">
        <f>tbl_OriginalData[[#This Row],[Time_Spent_on_Product_Research(hours)]]*60</f>
        <v>0</v>
      </c>
      <c r="AW886" t="str">
        <f>tbl_OriginalData[[#This Row],[Social_Media_Influence]]</f>
        <v>Medium</v>
      </c>
      <c r="AX886" t="str">
        <f>tbl_OriginalData[[#This Row],[Discount_Sensitivity]]</f>
        <v>Very Sensitive</v>
      </c>
      <c r="AY886" s="3">
        <f>tbl_OriginalData[[#This Row],[Return_Rate]]/tbl_OriginalData[[#This Row],[Frequency_of_Purchase]]</f>
        <v>8.3333333333333329E-2</v>
      </c>
      <c r="AZ886">
        <f>tbl_OriginalData[[#This Row],[Customer_Satisfaction]]</f>
        <v>8</v>
      </c>
      <c r="BA886" t="str">
        <f>tbl_OriginalData[[#This Row],[Engagement_with_Ads]]</f>
        <v>Low</v>
      </c>
      <c r="BB886" t="str">
        <f>tbl_OriginalData[[#This Row],[Device_Used_for_Shopping]]</f>
        <v>Smartphone</v>
      </c>
      <c r="BC886" t="str">
        <f>tbl_OriginalData[[#This Row],[Payment_Method]]</f>
        <v>Debit Card</v>
      </c>
      <c r="BD886" s="1">
        <f>tbl_OriginalData[[#This Row],[Time_of_Purchase]]</f>
        <v>45442</v>
      </c>
      <c r="BE886" t="str">
        <f>IF(tbl_OriginalData[[#This Row],[Discount_Used]]=TRUE,"Yes","No")</f>
        <v>Yes</v>
      </c>
      <c r="BF886" t="str">
        <f>IF(tbl_OriginalData[[#This Row],[Customer_Loyalty_Program_Member]]=TRUE,"Yes","No")</f>
        <v>No</v>
      </c>
      <c r="BG886" t="str">
        <f>tbl_OriginalData[[#This Row],[Purchase_Intent]]</f>
        <v>Wants-based</v>
      </c>
      <c r="BH886" t="str">
        <f>tbl_OriginalData[[#This Row],[Shipping_Preference]]</f>
        <v>No Preference</v>
      </c>
      <c r="BI886">
        <f>tbl_OriginalData[[#This Row],[Time_to_Decision]]</f>
        <v>9</v>
      </c>
      <c r="BJ886" t="s">
        <v>167</v>
      </c>
      <c r="BK886" t="s">
        <v>63</v>
      </c>
      <c r="BL886" t="s">
        <v>2523</v>
      </c>
    </row>
    <row r="887" spans="1:64">
      <c r="A887" t="s">
        <v>2010</v>
      </c>
      <c r="B887">
        <v>25</v>
      </c>
      <c r="C887" t="s">
        <v>33</v>
      </c>
      <c r="D887" t="s">
        <v>34</v>
      </c>
      <c r="E887" t="s">
        <v>82</v>
      </c>
      <c r="F887" t="s">
        <v>36</v>
      </c>
      <c r="G887" t="s">
        <v>34</v>
      </c>
      <c r="H887" t="s">
        <v>2011</v>
      </c>
      <c r="I887" t="s">
        <v>127</v>
      </c>
      <c r="J887">
        <v>264.01</v>
      </c>
      <c r="K887">
        <v>4</v>
      </c>
      <c r="L887" t="s">
        <v>55</v>
      </c>
      <c r="M887">
        <v>3</v>
      </c>
      <c r="N887">
        <v>4</v>
      </c>
      <c r="O887">
        <v>0</v>
      </c>
      <c r="P887" t="s">
        <v>51</v>
      </c>
      <c r="Q887" t="s">
        <v>41</v>
      </c>
      <c r="R887">
        <v>1</v>
      </c>
      <c r="S887">
        <v>5</v>
      </c>
      <c r="T887" t="s">
        <v>40</v>
      </c>
      <c r="U887" t="s">
        <v>95</v>
      </c>
      <c r="V887" t="s">
        <v>76</v>
      </c>
      <c r="W887" s="1">
        <v>45586</v>
      </c>
      <c r="X887" t="b">
        <v>1</v>
      </c>
      <c r="Y887" t="b">
        <v>0</v>
      </c>
      <c r="Z887" t="s">
        <v>44</v>
      </c>
      <c r="AA887" t="s">
        <v>45</v>
      </c>
      <c r="AB887">
        <v>2</v>
      </c>
      <c r="AF887" t="str">
        <f>tbl_OriginalData[[#This Row],[Customer_ID]]</f>
        <v>91-602-0761</v>
      </c>
      <c r="AG887">
        <f>tbl_OriginalData[[#This Row],[Age]]</f>
        <v>25</v>
      </c>
      <c r="AH887" t="str" cm="1">
        <f t="array" ref="AH88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87" t="str">
        <f>tbl_OriginalData[[#This Row],[Gender]]</f>
        <v>Female</v>
      </c>
      <c r="AJ887" t="str">
        <f>tbl_OriginalData[[#This Row],[Income_Level]]</f>
        <v>Middle</v>
      </c>
      <c r="AK887" t="str">
        <f>tbl_OriginalData[[#This Row],[Marital_Status]]</f>
        <v>Widowed</v>
      </c>
      <c r="AL887" t="str">
        <f>tbl_OriginalData[[#This Row],[Education_Level]]</f>
        <v>Bachelor's</v>
      </c>
      <c r="AM887" t="str">
        <f>tbl_OriginalData[[#This Row],[Occupation]]</f>
        <v>Middle</v>
      </c>
      <c r="AN887" t="s">
        <v>2011</v>
      </c>
      <c r="AO887" t="s">
        <v>161</v>
      </c>
      <c r="AP887" t="str">
        <f>tbl_OriginalData[[#This Row],[Purchase_Category]]</f>
        <v>Animal Feed</v>
      </c>
      <c r="AQ887" s="4">
        <f>tbl_OriginalData[[#This Row],[Purchase_Amount]]</f>
        <v>264.01</v>
      </c>
      <c r="AR887">
        <f>tbl_OriginalData[[#This Row],[Frequency_of_Purchase]]</f>
        <v>4</v>
      </c>
      <c r="AS887" t="str">
        <f>tbl_OriginalData[[#This Row],[Purchase_Channel]]</f>
        <v>In-Store</v>
      </c>
      <c r="AT887">
        <f>tbl_OriginalData[[#This Row],[Brand_Loyalty]]</f>
        <v>3</v>
      </c>
      <c r="AU887">
        <f>tbl_OriginalData[[#This Row],[Product_Rating]]</f>
        <v>4</v>
      </c>
      <c r="AV887">
        <f>tbl_OriginalData[[#This Row],[Time_Spent_on_Product_Research(hours)]]*60</f>
        <v>0</v>
      </c>
      <c r="AW887" t="str">
        <f>tbl_OriginalData[[#This Row],[Social_Media_Influence]]</f>
        <v>High</v>
      </c>
      <c r="AX887" t="str">
        <f>tbl_OriginalData[[#This Row],[Discount_Sensitivity]]</f>
        <v>Somewhat Sensitive</v>
      </c>
      <c r="AY887" s="3">
        <f>tbl_OriginalData[[#This Row],[Return_Rate]]/tbl_OriginalData[[#This Row],[Frequency_of_Purchase]]</f>
        <v>0.25</v>
      </c>
      <c r="AZ887">
        <f>tbl_OriginalData[[#This Row],[Customer_Satisfaction]]</f>
        <v>5</v>
      </c>
      <c r="BA887" t="str">
        <f>tbl_OriginalData[[#This Row],[Engagement_with_Ads]]</f>
        <v>None</v>
      </c>
      <c r="BB887" t="str">
        <f>tbl_OriginalData[[#This Row],[Device_Used_for_Shopping]]</f>
        <v>Desktop</v>
      </c>
      <c r="BC887" t="str">
        <f>tbl_OriginalData[[#This Row],[Payment_Method]]</f>
        <v>Other</v>
      </c>
      <c r="BD887" s="1">
        <f>tbl_OriginalData[[#This Row],[Time_of_Purchase]]</f>
        <v>45586</v>
      </c>
      <c r="BE887" t="str">
        <f>IF(tbl_OriginalData[[#This Row],[Discount_Used]]=TRUE,"Yes","No")</f>
        <v>Yes</v>
      </c>
      <c r="BF887" t="str">
        <f>IF(tbl_OriginalData[[#This Row],[Customer_Loyalty_Program_Member]]=TRUE,"Yes","No")</f>
        <v>No</v>
      </c>
      <c r="BG887" t="str">
        <f>tbl_OriginalData[[#This Row],[Purchase_Intent]]</f>
        <v>Need-based</v>
      </c>
      <c r="BH887" t="str">
        <f>tbl_OriginalData[[#This Row],[Shipping_Preference]]</f>
        <v>No Preference</v>
      </c>
      <c r="BI887">
        <f>tbl_OriginalData[[#This Row],[Time_to_Decision]]</f>
        <v>2</v>
      </c>
      <c r="BJ887" t="s">
        <v>79</v>
      </c>
      <c r="BK887" t="s">
        <v>80</v>
      </c>
      <c r="BL887" t="s">
        <v>2527</v>
      </c>
    </row>
    <row r="888" spans="1:64">
      <c r="A888" t="s">
        <v>2012</v>
      </c>
      <c r="B888">
        <v>30</v>
      </c>
      <c r="C888" t="s">
        <v>33</v>
      </c>
      <c r="D888" t="s">
        <v>51</v>
      </c>
      <c r="E888" t="s">
        <v>92</v>
      </c>
      <c r="F888" t="s">
        <v>36</v>
      </c>
      <c r="G888" t="s">
        <v>51</v>
      </c>
      <c r="H888" t="s">
        <v>2013</v>
      </c>
      <c r="I888" t="s">
        <v>242</v>
      </c>
      <c r="J888">
        <v>58.27</v>
      </c>
      <c r="K888">
        <v>2</v>
      </c>
      <c r="L888" t="s">
        <v>55</v>
      </c>
      <c r="M888">
        <v>5</v>
      </c>
      <c r="N888">
        <v>4</v>
      </c>
      <c r="O888">
        <v>1</v>
      </c>
      <c r="P888" t="s">
        <v>56</v>
      </c>
      <c r="Q888" t="s">
        <v>41</v>
      </c>
      <c r="R888">
        <v>1</v>
      </c>
      <c r="S888">
        <v>4</v>
      </c>
      <c r="T888" t="s">
        <v>56</v>
      </c>
      <c r="U888" t="s">
        <v>70</v>
      </c>
      <c r="V888" t="s">
        <v>102</v>
      </c>
      <c r="W888" s="1">
        <v>45580</v>
      </c>
      <c r="X888" t="b">
        <v>0</v>
      </c>
      <c r="Y888" t="b">
        <v>1</v>
      </c>
      <c r="Z888" t="s">
        <v>44</v>
      </c>
      <c r="AA888" t="s">
        <v>45</v>
      </c>
      <c r="AB888">
        <v>13</v>
      </c>
      <c r="AF888" t="str">
        <f>tbl_OriginalData[[#This Row],[Customer_ID]]</f>
        <v>62-974-7965</v>
      </c>
      <c r="AG888">
        <f>tbl_OriginalData[[#This Row],[Age]]</f>
        <v>30</v>
      </c>
      <c r="AH888" t="str" cm="1">
        <f t="array" ref="AH88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88" t="str">
        <f>tbl_OriginalData[[#This Row],[Gender]]</f>
        <v>Female</v>
      </c>
      <c r="AJ888" t="str">
        <f>tbl_OriginalData[[#This Row],[Income_Level]]</f>
        <v>High</v>
      </c>
      <c r="AK888" t="str">
        <f>tbl_OriginalData[[#This Row],[Marital_Status]]</f>
        <v>Divorced</v>
      </c>
      <c r="AL888" t="str">
        <f>tbl_OriginalData[[#This Row],[Education_Level]]</f>
        <v>Bachelor's</v>
      </c>
      <c r="AM888" t="str">
        <f>tbl_OriginalData[[#This Row],[Occupation]]</f>
        <v>High</v>
      </c>
      <c r="AN888" t="s">
        <v>2013</v>
      </c>
      <c r="AO888" t="s">
        <v>408</v>
      </c>
      <c r="AP888" t="str">
        <f>tbl_OriginalData[[#This Row],[Purchase_Category]]</f>
        <v>Travel &amp; Leisure (Flights</v>
      </c>
      <c r="AQ888" s="4">
        <f>tbl_OriginalData[[#This Row],[Purchase_Amount]]</f>
        <v>58.27</v>
      </c>
      <c r="AR888">
        <f>tbl_OriginalData[[#This Row],[Frequency_of_Purchase]]</f>
        <v>2</v>
      </c>
      <c r="AS888" t="str">
        <f>tbl_OriginalData[[#This Row],[Purchase_Channel]]</f>
        <v>In-Store</v>
      </c>
      <c r="AT888">
        <f>tbl_OriginalData[[#This Row],[Brand_Loyalty]]</f>
        <v>5</v>
      </c>
      <c r="AU888">
        <f>tbl_OriginalData[[#This Row],[Product_Rating]]</f>
        <v>4</v>
      </c>
      <c r="AV888">
        <f>tbl_OriginalData[[#This Row],[Time_Spent_on_Product_Research(hours)]]*60</f>
        <v>60</v>
      </c>
      <c r="AW888" t="str">
        <f>tbl_OriginalData[[#This Row],[Social_Media_Influence]]</f>
        <v>Medium</v>
      </c>
      <c r="AX888" t="str">
        <f>tbl_OriginalData[[#This Row],[Discount_Sensitivity]]</f>
        <v>Somewhat Sensitive</v>
      </c>
      <c r="AY888" s="3">
        <f>tbl_OriginalData[[#This Row],[Return_Rate]]/tbl_OriginalData[[#This Row],[Frequency_of_Purchase]]</f>
        <v>0.5</v>
      </c>
      <c r="AZ888">
        <f>tbl_OriginalData[[#This Row],[Customer_Satisfaction]]</f>
        <v>4</v>
      </c>
      <c r="BA888" t="str">
        <f>tbl_OriginalData[[#This Row],[Engagement_with_Ads]]</f>
        <v>Medium</v>
      </c>
      <c r="BB888" t="str">
        <f>tbl_OriginalData[[#This Row],[Device_Used_for_Shopping]]</f>
        <v>Smartphone</v>
      </c>
      <c r="BC888" t="str">
        <f>tbl_OriginalData[[#This Row],[Payment_Method]]</f>
        <v>Cash</v>
      </c>
      <c r="BD888" s="1">
        <f>tbl_OriginalData[[#This Row],[Time_of_Purchase]]</f>
        <v>45580</v>
      </c>
      <c r="BE888" t="str">
        <f>IF(tbl_OriginalData[[#This Row],[Discount_Used]]=TRUE,"Yes","No")</f>
        <v>No</v>
      </c>
      <c r="BF888" t="str">
        <f>IF(tbl_OriginalData[[#This Row],[Customer_Loyalty_Program_Member]]=TRUE,"Yes","No")</f>
        <v>Yes</v>
      </c>
      <c r="BG888" t="str">
        <f>tbl_OriginalData[[#This Row],[Purchase_Intent]]</f>
        <v>Need-based</v>
      </c>
      <c r="BH888" t="str">
        <f>tbl_OriginalData[[#This Row],[Shipping_Preference]]</f>
        <v>No Preference</v>
      </c>
      <c r="BI888">
        <f>tbl_OriginalData[[#This Row],[Time_to_Decision]]</f>
        <v>13</v>
      </c>
      <c r="BJ888" t="s">
        <v>79</v>
      </c>
      <c r="BK888" t="s">
        <v>80</v>
      </c>
      <c r="BL888" t="s">
        <v>2523</v>
      </c>
    </row>
    <row r="889" spans="1:64">
      <c r="A889" t="s">
        <v>2014</v>
      </c>
      <c r="B889">
        <v>25</v>
      </c>
      <c r="C889" t="s">
        <v>50</v>
      </c>
      <c r="D889" t="s">
        <v>34</v>
      </c>
      <c r="E889" t="s">
        <v>65</v>
      </c>
      <c r="F889" t="s">
        <v>66</v>
      </c>
      <c r="G889" t="s">
        <v>51</v>
      </c>
      <c r="H889" t="s">
        <v>2015</v>
      </c>
      <c r="I889" t="s">
        <v>108</v>
      </c>
      <c r="J889">
        <v>190.76</v>
      </c>
      <c r="K889">
        <v>10</v>
      </c>
      <c r="L889" t="s">
        <v>55</v>
      </c>
      <c r="M889">
        <v>5</v>
      </c>
      <c r="N889">
        <v>5</v>
      </c>
      <c r="O889">
        <v>2</v>
      </c>
      <c r="P889" t="s">
        <v>40</v>
      </c>
      <c r="Q889" t="s">
        <v>57</v>
      </c>
      <c r="R889">
        <v>1</v>
      </c>
      <c r="S889">
        <v>3</v>
      </c>
      <c r="T889" t="s">
        <v>51</v>
      </c>
      <c r="U889" t="s">
        <v>95</v>
      </c>
      <c r="V889" t="s">
        <v>76</v>
      </c>
      <c r="W889" s="1">
        <v>45603</v>
      </c>
      <c r="X889" t="b">
        <v>0</v>
      </c>
      <c r="Y889" t="b">
        <v>0</v>
      </c>
      <c r="Z889" t="s">
        <v>89</v>
      </c>
      <c r="AA889" t="s">
        <v>77</v>
      </c>
      <c r="AB889">
        <v>11</v>
      </c>
      <c r="AF889" t="str">
        <f>tbl_OriginalData[[#This Row],[Customer_ID]]</f>
        <v>21-232-1397</v>
      </c>
      <c r="AG889">
        <f>tbl_OriginalData[[#This Row],[Age]]</f>
        <v>25</v>
      </c>
      <c r="AH889" t="str" cm="1">
        <f t="array" ref="AH88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89" t="str">
        <f>tbl_OriginalData[[#This Row],[Gender]]</f>
        <v>Male</v>
      </c>
      <c r="AJ889" t="str">
        <f>tbl_OriginalData[[#This Row],[Income_Level]]</f>
        <v>Middle</v>
      </c>
      <c r="AK889" t="str">
        <f>tbl_OriginalData[[#This Row],[Marital_Status]]</f>
        <v>Single</v>
      </c>
      <c r="AL889" t="str">
        <f>tbl_OriginalData[[#This Row],[Education_Level]]</f>
        <v>Master's</v>
      </c>
      <c r="AM889" t="str">
        <f>tbl_OriginalData[[#This Row],[Occupation]]</f>
        <v>High</v>
      </c>
      <c r="AN889" t="s">
        <v>2015</v>
      </c>
      <c r="AO889" t="s">
        <v>2016</v>
      </c>
      <c r="AP889" t="str">
        <f>tbl_OriginalData[[#This Row],[Purchase_Category]]</f>
        <v>Sports &amp; Outdoors</v>
      </c>
      <c r="AQ889" s="4">
        <f>tbl_OriginalData[[#This Row],[Purchase_Amount]]</f>
        <v>190.76</v>
      </c>
      <c r="AR889">
        <f>tbl_OriginalData[[#This Row],[Frequency_of_Purchase]]</f>
        <v>10</v>
      </c>
      <c r="AS889" t="str">
        <f>tbl_OriginalData[[#This Row],[Purchase_Channel]]</f>
        <v>In-Store</v>
      </c>
      <c r="AT889">
        <f>tbl_OriginalData[[#This Row],[Brand_Loyalty]]</f>
        <v>5</v>
      </c>
      <c r="AU889">
        <f>tbl_OriginalData[[#This Row],[Product_Rating]]</f>
        <v>5</v>
      </c>
      <c r="AV889">
        <f>tbl_OriginalData[[#This Row],[Time_Spent_on_Product_Research(hours)]]*60</f>
        <v>120</v>
      </c>
      <c r="AW889" t="str">
        <f>tbl_OriginalData[[#This Row],[Social_Media_Influence]]</f>
        <v>None</v>
      </c>
      <c r="AX889" t="str">
        <f>tbl_OriginalData[[#This Row],[Discount_Sensitivity]]</f>
        <v>Not Sensitive</v>
      </c>
      <c r="AY889" s="3">
        <f>tbl_OriginalData[[#This Row],[Return_Rate]]/tbl_OriginalData[[#This Row],[Frequency_of_Purchase]]</f>
        <v>0.1</v>
      </c>
      <c r="AZ889">
        <f>tbl_OriginalData[[#This Row],[Customer_Satisfaction]]</f>
        <v>3</v>
      </c>
      <c r="BA889" t="str">
        <f>tbl_OriginalData[[#This Row],[Engagement_with_Ads]]</f>
        <v>High</v>
      </c>
      <c r="BB889" t="str">
        <f>tbl_OriginalData[[#This Row],[Device_Used_for_Shopping]]</f>
        <v>Desktop</v>
      </c>
      <c r="BC889" t="str">
        <f>tbl_OriginalData[[#This Row],[Payment_Method]]</f>
        <v>Other</v>
      </c>
      <c r="BD889" s="1">
        <f>tbl_OriginalData[[#This Row],[Time_of_Purchase]]</f>
        <v>45603</v>
      </c>
      <c r="BE889" t="str">
        <f>IF(tbl_OriginalData[[#This Row],[Discount_Used]]=TRUE,"Yes","No")</f>
        <v>No</v>
      </c>
      <c r="BF889" t="str">
        <f>IF(tbl_OriginalData[[#This Row],[Customer_Loyalty_Program_Member]]=TRUE,"Yes","No")</f>
        <v>No</v>
      </c>
      <c r="BG889" t="str">
        <f>tbl_OriginalData[[#This Row],[Purchase_Intent]]</f>
        <v>Planned</v>
      </c>
      <c r="BH889" t="str">
        <f>tbl_OriginalData[[#This Row],[Shipping_Preference]]</f>
        <v>Express</v>
      </c>
      <c r="BI889">
        <f>tbl_OriginalData[[#This Row],[Time_to_Decision]]</f>
        <v>11</v>
      </c>
      <c r="BJ889" t="s">
        <v>177</v>
      </c>
      <c r="BK889" t="s">
        <v>80</v>
      </c>
      <c r="BL889" t="s">
        <v>2524</v>
      </c>
    </row>
    <row r="890" spans="1:64">
      <c r="A890" t="s">
        <v>2017</v>
      </c>
      <c r="B890">
        <v>40</v>
      </c>
      <c r="C890" t="s">
        <v>33</v>
      </c>
      <c r="D890" t="s">
        <v>51</v>
      </c>
      <c r="E890" t="s">
        <v>82</v>
      </c>
      <c r="F890" t="s">
        <v>66</v>
      </c>
      <c r="G890" t="s">
        <v>51</v>
      </c>
      <c r="H890" t="s">
        <v>2018</v>
      </c>
      <c r="I890" t="s">
        <v>127</v>
      </c>
      <c r="J890">
        <v>105.76</v>
      </c>
      <c r="K890">
        <v>8</v>
      </c>
      <c r="L890" t="s">
        <v>94</v>
      </c>
      <c r="M890">
        <v>4</v>
      </c>
      <c r="N890">
        <v>4</v>
      </c>
      <c r="O890">
        <v>2</v>
      </c>
      <c r="P890" t="s">
        <v>40</v>
      </c>
      <c r="Q890" t="s">
        <v>101</v>
      </c>
      <c r="R890">
        <v>1</v>
      </c>
      <c r="S890">
        <v>8</v>
      </c>
      <c r="T890" t="s">
        <v>56</v>
      </c>
      <c r="U890" t="s">
        <v>42</v>
      </c>
      <c r="V890" t="s">
        <v>43</v>
      </c>
      <c r="W890" s="1">
        <v>45309</v>
      </c>
      <c r="X890" t="b">
        <v>0</v>
      </c>
      <c r="Y890" t="b">
        <v>0</v>
      </c>
      <c r="Z890" t="s">
        <v>89</v>
      </c>
      <c r="AA890" t="s">
        <v>77</v>
      </c>
      <c r="AB890">
        <v>4</v>
      </c>
      <c r="AF890" t="str">
        <f>tbl_OriginalData[[#This Row],[Customer_ID]]</f>
        <v>31-364-4144</v>
      </c>
      <c r="AG890">
        <f>tbl_OriginalData[[#This Row],[Age]]</f>
        <v>40</v>
      </c>
      <c r="AH890" t="str" cm="1">
        <f t="array" ref="AH89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90" t="str">
        <f>tbl_OriginalData[[#This Row],[Gender]]</f>
        <v>Female</v>
      </c>
      <c r="AJ890" t="str">
        <f>tbl_OriginalData[[#This Row],[Income_Level]]</f>
        <v>High</v>
      </c>
      <c r="AK890" t="str">
        <f>tbl_OriginalData[[#This Row],[Marital_Status]]</f>
        <v>Widowed</v>
      </c>
      <c r="AL890" t="str">
        <f>tbl_OriginalData[[#This Row],[Education_Level]]</f>
        <v>Master's</v>
      </c>
      <c r="AM890" t="str">
        <f>tbl_OriginalData[[#This Row],[Occupation]]</f>
        <v>High</v>
      </c>
      <c r="AN890" t="s">
        <v>2018</v>
      </c>
      <c r="AO890" t="s">
        <v>109</v>
      </c>
      <c r="AP890" t="str">
        <f>tbl_OriginalData[[#This Row],[Purchase_Category]]</f>
        <v>Animal Feed</v>
      </c>
      <c r="AQ890" s="4">
        <f>tbl_OriginalData[[#This Row],[Purchase_Amount]]</f>
        <v>105.76</v>
      </c>
      <c r="AR890">
        <f>tbl_OriginalData[[#This Row],[Frequency_of_Purchase]]</f>
        <v>8</v>
      </c>
      <c r="AS890" t="str">
        <f>tbl_OriginalData[[#This Row],[Purchase_Channel]]</f>
        <v>Online</v>
      </c>
      <c r="AT890">
        <f>tbl_OriginalData[[#This Row],[Brand_Loyalty]]</f>
        <v>4</v>
      </c>
      <c r="AU890">
        <f>tbl_OriginalData[[#This Row],[Product_Rating]]</f>
        <v>4</v>
      </c>
      <c r="AV890">
        <f>tbl_OriginalData[[#This Row],[Time_Spent_on_Product_Research(hours)]]*60</f>
        <v>120</v>
      </c>
      <c r="AW890" t="str">
        <f>tbl_OriginalData[[#This Row],[Social_Media_Influence]]</f>
        <v>None</v>
      </c>
      <c r="AX890" t="str">
        <f>tbl_OriginalData[[#This Row],[Discount_Sensitivity]]</f>
        <v>Very Sensitive</v>
      </c>
      <c r="AY890" s="3">
        <f>tbl_OriginalData[[#This Row],[Return_Rate]]/tbl_OriginalData[[#This Row],[Frequency_of_Purchase]]</f>
        <v>0.125</v>
      </c>
      <c r="AZ890">
        <f>tbl_OriginalData[[#This Row],[Customer_Satisfaction]]</f>
        <v>8</v>
      </c>
      <c r="BA890" t="str">
        <f>tbl_OriginalData[[#This Row],[Engagement_with_Ads]]</f>
        <v>Medium</v>
      </c>
      <c r="BB890" t="str">
        <f>tbl_OriginalData[[#This Row],[Device_Used_for_Shopping]]</f>
        <v>Tablet</v>
      </c>
      <c r="BC890" t="str">
        <f>tbl_OriginalData[[#This Row],[Payment_Method]]</f>
        <v>Credit Card</v>
      </c>
      <c r="BD890" s="1">
        <f>tbl_OriginalData[[#This Row],[Time_of_Purchase]]</f>
        <v>45309</v>
      </c>
      <c r="BE890" t="str">
        <f>IF(tbl_OriginalData[[#This Row],[Discount_Used]]=TRUE,"Yes","No")</f>
        <v>No</v>
      </c>
      <c r="BF890" t="str">
        <f>IF(tbl_OriginalData[[#This Row],[Customer_Loyalty_Program_Member]]=TRUE,"Yes","No")</f>
        <v>No</v>
      </c>
      <c r="BG890" t="str">
        <f>tbl_OriginalData[[#This Row],[Purchase_Intent]]</f>
        <v>Planned</v>
      </c>
      <c r="BH890" t="str">
        <f>tbl_OriginalData[[#This Row],[Shipping_Preference]]</f>
        <v>Express</v>
      </c>
      <c r="BI890">
        <f>tbl_OriginalData[[#This Row],[Time_to_Decision]]</f>
        <v>4</v>
      </c>
      <c r="BJ890" t="s">
        <v>86</v>
      </c>
      <c r="BK890" t="s">
        <v>48</v>
      </c>
      <c r="BL890" t="s">
        <v>2526</v>
      </c>
    </row>
    <row r="891" spans="1:64">
      <c r="A891" t="s">
        <v>2019</v>
      </c>
      <c r="B891">
        <v>24</v>
      </c>
      <c r="C891" t="s">
        <v>33</v>
      </c>
      <c r="D891" t="s">
        <v>34</v>
      </c>
      <c r="E891" t="s">
        <v>65</v>
      </c>
      <c r="F891" t="s">
        <v>66</v>
      </c>
      <c r="G891" t="s">
        <v>51</v>
      </c>
      <c r="H891" t="s">
        <v>2020</v>
      </c>
      <c r="I891" t="s">
        <v>135</v>
      </c>
      <c r="J891">
        <v>254.29</v>
      </c>
      <c r="K891">
        <v>9</v>
      </c>
      <c r="L891" t="s">
        <v>39</v>
      </c>
      <c r="M891">
        <v>5</v>
      </c>
      <c r="N891">
        <v>4</v>
      </c>
      <c r="O891">
        <v>0</v>
      </c>
      <c r="P891" t="s">
        <v>56</v>
      </c>
      <c r="Q891" t="s">
        <v>41</v>
      </c>
      <c r="R891">
        <v>1</v>
      </c>
      <c r="S891">
        <v>7</v>
      </c>
      <c r="T891" t="s">
        <v>69</v>
      </c>
      <c r="U891" t="s">
        <v>70</v>
      </c>
      <c r="V891" t="s">
        <v>102</v>
      </c>
      <c r="W891" s="1">
        <v>45412</v>
      </c>
      <c r="X891" t="b">
        <v>0</v>
      </c>
      <c r="Y891" t="b">
        <v>0</v>
      </c>
      <c r="Z891" t="s">
        <v>72</v>
      </c>
      <c r="AA891" t="s">
        <v>77</v>
      </c>
      <c r="AB891">
        <v>3</v>
      </c>
      <c r="AF891" t="str">
        <f>tbl_OriginalData[[#This Row],[Customer_ID]]</f>
        <v>99-945-7193</v>
      </c>
      <c r="AG891">
        <f>tbl_OriginalData[[#This Row],[Age]]</f>
        <v>24</v>
      </c>
      <c r="AH891" t="str" cm="1">
        <f t="array" ref="AH89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91" t="str">
        <f>tbl_OriginalData[[#This Row],[Gender]]</f>
        <v>Female</v>
      </c>
      <c r="AJ891" t="str">
        <f>tbl_OriginalData[[#This Row],[Income_Level]]</f>
        <v>Middle</v>
      </c>
      <c r="AK891" t="str">
        <f>tbl_OriginalData[[#This Row],[Marital_Status]]</f>
        <v>Single</v>
      </c>
      <c r="AL891" t="str">
        <f>tbl_OriginalData[[#This Row],[Education_Level]]</f>
        <v>Master's</v>
      </c>
      <c r="AM891" t="str">
        <f>tbl_OriginalData[[#This Row],[Occupation]]</f>
        <v>High</v>
      </c>
      <c r="AN891" t="s">
        <v>2020</v>
      </c>
      <c r="AO891" t="s">
        <v>194</v>
      </c>
      <c r="AP891" t="str">
        <f>tbl_OriginalData[[#This Row],[Purchase_Category]]</f>
        <v>Hotels</v>
      </c>
      <c r="AQ891" s="4">
        <f>tbl_OriginalData[[#This Row],[Purchase_Amount]]</f>
        <v>254.29</v>
      </c>
      <c r="AR891">
        <f>tbl_OriginalData[[#This Row],[Frequency_of_Purchase]]</f>
        <v>9</v>
      </c>
      <c r="AS891" t="str">
        <f>tbl_OriginalData[[#This Row],[Purchase_Channel]]</f>
        <v>Mixed</v>
      </c>
      <c r="AT891">
        <f>tbl_OriginalData[[#This Row],[Brand_Loyalty]]</f>
        <v>5</v>
      </c>
      <c r="AU891">
        <f>tbl_OriginalData[[#This Row],[Product_Rating]]</f>
        <v>4</v>
      </c>
      <c r="AV891">
        <f>tbl_OriginalData[[#This Row],[Time_Spent_on_Product_Research(hours)]]*60</f>
        <v>0</v>
      </c>
      <c r="AW891" t="str">
        <f>tbl_OriginalData[[#This Row],[Social_Media_Influence]]</f>
        <v>Medium</v>
      </c>
      <c r="AX891" t="str">
        <f>tbl_OriginalData[[#This Row],[Discount_Sensitivity]]</f>
        <v>Somewhat Sensitive</v>
      </c>
      <c r="AY891" s="3">
        <f>tbl_OriginalData[[#This Row],[Return_Rate]]/tbl_OriginalData[[#This Row],[Frequency_of_Purchase]]</f>
        <v>0.1111111111111111</v>
      </c>
      <c r="AZ891">
        <f>tbl_OriginalData[[#This Row],[Customer_Satisfaction]]</f>
        <v>7</v>
      </c>
      <c r="BA891" t="str">
        <f>tbl_OriginalData[[#This Row],[Engagement_with_Ads]]</f>
        <v>Low</v>
      </c>
      <c r="BB891" t="str">
        <f>tbl_OriginalData[[#This Row],[Device_Used_for_Shopping]]</f>
        <v>Smartphone</v>
      </c>
      <c r="BC891" t="str">
        <f>tbl_OriginalData[[#This Row],[Payment_Method]]</f>
        <v>Cash</v>
      </c>
      <c r="BD891" s="1">
        <f>tbl_OriginalData[[#This Row],[Time_of_Purchase]]</f>
        <v>45412</v>
      </c>
      <c r="BE891" t="str">
        <f>IF(tbl_OriginalData[[#This Row],[Discount_Used]]=TRUE,"Yes","No")</f>
        <v>No</v>
      </c>
      <c r="BF891" t="str">
        <f>IF(tbl_OriginalData[[#This Row],[Customer_Loyalty_Program_Member]]=TRUE,"Yes","No")</f>
        <v>No</v>
      </c>
      <c r="BG891" t="str">
        <f>tbl_OriginalData[[#This Row],[Purchase_Intent]]</f>
        <v>Impulsive</v>
      </c>
      <c r="BH891" t="str">
        <f>tbl_OriginalData[[#This Row],[Shipping_Preference]]</f>
        <v>Express</v>
      </c>
      <c r="BI891">
        <f>tbl_OriginalData[[#This Row],[Time_to_Decision]]</f>
        <v>3</v>
      </c>
      <c r="BJ891" t="s">
        <v>62</v>
      </c>
      <c r="BK891" t="s">
        <v>63</v>
      </c>
      <c r="BL891" t="s">
        <v>2524</v>
      </c>
    </row>
    <row r="892" spans="1:64">
      <c r="A892" t="s">
        <v>2021</v>
      </c>
      <c r="B892">
        <v>49</v>
      </c>
      <c r="C892" t="s">
        <v>50</v>
      </c>
      <c r="D892" t="s">
        <v>34</v>
      </c>
      <c r="E892" t="s">
        <v>92</v>
      </c>
      <c r="F892" t="s">
        <v>36</v>
      </c>
      <c r="G892" t="s">
        <v>51</v>
      </c>
      <c r="H892" t="s">
        <v>2022</v>
      </c>
      <c r="I892" t="s">
        <v>108</v>
      </c>
      <c r="J892">
        <v>435.52</v>
      </c>
      <c r="K892">
        <v>9</v>
      </c>
      <c r="L892" t="s">
        <v>94</v>
      </c>
      <c r="M892">
        <v>5</v>
      </c>
      <c r="N892">
        <v>3</v>
      </c>
      <c r="O892">
        <v>2</v>
      </c>
      <c r="P892" t="s">
        <v>51</v>
      </c>
      <c r="Q892" t="s">
        <v>57</v>
      </c>
      <c r="R892">
        <v>1</v>
      </c>
      <c r="S892">
        <v>2</v>
      </c>
      <c r="T892" t="s">
        <v>56</v>
      </c>
      <c r="U892" t="s">
        <v>95</v>
      </c>
      <c r="V892" t="s">
        <v>71</v>
      </c>
      <c r="W892" s="1">
        <v>45608</v>
      </c>
      <c r="X892" t="b">
        <v>1</v>
      </c>
      <c r="Y892" t="b">
        <v>0</v>
      </c>
      <c r="Z892" t="s">
        <v>72</v>
      </c>
      <c r="AA892" t="s">
        <v>45</v>
      </c>
      <c r="AB892">
        <v>11</v>
      </c>
      <c r="AF892" t="str">
        <f>tbl_OriginalData[[#This Row],[Customer_ID]]</f>
        <v>91-053-3261</v>
      </c>
      <c r="AG892">
        <f>tbl_OriginalData[[#This Row],[Age]]</f>
        <v>49</v>
      </c>
      <c r="AH892" t="str" cm="1">
        <f t="array" ref="AH89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92" t="str">
        <f>tbl_OriginalData[[#This Row],[Gender]]</f>
        <v>Male</v>
      </c>
      <c r="AJ892" t="str">
        <f>tbl_OriginalData[[#This Row],[Income_Level]]</f>
        <v>Middle</v>
      </c>
      <c r="AK892" t="str">
        <f>tbl_OriginalData[[#This Row],[Marital_Status]]</f>
        <v>Divorced</v>
      </c>
      <c r="AL892" t="str">
        <f>tbl_OriginalData[[#This Row],[Education_Level]]</f>
        <v>Bachelor's</v>
      </c>
      <c r="AM892" t="str">
        <f>tbl_OriginalData[[#This Row],[Occupation]]</f>
        <v>High</v>
      </c>
      <c r="AN892" t="s">
        <v>2022</v>
      </c>
      <c r="AO892" t="s">
        <v>61</v>
      </c>
      <c r="AP892" t="str">
        <f>tbl_OriginalData[[#This Row],[Purchase_Category]]</f>
        <v>Sports &amp; Outdoors</v>
      </c>
      <c r="AQ892" s="4">
        <f>tbl_OriginalData[[#This Row],[Purchase_Amount]]</f>
        <v>435.52</v>
      </c>
      <c r="AR892">
        <f>tbl_OriginalData[[#This Row],[Frequency_of_Purchase]]</f>
        <v>9</v>
      </c>
      <c r="AS892" t="str">
        <f>tbl_OriginalData[[#This Row],[Purchase_Channel]]</f>
        <v>Online</v>
      </c>
      <c r="AT892">
        <f>tbl_OriginalData[[#This Row],[Brand_Loyalty]]</f>
        <v>5</v>
      </c>
      <c r="AU892">
        <f>tbl_OriginalData[[#This Row],[Product_Rating]]</f>
        <v>3</v>
      </c>
      <c r="AV892">
        <f>tbl_OriginalData[[#This Row],[Time_Spent_on_Product_Research(hours)]]*60</f>
        <v>120</v>
      </c>
      <c r="AW892" t="str">
        <f>tbl_OriginalData[[#This Row],[Social_Media_Influence]]</f>
        <v>High</v>
      </c>
      <c r="AX892" t="str">
        <f>tbl_OriginalData[[#This Row],[Discount_Sensitivity]]</f>
        <v>Not Sensitive</v>
      </c>
      <c r="AY892" s="3">
        <f>tbl_OriginalData[[#This Row],[Return_Rate]]/tbl_OriginalData[[#This Row],[Frequency_of_Purchase]]</f>
        <v>0.1111111111111111</v>
      </c>
      <c r="AZ892">
        <f>tbl_OriginalData[[#This Row],[Customer_Satisfaction]]</f>
        <v>2</v>
      </c>
      <c r="BA892" t="str">
        <f>tbl_OriginalData[[#This Row],[Engagement_with_Ads]]</f>
        <v>Medium</v>
      </c>
      <c r="BB892" t="str">
        <f>tbl_OriginalData[[#This Row],[Device_Used_for_Shopping]]</f>
        <v>Desktop</v>
      </c>
      <c r="BC892" t="str">
        <f>tbl_OriginalData[[#This Row],[Payment_Method]]</f>
        <v>Debit Card</v>
      </c>
      <c r="BD892" s="1">
        <f>tbl_OriginalData[[#This Row],[Time_of_Purchase]]</f>
        <v>45608</v>
      </c>
      <c r="BE892" t="str">
        <f>IF(tbl_OriginalData[[#This Row],[Discount_Used]]=TRUE,"Yes","No")</f>
        <v>Yes</v>
      </c>
      <c r="BF892" t="str">
        <f>IF(tbl_OriginalData[[#This Row],[Customer_Loyalty_Program_Member]]=TRUE,"Yes","No")</f>
        <v>No</v>
      </c>
      <c r="BG892" t="str">
        <f>tbl_OriginalData[[#This Row],[Purchase_Intent]]</f>
        <v>Impulsive</v>
      </c>
      <c r="BH892" t="str">
        <f>tbl_OriginalData[[#This Row],[Shipping_Preference]]</f>
        <v>No Preference</v>
      </c>
      <c r="BI892">
        <f>tbl_OriginalData[[#This Row],[Time_to_Decision]]</f>
        <v>11</v>
      </c>
      <c r="BJ892" t="s">
        <v>177</v>
      </c>
      <c r="BK892" t="s">
        <v>80</v>
      </c>
      <c r="BL892" t="s">
        <v>2524</v>
      </c>
    </row>
    <row r="893" spans="1:64">
      <c r="A893" t="s">
        <v>2023</v>
      </c>
      <c r="B893">
        <v>50</v>
      </c>
      <c r="C893" t="s">
        <v>33</v>
      </c>
      <c r="D893" t="s">
        <v>51</v>
      </c>
      <c r="E893" t="s">
        <v>35</v>
      </c>
      <c r="F893" t="s">
        <v>66</v>
      </c>
      <c r="G893" t="s">
        <v>34</v>
      </c>
      <c r="H893" t="s">
        <v>2024</v>
      </c>
      <c r="I893" t="s">
        <v>68</v>
      </c>
      <c r="J893">
        <v>235.49</v>
      </c>
      <c r="K893">
        <v>5</v>
      </c>
      <c r="L893" t="s">
        <v>55</v>
      </c>
      <c r="M893">
        <v>4</v>
      </c>
      <c r="N893">
        <v>3</v>
      </c>
      <c r="O893">
        <v>1</v>
      </c>
      <c r="P893" t="s">
        <v>51</v>
      </c>
      <c r="Q893" t="s">
        <v>41</v>
      </c>
      <c r="R893">
        <v>1</v>
      </c>
      <c r="S893">
        <v>6</v>
      </c>
      <c r="T893" t="s">
        <v>40</v>
      </c>
      <c r="U893" t="s">
        <v>70</v>
      </c>
      <c r="V893" t="s">
        <v>102</v>
      </c>
      <c r="W893" s="1">
        <v>45425</v>
      </c>
      <c r="X893" t="b">
        <v>1</v>
      </c>
      <c r="Y893" t="b">
        <v>0</v>
      </c>
      <c r="Z893" t="s">
        <v>72</v>
      </c>
      <c r="AA893" t="s">
        <v>77</v>
      </c>
      <c r="AB893">
        <v>5</v>
      </c>
      <c r="AF893" t="str">
        <f>tbl_OriginalData[[#This Row],[Customer_ID]]</f>
        <v>50-447-5171</v>
      </c>
      <c r="AG893">
        <f>tbl_OriginalData[[#This Row],[Age]]</f>
        <v>50</v>
      </c>
      <c r="AH893" t="str" cm="1">
        <f t="array" ref="AH89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93" t="str">
        <f>tbl_OriginalData[[#This Row],[Gender]]</f>
        <v>Female</v>
      </c>
      <c r="AJ893" t="str">
        <f>tbl_OriginalData[[#This Row],[Income_Level]]</f>
        <v>High</v>
      </c>
      <c r="AK893" t="str">
        <f>tbl_OriginalData[[#This Row],[Marital_Status]]</f>
        <v>Married</v>
      </c>
      <c r="AL893" t="str">
        <f>tbl_OriginalData[[#This Row],[Education_Level]]</f>
        <v>Master's</v>
      </c>
      <c r="AM893" t="str">
        <f>tbl_OriginalData[[#This Row],[Occupation]]</f>
        <v>Middle</v>
      </c>
      <c r="AN893" t="s">
        <v>2024</v>
      </c>
      <c r="AO893" t="s">
        <v>376</v>
      </c>
      <c r="AP893" t="str">
        <f>tbl_OriginalData[[#This Row],[Purchase_Category]]</f>
        <v>Office Supplies</v>
      </c>
      <c r="AQ893" s="4">
        <f>tbl_OriginalData[[#This Row],[Purchase_Amount]]</f>
        <v>235.49</v>
      </c>
      <c r="AR893">
        <f>tbl_OriginalData[[#This Row],[Frequency_of_Purchase]]</f>
        <v>5</v>
      </c>
      <c r="AS893" t="str">
        <f>tbl_OriginalData[[#This Row],[Purchase_Channel]]</f>
        <v>In-Store</v>
      </c>
      <c r="AT893">
        <f>tbl_OriginalData[[#This Row],[Brand_Loyalty]]</f>
        <v>4</v>
      </c>
      <c r="AU893">
        <f>tbl_OriginalData[[#This Row],[Product_Rating]]</f>
        <v>3</v>
      </c>
      <c r="AV893">
        <f>tbl_OriginalData[[#This Row],[Time_Spent_on_Product_Research(hours)]]*60</f>
        <v>60</v>
      </c>
      <c r="AW893" t="str">
        <f>tbl_OriginalData[[#This Row],[Social_Media_Influence]]</f>
        <v>High</v>
      </c>
      <c r="AX893" t="str">
        <f>tbl_OriginalData[[#This Row],[Discount_Sensitivity]]</f>
        <v>Somewhat Sensitive</v>
      </c>
      <c r="AY893" s="3">
        <f>tbl_OriginalData[[#This Row],[Return_Rate]]/tbl_OriginalData[[#This Row],[Frequency_of_Purchase]]</f>
        <v>0.2</v>
      </c>
      <c r="AZ893">
        <f>tbl_OriginalData[[#This Row],[Customer_Satisfaction]]</f>
        <v>6</v>
      </c>
      <c r="BA893" t="str">
        <f>tbl_OriginalData[[#This Row],[Engagement_with_Ads]]</f>
        <v>None</v>
      </c>
      <c r="BB893" t="str">
        <f>tbl_OriginalData[[#This Row],[Device_Used_for_Shopping]]</f>
        <v>Smartphone</v>
      </c>
      <c r="BC893" t="str">
        <f>tbl_OriginalData[[#This Row],[Payment_Method]]</f>
        <v>Cash</v>
      </c>
      <c r="BD893" s="1">
        <f>tbl_OriginalData[[#This Row],[Time_of_Purchase]]</f>
        <v>45425</v>
      </c>
      <c r="BE893" t="str">
        <f>IF(tbl_OriginalData[[#This Row],[Discount_Used]]=TRUE,"Yes","No")</f>
        <v>Yes</v>
      </c>
      <c r="BF893" t="str">
        <f>IF(tbl_OriginalData[[#This Row],[Customer_Loyalty_Program_Member]]=TRUE,"Yes","No")</f>
        <v>No</v>
      </c>
      <c r="BG893" t="str">
        <f>tbl_OriginalData[[#This Row],[Purchase_Intent]]</f>
        <v>Impulsive</v>
      </c>
      <c r="BH893" t="str">
        <f>tbl_OriginalData[[#This Row],[Shipping_Preference]]</f>
        <v>Express</v>
      </c>
      <c r="BI893">
        <f>tbl_OriginalData[[#This Row],[Time_to_Decision]]</f>
        <v>5</v>
      </c>
      <c r="BJ893" t="s">
        <v>167</v>
      </c>
      <c r="BK893" t="s">
        <v>63</v>
      </c>
      <c r="BL893" t="s">
        <v>2523</v>
      </c>
    </row>
    <row r="894" spans="1:64">
      <c r="A894" t="s">
        <v>2025</v>
      </c>
      <c r="B894">
        <v>45</v>
      </c>
      <c r="C894" t="s">
        <v>50</v>
      </c>
      <c r="D894" t="s">
        <v>51</v>
      </c>
      <c r="E894" t="s">
        <v>82</v>
      </c>
      <c r="F894" t="s">
        <v>66</v>
      </c>
      <c r="G894" t="s">
        <v>34</v>
      </c>
      <c r="H894" t="s">
        <v>2026</v>
      </c>
      <c r="I894" t="s">
        <v>112</v>
      </c>
      <c r="J894">
        <v>161.34</v>
      </c>
      <c r="K894">
        <v>3</v>
      </c>
      <c r="L894" t="s">
        <v>39</v>
      </c>
      <c r="M894">
        <v>2</v>
      </c>
      <c r="N894">
        <v>3</v>
      </c>
      <c r="O894">
        <v>2</v>
      </c>
      <c r="P894" t="s">
        <v>51</v>
      </c>
      <c r="Q894" t="s">
        <v>101</v>
      </c>
      <c r="R894">
        <v>1</v>
      </c>
      <c r="S894">
        <v>8</v>
      </c>
      <c r="T894" t="s">
        <v>56</v>
      </c>
      <c r="U894" t="s">
        <v>42</v>
      </c>
      <c r="V894" t="s">
        <v>43</v>
      </c>
      <c r="W894" s="1">
        <v>45563</v>
      </c>
      <c r="X894" t="b">
        <v>1</v>
      </c>
      <c r="Y894" t="b">
        <v>0</v>
      </c>
      <c r="Z894" t="s">
        <v>72</v>
      </c>
      <c r="AA894" t="s">
        <v>45</v>
      </c>
      <c r="AB894">
        <v>4</v>
      </c>
      <c r="AF894" t="str">
        <f>tbl_OriginalData[[#This Row],[Customer_ID]]</f>
        <v>89-754-7244</v>
      </c>
      <c r="AG894">
        <f>tbl_OriginalData[[#This Row],[Age]]</f>
        <v>45</v>
      </c>
      <c r="AH894" t="str" cm="1">
        <f t="array" ref="AH89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94" t="str">
        <f>tbl_OriginalData[[#This Row],[Gender]]</f>
        <v>Male</v>
      </c>
      <c r="AJ894" t="str">
        <f>tbl_OriginalData[[#This Row],[Income_Level]]</f>
        <v>High</v>
      </c>
      <c r="AK894" t="str">
        <f>tbl_OriginalData[[#This Row],[Marital_Status]]</f>
        <v>Widowed</v>
      </c>
      <c r="AL894" t="str">
        <f>tbl_OriginalData[[#This Row],[Education_Level]]</f>
        <v>Master's</v>
      </c>
      <c r="AM894" t="str">
        <f>tbl_OriginalData[[#This Row],[Occupation]]</f>
        <v>Middle</v>
      </c>
      <c r="AN894" t="s">
        <v>2026</v>
      </c>
      <c r="AO894" t="s">
        <v>582</v>
      </c>
      <c r="AP894" t="str">
        <f>tbl_OriginalData[[#This Row],[Purchase_Category]]</f>
        <v>Mobile Accessories</v>
      </c>
      <c r="AQ894" s="4">
        <f>tbl_OriginalData[[#This Row],[Purchase_Amount]]</f>
        <v>161.34</v>
      </c>
      <c r="AR894">
        <f>tbl_OriginalData[[#This Row],[Frequency_of_Purchase]]</f>
        <v>3</v>
      </c>
      <c r="AS894" t="str">
        <f>tbl_OriginalData[[#This Row],[Purchase_Channel]]</f>
        <v>Mixed</v>
      </c>
      <c r="AT894">
        <f>tbl_OriginalData[[#This Row],[Brand_Loyalty]]</f>
        <v>2</v>
      </c>
      <c r="AU894">
        <f>tbl_OriginalData[[#This Row],[Product_Rating]]</f>
        <v>3</v>
      </c>
      <c r="AV894">
        <f>tbl_OriginalData[[#This Row],[Time_Spent_on_Product_Research(hours)]]*60</f>
        <v>120</v>
      </c>
      <c r="AW894" t="str">
        <f>tbl_OriginalData[[#This Row],[Social_Media_Influence]]</f>
        <v>High</v>
      </c>
      <c r="AX894" t="str">
        <f>tbl_OriginalData[[#This Row],[Discount_Sensitivity]]</f>
        <v>Very Sensitive</v>
      </c>
      <c r="AY894" s="3">
        <f>tbl_OriginalData[[#This Row],[Return_Rate]]/tbl_OriginalData[[#This Row],[Frequency_of_Purchase]]</f>
        <v>0.33333333333333331</v>
      </c>
      <c r="AZ894">
        <f>tbl_OriginalData[[#This Row],[Customer_Satisfaction]]</f>
        <v>8</v>
      </c>
      <c r="BA894" t="str">
        <f>tbl_OriginalData[[#This Row],[Engagement_with_Ads]]</f>
        <v>Medium</v>
      </c>
      <c r="BB894" t="str">
        <f>tbl_OriginalData[[#This Row],[Device_Used_for_Shopping]]</f>
        <v>Tablet</v>
      </c>
      <c r="BC894" t="str">
        <f>tbl_OriginalData[[#This Row],[Payment_Method]]</f>
        <v>Credit Card</v>
      </c>
      <c r="BD894" s="1">
        <f>tbl_OriginalData[[#This Row],[Time_of_Purchase]]</f>
        <v>45563</v>
      </c>
      <c r="BE894" t="str">
        <f>IF(tbl_OriginalData[[#This Row],[Discount_Used]]=TRUE,"Yes","No")</f>
        <v>Yes</v>
      </c>
      <c r="BF894" t="str">
        <f>IF(tbl_OriginalData[[#This Row],[Customer_Loyalty_Program_Member]]=TRUE,"Yes","No")</f>
        <v>No</v>
      </c>
      <c r="BG894" t="str">
        <f>tbl_OriginalData[[#This Row],[Purchase_Intent]]</f>
        <v>Impulsive</v>
      </c>
      <c r="BH894" t="str">
        <f>tbl_OriginalData[[#This Row],[Shipping_Preference]]</f>
        <v>No Preference</v>
      </c>
      <c r="BI894">
        <f>tbl_OriginalData[[#This Row],[Time_to_Decision]]</f>
        <v>4</v>
      </c>
      <c r="BJ894" t="s">
        <v>172</v>
      </c>
      <c r="BK894" t="s">
        <v>115</v>
      </c>
      <c r="BL894" t="s">
        <v>2525</v>
      </c>
    </row>
    <row r="895" spans="1:64">
      <c r="A895" t="s">
        <v>2027</v>
      </c>
      <c r="B895">
        <v>19</v>
      </c>
      <c r="C895" t="s">
        <v>50</v>
      </c>
      <c r="D895" t="s">
        <v>51</v>
      </c>
      <c r="E895" t="s">
        <v>65</v>
      </c>
      <c r="F895" t="s">
        <v>66</v>
      </c>
      <c r="G895" t="s">
        <v>51</v>
      </c>
      <c r="H895" t="s">
        <v>2028</v>
      </c>
      <c r="I895" t="s">
        <v>112</v>
      </c>
      <c r="J895">
        <v>167.67</v>
      </c>
      <c r="K895">
        <v>11</v>
      </c>
      <c r="L895" t="s">
        <v>55</v>
      </c>
      <c r="M895">
        <v>5</v>
      </c>
      <c r="N895">
        <v>2</v>
      </c>
      <c r="O895">
        <v>1</v>
      </c>
      <c r="P895" t="s">
        <v>51</v>
      </c>
      <c r="Q895" t="s">
        <v>101</v>
      </c>
      <c r="R895">
        <v>0</v>
      </c>
      <c r="S895">
        <v>6</v>
      </c>
      <c r="T895" t="s">
        <v>56</v>
      </c>
      <c r="U895" t="s">
        <v>70</v>
      </c>
      <c r="V895" t="s">
        <v>43</v>
      </c>
      <c r="W895" s="1">
        <v>45369</v>
      </c>
      <c r="X895" t="b">
        <v>0</v>
      </c>
      <c r="Y895" t="b">
        <v>1</v>
      </c>
      <c r="Z895" t="s">
        <v>44</v>
      </c>
      <c r="AA895" t="s">
        <v>77</v>
      </c>
      <c r="AB895">
        <v>5</v>
      </c>
      <c r="AF895" t="str">
        <f>tbl_OriginalData[[#This Row],[Customer_ID]]</f>
        <v>56-072-7011</v>
      </c>
      <c r="AG895">
        <f>tbl_OriginalData[[#This Row],[Age]]</f>
        <v>19</v>
      </c>
      <c r="AH895" t="str" cm="1">
        <f t="array" ref="AH89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895" t="str">
        <f>tbl_OriginalData[[#This Row],[Gender]]</f>
        <v>Male</v>
      </c>
      <c r="AJ895" t="str">
        <f>tbl_OriginalData[[#This Row],[Income_Level]]</f>
        <v>High</v>
      </c>
      <c r="AK895" t="str">
        <f>tbl_OriginalData[[#This Row],[Marital_Status]]</f>
        <v>Single</v>
      </c>
      <c r="AL895" t="str">
        <f>tbl_OriginalData[[#This Row],[Education_Level]]</f>
        <v>Master's</v>
      </c>
      <c r="AM895" t="str">
        <f>tbl_OriginalData[[#This Row],[Occupation]]</f>
        <v>High</v>
      </c>
      <c r="AN895" t="s">
        <v>2028</v>
      </c>
      <c r="AO895" t="s">
        <v>1096</v>
      </c>
      <c r="AP895" t="str">
        <f>tbl_OriginalData[[#This Row],[Purchase_Category]]</f>
        <v>Mobile Accessories</v>
      </c>
      <c r="AQ895" s="4">
        <f>tbl_OriginalData[[#This Row],[Purchase_Amount]]</f>
        <v>167.67</v>
      </c>
      <c r="AR895">
        <f>tbl_OriginalData[[#This Row],[Frequency_of_Purchase]]</f>
        <v>11</v>
      </c>
      <c r="AS895" t="str">
        <f>tbl_OriginalData[[#This Row],[Purchase_Channel]]</f>
        <v>In-Store</v>
      </c>
      <c r="AT895">
        <f>tbl_OriginalData[[#This Row],[Brand_Loyalty]]</f>
        <v>5</v>
      </c>
      <c r="AU895">
        <f>tbl_OriginalData[[#This Row],[Product_Rating]]</f>
        <v>2</v>
      </c>
      <c r="AV895">
        <f>tbl_OriginalData[[#This Row],[Time_Spent_on_Product_Research(hours)]]*60</f>
        <v>60</v>
      </c>
      <c r="AW895" t="str">
        <f>tbl_OriginalData[[#This Row],[Social_Media_Influence]]</f>
        <v>High</v>
      </c>
      <c r="AX895" t="str">
        <f>tbl_OriginalData[[#This Row],[Discount_Sensitivity]]</f>
        <v>Very Sensitive</v>
      </c>
      <c r="AY895" s="3">
        <f>tbl_OriginalData[[#This Row],[Return_Rate]]/tbl_OriginalData[[#This Row],[Frequency_of_Purchase]]</f>
        <v>0</v>
      </c>
      <c r="AZ895">
        <f>tbl_OriginalData[[#This Row],[Customer_Satisfaction]]</f>
        <v>6</v>
      </c>
      <c r="BA895" t="str">
        <f>tbl_OriginalData[[#This Row],[Engagement_with_Ads]]</f>
        <v>Medium</v>
      </c>
      <c r="BB895" t="str">
        <f>tbl_OriginalData[[#This Row],[Device_Used_for_Shopping]]</f>
        <v>Smartphone</v>
      </c>
      <c r="BC895" t="str">
        <f>tbl_OriginalData[[#This Row],[Payment_Method]]</f>
        <v>Credit Card</v>
      </c>
      <c r="BD895" s="1">
        <f>tbl_OriginalData[[#This Row],[Time_of_Purchase]]</f>
        <v>45369</v>
      </c>
      <c r="BE895" t="str">
        <f>IF(tbl_OriginalData[[#This Row],[Discount_Used]]=TRUE,"Yes","No")</f>
        <v>No</v>
      </c>
      <c r="BF895" t="str">
        <f>IF(tbl_OriginalData[[#This Row],[Customer_Loyalty_Program_Member]]=TRUE,"Yes","No")</f>
        <v>Yes</v>
      </c>
      <c r="BG895" t="str">
        <f>tbl_OriginalData[[#This Row],[Purchase_Intent]]</f>
        <v>Need-based</v>
      </c>
      <c r="BH895" t="str">
        <f>tbl_OriginalData[[#This Row],[Shipping_Preference]]</f>
        <v>Express</v>
      </c>
      <c r="BI895">
        <f>tbl_OriginalData[[#This Row],[Time_to_Decision]]</f>
        <v>5</v>
      </c>
      <c r="BJ895" t="s">
        <v>47</v>
      </c>
      <c r="BK895" t="s">
        <v>48</v>
      </c>
      <c r="BL895" t="s">
        <v>2523</v>
      </c>
    </row>
    <row r="896" spans="1:64">
      <c r="A896" t="s">
        <v>2029</v>
      </c>
      <c r="B896">
        <v>50</v>
      </c>
      <c r="C896" t="s">
        <v>33</v>
      </c>
      <c r="D896" t="s">
        <v>34</v>
      </c>
      <c r="E896" t="s">
        <v>82</v>
      </c>
      <c r="F896" t="s">
        <v>52</v>
      </c>
      <c r="G896" t="s">
        <v>51</v>
      </c>
      <c r="H896" t="s">
        <v>2030</v>
      </c>
      <c r="I896" t="s">
        <v>54</v>
      </c>
      <c r="J896">
        <v>96.68</v>
      </c>
      <c r="K896">
        <v>10</v>
      </c>
      <c r="L896" t="s">
        <v>39</v>
      </c>
      <c r="M896">
        <v>5</v>
      </c>
      <c r="N896">
        <v>2</v>
      </c>
      <c r="O896">
        <v>2</v>
      </c>
      <c r="P896" t="s">
        <v>51</v>
      </c>
      <c r="Q896" t="s">
        <v>41</v>
      </c>
      <c r="R896">
        <v>2</v>
      </c>
      <c r="S896">
        <v>3</v>
      </c>
      <c r="T896" t="s">
        <v>40</v>
      </c>
      <c r="U896" t="s">
        <v>70</v>
      </c>
      <c r="V896" t="s">
        <v>43</v>
      </c>
      <c r="W896" s="1">
        <v>45395</v>
      </c>
      <c r="X896" t="b">
        <v>1</v>
      </c>
      <c r="Y896" t="b">
        <v>0</v>
      </c>
      <c r="Z896" t="s">
        <v>89</v>
      </c>
      <c r="AA896" t="s">
        <v>45</v>
      </c>
      <c r="AB896">
        <v>10</v>
      </c>
      <c r="AF896" t="str">
        <f>tbl_OriginalData[[#This Row],[Customer_ID]]</f>
        <v>74-281-3421</v>
      </c>
      <c r="AG896">
        <f>tbl_OriginalData[[#This Row],[Age]]</f>
        <v>50</v>
      </c>
      <c r="AH896" t="str" cm="1">
        <f t="array" ref="AH89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896" t="str">
        <f>tbl_OriginalData[[#This Row],[Gender]]</f>
        <v>Female</v>
      </c>
      <c r="AJ896" t="str">
        <f>tbl_OriginalData[[#This Row],[Income_Level]]</f>
        <v>Middle</v>
      </c>
      <c r="AK896" t="str">
        <f>tbl_OriginalData[[#This Row],[Marital_Status]]</f>
        <v>Widowed</v>
      </c>
      <c r="AL896" t="str">
        <f>tbl_OriginalData[[#This Row],[Education_Level]]</f>
        <v>High School</v>
      </c>
      <c r="AM896" t="str">
        <f>tbl_OriginalData[[#This Row],[Occupation]]</f>
        <v>High</v>
      </c>
      <c r="AN896" t="s">
        <v>2030</v>
      </c>
      <c r="AO896" t="s">
        <v>269</v>
      </c>
      <c r="AP896" t="str">
        <f>tbl_OriginalData[[#This Row],[Purchase_Category]]</f>
        <v>Food &amp; Beverages</v>
      </c>
      <c r="AQ896" s="4">
        <f>tbl_OriginalData[[#This Row],[Purchase_Amount]]</f>
        <v>96.68</v>
      </c>
      <c r="AR896">
        <f>tbl_OriginalData[[#This Row],[Frequency_of_Purchase]]</f>
        <v>10</v>
      </c>
      <c r="AS896" t="str">
        <f>tbl_OriginalData[[#This Row],[Purchase_Channel]]</f>
        <v>Mixed</v>
      </c>
      <c r="AT896">
        <f>tbl_OriginalData[[#This Row],[Brand_Loyalty]]</f>
        <v>5</v>
      </c>
      <c r="AU896">
        <f>tbl_OriginalData[[#This Row],[Product_Rating]]</f>
        <v>2</v>
      </c>
      <c r="AV896">
        <f>tbl_OriginalData[[#This Row],[Time_Spent_on_Product_Research(hours)]]*60</f>
        <v>120</v>
      </c>
      <c r="AW896" t="str">
        <f>tbl_OriginalData[[#This Row],[Social_Media_Influence]]</f>
        <v>High</v>
      </c>
      <c r="AX896" t="str">
        <f>tbl_OriginalData[[#This Row],[Discount_Sensitivity]]</f>
        <v>Somewhat Sensitive</v>
      </c>
      <c r="AY896" s="3">
        <f>tbl_OriginalData[[#This Row],[Return_Rate]]/tbl_OriginalData[[#This Row],[Frequency_of_Purchase]]</f>
        <v>0.2</v>
      </c>
      <c r="AZ896">
        <f>tbl_OriginalData[[#This Row],[Customer_Satisfaction]]</f>
        <v>3</v>
      </c>
      <c r="BA896" t="str">
        <f>tbl_OriginalData[[#This Row],[Engagement_with_Ads]]</f>
        <v>None</v>
      </c>
      <c r="BB896" t="str">
        <f>tbl_OriginalData[[#This Row],[Device_Used_for_Shopping]]</f>
        <v>Smartphone</v>
      </c>
      <c r="BC896" t="str">
        <f>tbl_OriginalData[[#This Row],[Payment_Method]]</f>
        <v>Credit Card</v>
      </c>
      <c r="BD896" s="1">
        <f>tbl_OriginalData[[#This Row],[Time_of_Purchase]]</f>
        <v>45395</v>
      </c>
      <c r="BE896" t="str">
        <f>IF(tbl_OriginalData[[#This Row],[Discount_Used]]=TRUE,"Yes","No")</f>
        <v>Yes</v>
      </c>
      <c r="BF896" t="str">
        <f>IF(tbl_OriginalData[[#This Row],[Customer_Loyalty_Program_Member]]=TRUE,"Yes","No")</f>
        <v>No</v>
      </c>
      <c r="BG896" t="str">
        <f>tbl_OriginalData[[#This Row],[Purchase_Intent]]</f>
        <v>Planned</v>
      </c>
      <c r="BH896" t="str">
        <f>tbl_OriginalData[[#This Row],[Shipping_Preference]]</f>
        <v>No Preference</v>
      </c>
      <c r="BI896">
        <f>tbl_OriginalData[[#This Row],[Time_to_Decision]]</f>
        <v>10</v>
      </c>
      <c r="BJ896" t="s">
        <v>62</v>
      </c>
      <c r="BK896" t="s">
        <v>63</v>
      </c>
      <c r="BL896" t="s">
        <v>2528</v>
      </c>
    </row>
    <row r="897" spans="1:64">
      <c r="A897" t="s">
        <v>2031</v>
      </c>
      <c r="B897">
        <v>32</v>
      </c>
      <c r="C897" t="s">
        <v>50</v>
      </c>
      <c r="D897" t="s">
        <v>51</v>
      </c>
      <c r="E897" t="s">
        <v>35</v>
      </c>
      <c r="F897" t="s">
        <v>66</v>
      </c>
      <c r="G897" t="s">
        <v>51</v>
      </c>
      <c r="H897" t="s">
        <v>2032</v>
      </c>
      <c r="I897" t="s">
        <v>38</v>
      </c>
      <c r="J897">
        <v>234.58</v>
      </c>
      <c r="K897">
        <v>3</v>
      </c>
      <c r="L897" t="s">
        <v>39</v>
      </c>
      <c r="M897">
        <v>5</v>
      </c>
      <c r="N897">
        <v>5</v>
      </c>
      <c r="O897">
        <v>2</v>
      </c>
      <c r="P897" t="s">
        <v>69</v>
      </c>
      <c r="Q897" t="s">
        <v>101</v>
      </c>
      <c r="R897">
        <v>2</v>
      </c>
      <c r="S897">
        <v>6</v>
      </c>
      <c r="T897" t="s">
        <v>40</v>
      </c>
      <c r="U897" t="s">
        <v>95</v>
      </c>
      <c r="V897" t="s">
        <v>58</v>
      </c>
      <c r="W897" s="1">
        <v>45405</v>
      </c>
      <c r="X897" t="b">
        <v>1</v>
      </c>
      <c r="Y897" t="b">
        <v>0</v>
      </c>
      <c r="Z897" t="s">
        <v>72</v>
      </c>
      <c r="AA897" t="s">
        <v>60</v>
      </c>
      <c r="AB897">
        <v>1</v>
      </c>
      <c r="AF897" t="str">
        <f>tbl_OriginalData[[#This Row],[Customer_ID]]</f>
        <v>86-068-2133</v>
      </c>
      <c r="AG897">
        <f>tbl_OriginalData[[#This Row],[Age]]</f>
        <v>32</v>
      </c>
      <c r="AH897" t="str" cm="1">
        <f t="array" ref="AH89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897" t="str">
        <f>tbl_OriginalData[[#This Row],[Gender]]</f>
        <v>Male</v>
      </c>
      <c r="AJ897" t="str">
        <f>tbl_OriginalData[[#This Row],[Income_Level]]</f>
        <v>High</v>
      </c>
      <c r="AK897" t="str">
        <f>tbl_OriginalData[[#This Row],[Marital_Status]]</f>
        <v>Married</v>
      </c>
      <c r="AL897" t="str">
        <f>tbl_OriginalData[[#This Row],[Education_Level]]</f>
        <v>Master's</v>
      </c>
      <c r="AM897" t="str">
        <f>tbl_OriginalData[[#This Row],[Occupation]]</f>
        <v>High</v>
      </c>
      <c r="AN897" t="s">
        <v>2032</v>
      </c>
      <c r="AO897" t="s">
        <v>2033</v>
      </c>
      <c r="AP897" t="str">
        <f>tbl_OriginalData[[#This Row],[Purchase_Category]]</f>
        <v>Gardening &amp; Outdoors</v>
      </c>
      <c r="AQ897" s="4">
        <f>tbl_OriginalData[[#This Row],[Purchase_Amount]]</f>
        <v>234.58</v>
      </c>
      <c r="AR897">
        <f>tbl_OriginalData[[#This Row],[Frequency_of_Purchase]]</f>
        <v>3</v>
      </c>
      <c r="AS897" t="str">
        <f>tbl_OriginalData[[#This Row],[Purchase_Channel]]</f>
        <v>Mixed</v>
      </c>
      <c r="AT897">
        <f>tbl_OriginalData[[#This Row],[Brand_Loyalty]]</f>
        <v>5</v>
      </c>
      <c r="AU897">
        <f>tbl_OriginalData[[#This Row],[Product_Rating]]</f>
        <v>5</v>
      </c>
      <c r="AV897">
        <f>tbl_OriginalData[[#This Row],[Time_Spent_on_Product_Research(hours)]]*60</f>
        <v>120</v>
      </c>
      <c r="AW897" t="str">
        <f>tbl_OriginalData[[#This Row],[Social_Media_Influence]]</f>
        <v>Low</v>
      </c>
      <c r="AX897" t="str">
        <f>tbl_OriginalData[[#This Row],[Discount_Sensitivity]]</f>
        <v>Very Sensitive</v>
      </c>
      <c r="AY897" s="3">
        <f>tbl_OriginalData[[#This Row],[Return_Rate]]/tbl_OriginalData[[#This Row],[Frequency_of_Purchase]]</f>
        <v>0.66666666666666663</v>
      </c>
      <c r="AZ897">
        <f>tbl_OriginalData[[#This Row],[Customer_Satisfaction]]</f>
        <v>6</v>
      </c>
      <c r="BA897" t="str">
        <f>tbl_OriginalData[[#This Row],[Engagement_with_Ads]]</f>
        <v>None</v>
      </c>
      <c r="BB897" t="str">
        <f>tbl_OriginalData[[#This Row],[Device_Used_for_Shopping]]</f>
        <v>Desktop</v>
      </c>
      <c r="BC897" t="str">
        <f>tbl_OriginalData[[#This Row],[Payment_Method]]</f>
        <v>PayPal</v>
      </c>
      <c r="BD897" s="1">
        <f>tbl_OriginalData[[#This Row],[Time_of_Purchase]]</f>
        <v>45405</v>
      </c>
      <c r="BE897" t="str">
        <f>IF(tbl_OriginalData[[#This Row],[Discount_Used]]=TRUE,"Yes","No")</f>
        <v>Yes</v>
      </c>
      <c r="BF897" t="str">
        <f>IF(tbl_OriginalData[[#This Row],[Customer_Loyalty_Program_Member]]=TRUE,"Yes","No")</f>
        <v>No</v>
      </c>
      <c r="BG897" t="str">
        <f>tbl_OriginalData[[#This Row],[Purchase_Intent]]</f>
        <v>Impulsive</v>
      </c>
      <c r="BH897" t="str">
        <f>tbl_OriginalData[[#This Row],[Shipping_Preference]]</f>
        <v>Standard</v>
      </c>
      <c r="BI897">
        <f>tbl_OriginalData[[#This Row],[Time_to_Decision]]</f>
        <v>1</v>
      </c>
      <c r="BJ897" t="s">
        <v>62</v>
      </c>
      <c r="BK897" t="s">
        <v>63</v>
      </c>
      <c r="BL897" t="s">
        <v>2529</v>
      </c>
    </row>
    <row r="898" spans="1:64">
      <c r="A898" t="s">
        <v>2034</v>
      </c>
      <c r="B898">
        <v>21</v>
      </c>
      <c r="C898" t="s">
        <v>50</v>
      </c>
      <c r="D898" t="s">
        <v>34</v>
      </c>
      <c r="E898" t="s">
        <v>35</v>
      </c>
      <c r="F898" t="s">
        <v>66</v>
      </c>
      <c r="G898" t="s">
        <v>34</v>
      </c>
      <c r="H898" t="s">
        <v>2035</v>
      </c>
      <c r="I898" t="s">
        <v>84</v>
      </c>
      <c r="J898">
        <v>156.47999999999999</v>
      </c>
      <c r="K898">
        <v>7</v>
      </c>
      <c r="L898" t="s">
        <v>55</v>
      </c>
      <c r="M898">
        <v>5</v>
      </c>
      <c r="N898">
        <v>1</v>
      </c>
      <c r="O898">
        <v>0</v>
      </c>
      <c r="P898" t="s">
        <v>69</v>
      </c>
      <c r="Q898" t="s">
        <v>57</v>
      </c>
      <c r="R898">
        <v>2</v>
      </c>
      <c r="S898">
        <v>5</v>
      </c>
      <c r="T898" t="s">
        <v>56</v>
      </c>
      <c r="U898" t="s">
        <v>95</v>
      </c>
      <c r="V898" t="s">
        <v>76</v>
      </c>
      <c r="W898" s="1">
        <v>45364</v>
      </c>
      <c r="X898" t="b">
        <v>0</v>
      </c>
      <c r="Y898" t="b">
        <v>1</v>
      </c>
      <c r="Z898" t="s">
        <v>59</v>
      </c>
      <c r="AA898" t="s">
        <v>45</v>
      </c>
      <c r="AB898">
        <v>4</v>
      </c>
      <c r="AF898" t="str">
        <f>tbl_OriginalData[[#This Row],[Customer_ID]]</f>
        <v>03-102-0288</v>
      </c>
      <c r="AG898">
        <f>tbl_OriginalData[[#This Row],[Age]]</f>
        <v>21</v>
      </c>
      <c r="AH898" t="str" cm="1">
        <f t="array" ref="AH89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98" t="str">
        <f>tbl_OriginalData[[#This Row],[Gender]]</f>
        <v>Male</v>
      </c>
      <c r="AJ898" t="str">
        <f>tbl_OriginalData[[#This Row],[Income_Level]]</f>
        <v>Middle</v>
      </c>
      <c r="AK898" t="str">
        <f>tbl_OriginalData[[#This Row],[Marital_Status]]</f>
        <v>Married</v>
      </c>
      <c r="AL898" t="str">
        <f>tbl_OriginalData[[#This Row],[Education_Level]]</f>
        <v>Master's</v>
      </c>
      <c r="AM898" t="str">
        <f>tbl_OriginalData[[#This Row],[Occupation]]</f>
        <v>Middle</v>
      </c>
      <c r="AN898" t="s">
        <v>2035</v>
      </c>
      <c r="AO898" t="s">
        <v>194</v>
      </c>
      <c r="AP898" t="str">
        <f>tbl_OriginalData[[#This Row],[Purchase_Category]]</f>
        <v>Furniture</v>
      </c>
      <c r="AQ898" s="4">
        <f>tbl_OriginalData[[#This Row],[Purchase_Amount]]</f>
        <v>156.47999999999999</v>
      </c>
      <c r="AR898">
        <f>tbl_OriginalData[[#This Row],[Frequency_of_Purchase]]</f>
        <v>7</v>
      </c>
      <c r="AS898" t="str">
        <f>tbl_OriginalData[[#This Row],[Purchase_Channel]]</f>
        <v>In-Store</v>
      </c>
      <c r="AT898">
        <f>tbl_OriginalData[[#This Row],[Brand_Loyalty]]</f>
        <v>5</v>
      </c>
      <c r="AU898">
        <f>tbl_OriginalData[[#This Row],[Product_Rating]]</f>
        <v>1</v>
      </c>
      <c r="AV898">
        <f>tbl_OriginalData[[#This Row],[Time_Spent_on_Product_Research(hours)]]*60</f>
        <v>0</v>
      </c>
      <c r="AW898" t="str">
        <f>tbl_OriginalData[[#This Row],[Social_Media_Influence]]</f>
        <v>Low</v>
      </c>
      <c r="AX898" t="str">
        <f>tbl_OriginalData[[#This Row],[Discount_Sensitivity]]</f>
        <v>Not Sensitive</v>
      </c>
      <c r="AY898" s="3">
        <f>tbl_OriginalData[[#This Row],[Return_Rate]]/tbl_OriginalData[[#This Row],[Frequency_of_Purchase]]</f>
        <v>0.2857142857142857</v>
      </c>
      <c r="AZ898">
        <f>tbl_OriginalData[[#This Row],[Customer_Satisfaction]]</f>
        <v>5</v>
      </c>
      <c r="BA898" t="str">
        <f>tbl_OriginalData[[#This Row],[Engagement_with_Ads]]</f>
        <v>Medium</v>
      </c>
      <c r="BB898" t="str">
        <f>tbl_OriginalData[[#This Row],[Device_Used_for_Shopping]]</f>
        <v>Desktop</v>
      </c>
      <c r="BC898" t="str">
        <f>tbl_OriginalData[[#This Row],[Payment_Method]]</f>
        <v>Other</v>
      </c>
      <c r="BD898" s="1">
        <f>tbl_OriginalData[[#This Row],[Time_of_Purchase]]</f>
        <v>45364</v>
      </c>
      <c r="BE898" t="str">
        <f>IF(tbl_OriginalData[[#This Row],[Discount_Used]]=TRUE,"Yes","No")</f>
        <v>No</v>
      </c>
      <c r="BF898" t="str">
        <f>IF(tbl_OriginalData[[#This Row],[Customer_Loyalty_Program_Member]]=TRUE,"Yes","No")</f>
        <v>Yes</v>
      </c>
      <c r="BG898" t="str">
        <f>tbl_OriginalData[[#This Row],[Purchase_Intent]]</f>
        <v>Wants-based</v>
      </c>
      <c r="BH898" t="str">
        <f>tbl_OriginalData[[#This Row],[Shipping_Preference]]</f>
        <v>No Preference</v>
      </c>
      <c r="BI898">
        <f>tbl_OriginalData[[#This Row],[Time_to_Decision]]</f>
        <v>4</v>
      </c>
      <c r="BJ898" t="s">
        <v>47</v>
      </c>
      <c r="BK898" t="s">
        <v>48</v>
      </c>
      <c r="BL898" t="s">
        <v>2524</v>
      </c>
    </row>
    <row r="899" spans="1:64">
      <c r="A899" t="s">
        <v>2036</v>
      </c>
      <c r="B899">
        <v>27</v>
      </c>
      <c r="C899" t="s">
        <v>264</v>
      </c>
      <c r="D899" t="s">
        <v>51</v>
      </c>
      <c r="E899" t="s">
        <v>82</v>
      </c>
      <c r="F899" t="s">
        <v>36</v>
      </c>
      <c r="G899" t="s">
        <v>34</v>
      </c>
      <c r="H899" t="s">
        <v>2037</v>
      </c>
      <c r="I899" t="s">
        <v>306</v>
      </c>
      <c r="J899">
        <v>489.66</v>
      </c>
      <c r="K899">
        <v>11</v>
      </c>
      <c r="L899" t="s">
        <v>39</v>
      </c>
      <c r="M899">
        <v>5</v>
      </c>
      <c r="N899">
        <v>1</v>
      </c>
      <c r="O899">
        <v>0</v>
      </c>
      <c r="P899" t="s">
        <v>51</v>
      </c>
      <c r="Q899" t="s">
        <v>57</v>
      </c>
      <c r="R899">
        <v>2</v>
      </c>
      <c r="S899">
        <v>6</v>
      </c>
      <c r="T899" t="s">
        <v>40</v>
      </c>
      <c r="U899" t="s">
        <v>42</v>
      </c>
      <c r="V899" t="s">
        <v>76</v>
      </c>
      <c r="W899" s="1">
        <v>45309</v>
      </c>
      <c r="X899" t="b">
        <v>1</v>
      </c>
      <c r="Y899" t="b">
        <v>0</v>
      </c>
      <c r="Z899" t="s">
        <v>59</v>
      </c>
      <c r="AA899" t="s">
        <v>60</v>
      </c>
      <c r="AB899">
        <v>3</v>
      </c>
      <c r="AF899" t="str">
        <f>tbl_OriginalData[[#This Row],[Customer_ID]]</f>
        <v>74-033-1145</v>
      </c>
      <c r="AG899">
        <f>tbl_OriginalData[[#This Row],[Age]]</f>
        <v>27</v>
      </c>
      <c r="AH899" t="str" cm="1">
        <f t="array" ref="AH89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899" t="str">
        <f>tbl_OriginalData[[#This Row],[Gender]]</f>
        <v>Polygender</v>
      </c>
      <c r="AJ899" t="str">
        <f>tbl_OriginalData[[#This Row],[Income_Level]]</f>
        <v>High</v>
      </c>
      <c r="AK899" t="str">
        <f>tbl_OriginalData[[#This Row],[Marital_Status]]</f>
        <v>Widowed</v>
      </c>
      <c r="AL899" t="str">
        <f>tbl_OriginalData[[#This Row],[Education_Level]]</f>
        <v>Bachelor's</v>
      </c>
      <c r="AM899" t="str">
        <f>tbl_OriginalData[[#This Row],[Occupation]]</f>
        <v>Middle</v>
      </c>
      <c r="AN899" t="s">
        <v>2037</v>
      </c>
      <c r="AO899" t="s">
        <v>90</v>
      </c>
      <c r="AP899" t="str">
        <f>tbl_OriginalData[[#This Row],[Purchase_Category]]</f>
        <v>Jewelry &amp; Accessories</v>
      </c>
      <c r="AQ899" s="4">
        <f>tbl_OriginalData[[#This Row],[Purchase_Amount]]</f>
        <v>489.66</v>
      </c>
      <c r="AR899">
        <f>tbl_OriginalData[[#This Row],[Frequency_of_Purchase]]</f>
        <v>11</v>
      </c>
      <c r="AS899" t="str">
        <f>tbl_OriginalData[[#This Row],[Purchase_Channel]]</f>
        <v>Mixed</v>
      </c>
      <c r="AT899">
        <f>tbl_OriginalData[[#This Row],[Brand_Loyalty]]</f>
        <v>5</v>
      </c>
      <c r="AU899">
        <f>tbl_OriginalData[[#This Row],[Product_Rating]]</f>
        <v>1</v>
      </c>
      <c r="AV899">
        <f>tbl_OriginalData[[#This Row],[Time_Spent_on_Product_Research(hours)]]*60</f>
        <v>0</v>
      </c>
      <c r="AW899" t="str">
        <f>tbl_OriginalData[[#This Row],[Social_Media_Influence]]</f>
        <v>High</v>
      </c>
      <c r="AX899" t="str">
        <f>tbl_OriginalData[[#This Row],[Discount_Sensitivity]]</f>
        <v>Not Sensitive</v>
      </c>
      <c r="AY899" s="3">
        <f>tbl_OriginalData[[#This Row],[Return_Rate]]/tbl_OriginalData[[#This Row],[Frequency_of_Purchase]]</f>
        <v>0.18181818181818182</v>
      </c>
      <c r="AZ899">
        <f>tbl_OriginalData[[#This Row],[Customer_Satisfaction]]</f>
        <v>6</v>
      </c>
      <c r="BA899" t="str">
        <f>tbl_OriginalData[[#This Row],[Engagement_with_Ads]]</f>
        <v>None</v>
      </c>
      <c r="BB899" t="str">
        <f>tbl_OriginalData[[#This Row],[Device_Used_for_Shopping]]</f>
        <v>Tablet</v>
      </c>
      <c r="BC899" t="str">
        <f>tbl_OriginalData[[#This Row],[Payment_Method]]</f>
        <v>Other</v>
      </c>
      <c r="BD899" s="1">
        <f>tbl_OriginalData[[#This Row],[Time_of_Purchase]]</f>
        <v>45309</v>
      </c>
      <c r="BE899" t="str">
        <f>IF(tbl_OriginalData[[#This Row],[Discount_Used]]=TRUE,"Yes","No")</f>
        <v>Yes</v>
      </c>
      <c r="BF899" t="str">
        <f>IF(tbl_OriginalData[[#This Row],[Customer_Loyalty_Program_Member]]=TRUE,"Yes","No")</f>
        <v>No</v>
      </c>
      <c r="BG899" t="str">
        <f>tbl_OriginalData[[#This Row],[Purchase_Intent]]</f>
        <v>Wants-based</v>
      </c>
      <c r="BH899" t="str">
        <f>tbl_OriginalData[[#This Row],[Shipping_Preference]]</f>
        <v>Standard</v>
      </c>
      <c r="BI899">
        <f>tbl_OriginalData[[#This Row],[Time_to_Decision]]</f>
        <v>3</v>
      </c>
      <c r="BJ899" t="s">
        <v>86</v>
      </c>
      <c r="BK899" t="s">
        <v>48</v>
      </c>
      <c r="BL899" t="s">
        <v>2524</v>
      </c>
    </row>
    <row r="900" spans="1:64">
      <c r="A900" t="s">
        <v>2038</v>
      </c>
      <c r="B900">
        <v>39</v>
      </c>
      <c r="C900" t="s">
        <v>340</v>
      </c>
      <c r="D900" t="s">
        <v>51</v>
      </c>
      <c r="E900" t="s">
        <v>92</v>
      </c>
      <c r="F900" t="s">
        <v>66</v>
      </c>
      <c r="G900" t="s">
        <v>51</v>
      </c>
      <c r="H900" t="s">
        <v>2039</v>
      </c>
      <c r="I900" t="s">
        <v>143</v>
      </c>
      <c r="J900">
        <v>161.85</v>
      </c>
      <c r="K900">
        <v>9</v>
      </c>
      <c r="L900" t="s">
        <v>55</v>
      </c>
      <c r="M900">
        <v>5</v>
      </c>
      <c r="N900">
        <v>3</v>
      </c>
      <c r="O900">
        <v>0</v>
      </c>
      <c r="P900" t="s">
        <v>51</v>
      </c>
      <c r="Q900" t="s">
        <v>101</v>
      </c>
      <c r="R900">
        <v>0</v>
      </c>
      <c r="S900">
        <v>4</v>
      </c>
      <c r="T900" t="s">
        <v>56</v>
      </c>
      <c r="U900" t="s">
        <v>70</v>
      </c>
      <c r="V900" t="s">
        <v>76</v>
      </c>
      <c r="W900" s="1">
        <v>45407</v>
      </c>
      <c r="X900" t="b">
        <v>1</v>
      </c>
      <c r="Y900" t="b">
        <v>0</v>
      </c>
      <c r="Z900" t="s">
        <v>44</v>
      </c>
      <c r="AA900" t="s">
        <v>45</v>
      </c>
      <c r="AB900">
        <v>10</v>
      </c>
      <c r="AF900" t="str">
        <f>tbl_OriginalData[[#This Row],[Customer_ID]]</f>
        <v>24-272-6205</v>
      </c>
      <c r="AG900">
        <f>tbl_OriginalData[[#This Row],[Age]]</f>
        <v>39</v>
      </c>
      <c r="AH900" t="str" cm="1">
        <f t="array" ref="AH90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00" t="str">
        <f>tbl_OriginalData[[#This Row],[Gender]]</f>
        <v>Agender</v>
      </c>
      <c r="AJ900" t="str">
        <f>tbl_OriginalData[[#This Row],[Income_Level]]</f>
        <v>High</v>
      </c>
      <c r="AK900" t="str">
        <f>tbl_OriginalData[[#This Row],[Marital_Status]]</f>
        <v>Divorced</v>
      </c>
      <c r="AL900" t="str">
        <f>tbl_OriginalData[[#This Row],[Education_Level]]</f>
        <v>Master's</v>
      </c>
      <c r="AM900" t="str">
        <f>tbl_OriginalData[[#This Row],[Occupation]]</f>
        <v>High</v>
      </c>
      <c r="AN900" t="s">
        <v>2039</v>
      </c>
      <c r="AO900" t="s">
        <v>90</v>
      </c>
      <c r="AP900" t="str">
        <f>tbl_OriginalData[[#This Row],[Purchase_Category]]</f>
        <v>Packages)</v>
      </c>
      <c r="AQ900" s="4">
        <f>tbl_OriginalData[[#This Row],[Purchase_Amount]]</f>
        <v>161.85</v>
      </c>
      <c r="AR900">
        <f>tbl_OriginalData[[#This Row],[Frequency_of_Purchase]]</f>
        <v>9</v>
      </c>
      <c r="AS900" t="str">
        <f>tbl_OriginalData[[#This Row],[Purchase_Channel]]</f>
        <v>In-Store</v>
      </c>
      <c r="AT900">
        <f>tbl_OriginalData[[#This Row],[Brand_Loyalty]]</f>
        <v>5</v>
      </c>
      <c r="AU900">
        <f>tbl_OriginalData[[#This Row],[Product_Rating]]</f>
        <v>3</v>
      </c>
      <c r="AV900">
        <f>tbl_OriginalData[[#This Row],[Time_Spent_on_Product_Research(hours)]]*60</f>
        <v>0</v>
      </c>
      <c r="AW900" t="str">
        <f>tbl_OriginalData[[#This Row],[Social_Media_Influence]]</f>
        <v>High</v>
      </c>
      <c r="AX900" t="str">
        <f>tbl_OriginalData[[#This Row],[Discount_Sensitivity]]</f>
        <v>Very Sensitive</v>
      </c>
      <c r="AY900" s="3">
        <f>tbl_OriginalData[[#This Row],[Return_Rate]]/tbl_OriginalData[[#This Row],[Frequency_of_Purchase]]</f>
        <v>0</v>
      </c>
      <c r="AZ900">
        <f>tbl_OriginalData[[#This Row],[Customer_Satisfaction]]</f>
        <v>4</v>
      </c>
      <c r="BA900" t="str">
        <f>tbl_OriginalData[[#This Row],[Engagement_with_Ads]]</f>
        <v>Medium</v>
      </c>
      <c r="BB900" t="str">
        <f>tbl_OriginalData[[#This Row],[Device_Used_for_Shopping]]</f>
        <v>Smartphone</v>
      </c>
      <c r="BC900" t="str">
        <f>tbl_OriginalData[[#This Row],[Payment_Method]]</f>
        <v>Other</v>
      </c>
      <c r="BD900" s="1">
        <f>tbl_OriginalData[[#This Row],[Time_of_Purchase]]</f>
        <v>45407</v>
      </c>
      <c r="BE900" t="str">
        <f>IF(tbl_OriginalData[[#This Row],[Discount_Used]]=TRUE,"Yes","No")</f>
        <v>Yes</v>
      </c>
      <c r="BF900" t="str">
        <f>IF(tbl_OriginalData[[#This Row],[Customer_Loyalty_Program_Member]]=TRUE,"Yes","No")</f>
        <v>No</v>
      </c>
      <c r="BG900" t="str">
        <f>tbl_OriginalData[[#This Row],[Purchase_Intent]]</f>
        <v>Need-based</v>
      </c>
      <c r="BH900" t="str">
        <f>tbl_OriginalData[[#This Row],[Shipping_Preference]]</f>
        <v>No Preference</v>
      </c>
      <c r="BI900">
        <f>tbl_OriginalData[[#This Row],[Time_to_Decision]]</f>
        <v>10</v>
      </c>
      <c r="BJ900" t="s">
        <v>62</v>
      </c>
      <c r="BK900" t="s">
        <v>63</v>
      </c>
      <c r="BL900" t="s">
        <v>2524</v>
      </c>
    </row>
    <row r="901" spans="1:64">
      <c r="A901" t="s">
        <v>2040</v>
      </c>
      <c r="B901">
        <v>34</v>
      </c>
      <c r="C901" t="s">
        <v>50</v>
      </c>
      <c r="D901" t="s">
        <v>34</v>
      </c>
      <c r="E901" t="s">
        <v>82</v>
      </c>
      <c r="F901" t="s">
        <v>66</v>
      </c>
      <c r="G901" t="s">
        <v>51</v>
      </c>
      <c r="H901" t="s">
        <v>2041</v>
      </c>
      <c r="I901" t="s">
        <v>147</v>
      </c>
      <c r="J901">
        <v>204.47</v>
      </c>
      <c r="K901">
        <v>7</v>
      </c>
      <c r="L901" t="s">
        <v>94</v>
      </c>
      <c r="M901">
        <v>2</v>
      </c>
      <c r="N901">
        <v>1</v>
      </c>
      <c r="O901">
        <v>1</v>
      </c>
      <c r="P901" t="s">
        <v>40</v>
      </c>
      <c r="Q901" t="s">
        <v>101</v>
      </c>
      <c r="R901">
        <v>2</v>
      </c>
      <c r="S901">
        <v>9</v>
      </c>
      <c r="T901" t="s">
        <v>40</v>
      </c>
      <c r="U901" t="s">
        <v>70</v>
      </c>
      <c r="V901" t="s">
        <v>43</v>
      </c>
      <c r="W901" s="1">
        <v>45519</v>
      </c>
      <c r="X901" t="b">
        <v>1</v>
      </c>
      <c r="Y901" t="b">
        <v>1</v>
      </c>
      <c r="Z901" t="s">
        <v>59</v>
      </c>
      <c r="AA901" t="s">
        <v>45</v>
      </c>
      <c r="AB901">
        <v>3</v>
      </c>
      <c r="AF901" t="str">
        <f>tbl_OriginalData[[#This Row],[Customer_ID]]</f>
        <v>90-170-1951</v>
      </c>
      <c r="AG901">
        <f>tbl_OriginalData[[#This Row],[Age]]</f>
        <v>34</v>
      </c>
      <c r="AH901" t="str" cm="1">
        <f t="array" ref="AH90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01" t="str">
        <f>tbl_OriginalData[[#This Row],[Gender]]</f>
        <v>Male</v>
      </c>
      <c r="AJ901" t="str">
        <f>tbl_OriginalData[[#This Row],[Income_Level]]</f>
        <v>Middle</v>
      </c>
      <c r="AK901" t="str">
        <f>tbl_OriginalData[[#This Row],[Marital_Status]]</f>
        <v>Widowed</v>
      </c>
      <c r="AL901" t="str">
        <f>tbl_OriginalData[[#This Row],[Education_Level]]</f>
        <v>Master's</v>
      </c>
      <c r="AM901" t="str">
        <f>tbl_OriginalData[[#This Row],[Occupation]]</f>
        <v>High</v>
      </c>
      <c r="AN901" t="s">
        <v>2041</v>
      </c>
      <c r="AO901" t="s">
        <v>61</v>
      </c>
      <c r="AP901" t="str">
        <f>tbl_OriginalData[[#This Row],[Purchase_Category]]</f>
        <v>Electronics</v>
      </c>
      <c r="AQ901" s="4">
        <f>tbl_OriginalData[[#This Row],[Purchase_Amount]]</f>
        <v>204.47</v>
      </c>
      <c r="AR901">
        <f>tbl_OriginalData[[#This Row],[Frequency_of_Purchase]]</f>
        <v>7</v>
      </c>
      <c r="AS901" t="str">
        <f>tbl_OriginalData[[#This Row],[Purchase_Channel]]</f>
        <v>Online</v>
      </c>
      <c r="AT901">
        <f>tbl_OriginalData[[#This Row],[Brand_Loyalty]]</f>
        <v>2</v>
      </c>
      <c r="AU901">
        <f>tbl_OriginalData[[#This Row],[Product_Rating]]</f>
        <v>1</v>
      </c>
      <c r="AV901">
        <f>tbl_OriginalData[[#This Row],[Time_Spent_on_Product_Research(hours)]]*60</f>
        <v>60</v>
      </c>
      <c r="AW901" t="str">
        <f>tbl_OriginalData[[#This Row],[Social_Media_Influence]]</f>
        <v>None</v>
      </c>
      <c r="AX901" t="str">
        <f>tbl_OriginalData[[#This Row],[Discount_Sensitivity]]</f>
        <v>Very Sensitive</v>
      </c>
      <c r="AY901" s="3">
        <f>tbl_OriginalData[[#This Row],[Return_Rate]]/tbl_OriginalData[[#This Row],[Frequency_of_Purchase]]</f>
        <v>0.2857142857142857</v>
      </c>
      <c r="AZ901">
        <f>tbl_OriginalData[[#This Row],[Customer_Satisfaction]]</f>
        <v>9</v>
      </c>
      <c r="BA901" t="str">
        <f>tbl_OriginalData[[#This Row],[Engagement_with_Ads]]</f>
        <v>None</v>
      </c>
      <c r="BB901" t="str">
        <f>tbl_OriginalData[[#This Row],[Device_Used_for_Shopping]]</f>
        <v>Smartphone</v>
      </c>
      <c r="BC901" t="str">
        <f>tbl_OriginalData[[#This Row],[Payment_Method]]</f>
        <v>Credit Card</v>
      </c>
      <c r="BD901" s="1">
        <f>tbl_OriginalData[[#This Row],[Time_of_Purchase]]</f>
        <v>45519</v>
      </c>
      <c r="BE901" t="str">
        <f>IF(tbl_OriginalData[[#This Row],[Discount_Used]]=TRUE,"Yes","No")</f>
        <v>Yes</v>
      </c>
      <c r="BF901" t="str">
        <f>IF(tbl_OriginalData[[#This Row],[Customer_Loyalty_Program_Member]]=TRUE,"Yes","No")</f>
        <v>Yes</v>
      </c>
      <c r="BG901" t="str">
        <f>tbl_OriginalData[[#This Row],[Purchase_Intent]]</f>
        <v>Wants-based</v>
      </c>
      <c r="BH901" t="str">
        <f>tbl_OriginalData[[#This Row],[Shipping_Preference]]</f>
        <v>No Preference</v>
      </c>
      <c r="BI901">
        <f>tbl_OriginalData[[#This Row],[Time_to_Decision]]</f>
        <v>3</v>
      </c>
      <c r="BJ901" t="s">
        <v>124</v>
      </c>
      <c r="BK901" t="s">
        <v>115</v>
      </c>
      <c r="BL901" t="s">
        <v>2524</v>
      </c>
    </row>
    <row r="902" spans="1:64">
      <c r="A902" t="s">
        <v>2042</v>
      </c>
      <c r="B902">
        <v>34</v>
      </c>
      <c r="C902" t="s">
        <v>33</v>
      </c>
      <c r="D902" t="s">
        <v>34</v>
      </c>
      <c r="E902" t="s">
        <v>82</v>
      </c>
      <c r="F902" t="s">
        <v>36</v>
      </c>
      <c r="G902" t="s">
        <v>34</v>
      </c>
      <c r="H902" t="s">
        <v>2043</v>
      </c>
      <c r="I902" t="s">
        <v>135</v>
      </c>
      <c r="J902">
        <v>315.02999999999997</v>
      </c>
      <c r="K902">
        <v>4</v>
      </c>
      <c r="L902" t="s">
        <v>94</v>
      </c>
      <c r="M902">
        <v>1</v>
      </c>
      <c r="N902">
        <v>5</v>
      </c>
      <c r="O902">
        <v>0</v>
      </c>
      <c r="P902" t="s">
        <v>51</v>
      </c>
      <c r="Q902" t="s">
        <v>101</v>
      </c>
      <c r="R902">
        <v>1</v>
      </c>
      <c r="S902">
        <v>6</v>
      </c>
      <c r="T902" t="s">
        <v>69</v>
      </c>
      <c r="U902" t="s">
        <v>42</v>
      </c>
      <c r="V902" t="s">
        <v>58</v>
      </c>
      <c r="W902" s="1">
        <v>45606</v>
      </c>
      <c r="X902" t="b">
        <v>1</v>
      </c>
      <c r="Y902" t="b">
        <v>0</v>
      </c>
      <c r="Z902" t="s">
        <v>89</v>
      </c>
      <c r="AA902" t="s">
        <v>77</v>
      </c>
      <c r="AB902">
        <v>2</v>
      </c>
      <c r="AF902" t="str">
        <f>tbl_OriginalData[[#This Row],[Customer_ID]]</f>
        <v>73-259-8940</v>
      </c>
      <c r="AG902">
        <f>tbl_OriginalData[[#This Row],[Age]]</f>
        <v>34</v>
      </c>
      <c r="AH902" t="str" cm="1">
        <f t="array" ref="AH90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02" t="str">
        <f>tbl_OriginalData[[#This Row],[Gender]]</f>
        <v>Female</v>
      </c>
      <c r="AJ902" t="str">
        <f>tbl_OriginalData[[#This Row],[Income_Level]]</f>
        <v>Middle</v>
      </c>
      <c r="AK902" t="str">
        <f>tbl_OriginalData[[#This Row],[Marital_Status]]</f>
        <v>Widowed</v>
      </c>
      <c r="AL902" t="str">
        <f>tbl_OriginalData[[#This Row],[Education_Level]]</f>
        <v>Bachelor's</v>
      </c>
      <c r="AM902" t="str">
        <f>tbl_OriginalData[[#This Row],[Occupation]]</f>
        <v>Middle</v>
      </c>
      <c r="AN902" t="s">
        <v>2043</v>
      </c>
      <c r="AO902" t="s">
        <v>2044</v>
      </c>
      <c r="AP902" t="str">
        <f>tbl_OriginalData[[#This Row],[Purchase_Category]]</f>
        <v>Hotels</v>
      </c>
      <c r="AQ902" s="4">
        <f>tbl_OriginalData[[#This Row],[Purchase_Amount]]</f>
        <v>315.02999999999997</v>
      </c>
      <c r="AR902">
        <f>tbl_OriginalData[[#This Row],[Frequency_of_Purchase]]</f>
        <v>4</v>
      </c>
      <c r="AS902" t="str">
        <f>tbl_OriginalData[[#This Row],[Purchase_Channel]]</f>
        <v>Online</v>
      </c>
      <c r="AT902">
        <f>tbl_OriginalData[[#This Row],[Brand_Loyalty]]</f>
        <v>1</v>
      </c>
      <c r="AU902">
        <f>tbl_OriginalData[[#This Row],[Product_Rating]]</f>
        <v>5</v>
      </c>
      <c r="AV902">
        <f>tbl_OriginalData[[#This Row],[Time_Spent_on_Product_Research(hours)]]*60</f>
        <v>0</v>
      </c>
      <c r="AW902" t="str">
        <f>tbl_OriginalData[[#This Row],[Social_Media_Influence]]</f>
        <v>High</v>
      </c>
      <c r="AX902" t="str">
        <f>tbl_OriginalData[[#This Row],[Discount_Sensitivity]]</f>
        <v>Very Sensitive</v>
      </c>
      <c r="AY902" s="3">
        <f>tbl_OriginalData[[#This Row],[Return_Rate]]/tbl_OriginalData[[#This Row],[Frequency_of_Purchase]]</f>
        <v>0.25</v>
      </c>
      <c r="AZ902">
        <f>tbl_OriginalData[[#This Row],[Customer_Satisfaction]]</f>
        <v>6</v>
      </c>
      <c r="BA902" t="str">
        <f>tbl_OriginalData[[#This Row],[Engagement_with_Ads]]</f>
        <v>Low</v>
      </c>
      <c r="BB902" t="str">
        <f>tbl_OriginalData[[#This Row],[Device_Used_for_Shopping]]</f>
        <v>Tablet</v>
      </c>
      <c r="BC902" t="str">
        <f>tbl_OriginalData[[#This Row],[Payment_Method]]</f>
        <v>PayPal</v>
      </c>
      <c r="BD902" s="1">
        <f>tbl_OriginalData[[#This Row],[Time_of_Purchase]]</f>
        <v>45606</v>
      </c>
      <c r="BE902" t="str">
        <f>IF(tbl_OriginalData[[#This Row],[Discount_Used]]=TRUE,"Yes","No")</f>
        <v>Yes</v>
      </c>
      <c r="BF902" t="str">
        <f>IF(tbl_OriginalData[[#This Row],[Customer_Loyalty_Program_Member]]=TRUE,"Yes","No")</f>
        <v>No</v>
      </c>
      <c r="BG902" t="str">
        <f>tbl_OriginalData[[#This Row],[Purchase_Intent]]</f>
        <v>Planned</v>
      </c>
      <c r="BH902" t="str">
        <f>tbl_OriginalData[[#This Row],[Shipping_Preference]]</f>
        <v>Express</v>
      </c>
      <c r="BI902">
        <f>tbl_OriginalData[[#This Row],[Time_to_Decision]]</f>
        <v>2</v>
      </c>
      <c r="BJ902" t="s">
        <v>177</v>
      </c>
      <c r="BK902" t="s">
        <v>80</v>
      </c>
      <c r="BL902" t="s">
        <v>2528</v>
      </c>
    </row>
    <row r="903" spans="1:64">
      <c r="A903" t="s">
        <v>2045</v>
      </c>
      <c r="B903">
        <v>42</v>
      </c>
      <c r="C903" t="s">
        <v>50</v>
      </c>
      <c r="D903" t="s">
        <v>34</v>
      </c>
      <c r="E903" t="s">
        <v>65</v>
      </c>
      <c r="F903" t="s">
        <v>66</v>
      </c>
      <c r="G903" t="s">
        <v>51</v>
      </c>
      <c r="H903" t="s">
        <v>2046</v>
      </c>
      <c r="I903" t="s">
        <v>84</v>
      </c>
      <c r="J903">
        <v>330.36</v>
      </c>
      <c r="K903">
        <v>12</v>
      </c>
      <c r="L903" t="s">
        <v>55</v>
      </c>
      <c r="M903">
        <v>5</v>
      </c>
      <c r="N903">
        <v>5</v>
      </c>
      <c r="O903">
        <v>1</v>
      </c>
      <c r="P903" t="s">
        <v>69</v>
      </c>
      <c r="Q903" t="s">
        <v>101</v>
      </c>
      <c r="R903">
        <v>1</v>
      </c>
      <c r="S903">
        <v>4</v>
      </c>
      <c r="T903" t="s">
        <v>69</v>
      </c>
      <c r="U903" t="s">
        <v>42</v>
      </c>
      <c r="V903" t="s">
        <v>76</v>
      </c>
      <c r="W903" s="1">
        <v>45472</v>
      </c>
      <c r="X903" t="b">
        <v>1</v>
      </c>
      <c r="Y903" t="b">
        <v>1</v>
      </c>
      <c r="Z903" t="s">
        <v>44</v>
      </c>
      <c r="AA903" t="s">
        <v>45</v>
      </c>
      <c r="AB903">
        <v>3</v>
      </c>
      <c r="AF903" t="str">
        <f>tbl_OriginalData[[#This Row],[Customer_ID]]</f>
        <v>77-796-5786</v>
      </c>
      <c r="AG903">
        <f>tbl_OriginalData[[#This Row],[Age]]</f>
        <v>42</v>
      </c>
      <c r="AH903" t="str" cm="1">
        <f t="array" ref="AH90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03" t="str">
        <f>tbl_OriginalData[[#This Row],[Gender]]</f>
        <v>Male</v>
      </c>
      <c r="AJ903" t="str">
        <f>tbl_OriginalData[[#This Row],[Income_Level]]</f>
        <v>Middle</v>
      </c>
      <c r="AK903" t="str">
        <f>tbl_OriginalData[[#This Row],[Marital_Status]]</f>
        <v>Single</v>
      </c>
      <c r="AL903" t="str">
        <f>tbl_OriginalData[[#This Row],[Education_Level]]</f>
        <v>Master's</v>
      </c>
      <c r="AM903" t="str">
        <f>tbl_OriginalData[[#This Row],[Occupation]]</f>
        <v>High</v>
      </c>
      <c r="AN903" t="s">
        <v>2046</v>
      </c>
      <c r="AO903" t="s">
        <v>61</v>
      </c>
      <c r="AP903" t="str">
        <f>tbl_OriginalData[[#This Row],[Purchase_Category]]</f>
        <v>Furniture</v>
      </c>
      <c r="AQ903" s="4">
        <f>tbl_OriginalData[[#This Row],[Purchase_Amount]]</f>
        <v>330.36</v>
      </c>
      <c r="AR903">
        <f>tbl_OriginalData[[#This Row],[Frequency_of_Purchase]]</f>
        <v>12</v>
      </c>
      <c r="AS903" t="str">
        <f>tbl_OriginalData[[#This Row],[Purchase_Channel]]</f>
        <v>In-Store</v>
      </c>
      <c r="AT903">
        <f>tbl_OriginalData[[#This Row],[Brand_Loyalty]]</f>
        <v>5</v>
      </c>
      <c r="AU903">
        <f>tbl_OriginalData[[#This Row],[Product_Rating]]</f>
        <v>5</v>
      </c>
      <c r="AV903">
        <f>tbl_OriginalData[[#This Row],[Time_Spent_on_Product_Research(hours)]]*60</f>
        <v>60</v>
      </c>
      <c r="AW903" t="str">
        <f>tbl_OriginalData[[#This Row],[Social_Media_Influence]]</f>
        <v>Low</v>
      </c>
      <c r="AX903" t="str">
        <f>tbl_OriginalData[[#This Row],[Discount_Sensitivity]]</f>
        <v>Very Sensitive</v>
      </c>
      <c r="AY903" s="3">
        <f>tbl_OriginalData[[#This Row],[Return_Rate]]/tbl_OriginalData[[#This Row],[Frequency_of_Purchase]]</f>
        <v>8.3333333333333329E-2</v>
      </c>
      <c r="AZ903">
        <f>tbl_OriginalData[[#This Row],[Customer_Satisfaction]]</f>
        <v>4</v>
      </c>
      <c r="BA903" t="str">
        <f>tbl_OriginalData[[#This Row],[Engagement_with_Ads]]</f>
        <v>Low</v>
      </c>
      <c r="BB903" t="str">
        <f>tbl_OriginalData[[#This Row],[Device_Used_for_Shopping]]</f>
        <v>Tablet</v>
      </c>
      <c r="BC903" t="str">
        <f>tbl_OriginalData[[#This Row],[Payment_Method]]</f>
        <v>Other</v>
      </c>
      <c r="BD903" s="1">
        <f>tbl_OriginalData[[#This Row],[Time_of_Purchase]]</f>
        <v>45472</v>
      </c>
      <c r="BE903" t="str">
        <f>IF(tbl_OriginalData[[#This Row],[Discount_Used]]=TRUE,"Yes","No")</f>
        <v>Yes</v>
      </c>
      <c r="BF903" t="str">
        <f>IF(tbl_OriginalData[[#This Row],[Customer_Loyalty_Program_Member]]=TRUE,"Yes","No")</f>
        <v>Yes</v>
      </c>
      <c r="BG903" t="str">
        <f>tbl_OriginalData[[#This Row],[Purchase_Intent]]</f>
        <v>Need-based</v>
      </c>
      <c r="BH903" t="str">
        <f>tbl_OriginalData[[#This Row],[Shipping_Preference]]</f>
        <v>No Preference</v>
      </c>
      <c r="BI903">
        <f>tbl_OriginalData[[#This Row],[Time_to_Decision]]</f>
        <v>3</v>
      </c>
      <c r="BJ903" t="s">
        <v>104</v>
      </c>
      <c r="BK903" t="s">
        <v>63</v>
      </c>
      <c r="BL903" t="s">
        <v>2524</v>
      </c>
    </row>
    <row r="904" spans="1:64">
      <c r="A904" t="s">
        <v>2047</v>
      </c>
      <c r="B904">
        <v>42</v>
      </c>
      <c r="C904" t="s">
        <v>50</v>
      </c>
      <c r="D904" t="s">
        <v>34</v>
      </c>
      <c r="E904" t="s">
        <v>65</v>
      </c>
      <c r="F904" t="s">
        <v>36</v>
      </c>
      <c r="G904" t="s">
        <v>34</v>
      </c>
      <c r="H904" t="s">
        <v>2048</v>
      </c>
      <c r="I904" t="s">
        <v>156</v>
      </c>
      <c r="J904">
        <v>456.83</v>
      </c>
      <c r="K904">
        <v>5</v>
      </c>
      <c r="L904" t="s">
        <v>94</v>
      </c>
      <c r="M904">
        <v>2</v>
      </c>
      <c r="N904">
        <v>5</v>
      </c>
      <c r="O904">
        <v>0</v>
      </c>
      <c r="P904" t="s">
        <v>40</v>
      </c>
      <c r="Q904" t="s">
        <v>57</v>
      </c>
      <c r="R904">
        <v>0</v>
      </c>
      <c r="S904">
        <v>9</v>
      </c>
      <c r="T904" t="s">
        <v>51</v>
      </c>
      <c r="U904" t="s">
        <v>42</v>
      </c>
      <c r="V904" t="s">
        <v>43</v>
      </c>
      <c r="W904" s="1">
        <v>45463</v>
      </c>
      <c r="X904" t="b">
        <v>0</v>
      </c>
      <c r="Y904" t="b">
        <v>0</v>
      </c>
      <c r="Z904" t="s">
        <v>44</v>
      </c>
      <c r="AA904" t="s">
        <v>45</v>
      </c>
      <c r="AB904">
        <v>13</v>
      </c>
      <c r="AF904" t="str">
        <f>tbl_OriginalData[[#This Row],[Customer_ID]]</f>
        <v>23-949-1954</v>
      </c>
      <c r="AG904">
        <f>tbl_OriginalData[[#This Row],[Age]]</f>
        <v>42</v>
      </c>
      <c r="AH904" t="str" cm="1">
        <f t="array" ref="AH90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04" t="str">
        <f>tbl_OriginalData[[#This Row],[Gender]]</f>
        <v>Male</v>
      </c>
      <c r="AJ904" t="str">
        <f>tbl_OriginalData[[#This Row],[Income_Level]]</f>
        <v>Middle</v>
      </c>
      <c r="AK904" t="str">
        <f>tbl_OriginalData[[#This Row],[Marital_Status]]</f>
        <v>Single</v>
      </c>
      <c r="AL904" t="str">
        <f>tbl_OriginalData[[#This Row],[Education_Level]]</f>
        <v>Bachelor's</v>
      </c>
      <c r="AM904" t="str">
        <f>tbl_OriginalData[[#This Row],[Occupation]]</f>
        <v>Middle</v>
      </c>
      <c r="AN904" t="s">
        <v>2048</v>
      </c>
      <c r="AO904" t="s">
        <v>85</v>
      </c>
      <c r="AP904" t="str">
        <f>tbl_OriginalData[[#This Row],[Purchase_Category]]</f>
        <v>Toys &amp; Games</v>
      </c>
      <c r="AQ904" s="4">
        <f>tbl_OriginalData[[#This Row],[Purchase_Amount]]</f>
        <v>456.83</v>
      </c>
      <c r="AR904">
        <f>tbl_OriginalData[[#This Row],[Frequency_of_Purchase]]</f>
        <v>5</v>
      </c>
      <c r="AS904" t="str">
        <f>tbl_OriginalData[[#This Row],[Purchase_Channel]]</f>
        <v>Online</v>
      </c>
      <c r="AT904">
        <f>tbl_OriginalData[[#This Row],[Brand_Loyalty]]</f>
        <v>2</v>
      </c>
      <c r="AU904">
        <f>tbl_OriginalData[[#This Row],[Product_Rating]]</f>
        <v>5</v>
      </c>
      <c r="AV904">
        <f>tbl_OriginalData[[#This Row],[Time_Spent_on_Product_Research(hours)]]*60</f>
        <v>0</v>
      </c>
      <c r="AW904" t="str">
        <f>tbl_OriginalData[[#This Row],[Social_Media_Influence]]</f>
        <v>None</v>
      </c>
      <c r="AX904" t="str">
        <f>tbl_OriginalData[[#This Row],[Discount_Sensitivity]]</f>
        <v>Not Sensitive</v>
      </c>
      <c r="AY904" s="3">
        <f>tbl_OriginalData[[#This Row],[Return_Rate]]/tbl_OriginalData[[#This Row],[Frequency_of_Purchase]]</f>
        <v>0</v>
      </c>
      <c r="AZ904">
        <f>tbl_OriginalData[[#This Row],[Customer_Satisfaction]]</f>
        <v>9</v>
      </c>
      <c r="BA904" t="str">
        <f>tbl_OriginalData[[#This Row],[Engagement_with_Ads]]</f>
        <v>High</v>
      </c>
      <c r="BB904" t="str">
        <f>tbl_OriginalData[[#This Row],[Device_Used_for_Shopping]]</f>
        <v>Tablet</v>
      </c>
      <c r="BC904" t="str">
        <f>tbl_OriginalData[[#This Row],[Payment_Method]]</f>
        <v>Credit Card</v>
      </c>
      <c r="BD904" s="1">
        <f>tbl_OriginalData[[#This Row],[Time_of_Purchase]]</f>
        <v>45463</v>
      </c>
      <c r="BE904" t="str">
        <f>IF(tbl_OriginalData[[#This Row],[Discount_Used]]=TRUE,"Yes","No")</f>
        <v>No</v>
      </c>
      <c r="BF904" t="str">
        <f>IF(tbl_OriginalData[[#This Row],[Customer_Loyalty_Program_Member]]=TRUE,"Yes","No")</f>
        <v>No</v>
      </c>
      <c r="BG904" t="str">
        <f>tbl_OriginalData[[#This Row],[Purchase_Intent]]</f>
        <v>Need-based</v>
      </c>
      <c r="BH904" t="str">
        <f>tbl_OriginalData[[#This Row],[Shipping_Preference]]</f>
        <v>No Preference</v>
      </c>
      <c r="BI904">
        <f>tbl_OriginalData[[#This Row],[Time_to_Decision]]</f>
        <v>13</v>
      </c>
      <c r="BJ904" t="s">
        <v>104</v>
      </c>
      <c r="BK904" t="s">
        <v>63</v>
      </c>
      <c r="BL904" t="s">
        <v>2524</v>
      </c>
    </row>
    <row r="905" spans="1:64">
      <c r="A905" t="s">
        <v>2049</v>
      </c>
      <c r="B905">
        <v>31</v>
      </c>
      <c r="C905" t="s">
        <v>50</v>
      </c>
      <c r="D905" t="s">
        <v>51</v>
      </c>
      <c r="E905" t="s">
        <v>82</v>
      </c>
      <c r="F905" t="s">
        <v>36</v>
      </c>
      <c r="G905" t="s">
        <v>51</v>
      </c>
      <c r="H905" t="s">
        <v>2050</v>
      </c>
      <c r="I905" t="s">
        <v>306</v>
      </c>
      <c r="J905">
        <v>236.05</v>
      </c>
      <c r="K905">
        <v>6</v>
      </c>
      <c r="L905" t="s">
        <v>55</v>
      </c>
      <c r="M905">
        <v>2</v>
      </c>
      <c r="N905">
        <v>3</v>
      </c>
      <c r="O905">
        <v>0</v>
      </c>
      <c r="P905" t="s">
        <v>40</v>
      </c>
      <c r="Q905" t="s">
        <v>101</v>
      </c>
      <c r="R905">
        <v>1</v>
      </c>
      <c r="S905">
        <v>4</v>
      </c>
      <c r="T905" t="s">
        <v>51</v>
      </c>
      <c r="U905" t="s">
        <v>95</v>
      </c>
      <c r="V905" t="s">
        <v>76</v>
      </c>
      <c r="W905" s="1">
        <v>45612</v>
      </c>
      <c r="X905" t="b">
        <v>0</v>
      </c>
      <c r="Y905" t="b">
        <v>1</v>
      </c>
      <c r="Z905" t="s">
        <v>44</v>
      </c>
      <c r="AA905" t="s">
        <v>45</v>
      </c>
      <c r="AB905">
        <v>13</v>
      </c>
      <c r="AF905" t="str">
        <f>tbl_OriginalData[[#This Row],[Customer_ID]]</f>
        <v>51-313-7293</v>
      </c>
      <c r="AG905">
        <f>tbl_OriginalData[[#This Row],[Age]]</f>
        <v>31</v>
      </c>
      <c r="AH905" t="str" cm="1">
        <f t="array" ref="AH90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05" t="str">
        <f>tbl_OriginalData[[#This Row],[Gender]]</f>
        <v>Male</v>
      </c>
      <c r="AJ905" t="str">
        <f>tbl_OriginalData[[#This Row],[Income_Level]]</f>
        <v>High</v>
      </c>
      <c r="AK905" t="str">
        <f>tbl_OriginalData[[#This Row],[Marital_Status]]</f>
        <v>Widowed</v>
      </c>
      <c r="AL905" t="str">
        <f>tbl_OriginalData[[#This Row],[Education_Level]]</f>
        <v>Bachelor's</v>
      </c>
      <c r="AM905" t="str">
        <f>tbl_OriginalData[[#This Row],[Occupation]]</f>
        <v>High</v>
      </c>
      <c r="AN905" t="s">
        <v>2050</v>
      </c>
      <c r="AO905" t="s">
        <v>109</v>
      </c>
      <c r="AP905" t="str">
        <f>tbl_OriginalData[[#This Row],[Purchase_Category]]</f>
        <v>Jewelry &amp; Accessories</v>
      </c>
      <c r="AQ905" s="4">
        <f>tbl_OriginalData[[#This Row],[Purchase_Amount]]</f>
        <v>236.05</v>
      </c>
      <c r="AR905">
        <f>tbl_OriginalData[[#This Row],[Frequency_of_Purchase]]</f>
        <v>6</v>
      </c>
      <c r="AS905" t="str">
        <f>tbl_OriginalData[[#This Row],[Purchase_Channel]]</f>
        <v>In-Store</v>
      </c>
      <c r="AT905">
        <f>tbl_OriginalData[[#This Row],[Brand_Loyalty]]</f>
        <v>2</v>
      </c>
      <c r="AU905">
        <f>tbl_OriginalData[[#This Row],[Product_Rating]]</f>
        <v>3</v>
      </c>
      <c r="AV905">
        <f>tbl_OriginalData[[#This Row],[Time_Spent_on_Product_Research(hours)]]*60</f>
        <v>0</v>
      </c>
      <c r="AW905" t="str">
        <f>tbl_OriginalData[[#This Row],[Social_Media_Influence]]</f>
        <v>None</v>
      </c>
      <c r="AX905" t="str">
        <f>tbl_OriginalData[[#This Row],[Discount_Sensitivity]]</f>
        <v>Very Sensitive</v>
      </c>
      <c r="AY905" s="3">
        <f>tbl_OriginalData[[#This Row],[Return_Rate]]/tbl_OriginalData[[#This Row],[Frequency_of_Purchase]]</f>
        <v>0.16666666666666666</v>
      </c>
      <c r="AZ905">
        <f>tbl_OriginalData[[#This Row],[Customer_Satisfaction]]</f>
        <v>4</v>
      </c>
      <c r="BA905" t="str">
        <f>tbl_OriginalData[[#This Row],[Engagement_with_Ads]]</f>
        <v>High</v>
      </c>
      <c r="BB905" t="str">
        <f>tbl_OriginalData[[#This Row],[Device_Used_for_Shopping]]</f>
        <v>Desktop</v>
      </c>
      <c r="BC905" t="str">
        <f>tbl_OriginalData[[#This Row],[Payment_Method]]</f>
        <v>Other</v>
      </c>
      <c r="BD905" s="1">
        <f>tbl_OriginalData[[#This Row],[Time_of_Purchase]]</f>
        <v>45612</v>
      </c>
      <c r="BE905" t="str">
        <f>IF(tbl_OriginalData[[#This Row],[Discount_Used]]=TRUE,"Yes","No")</f>
        <v>No</v>
      </c>
      <c r="BF905" t="str">
        <f>IF(tbl_OriginalData[[#This Row],[Customer_Loyalty_Program_Member]]=TRUE,"Yes","No")</f>
        <v>Yes</v>
      </c>
      <c r="BG905" t="str">
        <f>tbl_OriginalData[[#This Row],[Purchase_Intent]]</f>
        <v>Need-based</v>
      </c>
      <c r="BH905" t="str">
        <f>tbl_OriginalData[[#This Row],[Shipping_Preference]]</f>
        <v>No Preference</v>
      </c>
      <c r="BI905">
        <f>tbl_OriginalData[[#This Row],[Time_to_Decision]]</f>
        <v>13</v>
      </c>
      <c r="BJ905" t="s">
        <v>177</v>
      </c>
      <c r="BK905" t="s">
        <v>80</v>
      </c>
      <c r="BL905" t="s">
        <v>2526</v>
      </c>
    </row>
    <row r="906" spans="1:64">
      <c r="A906" t="s">
        <v>2051</v>
      </c>
      <c r="B906">
        <v>35</v>
      </c>
      <c r="C906" t="s">
        <v>33</v>
      </c>
      <c r="D906" t="s">
        <v>51</v>
      </c>
      <c r="E906" t="s">
        <v>82</v>
      </c>
      <c r="F906" t="s">
        <v>52</v>
      </c>
      <c r="G906" t="s">
        <v>51</v>
      </c>
      <c r="H906" t="s">
        <v>2052</v>
      </c>
      <c r="I906" t="s">
        <v>75</v>
      </c>
      <c r="J906">
        <v>289.27999999999997</v>
      </c>
      <c r="K906">
        <v>9</v>
      </c>
      <c r="L906" t="s">
        <v>94</v>
      </c>
      <c r="M906">
        <v>3</v>
      </c>
      <c r="N906">
        <v>5</v>
      </c>
      <c r="O906">
        <v>1</v>
      </c>
      <c r="P906" t="s">
        <v>51</v>
      </c>
      <c r="Q906" t="s">
        <v>41</v>
      </c>
      <c r="R906">
        <v>2</v>
      </c>
      <c r="S906">
        <v>7</v>
      </c>
      <c r="T906" t="s">
        <v>56</v>
      </c>
      <c r="U906" t="s">
        <v>42</v>
      </c>
      <c r="V906" t="s">
        <v>58</v>
      </c>
      <c r="W906" s="1">
        <v>45472</v>
      </c>
      <c r="X906" t="b">
        <v>0</v>
      </c>
      <c r="Y906" t="b">
        <v>1</v>
      </c>
      <c r="Z906" t="s">
        <v>59</v>
      </c>
      <c r="AA906" t="s">
        <v>77</v>
      </c>
      <c r="AB906">
        <v>13</v>
      </c>
      <c r="AF906" t="str">
        <f>tbl_OriginalData[[#This Row],[Customer_ID]]</f>
        <v>62-797-9254</v>
      </c>
      <c r="AG906">
        <f>tbl_OriginalData[[#This Row],[Age]]</f>
        <v>35</v>
      </c>
      <c r="AH906" t="str" cm="1">
        <f t="array" ref="AH90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06" t="str">
        <f>tbl_OriginalData[[#This Row],[Gender]]</f>
        <v>Female</v>
      </c>
      <c r="AJ906" t="str">
        <f>tbl_OriginalData[[#This Row],[Income_Level]]</f>
        <v>High</v>
      </c>
      <c r="AK906" t="str">
        <f>tbl_OriginalData[[#This Row],[Marital_Status]]</f>
        <v>Widowed</v>
      </c>
      <c r="AL906" t="str">
        <f>tbl_OriginalData[[#This Row],[Education_Level]]</f>
        <v>High School</v>
      </c>
      <c r="AM906" t="str">
        <f>tbl_OriginalData[[#This Row],[Occupation]]</f>
        <v>High</v>
      </c>
      <c r="AN906" t="s">
        <v>2052</v>
      </c>
      <c r="AO906" t="s">
        <v>272</v>
      </c>
      <c r="AP906" t="str">
        <f>tbl_OriginalData[[#This Row],[Purchase_Category]]</f>
        <v>Home Appliances</v>
      </c>
      <c r="AQ906" s="4">
        <f>tbl_OriginalData[[#This Row],[Purchase_Amount]]</f>
        <v>289.27999999999997</v>
      </c>
      <c r="AR906">
        <f>tbl_OriginalData[[#This Row],[Frequency_of_Purchase]]</f>
        <v>9</v>
      </c>
      <c r="AS906" t="str">
        <f>tbl_OriginalData[[#This Row],[Purchase_Channel]]</f>
        <v>Online</v>
      </c>
      <c r="AT906">
        <f>tbl_OriginalData[[#This Row],[Brand_Loyalty]]</f>
        <v>3</v>
      </c>
      <c r="AU906">
        <f>tbl_OriginalData[[#This Row],[Product_Rating]]</f>
        <v>5</v>
      </c>
      <c r="AV906">
        <f>tbl_OriginalData[[#This Row],[Time_Spent_on_Product_Research(hours)]]*60</f>
        <v>60</v>
      </c>
      <c r="AW906" t="str">
        <f>tbl_OriginalData[[#This Row],[Social_Media_Influence]]</f>
        <v>High</v>
      </c>
      <c r="AX906" t="str">
        <f>tbl_OriginalData[[#This Row],[Discount_Sensitivity]]</f>
        <v>Somewhat Sensitive</v>
      </c>
      <c r="AY906" s="3">
        <f>tbl_OriginalData[[#This Row],[Return_Rate]]/tbl_OriginalData[[#This Row],[Frequency_of_Purchase]]</f>
        <v>0.22222222222222221</v>
      </c>
      <c r="AZ906">
        <f>tbl_OriginalData[[#This Row],[Customer_Satisfaction]]</f>
        <v>7</v>
      </c>
      <c r="BA906" t="str">
        <f>tbl_OriginalData[[#This Row],[Engagement_with_Ads]]</f>
        <v>Medium</v>
      </c>
      <c r="BB906" t="str">
        <f>tbl_OriginalData[[#This Row],[Device_Used_for_Shopping]]</f>
        <v>Tablet</v>
      </c>
      <c r="BC906" t="str">
        <f>tbl_OriginalData[[#This Row],[Payment_Method]]</f>
        <v>PayPal</v>
      </c>
      <c r="BD906" s="1">
        <f>tbl_OriginalData[[#This Row],[Time_of_Purchase]]</f>
        <v>45472</v>
      </c>
      <c r="BE906" t="str">
        <f>IF(tbl_OriginalData[[#This Row],[Discount_Used]]=TRUE,"Yes","No")</f>
        <v>No</v>
      </c>
      <c r="BF906" t="str">
        <f>IF(tbl_OriginalData[[#This Row],[Customer_Loyalty_Program_Member]]=TRUE,"Yes","No")</f>
        <v>Yes</v>
      </c>
      <c r="BG906" t="str">
        <f>tbl_OriginalData[[#This Row],[Purchase_Intent]]</f>
        <v>Wants-based</v>
      </c>
      <c r="BH906" t="str">
        <f>tbl_OriginalData[[#This Row],[Shipping_Preference]]</f>
        <v>Express</v>
      </c>
      <c r="BI906">
        <f>tbl_OriginalData[[#This Row],[Time_to_Decision]]</f>
        <v>13</v>
      </c>
      <c r="BJ906" t="s">
        <v>104</v>
      </c>
      <c r="BK906" t="s">
        <v>63</v>
      </c>
      <c r="BL906" t="s">
        <v>2524</v>
      </c>
    </row>
    <row r="907" spans="1:64">
      <c r="A907" t="s">
        <v>2053</v>
      </c>
      <c r="B907">
        <v>27</v>
      </c>
      <c r="C907" t="s">
        <v>33</v>
      </c>
      <c r="D907" t="s">
        <v>51</v>
      </c>
      <c r="E907" t="s">
        <v>35</v>
      </c>
      <c r="F907" t="s">
        <v>52</v>
      </c>
      <c r="G907" t="s">
        <v>34</v>
      </c>
      <c r="H907" t="s">
        <v>2054</v>
      </c>
      <c r="I907" t="s">
        <v>143</v>
      </c>
      <c r="J907">
        <v>483.77</v>
      </c>
      <c r="K907">
        <v>5</v>
      </c>
      <c r="L907" t="s">
        <v>55</v>
      </c>
      <c r="M907">
        <v>1</v>
      </c>
      <c r="N907">
        <v>2</v>
      </c>
      <c r="O907">
        <v>0</v>
      </c>
      <c r="P907" t="s">
        <v>40</v>
      </c>
      <c r="Q907" t="s">
        <v>101</v>
      </c>
      <c r="R907">
        <v>0</v>
      </c>
      <c r="S907">
        <v>5</v>
      </c>
      <c r="T907" t="s">
        <v>40</v>
      </c>
      <c r="U907" t="s">
        <v>95</v>
      </c>
      <c r="V907" t="s">
        <v>43</v>
      </c>
      <c r="W907" s="1">
        <v>45493</v>
      </c>
      <c r="X907" t="b">
        <v>0</v>
      </c>
      <c r="Y907" t="b">
        <v>0</v>
      </c>
      <c r="Z907" t="s">
        <v>59</v>
      </c>
      <c r="AA907" t="s">
        <v>45</v>
      </c>
      <c r="AB907">
        <v>10</v>
      </c>
      <c r="AF907" t="str">
        <f>tbl_OriginalData[[#This Row],[Customer_ID]]</f>
        <v>27-941-4995</v>
      </c>
      <c r="AG907">
        <f>tbl_OriginalData[[#This Row],[Age]]</f>
        <v>27</v>
      </c>
      <c r="AH907" t="str" cm="1">
        <f t="array" ref="AH90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07" t="str">
        <f>tbl_OriginalData[[#This Row],[Gender]]</f>
        <v>Female</v>
      </c>
      <c r="AJ907" t="str">
        <f>tbl_OriginalData[[#This Row],[Income_Level]]</f>
        <v>High</v>
      </c>
      <c r="AK907" t="str">
        <f>tbl_OriginalData[[#This Row],[Marital_Status]]</f>
        <v>Married</v>
      </c>
      <c r="AL907" t="str">
        <f>tbl_OriginalData[[#This Row],[Education_Level]]</f>
        <v>High School</v>
      </c>
      <c r="AM907" t="str">
        <f>tbl_OriginalData[[#This Row],[Occupation]]</f>
        <v>Middle</v>
      </c>
      <c r="AN907" t="s">
        <v>2054</v>
      </c>
      <c r="AO907" t="s">
        <v>61</v>
      </c>
      <c r="AP907" t="str">
        <f>tbl_OriginalData[[#This Row],[Purchase_Category]]</f>
        <v>Packages)</v>
      </c>
      <c r="AQ907" s="4">
        <f>tbl_OriginalData[[#This Row],[Purchase_Amount]]</f>
        <v>483.77</v>
      </c>
      <c r="AR907">
        <f>tbl_OriginalData[[#This Row],[Frequency_of_Purchase]]</f>
        <v>5</v>
      </c>
      <c r="AS907" t="str">
        <f>tbl_OriginalData[[#This Row],[Purchase_Channel]]</f>
        <v>In-Store</v>
      </c>
      <c r="AT907">
        <f>tbl_OriginalData[[#This Row],[Brand_Loyalty]]</f>
        <v>1</v>
      </c>
      <c r="AU907">
        <f>tbl_OriginalData[[#This Row],[Product_Rating]]</f>
        <v>2</v>
      </c>
      <c r="AV907">
        <f>tbl_OriginalData[[#This Row],[Time_Spent_on_Product_Research(hours)]]*60</f>
        <v>0</v>
      </c>
      <c r="AW907" t="str">
        <f>tbl_OriginalData[[#This Row],[Social_Media_Influence]]</f>
        <v>None</v>
      </c>
      <c r="AX907" t="str">
        <f>tbl_OriginalData[[#This Row],[Discount_Sensitivity]]</f>
        <v>Very Sensitive</v>
      </c>
      <c r="AY907" s="3">
        <f>tbl_OriginalData[[#This Row],[Return_Rate]]/tbl_OriginalData[[#This Row],[Frequency_of_Purchase]]</f>
        <v>0</v>
      </c>
      <c r="AZ907">
        <f>tbl_OriginalData[[#This Row],[Customer_Satisfaction]]</f>
        <v>5</v>
      </c>
      <c r="BA907" t="str">
        <f>tbl_OriginalData[[#This Row],[Engagement_with_Ads]]</f>
        <v>None</v>
      </c>
      <c r="BB907" t="str">
        <f>tbl_OriginalData[[#This Row],[Device_Used_for_Shopping]]</f>
        <v>Desktop</v>
      </c>
      <c r="BC907" t="str">
        <f>tbl_OriginalData[[#This Row],[Payment_Method]]</f>
        <v>Credit Card</v>
      </c>
      <c r="BD907" s="1">
        <f>tbl_OriginalData[[#This Row],[Time_of_Purchase]]</f>
        <v>45493</v>
      </c>
      <c r="BE907" t="str">
        <f>IF(tbl_OriginalData[[#This Row],[Discount_Used]]=TRUE,"Yes","No")</f>
        <v>No</v>
      </c>
      <c r="BF907" t="str">
        <f>IF(tbl_OriginalData[[#This Row],[Customer_Loyalty_Program_Member]]=TRUE,"Yes","No")</f>
        <v>No</v>
      </c>
      <c r="BG907" t="str">
        <f>tbl_OriginalData[[#This Row],[Purchase_Intent]]</f>
        <v>Wants-based</v>
      </c>
      <c r="BH907" t="str">
        <f>tbl_OriginalData[[#This Row],[Shipping_Preference]]</f>
        <v>No Preference</v>
      </c>
      <c r="BI907">
        <f>tbl_OriginalData[[#This Row],[Time_to_Decision]]</f>
        <v>10</v>
      </c>
      <c r="BJ907" t="s">
        <v>114</v>
      </c>
      <c r="BK907" t="s">
        <v>115</v>
      </c>
      <c r="BL907" t="s">
        <v>2524</v>
      </c>
    </row>
    <row r="908" spans="1:64">
      <c r="A908" t="s">
        <v>2055</v>
      </c>
      <c r="B908">
        <v>45</v>
      </c>
      <c r="C908" t="s">
        <v>50</v>
      </c>
      <c r="D908" t="s">
        <v>34</v>
      </c>
      <c r="E908" t="s">
        <v>35</v>
      </c>
      <c r="F908" t="s">
        <v>52</v>
      </c>
      <c r="G908" t="s">
        <v>34</v>
      </c>
      <c r="H908" t="s">
        <v>2056</v>
      </c>
      <c r="I908" t="s">
        <v>84</v>
      </c>
      <c r="J908">
        <v>64.5</v>
      </c>
      <c r="K908">
        <v>7</v>
      </c>
      <c r="L908" t="s">
        <v>55</v>
      </c>
      <c r="M908">
        <v>3</v>
      </c>
      <c r="N908">
        <v>4</v>
      </c>
      <c r="O908">
        <v>1</v>
      </c>
      <c r="P908" t="s">
        <v>51</v>
      </c>
      <c r="Q908" t="s">
        <v>41</v>
      </c>
      <c r="R908">
        <v>1</v>
      </c>
      <c r="S908">
        <v>7</v>
      </c>
      <c r="T908" t="s">
        <v>51</v>
      </c>
      <c r="U908" t="s">
        <v>95</v>
      </c>
      <c r="V908" t="s">
        <v>43</v>
      </c>
      <c r="W908" s="1">
        <v>45501</v>
      </c>
      <c r="X908" t="b">
        <v>1</v>
      </c>
      <c r="Y908" t="b">
        <v>0</v>
      </c>
      <c r="Z908" t="s">
        <v>59</v>
      </c>
      <c r="AA908" t="s">
        <v>45</v>
      </c>
      <c r="AB908">
        <v>13</v>
      </c>
      <c r="AF908" t="str">
        <f>tbl_OriginalData[[#This Row],[Customer_ID]]</f>
        <v>01-799-2615</v>
      </c>
      <c r="AG908">
        <f>tbl_OriginalData[[#This Row],[Age]]</f>
        <v>45</v>
      </c>
      <c r="AH908" t="str" cm="1">
        <f t="array" ref="AH90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08" t="str">
        <f>tbl_OriginalData[[#This Row],[Gender]]</f>
        <v>Male</v>
      </c>
      <c r="AJ908" t="str">
        <f>tbl_OriginalData[[#This Row],[Income_Level]]</f>
        <v>Middle</v>
      </c>
      <c r="AK908" t="str">
        <f>tbl_OriginalData[[#This Row],[Marital_Status]]</f>
        <v>Married</v>
      </c>
      <c r="AL908" t="str">
        <f>tbl_OriginalData[[#This Row],[Education_Level]]</f>
        <v>High School</v>
      </c>
      <c r="AM908" t="str">
        <f>tbl_OriginalData[[#This Row],[Occupation]]</f>
        <v>Middle</v>
      </c>
      <c r="AN908" t="s">
        <v>2056</v>
      </c>
      <c r="AO908" t="s">
        <v>46</v>
      </c>
      <c r="AP908" t="str">
        <f>tbl_OriginalData[[#This Row],[Purchase_Category]]</f>
        <v>Furniture</v>
      </c>
      <c r="AQ908" s="4">
        <f>tbl_OriginalData[[#This Row],[Purchase_Amount]]</f>
        <v>64.5</v>
      </c>
      <c r="AR908">
        <f>tbl_OriginalData[[#This Row],[Frequency_of_Purchase]]</f>
        <v>7</v>
      </c>
      <c r="AS908" t="str">
        <f>tbl_OriginalData[[#This Row],[Purchase_Channel]]</f>
        <v>In-Store</v>
      </c>
      <c r="AT908">
        <f>tbl_OriginalData[[#This Row],[Brand_Loyalty]]</f>
        <v>3</v>
      </c>
      <c r="AU908">
        <f>tbl_OriginalData[[#This Row],[Product_Rating]]</f>
        <v>4</v>
      </c>
      <c r="AV908">
        <f>tbl_OriginalData[[#This Row],[Time_Spent_on_Product_Research(hours)]]*60</f>
        <v>60</v>
      </c>
      <c r="AW908" t="str">
        <f>tbl_OriginalData[[#This Row],[Social_Media_Influence]]</f>
        <v>High</v>
      </c>
      <c r="AX908" t="str">
        <f>tbl_OriginalData[[#This Row],[Discount_Sensitivity]]</f>
        <v>Somewhat Sensitive</v>
      </c>
      <c r="AY908" s="3">
        <f>tbl_OriginalData[[#This Row],[Return_Rate]]/tbl_OriginalData[[#This Row],[Frequency_of_Purchase]]</f>
        <v>0.14285714285714285</v>
      </c>
      <c r="AZ908">
        <f>tbl_OriginalData[[#This Row],[Customer_Satisfaction]]</f>
        <v>7</v>
      </c>
      <c r="BA908" t="str">
        <f>tbl_OriginalData[[#This Row],[Engagement_with_Ads]]</f>
        <v>High</v>
      </c>
      <c r="BB908" t="str">
        <f>tbl_OriginalData[[#This Row],[Device_Used_for_Shopping]]</f>
        <v>Desktop</v>
      </c>
      <c r="BC908" t="str">
        <f>tbl_OriginalData[[#This Row],[Payment_Method]]</f>
        <v>Credit Card</v>
      </c>
      <c r="BD908" s="1">
        <f>tbl_OriginalData[[#This Row],[Time_of_Purchase]]</f>
        <v>45501</v>
      </c>
      <c r="BE908" t="str">
        <f>IF(tbl_OriginalData[[#This Row],[Discount_Used]]=TRUE,"Yes","No")</f>
        <v>Yes</v>
      </c>
      <c r="BF908" t="str">
        <f>IF(tbl_OriginalData[[#This Row],[Customer_Loyalty_Program_Member]]=TRUE,"Yes","No")</f>
        <v>No</v>
      </c>
      <c r="BG908" t="str">
        <f>tbl_OriginalData[[#This Row],[Purchase_Intent]]</f>
        <v>Wants-based</v>
      </c>
      <c r="BH908" t="str">
        <f>tbl_OriginalData[[#This Row],[Shipping_Preference]]</f>
        <v>No Preference</v>
      </c>
      <c r="BI908">
        <f>tbl_OriginalData[[#This Row],[Time_to_Decision]]</f>
        <v>13</v>
      </c>
      <c r="BJ908" t="s">
        <v>114</v>
      </c>
      <c r="BK908" t="s">
        <v>115</v>
      </c>
      <c r="BL908" t="s">
        <v>2523</v>
      </c>
    </row>
    <row r="909" spans="1:64">
      <c r="A909" t="s">
        <v>2057</v>
      </c>
      <c r="B909">
        <v>43</v>
      </c>
      <c r="C909" t="s">
        <v>50</v>
      </c>
      <c r="D909" t="s">
        <v>51</v>
      </c>
      <c r="E909" t="s">
        <v>35</v>
      </c>
      <c r="F909" t="s">
        <v>36</v>
      </c>
      <c r="G909" t="s">
        <v>34</v>
      </c>
      <c r="H909" t="s">
        <v>2058</v>
      </c>
      <c r="I909" t="s">
        <v>199</v>
      </c>
      <c r="J909">
        <v>436.57</v>
      </c>
      <c r="K909">
        <v>4</v>
      </c>
      <c r="L909" t="s">
        <v>39</v>
      </c>
      <c r="M909">
        <v>5</v>
      </c>
      <c r="N909">
        <v>3</v>
      </c>
      <c r="O909">
        <v>1</v>
      </c>
      <c r="P909" t="s">
        <v>51</v>
      </c>
      <c r="Q909" t="s">
        <v>57</v>
      </c>
      <c r="R909">
        <v>2</v>
      </c>
      <c r="S909">
        <v>10</v>
      </c>
      <c r="T909" t="s">
        <v>69</v>
      </c>
      <c r="U909" t="s">
        <v>95</v>
      </c>
      <c r="V909" t="s">
        <v>71</v>
      </c>
      <c r="W909" s="1">
        <v>45324</v>
      </c>
      <c r="X909" t="b">
        <v>0</v>
      </c>
      <c r="Y909" t="b">
        <v>0</v>
      </c>
      <c r="Z909" t="s">
        <v>59</v>
      </c>
      <c r="AA909" t="s">
        <v>60</v>
      </c>
      <c r="AB909">
        <v>3</v>
      </c>
      <c r="AF909" t="str">
        <f>tbl_OriginalData[[#This Row],[Customer_ID]]</f>
        <v>82-133-0444</v>
      </c>
      <c r="AG909">
        <f>tbl_OriginalData[[#This Row],[Age]]</f>
        <v>43</v>
      </c>
      <c r="AH909" t="str" cm="1">
        <f t="array" ref="AH90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09" t="str">
        <f>tbl_OriginalData[[#This Row],[Gender]]</f>
        <v>Male</v>
      </c>
      <c r="AJ909" t="str">
        <f>tbl_OriginalData[[#This Row],[Income_Level]]</f>
        <v>High</v>
      </c>
      <c r="AK909" t="str">
        <f>tbl_OriginalData[[#This Row],[Marital_Status]]</f>
        <v>Married</v>
      </c>
      <c r="AL909" t="str">
        <f>tbl_OriginalData[[#This Row],[Education_Level]]</f>
        <v>Bachelor's</v>
      </c>
      <c r="AM909" t="str">
        <f>tbl_OriginalData[[#This Row],[Occupation]]</f>
        <v>Middle</v>
      </c>
      <c r="AN909" t="s">
        <v>2058</v>
      </c>
      <c r="AO909" t="s">
        <v>103</v>
      </c>
      <c r="AP909" t="str">
        <f>tbl_OriginalData[[#This Row],[Purchase_Category]]</f>
        <v>Groceries</v>
      </c>
      <c r="AQ909" s="4">
        <f>tbl_OriginalData[[#This Row],[Purchase_Amount]]</f>
        <v>436.57</v>
      </c>
      <c r="AR909">
        <f>tbl_OriginalData[[#This Row],[Frequency_of_Purchase]]</f>
        <v>4</v>
      </c>
      <c r="AS909" t="str">
        <f>tbl_OriginalData[[#This Row],[Purchase_Channel]]</f>
        <v>Mixed</v>
      </c>
      <c r="AT909">
        <f>tbl_OriginalData[[#This Row],[Brand_Loyalty]]</f>
        <v>5</v>
      </c>
      <c r="AU909">
        <f>tbl_OriginalData[[#This Row],[Product_Rating]]</f>
        <v>3</v>
      </c>
      <c r="AV909">
        <f>tbl_OriginalData[[#This Row],[Time_Spent_on_Product_Research(hours)]]*60</f>
        <v>60</v>
      </c>
      <c r="AW909" t="str">
        <f>tbl_OriginalData[[#This Row],[Social_Media_Influence]]</f>
        <v>High</v>
      </c>
      <c r="AX909" t="str">
        <f>tbl_OriginalData[[#This Row],[Discount_Sensitivity]]</f>
        <v>Not Sensitive</v>
      </c>
      <c r="AY909" s="3">
        <f>tbl_OriginalData[[#This Row],[Return_Rate]]/tbl_OriginalData[[#This Row],[Frequency_of_Purchase]]</f>
        <v>0.5</v>
      </c>
      <c r="AZ909">
        <f>tbl_OriginalData[[#This Row],[Customer_Satisfaction]]</f>
        <v>10</v>
      </c>
      <c r="BA909" t="str">
        <f>tbl_OriginalData[[#This Row],[Engagement_with_Ads]]</f>
        <v>Low</v>
      </c>
      <c r="BB909" t="str">
        <f>tbl_OriginalData[[#This Row],[Device_Used_for_Shopping]]</f>
        <v>Desktop</v>
      </c>
      <c r="BC909" t="str">
        <f>tbl_OriginalData[[#This Row],[Payment_Method]]</f>
        <v>Debit Card</v>
      </c>
      <c r="BD909" s="1">
        <f>tbl_OriginalData[[#This Row],[Time_of_Purchase]]</f>
        <v>45324</v>
      </c>
      <c r="BE909" t="str">
        <f>IF(tbl_OriginalData[[#This Row],[Discount_Used]]=TRUE,"Yes","No")</f>
        <v>No</v>
      </c>
      <c r="BF909" t="str">
        <f>IF(tbl_OriginalData[[#This Row],[Customer_Loyalty_Program_Member]]=TRUE,"Yes","No")</f>
        <v>No</v>
      </c>
      <c r="BG909" t="str">
        <f>tbl_OriginalData[[#This Row],[Purchase_Intent]]</f>
        <v>Wants-based</v>
      </c>
      <c r="BH909" t="str">
        <f>tbl_OriginalData[[#This Row],[Shipping_Preference]]</f>
        <v>Standard</v>
      </c>
      <c r="BI909">
        <f>tbl_OriginalData[[#This Row],[Time_to_Decision]]</f>
        <v>3</v>
      </c>
      <c r="BJ909" t="s">
        <v>158</v>
      </c>
      <c r="BK909" t="s">
        <v>48</v>
      </c>
      <c r="BL909" t="s">
        <v>2523</v>
      </c>
    </row>
    <row r="910" spans="1:64">
      <c r="A910" t="s">
        <v>2059</v>
      </c>
      <c r="B910">
        <v>35</v>
      </c>
      <c r="C910" t="s">
        <v>106</v>
      </c>
      <c r="D910" t="s">
        <v>34</v>
      </c>
      <c r="E910" t="s">
        <v>82</v>
      </c>
      <c r="F910" t="s">
        <v>52</v>
      </c>
      <c r="G910" t="s">
        <v>34</v>
      </c>
      <c r="H910" t="s">
        <v>2060</v>
      </c>
      <c r="I910" t="s">
        <v>54</v>
      </c>
      <c r="J910">
        <v>364.48</v>
      </c>
      <c r="K910">
        <v>2</v>
      </c>
      <c r="L910" t="s">
        <v>39</v>
      </c>
      <c r="M910">
        <v>3</v>
      </c>
      <c r="N910">
        <v>3</v>
      </c>
      <c r="O910">
        <v>0.2</v>
      </c>
      <c r="P910" t="s">
        <v>40</v>
      </c>
      <c r="Q910" t="s">
        <v>101</v>
      </c>
      <c r="R910">
        <v>2</v>
      </c>
      <c r="S910">
        <v>5</v>
      </c>
      <c r="T910" t="s">
        <v>40</v>
      </c>
      <c r="U910" t="s">
        <v>70</v>
      </c>
      <c r="V910" t="s">
        <v>76</v>
      </c>
      <c r="W910" s="1">
        <v>45561</v>
      </c>
      <c r="X910" t="b">
        <v>0</v>
      </c>
      <c r="Y910" t="b">
        <v>0</v>
      </c>
      <c r="Z910" t="s">
        <v>89</v>
      </c>
      <c r="AA910" t="s">
        <v>45</v>
      </c>
      <c r="AB910">
        <v>13</v>
      </c>
      <c r="AF910" t="str">
        <f>tbl_OriginalData[[#This Row],[Customer_ID]]</f>
        <v>43-920-9499</v>
      </c>
      <c r="AG910">
        <f>tbl_OriginalData[[#This Row],[Age]]</f>
        <v>35</v>
      </c>
      <c r="AH910" t="str" cm="1">
        <f t="array" ref="AH91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10" t="str">
        <f>tbl_OriginalData[[#This Row],[Gender]]</f>
        <v>Bigender</v>
      </c>
      <c r="AJ910" t="str">
        <f>tbl_OriginalData[[#This Row],[Income_Level]]</f>
        <v>Middle</v>
      </c>
      <c r="AK910" t="str">
        <f>tbl_OriginalData[[#This Row],[Marital_Status]]</f>
        <v>Widowed</v>
      </c>
      <c r="AL910" t="str">
        <f>tbl_OriginalData[[#This Row],[Education_Level]]</f>
        <v>High School</v>
      </c>
      <c r="AM910" t="str">
        <f>tbl_OriginalData[[#This Row],[Occupation]]</f>
        <v>Middle</v>
      </c>
      <c r="AN910" t="s">
        <v>2060</v>
      </c>
      <c r="AO910" t="s">
        <v>284</v>
      </c>
      <c r="AP910" t="str">
        <f>tbl_OriginalData[[#This Row],[Purchase_Category]]</f>
        <v>Food &amp; Beverages</v>
      </c>
      <c r="AQ910" s="4">
        <f>tbl_OriginalData[[#This Row],[Purchase_Amount]]</f>
        <v>364.48</v>
      </c>
      <c r="AR910">
        <f>tbl_OriginalData[[#This Row],[Frequency_of_Purchase]]</f>
        <v>2</v>
      </c>
      <c r="AS910" t="str">
        <f>tbl_OriginalData[[#This Row],[Purchase_Channel]]</f>
        <v>Mixed</v>
      </c>
      <c r="AT910">
        <f>tbl_OriginalData[[#This Row],[Brand_Loyalty]]</f>
        <v>3</v>
      </c>
      <c r="AU910">
        <f>tbl_OriginalData[[#This Row],[Product_Rating]]</f>
        <v>3</v>
      </c>
      <c r="AV910">
        <f>tbl_OriginalData[[#This Row],[Time_Spent_on_Product_Research(hours)]]*60</f>
        <v>12</v>
      </c>
      <c r="AW910" t="str">
        <f>tbl_OriginalData[[#This Row],[Social_Media_Influence]]</f>
        <v>None</v>
      </c>
      <c r="AX910" t="str">
        <f>tbl_OriginalData[[#This Row],[Discount_Sensitivity]]</f>
        <v>Very Sensitive</v>
      </c>
      <c r="AY910" s="3">
        <f>tbl_OriginalData[[#This Row],[Return_Rate]]/tbl_OriginalData[[#This Row],[Frequency_of_Purchase]]</f>
        <v>1</v>
      </c>
      <c r="AZ910">
        <f>tbl_OriginalData[[#This Row],[Customer_Satisfaction]]</f>
        <v>5</v>
      </c>
      <c r="BA910" t="str">
        <f>tbl_OriginalData[[#This Row],[Engagement_with_Ads]]</f>
        <v>None</v>
      </c>
      <c r="BB910" t="str">
        <f>tbl_OriginalData[[#This Row],[Device_Used_for_Shopping]]</f>
        <v>Smartphone</v>
      </c>
      <c r="BC910" t="str">
        <f>tbl_OriginalData[[#This Row],[Payment_Method]]</f>
        <v>Other</v>
      </c>
      <c r="BD910" s="1">
        <f>tbl_OriginalData[[#This Row],[Time_of_Purchase]]</f>
        <v>45561</v>
      </c>
      <c r="BE910" t="str">
        <f>IF(tbl_OriginalData[[#This Row],[Discount_Used]]=TRUE,"Yes","No")</f>
        <v>No</v>
      </c>
      <c r="BF910" t="str">
        <f>IF(tbl_OriginalData[[#This Row],[Customer_Loyalty_Program_Member]]=TRUE,"Yes","No")</f>
        <v>No</v>
      </c>
      <c r="BG910" t="str">
        <f>tbl_OriginalData[[#This Row],[Purchase_Intent]]</f>
        <v>Planned</v>
      </c>
      <c r="BH910" t="str">
        <f>tbl_OriginalData[[#This Row],[Shipping_Preference]]</f>
        <v>No Preference</v>
      </c>
      <c r="BI910">
        <f>tbl_OriginalData[[#This Row],[Time_to_Decision]]</f>
        <v>13</v>
      </c>
      <c r="BJ910" t="s">
        <v>172</v>
      </c>
      <c r="BK910" t="s">
        <v>115</v>
      </c>
      <c r="BL910" t="s">
        <v>2527</v>
      </c>
    </row>
    <row r="911" spans="1:64">
      <c r="A911" t="s">
        <v>2061</v>
      </c>
      <c r="B911">
        <v>33</v>
      </c>
      <c r="C911" t="s">
        <v>33</v>
      </c>
      <c r="D911" t="s">
        <v>34</v>
      </c>
      <c r="E911" t="s">
        <v>82</v>
      </c>
      <c r="F911" t="s">
        <v>66</v>
      </c>
      <c r="G911" t="s">
        <v>51</v>
      </c>
      <c r="H911" t="s">
        <v>2062</v>
      </c>
      <c r="I911" t="s">
        <v>235</v>
      </c>
      <c r="J911">
        <v>221.88</v>
      </c>
      <c r="K911">
        <v>12</v>
      </c>
      <c r="L911" t="s">
        <v>55</v>
      </c>
      <c r="M911">
        <v>1</v>
      </c>
      <c r="N911">
        <v>4</v>
      </c>
      <c r="O911">
        <v>2</v>
      </c>
      <c r="P911" t="s">
        <v>69</v>
      </c>
      <c r="Q911" t="s">
        <v>41</v>
      </c>
      <c r="R911">
        <v>1</v>
      </c>
      <c r="S911">
        <v>6</v>
      </c>
      <c r="T911" t="s">
        <v>40</v>
      </c>
      <c r="U911" t="s">
        <v>95</v>
      </c>
      <c r="V911" t="s">
        <v>76</v>
      </c>
      <c r="W911" s="1">
        <v>45386</v>
      </c>
      <c r="X911" t="b">
        <v>1</v>
      </c>
      <c r="Y911" t="b">
        <v>0</v>
      </c>
      <c r="Z911" t="s">
        <v>44</v>
      </c>
      <c r="AA911" t="s">
        <v>77</v>
      </c>
      <c r="AB911">
        <v>9</v>
      </c>
      <c r="AF911" t="str">
        <f>tbl_OriginalData[[#This Row],[Customer_ID]]</f>
        <v>17-551-9779</v>
      </c>
      <c r="AG911">
        <f>tbl_OriginalData[[#This Row],[Age]]</f>
        <v>33</v>
      </c>
      <c r="AH911" t="str" cm="1">
        <f t="array" ref="AH91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11" t="str">
        <f>tbl_OriginalData[[#This Row],[Gender]]</f>
        <v>Female</v>
      </c>
      <c r="AJ911" t="str">
        <f>tbl_OriginalData[[#This Row],[Income_Level]]</f>
        <v>Middle</v>
      </c>
      <c r="AK911" t="str">
        <f>tbl_OriginalData[[#This Row],[Marital_Status]]</f>
        <v>Widowed</v>
      </c>
      <c r="AL911" t="str">
        <f>tbl_OriginalData[[#This Row],[Education_Level]]</f>
        <v>Master's</v>
      </c>
      <c r="AM911" t="str">
        <f>tbl_OriginalData[[#This Row],[Occupation]]</f>
        <v>High</v>
      </c>
      <c r="AN911" t="s">
        <v>2062</v>
      </c>
      <c r="AO911" t="s">
        <v>90</v>
      </c>
      <c r="AP911" t="str">
        <f>tbl_OriginalData[[#This Row],[Purchase_Category]]</f>
        <v>Beauty &amp; Personal Care</v>
      </c>
      <c r="AQ911" s="4">
        <f>tbl_OriginalData[[#This Row],[Purchase_Amount]]</f>
        <v>221.88</v>
      </c>
      <c r="AR911">
        <f>tbl_OriginalData[[#This Row],[Frequency_of_Purchase]]</f>
        <v>12</v>
      </c>
      <c r="AS911" t="str">
        <f>tbl_OriginalData[[#This Row],[Purchase_Channel]]</f>
        <v>In-Store</v>
      </c>
      <c r="AT911">
        <f>tbl_OriginalData[[#This Row],[Brand_Loyalty]]</f>
        <v>1</v>
      </c>
      <c r="AU911">
        <f>tbl_OriginalData[[#This Row],[Product_Rating]]</f>
        <v>4</v>
      </c>
      <c r="AV911">
        <f>tbl_OriginalData[[#This Row],[Time_Spent_on_Product_Research(hours)]]*60</f>
        <v>120</v>
      </c>
      <c r="AW911" t="str">
        <f>tbl_OriginalData[[#This Row],[Social_Media_Influence]]</f>
        <v>Low</v>
      </c>
      <c r="AX911" t="str">
        <f>tbl_OriginalData[[#This Row],[Discount_Sensitivity]]</f>
        <v>Somewhat Sensitive</v>
      </c>
      <c r="AY911" s="3">
        <f>tbl_OriginalData[[#This Row],[Return_Rate]]/tbl_OriginalData[[#This Row],[Frequency_of_Purchase]]</f>
        <v>8.3333333333333329E-2</v>
      </c>
      <c r="AZ911">
        <f>tbl_OriginalData[[#This Row],[Customer_Satisfaction]]</f>
        <v>6</v>
      </c>
      <c r="BA911" t="str">
        <f>tbl_OriginalData[[#This Row],[Engagement_with_Ads]]</f>
        <v>None</v>
      </c>
      <c r="BB911" t="str">
        <f>tbl_OriginalData[[#This Row],[Device_Used_for_Shopping]]</f>
        <v>Desktop</v>
      </c>
      <c r="BC911" t="str">
        <f>tbl_OriginalData[[#This Row],[Payment_Method]]</f>
        <v>Other</v>
      </c>
      <c r="BD911" s="1">
        <f>tbl_OriginalData[[#This Row],[Time_of_Purchase]]</f>
        <v>45386</v>
      </c>
      <c r="BE911" t="str">
        <f>IF(tbl_OriginalData[[#This Row],[Discount_Used]]=TRUE,"Yes","No")</f>
        <v>Yes</v>
      </c>
      <c r="BF911" t="str">
        <f>IF(tbl_OriginalData[[#This Row],[Customer_Loyalty_Program_Member]]=TRUE,"Yes","No")</f>
        <v>No</v>
      </c>
      <c r="BG911" t="str">
        <f>tbl_OriginalData[[#This Row],[Purchase_Intent]]</f>
        <v>Need-based</v>
      </c>
      <c r="BH911" t="str">
        <f>tbl_OriginalData[[#This Row],[Shipping_Preference]]</f>
        <v>Express</v>
      </c>
      <c r="BI911">
        <f>tbl_OriginalData[[#This Row],[Time_to_Decision]]</f>
        <v>9</v>
      </c>
      <c r="BJ911" t="s">
        <v>62</v>
      </c>
      <c r="BK911" t="s">
        <v>63</v>
      </c>
      <c r="BL911" t="s">
        <v>2524</v>
      </c>
    </row>
    <row r="912" spans="1:64">
      <c r="A912" t="s">
        <v>2063</v>
      </c>
      <c r="B912">
        <v>31</v>
      </c>
      <c r="C912" t="s">
        <v>33</v>
      </c>
      <c r="D912" t="s">
        <v>34</v>
      </c>
      <c r="E912" t="s">
        <v>65</v>
      </c>
      <c r="F912" t="s">
        <v>52</v>
      </c>
      <c r="G912" t="s">
        <v>34</v>
      </c>
      <c r="H912" t="s">
        <v>2064</v>
      </c>
      <c r="I912" t="s">
        <v>229</v>
      </c>
      <c r="J912">
        <v>278.20999999999998</v>
      </c>
      <c r="K912">
        <v>3</v>
      </c>
      <c r="L912" t="s">
        <v>39</v>
      </c>
      <c r="M912">
        <v>5</v>
      </c>
      <c r="N912">
        <v>1</v>
      </c>
      <c r="O912">
        <v>2</v>
      </c>
      <c r="P912" t="s">
        <v>69</v>
      </c>
      <c r="Q912" t="s">
        <v>41</v>
      </c>
      <c r="R912">
        <v>0</v>
      </c>
      <c r="S912">
        <v>7</v>
      </c>
      <c r="T912" t="s">
        <v>69</v>
      </c>
      <c r="U912" t="s">
        <v>42</v>
      </c>
      <c r="V912" t="s">
        <v>76</v>
      </c>
      <c r="W912" s="1">
        <v>45587</v>
      </c>
      <c r="X912" t="b">
        <v>1</v>
      </c>
      <c r="Y912" t="b">
        <v>0</v>
      </c>
      <c r="Z912" t="s">
        <v>44</v>
      </c>
      <c r="AA912" t="s">
        <v>45</v>
      </c>
      <c r="AB912">
        <v>14</v>
      </c>
      <c r="AF912" t="str">
        <f>tbl_OriginalData[[#This Row],[Customer_ID]]</f>
        <v>49-037-2300</v>
      </c>
      <c r="AG912">
        <f>tbl_OriginalData[[#This Row],[Age]]</f>
        <v>31</v>
      </c>
      <c r="AH912" t="str" cm="1">
        <f t="array" ref="AH91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12" t="str">
        <f>tbl_OriginalData[[#This Row],[Gender]]</f>
        <v>Female</v>
      </c>
      <c r="AJ912" t="str">
        <f>tbl_OriginalData[[#This Row],[Income_Level]]</f>
        <v>Middle</v>
      </c>
      <c r="AK912" t="str">
        <f>tbl_OriginalData[[#This Row],[Marital_Status]]</f>
        <v>Single</v>
      </c>
      <c r="AL912" t="str">
        <f>tbl_OriginalData[[#This Row],[Education_Level]]</f>
        <v>High School</v>
      </c>
      <c r="AM912" t="str">
        <f>tbl_OriginalData[[#This Row],[Occupation]]</f>
        <v>Middle</v>
      </c>
      <c r="AN912" t="s">
        <v>2064</v>
      </c>
      <c r="AO912" t="s">
        <v>766</v>
      </c>
      <c r="AP912" t="str">
        <f>tbl_OriginalData[[#This Row],[Purchase_Category]]</f>
        <v>Clothing</v>
      </c>
      <c r="AQ912" s="4">
        <f>tbl_OriginalData[[#This Row],[Purchase_Amount]]</f>
        <v>278.20999999999998</v>
      </c>
      <c r="AR912">
        <f>tbl_OriginalData[[#This Row],[Frequency_of_Purchase]]</f>
        <v>3</v>
      </c>
      <c r="AS912" t="str">
        <f>tbl_OriginalData[[#This Row],[Purchase_Channel]]</f>
        <v>Mixed</v>
      </c>
      <c r="AT912">
        <f>tbl_OriginalData[[#This Row],[Brand_Loyalty]]</f>
        <v>5</v>
      </c>
      <c r="AU912">
        <f>tbl_OriginalData[[#This Row],[Product_Rating]]</f>
        <v>1</v>
      </c>
      <c r="AV912">
        <f>tbl_OriginalData[[#This Row],[Time_Spent_on_Product_Research(hours)]]*60</f>
        <v>120</v>
      </c>
      <c r="AW912" t="str">
        <f>tbl_OriginalData[[#This Row],[Social_Media_Influence]]</f>
        <v>Low</v>
      </c>
      <c r="AX912" t="str">
        <f>tbl_OriginalData[[#This Row],[Discount_Sensitivity]]</f>
        <v>Somewhat Sensitive</v>
      </c>
      <c r="AY912" s="3">
        <f>tbl_OriginalData[[#This Row],[Return_Rate]]/tbl_OriginalData[[#This Row],[Frequency_of_Purchase]]</f>
        <v>0</v>
      </c>
      <c r="AZ912">
        <f>tbl_OriginalData[[#This Row],[Customer_Satisfaction]]</f>
        <v>7</v>
      </c>
      <c r="BA912" t="str">
        <f>tbl_OriginalData[[#This Row],[Engagement_with_Ads]]</f>
        <v>Low</v>
      </c>
      <c r="BB912" t="str">
        <f>tbl_OriginalData[[#This Row],[Device_Used_for_Shopping]]</f>
        <v>Tablet</v>
      </c>
      <c r="BC912" t="str">
        <f>tbl_OriginalData[[#This Row],[Payment_Method]]</f>
        <v>Other</v>
      </c>
      <c r="BD912" s="1">
        <f>tbl_OriginalData[[#This Row],[Time_of_Purchase]]</f>
        <v>45587</v>
      </c>
      <c r="BE912" t="str">
        <f>IF(tbl_OriginalData[[#This Row],[Discount_Used]]=TRUE,"Yes","No")</f>
        <v>Yes</v>
      </c>
      <c r="BF912" t="str">
        <f>IF(tbl_OriginalData[[#This Row],[Customer_Loyalty_Program_Member]]=TRUE,"Yes","No")</f>
        <v>No</v>
      </c>
      <c r="BG912" t="str">
        <f>tbl_OriginalData[[#This Row],[Purchase_Intent]]</f>
        <v>Need-based</v>
      </c>
      <c r="BH912" t="str">
        <f>tbl_OriginalData[[#This Row],[Shipping_Preference]]</f>
        <v>No Preference</v>
      </c>
      <c r="BI912">
        <f>tbl_OriginalData[[#This Row],[Time_to_Decision]]</f>
        <v>14</v>
      </c>
      <c r="BJ912" t="s">
        <v>79</v>
      </c>
      <c r="BK912" t="s">
        <v>80</v>
      </c>
      <c r="BL912" t="s">
        <v>2524</v>
      </c>
    </row>
    <row r="913" spans="1:64">
      <c r="A913" t="s">
        <v>2065</v>
      </c>
      <c r="B913">
        <v>31</v>
      </c>
      <c r="C913" t="s">
        <v>33</v>
      </c>
      <c r="D913" t="s">
        <v>51</v>
      </c>
      <c r="E913" t="s">
        <v>35</v>
      </c>
      <c r="F913" t="s">
        <v>66</v>
      </c>
      <c r="G913" t="s">
        <v>51</v>
      </c>
      <c r="H913" t="s">
        <v>2066</v>
      </c>
      <c r="I913" t="s">
        <v>180</v>
      </c>
      <c r="J913">
        <v>344.43</v>
      </c>
      <c r="K913">
        <v>7</v>
      </c>
      <c r="L913" t="s">
        <v>94</v>
      </c>
      <c r="M913">
        <v>3</v>
      </c>
      <c r="N913">
        <v>5</v>
      </c>
      <c r="O913">
        <v>0</v>
      </c>
      <c r="P913" t="s">
        <v>56</v>
      </c>
      <c r="Q913" t="s">
        <v>57</v>
      </c>
      <c r="R913">
        <v>2</v>
      </c>
      <c r="S913">
        <v>4</v>
      </c>
      <c r="T913" t="s">
        <v>56</v>
      </c>
      <c r="U913" t="s">
        <v>95</v>
      </c>
      <c r="V913" t="s">
        <v>43</v>
      </c>
      <c r="W913" s="1">
        <v>45485</v>
      </c>
      <c r="X913" t="b">
        <v>1</v>
      </c>
      <c r="Y913" t="b">
        <v>0</v>
      </c>
      <c r="Z913" t="s">
        <v>72</v>
      </c>
      <c r="AA913" t="s">
        <v>60</v>
      </c>
      <c r="AB913">
        <v>5</v>
      </c>
      <c r="AF913" t="str">
        <f>tbl_OriginalData[[#This Row],[Customer_ID]]</f>
        <v>95-876-9757</v>
      </c>
      <c r="AG913">
        <f>tbl_OriginalData[[#This Row],[Age]]</f>
        <v>31</v>
      </c>
      <c r="AH913" t="str" cm="1">
        <f t="array" ref="AH91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13" t="str">
        <f>tbl_OriginalData[[#This Row],[Gender]]</f>
        <v>Female</v>
      </c>
      <c r="AJ913" t="str">
        <f>tbl_OriginalData[[#This Row],[Income_Level]]</f>
        <v>High</v>
      </c>
      <c r="AK913" t="str">
        <f>tbl_OriginalData[[#This Row],[Marital_Status]]</f>
        <v>Married</v>
      </c>
      <c r="AL913" t="str">
        <f>tbl_OriginalData[[#This Row],[Education_Level]]</f>
        <v>Master's</v>
      </c>
      <c r="AM913" t="str">
        <f>tbl_OriginalData[[#This Row],[Occupation]]</f>
        <v>High</v>
      </c>
      <c r="AN913" t="s">
        <v>2066</v>
      </c>
      <c r="AO913" t="s">
        <v>1795</v>
      </c>
      <c r="AP913" t="str">
        <f>tbl_OriginalData[[#This Row],[Purchase_Category]]</f>
        <v>Health Supplements</v>
      </c>
      <c r="AQ913" s="4">
        <f>tbl_OriginalData[[#This Row],[Purchase_Amount]]</f>
        <v>344.43</v>
      </c>
      <c r="AR913">
        <f>tbl_OriginalData[[#This Row],[Frequency_of_Purchase]]</f>
        <v>7</v>
      </c>
      <c r="AS913" t="str">
        <f>tbl_OriginalData[[#This Row],[Purchase_Channel]]</f>
        <v>Online</v>
      </c>
      <c r="AT913">
        <f>tbl_OriginalData[[#This Row],[Brand_Loyalty]]</f>
        <v>3</v>
      </c>
      <c r="AU913">
        <f>tbl_OriginalData[[#This Row],[Product_Rating]]</f>
        <v>5</v>
      </c>
      <c r="AV913">
        <f>tbl_OriginalData[[#This Row],[Time_Spent_on_Product_Research(hours)]]*60</f>
        <v>0</v>
      </c>
      <c r="AW913" t="str">
        <f>tbl_OriginalData[[#This Row],[Social_Media_Influence]]</f>
        <v>Medium</v>
      </c>
      <c r="AX913" t="str">
        <f>tbl_OriginalData[[#This Row],[Discount_Sensitivity]]</f>
        <v>Not Sensitive</v>
      </c>
      <c r="AY913" s="3">
        <f>tbl_OriginalData[[#This Row],[Return_Rate]]/tbl_OriginalData[[#This Row],[Frequency_of_Purchase]]</f>
        <v>0.2857142857142857</v>
      </c>
      <c r="AZ913">
        <f>tbl_OriginalData[[#This Row],[Customer_Satisfaction]]</f>
        <v>4</v>
      </c>
      <c r="BA913" t="str">
        <f>tbl_OriginalData[[#This Row],[Engagement_with_Ads]]</f>
        <v>Medium</v>
      </c>
      <c r="BB913" t="str">
        <f>tbl_OriginalData[[#This Row],[Device_Used_for_Shopping]]</f>
        <v>Desktop</v>
      </c>
      <c r="BC913" t="str">
        <f>tbl_OriginalData[[#This Row],[Payment_Method]]</f>
        <v>Credit Card</v>
      </c>
      <c r="BD913" s="1">
        <f>tbl_OriginalData[[#This Row],[Time_of_Purchase]]</f>
        <v>45485</v>
      </c>
      <c r="BE913" t="str">
        <f>IF(tbl_OriginalData[[#This Row],[Discount_Used]]=TRUE,"Yes","No")</f>
        <v>Yes</v>
      </c>
      <c r="BF913" t="str">
        <f>IF(tbl_OriginalData[[#This Row],[Customer_Loyalty_Program_Member]]=TRUE,"Yes","No")</f>
        <v>No</v>
      </c>
      <c r="BG913" t="str">
        <f>tbl_OriginalData[[#This Row],[Purchase_Intent]]</f>
        <v>Impulsive</v>
      </c>
      <c r="BH913" t="str">
        <f>tbl_OriginalData[[#This Row],[Shipping_Preference]]</f>
        <v>Standard</v>
      </c>
      <c r="BI913">
        <f>tbl_OriginalData[[#This Row],[Time_to_Decision]]</f>
        <v>5</v>
      </c>
      <c r="BJ913" t="s">
        <v>114</v>
      </c>
      <c r="BK913" t="s">
        <v>115</v>
      </c>
      <c r="BL913" t="s">
        <v>2524</v>
      </c>
    </row>
    <row r="914" spans="1:64">
      <c r="A914" t="s">
        <v>2067</v>
      </c>
      <c r="B914">
        <v>26</v>
      </c>
      <c r="C914" t="s">
        <v>50</v>
      </c>
      <c r="D914" t="s">
        <v>51</v>
      </c>
      <c r="E914" t="s">
        <v>65</v>
      </c>
      <c r="F914" t="s">
        <v>66</v>
      </c>
      <c r="G914" t="s">
        <v>51</v>
      </c>
      <c r="H914" t="s">
        <v>2068</v>
      </c>
      <c r="I914" t="s">
        <v>153</v>
      </c>
      <c r="J914">
        <v>326.08</v>
      </c>
      <c r="K914">
        <v>11</v>
      </c>
      <c r="L914" t="s">
        <v>55</v>
      </c>
      <c r="M914">
        <v>4</v>
      </c>
      <c r="N914">
        <v>3</v>
      </c>
      <c r="O914">
        <v>2</v>
      </c>
      <c r="P914" t="s">
        <v>56</v>
      </c>
      <c r="Q914" t="s">
        <v>57</v>
      </c>
      <c r="R914">
        <v>2</v>
      </c>
      <c r="S914">
        <v>6</v>
      </c>
      <c r="T914" t="s">
        <v>56</v>
      </c>
      <c r="U914" t="s">
        <v>42</v>
      </c>
      <c r="V914" t="s">
        <v>58</v>
      </c>
      <c r="W914" s="1">
        <v>45473</v>
      </c>
      <c r="X914" t="b">
        <v>1</v>
      </c>
      <c r="Y914" t="b">
        <v>1</v>
      </c>
      <c r="Z914" t="s">
        <v>72</v>
      </c>
      <c r="AA914" t="s">
        <v>77</v>
      </c>
      <c r="AB914">
        <v>8</v>
      </c>
      <c r="AF914" t="str">
        <f>tbl_OriginalData[[#This Row],[Customer_ID]]</f>
        <v>47-947-4888</v>
      </c>
      <c r="AG914">
        <f>tbl_OriginalData[[#This Row],[Age]]</f>
        <v>26</v>
      </c>
      <c r="AH914" t="str" cm="1">
        <f t="array" ref="AH91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14" t="str">
        <f>tbl_OriginalData[[#This Row],[Gender]]</f>
        <v>Male</v>
      </c>
      <c r="AJ914" t="str">
        <f>tbl_OriginalData[[#This Row],[Income_Level]]</f>
        <v>High</v>
      </c>
      <c r="AK914" t="str">
        <f>tbl_OriginalData[[#This Row],[Marital_Status]]</f>
        <v>Single</v>
      </c>
      <c r="AL914" t="str">
        <f>tbl_OriginalData[[#This Row],[Education_Level]]</f>
        <v>Master's</v>
      </c>
      <c r="AM914" t="str">
        <f>tbl_OriginalData[[#This Row],[Occupation]]</f>
        <v>High</v>
      </c>
      <c r="AN914" t="s">
        <v>2068</v>
      </c>
      <c r="AO914" t="s">
        <v>61</v>
      </c>
      <c r="AP914" t="str">
        <f>tbl_OriginalData[[#This Row],[Purchase_Category]]</f>
        <v>Baby Products</v>
      </c>
      <c r="AQ914" s="4">
        <f>tbl_OriginalData[[#This Row],[Purchase_Amount]]</f>
        <v>326.08</v>
      </c>
      <c r="AR914">
        <f>tbl_OriginalData[[#This Row],[Frequency_of_Purchase]]</f>
        <v>11</v>
      </c>
      <c r="AS914" t="str">
        <f>tbl_OriginalData[[#This Row],[Purchase_Channel]]</f>
        <v>In-Store</v>
      </c>
      <c r="AT914">
        <f>tbl_OriginalData[[#This Row],[Brand_Loyalty]]</f>
        <v>4</v>
      </c>
      <c r="AU914">
        <f>tbl_OriginalData[[#This Row],[Product_Rating]]</f>
        <v>3</v>
      </c>
      <c r="AV914">
        <f>tbl_OriginalData[[#This Row],[Time_Spent_on_Product_Research(hours)]]*60</f>
        <v>120</v>
      </c>
      <c r="AW914" t="str">
        <f>tbl_OriginalData[[#This Row],[Social_Media_Influence]]</f>
        <v>Medium</v>
      </c>
      <c r="AX914" t="str">
        <f>tbl_OriginalData[[#This Row],[Discount_Sensitivity]]</f>
        <v>Not Sensitive</v>
      </c>
      <c r="AY914" s="3">
        <f>tbl_OriginalData[[#This Row],[Return_Rate]]/tbl_OriginalData[[#This Row],[Frequency_of_Purchase]]</f>
        <v>0.18181818181818182</v>
      </c>
      <c r="AZ914">
        <f>tbl_OriginalData[[#This Row],[Customer_Satisfaction]]</f>
        <v>6</v>
      </c>
      <c r="BA914" t="str">
        <f>tbl_OriginalData[[#This Row],[Engagement_with_Ads]]</f>
        <v>Medium</v>
      </c>
      <c r="BB914" t="str">
        <f>tbl_OriginalData[[#This Row],[Device_Used_for_Shopping]]</f>
        <v>Tablet</v>
      </c>
      <c r="BC914" t="str">
        <f>tbl_OriginalData[[#This Row],[Payment_Method]]</f>
        <v>PayPal</v>
      </c>
      <c r="BD914" s="1">
        <f>tbl_OriginalData[[#This Row],[Time_of_Purchase]]</f>
        <v>45473</v>
      </c>
      <c r="BE914" t="str">
        <f>IF(tbl_OriginalData[[#This Row],[Discount_Used]]=TRUE,"Yes","No")</f>
        <v>Yes</v>
      </c>
      <c r="BF914" t="str">
        <f>IF(tbl_OriginalData[[#This Row],[Customer_Loyalty_Program_Member]]=TRUE,"Yes","No")</f>
        <v>Yes</v>
      </c>
      <c r="BG914" t="str">
        <f>tbl_OriginalData[[#This Row],[Purchase_Intent]]</f>
        <v>Impulsive</v>
      </c>
      <c r="BH914" t="str">
        <f>tbl_OriginalData[[#This Row],[Shipping_Preference]]</f>
        <v>Express</v>
      </c>
      <c r="BI914">
        <f>tbl_OriginalData[[#This Row],[Time_to_Decision]]</f>
        <v>8</v>
      </c>
      <c r="BJ914" t="s">
        <v>104</v>
      </c>
      <c r="BK914" t="s">
        <v>63</v>
      </c>
      <c r="BL914" t="s">
        <v>2524</v>
      </c>
    </row>
    <row r="915" spans="1:64">
      <c r="A915" t="s">
        <v>2069</v>
      </c>
      <c r="B915">
        <v>49</v>
      </c>
      <c r="C915" t="s">
        <v>50</v>
      </c>
      <c r="D915" t="s">
        <v>51</v>
      </c>
      <c r="E915" t="s">
        <v>35</v>
      </c>
      <c r="F915" t="s">
        <v>36</v>
      </c>
      <c r="G915" t="s">
        <v>34</v>
      </c>
      <c r="H915" t="s">
        <v>344</v>
      </c>
      <c r="I915" t="s">
        <v>38</v>
      </c>
      <c r="J915">
        <v>437.97</v>
      </c>
      <c r="K915">
        <v>8</v>
      </c>
      <c r="L915" t="s">
        <v>94</v>
      </c>
      <c r="M915">
        <v>4</v>
      </c>
      <c r="N915">
        <v>2</v>
      </c>
      <c r="O915">
        <v>0</v>
      </c>
      <c r="P915" t="s">
        <v>51</v>
      </c>
      <c r="Q915" t="s">
        <v>57</v>
      </c>
      <c r="R915">
        <v>0</v>
      </c>
      <c r="S915">
        <v>7</v>
      </c>
      <c r="T915" t="s">
        <v>56</v>
      </c>
      <c r="U915" t="s">
        <v>42</v>
      </c>
      <c r="V915" t="s">
        <v>71</v>
      </c>
      <c r="W915" s="1">
        <v>45384</v>
      </c>
      <c r="X915" t="b">
        <v>1</v>
      </c>
      <c r="Y915" t="b">
        <v>1</v>
      </c>
      <c r="Z915" t="s">
        <v>44</v>
      </c>
      <c r="AA915" t="s">
        <v>77</v>
      </c>
      <c r="AB915">
        <v>12</v>
      </c>
      <c r="AF915" t="str">
        <f>tbl_OriginalData[[#This Row],[Customer_ID]]</f>
        <v>83-003-2165</v>
      </c>
      <c r="AG915">
        <f>tbl_OriginalData[[#This Row],[Age]]</f>
        <v>49</v>
      </c>
      <c r="AH915" t="str" cm="1">
        <f t="array" ref="AH91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15" t="str">
        <f>tbl_OriginalData[[#This Row],[Gender]]</f>
        <v>Male</v>
      </c>
      <c r="AJ915" t="str">
        <f>tbl_OriginalData[[#This Row],[Income_Level]]</f>
        <v>High</v>
      </c>
      <c r="AK915" t="str">
        <f>tbl_OriginalData[[#This Row],[Marital_Status]]</f>
        <v>Married</v>
      </c>
      <c r="AL915" t="str">
        <f>tbl_OriginalData[[#This Row],[Education_Level]]</f>
        <v>Bachelor's</v>
      </c>
      <c r="AM915" t="str">
        <f>tbl_OriginalData[[#This Row],[Occupation]]</f>
        <v>Middle</v>
      </c>
      <c r="AN915" t="s">
        <v>344</v>
      </c>
      <c r="AO915" t="s">
        <v>328</v>
      </c>
      <c r="AP915" t="str">
        <f>tbl_OriginalData[[#This Row],[Purchase_Category]]</f>
        <v>Gardening &amp; Outdoors</v>
      </c>
      <c r="AQ915" s="4">
        <f>tbl_OriginalData[[#This Row],[Purchase_Amount]]</f>
        <v>437.97</v>
      </c>
      <c r="AR915">
        <f>tbl_OriginalData[[#This Row],[Frequency_of_Purchase]]</f>
        <v>8</v>
      </c>
      <c r="AS915" t="str">
        <f>tbl_OriginalData[[#This Row],[Purchase_Channel]]</f>
        <v>Online</v>
      </c>
      <c r="AT915">
        <f>tbl_OriginalData[[#This Row],[Brand_Loyalty]]</f>
        <v>4</v>
      </c>
      <c r="AU915">
        <f>tbl_OriginalData[[#This Row],[Product_Rating]]</f>
        <v>2</v>
      </c>
      <c r="AV915">
        <f>tbl_OriginalData[[#This Row],[Time_Spent_on_Product_Research(hours)]]*60</f>
        <v>0</v>
      </c>
      <c r="AW915" t="str">
        <f>tbl_OriginalData[[#This Row],[Social_Media_Influence]]</f>
        <v>High</v>
      </c>
      <c r="AX915" t="str">
        <f>tbl_OriginalData[[#This Row],[Discount_Sensitivity]]</f>
        <v>Not Sensitive</v>
      </c>
      <c r="AY915" s="3">
        <f>tbl_OriginalData[[#This Row],[Return_Rate]]/tbl_OriginalData[[#This Row],[Frequency_of_Purchase]]</f>
        <v>0</v>
      </c>
      <c r="AZ915">
        <f>tbl_OriginalData[[#This Row],[Customer_Satisfaction]]</f>
        <v>7</v>
      </c>
      <c r="BA915" t="str">
        <f>tbl_OriginalData[[#This Row],[Engagement_with_Ads]]</f>
        <v>Medium</v>
      </c>
      <c r="BB915" t="str">
        <f>tbl_OriginalData[[#This Row],[Device_Used_for_Shopping]]</f>
        <v>Tablet</v>
      </c>
      <c r="BC915" t="str">
        <f>tbl_OriginalData[[#This Row],[Payment_Method]]</f>
        <v>Debit Card</v>
      </c>
      <c r="BD915" s="1">
        <f>tbl_OriginalData[[#This Row],[Time_of_Purchase]]</f>
        <v>45384</v>
      </c>
      <c r="BE915" t="str">
        <f>IF(tbl_OriginalData[[#This Row],[Discount_Used]]=TRUE,"Yes","No")</f>
        <v>Yes</v>
      </c>
      <c r="BF915" t="str">
        <f>IF(tbl_OriginalData[[#This Row],[Customer_Loyalty_Program_Member]]=TRUE,"Yes","No")</f>
        <v>Yes</v>
      </c>
      <c r="BG915" t="str">
        <f>tbl_OriginalData[[#This Row],[Purchase_Intent]]</f>
        <v>Need-based</v>
      </c>
      <c r="BH915" t="str">
        <f>tbl_OriginalData[[#This Row],[Shipping_Preference]]</f>
        <v>Express</v>
      </c>
      <c r="BI915">
        <f>tbl_OriginalData[[#This Row],[Time_to_Decision]]</f>
        <v>12</v>
      </c>
      <c r="BJ915" t="s">
        <v>62</v>
      </c>
      <c r="BK915" t="s">
        <v>63</v>
      </c>
      <c r="BL915" t="s">
        <v>2527</v>
      </c>
    </row>
    <row r="916" spans="1:64">
      <c r="A916" t="s">
        <v>2070</v>
      </c>
      <c r="B916">
        <v>23</v>
      </c>
      <c r="C916" t="s">
        <v>50</v>
      </c>
      <c r="D916" t="s">
        <v>51</v>
      </c>
      <c r="E916" t="s">
        <v>65</v>
      </c>
      <c r="F916" t="s">
        <v>66</v>
      </c>
      <c r="G916" t="s">
        <v>51</v>
      </c>
      <c r="H916" t="s">
        <v>973</v>
      </c>
      <c r="I916" t="s">
        <v>143</v>
      </c>
      <c r="J916">
        <v>391.87</v>
      </c>
      <c r="K916">
        <v>3</v>
      </c>
      <c r="L916" t="s">
        <v>94</v>
      </c>
      <c r="M916">
        <v>1</v>
      </c>
      <c r="N916">
        <v>4</v>
      </c>
      <c r="O916">
        <v>2</v>
      </c>
      <c r="P916" t="s">
        <v>51</v>
      </c>
      <c r="Q916" t="s">
        <v>101</v>
      </c>
      <c r="R916">
        <v>0</v>
      </c>
      <c r="S916">
        <v>2</v>
      </c>
      <c r="T916" t="s">
        <v>56</v>
      </c>
      <c r="U916" t="s">
        <v>95</v>
      </c>
      <c r="V916" t="s">
        <v>102</v>
      </c>
      <c r="W916" s="1">
        <v>45338</v>
      </c>
      <c r="X916" t="b">
        <v>1</v>
      </c>
      <c r="Y916" t="b">
        <v>0</v>
      </c>
      <c r="Z916" t="s">
        <v>89</v>
      </c>
      <c r="AA916" t="s">
        <v>60</v>
      </c>
      <c r="AB916">
        <v>6</v>
      </c>
      <c r="AF916" t="str">
        <f>tbl_OriginalData[[#This Row],[Customer_ID]]</f>
        <v>27-619-9264</v>
      </c>
      <c r="AG916">
        <f>tbl_OriginalData[[#This Row],[Age]]</f>
        <v>23</v>
      </c>
      <c r="AH916" t="str" cm="1">
        <f t="array" ref="AH91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16" t="str">
        <f>tbl_OriginalData[[#This Row],[Gender]]</f>
        <v>Male</v>
      </c>
      <c r="AJ916" t="str">
        <f>tbl_OriginalData[[#This Row],[Income_Level]]</f>
        <v>High</v>
      </c>
      <c r="AK916" t="str">
        <f>tbl_OriginalData[[#This Row],[Marital_Status]]</f>
        <v>Single</v>
      </c>
      <c r="AL916" t="str">
        <f>tbl_OriginalData[[#This Row],[Education_Level]]</f>
        <v>Master's</v>
      </c>
      <c r="AM916" t="str">
        <f>tbl_OriginalData[[#This Row],[Occupation]]</f>
        <v>High</v>
      </c>
      <c r="AN916" t="s">
        <v>973</v>
      </c>
      <c r="AO916" t="s">
        <v>103</v>
      </c>
      <c r="AP916" t="str">
        <f>tbl_OriginalData[[#This Row],[Purchase_Category]]</f>
        <v>Packages)</v>
      </c>
      <c r="AQ916" s="4">
        <f>tbl_OriginalData[[#This Row],[Purchase_Amount]]</f>
        <v>391.87</v>
      </c>
      <c r="AR916">
        <f>tbl_OriginalData[[#This Row],[Frequency_of_Purchase]]</f>
        <v>3</v>
      </c>
      <c r="AS916" t="str">
        <f>tbl_OriginalData[[#This Row],[Purchase_Channel]]</f>
        <v>Online</v>
      </c>
      <c r="AT916">
        <f>tbl_OriginalData[[#This Row],[Brand_Loyalty]]</f>
        <v>1</v>
      </c>
      <c r="AU916">
        <f>tbl_OriginalData[[#This Row],[Product_Rating]]</f>
        <v>4</v>
      </c>
      <c r="AV916">
        <f>tbl_OriginalData[[#This Row],[Time_Spent_on_Product_Research(hours)]]*60</f>
        <v>120</v>
      </c>
      <c r="AW916" t="str">
        <f>tbl_OriginalData[[#This Row],[Social_Media_Influence]]</f>
        <v>High</v>
      </c>
      <c r="AX916" t="str">
        <f>tbl_OriginalData[[#This Row],[Discount_Sensitivity]]</f>
        <v>Very Sensitive</v>
      </c>
      <c r="AY916" s="3">
        <f>tbl_OriginalData[[#This Row],[Return_Rate]]/tbl_OriginalData[[#This Row],[Frequency_of_Purchase]]</f>
        <v>0</v>
      </c>
      <c r="AZ916">
        <f>tbl_OriginalData[[#This Row],[Customer_Satisfaction]]</f>
        <v>2</v>
      </c>
      <c r="BA916" t="str">
        <f>tbl_OriginalData[[#This Row],[Engagement_with_Ads]]</f>
        <v>Medium</v>
      </c>
      <c r="BB916" t="str">
        <f>tbl_OriginalData[[#This Row],[Device_Used_for_Shopping]]</f>
        <v>Desktop</v>
      </c>
      <c r="BC916" t="str">
        <f>tbl_OriginalData[[#This Row],[Payment_Method]]</f>
        <v>Cash</v>
      </c>
      <c r="BD916" s="1">
        <f>tbl_OriginalData[[#This Row],[Time_of_Purchase]]</f>
        <v>45338</v>
      </c>
      <c r="BE916" t="str">
        <f>IF(tbl_OriginalData[[#This Row],[Discount_Used]]=TRUE,"Yes","No")</f>
        <v>Yes</v>
      </c>
      <c r="BF916" t="str">
        <f>IF(tbl_OriginalData[[#This Row],[Customer_Loyalty_Program_Member]]=TRUE,"Yes","No")</f>
        <v>No</v>
      </c>
      <c r="BG916" t="str">
        <f>tbl_OriginalData[[#This Row],[Purchase_Intent]]</f>
        <v>Planned</v>
      </c>
      <c r="BH916" t="str">
        <f>tbl_OriginalData[[#This Row],[Shipping_Preference]]</f>
        <v>Standard</v>
      </c>
      <c r="BI916">
        <f>tbl_OriginalData[[#This Row],[Time_to_Decision]]</f>
        <v>6</v>
      </c>
      <c r="BJ916" t="s">
        <v>158</v>
      </c>
      <c r="BK916" t="s">
        <v>48</v>
      </c>
      <c r="BL916" t="s">
        <v>2523</v>
      </c>
    </row>
    <row r="917" spans="1:64">
      <c r="A917" t="s">
        <v>2071</v>
      </c>
      <c r="B917">
        <v>42</v>
      </c>
      <c r="C917" t="s">
        <v>50</v>
      </c>
      <c r="D917" t="s">
        <v>51</v>
      </c>
      <c r="E917" t="s">
        <v>65</v>
      </c>
      <c r="F917" t="s">
        <v>66</v>
      </c>
      <c r="G917" t="s">
        <v>34</v>
      </c>
      <c r="H917" t="s">
        <v>2072</v>
      </c>
      <c r="I917" t="s">
        <v>242</v>
      </c>
      <c r="J917">
        <v>333.41</v>
      </c>
      <c r="K917">
        <v>3</v>
      </c>
      <c r="L917" t="s">
        <v>94</v>
      </c>
      <c r="M917">
        <v>2</v>
      </c>
      <c r="N917">
        <v>5</v>
      </c>
      <c r="O917">
        <v>1</v>
      </c>
      <c r="P917" t="s">
        <v>51</v>
      </c>
      <c r="Q917" t="s">
        <v>101</v>
      </c>
      <c r="R917">
        <v>1</v>
      </c>
      <c r="S917">
        <v>6</v>
      </c>
      <c r="T917" t="s">
        <v>40</v>
      </c>
      <c r="U917" t="s">
        <v>42</v>
      </c>
      <c r="V917" t="s">
        <v>58</v>
      </c>
      <c r="W917" s="1">
        <v>45322</v>
      </c>
      <c r="X917" t="b">
        <v>0</v>
      </c>
      <c r="Y917" t="b">
        <v>0</v>
      </c>
      <c r="Z917" t="s">
        <v>89</v>
      </c>
      <c r="AA917" t="s">
        <v>60</v>
      </c>
      <c r="AB917">
        <v>3</v>
      </c>
      <c r="AF917" t="str">
        <f>tbl_OriginalData[[#This Row],[Customer_ID]]</f>
        <v>49-476-1729</v>
      </c>
      <c r="AG917">
        <f>tbl_OriginalData[[#This Row],[Age]]</f>
        <v>42</v>
      </c>
      <c r="AH917" t="str" cm="1">
        <f t="array" ref="AH91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17" t="str">
        <f>tbl_OriginalData[[#This Row],[Gender]]</f>
        <v>Male</v>
      </c>
      <c r="AJ917" t="str">
        <f>tbl_OriginalData[[#This Row],[Income_Level]]</f>
        <v>High</v>
      </c>
      <c r="AK917" t="str">
        <f>tbl_OriginalData[[#This Row],[Marital_Status]]</f>
        <v>Single</v>
      </c>
      <c r="AL917" t="str">
        <f>tbl_OriginalData[[#This Row],[Education_Level]]</f>
        <v>Master's</v>
      </c>
      <c r="AM917" t="str">
        <f>tbl_OriginalData[[#This Row],[Occupation]]</f>
        <v>Middle</v>
      </c>
      <c r="AN917" t="s">
        <v>2072</v>
      </c>
      <c r="AO917" t="s">
        <v>186</v>
      </c>
      <c r="AP917" t="str">
        <f>tbl_OriginalData[[#This Row],[Purchase_Category]]</f>
        <v>Travel &amp; Leisure (Flights</v>
      </c>
      <c r="AQ917" s="4">
        <f>tbl_OriginalData[[#This Row],[Purchase_Amount]]</f>
        <v>333.41</v>
      </c>
      <c r="AR917">
        <f>tbl_OriginalData[[#This Row],[Frequency_of_Purchase]]</f>
        <v>3</v>
      </c>
      <c r="AS917" t="str">
        <f>tbl_OriginalData[[#This Row],[Purchase_Channel]]</f>
        <v>Online</v>
      </c>
      <c r="AT917">
        <f>tbl_OriginalData[[#This Row],[Brand_Loyalty]]</f>
        <v>2</v>
      </c>
      <c r="AU917">
        <f>tbl_OriginalData[[#This Row],[Product_Rating]]</f>
        <v>5</v>
      </c>
      <c r="AV917">
        <f>tbl_OriginalData[[#This Row],[Time_Spent_on_Product_Research(hours)]]*60</f>
        <v>60</v>
      </c>
      <c r="AW917" t="str">
        <f>tbl_OriginalData[[#This Row],[Social_Media_Influence]]</f>
        <v>High</v>
      </c>
      <c r="AX917" t="str">
        <f>tbl_OriginalData[[#This Row],[Discount_Sensitivity]]</f>
        <v>Very Sensitive</v>
      </c>
      <c r="AY917" s="3">
        <f>tbl_OriginalData[[#This Row],[Return_Rate]]/tbl_OriginalData[[#This Row],[Frequency_of_Purchase]]</f>
        <v>0.33333333333333331</v>
      </c>
      <c r="AZ917">
        <f>tbl_OriginalData[[#This Row],[Customer_Satisfaction]]</f>
        <v>6</v>
      </c>
      <c r="BA917" t="str">
        <f>tbl_OriginalData[[#This Row],[Engagement_with_Ads]]</f>
        <v>None</v>
      </c>
      <c r="BB917" t="str">
        <f>tbl_OriginalData[[#This Row],[Device_Used_for_Shopping]]</f>
        <v>Tablet</v>
      </c>
      <c r="BC917" t="str">
        <f>tbl_OriginalData[[#This Row],[Payment_Method]]</f>
        <v>PayPal</v>
      </c>
      <c r="BD917" s="1">
        <f>tbl_OriginalData[[#This Row],[Time_of_Purchase]]</f>
        <v>45322</v>
      </c>
      <c r="BE917" t="str">
        <f>IF(tbl_OriginalData[[#This Row],[Discount_Used]]=TRUE,"Yes","No")</f>
        <v>No</v>
      </c>
      <c r="BF917" t="str">
        <f>IF(tbl_OriginalData[[#This Row],[Customer_Loyalty_Program_Member]]=TRUE,"Yes","No")</f>
        <v>No</v>
      </c>
      <c r="BG917" t="str">
        <f>tbl_OriginalData[[#This Row],[Purchase_Intent]]</f>
        <v>Planned</v>
      </c>
      <c r="BH917" t="str">
        <f>tbl_OriginalData[[#This Row],[Shipping_Preference]]</f>
        <v>Standard</v>
      </c>
      <c r="BI917">
        <f>tbl_OriginalData[[#This Row],[Time_to_Decision]]</f>
        <v>3</v>
      </c>
      <c r="BJ917" t="s">
        <v>86</v>
      </c>
      <c r="BK917" t="s">
        <v>48</v>
      </c>
      <c r="BL917" t="s">
        <v>2523</v>
      </c>
    </row>
    <row r="918" spans="1:64">
      <c r="A918" t="s">
        <v>2073</v>
      </c>
      <c r="B918">
        <v>32</v>
      </c>
      <c r="C918" t="s">
        <v>50</v>
      </c>
      <c r="D918" t="s">
        <v>34</v>
      </c>
      <c r="E918" t="s">
        <v>65</v>
      </c>
      <c r="F918" t="s">
        <v>36</v>
      </c>
      <c r="G918" t="s">
        <v>51</v>
      </c>
      <c r="H918" t="s">
        <v>2074</v>
      </c>
      <c r="I918" t="s">
        <v>199</v>
      </c>
      <c r="J918">
        <v>251.54</v>
      </c>
      <c r="K918">
        <v>9</v>
      </c>
      <c r="L918" t="s">
        <v>94</v>
      </c>
      <c r="M918">
        <v>5</v>
      </c>
      <c r="N918">
        <v>1</v>
      </c>
      <c r="O918">
        <v>0</v>
      </c>
      <c r="P918" t="s">
        <v>51</v>
      </c>
      <c r="Q918" t="s">
        <v>57</v>
      </c>
      <c r="R918">
        <v>2</v>
      </c>
      <c r="S918">
        <v>10</v>
      </c>
      <c r="T918" t="s">
        <v>69</v>
      </c>
      <c r="U918" t="s">
        <v>95</v>
      </c>
      <c r="V918" t="s">
        <v>58</v>
      </c>
      <c r="W918" s="1">
        <v>45574</v>
      </c>
      <c r="X918" t="b">
        <v>1</v>
      </c>
      <c r="Y918" t="b">
        <v>0</v>
      </c>
      <c r="Z918" t="s">
        <v>72</v>
      </c>
      <c r="AA918" t="s">
        <v>45</v>
      </c>
      <c r="AB918">
        <v>1</v>
      </c>
      <c r="AF918" t="str">
        <f>tbl_OriginalData[[#This Row],[Customer_ID]]</f>
        <v>64-803-7087</v>
      </c>
      <c r="AG918">
        <f>tbl_OriginalData[[#This Row],[Age]]</f>
        <v>32</v>
      </c>
      <c r="AH918" t="str" cm="1">
        <f t="array" ref="AH91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18" t="str">
        <f>tbl_OriginalData[[#This Row],[Gender]]</f>
        <v>Male</v>
      </c>
      <c r="AJ918" t="str">
        <f>tbl_OriginalData[[#This Row],[Income_Level]]</f>
        <v>Middle</v>
      </c>
      <c r="AK918" t="str">
        <f>tbl_OriginalData[[#This Row],[Marital_Status]]</f>
        <v>Single</v>
      </c>
      <c r="AL918" t="str">
        <f>tbl_OriginalData[[#This Row],[Education_Level]]</f>
        <v>Bachelor's</v>
      </c>
      <c r="AM918" t="str">
        <f>tbl_OriginalData[[#This Row],[Occupation]]</f>
        <v>High</v>
      </c>
      <c r="AN918" t="s">
        <v>2074</v>
      </c>
      <c r="AO918" t="s">
        <v>161</v>
      </c>
      <c r="AP918" t="str">
        <f>tbl_OriginalData[[#This Row],[Purchase_Category]]</f>
        <v>Groceries</v>
      </c>
      <c r="AQ918" s="4">
        <f>tbl_OriginalData[[#This Row],[Purchase_Amount]]</f>
        <v>251.54</v>
      </c>
      <c r="AR918">
        <f>tbl_OriginalData[[#This Row],[Frequency_of_Purchase]]</f>
        <v>9</v>
      </c>
      <c r="AS918" t="str">
        <f>tbl_OriginalData[[#This Row],[Purchase_Channel]]</f>
        <v>Online</v>
      </c>
      <c r="AT918">
        <f>tbl_OriginalData[[#This Row],[Brand_Loyalty]]</f>
        <v>5</v>
      </c>
      <c r="AU918">
        <f>tbl_OriginalData[[#This Row],[Product_Rating]]</f>
        <v>1</v>
      </c>
      <c r="AV918">
        <f>tbl_OriginalData[[#This Row],[Time_Spent_on_Product_Research(hours)]]*60</f>
        <v>0</v>
      </c>
      <c r="AW918" t="str">
        <f>tbl_OriginalData[[#This Row],[Social_Media_Influence]]</f>
        <v>High</v>
      </c>
      <c r="AX918" t="str">
        <f>tbl_OriginalData[[#This Row],[Discount_Sensitivity]]</f>
        <v>Not Sensitive</v>
      </c>
      <c r="AY918" s="3">
        <f>tbl_OriginalData[[#This Row],[Return_Rate]]/tbl_OriginalData[[#This Row],[Frequency_of_Purchase]]</f>
        <v>0.22222222222222221</v>
      </c>
      <c r="AZ918">
        <f>tbl_OriginalData[[#This Row],[Customer_Satisfaction]]</f>
        <v>10</v>
      </c>
      <c r="BA918" t="str">
        <f>tbl_OriginalData[[#This Row],[Engagement_with_Ads]]</f>
        <v>Low</v>
      </c>
      <c r="BB918" t="str">
        <f>tbl_OriginalData[[#This Row],[Device_Used_for_Shopping]]</f>
        <v>Desktop</v>
      </c>
      <c r="BC918" t="str">
        <f>tbl_OriginalData[[#This Row],[Payment_Method]]</f>
        <v>PayPal</v>
      </c>
      <c r="BD918" s="1">
        <f>tbl_OriginalData[[#This Row],[Time_of_Purchase]]</f>
        <v>45574</v>
      </c>
      <c r="BE918" t="str">
        <f>IF(tbl_OriginalData[[#This Row],[Discount_Used]]=TRUE,"Yes","No")</f>
        <v>Yes</v>
      </c>
      <c r="BF918" t="str">
        <f>IF(tbl_OriginalData[[#This Row],[Customer_Loyalty_Program_Member]]=TRUE,"Yes","No")</f>
        <v>No</v>
      </c>
      <c r="BG918" t="str">
        <f>tbl_OriginalData[[#This Row],[Purchase_Intent]]</f>
        <v>Impulsive</v>
      </c>
      <c r="BH918" t="str">
        <f>tbl_OriginalData[[#This Row],[Shipping_Preference]]</f>
        <v>No Preference</v>
      </c>
      <c r="BI918">
        <f>tbl_OriginalData[[#This Row],[Time_to_Decision]]</f>
        <v>1</v>
      </c>
      <c r="BJ918" t="s">
        <v>79</v>
      </c>
      <c r="BK918" t="s">
        <v>80</v>
      </c>
      <c r="BL918" t="s">
        <v>2527</v>
      </c>
    </row>
    <row r="919" spans="1:64">
      <c r="A919" t="s">
        <v>2075</v>
      </c>
      <c r="B919">
        <v>37</v>
      </c>
      <c r="C919" t="s">
        <v>33</v>
      </c>
      <c r="D919" t="s">
        <v>34</v>
      </c>
      <c r="E919" t="s">
        <v>65</v>
      </c>
      <c r="F919" t="s">
        <v>52</v>
      </c>
      <c r="G919" t="s">
        <v>34</v>
      </c>
      <c r="H919" t="s">
        <v>2076</v>
      </c>
      <c r="I919" t="s">
        <v>147</v>
      </c>
      <c r="J919">
        <v>292.08</v>
      </c>
      <c r="K919">
        <v>7</v>
      </c>
      <c r="L919" t="s">
        <v>55</v>
      </c>
      <c r="M919">
        <v>3</v>
      </c>
      <c r="N919">
        <v>2</v>
      </c>
      <c r="O919">
        <v>1</v>
      </c>
      <c r="P919" t="s">
        <v>51</v>
      </c>
      <c r="Q919" t="s">
        <v>41</v>
      </c>
      <c r="R919">
        <v>2</v>
      </c>
      <c r="S919">
        <v>9</v>
      </c>
      <c r="T919" t="s">
        <v>69</v>
      </c>
      <c r="U919" t="s">
        <v>70</v>
      </c>
      <c r="V919" t="s">
        <v>43</v>
      </c>
      <c r="W919" s="1">
        <v>45391</v>
      </c>
      <c r="X919" t="b">
        <v>0</v>
      </c>
      <c r="Y919" t="b">
        <v>0</v>
      </c>
      <c r="Z919" t="s">
        <v>44</v>
      </c>
      <c r="AA919" t="s">
        <v>60</v>
      </c>
      <c r="AB919">
        <v>11</v>
      </c>
      <c r="AF919" t="str">
        <f>tbl_OriginalData[[#This Row],[Customer_ID]]</f>
        <v>01-925-4021</v>
      </c>
      <c r="AG919">
        <f>tbl_OriginalData[[#This Row],[Age]]</f>
        <v>37</v>
      </c>
      <c r="AH919" t="str" cm="1">
        <f t="array" ref="AH91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19" t="str">
        <f>tbl_OriginalData[[#This Row],[Gender]]</f>
        <v>Female</v>
      </c>
      <c r="AJ919" t="str">
        <f>tbl_OriginalData[[#This Row],[Income_Level]]</f>
        <v>Middle</v>
      </c>
      <c r="AK919" t="str">
        <f>tbl_OriginalData[[#This Row],[Marital_Status]]</f>
        <v>Single</v>
      </c>
      <c r="AL919" t="str">
        <f>tbl_OriginalData[[#This Row],[Education_Level]]</f>
        <v>High School</v>
      </c>
      <c r="AM919" t="str">
        <f>tbl_OriginalData[[#This Row],[Occupation]]</f>
        <v>Middle</v>
      </c>
      <c r="AN919" t="s">
        <v>2076</v>
      </c>
      <c r="AO919" t="s">
        <v>90</v>
      </c>
      <c r="AP919" t="str">
        <f>tbl_OriginalData[[#This Row],[Purchase_Category]]</f>
        <v>Electronics</v>
      </c>
      <c r="AQ919" s="4">
        <f>tbl_OriginalData[[#This Row],[Purchase_Amount]]</f>
        <v>292.08</v>
      </c>
      <c r="AR919">
        <f>tbl_OriginalData[[#This Row],[Frequency_of_Purchase]]</f>
        <v>7</v>
      </c>
      <c r="AS919" t="str">
        <f>tbl_OriginalData[[#This Row],[Purchase_Channel]]</f>
        <v>In-Store</v>
      </c>
      <c r="AT919">
        <f>tbl_OriginalData[[#This Row],[Brand_Loyalty]]</f>
        <v>3</v>
      </c>
      <c r="AU919">
        <f>tbl_OriginalData[[#This Row],[Product_Rating]]</f>
        <v>2</v>
      </c>
      <c r="AV919">
        <f>tbl_OriginalData[[#This Row],[Time_Spent_on_Product_Research(hours)]]*60</f>
        <v>60</v>
      </c>
      <c r="AW919" t="str">
        <f>tbl_OriginalData[[#This Row],[Social_Media_Influence]]</f>
        <v>High</v>
      </c>
      <c r="AX919" t="str">
        <f>tbl_OriginalData[[#This Row],[Discount_Sensitivity]]</f>
        <v>Somewhat Sensitive</v>
      </c>
      <c r="AY919" s="3">
        <f>tbl_OriginalData[[#This Row],[Return_Rate]]/tbl_OriginalData[[#This Row],[Frequency_of_Purchase]]</f>
        <v>0.2857142857142857</v>
      </c>
      <c r="AZ919">
        <f>tbl_OriginalData[[#This Row],[Customer_Satisfaction]]</f>
        <v>9</v>
      </c>
      <c r="BA919" t="str">
        <f>tbl_OriginalData[[#This Row],[Engagement_with_Ads]]</f>
        <v>Low</v>
      </c>
      <c r="BB919" t="str">
        <f>tbl_OriginalData[[#This Row],[Device_Used_for_Shopping]]</f>
        <v>Smartphone</v>
      </c>
      <c r="BC919" t="str">
        <f>tbl_OriginalData[[#This Row],[Payment_Method]]</f>
        <v>Credit Card</v>
      </c>
      <c r="BD919" s="1">
        <f>tbl_OriginalData[[#This Row],[Time_of_Purchase]]</f>
        <v>45391</v>
      </c>
      <c r="BE919" t="str">
        <f>IF(tbl_OriginalData[[#This Row],[Discount_Used]]=TRUE,"Yes","No")</f>
        <v>No</v>
      </c>
      <c r="BF919" t="str">
        <f>IF(tbl_OriginalData[[#This Row],[Customer_Loyalty_Program_Member]]=TRUE,"Yes","No")</f>
        <v>No</v>
      </c>
      <c r="BG919" t="str">
        <f>tbl_OriginalData[[#This Row],[Purchase_Intent]]</f>
        <v>Need-based</v>
      </c>
      <c r="BH919" t="str">
        <f>tbl_OriginalData[[#This Row],[Shipping_Preference]]</f>
        <v>Standard</v>
      </c>
      <c r="BI919">
        <f>tbl_OriginalData[[#This Row],[Time_to_Decision]]</f>
        <v>11</v>
      </c>
      <c r="BJ919" t="s">
        <v>62</v>
      </c>
      <c r="BK919" t="s">
        <v>63</v>
      </c>
      <c r="BL919" t="s">
        <v>2524</v>
      </c>
    </row>
    <row r="920" spans="1:64">
      <c r="A920" t="s">
        <v>2077</v>
      </c>
      <c r="B920">
        <v>25</v>
      </c>
      <c r="C920" t="s">
        <v>264</v>
      </c>
      <c r="D920" t="s">
        <v>51</v>
      </c>
      <c r="E920" t="s">
        <v>82</v>
      </c>
      <c r="F920" t="s">
        <v>36</v>
      </c>
      <c r="G920" t="s">
        <v>34</v>
      </c>
      <c r="H920" t="s">
        <v>2078</v>
      </c>
      <c r="I920" t="s">
        <v>242</v>
      </c>
      <c r="J920">
        <v>204.29</v>
      </c>
      <c r="K920">
        <v>11</v>
      </c>
      <c r="L920" t="s">
        <v>55</v>
      </c>
      <c r="M920">
        <v>5</v>
      </c>
      <c r="N920">
        <v>4</v>
      </c>
      <c r="O920">
        <v>0</v>
      </c>
      <c r="P920" t="s">
        <v>40</v>
      </c>
      <c r="Q920" t="s">
        <v>57</v>
      </c>
      <c r="R920">
        <v>2</v>
      </c>
      <c r="S920">
        <v>1</v>
      </c>
      <c r="T920" t="s">
        <v>56</v>
      </c>
      <c r="U920" t="s">
        <v>70</v>
      </c>
      <c r="V920" t="s">
        <v>58</v>
      </c>
      <c r="W920" s="1">
        <v>45428</v>
      </c>
      <c r="X920" t="b">
        <v>0</v>
      </c>
      <c r="Y920" t="b">
        <v>0</v>
      </c>
      <c r="Z920" t="s">
        <v>72</v>
      </c>
      <c r="AA920" t="s">
        <v>77</v>
      </c>
      <c r="AB920">
        <v>12</v>
      </c>
      <c r="AF920" t="str">
        <f>tbl_OriginalData[[#This Row],[Customer_ID]]</f>
        <v>51-116-5937</v>
      </c>
      <c r="AG920">
        <f>tbl_OriginalData[[#This Row],[Age]]</f>
        <v>25</v>
      </c>
      <c r="AH920" t="str" cm="1">
        <f t="array" ref="AH92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20" t="str">
        <f>tbl_OriginalData[[#This Row],[Gender]]</f>
        <v>Polygender</v>
      </c>
      <c r="AJ920" t="str">
        <f>tbl_OriginalData[[#This Row],[Income_Level]]</f>
        <v>High</v>
      </c>
      <c r="AK920" t="str">
        <f>tbl_OriginalData[[#This Row],[Marital_Status]]</f>
        <v>Widowed</v>
      </c>
      <c r="AL920" t="str">
        <f>tbl_OriginalData[[#This Row],[Education_Level]]</f>
        <v>Bachelor's</v>
      </c>
      <c r="AM920" t="str">
        <f>tbl_OriginalData[[#This Row],[Occupation]]</f>
        <v>Middle</v>
      </c>
      <c r="AN920" t="s">
        <v>2078</v>
      </c>
      <c r="AO920" t="s">
        <v>315</v>
      </c>
      <c r="AP920" t="str">
        <f>tbl_OriginalData[[#This Row],[Purchase_Category]]</f>
        <v>Travel &amp; Leisure (Flights</v>
      </c>
      <c r="AQ920" s="4">
        <f>tbl_OriginalData[[#This Row],[Purchase_Amount]]</f>
        <v>204.29</v>
      </c>
      <c r="AR920">
        <f>tbl_OriginalData[[#This Row],[Frequency_of_Purchase]]</f>
        <v>11</v>
      </c>
      <c r="AS920" t="str">
        <f>tbl_OriginalData[[#This Row],[Purchase_Channel]]</f>
        <v>In-Store</v>
      </c>
      <c r="AT920">
        <f>tbl_OriginalData[[#This Row],[Brand_Loyalty]]</f>
        <v>5</v>
      </c>
      <c r="AU920">
        <f>tbl_OriginalData[[#This Row],[Product_Rating]]</f>
        <v>4</v>
      </c>
      <c r="AV920">
        <f>tbl_OriginalData[[#This Row],[Time_Spent_on_Product_Research(hours)]]*60</f>
        <v>0</v>
      </c>
      <c r="AW920" t="str">
        <f>tbl_OriginalData[[#This Row],[Social_Media_Influence]]</f>
        <v>None</v>
      </c>
      <c r="AX920" t="str">
        <f>tbl_OriginalData[[#This Row],[Discount_Sensitivity]]</f>
        <v>Not Sensitive</v>
      </c>
      <c r="AY920" s="3">
        <f>tbl_OriginalData[[#This Row],[Return_Rate]]/tbl_OriginalData[[#This Row],[Frequency_of_Purchase]]</f>
        <v>0.18181818181818182</v>
      </c>
      <c r="AZ920">
        <f>tbl_OriginalData[[#This Row],[Customer_Satisfaction]]</f>
        <v>1</v>
      </c>
      <c r="BA920" t="str">
        <f>tbl_OriginalData[[#This Row],[Engagement_with_Ads]]</f>
        <v>Medium</v>
      </c>
      <c r="BB920" t="str">
        <f>tbl_OriginalData[[#This Row],[Device_Used_for_Shopping]]</f>
        <v>Smartphone</v>
      </c>
      <c r="BC920" t="str">
        <f>tbl_OriginalData[[#This Row],[Payment_Method]]</f>
        <v>PayPal</v>
      </c>
      <c r="BD920" s="1">
        <f>tbl_OriginalData[[#This Row],[Time_of_Purchase]]</f>
        <v>45428</v>
      </c>
      <c r="BE920" t="str">
        <f>IF(tbl_OriginalData[[#This Row],[Discount_Used]]=TRUE,"Yes","No")</f>
        <v>No</v>
      </c>
      <c r="BF920" t="str">
        <f>IF(tbl_OriginalData[[#This Row],[Customer_Loyalty_Program_Member]]=TRUE,"Yes","No")</f>
        <v>No</v>
      </c>
      <c r="BG920" t="str">
        <f>tbl_OriginalData[[#This Row],[Purchase_Intent]]</f>
        <v>Impulsive</v>
      </c>
      <c r="BH920" t="str">
        <f>tbl_OriginalData[[#This Row],[Shipping_Preference]]</f>
        <v>Express</v>
      </c>
      <c r="BI920">
        <f>tbl_OriginalData[[#This Row],[Time_to_Decision]]</f>
        <v>12</v>
      </c>
      <c r="BJ920" t="s">
        <v>167</v>
      </c>
      <c r="BK920" t="s">
        <v>63</v>
      </c>
      <c r="BL920" t="s">
        <v>2523</v>
      </c>
    </row>
    <row r="921" spans="1:64">
      <c r="A921" t="s">
        <v>2079</v>
      </c>
      <c r="B921">
        <v>49</v>
      </c>
      <c r="C921" t="s">
        <v>50</v>
      </c>
      <c r="D921" t="s">
        <v>34</v>
      </c>
      <c r="E921" t="s">
        <v>65</v>
      </c>
      <c r="F921" t="s">
        <v>52</v>
      </c>
      <c r="G921" t="s">
        <v>34</v>
      </c>
      <c r="H921" t="s">
        <v>2080</v>
      </c>
      <c r="I921" t="s">
        <v>143</v>
      </c>
      <c r="J921">
        <v>258.68</v>
      </c>
      <c r="K921">
        <v>4</v>
      </c>
      <c r="L921" t="s">
        <v>94</v>
      </c>
      <c r="M921">
        <v>4</v>
      </c>
      <c r="N921">
        <v>2</v>
      </c>
      <c r="O921">
        <v>1</v>
      </c>
      <c r="P921" t="s">
        <v>69</v>
      </c>
      <c r="Q921" t="s">
        <v>41</v>
      </c>
      <c r="R921">
        <v>0</v>
      </c>
      <c r="S921">
        <v>9</v>
      </c>
      <c r="T921" t="s">
        <v>40</v>
      </c>
      <c r="U921" t="s">
        <v>95</v>
      </c>
      <c r="V921" t="s">
        <v>43</v>
      </c>
      <c r="W921" s="1">
        <v>45587</v>
      </c>
      <c r="X921" t="b">
        <v>0</v>
      </c>
      <c r="Y921" t="b">
        <v>0</v>
      </c>
      <c r="Z921" t="s">
        <v>72</v>
      </c>
      <c r="AA921" t="s">
        <v>45</v>
      </c>
      <c r="AB921">
        <v>9</v>
      </c>
      <c r="AF921" t="str">
        <f>tbl_OriginalData[[#This Row],[Customer_ID]]</f>
        <v>72-454-2741</v>
      </c>
      <c r="AG921">
        <f>tbl_OriginalData[[#This Row],[Age]]</f>
        <v>49</v>
      </c>
      <c r="AH921" t="str" cm="1">
        <f t="array" ref="AH92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21" t="str">
        <f>tbl_OriginalData[[#This Row],[Gender]]</f>
        <v>Male</v>
      </c>
      <c r="AJ921" t="str">
        <f>tbl_OriginalData[[#This Row],[Income_Level]]</f>
        <v>Middle</v>
      </c>
      <c r="AK921" t="str">
        <f>tbl_OriginalData[[#This Row],[Marital_Status]]</f>
        <v>Single</v>
      </c>
      <c r="AL921" t="str">
        <f>tbl_OriginalData[[#This Row],[Education_Level]]</f>
        <v>High School</v>
      </c>
      <c r="AM921" t="str">
        <f>tbl_OriginalData[[#This Row],[Occupation]]</f>
        <v>Middle</v>
      </c>
      <c r="AN921" t="s">
        <v>2080</v>
      </c>
      <c r="AO921" t="s">
        <v>1274</v>
      </c>
      <c r="AP921" t="str">
        <f>tbl_OriginalData[[#This Row],[Purchase_Category]]</f>
        <v>Packages)</v>
      </c>
      <c r="AQ921" s="4">
        <f>tbl_OriginalData[[#This Row],[Purchase_Amount]]</f>
        <v>258.68</v>
      </c>
      <c r="AR921">
        <f>tbl_OriginalData[[#This Row],[Frequency_of_Purchase]]</f>
        <v>4</v>
      </c>
      <c r="AS921" t="str">
        <f>tbl_OriginalData[[#This Row],[Purchase_Channel]]</f>
        <v>Online</v>
      </c>
      <c r="AT921">
        <f>tbl_OriginalData[[#This Row],[Brand_Loyalty]]</f>
        <v>4</v>
      </c>
      <c r="AU921">
        <f>tbl_OriginalData[[#This Row],[Product_Rating]]</f>
        <v>2</v>
      </c>
      <c r="AV921">
        <f>tbl_OriginalData[[#This Row],[Time_Spent_on_Product_Research(hours)]]*60</f>
        <v>60</v>
      </c>
      <c r="AW921" t="str">
        <f>tbl_OriginalData[[#This Row],[Social_Media_Influence]]</f>
        <v>Low</v>
      </c>
      <c r="AX921" t="str">
        <f>tbl_OriginalData[[#This Row],[Discount_Sensitivity]]</f>
        <v>Somewhat Sensitive</v>
      </c>
      <c r="AY921" s="3">
        <f>tbl_OriginalData[[#This Row],[Return_Rate]]/tbl_OriginalData[[#This Row],[Frequency_of_Purchase]]</f>
        <v>0</v>
      </c>
      <c r="AZ921">
        <f>tbl_OriginalData[[#This Row],[Customer_Satisfaction]]</f>
        <v>9</v>
      </c>
      <c r="BA921" t="str">
        <f>tbl_OriginalData[[#This Row],[Engagement_with_Ads]]</f>
        <v>None</v>
      </c>
      <c r="BB921" t="str">
        <f>tbl_OriginalData[[#This Row],[Device_Used_for_Shopping]]</f>
        <v>Desktop</v>
      </c>
      <c r="BC921" t="str">
        <f>tbl_OriginalData[[#This Row],[Payment_Method]]</f>
        <v>Credit Card</v>
      </c>
      <c r="BD921" s="1">
        <f>tbl_OriginalData[[#This Row],[Time_of_Purchase]]</f>
        <v>45587</v>
      </c>
      <c r="BE921" t="str">
        <f>IF(tbl_OriginalData[[#This Row],[Discount_Used]]=TRUE,"Yes","No")</f>
        <v>No</v>
      </c>
      <c r="BF921" t="str">
        <f>IF(tbl_OriginalData[[#This Row],[Customer_Loyalty_Program_Member]]=TRUE,"Yes","No")</f>
        <v>No</v>
      </c>
      <c r="BG921" t="str">
        <f>tbl_OriginalData[[#This Row],[Purchase_Intent]]</f>
        <v>Impulsive</v>
      </c>
      <c r="BH921" t="str">
        <f>tbl_OriginalData[[#This Row],[Shipping_Preference]]</f>
        <v>No Preference</v>
      </c>
      <c r="BI921">
        <f>tbl_OriginalData[[#This Row],[Time_to_Decision]]</f>
        <v>9</v>
      </c>
      <c r="BJ921" t="s">
        <v>79</v>
      </c>
      <c r="BK921" t="s">
        <v>80</v>
      </c>
      <c r="BL921" t="s">
        <v>2523</v>
      </c>
    </row>
    <row r="922" spans="1:64">
      <c r="A922" t="s">
        <v>2081</v>
      </c>
      <c r="B922">
        <v>26</v>
      </c>
      <c r="C922" t="s">
        <v>50</v>
      </c>
      <c r="D922" t="s">
        <v>34</v>
      </c>
      <c r="E922" t="s">
        <v>35</v>
      </c>
      <c r="F922" t="s">
        <v>36</v>
      </c>
      <c r="G922" t="s">
        <v>51</v>
      </c>
      <c r="H922" t="s">
        <v>2082</v>
      </c>
      <c r="I922" t="s">
        <v>38</v>
      </c>
      <c r="J922">
        <v>258.02</v>
      </c>
      <c r="K922">
        <v>2</v>
      </c>
      <c r="L922" t="s">
        <v>55</v>
      </c>
      <c r="M922">
        <v>3</v>
      </c>
      <c r="N922">
        <v>2</v>
      </c>
      <c r="O922">
        <v>1</v>
      </c>
      <c r="P922" t="s">
        <v>69</v>
      </c>
      <c r="Q922" t="s">
        <v>101</v>
      </c>
      <c r="R922">
        <v>2</v>
      </c>
      <c r="S922">
        <v>4</v>
      </c>
      <c r="T922" t="s">
        <v>51</v>
      </c>
      <c r="U922" t="s">
        <v>95</v>
      </c>
      <c r="V922" t="s">
        <v>58</v>
      </c>
      <c r="W922" s="1">
        <v>45604</v>
      </c>
      <c r="X922" t="b">
        <v>1</v>
      </c>
      <c r="Y922" t="b">
        <v>1</v>
      </c>
      <c r="Z922" t="s">
        <v>44</v>
      </c>
      <c r="AA922" t="s">
        <v>77</v>
      </c>
      <c r="AB922">
        <v>13</v>
      </c>
      <c r="AF922" t="str">
        <f>tbl_OriginalData[[#This Row],[Customer_ID]]</f>
        <v>96-484-1000</v>
      </c>
      <c r="AG922">
        <f>tbl_OriginalData[[#This Row],[Age]]</f>
        <v>26</v>
      </c>
      <c r="AH922" t="str" cm="1">
        <f t="array" ref="AH92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22" t="str">
        <f>tbl_OriginalData[[#This Row],[Gender]]</f>
        <v>Male</v>
      </c>
      <c r="AJ922" t="str">
        <f>tbl_OriginalData[[#This Row],[Income_Level]]</f>
        <v>Middle</v>
      </c>
      <c r="AK922" t="str">
        <f>tbl_OriginalData[[#This Row],[Marital_Status]]</f>
        <v>Married</v>
      </c>
      <c r="AL922" t="str">
        <f>tbl_OriginalData[[#This Row],[Education_Level]]</f>
        <v>Bachelor's</v>
      </c>
      <c r="AM922" t="str">
        <f>tbl_OriginalData[[#This Row],[Occupation]]</f>
        <v>High</v>
      </c>
      <c r="AN922" t="s">
        <v>2082</v>
      </c>
      <c r="AO922" t="s">
        <v>61</v>
      </c>
      <c r="AP922" t="str">
        <f>tbl_OriginalData[[#This Row],[Purchase_Category]]</f>
        <v>Gardening &amp; Outdoors</v>
      </c>
      <c r="AQ922" s="4">
        <f>tbl_OriginalData[[#This Row],[Purchase_Amount]]</f>
        <v>258.02</v>
      </c>
      <c r="AR922">
        <f>tbl_OriginalData[[#This Row],[Frequency_of_Purchase]]</f>
        <v>2</v>
      </c>
      <c r="AS922" t="str">
        <f>tbl_OriginalData[[#This Row],[Purchase_Channel]]</f>
        <v>In-Store</v>
      </c>
      <c r="AT922">
        <f>tbl_OriginalData[[#This Row],[Brand_Loyalty]]</f>
        <v>3</v>
      </c>
      <c r="AU922">
        <f>tbl_OriginalData[[#This Row],[Product_Rating]]</f>
        <v>2</v>
      </c>
      <c r="AV922">
        <f>tbl_OriginalData[[#This Row],[Time_Spent_on_Product_Research(hours)]]*60</f>
        <v>60</v>
      </c>
      <c r="AW922" t="str">
        <f>tbl_OriginalData[[#This Row],[Social_Media_Influence]]</f>
        <v>Low</v>
      </c>
      <c r="AX922" t="str">
        <f>tbl_OriginalData[[#This Row],[Discount_Sensitivity]]</f>
        <v>Very Sensitive</v>
      </c>
      <c r="AY922" s="3">
        <f>tbl_OriginalData[[#This Row],[Return_Rate]]/tbl_OriginalData[[#This Row],[Frequency_of_Purchase]]</f>
        <v>1</v>
      </c>
      <c r="AZ922">
        <f>tbl_OriginalData[[#This Row],[Customer_Satisfaction]]</f>
        <v>4</v>
      </c>
      <c r="BA922" t="str">
        <f>tbl_OriginalData[[#This Row],[Engagement_with_Ads]]</f>
        <v>High</v>
      </c>
      <c r="BB922" t="str">
        <f>tbl_OriginalData[[#This Row],[Device_Used_for_Shopping]]</f>
        <v>Desktop</v>
      </c>
      <c r="BC922" t="str">
        <f>tbl_OriginalData[[#This Row],[Payment_Method]]</f>
        <v>PayPal</v>
      </c>
      <c r="BD922" s="1">
        <f>tbl_OriginalData[[#This Row],[Time_of_Purchase]]</f>
        <v>45604</v>
      </c>
      <c r="BE922" t="str">
        <f>IF(tbl_OriginalData[[#This Row],[Discount_Used]]=TRUE,"Yes","No")</f>
        <v>Yes</v>
      </c>
      <c r="BF922" t="str">
        <f>IF(tbl_OriginalData[[#This Row],[Customer_Loyalty_Program_Member]]=TRUE,"Yes","No")</f>
        <v>Yes</v>
      </c>
      <c r="BG922" t="str">
        <f>tbl_OriginalData[[#This Row],[Purchase_Intent]]</f>
        <v>Need-based</v>
      </c>
      <c r="BH922" t="str">
        <f>tbl_OriginalData[[#This Row],[Shipping_Preference]]</f>
        <v>Express</v>
      </c>
      <c r="BI922">
        <f>tbl_OriginalData[[#This Row],[Time_to_Decision]]</f>
        <v>13</v>
      </c>
      <c r="BJ922" t="s">
        <v>177</v>
      </c>
      <c r="BK922" t="s">
        <v>80</v>
      </c>
      <c r="BL922" t="s">
        <v>2524</v>
      </c>
    </row>
    <row r="923" spans="1:64">
      <c r="A923" t="s">
        <v>2083</v>
      </c>
      <c r="B923">
        <v>29</v>
      </c>
      <c r="C923" t="s">
        <v>33</v>
      </c>
      <c r="D923" t="s">
        <v>51</v>
      </c>
      <c r="E923" t="s">
        <v>65</v>
      </c>
      <c r="F923" t="s">
        <v>66</v>
      </c>
      <c r="G923" t="s">
        <v>34</v>
      </c>
      <c r="H923" t="s">
        <v>818</v>
      </c>
      <c r="I923" t="s">
        <v>38</v>
      </c>
      <c r="J923">
        <v>181.87</v>
      </c>
      <c r="K923">
        <v>12</v>
      </c>
      <c r="L923" t="s">
        <v>39</v>
      </c>
      <c r="M923">
        <v>4</v>
      </c>
      <c r="N923">
        <v>1</v>
      </c>
      <c r="O923">
        <v>1</v>
      </c>
      <c r="P923" t="s">
        <v>56</v>
      </c>
      <c r="Q923" t="s">
        <v>57</v>
      </c>
      <c r="R923">
        <v>2</v>
      </c>
      <c r="S923">
        <v>4</v>
      </c>
      <c r="T923" t="s">
        <v>51</v>
      </c>
      <c r="U923" t="s">
        <v>95</v>
      </c>
      <c r="V923" t="s">
        <v>71</v>
      </c>
      <c r="W923" s="1">
        <v>45536</v>
      </c>
      <c r="X923" t="b">
        <v>0</v>
      </c>
      <c r="Y923" t="b">
        <v>1</v>
      </c>
      <c r="Z923" t="s">
        <v>59</v>
      </c>
      <c r="AA923" t="s">
        <v>45</v>
      </c>
      <c r="AB923">
        <v>11</v>
      </c>
      <c r="AF923" t="str">
        <f>tbl_OriginalData[[#This Row],[Customer_ID]]</f>
        <v>07-834-3350</v>
      </c>
      <c r="AG923">
        <f>tbl_OriginalData[[#This Row],[Age]]</f>
        <v>29</v>
      </c>
      <c r="AH923" t="str" cm="1">
        <f t="array" ref="AH92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23" t="str">
        <f>tbl_OriginalData[[#This Row],[Gender]]</f>
        <v>Female</v>
      </c>
      <c r="AJ923" t="str">
        <f>tbl_OriginalData[[#This Row],[Income_Level]]</f>
        <v>High</v>
      </c>
      <c r="AK923" t="str">
        <f>tbl_OriginalData[[#This Row],[Marital_Status]]</f>
        <v>Single</v>
      </c>
      <c r="AL923" t="str">
        <f>tbl_OriginalData[[#This Row],[Education_Level]]</f>
        <v>Master's</v>
      </c>
      <c r="AM923" t="str">
        <f>tbl_OriginalData[[#This Row],[Occupation]]</f>
        <v>Middle</v>
      </c>
      <c r="AN923" t="s">
        <v>818</v>
      </c>
      <c r="AO923" t="s">
        <v>469</v>
      </c>
      <c r="AP923" t="str">
        <f>tbl_OriginalData[[#This Row],[Purchase_Category]]</f>
        <v>Gardening &amp; Outdoors</v>
      </c>
      <c r="AQ923" s="4">
        <f>tbl_OriginalData[[#This Row],[Purchase_Amount]]</f>
        <v>181.87</v>
      </c>
      <c r="AR923">
        <f>tbl_OriginalData[[#This Row],[Frequency_of_Purchase]]</f>
        <v>12</v>
      </c>
      <c r="AS923" t="str">
        <f>tbl_OriginalData[[#This Row],[Purchase_Channel]]</f>
        <v>Mixed</v>
      </c>
      <c r="AT923">
        <f>tbl_OriginalData[[#This Row],[Brand_Loyalty]]</f>
        <v>4</v>
      </c>
      <c r="AU923">
        <f>tbl_OriginalData[[#This Row],[Product_Rating]]</f>
        <v>1</v>
      </c>
      <c r="AV923">
        <f>tbl_OriginalData[[#This Row],[Time_Spent_on_Product_Research(hours)]]*60</f>
        <v>60</v>
      </c>
      <c r="AW923" t="str">
        <f>tbl_OriginalData[[#This Row],[Social_Media_Influence]]</f>
        <v>Medium</v>
      </c>
      <c r="AX923" t="str">
        <f>tbl_OriginalData[[#This Row],[Discount_Sensitivity]]</f>
        <v>Not Sensitive</v>
      </c>
      <c r="AY923" s="3">
        <f>tbl_OriginalData[[#This Row],[Return_Rate]]/tbl_OriginalData[[#This Row],[Frequency_of_Purchase]]</f>
        <v>0.16666666666666666</v>
      </c>
      <c r="AZ923">
        <f>tbl_OriginalData[[#This Row],[Customer_Satisfaction]]</f>
        <v>4</v>
      </c>
      <c r="BA923" t="str">
        <f>tbl_OriginalData[[#This Row],[Engagement_with_Ads]]</f>
        <v>High</v>
      </c>
      <c r="BB923" t="str">
        <f>tbl_OriginalData[[#This Row],[Device_Used_for_Shopping]]</f>
        <v>Desktop</v>
      </c>
      <c r="BC923" t="str">
        <f>tbl_OriginalData[[#This Row],[Payment_Method]]</f>
        <v>Debit Card</v>
      </c>
      <c r="BD923" s="1">
        <f>tbl_OriginalData[[#This Row],[Time_of_Purchase]]</f>
        <v>45536</v>
      </c>
      <c r="BE923" t="str">
        <f>IF(tbl_OriginalData[[#This Row],[Discount_Used]]=TRUE,"Yes","No")</f>
        <v>No</v>
      </c>
      <c r="BF923" t="str">
        <f>IF(tbl_OriginalData[[#This Row],[Customer_Loyalty_Program_Member]]=TRUE,"Yes","No")</f>
        <v>Yes</v>
      </c>
      <c r="BG923" t="str">
        <f>tbl_OriginalData[[#This Row],[Purchase_Intent]]</f>
        <v>Wants-based</v>
      </c>
      <c r="BH923" t="str">
        <f>tbl_OriginalData[[#This Row],[Shipping_Preference]]</f>
        <v>No Preference</v>
      </c>
      <c r="BI923">
        <f>tbl_OriginalData[[#This Row],[Time_to_Decision]]</f>
        <v>11</v>
      </c>
      <c r="BJ923" t="s">
        <v>172</v>
      </c>
      <c r="BK923" t="s">
        <v>115</v>
      </c>
      <c r="BL923" t="s">
        <v>2527</v>
      </c>
    </row>
    <row r="924" spans="1:64">
      <c r="A924" t="s">
        <v>2084</v>
      </c>
      <c r="B924">
        <v>26</v>
      </c>
      <c r="C924" t="s">
        <v>50</v>
      </c>
      <c r="D924" t="s">
        <v>51</v>
      </c>
      <c r="E924" t="s">
        <v>92</v>
      </c>
      <c r="F924" t="s">
        <v>52</v>
      </c>
      <c r="G924" t="s">
        <v>34</v>
      </c>
      <c r="H924" t="s">
        <v>2085</v>
      </c>
      <c r="I924" t="s">
        <v>199</v>
      </c>
      <c r="J924">
        <v>81.180000000000007</v>
      </c>
      <c r="K924">
        <v>8</v>
      </c>
      <c r="L924" t="s">
        <v>94</v>
      </c>
      <c r="M924">
        <v>4</v>
      </c>
      <c r="N924">
        <v>5</v>
      </c>
      <c r="O924">
        <v>1</v>
      </c>
      <c r="P924" t="s">
        <v>69</v>
      </c>
      <c r="Q924" t="s">
        <v>57</v>
      </c>
      <c r="R924">
        <v>2</v>
      </c>
      <c r="S924">
        <v>3</v>
      </c>
      <c r="T924" t="s">
        <v>51</v>
      </c>
      <c r="U924" t="s">
        <v>42</v>
      </c>
      <c r="V924" t="s">
        <v>102</v>
      </c>
      <c r="W924" s="1">
        <v>45429</v>
      </c>
      <c r="X924" t="b">
        <v>0</v>
      </c>
      <c r="Y924" t="b">
        <v>0</v>
      </c>
      <c r="Z924" t="s">
        <v>72</v>
      </c>
      <c r="AA924" t="s">
        <v>77</v>
      </c>
      <c r="AB924">
        <v>3</v>
      </c>
      <c r="AF924" t="str">
        <f>tbl_OriginalData[[#This Row],[Customer_ID]]</f>
        <v>11-802-5604</v>
      </c>
      <c r="AG924">
        <f>tbl_OriginalData[[#This Row],[Age]]</f>
        <v>26</v>
      </c>
      <c r="AH924" t="str" cm="1">
        <f t="array" ref="AH92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24" t="str">
        <f>tbl_OriginalData[[#This Row],[Gender]]</f>
        <v>Male</v>
      </c>
      <c r="AJ924" t="str">
        <f>tbl_OriginalData[[#This Row],[Income_Level]]</f>
        <v>High</v>
      </c>
      <c r="AK924" t="str">
        <f>tbl_OriginalData[[#This Row],[Marital_Status]]</f>
        <v>Divorced</v>
      </c>
      <c r="AL924" t="str">
        <f>tbl_OriginalData[[#This Row],[Education_Level]]</f>
        <v>High School</v>
      </c>
      <c r="AM924" t="str">
        <f>tbl_OriginalData[[#This Row],[Occupation]]</f>
        <v>Middle</v>
      </c>
      <c r="AN924" t="s">
        <v>2085</v>
      </c>
      <c r="AO924" t="s">
        <v>61</v>
      </c>
      <c r="AP924" t="str">
        <f>tbl_OriginalData[[#This Row],[Purchase_Category]]</f>
        <v>Groceries</v>
      </c>
      <c r="AQ924" s="4">
        <f>tbl_OriginalData[[#This Row],[Purchase_Amount]]</f>
        <v>81.180000000000007</v>
      </c>
      <c r="AR924">
        <f>tbl_OriginalData[[#This Row],[Frequency_of_Purchase]]</f>
        <v>8</v>
      </c>
      <c r="AS924" t="str">
        <f>tbl_OriginalData[[#This Row],[Purchase_Channel]]</f>
        <v>Online</v>
      </c>
      <c r="AT924">
        <f>tbl_OriginalData[[#This Row],[Brand_Loyalty]]</f>
        <v>4</v>
      </c>
      <c r="AU924">
        <f>tbl_OriginalData[[#This Row],[Product_Rating]]</f>
        <v>5</v>
      </c>
      <c r="AV924">
        <f>tbl_OriginalData[[#This Row],[Time_Spent_on_Product_Research(hours)]]*60</f>
        <v>60</v>
      </c>
      <c r="AW924" t="str">
        <f>tbl_OriginalData[[#This Row],[Social_Media_Influence]]</f>
        <v>Low</v>
      </c>
      <c r="AX924" t="str">
        <f>tbl_OriginalData[[#This Row],[Discount_Sensitivity]]</f>
        <v>Not Sensitive</v>
      </c>
      <c r="AY924" s="3">
        <f>tbl_OriginalData[[#This Row],[Return_Rate]]/tbl_OriginalData[[#This Row],[Frequency_of_Purchase]]</f>
        <v>0.25</v>
      </c>
      <c r="AZ924">
        <f>tbl_OriginalData[[#This Row],[Customer_Satisfaction]]</f>
        <v>3</v>
      </c>
      <c r="BA924" t="str">
        <f>tbl_OriginalData[[#This Row],[Engagement_with_Ads]]</f>
        <v>High</v>
      </c>
      <c r="BB924" t="str">
        <f>tbl_OriginalData[[#This Row],[Device_Used_for_Shopping]]</f>
        <v>Tablet</v>
      </c>
      <c r="BC924" t="str">
        <f>tbl_OriginalData[[#This Row],[Payment_Method]]</f>
        <v>Cash</v>
      </c>
      <c r="BD924" s="1">
        <f>tbl_OriginalData[[#This Row],[Time_of_Purchase]]</f>
        <v>45429</v>
      </c>
      <c r="BE924" t="str">
        <f>IF(tbl_OriginalData[[#This Row],[Discount_Used]]=TRUE,"Yes","No")</f>
        <v>No</v>
      </c>
      <c r="BF924" t="str">
        <f>IF(tbl_OriginalData[[#This Row],[Customer_Loyalty_Program_Member]]=TRUE,"Yes","No")</f>
        <v>No</v>
      </c>
      <c r="BG924" t="str">
        <f>tbl_OriginalData[[#This Row],[Purchase_Intent]]</f>
        <v>Impulsive</v>
      </c>
      <c r="BH924" t="str">
        <f>tbl_OriginalData[[#This Row],[Shipping_Preference]]</f>
        <v>Express</v>
      </c>
      <c r="BI924">
        <f>tbl_OriginalData[[#This Row],[Time_to_Decision]]</f>
        <v>3</v>
      </c>
      <c r="BJ924" t="s">
        <v>167</v>
      </c>
      <c r="BK924" t="s">
        <v>63</v>
      </c>
      <c r="BL924" t="s">
        <v>2524</v>
      </c>
    </row>
    <row r="925" spans="1:64">
      <c r="A925" t="s">
        <v>2086</v>
      </c>
      <c r="B925">
        <v>23</v>
      </c>
      <c r="C925" t="s">
        <v>33</v>
      </c>
      <c r="D925" t="s">
        <v>51</v>
      </c>
      <c r="E925" t="s">
        <v>92</v>
      </c>
      <c r="F925" t="s">
        <v>66</v>
      </c>
      <c r="G925" t="s">
        <v>51</v>
      </c>
      <c r="H925" t="s">
        <v>2087</v>
      </c>
      <c r="I925" t="s">
        <v>98</v>
      </c>
      <c r="J925">
        <v>382.94</v>
      </c>
      <c r="K925">
        <v>8</v>
      </c>
      <c r="L925" t="s">
        <v>55</v>
      </c>
      <c r="M925">
        <v>1</v>
      </c>
      <c r="N925">
        <v>3</v>
      </c>
      <c r="O925">
        <v>0</v>
      </c>
      <c r="P925" t="s">
        <v>56</v>
      </c>
      <c r="Q925" t="s">
        <v>57</v>
      </c>
      <c r="R925">
        <v>0</v>
      </c>
      <c r="S925">
        <v>6</v>
      </c>
      <c r="T925" t="s">
        <v>40</v>
      </c>
      <c r="U925" t="s">
        <v>95</v>
      </c>
      <c r="V925" t="s">
        <v>71</v>
      </c>
      <c r="W925" s="1">
        <v>45431</v>
      </c>
      <c r="X925" t="b">
        <v>0</v>
      </c>
      <c r="Y925" t="b">
        <v>0</v>
      </c>
      <c r="Z925" t="s">
        <v>44</v>
      </c>
      <c r="AA925" t="s">
        <v>60</v>
      </c>
      <c r="AB925">
        <v>3</v>
      </c>
      <c r="AF925" t="str">
        <f>tbl_OriginalData[[#This Row],[Customer_ID]]</f>
        <v>41-750-4105</v>
      </c>
      <c r="AG925">
        <f>tbl_OriginalData[[#This Row],[Age]]</f>
        <v>23</v>
      </c>
      <c r="AH925" t="str" cm="1">
        <f t="array" ref="AH92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25" t="str">
        <f>tbl_OriginalData[[#This Row],[Gender]]</f>
        <v>Female</v>
      </c>
      <c r="AJ925" t="str">
        <f>tbl_OriginalData[[#This Row],[Income_Level]]</f>
        <v>High</v>
      </c>
      <c r="AK925" t="str">
        <f>tbl_OriginalData[[#This Row],[Marital_Status]]</f>
        <v>Divorced</v>
      </c>
      <c r="AL925" t="str">
        <f>tbl_OriginalData[[#This Row],[Education_Level]]</f>
        <v>Master's</v>
      </c>
      <c r="AM925" t="str">
        <f>tbl_OriginalData[[#This Row],[Occupation]]</f>
        <v>High</v>
      </c>
      <c r="AN925" t="s">
        <v>2087</v>
      </c>
      <c r="AO925" t="s">
        <v>103</v>
      </c>
      <c r="AP925" t="str">
        <f>tbl_OriginalData[[#This Row],[Purchase_Category]]</f>
        <v>Books</v>
      </c>
      <c r="AQ925" s="4">
        <f>tbl_OriginalData[[#This Row],[Purchase_Amount]]</f>
        <v>382.94</v>
      </c>
      <c r="AR925">
        <f>tbl_OriginalData[[#This Row],[Frequency_of_Purchase]]</f>
        <v>8</v>
      </c>
      <c r="AS925" t="str">
        <f>tbl_OriginalData[[#This Row],[Purchase_Channel]]</f>
        <v>In-Store</v>
      </c>
      <c r="AT925">
        <f>tbl_OriginalData[[#This Row],[Brand_Loyalty]]</f>
        <v>1</v>
      </c>
      <c r="AU925">
        <f>tbl_OriginalData[[#This Row],[Product_Rating]]</f>
        <v>3</v>
      </c>
      <c r="AV925">
        <f>tbl_OriginalData[[#This Row],[Time_Spent_on_Product_Research(hours)]]*60</f>
        <v>0</v>
      </c>
      <c r="AW925" t="str">
        <f>tbl_OriginalData[[#This Row],[Social_Media_Influence]]</f>
        <v>Medium</v>
      </c>
      <c r="AX925" t="str">
        <f>tbl_OriginalData[[#This Row],[Discount_Sensitivity]]</f>
        <v>Not Sensitive</v>
      </c>
      <c r="AY925" s="3">
        <f>tbl_OriginalData[[#This Row],[Return_Rate]]/tbl_OriginalData[[#This Row],[Frequency_of_Purchase]]</f>
        <v>0</v>
      </c>
      <c r="AZ925">
        <f>tbl_OriginalData[[#This Row],[Customer_Satisfaction]]</f>
        <v>6</v>
      </c>
      <c r="BA925" t="str">
        <f>tbl_OriginalData[[#This Row],[Engagement_with_Ads]]</f>
        <v>None</v>
      </c>
      <c r="BB925" t="str">
        <f>tbl_OriginalData[[#This Row],[Device_Used_for_Shopping]]</f>
        <v>Desktop</v>
      </c>
      <c r="BC925" t="str">
        <f>tbl_OriginalData[[#This Row],[Payment_Method]]</f>
        <v>Debit Card</v>
      </c>
      <c r="BD925" s="1">
        <f>tbl_OriginalData[[#This Row],[Time_of_Purchase]]</f>
        <v>45431</v>
      </c>
      <c r="BE925" t="str">
        <f>IF(tbl_OriginalData[[#This Row],[Discount_Used]]=TRUE,"Yes","No")</f>
        <v>No</v>
      </c>
      <c r="BF925" t="str">
        <f>IF(tbl_OriginalData[[#This Row],[Customer_Loyalty_Program_Member]]=TRUE,"Yes","No")</f>
        <v>No</v>
      </c>
      <c r="BG925" t="str">
        <f>tbl_OriginalData[[#This Row],[Purchase_Intent]]</f>
        <v>Need-based</v>
      </c>
      <c r="BH925" t="str">
        <f>tbl_OriginalData[[#This Row],[Shipping_Preference]]</f>
        <v>Standard</v>
      </c>
      <c r="BI925">
        <f>tbl_OriginalData[[#This Row],[Time_to_Decision]]</f>
        <v>3</v>
      </c>
      <c r="BJ925" t="s">
        <v>167</v>
      </c>
      <c r="BK925" t="s">
        <v>63</v>
      </c>
      <c r="BL925" t="s">
        <v>2523</v>
      </c>
    </row>
    <row r="926" spans="1:64">
      <c r="A926" t="s">
        <v>2088</v>
      </c>
      <c r="B926">
        <v>47</v>
      </c>
      <c r="C926" t="s">
        <v>33</v>
      </c>
      <c r="D926" t="s">
        <v>51</v>
      </c>
      <c r="E926" t="s">
        <v>65</v>
      </c>
      <c r="F926" t="s">
        <v>36</v>
      </c>
      <c r="G926" t="s">
        <v>51</v>
      </c>
      <c r="H926" t="s">
        <v>2089</v>
      </c>
      <c r="I926" t="s">
        <v>235</v>
      </c>
      <c r="J926">
        <v>402.82</v>
      </c>
      <c r="K926">
        <v>7</v>
      </c>
      <c r="L926" t="s">
        <v>94</v>
      </c>
      <c r="M926">
        <v>4</v>
      </c>
      <c r="N926">
        <v>5</v>
      </c>
      <c r="O926">
        <v>0</v>
      </c>
      <c r="P926" t="s">
        <v>40</v>
      </c>
      <c r="Q926" t="s">
        <v>41</v>
      </c>
      <c r="R926">
        <v>2</v>
      </c>
      <c r="S926">
        <v>2</v>
      </c>
      <c r="T926" t="s">
        <v>69</v>
      </c>
      <c r="U926" t="s">
        <v>70</v>
      </c>
      <c r="V926" t="s">
        <v>71</v>
      </c>
      <c r="W926" s="1">
        <v>45316</v>
      </c>
      <c r="X926" t="b">
        <v>0</v>
      </c>
      <c r="Y926" t="b">
        <v>0</v>
      </c>
      <c r="Z926" t="s">
        <v>59</v>
      </c>
      <c r="AA926" t="s">
        <v>45</v>
      </c>
      <c r="AB926">
        <v>13</v>
      </c>
      <c r="AF926" t="str">
        <f>tbl_OriginalData[[#This Row],[Customer_ID]]</f>
        <v>31-491-8457</v>
      </c>
      <c r="AG926">
        <f>tbl_OriginalData[[#This Row],[Age]]</f>
        <v>47</v>
      </c>
      <c r="AH926" t="str" cm="1">
        <f t="array" ref="AH92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26" t="str">
        <f>tbl_OriginalData[[#This Row],[Gender]]</f>
        <v>Female</v>
      </c>
      <c r="AJ926" t="str">
        <f>tbl_OriginalData[[#This Row],[Income_Level]]</f>
        <v>High</v>
      </c>
      <c r="AK926" t="str">
        <f>tbl_OriginalData[[#This Row],[Marital_Status]]</f>
        <v>Single</v>
      </c>
      <c r="AL926" t="str">
        <f>tbl_OriginalData[[#This Row],[Education_Level]]</f>
        <v>Bachelor's</v>
      </c>
      <c r="AM926" t="str">
        <f>tbl_OriginalData[[#This Row],[Occupation]]</f>
        <v>High</v>
      </c>
      <c r="AN926" t="s">
        <v>2089</v>
      </c>
      <c r="AO926" t="s">
        <v>194</v>
      </c>
      <c r="AP926" t="str">
        <f>tbl_OriginalData[[#This Row],[Purchase_Category]]</f>
        <v>Beauty &amp; Personal Care</v>
      </c>
      <c r="AQ926" s="4">
        <f>tbl_OriginalData[[#This Row],[Purchase_Amount]]</f>
        <v>402.82</v>
      </c>
      <c r="AR926">
        <f>tbl_OriginalData[[#This Row],[Frequency_of_Purchase]]</f>
        <v>7</v>
      </c>
      <c r="AS926" t="str">
        <f>tbl_OriginalData[[#This Row],[Purchase_Channel]]</f>
        <v>Online</v>
      </c>
      <c r="AT926">
        <f>tbl_OriginalData[[#This Row],[Brand_Loyalty]]</f>
        <v>4</v>
      </c>
      <c r="AU926">
        <f>tbl_OriginalData[[#This Row],[Product_Rating]]</f>
        <v>5</v>
      </c>
      <c r="AV926">
        <f>tbl_OriginalData[[#This Row],[Time_Spent_on_Product_Research(hours)]]*60</f>
        <v>0</v>
      </c>
      <c r="AW926" t="str">
        <f>tbl_OriginalData[[#This Row],[Social_Media_Influence]]</f>
        <v>None</v>
      </c>
      <c r="AX926" t="str">
        <f>tbl_OriginalData[[#This Row],[Discount_Sensitivity]]</f>
        <v>Somewhat Sensitive</v>
      </c>
      <c r="AY926" s="3">
        <f>tbl_OriginalData[[#This Row],[Return_Rate]]/tbl_OriginalData[[#This Row],[Frequency_of_Purchase]]</f>
        <v>0.2857142857142857</v>
      </c>
      <c r="AZ926">
        <f>tbl_OriginalData[[#This Row],[Customer_Satisfaction]]</f>
        <v>2</v>
      </c>
      <c r="BA926" t="str">
        <f>tbl_OriginalData[[#This Row],[Engagement_with_Ads]]</f>
        <v>Low</v>
      </c>
      <c r="BB926" t="str">
        <f>tbl_OriginalData[[#This Row],[Device_Used_for_Shopping]]</f>
        <v>Smartphone</v>
      </c>
      <c r="BC926" t="str">
        <f>tbl_OriginalData[[#This Row],[Payment_Method]]</f>
        <v>Debit Card</v>
      </c>
      <c r="BD926" s="1">
        <f>tbl_OriginalData[[#This Row],[Time_of_Purchase]]</f>
        <v>45316</v>
      </c>
      <c r="BE926" t="str">
        <f>IF(tbl_OriginalData[[#This Row],[Discount_Used]]=TRUE,"Yes","No")</f>
        <v>No</v>
      </c>
      <c r="BF926" t="str">
        <f>IF(tbl_OriginalData[[#This Row],[Customer_Loyalty_Program_Member]]=TRUE,"Yes","No")</f>
        <v>No</v>
      </c>
      <c r="BG926" t="str">
        <f>tbl_OriginalData[[#This Row],[Purchase_Intent]]</f>
        <v>Wants-based</v>
      </c>
      <c r="BH926" t="str">
        <f>tbl_OriginalData[[#This Row],[Shipping_Preference]]</f>
        <v>No Preference</v>
      </c>
      <c r="BI926">
        <f>tbl_OriginalData[[#This Row],[Time_to_Decision]]</f>
        <v>13</v>
      </c>
      <c r="BJ926" t="s">
        <v>86</v>
      </c>
      <c r="BK926" t="s">
        <v>48</v>
      </c>
      <c r="BL926" t="s">
        <v>2524</v>
      </c>
    </row>
    <row r="927" spans="1:64">
      <c r="A927" t="s">
        <v>2090</v>
      </c>
      <c r="B927">
        <v>30</v>
      </c>
      <c r="C927" t="s">
        <v>50</v>
      </c>
      <c r="D927" t="s">
        <v>51</v>
      </c>
      <c r="E927" t="s">
        <v>65</v>
      </c>
      <c r="F927" t="s">
        <v>36</v>
      </c>
      <c r="G927" t="s">
        <v>34</v>
      </c>
      <c r="H927" t="s">
        <v>2091</v>
      </c>
      <c r="I927" t="s">
        <v>38</v>
      </c>
      <c r="J927">
        <v>497.76</v>
      </c>
      <c r="K927">
        <v>2</v>
      </c>
      <c r="L927" t="s">
        <v>55</v>
      </c>
      <c r="M927">
        <v>1</v>
      </c>
      <c r="N927">
        <v>2</v>
      </c>
      <c r="O927">
        <v>2</v>
      </c>
      <c r="P927" t="s">
        <v>51</v>
      </c>
      <c r="Q927" t="s">
        <v>101</v>
      </c>
      <c r="R927">
        <v>2</v>
      </c>
      <c r="S927">
        <v>3</v>
      </c>
      <c r="T927" t="s">
        <v>56</v>
      </c>
      <c r="U927" t="s">
        <v>70</v>
      </c>
      <c r="V927" t="s">
        <v>43</v>
      </c>
      <c r="W927" s="1">
        <v>45359</v>
      </c>
      <c r="X927" t="b">
        <v>1</v>
      </c>
      <c r="Y927" t="b">
        <v>1</v>
      </c>
      <c r="Z927" t="s">
        <v>59</v>
      </c>
      <c r="AA927" t="s">
        <v>45</v>
      </c>
      <c r="AB927">
        <v>4</v>
      </c>
      <c r="AF927" t="str">
        <f>tbl_OriginalData[[#This Row],[Customer_ID]]</f>
        <v>86-257-9581</v>
      </c>
      <c r="AG927">
        <f>tbl_OriginalData[[#This Row],[Age]]</f>
        <v>30</v>
      </c>
      <c r="AH927" t="str" cm="1">
        <f t="array" ref="AH92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27" t="str">
        <f>tbl_OriginalData[[#This Row],[Gender]]</f>
        <v>Male</v>
      </c>
      <c r="AJ927" t="str">
        <f>tbl_OriginalData[[#This Row],[Income_Level]]</f>
        <v>High</v>
      </c>
      <c r="AK927" t="str">
        <f>tbl_OriginalData[[#This Row],[Marital_Status]]</f>
        <v>Single</v>
      </c>
      <c r="AL927" t="str">
        <f>tbl_OriginalData[[#This Row],[Education_Level]]</f>
        <v>Bachelor's</v>
      </c>
      <c r="AM927" t="str">
        <f>tbl_OriginalData[[#This Row],[Occupation]]</f>
        <v>Middle</v>
      </c>
      <c r="AN927" t="s">
        <v>2091</v>
      </c>
      <c r="AO927" t="s">
        <v>421</v>
      </c>
      <c r="AP927" t="str">
        <f>tbl_OriginalData[[#This Row],[Purchase_Category]]</f>
        <v>Gardening &amp; Outdoors</v>
      </c>
      <c r="AQ927" s="4">
        <f>tbl_OriginalData[[#This Row],[Purchase_Amount]]</f>
        <v>497.76</v>
      </c>
      <c r="AR927">
        <f>tbl_OriginalData[[#This Row],[Frequency_of_Purchase]]</f>
        <v>2</v>
      </c>
      <c r="AS927" t="str">
        <f>tbl_OriginalData[[#This Row],[Purchase_Channel]]</f>
        <v>In-Store</v>
      </c>
      <c r="AT927">
        <f>tbl_OriginalData[[#This Row],[Brand_Loyalty]]</f>
        <v>1</v>
      </c>
      <c r="AU927">
        <f>tbl_OriginalData[[#This Row],[Product_Rating]]</f>
        <v>2</v>
      </c>
      <c r="AV927">
        <f>tbl_OriginalData[[#This Row],[Time_Spent_on_Product_Research(hours)]]*60</f>
        <v>120</v>
      </c>
      <c r="AW927" t="str">
        <f>tbl_OriginalData[[#This Row],[Social_Media_Influence]]</f>
        <v>High</v>
      </c>
      <c r="AX927" t="str">
        <f>tbl_OriginalData[[#This Row],[Discount_Sensitivity]]</f>
        <v>Very Sensitive</v>
      </c>
      <c r="AY927" s="3">
        <f>tbl_OriginalData[[#This Row],[Return_Rate]]/tbl_OriginalData[[#This Row],[Frequency_of_Purchase]]</f>
        <v>1</v>
      </c>
      <c r="AZ927">
        <f>tbl_OriginalData[[#This Row],[Customer_Satisfaction]]</f>
        <v>3</v>
      </c>
      <c r="BA927" t="str">
        <f>tbl_OriginalData[[#This Row],[Engagement_with_Ads]]</f>
        <v>Medium</v>
      </c>
      <c r="BB927" t="str">
        <f>tbl_OriginalData[[#This Row],[Device_Used_for_Shopping]]</f>
        <v>Smartphone</v>
      </c>
      <c r="BC927" t="str">
        <f>tbl_OriginalData[[#This Row],[Payment_Method]]</f>
        <v>Credit Card</v>
      </c>
      <c r="BD927" s="1">
        <f>tbl_OriginalData[[#This Row],[Time_of_Purchase]]</f>
        <v>45359</v>
      </c>
      <c r="BE927" t="str">
        <f>IF(tbl_OriginalData[[#This Row],[Discount_Used]]=TRUE,"Yes","No")</f>
        <v>Yes</v>
      </c>
      <c r="BF927" t="str">
        <f>IF(tbl_OriginalData[[#This Row],[Customer_Loyalty_Program_Member]]=TRUE,"Yes","No")</f>
        <v>Yes</v>
      </c>
      <c r="BG927" t="str">
        <f>tbl_OriginalData[[#This Row],[Purchase_Intent]]</f>
        <v>Wants-based</v>
      </c>
      <c r="BH927" t="str">
        <f>tbl_OriginalData[[#This Row],[Shipping_Preference]]</f>
        <v>No Preference</v>
      </c>
      <c r="BI927">
        <f>tbl_OriginalData[[#This Row],[Time_to_Decision]]</f>
        <v>4</v>
      </c>
      <c r="BJ927" t="s">
        <v>47</v>
      </c>
      <c r="BK927" t="s">
        <v>48</v>
      </c>
      <c r="BL927" t="s">
        <v>2528</v>
      </c>
    </row>
    <row r="928" spans="1:64">
      <c r="A928" t="s">
        <v>2092</v>
      </c>
      <c r="B928">
        <v>26</v>
      </c>
      <c r="C928" t="s">
        <v>33</v>
      </c>
      <c r="D928" t="s">
        <v>51</v>
      </c>
      <c r="E928" t="s">
        <v>65</v>
      </c>
      <c r="F928" t="s">
        <v>52</v>
      </c>
      <c r="G928" t="s">
        <v>51</v>
      </c>
      <c r="H928" t="s">
        <v>2093</v>
      </c>
      <c r="I928" t="s">
        <v>84</v>
      </c>
      <c r="J928">
        <v>227.58</v>
      </c>
      <c r="K928">
        <v>5</v>
      </c>
      <c r="L928" t="s">
        <v>94</v>
      </c>
      <c r="M928">
        <v>4</v>
      </c>
      <c r="N928">
        <v>2</v>
      </c>
      <c r="O928">
        <v>1</v>
      </c>
      <c r="P928" t="s">
        <v>51</v>
      </c>
      <c r="Q928" t="s">
        <v>57</v>
      </c>
      <c r="R928">
        <v>0</v>
      </c>
      <c r="S928">
        <v>1</v>
      </c>
      <c r="T928" t="s">
        <v>69</v>
      </c>
      <c r="U928" t="s">
        <v>42</v>
      </c>
      <c r="V928" t="s">
        <v>43</v>
      </c>
      <c r="W928" s="1">
        <v>45486</v>
      </c>
      <c r="X928" t="b">
        <v>1</v>
      </c>
      <c r="Y928" t="b">
        <v>0</v>
      </c>
      <c r="Z928" t="s">
        <v>44</v>
      </c>
      <c r="AA928" t="s">
        <v>45</v>
      </c>
      <c r="AB928">
        <v>11</v>
      </c>
      <c r="AF928" t="str">
        <f>tbl_OriginalData[[#This Row],[Customer_ID]]</f>
        <v>22-981-6595</v>
      </c>
      <c r="AG928">
        <f>tbl_OriginalData[[#This Row],[Age]]</f>
        <v>26</v>
      </c>
      <c r="AH928" t="str" cm="1">
        <f t="array" ref="AH92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28" t="str">
        <f>tbl_OriginalData[[#This Row],[Gender]]</f>
        <v>Female</v>
      </c>
      <c r="AJ928" t="str">
        <f>tbl_OriginalData[[#This Row],[Income_Level]]</f>
        <v>High</v>
      </c>
      <c r="AK928" t="str">
        <f>tbl_OriginalData[[#This Row],[Marital_Status]]</f>
        <v>Single</v>
      </c>
      <c r="AL928" t="str">
        <f>tbl_OriginalData[[#This Row],[Education_Level]]</f>
        <v>High School</v>
      </c>
      <c r="AM928" t="str">
        <f>tbl_OriginalData[[#This Row],[Occupation]]</f>
        <v>High</v>
      </c>
      <c r="AN928" t="s">
        <v>2093</v>
      </c>
      <c r="AO928" t="s">
        <v>269</v>
      </c>
      <c r="AP928" t="str">
        <f>tbl_OriginalData[[#This Row],[Purchase_Category]]</f>
        <v>Furniture</v>
      </c>
      <c r="AQ928" s="4">
        <f>tbl_OriginalData[[#This Row],[Purchase_Amount]]</f>
        <v>227.58</v>
      </c>
      <c r="AR928">
        <f>tbl_OriginalData[[#This Row],[Frequency_of_Purchase]]</f>
        <v>5</v>
      </c>
      <c r="AS928" t="str">
        <f>tbl_OriginalData[[#This Row],[Purchase_Channel]]</f>
        <v>Online</v>
      </c>
      <c r="AT928">
        <f>tbl_OriginalData[[#This Row],[Brand_Loyalty]]</f>
        <v>4</v>
      </c>
      <c r="AU928">
        <f>tbl_OriginalData[[#This Row],[Product_Rating]]</f>
        <v>2</v>
      </c>
      <c r="AV928">
        <f>tbl_OriginalData[[#This Row],[Time_Spent_on_Product_Research(hours)]]*60</f>
        <v>60</v>
      </c>
      <c r="AW928" t="str">
        <f>tbl_OriginalData[[#This Row],[Social_Media_Influence]]</f>
        <v>High</v>
      </c>
      <c r="AX928" t="str">
        <f>tbl_OriginalData[[#This Row],[Discount_Sensitivity]]</f>
        <v>Not Sensitive</v>
      </c>
      <c r="AY928" s="3">
        <f>tbl_OriginalData[[#This Row],[Return_Rate]]/tbl_OriginalData[[#This Row],[Frequency_of_Purchase]]</f>
        <v>0</v>
      </c>
      <c r="AZ928">
        <f>tbl_OriginalData[[#This Row],[Customer_Satisfaction]]</f>
        <v>1</v>
      </c>
      <c r="BA928" t="str">
        <f>tbl_OriginalData[[#This Row],[Engagement_with_Ads]]</f>
        <v>Low</v>
      </c>
      <c r="BB928" t="str">
        <f>tbl_OriginalData[[#This Row],[Device_Used_for_Shopping]]</f>
        <v>Tablet</v>
      </c>
      <c r="BC928" t="str">
        <f>tbl_OriginalData[[#This Row],[Payment_Method]]</f>
        <v>Credit Card</v>
      </c>
      <c r="BD928" s="1">
        <f>tbl_OriginalData[[#This Row],[Time_of_Purchase]]</f>
        <v>45486</v>
      </c>
      <c r="BE928" t="str">
        <f>IF(tbl_OriginalData[[#This Row],[Discount_Used]]=TRUE,"Yes","No")</f>
        <v>Yes</v>
      </c>
      <c r="BF928" t="str">
        <f>IF(tbl_OriginalData[[#This Row],[Customer_Loyalty_Program_Member]]=TRUE,"Yes","No")</f>
        <v>No</v>
      </c>
      <c r="BG928" t="str">
        <f>tbl_OriginalData[[#This Row],[Purchase_Intent]]</f>
        <v>Need-based</v>
      </c>
      <c r="BH928" t="str">
        <f>tbl_OriginalData[[#This Row],[Shipping_Preference]]</f>
        <v>No Preference</v>
      </c>
      <c r="BI928">
        <f>tbl_OriginalData[[#This Row],[Time_to_Decision]]</f>
        <v>11</v>
      </c>
      <c r="BJ928" t="s">
        <v>114</v>
      </c>
      <c r="BK928" t="s">
        <v>115</v>
      </c>
      <c r="BL928" t="s">
        <v>2528</v>
      </c>
    </row>
    <row r="929" spans="1:64">
      <c r="A929" t="s">
        <v>2094</v>
      </c>
      <c r="B929">
        <v>35</v>
      </c>
      <c r="C929" t="s">
        <v>33</v>
      </c>
      <c r="D929" t="s">
        <v>51</v>
      </c>
      <c r="E929" t="s">
        <v>92</v>
      </c>
      <c r="F929" t="s">
        <v>36</v>
      </c>
      <c r="G929" t="s">
        <v>51</v>
      </c>
      <c r="H929" t="s">
        <v>2095</v>
      </c>
      <c r="I929" t="s">
        <v>147</v>
      </c>
      <c r="J929">
        <v>263.57</v>
      </c>
      <c r="K929">
        <v>2</v>
      </c>
      <c r="L929" t="s">
        <v>39</v>
      </c>
      <c r="M929">
        <v>2</v>
      </c>
      <c r="N929">
        <v>3</v>
      </c>
      <c r="O929">
        <v>0</v>
      </c>
      <c r="P929" t="s">
        <v>51</v>
      </c>
      <c r="Q929" t="s">
        <v>41</v>
      </c>
      <c r="R929">
        <v>1</v>
      </c>
      <c r="S929">
        <v>9</v>
      </c>
      <c r="T929" t="s">
        <v>40</v>
      </c>
      <c r="U929" t="s">
        <v>42</v>
      </c>
      <c r="V929" t="s">
        <v>58</v>
      </c>
      <c r="W929" s="1">
        <v>45617</v>
      </c>
      <c r="X929" t="b">
        <v>1</v>
      </c>
      <c r="Y929" t="b">
        <v>1</v>
      </c>
      <c r="Z929" t="s">
        <v>72</v>
      </c>
      <c r="AA929" t="s">
        <v>77</v>
      </c>
      <c r="AB929">
        <v>8</v>
      </c>
      <c r="AF929" t="str">
        <f>tbl_OriginalData[[#This Row],[Customer_ID]]</f>
        <v>54-002-5845</v>
      </c>
      <c r="AG929">
        <f>tbl_OriginalData[[#This Row],[Age]]</f>
        <v>35</v>
      </c>
      <c r="AH929" t="str" cm="1">
        <f t="array" ref="AH92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29" t="str">
        <f>tbl_OriginalData[[#This Row],[Gender]]</f>
        <v>Female</v>
      </c>
      <c r="AJ929" t="str">
        <f>tbl_OriginalData[[#This Row],[Income_Level]]</f>
        <v>High</v>
      </c>
      <c r="AK929" t="str">
        <f>tbl_OriginalData[[#This Row],[Marital_Status]]</f>
        <v>Divorced</v>
      </c>
      <c r="AL929" t="str">
        <f>tbl_OriginalData[[#This Row],[Education_Level]]</f>
        <v>Bachelor's</v>
      </c>
      <c r="AM929" t="str">
        <f>tbl_OriginalData[[#This Row],[Occupation]]</f>
        <v>High</v>
      </c>
      <c r="AN929" t="s">
        <v>2095</v>
      </c>
      <c r="AO929" t="s">
        <v>61</v>
      </c>
      <c r="AP929" t="str">
        <f>tbl_OriginalData[[#This Row],[Purchase_Category]]</f>
        <v>Electronics</v>
      </c>
      <c r="AQ929" s="4">
        <f>tbl_OriginalData[[#This Row],[Purchase_Amount]]</f>
        <v>263.57</v>
      </c>
      <c r="AR929">
        <f>tbl_OriginalData[[#This Row],[Frequency_of_Purchase]]</f>
        <v>2</v>
      </c>
      <c r="AS929" t="str">
        <f>tbl_OriginalData[[#This Row],[Purchase_Channel]]</f>
        <v>Mixed</v>
      </c>
      <c r="AT929">
        <f>tbl_OriginalData[[#This Row],[Brand_Loyalty]]</f>
        <v>2</v>
      </c>
      <c r="AU929">
        <f>tbl_OriginalData[[#This Row],[Product_Rating]]</f>
        <v>3</v>
      </c>
      <c r="AV929">
        <f>tbl_OriginalData[[#This Row],[Time_Spent_on_Product_Research(hours)]]*60</f>
        <v>0</v>
      </c>
      <c r="AW929" t="str">
        <f>tbl_OriginalData[[#This Row],[Social_Media_Influence]]</f>
        <v>High</v>
      </c>
      <c r="AX929" t="str">
        <f>tbl_OriginalData[[#This Row],[Discount_Sensitivity]]</f>
        <v>Somewhat Sensitive</v>
      </c>
      <c r="AY929" s="3">
        <f>tbl_OriginalData[[#This Row],[Return_Rate]]/tbl_OriginalData[[#This Row],[Frequency_of_Purchase]]</f>
        <v>0.5</v>
      </c>
      <c r="AZ929">
        <f>tbl_OriginalData[[#This Row],[Customer_Satisfaction]]</f>
        <v>9</v>
      </c>
      <c r="BA929" t="str">
        <f>tbl_OriginalData[[#This Row],[Engagement_with_Ads]]</f>
        <v>None</v>
      </c>
      <c r="BB929" t="str">
        <f>tbl_OriginalData[[#This Row],[Device_Used_for_Shopping]]</f>
        <v>Tablet</v>
      </c>
      <c r="BC929" t="str">
        <f>tbl_OriginalData[[#This Row],[Payment_Method]]</f>
        <v>PayPal</v>
      </c>
      <c r="BD929" s="1">
        <f>tbl_OriginalData[[#This Row],[Time_of_Purchase]]</f>
        <v>45617</v>
      </c>
      <c r="BE929" t="str">
        <f>IF(tbl_OriginalData[[#This Row],[Discount_Used]]=TRUE,"Yes","No")</f>
        <v>Yes</v>
      </c>
      <c r="BF929" t="str">
        <f>IF(tbl_OriginalData[[#This Row],[Customer_Loyalty_Program_Member]]=TRUE,"Yes","No")</f>
        <v>Yes</v>
      </c>
      <c r="BG929" t="str">
        <f>tbl_OriginalData[[#This Row],[Purchase_Intent]]</f>
        <v>Impulsive</v>
      </c>
      <c r="BH929" t="str">
        <f>tbl_OriginalData[[#This Row],[Shipping_Preference]]</f>
        <v>Express</v>
      </c>
      <c r="BI929">
        <f>tbl_OriginalData[[#This Row],[Time_to_Decision]]</f>
        <v>8</v>
      </c>
      <c r="BJ929" t="s">
        <v>177</v>
      </c>
      <c r="BK929" t="s">
        <v>80</v>
      </c>
      <c r="BL929" t="s">
        <v>2524</v>
      </c>
    </row>
    <row r="930" spans="1:64">
      <c r="A930" t="s">
        <v>2096</v>
      </c>
      <c r="B930">
        <v>40</v>
      </c>
      <c r="C930" t="s">
        <v>50</v>
      </c>
      <c r="D930" t="s">
        <v>51</v>
      </c>
      <c r="E930" t="s">
        <v>35</v>
      </c>
      <c r="F930" t="s">
        <v>52</v>
      </c>
      <c r="G930" t="s">
        <v>51</v>
      </c>
      <c r="H930" t="s">
        <v>2097</v>
      </c>
      <c r="I930" t="s">
        <v>153</v>
      </c>
      <c r="J930">
        <v>422.09</v>
      </c>
      <c r="K930">
        <v>3</v>
      </c>
      <c r="L930" t="s">
        <v>55</v>
      </c>
      <c r="M930">
        <v>4</v>
      </c>
      <c r="N930">
        <v>1</v>
      </c>
      <c r="O930">
        <v>1</v>
      </c>
      <c r="P930" t="s">
        <v>51</v>
      </c>
      <c r="Q930" t="s">
        <v>57</v>
      </c>
      <c r="R930">
        <v>0</v>
      </c>
      <c r="S930">
        <v>9</v>
      </c>
      <c r="T930" t="s">
        <v>56</v>
      </c>
      <c r="U930" t="s">
        <v>42</v>
      </c>
      <c r="V930" t="s">
        <v>58</v>
      </c>
      <c r="W930" s="1">
        <v>45382</v>
      </c>
      <c r="X930" t="b">
        <v>1</v>
      </c>
      <c r="Y930" t="b">
        <v>0</v>
      </c>
      <c r="Z930" t="s">
        <v>44</v>
      </c>
      <c r="AA930" t="s">
        <v>60</v>
      </c>
      <c r="AB930">
        <v>7</v>
      </c>
      <c r="AF930" t="str">
        <f>tbl_OriginalData[[#This Row],[Customer_ID]]</f>
        <v>31-927-7787</v>
      </c>
      <c r="AG930">
        <f>tbl_OriginalData[[#This Row],[Age]]</f>
        <v>40</v>
      </c>
      <c r="AH930" t="str" cm="1">
        <f t="array" ref="AH93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30" t="str">
        <f>tbl_OriginalData[[#This Row],[Gender]]</f>
        <v>Male</v>
      </c>
      <c r="AJ930" t="str">
        <f>tbl_OriginalData[[#This Row],[Income_Level]]</f>
        <v>High</v>
      </c>
      <c r="AK930" t="str">
        <f>tbl_OriginalData[[#This Row],[Marital_Status]]</f>
        <v>Married</v>
      </c>
      <c r="AL930" t="str">
        <f>tbl_OriginalData[[#This Row],[Education_Level]]</f>
        <v>High School</v>
      </c>
      <c r="AM930" t="str">
        <f>tbl_OriginalData[[#This Row],[Occupation]]</f>
        <v>High</v>
      </c>
      <c r="AN930" t="s">
        <v>2097</v>
      </c>
      <c r="AO930" t="s">
        <v>279</v>
      </c>
      <c r="AP930" t="str">
        <f>tbl_OriginalData[[#This Row],[Purchase_Category]]</f>
        <v>Baby Products</v>
      </c>
      <c r="AQ930" s="4">
        <f>tbl_OriginalData[[#This Row],[Purchase_Amount]]</f>
        <v>422.09</v>
      </c>
      <c r="AR930">
        <f>tbl_OriginalData[[#This Row],[Frequency_of_Purchase]]</f>
        <v>3</v>
      </c>
      <c r="AS930" t="str">
        <f>tbl_OriginalData[[#This Row],[Purchase_Channel]]</f>
        <v>In-Store</v>
      </c>
      <c r="AT930">
        <f>tbl_OriginalData[[#This Row],[Brand_Loyalty]]</f>
        <v>4</v>
      </c>
      <c r="AU930">
        <f>tbl_OriginalData[[#This Row],[Product_Rating]]</f>
        <v>1</v>
      </c>
      <c r="AV930">
        <f>tbl_OriginalData[[#This Row],[Time_Spent_on_Product_Research(hours)]]*60</f>
        <v>60</v>
      </c>
      <c r="AW930" t="str">
        <f>tbl_OriginalData[[#This Row],[Social_Media_Influence]]</f>
        <v>High</v>
      </c>
      <c r="AX930" t="str">
        <f>tbl_OriginalData[[#This Row],[Discount_Sensitivity]]</f>
        <v>Not Sensitive</v>
      </c>
      <c r="AY930" s="3">
        <f>tbl_OriginalData[[#This Row],[Return_Rate]]/tbl_OriginalData[[#This Row],[Frequency_of_Purchase]]</f>
        <v>0</v>
      </c>
      <c r="AZ930">
        <f>tbl_OriginalData[[#This Row],[Customer_Satisfaction]]</f>
        <v>9</v>
      </c>
      <c r="BA930" t="str">
        <f>tbl_OriginalData[[#This Row],[Engagement_with_Ads]]</f>
        <v>Medium</v>
      </c>
      <c r="BB930" t="str">
        <f>tbl_OriginalData[[#This Row],[Device_Used_for_Shopping]]</f>
        <v>Tablet</v>
      </c>
      <c r="BC930" t="str">
        <f>tbl_OriginalData[[#This Row],[Payment_Method]]</f>
        <v>PayPal</v>
      </c>
      <c r="BD930" s="1">
        <f>tbl_OriginalData[[#This Row],[Time_of_Purchase]]</f>
        <v>45382</v>
      </c>
      <c r="BE930" t="str">
        <f>IF(tbl_OriginalData[[#This Row],[Discount_Used]]=TRUE,"Yes","No")</f>
        <v>Yes</v>
      </c>
      <c r="BF930" t="str">
        <f>IF(tbl_OriginalData[[#This Row],[Customer_Loyalty_Program_Member]]=TRUE,"Yes","No")</f>
        <v>No</v>
      </c>
      <c r="BG930" t="str">
        <f>tbl_OriginalData[[#This Row],[Purchase_Intent]]</f>
        <v>Need-based</v>
      </c>
      <c r="BH930" t="str">
        <f>tbl_OriginalData[[#This Row],[Shipping_Preference]]</f>
        <v>Standard</v>
      </c>
      <c r="BI930">
        <f>tbl_OriginalData[[#This Row],[Time_to_Decision]]</f>
        <v>7</v>
      </c>
      <c r="BJ930" t="s">
        <v>47</v>
      </c>
      <c r="BK930" t="s">
        <v>48</v>
      </c>
      <c r="BL930" t="s">
        <v>2525</v>
      </c>
    </row>
    <row r="931" spans="1:64">
      <c r="A931" t="s">
        <v>2098</v>
      </c>
      <c r="B931">
        <v>35</v>
      </c>
      <c r="C931" t="s">
        <v>50</v>
      </c>
      <c r="D931" t="s">
        <v>34</v>
      </c>
      <c r="E931" t="s">
        <v>35</v>
      </c>
      <c r="F931" t="s">
        <v>66</v>
      </c>
      <c r="G931" t="s">
        <v>51</v>
      </c>
      <c r="H931" t="s">
        <v>2099</v>
      </c>
      <c r="I931" t="s">
        <v>38</v>
      </c>
      <c r="J931">
        <v>411.83</v>
      </c>
      <c r="K931">
        <v>2</v>
      </c>
      <c r="L931" t="s">
        <v>55</v>
      </c>
      <c r="M931">
        <v>2</v>
      </c>
      <c r="N931">
        <v>3</v>
      </c>
      <c r="O931">
        <v>2</v>
      </c>
      <c r="P931" t="s">
        <v>51</v>
      </c>
      <c r="Q931" t="s">
        <v>57</v>
      </c>
      <c r="R931">
        <v>1</v>
      </c>
      <c r="S931">
        <v>3</v>
      </c>
      <c r="T931" t="s">
        <v>56</v>
      </c>
      <c r="U931" t="s">
        <v>42</v>
      </c>
      <c r="V931" t="s">
        <v>58</v>
      </c>
      <c r="W931" s="1">
        <v>45410</v>
      </c>
      <c r="X931" t="b">
        <v>1</v>
      </c>
      <c r="Y931" t="b">
        <v>1</v>
      </c>
      <c r="Z931" t="s">
        <v>72</v>
      </c>
      <c r="AA931" t="s">
        <v>60</v>
      </c>
      <c r="AB931">
        <v>10</v>
      </c>
      <c r="AF931" t="str">
        <f>tbl_OriginalData[[#This Row],[Customer_ID]]</f>
        <v>46-098-9737</v>
      </c>
      <c r="AG931">
        <f>tbl_OriginalData[[#This Row],[Age]]</f>
        <v>35</v>
      </c>
      <c r="AH931" t="str" cm="1">
        <f t="array" ref="AH93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31" t="str">
        <f>tbl_OriginalData[[#This Row],[Gender]]</f>
        <v>Male</v>
      </c>
      <c r="AJ931" t="str">
        <f>tbl_OriginalData[[#This Row],[Income_Level]]</f>
        <v>Middle</v>
      </c>
      <c r="AK931" t="str">
        <f>tbl_OriginalData[[#This Row],[Marital_Status]]</f>
        <v>Married</v>
      </c>
      <c r="AL931" t="str">
        <f>tbl_OriginalData[[#This Row],[Education_Level]]</f>
        <v>Master's</v>
      </c>
      <c r="AM931" t="str">
        <f>tbl_OriginalData[[#This Row],[Occupation]]</f>
        <v>High</v>
      </c>
      <c r="AN931" t="s">
        <v>2099</v>
      </c>
      <c r="AO931" t="s">
        <v>469</v>
      </c>
      <c r="AP931" t="str">
        <f>tbl_OriginalData[[#This Row],[Purchase_Category]]</f>
        <v>Gardening &amp; Outdoors</v>
      </c>
      <c r="AQ931" s="4">
        <f>tbl_OriginalData[[#This Row],[Purchase_Amount]]</f>
        <v>411.83</v>
      </c>
      <c r="AR931">
        <f>tbl_OriginalData[[#This Row],[Frequency_of_Purchase]]</f>
        <v>2</v>
      </c>
      <c r="AS931" t="str">
        <f>tbl_OriginalData[[#This Row],[Purchase_Channel]]</f>
        <v>In-Store</v>
      </c>
      <c r="AT931">
        <f>tbl_OriginalData[[#This Row],[Brand_Loyalty]]</f>
        <v>2</v>
      </c>
      <c r="AU931">
        <f>tbl_OriginalData[[#This Row],[Product_Rating]]</f>
        <v>3</v>
      </c>
      <c r="AV931">
        <f>tbl_OriginalData[[#This Row],[Time_Spent_on_Product_Research(hours)]]*60</f>
        <v>120</v>
      </c>
      <c r="AW931" t="str">
        <f>tbl_OriginalData[[#This Row],[Social_Media_Influence]]</f>
        <v>High</v>
      </c>
      <c r="AX931" t="str">
        <f>tbl_OriginalData[[#This Row],[Discount_Sensitivity]]</f>
        <v>Not Sensitive</v>
      </c>
      <c r="AY931" s="3">
        <f>tbl_OriginalData[[#This Row],[Return_Rate]]/tbl_OriginalData[[#This Row],[Frequency_of_Purchase]]</f>
        <v>0.5</v>
      </c>
      <c r="AZ931">
        <f>tbl_OriginalData[[#This Row],[Customer_Satisfaction]]</f>
        <v>3</v>
      </c>
      <c r="BA931" t="str">
        <f>tbl_OriginalData[[#This Row],[Engagement_with_Ads]]</f>
        <v>Medium</v>
      </c>
      <c r="BB931" t="str">
        <f>tbl_OriginalData[[#This Row],[Device_Used_for_Shopping]]</f>
        <v>Tablet</v>
      </c>
      <c r="BC931" t="str">
        <f>tbl_OriginalData[[#This Row],[Payment_Method]]</f>
        <v>PayPal</v>
      </c>
      <c r="BD931" s="1">
        <f>tbl_OriginalData[[#This Row],[Time_of_Purchase]]</f>
        <v>45410</v>
      </c>
      <c r="BE931" t="str">
        <f>IF(tbl_OriginalData[[#This Row],[Discount_Used]]=TRUE,"Yes","No")</f>
        <v>Yes</v>
      </c>
      <c r="BF931" t="str">
        <f>IF(tbl_OriginalData[[#This Row],[Customer_Loyalty_Program_Member]]=TRUE,"Yes","No")</f>
        <v>Yes</v>
      </c>
      <c r="BG931" t="str">
        <f>tbl_OriginalData[[#This Row],[Purchase_Intent]]</f>
        <v>Impulsive</v>
      </c>
      <c r="BH931" t="str">
        <f>tbl_OriginalData[[#This Row],[Shipping_Preference]]</f>
        <v>Standard</v>
      </c>
      <c r="BI931">
        <f>tbl_OriginalData[[#This Row],[Time_to_Decision]]</f>
        <v>10</v>
      </c>
      <c r="BJ931" t="s">
        <v>62</v>
      </c>
      <c r="BK931" t="s">
        <v>63</v>
      </c>
      <c r="BL931" t="s">
        <v>2527</v>
      </c>
    </row>
    <row r="932" spans="1:64">
      <c r="A932" t="s">
        <v>2100</v>
      </c>
      <c r="B932">
        <v>21</v>
      </c>
      <c r="C932" t="s">
        <v>50</v>
      </c>
      <c r="D932" t="s">
        <v>34</v>
      </c>
      <c r="E932" t="s">
        <v>65</v>
      </c>
      <c r="F932" t="s">
        <v>66</v>
      </c>
      <c r="G932" t="s">
        <v>34</v>
      </c>
      <c r="H932" t="s">
        <v>2101</v>
      </c>
      <c r="I932" t="s">
        <v>150</v>
      </c>
      <c r="J932">
        <v>242.65</v>
      </c>
      <c r="K932">
        <v>3</v>
      </c>
      <c r="L932" t="s">
        <v>39</v>
      </c>
      <c r="M932">
        <v>5</v>
      </c>
      <c r="N932">
        <v>3</v>
      </c>
      <c r="O932">
        <v>0.2</v>
      </c>
      <c r="P932" t="s">
        <v>40</v>
      </c>
      <c r="Q932" t="s">
        <v>101</v>
      </c>
      <c r="R932">
        <v>2</v>
      </c>
      <c r="S932">
        <v>8</v>
      </c>
      <c r="T932" t="s">
        <v>40</v>
      </c>
      <c r="U932" t="s">
        <v>42</v>
      </c>
      <c r="V932" t="s">
        <v>102</v>
      </c>
      <c r="W932" s="1">
        <v>45482</v>
      </c>
      <c r="X932" t="b">
        <v>0</v>
      </c>
      <c r="Y932" t="b">
        <v>1</v>
      </c>
      <c r="Z932" t="s">
        <v>89</v>
      </c>
      <c r="AA932" t="s">
        <v>45</v>
      </c>
      <c r="AB932">
        <v>9</v>
      </c>
      <c r="AF932" t="str">
        <f>tbl_OriginalData[[#This Row],[Customer_ID]]</f>
        <v>27-017-7173</v>
      </c>
      <c r="AG932">
        <f>tbl_OriginalData[[#This Row],[Age]]</f>
        <v>21</v>
      </c>
      <c r="AH932" t="str" cm="1">
        <f t="array" ref="AH93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32" t="str">
        <f>tbl_OriginalData[[#This Row],[Gender]]</f>
        <v>Male</v>
      </c>
      <c r="AJ932" t="str">
        <f>tbl_OriginalData[[#This Row],[Income_Level]]</f>
        <v>Middle</v>
      </c>
      <c r="AK932" t="str">
        <f>tbl_OriginalData[[#This Row],[Marital_Status]]</f>
        <v>Single</v>
      </c>
      <c r="AL932" t="str">
        <f>tbl_OriginalData[[#This Row],[Education_Level]]</f>
        <v>Master's</v>
      </c>
      <c r="AM932" t="str">
        <f>tbl_OriginalData[[#This Row],[Occupation]]</f>
        <v>Middle</v>
      </c>
      <c r="AN932" t="s">
        <v>2101</v>
      </c>
      <c r="AO932" t="s">
        <v>161</v>
      </c>
      <c r="AP932" t="str">
        <f>tbl_OriginalData[[#This Row],[Purchase_Category]]</f>
        <v>Software &amp; Apps</v>
      </c>
      <c r="AQ932" s="4">
        <f>tbl_OriginalData[[#This Row],[Purchase_Amount]]</f>
        <v>242.65</v>
      </c>
      <c r="AR932">
        <f>tbl_OriginalData[[#This Row],[Frequency_of_Purchase]]</f>
        <v>3</v>
      </c>
      <c r="AS932" t="str">
        <f>tbl_OriginalData[[#This Row],[Purchase_Channel]]</f>
        <v>Mixed</v>
      </c>
      <c r="AT932">
        <f>tbl_OriginalData[[#This Row],[Brand_Loyalty]]</f>
        <v>5</v>
      </c>
      <c r="AU932">
        <f>tbl_OriginalData[[#This Row],[Product_Rating]]</f>
        <v>3</v>
      </c>
      <c r="AV932">
        <f>tbl_OriginalData[[#This Row],[Time_Spent_on_Product_Research(hours)]]*60</f>
        <v>12</v>
      </c>
      <c r="AW932" t="str">
        <f>tbl_OriginalData[[#This Row],[Social_Media_Influence]]</f>
        <v>None</v>
      </c>
      <c r="AX932" t="str">
        <f>tbl_OriginalData[[#This Row],[Discount_Sensitivity]]</f>
        <v>Very Sensitive</v>
      </c>
      <c r="AY932" s="3">
        <f>tbl_OriginalData[[#This Row],[Return_Rate]]/tbl_OriginalData[[#This Row],[Frequency_of_Purchase]]</f>
        <v>0.66666666666666663</v>
      </c>
      <c r="AZ932">
        <f>tbl_OriginalData[[#This Row],[Customer_Satisfaction]]</f>
        <v>8</v>
      </c>
      <c r="BA932" t="str">
        <f>tbl_OriginalData[[#This Row],[Engagement_with_Ads]]</f>
        <v>None</v>
      </c>
      <c r="BB932" t="str">
        <f>tbl_OriginalData[[#This Row],[Device_Used_for_Shopping]]</f>
        <v>Tablet</v>
      </c>
      <c r="BC932" t="str">
        <f>tbl_OriginalData[[#This Row],[Payment_Method]]</f>
        <v>Cash</v>
      </c>
      <c r="BD932" s="1">
        <f>tbl_OriginalData[[#This Row],[Time_of_Purchase]]</f>
        <v>45482</v>
      </c>
      <c r="BE932" t="str">
        <f>IF(tbl_OriginalData[[#This Row],[Discount_Used]]=TRUE,"Yes","No")</f>
        <v>No</v>
      </c>
      <c r="BF932" t="str">
        <f>IF(tbl_OriginalData[[#This Row],[Customer_Loyalty_Program_Member]]=TRUE,"Yes","No")</f>
        <v>Yes</v>
      </c>
      <c r="BG932" t="str">
        <f>tbl_OriginalData[[#This Row],[Purchase_Intent]]</f>
        <v>Planned</v>
      </c>
      <c r="BH932" t="str">
        <f>tbl_OriginalData[[#This Row],[Shipping_Preference]]</f>
        <v>No Preference</v>
      </c>
      <c r="BI932">
        <f>tbl_OriginalData[[#This Row],[Time_to_Decision]]</f>
        <v>9</v>
      </c>
      <c r="BJ932" t="s">
        <v>114</v>
      </c>
      <c r="BK932" t="s">
        <v>115</v>
      </c>
      <c r="BL932" t="s">
        <v>2527</v>
      </c>
    </row>
    <row r="933" spans="1:64">
      <c r="A933" t="s">
        <v>2102</v>
      </c>
      <c r="B933">
        <v>41</v>
      </c>
      <c r="C933" t="s">
        <v>50</v>
      </c>
      <c r="D933" t="s">
        <v>34</v>
      </c>
      <c r="E933" t="s">
        <v>82</v>
      </c>
      <c r="F933" t="s">
        <v>66</v>
      </c>
      <c r="G933" t="s">
        <v>34</v>
      </c>
      <c r="H933" t="s">
        <v>2103</v>
      </c>
      <c r="I933" t="s">
        <v>108</v>
      </c>
      <c r="J933">
        <v>298.93</v>
      </c>
      <c r="K933">
        <v>6</v>
      </c>
      <c r="L933" t="s">
        <v>39</v>
      </c>
      <c r="M933">
        <v>5</v>
      </c>
      <c r="N933">
        <v>2</v>
      </c>
      <c r="O933">
        <v>0.2</v>
      </c>
      <c r="P933" t="s">
        <v>40</v>
      </c>
      <c r="Q933" t="s">
        <v>41</v>
      </c>
      <c r="R933">
        <v>2</v>
      </c>
      <c r="S933">
        <v>1</v>
      </c>
      <c r="T933" t="s">
        <v>40</v>
      </c>
      <c r="U933" t="s">
        <v>42</v>
      </c>
      <c r="V933" t="s">
        <v>58</v>
      </c>
      <c r="W933" s="1">
        <v>45557</v>
      </c>
      <c r="X933" t="b">
        <v>1</v>
      </c>
      <c r="Y933" t="b">
        <v>1</v>
      </c>
      <c r="Z933" t="s">
        <v>89</v>
      </c>
      <c r="AA933" t="s">
        <v>77</v>
      </c>
      <c r="AB933">
        <v>2</v>
      </c>
      <c r="AF933" t="str">
        <f>tbl_OriginalData[[#This Row],[Customer_ID]]</f>
        <v>53-102-9949</v>
      </c>
      <c r="AG933">
        <f>tbl_OriginalData[[#This Row],[Age]]</f>
        <v>41</v>
      </c>
      <c r="AH933" t="str" cm="1">
        <f t="array" ref="AH93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33" t="str">
        <f>tbl_OriginalData[[#This Row],[Gender]]</f>
        <v>Male</v>
      </c>
      <c r="AJ933" t="str">
        <f>tbl_OriginalData[[#This Row],[Income_Level]]</f>
        <v>Middle</v>
      </c>
      <c r="AK933" t="str">
        <f>tbl_OriginalData[[#This Row],[Marital_Status]]</f>
        <v>Widowed</v>
      </c>
      <c r="AL933" t="str">
        <f>tbl_OriginalData[[#This Row],[Education_Level]]</f>
        <v>Master's</v>
      </c>
      <c r="AM933" t="str">
        <f>tbl_OriginalData[[#This Row],[Occupation]]</f>
        <v>Middle</v>
      </c>
      <c r="AN933" t="s">
        <v>2103</v>
      </c>
      <c r="AO933" t="s">
        <v>61</v>
      </c>
      <c r="AP933" t="str">
        <f>tbl_OriginalData[[#This Row],[Purchase_Category]]</f>
        <v>Sports &amp; Outdoors</v>
      </c>
      <c r="AQ933" s="4">
        <f>tbl_OriginalData[[#This Row],[Purchase_Amount]]</f>
        <v>298.93</v>
      </c>
      <c r="AR933">
        <f>tbl_OriginalData[[#This Row],[Frequency_of_Purchase]]</f>
        <v>6</v>
      </c>
      <c r="AS933" t="str">
        <f>tbl_OriginalData[[#This Row],[Purchase_Channel]]</f>
        <v>Mixed</v>
      </c>
      <c r="AT933">
        <f>tbl_OriginalData[[#This Row],[Brand_Loyalty]]</f>
        <v>5</v>
      </c>
      <c r="AU933">
        <f>tbl_OriginalData[[#This Row],[Product_Rating]]</f>
        <v>2</v>
      </c>
      <c r="AV933">
        <f>tbl_OriginalData[[#This Row],[Time_Spent_on_Product_Research(hours)]]*60</f>
        <v>12</v>
      </c>
      <c r="AW933" t="str">
        <f>tbl_OriginalData[[#This Row],[Social_Media_Influence]]</f>
        <v>None</v>
      </c>
      <c r="AX933" t="str">
        <f>tbl_OriginalData[[#This Row],[Discount_Sensitivity]]</f>
        <v>Somewhat Sensitive</v>
      </c>
      <c r="AY933" s="3">
        <f>tbl_OriginalData[[#This Row],[Return_Rate]]/tbl_OriginalData[[#This Row],[Frequency_of_Purchase]]</f>
        <v>0.33333333333333331</v>
      </c>
      <c r="AZ933">
        <f>tbl_OriginalData[[#This Row],[Customer_Satisfaction]]</f>
        <v>1</v>
      </c>
      <c r="BA933" t="str">
        <f>tbl_OriginalData[[#This Row],[Engagement_with_Ads]]</f>
        <v>None</v>
      </c>
      <c r="BB933" t="str">
        <f>tbl_OriginalData[[#This Row],[Device_Used_for_Shopping]]</f>
        <v>Tablet</v>
      </c>
      <c r="BC933" t="str">
        <f>tbl_OriginalData[[#This Row],[Payment_Method]]</f>
        <v>PayPal</v>
      </c>
      <c r="BD933" s="1">
        <f>tbl_OriginalData[[#This Row],[Time_of_Purchase]]</f>
        <v>45557</v>
      </c>
      <c r="BE933" t="str">
        <f>IF(tbl_OriginalData[[#This Row],[Discount_Used]]=TRUE,"Yes","No")</f>
        <v>Yes</v>
      </c>
      <c r="BF933" t="str">
        <f>IF(tbl_OriginalData[[#This Row],[Customer_Loyalty_Program_Member]]=TRUE,"Yes","No")</f>
        <v>Yes</v>
      </c>
      <c r="BG933" t="str">
        <f>tbl_OriginalData[[#This Row],[Purchase_Intent]]</f>
        <v>Planned</v>
      </c>
      <c r="BH933" t="str">
        <f>tbl_OriginalData[[#This Row],[Shipping_Preference]]</f>
        <v>Express</v>
      </c>
      <c r="BI933">
        <f>tbl_OriginalData[[#This Row],[Time_to_Decision]]</f>
        <v>2</v>
      </c>
      <c r="BJ933" t="s">
        <v>172</v>
      </c>
      <c r="BK933" t="s">
        <v>115</v>
      </c>
      <c r="BL933" t="s">
        <v>2524</v>
      </c>
    </row>
    <row r="934" spans="1:64">
      <c r="A934" t="s">
        <v>2104</v>
      </c>
      <c r="B934">
        <v>44</v>
      </c>
      <c r="C934" t="s">
        <v>33</v>
      </c>
      <c r="D934" t="s">
        <v>51</v>
      </c>
      <c r="E934" t="s">
        <v>65</v>
      </c>
      <c r="F934" t="s">
        <v>36</v>
      </c>
      <c r="G934" t="s">
        <v>51</v>
      </c>
      <c r="H934" t="s">
        <v>606</v>
      </c>
      <c r="I934" t="s">
        <v>112</v>
      </c>
      <c r="J934">
        <v>191.21</v>
      </c>
      <c r="K934">
        <v>7</v>
      </c>
      <c r="L934" t="s">
        <v>39</v>
      </c>
      <c r="M934">
        <v>5</v>
      </c>
      <c r="N934">
        <v>4</v>
      </c>
      <c r="O934">
        <v>1</v>
      </c>
      <c r="P934" t="s">
        <v>69</v>
      </c>
      <c r="Q934" t="s">
        <v>101</v>
      </c>
      <c r="R934">
        <v>2</v>
      </c>
      <c r="S934">
        <v>6</v>
      </c>
      <c r="T934" t="s">
        <v>69</v>
      </c>
      <c r="U934" t="s">
        <v>70</v>
      </c>
      <c r="V934" t="s">
        <v>71</v>
      </c>
      <c r="W934" s="1">
        <v>45386</v>
      </c>
      <c r="X934" t="b">
        <v>0</v>
      </c>
      <c r="Y934" t="b">
        <v>0</v>
      </c>
      <c r="Z934" t="s">
        <v>44</v>
      </c>
      <c r="AA934" t="s">
        <v>45</v>
      </c>
      <c r="AB934">
        <v>13</v>
      </c>
      <c r="AF934" t="str">
        <f>tbl_OriginalData[[#This Row],[Customer_ID]]</f>
        <v>02-676-9312</v>
      </c>
      <c r="AG934">
        <f>tbl_OriginalData[[#This Row],[Age]]</f>
        <v>44</v>
      </c>
      <c r="AH934" t="str" cm="1">
        <f t="array" ref="AH93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34" t="str">
        <f>tbl_OriginalData[[#This Row],[Gender]]</f>
        <v>Female</v>
      </c>
      <c r="AJ934" t="str">
        <f>tbl_OriginalData[[#This Row],[Income_Level]]</f>
        <v>High</v>
      </c>
      <c r="AK934" t="str">
        <f>tbl_OriginalData[[#This Row],[Marital_Status]]</f>
        <v>Single</v>
      </c>
      <c r="AL934" t="str">
        <f>tbl_OriginalData[[#This Row],[Education_Level]]</f>
        <v>Bachelor's</v>
      </c>
      <c r="AM934" t="str">
        <f>tbl_OriginalData[[#This Row],[Occupation]]</f>
        <v>High</v>
      </c>
      <c r="AN934" t="s">
        <v>606</v>
      </c>
      <c r="AO934" t="s">
        <v>161</v>
      </c>
      <c r="AP934" t="str">
        <f>tbl_OriginalData[[#This Row],[Purchase_Category]]</f>
        <v>Mobile Accessories</v>
      </c>
      <c r="AQ934" s="4">
        <f>tbl_OriginalData[[#This Row],[Purchase_Amount]]</f>
        <v>191.21</v>
      </c>
      <c r="AR934">
        <f>tbl_OriginalData[[#This Row],[Frequency_of_Purchase]]</f>
        <v>7</v>
      </c>
      <c r="AS934" t="str">
        <f>tbl_OriginalData[[#This Row],[Purchase_Channel]]</f>
        <v>Mixed</v>
      </c>
      <c r="AT934">
        <f>tbl_OriginalData[[#This Row],[Brand_Loyalty]]</f>
        <v>5</v>
      </c>
      <c r="AU934">
        <f>tbl_OriginalData[[#This Row],[Product_Rating]]</f>
        <v>4</v>
      </c>
      <c r="AV934">
        <f>tbl_OriginalData[[#This Row],[Time_Spent_on_Product_Research(hours)]]*60</f>
        <v>60</v>
      </c>
      <c r="AW934" t="str">
        <f>tbl_OriginalData[[#This Row],[Social_Media_Influence]]</f>
        <v>Low</v>
      </c>
      <c r="AX934" t="str">
        <f>tbl_OriginalData[[#This Row],[Discount_Sensitivity]]</f>
        <v>Very Sensitive</v>
      </c>
      <c r="AY934" s="3">
        <f>tbl_OriginalData[[#This Row],[Return_Rate]]/tbl_OriginalData[[#This Row],[Frequency_of_Purchase]]</f>
        <v>0.2857142857142857</v>
      </c>
      <c r="AZ934">
        <f>tbl_OriginalData[[#This Row],[Customer_Satisfaction]]</f>
        <v>6</v>
      </c>
      <c r="BA934" t="str">
        <f>tbl_OriginalData[[#This Row],[Engagement_with_Ads]]</f>
        <v>Low</v>
      </c>
      <c r="BB934" t="str">
        <f>tbl_OriginalData[[#This Row],[Device_Used_for_Shopping]]</f>
        <v>Smartphone</v>
      </c>
      <c r="BC934" t="str">
        <f>tbl_OriginalData[[#This Row],[Payment_Method]]</f>
        <v>Debit Card</v>
      </c>
      <c r="BD934" s="1">
        <f>tbl_OriginalData[[#This Row],[Time_of_Purchase]]</f>
        <v>45386</v>
      </c>
      <c r="BE934" t="str">
        <f>IF(tbl_OriginalData[[#This Row],[Discount_Used]]=TRUE,"Yes","No")</f>
        <v>No</v>
      </c>
      <c r="BF934" t="str">
        <f>IF(tbl_OriginalData[[#This Row],[Customer_Loyalty_Program_Member]]=TRUE,"Yes","No")</f>
        <v>No</v>
      </c>
      <c r="BG934" t="str">
        <f>tbl_OriginalData[[#This Row],[Purchase_Intent]]</f>
        <v>Need-based</v>
      </c>
      <c r="BH934" t="str">
        <f>tbl_OriginalData[[#This Row],[Shipping_Preference]]</f>
        <v>No Preference</v>
      </c>
      <c r="BI934">
        <f>tbl_OriginalData[[#This Row],[Time_to_Decision]]</f>
        <v>13</v>
      </c>
      <c r="BJ934" t="s">
        <v>62</v>
      </c>
      <c r="BK934" t="s">
        <v>63</v>
      </c>
      <c r="BL934" t="s">
        <v>2527</v>
      </c>
    </row>
    <row r="935" spans="1:64">
      <c r="A935" t="s">
        <v>2105</v>
      </c>
      <c r="B935">
        <v>44</v>
      </c>
      <c r="C935" t="s">
        <v>33</v>
      </c>
      <c r="D935" t="s">
        <v>51</v>
      </c>
      <c r="E935" t="s">
        <v>35</v>
      </c>
      <c r="F935" t="s">
        <v>66</v>
      </c>
      <c r="G935" t="s">
        <v>34</v>
      </c>
      <c r="H935" t="s">
        <v>2106</v>
      </c>
      <c r="I935" t="s">
        <v>147</v>
      </c>
      <c r="J935">
        <v>136.66999999999999</v>
      </c>
      <c r="K935">
        <v>3</v>
      </c>
      <c r="L935" t="s">
        <v>94</v>
      </c>
      <c r="M935">
        <v>3</v>
      </c>
      <c r="N935">
        <v>1</v>
      </c>
      <c r="O935">
        <v>1</v>
      </c>
      <c r="P935" t="s">
        <v>69</v>
      </c>
      <c r="Q935" t="s">
        <v>41</v>
      </c>
      <c r="R935">
        <v>0</v>
      </c>
      <c r="S935">
        <v>2</v>
      </c>
      <c r="T935" t="s">
        <v>51</v>
      </c>
      <c r="U935" t="s">
        <v>95</v>
      </c>
      <c r="V935" t="s">
        <v>58</v>
      </c>
      <c r="W935" s="1">
        <v>45463</v>
      </c>
      <c r="X935" t="b">
        <v>0</v>
      </c>
      <c r="Y935" t="b">
        <v>1</v>
      </c>
      <c r="Z935" t="s">
        <v>72</v>
      </c>
      <c r="AA935" t="s">
        <v>60</v>
      </c>
      <c r="AB935">
        <v>1</v>
      </c>
      <c r="AF935" t="str">
        <f>tbl_OriginalData[[#This Row],[Customer_ID]]</f>
        <v>28-969-7540</v>
      </c>
      <c r="AG935">
        <f>tbl_OriginalData[[#This Row],[Age]]</f>
        <v>44</v>
      </c>
      <c r="AH935" t="str" cm="1">
        <f t="array" ref="AH93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35" t="str">
        <f>tbl_OriginalData[[#This Row],[Gender]]</f>
        <v>Female</v>
      </c>
      <c r="AJ935" t="str">
        <f>tbl_OriginalData[[#This Row],[Income_Level]]</f>
        <v>High</v>
      </c>
      <c r="AK935" t="str">
        <f>tbl_OriginalData[[#This Row],[Marital_Status]]</f>
        <v>Married</v>
      </c>
      <c r="AL935" t="str">
        <f>tbl_OriginalData[[#This Row],[Education_Level]]</f>
        <v>Master's</v>
      </c>
      <c r="AM935" t="str">
        <f>tbl_OriginalData[[#This Row],[Occupation]]</f>
        <v>Middle</v>
      </c>
      <c r="AN935" t="s">
        <v>2106</v>
      </c>
      <c r="AO935" t="s">
        <v>315</v>
      </c>
      <c r="AP935" t="str">
        <f>tbl_OriginalData[[#This Row],[Purchase_Category]]</f>
        <v>Electronics</v>
      </c>
      <c r="AQ935" s="4">
        <f>tbl_OriginalData[[#This Row],[Purchase_Amount]]</f>
        <v>136.66999999999999</v>
      </c>
      <c r="AR935">
        <f>tbl_OriginalData[[#This Row],[Frequency_of_Purchase]]</f>
        <v>3</v>
      </c>
      <c r="AS935" t="str">
        <f>tbl_OriginalData[[#This Row],[Purchase_Channel]]</f>
        <v>Online</v>
      </c>
      <c r="AT935">
        <f>tbl_OriginalData[[#This Row],[Brand_Loyalty]]</f>
        <v>3</v>
      </c>
      <c r="AU935">
        <f>tbl_OriginalData[[#This Row],[Product_Rating]]</f>
        <v>1</v>
      </c>
      <c r="AV935">
        <f>tbl_OriginalData[[#This Row],[Time_Spent_on_Product_Research(hours)]]*60</f>
        <v>60</v>
      </c>
      <c r="AW935" t="str">
        <f>tbl_OriginalData[[#This Row],[Social_Media_Influence]]</f>
        <v>Low</v>
      </c>
      <c r="AX935" t="str">
        <f>tbl_OriginalData[[#This Row],[Discount_Sensitivity]]</f>
        <v>Somewhat Sensitive</v>
      </c>
      <c r="AY935" s="3">
        <f>tbl_OriginalData[[#This Row],[Return_Rate]]/tbl_OriginalData[[#This Row],[Frequency_of_Purchase]]</f>
        <v>0</v>
      </c>
      <c r="AZ935">
        <f>tbl_OriginalData[[#This Row],[Customer_Satisfaction]]</f>
        <v>2</v>
      </c>
      <c r="BA935" t="str">
        <f>tbl_OriginalData[[#This Row],[Engagement_with_Ads]]</f>
        <v>High</v>
      </c>
      <c r="BB935" t="str">
        <f>tbl_OriginalData[[#This Row],[Device_Used_for_Shopping]]</f>
        <v>Desktop</v>
      </c>
      <c r="BC935" t="str">
        <f>tbl_OriginalData[[#This Row],[Payment_Method]]</f>
        <v>PayPal</v>
      </c>
      <c r="BD935" s="1">
        <f>tbl_OriginalData[[#This Row],[Time_of_Purchase]]</f>
        <v>45463</v>
      </c>
      <c r="BE935" t="str">
        <f>IF(tbl_OriginalData[[#This Row],[Discount_Used]]=TRUE,"Yes","No")</f>
        <v>No</v>
      </c>
      <c r="BF935" t="str">
        <f>IF(tbl_OriginalData[[#This Row],[Customer_Loyalty_Program_Member]]=TRUE,"Yes","No")</f>
        <v>Yes</v>
      </c>
      <c r="BG935" t="str">
        <f>tbl_OriginalData[[#This Row],[Purchase_Intent]]</f>
        <v>Impulsive</v>
      </c>
      <c r="BH935" t="str">
        <f>tbl_OriginalData[[#This Row],[Shipping_Preference]]</f>
        <v>Standard</v>
      </c>
      <c r="BI935">
        <f>tbl_OriginalData[[#This Row],[Time_to_Decision]]</f>
        <v>1</v>
      </c>
      <c r="BJ935" t="s">
        <v>104</v>
      </c>
      <c r="BK935" t="s">
        <v>63</v>
      </c>
      <c r="BL935" t="s">
        <v>2523</v>
      </c>
    </row>
    <row r="936" spans="1:64">
      <c r="A936" t="s">
        <v>2107</v>
      </c>
      <c r="B936">
        <v>37</v>
      </c>
      <c r="C936" t="s">
        <v>50</v>
      </c>
      <c r="D936" t="s">
        <v>34</v>
      </c>
      <c r="E936" t="s">
        <v>82</v>
      </c>
      <c r="F936" t="s">
        <v>66</v>
      </c>
      <c r="G936" t="s">
        <v>51</v>
      </c>
      <c r="H936" t="s">
        <v>2108</v>
      </c>
      <c r="I936" t="s">
        <v>108</v>
      </c>
      <c r="J936">
        <v>324.11</v>
      </c>
      <c r="K936">
        <v>11</v>
      </c>
      <c r="L936" t="s">
        <v>94</v>
      </c>
      <c r="M936">
        <v>3</v>
      </c>
      <c r="N936">
        <v>3</v>
      </c>
      <c r="O936">
        <v>2</v>
      </c>
      <c r="P936" t="s">
        <v>40</v>
      </c>
      <c r="Q936" t="s">
        <v>101</v>
      </c>
      <c r="R936">
        <v>0</v>
      </c>
      <c r="S936">
        <v>2</v>
      </c>
      <c r="T936" t="s">
        <v>69</v>
      </c>
      <c r="U936" t="s">
        <v>70</v>
      </c>
      <c r="V936" t="s">
        <v>102</v>
      </c>
      <c r="W936" s="1">
        <v>45373</v>
      </c>
      <c r="X936" t="b">
        <v>0</v>
      </c>
      <c r="Y936" t="b">
        <v>0</v>
      </c>
      <c r="Z936" t="s">
        <v>72</v>
      </c>
      <c r="AA936" t="s">
        <v>45</v>
      </c>
      <c r="AB936">
        <v>7</v>
      </c>
      <c r="AF936" t="str">
        <f>tbl_OriginalData[[#This Row],[Customer_ID]]</f>
        <v>30-083-9565</v>
      </c>
      <c r="AG936">
        <f>tbl_OriginalData[[#This Row],[Age]]</f>
        <v>37</v>
      </c>
      <c r="AH936" t="str" cm="1">
        <f t="array" ref="AH93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36" t="str">
        <f>tbl_OriginalData[[#This Row],[Gender]]</f>
        <v>Male</v>
      </c>
      <c r="AJ936" t="str">
        <f>tbl_OriginalData[[#This Row],[Income_Level]]</f>
        <v>Middle</v>
      </c>
      <c r="AK936" t="str">
        <f>tbl_OriginalData[[#This Row],[Marital_Status]]</f>
        <v>Widowed</v>
      </c>
      <c r="AL936" t="str">
        <f>tbl_OriginalData[[#This Row],[Education_Level]]</f>
        <v>Master's</v>
      </c>
      <c r="AM936" t="str">
        <f>tbl_OriginalData[[#This Row],[Occupation]]</f>
        <v>High</v>
      </c>
      <c r="AN936" t="s">
        <v>2108</v>
      </c>
      <c r="AO936" t="s">
        <v>90</v>
      </c>
      <c r="AP936" t="str">
        <f>tbl_OriginalData[[#This Row],[Purchase_Category]]</f>
        <v>Sports &amp; Outdoors</v>
      </c>
      <c r="AQ936" s="4">
        <f>tbl_OriginalData[[#This Row],[Purchase_Amount]]</f>
        <v>324.11</v>
      </c>
      <c r="AR936">
        <f>tbl_OriginalData[[#This Row],[Frequency_of_Purchase]]</f>
        <v>11</v>
      </c>
      <c r="AS936" t="str">
        <f>tbl_OriginalData[[#This Row],[Purchase_Channel]]</f>
        <v>Online</v>
      </c>
      <c r="AT936">
        <f>tbl_OriginalData[[#This Row],[Brand_Loyalty]]</f>
        <v>3</v>
      </c>
      <c r="AU936">
        <f>tbl_OriginalData[[#This Row],[Product_Rating]]</f>
        <v>3</v>
      </c>
      <c r="AV936">
        <f>tbl_OriginalData[[#This Row],[Time_Spent_on_Product_Research(hours)]]*60</f>
        <v>120</v>
      </c>
      <c r="AW936" t="str">
        <f>tbl_OriginalData[[#This Row],[Social_Media_Influence]]</f>
        <v>None</v>
      </c>
      <c r="AX936" t="str">
        <f>tbl_OriginalData[[#This Row],[Discount_Sensitivity]]</f>
        <v>Very Sensitive</v>
      </c>
      <c r="AY936" s="3">
        <f>tbl_OriginalData[[#This Row],[Return_Rate]]/tbl_OriginalData[[#This Row],[Frequency_of_Purchase]]</f>
        <v>0</v>
      </c>
      <c r="AZ936">
        <f>tbl_OriginalData[[#This Row],[Customer_Satisfaction]]</f>
        <v>2</v>
      </c>
      <c r="BA936" t="str">
        <f>tbl_OriginalData[[#This Row],[Engagement_with_Ads]]</f>
        <v>Low</v>
      </c>
      <c r="BB936" t="str">
        <f>tbl_OriginalData[[#This Row],[Device_Used_for_Shopping]]</f>
        <v>Smartphone</v>
      </c>
      <c r="BC936" t="str">
        <f>tbl_OriginalData[[#This Row],[Payment_Method]]</f>
        <v>Cash</v>
      </c>
      <c r="BD936" s="1">
        <f>tbl_OriginalData[[#This Row],[Time_of_Purchase]]</f>
        <v>45373</v>
      </c>
      <c r="BE936" t="str">
        <f>IF(tbl_OriginalData[[#This Row],[Discount_Used]]=TRUE,"Yes","No")</f>
        <v>No</v>
      </c>
      <c r="BF936" t="str">
        <f>IF(tbl_OriginalData[[#This Row],[Customer_Loyalty_Program_Member]]=TRUE,"Yes","No")</f>
        <v>No</v>
      </c>
      <c r="BG936" t="str">
        <f>tbl_OriginalData[[#This Row],[Purchase_Intent]]</f>
        <v>Impulsive</v>
      </c>
      <c r="BH936" t="str">
        <f>tbl_OriginalData[[#This Row],[Shipping_Preference]]</f>
        <v>No Preference</v>
      </c>
      <c r="BI936">
        <f>tbl_OriginalData[[#This Row],[Time_to_Decision]]</f>
        <v>7</v>
      </c>
      <c r="BJ936" t="s">
        <v>47</v>
      </c>
      <c r="BK936" t="s">
        <v>48</v>
      </c>
      <c r="BL936" t="s">
        <v>2524</v>
      </c>
    </row>
    <row r="937" spans="1:64">
      <c r="A937" t="s">
        <v>2109</v>
      </c>
      <c r="B937">
        <v>40</v>
      </c>
      <c r="C937" t="s">
        <v>33</v>
      </c>
      <c r="D937" t="s">
        <v>51</v>
      </c>
      <c r="E937" t="s">
        <v>82</v>
      </c>
      <c r="F937" t="s">
        <v>36</v>
      </c>
      <c r="G937" t="s">
        <v>51</v>
      </c>
      <c r="H937" t="s">
        <v>2110</v>
      </c>
      <c r="I937" t="s">
        <v>127</v>
      </c>
      <c r="J937">
        <v>105.64</v>
      </c>
      <c r="K937">
        <v>6</v>
      </c>
      <c r="L937" t="s">
        <v>94</v>
      </c>
      <c r="M937">
        <v>1</v>
      </c>
      <c r="N937">
        <v>3</v>
      </c>
      <c r="O937">
        <v>0</v>
      </c>
      <c r="P937" t="s">
        <v>69</v>
      </c>
      <c r="Q937" t="s">
        <v>101</v>
      </c>
      <c r="R937">
        <v>2</v>
      </c>
      <c r="S937">
        <v>1</v>
      </c>
      <c r="T937" t="s">
        <v>40</v>
      </c>
      <c r="U937" t="s">
        <v>70</v>
      </c>
      <c r="V937" t="s">
        <v>76</v>
      </c>
      <c r="W937" s="1">
        <v>45388</v>
      </c>
      <c r="X937" t="b">
        <v>1</v>
      </c>
      <c r="Y937" t="b">
        <v>1</v>
      </c>
      <c r="Z937" t="s">
        <v>89</v>
      </c>
      <c r="AA937" t="s">
        <v>45</v>
      </c>
      <c r="AB937">
        <v>12</v>
      </c>
      <c r="AF937" t="str">
        <f>tbl_OriginalData[[#This Row],[Customer_ID]]</f>
        <v>30-975-0306</v>
      </c>
      <c r="AG937">
        <f>tbl_OriginalData[[#This Row],[Age]]</f>
        <v>40</v>
      </c>
      <c r="AH937" t="str" cm="1">
        <f t="array" ref="AH93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37" t="str">
        <f>tbl_OriginalData[[#This Row],[Gender]]</f>
        <v>Female</v>
      </c>
      <c r="AJ937" t="str">
        <f>tbl_OriginalData[[#This Row],[Income_Level]]</f>
        <v>High</v>
      </c>
      <c r="AK937" t="str">
        <f>tbl_OriginalData[[#This Row],[Marital_Status]]</f>
        <v>Widowed</v>
      </c>
      <c r="AL937" t="str">
        <f>tbl_OriginalData[[#This Row],[Education_Level]]</f>
        <v>Bachelor's</v>
      </c>
      <c r="AM937" t="str">
        <f>tbl_OriginalData[[#This Row],[Occupation]]</f>
        <v>High</v>
      </c>
      <c r="AN937" t="s">
        <v>2110</v>
      </c>
      <c r="AO937" t="s">
        <v>61</v>
      </c>
      <c r="AP937" t="str">
        <f>tbl_OriginalData[[#This Row],[Purchase_Category]]</f>
        <v>Animal Feed</v>
      </c>
      <c r="AQ937" s="4">
        <f>tbl_OriginalData[[#This Row],[Purchase_Amount]]</f>
        <v>105.64</v>
      </c>
      <c r="AR937">
        <f>tbl_OriginalData[[#This Row],[Frequency_of_Purchase]]</f>
        <v>6</v>
      </c>
      <c r="AS937" t="str">
        <f>tbl_OriginalData[[#This Row],[Purchase_Channel]]</f>
        <v>Online</v>
      </c>
      <c r="AT937">
        <f>tbl_OriginalData[[#This Row],[Brand_Loyalty]]</f>
        <v>1</v>
      </c>
      <c r="AU937">
        <f>tbl_OriginalData[[#This Row],[Product_Rating]]</f>
        <v>3</v>
      </c>
      <c r="AV937">
        <f>tbl_OriginalData[[#This Row],[Time_Spent_on_Product_Research(hours)]]*60</f>
        <v>0</v>
      </c>
      <c r="AW937" t="str">
        <f>tbl_OriginalData[[#This Row],[Social_Media_Influence]]</f>
        <v>Low</v>
      </c>
      <c r="AX937" t="str">
        <f>tbl_OriginalData[[#This Row],[Discount_Sensitivity]]</f>
        <v>Very Sensitive</v>
      </c>
      <c r="AY937" s="3">
        <f>tbl_OriginalData[[#This Row],[Return_Rate]]/tbl_OriginalData[[#This Row],[Frequency_of_Purchase]]</f>
        <v>0.33333333333333331</v>
      </c>
      <c r="AZ937">
        <f>tbl_OriginalData[[#This Row],[Customer_Satisfaction]]</f>
        <v>1</v>
      </c>
      <c r="BA937" t="str">
        <f>tbl_OriginalData[[#This Row],[Engagement_with_Ads]]</f>
        <v>None</v>
      </c>
      <c r="BB937" t="str">
        <f>tbl_OriginalData[[#This Row],[Device_Used_for_Shopping]]</f>
        <v>Smartphone</v>
      </c>
      <c r="BC937" t="str">
        <f>tbl_OriginalData[[#This Row],[Payment_Method]]</f>
        <v>Other</v>
      </c>
      <c r="BD937" s="1">
        <f>tbl_OriginalData[[#This Row],[Time_of_Purchase]]</f>
        <v>45388</v>
      </c>
      <c r="BE937" t="str">
        <f>IF(tbl_OriginalData[[#This Row],[Discount_Used]]=TRUE,"Yes","No")</f>
        <v>Yes</v>
      </c>
      <c r="BF937" t="str">
        <f>IF(tbl_OriginalData[[#This Row],[Customer_Loyalty_Program_Member]]=TRUE,"Yes","No")</f>
        <v>Yes</v>
      </c>
      <c r="BG937" t="str">
        <f>tbl_OriginalData[[#This Row],[Purchase_Intent]]</f>
        <v>Planned</v>
      </c>
      <c r="BH937" t="str">
        <f>tbl_OriginalData[[#This Row],[Shipping_Preference]]</f>
        <v>No Preference</v>
      </c>
      <c r="BI937">
        <f>tbl_OriginalData[[#This Row],[Time_to_Decision]]</f>
        <v>12</v>
      </c>
      <c r="BJ937" t="s">
        <v>62</v>
      </c>
      <c r="BK937" t="s">
        <v>63</v>
      </c>
      <c r="BL937" t="s">
        <v>2524</v>
      </c>
    </row>
    <row r="938" spans="1:64">
      <c r="A938" t="s">
        <v>2111</v>
      </c>
      <c r="B938">
        <v>43</v>
      </c>
      <c r="C938" t="s">
        <v>50</v>
      </c>
      <c r="D938" t="s">
        <v>51</v>
      </c>
      <c r="E938" t="s">
        <v>82</v>
      </c>
      <c r="F938" t="s">
        <v>66</v>
      </c>
      <c r="G938" t="s">
        <v>51</v>
      </c>
      <c r="H938" t="s">
        <v>2112</v>
      </c>
      <c r="I938" t="s">
        <v>147</v>
      </c>
      <c r="J938">
        <v>295.60000000000002</v>
      </c>
      <c r="K938">
        <v>10</v>
      </c>
      <c r="L938" t="s">
        <v>94</v>
      </c>
      <c r="M938">
        <v>1</v>
      </c>
      <c r="N938">
        <v>2</v>
      </c>
      <c r="O938">
        <v>1</v>
      </c>
      <c r="P938" t="s">
        <v>51</v>
      </c>
      <c r="Q938" t="s">
        <v>41</v>
      </c>
      <c r="R938">
        <v>0</v>
      </c>
      <c r="S938">
        <v>9</v>
      </c>
      <c r="T938" t="s">
        <v>69</v>
      </c>
      <c r="U938" t="s">
        <v>95</v>
      </c>
      <c r="V938" t="s">
        <v>43</v>
      </c>
      <c r="W938" s="1">
        <v>45432</v>
      </c>
      <c r="X938" t="b">
        <v>1</v>
      </c>
      <c r="Y938" t="b">
        <v>1</v>
      </c>
      <c r="Z938" t="s">
        <v>44</v>
      </c>
      <c r="AA938" t="s">
        <v>60</v>
      </c>
      <c r="AB938">
        <v>5</v>
      </c>
      <c r="AF938" t="str">
        <f>tbl_OriginalData[[#This Row],[Customer_ID]]</f>
        <v>14-364-4904</v>
      </c>
      <c r="AG938">
        <f>tbl_OriginalData[[#This Row],[Age]]</f>
        <v>43</v>
      </c>
      <c r="AH938" t="str" cm="1">
        <f t="array" ref="AH93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38" t="str">
        <f>tbl_OriginalData[[#This Row],[Gender]]</f>
        <v>Male</v>
      </c>
      <c r="AJ938" t="str">
        <f>tbl_OriginalData[[#This Row],[Income_Level]]</f>
        <v>High</v>
      </c>
      <c r="AK938" t="str">
        <f>tbl_OriginalData[[#This Row],[Marital_Status]]</f>
        <v>Widowed</v>
      </c>
      <c r="AL938" t="str">
        <f>tbl_OriginalData[[#This Row],[Education_Level]]</f>
        <v>Master's</v>
      </c>
      <c r="AM938" t="str">
        <f>tbl_OriginalData[[#This Row],[Occupation]]</f>
        <v>High</v>
      </c>
      <c r="AN938" t="s">
        <v>2112</v>
      </c>
      <c r="AO938" t="s">
        <v>46</v>
      </c>
      <c r="AP938" t="str">
        <f>tbl_OriginalData[[#This Row],[Purchase_Category]]</f>
        <v>Electronics</v>
      </c>
      <c r="AQ938" s="4">
        <f>tbl_OriginalData[[#This Row],[Purchase_Amount]]</f>
        <v>295.60000000000002</v>
      </c>
      <c r="AR938">
        <f>tbl_OriginalData[[#This Row],[Frequency_of_Purchase]]</f>
        <v>10</v>
      </c>
      <c r="AS938" t="str">
        <f>tbl_OriginalData[[#This Row],[Purchase_Channel]]</f>
        <v>Online</v>
      </c>
      <c r="AT938">
        <f>tbl_OriginalData[[#This Row],[Brand_Loyalty]]</f>
        <v>1</v>
      </c>
      <c r="AU938">
        <f>tbl_OriginalData[[#This Row],[Product_Rating]]</f>
        <v>2</v>
      </c>
      <c r="AV938">
        <f>tbl_OriginalData[[#This Row],[Time_Spent_on_Product_Research(hours)]]*60</f>
        <v>60</v>
      </c>
      <c r="AW938" t="str">
        <f>tbl_OriginalData[[#This Row],[Social_Media_Influence]]</f>
        <v>High</v>
      </c>
      <c r="AX938" t="str">
        <f>tbl_OriginalData[[#This Row],[Discount_Sensitivity]]</f>
        <v>Somewhat Sensitive</v>
      </c>
      <c r="AY938" s="3">
        <f>tbl_OriginalData[[#This Row],[Return_Rate]]/tbl_OriginalData[[#This Row],[Frequency_of_Purchase]]</f>
        <v>0</v>
      </c>
      <c r="AZ938">
        <f>tbl_OriginalData[[#This Row],[Customer_Satisfaction]]</f>
        <v>9</v>
      </c>
      <c r="BA938" t="str">
        <f>tbl_OriginalData[[#This Row],[Engagement_with_Ads]]</f>
        <v>Low</v>
      </c>
      <c r="BB938" t="str">
        <f>tbl_OriginalData[[#This Row],[Device_Used_for_Shopping]]</f>
        <v>Desktop</v>
      </c>
      <c r="BC938" t="str">
        <f>tbl_OriginalData[[#This Row],[Payment_Method]]</f>
        <v>Credit Card</v>
      </c>
      <c r="BD938" s="1">
        <f>tbl_OriginalData[[#This Row],[Time_of_Purchase]]</f>
        <v>45432</v>
      </c>
      <c r="BE938" t="str">
        <f>IF(tbl_OriginalData[[#This Row],[Discount_Used]]=TRUE,"Yes","No")</f>
        <v>Yes</v>
      </c>
      <c r="BF938" t="str">
        <f>IF(tbl_OriginalData[[#This Row],[Customer_Loyalty_Program_Member]]=TRUE,"Yes","No")</f>
        <v>Yes</v>
      </c>
      <c r="BG938" t="str">
        <f>tbl_OriginalData[[#This Row],[Purchase_Intent]]</f>
        <v>Need-based</v>
      </c>
      <c r="BH938" t="str">
        <f>tbl_OriginalData[[#This Row],[Shipping_Preference]]</f>
        <v>Standard</v>
      </c>
      <c r="BI938">
        <f>tbl_OriginalData[[#This Row],[Time_to_Decision]]</f>
        <v>5</v>
      </c>
      <c r="BJ938" t="s">
        <v>167</v>
      </c>
      <c r="BK938" t="s">
        <v>63</v>
      </c>
      <c r="BL938" t="s">
        <v>2523</v>
      </c>
    </row>
    <row r="939" spans="1:64">
      <c r="A939" t="s">
        <v>2113</v>
      </c>
      <c r="B939">
        <v>48</v>
      </c>
      <c r="C939" t="s">
        <v>50</v>
      </c>
      <c r="D939" t="s">
        <v>34</v>
      </c>
      <c r="E939" t="s">
        <v>65</v>
      </c>
      <c r="F939" t="s">
        <v>66</v>
      </c>
      <c r="G939" t="s">
        <v>51</v>
      </c>
      <c r="H939" t="s">
        <v>2114</v>
      </c>
      <c r="I939" t="s">
        <v>127</v>
      </c>
      <c r="J939">
        <v>227.03</v>
      </c>
      <c r="K939">
        <v>9</v>
      </c>
      <c r="L939" t="s">
        <v>55</v>
      </c>
      <c r="M939">
        <v>4</v>
      </c>
      <c r="N939">
        <v>4</v>
      </c>
      <c r="O939">
        <v>2</v>
      </c>
      <c r="P939" t="s">
        <v>69</v>
      </c>
      <c r="Q939" t="s">
        <v>57</v>
      </c>
      <c r="R939">
        <v>2</v>
      </c>
      <c r="S939">
        <v>7</v>
      </c>
      <c r="T939" t="s">
        <v>51</v>
      </c>
      <c r="U939" t="s">
        <v>42</v>
      </c>
      <c r="V939" t="s">
        <v>76</v>
      </c>
      <c r="W939" s="1">
        <v>45391</v>
      </c>
      <c r="X939" t="b">
        <v>1</v>
      </c>
      <c r="Y939" t="b">
        <v>1</v>
      </c>
      <c r="Z939" t="s">
        <v>44</v>
      </c>
      <c r="AA939" t="s">
        <v>45</v>
      </c>
      <c r="AB939">
        <v>4</v>
      </c>
      <c r="AF939" t="str">
        <f>tbl_OriginalData[[#This Row],[Customer_ID]]</f>
        <v>08-652-2085</v>
      </c>
      <c r="AG939">
        <f>tbl_OriginalData[[#This Row],[Age]]</f>
        <v>48</v>
      </c>
      <c r="AH939" t="str" cm="1">
        <f t="array" ref="AH93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39" t="str">
        <f>tbl_OriginalData[[#This Row],[Gender]]</f>
        <v>Male</v>
      </c>
      <c r="AJ939" t="str">
        <f>tbl_OriginalData[[#This Row],[Income_Level]]</f>
        <v>Middle</v>
      </c>
      <c r="AK939" t="str">
        <f>tbl_OriginalData[[#This Row],[Marital_Status]]</f>
        <v>Single</v>
      </c>
      <c r="AL939" t="str">
        <f>tbl_OriginalData[[#This Row],[Education_Level]]</f>
        <v>Master's</v>
      </c>
      <c r="AM939" t="str">
        <f>tbl_OriginalData[[#This Row],[Occupation]]</f>
        <v>High</v>
      </c>
      <c r="AN939" t="s">
        <v>2114</v>
      </c>
      <c r="AO939" t="s">
        <v>171</v>
      </c>
      <c r="AP939" t="str">
        <f>tbl_OriginalData[[#This Row],[Purchase_Category]]</f>
        <v>Animal Feed</v>
      </c>
      <c r="AQ939" s="4">
        <f>tbl_OriginalData[[#This Row],[Purchase_Amount]]</f>
        <v>227.03</v>
      </c>
      <c r="AR939">
        <f>tbl_OriginalData[[#This Row],[Frequency_of_Purchase]]</f>
        <v>9</v>
      </c>
      <c r="AS939" t="str">
        <f>tbl_OriginalData[[#This Row],[Purchase_Channel]]</f>
        <v>In-Store</v>
      </c>
      <c r="AT939">
        <f>tbl_OriginalData[[#This Row],[Brand_Loyalty]]</f>
        <v>4</v>
      </c>
      <c r="AU939">
        <f>tbl_OriginalData[[#This Row],[Product_Rating]]</f>
        <v>4</v>
      </c>
      <c r="AV939">
        <f>tbl_OriginalData[[#This Row],[Time_Spent_on_Product_Research(hours)]]*60</f>
        <v>120</v>
      </c>
      <c r="AW939" t="str">
        <f>tbl_OriginalData[[#This Row],[Social_Media_Influence]]</f>
        <v>Low</v>
      </c>
      <c r="AX939" t="str">
        <f>tbl_OriginalData[[#This Row],[Discount_Sensitivity]]</f>
        <v>Not Sensitive</v>
      </c>
      <c r="AY939" s="3">
        <f>tbl_OriginalData[[#This Row],[Return_Rate]]/tbl_OriginalData[[#This Row],[Frequency_of_Purchase]]</f>
        <v>0.22222222222222221</v>
      </c>
      <c r="AZ939">
        <f>tbl_OriginalData[[#This Row],[Customer_Satisfaction]]</f>
        <v>7</v>
      </c>
      <c r="BA939" t="str">
        <f>tbl_OriginalData[[#This Row],[Engagement_with_Ads]]</f>
        <v>High</v>
      </c>
      <c r="BB939" t="str">
        <f>tbl_OriginalData[[#This Row],[Device_Used_for_Shopping]]</f>
        <v>Tablet</v>
      </c>
      <c r="BC939" t="str">
        <f>tbl_OriginalData[[#This Row],[Payment_Method]]</f>
        <v>Other</v>
      </c>
      <c r="BD939" s="1">
        <f>tbl_OriginalData[[#This Row],[Time_of_Purchase]]</f>
        <v>45391</v>
      </c>
      <c r="BE939" t="str">
        <f>IF(tbl_OriginalData[[#This Row],[Discount_Used]]=TRUE,"Yes","No")</f>
        <v>Yes</v>
      </c>
      <c r="BF939" t="str">
        <f>IF(tbl_OriginalData[[#This Row],[Customer_Loyalty_Program_Member]]=TRUE,"Yes","No")</f>
        <v>Yes</v>
      </c>
      <c r="BG939" t="str">
        <f>tbl_OriginalData[[#This Row],[Purchase_Intent]]</f>
        <v>Need-based</v>
      </c>
      <c r="BH939" t="str">
        <f>tbl_OriginalData[[#This Row],[Shipping_Preference]]</f>
        <v>No Preference</v>
      </c>
      <c r="BI939">
        <f>tbl_OriginalData[[#This Row],[Time_to_Decision]]</f>
        <v>4</v>
      </c>
      <c r="BJ939" t="s">
        <v>62</v>
      </c>
      <c r="BK939" t="s">
        <v>63</v>
      </c>
      <c r="BL939" t="s">
        <v>2523</v>
      </c>
    </row>
    <row r="940" spans="1:64">
      <c r="A940" t="s">
        <v>2115</v>
      </c>
      <c r="B940">
        <v>32</v>
      </c>
      <c r="C940" t="s">
        <v>33</v>
      </c>
      <c r="D940" t="s">
        <v>51</v>
      </c>
      <c r="E940" t="s">
        <v>92</v>
      </c>
      <c r="F940" t="s">
        <v>36</v>
      </c>
      <c r="G940" t="s">
        <v>34</v>
      </c>
      <c r="H940" t="s">
        <v>2116</v>
      </c>
      <c r="I940" t="s">
        <v>135</v>
      </c>
      <c r="J940">
        <v>485.77</v>
      </c>
      <c r="K940">
        <v>10</v>
      </c>
      <c r="L940" t="s">
        <v>39</v>
      </c>
      <c r="M940">
        <v>1</v>
      </c>
      <c r="N940">
        <v>2</v>
      </c>
      <c r="O940">
        <v>0</v>
      </c>
      <c r="P940" t="s">
        <v>69</v>
      </c>
      <c r="Q940" t="s">
        <v>57</v>
      </c>
      <c r="R940">
        <v>2</v>
      </c>
      <c r="S940">
        <v>6</v>
      </c>
      <c r="T940" t="s">
        <v>40</v>
      </c>
      <c r="U940" t="s">
        <v>42</v>
      </c>
      <c r="V940" t="s">
        <v>102</v>
      </c>
      <c r="W940" s="1">
        <v>45630</v>
      </c>
      <c r="X940" t="b">
        <v>0</v>
      </c>
      <c r="Y940" t="b">
        <v>0</v>
      </c>
      <c r="Z940" t="s">
        <v>89</v>
      </c>
      <c r="AA940" t="s">
        <v>45</v>
      </c>
      <c r="AB940">
        <v>6</v>
      </c>
      <c r="AF940" t="str">
        <f>tbl_OriginalData[[#This Row],[Customer_ID]]</f>
        <v>67-037-2087</v>
      </c>
      <c r="AG940">
        <f>tbl_OriginalData[[#This Row],[Age]]</f>
        <v>32</v>
      </c>
      <c r="AH940" t="str" cm="1">
        <f t="array" ref="AH94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40" t="str">
        <f>tbl_OriginalData[[#This Row],[Gender]]</f>
        <v>Female</v>
      </c>
      <c r="AJ940" t="str">
        <f>tbl_OriginalData[[#This Row],[Income_Level]]</f>
        <v>High</v>
      </c>
      <c r="AK940" t="str">
        <f>tbl_OriginalData[[#This Row],[Marital_Status]]</f>
        <v>Divorced</v>
      </c>
      <c r="AL940" t="str">
        <f>tbl_OriginalData[[#This Row],[Education_Level]]</f>
        <v>Bachelor's</v>
      </c>
      <c r="AM940" t="str">
        <f>tbl_OriginalData[[#This Row],[Occupation]]</f>
        <v>Middle</v>
      </c>
      <c r="AN940" t="s">
        <v>2116</v>
      </c>
      <c r="AO940" t="s">
        <v>2117</v>
      </c>
      <c r="AP940" t="str">
        <f>tbl_OriginalData[[#This Row],[Purchase_Category]]</f>
        <v>Hotels</v>
      </c>
      <c r="AQ940" s="4">
        <f>tbl_OriginalData[[#This Row],[Purchase_Amount]]</f>
        <v>485.77</v>
      </c>
      <c r="AR940">
        <f>tbl_OriginalData[[#This Row],[Frequency_of_Purchase]]</f>
        <v>10</v>
      </c>
      <c r="AS940" t="str">
        <f>tbl_OriginalData[[#This Row],[Purchase_Channel]]</f>
        <v>Mixed</v>
      </c>
      <c r="AT940">
        <f>tbl_OriginalData[[#This Row],[Brand_Loyalty]]</f>
        <v>1</v>
      </c>
      <c r="AU940">
        <f>tbl_OriginalData[[#This Row],[Product_Rating]]</f>
        <v>2</v>
      </c>
      <c r="AV940">
        <f>tbl_OriginalData[[#This Row],[Time_Spent_on_Product_Research(hours)]]*60</f>
        <v>0</v>
      </c>
      <c r="AW940" t="str">
        <f>tbl_OriginalData[[#This Row],[Social_Media_Influence]]</f>
        <v>Low</v>
      </c>
      <c r="AX940" t="str">
        <f>tbl_OriginalData[[#This Row],[Discount_Sensitivity]]</f>
        <v>Not Sensitive</v>
      </c>
      <c r="AY940" s="3">
        <f>tbl_OriginalData[[#This Row],[Return_Rate]]/tbl_OriginalData[[#This Row],[Frequency_of_Purchase]]</f>
        <v>0.2</v>
      </c>
      <c r="AZ940">
        <f>tbl_OriginalData[[#This Row],[Customer_Satisfaction]]</f>
        <v>6</v>
      </c>
      <c r="BA940" t="str">
        <f>tbl_OriginalData[[#This Row],[Engagement_with_Ads]]</f>
        <v>None</v>
      </c>
      <c r="BB940" t="str">
        <f>tbl_OriginalData[[#This Row],[Device_Used_for_Shopping]]</f>
        <v>Tablet</v>
      </c>
      <c r="BC940" t="str">
        <f>tbl_OriginalData[[#This Row],[Payment_Method]]</f>
        <v>Cash</v>
      </c>
      <c r="BD940" s="1">
        <f>tbl_OriginalData[[#This Row],[Time_of_Purchase]]</f>
        <v>45630</v>
      </c>
      <c r="BE940" t="str">
        <f>IF(tbl_OriginalData[[#This Row],[Discount_Used]]=TRUE,"Yes","No")</f>
        <v>No</v>
      </c>
      <c r="BF940" t="str">
        <f>IF(tbl_OriginalData[[#This Row],[Customer_Loyalty_Program_Member]]=TRUE,"Yes","No")</f>
        <v>No</v>
      </c>
      <c r="BG940" t="str">
        <f>tbl_OriginalData[[#This Row],[Purchase_Intent]]</f>
        <v>Planned</v>
      </c>
      <c r="BH940" t="str">
        <f>tbl_OriginalData[[#This Row],[Shipping_Preference]]</f>
        <v>No Preference</v>
      </c>
      <c r="BI940">
        <f>tbl_OriginalData[[#This Row],[Time_to_Decision]]</f>
        <v>6</v>
      </c>
      <c r="BJ940" t="s">
        <v>120</v>
      </c>
      <c r="BK940" t="s">
        <v>80</v>
      </c>
      <c r="BL940" t="s">
        <v>2528</v>
      </c>
    </row>
    <row r="941" spans="1:64">
      <c r="A941" t="s">
        <v>2118</v>
      </c>
      <c r="B941">
        <v>37</v>
      </c>
      <c r="C941" t="s">
        <v>33</v>
      </c>
      <c r="D941" t="s">
        <v>34</v>
      </c>
      <c r="E941" t="s">
        <v>82</v>
      </c>
      <c r="F941" t="s">
        <v>52</v>
      </c>
      <c r="G941" t="s">
        <v>51</v>
      </c>
      <c r="H941" t="s">
        <v>2119</v>
      </c>
      <c r="I941" t="s">
        <v>127</v>
      </c>
      <c r="J941">
        <v>173.43</v>
      </c>
      <c r="K941">
        <v>4</v>
      </c>
      <c r="L941" t="s">
        <v>55</v>
      </c>
      <c r="M941">
        <v>3</v>
      </c>
      <c r="N941">
        <v>3</v>
      </c>
      <c r="O941">
        <v>0</v>
      </c>
      <c r="P941" t="s">
        <v>56</v>
      </c>
      <c r="Q941" t="s">
        <v>57</v>
      </c>
      <c r="R941">
        <v>2</v>
      </c>
      <c r="S941">
        <v>1</v>
      </c>
      <c r="T941" t="s">
        <v>69</v>
      </c>
      <c r="U941" t="s">
        <v>95</v>
      </c>
      <c r="V941" t="s">
        <v>58</v>
      </c>
      <c r="W941" s="1">
        <v>45439</v>
      </c>
      <c r="X941" t="b">
        <v>1</v>
      </c>
      <c r="Y941" t="b">
        <v>1</v>
      </c>
      <c r="Z941" t="s">
        <v>44</v>
      </c>
      <c r="AA941" t="s">
        <v>45</v>
      </c>
      <c r="AB941">
        <v>14</v>
      </c>
      <c r="AF941" t="str">
        <f>tbl_OriginalData[[#This Row],[Customer_ID]]</f>
        <v>09-737-8354</v>
      </c>
      <c r="AG941">
        <f>tbl_OriginalData[[#This Row],[Age]]</f>
        <v>37</v>
      </c>
      <c r="AH941" t="str" cm="1">
        <f t="array" ref="AH94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41" t="str">
        <f>tbl_OriginalData[[#This Row],[Gender]]</f>
        <v>Female</v>
      </c>
      <c r="AJ941" t="str">
        <f>tbl_OriginalData[[#This Row],[Income_Level]]</f>
        <v>Middle</v>
      </c>
      <c r="AK941" t="str">
        <f>tbl_OriginalData[[#This Row],[Marital_Status]]</f>
        <v>Widowed</v>
      </c>
      <c r="AL941" t="str">
        <f>tbl_OriginalData[[#This Row],[Education_Level]]</f>
        <v>High School</v>
      </c>
      <c r="AM941" t="str">
        <f>tbl_OriginalData[[#This Row],[Occupation]]</f>
        <v>High</v>
      </c>
      <c r="AN941" t="s">
        <v>2119</v>
      </c>
      <c r="AO941" t="s">
        <v>1622</v>
      </c>
      <c r="AP941" t="str">
        <f>tbl_OriginalData[[#This Row],[Purchase_Category]]</f>
        <v>Animal Feed</v>
      </c>
      <c r="AQ941" s="4">
        <f>tbl_OriginalData[[#This Row],[Purchase_Amount]]</f>
        <v>173.43</v>
      </c>
      <c r="AR941">
        <f>tbl_OriginalData[[#This Row],[Frequency_of_Purchase]]</f>
        <v>4</v>
      </c>
      <c r="AS941" t="str">
        <f>tbl_OriginalData[[#This Row],[Purchase_Channel]]</f>
        <v>In-Store</v>
      </c>
      <c r="AT941">
        <f>tbl_OriginalData[[#This Row],[Brand_Loyalty]]</f>
        <v>3</v>
      </c>
      <c r="AU941">
        <f>tbl_OriginalData[[#This Row],[Product_Rating]]</f>
        <v>3</v>
      </c>
      <c r="AV941">
        <f>tbl_OriginalData[[#This Row],[Time_Spent_on_Product_Research(hours)]]*60</f>
        <v>0</v>
      </c>
      <c r="AW941" t="str">
        <f>tbl_OriginalData[[#This Row],[Social_Media_Influence]]</f>
        <v>Medium</v>
      </c>
      <c r="AX941" t="str">
        <f>tbl_OriginalData[[#This Row],[Discount_Sensitivity]]</f>
        <v>Not Sensitive</v>
      </c>
      <c r="AY941" s="3">
        <f>tbl_OriginalData[[#This Row],[Return_Rate]]/tbl_OriginalData[[#This Row],[Frequency_of_Purchase]]</f>
        <v>0.5</v>
      </c>
      <c r="AZ941">
        <f>tbl_OriginalData[[#This Row],[Customer_Satisfaction]]</f>
        <v>1</v>
      </c>
      <c r="BA941" t="str">
        <f>tbl_OriginalData[[#This Row],[Engagement_with_Ads]]</f>
        <v>Low</v>
      </c>
      <c r="BB941" t="str">
        <f>tbl_OriginalData[[#This Row],[Device_Used_for_Shopping]]</f>
        <v>Desktop</v>
      </c>
      <c r="BC941" t="str">
        <f>tbl_OriginalData[[#This Row],[Payment_Method]]</f>
        <v>PayPal</v>
      </c>
      <c r="BD941" s="1">
        <f>tbl_OriginalData[[#This Row],[Time_of_Purchase]]</f>
        <v>45439</v>
      </c>
      <c r="BE941" t="str">
        <f>IF(tbl_OriginalData[[#This Row],[Discount_Used]]=TRUE,"Yes","No")</f>
        <v>Yes</v>
      </c>
      <c r="BF941" t="str">
        <f>IF(tbl_OriginalData[[#This Row],[Customer_Loyalty_Program_Member]]=TRUE,"Yes","No")</f>
        <v>Yes</v>
      </c>
      <c r="BG941" t="str">
        <f>tbl_OriginalData[[#This Row],[Purchase_Intent]]</f>
        <v>Need-based</v>
      </c>
      <c r="BH941" t="str">
        <f>tbl_OriginalData[[#This Row],[Shipping_Preference]]</f>
        <v>No Preference</v>
      </c>
      <c r="BI941">
        <f>tbl_OriginalData[[#This Row],[Time_to_Decision]]</f>
        <v>14</v>
      </c>
      <c r="BJ941" t="s">
        <v>167</v>
      </c>
      <c r="BK941" t="s">
        <v>63</v>
      </c>
      <c r="BL941" t="s">
        <v>2528</v>
      </c>
    </row>
    <row r="942" spans="1:64">
      <c r="A942" t="s">
        <v>2120</v>
      </c>
      <c r="B942">
        <v>29</v>
      </c>
      <c r="C942" t="s">
        <v>33</v>
      </c>
      <c r="D942" t="s">
        <v>34</v>
      </c>
      <c r="E942" t="s">
        <v>82</v>
      </c>
      <c r="F942" t="s">
        <v>52</v>
      </c>
      <c r="G942" t="s">
        <v>34</v>
      </c>
      <c r="H942" t="s">
        <v>2121</v>
      </c>
      <c r="I942" t="s">
        <v>153</v>
      </c>
      <c r="J942">
        <v>462.96</v>
      </c>
      <c r="K942">
        <v>2</v>
      </c>
      <c r="L942" t="s">
        <v>94</v>
      </c>
      <c r="M942">
        <v>4</v>
      </c>
      <c r="N942">
        <v>2</v>
      </c>
      <c r="O942">
        <v>0</v>
      </c>
      <c r="P942" t="s">
        <v>51</v>
      </c>
      <c r="Q942" t="s">
        <v>101</v>
      </c>
      <c r="R942">
        <v>2</v>
      </c>
      <c r="S942">
        <v>6</v>
      </c>
      <c r="T942" t="s">
        <v>51</v>
      </c>
      <c r="U942" t="s">
        <v>42</v>
      </c>
      <c r="V942" t="s">
        <v>102</v>
      </c>
      <c r="W942" s="1">
        <v>45474</v>
      </c>
      <c r="X942" t="b">
        <v>1</v>
      </c>
      <c r="Y942" t="b">
        <v>0</v>
      </c>
      <c r="Z942" t="s">
        <v>89</v>
      </c>
      <c r="AA942" t="s">
        <v>45</v>
      </c>
      <c r="AB942">
        <v>3</v>
      </c>
      <c r="AF942" t="str">
        <f>tbl_OriginalData[[#This Row],[Customer_ID]]</f>
        <v>12-417-5609</v>
      </c>
      <c r="AG942">
        <f>tbl_OriginalData[[#This Row],[Age]]</f>
        <v>29</v>
      </c>
      <c r="AH942" t="str" cm="1">
        <f t="array" ref="AH94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42" t="str">
        <f>tbl_OriginalData[[#This Row],[Gender]]</f>
        <v>Female</v>
      </c>
      <c r="AJ942" t="str">
        <f>tbl_OriginalData[[#This Row],[Income_Level]]</f>
        <v>Middle</v>
      </c>
      <c r="AK942" t="str">
        <f>tbl_OriginalData[[#This Row],[Marital_Status]]</f>
        <v>Widowed</v>
      </c>
      <c r="AL942" t="str">
        <f>tbl_OriginalData[[#This Row],[Education_Level]]</f>
        <v>High School</v>
      </c>
      <c r="AM942" t="str">
        <f>tbl_OriginalData[[#This Row],[Occupation]]</f>
        <v>Middle</v>
      </c>
      <c r="AN942" t="s">
        <v>2121</v>
      </c>
      <c r="AO942" t="s">
        <v>85</v>
      </c>
      <c r="AP942" t="str">
        <f>tbl_OriginalData[[#This Row],[Purchase_Category]]</f>
        <v>Baby Products</v>
      </c>
      <c r="AQ942" s="4">
        <f>tbl_OriginalData[[#This Row],[Purchase_Amount]]</f>
        <v>462.96</v>
      </c>
      <c r="AR942">
        <f>tbl_OriginalData[[#This Row],[Frequency_of_Purchase]]</f>
        <v>2</v>
      </c>
      <c r="AS942" t="str">
        <f>tbl_OriginalData[[#This Row],[Purchase_Channel]]</f>
        <v>Online</v>
      </c>
      <c r="AT942">
        <f>tbl_OriginalData[[#This Row],[Brand_Loyalty]]</f>
        <v>4</v>
      </c>
      <c r="AU942">
        <f>tbl_OriginalData[[#This Row],[Product_Rating]]</f>
        <v>2</v>
      </c>
      <c r="AV942">
        <f>tbl_OriginalData[[#This Row],[Time_Spent_on_Product_Research(hours)]]*60</f>
        <v>0</v>
      </c>
      <c r="AW942" t="str">
        <f>tbl_OriginalData[[#This Row],[Social_Media_Influence]]</f>
        <v>High</v>
      </c>
      <c r="AX942" t="str">
        <f>tbl_OriginalData[[#This Row],[Discount_Sensitivity]]</f>
        <v>Very Sensitive</v>
      </c>
      <c r="AY942" s="3">
        <f>tbl_OriginalData[[#This Row],[Return_Rate]]/tbl_OriginalData[[#This Row],[Frequency_of_Purchase]]</f>
        <v>1</v>
      </c>
      <c r="AZ942">
        <f>tbl_OriginalData[[#This Row],[Customer_Satisfaction]]</f>
        <v>6</v>
      </c>
      <c r="BA942" t="str">
        <f>tbl_OriginalData[[#This Row],[Engagement_with_Ads]]</f>
        <v>High</v>
      </c>
      <c r="BB942" t="str">
        <f>tbl_OriginalData[[#This Row],[Device_Used_for_Shopping]]</f>
        <v>Tablet</v>
      </c>
      <c r="BC942" t="str">
        <f>tbl_OriginalData[[#This Row],[Payment_Method]]</f>
        <v>Cash</v>
      </c>
      <c r="BD942" s="1">
        <f>tbl_OriginalData[[#This Row],[Time_of_Purchase]]</f>
        <v>45474</v>
      </c>
      <c r="BE942" t="str">
        <f>IF(tbl_OriginalData[[#This Row],[Discount_Used]]=TRUE,"Yes","No")</f>
        <v>Yes</v>
      </c>
      <c r="BF942" t="str">
        <f>IF(tbl_OriginalData[[#This Row],[Customer_Loyalty_Program_Member]]=TRUE,"Yes","No")</f>
        <v>No</v>
      </c>
      <c r="BG942" t="str">
        <f>tbl_OriginalData[[#This Row],[Purchase_Intent]]</f>
        <v>Planned</v>
      </c>
      <c r="BH942" t="str">
        <f>tbl_OriginalData[[#This Row],[Shipping_Preference]]</f>
        <v>No Preference</v>
      </c>
      <c r="BI942">
        <f>tbl_OriginalData[[#This Row],[Time_to_Decision]]</f>
        <v>3</v>
      </c>
      <c r="BJ942" t="s">
        <v>114</v>
      </c>
      <c r="BK942" t="s">
        <v>115</v>
      </c>
      <c r="BL942" t="s">
        <v>2524</v>
      </c>
    </row>
    <row r="943" spans="1:64">
      <c r="A943" t="s">
        <v>2122</v>
      </c>
      <c r="B943">
        <v>36</v>
      </c>
      <c r="C943" t="s">
        <v>50</v>
      </c>
      <c r="D943" t="s">
        <v>51</v>
      </c>
      <c r="E943" t="s">
        <v>92</v>
      </c>
      <c r="F943" t="s">
        <v>52</v>
      </c>
      <c r="G943" t="s">
        <v>34</v>
      </c>
      <c r="H943" t="s">
        <v>2123</v>
      </c>
      <c r="I943" t="s">
        <v>112</v>
      </c>
      <c r="J943">
        <v>203.13</v>
      </c>
      <c r="K943">
        <v>10</v>
      </c>
      <c r="L943" t="s">
        <v>94</v>
      </c>
      <c r="M943">
        <v>4</v>
      </c>
      <c r="N943">
        <v>3</v>
      </c>
      <c r="O943">
        <v>2</v>
      </c>
      <c r="P943" t="s">
        <v>40</v>
      </c>
      <c r="Q943" t="s">
        <v>41</v>
      </c>
      <c r="R943">
        <v>1</v>
      </c>
      <c r="S943">
        <v>5</v>
      </c>
      <c r="T943" t="s">
        <v>51</v>
      </c>
      <c r="U943" t="s">
        <v>42</v>
      </c>
      <c r="V943" t="s">
        <v>71</v>
      </c>
      <c r="W943" s="1">
        <v>45519</v>
      </c>
      <c r="X943" t="b">
        <v>1</v>
      </c>
      <c r="Y943" t="b">
        <v>0</v>
      </c>
      <c r="Z943" t="s">
        <v>72</v>
      </c>
      <c r="AA943" t="s">
        <v>60</v>
      </c>
      <c r="AB943">
        <v>6</v>
      </c>
      <c r="AF943" t="str">
        <f>tbl_OriginalData[[#This Row],[Customer_ID]]</f>
        <v>25-096-6830</v>
      </c>
      <c r="AG943">
        <f>tbl_OriginalData[[#This Row],[Age]]</f>
        <v>36</v>
      </c>
      <c r="AH943" t="str" cm="1">
        <f t="array" ref="AH94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43" t="str">
        <f>tbl_OriginalData[[#This Row],[Gender]]</f>
        <v>Male</v>
      </c>
      <c r="AJ943" t="str">
        <f>tbl_OriginalData[[#This Row],[Income_Level]]</f>
        <v>High</v>
      </c>
      <c r="AK943" t="str">
        <f>tbl_OriginalData[[#This Row],[Marital_Status]]</f>
        <v>Divorced</v>
      </c>
      <c r="AL943" t="str">
        <f>tbl_OriginalData[[#This Row],[Education_Level]]</f>
        <v>High School</v>
      </c>
      <c r="AM943" t="str">
        <f>tbl_OriginalData[[#This Row],[Occupation]]</f>
        <v>Middle</v>
      </c>
      <c r="AN943" t="s">
        <v>2123</v>
      </c>
      <c r="AO943" t="s">
        <v>299</v>
      </c>
      <c r="AP943" t="str">
        <f>tbl_OriginalData[[#This Row],[Purchase_Category]]</f>
        <v>Mobile Accessories</v>
      </c>
      <c r="AQ943" s="4">
        <f>tbl_OriginalData[[#This Row],[Purchase_Amount]]</f>
        <v>203.13</v>
      </c>
      <c r="AR943">
        <f>tbl_OriginalData[[#This Row],[Frequency_of_Purchase]]</f>
        <v>10</v>
      </c>
      <c r="AS943" t="str">
        <f>tbl_OriginalData[[#This Row],[Purchase_Channel]]</f>
        <v>Online</v>
      </c>
      <c r="AT943">
        <f>tbl_OriginalData[[#This Row],[Brand_Loyalty]]</f>
        <v>4</v>
      </c>
      <c r="AU943">
        <f>tbl_OriginalData[[#This Row],[Product_Rating]]</f>
        <v>3</v>
      </c>
      <c r="AV943">
        <f>tbl_OriginalData[[#This Row],[Time_Spent_on_Product_Research(hours)]]*60</f>
        <v>120</v>
      </c>
      <c r="AW943" t="str">
        <f>tbl_OriginalData[[#This Row],[Social_Media_Influence]]</f>
        <v>None</v>
      </c>
      <c r="AX943" t="str">
        <f>tbl_OriginalData[[#This Row],[Discount_Sensitivity]]</f>
        <v>Somewhat Sensitive</v>
      </c>
      <c r="AY943" s="3">
        <f>tbl_OriginalData[[#This Row],[Return_Rate]]/tbl_OriginalData[[#This Row],[Frequency_of_Purchase]]</f>
        <v>0.1</v>
      </c>
      <c r="AZ943">
        <f>tbl_OriginalData[[#This Row],[Customer_Satisfaction]]</f>
        <v>5</v>
      </c>
      <c r="BA943" t="str">
        <f>tbl_OriginalData[[#This Row],[Engagement_with_Ads]]</f>
        <v>High</v>
      </c>
      <c r="BB943" t="str">
        <f>tbl_OriginalData[[#This Row],[Device_Used_for_Shopping]]</f>
        <v>Tablet</v>
      </c>
      <c r="BC943" t="str">
        <f>tbl_OriginalData[[#This Row],[Payment_Method]]</f>
        <v>Debit Card</v>
      </c>
      <c r="BD943" s="1">
        <f>tbl_OriginalData[[#This Row],[Time_of_Purchase]]</f>
        <v>45519</v>
      </c>
      <c r="BE943" t="str">
        <f>IF(tbl_OriginalData[[#This Row],[Discount_Used]]=TRUE,"Yes","No")</f>
        <v>Yes</v>
      </c>
      <c r="BF943" t="str">
        <f>IF(tbl_OriginalData[[#This Row],[Customer_Loyalty_Program_Member]]=TRUE,"Yes","No")</f>
        <v>No</v>
      </c>
      <c r="BG943" t="str">
        <f>tbl_OriginalData[[#This Row],[Purchase_Intent]]</f>
        <v>Impulsive</v>
      </c>
      <c r="BH943" t="str">
        <f>tbl_OriginalData[[#This Row],[Shipping_Preference]]</f>
        <v>Standard</v>
      </c>
      <c r="BI943">
        <f>tbl_OriginalData[[#This Row],[Time_to_Decision]]</f>
        <v>6</v>
      </c>
      <c r="BJ943" t="s">
        <v>124</v>
      </c>
      <c r="BK943" t="s">
        <v>115</v>
      </c>
      <c r="BL943" t="s">
        <v>2525</v>
      </c>
    </row>
    <row r="944" spans="1:64">
      <c r="A944" t="s">
        <v>2124</v>
      </c>
      <c r="B944">
        <v>50</v>
      </c>
      <c r="C944" t="s">
        <v>33</v>
      </c>
      <c r="D944" t="s">
        <v>51</v>
      </c>
      <c r="E944" t="s">
        <v>35</v>
      </c>
      <c r="F944" t="s">
        <v>66</v>
      </c>
      <c r="G944" t="s">
        <v>51</v>
      </c>
      <c r="H944" t="s">
        <v>2125</v>
      </c>
      <c r="I944" t="s">
        <v>156</v>
      </c>
      <c r="J944">
        <v>443.11</v>
      </c>
      <c r="K944">
        <v>9</v>
      </c>
      <c r="L944" t="s">
        <v>55</v>
      </c>
      <c r="M944">
        <v>1</v>
      </c>
      <c r="N944">
        <v>2</v>
      </c>
      <c r="O944">
        <v>1</v>
      </c>
      <c r="P944" t="s">
        <v>40</v>
      </c>
      <c r="Q944" t="s">
        <v>101</v>
      </c>
      <c r="R944">
        <v>0</v>
      </c>
      <c r="S944">
        <v>10</v>
      </c>
      <c r="T944" t="s">
        <v>69</v>
      </c>
      <c r="U944" t="s">
        <v>42</v>
      </c>
      <c r="V944" t="s">
        <v>76</v>
      </c>
      <c r="W944" s="1">
        <v>45310</v>
      </c>
      <c r="X944" t="b">
        <v>1</v>
      </c>
      <c r="Y944" t="b">
        <v>1</v>
      </c>
      <c r="Z944" t="s">
        <v>59</v>
      </c>
      <c r="AA944" t="s">
        <v>45</v>
      </c>
      <c r="AB944">
        <v>1</v>
      </c>
      <c r="AF944" t="str">
        <f>tbl_OriginalData[[#This Row],[Customer_ID]]</f>
        <v>91-558-5922</v>
      </c>
      <c r="AG944">
        <f>tbl_OriginalData[[#This Row],[Age]]</f>
        <v>50</v>
      </c>
      <c r="AH944" t="str" cm="1">
        <f t="array" ref="AH94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44" t="str">
        <f>tbl_OriginalData[[#This Row],[Gender]]</f>
        <v>Female</v>
      </c>
      <c r="AJ944" t="str">
        <f>tbl_OriginalData[[#This Row],[Income_Level]]</f>
        <v>High</v>
      </c>
      <c r="AK944" t="str">
        <f>tbl_OriginalData[[#This Row],[Marital_Status]]</f>
        <v>Married</v>
      </c>
      <c r="AL944" t="str">
        <f>tbl_OriginalData[[#This Row],[Education_Level]]</f>
        <v>Master's</v>
      </c>
      <c r="AM944" t="str">
        <f>tbl_OriginalData[[#This Row],[Occupation]]</f>
        <v>High</v>
      </c>
      <c r="AN944" t="s">
        <v>2125</v>
      </c>
      <c r="AO944" t="s">
        <v>46</v>
      </c>
      <c r="AP944" t="str">
        <f>tbl_OriginalData[[#This Row],[Purchase_Category]]</f>
        <v>Toys &amp; Games</v>
      </c>
      <c r="AQ944" s="4">
        <f>tbl_OriginalData[[#This Row],[Purchase_Amount]]</f>
        <v>443.11</v>
      </c>
      <c r="AR944">
        <f>tbl_OriginalData[[#This Row],[Frequency_of_Purchase]]</f>
        <v>9</v>
      </c>
      <c r="AS944" t="str">
        <f>tbl_OriginalData[[#This Row],[Purchase_Channel]]</f>
        <v>In-Store</v>
      </c>
      <c r="AT944">
        <f>tbl_OriginalData[[#This Row],[Brand_Loyalty]]</f>
        <v>1</v>
      </c>
      <c r="AU944">
        <f>tbl_OriginalData[[#This Row],[Product_Rating]]</f>
        <v>2</v>
      </c>
      <c r="AV944">
        <f>tbl_OriginalData[[#This Row],[Time_Spent_on_Product_Research(hours)]]*60</f>
        <v>60</v>
      </c>
      <c r="AW944" t="str">
        <f>tbl_OriginalData[[#This Row],[Social_Media_Influence]]</f>
        <v>None</v>
      </c>
      <c r="AX944" t="str">
        <f>tbl_OriginalData[[#This Row],[Discount_Sensitivity]]</f>
        <v>Very Sensitive</v>
      </c>
      <c r="AY944" s="3">
        <f>tbl_OriginalData[[#This Row],[Return_Rate]]/tbl_OriginalData[[#This Row],[Frequency_of_Purchase]]</f>
        <v>0</v>
      </c>
      <c r="AZ944">
        <f>tbl_OriginalData[[#This Row],[Customer_Satisfaction]]</f>
        <v>10</v>
      </c>
      <c r="BA944" t="str">
        <f>tbl_OriginalData[[#This Row],[Engagement_with_Ads]]</f>
        <v>Low</v>
      </c>
      <c r="BB944" t="str">
        <f>tbl_OriginalData[[#This Row],[Device_Used_for_Shopping]]</f>
        <v>Tablet</v>
      </c>
      <c r="BC944" t="str">
        <f>tbl_OriginalData[[#This Row],[Payment_Method]]</f>
        <v>Other</v>
      </c>
      <c r="BD944" s="1">
        <f>tbl_OriginalData[[#This Row],[Time_of_Purchase]]</f>
        <v>45310</v>
      </c>
      <c r="BE944" t="str">
        <f>IF(tbl_OriginalData[[#This Row],[Discount_Used]]=TRUE,"Yes","No")</f>
        <v>Yes</v>
      </c>
      <c r="BF944" t="str">
        <f>IF(tbl_OriginalData[[#This Row],[Customer_Loyalty_Program_Member]]=TRUE,"Yes","No")</f>
        <v>Yes</v>
      </c>
      <c r="BG944" t="str">
        <f>tbl_OriginalData[[#This Row],[Purchase_Intent]]</f>
        <v>Wants-based</v>
      </c>
      <c r="BH944" t="str">
        <f>tbl_OriginalData[[#This Row],[Shipping_Preference]]</f>
        <v>No Preference</v>
      </c>
      <c r="BI944">
        <f>tbl_OriginalData[[#This Row],[Time_to_Decision]]</f>
        <v>1</v>
      </c>
      <c r="BJ944" t="s">
        <v>86</v>
      </c>
      <c r="BK944" t="s">
        <v>48</v>
      </c>
      <c r="BL944" t="s">
        <v>2523</v>
      </c>
    </row>
    <row r="945" spans="1:64">
      <c r="A945" t="s">
        <v>2126</v>
      </c>
      <c r="B945">
        <v>31</v>
      </c>
      <c r="C945" t="s">
        <v>106</v>
      </c>
      <c r="D945" t="s">
        <v>51</v>
      </c>
      <c r="E945" t="s">
        <v>92</v>
      </c>
      <c r="F945" t="s">
        <v>52</v>
      </c>
      <c r="G945" t="s">
        <v>51</v>
      </c>
      <c r="H945" t="s">
        <v>2127</v>
      </c>
      <c r="I945" t="s">
        <v>180</v>
      </c>
      <c r="J945">
        <v>254.83</v>
      </c>
      <c r="K945">
        <v>2</v>
      </c>
      <c r="L945" t="s">
        <v>39</v>
      </c>
      <c r="M945">
        <v>1</v>
      </c>
      <c r="N945">
        <v>2</v>
      </c>
      <c r="O945">
        <v>1</v>
      </c>
      <c r="P945" t="s">
        <v>40</v>
      </c>
      <c r="Q945" t="s">
        <v>41</v>
      </c>
      <c r="R945">
        <v>1</v>
      </c>
      <c r="S945">
        <v>2</v>
      </c>
      <c r="T945" t="s">
        <v>69</v>
      </c>
      <c r="U945" t="s">
        <v>95</v>
      </c>
      <c r="V945" t="s">
        <v>43</v>
      </c>
      <c r="W945" s="1">
        <v>45553</v>
      </c>
      <c r="X945" t="b">
        <v>0</v>
      </c>
      <c r="Y945" t="b">
        <v>0</v>
      </c>
      <c r="Z945" t="s">
        <v>59</v>
      </c>
      <c r="AA945" t="s">
        <v>60</v>
      </c>
      <c r="AB945">
        <v>1</v>
      </c>
      <c r="AF945" t="str">
        <f>tbl_OriginalData[[#This Row],[Customer_ID]]</f>
        <v>25-560-4506</v>
      </c>
      <c r="AG945">
        <f>tbl_OriginalData[[#This Row],[Age]]</f>
        <v>31</v>
      </c>
      <c r="AH945" t="str" cm="1">
        <f t="array" ref="AH94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45" t="str">
        <f>tbl_OriginalData[[#This Row],[Gender]]</f>
        <v>Bigender</v>
      </c>
      <c r="AJ945" t="str">
        <f>tbl_OriginalData[[#This Row],[Income_Level]]</f>
        <v>High</v>
      </c>
      <c r="AK945" t="str">
        <f>tbl_OriginalData[[#This Row],[Marital_Status]]</f>
        <v>Divorced</v>
      </c>
      <c r="AL945" t="str">
        <f>tbl_OriginalData[[#This Row],[Education_Level]]</f>
        <v>High School</v>
      </c>
      <c r="AM945" t="str">
        <f>tbl_OriginalData[[#This Row],[Occupation]]</f>
        <v>High</v>
      </c>
      <c r="AN945" t="s">
        <v>2127</v>
      </c>
      <c r="AO945" t="s">
        <v>90</v>
      </c>
      <c r="AP945" t="str">
        <f>tbl_OriginalData[[#This Row],[Purchase_Category]]</f>
        <v>Health Supplements</v>
      </c>
      <c r="AQ945" s="4">
        <f>tbl_OriginalData[[#This Row],[Purchase_Amount]]</f>
        <v>254.83</v>
      </c>
      <c r="AR945">
        <f>tbl_OriginalData[[#This Row],[Frequency_of_Purchase]]</f>
        <v>2</v>
      </c>
      <c r="AS945" t="str">
        <f>tbl_OriginalData[[#This Row],[Purchase_Channel]]</f>
        <v>Mixed</v>
      </c>
      <c r="AT945">
        <f>tbl_OriginalData[[#This Row],[Brand_Loyalty]]</f>
        <v>1</v>
      </c>
      <c r="AU945">
        <f>tbl_OriginalData[[#This Row],[Product_Rating]]</f>
        <v>2</v>
      </c>
      <c r="AV945">
        <f>tbl_OriginalData[[#This Row],[Time_Spent_on_Product_Research(hours)]]*60</f>
        <v>60</v>
      </c>
      <c r="AW945" t="str">
        <f>tbl_OriginalData[[#This Row],[Social_Media_Influence]]</f>
        <v>None</v>
      </c>
      <c r="AX945" t="str">
        <f>tbl_OriginalData[[#This Row],[Discount_Sensitivity]]</f>
        <v>Somewhat Sensitive</v>
      </c>
      <c r="AY945" s="3">
        <f>tbl_OriginalData[[#This Row],[Return_Rate]]/tbl_OriginalData[[#This Row],[Frequency_of_Purchase]]</f>
        <v>0.5</v>
      </c>
      <c r="AZ945">
        <f>tbl_OriginalData[[#This Row],[Customer_Satisfaction]]</f>
        <v>2</v>
      </c>
      <c r="BA945" t="str">
        <f>tbl_OriginalData[[#This Row],[Engagement_with_Ads]]</f>
        <v>Low</v>
      </c>
      <c r="BB945" t="str">
        <f>tbl_OriginalData[[#This Row],[Device_Used_for_Shopping]]</f>
        <v>Desktop</v>
      </c>
      <c r="BC945" t="str">
        <f>tbl_OriginalData[[#This Row],[Payment_Method]]</f>
        <v>Credit Card</v>
      </c>
      <c r="BD945" s="1">
        <f>tbl_OriginalData[[#This Row],[Time_of_Purchase]]</f>
        <v>45553</v>
      </c>
      <c r="BE945" t="str">
        <f>IF(tbl_OriginalData[[#This Row],[Discount_Used]]=TRUE,"Yes","No")</f>
        <v>No</v>
      </c>
      <c r="BF945" t="str">
        <f>IF(tbl_OriginalData[[#This Row],[Customer_Loyalty_Program_Member]]=TRUE,"Yes","No")</f>
        <v>No</v>
      </c>
      <c r="BG945" t="str">
        <f>tbl_OriginalData[[#This Row],[Purchase_Intent]]</f>
        <v>Wants-based</v>
      </c>
      <c r="BH945" t="str">
        <f>tbl_OriginalData[[#This Row],[Shipping_Preference]]</f>
        <v>Standard</v>
      </c>
      <c r="BI945">
        <f>tbl_OriginalData[[#This Row],[Time_to_Decision]]</f>
        <v>1</v>
      </c>
      <c r="BJ945" t="s">
        <v>172</v>
      </c>
      <c r="BK945" t="s">
        <v>115</v>
      </c>
      <c r="BL945" t="s">
        <v>2524</v>
      </c>
    </row>
    <row r="946" spans="1:64">
      <c r="A946" t="s">
        <v>2128</v>
      </c>
      <c r="B946">
        <v>29</v>
      </c>
      <c r="C946" t="s">
        <v>33</v>
      </c>
      <c r="D946" t="s">
        <v>51</v>
      </c>
      <c r="E946" t="s">
        <v>65</v>
      </c>
      <c r="F946" t="s">
        <v>66</v>
      </c>
      <c r="G946" t="s">
        <v>34</v>
      </c>
      <c r="H946" t="s">
        <v>2129</v>
      </c>
      <c r="I946" t="s">
        <v>123</v>
      </c>
      <c r="J946">
        <v>336.89</v>
      </c>
      <c r="K946">
        <v>4</v>
      </c>
      <c r="L946" t="s">
        <v>94</v>
      </c>
      <c r="M946">
        <v>2</v>
      </c>
      <c r="N946">
        <v>1</v>
      </c>
      <c r="O946">
        <v>2</v>
      </c>
      <c r="P946" t="s">
        <v>56</v>
      </c>
      <c r="Q946" t="s">
        <v>101</v>
      </c>
      <c r="R946">
        <v>1</v>
      </c>
      <c r="S946">
        <v>7</v>
      </c>
      <c r="T946" t="s">
        <v>51</v>
      </c>
      <c r="U946" t="s">
        <v>70</v>
      </c>
      <c r="V946" t="s">
        <v>43</v>
      </c>
      <c r="W946" s="1">
        <v>45460</v>
      </c>
      <c r="X946" t="b">
        <v>0</v>
      </c>
      <c r="Y946" t="b">
        <v>0</v>
      </c>
      <c r="Z946" t="s">
        <v>89</v>
      </c>
      <c r="AA946" t="s">
        <v>77</v>
      </c>
      <c r="AB946">
        <v>9</v>
      </c>
      <c r="AF946" t="str">
        <f>tbl_OriginalData[[#This Row],[Customer_ID]]</f>
        <v>33-609-0598</v>
      </c>
      <c r="AG946">
        <f>tbl_OriginalData[[#This Row],[Age]]</f>
        <v>29</v>
      </c>
      <c r="AH946" t="str" cm="1">
        <f t="array" ref="AH94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46" t="str">
        <f>tbl_OriginalData[[#This Row],[Gender]]</f>
        <v>Female</v>
      </c>
      <c r="AJ946" t="str">
        <f>tbl_OriginalData[[#This Row],[Income_Level]]</f>
        <v>High</v>
      </c>
      <c r="AK946" t="str">
        <f>tbl_OriginalData[[#This Row],[Marital_Status]]</f>
        <v>Single</v>
      </c>
      <c r="AL946" t="str">
        <f>tbl_OriginalData[[#This Row],[Education_Level]]</f>
        <v>Master's</v>
      </c>
      <c r="AM946" t="str">
        <f>tbl_OriginalData[[#This Row],[Occupation]]</f>
        <v>Middle</v>
      </c>
      <c r="AN946" t="s">
        <v>2129</v>
      </c>
      <c r="AO946" t="s">
        <v>61</v>
      </c>
      <c r="AP946" t="str">
        <f>tbl_OriginalData[[#This Row],[Purchase_Category]]</f>
        <v>Luxury Goods</v>
      </c>
      <c r="AQ946" s="4">
        <f>tbl_OriginalData[[#This Row],[Purchase_Amount]]</f>
        <v>336.89</v>
      </c>
      <c r="AR946">
        <f>tbl_OriginalData[[#This Row],[Frequency_of_Purchase]]</f>
        <v>4</v>
      </c>
      <c r="AS946" t="str">
        <f>tbl_OriginalData[[#This Row],[Purchase_Channel]]</f>
        <v>Online</v>
      </c>
      <c r="AT946">
        <f>tbl_OriginalData[[#This Row],[Brand_Loyalty]]</f>
        <v>2</v>
      </c>
      <c r="AU946">
        <f>tbl_OriginalData[[#This Row],[Product_Rating]]</f>
        <v>1</v>
      </c>
      <c r="AV946">
        <f>tbl_OriginalData[[#This Row],[Time_Spent_on_Product_Research(hours)]]*60</f>
        <v>120</v>
      </c>
      <c r="AW946" t="str">
        <f>tbl_OriginalData[[#This Row],[Social_Media_Influence]]</f>
        <v>Medium</v>
      </c>
      <c r="AX946" t="str">
        <f>tbl_OriginalData[[#This Row],[Discount_Sensitivity]]</f>
        <v>Very Sensitive</v>
      </c>
      <c r="AY946" s="3">
        <f>tbl_OriginalData[[#This Row],[Return_Rate]]/tbl_OriginalData[[#This Row],[Frequency_of_Purchase]]</f>
        <v>0.25</v>
      </c>
      <c r="AZ946">
        <f>tbl_OriginalData[[#This Row],[Customer_Satisfaction]]</f>
        <v>7</v>
      </c>
      <c r="BA946" t="str">
        <f>tbl_OriginalData[[#This Row],[Engagement_with_Ads]]</f>
        <v>High</v>
      </c>
      <c r="BB946" t="str">
        <f>tbl_OriginalData[[#This Row],[Device_Used_for_Shopping]]</f>
        <v>Smartphone</v>
      </c>
      <c r="BC946" t="str">
        <f>tbl_OriginalData[[#This Row],[Payment_Method]]</f>
        <v>Credit Card</v>
      </c>
      <c r="BD946" s="1">
        <f>tbl_OriginalData[[#This Row],[Time_of_Purchase]]</f>
        <v>45460</v>
      </c>
      <c r="BE946" t="str">
        <f>IF(tbl_OriginalData[[#This Row],[Discount_Used]]=TRUE,"Yes","No")</f>
        <v>No</v>
      </c>
      <c r="BF946" t="str">
        <f>IF(tbl_OriginalData[[#This Row],[Customer_Loyalty_Program_Member]]=TRUE,"Yes","No")</f>
        <v>No</v>
      </c>
      <c r="BG946" t="str">
        <f>tbl_OriginalData[[#This Row],[Purchase_Intent]]</f>
        <v>Planned</v>
      </c>
      <c r="BH946" t="str">
        <f>tbl_OriginalData[[#This Row],[Shipping_Preference]]</f>
        <v>Express</v>
      </c>
      <c r="BI946">
        <f>tbl_OriginalData[[#This Row],[Time_to_Decision]]</f>
        <v>9</v>
      </c>
      <c r="BJ946" t="s">
        <v>104</v>
      </c>
      <c r="BK946" t="s">
        <v>63</v>
      </c>
      <c r="BL946" t="s">
        <v>2524</v>
      </c>
    </row>
    <row r="947" spans="1:64">
      <c r="A947" t="s">
        <v>2130</v>
      </c>
      <c r="B947">
        <v>26</v>
      </c>
      <c r="C947" t="s">
        <v>50</v>
      </c>
      <c r="D947" t="s">
        <v>34</v>
      </c>
      <c r="E947" t="s">
        <v>35</v>
      </c>
      <c r="F947" t="s">
        <v>36</v>
      </c>
      <c r="G947" t="s">
        <v>34</v>
      </c>
      <c r="H947" t="s">
        <v>2131</v>
      </c>
      <c r="I947" t="s">
        <v>153</v>
      </c>
      <c r="J947">
        <v>337.17</v>
      </c>
      <c r="K947">
        <v>8</v>
      </c>
      <c r="L947" t="s">
        <v>55</v>
      </c>
      <c r="M947">
        <v>5</v>
      </c>
      <c r="N947">
        <v>5</v>
      </c>
      <c r="O947">
        <v>0</v>
      </c>
      <c r="P947" t="s">
        <v>69</v>
      </c>
      <c r="Q947" t="s">
        <v>57</v>
      </c>
      <c r="R947">
        <v>1</v>
      </c>
      <c r="S947">
        <v>6</v>
      </c>
      <c r="T947" t="s">
        <v>56</v>
      </c>
      <c r="U947" t="s">
        <v>42</v>
      </c>
      <c r="V947" t="s">
        <v>43</v>
      </c>
      <c r="W947" s="1">
        <v>45499</v>
      </c>
      <c r="X947" t="b">
        <v>0</v>
      </c>
      <c r="Y947" t="b">
        <v>1</v>
      </c>
      <c r="Z947" t="s">
        <v>59</v>
      </c>
      <c r="AA947" t="s">
        <v>45</v>
      </c>
      <c r="AB947">
        <v>3</v>
      </c>
      <c r="AF947" t="str">
        <f>tbl_OriginalData[[#This Row],[Customer_ID]]</f>
        <v>45-337-1798</v>
      </c>
      <c r="AG947">
        <f>tbl_OriginalData[[#This Row],[Age]]</f>
        <v>26</v>
      </c>
      <c r="AH947" t="str" cm="1">
        <f t="array" ref="AH94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47" t="str">
        <f>tbl_OriginalData[[#This Row],[Gender]]</f>
        <v>Male</v>
      </c>
      <c r="AJ947" t="str">
        <f>tbl_OriginalData[[#This Row],[Income_Level]]</f>
        <v>Middle</v>
      </c>
      <c r="AK947" t="str">
        <f>tbl_OriginalData[[#This Row],[Marital_Status]]</f>
        <v>Married</v>
      </c>
      <c r="AL947" t="str">
        <f>tbl_OriginalData[[#This Row],[Education_Level]]</f>
        <v>Bachelor's</v>
      </c>
      <c r="AM947" t="str">
        <f>tbl_OriginalData[[#This Row],[Occupation]]</f>
        <v>Middle</v>
      </c>
      <c r="AN947" t="s">
        <v>2131</v>
      </c>
      <c r="AO947" t="s">
        <v>1692</v>
      </c>
      <c r="AP947" t="str">
        <f>tbl_OriginalData[[#This Row],[Purchase_Category]]</f>
        <v>Baby Products</v>
      </c>
      <c r="AQ947" s="4">
        <f>tbl_OriginalData[[#This Row],[Purchase_Amount]]</f>
        <v>337.17</v>
      </c>
      <c r="AR947">
        <f>tbl_OriginalData[[#This Row],[Frequency_of_Purchase]]</f>
        <v>8</v>
      </c>
      <c r="AS947" t="str">
        <f>tbl_OriginalData[[#This Row],[Purchase_Channel]]</f>
        <v>In-Store</v>
      </c>
      <c r="AT947">
        <f>tbl_OriginalData[[#This Row],[Brand_Loyalty]]</f>
        <v>5</v>
      </c>
      <c r="AU947">
        <f>tbl_OriginalData[[#This Row],[Product_Rating]]</f>
        <v>5</v>
      </c>
      <c r="AV947">
        <f>tbl_OriginalData[[#This Row],[Time_Spent_on_Product_Research(hours)]]*60</f>
        <v>0</v>
      </c>
      <c r="AW947" t="str">
        <f>tbl_OriginalData[[#This Row],[Social_Media_Influence]]</f>
        <v>Low</v>
      </c>
      <c r="AX947" t="str">
        <f>tbl_OriginalData[[#This Row],[Discount_Sensitivity]]</f>
        <v>Not Sensitive</v>
      </c>
      <c r="AY947" s="3">
        <f>tbl_OriginalData[[#This Row],[Return_Rate]]/tbl_OriginalData[[#This Row],[Frequency_of_Purchase]]</f>
        <v>0.125</v>
      </c>
      <c r="AZ947">
        <f>tbl_OriginalData[[#This Row],[Customer_Satisfaction]]</f>
        <v>6</v>
      </c>
      <c r="BA947" t="str">
        <f>tbl_OriginalData[[#This Row],[Engagement_with_Ads]]</f>
        <v>Medium</v>
      </c>
      <c r="BB947" t="str">
        <f>tbl_OriginalData[[#This Row],[Device_Used_for_Shopping]]</f>
        <v>Tablet</v>
      </c>
      <c r="BC947" t="str">
        <f>tbl_OriginalData[[#This Row],[Payment_Method]]</f>
        <v>Credit Card</v>
      </c>
      <c r="BD947" s="1">
        <f>tbl_OriginalData[[#This Row],[Time_of_Purchase]]</f>
        <v>45499</v>
      </c>
      <c r="BE947" t="str">
        <f>IF(tbl_OriginalData[[#This Row],[Discount_Used]]=TRUE,"Yes","No")</f>
        <v>No</v>
      </c>
      <c r="BF947" t="str">
        <f>IF(tbl_OriginalData[[#This Row],[Customer_Loyalty_Program_Member]]=TRUE,"Yes","No")</f>
        <v>Yes</v>
      </c>
      <c r="BG947" t="str">
        <f>tbl_OriginalData[[#This Row],[Purchase_Intent]]</f>
        <v>Wants-based</v>
      </c>
      <c r="BH947" t="str">
        <f>tbl_OriginalData[[#This Row],[Shipping_Preference]]</f>
        <v>No Preference</v>
      </c>
      <c r="BI947">
        <f>tbl_OriginalData[[#This Row],[Time_to_Decision]]</f>
        <v>3</v>
      </c>
      <c r="BJ947" t="s">
        <v>114</v>
      </c>
      <c r="BK947" t="s">
        <v>115</v>
      </c>
      <c r="BL947" t="s">
        <v>2524</v>
      </c>
    </row>
    <row r="948" spans="1:64">
      <c r="A948" t="s">
        <v>2132</v>
      </c>
      <c r="B948">
        <v>22</v>
      </c>
      <c r="C948" t="s">
        <v>33</v>
      </c>
      <c r="D948" t="s">
        <v>51</v>
      </c>
      <c r="E948" t="s">
        <v>65</v>
      </c>
      <c r="F948" t="s">
        <v>52</v>
      </c>
      <c r="G948" t="s">
        <v>51</v>
      </c>
      <c r="H948" t="s">
        <v>2133</v>
      </c>
      <c r="I948" t="s">
        <v>54</v>
      </c>
      <c r="J948">
        <v>429.24</v>
      </c>
      <c r="K948">
        <v>2</v>
      </c>
      <c r="L948" t="s">
        <v>94</v>
      </c>
      <c r="M948">
        <v>2</v>
      </c>
      <c r="N948">
        <v>2</v>
      </c>
      <c r="O948">
        <v>2</v>
      </c>
      <c r="P948" t="s">
        <v>56</v>
      </c>
      <c r="Q948" t="s">
        <v>101</v>
      </c>
      <c r="R948">
        <v>0</v>
      </c>
      <c r="S948">
        <v>3</v>
      </c>
      <c r="T948" t="s">
        <v>40</v>
      </c>
      <c r="U948" t="s">
        <v>95</v>
      </c>
      <c r="V948" t="s">
        <v>102</v>
      </c>
      <c r="W948" s="1">
        <v>45362</v>
      </c>
      <c r="X948" t="b">
        <v>0</v>
      </c>
      <c r="Y948" t="b">
        <v>0</v>
      </c>
      <c r="Z948" t="s">
        <v>89</v>
      </c>
      <c r="AA948" t="s">
        <v>45</v>
      </c>
      <c r="AB948">
        <v>13</v>
      </c>
      <c r="AF948" t="str">
        <f>tbl_OriginalData[[#This Row],[Customer_ID]]</f>
        <v>34-265-8558</v>
      </c>
      <c r="AG948">
        <f>tbl_OriginalData[[#This Row],[Age]]</f>
        <v>22</v>
      </c>
      <c r="AH948" t="str" cm="1">
        <f t="array" ref="AH94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48" t="str">
        <f>tbl_OriginalData[[#This Row],[Gender]]</f>
        <v>Female</v>
      </c>
      <c r="AJ948" t="str">
        <f>tbl_OriginalData[[#This Row],[Income_Level]]</f>
        <v>High</v>
      </c>
      <c r="AK948" t="str">
        <f>tbl_OriginalData[[#This Row],[Marital_Status]]</f>
        <v>Single</v>
      </c>
      <c r="AL948" t="str">
        <f>tbl_OriginalData[[#This Row],[Education_Level]]</f>
        <v>High School</v>
      </c>
      <c r="AM948" t="str">
        <f>tbl_OriginalData[[#This Row],[Occupation]]</f>
        <v>High</v>
      </c>
      <c r="AN948" t="s">
        <v>2133</v>
      </c>
      <c r="AO948" t="s">
        <v>194</v>
      </c>
      <c r="AP948" t="str">
        <f>tbl_OriginalData[[#This Row],[Purchase_Category]]</f>
        <v>Food &amp; Beverages</v>
      </c>
      <c r="AQ948" s="4">
        <f>tbl_OriginalData[[#This Row],[Purchase_Amount]]</f>
        <v>429.24</v>
      </c>
      <c r="AR948">
        <f>tbl_OriginalData[[#This Row],[Frequency_of_Purchase]]</f>
        <v>2</v>
      </c>
      <c r="AS948" t="str">
        <f>tbl_OriginalData[[#This Row],[Purchase_Channel]]</f>
        <v>Online</v>
      </c>
      <c r="AT948">
        <f>tbl_OriginalData[[#This Row],[Brand_Loyalty]]</f>
        <v>2</v>
      </c>
      <c r="AU948">
        <f>tbl_OriginalData[[#This Row],[Product_Rating]]</f>
        <v>2</v>
      </c>
      <c r="AV948">
        <f>tbl_OriginalData[[#This Row],[Time_Spent_on_Product_Research(hours)]]*60</f>
        <v>120</v>
      </c>
      <c r="AW948" t="str">
        <f>tbl_OriginalData[[#This Row],[Social_Media_Influence]]</f>
        <v>Medium</v>
      </c>
      <c r="AX948" t="str">
        <f>tbl_OriginalData[[#This Row],[Discount_Sensitivity]]</f>
        <v>Very Sensitive</v>
      </c>
      <c r="AY948" s="3">
        <f>tbl_OriginalData[[#This Row],[Return_Rate]]/tbl_OriginalData[[#This Row],[Frequency_of_Purchase]]</f>
        <v>0</v>
      </c>
      <c r="AZ948">
        <f>tbl_OriginalData[[#This Row],[Customer_Satisfaction]]</f>
        <v>3</v>
      </c>
      <c r="BA948" t="str">
        <f>tbl_OriginalData[[#This Row],[Engagement_with_Ads]]</f>
        <v>None</v>
      </c>
      <c r="BB948" t="str">
        <f>tbl_OriginalData[[#This Row],[Device_Used_for_Shopping]]</f>
        <v>Desktop</v>
      </c>
      <c r="BC948" t="str">
        <f>tbl_OriginalData[[#This Row],[Payment_Method]]</f>
        <v>Cash</v>
      </c>
      <c r="BD948" s="1">
        <f>tbl_OriginalData[[#This Row],[Time_of_Purchase]]</f>
        <v>45362</v>
      </c>
      <c r="BE948" t="str">
        <f>IF(tbl_OriginalData[[#This Row],[Discount_Used]]=TRUE,"Yes","No")</f>
        <v>No</v>
      </c>
      <c r="BF948" t="str">
        <f>IF(tbl_OriginalData[[#This Row],[Customer_Loyalty_Program_Member]]=TRUE,"Yes","No")</f>
        <v>No</v>
      </c>
      <c r="BG948" t="str">
        <f>tbl_OriginalData[[#This Row],[Purchase_Intent]]</f>
        <v>Planned</v>
      </c>
      <c r="BH948" t="str">
        <f>tbl_OriginalData[[#This Row],[Shipping_Preference]]</f>
        <v>No Preference</v>
      </c>
      <c r="BI948">
        <f>tbl_OriginalData[[#This Row],[Time_to_Decision]]</f>
        <v>13</v>
      </c>
      <c r="BJ948" t="s">
        <v>47</v>
      </c>
      <c r="BK948" t="s">
        <v>48</v>
      </c>
      <c r="BL948" t="s">
        <v>2524</v>
      </c>
    </row>
    <row r="949" spans="1:64">
      <c r="A949" t="s">
        <v>2134</v>
      </c>
      <c r="B949">
        <v>35</v>
      </c>
      <c r="C949" t="s">
        <v>33</v>
      </c>
      <c r="D949" t="s">
        <v>51</v>
      </c>
      <c r="E949" t="s">
        <v>35</v>
      </c>
      <c r="F949" t="s">
        <v>52</v>
      </c>
      <c r="G949" t="s">
        <v>51</v>
      </c>
      <c r="H949" t="s">
        <v>2135</v>
      </c>
      <c r="I949" t="s">
        <v>147</v>
      </c>
      <c r="J949">
        <v>197.7</v>
      </c>
      <c r="K949">
        <v>7</v>
      </c>
      <c r="L949" t="s">
        <v>39</v>
      </c>
      <c r="M949">
        <v>3</v>
      </c>
      <c r="N949">
        <v>5</v>
      </c>
      <c r="O949">
        <v>2</v>
      </c>
      <c r="P949" t="s">
        <v>51</v>
      </c>
      <c r="Q949" t="s">
        <v>41</v>
      </c>
      <c r="R949">
        <v>1</v>
      </c>
      <c r="S949">
        <v>6</v>
      </c>
      <c r="T949" t="s">
        <v>56</v>
      </c>
      <c r="U949" t="s">
        <v>95</v>
      </c>
      <c r="V949" t="s">
        <v>102</v>
      </c>
      <c r="W949" s="1">
        <v>45562</v>
      </c>
      <c r="X949" t="b">
        <v>0</v>
      </c>
      <c r="Y949" t="b">
        <v>0</v>
      </c>
      <c r="Z949" t="s">
        <v>44</v>
      </c>
      <c r="AA949" t="s">
        <v>60</v>
      </c>
      <c r="AB949">
        <v>9</v>
      </c>
      <c r="AF949" t="str">
        <f>tbl_OriginalData[[#This Row],[Customer_ID]]</f>
        <v>67-323-7406</v>
      </c>
      <c r="AG949">
        <f>tbl_OriginalData[[#This Row],[Age]]</f>
        <v>35</v>
      </c>
      <c r="AH949" t="str" cm="1">
        <f t="array" ref="AH94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49" t="str">
        <f>tbl_OriginalData[[#This Row],[Gender]]</f>
        <v>Female</v>
      </c>
      <c r="AJ949" t="str">
        <f>tbl_OriginalData[[#This Row],[Income_Level]]</f>
        <v>High</v>
      </c>
      <c r="AK949" t="str">
        <f>tbl_OriginalData[[#This Row],[Marital_Status]]</f>
        <v>Married</v>
      </c>
      <c r="AL949" t="str">
        <f>tbl_OriginalData[[#This Row],[Education_Level]]</f>
        <v>High School</v>
      </c>
      <c r="AM949" t="str">
        <f>tbl_OriginalData[[#This Row],[Occupation]]</f>
        <v>High</v>
      </c>
      <c r="AN949" t="s">
        <v>2135</v>
      </c>
      <c r="AO949" t="s">
        <v>61</v>
      </c>
      <c r="AP949" t="str">
        <f>tbl_OriginalData[[#This Row],[Purchase_Category]]</f>
        <v>Electronics</v>
      </c>
      <c r="AQ949" s="4">
        <f>tbl_OriginalData[[#This Row],[Purchase_Amount]]</f>
        <v>197.7</v>
      </c>
      <c r="AR949">
        <f>tbl_OriginalData[[#This Row],[Frequency_of_Purchase]]</f>
        <v>7</v>
      </c>
      <c r="AS949" t="str">
        <f>tbl_OriginalData[[#This Row],[Purchase_Channel]]</f>
        <v>Mixed</v>
      </c>
      <c r="AT949">
        <f>tbl_OriginalData[[#This Row],[Brand_Loyalty]]</f>
        <v>3</v>
      </c>
      <c r="AU949">
        <f>tbl_OriginalData[[#This Row],[Product_Rating]]</f>
        <v>5</v>
      </c>
      <c r="AV949">
        <f>tbl_OriginalData[[#This Row],[Time_Spent_on_Product_Research(hours)]]*60</f>
        <v>120</v>
      </c>
      <c r="AW949" t="str">
        <f>tbl_OriginalData[[#This Row],[Social_Media_Influence]]</f>
        <v>High</v>
      </c>
      <c r="AX949" t="str">
        <f>tbl_OriginalData[[#This Row],[Discount_Sensitivity]]</f>
        <v>Somewhat Sensitive</v>
      </c>
      <c r="AY949" s="3">
        <f>tbl_OriginalData[[#This Row],[Return_Rate]]/tbl_OriginalData[[#This Row],[Frequency_of_Purchase]]</f>
        <v>0.14285714285714285</v>
      </c>
      <c r="AZ949">
        <f>tbl_OriginalData[[#This Row],[Customer_Satisfaction]]</f>
        <v>6</v>
      </c>
      <c r="BA949" t="str">
        <f>tbl_OriginalData[[#This Row],[Engagement_with_Ads]]</f>
        <v>Medium</v>
      </c>
      <c r="BB949" t="str">
        <f>tbl_OriginalData[[#This Row],[Device_Used_for_Shopping]]</f>
        <v>Desktop</v>
      </c>
      <c r="BC949" t="str">
        <f>tbl_OriginalData[[#This Row],[Payment_Method]]</f>
        <v>Cash</v>
      </c>
      <c r="BD949" s="1">
        <f>tbl_OriginalData[[#This Row],[Time_of_Purchase]]</f>
        <v>45562</v>
      </c>
      <c r="BE949" t="str">
        <f>IF(tbl_OriginalData[[#This Row],[Discount_Used]]=TRUE,"Yes","No")</f>
        <v>No</v>
      </c>
      <c r="BF949" t="str">
        <f>IF(tbl_OriginalData[[#This Row],[Customer_Loyalty_Program_Member]]=TRUE,"Yes","No")</f>
        <v>No</v>
      </c>
      <c r="BG949" t="str">
        <f>tbl_OriginalData[[#This Row],[Purchase_Intent]]</f>
        <v>Need-based</v>
      </c>
      <c r="BH949" t="str">
        <f>tbl_OriginalData[[#This Row],[Shipping_Preference]]</f>
        <v>Standard</v>
      </c>
      <c r="BI949">
        <f>tbl_OriginalData[[#This Row],[Time_to_Decision]]</f>
        <v>9</v>
      </c>
      <c r="BJ949" t="s">
        <v>172</v>
      </c>
      <c r="BK949" t="s">
        <v>115</v>
      </c>
      <c r="BL949" t="s">
        <v>2524</v>
      </c>
    </row>
    <row r="950" spans="1:64">
      <c r="A950" t="s">
        <v>2136</v>
      </c>
      <c r="B950">
        <v>23</v>
      </c>
      <c r="C950" t="s">
        <v>50</v>
      </c>
      <c r="D950" t="s">
        <v>34</v>
      </c>
      <c r="E950" t="s">
        <v>35</v>
      </c>
      <c r="F950" t="s">
        <v>36</v>
      </c>
      <c r="G950" t="s">
        <v>34</v>
      </c>
      <c r="H950" t="s">
        <v>2137</v>
      </c>
      <c r="I950" t="s">
        <v>75</v>
      </c>
      <c r="J950">
        <v>336.96</v>
      </c>
      <c r="K950">
        <v>2</v>
      </c>
      <c r="L950" t="s">
        <v>55</v>
      </c>
      <c r="M950">
        <v>5</v>
      </c>
      <c r="N950">
        <v>2</v>
      </c>
      <c r="O950">
        <v>2</v>
      </c>
      <c r="P950" t="s">
        <v>51</v>
      </c>
      <c r="Q950" t="s">
        <v>57</v>
      </c>
      <c r="R950">
        <v>0</v>
      </c>
      <c r="S950">
        <v>7</v>
      </c>
      <c r="T950" t="s">
        <v>69</v>
      </c>
      <c r="U950" t="s">
        <v>42</v>
      </c>
      <c r="V950" t="s">
        <v>58</v>
      </c>
      <c r="W950" s="1">
        <v>45540</v>
      </c>
      <c r="X950" t="b">
        <v>1</v>
      </c>
      <c r="Y950" t="b">
        <v>1</v>
      </c>
      <c r="Z950" t="s">
        <v>72</v>
      </c>
      <c r="AA950" t="s">
        <v>45</v>
      </c>
      <c r="AB950">
        <v>7</v>
      </c>
      <c r="AF950" t="str">
        <f>tbl_OriginalData[[#This Row],[Customer_ID]]</f>
        <v>40-149-8247</v>
      </c>
      <c r="AG950">
        <f>tbl_OriginalData[[#This Row],[Age]]</f>
        <v>23</v>
      </c>
      <c r="AH950" t="str" cm="1">
        <f t="array" ref="AH95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50" t="str">
        <f>tbl_OriginalData[[#This Row],[Gender]]</f>
        <v>Male</v>
      </c>
      <c r="AJ950" t="str">
        <f>tbl_OriginalData[[#This Row],[Income_Level]]</f>
        <v>Middle</v>
      </c>
      <c r="AK950" t="str">
        <f>tbl_OriginalData[[#This Row],[Marital_Status]]</f>
        <v>Married</v>
      </c>
      <c r="AL950" t="str">
        <f>tbl_OriginalData[[#This Row],[Education_Level]]</f>
        <v>Bachelor's</v>
      </c>
      <c r="AM950" t="str">
        <f>tbl_OriginalData[[#This Row],[Occupation]]</f>
        <v>Middle</v>
      </c>
      <c r="AN950" t="s">
        <v>2137</v>
      </c>
      <c r="AO950" t="s">
        <v>164</v>
      </c>
      <c r="AP950" t="str">
        <f>tbl_OriginalData[[#This Row],[Purchase_Category]]</f>
        <v>Home Appliances</v>
      </c>
      <c r="AQ950" s="4">
        <f>tbl_OriginalData[[#This Row],[Purchase_Amount]]</f>
        <v>336.96</v>
      </c>
      <c r="AR950">
        <f>tbl_OriginalData[[#This Row],[Frequency_of_Purchase]]</f>
        <v>2</v>
      </c>
      <c r="AS950" t="str">
        <f>tbl_OriginalData[[#This Row],[Purchase_Channel]]</f>
        <v>In-Store</v>
      </c>
      <c r="AT950">
        <f>tbl_OriginalData[[#This Row],[Brand_Loyalty]]</f>
        <v>5</v>
      </c>
      <c r="AU950">
        <f>tbl_OriginalData[[#This Row],[Product_Rating]]</f>
        <v>2</v>
      </c>
      <c r="AV950">
        <f>tbl_OriginalData[[#This Row],[Time_Spent_on_Product_Research(hours)]]*60</f>
        <v>120</v>
      </c>
      <c r="AW950" t="str">
        <f>tbl_OriginalData[[#This Row],[Social_Media_Influence]]</f>
        <v>High</v>
      </c>
      <c r="AX950" t="str">
        <f>tbl_OriginalData[[#This Row],[Discount_Sensitivity]]</f>
        <v>Not Sensitive</v>
      </c>
      <c r="AY950" s="3">
        <f>tbl_OriginalData[[#This Row],[Return_Rate]]/tbl_OriginalData[[#This Row],[Frequency_of_Purchase]]</f>
        <v>0</v>
      </c>
      <c r="AZ950">
        <f>tbl_OriginalData[[#This Row],[Customer_Satisfaction]]</f>
        <v>7</v>
      </c>
      <c r="BA950" t="str">
        <f>tbl_OriginalData[[#This Row],[Engagement_with_Ads]]</f>
        <v>Low</v>
      </c>
      <c r="BB950" t="str">
        <f>tbl_OriginalData[[#This Row],[Device_Used_for_Shopping]]</f>
        <v>Tablet</v>
      </c>
      <c r="BC950" t="str">
        <f>tbl_OriginalData[[#This Row],[Payment_Method]]</f>
        <v>PayPal</v>
      </c>
      <c r="BD950" s="1">
        <f>tbl_OriginalData[[#This Row],[Time_of_Purchase]]</f>
        <v>45540</v>
      </c>
      <c r="BE950" t="str">
        <f>IF(tbl_OriginalData[[#This Row],[Discount_Used]]=TRUE,"Yes","No")</f>
        <v>Yes</v>
      </c>
      <c r="BF950" t="str">
        <f>IF(tbl_OriginalData[[#This Row],[Customer_Loyalty_Program_Member]]=TRUE,"Yes","No")</f>
        <v>Yes</v>
      </c>
      <c r="BG950" t="str">
        <f>tbl_OriginalData[[#This Row],[Purchase_Intent]]</f>
        <v>Impulsive</v>
      </c>
      <c r="BH950" t="str">
        <f>tbl_OriginalData[[#This Row],[Shipping_Preference]]</f>
        <v>No Preference</v>
      </c>
      <c r="BI950">
        <f>tbl_OriginalData[[#This Row],[Time_to_Decision]]</f>
        <v>7</v>
      </c>
      <c r="BJ950" t="s">
        <v>172</v>
      </c>
      <c r="BK950" t="s">
        <v>115</v>
      </c>
      <c r="BL950" t="s">
        <v>2528</v>
      </c>
    </row>
    <row r="951" spans="1:64">
      <c r="A951" t="s">
        <v>2138</v>
      </c>
      <c r="B951">
        <v>40</v>
      </c>
      <c r="C951" t="s">
        <v>33</v>
      </c>
      <c r="D951" t="s">
        <v>51</v>
      </c>
      <c r="E951" t="s">
        <v>35</v>
      </c>
      <c r="F951" t="s">
        <v>52</v>
      </c>
      <c r="G951" t="s">
        <v>51</v>
      </c>
      <c r="H951" t="s">
        <v>2139</v>
      </c>
      <c r="I951" t="s">
        <v>143</v>
      </c>
      <c r="J951">
        <v>489.81</v>
      </c>
      <c r="K951">
        <v>11</v>
      </c>
      <c r="L951" t="s">
        <v>39</v>
      </c>
      <c r="M951">
        <v>3</v>
      </c>
      <c r="N951">
        <v>2</v>
      </c>
      <c r="O951">
        <v>1</v>
      </c>
      <c r="P951" t="s">
        <v>69</v>
      </c>
      <c r="Q951" t="s">
        <v>101</v>
      </c>
      <c r="R951">
        <v>0</v>
      </c>
      <c r="S951">
        <v>1</v>
      </c>
      <c r="T951" t="s">
        <v>40</v>
      </c>
      <c r="U951" t="s">
        <v>42</v>
      </c>
      <c r="V951" t="s">
        <v>43</v>
      </c>
      <c r="W951" s="1">
        <v>45648</v>
      </c>
      <c r="X951" t="b">
        <v>0</v>
      </c>
      <c r="Y951" t="b">
        <v>0</v>
      </c>
      <c r="Z951" t="s">
        <v>59</v>
      </c>
      <c r="AA951" t="s">
        <v>45</v>
      </c>
      <c r="AB951">
        <v>3</v>
      </c>
      <c r="AF951" t="str">
        <f>tbl_OriginalData[[#This Row],[Customer_ID]]</f>
        <v>37-361-8691</v>
      </c>
      <c r="AG951">
        <f>tbl_OriginalData[[#This Row],[Age]]</f>
        <v>40</v>
      </c>
      <c r="AH951" t="str" cm="1">
        <f t="array" ref="AH95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51" t="str">
        <f>tbl_OriginalData[[#This Row],[Gender]]</f>
        <v>Female</v>
      </c>
      <c r="AJ951" t="str">
        <f>tbl_OriginalData[[#This Row],[Income_Level]]</f>
        <v>High</v>
      </c>
      <c r="AK951" t="str">
        <f>tbl_OriginalData[[#This Row],[Marital_Status]]</f>
        <v>Married</v>
      </c>
      <c r="AL951" t="str">
        <f>tbl_OriginalData[[#This Row],[Education_Level]]</f>
        <v>High School</v>
      </c>
      <c r="AM951" t="str">
        <f>tbl_OriginalData[[#This Row],[Occupation]]</f>
        <v>High</v>
      </c>
      <c r="AN951" t="s">
        <v>2139</v>
      </c>
      <c r="AO951" t="s">
        <v>269</v>
      </c>
      <c r="AP951" t="str">
        <f>tbl_OriginalData[[#This Row],[Purchase_Category]]</f>
        <v>Packages)</v>
      </c>
      <c r="AQ951" s="4">
        <f>tbl_OriginalData[[#This Row],[Purchase_Amount]]</f>
        <v>489.81</v>
      </c>
      <c r="AR951">
        <f>tbl_OriginalData[[#This Row],[Frequency_of_Purchase]]</f>
        <v>11</v>
      </c>
      <c r="AS951" t="str">
        <f>tbl_OriginalData[[#This Row],[Purchase_Channel]]</f>
        <v>Mixed</v>
      </c>
      <c r="AT951">
        <f>tbl_OriginalData[[#This Row],[Brand_Loyalty]]</f>
        <v>3</v>
      </c>
      <c r="AU951">
        <f>tbl_OriginalData[[#This Row],[Product_Rating]]</f>
        <v>2</v>
      </c>
      <c r="AV951">
        <f>tbl_OriginalData[[#This Row],[Time_Spent_on_Product_Research(hours)]]*60</f>
        <v>60</v>
      </c>
      <c r="AW951" t="str">
        <f>tbl_OriginalData[[#This Row],[Social_Media_Influence]]</f>
        <v>Low</v>
      </c>
      <c r="AX951" t="str">
        <f>tbl_OriginalData[[#This Row],[Discount_Sensitivity]]</f>
        <v>Very Sensitive</v>
      </c>
      <c r="AY951" s="3">
        <f>tbl_OriginalData[[#This Row],[Return_Rate]]/tbl_OriginalData[[#This Row],[Frequency_of_Purchase]]</f>
        <v>0</v>
      </c>
      <c r="AZ951">
        <f>tbl_OriginalData[[#This Row],[Customer_Satisfaction]]</f>
        <v>1</v>
      </c>
      <c r="BA951" t="str">
        <f>tbl_OriginalData[[#This Row],[Engagement_with_Ads]]</f>
        <v>None</v>
      </c>
      <c r="BB951" t="str">
        <f>tbl_OriginalData[[#This Row],[Device_Used_for_Shopping]]</f>
        <v>Tablet</v>
      </c>
      <c r="BC951" t="str">
        <f>tbl_OriginalData[[#This Row],[Payment_Method]]</f>
        <v>Credit Card</v>
      </c>
      <c r="BD951" s="1">
        <f>tbl_OriginalData[[#This Row],[Time_of_Purchase]]</f>
        <v>45648</v>
      </c>
      <c r="BE951" t="str">
        <f>IF(tbl_OriginalData[[#This Row],[Discount_Used]]=TRUE,"Yes","No")</f>
        <v>No</v>
      </c>
      <c r="BF951" t="str">
        <f>IF(tbl_OriginalData[[#This Row],[Customer_Loyalty_Program_Member]]=TRUE,"Yes","No")</f>
        <v>No</v>
      </c>
      <c r="BG951" t="str">
        <f>tbl_OriginalData[[#This Row],[Purchase_Intent]]</f>
        <v>Wants-based</v>
      </c>
      <c r="BH951" t="str">
        <f>tbl_OriginalData[[#This Row],[Shipping_Preference]]</f>
        <v>No Preference</v>
      </c>
      <c r="BI951">
        <f>tbl_OriginalData[[#This Row],[Time_to_Decision]]</f>
        <v>3</v>
      </c>
      <c r="BJ951" t="s">
        <v>120</v>
      </c>
      <c r="BK951" t="s">
        <v>80</v>
      </c>
      <c r="BL951" t="s">
        <v>2528</v>
      </c>
    </row>
    <row r="952" spans="1:64">
      <c r="A952" t="s">
        <v>2140</v>
      </c>
      <c r="B952">
        <v>32</v>
      </c>
      <c r="C952" t="s">
        <v>33</v>
      </c>
      <c r="D952" t="s">
        <v>51</v>
      </c>
      <c r="E952" t="s">
        <v>65</v>
      </c>
      <c r="F952" t="s">
        <v>52</v>
      </c>
      <c r="G952" t="s">
        <v>34</v>
      </c>
      <c r="H952" t="s">
        <v>2141</v>
      </c>
      <c r="I952" t="s">
        <v>150</v>
      </c>
      <c r="J952">
        <v>455.55</v>
      </c>
      <c r="K952">
        <v>8</v>
      </c>
      <c r="L952" t="s">
        <v>39</v>
      </c>
      <c r="M952">
        <v>4</v>
      </c>
      <c r="N952">
        <v>4</v>
      </c>
      <c r="O952">
        <v>1</v>
      </c>
      <c r="P952" t="s">
        <v>51</v>
      </c>
      <c r="Q952" t="s">
        <v>41</v>
      </c>
      <c r="R952">
        <v>0</v>
      </c>
      <c r="S952">
        <v>6</v>
      </c>
      <c r="T952" t="s">
        <v>51</v>
      </c>
      <c r="U952" t="s">
        <v>95</v>
      </c>
      <c r="V952" t="s">
        <v>58</v>
      </c>
      <c r="W952" s="1">
        <v>45594</v>
      </c>
      <c r="X952" t="b">
        <v>0</v>
      </c>
      <c r="Y952" t="b">
        <v>0</v>
      </c>
      <c r="Z952" t="s">
        <v>89</v>
      </c>
      <c r="AA952" t="s">
        <v>45</v>
      </c>
      <c r="AB952">
        <v>10</v>
      </c>
      <c r="AF952" t="str">
        <f>tbl_OriginalData[[#This Row],[Customer_ID]]</f>
        <v>17-763-9416</v>
      </c>
      <c r="AG952">
        <f>tbl_OriginalData[[#This Row],[Age]]</f>
        <v>32</v>
      </c>
      <c r="AH952" t="str" cm="1">
        <f t="array" ref="AH95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52" t="str">
        <f>tbl_OriginalData[[#This Row],[Gender]]</f>
        <v>Female</v>
      </c>
      <c r="AJ952" t="str">
        <f>tbl_OriginalData[[#This Row],[Income_Level]]</f>
        <v>High</v>
      </c>
      <c r="AK952" t="str">
        <f>tbl_OriginalData[[#This Row],[Marital_Status]]</f>
        <v>Single</v>
      </c>
      <c r="AL952" t="str">
        <f>tbl_OriginalData[[#This Row],[Education_Level]]</f>
        <v>High School</v>
      </c>
      <c r="AM952" t="str">
        <f>tbl_OriginalData[[#This Row],[Occupation]]</f>
        <v>Middle</v>
      </c>
      <c r="AN952" t="s">
        <v>2141</v>
      </c>
      <c r="AO952" t="s">
        <v>128</v>
      </c>
      <c r="AP952" t="str">
        <f>tbl_OriginalData[[#This Row],[Purchase_Category]]</f>
        <v>Software &amp; Apps</v>
      </c>
      <c r="AQ952" s="4">
        <f>tbl_OriginalData[[#This Row],[Purchase_Amount]]</f>
        <v>455.55</v>
      </c>
      <c r="AR952">
        <f>tbl_OriginalData[[#This Row],[Frequency_of_Purchase]]</f>
        <v>8</v>
      </c>
      <c r="AS952" t="str">
        <f>tbl_OriginalData[[#This Row],[Purchase_Channel]]</f>
        <v>Mixed</v>
      </c>
      <c r="AT952">
        <f>tbl_OriginalData[[#This Row],[Brand_Loyalty]]</f>
        <v>4</v>
      </c>
      <c r="AU952">
        <f>tbl_OriginalData[[#This Row],[Product_Rating]]</f>
        <v>4</v>
      </c>
      <c r="AV952">
        <f>tbl_OriginalData[[#This Row],[Time_Spent_on_Product_Research(hours)]]*60</f>
        <v>60</v>
      </c>
      <c r="AW952" t="str">
        <f>tbl_OriginalData[[#This Row],[Social_Media_Influence]]</f>
        <v>High</v>
      </c>
      <c r="AX952" t="str">
        <f>tbl_OriginalData[[#This Row],[Discount_Sensitivity]]</f>
        <v>Somewhat Sensitive</v>
      </c>
      <c r="AY952" s="3">
        <f>tbl_OriginalData[[#This Row],[Return_Rate]]/tbl_OriginalData[[#This Row],[Frequency_of_Purchase]]</f>
        <v>0</v>
      </c>
      <c r="AZ952">
        <f>tbl_OriginalData[[#This Row],[Customer_Satisfaction]]</f>
        <v>6</v>
      </c>
      <c r="BA952" t="str">
        <f>tbl_OriginalData[[#This Row],[Engagement_with_Ads]]</f>
        <v>High</v>
      </c>
      <c r="BB952" t="str">
        <f>tbl_OriginalData[[#This Row],[Device_Used_for_Shopping]]</f>
        <v>Desktop</v>
      </c>
      <c r="BC952" t="str">
        <f>tbl_OriginalData[[#This Row],[Payment_Method]]</f>
        <v>PayPal</v>
      </c>
      <c r="BD952" s="1">
        <f>tbl_OriginalData[[#This Row],[Time_of_Purchase]]</f>
        <v>45594</v>
      </c>
      <c r="BE952" t="str">
        <f>IF(tbl_OriginalData[[#This Row],[Discount_Used]]=TRUE,"Yes","No")</f>
        <v>No</v>
      </c>
      <c r="BF952" t="str">
        <f>IF(tbl_OriginalData[[#This Row],[Customer_Loyalty_Program_Member]]=TRUE,"Yes","No")</f>
        <v>No</v>
      </c>
      <c r="BG952" t="str">
        <f>tbl_OriginalData[[#This Row],[Purchase_Intent]]</f>
        <v>Planned</v>
      </c>
      <c r="BH952" t="str">
        <f>tbl_OriginalData[[#This Row],[Shipping_Preference]]</f>
        <v>No Preference</v>
      </c>
      <c r="BI952">
        <f>tbl_OriginalData[[#This Row],[Time_to_Decision]]</f>
        <v>10</v>
      </c>
      <c r="BJ952" t="s">
        <v>79</v>
      </c>
      <c r="BK952" t="s">
        <v>80</v>
      </c>
      <c r="BL952" t="s">
        <v>2523</v>
      </c>
    </row>
    <row r="953" spans="1:64">
      <c r="A953" t="s">
        <v>2142</v>
      </c>
      <c r="B953">
        <v>29</v>
      </c>
      <c r="C953" t="s">
        <v>50</v>
      </c>
      <c r="D953" t="s">
        <v>34</v>
      </c>
      <c r="E953" t="s">
        <v>92</v>
      </c>
      <c r="F953" t="s">
        <v>66</v>
      </c>
      <c r="G953" t="s">
        <v>34</v>
      </c>
      <c r="H953" t="s">
        <v>2143</v>
      </c>
      <c r="I953" t="s">
        <v>112</v>
      </c>
      <c r="J953">
        <v>266.61</v>
      </c>
      <c r="K953">
        <v>3</v>
      </c>
      <c r="L953" t="s">
        <v>94</v>
      </c>
      <c r="M953">
        <v>3</v>
      </c>
      <c r="N953">
        <v>1</v>
      </c>
      <c r="O953">
        <v>1</v>
      </c>
      <c r="P953" t="s">
        <v>56</v>
      </c>
      <c r="Q953" t="s">
        <v>101</v>
      </c>
      <c r="R953">
        <v>2</v>
      </c>
      <c r="S953">
        <v>8</v>
      </c>
      <c r="T953" t="s">
        <v>40</v>
      </c>
      <c r="U953" t="s">
        <v>42</v>
      </c>
      <c r="V953" t="s">
        <v>71</v>
      </c>
      <c r="W953" s="1">
        <v>45449</v>
      </c>
      <c r="X953" t="b">
        <v>1</v>
      </c>
      <c r="Y953" t="b">
        <v>0</v>
      </c>
      <c r="Z953" t="s">
        <v>44</v>
      </c>
      <c r="AA953" t="s">
        <v>60</v>
      </c>
      <c r="AB953">
        <v>7</v>
      </c>
      <c r="AF953" t="str">
        <f>tbl_OriginalData[[#This Row],[Customer_ID]]</f>
        <v>56-453-8263</v>
      </c>
      <c r="AG953">
        <f>tbl_OriginalData[[#This Row],[Age]]</f>
        <v>29</v>
      </c>
      <c r="AH953" t="str" cm="1">
        <f t="array" ref="AH95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53" t="str">
        <f>tbl_OriginalData[[#This Row],[Gender]]</f>
        <v>Male</v>
      </c>
      <c r="AJ953" t="str">
        <f>tbl_OriginalData[[#This Row],[Income_Level]]</f>
        <v>Middle</v>
      </c>
      <c r="AK953" t="str">
        <f>tbl_OriginalData[[#This Row],[Marital_Status]]</f>
        <v>Divorced</v>
      </c>
      <c r="AL953" t="str">
        <f>tbl_OriginalData[[#This Row],[Education_Level]]</f>
        <v>Master's</v>
      </c>
      <c r="AM953" t="str">
        <f>tbl_OriginalData[[#This Row],[Occupation]]</f>
        <v>Middle</v>
      </c>
      <c r="AN953" t="s">
        <v>2143</v>
      </c>
      <c r="AO953" t="s">
        <v>221</v>
      </c>
      <c r="AP953" t="str">
        <f>tbl_OriginalData[[#This Row],[Purchase_Category]]</f>
        <v>Mobile Accessories</v>
      </c>
      <c r="AQ953" s="4">
        <f>tbl_OriginalData[[#This Row],[Purchase_Amount]]</f>
        <v>266.61</v>
      </c>
      <c r="AR953">
        <f>tbl_OriginalData[[#This Row],[Frequency_of_Purchase]]</f>
        <v>3</v>
      </c>
      <c r="AS953" t="str">
        <f>tbl_OriginalData[[#This Row],[Purchase_Channel]]</f>
        <v>Online</v>
      </c>
      <c r="AT953">
        <f>tbl_OriginalData[[#This Row],[Brand_Loyalty]]</f>
        <v>3</v>
      </c>
      <c r="AU953">
        <f>tbl_OriginalData[[#This Row],[Product_Rating]]</f>
        <v>1</v>
      </c>
      <c r="AV953">
        <f>tbl_OriginalData[[#This Row],[Time_Spent_on_Product_Research(hours)]]*60</f>
        <v>60</v>
      </c>
      <c r="AW953" t="str">
        <f>tbl_OriginalData[[#This Row],[Social_Media_Influence]]</f>
        <v>Medium</v>
      </c>
      <c r="AX953" t="str">
        <f>tbl_OriginalData[[#This Row],[Discount_Sensitivity]]</f>
        <v>Very Sensitive</v>
      </c>
      <c r="AY953" s="3">
        <f>tbl_OriginalData[[#This Row],[Return_Rate]]/tbl_OriginalData[[#This Row],[Frequency_of_Purchase]]</f>
        <v>0.66666666666666663</v>
      </c>
      <c r="AZ953">
        <f>tbl_OriginalData[[#This Row],[Customer_Satisfaction]]</f>
        <v>8</v>
      </c>
      <c r="BA953" t="str">
        <f>tbl_OriginalData[[#This Row],[Engagement_with_Ads]]</f>
        <v>None</v>
      </c>
      <c r="BB953" t="str">
        <f>tbl_OriginalData[[#This Row],[Device_Used_for_Shopping]]</f>
        <v>Tablet</v>
      </c>
      <c r="BC953" t="str">
        <f>tbl_OriginalData[[#This Row],[Payment_Method]]</f>
        <v>Debit Card</v>
      </c>
      <c r="BD953" s="1">
        <f>tbl_OriginalData[[#This Row],[Time_of_Purchase]]</f>
        <v>45449</v>
      </c>
      <c r="BE953" t="str">
        <f>IF(tbl_OriginalData[[#This Row],[Discount_Used]]=TRUE,"Yes","No")</f>
        <v>Yes</v>
      </c>
      <c r="BF953" t="str">
        <f>IF(tbl_OriginalData[[#This Row],[Customer_Loyalty_Program_Member]]=TRUE,"Yes","No")</f>
        <v>No</v>
      </c>
      <c r="BG953" t="str">
        <f>tbl_OriginalData[[#This Row],[Purchase_Intent]]</f>
        <v>Need-based</v>
      </c>
      <c r="BH953" t="str">
        <f>tbl_OriginalData[[#This Row],[Shipping_Preference]]</f>
        <v>Standard</v>
      </c>
      <c r="BI953">
        <f>tbl_OriginalData[[#This Row],[Time_to_Decision]]</f>
        <v>7</v>
      </c>
      <c r="BJ953" t="s">
        <v>104</v>
      </c>
      <c r="BK953" t="s">
        <v>63</v>
      </c>
      <c r="BL953" t="s">
        <v>2525</v>
      </c>
    </row>
    <row r="954" spans="1:64">
      <c r="A954" t="s">
        <v>2144</v>
      </c>
      <c r="B954">
        <v>50</v>
      </c>
      <c r="C954" t="s">
        <v>264</v>
      </c>
      <c r="D954" t="s">
        <v>34</v>
      </c>
      <c r="E954" t="s">
        <v>35</v>
      </c>
      <c r="F954" t="s">
        <v>52</v>
      </c>
      <c r="G954" t="s">
        <v>51</v>
      </c>
      <c r="H954" t="s">
        <v>2145</v>
      </c>
      <c r="I954" t="s">
        <v>242</v>
      </c>
      <c r="J954">
        <v>460.88</v>
      </c>
      <c r="K954">
        <v>5</v>
      </c>
      <c r="L954" t="s">
        <v>39</v>
      </c>
      <c r="M954">
        <v>3</v>
      </c>
      <c r="N954">
        <v>4</v>
      </c>
      <c r="O954">
        <v>2</v>
      </c>
      <c r="P954" t="s">
        <v>40</v>
      </c>
      <c r="Q954" t="s">
        <v>57</v>
      </c>
      <c r="R954">
        <v>2</v>
      </c>
      <c r="S954">
        <v>4</v>
      </c>
      <c r="T954" t="s">
        <v>51</v>
      </c>
      <c r="U954" t="s">
        <v>42</v>
      </c>
      <c r="V954" t="s">
        <v>102</v>
      </c>
      <c r="W954" s="1">
        <v>45394</v>
      </c>
      <c r="X954" t="b">
        <v>1</v>
      </c>
      <c r="Y954" t="b">
        <v>0</v>
      </c>
      <c r="Z954" t="s">
        <v>72</v>
      </c>
      <c r="AA954" t="s">
        <v>60</v>
      </c>
      <c r="AB954">
        <v>2</v>
      </c>
      <c r="AF954" t="str">
        <f>tbl_OriginalData[[#This Row],[Customer_ID]]</f>
        <v>19-560-0717</v>
      </c>
      <c r="AG954">
        <f>tbl_OriginalData[[#This Row],[Age]]</f>
        <v>50</v>
      </c>
      <c r="AH954" t="str" cm="1">
        <f t="array" ref="AH95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54" t="str">
        <f>tbl_OriginalData[[#This Row],[Gender]]</f>
        <v>Polygender</v>
      </c>
      <c r="AJ954" t="str">
        <f>tbl_OriginalData[[#This Row],[Income_Level]]</f>
        <v>Middle</v>
      </c>
      <c r="AK954" t="str">
        <f>tbl_OriginalData[[#This Row],[Marital_Status]]</f>
        <v>Married</v>
      </c>
      <c r="AL954" t="str">
        <f>tbl_OriginalData[[#This Row],[Education_Level]]</f>
        <v>High School</v>
      </c>
      <c r="AM954" t="str">
        <f>tbl_OriginalData[[#This Row],[Occupation]]</f>
        <v>High</v>
      </c>
      <c r="AN954" t="s">
        <v>2145</v>
      </c>
      <c r="AO954" t="s">
        <v>1226</v>
      </c>
      <c r="AP954" t="str">
        <f>tbl_OriginalData[[#This Row],[Purchase_Category]]</f>
        <v>Travel &amp; Leisure (Flights</v>
      </c>
      <c r="AQ954" s="4">
        <f>tbl_OriginalData[[#This Row],[Purchase_Amount]]</f>
        <v>460.88</v>
      </c>
      <c r="AR954">
        <f>tbl_OriginalData[[#This Row],[Frequency_of_Purchase]]</f>
        <v>5</v>
      </c>
      <c r="AS954" t="str">
        <f>tbl_OriginalData[[#This Row],[Purchase_Channel]]</f>
        <v>Mixed</v>
      </c>
      <c r="AT954">
        <f>tbl_OriginalData[[#This Row],[Brand_Loyalty]]</f>
        <v>3</v>
      </c>
      <c r="AU954">
        <f>tbl_OriginalData[[#This Row],[Product_Rating]]</f>
        <v>4</v>
      </c>
      <c r="AV954">
        <f>tbl_OriginalData[[#This Row],[Time_Spent_on_Product_Research(hours)]]*60</f>
        <v>120</v>
      </c>
      <c r="AW954" t="str">
        <f>tbl_OriginalData[[#This Row],[Social_Media_Influence]]</f>
        <v>None</v>
      </c>
      <c r="AX954" t="str">
        <f>tbl_OriginalData[[#This Row],[Discount_Sensitivity]]</f>
        <v>Not Sensitive</v>
      </c>
      <c r="AY954" s="3">
        <f>tbl_OriginalData[[#This Row],[Return_Rate]]/tbl_OriginalData[[#This Row],[Frequency_of_Purchase]]</f>
        <v>0.4</v>
      </c>
      <c r="AZ954">
        <f>tbl_OriginalData[[#This Row],[Customer_Satisfaction]]</f>
        <v>4</v>
      </c>
      <c r="BA954" t="str">
        <f>tbl_OriginalData[[#This Row],[Engagement_with_Ads]]</f>
        <v>High</v>
      </c>
      <c r="BB954" t="str">
        <f>tbl_OriginalData[[#This Row],[Device_Used_for_Shopping]]</f>
        <v>Tablet</v>
      </c>
      <c r="BC954" t="str">
        <f>tbl_OriginalData[[#This Row],[Payment_Method]]</f>
        <v>Cash</v>
      </c>
      <c r="BD954" s="1">
        <f>tbl_OriginalData[[#This Row],[Time_of_Purchase]]</f>
        <v>45394</v>
      </c>
      <c r="BE954" t="str">
        <f>IF(tbl_OriginalData[[#This Row],[Discount_Used]]=TRUE,"Yes","No")</f>
        <v>Yes</v>
      </c>
      <c r="BF954" t="str">
        <f>IF(tbl_OriginalData[[#This Row],[Customer_Loyalty_Program_Member]]=TRUE,"Yes","No")</f>
        <v>No</v>
      </c>
      <c r="BG954" t="str">
        <f>tbl_OriginalData[[#This Row],[Purchase_Intent]]</f>
        <v>Impulsive</v>
      </c>
      <c r="BH954" t="str">
        <f>tbl_OriginalData[[#This Row],[Shipping_Preference]]</f>
        <v>Standard</v>
      </c>
      <c r="BI954">
        <f>tbl_OriginalData[[#This Row],[Time_to_Decision]]</f>
        <v>2</v>
      </c>
      <c r="BJ954" t="s">
        <v>62</v>
      </c>
      <c r="BK954" t="s">
        <v>63</v>
      </c>
      <c r="BL954" t="s">
        <v>2528</v>
      </c>
    </row>
    <row r="955" spans="1:64">
      <c r="A955" t="s">
        <v>2146</v>
      </c>
      <c r="B955">
        <v>42</v>
      </c>
      <c r="C955" t="s">
        <v>50</v>
      </c>
      <c r="D955" t="s">
        <v>51</v>
      </c>
      <c r="E955" t="s">
        <v>65</v>
      </c>
      <c r="F955" t="s">
        <v>52</v>
      </c>
      <c r="G955" t="s">
        <v>34</v>
      </c>
      <c r="H955" t="s">
        <v>2147</v>
      </c>
      <c r="I955" t="s">
        <v>180</v>
      </c>
      <c r="J955">
        <v>361.4</v>
      </c>
      <c r="K955">
        <v>2</v>
      </c>
      <c r="L955" t="s">
        <v>55</v>
      </c>
      <c r="M955">
        <v>2</v>
      </c>
      <c r="N955">
        <v>5</v>
      </c>
      <c r="O955">
        <v>1</v>
      </c>
      <c r="P955" t="s">
        <v>56</v>
      </c>
      <c r="Q955" t="s">
        <v>41</v>
      </c>
      <c r="R955">
        <v>0</v>
      </c>
      <c r="S955">
        <v>5</v>
      </c>
      <c r="T955" t="s">
        <v>56</v>
      </c>
      <c r="U955" t="s">
        <v>95</v>
      </c>
      <c r="V955" t="s">
        <v>43</v>
      </c>
      <c r="W955" s="1">
        <v>45647</v>
      </c>
      <c r="X955" t="b">
        <v>0</v>
      </c>
      <c r="Y955" t="b">
        <v>1</v>
      </c>
      <c r="Z955" t="s">
        <v>72</v>
      </c>
      <c r="AA955" t="s">
        <v>45</v>
      </c>
      <c r="AB955">
        <v>7</v>
      </c>
      <c r="AF955" t="str">
        <f>tbl_OriginalData[[#This Row],[Customer_ID]]</f>
        <v>40-199-1803</v>
      </c>
      <c r="AG955">
        <f>tbl_OriginalData[[#This Row],[Age]]</f>
        <v>42</v>
      </c>
      <c r="AH955" t="str" cm="1">
        <f t="array" ref="AH95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55" t="str">
        <f>tbl_OriginalData[[#This Row],[Gender]]</f>
        <v>Male</v>
      </c>
      <c r="AJ955" t="str">
        <f>tbl_OriginalData[[#This Row],[Income_Level]]</f>
        <v>High</v>
      </c>
      <c r="AK955" t="str">
        <f>tbl_OriginalData[[#This Row],[Marital_Status]]</f>
        <v>Single</v>
      </c>
      <c r="AL955" t="str">
        <f>tbl_OriginalData[[#This Row],[Education_Level]]</f>
        <v>High School</v>
      </c>
      <c r="AM955" t="str">
        <f>tbl_OriginalData[[#This Row],[Occupation]]</f>
        <v>Middle</v>
      </c>
      <c r="AN955" t="s">
        <v>2147</v>
      </c>
      <c r="AO955" t="s">
        <v>1692</v>
      </c>
      <c r="AP955" t="str">
        <f>tbl_OriginalData[[#This Row],[Purchase_Category]]</f>
        <v>Health Supplements</v>
      </c>
      <c r="AQ955" s="4">
        <f>tbl_OriginalData[[#This Row],[Purchase_Amount]]</f>
        <v>361.4</v>
      </c>
      <c r="AR955">
        <f>tbl_OriginalData[[#This Row],[Frequency_of_Purchase]]</f>
        <v>2</v>
      </c>
      <c r="AS955" t="str">
        <f>tbl_OriginalData[[#This Row],[Purchase_Channel]]</f>
        <v>In-Store</v>
      </c>
      <c r="AT955">
        <f>tbl_OriginalData[[#This Row],[Brand_Loyalty]]</f>
        <v>2</v>
      </c>
      <c r="AU955">
        <f>tbl_OriginalData[[#This Row],[Product_Rating]]</f>
        <v>5</v>
      </c>
      <c r="AV955">
        <f>tbl_OriginalData[[#This Row],[Time_Spent_on_Product_Research(hours)]]*60</f>
        <v>60</v>
      </c>
      <c r="AW955" t="str">
        <f>tbl_OriginalData[[#This Row],[Social_Media_Influence]]</f>
        <v>Medium</v>
      </c>
      <c r="AX955" t="str">
        <f>tbl_OriginalData[[#This Row],[Discount_Sensitivity]]</f>
        <v>Somewhat Sensitive</v>
      </c>
      <c r="AY955" s="3">
        <f>tbl_OriginalData[[#This Row],[Return_Rate]]/tbl_OriginalData[[#This Row],[Frequency_of_Purchase]]</f>
        <v>0</v>
      </c>
      <c r="AZ955">
        <f>tbl_OriginalData[[#This Row],[Customer_Satisfaction]]</f>
        <v>5</v>
      </c>
      <c r="BA955" t="str">
        <f>tbl_OriginalData[[#This Row],[Engagement_with_Ads]]</f>
        <v>Medium</v>
      </c>
      <c r="BB955" t="str">
        <f>tbl_OriginalData[[#This Row],[Device_Used_for_Shopping]]</f>
        <v>Desktop</v>
      </c>
      <c r="BC955" t="str">
        <f>tbl_OriginalData[[#This Row],[Payment_Method]]</f>
        <v>Credit Card</v>
      </c>
      <c r="BD955" s="1">
        <f>tbl_OriginalData[[#This Row],[Time_of_Purchase]]</f>
        <v>45647</v>
      </c>
      <c r="BE955" t="str">
        <f>IF(tbl_OriginalData[[#This Row],[Discount_Used]]=TRUE,"Yes","No")</f>
        <v>No</v>
      </c>
      <c r="BF955" t="str">
        <f>IF(tbl_OriginalData[[#This Row],[Customer_Loyalty_Program_Member]]=TRUE,"Yes","No")</f>
        <v>Yes</v>
      </c>
      <c r="BG955" t="str">
        <f>tbl_OriginalData[[#This Row],[Purchase_Intent]]</f>
        <v>Impulsive</v>
      </c>
      <c r="BH955" t="str">
        <f>tbl_OriginalData[[#This Row],[Shipping_Preference]]</f>
        <v>No Preference</v>
      </c>
      <c r="BI955">
        <f>tbl_OriginalData[[#This Row],[Time_to_Decision]]</f>
        <v>7</v>
      </c>
      <c r="BJ955" t="s">
        <v>120</v>
      </c>
      <c r="BK955" t="s">
        <v>80</v>
      </c>
      <c r="BL955" t="s">
        <v>2524</v>
      </c>
    </row>
    <row r="956" spans="1:64">
      <c r="A956" t="s">
        <v>2148</v>
      </c>
      <c r="B956">
        <v>47</v>
      </c>
      <c r="C956" t="s">
        <v>33</v>
      </c>
      <c r="D956" t="s">
        <v>34</v>
      </c>
      <c r="E956" t="s">
        <v>92</v>
      </c>
      <c r="F956" t="s">
        <v>66</v>
      </c>
      <c r="G956" t="s">
        <v>34</v>
      </c>
      <c r="H956" t="s">
        <v>2149</v>
      </c>
      <c r="I956" t="s">
        <v>153</v>
      </c>
      <c r="J956">
        <v>51.86</v>
      </c>
      <c r="K956">
        <v>4</v>
      </c>
      <c r="L956" t="s">
        <v>39</v>
      </c>
      <c r="M956">
        <v>3</v>
      </c>
      <c r="N956">
        <v>5</v>
      </c>
      <c r="O956">
        <v>0.2</v>
      </c>
      <c r="P956" t="s">
        <v>56</v>
      </c>
      <c r="Q956" t="s">
        <v>57</v>
      </c>
      <c r="R956">
        <v>2</v>
      </c>
      <c r="S956">
        <v>6</v>
      </c>
      <c r="T956" t="s">
        <v>51</v>
      </c>
      <c r="U956" t="s">
        <v>42</v>
      </c>
      <c r="V956" t="s">
        <v>43</v>
      </c>
      <c r="W956" s="1">
        <v>45651</v>
      </c>
      <c r="X956" t="b">
        <v>0</v>
      </c>
      <c r="Y956" t="b">
        <v>1</v>
      </c>
      <c r="Z956" t="s">
        <v>44</v>
      </c>
      <c r="AA956" t="s">
        <v>45</v>
      </c>
      <c r="AB956">
        <v>6</v>
      </c>
      <c r="AF956" t="str">
        <f>tbl_OriginalData[[#This Row],[Customer_ID]]</f>
        <v>09-332-0236</v>
      </c>
      <c r="AG956">
        <f>tbl_OriginalData[[#This Row],[Age]]</f>
        <v>47</v>
      </c>
      <c r="AH956" t="str" cm="1">
        <f t="array" ref="AH95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56" t="str">
        <f>tbl_OriginalData[[#This Row],[Gender]]</f>
        <v>Female</v>
      </c>
      <c r="AJ956" t="str">
        <f>tbl_OriginalData[[#This Row],[Income_Level]]</f>
        <v>Middle</v>
      </c>
      <c r="AK956" t="str">
        <f>tbl_OriginalData[[#This Row],[Marital_Status]]</f>
        <v>Divorced</v>
      </c>
      <c r="AL956" t="str">
        <f>tbl_OriginalData[[#This Row],[Education_Level]]</f>
        <v>Master's</v>
      </c>
      <c r="AM956" t="str">
        <f>tbl_OriginalData[[#This Row],[Occupation]]</f>
        <v>Middle</v>
      </c>
      <c r="AN956" t="s">
        <v>2149</v>
      </c>
      <c r="AO956" t="s">
        <v>221</v>
      </c>
      <c r="AP956" t="str">
        <f>tbl_OriginalData[[#This Row],[Purchase_Category]]</f>
        <v>Baby Products</v>
      </c>
      <c r="AQ956" s="4">
        <f>tbl_OriginalData[[#This Row],[Purchase_Amount]]</f>
        <v>51.86</v>
      </c>
      <c r="AR956">
        <f>tbl_OriginalData[[#This Row],[Frequency_of_Purchase]]</f>
        <v>4</v>
      </c>
      <c r="AS956" t="str">
        <f>tbl_OriginalData[[#This Row],[Purchase_Channel]]</f>
        <v>Mixed</v>
      </c>
      <c r="AT956">
        <f>tbl_OriginalData[[#This Row],[Brand_Loyalty]]</f>
        <v>3</v>
      </c>
      <c r="AU956">
        <f>tbl_OriginalData[[#This Row],[Product_Rating]]</f>
        <v>5</v>
      </c>
      <c r="AV956">
        <f>tbl_OriginalData[[#This Row],[Time_Spent_on_Product_Research(hours)]]*60</f>
        <v>12</v>
      </c>
      <c r="AW956" t="str">
        <f>tbl_OriginalData[[#This Row],[Social_Media_Influence]]</f>
        <v>Medium</v>
      </c>
      <c r="AX956" t="str">
        <f>tbl_OriginalData[[#This Row],[Discount_Sensitivity]]</f>
        <v>Not Sensitive</v>
      </c>
      <c r="AY956" s="3">
        <f>tbl_OriginalData[[#This Row],[Return_Rate]]/tbl_OriginalData[[#This Row],[Frequency_of_Purchase]]</f>
        <v>0.5</v>
      </c>
      <c r="AZ956">
        <f>tbl_OriginalData[[#This Row],[Customer_Satisfaction]]</f>
        <v>6</v>
      </c>
      <c r="BA956" t="str">
        <f>tbl_OriginalData[[#This Row],[Engagement_with_Ads]]</f>
        <v>High</v>
      </c>
      <c r="BB956" t="str">
        <f>tbl_OriginalData[[#This Row],[Device_Used_for_Shopping]]</f>
        <v>Tablet</v>
      </c>
      <c r="BC956" t="str">
        <f>tbl_OriginalData[[#This Row],[Payment_Method]]</f>
        <v>Credit Card</v>
      </c>
      <c r="BD956" s="1">
        <f>tbl_OriginalData[[#This Row],[Time_of_Purchase]]</f>
        <v>45651</v>
      </c>
      <c r="BE956" t="str">
        <f>IF(tbl_OriginalData[[#This Row],[Discount_Used]]=TRUE,"Yes","No")</f>
        <v>No</v>
      </c>
      <c r="BF956" t="str">
        <f>IF(tbl_OriginalData[[#This Row],[Customer_Loyalty_Program_Member]]=TRUE,"Yes","No")</f>
        <v>Yes</v>
      </c>
      <c r="BG956" t="str">
        <f>tbl_OriginalData[[#This Row],[Purchase_Intent]]</f>
        <v>Need-based</v>
      </c>
      <c r="BH956" t="str">
        <f>tbl_OriginalData[[#This Row],[Shipping_Preference]]</f>
        <v>No Preference</v>
      </c>
      <c r="BI956">
        <f>tbl_OriginalData[[#This Row],[Time_to_Decision]]</f>
        <v>6</v>
      </c>
      <c r="BJ956" t="s">
        <v>120</v>
      </c>
      <c r="BK956" t="s">
        <v>80</v>
      </c>
      <c r="BL956" t="s">
        <v>2525</v>
      </c>
    </row>
    <row r="957" spans="1:64">
      <c r="A957" t="s">
        <v>2150</v>
      </c>
      <c r="B957">
        <v>27</v>
      </c>
      <c r="C957" t="s">
        <v>50</v>
      </c>
      <c r="D957" t="s">
        <v>34</v>
      </c>
      <c r="E957" t="s">
        <v>35</v>
      </c>
      <c r="F957" t="s">
        <v>52</v>
      </c>
      <c r="G957" t="s">
        <v>34</v>
      </c>
      <c r="H957" t="s">
        <v>2151</v>
      </c>
      <c r="I957" t="s">
        <v>68</v>
      </c>
      <c r="J957">
        <v>310.16000000000003</v>
      </c>
      <c r="K957">
        <v>5</v>
      </c>
      <c r="L957" t="s">
        <v>39</v>
      </c>
      <c r="M957">
        <v>5</v>
      </c>
      <c r="N957">
        <v>3</v>
      </c>
      <c r="O957">
        <v>1</v>
      </c>
      <c r="P957" t="s">
        <v>40</v>
      </c>
      <c r="Q957" t="s">
        <v>41</v>
      </c>
      <c r="R957">
        <v>0</v>
      </c>
      <c r="S957">
        <v>4</v>
      </c>
      <c r="T957" t="s">
        <v>51</v>
      </c>
      <c r="U957" t="s">
        <v>95</v>
      </c>
      <c r="V957" t="s">
        <v>102</v>
      </c>
      <c r="W957" s="1">
        <v>45627</v>
      </c>
      <c r="X957" t="b">
        <v>0</v>
      </c>
      <c r="Y957" t="b">
        <v>0</v>
      </c>
      <c r="Z957" t="s">
        <v>44</v>
      </c>
      <c r="AA957" t="s">
        <v>60</v>
      </c>
      <c r="AB957">
        <v>14</v>
      </c>
      <c r="AF957" t="str">
        <f>tbl_OriginalData[[#This Row],[Customer_ID]]</f>
        <v>83-982-5300</v>
      </c>
      <c r="AG957">
        <f>tbl_OriginalData[[#This Row],[Age]]</f>
        <v>27</v>
      </c>
      <c r="AH957" t="str" cm="1">
        <f t="array" ref="AH95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57" t="str">
        <f>tbl_OriginalData[[#This Row],[Gender]]</f>
        <v>Male</v>
      </c>
      <c r="AJ957" t="str">
        <f>tbl_OriginalData[[#This Row],[Income_Level]]</f>
        <v>Middle</v>
      </c>
      <c r="AK957" t="str">
        <f>tbl_OriginalData[[#This Row],[Marital_Status]]</f>
        <v>Married</v>
      </c>
      <c r="AL957" t="str">
        <f>tbl_OriginalData[[#This Row],[Education_Level]]</f>
        <v>High School</v>
      </c>
      <c r="AM957" t="str">
        <f>tbl_OriginalData[[#This Row],[Occupation]]</f>
        <v>Middle</v>
      </c>
      <c r="AN957" t="s">
        <v>2151</v>
      </c>
      <c r="AO957" t="s">
        <v>502</v>
      </c>
      <c r="AP957" t="str">
        <f>tbl_OriginalData[[#This Row],[Purchase_Category]]</f>
        <v>Office Supplies</v>
      </c>
      <c r="AQ957" s="4">
        <f>tbl_OriginalData[[#This Row],[Purchase_Amount]]</f>
        <v>310.16000000000003</v>
      </c>
      <c r="AR957">
        <f>tbl_OriginalData[[#This Row],[Frequency_of_Purchase]]</f>
        <v>5</v>
      </c>
      <c r="AS957" t="str">
        <f>tbl_OriginalData[[#This Row],[Purchase_Channel]]</f>
        <v>Mixed</v>
      </c>
      <c r="AT957">
        <f>tbl_OriginalData[[#This Row],[Brand_Loyalty]]</f>
        <v>5</v>
      </c>
      <c r="AU957">
        <f>tbl_OriginalData[[#This Row],[Product_Rating]]</f>
        <v>3</v>
      </c>
      <c r="AV957">
        <f>tbl_OriginalData[[#This Row],[Time_Spent_on_Product_Research(hours)]]*60</f>
        <v>60</v>
      </c>
      <c r="AW957" t="str">
        <f>tbl_OriginalData[[#This Row],[Social_Media_Influence]]</f>
        <v>None</v>
      </c>
      <c r="AX957" t="str">
        <f>tbl_OriginalData[[#This Row],[Discount_Sensitivity]]</f>
        <v>Somewhat Sensitive</v>
      </c>
      <c r="AY957" s="3">
        <f>tbl_OriginalData[[#This Row],[Return_Rate]]/tbl_OriginalData[[#This Row],[Frequency_of_Purchase]]</f>
        <v>0</v>
      </c>
      <c r="AZ957">
        <f>tbl_OriginalData[[#This Row],[Customer_Satisfaction]]</f>
        <v>4</v>
      </c>
      <c r="BA957" t="str">
        <f>tbl_OriginalData[[#This Row],[Engagement_with_Ads]]</f>
        <v>High</v>
      </c>
      <c r="BB957" t="str">
        <f>tbl_OriginalData[[#This Row],[Device_Used_for_Shopping]]</f>
        <v>Desktop</v>
      </c>
      <c r="BC957" t="str">
        <f>tbl_OriginalData[[#This Row],[Payment_Method]]</f>
        <v>Cash</v>
      </c>
      <c r="BD957" s="1">
        <f>tbl_OriginalData[[#This Row],[Time_of_Purchase]]</f>
        <v>45627</v>
      </c>
      <c r="BE957" t="str">
        <f>IF(tbl_OriginalData[[#This Row],[Discount_Used]]=TRUE,"Yes","No")</f>
        <v>No</v>
      </c>
      <c r="BF957" t="str">
        <f>IF(tbl_OriginalData[[#This Row],[Customer_Loyalty_Program_Member]]=TRUE,"Yes","No")</f>
        <v>No</v>
      </c>
      <c r="BG957" t="str">
        <f>tbl_OriginalData[[#This Row],[Purchase_Intent]]</f>
        <v>Need-based</v>
      </c>
      <c r="BH957" t="str">
        <f>tbl_OriginalData[[#This Row],[Shipping_Preference]]</f>
        <v>Standard</v>
      </c>
      <c r="BI957">
        <f>tbl_OriginalData[[#This Row],[Time_to_Decision]]</f>
        <v>14</v>
      </c>
      <c r="BJ957" t="s">
        <v>120</v>
      </c>
      <c r="BK957" t="s">
        <v>80</v>
      </c>
      <c r="BL957" t="s">
        <v>2524</v>
      </c>
    </row>
    <row r="958" spans="1:64">
      <c r="A958" t="s">
        <v>2152</v>
      </c>
      <c r="B958">
        <v>40</v>
      </c>
      <c r="C958" t="s">
        <v>33</v>
      </c>
      <c r="D958" t="s">
        <v>34</v>
      </c>
      <c r="E958" t="s">
        <v>82</v>
      </c>
      <c r="F958" t="s">
        <v>66</v>
      </c>
      <c r="G958" t="s">
        <v>34</v>
      </c>
      <c r="H958" t="s">
        <v>2153</v>
      </c>
      <c r="I958" t="s">
        <v>143</v>
      </c>
      <c r="J958">
        <v>300.73</v>
      </c>
      <c r="K958">
        <v>8</v>
      </c>
      <c r="L958" t="s">
        <v>94</v>
      </c>
      <c r="M958">
        <v>4</v>
      </c>
      <c r="N958">
        <v>2</v>
      </c>
      <c r="O958">
        <v>1</v>
      </c>
      <c r="P958" t="s">
        <v>69</v>
      </c>
      <c r="Q958" t="s">
        <v>41</v>
      </c>
      <c r="R958">
        <v>2</v>
      </c>
      <c r="S958">
        <v>9</v>
      </c>
      <c r="T958" t="s">
        <v>51</v>
      </c>
      <c r="U958" t="s">
        <v>95</v>
      </c>
      <c r="V958" t="s">
        <v>102</v>
      </c>
      <c r="W958" s="1">
        <v>45382</v>
      </c>
      <c r="X958" t="b">
        <v>1</v>
      </c>
      <c r="Y958" t="b">
        <v>1</v>
      </c>
      <c r="Z958" t="s">
        <v>44</v>
      </c>
      <c r="AA958" t="s">
        <v>45</v>
      </c>
      <c r="AB958">
        <v>10</v>
      </c>
      <c r="AF958" t="str">
        <f>tbl_OriginalData[[#This Row],[Customer_ID]]</f>
        <v>46-662-1571</v>
      </c>
      <c r="AG958">
        <f>tbl_OriginalData[[#This Row],[Age]]</f>
        <v>40</v>
      </c>
      <c r="AH958" t="str" cm="1">
        <f t="array" ref="AH95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58" t="str">
        <f>tbl_OriginalData[[#This Row],[Gender]]</f>
        <v>Female</v>
      </c>
      <c r="AJ958" t="str">
        <f>tbl_OriginalData[[#This Row],[Income_Level]]</f>
        <v>Middle</v>
      </c>
      <c r="AK958" t="str">
        <f>tbl_OriginalData[[#This Row],[Marital_Status]]</f>
        <v>Widowed</v>
      </c>
      <c r="AL958" t="str">
        <f>tbl_OriginalData[[#This Row],[Education_Level]]</f>
        <v>Master's</v>
      </c>
      <c r="AM958" t="str">
        <f>tbl_OriginalData[[#This Row],[Occupation]]</f>
        <v>Middle</v>
      </c>
      <c r="AN958" t="s">
        <v>2153</v>
      </c>
      <c r="AO958" t="s">
        <v>672</v>
      </c>
      <c r="AP958" t="str">
        <f>tbl_OriginalData[[#This Row],[Purchase_Category]]</f>
        <v>Packages)</v>
      </c>
      <c r="AQ958" s="4">
        <f>tbl_OriginalData[[#This Row],[Purchase_Amount]]</f>
        <v>300.73</v>
      </c>
      <c r="AR958">
        <f>tbl_OriginalData[[#This Row],[Frequency_of_Purchase]]</f>
        <v>8</v>
      </c>
      <c r="AS958" t="str">
        <f>tbl_OriginalData[[#This Row],[Purchase_Channel]]</f>
        <v>Online</v>
      </c>
      <c r="AT958">
        <f>tbl_OriginalData[[#This Row],[Brand_Loyalty]]</f>
        <v>4</v>
      </c>
      <c r="AU958">
        <f>tbl_OriginalData[[#This Row],[Product_Rating]]</f>
        <v>2</v>
      </c>
      <c r="AV958">
        <f>tbl_OriginalData[[#This Row],[Time_Spent_on_Product_Research(hours)]]*60</f>
        <v>60</v>
      </c>
      <c r="AW958" t="str">
        <f>tbl_OriginalData[[#This Row],[Social_Media_Influence]]</f>
        <v>Low</v>
      </c>
      <c r="AX958" t="str">
        <f>tbl_OriginalData[[#This Row],[Discount_Sensitivity]]</f>
        <v>Somewhat Sensitive</v>
      </c>
      <c r="AY958" s="3">
        <f>tbl_OriginalData[[#This Row],[Return_Rate]]/tbl_OriginalData[[#This Row],[Frequency_of_Purchase]]</f>
        <v>0.25</v>
      </c>
      <c r="AZ958">
        <f>tbl_OriginalData[[#This Row],[Customer_Satisfaction]]</f>
        <v>9</v>
      </c>
      <c r="BA958" t="str">
        <f>tbl_OriginalData[[#This Row],[Engagement_with_Ads]]</f>
        <v>High</v>
      </c>
      <c r="BB958" t="str">
        <f>tbl_OriginalData[[#This Row],[Device_Used_for_Shopping]]</f>
        <v>Desktop</v>
      </c>
      <c r="BC958" t="str">
        <f>tbl_OriginalData[[#This Row],[Payment_Method]]</f>
        <v>Cash</v>
      </c>
      <c r="BD958" s="1">
        <f>tbl_OriginalData[[#This Row],[Time_of_Purchase]]</f>
        <v>45382</v>
      </c>
      <c r="BE958" t="str">
        <f>IF(tbl_OriginalData[[#This Row],[Discount_Used]]=TRUE,"Yes","No")</f>
        <v>Yes</v>
      </c>
      <c r="BF958" t="str">
        <f>IF(tbl_OriginalData[[#This Row],[Customer_Loyalty_Program_Member]]=TRUE,"Yes","No")</f>
        <v>Yes</v>
      </c>
      <c r="BG958" t="str">
        <f>tbl_OriginalData[[#This Row],[Purchase_Intent]]</f>
        <v>Need-based</v>
      </c>
      <c r="BH958" t="str">
        <f>tbl_OriginalData[[#This Row],[Shipping_Preference]]</f>
        <v>No Preference</v>
      </c>
      <c r="BI958">
        <f>tbl_OriginalData[[#This Row],[Time_to_Decision]]</f>
        <v>10</v>
      </c>
      <c r="BJ958" t="s">
        <v>47</v>
      </c>
      <c r="BK958" t="s">
        <v>48</v>
      </c>
      <c r="BL958" t="s">
        <v>2527</v>
      </c>
    </row>
    <row r="959" spans="1:64">
      <c r="A959" t="s">
        <v>2154</v>
      </c>
      <c r="B959">
        <v>28</v>
      </c>
      <c r="C959" t="s">
        <v>33</v>
      </c>
      <c r="D959" t="s">
        <v>51</v>
      </c>
      <c r="E959" t="s">
        <v>35</v>
      </c>
      <c r="F959" t="s">
        <v>52</v>
      </c>
      <c r="G959" t="s">
        <v>34</v>
      </c>
      <c r="H959" t="s">
        <v>2155</v>
      </c>
      <c r="I959" t="s">
        <v>143</v>
      </c>
      <c r="J959">
        <v>356.87</v>
      </c>
      <c r="K959">
        <v>12</v>
      </c>
      <c r="L959" t="s">
        <v>39</v>
      </c>
      <c r="M959">
        <v>1</v>
      </c>
      <c r="N959">
        <v>4</v>
      </c>
      <c r="O959">
        <v>0</v>
      </c>
      <c r="P959" t="s">
        <v>51</v>
      </c>
      <c r="Q959" t="s">
        <v>57</v>
      </c>
      <c r="R959">
        <v>1</v>
      </c>
      <c r="S959">
        <v>9</v>
      </c>
      <c r="T959" t="s">
        <v>56</v>
      </c>
      <c r="U959" t="s">
        <v>70</v>
      </c>
      <c r="V959" t="s">
        <v>71</v>
      </c>
      <c r="W959" s="1">
        <v>45577</v>
      </c>
      <c r="X959" t="b">
        <v>0</v>
      </c>
      <c r="Y959" t="b">
        <v>1</v>
      </c>
      <c r="Z959" t="s">
        <v>72</v>
      </c>
      <c r="AA959" t="s">
        <v>60</v>
      </c>
      <c r="AB959">
        <v>10</v>
      </c>
      <c r="AF959" t="str">
        <f>tbl_OriginalData[[#This Row],[Customer_ID]]</f>
        <v>20-699-9217</v>
      </c>
      <c r="AG959">
        <f>tbl_OriginalData[[#This Row],[Age]]</f>
        <v>28</v>
      </c>
      <c r="AH959" t="str" cm="1">
        <f t="array" ref="AH95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59" t="str">
        <f>tbl_OriginalData[[#This Row],[Gender]]</f>
        <v>Female</v>
      </c>
      <c r="AJ959" t="str">
        <f>tbl_OriginalData[[#This Row],[Income_Level]]</f>
        <v>High</v>
      </c>
      <c r="AK959" t="str">
        <f>tbl_OriginalData[[#This Row],[Marital_Status]]</f>
        <v>Married</v>
      </c>
      <c r="AL959" t="str">
        <f>tbl_OriginalData[[#This Row],[Education_Level]]</f>
        <v>High School</v>
      </c>
      <c r="AM959" t="str">
        <f>tbl_OriginalData[[#This Row],[Occupation]]</f>
        <v>Middle</v>
      </c>
      <c r="AN959" t="s">
        <v>2155</v>
      </c>
      <c r="AO959" t="s">
        <v>328</v>
      </c>
      <c r="AP959" t="str">
        <f>tbl_OriginalData[[#This Row],[Purchase_Category]]</f>
        <v>Packages)</v>
      </c>
      <c r="AQ959" s="4">
        <f>tbl_OriginalData[[#This Row],[Purchase_Amount]]</f>
        <v>356.87</v>
      </c>
      <c r="AR959">
        <f>tbl_OriginalData[[#This Row],[Frequency_of_Purchase]]</f>
        <v>12</v>
      </c>
      <c r="AS959" t="str">
        <f>tbl_OriginalData[[#This Row],[Purchase_Channel]]</f>
        <v>Mixed</v>
      </c>
      <c r="AT959">
        <f>tbl_OriginalData[[#This Row],[Brand_Loyalty]]</f>
        <v>1</v>
      </c>
      <c r="AU959">
        <f>tbl_OriginalData[[#This Row],[Product_Rating]]</f>
        <v>4</v>
      </c>
      <c r="AV959">
        <f>tbl_OriginalData[[#This Row],[Time_Spent_on_Product_Research(hours)]]*60</f>
        <v>0</v>
      </c>
      <c r="AW959" t="str">
        <f>tbl_OriginalData[[#This Row],[Social_Media_Influence]]</f>
        <v>High</v>
      </c>
      <c r="AX959" t="str">
        <f>tbl_OriginalData[[#This Row],[Discount_Sensitivity]]</f>
        <v>Not Sensitive</v>
      </c>
      <c r="AY959" s="3">
        <f>tbl_OriginalData[[#This Row],[Return_Rate]]/tbl_OriginalData[[#This Row],[Frequency_of_Purchase]]</f>
        <v>8.3333333333333329E-2</v>
      </c>
      <c r="AZ959">
        <f>tbl_OriginalData[[#This Row],[Customer_Satisfaction]]</f>
        <v>9</v>
      </c>
      <c r="BA959" t="str">
        <f>tbl_OriginalData[[#This Row],[Engagement_with_Ads]]</f>
        <v>Medium</v>
      </c>
      <c r="BB959" t="str">
        <f>tbl_OriginalData[[#This Row],[Device_Used_for_Shopping]]</f>
        <v>Smartphone</v>
      </c>
      <c r="BC959" t="str">
        <f>tbl_OriginalData[[#This Row],[Payment_Method]]</f>
        <v>Debit Card</v>
      </c>
      <c r="BD959" s="1">
        <f>tbl_OriginalData[[#This Row],[Time_of_Purchase]]</f>
        <v>45577</v>
      </c>
      <c r="BE959" t="str">
        <f>IF(tbl_OriginalData[[#This Row],[Discount_Used]]=TRUE,"Yes","No")</f>
        <v>No</v>
      </c>
      <c r="BF959" t="str">
        <f>IF(tbl_OriginalData[[#This Row],[Customer_Loyalty_Program_Member]]=TRUE,"Yes","No")</f>
        <v>Yes</v>
      </c>
      <c r="BG959" t="str">
        <f>tbl_OriginalData[[#This Row],[Purchase_Intent]]</f>
        <v>Impulsive</v>
      </c>
      <c r="BH959" t="str">
        <f>tbl_OriginalData[[#This Row],[Shipping_Preference]]</f>
        <v>Standard</v>
      </c>
      <c r="BI959">
        <f>tbl_OriginalData[[#This Row],[Time_to_Decision]]</f>
        <v>10</v>
      </c>
      <c r="BJ959" t="s">
        <v>79</v>
      </c>
      <c r="BK959" t="s">
        <v>80</v>
      </c>
      <c r="BL959" t="s">
        <v>2527</v>
      </c>
    </row>
    <row r="960" spans="1:64">
      <c r="A960" t="s">
        <v>2156</v>
      </c>
      <c r="B960">
        <v>28</v>
      </c>
      <c r="C960" t="s">
        <v>50</v>
      </c>
      <c r="D960" t="s">
        <v>34</v>
      </c>
      <c r="E960" t="s">
        <v>82</v>
      </c>
      <c r="F960" t="s">
        <v>52</v>
      </c>
      <c r="G960" t="s">
        <v>34</v>
      </c>
      <c r="H960" t="s">
        <v>2157</v>
      </c>
      <c r="I960" t="s">
        <v>229</v>
      </c>
      <c r="J960">
        <v>82.37</v>
      </c>
      <c r="K960">
        <v>6</v>
      </c>
      <c r="L960" t="s">
        <v>39</v>
      </c>
      <c r="M960">
        <v>1</v>
      </c>
      <c r="N960">
        <v>1</v>
      </c>
      <c r="O960">
        <v>1</v>
      </c>
      <c r="P960" t="s">
        <v>56</v>
      </c>
      <c r="Q960" t="s">
        <v>57</v>
      </c>
      <c r="R960">
        <v>0</v>
      </c>
      <c r="S960">
        <v>4</v>
      </c>
      <c r="T960" t="s">
        <v>56</v>
      </c>
      <c r="U960" t="s">
        <v>70</v>
      </c>
      <c r="V960" t="s">
        <v>43</v>
      </c>
      <c r="W960" s="1">
        <v>45651</v>
      </c>
      <c r="X960" t="b">
        <v>0</v>
      </c>
      <c r="Y960" t="b">
        <v>0</v>
      </c>
      <c r="Z960" t="s">
        <v>72</v>
      </c>
      <c r="AA960" t="s">
        <v>60</v>
      </c>
      <c r="AB960">
        <v>2</v>
      </c>
      <c r="AF960" t="str">
        <f>tbl_OriginalData[[#This Row],[Customer_ID]]</f>
        <v>26-150-0209</v>
      </c>
      <c r="AG960">
        <f>tbl_OriginalData[[#This Row],[Age]]</f>
        <v>28</v>
      </c>
      <c r="AH960" t="str" cm="1">
        <f t="array" ref="AH96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60" t="str">
        <f>tbl_OriginalData[[#This Row],[Gender]]</f>
        <v>Male</v>
      </c>
      <c r="AJ960" t="str">
        <f>tbl_OriginalData[[#This Row],[Income_Level]]</f>
        <v>Middle</v>
      </c>
      <c r="AK960" t="str">
        <f>tbl_OriginalData[[#This Row],[Marital_Status]]</f>
        <v>Widowed</v>
      </c>
      <c r="AL960" t="str">
        <f>tbl_OriginalData[[#This Row],[Education_Level]]</f>
        <v>High School</v>
      </c>
      <c r="AM960" t="str">
        <f>tbl_OriginalData[[#This Row],[Occupation]]</f>
        <v>Middle</v>
      </c>
      <c r="AN960" t="s">
        <v>2157</v>
      </c>
      <c r="AO960" t="s">
        <v>61</v>
      </c>
      <c r="AP960" t="str">
        <f>tbl_OriginalData[[#This Row],[Purchase_Category]]</f>
        <v>Clothing</v>
      </c>
      <c r="AQ960" s="4">
        <f>tbl_OriginalData[[#This Row],[Purchase_Amount]]</f>
        <v>82.37</v>
      </c>
      <c r="AR960">
        <f>tbl_OriginalData[[#This Row],[Frequency_of_Purchase]]</f>
        <v>6</v>
      </c>
      <c r="AS960" t="str">
        <f>tbl_OriginalData[[#This Row],[Purchase_Channel]]</f>
        <v>Mixed</v>
      </c>
      <c r="AT960">
        <f>tbl_OriginalData[[#This Row],[Brand_Loyalty]]</f>
        <v>1</v>
      </c>
      <c r="AU960">
        <f>tbl_OriginalData[[#This Row],[Product_Rating]]</f>
        <v>1</v>
      </c>
      <c r="AV960">
        <f>tbl_OriginalData[[#This Row],[Time_Spent_on_Product_Research(hours)]]*60</f>
        <v>60</v>
      </c>
      <c r="AW960" t="str">
        <f>tbl_OriginalData[[#This Row],[Social_Media_Influence]]</f>
        <v>Medium</v>
      </c>
      <c r="AX960" t="str">
        <f>tbl_OriginalData[[#This Row],[Discount_Sensitivity]]</f>
        <v>Not Sensitive</v>
      </c>
      <c r="AY960" s="3">
        <f>tbl_OriginalData[[#This Row],[Return_Rate]]/tbl_OriginalData[[#This Row],[Frequency_of_Purchase]]</f>
        <v>0</v>
      </c>
      <c r="AZ960">
        <f>tbl_OriginalData[[#This Row],[Customer_Satisfaction]]</f>
        <v>4</v>
      </c>
      <c r="BA960" t="str">
        <f>tbl_OriginalData[[#This Row],[Engagement_with_Ads]]</f>
        <v>Medium</v>
      </c>
      <c r="BB960" t="str">
        <f>tbl_OriginalData[[#This Row],[Device_Used_for_Shopping]]</f>
        <v>Smartphone</v>
      </c>
      <c r="BC960" t="str">
        <f>tbl_OriginalData[[#This Row],[Payment_Method]]</f>
        <v>Credit Card</v>
      </c>
      <c r="BD960" s="1">
        <f>tbl_OriginalData[[#This Row],[Time_of_Purchase]]</f>
        <v>45651</v>
      </c>
      <c r="BE960" t="str">
        <f>IF(tbl_OriginalData[[#This Row],[Discount_Used]]=TRUE,"Yes","No")</f>
        <v>No</v>
      </c>
      <c r="BF960" t="str">
        <f>IF(tbl_OriginalData[[#This Row],[Customer_Loyalty_Program_Member]]=TRUE,"Yes","No")</f>
        <v>No</v>
      </c>
      <c r="BG960" t="str">
        <f>tbl_OriginalData[[#This Row],[Purchase_Intent]]</f>
        <v>Impulsive</v>
      </c>
      <c r="BH960" t="str">
        <f>tbl_OriginalData[[#This Row],[Shipping_Preference]]</f>
        <v>Standard</v>
      </c>
      <c r="BI960">
        <f>tbl_OriginalData[[#This Row],[Time_to_Decision]]</f>
        <v>2</v>
      </c>
      <c r="BJ960" t="s">
        <v>120</v>
      </c>
      <c r="BK960" t="s">
        <v>80</v>
      </c>
      <c r="BL960" t="s">
        <v>2524</v>
      </c>
    </row>
    <row r="961" spans="1:64">
      <c r="A961" t="s">
        <v>2158</v>
      </c>
      <c r="B961">
        <v>29</v>
      </c>
      <c r="C961" t="s">
        <v>33</v>
      </c>
      <c r="D961" t="s">
        <v>51</v>
      </c>
      <c r="E961" t="s">
        <v>92</v>
      </c>
      <c r="F961" t="s">
        <v>36</v>
      </c>
      <c r="G961" t="s">
        <v>51</v>
      </c>
      <c r="H961" t="s">
        <v>1859</v>
      </c>
      <c r="I961" t="s">
        <v>229</v>
      </c>
      <c r="J961">
        <v>372.6</v>
      </c>
      <c r="K961">
        <v>3</v>
      </c>
      <c r="L961" t="s">
        <v>39</v>
      </c>
      <c r="M961">
        <v>4</v>
      </c>
      <c r="N961">
        <v>5</v>
      </c>
      <c r="O961">
        <v>1</v>
      </c>
      <c r="P961" t="s">
        <v>51</v>
      </c>
      <c r="Q961" t="s">
        <v>101</v>
      </c>
      <c r="R961">
        <v>2</v>
      </c>
      <c r="S961">
        <v>6</v>
      </c>
      <c r="T961" t="s">
        <v>69</v>
      </c>
      <c r="U961" t="s">
        <v>42</v>
      </c>
      <c r="V961" t="s">
        <v>58</v>
      </c>
      <c r="W961" s="1">
        <v>45302</v>
      </c>
      <c r="X961" t="b">
        <v>1</v>
      </c>
      <c r="Y961" t="b">
        <v>1</v>
      </c>
      <c r="Z961" t="s">
        <v>89</v>
      </c>
      <c r="AA961" t="s">
        <v>77</v>
      </c>
      <c r="AB961">
        <v>10</v>
      </c>
      <c r="AF961" t="str">
        <f>tbl_OriginalData[[#This Row],[Customer_ID]]</f>
        <v>94-985-5336</v>
      </c>
      <c r="AG961">
        <f>tbl_OriginalData[[#This Row],[Age]]</f>
        <v>29</v>
      </c>
      <c r="AH961" t="str" cm="1">
        <f t="array" ref="AH96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61" t="str">
        <f>tbl_OriginalData[[#This Row],[Gender]]</f>
        <v>Female</v>
      </c>
      <c r="AJ961" t="str">
        <f>tbl_OriginalData[[#This Row],[Income_Level]]</f>
        <v>High</v>
      </c>
      <c r="AK961" t="str">
        <f>tbl_OriginalData[[#This Row],[Marital_Status]]</f>
        <v>Divorced</v>
      </c>
      <c r="AL961" t="str">
        <f>tbl_OriginalData[[#This Row],[Education_Level]]</f>
        <v>Bachelor's</v>
      </c>
      <c r="AM961" t="str">
        <f>tbl_OriginalData[[#This Row],[Occupation]]</f>
        <v>High</v>
      </c>
      <c r="AN961" t="s">
        <v>1859</v>
      </c>
      <c r="AO961" t="s">
        <v>103</v>
      </c>
      <c r="AP961" t="str">
        <f>tbl_OriginalData[[#This Row],[Purchase_Category]]</f>
        <v>Clothing</v>
      </c>
      <c r="AQ961" s="4">
        <f>tbl_OriginalData[[#This Row],[Purchase_Amount]]</f>
        <v>372.6</v>
      </c>
      <c r="AR961">
        <f>tbl_OriginalData[[#This Row],[Frequency_of_Purchase]]</f>
        <v>3</v>
      </c>
      <c r="AS961" t="str">
        <f>tbl_OriginalData[[#This Row],[Purchase_Channel]]</f>
        <v>Mixed</v>
      </c>
      <c r="AT961">
        <f>tbl_OriginalData[[#This Row],[Brand_Loyalty]]</f>
        <v>4</v>
      </c>
      <c r="AU961">
        <f>tbl_OriginalData[[#This Row],[Product_Rating]]</f>
        <v>5</v>
      </c>
      <c r="AV961">
        <f>tbl_OriginalData[[#This Row],[Time_Spent_on_Product_Research(hours)]]*60</f>
        <v>60</v>
      </c>
      <c r="AW961" t="str">
        <f>tbl_OriginalData[[#This Row],[Social_Media_Influence]]</f>
        <v>High</v>
      </c>
      <c r="AX961" t="str">
        <f>tbl_OriginalData[[#This Row],[Discount_Sensitivity]]</f>
        <v>Very Sensitive</v>
      </c>
      <c r="AY961" s="3">
        <f>tbl_OriginalData[[#This Row],[Return_Rate]]/tbl_OriginalData[[#This Row],[Frequency_of_Purchase]]</f>
        <v>0.66666666666666663</v>
      </c>
      <c r="AZ961">
        <f>tbl_OriginalData[[#This Row],[Customer_Satisfaction]]</f>
        <v>6</v>
      </c>
      <c r="BA961" t="str">
        <f>tbl_OriginalData[[#This Row],[Engagement_with_Ads]]</f>
        <v>Low</v>
      </c>
      <c r="BB961" t="str">
        <f>tbl_OriginalData[[#This Row],[Device_Used_for_Shopping]]</f>
        <v>Tablet</v>
      </c>
      <c r="BC961" t="str">
        <f>tbl_OriginalData[[#This Row],[Payment_Method]]</f>
        <v>PayPal</v>
      </c>
      <c r="BD961" s="1">
        <f>tbl_OriginalData[[#This Row],[Time_of_Purchase]]</f>
        <v>45302</v>
      </c>
      <c r="BE961" t="str">
        <f>IF(tbl_OriginalData[[#This Row],[Discount_Used]]=TRUE,"Yes","No")</f>
        <v>Yes</v>
      </c>
      <c r="BF961" t="str">
        <f>IF(tbl_OriginalData[[#This Row],[Customer_Loyalty_Program_Member]]=TRUE,"Yes","No")</f>
        <v>Yes</v>
      </c>
      <c r="BG961" t="str">
        <f>tbl_OriginalData[[#This Row],[Purchase_Intent]]</f>
        <v>Planned</v>
      </c>
      <c r="BH961" t="str">
        <f>tbl_OriginalData[[#This Row],[Shipping_Preference]]</f>
        <v>Express</v>
      </c>
      <c r="BI961">
        <f>tbl_OriginalData[[#This Row],[Time_to_Decision]]</f>
        <v>10</v>
      </c>
      <c r="BJ961" t="s">
        <v>86</v>
      </c>
      <c r="BK961" t="s">
        <v>48</v>
      </c>
      <c r="BL961" t="s">
        <v>2523</v>
      </c>
    </row>
    <row r="962" spans="1:64">
      <c r="A962" t="s">
        <v>2159</v>
      </c>
      <c r="B962">
        <v>29</v>
      </c>
      <c r="C962" t="s">
        <v>33</v>
      </c>
      <c r="D962" t="s">
        <v>34</v>
      </c>
      <c r="E962" t="s">
        <v>82</v>
      </c>
      <c r="F962" t="s">
        <v>52</v>
      </c>
      <c r="G962" t="s">
        <v>51</v>
      </c>
      <c r="H962" t="s">
        <v>2160</v>
      </c>
      <c r="I962" t="s">
        <v>127</v>
      </c>
      <c r="J962">
        <v>78.319999999999993</v>
      </c>
      <c r="K962">
        <v>9</v>
      </c>
      <c r="L962" t="s">
        <v>94</v>
      </c>
      <c r="M962">
        <v>2</v>
      </c>
      <c r="N962">
        <v>4</v>
      </c>
      <c r="O962">
        <v>2</v>
      </c>
      <c r="P962" t="s">
        <v>69</v>
      </c>
      <c r="Q962" t="s">
        <v>41</v>
      </c>
      <c r="R962">
        <v>2</v>
      </c>
      <c r="S962">
        <v>10</v>
      </c>
      <c r="T962" t="s">
        <v>69</v>
      </c>
      <c r="U962" t="s">
        <v>70</v>
      </c>
      <c r="V962" t="s">
        <v>58</v>
      </c>
      <c r="W962" s="1">
        <v>45502</v>
      </c>
      <c r="X962" t="b">
        <v>0</v>
      </c>
      <c r="Y962" t="b">
        <v>1</v>
      </c>
      <c r="Z962" t="s">
        <v>44</v>
      </c>
      <c r="AA962" t="s">
        <v>60</v>
      </c>
      <c r="AB962">
        <v>7</v>
      </c>
      <c r="AF962" t="str">
        <f>tbl_OriginalData[[#This Row],[Customer_ID]]</f>
        <v>97-715-3606</v>
      </c>
      <c r="AG962">
        <f>tbl_OriginalData[[#This Row],[Age]]</f>
        <v>29</v>
      </c>
      <c r="AH962" t="str" cm="1">
        <f t="array" ref="AH96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62" t="str">
        <f>tbl_OriginalData[[#This Row],[Gender]]</f>
        <v>Female</v>
      </c>
      <c r="AJ962" t="str">
        <f>tbl_OriginalData[[#This Row],[Income_Level]]</f>
        <v>Middle</v>
      </c>
      <c r="AK962" t="str">
        <f>tbl_OriginalData[[#This Row],[Marital_Status]]</f>
        <v>Widowed</v>
      </c>
      <c r="AL962" t="str">
        <f>tbl_OriginalData[[#This Row],[Education_Level]]</f>
        <v>High School</v>
      </c>
      <c r="AM962" t="str">
        <f>tbl_OriginalData[[#This Row],[Occupation]]</f>
        <v>High</v>
      </c>
      <c r="AN962" t="s">
        <v>2160</v>
      </c>
      <c r="AO962" t="s">
        <v>363</v>
      </c>
      <c r="AP962" t="str">
        <f>tbl_OriginalData[[#This Row],[Purchase_Category]]</f>
        <v>Animal Feed</v>
      </c>
      <c r="AQ962" s="4">
        <f>tbl_OriginalData[[#This Row],[Purchase_Amount]]</f>
        <v>78.319999999999993</v>
      </c>
      <c r="AR962">
        <f>tbl_OriginalData[[#This Row],[Frequency_of_Purchase]]</f>
        <v>9</v>
      </c>
      <c r="AS962" t="str">
        <f>tbl_OriginalData[[#This Row],[Purchase_Channel]]</f>
        <v>Online</v>
      </c>
      <c r="AT962">
        <f>tbl_OriginalData[[#This Row],[Brand_Loyalty]]</f>
        <v>2</v>
      </c>
      <c r="AU962">
        <f>tbl_OriginalData[[#This Row],[Product_Rating]]</f>
        <v>4</v>
      </c>
      <c r="AV962">
        <f>tbl_OriginalData[[#This Row],[Time_Spent_on_Product_Research(hours)]]*60</f>
        <v>120</v>
      </c>
      <c r="AW962" t="str">
        <f>tbl_OriginalData[[#This Row],[Social_Media_Influence]]</f>
        <v>Low</v>
      </c>
      <c r="AX962" t="str">
        <f>tbl_OriginalData[[#This Row],[Discount_Sensitivity]]</f>
        <v>Somewhat Sensitive</v>
      </c>
      <c r="AY962" s="3">
        <f>tbl_OriginalData[[#This Row],[Return_Rate]]/tbl_OriginalData[[#This Row],[Frequency_of_Purchase]]</f>
        <v>0.22222222222222221</v>
      </c>
      <c r="AZ962">
        <f>tbl_OriginalData[[#This Row],[Customer_Satisfaction]]</f>
        <v>10</v>
      </c>
      <c r="BA962" t="str">
        <f>tbl_OriginalData[[#This Row],[Engagement_with_Ads]]</f>
        <v>Low</v>
      </c>
      <c r="BB962" t="str">
        <f>tbl_OriginalData[[#This Row],[Device_Used_for_Shopping]]</f>
        <v>Smartphone</v>
      </c>
      <c r="BC962" t="str">
        <f>tbl_OriginalData[[#This Row],[Payment_Method]]</f>
        <v>PayPal</v>
      </c>
      <c r="BD962" s="1">
        <f>tbl_OriginalData[[#This Row],[Time_of_Purchase]]</f>
        <v>45502</v>
      </c>
      <c r="BE962" t="str">
        <f>IF(tbl_OriginalData[[#This Row],[Discount_Used]]=TRUE,"Yes","No")</f>
        <v>No</v>
      </c>
      <c r="BF962" t="str">
        <f>IF(tbl_OriginalData[[#This Row],[Customer_Loyalty_Program_Member]]=TRUE,"Yes","No")</f>
        <v>Yes</v>
      </c>
      <c r="BG962" t="str">
        <f>tbl_OriginalData[[#This Row],[Purchase_Intent]]</f>
        <v>Need-based</v>
      </c>
      <c r="BH962" t="str">
        <f>tbl_OriginalData[[#This Row],[Shipping_Preference]]</f>
        <v>Standard</v>
      </c>
      <c r="BI962">
        <f>tbl_OriginalData[[#This Row],[Time_to_Decision]]</f>
        <v>7</v>
      </c>
      <c r="BJ962" t="s">
        <v>114</v>
      </c>
      <c r="BK962" t="s">
        <v>115</v>
      </c>
      <c r="BL962" t="s">
        <v>2527</v>
      </c>
    </row>
    <row r="963" spans="1:64">
      <c r="A963" t="s">
        <v>2161</v>
      </c>
      <c r="B963">
        <v>32</v>
      </c>
      <c r="C963" t="s">
        <v>33</v>
      </c>
      <c r="D963" t="s">
        <v>51</v>
      </c>
      <c r="E963" t="s">
        <v>65</v>
      </c>
      <c r="F963" t="s">
        <v>66</v>
      </c>
      <c r="G963" t="s">
        <v>51</v>
      </c>
      <c r="H963" t="s">
        <v>2162</v>
      </c>
      <c r="I963" t="s">
        <v>153</v>
      </c>
      <c r="J963">
        <v>71.72</v>
      </c>
      <c r="K963">
        <v>12</v>
      </c>
      <c r="L963" t="s">
        <v>94</v>
      </c>
      <c r="M963">
        <v>3</v>
      </c>
      <c r="N963">
        <v>5</v>
      </c>
      <c r="O963">
        <v>1</v>
      </c>
      <c r="P963" t="s">
        <v>51</v>
      </c>
      <c r="Q963" t="s">
        <v>41</v>
      </c>
      <c r="R963">
        <v>2</v>
      </c>
      <c r="S963">
        <v>5</v>
      </c>
      <c r="T963" t="s">
        <v>69</v>
      </c>
      <c r="U963" t="s">
        <v>42</v>
      </c>
      <c r="V963" t="s">
        <v>58</v>
      </c>
      <c r="W963" s="1">
        <v>45302</v>
      </c>
      <c r="X963" t="b">
        <v>1</v>
      </c>
      <c r="Y963" t="b">
        <v>1</v>
      </c>
      <c r="Z963" t="s">
        <v>59</v>
      </c>
      <c r="AA963" t="s">
        <v>77</v>
      </c>
      <c r="AB963">
        <v>13</v>
      </c>
      <c r="AF963" t="str">
        <f>tbl_OriginalData[[#This Row],[Customer_ID]]</f>
        <v>02-100-4320</v>
      </c>
      <c r="AG963">
        <f>tbl_OriginalData[[#This Row],[Age]]</f>
        <v>32</v>
      </c>
      <c r="AH963" t="str" cm="1">
        <f t="array" ref="AH96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63" t="str">
        <f>tbl_OriginalData[[#This Row],[Gender]]</f>
        <v>Female</v>
      </c>
      <c r="AJ963" t="str">
        <f>tbl_OriginalData[[#This Row],[Income_Level]]</f>
        <v>High</v>
      </c>
      <c r="AK963" t="str">
        <f>tbl_OriginalData[[#This Row],[Marital_Status]]</f>
        <v>Single</v>
      </c>
      <c r="AL963" t="str">
        <f>tbl_OriginalData[[#This Row],[Education_Level]]</f>
        <v>Master's</v>
      </c>
      <c r="AM963" t="str">
        <f>tbl_OriginalData[[#This Row],[Occupation]]</f>
        <v>High</v>
      </c>
      <c r="AN963" t="s">
        <v>2162</v>
      </c>
      <c r="AO963" t="s">
        <v>90</v>
      </c>
      <c r="AP963" t="str">
        <f>tbl_OriginalData[[#This Row],[Purchase_Category]]</f>
        <v>Baby Products</v>
      </c>
      <c r="AQ963" s="4">
        <f>tbl_OriginalData[[#This Row],[Purchase_Amount]]</f>
        <v>71.72</v>
      </c>
      <c r="AR963">
        <f>tbl_OriginalData[[#This Row],[Frequency_of_Purchase]]</f>
        <v>12</v>
      </c>
      <c r="AS963" t="str">
        <f>tbl_OriginalData[[#This Row],[Purchase_Channel]]</f>
        <v>Online</v>
      </c>
      <c r="AT963">
        <f>tbl_OriginalData[[#This Row],[Brand_Loyalty]]</f>
        <v>3</v>
      </c>
      <c r="AU963">
        <f>tbl_OriginalData[[#This Row],[Product_Rating]]</f>
        <v>5</v>
      </c>
      <c r="AV963">
        <f>tbl_OriginalData[[#This Row],[Time_Spent_on_Product_Research(hours)]]*60</f>
        <v>60</v>
      </c>
      <c r="AW963" t="str">
        <f>tbl_OriginalData[[#This Row],[Social_Media_Influence]]</f>
        <v>High</v>
      </c>
      <c r="AX963" t="str">
        <f>tbl_OriginalData[[#This Row],[Discount_Sensitivity]]</f>
        <v>Somewhat Sensitive</v>
      </c>
      <c r="AY963" s="3">
        <f>tbl_OriginalData[[#This Row],[Return_Rate]]/tbl_OriginalData[[#This Row],[Frequency_of_Purchase]]</f>
        <v>0.16666666666666666</v>
      </c>
      <c r="AZ963">
        <f>tbl_OriginalData[[#This Row],[Customer_Satisfaction]]</f>
        <v>5</v>
      </c>
      <c r="BA963" t="str">
        <f>tbl_OriginalData[[#This Row],[Engagement_with_Ads]]</f>
        <v>Low</v>
      </c>
      <c r="BB963" t="str">
        <f>tbl_OriginalData[[#This Row],[Device_Used_for_Shopping]]</f>
        <v>Tablet</v>
      </c>
      <c r="BC963" t="str">
        <f>tbl_OriginalData[[#This Row],[Payment_Method]]</f>
        <v>PayPal</v>
      </c>
      <c r="BD963" s="1">
        <f>tbl_OriginalData[[#This Row],[Time_of_Purchase]]</f>
        <v>45302</v>
      </c>
      <c r="BE963" t="str">
        <f>IF(tbl_OriginalData[[#This Row],[Discount_Used]]=TRUE,"Yes","No")</f>
        <v>Yes</v>
      </c>
      <c r="BF963" t="str">
        <f>IF(tbl_OriginalData[[#This Row],[Customer_Loyalty_Program_Member]]=TRUE,"Yes","No")</f>
        <v>Yes</v>
      </c>
      <c r="BG963" t="str">
        <f>tbl_OriginalData[[#This Row],[Purchase_Intent]]</f>
        <v>Wants-based</v>
      </c>
      <c r="BH963" t="str">
        <f>tbl_OriginalData[[#This Row],[Shipping_Preference]]</f>
        <v>Express</v>
      </c>
      <c r="BI963">
        <f>tbl_OriginalData[[#This Row],[Time_to_Decision]]</f>
        <v>13</v>
      </c>
      <c r="BJ963" t="s">
        <v>86</v>
      </c>
      <c r="BK963" t="s">
        <v>48</v>
      </c>
      <c r="BL963" t="s">
        <v>2524</v>
      </c>
    </row>
    <row r="964" spans="1:64">
      <c r="A964" t="s">
        <v>2163</v>
      </c>
      <c r="B964">
        <v>39</v>
      </c>
      <c r="C964" t="s">
        <v>33</v>
      </c>
      <c r="D964" t="s">
        <v>51</v>
      </c>
      <c r="E964" t="s">
        <v>65</v>
      </c>
      <c r="F964" t="s">
        <v>52</v>
      </c>
      <c r="G964" t="s">
        <v>51</v>
      </c>
      <c r="H964" t="s">
        <v>2164</v>
      </c>
      <c r="I964" t="s">
        <v>123</v>
      </c>
      <c r="J964">
        <v>241.1</v>
      </c>
      <c r="K964">
        <v>12</v>
      </c>
      <c r="L964" t="s">
        <v>55</v>
      </c>
      <c r="M964">
        <v>1</v>
      </c>
      <c r="N964">
        <v>5</v>
      </c>
      <c r="O964">
        <v>2</v>
      </c>
      <c r="P964" t="s">
        <v>40</v>
      </c>
      <c r="Q964" t="s">
        <v>57</v>
      </c>
      <c r="R964">
        <v>2</v>
      </c>
      <c r="S964">
        <v>2</v>
      </c>
      <c r="T964" t="s">
        <v>56</v>
      </c>
      <c r="U964" t="s">
        <v>95</v>
      </c>
      <c r="V964" t="s">
        <v>43</v>
      </c>
      <c r="W964" s="1">
        <v>45503</v>
      </c>
      <c r="X964" t="b">
        <v>0</v>
      </c>
      <c r="Y964" t="b">
        <v>1</v>
      </c>
      <c r="Z964" t="s">
        <v>89</v>
      </c>
      <c r="AA964" t="s">
        <v>45</v>
      </c>
      <c r="AB964">
        <v>8</v>
      </c>
      <c r="AF964" t="str">
        <f>tbl_OriginalData[[#This Row],[Customer_ID]]</f>
        <v>16-070-0138</v>
      </c>
      <c r="AG964">
        <f>tbl_OriginalData[[#This Row],[Age]]</f>
        <v>39</v>
      </c>
      <c r="AH964" t="str" cm="1">
        <f t="array" ref="AH96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64" t="str">
        <f>tbl_OriginalData[[#This Row],[Gender]]</f>
        <v>Female</v>
      </c>
      <c r="AJ964" t="str">
        <f>tbl_OriginalData[[#This Row],[Income_Level]]</f>
        <v>High</v>
      </c>
      <c r="AK964" t="str">
        <f>tbl_OriginalData[[#This Row],[Marital_Status]]</f>
        <v>Single</v>
      </c>
      <c r="AL964" t="str">
        <f>tbl_OriginalData[[#This Row],[Education_Level]]</f>
        <v>High School</v>
      </c>
      <c r="AM964" t="str">
        <f>tbl_OriginalData[[#This Row],[Occupation]]</f>
        <v>High</v>
      </c>
      <c r="AN964" t="s">
        <v>2164</v>
      </c>
      <c r="AO964" t="s">
        <v>823</v>
      </c>
      <c r="AP964" t="str">
        <f>tbl_OriginalData[[#This Row],[Purchase_Category]]</f>
        <v>Luxury Goods</v>
      </c>
      <c r="AQ964" s="4">
        <f>tbl_OriginalData[[#This Row],[Purchase_Amount]]</f>
        <v>241.1</v>
      </c>
      <c r="AR964">
        <f>tbl_OriginalData[[#This Row],[Frequency_of_Purchase]]</f>
        <v>12</v>
      </c>
      <c r="AS964" t="str">
        <f>tbl_OriginalData[[#This Row],[Purchase_Channel]]</f>
        <v>In-Store</v>
      </c>
      <c r="AT964">
        <f>tbl_OriginalData[[#This Row],[Brand_Loyalty]]</f>
        <v>1</v>
      </c>
      <c r="AU964">
        <f>tbl_OriginalData[[#This Row],[Product_Rating]]</f>
        <v>5</v>
      </c>
      <c r="AV964">
        <f>tbl_OriginalData[[#This Row],[Time_Spent_on_Product_Research(hours)]]*60</f>
        <v>120</v>
      </c>
      <c r="AW964" t="str">
        <f>tbl_OriginalData[[#This Row],[Social_Media_Influence]]</f>
        <v>None</v>
      </c>
      <c r="AX964" t="str">
        <f>tbl_OriginalData[[#This Row],[Discount_Sensitivity]]</f>
        <v>Not Sensitive</v>
      </c>
      <c r="AY964" s="3">
        <f>tbl_OriginalData[[#This Row],[Return_Rate]]/tbl_OriginalData[[#This Row],[Frequency_of_Purchase]]</f>
        <v>0.16666666666666666</v>
      </c>
      <c r="AZ964">
        <f>tbl_OriginalData[[#This Row],[Customer_Satisfaction]]</f>
        <v>2</v>
      </c>
      <c r="BA964" t="str">
        <f>tbl_OriginalData[[#This Row],[Engagement_with_Ads]]</f>
        <v>Medium</v>
      </c>
      <c r="BB964" t="str">
        <f>tbl_OriginalData[[#This Row],[Device_Used_for_Shopping]]</f>
        <v>Desktop</v>
      </c>
      <c r="BC964" t="str">
        <f>tbl_OriginalData[[#This Row],[Payment_Method]]</f>
        <v>Credit Card</v>
      </c>
      <c r="BD964" s="1">
        <f>tbl_OriginalData[[#This Row],[Time_of_Purchase]]</f>
        <v>45503</v>
      </c>
      <c r="BE964" t="str">
        <f>IF(tbl_OriginalData[[#This Row],[Discount_Used]]=TRUE,"Yes","No")</f>
        <v>No</v>
      </c>
      <c r="BF964" t="str">
        <f>IF(tbl_OriginalData[[#This Row],[Customer_Loyalty_Program_Member]]=TRUE,"Yes","No")</f>
        <v>Yes</v>
      </c>
      <c r="BG964" t="str">
        <f>tbl_OriginalData[[#This Row],[Purchase_Intent]]</f>
        <v>Planned</v>
      </c>
      <c r="BH964" t="str">
        <f>tbl_OriginalData[[#This Row],[Shipping_Preference]]</f>
        <v>No Preference</v>
      </c>
      <c r="BI964">
        <f>tbl_OriginalData[[#This Row],[Time_to_Decision]]</f>
        <v>8</v>
      </c>
      <c r="BJ964" t="s">
        <v>114</v>
      </c>
      <c r="BK964" t="s">
        <v>115</v>
      </c>
      <c r="BL964" t="s">
        <v>2528</v>
      </c>
    </row>
    <row r="965" spans="1:64">
      <c r="A965" t="s">
        <v>2165</v>
      </c>
      <c r="B965">
        <v>22</v>
      </c>
      <c r="C965" t="s">
        <v>50</v>
      </c>
      <c r="D965" t="s">
        <v>34</v>
      </c>
      <c r="E965" t="s">
        <v>35</v>
      </c>
      <c r="F965" t="s">
        <v>36</v>
      </c>
      <c r="G965" t="s">
        <v>51</v>
      </c>
      <c r="H965" t="s">
        <v>2166</v>
      </c>
      <c r="I965" t="s">
        <v>242</v>
      </c>
      <c r="J965">
        <v>96.86</v>
      </c>
      <c r="K965">
        <v>9</v>
      </c>
      <c r="L965" t="s">
        <v>39</v>
      </c>
      <c r="M965">
        <v>5</v>
      </c>
      <c r="N965">
        <v>5</v>
      </c>
      <c r="O965">
        <v>0</v>
      </c>
      <c r="P965" t="s">
        <v>40</v>
      </c>
      <c r="Q965" t="s">
        <v>57</v>
      </c>
      <c r="R965">
        <v>2</v>
      </c>
      <c r="S965">
        <v>10</v>
      </c>
      <c r="T965" t="s">
        <v>56</v>
      </c>
      <c r="U965" t="s">
        <v>95</v>
      </c>
      <c r="V965" t="s">
        <v>71</v>
      </c>
      <c r="W965" s="1">
        <v>45501</v>
      </c>
      <c r="X965" t="b">
        <v>0</v>
      </c>
      <c r="Y965" t="b">
        <v>1</v>
      </c>
      <c r="Z965" t="s">
        <v>59</v>
      </c>
      <c r="AA965" t="s">
        <v>60</v>
      </c>
      <c r="AB965">
        <v>7</v>
      </c>
      <c r="AF965" t="str">
        <f>tbl_OriginalData[[#This Row],[Customer_ID]]</f>
        <v>82-474-5074</v>
      </c>
      <c r="AG965">
        <f>tbl_OriginalData[[#This Row],[Age]]</f>
        <v>22</v>
      </c>
      <c r="AH965" t="str" cm="1">
        <f t="array" ref="AH96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65" t="str">
        <f>tbl_OriginalData[[#This Row],[Gender]]</f>
        <v>Male</v>
      </c>
      <c r="AJ965" t="str">
        <f>tbl_OriginalData[[#This Row],[Income_Level]]</f>
        <v>Middle</v>
      </c>
      <c r="AK965" t="str">
        <f>tbl_OriginalData[[#This Row],[Marital_Status]]</f>
        <v>Married</v>
      </c>
      <c r="AL965" t="str">
        <f>tbl_OriginalData[[#This Row],[Education_Level]]</f>
        <v>Bachelor's</v>
      </c>
      <c r="AM965" t="str">
        <f>tbl_OriginalData[[#This Row],[Occupation]]</f>
        <v>High</v>
      </c>
      <c r="AN965" t="s">
        <v>2166</v>
      </c>
      <c r="AO965" t="s">
        <v>812</v>
      </c>
      <c r="AP965" t="str">
        <f>tbl_OriginalData[[#This Row],[Purchase_Category]]</f>
        <v>Travel &amp; Leisure (Flights</v>
      </c>
      <c r="AQ965" s="4">
        <f>tbl_OriginalData[[#This Row],[Purchase_Amount]]</f>
        <v>96.86</v>
      </c>
      <c r="AR965">
        <f>tbl_OriginalData[[#This Row],[Frequency_of_Purchase]]</f>
        <v>9</v>
      </c>
      <c r="AS965" t="str">
        <f>tbl_OriginalData[[#This Row],[Purchase_Channel]]</f>
        <v>Mixed</v>
      </c>
      <c r="AT965">
        <f>tbl_OriginalData[[#This Row],[Brand_Loyalty]]</f>
        <v>5</v>
      </c>
      <c r="AU965">
        <f>tbl_OriginalData[[#This Row],[Product_Rating]]</f>
        <v>5</v>
      </c>
      <c r="AV965">
        <f>tbl_OriginalData[[#This Row],[Time_Spent_on_Product_Research(hours)]]*60</f>
        <v>0</v>
      </c>
      <c r="AW965" t="str">
        <f>tbl_OriginalData[[#This Row],[Social_Media_Influence]]</f>
        <v>None</v>
      </c>
      <c r="AX965" t="str">
        <f>tbl_OriginalData[[#This Row],[Discount_Sensitivity]]</f>
        <v>Not Sensitive</v>
      </c>
      <c r="AY965" s="3">
        <f>tbl_OriginalData[[#This Row],[Return_Rate]]/tbl_OriginalData[[#This Row],[Frequency_of_Purchase]]</f>
        <v>0.22222222222222221</v>
      </c>
      <c r="AZ965">
        <f>tbl_OriginalData[[#This Row],[Customer_Satisfaction]]</f>
        <v>10</v>
      </c>
      <c r="BA965" t="str">
        <f>tbl_OriginalData[[#This Row],[Engagement_with_Ads]]</f>
        <v>Medium</v>
      </c>
      <c r="BB965" t="str">
        <f>tbl_OriginalData[[#This Row],[Device_Used_for_Shopping]]</f>
        <v>Desktop</v>
      </c>
      <c r="BC965" t="str">
        <f>tbl_OriginalData[[#This Row],[Payment_Method]]</f>
        <v>Debit Card</v>
      </c>
      <c r="BD965" s="1">
        <f>tbl_OriginalData[[#This Row],[Time_of_Purchase]]</f>
        <v>45501</v>
      </c>
      <c r="BE965" t="str">
        <f>IF(tbl_OriginalData[[#This Row],[Discount_Used]]=TRUE,"Yes","No")</f>
        <v>No</v>
      </c>
      <c r="BF965" t="str">
        <f>IF(tbl_OriginalData[[#This Row],[Customer_Loyalty_Program_Member]]=TRUE,"Yes","No")</f>
        <v>Yes</v>
      </c>
      <c r="BG965" t="str">
        <f>tbl_OriginalData[[#This Row],[Purchase_Intent]]</f>
        <v>Wants-based</v>
      </c>
      <c r="BH965" t="str">
        <f>tbl_OriginalData[[#This Row],[Shipping_Preference]]</f>
        <v>Standard</v>
      </c>
      <c r="BI965">
        <f>tbl_OriginalData[[#This Row],[Time_to_Decision]]</f>
        <v>7</v>
      </c>
      <c r="BJ965" t="s">
        <v>114</v>
      </c>
      <c r="BK965" t="s">
        <v>115</v>
      </c>
      <c r="BL965" t="s">
        <v>2528</v>
      </c>
    </row>
    <row r="966" spans="1:64">
      <c r="A966" t="s">
        <v>2167</v>
      </c>
      <c r="B966">
        <v>48</v>
      </c>
      <c r="C966" t="s">
        <v>50</v>
      </c>
      <c r="D966" t="s">
        <v>34</v>
      </c>
      <c r="E966" t="s">
        <v>92</v>
      </c>
      <c r="F966" t="s">
        <v>66</v>
      </c>
      <c r="G966" t="s">
        <v>51</v>
      </c>
      <c r="H966" t="s">
        <v>2168</v>
      </c>
      <c r="I966" t="s">
        <v>54</v>
      </c>
      <c r="J966">
        <v>276.25</v>
      </c>
      <c r="K966">
        <v>11</v>
      </c>
      <c r="L966" t="s">
        <v>55</v>
      </c>
      <c r="M966">
        <v>2</v>
      </c>
      <c r="N966">
        <v>1</v>
      </c>
      <c r="O966">
        <v>2</v>
      </c>
      <c r="P966" t="s">
        <v>51</v>
      </c>
      <c r="Q966" t="s">
        <v>57</v>
      </c>
      <c r="R966">
        <v>2</v>
      </c>
      <c r="S966">
        <v>4</v>
      </c>
      <c r="T966" t="s">
        <v>40</v>
      </c>
      <c r="U966" t="s">
        <v>70</v>
      </c>
      <c r="V966" t="s">
        <v>102</v>
      </c>
      <c r="W966" s="1">
        <v>45607</v>
      </c>
      <c r="X966" t="b">
        <v>1</v>
      </c>
      <c r="Y966" t="b">
        <v>1</v>
      </c>
      <c r="Z966" t="s">
        <v>72</v>
      </c>
      <c r="AA966" t="s">
        <v>77</v>
      </c>
      <c r="AB966">
        <v>8</v>
      </c>
      <c r="AF966" t="str">
        <f>tbl_OriginalData[[#This Row],[Customer_ID]]</f>
        <v>36-444-5336</v>
      </c>
      <c r="AG966">
        <f>tbl_OriginalData[[#This Row],[Age]]</f>
        <v>48</v>
      </c>
      <c r="AH966" t="str" cm="1">
        <f t="array" ref="AH96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66" t="str">
        <f>tbl_OriginalData[[#This Row],[Gender]]</f>
        <v>Male</v>
      </c>
      <c r="AJ966" t="str">
        <f>tbl_OriginalData[[#This Row],[Income_Level]]</f>
        <v>Middle</v>
      </c>
      <c r="AK966" t="str">
        <f>tbl_OriginalData[[#This Row],[Marital_Status]]</f>
        <v>Divorced</v>
      </c>
      <c r="AL966" t="str">
        <f>tbl_OriginalData[[#This Row],[Education_Level]]</f>
        <v>Master's</v>
      </c>
      <c r="AM966" t="str">
        <f>tbl_OriginalData[[#This Row],[Occupation]]</f>
        <v>High</v>
      </c>
      <c r="AN966" t="s">
        <v>2168</v>
      </c>
      <c r="AO966" t="s">
        <v>61</v>
      </c>
      <c r="AP966" t="str">
        <f>tbl_OriginalData[[#This Row],[Purchase_Category]]</f>
        <v>Food &amp; Beverages</v>
      </c>
      <c r="AQ966" s="4">
        <f>tbl_OriginalData[[#This Row],[Purchase_Amount]]</f>
        <v>276.25</v>
      </c>
      <c r="AR966">
        <f>tbl_OriginalData[[#This Row],[Frequency_of_Purchase]]</f>
        <v>11</v>
      </c>
      <c r="AS966" t="str">
        <f>tbl_OriginalData[[#This Row],[Purchase_Channel]]</f>
        <v>In-Store</v>
      </c>
      <c r="AT966">
        <f>tbl_OriginalData[[#This Row],[Brand_Loyalty]]</f>
        <v>2</v>
      </c>
      <c r="AU966">
        <f>tbl_OriginalData[[#This Row],[Product_Rating]]</f>
        <v>1</v>
      </c>
      <c r="AV966">
        <f>tbl_OriginalData[[#This Row],[Time_Spent_on_Product_Research(hours)]]*60</f>
        <v>120</v>
      </c>
      <c r="AW966" t="str">
        <f>tbl_OriginalData[[#This Row],[Social_Media_Influence]]</f>
        <v>High</v>
      </c>
      <c r="AX966" t="str">
        <f>tbl_OriginalData[[#This Row],[Discount_Sensitivity]]</f>
        <v>Not Sensitive</v>
      </c>
      <c r="AY966" s="3">
        <f>tbl_OriginalData[[#This Row],[Return_Rate]]/tbl_OriginalData[[#This Row],[Frequency_of_Purchase]]</f>
        <v>0.18181818181818182</v>
      </c>
      <c r="AZ966">
        <f>tbl_OriginalData[[#This Row],[Customer_Satisfaction]]</f>
        <v>4</v>
      </c>
      <c r="BA966" t="str">
        <f>tbl_OriginalData[[#This Row],[Engagement_with_Ads]]</f>
        <v>None</v>
      </c>
      <c r="BB966" t="str">
        <f>tbl_OriginalData[[#This Row],[Device_Used_for_Shopping]]</f>
        <v>Smartphone</v>
      </c>
      <c r="BC966" t="str">
        <f>tbl_OriginalData[[#This Row],[Payment_Method]]</f>
        <v>Cash</v>
      </c>
      <c r="BD966" s="1">
        <f>tbl_OriginalData[[#This Row],[Time_of_Purchase]]</f>
        <v>45607</v>
      </c>
      <c r="BE966" t="str">
        <f>IF(tbl_OriginalData[[#This Row],[Discount_Used]]=TRUE,"Yes","No")</f>
        <v>Yes</v>
      </c>
      <c r="BF966" t="str">
        <f>IF(tbl_OriginalData[[#This Row],[Customer_Loyalty_Program_Member]]=TRUE,"Yes","No")</f>
        <v>Yes</v>
      </c>
      <c r="BG966" t="str">
        <f>tbl_OriginalData[[#This Row],[Purchase_Intent]]</f>
        <v>Impulsive</v>
      </c>
      <c r="BH966" t="str">
        <f>tbl_OriginalData[[#This Row],[Shipping_Preference]]</f>
        <v>Express</v>
      </c>
      <c r="BI966">
        <f>tbl_OriginalData[[#This Row],[Time_to_Decision]]</f>
        <v>8</v>
      </c>
      <c r="BJ966" t="s">
        <v>177</v>
      </c>
      <c r="BK966" t="s">
        <v>80</v>
      </c>
      <c r="BL966" t="s">
        <v>2524</v>
      </c>
    </row>
    <row r="967" spans="1:64">
      <c r="A967" t="s">
        <v>2169</v>
      </c>
      <c r="B967">
        <v>29</v>
      </c>
      <c r="C967" t="s">
        <v>50</v>
      </c>
      <c r="D967" t="s">
        <v>34</v>
      </c>
      <c r="E967" t="s">
        <v>82</v>
      </c>
      <c r="F967" t="s">
        <v>66</v>
      </c>
      <c r="G967" t="s">
        <v>34</v>
      </c>
      <c r="H967" t="s">
        <v>2170</v>
      </c>
      <c r="I967" t="s">
        <v>68</v>
      </c>
      <c r="J967">
        <v>318.45</v>
      </c>
      <c r="K967">
        <v>10</v>
      </c>
      <c r="L967" t="s">
        <v>55</v>
      </c>
      <c r="M967">
        <v>2</v>
      </c>
      <c r="N967">
        <v>1</v>
      </c>
      <c r="O967">
        <v>2</v>
      </c>
      <c r="P967" t="s">
        <v>40</v>
      </c>
      <c r="Q967" t="s">
        <v>41</v>
      </c>
      <c r="R967">
        <v>2</v>
      </c>
      <c r="S967">
        <v>4</v>
      </c>
      <c r="T967" t="s">
        <v>51</v>
      </c>
      <c r="U967" t="s">
        <v>70</v>
      </c>
      <c r="V967" t="s">
        <v>76</v>
      </c>
      <c r="W967" s="1">
        <v>45590</v>
      </c>
      <c r="X967" t="b">
        <v>0</v>
      </c>
      <c r="Y967" t="b">
        <v>1</v>
      </c>
      <c r="Z967" t="s">
        <v>89</v>
      </c>
      <c r="AA967" t="s">
        <v>45</v>
      </c>
      <c r="AB967">
        <v>5</v>
      </c>
      <c r="AF967" t="str">
        <f>tbl_OriginalData[[#This Row],[Customer_ID]]</f>
        <v>54-680-5344</v>
      </c>
      <c r="AG967">
        <f>tbl_OriginalData[[#This Row],[Age]]</f>
        <v>29</v>
      </c>
      <c r="AH967" t="str" cm="1">
        <f t="array" ref="AH96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67" t="str">
        <f>tbl_OriginalData[[#This Row],[Gender]]</f>
        <v>Male</v>
      </c>
      <c r="AJ967" t="str">
        <f>tbl_OriginalData[[#This Row],[Income_Level]]</f>
        <v>Middle</v>
      </c>
      <c r="AK967" t="str">
        <f>tbl_OriginalData[[#This Row],[Marital_Status]]</f>
        <v>Widowed</v>
      </c>
      <c r="AL967" t="str">
        <f>tbl_OriginalData[[#This Row],[Education_Level]]</f>
        <v>Master's</v>
      </c>
      <c r="AM967" t="str">
        <f>tbl_OriginalData[[#This Row],[Occupation]]</f>
        <v>Middle</v>
      </c>
      <c r="AN967" t="s">
        <v>2170</v>
      </c>
      <c r="AO967" t="s">
        <v>61</v>
      </c>
      <c r="AP967" t="str">
        <f>tbl_OriginalData[[#This Row],[Purchase_Category]]</f>
        <v>Office Supplies</v>
      </c>
      <c r="AQ967" s="4">
        <f>tbl_OriginalData[[#This Row],[Purchase_Amount]]</f>
        <v>318.45</v>
      </c>
      <c r="AR967">
        <f>tbl_OriginalData[[#This Row],[Frequency_of_Purchase]]</f>
        <v>10</v>
      </c>
      <c r="AS967" t="str">
        <f>tbl_OriginalData[[#This Row],[Purchase_Channel]]</f>
        <v>In-Store</v>
      </c>
      <c r="AT967">
        <f>tbl_OriginalData[[#This Row],[Brand_Loyalty]]</f>
        <v>2</v>
      </c>
      <c r="AU967">
        <f>tbl_OriginalData[[#This Row],[Product_Rating]]</f>
        <v>1</v>
      </c>
      <c r="AV967">
        <f>tbl_OriginalData[[#This Row],[Time_Spent_on_Product_Research(hours)]]*60</f>
        <v>120</v>
      </c>
      <c r="AW967" t="str">
        <f>tbl_OriginalData[[#This Row],[Social_Media_Influence]]</f>
        <v>None</v>
      </c>
      <c r="AX967" t="str">
        <f>tbl_OriginalData[[#This Row],[Discount_Sensitivity]]</f>
        <v>Somewhat Sensitive</v>
      </c>
      <c r="AY967" s="3">
        <f>tbl_OriginalData[[#This Row],[Return_Rate]]/tbl_OriginalData[[#This Row],[Frequency_of_Purchase]]</f>
        <v>0.2</v>
      </c>
      <c r="AZ967">
        <f>tbl_OriginalData[[#This Row],[Customer_Satisfaction]]</f>
        <v>4</v>
      </c>
      <c r="BA967" t="str">
        <f>tbl_OriginalData[[#This Row],[Engagement_with_Ads]]</f>
        <v>High</v>
      </c>
      <c r="BB967" t="str">
        <f>tbl_OriginalData[[#This Row],[Device_Used_for_Shopping]]</f>
        <v>Smartphone</v>
      </c>
      <c r="BC967" t="str">
        <f>tbl_OriginalData[[#This Row],[Payment_Method]]</f>
        <v>Other</v>
      </c>
      <c r="BD967" s="1">
        <f>tbl_OriginalData[[#This Row],[Time_of_Purchase]]</f>
        <v>45590</v>
      </c>
      <c r="BE967" t="str">
        <f>IF(tbl_OriginalData[[#This Row],[Discount_Used]]=TRUE,"Yes","No")</f>
        <v>No</v>
      </c>
      <c r="BF967" t="str">
        <f>IF(tbl_OriginalData[[#This Row],[Customer_Loyalty_Program_Member]]=TRUE,"Yes","No")</f>
        <v>Yes</v>
      </c>
      <c r="BG967" t="str">
        <f>tbl_OriginalData[[#This Row],[Purchase_Intent]]</f>
        <v>Planned</v>
      </c>
      <c r="BH967" t="str">
        <f>tbl_OriginalData[[#This Row],[Shipping_Preference]]</f>
        <v>No Preference</v>
      </c>
      <c r="BI967">
        <f>tbl_OriginalData[[#This Row],[Time_to_Decision]]</f>
        <v>5</v>
      </c>
      <c r="BJ967" t="s">
        <v>79</v>
      </c>
      <c r="BK967" t="s">
        <v>80</v>
      </c>
      <c r="BL967" t="s">
        <v>2524</v>
      </c>
    </row>
    <row r="968" spans="1:64">
      <c r="A968" t="s">
        <v>2171</v>
      </c>
      <c r="B968">
        <v>41</v>
      </c>
      <c r="C968" t="s">
        <v>33</v>
      </c>
      <c r="D968" t="s">
        <v>51</v>
      </c>
      <c r="E968" t="s">
        <v>35</v>
      </c>
      <c r="F968" t="s">
        <v>52</v>
      </c>
      <c r="G968" t="s">
        <v>51</v>
      </c>
      <c r="H968" t="s">
        <v>2172</v>
      </c>
      <c r="I968" t="s">
        <v>127</v>
      </c>
      <c r="J968">
        <v>117.03</v>
      </c>
      <c r="K968">
        <v>6</v>
      </c>
      <c r="L968" t="s">
        <v>94</v>
      </c>
      <c r="M968">
        <v>3</v>
      </c>
      <c r="N968">
        <v>2</v>
      </c>
      <c r="O968">
        <v>0</v>
      </c>
      <c r="P968" t="s">
        <v>40</v>
      </c>
      <c r="Q968" t="s">
        <v>101</v>
      </c>
      <c r="R968">
        <v>2</v>
      </c>
      <c r="S968">
        <v>9</v>
      </c>
      <c r="T968" t="s">
        <v>56</v>
      </c>
      <c r="U968" t="s">
        <v>42</v>
      </c>
      <c r="V968" t="s">
        <v>102</v>
      </c>
      <c r="W968" s="1">
        <v>45555</v>
      </c>
      <c r="X968" t="b">
        <v>0</v>
      </c>
      <c r="Y968" t="b">
        <v>0</v>
      </c>
      <c r="Z968" t="s">
        <v>72</v>
      </c>
      <c r="AA968" t="s">
        <v>60</v>
      </c>
      <c r="AB968">
        <v>5</v>
      </c>
      <c r="AF968" t="str">
        <f>tbl_OriginalData[[#This Row],[Customer_ID]]</f>
        <v>16-364-8096</v>
      </c>
      <c r="AG968">
        <f>tbl_OriginalData[[#This Row],[Age]]</f>
        <v>41</v>
      </c>
      <c r="AH968" t="str" cm="1">
        <f t="array" ref="AH96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68" t="str">
        <f>tbl_OriginalData[[#This Row],[Gender]]</f>
        <v>Female</v>
      </c>
      <c r="AJ968" t="str">
        <f>tbl_OriginalData[[#This Row],[Income_Level]]</f>
        <v>High</v>
      </c>
      <c r="AK968" t="str">
        <f>tbl_OriginalData[[#This Row],[Marital_Status]]</f>
        <v>Married</v>
      </c>
      <c r="AL968" t="str">
        <f>tbl_OriginalData[[#This Row],[Education_Level]]</f>
        <v>High School</v>
      </c>
      <c r="AM968" t="str">
        <f>tbl_OriginalData[[#This Row],[Occupation]]</f>
        <v>High</v>
      </c>
      <c r="AN968" t="s">
        <v>2172</v>
      </c>
      <c r="AO968" t="s">
        <v>171</v>
      </c>
      <c r="AP968" t="str">
        <f>tbl_OriginalData[[#This Row],[Purchase_Category]]</f>
        <v>Animal Feed</v>
      </c>
      <c r="AQ968" s="4">
        <f>tbl_OriginalData[[#This Row],[Purchase_Amount]]</f>
        <v>117.03</v>
      </c>
      <c r="AR968">
        <f>tbl_OriginalData[[#This Row],[Frequency_of_Purchase]]</f>
        <v>6</v>
      </c>
      <c r="AS968" t="str">
        <f>tbl_OriginalData[[#This Row],[Purchase_Channel]]</f>
        <v>Online</v>
      </c>
      <c r="AT968">
        <f>tbl_OriginalData[[#This Row],[Brand_Loyalty]]</f>
        <v>3</v>
      </c>
      <c r="AU968">
        <f>tbl_OriginalData[[#This Row],[Product_Rating]]</f>
        <v>2</v>
      </c>
      <c r="AV968">
        <f>tbl_OriginalData[[#This Row],[Time_Spent_on_Product_Research(hours)]]*60</f>
        <v>0</v>
      </c>
      <c r="AW968" t="str">
        <f>tbl_OriginalData[[#This Row],[Social_Media_Influence]]</f>
        <v>None</v>
      </c>
      <c r="AX968" t="str">
        <f>tbl_OriginalData[[#This Row],[Discount_Sensitivity]]</f>
        <v>Very Sensitive</v>
      </c>
      <c r="AY968" s="3">
        <f>tbl_OriginalData[[#This Row],[Return_Rate]]/tbl_OriginalData[[#This Row],[Frequency_of_Purchase]]</f>
        <v>0.33333333333333331</v>
      </c>
      <c r="AZ968">
        <f>tbl_OriginalData[[#This Row],[Customer_Satisfaction]]</f>
        <v>9</v>
      </c>
      <c r="BA968" t="str">
        <f>tbl_OriginalData[[#This Row],[Engagement_with_Ads]]</f>
        <v>Medium</v>
      </c>
      <c r="BB968" t="str">
        <f>tbl_OriginalData[[#This Row],[Device_Used_for_Shopping]]</f>
        <v>Tablet</v>
      </c>
      <c r="BC968" t="str">
        <f>tbl_OriginalData[[#This Row],[Payment_Method]]</f>
        <v>Cash</v>
      </c>
      <c r="BD968" s="1">
        <f>tbl_OriginalData[[#This Row],[Time_of_Purchase]]</f>
        <v>45555</v>
      </c>
      <c r="BE968" t="str">
        <f>IF(tbl_OriginalData[[#This Row],[Discount_Used]]=TRUE,"Yes","No")</f>
        <v>No</v>
      </c>
      <c r="BF968" t="str">
        <f>IF(tbl_OriginalData[[#This Row],[Customer_Loyalty_Program_Member]]=TRUE,"Yes","No")</f>
        <v>No</v>
      </c>
      <c r="BG968" t="str">
        <f>tbl_OriginalData[[#This Row],[Purchase_Intent]]</f>
        <v>Impulsive</v>
      </c>
      <c r="BH968" t="str">
        <f>tbl_OriginalData[[#This Row],[Shipping_Preference]]</f>
        <v>Standard</v>
      </c>
      <c r="BI968">
        <f>tbl_OriginalData[[#This Row],[Time_to_Decision]]</f>
        <v>5</v>
      </c>
      <c r="BJ968" t="s">
        <v>172</v>
      </c>
      <c r="BK968" t="s">
        <v>115</v>
      </c>
      <c r="BL968" t="s">
        <v>2523</v>
      </c>
    </row>
    <row r="969" spans="1:64">
      <c r="A969" t="s">
        <v>2173</v>
      </c>
      <c r="B969">
        <v>50</v>
      </c>
      <c r="C969" t="s">
        <v>33</v>
      </c>
      <c r="D969" t="s">
        <v>34</v>
      </c>
      <c r="E969" t="s">
        <v>35</v>
      </c>
      <c r="F969" t="s">
        <v>66</v>
      </c>
      <c r="G969" t="s">
        <v>51</v>
      </c>
      <c r="H969" t="s">
        <v>2174</v>
      </c>
      <c r="I969" t="s">
        <v>156</v>
      </c>
      <c r="J969">
        <v>490.41</v>
      </c>
      <c r="K969">
        <v>7</v>
      </c>
      <c r="L969" t="s">
        <v>94</v>
      </c>
      <c r="M969">
        <v>3</v>
      </c>
      <c r="N969">
        <v>5</v>
      </c>
      <c r="O969">
        <v>1</v>
      </c>
      <c r="P969" t="s">
        <v>56</v>
      </c>
      <c r="Q969" t="s">
        <v>101</v>
      </c>
      <c r="R969">
        <v>1</v>
      </c>
      <c r="S969">
        <v>10</v>
      </c>
      <c r="T969" t="s">
        <v>69</v>
      </c>
      <c r="U969" t="s">
        <v>42</v>
      </c>
      <c r="V969" t="s">
        <v>76</v>
      </c>
      <c r="W969" s="1">
        <v>45587</v>
      </c>
      <c r="X969" t="b">
        <v>1</v>
      </c>
      <c r="Y969" t="b">
        <v>0</v>
      </c>
      <c r="Z969" t="s">
        <v>89</v>
      </c>
      <c r="AA969" t="s">
        <v>60</v>
      </c>
      <c r="AB969">
        <v>5</v>
      </c>
      <c r="AF969" t="str">
        <f>tbl_OriginalData[[#This Row],[Customer_ID]]</f>
        <v>62-644-8183</v>
      </c>
      <c r="AG969">
        <f>tbl_OriginalData[[#This Row],[Age]]</f>
        <v>50</v>
      </c>
      <c r="AH969" t="str" cm="1">
        <f t="array" ref="AH96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69" t="str">
        <f>tbl_OriginalData[[#This Row],[Gender]]</f>
        <v>Female</v>
      </c>
      <c r="AJ969" t="str">
        <f>tbl_OriginalData[[#This Row],[Income_Level]]</f>
        <v>Middle</v>
      </c>
      <c r="AK969" t="str">
        <f>tbl_OriginalData[[#This Row],[Marital_Status]]</f>
        <v>Married</v>
      </c>
      <c r="AL969" t="str">
        <f>tbl_OriginalData[[#This Row],[Education_Level]]</f>
        <v>Master's</v>
      </c>
      <c r="AM969" t="str">
        <f>tbl_OriginalData[[#This Row],[Occupation]]</f>
        <v>High</v>
      </c>
      <c r="AN969" t="s">
        <v>2174</v>
      </c>
      <c r="AO969" t="s">
        <v>1505</v>
      </c>
      <c r="AP969" t="str">
        <f>tbl_OriginalData[[#This Row],[Purchase_Category]]</f>
        <v>Toys &amp; Games</v>
      </c>
      <c r="AQ969" s="4">
        <f>tbl_OriginalData[[#This Row],[Purchase_Amount]]</f>
        <v>490.41</v>
      </c>
      <c r="AR969">
        <f>tbl_OriginalData[[#This Row],[Frequency_of_Purchase]]</f>
        <v>7</v>
      </c>
      <c r="AS969" t="str">
        <f>tbl_OriginalData[[#This Row],[Purchase_Channel]]</f>
        <v>Online</v>
      </c>
      <c r="AT969">
        <f>tbl_OriginalData[[#This Row],[Brand_Loyalty]]</f>
        <v>3</v>
      </c>
      <c r="AU969">
        <f>tbl_OriginalData[[#This Row],[Product_Rating]]</f>
        <v>5</v>
      </c>
      <c r="AV969">
        <f>tbl_OriginalData[[#This Row],[Time_Spent_on_Product_Research(hours)]]*60</f>
        <v>60</v>
      </c>
      <c r="AW969" t="str">
        <f>tbl_OriginalData[[#This Row],[Social_Media_Influence]]</f>
        <v>Medium</v>
      </c>
      <c r="AX969" t="str">
        <f>tbl_OriginalData[[#This Row],[Discount_Sensitivity]]</f>
        <v>Very Sensitive</v>
      </c>
      <c r="AY969" s="3">
        <f>tbl_OriginalData[[#This Row],[Return_Rate]]/tbl_OriginalData[[#This Row],[Frequency_of_Purchase]]</f>
        <v>0.14285714285714285</v>
      </c>
      <c r="AZ969">
        <f>tbl_OriginalData[[#This Row],[Customer_Satisfaction]]</f>
        <v>10</v>
      </c>
      <c r="BA969" t="str">
        <f>tbl_OriginalData[[#This Row],[Engagement_with_Ads]]</f>
        <v>Low</v>
      </c>
      <c r="BB969" t="str">
        <f>tbl_OriginalData[[#This Row],[Device_Used_for_Shopping]]</f>
        <v>Tablet</v>
      </c>
      <c r="BC969" t="str">
        <f>tbl_OriginalData[[#This Row],[Payment_Method]]</f>
        <v>Other</v>
      </c>
      <c r="BD969" s="1">
        <f>tbl_OriginalData[[#This Row],[Time_of_Purchase]]</f>
        <v>45587</v>
      </c>
      <c r="BE969" t="str">
        <f>IF(tbl_OriginalData[[#This Row],[Discount_Used]]=TRUE,"Yes","No")</f>
        <v>Yes</v>
      </c>
      <c r="BF969" t="str">
        <f>IF(tbl_OriginalData[[#This Row],[Customer_Loyalty_Program_Member]]=TRUE,"Yes","No")</f>
        <v>No</v>
      </c>
      <c r="BG969" t="str">
        <f>tbl_OriginalData[[#This Row],[Purchase_Intent]]</f>
        <v>Planned</v>
      </c>
      <c r="BH969" t="str">
        <f>tbl_OriginalData[[#This Row],[Shipping_Preference]]</f>
        <v>Standard</v>
      </c>
      <c r="BI969">
        <f>tbl_OriginalData[[#This Row],[Time_to_Decision]]</f>
        <v>5</v>
      </c>
      <c r="BJ969" t="s">
        <v>79</v>
      </c>
      <c r="BK969" t="s">
        <v>80</v>
      </c>
      <c r="BL969" t="s">
        <v>2523</v>
      </c>
    </row>
    <row r="970" spans="1:64">
      <c r="A970" t="s">
        <v>2175</v>
      </c>
      <c r="B970">
        <v>48</v>
      </c>
      <c r="C970" t="s">
        <v>50</v>
      </c>
      <c r="D970" t="s">
        <v>34</v>
      </c>
      <c r="E970" t="s">
        <v>92</v>
      </c>
      <c r="F970" t="s">
        <v>36</v>
      </c>
      <c r="G970" t="s">
        <v>51</v>
      </c>
      <c r="H970" t="s">
        <v>2176</v>
      </c>
      <c r="I970" t="s">
        <v>180</v>
      </c>
      <c r="J970">
        <v>476.42</v>
      </c>
      <c r="K970">
        <v>7</v>
      </c>
      <c r="L970" t="s">
        <v>55</v>
      </c>
      <c r="M970">
        <v>1</v>
      </c>
      <c r="N970">
        <v>1</v>
      </c>
      <c r="O970">
        <v>1</v>
      </c>
      <c r="P970" t="s">
        <v>51</v>
      </c>
      <c r="Q970" t="s">
        <v>101</v>
      </c>
      <c r="R970">
        <v>0</v>
      </c>
      <c r="S970">
        <v>2</v>
      </c>
      <c r="T970" t="s">
        <v>51</v>
      </c>
      <c r="U970" t="s">
        <v>95</v>
      </c>
      <c r="V970" t="s">
        <v>71</v>
      </c>
      <c r="W970" s="1">
        <v>45544</v>
      </c>
      <c r="X970" t="b">
        <v>1</v>
      </c>
      <c r="Y970" t="b">
        <v>0</v>
      </c>
      <c r="Z970" t="s">
        <v>44</v>
      </c>
      <c r="AA970" t="s">
        <v>60</v>
      </c>
      <c r="AB970">
        <v>2</v>
      </c>
      <c r="AF970" t="str">
        <f>tbl_OriginalData[[#This Row],[Customer_ID]]</f>
        <v>59-971-0799</v>
      </c>
      <c r="AG970">
        <f>tbl_OriginalData[[#This Row],[Age]]</f>
        <v>48</v>
      </c>
      <c r="AH970" t="str" cm="1">
        <f t="array" ref="AH97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70" t="str">
        <f>tbl_OriginalData[[#This Row],[Gender]]</f>
        <v>Male</v>
      </c>
      <c r="AJ970" t="str">
        <f>tbl_OriginalData[[#This Row],[Income_Level]]</f>
        <v>Middle</v>
      </c>
      <c r="AK970" t="str">
        <f>tbl_OriginalData[[#This Row],[Marital_Status]]</f>
        <v>Divorced</v>
      </c>
      <c r="AL970" t="str">
        <f>tbl_OriginalData[[#This Row],[Education_Level]]</f>
        <v>Bachelor's</v>
      </c>
      <c r="AM970" t="str">
        <f>tbl_OriginalData[[#This Row],[Occupation]]</f>
        <v>High</v>
      </c>
      <c r="AN970" t="s">
        <v>2176</v>
      </c>
      <c r="AO970" t="s">
        <v>109</v>
      </c>
      <c r="AP970" t="str">
        <f>tbl_OriginalData[[#This Row],[Purchase_Category]]</f>
        <v>Health Supplements</v>
      </c>
      <c r="AQ970" s="4">
        <f>tbl_OriginalData[[#This Row],[Purchase_Amount]]</f>
        <v>476.42</v>
      </c>
      <c r="AR970">
        <f>tbl_OriginalData[[#This Row],[Frequency_of_Purchase]]</f>
        <v>7</v>
      </c>
      <c r="AS970" t="str">
        <f>tbl_OriginalData[[#This Row],[Purchase_Channel]]</f>
        <v>In-Store</v>
      </c>
      <c r="AT970">
        <f>tbl_OriginalData[[#This Row],[Brand_Loyalty]]</f>
        <v>1</v>
      </c>
      <c r="AU970">
        <f>tbl_OriginalData[[#This Row],[Product_Rating]]</f>
        <v>1</v>
      </c>
      <c r="AV970">
        <f>tbl_OriginalData[[#This Row],[Time_Spent_on_Product_Research(hours)]]*60</f>
        <v>60</v>
      </c>
      <c r="AW970" t="str">
        <f>tbl_OriginalData[[#This Row],[Social_Media_Influence]]</f>
        <v>High</v>
      </c>
      <c r="AX970" t="str">
        <f>tbl_OriginalData[[#This Row],[Discount_Sensitivity]]</f>
        <v>Very Sensitive</v>
      </c>
      <c r="AY970" s="3">
        <f>tbl_OriginalData[[#This Row],[Return_Rate]]/tbl_OriginalData[[#This Row],[Frequency_of_Purchase]]</f>
        <v>0</v>
      </c>
      <c r="AZ970">
        <f>tbl_OriginalData[[#This Row],[Customer_Satisfaction]]</f>
        <v>2</v>
      </c>
      <c r="BA970" t="str">
        <f>tbl_OriginalData[[#This Row],[Engagement_with_Ads]]</f>
        <v>High</v>
      </c>
      <c r="BB970" t="str">
        <f>tbl_OriginalData[[#This Row],[Device_Used_for_Shopping]]</f>
        <v>Desktop</v>
      </c>
      <c r="BC970" t="str">
        <f>tbl_OriginalData[[#This Row],[Payment_Method]]</f>
        <v>Debit Card</v>
      </c>
      <c r="BD970" s="1">
        <f>tbl_OriginalData[[#This Row],[Time_of_Purchase]]</f>
        <v>45544</v>
      </c>
      <c r="BE970" t="str">
        <f>IF(tbl_OriginalData[[#This Row],[Discount_Used]]=TRUE,"Yes","No")</f>
        <v>Yes</v>
      </c>
      <c r="BF970" t="str">
        <f>IF(tbl_OriginalData[[#This Row],[Customer_Loyalty_Program_Member]]=TRUE,"Yes","No")</f>
        <v>No</v>
      </c>
      <c r="BG970" t="str">
        <f>tbl_OriginalData[[#This Row],[Purchase_Intent]]</f>
        <v>Need-based</v>
      </c>
      <c r="BH970" t="str">
        <f>tbl_OriginalData[[#This Row],[Shipping_Preference]]</f>
        <v>Standard</v>
      </c>
      <c r="BI970">
        <f>tbl_OriginalData[[#This Row],[Time_to_Decision]]</f>
        <v>2</v>
      </c>
      <c r="BJ970" t="s">
        <v>172</v>
      </c>
      <c r="BK970" t="s">
        <v>115</v>
      </c>
      <c r="BL970" t="s">
        <v>2526</v>
      </c>
    </row>
    <row r="971" spans="1:64">
      <c r="A971" t="s">
        <v>2177</v>
      </c>
      <c r="B971">
        <v>29</v>
      </c>
      <c r="C971" t="s">
        <v>33</v>
      </c>
      <c r="D971" t="s">
        <v>51</v>
      </c>
      <c r="E971" t="s">
        <v>92</v>
      </c>
      <c r="F971" t="s">
        <v>66</v>
      </c>
      <c r="G971" t="s">
        <v>51</v>
      </c>
      <c r="H971" t="s">
        <v>2178</v>
      </c>
      <c r="I971" t="s">
        <v>235</v>
      </c>
      <c r="J971">
        <v>392.27</v>
      </c>
      <c r="K971">
        <v>5</v>
      </c>
      <c r="L971" t="s">
        <v>39</v>
      </c>
      <c r="M971">
        <v>4</v>
      </c>
      <c r="N971">
        <v>5</v>
      </c>
      <c r="O971">
        <v>1</v>
      </c>
      <c r="P971" t="s">
        <v>51</v>
      </c>
      <c r="Q971" t="s">
        <v>57</v>
      </c>
      <c r="R971">
        <v>0</v>
      </c>
      <c r="S971">
        <v>2</v>
      </c>
      <c r="T971" t="s">
        <v>69</v>
      </c>
      <c r="U971" t="s">
        <v>42</v>
      </c>
      <c r="V971" t="s">
        <v>76</v>
      </c>
      <c r="W971" s="1">
        <v>45490</v>
      </c>
      <c r="X971" t="b">
        <v>1</v>
      </c>
      <c r="Y971" t="b">
        <v>0</v>
      </c>
      <c r="Z971" t="s">
        <v>59</v>
      </c>
      <c r="AA971" t="s">
        <v>45</v>
      </c>
      <c r="AB971">
        <v>7</v>
      </c>
      <c r="AF971" t="str">
        <f>tbl_OriginalData[[#This Row],[Customer_ID]]</f>
        <v>64-031-2046</v>
      </c>
      <c r="AG971">
        <f>tbl_OriginalData[[#This Row],[Age]]</f>
        <v>29</v>
      </c>
      <c r="AH971" t="str" cm="1">
        <f t="array" ref="AH97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71" t="str">
        <f>tbl_OriginalData[[#This Row],[Gender]]</f>
        <v>Female</v>
      </c>
      <c r="AJ971" t="str">
        <f>tbl_OriginalData[[#This Row],[Income_Level]]</f>
        <v>High</v>
      </c>
      <c r="AK971" t="str">
        <f>tbl_OriginalData[[#This Row],[Marital_Status]]</f>
        <v>Divorced</v>
      </c>
      <c r="AL971" t="str">
        <f>tbl_OriginalData[[#This Row],[Education_Level]]</f>
        <v>Master's</v>
      </c>
      <c r="AM971" t="str">
        <f>tbl_OriginalData[[#This Row],[Occupation]]</f>
        <v>High</v>
      </c>
      <c r="AN971" t="s">
        <v>2178</v>
      </c>
      <c r="AO971" t="s">
        <v>61</v>
      </c>
      <c r="AP971" t="str">
        <f>tbl_OriginalData[[#This Row],[Purchase_Category]]</f>
        <v>Beauty &amp; Personal Care</v>
      </c>
      <c r="AQ971" s="4">
        <f>tbl_OriginalData[[#This Row],[Purchase_Amount]]</f>
        <v>392.27</v>
      </c>
      <c r="AR971">
        <f>tbl_OriginalData[[#This Row],[Frequency_of_Purchase]]</f>
        <v>5</v>
      </c>
      <c r="AS971" t="str">
        <f>tbl_OriginalData[[#This Row],[Purchase_Channel]]</f>
        <v>Mixed</v>
      </c>
      <c r="AT971">
        <f>tbl_OriginalData[[#This Row],[Brand_Loyalty]]</f>
        <v>4</v>
      </c>
      <c r="AU971">
        <f>tbl_OriginalData[[#This Row],[Product_Rating]]</f>
        <v>5</v>
      </c>
      <c r="AV971">
        <f>tbl_OriginalData[[#This Row],[Time_Spent_on_Product_Research(hours)]]*60</f>
        <v>60</v>
      </c>
      <c r="AW971" t="str">
        <f>tbl_OriginalData[[#This Row],[Social_Media_Influence]]</f>
        <v>High</v>
      </c>
      <c r="AX971" t="str">
        <f>tbl_OriginalData[[#This Row],[Discount_Sensitivity]]</f>
        <v>Not Sensitive</v>
      </c>
      <c r="AY971" s="3">
        <f>tbl_OriginalData[[#This Row],[Return_Rate]]/tbl_OriginalData[[#This Row],[Frequency_of_Purchase]]</f>
        <v>0</v>
      </c>
      <c r="AZ971">
        <f>tbl_OriginalData[[#This Row],[Customer_Satisfaction]]</f>
        <v>2</v>
      </c>
      <c r="BA971" t="str">
        <f>tbl_OriginalData[[#This Row],[Engagement_with_Ads]]</f>
        <v>Low</v>
      </c>
      <c r="BB971" t="str">
        <f>tbl_OriginalData[[#This Row],[Device_Used_for_Shopping]]</f>
        <v>Tablet</v>
      </c>
      <c r="BC971" t="str">
        <f>tbl_OriginalData[[#This Row],[Payment_Method]]</f>
        <v>Other</v>
      </c>
      <c r="BD971" s="1">
        <f>tbl_OriginalData[[#This Row],[Time_of_Purchase]]</f>
        <v>45490</v>
      </c>
      <c r="BE971" t="str">
        <f>IF(tbl_OriginalData[[#This Row],[Discount_Used]]=TRUE,"Yes","No")</f>
        <v>Yes</v>
      </c>
      <c r="BF971" t="str">
        <f>IF(tbl_OriginalData[[#This Row],[Customer_Loyalty_Program_Member]]=TRUE,"Yes","No")</f>
        <v>No</v>
      </c>
      <c r="BG971" t="str">
        <f>tbl_OriginalData[[#This Row],[Purchase_Intent]]</f>
        <v>Wants-based</v>
      </c>
      <c r="BH971" t="str">
        <f>tbl_OriginalData[[#This Row],[Shipping_Preference]]</f>
        <v>No Preference</v>
      </c>
      <c r="BI971">
        <f>tbl_OriginalData[[#This Row],[Time_to_Decision]]</f>
        <v>7</v>
      </c>
      <c r="BJ971" t="s">
        <v>114</v>
      </c>
      <c r="BK971" t="s">
        <v>115</v>
      </c>
      <c r="BL971" t="s">
        <v>2524</v>
      </c>
    </row>
    <row r="972" spans="1:64">
      <c r="A972" t="s">
        <v>2179</v>
      </c>
      <c r="B972">
        <v>36</v>
      </c>
      <c r="C972" t="s">
        <v>50</v>
      </c>
      <c r="D972" t="s">
        <v>51</v>
      </c>
      <c r="E972" t="s">
        <v>65</v>
      </c>
      <c r="F972" t="s">
        <v>36</v>
      </c>
      <c r="G972" t="s">
        <v>34</v>
      </c>
      <c r="H972" t="s">
        <v>2180</v>
      </c>
      <c r="I972" t="s">
        <v>135</v>
      </c>
      <c r="J972">
        <v>207.24</v>
      </c>
      <c r="K972">
        <v>9</v>
      </c>
      <c r="L972" t="s">
        <v>94</v>
      </c>
      <c r="M972">
        <v>2</v>
      </c>
      <c r="N972">
        <v>2</v>
      </c>
      <c r="O972">
        <v>0</v>
      </c>
      <c r="P972" t="s">
        <v>69</v>
      </c>
      <c r="Q972" t="s">
        <v>57</v>
      </c>
      <c r="R972">
        <v>0</v>
      </c>
      <c r="S972">
        <v>6</v>
      </c>
      <c r="T972" t="s">
        <v>40</v>
      </c>
      <c r="U972" t="s">
        <v>95</v>
      </c>
      <c r="V972" t="s">
        <v>71</v>
      </c>
      <c r="W972" s="1">
        <v>45424</v>
      </c>
      <c r="X972" t="b">
        <v>1</v>
      </c>
      <c r="Y972" t="b">
        <v>0</v>
      </c>
      <c r="Z972" t="s">
        <v>72</v>
      </c>
      <c r="AA972" t="s">
        <v>45</v>
      </c>
      <c r="AB972">
        <v>3</v>
      </c>
      <c r="AF972" t="str">
        <f>tbl_OriginalData[[#This Row],[Customer_ID]]</f>
        <v>87-079-0237</v>
      </c>
      <c r="AG972">
        <f>tbl_OriginalData[[#This Row],[Age]]</f>
        <v>36</v>
      </c>
      <c r="AH972" t="str" cm="1">
        <f t="array" ref="AH97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72" t="str">
        <f>tbl_OriginalData[[#This Row],[Gender]]</f>
        <v>Male</v>
      </c>
      <c r="AJ972" t="str">
        <f>tbl_OriginalData[[#This Row],[Income_Level]]</f>
        <v>High</v>
      </c>
      <c r="AK972" t="str">
        <f>tbl_OriginalData[[#This Row],[Marital_Status]]</f>
        <v>Single</v>
      </c>
      <c r="AL972" t="str">
        <f>tbl_OriginalData[[#This Row],[Education_Level]]</f>
        <v>Bachelor's</v>
      </c>
      <c r="AM972" t="str">
        <f>tbl_OriginalData[[#This Row],[Occupation]]</f>
        <v>Middle</v>
      </c>
      <c r="AN972" t="s">
        <v>2180</v>
      </c>
      <c r="AO972" t="s">
        <v>61</v>
      </c>
      <c r="AP972" t="str">
        <f>tbl_OriginalData[[#This Row],[Purchase_Category]]</f>
        <v>Hotels</v>
      </c>
      <c r="AQ972" s="4">
        <f>tbl_OriginalData[[#This Row],[Purchase_Amount]]</f>
        <v>207.24</v>
      </c>
      <c r="AR972">
        <f>tbl_OriginalData[[#This Row],[Frequency_of_Purchase]]</f>
        <v>9</v>
      </c>
      <c r="AS972" t="str">
        <f>tbl_OriginalData[[#This Row],[Purchase_Channel]]</f>
        <v>Online</v>
      </c>
      <c r="AT972">
        <f>tbl_OriginalData[[#This Row],[Brand_Loyalty]]</f>
        <v>2</v>
      </c>
      <c r="AU972">
        <f>tbl_OriginalData[[#This Row],[Product_Rating]]</f>
        <v>2</v>
      </c>
      <c r="AV972">
        <f>tbl_OriginalData[[#This Row],[Time_Spent_on_Product_Research(hours)]]*60</f>
        <v>0</v>
      </c>
      <c r="AW972" t="str">
        <f>tbl_OriginalData[[#This Row],[Social_Media_Influence]]</f>
        <v>Low</v>
      </c>
      <c r="AX972" t="str">
        <f>tbl_OriginalData[[#This Row],[Discount_Sensitivity]]</f>
        <v>Not Sensitive</v>
      </c>
      <c r="AY972" s="3">
        <f>tbl_OriginalData[[#This Row],[Return_Rate]]/tbl_OriginalData[[#This Row],[Frequency_of_Purchase]]</f>
        <v>0</v>
      </c>
      <c r="AZ972">
        <f>tbl_OriginalData[[#This Row],[Customer_Satisfaction]]</f>
        <v>6</v>
      </c>
      <c r="BA972" t="str">
        <f>tbl_OriginalData[[#This Row],[Engagement_with_Ads]]</f>
        <v>None</v>
      </c>
      <c r="BB972" t="str">
        <f>tbl_OriginalData[[#This Row],[Device_Used_for_Shopping]]</f>
        <v>Desktop</v>
      </c>
      <c r="BC972" t="str">
        <f>tbl_OriginalData[[#This Row],[Payment_Method]]</f>
        <v>Debit Card</v>
      </c>
      <c r="BD972" s="1">
        <f>tbl_OriginalData[[#This Row],[Time_of_Purchase]]</f>
        <v>45424</v>
      </c>
      <c r="BE972" t="str">
        <f>IF(tbl_OriginalData[[#This Row],[Discount_Used]]=TRUE,"Yes","No")</f>
        <v>Yes</v>
      </c>
      <c r="BF972" t="str">
        <f>IF(tbl_OriginalData[[#This Row],[Customer_Loyalty_Program_Member]]=TRUE,"Yes","No")</f>
        <v>No</v>
      </c>
      <c r="BG972" t="str">
        <f>tbl_OriginalData[[#This Row],[Purchase_Intent]]</f>
        <v>Impulsive</v>
      </c>
      <c r="BH972" t="str">
        <f>tbl_OriginalData[[#This Row],[Shipping_Preference]]</f>
        <v>No Preference</v>
      </c>
      <c r="BI972">
        <f>tbl_OriginalData[[#This Row],[Time_to_Decision]]</f>
        <v>3</v>
      </c>
      <c r="BJ972" t="s">
        <v>167</v>
      </c>
      <c r="BK972" t="s">
        <v>63</v>
      </c>
      <c r="BL972" t="s">
        <v>2524</v>
      </c>
    </row>
    <row r="973" spans="1:64">
      <c r="A973" t="s">
        <v>2181</v>
      </c>
      <c r="B973">
        <v>43</v>
      </c>
      <c r="C973" t="s">
        <v>50</v>
      </c>
      <c r="D973" t="s">
        <v>51</v>
      </c>
      <c r="E973" t="s">
        <v>92</v>
      </c>
      <c r="F973" t="s">
        <v>52</v>
      </c>
      <c r="G973" t="s">
        <v>34</v>
      </c>
      <c r="H973" t="s">
        <v>2182</v>
      </c>
      <c r="I973" t="s">
        <v>38</v>
      </c>
      <c r="J973">
        <v>141.63</v>
      </c>
      <c r="K973">
        <v>3</v>
      </c>
      <c r="L973" t="s">
        <v>94</v>
      </c>
      <c r="M973">
        <v>4</v>
      </c>
      <c r="N973">
        <v>1</v>
      </c>
      <c r="O973">
        <v>1</v>
      </c>
      <c r="P973" t="s">
        <v>40</v>
      </c>
      <c r="Q973" t="s">
        <v>41</v>
      </c>
      <c r="R973">
        <v>1</v>
      </c>
      <c r="S973">
        <v>8</v>
      </c>
      <c r="T973" t="s">
        <v>69</v>
      </c>
      <c r="U973" t="s">
        <v>70</v>
      </c>
      <c r="V973" t="s">
        <v>102</v>
      </c>
      <c r="W973" s="1">
        <v>45576</v>
      </c>
      <c r="X973" t="b">
        <v>1</v>
      </c>
      <c r="Y973" t="b">
        <v>1</v>
      </c>
      <c r="Z973" t="s">
        <v>89</v>
      </c>
      <c r="AA973" t="s">
        <v>77</v>
      </c>
      <c r="AB973">
        <v>11</v>
      </c>
      <c r="AF973" t="str">
        <f>tbl_OriginalData[[#This Row],[Customer_ID]]</f>
        <v>78-091-8662</v>
      </c>
      <c r="AG973">
        <f>tbl_OriginalData[[#This Row],[Age]]</f>
        <v>43</v>
      </c>
      <c r="AH973" t="str" cm="1">
        <f t="array" ref="AH97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73" t="str">
        <f>tbl_OriginalData[[#This Row],[Gender]]</f>
        <v>Male</v>
      </c>
      <c r="AJ973" t="str">
        <f>tbl_OriginalData[[#This Row],[Income_Level]]</f>
        <v>High</v>
      </c>
      <c r="AK973" t="str">
        <f>tbl_OriginalData[[#This Row],[Marital_Status]]</f>
        <v>Divorced</v>
      </c>
      <c r="AL973" t="str">
        <f>tbl_OriginalData[[#This Row],[Education_Level]]</f>
        <v>High School</v>
      </c>
      <c r="AM973" t="str">
        <f>tbl_OriginalData[[#This Row],[Occupation]]</f>
        <v>Middle</v>
      </c>
      <c r="AN973" t="s">
        <v>2182</v>
      </c>
      <c r="AO973" t="s">
        <v>90</v>
      </c>
      <c r="AP973" t="str">
        <f>tbl_OriginalData[[#This Row],[Purchase_Category]]</f>
        <v>Gardening &amp; Outdoors</v>
      </c>
      <c r="AQ973" s="4">
        <f>tbl_OriginalData[[#This Row],[Purchase_Amount]]</f>
        <v>141.63</v>
      </c>
      <c r="AR973">
        <f>tbl_OriginalData[[#This Row],[Frequency_of_Purchase]]</f>
        <v>3</v>
      </c>
      <c r="AS973" t="str">
        <f>tbl_OriginalData[[#This Row],[Purchase_Channel]]</f>
        <v>Online</v>
      </c>
      <c r="AT973">
        <f>tbl_OriginalData[[#This Row],[Brand_Loyalty]]</f>
        <v>4</v>
      </c>
      <c r="AU973">
        <f>tbl_OriginalData[[#This Row],[Product_Rating]]</f>
        <v>1</v>
      </c>
      <c r="AV973">
        <f>tbl_OriginalData[[#This Row],[Time_Spent_on_Product_Research(hours)]]*60</f>
        <v>60</v>
      </c>
      <c r="AW973" t="str">
        <f>tbl_OriginalData[[#This Row],[Social_Media_Influence]]</f>
        <v>None</v>
      </c>
      <c r="AX973" t="str">
        <f>tbl_OriginalData[[#This Row],[Discount_Sensitivity]]</f>
        <v>Somewhat Sensitive</v>
      </c>
      <c r="AY973" s="3">
        <f>tbl_OriginalData[[#This Row],[Return_Rate]]/tbl_OriginalData[[#This Row],[Frequency_of_Purchase]]</f>
        <v>0.33333333333333331</v>
      </c>
      <c r="AZ973">
        <f>tbl_OriginalData[[#This Row],[Customer_Satisfaction]]</f>
        <v>8</v>
      </c>
      <c r="BA973" t="str">
        <f>tbl_OriginalData[[#This Row],[Engagement_with_Ads]]</f>
        <v>Low</v>
      </c>
      <c r="BB973" t="str">
        <f>tbl_OriginalData[[#This Row],[Device_Used_for_Shopping]]</f>
        <v>Smartphone</v>
      </c>
      <c r="BC973" t="str">
        <f>tbl_OriginalData[[#This Row],[Payment_Method]]</f>
        <v>Cash</v>
      </c>
      <c r="BD973" s="1">
        <f>tbl_OriginalData[[#This Row],[Time_of_Purchase]]</f>
        <v>45576</v>
      </c>
      <c r="BE973" t="str">
        <f>IF(tbl_OriginalData[[#This Row],[Discount_Used]]=TRUE,"Yes","No")</f>
        <v>Yes</v>
      </c>
      <c r="BF973" t="str">
        <f>IF(tbl_OriginalData[[#This Row],[Customer_Loyalty_Program_Member]]=TRUE,"Yes","No")</f>
        <v>Yes</v>
      </c>
      <c r="BG973" t="str">
        <f>tbl_OriginalData[[#This Row],[Purchase_Intent]]</f>
        <v>Planned</v>
      </c>
      <c r="BH973" t="str">
        <f>tbl_OriginalData[[#This Row],[Shipping_Preference]]</f>
        <v>Express</v>
      </c>
      <c r="BI973">
        <f>tbl_OriginalData[[#This Row],[Time_to_Decision]]</f>
        <v>11</v>
      </c>
      <c r="BJ973" t="s">
        <v>79</v>
      </c>
      <c r="BK973" t="s">
        <v>80</v>
      </c>
      <c r="BL973" t="s">
        <v>2524</v>
      </c>
    </row>
    <row r="974" spans="1:64">
      <c r="A974" t="s">
        <v>2183</v>
      </c>
      <c r="B974">
        <v>30</v>
      </c>
      <c r="C974" t="s">
        <v>50</v>
      </c>
      <c r="D974" t="s">
        <v>51</v>
      </c>
      <c r="E974" t="s">
        <v>82</v>
      </c>
      <c r="F974" t="s">
        <v>36</v>
      </c>
      <c r="G974" t="s">
        <v>51</v>
      </c>
      <c r="H974" t="s">
        <v>2184</v>
      </c>
      <c r="I974" t="s">
        <v>75</v>
      </c>
      <c r="J974">
        <v>244.47</v>
      </c>
      <c r="K974">
        <v>5</v>
      </c>
      <c r="L974" t="s">
        <v>94</v>
      </c>
      <c r="M974">
        <v>3</v>
      </c>
      <c r="N974">
        <v>4</v>
      </c>
      <c r="O974">
        <v>1</v>
      </c>
      <c r="P974" t="s">
        <v>51</v>
      </c>
      <c r="Q974" t="s">
        <v>101</v>
      </c>
      <c r="R974">
        <v>1</v>
      </c>
      <c r="S974">
        <v>5</v>
      </c>
      <c r="T974" t="s">
        <v>69</v>
      </c>
      <c r="U974" t="s">
        <v>70</v>
      </c>
      <c r="V974" t="s">
        <v>102</v>
      </c>
      <c r="W974" s="1">
        <v>45466</v>
      </c>
      <c r="X974" t="b">
        <v>0</v>
      </c>
      <c r="Y974" t="b">
        <v>0</v>
      </c>
      <c r="Z974" t="s">
        <v>72</v>
      </c>
      <c r="AA974" t="s">
        <v>45</v>
      </c>
      <c r="AB974">
        <v>4</v>
      </c>
      <c r="AF974" t="str">
        <f>tbl_OriginalData[[#This Row],[Customer_ID]]</f>
        <v>62-720-2922</v>
      </c>
      <c r="AG974">
        <f>tbl_OriginalData[[#This Row],[Age]]</f>
        <v>30</v>
      </c>
      <c r="AH974" t="str" cm="1">
        <f t="array" ref="AH97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74" t="str">
        <f>tbl_OriginalData[[#This Row],[Gender]]</f>
        <v>Male</v>
      </c>
      <c r="AJ974" t="str">
        <f>tbl_OriginalData[[#This Row],[Income_Level]]</f>
        <v>High</v>
      </c>
      <c r="AK974" t="str">
        <f>tbl_OriginalData[[#This Row],[Marital_Status]]</f>
        <v>Widowed</v>
      </c>
      <c r="AL974" t="str">
        <f>tbl_OriginalData[[#This Row],[Education_Level]]</f>
        <v>Bachelor's</v>
      </c>
      <c r="AM974" t="str">
        <f>tbl_OriginalData[[#This Row],[Occupation]]</f>
        <v>High</v>
      </c>
      <c r="AN974" t="s">
        <v>2184</v>
      </c>
      <c r="AO974" t="s">
        <v>1605</v>
      </c>
      <c r="AP974" t="str">
        <f>tbl_OriginalData[[#This Row],[Purchase_Category]]</f>
        <v>Home Appliances</v>
      </c>
      <c r="AQ974" s="4">
        <f>tbl_OriginalData[[#This Row],[Purchase_Amount]]</f>
        <v>244.47</v>
      </c>
      <c r="AR974">
        <f>tbl_OriginalData[[#This Row],[Frequency_of_Purchase]]</f>
        <v>5</v>
      </c>
      <c r="AS974" t="str">
        <f>tbl_OriginalData[[#This Row],[Purchase_Channel]]</f>
        <v>Online</v>
      </c>
      <c r="AT974">
        <f>tbl_OriginalData[[#This Row],[Brand_Loyalty]]</f>
        <v>3</v>
      </c>
      <c r="AU974">
        <f>tbl_OriginalData[[#This Row],[Product_Rating]]</f>
        <v>4</v>
      </c>
      <c r="AV974">
        <f>tbl_OriginalData[[#This Row],[Time_Spent_on_Product_Research(hours)]]*60</f>
        <v>60</v>
      </c>
      <c r="AW974" t="str">
        <f>tbl_OriginalData[[#This Row],[Social_Media_Influence]]</f>
        <v>High</v>
      </c>
      <c r="AX974" t="str">
        <f>tbl_OriginalData[[#This Row],[Discount_Sensitivity]]</f>
        <v>Very Sensitive</v>
      </c>
      <c r="AY974" s="3">
        <f>tbl_OriginalData[[#This Row],[Return_Rate]]/tbl_OriginalData[[#This Row],[Frequency_of_Purchase]]</f>
        <v>0.2</v>
      </c>
      <c r="AZ974">
        <f>tbl_OriginalData[[#This Row],[Customer_Satisfaction]]</f>
        <v>5</v>
      </c>
      <c r="BA974" t="str">
        <f>tbl_OriginalData[[#This Row],[Engagement_with_Ads]]</f>
        <v>Low</v>
      </c>
      <c r="BB974" t="str">
        <f>tbl_OriginalData[[#This Row],[Device_Used_for_Shopping]]</f>
        <v>Smartphone</v>
      </c>
      <c r="BC974" t="str">
        <f>tbl_OriginalData[[#This Row],[Payment_Method]]</f>
        <v>Cash</v>
      </c>
      <c r="BD974" s="1">
        <f>tbl_OriginalData[[#This Row],[Time_of_Purchase]]</f>
        <v>45466</v>
      </c>
      <c r="BE974" t="str">
        <f>IF(tbl_OriginalData[[#This Row],[Discount_Used]]=TRUE,"Yes","No")</f>
        <v>No</v>
      </c>
      <c r="BF974" t="str">
        <f>IF(tbl_OriginalData[[#This Row],[Customer_Loyalty_Program_Member]]=TRUE,"Yes","No")</f>
        <v>No</v>
      </c>
      <c r="BG974" t="str">
        <f>tbl_OriginalData[[#This Row],[Purchase_Intent]]</f>
        <v>Impulsive</v>
      </c>
      <c r="BH974" t="str">
        <f>tbl_OriginalData[[#This Row],[Shipping_Preference]]</f>
        <v>No Preference</v>
      </c>
      <c r="BI974">
        <f>tbl_OriginalData[[#This Row],[Time_to_Decision]]</f>
        <v>4</v>
      </c>
      <c r="BJ974" t="s">
        <v>104</v>
      </c>
      <c r="BK974" t="s">
        <v>63</v>
      </c>
      <c r="BL974" t="s">
        <v>2525</v>
      </c>
    </row>
    <row r="975" spans="1:64">
      <c r="A975" t="s">
        <v>2186</v>
      </c>
      <c r="B975">
        <v>30</v>
      </c>
      <c r="C975" t="s">
        <v>50</v>
      </c>
      <c r="D975" t="s">
        <v>34</v>
      </c>
      <c r="E975" t="s">
        <v>92</v>
      </c>
      <c r="F975" t="s">
        <v>36</v>
      </c>
      <c r="G975" t="s">
        <v>34</v>
      </c>
      <c r="H975" t="s">
        <v>2187</v>
      </c>
      <c r="I975" t="s">
        <v>156</v>
      </c>
      <c r="J975">
        <v>431.78</v>
      </c>
      <c r="K975">
        <v>12</v>
      </c>
      <c r="L975" t="s">
        <v>94</v>
      </c>
      <c r="M975">
        <v>1</v>
      </c>
      <c r="N975">
        <v>3</v>
      </c>
      <c r="O975">
        <v>1</v>
      </c>
      <c r="P975" t="s">
        <v>56</v>
      </c>
      <c r="Q975" t="s">
        <v>101</v>
      </c>
      <c r="R975">
        <v>1</v>
      </c>
      <c r="S975">
        <v>8</v>
      </c>
      <c r="T975" t="s">
        <v>69</v>
      </c>
      <c r="U975" t="s">
        <v>70</v>
      </c>
      <c r="V975" t="s">
        <v>58</v>
      </c>
      <c r="W975" s="1">
        <v>45337</v>
      </c>
      <c r="X975" t="b">
        <v>1</v>
      </c>
      <c r="Y975" t="b">
        <v>0</v>
      </c>
      <c r="Z975" t="s">
        <v>72</v>
      </c>
      <c r="AA975" t="s">
        <v>45</v>
      </c>
      <c r="AB975">
        <v>7</v>
      </c>
      <c r="AF975" t="str">
        <f>tbl_OriginalData[[#This Row],[Customer_ID]]</f>
        <v>21-808-2293</v>
      </c>
      <c r="AG975">
        <f>tbl_OriginalData[[#This Row],[Age]]</f>
        <v>30</v>
      </c>
      <c r="AH975" t="str" cm="1">
        <f t="array" ref="AH97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75" t="str">
        <f>tbl_OriginalData[[#This Row],[Gender]]</f>
        <v>Male</v>
      </c>
      <c r="AJ975" t="str">
        <f>tbl_OriginalData[[#This Row],[Income_Level]]</f>
        <v>Middle</v>
      </c>
      <c r="AK975" t="str">
        <f>tbl_OriginalData[[#This Row],[Marital_Status]]</f>
        <v>Divorced</v>
      </c>
      <c r="AL975" t="str">
        <f>tbl_OriginalData[[#This Row],[Education_Level]]</f>
        <v>Bachelor's</v>
      </c>
      <c r="AM975" t="str">
        <f>tbl_OriginalData[[#This Row],[Occupation]]</f>
        <v>Middle</v>
      </c>
      <c r="AN975" t="s">
        <v>2187</v>
      </c>
      <c r="AO975" t="s">
        <v>85</v>
      </c>
      <c r="AP975" t="str">
        <f>tbl_OriginalData[[#This Row],[Purchase_Category]]</f>
        <v>Toys &amp; Games</v>
      </c>
      <c r="AQ975" s="4">
        <f>tbl_OriginalData[[#This Row],[Purchase_Amount]]</f>
        <v>431.78</v>
      </c>
      <c r="AR975">
        <f>tbl_OriginalData[[#This Row],[Frequency_of_Purchase]]</f>
        <v>12</v>
      </c>
      <c r="AS975" t="str">
        <f>tbl_OriginalData[[#This Row],[Purchase_Channel]]</f>
        <v>Online</v>
      </c>
      <c r="AT975">
        <f>tbl_OriginalData[[#This Row],[Brand_Loyalty]]</f>
        <v>1</v>
      </c>
      <c r="AU975">
        <f>tbl_OriginalData[[#This Row],[Product_Rating]]</f>
        <v>3</v>
      </c>
      <c r="AV975">
        <f>tbl_OriginalData[[#This Row],[Time_Spent_on_Product_Research(hours)]]*60</f>
        <v>60</v>
      </c>
      <c r="AW975" t="str">
        <f>tbl_OriginalData[[#This Row],[Social_Media_Influence]]</f>
        <v>Medium</v>
      </c>
      <c r="AX975" t="str">
        <f>tbl_OriginalData[[#This Row],[Discount_Sensitivity]]</f>
        <v>Very Sensitive</v>
      </c>
      <c r="AY975" s="3">
        <f>tbl_OriginalData[[#This Row],[Return_Rate]]/tbl_OriginalData[[#This Row],[Frequency_of_Purchase]]</f>
        <v>8.3333333333333329E-2</v>
      </c>
      <c r="AZ975">
        <f>tbl_OriginalData[[#This Row],[Customer_Satisfaction]]</f>
        <v>8</v>
      </c>
      <c r="BA975" t="str">
        <f>tbl_OriginalData[[#This Row],[Engagement_with_Ads]]</f>
        <v>Low</v>
      </c>
      <c r="BB975" t="str">
        <f>tbl_OriginalData[[#This Row],[Device_Used_for_Shopping]]</f>
        <v>Smartphone</v>
      </c>
      <c r="BC975" t="str">
        <f>tbl_OriginalData[[#This Row],[Payment_Method]]</f>
        <v>PayPal</v>
      </c>
      <c r="BD975" s="1">
        <f>tbl_OriginalData[[#This Row],[Time_of_Purchase]]</f>
        <v>45337</v>
      </c>
      <c r="BE975" t="str">
        <f>IF(tbl_OriginalData[[#This Row],[Discount_Used]]=TRUE,"Yes","No")</f>
        <v>Yes</v>
      </c>
      <c r="BF975" t="str">
        <f>IF(tbl_OriginalData[[#This Row],[Customer_Loyalty_Program_Member]]=TRUE,"Yes","No")</f>
        <v>No</v>
      </c>
      <c r="BG975" t="str">
        <f>tbl_OriginalData[[#This Row],[Purchase_Intent]]</f>
        <v>Impulsive</v>
      </c>
      <c r="BH975" t="str">
        <f>tbl_OriginalData[[#This Row],[Shipping_Preference]]</f>
        <v>No Preference</v>
      </c>
      <c r="BI975">
        <f>tbl_OriginalData[[#This Row],[Time_to_Decision]]</f>
        <v>7</v>
      </c>
      <c r="BJ975" t="s">
        <v>158</v>
      </c>
      <c r="BK975" t="s">
        <v>48</v>
      </c>
      <c r="BL975" t="s">
        <v>2524</v>
      </c>
    </row>
    <row r="976" spans="1:64">
      <c r="A976" t="s">
        <v>2188</v>
      </c>
      <c r="B976">
        <v>37</v>
      </c>
      <c r="C976" t="s">
        <v>33</v>
      </c>
      <c r="D976" t="s">
        <v>34</v>
      </c>
      <c r="E976" t="s">
        <v>35</v>
      </c>
      <c r="F976" t="s">
        <v>66</v>
      </c>
      <c r="G976" t="s">
        <v>51</v>
      </c>
      <c r="H976" t="s">
        <v>2189</v>
      </c>
      <c r="I976" t="s">
        <v>306</v>
      </c>
      <c r="J976">
        <v>303.08999999999997</v>
      </c>
      <c r="K976">
        <v>2</v>
      </c>
      <c r="L976" t="s">
        <v>94</v>
      </c>
      <c r="M976">
        <v>2</v>
      </c>
      <c r="N976">
        <v>5</v>
      </c>
      <c r="O976">
        <v>1</v>
      </c>
      <c r="P976" t="s">
        <v>40</v>
      </c>
      <c r="Q976" t="s">
        <v>101</v>
      </c>
      <c r="R976">
        <v>2</v>
      </c>
      <c r="S976">
        <v>9</v>
      </c>
      <c r="T976" t="s">
        <v>40</v>
      </c>
      <c r="U976" t="s">
        <v>42</v>
      </c>
      <c r="V976" t="s">
        <v>76</v>
      </c>
      <c r="W976" s="1">
        <v>45301</v>
      </c>
      <c r="X976" t="b">
        <v>0</v>
      </c>
      <c r="Y976" t="b">
        <v>0</v>
      </c>
      <c r="Z976" t="s">
        <v>72</v>
      </c>
      <c r="AA976" t="s">
        <v>45</v>
      </c>
      <c r="AB976">
        <v>11</v>
      </c>
      <c r="AF976" t="str">
        <f>tbl_OriginalData[[#This Row],[Customer_ID]]</f>
        <v>22-022-9256</v>
      </c>
      <c r="AG976">
        <f>tbl_OriginalData[[#This Row],[Age]]</f>
        <v>37</v>
      </c>
      <c r="AH976" t="str" cm="1">
        <f t="array" ref="AH97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76" t="str">
        <f>tbl_OriginalData[[#This Row],[Gender]]</f>
        <v>Female</v>
      </c>
      <c r="AJ976" t="str">
        <f>tbl_OriginalData[[#This Row],[Income_Level]]</f>
        <v>Middle</v>
      </c>
      <c r="AK976" t="str">
        <f>tbl_OriginalData[[#This Row],[Marital_Status]]</f>
        <v>Married</v>
      </c>
      <c r="AL976" t="str">
        <f>tbl_OriginalData[[#This Row],[Education_Level]]</f>
        <v>Master's</v>
      </c>
      <c r="AM976" t="str">
        <f>tbl_OriginalData[[#This Row],[Occupation]]</f>
        <v>High</v>
      </c>
      <c r="AN976" t="s">
        <v>2189</v>
      </c>
      <c r="AO976" t="s">
        <v>61</v>
      </c>
      <c r="AP976" t="str">
        <f>tbl_OriginalData[[#This Row],[Purchase_Category]]</f>
        <v>Jewelry &amp; Accessories</v>
      </c>
      <c r="AQ976" s="4">
        <f>tbl_OriginalData[[#This Row],[Purchase_Amount]]</f>
        <v>303.08999999999997</v>
      </c>
      <c r="AR976">
        <f>tbl_OriginalData[[#This Row],[Frequency_of_Purchase]]</f>
        <v>2</v>
      </c>
      <c r="AS976" t="str">
        <f>tbl_OriginalData[[#This Row],[Purchase_Channel]]</f>
        <v>Online</v>
      </c>
      <c r="AT976">
        <f>tbl_OriginalData[[#This Row],[Brand_Loyalty]]</f>
        <v>2</v>
      </c>
      <c r="AU976">
        <f>tbl_OriginalData[[#This Row],[Product_Rating]]</f>
        <v>5</v>
      </c>
      <c r="AV976">
        <f>tbl_OriginalData[[#This Row],[Time_Spent_on_Product_Research(hours)]]*60</f>
        <v>60</v>
      </c>
      <c r="AW976" t="str">
        <f>tbl_OriginalData[[#This Row],[Social_Media_Influence]]</f>
        <v>None</v>
      </c>
      <c r="AX976" t="str">
        <f>tbl_OriginalData[[#This Row],[Discount_Sensitivity]]</f>
        <v>Very Sensitive</v>
      </c>
      <c r="AY976" s="3">
        <f>tbl_OriginalData[[#This Row],[Return_Rate]]/tbl_OriginalData[[#This Row],[Frequency_of_Purchase]]</f>
        <v>1</v>
      </c>
      <c r="AZ976">
        <f>tbl_OriginalData[[#This Row],[Customer_Satisfaction]]</f>
        <v>9</v>
      </c>
      <c r="BA976" t="str">
        <f>tbl_OriginalData[[#This Row],[Engagement_with_Ads]]</f>
        <v>None</v>
      </c>
      <c r="BB976" t="str">
        <f>tbl_OriginalData[[#This Row],[Device_Used_for_Shopping]]</f>
        <v>Tablet</v>
      </c>
      <c r="BC976" t="str">
        <f>tbl_OriginalData[[#This Row],[Payment_Method]]</f>
        <v>Other</v>
      </c>
      <c r="BD976" s="1">
        <f>tbl_OriginalData[[#This Row],[Time_of_Purchase]]</f>
        <v>45301</v>
      </c>
      <c r="BE976" t="str">
        <f>IF(tbl_OriginalData[[#This Row],[Discount_Used]]=TRUE,"Yes","No")</f>
        <v>No</v>
      </c>
      <c r="BF976" t="str">
        <f>IF(tbl_OriginalData[[#This Row],[Customer_Loyalty_Program_Member]]=TRUE,"Yes","No")</f>
        <v>No</v>
      </c>
      <c r="BG976" t="str">
        <f>tbl_OriginalData[[#This Row],[Purchase_Intent]]</f>
        <v>Impulsive</v>
      </c>
      <c r="BH976" t="str">
        <f>tbl_OriginalData[[#This Row],[Shipping_Preference]]</f>
        <v>No Preference</v>
      </c>
      <c r="BI976">
        <f>tbl_OriginalData[[#This Row],[Time_to_Decision]]</f>
        <v>11</v>
      </c>
      <c r="BJ976" t="s">
        <v>86</v>
      </c>
      <c r="BK976" t="s">
        <v>48</v>
      </c>
      <c r="BL976" t="s">
        <v>2524</v>
      </c>
    </row>
    <row r="977" spans="1:64">
      <c r="A977" t="s">
        <v>2190</v>
      </c>
      <c r="B977">
        <v>40</v>
      </c>
      <c r="C977" t="s">
        <v>50</v>
      </c>
      <c r="D977" t="s">
        <v>51</v>
      </c>
      <c r="E977" t="s">
        <v>35</v>
      </c>
      <c r="F977" t="s">
        <v>36</v>
      </c>
      <c r="G977" t="s">
        <v>51</v>
      </c>
      <c r="H977" t="s">
        <v>2191</v>
      </c>
      <c r="I977" t="s">
        <v>242</v>
      </c>
      <c r="J977">
        <v>341.24</v>
      </c>
      <c r="K977">
        <v>9</v>
      </c>
      <c r="L977" t="s">
        <v>39</v>
      </c>
      <c r="M977">
        <v>5</v>
      </c>
      <c r="N977">
        <v>5</v>
      </c>
      <c r="O977">
        <v>2</v>
      </c>
      <c r="P977" t="s">
        <v>69</v>
      </c>
      <c r="Q977" t="s">
        <v>41</v>
      </c>
      <c r="R977">
        <v>1</v>
      </c>
      <c r="S977">
        <v>3</v>
      </c>
      <c r="T977" t="s">
        <v>40</v>
      </c>
      <c r="U977" t="s">
        <v>42</v>
      </c>
      <c r="V977" t="s">
        <v>43</v>
      </c>
      <c r="W977" s="1">
        <v>45614</v>
      </c>
      <c r="X977" t="b">
        <v>1</v>
      </c>
      <c r="Y977" t="b">
        <v>0</v>
      </c>
      <c r="Z977" t="s">
        <v>44</v>
      </c>
      <c r="AA977" t="s">
        <v>60</v>
      </c>
      <c r="AB977">
        <v>4</v>
      </c>
      <c r="AF977" t="str">
        <f>tbl_OriginalData[[#This Row],[Customer_ID]]</f>
        <v>96-772-7220</v>
      </c>
      <c r="AG977">
        <f>tbl_OriginalData[[#This Row],[Age]]</f>
        <v>40</v>
      </c>
      <c r="AH977" t="str" cm="1">
        <f t="array" ref="AH97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77" t="str">
        <f>tbl_OriginalData[[#This Row],[Gender]]</f>
        <v>Male</v>
      </c>
      <c r="AJ977" t="str">
        <f>tbl_OriginalData[[#This Row],[Income_Level]]</f>
        <v>High</v>
      </c>
      <c r="AK977" t="str">
        <f>tbl_OriginalData[[#This Row],[Marital_Status]]</f>
        <v>Married</v>
      </c>
      <c r="AL977" t="str">
        <f>tbl_OriginalData[[#This Row],[Education_Level]]</f>
        <v>Bachelor's</v>
      </c>
      <c r="AM977" t="str">
        <f>tbl_OriginalData[[#This Row],[Occupation]]</f>
        <v>High</v>
      </c>
      <c r="AN977" t="s">
        <v>2191</v>
      </c>
      <c r="AO977" t="s">
        <v>90</v>
      </c>
      <c r="AP977" t="str">
        <f>tbl_OriginalData[[#This Row],[Purchase_Category]]</f>
        <v>Travel &amp; Leisure (Flights</v>
      </c>
      <c r="AQ977" s="4">
        <f>tbl_OriginalData[[#This Row],[Purchase_Amount]]</f>
        <v>341.24</v>
      </c>
      <c r="AR977">
        <f>tbl_OriginalData[[#This Row],[Frequency_of_Purchase]]</f>
        <v>9</v>
      </c>
      <c r="AS977" t="str">
        <f>tbl_OriginalData[[#This Row],[Purchase_Channel]]</f>
        <v>Mixed</v>
      </c>
      <c r="AT977">
        <f>tbl_OriginalData[[#This Row],[Brand_Loyalty]]</f>
        <v>5</v>
      </c>
      <c r="AU977">
        <f>tbl_OriginalData[[#This Row],[Product_Rating]]</f>
        <v>5</v>
      </c>
      <c r="AV977">
        <f>tbl_OriginalData[[#This Row],[Time_Spent_on_Product_Research(hours)]]*60</f>
        <v>120</v>
      </c>
      <c r="AW977" t="str">
        <f>tbl_OriginalData[[#This Row],[Social_Media_Influence]]</f>
        <v>Low</v>
      </c>
      <c r="AX977" t="str">
        <f>tbl_OriginalData[[#This Row],[Discount_Sensitivity]]</f>
        <v>Somewhat Sensitive</v>
      </c>
      <c r="AY977" s="3">
        <f>tbl_OriginalData[[#This Row],[Return_Rate]]/tbl_OriginalData[[#This Row],[Frequency_of_Purchase]]</f>
        <v>0.1111111111111111</v>
      </c>
      <c r="AZ977">
        <f>tbl_OriginalData[[#This Row],[Customer_Satisfaction]]</f>
        <v>3</v>
      </c>
      <c r="BA977" t="str">
        <f>tbl_OriginalData[[#This Row],[Engagement_with_Ads]]</f>
        <v>None</v>
      </c>
      <c r="BB977" t="str">
        <f>tbl_OriginalData[[#This Row],[Device_Used_for_Shopping]]</f>
        <v>Tablet</v>
      </c>
      <c r="BC977" t="str">
        <f>tbl_OriginalData[[#This Row],[Payment_Method]]</f>
        <v>Credit Card</v>
      </c>
      <c r="BD977" s="1">
        <f>tbl_OriginalData[[#This Row],[Time_of_Purchase]]</f>
        <v>45614</v>
      </c>
      <c r="BE977" t="str">
        <f>IF(tbl_OriginalData[[#This Row],[Discount_Used]]=TRUE,"Yes","No")</f>
        <v>Yes</v>
      </c>
      <c r="BF977" t="str">
        <f>IF(tbl_OriginalData[[#This Row],[Customer_Loyalty_Program_Member]]=TRUE,"Yes","No")</f>
        <v>No</v>
      </c>
      <c r="BG977" t="str">
        <f>tbl_OriginalData[[#This Row],[Purchase_Intent]]</f>
        <v>Need-based</v>
      </c>
      <c r="BH977" t="str">
        <f>tbl_OriginalData[[#This Row],[Shipping_Preference]]</f>
        <v>Standard</v>
      </c>
      <c r="BI977">
        <f>tbl_OriginalData[[#This Row],[Time_to_Decision]]</f>
        <v>4</v>
      </c>
      <c r="BJ977" t="s">
        <v>177</v>
      </c>
      <c r="BK977" t="s">
        <v>80</v>
      </c>
      <c r="BL977" t="s">
        <v>2524</v>
      </c>
    </row>
    <row r="978" spans="1:64">
      <c r="A978" t="s">
        <v>2192</v>
      </c>
      <c r="B978">
        <v>30</v>
      </c>
      <c r="C978" t="s">
        <v>33</v>
      </c>
      <c r="D978" t="s">
        <v>34</v>
      </c>
      <c r="E978" t="s">
        <v>92</v>
      </c>
      <c r="F978" t="s">
        <v>66</v>
      </c>
      <c r="G978" t="s">
        <v>51</v>
      </c>
      <c r="H978" t="s">
        <v>2193</v>
      </c>
      <c r="I978" t="s">
        <v>147</v>
      </c>
      <c r="J978">
        <v>211.39</v>
      </c>
      <c r="K978">
        <v>10</v>
      </c>
      <c r="L978" t="s">
        <v>94</v>
      </c>
      <c r="M978">
        <v>4</v>
      </c>
      <c r="N978">
        <v>5</v>
      </c>
      <c r="O978">
        <v>1</v>
      </c>
      <c r="P978" t="s">
        <v>56</v>
      </c>
      <c r="Q978" t="s">
        <v>57</v>
      </c>
      <c r="R978">
        <v>0</v>
      </c>
      <c r="S978">
        <v>1</v>
      </c>
      <c r="T978" t="s">
        <v>69</v>
      </c>
      <c r="U978" t="s">
        <v>95</v>
      </c>
      <c r="V978" t="s">
        <v>76</v>
      </c>
      <c r="W978" s="1">
        <v>45422</v>
      </c>
      <c r="X978" t="b">
        <v>1</v>
      </c>
      <c r="Y978" t="b">
        <v>0</v>
      </c>
      <c r="Z978" t="s">
        <v>89</v>
      </c>
      <c r="AA978" t="s">
        <v>77</v>
      </c>
      <c r="AB978">
        <v>1</v>
      </c>
      <c r="AF978" t="str">
        <f>tbl_OriginalData[[#This Row],[Customer_ID]]</f>
        <v>25-866-7286</v>
      </c>
      <c r="AG978">
        <f>tbl_OriginalData[[#This Row],[Age]]</f>
        <v>30</v>
      </c>
      <c r="AH978" t="str" cm="1">
        <f t="array" ref="AH97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78" t="str">
        <f>tbl_OriginalData[[#This Row],[Gender]]</f>
        <v>Female</v>
      </c>
      <c r="AJ978" t="str">
        <f>tbl_OriginalData[[#This Row],[Income_Level]]</f>
        <v>Middle</v>
      </c>
      <c r="AK978" t="str">
        <f>tbl_OriginalData[[#This Row],[Marital_Status]]</f>
        <v>Divorced</v>
      </c>
      <c r="AL978" t="str">
        <f>tbl_OriginalData[[#This Row],[Education_Level]]</f>
        <v>Master's</v>
      </c>
      <c r="AM978" t="str">
        <f>tbl_OriginalData[[#This Row],[Occupation]]</f>
        <v>High</v>
      </c>
      <c r="AN978" t="s">
        <v>2193</v>
      </c>
      <c r="AO978" t="s">
        <v>287</v>
      </c>
      <c r="AP978" t="str">
        <f>tbl_OriginalData[[#This Row],[Purchase_Category]]</f>
        <v>Electronics</v>
      </c>
      <c r="AQ978" s="4">
        <f>tbl_OriginalData[[#This Row],[Purchase_Amount]]</f>
        <v>211.39</v>
      </c>
      <c r="AR978">
        <f>tbl_OriginalData[[#This Row],[Frequency_of_Purchase]]</f>
        <v>10</v>
      </c>
      <c r="AS978" t="str">
        <f>tbl_OriginalData[[#This Row],[Purchase_Channel]]</f>
        <v>Online</v>
      </c>
      <c r="AT978">
        <f>tbl_OriginalData[[#This Row],[Brand_Loyalty]]</f>
        <v>4</v>
      </c>
      <c r="AU978">
        <f>tbl_OriginalData[[#This Row],[Product_Rating]]</f>
        <v>5</v>
      </c>
      <c r="AV978">
        <f>tbl_OriginalData[[#This Row],[Time_Spent_on_Product_Research(hours)]]*60</f>
        <v>60</v>
      </c>
      <c r="AW978" t="str">
        <f>tbl_OriginalData[[#This Row],[Social_Media_Influence]]</f>
        <v>Medium</v>
      </c>
      <c r="AX978" t="str">
        <f>tbl_OriginalData[[#This Row],[Discount_Sensitivity]]</f>
        <v>Not Sensitive</v>
      </c>
      <c r="AY978" s="3">
        <f>tbl_OriginalData[[#This Row],[Return_Rate]]/tbl_OriginalData[[#This Row],[Frequency_of_Purchase]]</f>
        <v>0</v>
      </c>
      <c r="AZ978">
        <f>tbl_OriginalData[[#This Row],[Customer_Satisfaction]]</f>
        <v>1</v>
      </c>
      <c r="BA978" t="str">
        <f>tbl_OriginalData[[#This Row],[Engagement_with_Ads]]</f>
        <v>Low</v>
      </c>
      <c r="BB978" t="str">
        <f>tbl_OriginalData[[#This Row],[Device_Used_for_Shopping]]</f>
        <v>Desktop</v>
      </c>
      <c r="BC978" t="str">
        <f>tbl_OriginalData[[#This Row],[Payment_Method]]</f>
        <v>Other</v>
      </c>
      <c r="BD978" s="1">
        <f>tbl_OriginalData[[#This Row],[Time_of_Purchase]]</f>
        <v>45422</v>
      </c>
      <c r="BE978" t="str">
        <f>IF(tbl_OriginalData[[#This Row],[Discount_Used]]=TRUE,"Yes","No")</f>
        <v>Yes</v>
      </c>
      <c r="BF978" t="str">
        <f>IF(tbl_OriginalData[[#This Row],[Customer_Loyalty_Program_Member]]=TRUE,"Yes","No")</f>
        <v>No</v>
      </c>
      <c r="BG978" t="str">
        <f>tbl_OriginalData[[#This Row],[Purchase_Intent]]</f>
        <v>Planned</v>
      </c>
      <c r="BH978" t="str">
        <f>tbl_OriginalData[[#This Row],[Shipping_Preference]]</f>
        <v>Express</v>
      </c>
      <c r="BI978">
        <f>tbl_OriginalData[[#This Row],[Time_to_Decision]]</f>
        <v>1</v>
      </c>
      <c r="BJ978" t="s">
        <v>167</v>
      </c>
      <c r="BK978" t="s">
        <v>63</v>
      </c>
      <c r="BL978" t="s">
        <v>2525</v>
      </c>
    </row>
    <row r="979" spans="1:64">
      <c r="A979" t="s">
        <v>2194</v>
      </c>
      <c r="B979">
        <v>39</v>
      </c>
      <c r="C979" t="s">
        <v>33</v>
      </c>
      <c r="D979" t="s">
        <v>34</v>
      </c>
      <c r="E979" t="s">
        <v>35</v>
      </c>
      <c r="F979" t="s">
        <v>36</v>
      </c>
      <c r="G979" t="s">
        <v>34</v>
      </c>
      <c r="H979" t="s">
        <v>1463</v>
      </c>
      <c r="I979" t="s">
        <v>147</v>
      </c>
      <c r="J979">
        <v>379.21</v>
      </c>
      <c r="K979">
        <v>9</v>
      </c>
      <c r="L979" t="s">
        <v>39</v>
      </c>
      <c r="M979">
        <v>1</v>
      </c>
      <c r="N979">
        <v>5</v>
      </c>
      <c r="O979">
        <v>1</v>
      </c>
      <c r="P979" t="s">
        <v>69</v>
      </c>
      <c r="Q979" t="s">
        <v>41</v>
      </c>
      <c r="R979">
        <v>1</v>
      </c>
      <c r="S979">
        <v>1</v>
      </c>
      <c r="T979" t="s">
        <v>51</v>
      </c>
      <c r="U979" t="s">
        <v>70</v>
      </c>
      <c r="V979" t="s">
        <v>58</v>
      </c>
      <c r="W979" s="1">
        <v>45553</v>
      </c>
      <c r="X979" t="b">
        <v>1</v>
      </c>
      <c r="Y979" t="b">
        <v>1</v>
      </c>
      <c r="Z979" t="s">
        <v>72</v>
      </c>
      <c r="AA979" t="s">
        <v>45</v>
      </c>
      <c r="AB979">
        <v>1</v>
      </c>
      <c r="AF979" t="str">
        <f>tbl_OriginalData[[#This Row],[Customer_ID]]</f>
        <v>72-694-4159</v>
      </c>
      <c r="AG979">
        <f>tbl_OriginalData[[#This Row],[Age]]</f>
        <v>39</v>
      </c>
      <c r="AH979" t="str" cm="1">
        <f t="array" ref="AH97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79" t="str">
        <f>tbl_OriginalData[[#This Row],[Gender]]</f>
        <v>Female</v>
      </c>
      <c r="AJ979" t="str">
        <f>tbl_OriginalData[[#This Row],[Income_Level]]</f>
        <v>Middle</v>
      </c>
      <c r="AK979" t="str">
        <f>tbl_OriginalData[[#This Row],[Marital_Status]]</f>
        <v>Married</v>
      </c>
      <c r="AL979" t="str">
        <f>tbl_OriginalData[[#This Row],[Education_Level]]</f>
        <v>Bachelor's</v>
      </c>
      <c r="AM979" t="str">
        <f>tbl_OriginalData[[#This Row],[Occupation]]</f>
        <v>Middle</v>
      </c>
      <c r="AN979" t="s">
        <v>1463</v>
      </c>
      <c r="AO979" t="s">
        <v>90</v>
      </c>
      <c r="AP979" t="str">
        <f>tbl_OriginalData[[#This Row],[Purchase_Category]]</f>
        <v>Electronics</v>
      </c>
      <c r="AQ979" s="4">
        <f>tbl_OriginalData[[#This Row],[Purchase_Amount]]</f>
        <v>379.21</v>
      </c>
      <c r="AR979">
        <f>tbl_OriginalData[[#This Row],[Frequency_of_Purchase]]</f>
        <v>9</v>
      </c>
      <c r="AS979" t="str">
        <f>tbl_OriginalData[[#This Row],[Purchase_Channel]]</f>
        <v>Mixed</v>
      </c>
      <c r="AT979">
        <f>tbl_OriginalData[[#This Row],[Brand_Loyalty]]</f>
        <v>1</v>
      </c>
      <c r="AU979">
        <f>tbl_OriginalData[[#This Row],[Product_Rating]]</f>
        <v>5</v>
      </c>
      <c r="AV979">
        <f>tbl_OriginalData[[#This Row],[Time_Spent_on_Product_Research(hours)]]*60</f>
        <v>60</v>
      </c>
      <c r="AW979" t="str">
        <f>tbl_OriginalData[[#This Row],[Social_Media_Influence]]</f>
        <v>Low</v>
      </c>
      <c r="AX979" t="str">
        <f>tbl_OriginalData[[#This Row],[Discount_Sensitivity]]</f>
        <v>Somewhat Sensitive</v>
      </c>
      <c r="AY979" s="3">
        <f>tbl_OriginalData[[#This Row],[Return_Rate]]/tbl_OriginalData[[#This Row],[Frequency_of_Purchase]]</f>
        <v>0.1111111111111111</v>
      </c>
      <c r="AZ979">
        <f>tbl_OriginalData[[#This Row],[Customer_Satisfaction]]</f>
        <v>1</v>
      </c>
      <c r="BA979" t="str">
        <f>tbl_OriginalData[[#This Row],[Engagement_with_Ads]]</f>
        <v>High</v>
      </c>
      <c r="BB979" t="str">
        <f>tbl_OriginalData[[#This Row],[Device_Used_for_Shopping]]</f>
        <v>Smartphone</v>
      </c>
      <c r="BC979" t="str">
        <f>tbl_OriginalData[[#This Row],[Payment_Method]]</f>
        <v>PayPal</v>
      </c>
      <c r="BD979" s="1">
        <f>tbl_OriginalData[[#This Row],[Time_of_Purchase]]</f>
        <v>45553</v>
      </c>
      <c r="BE979" t="str">
        <f>IF(tbl_OriginalData[[#This Row],[Discount_Used]]=TRUE,"Yes","No")</f>
        <v>Yes</v>
      </c>
      <c r="BF979" t="str">
        <f>IF(tbl_OriginalData[[#This Row],[Customer_Loyalty_Program_Member]]=TRUE,"Yes","No")</f>
        <v>Yes</v>
      </c>
      <c r="BG979" t="str">
        <f>tbl_OriginalData[[#This Row],[Purchase_Intent]]</f>
        <v>Impulsive</v>
      </c>
      <c r="BH979" t="str">
        <f>tbl_OriginalData[[#This Row],[Shipping_Preference]]</f>
        <v>No Preference</v>
      </c>
      <c r="BI979">
        <f>tbl_OriginalData[[#This Row],[Time_to_Decision]]</f>
        <v>1</v>
      </c>
      <c r="BJ979" t="s">
        <v>172</v>
      </c>
      <c r="BK979" t="s">
        <v>115</v>
      </c>
      <c r="BL979" t="s">
        <v>2524</v>
      </c>
    </row>
    <row r="980" spans="1:64">
      <c r="A980" t="s">
        <v>2195</v>
      </c>
      <c r="B980">
        <v>46</v>
      </c>
      <c r="C980" t="s">
        <v>33</v>
      </c>
      <c r="D980" t="s">
        <v>51</v>
      </c>
      <c r="E980" t="s">
        <v>82</v>
      </c>
      <c r="F980" t="s">
        <v>66</v>
      </c>
      <c r="G980" t="s">
        <v>51</v>
      </c>
      <c r="H980" t="s">
        <v>2196</v>
      </c>
      <c r="I980" t="s">
        <v>112</v>
      </c>
      <c r="J980">
        <v>309.52999999999997</v>
      </c>
      <c r="K980">
        <v>8</v>
      </c>
      <c r="L980" t="s">
        <v>39</v>
      </c>
      <c r="M980">
        <v>2</v>
      </c>
      <c r="N980">
        <v>1</v>
      </c>
      <c r="O980">
        <v>1</v>
      </c>
      <c r="P980" t="s">
        <v>40</v>
      </c>
      <c r="Q980" t="s">
        <v>101</v>
      </c>
      <c r="R980">
        <v>2</v>
      </c>
      <c r="S980">
        <v>6</v>
      </c>
      <c r="T980" t="s">
        <v>40</v>
      </c>
      <c r="U980" t="s">
        <v>70</v>
      </c>
      <c r="V980" t="s">
        <v>102</v>
      </c>
      <c r="W980" s="1">
        <v>45396</v>
      </c>
      <c r="X980" t="b">
        <v>0</v>
      </c>
      <c r="Y980" t="b">
        <v>1</v>
      </c>
      <c r="Z980" t="s">
        <v>89</v>
      </c>
      <c r="AA980" t="s">
        <v>60</v>
      </c>
      <c r="AB980">
        <v>5</v>
      </c>
      <c r="AF980" t="str">
        <f>tbl_OriginalData[[#This Row],[Customer_ID]]</f>
        <v>10-079-8237</v>
      </c>
      <c r="AG980">
        <f>tbl_OriginalData[[#This Row],[Age]]</f>
        <v>46</v>
      </c>
      <c r="AH980" t="str" cm="1">
        <f t="array" ref="AH98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80" t="str">
        <f>tbl_OriginalData[[#This Row],[Gender]]</f>
        <v>Female</v>
      </c>
      <c r="AJ980" t="str">
        <f>tbl_OriginalData[[#This Row],[Income_Level]]</f>
        <v>High</v>
      </c>
      <c r="AK980" t="str">
        <f>tbl_OriginalData[[#This Row],[Marital_Status]]</f>
        <v>Widowed</v>
      </c>
      <c r="AL980" t="str">
        <f>tbl_OriginalData[[#This Row],[Education_Level]]</f>
        <v>Master's</v>
      </c>
      <c r="AM980" t="str">
        <f>tbl_OriginalData[[#This Row],[Occupation]]</f>
        <v>High</v>
      </c>
      <c r="AN980" t="s">
        <v>2196</v>
      </c>
      <c r="AO980" t="s">
        <v>61</v>
      </c>
      <c r="AP980" t="str">
        <f>tbl_OriginalData[[#This Row],[Purchase_Category]]</f>
        <v>Mobile Accessories</v>
      </c>
      <c r="AQ980" s="4">
        <f>tbl_OriginalData[[#This Row],[Purchase_Amount]]</f>
        <v>309.52999999999997</v>
      </c>
      <c r="AR980">
        <f>tbl_OriginalData[[#This Row],[Frequency_of_Purchase]]</f>
        <v>8</v>
      </c>
      <c r="AS980" t="str">
        <f>tbl_OriginalData[[#This Row],[Purchase_Channel]]</f>
        <v>Mixed</v>
      </c>
      <c r="AT980">
        <f>tbl_OriginalData[[#This Row],[Brand_Loyalty]]</f>
        <v>2</v>
      </c>
      <c r="AU980">
        <f>tbl_OriginalData[[#This Row],[Product_Rating]]</f>
        <v>1</v>
      </c>
      <c r="AV980">
        <f>tbl_OriginalData[[#This Row],[Time_Spent_on_Product_Research(hours)]]*60</f>
        <v>60</v>
      </c>
      <c r="AW980" t="str">
        <f>tbl_OriginalData[[#This Row],[Social_Media_Influence]]</f>
        <v>None</v>
      </c>
      <c r="AX980" t="str">
        <f>tbl_OriginalData[[#This Row],[Discount_Sensitivity]]</f>
        <v>Very Sensitive</v>
      </c>
      <c r="AY980" s="3">
        <f>tbl_OriginalData[[#This Row],[Return_Rate]]/tbl_OriginalData[[#This Row],[Frequency_of_Purchase]]</f>
        <v>0.25</v>
      </c>
      <c r="AZ980">
        <f>tbl_OriginalData[[#This Row],[Customer_Satisfaction]]</f>
        <v>6</v>
      </c>
      <c r="BA980" t="str">
        <f>tbl_OriginalData[[#This Row],[Engagement_with_Ads]]</f>
        <v>None</v>
      </c>
      <c r="BB980" t="str">
        <f>tbl_OriginalData[[#This Row],[Device_Used_for_Shopping]]</f>
        <v>Smartphone</v>
      </c>
      <c r="BC980" t="str">
        <f>tbl_OriginalData[[#This Row],[Payment_Method]]</f>
        <v>Cash</v>
      </c>
      <c r="BD980" s="1">
        <f>tbl_OriginalData[[#This Row],[Time_of_Purchase]]</f>
        <v>45396</v>
      </c>
      <c r="BE980" t="str">
        <f>IF(tbl_OriginalData[[#This Row],[Discount_Used]]=TRUE,"Yes","No")</f>
        <v>No</v>
      </c>
      <c r="BF980" t="str">
        <f>IF(tbl_OriginalData[[#This Row],[Customer_Loyalty_Program_Member]]=TRUE,"Yes","No")</f>
        <v>Yes</v>
      </c>
      <c r="BG980" t="str">
        <f>tbl_OriginalData[[#This Row],[Purchase_Intent]]</f>
        <v>Planned</v>
      </c>
      <c r="BH980" t="str">
        <f>tbl_OriginalData[[#This Row],[Shipping_Preference]]</f>
        <v>Standard</v>
      </c>
      <c r="BI980">
        <f>tbl_OriginalData[[#This Row],[Time_to_Decision]]</f>
        <v>5</v>
      </c>
      <c r="BJ980" t="s">
        <v>62</v>
      </c>
      <c r="BK980" t="s">
        <v>63</v>
      </c>
      <c r="BL980" t="s">
        <v>2524</v>
      </c>
    </row>
    <row r="981" spans="1:64">
      <c r="A981" t="s">
        <v>2197</v>
      </c>
      <c r="B981">
        <v>48</v>
      </c>
      <c r="C981" t="s">
        <v>50</v>
      </c>
      <c r="D981" t="s">
        <v>34</v>
      </c>
      <c r="E981" t="s">
        <v>92</v>
      </c>
      <c r="F981" t="s">
        <v>66</v>
      </c>
      <c r="G981" t="s">
        <v>51</v>
      </c>
      <c r="H981" t="s">
        <v>2198</v>
      </c>
      <c r="I981" t="s">
        <v>98</v>
      </c>
      <c r="J981">
        <v>359.45</v>
      </c>
      <c r="K981">
        <v>6</v>
      </c>
      <c r="L981" t="s">
        <v>94</v>
      </c>
      <c r="M981">
        <v>4</v>
      </c>
      <c r="N981">
        <v>1</v>
      </c>
      <c r="O981">
        <v>2</v>
      </c>
      <c r="P981" t="s">
        <v>69</v>
      </c>
      <c r="Q981" t="s">
        <v>57</v>
      </c>
      <c r="R981">
        <v>1</v>
      </c>
      <c r="S981">
        <v>8</v>
      </c>
      <c r="T981" t="s">
        <v>56</v>
      </c>
      <c r="U981" t="s">
        <v>95</v>
      </c>
      <c r="V981" t="s">
        <v>76</v>
      </c>
      <c r="W981" s="1">
        <v>45357</v>
      </c>
      <c r="X981" t="b">
        <v>0</v>
      </c>
      <c r="Y981" t="b">
        <v>0</v>
      </c>
      <c r="Z981" t="s">
        <v>72</v>
      </c>
      <c r="AA981" t="s">
        <v>60</v>
      </c>
      <c r="AB981">
        <v>11</v>
      </c>
      <c r="AF981" t="str">
        <f>tbl_OriginalData[[#This Row],[Customer_ID]]</f>
        <v>47-460-8015</v>
      </c>
      <c r="AG981">
        <f>tbl_OriginalData[[#This Row],[Age]]</f>
        <v>48</v>
      </c>
      <c r="AH981" t="str" cm="1">
        <f t="array" ref="AH98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81" t="str">
        <f>tbl_OriginalData[[#This Row],[Gender]]</f>
        <v>Male</v>
      </c>
      <c r="AJ981" t="str">
        <f>tbl_OriginalData[[#This Row],[Income_Level]]</f>
        <v>Middle</v>
      </c>
      <c r="AK981" t="str">
        <f>tbl_OriginalData[[#This Row],[Marital_Status]]</f>
        <v>Divorced</v>
      </c>
      <c r="AL981" t="str">
        <f>tbl_OriginalData[[#This Row],[Education_Level]]</f>
        <v>Master's</v>
      </c>
      <c r="AM981" t="str">
        <f>tbl_OriginalData[[#This Row],[Occupation]]</f>
        <v>High</v>
      </c>
      <c r="AN981" t="s">
        <v>2198</v>
      </c>
      <c r="AO981" t="s">
        <v>85</v>
      </c>
      <c r="AP981" t="str">
        <f>tbl_OriginalData[[#This Row],[Purchase_Category]]</f>
        <v>Books</v>
      </c>
      <c r="AQ981" s="4">
        <f>tbl_OriginalData[[#This Row],[Purchase_Amount]]</f>
        <v>359.45</v>
      </c>
      <c r="AR981">
        <f>tbl_OriginalData[[#This Row],[Frequency_of_Purchase]]</f>
        <v>6</v>
      </c>
      <c r="AS981" t="str">
        <f>tbl_OriginalData[[#This Row],[Purchase_Channel]]</f>
        <v>Online</v>
      </c>
      <c r="AT981">
        <f>tbl_OriginalData[[#This Row],[Brand_Loyalty]]</f>
        <v>4</v>
      </c>
      <c r="AU981">
        <f>tbl_OriginalData[[#This Row],[Product_Rating]]</f>
        <v>1</v>
      </c>
      <c r="AV981">
        <f>tbl_OriginalData[[#This Row],[Time_Spent_on_Product_Research(hours)]]*60</f>
        <v>120</v>
      </c>
      <c r="AW981" t="str">
        <f>tbl_OriginalData[[#This Row],[Social_Media_Influence]]</f>
        <v>Low</v>
      </c>
      <c r="AX981" t="str">
        <f>tbl_OriginalData[[#This Row],[Discount_Sensitivity]]</f>
        <v>Not Sensitive</v>
      </c>
      <c r="AY981" s="3">
        <f>tbl_OriginalData[[#This Row],[Return_Rate]]/tbl_OriginalData[[#This Row],[Frequency_of_Purchase]]</f>
        <v>0.16666666666666666</v>
      </c>
      <c r="AZ981">
        <f>tbl_OriginalData[[#This Row],[Customer_Satisfaction]]</f>
        <v>8</v>
      </c>
      <c r="BA981" t="str">
        <f>tbl_OriginalData[[#This Row],[Engagement_with_Ads]]</f>
        <v>Medium</v>
      </c>
      <c r="BB981" t="str">
        <f>tbl_OriginalData[[#This Row],[Device_Used_for_Shopping]]</f>
        <v>Desktop</v>
      </c>
      <c r="BC981" t="str">
        <f>tbl_OriginalData[[#This Row],[Payment_Method]]</f>
        <v>Other</v>
      </c>
      <c r="BD981" s="1">
        <f>tbl_OriginalData[[#This Row],[Time_of_Purchase]]</f>
        <v>45357</v>
      </c>
      <c r="BE981" t="str">
        <f>IF(tbl_OriginalData[[#This Row],[Discount_Used]]=TRUE,"Yes","No")</f>
        <v>No</v>
      </c>
      <c r="BF981" t="str">
        <f>IF(tbl_OriginalData[[#This Row],[Customer_Loyalty_Program_Member]]=TRUE,"Yes","No")</f>
        <v>No</v>
      </c>
      <c r="BG981" t="str">
        <f>tbl_OriginalData[[#This Row],[Purchase_Intent]]</f>
        <v>Impulsive</v>
      </c>
      <c r="BH981" t="str">
        <f>tbl_OriginalData[[#This Row],[Shipping_Preference]]</f>
        <v>Standard</v>
      </c>
      <c r="BI981">
        <f>tbl_OriginalData[[#This Row],[Time_to_Decision]]</f>
        <v>11</v>
      </c>
      <c r="BJ981" t="s">
        <v>47</v>
      </c>
      <c r="BK981" t="s">
        <v>48</v>
      </c>
      <c r="BL981" t="s">
        <v>2524</v>
      </c>
    </row>
    <row r="982" spans="1:64">
      <c r="A982" t="s">
        <v>2199</v>
      </c>
      <c r="B982">
        <v>20</v>
      </c>
      <c r="C982" t="s">
        <v>33</v>
      </c>
      <c r="D982" t="s">
        <v>51</v>
      </c>
      <c r="E982" t="s">
        <v>82</v>
      </c>
      <c r="F982" t="s">
        <v>52</v>
      </c>
      <c r="G982" t="s">
        <v>34</v>
      </c>
      <c r="H982" t="s">
        <v>2200</v>
      </c>
      <c r="I982" t="s">
        <v>135</v>
      </c>
      <c r="J982">
        <v>479.62</v>
      </c>
      <c r="K982">
        <v>8</v>
      </c>
      <c r="L982" t="s">
        <v>55</v>
      </c>
      <c r="M982">
        <v>3</v>
      </c>
      <c r="N982">
        <v>1</v>
      </c>
      <c r="O982">
        <v>2</v>
      </c>
      <c r="P982" t="s">
        <v>51</v>
      </c>
      <c r="Q982" t="s">
        <v>57</v>
      </c>
      <c r="R982">
        <v>1</v>
      </c>
      <c r="S982">
        <v>3</v>
      </c>
      <c r="T982" t="s">
        <v>69</v>
      </c>
      <c r="U982" t="s">
        <v>42</v>
      </c>
      <c r="V982" t="s">
        <v>76</v>
      </c>
      <c r="W982" s="1">
        <v>45401</v>
      </c>
      <c r="X982" t="b">
        <v>0</v>
      </c>
      <c r="Y982" t="b">
        <v>0</v>
      </c>
      <c r="Z982" t="s">
        <v>89</v>
      </c>
      <c r="AA982" t="s">
        <v>77</v>
      </c>
      <c r="AB982">
        <v>10</v>
      </c>
      <c r="AF982" t="str">
        <f>tbl_OriginalData[[#This Row],[Customer_ID]]</f>
        <v>06-061-0023</v>
      </c>
      <c r="AG982">
        <f>tbl_OriginalData[[#This Row],[Age]]</f>
        <v>20</v>
      </c>
      <c r="AH982" t="str" cm="1">
        <f t="array" ref="AH98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82" t="str">
        <f>tbl_OriginalData[[#This Row],[Gender]]</f>
        <v>Female</v>
      </c>
      <c r="AJ982" t="str">
        <f>tbl_OriginalData[[#This Row],[Income_Level]]</f>
        <v>High</v>
      </c>
      <c r="AK982" t="str">
        <f>tbl_OriginalData[[#This Row],[Marital_Status]]</f>
        <v>Widowed</v>
      </c>
      <c r="AL982" t="str">
        <f>tbl_OriginalData[[#This Row],[Education_Level]]</f>
        <v>High School</v>
      </c>
      <c r="AM982" t="str">
        <f>tbl_OriginalData[[#This Row],[Occupation]]</f>
        <v>Middle</v>
      </c>
      <c r="AN982" t="s">
        <v>2200</v>
      </c>
      <c r="AO982" t="s">
        <v>2201</v>
      </c>
      <c r="AP982" t="str">
        <f>tbl_OriginalData[[#This Row],[Purchase_Category]]</f>
        <v>Hotels</v>
      </c>
      <c r="AQ982" s="4">
        <f>tbl_OriginalData[[#This Row],[Purchase_Amount]]</f>
        <v>479.62</v>
      </c>
      <c r="AR982">
        <f>tbl_OriginalData[[#This Row],[Frequency_of_Purchase]]</f>
        <v>8</v>
      </c>
      <c r="AS982" t="str">
        <f>tbl_OriginalData[[#This Row],[Purchase_Channel]]</f>
        <v>In-Store</v>
      </c>
      <c r="AT982">
        <f>tbl_OriginalData[[#This Row],[Brand_Loyalty]]</f>
        <v>3</v>
      </c>
      <c r="AU982">
        <f>tbl_OriginalData[[#This Row],[Product_Rating]]</f>
        <v>1</v>
      </c>
      <c r="AV982">
        <f>tbl_OriginalData[[#This Row],[Time_Spent_on_Product_Research(hours)]]*60</f>
        <v>120</v>
      </c>
      <c r="AW982" t="str">
        <f>tbl_OriginalData[[#This Row],[Social_Media_Influence]]</f>
        <v>High</v>
      </c>
      <c r="AX982" t="str">
        <f>tbl_OriginalData[[#This Row],[Discount_Sensitivity]]</f>
        <v>Not Sensitive</v>
      </c>
      <c r="AY982" s="3">
        <f>tbl_OriginalData[[#This Row],[Return_Rate]]/tbl_OriginalData[[#This Row],[Frequency_of_Purchase]]</f>
        <v>0.125</v>
      </c>
      <c r="AZ982">
        <f>tbl_OriginalData[[#This Row],[Customer_Satisfaction]]</f>
        <v>3</v>
      </c>
      <c r="BA982" t="str">
        <f>tbl_OriginalData[[#This Row],[Engagement_with_Ads]]</f>
        <v>Low</v>
      </c>
      <c r="BB982" t="str">
        <f>tbl_OriginalData[[#This Row],[Device_Used_for_Shopping]]</f>
        <v>Tablet</v>
      </c>
      <c r="BC982" t="str">
        <f>tbl_OriginalData[[#This Row],[Payment_Method]]</f>
        <v>Other</v>
      </c>
      <c r="BD982" s="1">
        <f>tbl_OriginalData[[#This Row],[Time_of_Purchase]]</f>
        <v>45401</v>
      </c>
      <c r="BE982" t="str">
        <f>IF(tbl_OriginalData[[#This Row],[Discount_Used]]=TRUE,"Yes","No")</f>
        <v>No</v>
      </c>
      <c r="BF982" t="str">
        <f>IF(tbl_OriginalData[[#This Row],[Customer_Loyalty_Program_Member]]=TRUE,"Yes","No")</f>
        <v>No</v>
      </c>
      <c r="BG982" t="str">
        <f>tbl_OriginalData[[#This Row],[Purchase_Intent]]</f>
        <v>Planned</v>
      </c>
      <c r="BH982" t="str">
        <f>tbl_OriginalData[[#This Row],[Shipping_Preference]]</f>
        <v>Express</v>
      </c>
      <c r="BI982">
        <f>tbl_OriginalData[[#This Row],[Time_to_Decision]]</f>
        <v>10</v>
      </c>
      <c r="BJ982" t="s">
        <v>62</v>
      </c>
      <c r="BK982" t="s">
        <v>63</v>
      </c>
      <c r="BL982" t="s">
        <v>2528</v>
      </c>
    </row>
    <row r="983" spans="1:64">
      <c r="A983" t="s">
        <v>2202</v>
      </c>
      <c r="B983">
        <v>34</v>
      </c>
      <c r="C983" t="s">
        <v>50</v>
      </c>
      <c r="D983" t="s">
        <v>51</v>
      </c>
      <c r="E983" t="s">
        <v>35</v>
      </c>
      <c r="F983" t="s">
        <v>36</v>
      </c>
      <c r="G983" t="s">
        <v>34</v>
      </c>
      <c r="H983" t="s">
        <v>2203</v>
      </c>
      <c r="I983" t="s">
        <v>147</v>
      </c>
      <c r="J983">
        <v>208.6</v>
      </c>
      <c r="K983">
        <v>2</v>
      </c>
      <c r="L983" t="s">
        <v>39</v>
      </c>
      <c r="M983">
        <v>5</v>
      </c>
      <c r="N983">
        <v>1</v>
      </c>
      <c r="O983">
        <v>2</v>
      </c>
      <c r="P983" t="s">
        <v>40</v>
      </c>
      <c r="Q983" t="s">
        <v>41</v>
      </c>
      <c r="R983">
        <v>0</v>
      </c>
      <c r="S983">
        <v>5</v>
      </c>
      <c r="T983" t="s">
        <v>51</v>
      </c>
      <c r="U983" t="s">
        <v>70</v>
      </c>
      <c r="V983" t="s">
        <v>43</v>
      </c>
      <c r="W983" s="1">
        <v>45351</v>
      </c>
      <c r="X983" t="b">
        <v>1</v>
      </c>
      <c r="Y983" t="b">
        <v>1</v>
      </c>
      <c r="Z983" t="s">
        <v>72</v>
      </c>
      <c r="AA983" t="s">
        <v>60</v>
      </c>
      <c r="AB983">
        <v>3</v>
      </c>
      <c r="AF983" t="str">
        <f>tbl_OriginalData[[#This Row],[Customer_ID]]</f>
        <v>80-487-2550</v>
      </c>
      <c r="AG983">
        <f>tbl_OriginalData[[#This Row],[Age]]</f>
        <v>34</v>
      </c>
      <c r="AH983" t="str" cm="1">
        <f t="array" ref="AH98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83" t="str">
        <f>tbl_OriginalData[[#This Row],[Gender]]</f>
        <v>Male</v>
      </c>
      <c r="AJ983" t="str">
        <f>tbl_OriginalData[[#This Row],[Income_Level]]</f>
        <v>High</v>
      </c>
      <c r="AK983" t="str">
        <f>tbl_OriginalData[[#This Row],[Marital_Status]]</f>
        <v>Married</v>
      </c>
      <c r="AL983" t="str">
        <f>tbl_OriginalData[[#This Row],[Education_Level]]</f>
        <v>Bachelor's</v>
      </c>
      <c r="AM983" t="str">
        <f>tbl_OriginalData[[#This Row],[Occupation]]</f>
        <v>Middle</v>
      </c>
      <c r="AN983" t="s">
        <v>2203</v>
      </c>
      <c r="AO983" t="s">
        <v>109</v>
      </c>
      <c r="AP983" t="str">
        <f>tbl_OriginalData[[#This Row],[Purchase_Category]]</f>
        <v>Electronics</v>
      </c>
      <c r="AQ983" s="4">
        <f>tbl_OriginalData[[#This Row],[Purchase_Amount]]</f>
        <v>208.6</v>
      </c>
      <c r="AR983">
        <f>tbl_OriginalData[[#This Row],[Frequency_of_Purchase]]</f>
        <v>2</v>
      </c>
      <c r="AS983" t="str">
        <f>tbl_OriginalData[[#This Row],[Purchase_Channel]]</f>
        <v>Mixed</v>
      </c>
      <c r="AT983">
        <f>tbl_OriginalData[[#This Row],[Brand_Loyalty]]</f>
        <v>5</v>
      </c>
      <c r="AU983">
        <f>tbl_OriginalData[[#This Row],[Product_Rating]]</f>
        <v>1</v>
      </c>
      <c r="AV983">
        <f>tbl_OriginalData[[#This Row],[Time_Spent_on_Product_Research(hours)]]*60</f>
        <v>120</v>
      </c>
      <c r="AW983" t="str">
        <f>tbl_OriginalData[[#This Row],[Social_Media_Influence]]</f>
        <v>None</v>
      </c>
      <c r="AX983" t="str">
        <f>tbl_OriginalData[[#This Row],[Discount_Sensitivity]]</f>
        <v>Somewhat Sensitive</v>
      </c>
      <c r="AY983" s="3">
        <f>tbl_OriginalData[[#This Row],[Return_Rate]]/tbl_OriginalData[[#This Row],[Frequency_of_Purchase]]</f>
        <v>0</v>
      </c>
      <c r="AZ983">
        <f>tbl_OriginalData[[#This Row],[Customer_Satisfaction]]</f>
        <v>5</v>
      </c>
      <c r="BA983" t="str">
        <f>tbl_OriginalData[[#This Row],[Engagement_with_Ads]]</f>
        <v>High</v>
      </c>
      <c r="BB983" t="str">
        <f>tbl_OriginalData[[#This Row],[Device_Used_for_Shopping]]</f>
        <v>Smartphone</v>
      </c>
      <c r="BC983" t="str">
        <f>tbl_OriginalData[[#This Row],[Payment_Method]]</f>
        <v>Credit Card</v>
      </c>
      <c r="BD983" s="1">
        <f>tbl_OriginalData[[#This Row],[Time_of_Purchase]]</f>
        <v>45351</v>
      </c>
      <c r="BE983" t="str">
        <f>IF(tbl_OriginalData[[#This Row],[Discount_Used]]=TRUE,"Yes","No")</f>
        <v>Yes</v>
      </c>
      <c r="BF983" t="str">
        <f>IF(tbl_OriginalData[[#This Row],[Customer_Loyalty_Program_Member]]=TRUE,"Yes","No")</f>
        <v>Yes</v>
      </c>
      <c r="BG983" t="str">
        <f>tbl_OriginalData[[#This Row],[Purchase_Intent]]</f>
        <v>Impulsive</v>
      </c>
      <c r="BH983" t="str">
        <f>tbl_OriginalData[[#This Row],[Shipping_Preference]]</f>
        <v>Standard</v>
      </c>
      <c r="BI983">
        <f>tbl_OriginalData[[#This Row],[Time_to_Decision]]</f>
        <v>3</v>
      </c>
      <c r="BJ983" t="s">
        <v>158</v>
      </c>
      <c r="BK983" t="s">
        <v>48</v>
      </c>
      <c r="BL983" t="s">
        <v>2526</v>
      </c>
    </row>
    <row r="984" spans="1:64">
      <c r="A984" t="s">
        <v>2204</v>
      </c>
      <c r="B984">
        <v>50</v>
      </c>
      <c r="C984" t="s">
        <v>33</v>
      </c>
      <c r="D984" t="s">
        <v>34</v>
      </c>
      <c r="E984" t="s">
        <v>65</v>
      </c>
      <c r="F984" t="s">
        <v>66</v>
      </c>
      <c r="G984" t="s">
        <v>51</v>
      </c>
      <c r="H984" t="s">
        <v>2205</v>
      </c>
      <c r="I984" t="s">
        <v>150</v>
      </c>
      <c r="J984">
        <v>180.21</v>
      </c>
      <c r="K984">
        <v>2</v>
      </c>
      <c r="L984" t="s">
        <v>39</v>
      </c>
      <c r="M984">
        <v>5</v>
      </c>
      <c r="N984">
        <v>5</v>
      </c>
      <c r="O984">
        <v>0</v>
      </c>
      <c r="P984" t="s">
        <v>40</v>
      </c>
      <c r="Q984" t="s">
        <v>101</v>
      </c>
      <c r="R984">
        <v>1</v>
      </c>
      <c r="S984">
        <v>1</v>
      </c>
      <c r="T984" t="s">
        <v>56</v>
      </c>
      <c r="U984" t="s">
        <v>95</v>
      </c>
      <c r="V984" t="s">
        <v>102</v>
      </c>
      <c r="W984" s="1">
        <v>45313</v>
      </c>
      <c r="X984" t="b">
        <v>0</v>
      </c>
      <c r="Y984" t="b">
        <v>1</v>
      </c>
      <c r="Z984" t="s">
        <v>44</v>
      </c>
      <c r="AA984" t="s">
        <v>77</v>
      </c>
      <c r="AB984">
        <v>14</v>
      </c>
      <c r="AF984" t="str">
        <f>tbl_OriginalData[[#This Row],[Customer_ID]]</f>
        <v>23-617-2637</v>
      </c>
      <c r="AG984">
        <f>tbl_OriginalData[[#This Row],[Age]]</f>
        <v>50</v>
      </c>
      <c r="AH984" t="str" cm="1">
        <f t="array" ref="AH98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84" t="str">
        <f>tbl_OriginalData[[#This Row],[Gender]]</f>
        <v>Female</v>
      </c>
      <c r="AJ984" t="str">
        <f>tbl_OriginalData[[#This Row],[Income_Level]]</f>
        <v>Middle</v>
      </c>
      <c r="AK984" t="str">
        <f>tbl_OriginalData[[#This Row],[Marital_Status]]</f>
        <v>Single</v>
      </c>
      <c r="AL984" t="str">
        <f>tbl_OriginalData[[#This Row],[Education_Level]]</f>
        <v>Master's</v>
      </c>
      <c r="AM984" t="str">
        <f>tbl_OriginalData[[#This Row],[Occupation]]</f>
        <v>High</v>
      </c>
      <c r="AN984" t="s">
        <v>2205</v>
      </c>
      <c r="AO984" t="s">
        <v>61</v>
      </c>
      <c r="AP984" t="str">
        <f>tbl_OriginalData[[#This Row],[Purchase_Category]]</f>
        <v>Software &amp; Apps</v>
      </c>
      <c r="AQ984" s="4">
        <f>tbl_OriginalData[[#This Row],[Purchase_Amount]]</f>
        <v>180.21</v>
      </c>
      <c r="AR984">
        <f>tbl_OriginalData[[#This Row],[Frequency_of_Purchase]]</f>
        <v>2</v>
      </c>
      <c r="AS984" t="str">
        <f>tbl_OriginalData[[#This Row],[Purchase_Channel]]</f>
        <v>Mixed</v>
      </c>
      <c r="AT984">
        <f>tbl_OriginalData[[#This Row],[Brand_Loyalty]]</f>
        <v>5</v>
      </c>
      <c r="AU984">
        <f>tbl_OriginalData[[#This Row],[Product_Rating]]</f>
        <v>5</v>
      </c>
      <c r="AV984">
        <f>tbl_OriginalData[[#This Row],[Time_Spent_on_Product_Research(hours)]]*60</f>
        <v>0</v>
      </c>
      <c r="AW984" t="str">
        <f>tbl_OriginalData[[#This Row],[Social_Media_Influence]]</f>
        <v>None</v>
      </c>
      <c r="AX984" t="str">
        <f>tbl_OriginalData[[#This Row],[Discount_Sensitivity]]</f>
        <v>Very Sensitive</v>
      </c>
      <c r="AY984" s="3">
        <f>tbl_OriginalData[[#This Row],[Return_Rate]]/tbl_OriginalData[[#This Row],[Frequency_of_Purchase]]</f>
        <v>0.5</v>
      </c>
      <c r="AZ984">
        <f>tbl_OriginalData[[#This Row],[Customer_Satisfaction]]</f>
        <v>1</v>
      </c>
      <c r="BA984" t="str">
        <f>tbl_OriginalData[[#This Row],[Engagement_with_Ads]]</f>
        <v>Medium</v>
      </c>
      <c r="BB984" t="str">
        <f>tbl_OriginalData[[#This Row],[Device_Used_for_Shopping]]</f>
        <v>Desktop</v>
      </c>
      <c r="BC984" t="str">
        <f>tbl_OriginalData[[#This Row],[Payment_Method]]</f>
        <v>Cash</v>
      </c>
      <c r="BD984" s="1">
        <f>tbl_OriginalData[[#This Row],[Time_of_Purchase]]</f>
        <v>45313</v>
      </c>
      <c r="BE984" t="str">
        <f>IF(tbl_OriginalData[[#This Row],[Discount_Used]]=TRUE,"Yes","No")</f>
        <v>No</v>
      </c>
      <c r="BF984" t="str">
        <f>IF(tbl_OriginalData[[#This Row],[Customer_Loyalty_Program_Member]]=TRUE,"Yes","No")</f>
        <v>Yes</v>
      </c>
      <c r="BG984" t="str">
        <f>tbl_OriginalData[[#This Row],[Purchase_Intent]]</f>
        <v>Need-based</v>
      </c>
      <c r="BH984" t="str">
        <f>tbl_OriginalData[[#This Row],[Shipping_Preference]]</f>
        <v>Express</v>
      </c>
      <c r="BI984">
        <f>tbl_OriginalData[[#This Row],[Time_to_Decision]]</f>
        <v>14</v>
      </c>
      <c r="BJ984" t="s">
        <v>86</v>
      </c>
      <c r="BK984" t="s">
        <v>48</v>
      </c>
      <c r="BL984" t="s">
        <v>2524</v>
      </c>
    </row>
    <row r="985" spans="1:64">
      <c r="A985" t="s">
        <v>2206</v>
      </c>
      <c r="B985">
        <v>25</v>
      </c>
      <c r="C985" t="s">
        <v>50</v>
      </c>
      <c r="D985" t="s">
        <v>34</v>
      </c>
      <c r="E985" t="s">
        <v>65</v>
      </c>
      <c r="F985" t="s">
        <v>52</v>
      </c>
      <c r="G985" t="s">
        <v>51</v>
      </c>
      <c r="H985" t="s">
        <v>2207</v>
      </c>
      <c r="I985" t="s">
        <v>147</v>
      </c>
      <c r="J985">
        <v>197.9</v>
      </c>
      <c r="K985">
        <v>3</v>
      </c>
      <c r="L985" t="s">
        <v>39</v>
      </c>
      <c r="M985">
        <v>2</v>
      </c>
      <c r="N985">
        <v>1</v>
      </c>
      <c r="O985">
        <v>2</v>
      </c>
      <c r="P985" t="s">
        <v>56</v>
      </c>
      <c r="Q985" t="s">
        <v>57</v>
      </c>
      <c r="R985">
        <v>0</v>
      </c>
      <c r="S985">
        <v>8</v>
      </c>
      <c r="T985" t="s">
        <v>51</v>
      </c>
      <c r="U985" t="s">
        <v>95</v>
      </c>
      <c r="V985" t="s">
        <v>71</v>
      </c>
      <c r="W985" s="1">
        <v>45309</v>
      </c>
      <c r="X985" t="b">
        <v>1</v>
      </c>
      <c r="Y985" t="b">
        <v>1</v>
      </c>
      <c r="Z985" t="s">
        <v>59</v>
      </c>
      <c r="AA985" t="s">
        <v>60</v>
      </c>
      <c r="AB985">
        <v>14</v>
      </c>
      <c r="AF985" t="str">
        <f>tbl_OriginalData[[#This Row],[Customer_ID]]</f>
        <v>60-005-5187</v>
      </c>
      <c r="AG985">
        <f>tbl_OriginalData[[#This Row],[Age]]</f>
        <v>25</v>
      </c>
      <c r="AH985" t="str" cm="1">
        <f t="array" ref="AH98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85" t="str">
        <f>tbl_OriginalData[[#This Row],[Gender]]</f>
        <v>Male</v>
      </c>
      <c r="AJ985" t="str">
        <f>tbl_OriginalData[[#This Row],[Income_Level]]</f>
        <v>Middle</v>
      </c>
      <c r="AK985" t="str">
        <f>tbl_OriginalData[[#This Row],[Marital_Status]]</f>
        <v>Single</v>
      </c>
      <c r="AL985" t="str">
        <f>tbl_OriginalData[[#This Row],[Education_Level]]</f>
        <v>High School</v>
      </c>
      <c r="AM985" t="str">
        <f>tbl_OriginalData[[#This Row],[Occupation]]</f>
        <v>High</v>
      </c>
      <c r="AN985" t="s">
        <v>2207</v>
      </c>
      <c r="AO985" t="s">
        <v>1713</v>
      </c>
      <c r="AP985" t="str">
        <f>tbl_OriginalData[[#This Row],[Purchase_Category]]</f>
        <v>Electronics</v>
      </c>
      <c r="AQ985" s="4">
        <f>tbl_OriginalData[[#This Row],[Purchase_Amount]]</f>
        <v>197.9</v>
      </c>
      <c r="AR985">
        <f>tbl_OriginalData[[#This Row],[Frequency_of_Purchase]]</f>
        <v>3</v>
      </c>
      <c r="AS985" t="str">
        <f>tbl_OriginalData[[#This Row],[Purchase_Channel]]</f>
        <v>Mixed</v>
      </c>
      <c r="AT985">
        <f>tbl_OriginalData[[#This Row],[Brand_Loyalty]]</f>
        <v>2</v>
      </c>
      <c r="AU985">
        <f>tbl_OriginalData[[#This Row],[Product_Rating]]</f>
        <v>1</v>
      </c>
      <c r="AV985">
        <f>tbl_OriginalData[[#This Row],[Time_Spent_on_Product_Research(hours)]]*60</f>
        <v>120</v>
      </c>
      <c r="AW985" t="str">
        <f>tbl_OriginalData[[#This Row],[Social_Media_Influence]]</f>
        <v>Medium</v>
      </c>
      <c r="AX985" t="str">
        <f>tbl_OriginalData[[#This Row],[Discount_Sensitivity]]</f>
        <v>Not Sensitive</v>
      </c>
      <c r="AY985" s="3">
        <f>tbl_OriginalData[[#This Row],[Return_Rate]]/tbl_OriginalData[[#This Row],[Frequency_of_Purchase]]</f>
        <v>0</v>
      </c>
      <c r="AZ985">
        <f>tbl_OriginalData[[#This Row],[Customer_Satisfaction]]</f>
        <v>8</v>
      </c>
      <c r="BA985" t="str">
        <f>tbl_OriginalData[[#This Row],[Engagement_with_Ads]]</f>
        <v>High</v>
      </c>
      <c r="BB985" t="str">
        <f>tbl_OriginalData[[#This Row],[Device_Used_for_Shopping]]</f>
        <v>Desktop</v>
      </c>
      <c r="BC985" t="str">
        <f>tbl_OriginalData[[#This Row],[Payment_Method]]</f>
        <v>Debit Card</v>
      </c>
      <c r="BD985" s="1">
        <f>tbl_OriginalData[[#This Row],[Time_of_Purchase]]</f>
        <v>45309</v>
      </c>
      <c r="BE985" t="str">
        <f>IF(tbl_OriginalData[[#This Row],[Discount_Used]]=TRUE,"Yes","No")</f>
        <v>Yes</v>
      </c>
      <c r="BF985" t="str">
        <f>IF(tbl_OriginalData[[#This Row],[Customer_Loyalty_Program_Member]]=TRUE,"Yes","No")</f>
        <v>Yes</v>
      </c>
      <c r="BG985" t="str">
        <f>tbl_OriginalData[[#This Row],[Purchase_Intent]]</f>
        <v>Wants-based</v>
      </c>
      <c r="BH985" t="str">
        <f>tbl_OriginalData[[#This Row],[Shipping_Preference]]</f>
        <v>Standard</v>
      </c>
      <c r="BI985">
        <f>tbl_OriginalData[[#This Row],[Time_to_Decision]]</f>
        <v>14</v>
      </c>
      <c r="BJ985" t="s">
        <v>86</v>
      </c>
      <c r="BK985" t="s">
        <v>48</v>
      </c>
      <c r="BL985" t="s">
        <v>2527</v>
      </c>
    </row>
    <row r="986" spans="1:64">
      <c r="A986" t="s">
        <v>2208</v>
      </c>
      <c r="B986">
        <v>49</v>
      </c>
      <c r="C986" t="s">
        <v>50</v>
      </c>
      <c r="D986" t="s">
        <v>34</v>
      </c>
      <c r="E986" t="s">
        <v>65</v>
      </c>
      <c r="F986" t="s">
        <v>36</v>
      </c>
      <c r="G986" t="s">
        <v>51</v>
      </c>
      <c r="H986" t="s">
        <v>2209</v>
      </c>
      <c r="I986" t="s">
        <v>75</v>
      </c>
      <c r="J986">
        <v>362.3</v>
      </c>
      <c r="K986">
        <v>7</v>
      </c>
      <c r="L986" t="s">
        <v>94</v>
      </c>
      <c r="M986">
        <v>4</v>
      </c>
      <c r="N986">
        <v>2</v>
      </c>
      <c r="O986">
        <v>0.2</v>
      </c>
      <c r="P986" t="s">
        <v>69</v>
      </c>
      <c r="Q986" t="s">
        <v>57</v>
      </c>
      <c r="R986">
        <v>0</v>
      </c>
      <c r="S986">
        <v>4</v>
      </c>
      <c r="T986" t="s">
        <v>69</v>
      </c>
      <c r="U986" t="s">
        <v>42</v>
      </c>
      <c r="V986" t="s">
        <v>76</v>
      </c>
      <c r="W986" s="1">
        <v>45565</v>
      </c>
      <c r="X986" t="b">
        <v>1</v>
      </c>
      <c r="Y986" t="b">
        <v>1</v>
      </c>
      <c r="Z986" t="s">
        <v>89</v>
      </c>
      <c r="AA986" t="s">
        <v>60</v>
      </c>
      <c r="AB986">
        <v>6</v>
      </c>
      <c r="AF986" t="str">
        <f>tbl_OriginalData[[#This Row],[Customer_ID]]</f>
        <v>24-371-5870</v>
      </c>
      <c r="AG986">
        <f>tbl_OriginalData[[#This Row],[Age]]</f>
        <v>49</v>
      </c>
      <c r="AH986" t="str" cm="1">
        <f t="array" ref="AH98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86" t="str">
        <f>tbl_OriginalData[[#This Row],[Gender]]</f>
        <v>Male</v>
      </c>
      <c r="AJ986" t="str">
        <f>tbl_OriginalData[[#This Row],[Income_Level]]</f>
        <v>Middle</v>
      </c>
      <c r="AK986" t="str">
        <f>tbl_OriginalData[[#This Row],[Marital_Status]]</f>
        <v>Single</v>
      </c>
      <c r="AL986" t="str">
        <f>tbl_OriginalData[[#This Row],[Education_Level]]</f>
        <v>Bachelor's</v>
      </c>
      <c r="AM986" t="str">
        <f>tbl_OriginalData[[#This Row],[Occupation]]</f>
        <v>High</v>
      </c>
      <c r="AN986" t="s">
        <v>2209</v>
      </c>
      <c r="AO986" t="s">
        <v>85</v>
      </c>
      <c r="AP986" t="str">
        <f>tbl_OriginalData[[#This Row],[Purchase_Category]]</f>
        <v>Home Appliances</v>
      </c>
      <c r="AQ986" s="4">
        <f>tbl_OriginalData[[#This Row],[Purchase_Amount]]</f>
        <v>362.3</v>
      </c>
      <c r="AR986">
        <f>tbl_OriginalData[[#This Row],[Frequency_of_Purchase]]</f>
        <v>7</v>
      </c>
      <c r="AS986" t="str">
        <f>tbl_OriginalData[[#This Row],[Purchase_Channel]]</f>
        <v>Online</v>
      </c>
      <c r="AT986">
        <f>tbl_OriginalData[[#This Row],[Brand_Loyalty]]</f>
        <v>4</v>
      </c>
      <c r="AU986">
        <f>tbl_OriginalData[[#This Row],[Product_Rating]]</f>
        <v>2</v>
      </c>
      <c r="AV986">
        <f>tbl_OriginalData[[#This Row],[Time_Spent_on_Product_Research(hours)]]*60</f>
        <v>12</v>
      </c>
      <c r="AW986" t="str">
        <f>tbl_OriginalData[[#This Row],[Social_Media_Influence]]</f>
        <v>Low</v>
      </c>
      <c r="AX986" t="str">
        <f>tbl_OriginalData[[#This Row],[Discount_Sensitivity]]</f>
        <v>Not Sensitive</v>
      </c>
      <c r="AY986" s="3">
        <f>tbl_OriginalData[[#This Row],[Return_Rate]]/tbl_OriginalData[[#This Row],[Frequency_of_Purchase]]</f>
        <v>0</v>
      </c>
      <c r="AZ986">
        <f>tbl_OriginalData[[#This Row],[Customer_Satisfaction]]</f>
        <v>4</v>
      </c>
      <c r="BA986" t="str">
        <f>tbl_OriginalData[[#This Row],[Engagement_with_Ads]]</f>
        <v>Low</v>
      </c>
      <c r="BB986" t="str">
        <f>tbl_OriginalData[[#This Row],[Device_Used_for_Shopping]]</f>
        <v>Tablet</v>
      </c>
      <c r="BC986" t="str">
        <f>tbl_OriginalData[[#This Row],[Payment_Method]]</f>
        <v>Other</v>
      </c>
      <c r="BD986" s="1">
        <f>tbl_OriginalData[[#This Row],[Time_of_Purchase]]</f>
        <v>45565</v>
      </c>
      <c r="BE986" t="str">
        <f>IF(tbl_OriginalData[[#This Row],[Discount_Used]]=TRUE,"Yes","No")</f>
        <v>Yes</v>
      </c>
      <c r="BF986" t="str">
        <f>IF(tbl_OriginalData[[#This Row],[Customer_Loyalty_Program_Member]]=TRUE,"Yes","No")</f>
        <v>Yes</v>
      </c>
      <c r="BG986" t="str">
        <f>tbl_OriginalData[[#This Row],[Purchase_Intent]]</f>
        <v>Planned</v>
      </c>
      <c r="BH986" t="str">
        <f>tbl_OriginalData[[#This Row],[Shipping_Preference]]</f>
        <v>Standard</v>
      </c>
      <c r="BI986">
        <f>tbl_OriginalData[[#This Row],[Time_to_Decision]]</f>
        <v>6</v>
      </c>
      <c r="BJ986" t="s">
        <v>172</v>
      </c>
      <c r="BK986" t="s">
        <v>115</v>
      </c>
      <c r="BL986" t="s">
        <v>2524</v>
      </c>
    </row>
    <row r="987" spans="1:64">
      <c r="A987" t="s">
        <v>2210</v>
      </c>
      <c r="B987">
        <v>25</v>
      </c>
      <c r="C987" t="s">
        <v>33</v>
      </c>
      <c r="D987" t="s">
        <v>51</v>
      </c>
      <c r="E987" t="s">
        <v>92</v>
      </c>
      <c r="F987" t="s">
        <v>36</v>
      </c>
      <c r="G987" t="s">
        <v>51</v>
      </c>
      <c r="H987" t="s">
        <v>2211</v>
      </c>
      <c r="I987" t="s">
        <v>180</v>
      </c>
      <c r="J987">
        <v>159.53</v>
      </c>
      <c r="K987">
        <v>11</v>
      </c>
      <c r="L987" t="s">
        <v>39</v>
      </c>
      <c r="M987">
        <v>3</v>
      </c>
      <c r="N987">
        <v>4</v>
      </c>
      <c r="O987">
        <v>2</v>
      </c>
      <c r="P987" t="s">
        <v>69</v>
      </c>
      <c r="Q987" t="s">
        <v>101</v>
      </c>
      <c r="R987">
        <v>0</v>
      </c>
      <c r="S987">
        <v>3</v>
      </c>
      <c r="T987" t="s">
        <v>69</v>
      </c>
      <c r="U987" t="s">
        <v>95</v>
      </c>
      <c r="V987" t="s">
        <v>102</v>
      </c>
      <c r="W987" s="1">
        <v>45409</v>
      </c>
      <c r="X987" t="b">
        <v>1</v>
      </c>
      <c r="Y987" t="b">
        <v>1</v>
      </c>
      <c r="Z987" t="s">
        <v>72</v>
      </c>
      <c r="AA987" t="s">
        <v>77</v>
      </c>
      <c r="AB987">
        <v>7</v>
      </c>
      <c r="AF987" t="str">
        <f>tbl_OriginalData[[#This Row],[Customer_ID]]</f>
        <v>02-055-8248</v>
      </c>
      <c r="AG987">
        <f>tbl_OriginalData[[#This Row],[Age]]</f>
        <v>25</v>
      </c>
      <c r="AH987" t="str" cm="1">
        <f t="array" ref="AH98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87" t="str">
        <f>tbl_OriginalData[[#This Row],[Gender]]</f>
        <v>Female</v>
      </c>
      <c r="AJ987" t="str">
        <f>tbl_OriginalData[[#This Row],[Income_Level]]</f>
        <v>High</v>
      </c>
      <c r="AK987" t="str">
        <f>tbl_OriginalData[[#This Row],[Marital_Status]]</f>
        <v>Divorced</v>
      </c>
      <c r="AL987" t="str">
        <f>tbl_OriginalData[[#This Row],[Education_Level]]</f>
        <v>Bachelor's</v>
      </c>
      <c r="AM987" t="str">
        <f>tbl_OriginalData[[#This Row],[Occupation]]</f>
        <v>High</v>
      </c>
      <c r="AN987" t="s">
        <v>2211</v>
      </c>
      <c r="AO987" t="s">
        <v>315</v>
      </c>
      <c r="AP987" t="str">
        <f>tbl_OriginalData[[#This Row],[Purchase_Category]]</f>
        <v>Health Supplements</v>
      </c>
      <c r="AQ987" s="4">
        <f>tbl_OriginalData[[#This Row],[Purchase_Amount]]</f>
        <v>159.53</v>
      </c>
      <c r="AR987">
        <f>tbl_OriginalData[[#This Row],[Frequency_of_Purchase]]</f>
        <v>11</v>
      </c>
      <c r="AS987" t="str">
        <f>tbl_OriginalData[[#This Row],[Purchase_Channel]]</f>
        <v>Mixed</v>
      </c>
      <c r="AT987">
        <f>tbl_OriginalData[[#This Row],[Brand_Loyalty]]</f>
        <v>3</v>
      </c>
      <c r="AU987">
        <f>tbl_OriginalData[[#This Row],[Product_Rating]]</f>
        <v>4</v>
      </c>
      <c r="AV987">
        <f>tbl_OriginalData[[#This Row],[Time_Spent_on_Product_Research(hours)]]*60</f>
        <v>120</v>
      </c>
      <c r="AW987" t="str">
        <f>tbl_OriginalData[[#This Row],[Social_Media_Influence]]</f>
        <v>Low</v>
      </c>
      <c r="AX987" t="str">
        <f>tbl_OriginalData[[#This Row],[Discount_Sensitivity]]</f>
        <v>Very Sensitive</v>
      </c>
      <c r="AY987" s="3">
        <f>tbl_OriginalData[[#This Row],[Return_Rate]]/tbl_OriginalData[[#This Row],[Frequency_of_Purchase]]</f>
        <v>0</v>
      </c>
      <c r="AZ987">
        <f>tbl_OriginalData[[#This Row],[Customer_Satisfaction]]</f>
        <v>3</v>
      </c>
      <c r="BA987" t="str">
        <f>tbl_OriginalData[[#This Row],[Engagement_with_Ads]]</f>
        <v>Low</v>
      </c>
      <c r="BB987" t="str">
        <f>tbl_OriginalData[[#This Row],[Device_Used_for_Shopping]]</f>
        <v>Desktop</v>
      </c>
      <c r="BC987" t="str">
        <f>tbl_OriginalData[[#This Row],[Payment_Method]]</f>
        <v>Cash</v>
      </c>
      <c r="BD987" s="1">
        <f>tbl_OriginalData[[#This Row],[Time_of_Purchase]]</f>
        <v>45409</v>
      </c>
      <c r="BE987" t="str">
        <f>IF(tbl_OriginalData[[#This Row],[Discount_Used]]=TRUE,"Yes","No")</f>
        <v>Yes</v>
      </c>
      <c r="BF987" t="str">
        <f>IF(tbl_OriginalData[[#This Row],[Customer_Loyalty_Program_Member]]=TRUE,"Yes","No")</f>
        <v>Yes</v>
      </c>
      <c r="BG987" t="str">
        <f>tbl_OriginalData[[#This Row],[Purchase_Intent]]</f>
        <v>Impulsive</v>
      </c>
      <c r="BH987" t="str">
        <f>tbl_OriginalData[[#This Row],[Shipping_Preference]]</f>
        <v>Express</v>
      </c>
      <c r="BI987">
        <f>tbl_OriginalData[[#This Row],[Time_to_Decision]]</f>
        <v>7</v>
      </c>
      <c r="BJ987" t="s">
        <v>62</v>
      </c>
      <c r="BK987" t="s">
        <v>63</v>
      </c>
      <c r="BL987" t="s">
        <v>2523</v>
      </c>
    </row>
    <row r="988" spans="1:64">
      <c r="A988" t="s">
        <v>2212</v>
      </c>
      <c r="B988">
        <v>40</v>
      </c>
      <c r="C988" t="s">
        <v>33</v>
      </c>
      <c r="D988" t="s">
        <v>51</v>
      </c>
      <c r="E988" t="s">
        <v>82</v>
      </c>
      <c r="F988" t="s">
        <v>52</v>
      </c>
      <c r="G988" t="s">
        <v>51</v>
      </c>
      <c r="H988" t="s">
        <v>2213</v>
      </c>
      <c r="I988" t="s">
        <v>306</v>
      </c>
      <c r="J988">
        <v>149.52000000000001</v>
      </c>
      <c r="K988">
        <v>9</v>
      </c>
      <c r="L988" t="s">
        <v>55</v>
      </c>
      <c r="M988">
        <v>2</v>
      </c>
      <c r="N988">
        <v>5</v>
      </c>
      <c r="O988">
        <v>1</v>
      </c>
      <c r="P988" t="s">
        <v>40</v>
      </c>
      <c r="Q988" t="s">
        <v>41</v>
      </c>
      <c r="R988">
        <v>0</v>
      </c>
      <c r="S988">
        <v>6</v>
      </c>
      <c r="T988" t="s">
        <v>40</v>
      </c>
      <c r="U988" t="s">
        <v>70</v>
      </c>
      <c r="V988" t="s">
        <v>102</v>
      </c>
      <c r="W988" s="1">
        <v>45361</v>
      </c>
      <c r="X988" t="b">
        <v>0</v>
      </c>
      <c r="Y988" t="b">
        <v>0</v>
      </c>
      <c r="Z988" t="s">
        <v>59</v>
      </c>
      <c r="AA988" t="s">
        <v>45</v>
      </c>
      <c r="AB988">
        <v>8</v>
      </c>
      <c r="AF988" t="str">
        <f>tbl_OriginalData[[#This Row],[Customer_ID]]</f>
        <v>54-238-5459</v>
      </c>
      <c r="AG988">
        <f>tbl_OriginalData[[#This Row],[Age]]</f>
        <v>40</v>
      </c>
      <c r="AH988" t="str" cm="1">
        <f t="array" ref="AH98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88" t="str">
        <f>tbl_OriginalData[[#This Row],[Gender]]</f>
        <v>Female</v>
      </c>
      <c r="AJ988" t="str">
        <f>tbl_OriginalData[[#This Row],[Income_Level]]</f>
        <v>High</v>
      </c>
      <c r="AK988" t="str">
        <f>tbl_OriginalData[[#This Row],[Marital_Status]]</f>
        <v>Widowed</v>
      </c>
      <c r="AL988" t="str">
        <f>tbl_OriginalData[[#This Row],[Education_Level]]</f>
        <v>High School</v>
      </c>
      <c r="AM988" t="str">
        <f>tbl_OriginalData[[#This Row],[Occupation]]</f>
        <v>High</v>
      </c>
      <c r="AN988" t="s">
        <v>2213</v>
      </c>
      <c r="AO988" t="s">
        <v>61</v>
      </c>
      <c r="AP988" t="str">
        <f>tbl_OriginalData[[#This Row],[Purchase_Category]]</f>
        <v>Jewelry &amp; Accessories</v>
      </c>
      <c r="AQ988" s="4">
        <f>tbl_OriginalData[[#This Row],[Purchase_Amount]]</f>
        <v>149.52000000000001</v>
      </c>
      <c r="AR988">
        <f>tbl_OriginalData[[#This Row],[Frequency_of_Purchase]]</f>
        <v>9</v>
      </c>
      <c r="AS988" t="str">
        <f>tbl_OriginalData[[#This Row],[Purchase_Channel]]</f>
        <v>In-Store</v>
      </c>
      <c r="AT988">
        <f>tbl_OriginalData[[#This Row],[Brand_Loyalty]]</f>
        <v>2</v>
      </c>
      <c r="AU988">
        <f>tbl_OriginalData[[#This Row],[Product_Rating]]</f>
        <v>5</v>
      </c>
      <c r="AV988">
        <f>tbl_OriginalData[[#This Row],[Time_Spent_on_Product_Research(hours)]]*60</f>
        <v>60</v>
      </c>
      <c r="AW988" t="str">
        <f>tbl_OriginalData[[#This Row],[Social_Media_Influence]]</f>
        <v>None</v>
      </c>
      <c r="AX988" t="str">
        <f>tbl_OriginalData[[#This Row],[Discount_Sensitivity]]</f>
        <v>Somewhat Sensitive</v>
      </c>
      <c r="AY988" s="3">
        <f>tbl_OriginalData[[#This Row],[Return_Rate]]/tbl_OriginalData[[#This Row],[Frequency_of_Purchase]]</f>
        <v>0</v>
      </c>
      <c r="AZ988">
        <f>tbl_OriginalData[[#This Row],[Customer_Satisfaction]]</f>
        <v>6</v>
      </c>
      <c r="BA988" t="str">
        <f>tbl_OriginalData[[#This Row],[Engagement_with_Ads]]</f>
        <v>None</v>
      </c>
      <c r="BB988" t="str">
        <f>tbl_OriginalData[[#This Row],[Device_Used_for_Shopping]]</f>
        <v>Smartphone</v>
      </c>
      <c r="BC988" t="str">
        <f>tbl_OriginalData[[#This Row],[Payment_Method]]</f>
        <v>Cash</v>
      </c>
      <c r="BD988" s="1">
        <f>tbl_OriginalData[[#This Row],[Time_of_Purchase]]</f>
        <v>45361</v>
      </c>
      <c r="BE988" t="str">
        <f>IF(tbl_OriginalData[[#This Row],[Discount_Used]]=TRUE,"Yes","No")</f>
        <v>No</v>
      </c>
      <c r="BF988" t="str">
        <f>IF(tbl_OriginalData[[#This Row],[Customer_Loyalty_Program_Member]]=TRUE,"Yes","No")</f>
        <v>No</v>
      </c>
      <c r="BG988" t="str">
        <f>tbl_OriginalData[[#This Row],[Purchase_Intent]]</f>
        <v>Wants-based</v>
      </c>
      <c r="BH988" t="str">
        <f>tbl_OriginalData[[#This Row],[Shipping_Preference]]</f>
        <v>No Preference</v>
      </c>
      <c r="BI988">
        <f>tbl_OriginalData[[#This Row],[Time_to_Decision]]</f>
        <v>8</v>
      </c>
      <c r="BJ988" t="s">
        <v>47</v>
      </c>
      <c r="BK988" t="s">
        <v>48</v>
      </c>
      <c r="BL988" t="s">
        <v>2524</v>
      </c>
    </row>
    <row r="989" spans="1:64">
      <c r="A989" t="s">
        <v>2214</v>
      </c>
      <c r="B989">
        <v>19</v>
      </c>
      <c r="C989" t="s">
        <v>33</v>
      </c>
      <c r="D989" t="s">
        <v>51</v>
      </c>
      <c r="E989" t="s">
        <v>82</v>
      </c>
      <c r="F989" t="s">
        <v>36</v>
      </c>
      <c r="G989" t="s">
        <v>51</v>
      </c>
      <c r="H989" t="s">
        <v>2215</v>
      </c>
      <c r="I989" t="s">
        <v>156</v>
      </c>
      <c r="J989">
        <v>206.32</v>
      </c>
      <c r="K989">
        <v>5</v>
      </c>
      <c r="L989" t="s">
        <v>94</v>
      </c>
      <c r="M989">
        <v>3</v>
      </c>
      <c r="N989">
        <v>3</v>
      </c>
      <c r="O989">
        <v>1</v>
      </c>
      <c r="P989" t="s">
        <v>69</v>
      </c>
      <c r="Q989" t="s">
        <v>57</v>
      </c>
      <c r="R989">
        <v>0</v>
      </c>
      <c r="S989">
        <v>4</v>
      </c>
      <c r="T989" t="s">
        <v>40</v>
      </c>
      <c r="U989" t="s">
        <v>95</v>
      </c>
      <c r="V989" t="s">
        <v>58</v>
      </c>
      <c r="W989" s="1">
        <v>45577</v>
      </c>
      <c r="X989" t="b">
        <v>1</v>
      </c>
      <c r="Y989" t="b">
        <v>0</v>
      </c>
      <c r="Z989" t="s">
        <v>59</v>
      </c>
      <c r="AA989" t="s">
        <v>77</v>
      </c>
      <c r="AB989">
        <v>12</v>
      </c>
      <c r="AF989" t="str">
        <f>tbl_OriginalData[[#This Row],[Customer_ID]]</f>
        <v>85-922-0190</v>
      </c>
      <c r="AG989">
        <f>tbl_OriginalData[[#This Row],[Age]]</f>
        <v>19</v>
      </c>
      <c r="AH989" t="str" cm="1">
        <f t="array" ref="AH989">_xlfn.IFS(AND(tbl_CleanedData[[#This Row],[Age]]&lt;20,tbl_CleanedData[[#This Row],[Age]]&gt;=10),"10-19",AND(tbl_CleanedData[[#This Row],[Age]]&lt;30,tbl_CleanedData[[#This Row],[Age]]&gt;=20),"20-29",AND(tbl_CleanedData[[#This Row],[Age]]&lt;40,tbl_CleanedData[[#This Row],[Age]]&gt;=30),"30-39",AND(tbl_CleanedData[[#This Row],[Age]]&lt;=50,tbl_CleanedData[[#This Row],[Age]]&gt;=40),"40-50")</f>
        <v>10-19</v>
      </c>
      <c r="AI989" t="str">
        <f>tbl_OriginalData[[#This Row],[Gender]]</f>
        <v>Female</v>
      </c>
      <c r="AJ989" t="str">
        <f>tbl_OriginalData[[#This Row],[Income_Level]]</f>
        <v>High</v>
      </c>
      <c r="AK989" t="str">
        <f>tbl_OriginalData[[#This Row],[Marital_Status]]</f>
        <v>Widowed</v>
      </c>
      <c r="AL989" t="str">
        <f>tbl_OriginalData[[#This Row],[Education_Level]]</f>
        <v>Bachelor's</v>
      </c>
      <c r="AM989" t="str">
        <f>tbl_OriginalData[[#This Row],[Occupation]]</f>
        <v>High</v>
      </c>
      <c r="AN989" t="s">
        <v>2215</v>
      </c>
      <c r="AO989" t="s">
        <v>61</v>
      </c>
      <c r="AP989" t="str">
        <f>tbl_OriginalData[[#This Row],[Purchase_Category]]</f>
        <v>Toys &amp; Games</v>
      </c>
      <c r="AQ989" s="4">
        <f>tbl_OriginalData[[#This Row],[Purchase_Amount]]</f>
        <v>206.32</v>
      </c>
      <c r="AR989">
        <f>tbl_OriginalData[[#This Row],[Frequency_of_Purchase]]</f>
        <v>5</v>
      </c>
      <c r="AS989" t="str">
        <f>tbl_OriginalData[[#This Row],[Purchase_Channel]]</f>
        <v>Online</v>
      </c>
      <c r="AT989">
        <f>tbl_OriginalData[[#This Row],[Brand_Loyalty]]</f>
        <v>3</v>
      </c>
      <c r="AU989">
        <f>tbl_OriginalData[[#This Row],[Product_Rating]]</f>
        <v>3</v>
      </c>
      <c r="AV989">
        <f>tbl_OriginalData[[#This Row],[Time_Spent_on_Product_Research(hours)]]*60</f>
        <v>60</v>
      </c>
      <c r="AW989" t="str">
        <f>tbl_OriginalData[[#This Row],[Social_Media_Influence]]</f>
        <v>Low</v>
      </c>
      <c r="AX989" t="str">
        <f>tbl_OriginalData[[#This Row],[Discount_Sensitivity]]</f>
        <v>Not Sensitive</v>
      </c>
      <c r="AY989" s="3">
        <f>tbl_OriginalData[[#This Row],[Return_Rate]]/tbl_OriginalData[[#This Row],[Frequency_of_Purchase]]</f>
        <v>0</v>
      </c>
      <c r="AZ989">
        <f>tbl_OriginalData[[#This Row],[Customer_Satisfaction]]</f>
        <v>4</v>
      </c>
      <c r="BA989" t="str">
        <f>tbl_OriginalData[[#This Row],[Engagement_with_Ads]]</f>
        <v>None</v>
      </c>
      <c r="BB989" t="str">
        <f>tbl_OriginalData[[#This Row],[Device_Used_for_Shopping]]</f>
        <v>Desktop</v>
      </c>
      <c r="BC989" t="str">
        <f>tbl_OriginalData[[#This Row],[Payment_Method]]</f>
        <v>PayPal</v>
      </c>
      <c r="BD989" s="1">
        <f>tbl_OriginalData[[#This Row],[Time_of_Purchase]]</f>
        <v>45577</v>
      </c>
      <c r="BE989" t="str">
        <f>IF(tbl_OriginalData[[#This Row],[Discount_Used]]=TRUE,"Yes","No")</f>
        <v>Yes</v>
      </c>
      <c r="BF989" t="str">
        <f>IF(tbl_OriginalData[[#This Row],[Customer_Loyalty_Program_Member]]=TRUE,"Yes","No")</f>
        <v>No</v>
      </c>
      <c r="BG989" t="str">
        <f>tbl_OriginalData[[#This Row],[Purchase_Intent]]</f>
        <v>Wants-based</v>
      </c>
      <c r="BH989" t="str">
        <f>tbl_OriginalData[[#This Row],[Shipping_Preference]]</f>
        <v>Express</v>
      </c>
      <c r="BI989">
        <f>tbl_OriginalData[[#This Row],[Time_to_Decision]]</f>
        <v>12</v>
      </c>
      <c r="BJ989" t="s">
        <v>79</v>
      </c>
      <c r="BK989" t="s">
        <v>80</v>
      </c>
      <c r="BL989" t="s">
        <v>2524</v>
      </c>
    </row>
    <row r="990" spans="1:64">
      <c r="A990" t="s">
        <v>2216</v>
      </c>
      <c r="B990">
        <v>40</v>
      </c>
      <c r="C990" t="s">
        <v>106</v>
      </c>
      <c r="D990" t="s">
        <v>51</v>
      </c>
      <c r="E990" t="s">
        <v>65</v>
      </c>
      <c r="F990" t="s">
        <v>36</v>
      </c>
      <c r="G990" t="s">
        <v>51</v>
      </c>
      <c r="H990" t="s">
        <v>2217</v>
      </c>
      <c r="I990" t="s">
        <v>153</v>
      </c>
      <c r="J990">
        <v>308.58</v>
      </c>
      <c r="K990">
        <v>11</v>
      </c>
      <c r="L990" t="s">
        <v>94</v>
      </c>
      <c r="M990">
        <v>2</v>
      </c>
      <c r="N990">
        <v>5</v>
      </c>
      <c r="O990">
        <v>2</v>
      </c>
      <c r="P990" t="s">
        <v>56</v>
      </c>
      <c r="Q990" t="s">
        <v>57</v>
      </c>
      <c r="R990">
        <v>0</v>
      </c>
      <c r="S990">
        <v>7</v>
      </c>
      <c r="T990" t="s">
        <v>56</v>
      </c>
      <c r="U990" t="s">
        <v>70</v>
      </c>
      <c r="V990" t="s">
        <v>71</v>
      </c>
      <c r="W990" s="1">
        <v>45433</v>
      </c>
      <c r="X990" t="b">
        <v>0</v>
      </c>
      <c r="Y990" t="b">
        <v>1</v>
      </c>
      <c r="Z990" t="s">
        <v>44</v>
      </c>
      <c r="AA990" t="s">
        <v>77</v>
      </c>
      <c r="AB990">
        <v>12</v>
      </c>
      <c r="AF990" t="str">
        <f>tbl_OriginalData[[#This Row],[Customer_ID]]</f>
        <v>48-271-1908</v>
      </c>
      <c r="AG990">
        <f>tbl_OriginalData[[#This Row],[Age]]</f>
        <v>40</v>
      </c>
      <c r="AH990" t="str" cm="1">
        <f t="array" ref="AH990">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90" t="str">
        <f>tbl_OriginalData[[#This Row],[Gender]]</f>
        <v>Bigender</v>
      </c>
      <c r="AJ990" t="str">
        <f>tbl_OriginalData[[#This Row],[Income_Level]]</f>
        <v>High</v>
      </c>
      <c r="AK990" t="str">
        <f>tbl_OriginalData[[#This Row],[Marital_Status]]</f>
        <v>Single</v>
      </c>
      <c r="AL990" t="str">
        <f>tbl_OriginalData[[#This Row],[Education_Level]]</f>
        <v>Bachelor's</v>
      </c>
      <c r="AM990" t="str">
        <f>tbl_OriginalData[[#This Row],[Occupation]]</f>
        <v>High</v>
      </c>
      <c r="AN990" t="s">
        <v>2217</v>
      </c>
      <c r="AO990" t="s">
        <v>269</v>
      </c>
      <c r="AP990" t="str">
        <f>tbl_OriginalData[[#This Row],[Purchase_Category]]</f>
        <v>Baby Products</v>
      </c>
      <c r="AQ990" s="4">
        <f>tbl_OriginalData[[#This Row],[Purchase_Amount]]</f>
        <v>308.58</v>
      </c>
      <c r="AR990">
        <f>tbl_OriginalData[[#This Row],[Frequency_of_Purchase]]</f>
        <v>11</v>
      </c>
      <c r="AS990" t="str">
        <f>tbl_OriginalData[[#This Row],[Purchase_Channel]]</f>
        <v>Online</v>
      </c>
      <c r="AT990">
        <f>tbl_OriginalData[[#This Row],[Brand_Loyalty]]</f>
        <v>2</v>
      </c>
      <c r="AU990">
        <f>tbl_OriginalData[[#This Row],[Product_Rating]]</f>
        <v>5</v>
      </c>
      <c r="AV990">
        <f>tbl_OriginalData[[#This Row],[Time_Spent_on_Product_Research(hours)]]*60</f>
        <v>120</v>
      </c>
      <c r="AW990" t="str">
        <f>tbl_OriginalData[[#This Row],[Social_Media_Influence]]</f>
        <v>Medium</v>
      </c>
      <c r="AX990" t="str">
        <f>tbl_OriginalData[[#This Row],[Discount_Sensitivity]]</f>
        <v>Not Sensitive</v>
      </c>
      <c r="AY990" s="3">
        <f>tbl_OriginalData[[#This Row],[Return_Rate]]/tbl_OriginalData[[#This Row],[Frequency_of_Purchase]]</f>
        <v>0</v>
      </c>
      <c r="AZ990">
        <f>tbl_OriginalData[[#This Row],[Customer_Satisfaction]]</f>
        <v>7</v>
      </c>
      <c r="BA990" t="str">
        <f>tbl_OriginalData[[#This Row],[Engagement_with_Ads]]</f>
        <v>Medium</v>
      </c>
      <c r="BB990" t="str">
        <f>tbl_OriginalData[[#This Row],[Device_Used_for_Shopping]]</f>
        <v>Smartphone</v>
      </c>
      <c r="BC990" t="str">
        <f>tbl_OriginalData[[#This Row],[Payment_Method]]</f>
        <v>Debit Card</v>
      </c>
      <c r="BD990" s="1">
        <f>tbl_OriginalData[[#This Row],[Time_of_Purchase]]</f>
        <v>45433</v>
      </c>
      <c r="BE990" t="str">
        <f>IF(tbl_OriginalData[[#This Row],[Discount_Used]]=TRUE,"Yes","No")</f>
        <v>No</v>
      </c>
      <c r="BF990" t="str">
        <f>IF(tbl_OriginalData[[#This Row],[Customer_Loyalty_Program_Member]]=TRUE,"Yes","No")</f>
        <v>Yes</v>
      </c>
      <c r="BG990" t="str">
        <f>tbl_OriginalData[[#This Row],[Purchase_Intent]]</f>
        <v>Need-based</v>
      </c>
      <c r="BH990" t="str">
        <f>tbl_OriginalData[[#This Row],[Shipping_Preference]]</f>
        <v>Express</v>
      </c>
      <c r="BI990">
        <f>tbl_OriginalData[[#This Row],[Time_to_Decision]]</f>
        <v>12</v>
      </c>
      <c r="BJ990" t="s">
        <v>167</v>
      </c>
      <c r="BK990" t="s">
        <v>63</v>
      </c>
      <c r="BL990" t="s">
        <v>2528</v>
      </c>
    </row>
    <row r="991" spans="1:64">
      <c r="A991" t="s">
        <v>2218</v>
      </c>
      <c r="B991">
        <v>22</v>
      </c>
      <c r="C991" t="s">
        <v>33</v>
      </c>
      <c r="D991" t="s">
        <v>51</v>
      </c>
      <c r="E991" t="s">
        <v>65</v>
      </c>
      <c r="F991" t="s">
        <v>52</v>
      </c>
      <c r="G991" t="s">
        <v>34</v>
      </c>
      <c r="H991" t="s">
        <v>2219</v>
      </c>
      <c r="I991" t="s">
        <v>199</v>
      </c>
      <c r="J991">
        <v>91.34</v>
      </c>
      <c r="K991">
        <v>5</v>
      </c>
      <c r="L991" t="s">
        <v>94</v>
      </c>
      <c r="M991">
        <v>2</v>
      </c>
      <c r="N991">
        <v>1</v>
      </c>
      <c r="O991">
        <v>1</v>
      </c>
      <c r="P991" t="s">
        <v>40</v>
      </c>
      <c r="Q991" t="s">
        <v>57</v>
      </c>
      <c r="R991">
        <v>0</v>
      </c>
      <c r="S991">
        <v>1</v>
      </c>
      <c r="T991" t="s">
        <v>40</v>
      </c>
      <c r="U991" t="s">
        <v>70</v>
      </c>
      <c r="V991" t="s">
        <v>71</v>
      </c>
      <c r="W991" s="1">
        <v>45301</v>
      </c>
      <c r="X991" t="b">
        <v>1</v>
      </c>
      <c r="Y991" t="b">
        <v>1</v>
      </c>
      <c r="Z991" t="s">
        <v>72</v>
      </c>
      <c r="AA991" t="s">
        <v>77</v>
      </c>
      <c r="AB991">
        <v>6</v>
      </c>
      <c r="AF991" t="str">
        <f>tbl_OriginalData[[#This Row],[Customer_ID]]</f>
        <v>46-978-3874</v>
      </c>
      <c r="AG991">
        <f>tbl_OriginalData[[#This Row],[Age]]</f>
        <v>22</v>
      </c>
      <c r="AH991" t="str" cm="1">
        <f t="array" ref="AH991">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91" t="str">
        <f>tbl_OriginalData[[#This Row],[Gender]]</f>
        <v>Female</v>
      </c>
      <c r="AJ991" t="str">
        <f>tbl_OriginalData[[#This Row],[Income_Level]]</f>
        <v>High</v>
      </c>
      <c r="AK991" t="str">
        <f>tbl_OriginalData[[#This Row],[Marital_Status]]</f>
        <v>Single</v>
      </c>
      <c r="AL991" t="str">
        <f>tbl_OriginalData[[#This Row],[Education_Level]]</f>
        <v>High School</v>
      </c>
      <c r="AM991" t="str">
        <f>tbl_OriginalData[[#This Row],[Occupation]]</f>
        <v>Middle</v>
      </c>
      <c r="AN991" t="s">
        <v>2219</v>
      </c>
      <c r="AO991" t="s">
        <v>161</v>
      </c>
      <c r="AP991" t="str">
        <f>tbl_OriginalData[[#This Row],[Purchase_Category]]</f>
        <v>Groceries</v>
      </c>
      <c r="AQ991" s="4">
        <f>tbl_OriginalData[[#This Row],[Purchase_Amount]]</f>
        <v>91.34</v>
      </c>
      <c r="AR991">
        <f>tbl_OriginalData[[#This Row],[Frequency_of_Purchase]]</f>
        <v>5</v>
      </c>
      <c r="AS991" t="str">
        <f>tbl_OriginalData[[#This Row],[Purchase_Channel]]</f>
        <v>Online</v>
      </c>
      <c r="AT991">
        <f>tbl_OriginalData[[#This Row],[Brand_Loyalty]]</f>
        <v>2</v>
      </c>
      <c r="AU991">
        <f>tbl_OriginalData[[#This Row],[Product_Rating]]</f>
        <v>1</v>
      </c>
      <c r="AV991">
        <f>tbl_OriginalData[[#This Row],[Time_Spent_on_Product_Research(hours)]]*60</f>
        <v>60</v>
      </c>
      <c r="AW991" t="str">
        <f>tbl_OriginalData[[#This Row],[Social_Media_Influence]]</f>
        <v>None</v>
      </c>
      <c r="AX991" t="str">
        <f>tbl_OriginalData[[#This Row],[Discount_Sensitivity]]</f>
        <v>Not Sensitive</v>
      </c>
      <c r="AY991" s="3">
        <f>tbl_OriginalData[[#This Row],[Return_Rate]]/tbl_OriginalData[[#This Row],[Frequency_of_Purchase]]</f>
        <v>0</v>
      </c>
      <c r="AZ991">
        <f>tbl_OriginalData[[#This Row],[Customer_Satisfaction]]</f>
        <v>1</v>
      </c>
      <c r="BA991" t="str">
        <f>tbl_OriginalData[[#This Row],[Engagement_with_Ads]]</f>
        <v>None</v>
      </c>
      <c r="BB991" t="str">
        <f>tbl_OriginalData[[#This Row],[Device_Used_for_Shopping]]</f>
        <v>Smartphone</v>
      </c>
      <c r="BC991" t="str">
        <f>tbl_OriginalData[[#This Row],[Payment_Method]]</f>
        <v>Debit Card</v>
      </c>
      <c r="BD991" s="1">
        <f>tbl_OriginalData[[#This Row],[Time_of_Purchase]]</f>
        <v>45301</v>
      </c>
      <c r="BE991" t="str">
        <f>IF(tbl_OriginalData[[#This Row],[Discount_Used]]=TRUE,"Yes","No")</f>
        <v>Yes</v>
      </c>
      <c r="BF991" t="str">
        <f>IF(tbl_OriginalData[[#This Row],[Customer_Loyalty_Program_Member]]=TRUE,"Yes","No")</f>
        <v>Yes</v>
      </c>
      <c r="BG991" t="str">
        <f>tbl_OriginalData[[#This Row],[Purchase_Intent]]</f>
        <v>Impulsive</v>
      </c>
      <c r="BH991" t="str">
        <f>tbl_OriginalData[[#This Row],[Shipping_Preference]]</f>
        <v>Express</v>
      </c>
      <c r="BI991">
        <f>tbl_OriginalData[[#This Row],[Time_to_Decision]]</f>
        <v>6</v>
      </c>
      <c r="BJ991" t="s">
        <v>86</v>
      </c>
      <c r="BK991" t="s">
        <v>48</v>
      </c>
      <c r="BL991" t="s">
        <v>2527</v>
      </c>
    </row>
    <row r="992" spans="1:64">
      <c r="A992" t="s">
        <v>2220</v>
      </c>
      <c r="B992">
        <v>25</v>
      </c>
      <c r="C992" t="s">
        <v>33</v>
      </c>
      <c r="D992" t="s">
        <v>51</v>
      </c>
      <c r="E992" t="s">
        <v>92</v>
      </c>
      <c r="F992" t="s">
        <v>52</v>
      </c>
      <c r="G992" t="s">
        <v>34</v>
      </c>
      <c r="H992" t="s">
        <v>2221</v>
      </c>
      <c r="I992" t="s">
        <v>123</v>
      </c>
      <c r="J992">
        <v>455.44</v>
      </c>
      <c r="K992">
        <v>7</v>
      </c>
      <c r="L992" t="s">
        <v>39</v>
      </c>
      <c r="M992">
        <v>4</v>
      </c>
      <c r="N992">
        <v>2</v>
      </c>
      <c r="O992">
        <v>1</v>
      </c>
      <c r="P992" t="s">
        <v>69</v>
      </c>
      <c r="Q992" t="s">
        <v>101</v>
      </c>
      <c r="R992">
        <v>2</v>
      </c>
      <c r="S992">
        <v>3</v>
      </c>
      <c r="T992" t="s">
        <v>69</v>
      </c>
      <c r="U992" t="s">
        <v>70</v>
      </c>
      <c r="V992" t="s">
        <v>76</v>
      </c>
      <c r="W992" s="1">
        <v>45419</v>
      </c>
      <c r="X992" t="b">
        <v>0</v>
      </c>
      <c r="Y992" t="b">
        <v>0</v>
      </c>
      <c r="Z992" t="s">
        <v>44</v>
      </c>
      <c r="AA992" t="s">
        <v>45</v>
      </c>
      <c r="AB992">
        <v>3</v>
      </c>
      <c r="AF992" t="str">
        <f>tbl_OriginalData[[#This Row],[Customer_ID]]</f>
        <v>53-595-7635</v>
      </c>
      <c r="AG992">
        <f>tbl_OriginalData[[#This Row],[Age]]</f>
        <v>25</v>
      </c>
      <c r="AH992" t="str" cm="1">
        <f t="array" ref="AH992">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92" t="str">
        <f>tbl_OriginalData[[#This Row],[Gender]]</f>
        <v>Female</v>
      </c>
      <c r="AJ992" t="str">
        <f>tbl_OriginalData[[#This Row],[Income_Level]]</f>
        <v>High</v>
      </c>
      <c r="AK992" t="str">
        <f>tbl_OriginalData[[#This Row],[Marital_Status]]</f>
        <v>Divorced</v>
      </c>
      <c r="AL992" t="str">
        <f>tbl_OriginalData[[#This Row],[Education_Level]]</f>
        <v>High School</v>
      </c>
      <c r="AM992" t="str">
        <f>tbl_OriginalData[[#This Row],[Occupation]]</f>
        <v>Middle</v>
      </c>
      <c r="AN992" t="s">
        <v>2221</v>
      </c>
      <c r="AO992" t="s">
        <v>61</v>
      </c>
      <c r="AP992" t="str">
        <f>tbl_OriginalData[[#This Row],[Purchase_Category]]</f>
        <v>Luxury Goods</v>
      </c>
      <c r="AQ992" s="4">
        <f>tbl_OriginalData[[#This Row],[Purchase_Amount]]</f>
        <v>455.44</v>
      </c>
      <c r="AR992">
        <f>tbl_OriginalData[[#This Row],[Frequency_of_Purchase]]</f>
        <v>7</v>
      </c>
      <c r="AS992" t="str">
        <f>tbl_OriginalData[[#This Row],[Purchase_Channel]]</f>
        <v>Mixed</v>
      </c>
      <c r="AT992">
        <f>tbl_OriginalData[[#This Row],[Brand_Loyalty]]</f>
        <v>4</v>
      </c>
      <c r="AU992">
        <f>tbl_OriginalData[[#This Row],[Product_Rating]]</f>
        <v>2</v>
      </c>
      <c r="AV992">
        <f>tbl_OriginalData[[#This Row],[Time_Spent_on_Product_Research(hours)]]*60</f>
        <v>60</v>
      </c>
      <c r="AW992" t="str">
        <f>tbl_OriginalData[[#This Row],[Social_Media_Influence]]</f>
        <v>Low</v>
      </c>
      <c r="AX992" t="str">
        <f>tbl_OriginalData[[#This Row],[Discount_Sensitivity]]</f>
        <v>Very Sensitive</v>
      </c>
      <c r="AY992" s="3">
        <f>tbl_OriginalData[[#This Row],[Return_Rate]]/tbl_OriginalData[[#This Row],[Frequency_of_Purchase]]</f>
        <v>0.2857142857142857</v>
      </c>
      <c r="AZ992">
        <f>tbl_OriginalData[[#This Row],[Customer_Satisfaction]]</f>
        <v>3</v>
      </c>
      <c r="BA992" t="str">
        <f>tbl_OriginalData[[#This Row],[Engagement_with_Ads]]</f>
        <v>Low</v>
      </c>
      <c r="BB992" t="str">
        <f>tbl_OriginalData[[#This Row],[Device_Used_for_Shopping]]</f>
        <v>Smartphone</v>
      </c>
      <c r="BC992" t="str">
        <f>tbl_OriginalData[[#This Row],[Payment_Method]]</f>
        <v>Other</v>
      </c>
      <c r="BD992" s="1">
        <f>tbl_OriginalData[[#This Row],[Time_of_Purchase]]</f>
        <v>45419</v>
      </c>
      <c r="BE992" t="str">
        <f>IF(tbl_OriginalData[[#This Row],[Discount_Used]]=TRUE,"Yes","No")</f>
        <v>No</v>
      </c>
      <c r="BF992" t="str">
        <f>IF(tbl_OriginalData[[#This Row],[Customer_Loyalty_Program_Member]]=TRUE,"Yes","No")</f>
        <v>No</v>
      </c>
      <c r="BG992" t="str">
        <f>tbl_OriginalData[[#This Row],[Purchase_Intent]]</f>
        <v>Need-based</v>
      </c>
      <c r="BH992" t="str">
        <f>tbl_OriginalData[[#This Row],[Shipping_Preference]]</f>
        <v>No Preference</v>
      </c>
      <c r="BI992">
        <f>tbl_OriginalData[[#This Row],[Time_to_Decision]]</f>
        <v>3</v>
      </c>
      <c r="BJ992" t="s">
        <v>167</v>
      </c>
      <c r="BK992" t="s">
        <v>63</v>
      </c>
      <c r="BL992" t="s">
        <v>2524</v>
      </c>
    </row>
    <row r="993" spans="1:64">
      <c r="A993" t="s">
        <v>2222</v>
      </c>
      <c r="B993">
        <v>32</v>
      </c>
      <c r="C993" t="s">
        <v>33</v>
      </c>
      <c r="D993" t="s">
        <v>51</v>
      </c>
      <c r="E993" t="s">
        <v>92</v>
      </c>
      <c r="F993" t="s">
        <v>66</v>
      </c>
      <c r="G993" t="s">
        <v>34</v>
      </c>
      <c r="H993" t="s">
        <v>2223</v>
      </c>
      <c r="I993" t="s">
        <v>153</v>
      </c>
      <c r="J993">
        <v>468.16</v>
      </c>
      <c r="K993">
        <v>8</v>
      </c>
      <c r="L993" t="s">
        <v>94</v>
      </c>
      <c r="M993">
        <v>3</v>
      </c>
      <c r="N993">
        <v>5</v>
      </c>
      <c r="O993">
        <v>1</v>
      </c>
      <c r="P993" t="s">
        <v>69</v>
      </c>
      <c r="Q993" t="s">
        <v>41</v>
      </c>
      <c r="R993">
        <v>1</v>
      </c>
      <c r="S993">
        <v>5</v>
      </c>
      <c r="T993" t="s">
        <v>51</v>
      </c>
      <c r="U993" t="s">
        <v>95</v>
      </c>
      <c r="V993" t="s">
        <v>43</v>
      </c>
      <c r="W993" s="1">
        <v>45313</v>
      </c>
      <c r="X993" t="b">
        <v>0</v>
      </c>
      <c r="Y993" t="b">
        <v>0</v>
      </c>
      <c r="Z993" t="s">
        <v>89</v>
      </c>
      <c r="AA993" t="s">
        <v>60</v>
      </c>
      <c r="AB993">
        <v>2</v>
      </c>
      <c r="AF993" t="str">
        <f>tbl_OriginalData[[#This Row],[Customer_ID]]</f>
        <v>08-185-6608</v>
      </c>
      <c r="AG993">
        <f>tbl_OriginalData[[#This Row],[Age]]</f>
        <v>32</v>
      </c>
      <c r="AH993" t="str" cm="1">
        <f t="array" ref="AH993">_xlfn.IFS(AND(tbl_CleanedData[[#This Row],[Age]]&lt;20,tbl_CleanedData[[#This Row],[Age]]&gt;=10),"10-19",AND(tbl_CleanedData[[#This Row],[Age]]&lt;30,tbl_CleanedData[[#This Row],[Age]]&gt;=20),"20-29",AND(tbl_CleanedData[[#This Row],[Age]]&lt;40,tbl_CleanedData[[#This Row],[Age]]&gt;=30),"30-39",AND(tbl_CleanedData[[#This Row],[Age]]&lt;=50,tbl_CleanedData[[#This Row],[Age]]&gt;=40),"40-50")</f>
        <v>30-39</v>
      </c>
      <c r="AI993" t="str">
        <f>tbl_OriginalData[[#This Row],[Gender]]</f>
        <v>Female</v>
      </c>
      <c r="AJ993" t="str">
        <f>tbl_OriginalData[[#This Row],[Income_Level]]</f>
        <v>High</v>
      </c>
      <c r="AK993" t="str">
        <f>tbl_OriginalData[[#This Row],[Marital_Status]]</f>
        <v>Divorced</v>
      </c>
      <c r="AL993" t="str">
        <f>tbl_OriginalData[[#This Row],[Education_Level]]</f>
        <v>Master's</v>
      </c>
      <c r="AM993" t="str">
        <f>tbl_OriginalData[[#This Row],[Occupation]]</f>
        <v>Middle</v>
      </c>
      <c r="AN993" t="s">
        <v>2223</v>
      </c>
      <c r="AO993" t="s">
        <v>466</v>
      </c>
      <c r="AP993" t="str">
        <f>tbl_OriginalData[[#This Row],[Purchase_Category]]</f>
        <v>Baby Products</v>
      </c>
      <c r="AQ993" s="4">
        <f>tbl_OriginalData[[#This Row],[Purchase_Amount]]</f>
        <v>468.16</v>
      </c>
      <c r="AR993">
        <f>tbl_OriginalData[[#This Row],[Frequency_of_Purchase]]</f>
        <v>8</v>
      </c>
      <c r="AS993" t="str">
        <f>tbl_OriginalData[[#This Row],[Purchase_Channel]]</f>
        <v>Online</v>
      </c>
      <c r="AT993">
        <f>tbl_OriginalData[[#This Row],[Brand_Loyalty]]</f>
        <v>3</v>
      </c>
      <c r="AU993">
        <f>tbl_OriginalData[[#This Row],[Product_Rating]]</f>
        <v>5</v>
      </c>
      <c r="AV993">
        <f>tbl_OriginalData[[#This Row],[Time_Spent_on_Product_Research(hours)]]*60</f>
        <v>60</v>
      </c>
      <c r="AW993" t="str">
        <f>tbl_OriginalData[[#This Row],[Social_Media_Influence]]</f>
        <v>Low</v>
      </c>
      <c r="AX993" t="str">
        <f>tbl_OriginalData[[#This Row],[Discount_Sensitivity]]</f>
        <v>Somewhat Sensitive</v>
      </c>
      <c r="AY993" s="3">
        <f>tbl_OriginalData[[#This Row],[Return_Rate]]/tbl_OriginalData[[#This Row],[Frequency_of_Purchase]]</f>
        <v>0.125</v>
      </c>
      <c r="AZ993">
        <f>tbl_OriginalData[[#This Row],[Customer_Satisfaction]]</f>
        <v>5</v>
      </c>
      <c r="BA993" t="str">
        <f>tbl_OriginalData[[#This Row],[Engagement_with_Ads]]</f>
        <v>High</v>
      </c>
      <c r="BB993" t="str">
        <f>tbl_OriginalData[[#This Row],[Device_Used_for_Shopping]]</f>
        <v>Desktop</v>
      </c>
      <c r="BC993" t="str">
        <f>tbl_OriginalData[[#This Row],[Payment_Method]]</f>
        <v>Credit Card</v>
      </c>
      <c r="BD993" s="1">
        <f>tbl_OriginalData[[#This Row],[Time_of_Purchase]]</f>
        <v>45313</v>
      </c>
      <c r="BE993" t="str">
        <f>IF(tbl_OriginalData[[#This Row],[Discount_Used]]=TRUE,"Yes","No")</f>
        <v>No</v>
      </c>
      <c r="BF993" t="str">
        <f>IF(tbl_OriginalData[[#This Row],[Customer_Loyalty_Program_Member]]=TRUE,"Yes","No")</f>
        <v>No</v>
      </c>
      <c r="BG993" t="str">
        <f>tbl_OriginalData[[#This Row],[Purchase_Intent]]</f>
        <v>Planned</v>
      </c>
      <c r="BH993" t="str">
        <f>tbl_OriginalData[[#This Row],[Shipping_Preference]]</f>
        <v>Standard</v>
      </c>
      <c r="BI993">
        <f>tbl_OriginalData[[#This Row],[Time_to_Decision]]</f>
        <v>2</v>
      </c>
      <c r="BJ993" t="s">
        <v>86</v>
      </c>
      <c r="BK993" t="s">
        <v>48</v>
      </c>
      <c r="BL993" t="s">
        <v>2523</v>
      </c>
    </row>
    <row r="994" spans="1:64">
      <c r="A994" t="s">
        <v>2224</v>
      </c>
      <c r="B994">
        <v>44</v>
      </c>
      <c r="C994" t="s">
        <v>33</v>
      </c>
      <c r="D994" t="s">
        <v>51</v>
      </c>
      <c r="E994" t="s">
        <v>92</v>
      </c>
      <c r="F994" t="s">
        <v>36</v>
      </c>
      <c r="G994" t="s">
        <v>51</v>
      </c>
      <c r="H994" t="s">
        <v>2225</v>
      </c>
      <c r="I994" t="s">
        <v>112</v>
      </c>
      <c r="J994">
        <v>463.67</v>
      </c>
      <c r="K994">
        <v>5</v>
      </c>
      <c r="L994" t="s">
        <v>94</v>
      </c>
      <c r="M994">
        <v>2</v>
      </c>
      <c r="N994">
        <v>4</v>
      </c>
      <c r="O994">
        <v>0.3</v>
      </c>
      <c r="P994" t="s">
        <v>51</v>
      </c>
      <c r="Q994" t="s">
        <v>57</v>
      </c>
      <c r="R994">
        <v>2</v>
      </c>
      <c r="S994">
        <v>4</v>
      </c>
      <c r="T994" t="s">
        <v>40</v>
      </c>
      <c r="U994" t="s">
        <v>42</v>
      </c>
      <c r="V994" t="s">
        <v>58</v>
      </c>
      <c r="W994" s="1">
        <v>45480</v>
      </c>
      <c r="X994" t="b">
        <v>1</v>
      </c>
      <c r="Y994" t="b">
        <v>0</v>
      </c>
      <c r="Z994" t="s">
        <v>44</v>
      </c>
      <c r="AA994" t="s">
        <v>60</v>
      </c>
      <c r="AB994">
        <v>5</v>
      </c>
      <c r="AF994" t="str">
        <f>tbl_OriginalData[[#This Row],[Customer_ID]]</f>
        <v>20-562-2569</v>
      </c>
      <c r="AG994">
        <f>tbl_OriginalData[[#This Row],[Age]]</f>
        <v>44</v>
      </c>
      <c r="AH994" t="str" cm="1">
        <f t="array" ref="AH994">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94" t="str">
        <f>tbl_OriginalData[[#This Row],[Gender]]</f>
        <v>Female</v>
      </c>
      <c r="AJ994" t="str">
        <f>tbl_OriginalData[[#This Row],[Income_Level]]</f>
        <v>High</v>
      </c>
      <c r="AK994" t="str">
        <f>tbl_OriginalData[[#This Row],[Marital_Status]]</f>
        <v>Divorced</v>
      </c>
      <c r="AL994" t="str">
        <f>tbl_OriginalData[[#This Row],[Education_Level]]</f>
        <v>Bachelor's</v>
      </c>
      <c r="AM994" t="str">
        <f>tbl_OriginalData[[#This Row],[Occupation]]</f>
        <v>High</v>
      </c>
      <c r="AN994" t="s">
        <v>2225</v>
      </c>
      <c r="AO994" t="s">
        <v>194</v>
      </c>
      <c r="AP994" t="str">
        <f>tbl_OriginalData[[#This Row],[Purchase_Category]]</f>
        <v>Mobile Accessories</v>
      </c>
      <c r="AQ994" s="4">
        <f>tbl_OriginalData[[#This Row],[Purchase_Amount]]</f>
        <v>463.67</v>
      </c>
      <c r="AR994">
        <f>tbl_OriginalData[[#This Row],[Frequency_of_Purchase]]</f>
        <v>5</v>
      </c>
      <c r="AS994" t="str">
        <f>tbl_OriginalData[[#This Row],[Purchase_Channel]]</f>
        <v>Online</v>
      </c>
      <c r="AT994">
        <f>tbl_OriginalData[[#This Row],[Brand_Loyalty]]</f>
        <v>2</v>
      </c>
      <c r="AU994">
        <f>tbl_OriginalData[[#This Row],[Product_Rating]]</f>
        <v>4</v>
      </c>
      <c r="AV994">
        <f>tbl_OriginalData[[#This Row],[Time_Spent_on_Product_Research(hours)]]*60</f>
        <v>18</v>
      </c>
      <c r="AW994" t="str">
        <f>tbl_OriginalData[[#This Row],[Social_Media_Influence]]</f>
        <v>High</v>
      </c>
      <c r="AX994" t="str">
        <f>tbl_OriginalData[[#This Row],[Discount_Sensitivity]]</f>
        <v>Not Sensitive</v>
      </c>
      <c r="AY994" s="3">
        <f>tbl_OriginalData[[#This Row],[Return_Rate]]/tbl_OriginalData[[#This Row],[Frequency_of_Purchase]]</f>
        <v>0.4</v>
      </c>
      <c r="AZ994">
        <f>tbl_OriginalData[[#This Row],[Customer_Satisfaction]]</f>
        <v>4</v>
      </c>
      <c r="BA994" t="str">
        <f>tbl_OriginalData[[#This Row],[Engagement_with_Ads]]</f>
        <v>None</v>
      </c>
      <c r="BB994" t="str">
        <f>tbl_OriginalData[[#This Row],[Device_Used_for_Shopping]]</f>
        <v>Tablet</v>
      </c>
      <c r="BC994" t="str">
        <f>tbl_OriginalData[[#This Row],[Payment_Method]]</f>
        <v>PayPal</v>
      </c>
      <c r="BD994" s="1">
        <f>tbl_OriginalData[[#This Row],[Time_of_Purchase]]</f>
        <v>45480</v>
      </c>
      <c r="BE994" t="str">
        <f>IF(tbl_OriginalData[[#This Row],[Discount_Used]]=TRUE,"Yes","No")</f>
        <v>Yes</v>
      </c>
      <c r="BF994" t="str">
        <f>IF(tbl_OriginalData[[#This Row],[Customer_Loyalty_Program_Member]]=TRUE,"Yes","No")</f>
        <v>No</v>
      </c>
      <c r="BG994" t="str">
        <f>tbl_OriginalData[[#This Row],[Purchase_Intent]]</f>
        <v>Need-based</v>
      </c>
      <c r="BH994" t="str">
        <f>tbl_OriginalData[[#This Row],[Shipping_Preference]]</f>
        <v>Standard</v>
      </c>
      <c r="BI994">
        <f>tbl_OriginalData[[#This Row],[Time_to_Decision]]</f>
        <v>5</v>
      </c>
      <c r="BJ994" t="s">
        <v>114</v>
      </c>
      <c r="BK994" t="s">
        <v>115</v>
      </c>
      <c r="BL994" t="s">
        <v>2524</v>
      </c>
    </row>
    <row r="995" spans="1:64">
      <c r="A995" t="s">
        <v>2226</v>
      </c>
      <c r="B995">
        <v>50</v>
      </c>
      <c r="C995" t="s">
        <v>33</v>
      </c>
      <c r="D995" t="s">
        <v>51</v>
      </c>
      <c r="E995" t="s">
        <v>65</v>
      </c>
      <c r="F995" t="s">
        <v>52</v>
      </c>
      <c r="G995" t="s">
        <v>34</v>
      </c>
      <c r="H995" t="s">
        <v>2227</v>
      </c>
      <c r="I995" t="s">
        <v>38</v>
      </c>
      <c r="J995">
        <v>69.78</v>
      </c>
      <c r="K995">
        <v>9</v>
      </c>
      <c r="L995" t="s">
        <v>39</v>
      </c>
      <c r="M995">
        <v>4</v>
      </c>
      <c r="N995">
        <v>3</v>
      </c>
      <c r="O995">
        <v>2</v>
      </c>
      <c r="P995" t="s">
        <v>69</v>
      </c>
      <c r="Q995" t="s">
        <v>101</v>
      </c>
      <c r="R995">
        <v>0</v>
      </c>
      <c r="S995">
        <v>6</v>
      </c>
      <c r="T995" t="s">
        <v>69</v>
      </c>
      <c r="U995" t="s">
        <v>42</v>
      </c>
      <c r="V995" t="s">
        <v>102</v>
      </c>
      <c r="W995" s="1">
        <v>45379</v>
      </c>
      <c r="X995" t="b">
        <v>1</v>
      </c>
      <c r="Y995" t="b">
        <v>0</v>
      </c>
      <c r="Z995" t="s">
        <v>59</v>
      </c>
      <c r="AA995" t="s">
        <v>45</v>
      </c>
      <c r="AB995">
        <v>9</v>
      </c>
      <c r="AF995" t="str">
        <f>tbl_OriginalData[[#This Row],[Customer_ID]]</f>
        <v>41-366-4205</v>
      </c>
      <c r="AG995">
        <f>tbl_OriginalData[[#This Row],[Age]]</f>
        <v>50</v>
      </c>
      <c r="AH995" t="str" cm="1">
        <f t="array" ref="AH995">_xlfn.IFS(AND(tbl_CleanedData[[#This Row],[Age]]&lt;20,tbl_CleanedData[[#This Row],[Age]]&gt;=10),"10-19",AND(tbl_CleanedData[[#This Row],[Age]]&lt;30,tbl_CleanedData[[#This Row],[Age]]&gt;=20),"20-29",AND(tbl_CleanedData[[#This Row],[Age]]&lt;40,tbl_CleanedData[[#This Row],[Age]]&gt;=30),"30-39",AND(tbl_CleanedData[[#This Row],[Age]]&lt;=50,tbl_CleanedData[[#This Row],[Age]]&gt;=40),"40-50")</f>
        <v>40-50</v>
      </c>
      <c r="AI995" t="str">
        <f>tbl_OriginalData[[#This Row],[Gender]]</f>
        <v>Female</v>
      </c>
      <c r="AJ995" t="str">
        <f>tbl_OriginalData[[#This Row],[Income_Level]]</f>
        <v>High</v>
      </c>
      <c r="AK995" t="str">
        <f>tbl_OriginalData[[#This Row],[Marital_Status]]</f>
        <v>Single</v>
      </c>
      <c r="AL995" t="str">
        <f>tbl_OriginalData[[#This Row],[Education_Level]]</f>
        <v>High School</v>
      </c>
      <c r="AM995" t="str">
        <f>tbl_OriginalData[[#This Row],[Occupation]]</f>
        <v>Middle</v>
      </c>
      <c r="AN995" t="s">
        <v>2227</v>
      </c>
      <c r="AO995" t="s">
        <v>2228</v>
      </c>
      <c r="AP995" t="str">
        <f>tbl_OriginalData[[#This Row],[Purchase_Category]]</f>
        <v>Gardening &amp; Outdoors</v>
      </c>
      <c r="AQ995" s="4">
        <f>tbl_OriginalData[[#This Row],[Purchase_Amount]]</f>
        <v>69.78</v>
      </c>
      <c r="AR995">
        <f>tbl_OriginalData[[#This Row],[Frequency_of_Purchase]]</f>
        <v>9</v>
      </c>
      <c r="AS995" t="str">
        <f>tbl_OriginalData[[#This Row],[Purchase_Channel]]</f>
        <v>Mixed</v>
      </c>
      <c r="AT995">
        <f>tbl_OriginalData[[#This Row],[Brand_Loyalty]]</f>
        <v>4</v>
      </c>
      <c r="AU995">
        <f>tbl_OriginalData[[#This Row],[Product_Rating]]</f>
        <v>3</v>
      </c>
      <c r="AV995">
        <f>tbl_OriginalData[[#This Row],[Time_Spent_on_Product_Research(hours)]]*60</f>
        <v>120</v>
      </c>
      <c r="AW995" t="str">
        <f>tbl_OriginalData[[#This Row],[Social_Media_Influence]]</f>
        <v>Low</v>
      </c>
      <c r="AX995" t="str">
        <f>tbl_OriginalData[[#This Row],[Discount_Sensitivity]]</f>
        <v>Very Sensitive</v>
      </c>
      <c r="AY995" s="3">
        <f>tbl_OriginalData[[#This Row],[Return_Rate]]/tbl_OriginalData[[#This Row],[Frequency_of_Purchase]]</f>
        <v>0</v>
      </c>
      <c r="AZ995">
        <f>tbl_OriginalData[[#This Row],[Customer_Satisfaction]]</f>
        <v>6</v>
      </c>
      <c r="BA995" t="str">
        <f>tbl_OriginalData[[#This Row],[Engagement_with_Ads]]</f>
        <v>Low</v>
      </c>
      <c r="BB995" t="str">
        <f>tbl_OriginalData[[#This Row],[Device_Used_for_Shopping]]</f>
        <v>Tablet</v>
      </c>
      <c r="BC995" t="str">
        <f>tbl_OriginalData[[#This Row],[Payment_Method]]</f>
        <v>Cash</v>
      </c>
      <c r="BD995" s="1">
        <f>tbl_OriginalData[[#This Row],[Time_of_Purchase]]</f>
        <v>45379</v>
      </c>
      <c r="BE995" t="str">
        <f>IF(tbl_OriginalData[[#This Row],[Discount_Used]]=TRUE,"Yes","No")</f>
        <v>Yes</v>
      </c>
      <c r="BF995" t="str">
        <f>IF(tbl_OriginalData[[#This Row],[Customer_Loyalty_Program_Member]]=TRUE,"Yes","No")</f>
        <v>No</v>
      </c>
      <c r="BG995" t="str">
        <f>tbl_OriginalData[[#This Row],[Purchase_Intent]]</f>
        <v>Wants-based</v>
      </c>
      <c r="BH995" t="str">
        <f>tbl_OriginalData[[#This Row],[Shipping_Preference]]</f>
        <v>No Preference</v>
      </c>
      <c r="BI995">
        <f>tbl_OriginalData[[#This Row],[Time_to_Decision]]</f>
        <v>9</v>
      </c>
      <c r="BJ995" t="s">
        <v>47</v>
      </c>
      <c r="BK995" t="s">
        <v>48</v>
      </c>
      <c r="BL995" t="s">
        <v>2525</v>
      </c>
    </row>
    <row r="996" spans="1:64">
      <c r="A996" t="s">
        <v>2229</v>
      </c>
      <c r="B996">
        <v>26</v>
      </c>
      <c r="C996" t="s">
        <v>50</v>
      </c>
      <c r="D996" t="s">
        <v>51</v>
      </c>
      <c r="E996" t="s">
        <v>35</v>
      </c>
      <c r="F996" t="s">
        <v>36</v>
      </c>
      <c r="G996" t="s">
        <v>51</v>
      </c>
      <c r="H996" t="s">
        <v>2230</v>
      </c>
      <c r="I996" t="s">
        <v>54</v>
      </c>
      <c r="J996">
        <v>453.37</v>
      </c>
      <c r="K996">
        <v>10</v>
      </c>
      <c r="L996" t="s">
        <v>39</v>
      </c>
      <c r="M996">
        <v>1</v>
      </c>
      <c r="N996">
        <v>1</v>
      </c>
      <c r="O996">
        <v>2</v>
      </c>
      <c r="P996" t="s">
        <v>69</v>
      </c>
      <c r="Q996" t="s">
        <v>101</v>
      </c>
      <c r="R996">
        <v>0</v>
      </c>
      <c r="S996">
        <v>6</v>
      </c>
      <c r="T996" t="s">
        <v>51</v>
      </c>
      <c r="U996" t="s">
        <v>95</v>
      </c>
      <c r="V996" t="s">
        <v>43</v>
      </c>
      <c r="W996" s="1">
        <v>45362</v>
      </c>
      <c r="X996" t="b">
        <v>1</v>
      </c>
      <c r="Y996" t="b">
        <v>1</v>
      </c>
      <c r="Z996" t="s">
        <v>59</v>
      </c>
      <c r="AA996" t="s">
        <v>77</v>
      </c>
      <c r="AB996">
        <v>9</v>
      </c>
      <c r="AF996" t="str">
        <f>tbl_OriginalData[[#This Row],[Customer_ID]]</f>
        <v>77-241-7621</v>
      </c>
      <c r="AG996">
        <f>tbl_OriginalData[[#This Row],[Age]]</f>
        <v>26</v>
      </c>
      <c r="AH996" t="str" cm="1">
        <f t="array" ref="AH996">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96" t="str">
        <f>tbl_OriginalData[[#This Row],[Gender]]</f>
        <v>Male</v>
      </c>
      <c r="AJ996" t="str">
        <f>tbl_OriginalData[[#This Row],[Income_Level]]</f>
        <v>High</v>
      </c>
      <c r="AK996" t="str">
        <f>tbl_OriginalData[[#This Row],[Marital_Status]]</f>
        <v>Married</v>
      </c>
      <c r="AL996" t="str">
        <f>tbl_OriginalData[[#This Row],[Education_Level]]</f>
        <v>Bachelor's</v>
      </c>
      <c r="AM996" t="str">
        <f>tbl_OriginalData[[#This Row],[Occupation]]</f>
        <v>High</v>
      </c>
      <c r="AN996" t="s">
        <v>2230</v>
      </c>
      <c r="AO996" t="s">
        <v>90</v>
      </c>
      <c r="AP996" t="str">
        <f>tbl_OriginalData[[#This Row],[Purchase_Category]]</f>
        <v>Food &amp; Beverages</v>
      </c>
      <c r="AQ996" s="4">
        <f>tbl_OriginalData[[#This Row],[Purchase_Amount]]</f>
        <v>453.37</v>
      </c>
      <c r="AR996">
        <f>tbl_OriginalData[[#This Row],[Frequency_of_Purchase]]</f>
        <v>10</v>
      </c>
      <c r="AS996" t="str">
        <f>tbl_OriginalData[[#This Row],[Purchase_Channel]]</f>
        <v>Mixed</v>
      </c>
      <c r="AT996">
        <f>tbl_OriginalData[[#This Row],[Brand_Loyalty]]</f>
        <v>1</v>
      </c>
      <c r="AU996">
        <f>tbl_OriginalData[[#This Row],[Product_Rating]]</f>
        <v>1</v>
      </c>
      <c r="AV996">
        <f>tbl_OriginalData[[#This Row],[Time_Spent_on_Product_Research(hours)]]*60</f>
        <v>120</v>
      </c>
      <c r="AW996" t="str">
        <f>tbl_OriginalData[[#This Row],[Social_Media_Influence]]</f>
        <v>Low</v>
      </c>
      <c r="AX996" t="str">
        <f>tbl_OriginalData[[#This Row],[Discount_Sensitivity]]</f>
        <v>Very Sensitive</v>
      </c>
      <c r="AY996" s="3">
        <f>tbl_OriginalData[[#This Row],[Return_Rate]]/tbl_OriginalData[[#This Row],[Frequency_of_Purchase]]</f>
        <v>0</v>
      </c>
      <c r="AZ996">
        <f>tbl_OriginalData[[#This Row],[Customer_Satisfaction]]</f>
        <v>6</v>
      </c>
      <c r="BA996" t="str">
        <f>tbl_OriginalData[[#This Row],[Engagement_with_Ads]]</f>
        <v>High</v>
      </c>
      <c r="BB996" t="str">
        <f>tbl_OriginalData[[#This Row],[Device_Used_for_Shopping]]</f>
        <v>Desktop</v>
      </c>
      <c r="BC996" t="str">
        <f>tbl_OriginalData[[#This Row],[Payment_Method]]</f>
        <v>Credit Card</v>
      </c>
      <c r="BD996" s="1">
        <f>tbl_OriginalData[[#This Row],[Time_of_Purchase]]</f>
        <v>45362</v>
      </c>
      <c r="BE996" t="str">
        <f>IF(tbl_OriginalData[[#This Row],[Discount_Used]]=TRUE,"Yes","No")</f>
        <v>Yes</v>
      </c>
      <c r="BF996" t="str">
        <f>IF(tbl_OriginalData[[#This Row],[Customer_Loyalty_Program_Member]]=TRUE,"Yes","No")</f>
        <v>Yes</v>
      </c>
      <c r="BG996" t="str">
        <f>tbl_OriginalData[[#This Row],[Purchase_Intent]]</f>
        <v>Wants-based</v>
      </c>
      <c r="BH996" t="str">
        <f>tbl_OriginalData[[#This Row],[Shipping_Preference]]</f>
        <v>Express</v>
      </c>
      <c r="BI996">
        <f>tbl_OriginalData[[#This Row],[Time_to_Decision]]</f>
        <v>9</v>
      </c>
      <c r="BJ996" t="s">
        <v>47</v>
      </c>
      <c r="BK996" t="s">
        <v>48</v>
      </c>
      <c r="BL996" t="s">
        <v>2524</v>
      </c>
    </row>
    <row r="997" spans="1:64">
      <c r="A997" t="s">
        <v>2231</v>
      </c>
      <c r="B997">
        <v>21</v>
      </c>
      <c r="C997" t="s">
        <v>33</v>
      </c>
      <c r="D997" t="s">
        <v>51</v>
      </c>
      <c r="E997" t="s">
        <v>82</v>
      </c>
      <c r="F997" t="s">
        <v>36</v>
      </c>
      <c r="G997" t="s">
        <v>34</v>
      </c>
      <c r="H997" t="s">
        <v>2232</v>
      </c>
      <c r="I997" t="s">
        <v>153</v>
      </c>
      <c r="J997">
        <v>106.15</v>
      </c>
      <c r="K997">
        <v>12</v>
      </c>
      <c r="L997" t="s">
        <v>55</v>
      </c>
      <c r="M997">
        <v>4</v>
      </c>
      <c r="N997">
        <v>4</v>
      </c>
      <c r="O997">
        <v>0.3</v>
      </c>
      <c r="P997" t="s">
        <v>69</v>
      </c>
      <c r="Q997" t="s">
        <v>41</v>
      </c>
      <c r="R997">
        <v>0</v>
      </c>
      <c r="S997">
        <v>5</v>
      </c>
      <c r="T997" t="s">
        <v>56</v>
      </c>
      <c r="U997" t="s">
        <v>95</v>
      </c>
      <c r="V997" t="s">
        <v>102</v>
      </c>
      <c r="W997" s="1">
        <v>45381</v>
      </c>
      <c r="X997" t="b">
        <v>1</v>
      </c>
      <c r="Y997" t="b">
        <v>1</v>
      </c>
      <c r="Z997" t="s">
        <v>72</v>
      </c>
      <c r="AA997" t="s">
        <v>60</v>
      </c>
      <c r="AB997">
        <v>8</v>
      </c>
      <c r="AF997" t="str">
        <f>tbl_OriginalData[[#This Row],[Customer_ID]]</f>
        <v>53-091-2176</v>
      </c>
      <c r="AG997">
        <f>tbl_OriginalData[[#This Row],[Age]]</f>
        <v>21</v>
      </c>
      <c r="AH997" t="str" cm="1">
        <f t="array" ref="AH997">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97" t="str">
        <f>tbl_OriginalData[[#This Row],[Gender]]</f>
        <v>Female</v>
      </c>
      <c r="AJ997" t="str">
        <f>tbl_OriginalData[[#This Row],[Income_Level]]</f>
        <v>High</v>
      </c>
      <c r="AK997" t="str">
        <f>tbl_OriginalData[[#This Row],[Marital_Status]]</f>
        <v>Widowed</v>
      </c>
      <c r="AL997" t="str">
        <f>tbl_OriginalData[[#This Row],[Education_Level]]</f>
        <v>Bachelor's</v>
      </c>
      <c r="AM997" t="str">
        <f>tbl_OriginalData[[#This Row],[Occupation]]</f>
        <v>Middle</v>
      </c>
      <c r="AN997" t="s">
        <v>2232</v>
      </c>
      <c r="AO997" t="s">
        <v>46</v>
      </c>
      <c r="AP997" t="str">
        <f>tbl_OriginalData[[#This Row],[Purchase_Category]]</f>
        <v>Baby Products</v>
      </c>
      <c r="AQ997" s="4">
        <f>tbl_OriginalData[[#This Row],[Purchase_Amount]]</f>
        <v>106.15</v>
      </c>
      <c r="AR997">
        <f>tbl_OriginalData[[#This Row],[Frequency_of_Purchase]]</f>
        <v>12</v>
      </c>
      <c r="AS997" t="str">
        <f>tbl_OriginalData[[#This Row],[Purchase_Channel]]</f>
        <v>In-Store</v>
      </c>
      <c r="AT997">
        <f>tbl_OriginalData[[#This Row],[Brand_Loyalty]]</f>
        <v>4</v>
      </c>
      <c r="AU997">
        <f>tbl_OriginalData[[#This Row],[Product_Rating]]</f>
        <v>4</v>
      </c>
      <c r="AV997">
        <f>tbl_OriginalData[[#This Row],[Time_Spent_on_Product_Research(hours)]]*60</f>
        <v>18</v>
      </c>
      <c r="AW997" t="str">
        <f>tbl_OriginalData[[#This Row],[Social_Media_Influence]]</f>
        <v>Low</v>
      </c>
      <c r="AX997" t="str">
        <f>tbl_OriginalData[[#This Row],[Discount_Sensitivity]]</f>
        <v>Somewhat Sensitive</v>
      </c>
      <c r="AY997" s="3">
        <f>tbl_OriginalData[[#This Row],[Return_Rate]]/tbl_OriginalData[[#This Row],[Frequency_of_Purchase]]</f>
        <v>0</v>
      </c>
      <c r="AZ997">
        <f>tbl_OriginalData[[#This Row],[Customer_Satisfaction]]</f>
        <v>5</v>
      </c>
      <c r="BA997" t="str">
        <f>tbl_OriginalData[[#This Row],[Engagement_with_Ads]]</f>
        <v>Medium</v>
      </c>
      <c r="BB997" t="str">
        <f>tbl_OriginalData[[#This Row],[Device_Used_for_Shopping]]</f>
        <v>Desktop</v>
      </c>
      <c r="BC997" t="str">
        <f>tbl_OriginalData[[#This Row],[Payment_Method]]</f>
        <v>Cash</v>
      </c>
      <c r="BD997" s="1">
        <f>tbl_OriginalData[[#This Row],[Time_of_Purchase]]</f>
        <v>45381</v>
      </c>
      <c r="BE997" t="str">
        <f>IF(tbl_OriginalData[[#This Row],[Discount_Used]]=TRUE,"Yes","No")</f>
        <v>Yes</v>
      </c>
      <c r="BF997" t="str">
        <f>IF(tbl_OriginalData[[#This Row],[Customer_Loyalty_Program_Member]]=TRUE,"Yes","No")</f>
        <v>Yes</v>
      </c>
      <c r="BG997" t="str">
        <f>tbl_OriginalData[[#This Row],[Purchase_Intent]]</f>
        <v>Impulsive</v>
      </c>
      <c r="BH997" t="str">
        <f>tbl_OriginalData[[#This Row],[Shipping_Preference]]</f>
        <v>Standard</v>
      </c>
      <c r="BI997">
        <f>tbl_OriginalData[[#This Row],[Time_to_Decision]]</f>
        <v>8</v>
      </c>
      <c r="BJ997" t="s">
        <v>47</v>
      </c>
      <c r="BK997" t="s">
        <v>48</v>
      </c>
      <c r="BL997" t="s">
        <v>2523</v>
      </c>
    </row>
    <row r="998" spans="1:64">
      <c r="A998" t="s">
        <v>2233</v>
      </c>
      <c r="B998">
        <v>21</v>
      </c>
      <c r="C998" t="s">
        <v>33</v>
      </c>
      <c r="D998" t="s">
        <v>34</v>
      </c>
      <c r="E998" t="s">
        <v>65</v>
      </c>
      <c r="F998" t="s">
        <v>52</v>
      </c>
      <c r="G998" t="s">
        <v>51</v>
      </c>
      <c r="H998" t="s">
        <v>2234</v>
      </c>
      <c r="I998" t="s">
        <v>131</v>
      </c>
      <c r="J998">
        <v>378.47</v>
      </c>
      <c r="K998">
        <v>6</v>
      </c>
      <c r="L998" t="s">
        <v>94</v>
      </c>
      <c r="M998">
        <v>5</v>
      </c>
      <c r="N998">
        <v>2</v>
      </c>
      <c r="O998">
        <v>0.33</v>
      </c>
      <c r="P998" t="s">
        <v>56</v>
      </c>
      <c r="Q998" t="s">
        <v>57</v>
      </c>
      <c r="R998">
        <v>1</v>
      </c>
      <c r="S998">
        <v>10</v>
      </c>
      <c r="T998" t="s">
        <v>69</v>
      </c>
      <c r="U998" t="s">
        <v>42</v>
      </c>
      <c r="V998" t="s">
        <v>76</v>
      </c>
      <c r="W998" s="1">
        <v>45634</v>
      </c>
      <c r="X998" t="b">
        <v>0</v>
      </c>
      <c r="Y998" t="b">
        <v>0</v>
      </c>
      <c r="Z998" t="s">
        <v>89</v>
      </c>
      <c r="AA998" t="s">
        <v>77</v>
      </c>
      <c r="AB998">
        <v>2</v>
      </c>
      <c r="AF998" t="str">
        <f>tbl_OriginalData[[#This Row],[Customer_ID]]</f>
        <v>48-203-9118</v>
      </c>
      <c r="AG998">
        <f>tbl_OriginalData[[#This Row],[Age]]</f>
        <v>21</v>
      </c>
      <c r="AH998" t="str" cm="1">
        <f t="array" ref="AH998">_xlfn.IFS(AND(tbl_CleanedData[[#This Row],[Age]]&lt;20,tbl_CleanedData[[#This Row],[Age]]&gt;=10),"10-19",AND(tbl_CleanedData[[#This Row],[Age]]&lt;30,tbl_CleanedData[[#This Row],[Age]]&gt;=20),"20-29",AND(tbl_CleanedData[[#This Row],[Age]]&lt;40,tbl_CleanedData[[#This Row],[Age]]&gt;=30),"30-39",AND(tbl_CleanedData[[#This Row],[Age]]&lt;=50,tbl_CleanedData[[#This Row],[Age]]&gt;=40),"40-50")</f>
        <v>20-29</v>
      </c>
      <c r="AI998" t="str">
        <f>tbl_OriginalData[[#This Row],[Gender]]</f>
        <v>Female</v>
      </c>
      <c r="AJ998" t="str">
        <f>tbl_OriginalData[[#This Row],[Income_Level]]</f>
        <v>Middle</v>
      </c>
      <c r="AK998" t="str">
        <f>tbl_OriginalData[[#This Row],[Marital_Status]]</f>
        <v>Single</v>
      </c>
      <c r="AL998" t="str">
        <f>tbl_OriginalData[[#This Row],[Education_Level]]</f>
        <v>High School</v>
      </c>
      <c r="AM998" t="str">
        <f>tbl_OriginalData[[#This Row],[Occupation]]</f>
        <v>High</v>
      </c>
      <c r="AN998" t="s">
        <v>2234</v>
      </c>
      <c r="AO998" t="s">
        <v>61</v>
      </c>
      <c r="AP998" t="str">
        <f>tbl_OriginalData[[#This Row],[Purchase_Category]]</f>
        <v>Health Care</v>
      </c>
      <c r="AQ998" s="4">
        <f>tbl_OriginalData[[#This Row],[Purchase_Amount]]</f>
        <v>378.47</v>
      </c>
      <c r="AR998">
        <f>tbl_OriginalData[[#This Row],[Frequency_of_Purchase]]</f>
        <v>6</v>
      </c>
      <c r="AS998" t="str">
        <f>tbl_OriginalData[[#This Row],[Purchase_Channel]]</f>
        <v>Online</v>
      </c>
      <c r="AT998">
        <f>tbl_OriginalData[[#This Row],[Brand_Loyalty]]</f>
        <v>5</v>
      </c>
      <c r="AU998">
        <f>tbl_OriginalData[[#This Row],[Product_Rating]]</f>
        <v>2</v>
      </c>
      <c r="AV998">
        <f>tbl_OriginalData[[#This Row],[Time_Spent_on_Product_Research(hours)]]*60</f>
        <v>19.8</v>
      </c>
      <c r="AW998" t="str">
        <f>tbl_OriginalData[[#This Row],[Social_Media_Influence]]</f>
        <v>Medium</v>
      </c>
      <c r="AX998" t="str">
        <f>tbl_OriginalData[[#This Row],[Discount_Sensitivity]]</f>
        <v>Not Sensitive</v>
      </c>
      <c r="AY998" s="3">
        <f>tbl_OriginalData[[#This Row],[Return_Rate]]/tbl_OriginalData[[#This Row],[Frequency_of_Purchase]]</f>
        <v>0.16666666666666666</v>
      </c>
      <c r="AZ998">
        <f>tbl_OriginalData[[#This Row],[Customer_Satisfaction]]</f>
        <v>10</v>
      </c>
      <c r="BA998" t="str">
        <f>tbl_OriginalData[[#This Row],[Engagement_with_Ads]]</f>
        <v>Low</v>
      </c>
      <c r="BB998" t="str">
        <f>tbl_OriginalData[[#This Row],[Device_Used_for_Shopping]]</f>
        <v>Tablet</v>
      </c>
      <c r="BC998" t="str">
        <f>tbl_OriginalData[[#This Row],[Payment_Method]]</f>
        <v>Other</v>
      </c>
      <c r="BD998" s="1">
        <f>tbl_OriginalData[[#This Row],[Time_of_Purchase]]</f>
        <v>45634</v>
      </c>
      <c r="BE998" t="str">
        <f>IF(tbl_OriginalData[[#This Row],[Discount_Used]]=TRUE,"Yes","No")</f>
        <v>No</v>
      </c>
      <c r="BF998" t="str">
        <f>IF(tbl_OriginalData[[#This Row],[Customer_Loyalty_Program_Member]]=TRUE,"Yes","No")</f>
        <v>No</v>
      </c>
      <c r="BG998" t="str">
        <f>tbl_OriginalData[[#This Row],[Purchase_Intent]]</f>
        <v>Planned</v>
      </c>
      <c r="BH998" t="str">
        <f>tbl_OriginalData[[#This Row],[Shipping_Preference]]</f>
        <v>Express</v>
      </c>
      <c r="BI998">
        <f>tbl_OriginalData[[#This Row],[Time_to_Decision]]</f>
        <v>2</v>
      </c>
      <c r="BJ998" t="s">
        <v>120</v>
      </c>
      <c r="BK998" t="s">
        <v>80</v>
      </c>
      <c r="BL998" t="s">
        <v>2524</v>
      </c>
    </row>
    <row r="999" spans="1:64">
      <c r="AF999" t="s">
        <v>2513</v>
      </c>
      <c r="AQ999" s="16">
        <f>SUBTOTAL(109,tbl_CleanedData[Purchase_Amount ])</f>
        <v>274291.19000000006</v>
      </c>
      <c r="BK999">
        <f>SUBTOTAL(103,tbl_CleanedData[Purchase_Quarter])</f>
        <v>997</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7BE4B-84E6-43EA-8470-FADF6FF274BB}">
  <sheetPr>
    <tabColor rgb="FF00B050"/>
  </sheetPr>
  <dimension ref="B1:F35"/>
  <sheetViews>
    <sheetView workbookViewId="0">
      <selection activeCell="AK16" sqref="AK16"/>
    </sheetView>
  </sheetViews>
  <sheetFormatPr defaultRowHeight="15"/>
  <cols>
    <col min="1" max="1" width="2.140625" customWidth="1"/>
    <col min="2" max="2" width="41.42578125" bestFit="1" customWidth="1"/>
    <col min="3" max="3" width="12.85546875" bestFit="1" customWidth="1"/>
    <col min="4" max="4" width="9.7109375" bestFit="1" customWidth="1"/>
    <col min="5" max="5" width="53.42578125" bestFit="1" customWidth="1"/>
    <col min="6" max="6" width="71.42578125" bestFit="1" customWidth="1"/>
  </cols>
  <sheetData>
    <row r="1" spans="2:6" ht="28.5">
      <c r="B1" s="8" t="s">
        <v>2429</v>
      </c>
      <c r="C1" s="7"/>
      <c r="D1" s="7"/>
      <c r="E1" s="7"/>
      <c r="F1" s="7"/>
    </row>
    <row r="3" spans="2:6">
      <c r="B3" s="10" t="s">
        <v>2421</v>
      </c>
      <c r="C3" s="9" t="s">
        <v>2422</v>
      </c>
      <c r="D3" s="9" t="s">
        <v>2423</v>
      </c>
      <c r="E3" s="9" t="s">
        <v>2424</v>
      </c>
      <c r="F3" s="9" t="s">
        <v>2428</v>
      </c>
    </row>
    <row r="4" spans="2:6">
      <c r="B4" s="11" t="s">
        <v>0</v>
      </c>
      <c r="C4" t="s">
        <v>2426</v>
      </c>
      <c r="D4" t="s">
        <v>2432</v>
      </c>
      <c r="E4" t="s">
        <v>2433</v>
      </c>
      <c r="F4" t="s">
        <v>2434</v>
      </c>
    </row>
    <row r="5" spans="2:6">
      <c r="B5" s="11" t="s">
        <v>1</v>
      </c>
      <c r="C5" t="s">
        <v>2425</v>
      </c>
      <c r="D5" t="s">
        <v>2435</v>
      </c>
      <c r="E5" t="s">
        <v>2436</v>
      </c>
      <c r="F5" t="s">
        <v>2437</v>
      </c>
    </row>
    <row r="6" spans="2:6">
      <c r="B6" s="11" t="s">
        <v>2431</v>
      </c>
      <c r="C6" t="s">
        <v>2426</v>
      </c>
      <c r="D6" t="s">
        <v>2432</v>
      </c>
      <c r="E6" t="s">
        <v>2438</v>
      </c>
      <c r="F6" t="s">
        <v>2439</v>
      </c>
    </row>
    <row r="7" spans="2:6">
      <c r="B7" s="11" t="s">
        <v>2</v>
      </c>
      <c r="C7" t="s">
        <v>2426</v>
      </c>
      <c r="D7" t="s">
        <v>2432</v>
      </c>
      <c r="E7" t="s">
        <v>2440</v>
      </c>
      <c r="F7" t="s">
        <v>2441</v>
      </c>
    </row>
    <row r="8" spans="2:6">
      <c r="B8" s="11" t="s">
        <v>3</v>
      </c>
      <c r="C8" t="s">
        <v>2426</v>
      </c>
      <c r="D8" t="s">
        <v>2432</v>
      </c>
      <c r="E8" t="s">
        <v>2442</v>
      </c>
      <c r="F8" t="s">
        <v>2443</v>
      </c>
    </row>
    <row r="9" spans="2:6">
      <c r="B9" s="11" t="s">
        <v>4</v>
      </c>
      <c r="C9" t="s">
        <v>2426</v>
      </c>
      <c r="D9" t="s">
        <v>2432</v>
      </c>
      <c r="E9" t="s">
        <v>2444</v>
      </c>
      <c r="F9" t="s">
        <v>2445</v>
      </c>
    </row>
    <row r="10" spans="2:6">
      <c r="B10" s="11" t="s">
        <v>5</v>
      </c>
      <c r="C10" t="s">
        <v>2426</v>
      </c>
      <c r="D10" t="s">
        <v>2432</v>
      </c>
      <c r="E10" t="s">
        <v>2446</v>
      </c>
      <c r="F10" t="s">
        <v>2447</v>
      </c>
    </row>
    <row r="11" spans="2:6">
      <c r="B11" s="11" t="s">
        <v>6</v>
      </c>
      <c r="C11" t="s">
        <v>2426</v>
      </c>
      <c r="D11" t="s">
        <v>2432</v>
      </c>
      <c r="E11" t="s">
        <v>2442</v>
      </c>
      <c r="F11" t="s">
        <v>2448</v>
      </c>
    </row>
    <row r="12" spans="2:6">
      <c r="B12" s="11" t="s">
        <v>2235</v>
      </c>
      <c r="C12" t="s">
        <v>2426</v>
      </c>
      <c r="D12" t="s">
        <v>2432</v>
      </c>
      <c r="E12" t="s">
        <v>2449</v>
      </c>
      <c r="F12" t="s">
        <v>2450</v>
      </c>
    </row>
    <row r="13" spans="2:6">
      <c r="B13" s="11" t="s">
        <v>28</v>
      </c>
      <c r="C13" t="s">
        <v>2426</v>
      </c>
      <c r="D13" t="s">
        <v>2432</v>
      </c>
      <c r="E13" t="s">
        <v>2451</v>
      </c>
      <c r="F13" t="s">
        <v>2452</v>
      </c>
    </row>
    <row r="14" spans="2:6">
      <c r="B14" s="11" t="s">
        <v>8</v>
      </c>
      <c r="C14" t="s">
        <v>2426</v>
      </c>
      <c r="D14" t="s">
        <v>2432</v>
      </c>
      <c r="E14" t="s">
        <v>2453</v>
      </c>
      <c r="F14" t="s">
        <v>2454</v>
      </c>
    </row>
    <row r="15" spans="2:6">
      <c r="B15" s="11" t="s">
        <v>2430</v>
      </c>
      <c r="C15" t="s">
        <v>2425</v>
      </c>
      <c r="D15" t="s">
        <v>2455</v>
      </c>
      <c r="E15" t="s">
        <v>2456</v>
      </c>
      <c r="F15" t="s">
        <v>2457</v>
      </c>
    </row>
    <row r="16" spans="2:6">
      <c r="B16" s="11" t="s">
        <v>10</v>
      </c>
      <c r="C16" t="s">
        <v>2425</v>
      </c>
      <c r="D16" t="s">
        <v>2435</v>
      </c>
      <c r="E16" t="s">
        <v>2458</v>
      </c>
      <c r="F16" t="s">
        <v>2459</v>
      </c>
    </row>
    <row r="17" spans="2:6">
      <c r="B17" s="11" t="s">
        <v>11</v>
      </c>
      <c r="C17" t="s">
        <v>2426</v>
      </c>
      <c r="D17" t="s">
        <v>2432</v>
      </c>
      <c r="E17" t="s">
        <v>2460</v>
      </c>
      <c r="F17" t="s">
        <v>2461</v>
      </c>
    </row>
    <row r="18" spans="2:6">
      <c r="B18" s="11" t="s">
        <v>12</v>
      </c>
      <c r="C18" t="s">
        <v>2425</v>
      </c>
      <c r="D18" t="s">
        <v>2435</v>
      </c>
      <c r="E18" t="s">
        <v>2462</v>
      </c>
      <c r="F18" t="s">
        <v>2491</v>
      </c>
    </row>
    <row r="19" spans="2:6">
      <c r="B19" s="11" t="s">
        <v>13</v>
      </c>
      <c r="C19" t="s">
        <v>2425</v>
      </c>
      <c r="D19" t="s">
        <v>2435</v>
      </c>
      <c r="E19" t="s">
        <v>2463</v>
      </c>
      <c r="F19" t="s">
        <v>2492</v>
      </c>
    </row>
    <row r="20" spans="2:6">
      <c r="B20" s="11" t="s">
        <v>29</v>
      </c>
      <c r="C20" t="s">
        <v>2425</v>
      </c>
      <c r="D20" t="s">
        <v>2435</v>
      </c>
      <c r="E20" t="s">
        <v>2464</v>
      </c>
      <c r="F20" t="s">
        <v>2465</v>
      </c>
    </row>
    <row r="21" spans="2:6">
      <c r="B21" s="11" t="s">
        <v>15</v>
      </c>
      <c r="C21" t="s">
        <v>2426</v>
      </c>
      <c r="D21" t="s">
        <v>2432</v>
      </c>
      <c r="E21" t="s">
        <v>2466</v>
      </c>
      <c r="F21" t="s">
        <v>2467</v>
      </c>
    </row>
    <row r="22" spans="2:6">
      <c r="B22" s="11" t="s">
        <v>16</v>
      </c>
      <c r="C22" t="s">
        <v>2426</v>
      </c>
      <c r="D22" t="s">
        <v>2432</v>
      </c>
      <c r="E22" t="s">
        <v>2468</v>
      </c>
      <c r="F22" t="s">
        <v>2469</v>
      </c>
    </row>
    <row r="23" spans="2:6">
      <c r="B23" s="11" t="s">
        <v>17</v>
      </c>
      <c r="C23" t="s">
        <v>2425</v>
      </c>
      <c r="D23" t="s">
        <v>2455</v>
      </c>
      <c r="E23" t="s">
        <v>2496</v>
      </c>
      <c r="F23" t="s">
        <v>2470</v>
      </c>
    </row>
    <row r="24" spans="2:6">
      <c r="B24" s="11" t="s">
        <v>18</v>
      </c>
      <c r="C24" t="s">
        <v>2425</v>
      </c>
      <c r="D24" t="s">
        <v>2435</v>
      </c>
      <c r="E24" t="s">
        <v>2471</v>
      </c>
      <c r="F24" t="s">
        <v>2493</v>
      </c>
    </row>
    <row r="25" spans="2:6">
      <c r="B25" s="11" t="s">
        <v>19</v>
      </c>
      <c r="C25" t="s">
        <v>2426</v>
      </c>
      <c r="D25" t="s">
        <v>2432</v>
      </c>
      <c r="E25" t="s">
        <v>2472</v>
      </c>
      <c r="F25" t="s">
        <v>2473</v>
      </c>
    </row>
    <row r="26" spans="2:6">
      <c r="B26" s="11" t="s">
        <v>20</v>
      </c>
      <c r="C26" t="s">
        <v>2426</v>
      </c>
      <c r="D26" t="s">
        <v>2432</v>
      </c>
      <c r="E26" t="s">
        <v>2474</v>
      </c>
      <c r="F26" t="s">
        <v>2475</v>
      </c>
    </row>
    <row r="27" spans="2:6">
      <c r="B27" s="11" t="s">
        <v>21</v>
      </c>
      <c r="C27" t="s">
        <v>2426</v>
      </c>
      <c r="D27" t="s">
        <v>2432</v>
      </c>
      <c r="E27" t="s">
        <v>2476</v>
      </c>
      <c r="F27" t="s">
        <v>2477</v>
      </c>
    </row>
    <row r="28" spans="2:6">
      <c r="B28" s="11" t="s">
        <v>22</v>
      </c>
      <c r="C28" t="s">
        <v>2425</v>
      </c>
      <c r="D28" t="s">
        <v>2427</v>
      </c>
      <c r="E28" t="s">
        <v>2494</v>
      </c>
      <c r="F28" t="s">
        <v>2495</v>
      </c>
    </row>
    <row r="29" spans="2:6">
      <c r="B29" s="11" t="s">
        <v>23</v>
      </c>
      <c r="C29" t="s">
        <v>2426</v>
      </c>
      <c r="D29" t="s">
        <v>2432</v>
      </c>
      <c r="E29" t="s">
        <v>2478</v>
      </c>
      <c r="F29" t="s">
        <v>2479</v>
      </c>
    </row>
    <row r="30" spans="2:6">
      <c r="B30" s="11" t="s">
        <v>24</v>
      </c>
      <c r="C30" t="s">
        <v>2426</v>
      </c>
      <c r="D30" t="s">
        <v>2432</v>
      </c>
      <c r="E30" t="s">
        <v>2478</v>
      </c>
      <c r="F30" t="s">
        <v>2480</v>
      </c>
    </row>
    <row r="31" spans="2:6">
      <c r="B31" s="11" t="s">
        <v>25</v>
      </c>
      <c r="C31" t="s">
        <v>2426</v>
      </c>
      <c r="D31" t="s">
        <v>2432</v>
      </c>
      <c r="E31" t="s">
        <v>2481</v>
      </c>
      <c r="F31" t="s">
        <v>2482</v>
      </c>
    </row>
    <row r="32" spans="2:6">
      <c r="B32" s="11" t="s">
        <v>26</v>
      </c>
      <c r="C32" t="s">
        <v>2426</v>
      </c>
      <c r="D32" t="s">
        <v>2432</v>
      </c>
      <c r="E32" t="s">
        <v>2483</v>
      </c>
      <c r="F32" t="s">
        <v>2484</v>
      </c>
    </row>
    <row r="33" spans="2:6">
      <c r="B33" s="11" t="s">
        <v>27</v>
      </c>
      <c r="C33" t="s">
        <v>2425</v>
      </c>
      <c r="D33" t="s">
        <v>2435</v>
      </c>
      <c r="E33" t="s">
        <v>2485</v>
      </c>
      <c r="F33" t="s">
        <v>2486</v>
      </c>
    </row>
    <row r="34" spans="2:6">
      <c r="B34" s="11" t="s">
        <v>30</v>
      </c>
      <c r="C34" t="s">
        <v>2426</v>
      </c>
      <c r="D34" t="s">
        <v>2432</v>
      </c>
      <c r="E34" t="s">
        <v>2487</v>
      </c>
      <c r="F34" t="s">
        <v>2488</v>
      </c>
    </row>
    <row r="35" spans="2:6">
      <c r="B35" s="11" t="s">
        <v>31</v>
      </c>
      <c r="C35" t="s">
        <v>2426</v>
      </c>
      <c r="D35" t="s">
        <v>2432</v>
      </c>
      <c r="E35" t="s">
        <v>2489</v>
      </c>
      <c r="F35" t="s">
        <v>2490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9B2C3-8B7C-4488-B8D4-DA5C53A6E361}">
  <sheetPr>
    <tabColor rgb="FF00B050"/>
  </sheetPr>
  <dimension ref="B1:G25"/>
  <sheetViews>
    <sheetView showGridLines="0" workbookViewId="0">
      <selection activeCell="AK16" sqref="AK16"/>
    </sheetView>
  </sheetViews>
  <sheetFormatPr defaultRowHeight="15"/>
  <cols>
    <col min="1" max="1" width="2.140625" customWidth="1"/>
    <col min="2" max="2" width="3.85546875" customWidth="1"/>
    <col min="3" max="3" width="2.140625" customWidth="1"/>
    <col min="4" max="4" width="12.85546875" bestFit="1" customWidth="1"/>
    <col min="5" max="5" width="9.7109375" bestFit="1" customWidth="1"/>
    <col min="6" max="6" width="53.42578125" bestFit="1" customWidth="1"/>
    <col min="7" max="7" width="71.42578125" bestFit="1" customWidth="1"/>
  </cols>
  <sheetData>
    <row r="1" spans="2:7" ht="28.5">
      <c r="B1" s="8" t="s">
        <v>2497</v>
      </c>
      <c r="C1" s="8"/>
      <c r="D1" s="7"/>
      <c r="E1" s="7"/>
      <c r="F1" s="7"/>
      <c r="G1" s="7"/>
    </row>
    <row r="2" spans="2:7" ht="10.5" customHeight="1">
      <c r="B2" s="14"/>
      <c r="C2" s="14"/>
    </row>
    <row r="3" spans="2:7">
      <c r="C3" s="5" t="s">
        <v>2498</v>
      </c>
    </row>
    <row r="4" spans="2:7">
      <c r="D4" s="12" t="s">
        <v>2499</v>
      </c>
    </row>
    <row r="6" spans="2:7">
      <c r="C6" s="5" t="s">
        <v>2500</v>
      </c>
    </row>
    <row r="7" spans="2:7">
      <c r="D7" s="12" t="s">
        <v>2530</v>
      </c>
    </row>
    <row r="8" spans="2:7">
      <c r="D8" s="12" t="s">
        <v>2501</v>
      </c>
    </row>
    <row r="9" spans="2:7">
      <c r="D9" s="13" t="s">
        <v>2511</v>
      </c>
    </row>
    <row r="10" spans="2:7">
      <c r="D10" s="12" t="s">
        <v>2502</v>
      </c>
    </row>
    <row r="11" spans="2:7">
      <c r="D11" s="12" t="s">
        <v>2512</v>
      </c>
    </row>
    <row r="13" spans="2:7">
      <c r="C13" s="5" t="s">
        <v>2503</v>
      </c>
    </row>
    <row r="14" spans="2:7">
      <c r="D14" s="12" t="s">
        <v>2504</v>
      </c>
    </row>
    <row r="16" spans="2:7">
      <c r="C16" s="5" t="s">
        <v>2505</v>
      </c>
    </row>
    <row r="17" spans="3:4">
      <c r="D17" s="12" t="s">
        <v>2506</v>
      </c>
    </row>
    <row r="19" spans="3:4">
      <c r="C19" s="5" t="s">
        <v>2507</v>
      </c>
    </row>
    <row r="20" spans="3:4">
      <c r="D20" s="12" t="s">
        <v>2508</v>
      </c>
    </row>
    <row r="22" spans="3:4">
      <c r="C22" s="5" t="s">
        <v>2509</v>
      </c>
    </row>
    <row r="23" spans="3:4">
      <c r="D23" s="12" t="s">
        <v>2510</v>
      </c>
    </row>
    <row r="25" spans="3:4">
      <c r="C25" s="5" t="s">
        <v>2531</v>
      </c>
    </row>
  </sheetData>
  <hyperlinks>
    <hyperlink ref="D9" r:id="rId1" display="https://chatgpt.com/share/689e14be-3640-800a-9a73-c71c71415981" xr:uid="{736D8D2A-10AF-4D56-91A4-DD411F7AB558}"/>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16E07-68E4-4D8A-BD81-A038481A37E3}">
  <sheetPr>
    <tabColor theme="4" tint="-0.249977111117893"/>
  </sheetPr>
  <dimension ref="A1"/>
  <sheetViews>
    <sheetView showGridLines="0" showRowColHeaders="0" tabSelected="1" zoomScaleNormal="100" workbookViewId="0"/>
  </sheetViews>
  <sheetFormatPr defaultRowHeight="15"/>
  <cols>
    <col min="16" max="16" width="11.5703125" bestFit="1" customWidth="1"/>
    <col min="17" max="17" width="12" bestFit="1" customWidth="1"/>
    <col min="18" max="18" width="8.7109375"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CE6A4-8BAE-4AC8-A689-6CBF673A9434}">
  <sheetPr filterMode="1">
    <tabColor theme="5"/>
  </sheetPr>
  <dimension ref="B1:CE47"/>
  <sheetViews>
    <sheetView topLeftCell="BR1" zoomScale="70" zoomScaleNormal="70" workbookViewId="0"/>
  </sheetViews>
  <sheetFormatPr defaultRowHeight="15"/>
  <cols>
    <col min="2" max="2" width="29.5703125" bestFit="1" customWidth="1"/>
    <col min="3" max="3" width="26.85546875" bestFit="1" customWidth="1"/>
    <col min="4" max="4" width="41.42578125" bestFit="1" customWidth="1"/>
    <col min="5" max="5" width="28.5703125" bestFit="1" customWidth="1"/>
    <col min="6" max="6" width="20.85546875" bestFit="1" customWidth="1"/>
    <col min="7" max="7" width="28.5703125" bestFit="1" customWidth="1"/>
    <col min="8" max="12" width="3.42578125" bestFit="1" customWidth="1"/>
    <col min="16" max="16" width="9.140625" style="29"/>
    <col min="18" max="18" width="24" bestFit="1" customWidth="1"/>
    <col min="19" max="19" width="32.42578125" bestFit="1" customWidth="1"/>
    <col min="31" max="31" width="9.140625" style="29"/>
    <col min="33" max="33" width="48.28515625" bestFit="1" customWidth="1"/>
    <col min="34" max="34" width="25.7109375" bestFit="1" customWidth="1"/>
    <col min="35" max="35" width="12.5703125" bestFit="1" customWidth="1"/>
    <col min="36" max="36" width="32.42578125" bestFit="1" customWidth="1"/>
    <col min="37" max="37" width="34.85546875" bestFit="1" customWidth="1"/>
    <col min="44" max="44" width="9.140625" style="29"/>
    <col min="47" max="47" width="32.42578125" bestFit="1" customWidth="1"/>
    <col min="48" max="48" width="20.5703125" bestFit="1" customWidth="1"/>
    <col min="49" max="49" width="13.42578125" bestFit="1" customWidth="1"/>
    <col min="50" max="51" width="8.42578125" bestFit="1" customWidth="1"/>
    <col min="63" max="63" width="9.140625" style="6"/>
    <col min="65" max="65" width="11.85546875" customWidth="1"/>
    <col min="66" max="66" width="27.85546875" bestFit="1" customWidth="1"/>
    <col min="67" max="67" width="29.5703125" bestFit="1" customWidth="1"/>
    <col min="82" max="82" width="34.7109375" bestFit="1" customWidth="1"/>
    <col min="83" max="83" width="10.5703125" bestFit="1" customWidth="1"/>
  </cols>
  <sheetData>
    <row r="1" spans="2:83" ht="15.75">
      <c r="B1" t="s">
        <v>2533</v>
      </c>
      <c r="R1" s="30" t="s">
        <v>2534</v>
      </c>
      <c r="AG1" t="s">
        <v>2535</v>
      </c>
      <c r="AU1" t="s">
        <v>2536</v>
      </c>
      <c r="BN1" t="s">
        <v>2537</v>
      </c>
      <c r="CD1" s="31" t="s">
        <v>2538</v>
      </c>
    </row>
    <row r="2" spans="2:83">
      <c r="CD2" s="20">
        <f>AVERAGE(Customer_Satisfaction)</f>
        <v>5.399</v>
      </c>
    </row>
    <row r="3" spans="2:83">
      <c r="B3" s="23" t="s">
        <v>26</v>
      </c>
      <c r="C3" s="20" t="s">
        <v>2520</v>
      </c>
      <c r="D3" s="20" t="s">
        <v>2532</v>
      </c>
      <c r="AG3" t="s">
        <v>23</v>
      </c>
      <c r="AH3" t="s">
        <v>2539</v>
      </c>
      <c r="AI3" t="s">
        <v>2517</v>
      </c>
      <c r="AU3" s="21" t="s">
        <v>2514</v>
      </c>
      <c r="AV3" s="21" t="s">
        <v>2431</v>
      </c>
      <c r="BN3" s="23" t="s">
        <v>8</v>
      </c>
      <c r="BO3" s="23" t="s">
        <v>2540</v>
      </c>
    </row>
    <row r="4" spans="2:83" ht="15.75">
      <c r="B4" s="20" t="s">
        <v>60</v>
      </c>
      <c r="C4" s="26">
        <v>111</v>
      </c>
      <c r="D4" s="26">
        <v>5.9909909909909906</v>
      </c>
      <c r="R4" s="25" t="s">
        <v>25</v>
      </c>
      <c r="S4" s="25" t="s">
        <v>2514</v>
      </c>
      <c r="AG4" t="s">
        <v>2519</v>
      </c>
      <c r="AH4" s="28">
        <v>50860.65</v>
      </c>
      <c r="AI4" s="19">
        <v>273.44435483870967</v>
      </c>
      <c r="AU4" s="46" t="s">
        <v>8</v>
      </c>
      <c r="AV4" s="21" t="s">
        <v>2521</v>
      </c>
      <c r="BN4" s="20" t="s">
        <v>150</v>
      </c>
      <c r="BO4" s="32">
        <v>0.32922850958565242</v>
      </c>
      <c r="CD4" s="33" t="s">
        <v>2541</v>
      </c>
      <c r="CE4" s="20"/>
    </row>
    <row r="5" spans="2:83">
      <c r="B5" s="20" t="s">
        <v>77</v>
      </c>
      <c r="C5" s="26">
        <v>104</v>
      </c>
      <c r="D5" s="26">
        <v>5.1442307692307692</v>
      </c>
      <c r="R5" t="s">
        <v>89</v>
      </c>
      <c r="S5" s="42">
        <v>0.24689854595313701</v>
      </c>
      <c r="AG5" t="s">
        <v>2518</v>
      </c>
      <c r="AH5" s="28">
        <v>42325.479999999989</v>
      </c>
      <c r="AI5" s="19">
        <v>273.06761290322572</v>
      </c>
      <c r="AU5" s="21" t="s">
        <v>127</v>
      </c>
      <c r="AV5" s="47">
        <v>4578.62</v>
      </c>
      <c r="BN5" s="20" t="s">
        <v>242</v>
      </c>
      <c r="BO5" s="32">
        <v>0.30023148148148143</v>
      </c>
      <c r="CD5" s="34" t="s">
        <v>2542</v>
      </c>
      <c r="CE5" s="24">
        <f>AVERAGE(Purchase_Amount)</f>
        <v>275.06388000000004</v>
      </c>
    </row>
    <row r="6" spans="2:83">
      <c r="B6" s="20" t="s">
        <v>45</v>
      </c>
      <c r="C6" s="26">
        <v>126</v>
      </c>
      <c r="D6" s="26">
        <v>5.0634920634920633</v>
      </c>
      <c r="R6" t="s">
        <v>44</v>
      </c>
      <c r="S6" s="42">
        <v>0.29558111276860621</v>
      </c>
      <c r="AU6" s="21" t="s">
        <v>170</v>
      </c>
      <c r="AV6" s="47">
        <v>2830.1800000000003</v>
      </c>
      <c r="BN6" s="20" t="s">
        <v>98</v>
      </c>
      <c r="BO6" s="32">
        <v>0.27857142857142858</v>
      </c>
      <c r="CD6" s="34" t="s">
        <v>2543</v>
      </c>
      <c r="CE6" s="22">
        <f>AVERAGE(Return_Rate)</f>
        <v>0.18352380952380967</v>
      </c>
    </row>
    <row r="7" spans="2:83">
      <c r="R7" t="s">
        <v>59</v>
      </c>
      <c r="S7" s="42">
        <v>0.27355111753219075</v>
      </c>
      <c r="AU7" s="21" t="s">
        <v>153</v>
      </c>
      <c r="AV7" s="47">
        <v>4123.4399999999996</v>
      </c>
      <c r="BN7" s="20" t="s">
        <v>306</v>
      </c>
      <c r="BO7" s="32">
        <v>0.2480194805194805</v>
      </c>
      <c r="CD7" s="34" t="s">
        <v>2544</v>
      </c>
      <c r="CE7" s="27">
        <f>AVERAGE(Customer_Satisfaction)</f>
        <v>5.399</v>
      </c>
    </row>
    <row r="8" spans="2:83">
      <c r="R8" t="s">
        <v>72</v>
      </c>
      <c r="S8" s="42">
        <v>0.18396922374606609</v>
      </c>
      <c r="AU8" s="21" t="s">
        <v>235</v>
      </c>
      <c r="AV8" s="47">
        <v>3340.3500000000004</v>
      </c>
      <c r="BA8" s="35" t="s">
        <v>2545</v>
      </c>
      <c r="BN8" s="20" t="s">
        <v>112</v>
      </c>
      <c r="BO8" s="32">
        <v>0.23985260770975056</v>
      </c>
      <c r="CD8" s="34" t="s">
        <v>2546</v>
      </c>
      <c r="CE8" s="27">
        <f>AVERAGE(Time_to_Decision)</f>
        <v>7.5469999999999997</v>
      </c>
    </row>
    <row r="9" spans="2:83">
      <c r="AU9" s="21" t="s">
        <v>98</v>
      </c>
      <c r="AV9" s="47">
        <v>3236.1999999999994</v>
      </c>
      <c r="BA9" s="35" t="s">
        <v>2547</v>
      </c>
      <c r="BN9" s="20" t="s">
        <v>199</v>
      </c>
      <c r="BO9" s="32">
        <v>0.2187830687830688</v>
      </c>
    </row>
    <row r="10" spans="2:83">
      <c r="AU10" s="21" t="s">
        <v>229</v>
      </c>
      <c r="AV10" s="47">
        <v>2134.87</v>
      </c>
      <c r="BA10" s="35" t="s">
        <v>2548</v>
      </c>
      <c r="BN10" s="20" t="s">
        <v>38</v>
      </c>
      <c r="BO10" s="32">
        <v>0.21198347107438015</v>
      </c>
      <c r="BR10" t="s">
        <v>2549</v>
      </c>
    </row>
    <row r="11" spans="2:83">
      <c r="R11" t="s">
        <v>2550</v>
      </c>
      <c r="AG11" s="12" t="s">
        <v>2551</v>
      </c>
      <c r="AU11" s="21" t="s">
        <v>147</v>
      </c>
      <c r="AV11" s="47">
        <v>4478.5700000000006</v>
      </c>
      <c r="BA11" s="35" t="s">
        <v>2552</v>
      </c>
      <c r="BN11" s="20" t="s">
        <v>135</v>
      </c>
      <c r="BO11" s="32">
        <v>0.20432098765432097</v>
      </c>
      <c r="BR11" t="s">
        <v>2553</v>
      </c>
    </row>
    <row r="12" spans="2:83">
      <c r="R12" t="s">
        <v>2554</v>
      </c>
      <c r="AG12" s="12" t="s">
        <v>2555</v>
      </c>
      <c r="AU12" s="21" t="s">
        <v>54</v>
      </c>
      <c r="AV12" s="47">
        <v>4349.8500000000004</v>
      </c>
      <c r="BA12" s="35" t="s">
        <v>2556</v>
      </c>
      <c r="BN12" s="20" t="s">
        <v>127</v>
      </c>
      <c r="BO12" s="32">
        <v>0.203176607343274</v>
      </c>
      <c r="BR12" t="s">
        <v>2557</v>
      </c>
    </row>
    <row r="13" spans="2:83">
      <c r="R13" t="s">
        <v>2558</v>
      </c>
      <c r="AG13" s="12" t="s">
        <v>2559</v>
      </c>
      <c r="AU13" s="21" t="s">
        <v>84</v>
      </c>
      <c r="AV13" s="47">
        <v>3967.38</v>
      </c>
      <c r="BA13" s="35" t="s">
        <v>2560</v>
      </c>
      <c r="BN13" s="20" t="s">
        <v>235</v>
      </c>
      <c r="BO13" s="32">
        <v>0.19455988455988452</v>
      </c>
    </row>
    <row r="14" spans="2:83">
      <c r="R14" t="s">
        <v>2562</v>
      </c>
      <c r="AG14" s="12" t="s">
        <v>2563</v>
      </c>
      <c r="AU14" s="21" t="s">
        <v>38</v>
      </c>
      <c r="AV14" s="47">
        <v>2400.2999999999997</v>
      </c>
      <c r="BN14" s="20" t="s">
        <v>2516</v>
      </c>
      <c r="BO14" s="26">
        <v>0.2426617364117363</v>
      </c>
      <c r="BR14" s="18" t="s">
        <v>2561</v>
      </c>
    </row>
    <row r="15" spans="2:83">
      <c r="B15" t="s">
        <v>2564</v>
      </c>
      <c r="AU15" s="21" t="s">
        <v>199</v>
      </c>
      <c r="AV15" s="47">
        <v>3003.08</v>
      </c>
      <c r="BR15" t="s">
        <v>2565</v>
      </c>
    </row>
    <row r="16" spans="2:83">
      <c r="B16" t="s">
        <v>2566</v>
      </c>
      <c r="AG16" s="36" t="s">
        <v>2567</v>
      </c>
      <c r="AU16" s="21" t="s">
        <v>131</v>
      </c>
      <c r="AV16" s="47">
        <v>3423.6499999999996</v>
      </c>
      <c r="BR16" t="s">
        <v>2568</v>
      </c>
    </row>
    <row r="17" spans="2:63">
      <c r="B17" t="s">
        <v>2569</v>
      </c>
      <c r="AG17" s="12" t="s">
        <v>2570</v>
      </c>
      <c r="AU17" s="21" t="s">
        <v>180</v>
      </c>
      <c r="AV17" s="47">
        <v>4355.2199999999993</v>
      </c>
    </row>
    <row r="18" spans="2:63">
      <c r="B18" t="s">
        <v>2571</v>
      </c>
      <c r="AG18" s="12" t="s">
        <v>2572</v>
      </c>
      <c r="AU18" s="21" t="s">
        <v>75</v>
      </c>
      <c r="AV18" s="47">
        <v>3889.95</v>
      </c>
    </row>
    <row r="19" spans="2:63">
      <c r="AG19" s="12" t="s">
        <v>2573</v>
      </c>
      <c r="AU19" s="21" t="s">
        <v>135</v>
      </c>
      <c r="AV19" s="47">
        <v>1778.03</v>
      </c>
    </row>
    <row r="20" spans="2:63">
      <c r="AU20" s="21" t="s">
        <v>306</v>
      </c>
      <c r="AV20" s="47">
        <v>6449.2200000000012</v>
      </c>
    </row>
    <row r="21" spans="2:63">
      <c r="B21" s="17" t="s">
        <v>2515</v>
      </c>
      <c r="C21" t="s">
        <v>2517</v>
      </c>
      <c r="AU21" s="21" t="s">
        <v>123</v>
      </c>
      <c r="AV21" s="47">
        <v>3580.7200000000003</v>
      </c>
    </row>
    <row r="22" spans="2:63">
      <c r="B22" s="15" t="s">
        <v>60</v>
      </c>
      <c r="C22" s="19">
        <v>268.95615615615634</v>
      </c>
      <c r="AG22" s="43" t="s">
        <v>2574</v>
      </c>
      <c r="AH22" s="43" t="s">
        <v>23</v>
      </c>
      <c r="AI22" s="43"/>
      <c r="AU22" s="21" t="s">
        <v>112</v>
      </c>
      <c r="AV22" s="47">
        <v>4340.24</v>
      </c>
    </row>
    <row r="23" spans="2:63">
      <c r="B23" s="15" t="s">
        <v>77</v>
      </c>
      <c r="C23" s="19">
        <v>277.79609589041098</v>
      </c>
      <c r="AG23" s="37" t="s">
        <v>8</v>
      </c>
      <c r="AH23" s="38" t="s">
        <v>2518</v>
      </c>
      <c r="AI23" s="37" t="s">
        <v>2519</v>
      </c>
      <c r="AJ23" s="25" t="s">
        <v>2575</v>
      </c>
      <c r="AU23" s="21" t="s">
        <v>68</v>
      </c>
      <c r="AV23" s="47">
        <v>3058.76</v>
      </c>
    </row>
    <row r="24" spans="2:63">
      <c r="B24" s="15" t="s">
        <v>45</v>
      </c>
      <c r="C24" s="19">
        <v>278.52776881720456</v>
      </c>
      <c r="AG24" s="43" t="s">
        <v>127</v>
      </c>
      <c r="AH24" s="45">
        <v>235.54571428571427</v>
      </c>
      <c r="AI24" s="44">
        <v>266.34545454545463</v>
      </c>
      <c r="AJ24" s="39">
        <f>AI24-AH24</f>
        <v>30.799740259740361</v>
      </c>
      <c r="AU24" s="21" t="s">
        <v>143</v>
      </c>
      <c r="AV24" s="47">
        <v>4459.93</v>
      </c>
    </row>
    <row r="25" spans="2:63">
      <c r="B25" s="15" t="s">
        <v>2516</v>
      </c>
      <c r="C25" s="19">
        <v>275.1165396188569</v>
      </c>
      <c r="AG25" s="43" t="s">
        <v>170</v>
      </c>
      <c r="AH25" s="45">
        <v>175.42571428571429</v>
      </c>
      <c r="AI25" s="44">
        <v>200.27500000000001</v>
      </c>
      <c r="AJ25" s="39">
        <f t="shared" ref="AJ25:AJ47" si="0">AI25-AH25</f>
        <v>24.849285714285713</v>
      </c>
      <c r="AU25" s="21" t="s">
        <v>150</v>
      </c>
      <c r="AV25" s="47">
        <v>3791.13</v>
      </c>
    </row>
    <row r="26" spans="2:63" hidden="1">
      <c r="AG26" s="43" t="s">
        <v>153</v>
      </c>
      <c r="AH26" s="45">
        <v>229.56555555555556</v>
      </c>
      <c r="AI26" s="44">
        <v>293.90714285714284</v>
      </c>
      <c r="AJ26" s="39">
        <f t="shared" si="0"/>
        <v>64.341587301587282</v>
      </c>
      <c r="AU26" s="40" t="s">
        <v>108</v>
      </c>
      <c r="AV26" s="41">
        <v>5470.7499999999982</v>
      </c>
      <c r="BK26"/>
    </row>
    <row r="27" spans="2:63" hidden="1">
      <c r="AG27" s="43" t="s">
        <v>235</v>
      </c>
      <c r="AH27" s="45">
        <v>235.72624999999999</v>
      </c>
      <c r="AI27" s="44">
        <v>207.79142857142855</v>
      </c>
      <c r="AJ27" s="39">
        <f t="shared" si="0"/>
        <v>-27.934821428571439</v>
      </c>
      <c r="AU27" s="21" t="s">
        <v>156</v>
      </c>
      <c r="AV27" s="47">
        <v>7287.5400000000009</v>
      </c>
      <c r="BK27"/>
    </row>
    <row r="28" spans="2:63">
      <c r="AG28" s="43" t="s">
        <v>98</v>
      </c>
      <c r="AH28" s="45">
        <v>359.45</v>
      </c>
      <c r="AI28" s="44">
        <v>319.63888888888886</v>
      </c>
      <c r="AJ28" s="39">
        <f t="shared" si="0"/>
        <v>-39.811111111111131</v>
      </c>
      <c r="AU28" s="21" t="s">
        <v>242</v>
      </c>
      <c r="AV28" s="47">
        <v>2858.15</v>
      </c>
    </row>
    <row r="29" spans="2:63">
      <c r="AG29" s="43" t="s">
        <v>229</v>
      </c>
      <c r="AH29" s="45">
        <v>270.86399999999998</v>
      </c>
      <c r="AI29" s="44">
        <v>260.18333333333334</v>
      </c>
      <c r="AJ29" s="39">
        <f t="shared" si="0"/>
        <v>-10.680666666666639</v>
      </c>
      <c r="AU29" s="21" t="s">
        <v>2516</v>
      </c>
      <c r="AV29" s="47">
        <v>93186.13</v>
      </c>
    </row>
    <row r="30" spans="2:63" hidden="1">
      <c r="AG30" s="43" t="s">
        <v>147</v>
      </c>
      <c r="AH30" s="45">
        <v>235.0209090909091</v>
      </c>
      <c r="AI30" s="44">
        <v>236.66750000000002</v>
      </c>
      <c r="AJ30" s="39">
        <f t="shared" si="0"/>
        <v>1.6465909090909179</v>
      </c>
      <c r="BK30"/>
    </row>
    <row r="31" spans="2:63" hidden="1">
      <c r="AG31" s="43" t="s">
        <v>54</v>
      </c>
      <c r="AH31" s="45">
        <v>328.86599999999999</v>
      </c>
      <c r="AI31" s="44">
        <v>270.55200000000002</v>
      </c>
      <c r="AJ31" s="39">
        <f t="shared" si="0"/>
        <v>-58.313999999999965</v>
      </c>
      <c r="BK31"/>
    </row>
    <row r="32" spans="2:63">
      <c r="AG32" s="43" t="s">
        <v>84</v>
      </c>
      <c r="AH32" s="45">
        <v>241.94166666666663</v>
      </c>
      <c r="AI32" s="44">
        <v>251.57299999999995</v>
      </c>
      <c r="AJ32" s="39">
        <f t="shared" si="0"/>
        <v>9.6313333333333162</v>
      </c>
    </row>
    <row r="33" spans="33:63">
      <c r="AG33" s="43" t="s">
        <v>38</v>
      </c>
      <c r="AH33" s="45">
        <v>186.60500000000002</v>
      </c>
      <c r="AI33" s="44">
        <v>236.26857142857142</v>
      </c>
      <c r="AJ33" s="39">
        <f t="shared" si="0"/>
        <v>49.663571428571402</v>
      </c>
    </row>
    <row r="34" spans="33:63">
      <c r="AG34" s="43" t="s">
        <v>199</v>
      </c>
      <c r="AH34" s="45">
        <v>350.53000000000003</v>
      </c>
      <c r="AI34" s="44">
        <v>320.19200000000001</v>
      </c>
      <c r="AJ34" s="39">
        <f t="shared" si="0"/>
        <v>-30.338000000000022</v>
      </c>
    </row>
    <row r="35" spans="33:63" hidden="1">
      <c r="AG35" s="43" t="s">
        <v>131</v>
      </c>
      <c r="AH35" s="45">
        <v>223.12599999999998</v>
      </c>
      <c r="AI35" s="44">
        <v>384.67</v>
      </c>
      <c r="AJ35" s="39">
        <f t="shared" si="0"/>
        <v>161.54400000000004</v>
      </c>
      <c r="BK35"/>
    </row>
    <row r="36" spans="33:63" hidden="1">
      <c r="AG36" s="43" t="s">
        <v>180</v>
      </c>
      <c r="AH36" s="45">
        <v>272.75</v>
      </c>
      <c r="AI36" s="44">
        <v>271.95181818181823</v>
      </c>
      <c r="AJ36" s="39">
        <f t="shared" si="0"/>
        <v>-0.79818181818177436</v>
      </c>
      <c r="BK36"/>
    </row>
    <row r="37" spans="33:63" hidden="1">
      <c r="AG37" s="43" t="s">
        <v>75</v>
      </c>
      <c r="AH37" s="45">
        <v>300.73124999999999</v>
      </c>
      <c r="AI37" s="44">
        <v>247.35</v>
      </c>
      <c r="AJ37" s="39">
        <f t="shared" si="0"/>
        <v>-53.381249999999994</v>
      </c>
      <c r="BK37"/>
    </row>
    <row r="38" spans="33:63">
      <c r="AG38" s="43" t="s">
        <v>135</v>
      </c>
      <c r="AH38" s="45">
        <v>185.83</v>
      </c>
      <c r="AI38" s="44">
        <v>212.21999999999997</v>
      </c>
      <c r="AJ38" s="39">
        <f t="shared" si="0"/>
        <v>26.389999999999958</v>
      </c>
    </row>
    <row r="39" spans="33:63">
      <c r="AG39" s="43" t="s">
        <v>306</v>
      </c>
      <c r="AH39" s="45">
        <v>324.19</v>
      </c>
      <c r="AI39" s="44">
        <v>321.52999999999997</v>
      </c>
      <c r="AJ39" s="39">
        <f t="shared" si="0"/>
        <v>-2.660000000000025</v>
      </c>
    </row>
    <row r="40" spans="33:63" hidden="1">
      <c r="AG40" s="43" t="s">
        <v>123</v>
      </c>
      <c r="AH40" s="45">
        <v>382.11166666666668</v>
      </c>
      <c r="AI40" s="44">
        <v>214.67499999999998</v>
      </c>
      <c r="AJ40" s="39">
        <f t="shared" si="0"/>
        <v>-167.4366666666667</v>
      </c>
      <c r="BK40"/>
    </row>
    <row r="41" spans="33:63" hidden="1">
      <c r="AG41" s="43" t="s">
        <v>112</v>
      </c>
      <c r="AH41" s="45">
        <v>295.55</v>
      </c>
      <c r="AI41" s="44">
        <v>320.86750000000001</v>
      </c>
      <c r="AJ41" s="39">
        <f t="shared" si="0"/>
        <v>25.317499999999995</v>
      </c>
      <c r="BK41"/>
    </row>
    <row r="42" spans="33:63" hidden="1">
      <c r="AG42" s="43" t="s">
        <v>68</v>
      </c>
      <c r="AH42" s="45">
        <v>329.01666666666665</v>
      </c>
      <c r="AI42" s="44">
        <v>180.77666666666667</v>
      </c>
      <c r="AJ42" s="39">
        <f t="shared" si="0"/>
        <v>-148.23999999999998</v>
      </c>
      <c r="BK42"/>
    </row>
    <row r="43" spans="33:63" hidden="1">
      <c r="AG43" s="43" t="s">
        <v>143</v>
      </c>
      <c r="AH43" s="45">
        <v>369.56833333333338</v>
      </c>
      <c r="AI43" s="44">
        <v>249.16888888888894</v>
      </c>
      <c r="AJ43" s="39">
        <f t="shared" si="0"/>
        <v>-120.39944444444444</v>
      </c>
      <c r="BK43"/>
    </row>
    <row r="44" spans="33:63" hidden="1">
      <c r="AG44" s="43" t="s">
        <v>150</v>
      </c>
      <c r="AH44" s="45">
        <v>292.94499999999999</v>
      </c>
      <c r="AI44" s="44">
        <v>215.42</v>
      </c>
      <c r="AJ44" s="39">
        <f t="shared" si="0"/>
        <v>-77.525000000000006</v>
      </c>
      <c r="BK44"/>
    </row>
    <row r="45" spans="33:63" hidden="1">
      <c r="AG45" s="43" t="s">
        <v>108</v>
      </c>
      <c r="AH45" s="45">
        <v>253.23857142857142</v>
      </c>
      <c r="AI45" s="44">
        <v>308.17333333333335</v>
      </c>
      <c r="AJ45" s="39">
        <f t="shared" si="0"/>
        <v>54.934761904761928</v>
      </c>
      <c r="BK45"/>
    </row>
    <row r="46" spans="33:63" hidden="1">
      <c r="AG46" s="43" t="s">
        <v>156</v>
      </c>
      <c r="AH46" s="45">
        <v>344.16636363636366</v>
      </c>
      <c r="AI46" s="44">
        <v>350.17099999999994</v>
      </c>
      <c r="AJ46" s="39">
        <f t="shared" si="0"/>
        <v>6.0046363636362798</v>
      </c>
      <c r="BK46"/>
    </row>
    <row r="47" spans="33:63">
      <c r="AG47" s="43" t="s">
        <v>242</v>
      </c>
      <c r="AH47" s="45">
        <v>187.35333333333335</v>
      </c>
      <c r="AI47" s="44">
        <v>289.005</v>
      </c>
      <c r="AJ47" s="39">
        <f t="shared" si="0"/>
        <v>101.65166666666664</v>
      </c>
    </row>
  </sheetData>
  <autoFilter ref="AG23:AJ47" xr:uid="{CD6A3331-DBC4-46BA-AC0C-79EE74865E69}">
    <filterColumn colId="3">
      <filters>
        <filter val="11.57"/>
        <filter val="16.28"/>
        <filter val="29.03"/>
        <filter val="33.73"/>
        <filter val="37.06"/>
        <filter val="54.47"/>
        <filter val="58.63"/>
        <filter val="65.96"/>
        <filter val="7.60"/>
        <filter val="8.76"/>
      </filters>
    </filterColumn>
  </autoFilter>
  <conditionalFormatting pivot="1" sqref="AV5:AV28">
    <cfRule type="colorScale" priority="1">
      <colorScale>
        <cfvo type="min"/>
        <cfvo type="max"/>
        <color rgb="FFFCFCFF"/>
        <color rgb="FF63BE7B"/>
      </colorScale>
    </cfRule>
  </conditionalFormatting>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Original Data</vt:lpstr>
      <vt:lpstr>Cleaned Data</vt:lpstr>
      <vt:lpstr>Data Dictionary</vt:lpstr>
      <vt:lpstr>Data Cleaning &amp; Transformation</vt:lpstr>
      <vt:lpstr>Operational Performance</vt:lpstr>
      <vt:lpstr>Oper. Perf.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Azzam</dc:creator>
  <cp:lastModifiedBy>Mohammed Azzam</cp:lastModifiedBy>
  <dcterms:created xsi:type="dcterms:W3CDTF">2025-08-14T14:33:50Z</dcterms:created>
  <dcterms:modified xsi:type="dcterms:W3CDTF">2025-09-02T12:42:36Z</dcterms:modified>
</cp:coreProperties>
</file>